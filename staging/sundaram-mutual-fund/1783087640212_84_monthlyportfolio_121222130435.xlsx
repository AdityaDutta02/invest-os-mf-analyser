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L:\SAMCWEB_V2.0\uploaddir\MonthlyPortfolio\"/>
    </mc:Choice>
  </mc:AlternateContent>
  <xr:revisionPtr revIDLastSave="0" documentId="13_ncr:1_{C3C677D8-365C-4F74-80EE-3162F0400CF8}" xr6:coauthVersionLast="47" xr6:coauthVersionMax="47" xr10:uidLastSave="{00000000-0000-0000-0000-000000000000}"/>
  <bookViews>
    <workbookView xWindow="-120" yWindow="-120" windowWidth="29040" windowHeight="15720" tabRatio="917" xr2:uid="{00000000-000D-0000-FFFF-FFFF00000000}"/>
  </bookViews>
  <sheets>
    <sheet name="Index" sheetId="37" r:id="rId1"/>
    <sheet name="CAPEXG" sheetId="1" r:id="rId2"/>
    <sheet name="MIDCAP" sheetId="2" r:id="rId3"/>
    <sheet name="MULTI1" sheetId="3" r:id="rId4"/>
    <sheet name="MULTI2" sheetId="4" r:id="rId5"/>
    <sheet name="MULTIP" sheetId="5" r:id="rId6"/>
    <sheet name="SESCAP1" sheetId="6" r:id="rId7"/>
    <sheet name="SESCAP2" sheetId="7" r:id="rId8"/>
    <sheet name="SESCAP3" sheetId="8" r:id="rId9"/>
    <sheet name="SESCAP4" sheetId="9" r:id="rId10"/>
    <sheet name="SESCAP5" sheetId="10" r:id="rId11"/>
    <sheet name="SESCAP6" sheetId="11" r:id="rId12"/>
    <sheet name="SESCAP7" sheetId="12" r:id="rId13"/>
    <sheet name="SLTADV3" sheetId="13" r:id="rId14"/>
    <sheet name="SLTADV4" sheetId="14" r:id="rId15"/>
    <sheet name="SLTAX1" sheetId="15" r:id="rId16"/>
    <sheet name="SLTAX2" sheetId="16" r:id="rId17"/>
    <sheet name="SLTAX3" sheetId="17" r:id="rId18"/>
    <sheet name="SLTAX4" sheetId="18" r:id="rId19"/>
    <sheet name="SLTAX5" sheetId="19" r:id="rId20"/>
    <sheet name="SLTAX6" sheetId="20" r:id="rId21"/>
    <sheet name="SMILE" sheetId="21" r:id="rId22"/>
    <sheet name="SPAHF" sheetId="35" r:id="rId23"/>
    <sheet name="SPARF" sheetId="22" r:id="rId24"/>
    <sheet name="SPBAF" sheetId="36" r:id="rId25"/>
    <sheet name="SPDYF" sheetId="23" r:id="rId26"/>
    <sheet name="SPESF" sheetId="24" r:id="rId27"/>
    <sheet name="SPFOCUS" sheetId="25" r:id="rId28"/>
    <sheet name="SPMUCF" sheetId="26" r:id="rId29"/>
    <sheet name="SPSN100" sheetId="27" r:id="rId30"/>
    <sheet name="SPTAX" sheetId="28" r:id="rId31"/>
    <sheet name="SRURAL" sheetId="29" r:id="rId32"/>
    <sheet name="SSFUND" sheetId="30" r:id="rId33"/>
    <sheet name="STAX" sheetId="31" r:id="rId34"/>
    <sheet name="SUNBCF" sheetId="32" r:id="rId35"/>
    <sheet name="SUNFCF" sheetId="33" r:id="rId36"/>
    <sheet name="SUNFOP" sheetId="34" r:id="rId37"/>
    <sheet name="GLOB" sheetId="38" r:id="rId38"/>
    <sheet name="Annexure-A" sheetId="39" r:id="rId3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3" i="24" l="1"/>
  <c r="G167" i="35"/>
  <c r="G168" i="35" s="1"/>
  <c r="F167" i="35"/>
  <c r="F168" i="35" s="1"/>
  <c r="G115" i="36" l="1"/>
  <c r="F115" i="36"/>
  <c r="G25" i="22"/>
  <c r="G110" i="22" s="1"/>
  <c r="F25" i="22"/>
  <c r="F110" i="22" s="1"/>
</calcChain>
</file>

<file path=xl/sharedStrings.xml><?xml version="1.0" encoding="utf-8"?>
<sst xmlns="http://schemas.openxmlformats.org/spreadsheetml/2006/main" count="10389" uniqueCount="1206">
  <si>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</si>
  <si>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</si>
  <si>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</si>
  <si>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</si>
  <si>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</si>
  <si>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</si>
  <si>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</si>
  <si>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</si>
  <si>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</si>
  <si>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</si>
  <si>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</si>
  <si>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</si>
  <si>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</si>
  <si>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</si>
  <si>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INE090A01021</t>
  </si>
  <si>
    <t>ICICI Bank Ltd</t>
  </si>
  <si>
    <t>Banks</t>
  </si>
  <si>
    <t>INE397D01024</t>
  </si>
  <si>
    <t>Bharti Airtel Ltd</t>
  </si>
  <si>
    <t>Telecom - Services</t>
  </si>
  <si>
    <t>INE002A01018</t>
  </si>
  <si>
    <t>Reliance Industries Ltd</t>
  </si>
  <si>
    <t>Petroleum Products</t>
  </si>
  <si>
    <t>INE481G01011</t>
  </si>
  <si>
    <t>Ultratech Cement Ltd</t>
  </si>
  <si>
    <t>Cement &amp; Cement Products</t>
  </si>
  <si>
    <t>INE733E01010</t>
  </si>
  <si>
    <t>NTPC Ltd</t>
  </si>
  <si>
    <t>Power</t>
  </si>
  <si>
    <t>INE999A01015</t>
  </si>
  <si>
    <t>KSB Ltd</t>
  </si>
  <si>
    <t>Industrial Products</t>
  </si>
  <si>
    <t>INE284A01012</t>
  </si>
  <si>
    <t>ESAB India Ltd</t>
  </si>
  <si>
    <t>INE536A01023</t>
  </si>
  <si>
    <t>Grindwell Norton Ltd</t>
  </si>
  <si>
    <t>INE117A01022</t>
  </si>
  <si>
    <t>ABB India Ltd</t>
  </si>
  <si>
    <t>Electrical Equipment</t>
  </si>
  <si>
    <t>INE062A01020</t>
  </si>
  <si>
    <t>State Bank of India</t>
  </si>
  <si>
    <t>INE111A01025</t>
  </si>
  <si>
    <t>Container Corporation of India Ltd</t>
  </si>
  <si>
    <t>Transport Services</t>
  </si>
  <si>
    <t>INE455K01017</t>
  </si>
  <si>
    <t>Polycab India Ltd</t>
  </si>
  <si>
    <t>INE671A01010</t>
  </si>
  <si>
    <t>Honeywell Automation India Ltd</t>
  </si>
  <si>
    <t>Industrial Manufacturing</t>
  </si>
  <si>
    <t>INE208A01029</t>
  </si>
  <si>
    <t>Ashok Leyland Ltd</t>
  </si>
  <si>
    <t>Agricultural, Commercial &amp; Construction Vehicles</t>
  </si>
  <si>
    <t>INE245A01021</t>
  </si>
  <si>
    <t>Tata Power Company Ltd</t>
  </si>
  <si>
    <t>INE868B01028</t>
  </si>
  <si>
    <t>NCC Ltd</t>
  </si>
  <si>
    <t>INE195J01029</t>
  </si>
  <si>
    <t>PNC Infratech Ltd</t>
  </si>
  <si>
    <t>INE742F01042</t>
  </si>
  <si>
    <t>Adani Ports and Special Economic Zone Ltd</t>
  </si>
  <si>
    <t>Transport Infrastructure</t>
  </si>
  <si>
    <t>INE823G01014</t>
  </si>
  <si>
    <t>JK Cement Ltd</t>
  </si>
  <si>
    <t>INE752E01010</t>
  </si>
  <si>
    <t>Power Grid Corporation of India Ltd</t>
  </si>
  <si>
    <t>INE541A01023</t>
  </si>
  <si>
    <t>GMM Pfaudler Ltd</t>
  </si>
  <si>
    <t>INE263A01024</t>
  </si>
  <si>
    <t>Bharat Electronics Ltd</t>
  </si>
  <si>
    <t>Aerospace &amp; Defense</t>
  </si>
  <si>
    <t>INE585B01010</t>
  </si>
  <si>
    <t>Maruti Suzuki India Ltd</t>
  </si>
  <si>
    <t>Automobiles</t>
  </si>
  <si>
    <t>INE152M01016</t>
  </si>
  <si>
    <t>Triveni Turbine Ltd</t>
  </si>
  <si>
    <t>INE079A01024</t>
  </si>
  <si>
    <t>Ambuja Cements Ltd</t>
  </si>
  <si>
    <t>INE702C01027</t>
  </si>
  <si>
    <t>APL Apollo Tubes Ltd</t>
  </si>
  <si>
    <t>INE003A01024</t>
  </si>
  <si>
    <t>Siemens Ltd</t>
  </si>
  <si>
    <t>INE070A01015</t>
  </si>
  <si>
    <t>Shree Cement Ltd</t>
  </si>
  <si>
    <t>INE878B01027</t>
  </si>
  <si>
    <t>KEI Industries Ltd</t>
  </si>
  <si>
    <t>INE634I01029</t>
  </si>
  <si>
    <t>KNR Construction Ltd</t>
  </si>
  <si>
    <t>INE513A01022</t>
  </si>
  <si>
    <t>Schaeffler India Ltd</t>
  </si>
  <si>
    <t>Auto Components</t>
  </si>
  <si>
    <t>INE298A01020</t>
  </si>
  <si>
    <t>Cummins India Ltd</t>
  </si>
  <si>
    <t>INE029A01011</t>
  </si>
  <si>
    <t>Bharat Petroleum Corporation Ltd</t>
  </si>
  <si>
    <t>INE258A01016</t>
  </si>
  <si>
    <t>BEML Ltd</t>
  </si>
  <si>
    <t>INE766P01016</t>
  </si>
  <si>
    <t>Mahindra Logistics Ltd</t>
  </si>
  <si>
    <t>INE791I01019</t>
  </si>
  <si>
    <t>Brigade Enterprises Ltd</t>
  </si>
  <si>
    <t>Realty</t>
  </si>
  <si>
    <t>INE121A01024</t>
  </si>
  <si>
    <t>Cholamandalam Investment and Finance Company Ltd</t>
  </si>
  <si>
    <t>Finance</t>
  </si>
  <si>
    <t>INE093I01010</t>
  </si>
  <si>
    <t>Oberoi Realty Ltd</t>
  </si>
  <si>
    <t>INE08ZM01014</t>
  </si>
  <si>
    <t>Green Panel Industries Ltd</t>
  </si>
  <si>
    <t>Consumer Durables</t>
  </si>
  <si>
    <t>INE073K01018</t>
  </si>
  <si>
    <t>Sona BLW Precision Forgings Ltd</t>
  </si>
  <si>
    <t>INE038A01020</t>
  </si>
  <si>
    <t>Hindalco Industries Ltd</t>
  </si>
  <si>
    <t>Non - Ferrous Metals</t>
  </si>
  <si>
    <t>INE811K01011</t>
  </si>
  <si>
    <t>Prestige Estates Projects Ltd</t>
  </si>
  <si>
    <t>INE213A01029</t>
  </si>
  <si>
    <t>Oil &amp; Natural Gas Corporation Ltd</t>
  </si>
  <si>
    <t>Oil</t>
  </si>
  <si>
    <t>INE201P01022</t>
  </si>
  <si>
    <t>GR Infraprojects Ltd</t>
  </si>
  <si>
    <t>INE371P01015</t>
  </si>
  <si>
    <t>Amber Enterprises India Ltd</t>
  </si>
  <si>
    <t>INE331A01037</t>
  </si>
  <si>
    <t>The Ramco Cements Ltd</t>
  </si>
  <si>
    <t>INE0N7W01012</t>
  </si>
  <si>
    <t>BEML Land and Assets Ltd</t>
  </si>
  <si>
    <t>INE551A01022</t>
  </si>
  <si>
    <t>Engineering Services</t>
  </si>
  <si>
    <t>#</t>
  </si>
  <si>
    <t>Sub Total</t>
  </si>
  <si>
    <t/>
  </si>
  <si>
    <t>(b) Overseas Security</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</si>
  <si>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</si>
  <si>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</si>
  <si>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</si>
  <si>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</si>
  <si>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</si>
  <si>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</si>
  <si>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</si>
  <si>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</si>
  <si>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</si>
  <si>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</si>
  <si>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</si>
  <si>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</si>
  <si>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</si>
  <si>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</si>
  <si>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</si>
  <si>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</si>
  <si>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</si>
  <si>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</si>
  <si>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</si>
  <si>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</si>
  <si>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</si>
  <si>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</si>
  <si>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</si>
  <si>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</si>
  <si>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</si>
  <si>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</si>
  <si>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</si>
  <si>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</si>
  <si>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</si>
  <si>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</si>
  <si>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</si>
  <si>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</si>
  <si>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</si>
  <si>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31/10/2022</t>
  </si>
  <si>
    <t>30/11/2022</t>
  </si>
  <si>
    <t>Direct Plan - Growth</t>
  </si>
  <si>
    <t>Regular Plan - Growth</t>
  </si>
  <si>
    <t>e) Total outstanding exposure in derivative instruments at the end of the period</t>
  </si>
  <si>
    <t>f) Total investments in foreign securities /ADR'S/GDR'S at the end of the period</t>
  </si>
  <si>
    <t>g) Portfolio Turnover Ratio</t>
  </si>
  <si>
    <t>h) Repo in corporate debt</t>
  </si>
  <si>
    <t>Sundaram Mid Cap Fund</t>
  </si>
  <si>
    <t>INE171A01029</t>
  </si>
  <si>
    <t>The Federal Bank  Ltd</t>
  </si>
  <si>
    <t>INE200M01013</t>
  </si>
  <si>
    <t>Varun Beverages Ltd</t>
  </si>
  <si>
    <t>Beverages</t>
  </si>
  <si>
    <t>INE238A01034</t>
  </si>
  <si>
    <t>Axis Bank Ltd</t>
  </si>
  <si>
    <t>INE028A01039</t>
  </si>
  <si>
    <t>Bank of Baroda</t>
  </si>
  <si>
    <t>INE721A01013</t>
  </si>
  <si>
    <t>Shriram Transport Finance Company Ltd</t>
  </si>
  <si>
    <t>INE849A01020</t>
  </si>
  <si>
    <t>Trent Ltd</t>
  </si>
  <si>
    <t>Retailing</t>
  </si>
  <si>
    <t>INE299U01018</t>
  </si>
  <si>
    <t>Crompton Greaves Consumer Electricals Ltd</t>
  </si>
  <si>
    <t>INE647A01010</t>
  </si>
  <si>
    <t>SRF Ltd</t>
  </si>
  <si>
    <t>Chemicals &amp; Petrochemicals</t>
  </si>
  <si>
    <t>INE761H01022</t>
  </si>
  <si>
    <t>Page Industries Ltd</t>
  </si>
  <si>
    <t>Textiles &amp; Apparels</t>
  </si>
  <si>
    <t>INE048G01026</t>
  </si>
  <si>
    <t>Navin Fluorine International Ltd</t>
  </si>
  <si>
    <t>INE949L01017</t>
  </si>
  <si>
    <t>AU Small Finance Bank Ltd</t>
  </si>
  <si>
    <t>INE974X01010</t>
  </si>
  <si>
    <t>Tube Investments of India Ltd</t>
  </si>
  <si>
    <t>INE262H01013</t>
  </si>
  <si>
    <t>Persistent Systems Ltd</t>
  </si>
  <si>
    <t>INE169A01031</t>
  </si>
  <si>
    <t>Coromandel International Ltd</t>
  </si>
  <si>
    <t>Fertilizers &amp; Agrochemicals</t>
  </si>
  <si>
    <t>INE603J01030</t>
  </si>
  <si>
    <t>PI Industries Ltd</t>
  </si>
  <si>
    <t>INE246F01010</t>
  </si>
  <si>
    <t>Gujarat State Petronet Ltd</t>
  </si>
  <si>
    <t>Gas</t>
  </si>
  <si>
    <t>INE947Q01028</t>
  </si>
  <si>
    <t>Laurus Labs Ltd</t>
  </si>
  <si>
    <t>Pharmaceuticals &amp; Biotechnology</t>
  </si>
  <si>
    <t>INE749A01030</t>
  </si>
  <si>
    <t>Jindal Steel &amp; Power Ltd</t>
  </si>
  <si>
    <t>Ferrous Metals</t>
  </si>
  <si>
    <t>INE214T01019</t>
  </si>
  <si>
    <t>Larsen &amp; Toubro Infotech Ltd</t>
  </si>
  <si>
    <t>INE686F01025</t>
  </si>
  <si>
    <t>United Breweries Ltd</t>
  </si>
  <si>
    <t>INE105A01035</t>
  </si>
  <si>
    <t>Sundaram Clayton Ltd</t>
  </si>
  <si>
    <t>INE437A01024</t>
  </si>
  <si>
    <t>Apollo Hospitals Enterprise Ltd</t>
  </si>
  <si>
    <t>Healthcare Services</t>
  </si>
  <si>
    <t>INE256A01028</t>
  </si>
  <si>
    <t>Zee Entertainment Enterprises Ltd</t>
  </si>
  <si>
    <t>Entertainment</t>
  </si>
  <si>
    <t>INE797F01020</t>
  </si>
  <si>
    <t>Jubilant Foodworks Ltd</t>
  </si>
  <si>
    <t>Leisure Services</t>
  </si>
  <si>
    <t>INE303R01014</t>
  </si>
  <si>
    <t>Kalyan Jewellers India Ltd</t>
  </si>
  <si>
    <t>INE180A01020</t>
  </si>
  <si>
    <t>Max Financial Services Ltd</t>
  </si>
  <si>
    <t>Insurance</t>
  </si>
  <si>
    <t>INE465A01025</t>
  </si>
  <si>
    <t>Bharat Forge Ltd</t>
  </si>
  <si>
    <t>INE226A01021</t>
  </si>
  <si>
    <t>Voltas Ltd</t>
  </si>
  <si>
    <t>INE061F01013</t>
  </si>
  <si>
    <t>Fortis Health Care Ltd</t>
  </si>
  <si>
    <t>INE006I01046</t>
  </si>
  <si>
    <t>Astral Ltd</t>
  </si>
  <si>
    <t>INE149A01033</t>
  </si>
  <si>
    <t>Cholamandalam Financial Holdings Ltd</t>
  </si>
  <si>
    <t>INE571A01038</t>
  </si>
  <si>
    <t>IPCA Laboratories Ltd</t>
  </si>
  <si>
    <t>INE068V01023</t>
  </si>
  <si>
    <t>Gland Pharma Ltd</t>
  </si>
  <si>
    <t>INE00R701025</t>
  </si>
  <si>
    <t>Dalmia Cement (Bharat) Ltd.</t>
  </si>
  <si>
    <t>INE342J01019</t>
  </si>
  <si>
    <t>ZF Commercial Vehicle Control Systems I Ltd</t>
  </si>
  <si>
    <t>INE010B01027</t>
  </si>
  <si>
    <t>Zydus Lifesciences Ltd</t>
  </si>
  <si>
    <t>INE918I01026</t>
  </si>
  <si>
    <t>Bajaj Finserv Ltd</t>
  </si>
  <si>
    <t>INE317I01021</t>
  </si>
  <si>
    <t>Metro Brands Ltd</t>
  </si>
  <si>
    <t>INE040A01034</t>
  </si>
  <si>
    <t>HDFC Bank Ltd</t>
  </si>
  <si>
    <t>INE473B01035</t>
  </si>
  <si>
    <t>Hatsun Agro Product Ltd</t>
  </si>
  <si>
    <t>Food Products</t>
  </si>
  <si>
    <t>INE405E01023</t>
  </si>
  <si>
    <t>UNO Minda Ltd</t>
  </si>
  <si>
    <t>INE356A01018</t>
  </si>
  <si>
    <t>MphasiS Ltd</t>
  </si>
  <si>
    <t>INE217B01036</t>
  </si>
  <si>
    <t>Kajaria Ceramics Ltd</t>
  </si>
  <si>
    <t>INE494B01023</t>
  </si>
  <si>
    <t>TVS Motor Company Ltd</t>
  </si>
  <si>
    <t>INE548C01032</t>
  </si>
  <si>
    <t>Emami Ltd</t>
  </si>
  <si>
    <t>Personal Products</t>
  </si>
  <si>
    <t>INE203G01027</t>
  </si>
  <si>
    <t>Indraprastha Gas Ltd</t>
  </si>
  <si>
    <t>INE787D01026</t>
  </si>
  <si>
    <t>Balkrishna Industries Ltd</t>
  </si>
  <si>
    <t>INE930P01018</t>
  </si>
  <si>
    <t>Anupam Rasayan India Ltd</t>
  </si>
  <si>
    <t>INE094A01015</t>
  </si>
  <si>
    <t>Hindustan Petroleum Corporation Ltd</t>
  </si>
  <si>
    <t>INE010V01017</t>
  </si>
  <si>
    <t>L&amp;T Technology Services Ltd</t>
  </si>
  <si>
    <t>INE935N01020</t>
  </si>
  <si>
    <t>Dixon Technologies (India) Ltd</t>
  </si>
  <si>
    <t>INE115A01026</t>
  </si>
  <si>
    <t>LIC Housing Finance Ltd</t>
  </si>
  <si>
    <t>Sundaram Multi Cap Fund Series I</t>
  </si>
  <si>
    <t>INE009A01021</t>
  </si>
  <si>
    <t>Infosys Ltd</t>
  </si>
  <si>
    <t>INE001A01036</t>
  </si>
  <si>
    <t>Housing Development Finance Corporation Ltd</t>
  </si>
  <si>
    <t>INE123W01016</t>
  </si>
  <si>
    <t>SBI Life Insurance Company Ltd</t>
  </si>
  <si>
    <t>INE312H01016</t>
  </si>
  <si>
    <t>INOX Leisure Ltd</t>
  </si>
  <si>
    <t>INE467B01029</t>
  </si>
  <si>
    <t>Tata Consultancy Services Ltd</t>
  </si>
  <si>
    <t>INE044A01036</t>
  </si>
  <si>
    <t>Sun Pharmaceutical Industries Ltd</t>
  </si>
  <si>
    <t>INE030A01027</t>
  </si>
  <si>
    <t>Hindustan UniLever Ltd</t>
  </si>
  <si>
    <t>Diversified Fmcg</t>
  </si>
  <si>
    <t>INE101A01026</t>
  </si>
  <si>
    <t>Mahindra &amp; Mahindra Ltd</t>
  </si>
  <si>
    <t>INE860A01027</t>
  </si>
  <si>
    <t>HCL Technologies Ltd</t>
  </si>
  <si>
    <t>INE154A01025</t>
  </si>
  <si>
    <t>ITC Ltd</t>
  </si>
  <si>
    <t>INE732I01013</t>
  </si>
  <si>
    <t>Angel One Ltd</t>
  </si>
  <si>
    <t>Capital Markets</t>
  </si>
  <si>
    <t>INE806T01012</t>
  </si>
  <si>
    <t>Sapphire Foods India Ltd</t>
  </si>
  <si>
    <t>INE075A01022</t>
  </si>
  <si>
    <t>Wipro Ltd</t>
  </si>
  <si>
    <t>INE488A01050</t>
  </si>
  <si>
    <t>Chemplast Sanmar Ltd</t>
  </si>
  <si>
    <t>INE763G01038</t>
  </si>
  <si>
    <t>ICICI Securities Ltd</t>
  </si>
  <si>
    <t>INE669C01036</t>
  </si>
  <si>
    <t>Tech Mahindra Ltd</t>
  </si>
  <si>
    <t>INE237A01028</t>
  </si>
  <si>
    <t>Kotak Mahindra Bank Ltd</t>
  </si>
  <si>
    <t>INE217L01019</t>
  </si>
  <si>
    <t>Shriram Properties Ltd</t>
  </si>
  <si>
    <t>INE081A01020</t>
  </si>
  <si>
    <t>Tata Steel Ltd</t>
  </si>
  <si>
    <t>INE095A01012</t>
  </si>
  <si>
    <t>IndusInd Bank Ltd</t>
  </si>
  <si>
    <t>INE731H01025</t>
  </si>
  <si>
    <t>IN9397D01014</t>
  </si>
  <si>
    <t>Sundaram Multi Cap Fund -Series II</t>
  </si>
  <si>
    <t>Sundaram Large and Mid Cap Fund</t>
  </si>
  <si>
    <t>INE476A01014</t>
  </si>
  <si>
    <t>Canara Bank</t>
  </si>
  <si>
    <t>INE893J01029</t>
  </si>
  <si>
    <t>Mold-Tek Packaging Ltd</t>
  </si>
  <si>
    <t>INE296A01024</t>
  </si>
  <si>
    <t>Bajaj Finance Ltd</t>
  </si>
  <si>
    <t>INE053A01029</t>
  </si>
  <si>
    <t>The Indian Hotels Company Ltd</t>
  </si>
  <si>
    <t>INE361B01024</t>
  </si>
  <si>
    <t>Divis Laboratories Ltd</t>
  </si>
  <si>
    <t>INE586V01016</t>
  </si>
  <si>
    <t>TCI Express Ltd</t>
  </si>
  <si>
    <t>INE155A01022</t>
  </si>
  <si>
    <t>Tata Motors Ltd</t>
  </si>
  <si>
    <t>INE192R01011</t>
  </si>
  <si>
    <t>Avenue Supermarts Ltd</t>
  </si>
  <si>
    <t>INE100A01010</t>
  </si>
  <si>
    <t>Atul Ltd</t>
  </si>
  <si>
    <t>INE131B01039</t>
  </si>
  <si>
    <t>Relaxo Footwears Ltd</t>
  </si>
  <si>
    <t>INE387A01021</t>
  </si>
  <si>
    <t>Sundram Fasteners Ltd</t>
  </si>
  <si>
    <t>INE192A01025</t>
  </si>
  <si>
    <t>TATA Consumer Products Ltd</t>
  </si>
  <si>
    <t>Agricultural Food &amp; Other Products</t>
  </si>
  <si>
    <t>INE280A01028</t>
  </si>
  <si>
    <t>Titan Company Ltd</t>
  </si>
  <si>
    <t>INE388Y01029</t>
  </si>
  <si>
    <t>FSN E–Commerce Ventures Ltd(NYKAA)</t>
  </si>
  <si>
    <t>Sundaram Emerging Small Cap Series I</t>
  </si>
  <si>
    <t>INE348B01021</t>
  </si>
  <si>
    <t>Century Plyboards (India) Ltd</t>
  </si>
  <si>
    <t>INE477A01020</t>
  </si>
  <si>
    <t>Can Fin Homes Ltd</t>
  </si>
  <si>
    <t>INE481N01025</t>
  </si>
  <si>
    <t>Home First Finance Company Ltd</t>
  </si>
  <si>
    <t>INE00IN01015</t>
  </si>
  <si>
    <t>Stove Kraft Ltd</t>
  </si>
  <si>
    <t>INE285J01028</t>
  </si>
  <si>
    <t>SIS Ltd</t>
  </si>
  <si>
    <t>Commercial Services &amp; Supplies</t>
  </si>
  <si>
    <t>INE02A801020</t>
  </si>
  <si>
    <t>Rossari Biotech Ltd</t>
  </si>
  <si>
    <t>INE120A01034</t>
  </si>
  <si>
    <t>Carborundum Universal Ltd</t>
  </si>
  <si>
    <t>INE864I01014</t>
  </si>
  <si>
    <t>MTAR Technologies Ltd</t>
  </si>
  <si>
    <t>INE199A01012</t>
  </si>
  <si>
    <t>Procter &amp; Gamble Health Ltd</t>
  </si>
  <si>
    <t>INE988K01017</t>
  </si>
  <si>
    <t>Equitas Holdings Ltd</t>
  </si>
  <si>
    <t>INE296E01026</t>
  </si>
  <si>
    <t>Rajapalayam Mills Ltd</t>
  </si>
  <si>
    <t>INE679A01013</t>
  </si>
  <si>
    <t>CSB Bank Ltd</t>
  </si>
  <si>
    <t>Sundaram Emerging Small Cap Series II</t>
  </si>
  <si>
    <t>INE045A01017</t>
  </si>
  <si>
    <t>Ador Welding Ltd</t>
  </si>
  <si>
    <t>INE429E01023</t>
  </si>
  <si>
    <t>Safari Industries (India) Ltd</t>
  </si>
  <si>
    <t>INE00WC01027</t>
  </si>
  <si>
    <t>Affle (India) Ltd</t>
  </si>
  <si>
    <t>INE741K01010</t>
  </si>
  <si>
    <t>Creditaccess Grameen Ltd</t>
  </si>
  <si>
    <t>INE745G01035</t>
  </si>
  <si>
    <t>Multi Commodity Exchange of India Ltd</t>
  </si>
  <si>
    <t>INE782A01015</t>
  </si>
  <si>
    <t>Johnson Controls-Hitachi AirConditioning India Ltd</t>
  </si>
  <si>
    <t>INE834I01025</t>
  </si>
  <si>
    <t>Khadim India Ltd</t>
  </si>
  <si>
    <t>INE934S01014</t>
  </si>
  <si>
    <t>GNA Axles Ltd</t>
  </si>
  <si>
    <t>INE978A01027</t>
  </si>
  <si>
    <t>Heritage Foods Ltd</t>
  </si>
  <si>
    <t>INE0JS101016</t>
  </si>
  <si>
    <t>Dreamfolks Services Ltd</t>
  </si>
  <si>
    <t>Sundaram Emerging Small Cap Series III</t>
  </si>
  <si>
    <t>INE04I401011</t>
  </si>
  <si>
    <t>KPIT Technologies Ltd</t>
  </si>
  <si>
    <t>INE075I01017</t>
  </si>
  <si>
    <t>Healthcare Global Enterprises Ltd</t>
  </si>
  <si>
    <t>INE873D01024</t>
  </si>
  <si>
    <t>Indoco Remedies Ltd</t>
  </si>
  <si>
    <t>INE274F01020</t>
  </si>
  <si>
    <t>Westlife Foodworld Ltd</t>
  </si>
  <si>
    <t>INE717A01029</t>
  </si>
  <si>
    <t>Kennametal India Ltd</t>
  </si>
  <si>
    <t>INE442H01029</t>
  </si>
  <si>
    <t>Ashoka Buildcon Ltd</t>
  </si>
  <si>
    <t>INE060A01024</t>
  </si>
  <si>
    <t>Navneet Education Ltd</t>
  </si>
  <si>
    <t>Printing &amp; Publication</t>
  </si>
  <si>
    <t>INE043D01016</t>
  </si>
  <si>
    <t>IDFC Ltd</t>
  </si>
  <si>
    <t>INE056C01010</t>
  </si>
  <si>
    <t>Tata Metaliks Ltd</t>
  </si>
  <si>
    <t>INE572A01028</t>
  </si>
  <si>
    <t>JB Chemicals &amp; Pharmaceuticals Ltd</t>
  </si>
  <si>
    <t>INE227C01017</t>
  </si>
  <si>
    <t>MM Forgings Ltd</t>
  </si>
  <si>
    <t>INE0H5O01029</t>
  </si>
  <si>
    <t>Windlas Biotech Ltd</t>
  </si>
  <si>
    <t>INE126A01031</t>
  </si>
  <si>
    <t>EID Parry India Ltd</t>
  </si>
  <si>
    <t>INE565V01010</t>
  </si>
  <si>
    <t>Valiant Organics Ltd</t>
  </si>
  <si>
    <t>Sundaram Emerging Small Cap Series IV</t>
  </si>
  <si>
    <t>INE211B01039</t>
  </si>
  <si>
    <t>The Phoenix Mills Ltd</t>
  </si>
  <si>
    <t>INE136B01020</t>
  </si>
  <si>
    <t>Cyient Ltd</t>
  </si>
  <si>
    <t>INE421D01022</t>
  </si>
  <si>
    <t>CCL Products (India) Ltd</t>
  </si>
  <si>
    <t>INE067A01029</t>
  </si>
  <si>
    <t>CG Power and Industrial Solutions Ltd</t>
  </si>
  <si>
    <t>INE472A01039</t>
  </si>
  <si>
    <t>Blue Star Ltd</t>
  </si>
  <si>
    <t>INE220B01022</t>
  </si>
  <si>
    <t>Kalpataru Power Transmission Ltd</t>
  </si>
  <si>
    <t>INE615P01015</t>
  </si>
  <si>
    <t>Quess Corp Ltd</t>
  </si>
  <si>
    <t>INE688A01022</t>
  </si>
  <si>
    <t>Transport Corporation of India Ltd</t>
  </si>
  <si>
    <t>Sundaram Emerging Small Cap Series V</t>
  </si>
  <si>
    <t>Sundaram Emerging Small Cap Series VI</t>
  </si>
  <si>
    <t>Sundaram Emerging Small Cap Series VII</t>
  </si>
  <si>
    <t>INE435A01028</t>
  </si>
  <si>
    <t>International Paper APPM Ltd</t>
  </si>
  <si>
    <t>Paper, Forest &amp; Jute Products</t>
  </si>
  <si>
    <t>INE586B01026</t>
  </si>
  <si>
    <t>Taj GVK Hotels &amp; Resorts Ltd</t>
  </si>
  <si>
    <t>INE058A01010</t>
  </si>
  <si>
    <t>Sanofi India Ltd</t>
  </si>
  <si>
    <t>INE716A01013</t>
  </si>
  <si>
    <t>Whirlpool of India Ltd</t>
  </si>
  <si>
    <t>INE517F01014</t>
  </si>
  <si>
    <t>Gujarat Pipavav Port Ltd</t>
  </si>
  <si>
    <t>INE182A01018</t>
  </si>
  <si>
    <t>Pfizer Ltd</t>
  </si>
  <si>
    <t>Sundaram Long Term Tax Advantage Fund Series III</t>
  </si>
  <si>
    <t>Sundaram Long Term Tax Advantage Fund Series IV</t>
  </si>
  <si>
    <t>Sundaram Long Term Tax Advantage Fund Series-I</t>
  </si>
  <si>
    <t>INE647O01011</t>
  </si>
  <si>
    <t>Aditya Birla Fashion and Retail Ltd</t>
  </si>
  <si>
    <t>INE059A01026</t>
  </si>
  <si>
    <t>Cipla Ltd</t>
  </si>
  <si>
    <t>INE340A01012</t>
  </si>
  <si>
    <t>Birla Corporation Ltd</t>
  </si>
  <si>
    <t>Sundaram Long Term Tax Advantage Fund Series-II</t>
  </si>
  <si>
    <t>Sundaram Long Term Micro Cap Tax Advantage Fund Series III</t>
  </si>
  <si>
    <t>INE386C01029</t>
  </si>
  <si>
    <t>Astra Microwave Products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</si>
  <si>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</si>
  <si>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</si>
  <si>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</si>
  <si>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</si>
  <si>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</si>
  <si>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</si>
  <si>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INE725G01011</t>
  </si>
  <si>
    <t>ICRA Ltd</t>
  </si>
  <si>
    <t>INE743M01012</t>
  </si>
  <si>
    <t>RHI Magnesita India Ltd</t>
  </si>
  <si>
    <t>INE596I01012</t>
  </si>
  <si>
    <t>Computer Age Management Services Ltd</t>
  </si>
  <si>
    <t>INE098F01031</t>
  </si>
  <si>
    <t>Amrutanjan Health Care Ltd</t>
  </si>
  <si>
    <t>INE136S01016</t>
  </si>
  <si>
    <t>Neogen Chemicals Ltd</t>
  </si>
  <si>
    <t>INE094J01016</t>
  </si>
  <si>
    <t>UTI Asset Management Co Ltd</t>
  </si>
  <si>
    <t>INE836A01035</t>
  </si>
  <si>
    <t>Birlasoft Ltd</t>
  </si>
  <si>
    <t>IN9155A01020</t>
  </si>
  <si>
    <t>INE03QK01018</t>
  </si>
  <si>
    <t>Suven Pharmaceuticals Ltd</t>
  </si>
  <si>
    <t>INE0BV301023</t>
  </si>
  <si>
    <t>CE Info Systems Private Limited</t>
  </si>
  <si>
    <t>INE142Z01019</t>
  </si>
  <si>
    <t>Orient Electric Ltd</t>
  </si>
  <si>
    <t>INE451A01017</t>
  </si>
  <si>
    <t>Force Motors Ltd</t>
  </si>
  <si>
    <t>INE295F01017</t>
  </si>
  <si>
    <t>Butterfly Gandhimathi Appliances Ltd</t>
  </si>
  <si>
    <t>INE736A01011</t>
  </si>
  <si>
    <t>Central Depository Services (India) Ltd</t>
  </si>
  <si>
    <t>INE00F201020</t>
  </si>
  <si>
    <t>Prudent Corporate Advisory Services Ltd</t>
  </si>
  <si>
    <t>INE119A01028</t>
  </si>
  <si>
    <t>Balrampur Chini Mills Ltd</t>
  </si>
  <si>
    <t>INE177F01017</t>
  </si>
  <si>
    <t>Kovai Medical Center &amp; Hospital Ltd</t>
  </si>
  <si>
    <t>INE287B01021</t>
  </si>
  <si>
    <t>Subros Ltd</t>
  </si>
  <si>
    <t>INE739E01017</t>
  </si>
  <si>
    <t>Cera Sanitaryware Ltd</t>
  </si>
  <si>
    <t>INE0BJS01011</t>
  </si>
  <si>
    <t>Go Fashion (India ) Ltd</t>
  </si>
  <si>
    <t>INE054A01027</t>
  </si>
  <si>
    <t>VIP Industries Ltd</t>
  </si>
  <si>
    <t>INE930H01031</t>
  </si>
  <si>
    <t>K.P.R. Mill Ltd</t>
  </si>
  <si>
    <t>INE825V01034</t>
  </si>
  <si>
    <t>Vedant Fashions Ltd</t>
  </si>
  <si>
    <t>INE021A01026</t>
  </si>
  <si>
    <t>Asian Paints Ltd</t>
  </si>
  <si>
    <t>INE271C01023</t>
  </si>
  <si>
    <t>DLF Ltd</t>
  </si>
  <si>
    <t>INE406A01037</t>
  </si>
  <si>
    <t>Aurobindo Pharma Ltd</t>
  </si>
  <si>
    <t>INE498L01015</t>
  </si>
  <si>
    <t>L&amp;T Finance Holdings Ltd</t>
  </si>
  <si>
    <t>Stock Future</t>
  </si>
  <si>
    <t>IN002021Z434</t>
  </si>
  <si>
    <t>Sovereign</t>
  </si>
  <si>
    <t>IN002022Z093</t>
  </si>
  <si>
    <t>INF173K01GU0</t>
  </si>
  <si>
    <t>Margin Money For Derivatives</t>
  </si>
  <si>
    <t>Sundaram Dividend Yield Fund</t>
  </si>
  <si>
    <t>INE212H01026</t>
  </si>
  <si>
    <t>AIA Engineering Ltd</t>
  </si>
  <si>
    <t>INE917I01010</t>
  </si>
  <si>
    <t>Bajaj Auto Ltd</t>
  </si>
  <si>
    <t>INE216A01030</t>
  </si>
  <si>
    <t>Britannia Industries Ltd</t>
  </si>
  <si>
    <t>INE710A01016</t>
  </si>
  <si>
    <t>VST Industries Ltd</t>
  </si>
  <si>
    <t>Cigarettes &amp; Tobacco Products</t>
  </si>
  <si>
    <t>INE066A01021</t>
  </si>
  <si>
    <t>Eicher Motors Ltd</t>
  </si>
  <si>
    <t>INE916U01025</t>
  </si>
  <si>
    <t>Sheela Foam Ltd</t>
  </si>
  <si>
    <t>INE267A01025</t>
  </si>
  <si>
    <t>Hindustan Zinc Ltd</t>
  </si>
  <si>
    <t>INE482A01020</t>
  </si>
  <si>
    <t>Ceat Ltd</t>
  </si>
  <si>
    <t>IDIA00069480</t>
  </si>
  <si>
    <t>INE02CF01010</t>
  </si>
  <si>
    <t>INE759J01022</t>
  </si>
  <si>
    <t>IDIA00069477</t>
  </si>
  <si>
    <t>INE216A08027</t>
  </si>
  <si>
    <t>Britannia Industries Ltd - 5.5% - 03/06/2024**</t>
  </si>
  <si>
    <t>CRISIL AAA</t>
  </si>
  <si>
    <t>** Thinly traded / Non Traded Securities</t>
  </si>
  <si>
    <t>Sundaram Equity Savings Fund</t>
  </si>
  <si>
    <t>INE02YR01019</t>
  </si>
  <si>
    <t>Electronics Mart India Ltd</t>
  </si>
  <si>
    <t>INE646L01027</t>
  </si>
  <si>
    <t>Interglobe Aviation Ltd</t>
  </si>
  <si>
    <t>INE854D01024</t>
  </si>
  <si>
    <t>United Spirits Ltd</t>
  </si>
  <si>
    <t>INE227W01023</t>
  </si>
  <si>
    <t>Clean Science &amp; Technology Ltd</t>
  </si>
  <si>
    <t>INE205A01025</t>
  </si>
  <si>
    <t>Vedanta Ltd</t>
  </si>
  <si>
    <t>Diversified Metals</t>
  </si>
  <si>
    <t>INE768C01010</t>
  </si>
  <si>
    <t>Zydus Wellness Ltd</t>
  </si>
  <si>
    <t>INE765G01017</t>
  </si>
  <si>
    <t>ICICI Lombard General Insurance Company Ltd</t>
  </si>
  <si>
    <t>INE795G01014</t>
  </si>
  <si>
    <t>HDFC Life Insurance Company Ltd</t>
  </si>
  <si>
    <t>INE115A07OV2</t>
  </si>
  <si>
    <t>LIC Housing Finance Ltd - 5.45% - 25/08/2023**</t>
  </si>
  <si>
    <t>CARE AAA</t>
  </si>
  <si>
    <t>INE020B08AT3</t>
  </si>
  <si>
    <t>REC Ltd - 7.99% - 23/02/2023**</t>
  </si>
  <si>
    <t>INE053F07BB3</t>
  </si>
  <si>
    <t>Indian Railway Finance Corporation Ltd - 8.25% - 28/02/2024</t>
  </si>
  <si>
    <t>INE733E07JD2</t>
  </si>
  <si>
    <t>NTPC Ltd - 8.8% - 04/04/2023**</t>
  </si>
  <si>
    <t>INE020B08CG6</t>
  </si>
  <si>
    <t>REC Ltd - 7.24% - 31/12/2022**</t>
  </si>
  <si>
    <t>IN0020200112</t>
  </si>
  <si>
    <t>5.22% Central Government Securities 15/06/2025</t>
  </si>
  <si>
    <t>IN0020200278</t>
  </si>
  <si>
    <t>5.15% Central Government Securities 09/11/2025</t>
  </si>
  <si>
    <t>IN2220150022</t>
  </si>
  <si>
    <t>8.14% Maharashtra State Development Loan 27/05/2025</t>
  </si>
  <si>
    <t>IN0020190396</t>
  </si>
  <si>
    <t>6.18% Central Government Securities 04/11/2024</t>
  </si>
  <si>
    <t>IN002021Z442</t>
  </si>
  <si>
    <t>IN002022Y112</t>
  </si>
  <si>
    <t>Sundaram Multi Cap Fund</t>
  </si>
  <si>
    <t>INE470A01017</t>
  </si>
  <si>
    <t>3M India Ltd</t>
  </si>
  <si>
    <t>Diversified</t>
  </si>
  <si>
    <t>INE852S01026</t>
  </si>
  <si>
    <t>Entertainment And Electronic Media</t>
  </si>
  <si>
    <t>INE147E01013</t>
  </si>
  <si>
    <t>INE406B01019</t>
  </si>
  <si>
    <t>INE604A01011</t>
  </si>
  <si>
    <t>IDIA00069359</t>
  </si>
  <si>
    <t>IDIA00069356</t>
  </si>
  <si>
    <t>INE431E01011</t>
  </si>
  <si>
    <t>Healthcare Equipment &amp; Supplies</t>
  </si>
  <si>
    <t>INE348C01011</t>
  </si>
  <si>
    <t>INE066F01012</t>
  </si>
  <si>
    <t>Hindustan Aeronautics Ltd</t>
  </si>
  <si>
    <t>INE127D01025</t>
  </si>
  <si>
    <t>HDFC Asset Management Company Ltd</t>
  </si>
  <si>
    <t>INE019A01038</t>
  </si>
  <si>
    <t>JSW Steel Ltd</t>
  </si>
  <si>
    <t>INE628A01036</t>
  </si>
  <si>
    <t>UPL Ltd</t>
  </si>
  <si>
    <t>INE242A01010</t>
  </si>
  <si>
    <t>Indian Oil Corporation Ltd</t>
  </si>
  <si>
    <t>INE423A01024</t>
  </si>
  <si>
    <t>Adani Enterprises</t>
  </si>
  <si>
    <t>Metals &amp; Minerals Trading</t>
  </si>
  <si>
    <t>INE758T01015</t>
  </si>
  <si>
    <t>Zomato Ltd</t>
  </si>
  <si>
    <t>INE012A01025</t>
  </si>
  <si>
    <t>ACC Ltd</t>
  </si>
  <si>
    <t>INE129A01019</t>
  </si>
  <si>
    <t>GAIL (India) Ltd</t>
  </si>
  <si>
    <t>INE158A01026</t>
  </si>
  <si>
    <t>Hero MotoCorp Ltd</t>
  </si>
  <si>
    <t>INE335Y01020</t>
  </si>
  <si>
    <t>Indian Railway Catering &amp; Tourism Corporation Ltd</t>
  </si>
  <si>
    <t>INE239A01016</t>
  </si>
  <si>
    <t>Nestle India Ltd</t>
  </si>
  <si>
    <t>INE685A01028</t>
  </si>
  <si>
    <t>Torrent Pharmaceuticals Ltd</t>
  </si>
  <si>
    <t>INE323A01026</t>
  </si>
  <si>
    <t>Bosch Ltd</t>
  </si>
  <si>
    <t>INE399L01023</t>
  </si>
  <si>
    <t>Adani Total Gas Ltd</t>
  </si>
  <si>
    <t>INE089A01023</t>
  </si>
  <si>
    <t>Dr. Reddys Laboratories Ltd</t>
  </si>
  <si>
    <t>INE522F01014</t>
  </si>
  <si>
    <t>Coal India Ltd</t>
  </si>
  <si>
    <t>Consumable Fuels</t>
  </si>
  <si>
    <t>INE414G01012</t>
  </si>
  <si>
    <t>Muthoot Finance Ltd</t>
  </si>
  <si>
    <t>INE121J01017</t>
  </si>
  <si>
    <t>Indus Towers Ltd (Prev Bharti Infratel Ltd)</t>
  </si>
  <si>
    <t>INE047A01021</t>
  </si>
  <si>
    <t>Grasim Industries Ltd</t>
  </si>
  <si>
    <t>INE016A01026</t>
  </si>
  <si>
    <t>Dabur India Ltd</t>
  </si>
  <si>
    <t>INE259A01022</t>
  </si>
  <si>
    <t>Colgate Palmolive (India) Ltd</t>
  </si>
  <si>
    <t>INE663F01024</t>
  </si>
  <si>
    <t>Info Edge (India) Ltd</t>
  </si>
  <si>
    <t>INE0J1Y01017</t>
  </si>
  <si>
    <t>LIC of India Ltd</t>
  </si>
  <si>
    <t>INE364U01010</t>
  </si>
  <si>
    <t>Adani Green Energy Ltd</t>
  </si>
  <si>
    <t>INE376G01013</t>
  </si>
  <si>
    <t>Biocon Ltd</t>
  </si>
  <si>
    <t>INE102D01028</t>
  </si>
  <si>
    <t>Godrej Consumer Products Ltd</t>
  </si>
  <si>
    <t>INE775A01035</t>
  </si>
  <si>
    <t>Samvardhana Motherson International Ltd</t>
  </si>
  <si>
    <t>INE463A01038</t>
  </si>
  <si>
    <t>Berger Paints (I) Ltd</t>
  </si>
  <si>
    <t>INE179A01014</t>
  </si>
  <si>
    <t>Procter &amp; Gamble Hygiene and Health Care Ltd</t>
  </si>
  <si>
    <t>INE318A01026</t>
  </si>
  <si>
    <t>Pidilite Industries Ltd</t>
  </si>
  <si>
    <t>INE176B01034</t>
  </si>
  <si>
    <t>Havells India Ltd</t>
  </si>
  <si>
    <t>INE118A01012</t>
  </si>
  <si>
    <t>Bajaj Holdings &amp; Investment Ltd</t>
  </si>
  <si>
    <t>INE196A01026</t>
  </si>
  <si>
    <t>Marico Ltd</t>
  </si>
  <si>
    <t>INE018E01016</t>
  </si>
  <si>
    <t>SBI Cards and Payment Services Ltd</t>
  </si>
  <si>
    <t>INE545U01014</t>
  </si>
  <si>
    <t>Bandhan Bank Ltd</t>
  </si>
  <si>
    <t>INE726G01019</t>
  </si>
  <si>
    <t>ICICI Prudential Life Insurance Company Ltd</t>
  </si>
  <si>
    <t>INE931S01010</t>
  </si>
  <si>
    <t>Adani Transmission Ltd</t>
  </si>
  <si>
    <t>INE982J01020</t>
  </si>
  <si>
    <t>One 97 Communications Ltd</t>
  </si>
  <si>
    <t>Financial Technology (Fintech)</t>
  </si>
  <si>
    <t>INEDUMMYYESB</t>
  </si>
  <si>
    <t>Sundaram Tax Savings Fund (ELSS)</t>
  </si>
  <si>
    <t>INE591G01017</t>
  </si>
  <si>
    <t>Coforge Ltd</t>
  </si>
  <si>
    <t>Sundaram Consumption Fund</t>
  </si>
  <si>
    <t>INE872J01023</t>
  </si>
  <si>
    <t>Devyani international limited</t>
  </si>
  <si>
    <t>INE355A01028</t>
  </si>
  <si>
    <t>Somany Ceramics Ltd</t>
  </si>
  <si>
    <t>Sundaram Services Fund</t>
  </si>
  <si>
    <t>INE191H01014</t>
  </si>
  <si>
    <t>PVR Ltd</t>
  </si>
  <si>
    <t>INE474Q01031</t>
  </si>
  <si>
    <t>Global Health Ltd</t>
  </si>
  <si>
    <t>INE112L01020</t>
  </si>
  <si>
    <t>Metropolis Healthcare Ltd</t>
  </si>
  <si>
    <t>MU0295S00016</t>
  </si>
  <si>
    <t>Make My Trip Ltd (USD)</t>
  </si>
  <si>
    <t>Sundaram Diversified Equity</t>
  </si>
  <si>
    <t>Sundaram Large Cap Fund</t>
  </si>
  <si>
    <t>Sundaram Flexi Cap Fund</t>
  </si>
  <si>
    <t>INE0JUS01029</t>
  </si>
  <si>
    <t>Harsha Engineers International Ltd</t>
  </si>
  <si>
    <t>Sundaram Financial Services Opportunities Fund</t>
  </si>
  <si>
    <t>Institutional Plan - Growth</t>
  </si>
  <si>
    <t>Sundaram Aggressive Hybrid Fund</t>
  </si>
  <si>
    <t>INE134E08KO6</t>
  </si>
  <si>
    <t>Power Finance Corporation Ltd - 6.83% - 24/04/2023**</t>
  </si>
  <si>
    <t>INE020B08DR1</t>
  </si>
  <si>
    <t>REC Ltd - 5.74% - 20/06/2024**</t>
  </si>
  <si>
    <t>INE028A08158</t>
  </si>
  <si>
    <t>IND AAA</t>
  </si>
  <si>
    <t>INE557F08FG1</t>
  </si>
  <si>
    <t>National Housing Bank  - 7.05% - 18/12/2024**</t>
  </si>
  <si>
    <t>INE001A07SG6</t>
  </si>
  <si>
    <t>Housing Development Finance Corporation Ltd - 7.35% - 10/02/2025**</t>
  </si>
  <si>
    <t>INE134E08KD9</t>
  </si>
  <si>
    <t>Power Finance Corporation Ltd - 8.1% - 04/06/2024**</t>
  </si>
  <si>
    <t>INE261F08BK1</t>
  </si>
  <si>
    <t>National Bank for Agricultural &amp; Rural Development - 7.69% - 29/05/2024**</t>
  </si>
  <si>
    <t>INE018A08BA7</t>
  </si>
  <si>
    <t>Larsen &amp; Toubro Ltd - 7.7% - 28/04/2025**</t>
  </si>
  <si>
    <t>INE115A07OJ7</t>
  </si>
  <si>
    <t>LIC Housing Finance Ltd - 7.445% - 13/01/2023**</t>
  </si>
  <si>
    <t>INE115A07PC9</t>
  </si>
  <si>
    <t>LIC Housing Finance Ltd - 5.35% - 20/03/2023**</t>
  </si>
  <si>
    <t>INE261F08DI1</t>
  </si>
  <si>
    <t>National Bank for Agricultural &amp; Rural Development - 5.23% - 31/01/2025**</t>
  </si>
  <si>
    <t>INE090A08TU6</t>
  </si>
  <si>
    <t>ICICI Bank Ltd - 7.6% - 07/10/2023**</t>
  </si>
  <si>
    <t>ICRA AAA</t>
  </si>
  <si>
    <t>INE261F08AT4</t>
  </si>
  <si>
    <t>National Bank for Agricultural &amp; Rural Development - 8.5% - 31/01/2023</t>
  </si>
  <si>
    <t>INE557F08FI7</t>
  </si>
  <si>
    <t>National Housing Bank  - 6.55% - 17/04/2023**</t>
  </si>
  <si>
    <t>INE261F08DF7</t>
  </si>
  <si>
    <t>National Bank for Agricultural &amp; Rural Development - 5.27% - 23/07/2024**</t>
  </si>
  <si>
    <t>INE895D07487</t>
  </si>
  <si>
    <t>Tata Sons Pvt Ltd - 9.3% - 19/06/2024**</t>
  </si>
  <si>
    <t>IN0020220052</t>
  </si>
  <si>
    <t>6.69% Central Government Securities 27/06/2024</t>
  </si>
  <si>
    <t>IN0020220060</t>
  </si>
  <si>
    <t xml:space="preserve">7.26% Central Government Securities 22/08/2032 </t>
  </si>
  <si>
    <t>IN0020210186</t>
  </si>
  <si>
    <t>5.74% Central Government Securities 15/11/2026</t>
  </si>
  <si>
    <t>IN0020210160</t>
  </si>
  <si>
    <t>IN0020210244</t>
  </si>
  <si>
    <t>6.54% Central Government Securities 17/01/2032</t>
  </si>
  <si>
    <t>IN0020220037</t>
  </si>
  <si>
    <t>7.38% Central Government Securities 20/06/2027</t>
  </si>
  <si>
    <t>IN0020130012</t>
  </si>
  <si>
    <t>7.16% Central Government Securities 20/05/2023</t>
  </si>
  <si>
    <t>IN0020160050</t>
  </si>
  <si>
    <t xml:space="preserve">6.84% Central Government Securities 19/12/2022 </t>
  </si>
  <si>
    <t>IN2220150030</t>
  </si>
  <si>
    <t>8.25% Maharashtra State Development Loan 10/06/2025</t>
  </si>
  <si>
    <t>IN1920140119</t>
  </si>
  <si>
    <t>8.08% Karnataka State Development Loan 11/03/2025</t>
  </si>
  <si>
    <t>IN2220140205</t>
  </si>
  <si>
    <t>8.06% Maharashtra State Development Loan 11/02/2025</t>
  </si>
  <si>
    <t>INE040A16DL7</t>
  </si>
  <si>
    <t>HDFC Bank Ltd - 16/01/2023</t>
  </si>
  <si>
    <t>IND A1+</t>
  </si>
  <si>
    <t>INE028A16CO8</t>
  </si>
  <si>
    <t>Bank of Baroda - 14/02/2023**</t>
  </si>
  <si>
    <t>INE028A16CW1</t>
  </si>
  <si>
    <t>Bank of Baroda - 05/05/2023</t>
  </si>
  <si>
    <t>INE028A16CT7</t>
  </si>
  <si>
    <t>Bank of Baroda - 17/08/2023**</t>
  </si>
  <si>
    <t>INE476A16TV8</t>
  </si>
  <si>
    <t>Canara Bank - 18/08/2023</t>
  </si>
  <si>
    <t>CRISIL A1+</t>
  </si>
  <si>
    <t>INE556F16994</t>
  </si>
  <si>
    <t>Small Industries Development Bank of India - 01/09/2023**</t>
  </si>
  <si>
    <t>INE062A16465</t>
  </si>
  <si>
    <t>State Bank of India - 12/09/2023**</t>
  </si>
  <si>
    <t>INE001A14YV9</t>
  </si>
  <si>
    <t>Housing Development Finance Corporation Ltd - 17/05/2023**</t>
  </si>
  <si>
    <t>IN002021Z426</t>
  </si>
  <si>
    <t>IN002021Z368</t>
  </si>
  <si>
    <t>364 Days - T Bill - 01/12/2022</t>
  </si>
  <si>
    <t>Cash and Other Net Current Assets^</t>
  </si>
  <si>
    <t>^ Net current assets includes interest accrued on fixed income securities</t>
  </si>
  <si>
    <t>Individual &amp; HUF</t>
  </si>
  <si>
    <t>Others</t>
  </si>
  <si>
    <t>Sundaram Balanced Advantage Fund</t>
  </si>
  <si>
    <t>INE148I01020</t>
  </si>
  <si>
    <t>Indiabulls Housing Finance Ltd</t>
  </si>
  <si>
    <t>INE302A01020</t>
  </si>
  <si>
    <t>Exide Industries Ltd</t>
  </si>
  <si>
    <t>Index Future</t>
  </si>
  <si>
    <t>INE094A08085</t>
  </si>
  <si>
    <t>Hindustan Petroleum Corporation Ltd - 4.79% - 23/10/2023</t>
  </si>
  <si>
    <t>INE001A07TS9</t>
  </si>
  <si>
    <t>Housing Development Finance Corporation Ltd - 7.7% - 18/11/2025**</t>
  </si>
  <si>
    <t>INE001A07SH4</t>
  </si>
  <si>
    <t>Housing Development Finance Corporation Ltd - 6.99% - 13/02/2023**</t>
  </si>
  <si>
    <t>INE020B08CN2</t>
  </si>
  <si>
    <t>REC Ltd - 6.8% - 30/06/2023**</t>
  </si>
  <si>
    <t>INE261F08BW6</t>
  </si>
  <si>
    <t>National Bank for Agricultural &amp; Rural Development - 6.72% - 14/04/2023**</t>
  </si>
  <si>
    <t>INE020B08DC3</t>
  </si>
  <si>
    <t>REC Ltd - 5.69% - 30/09/2023</t>
  </si>
  <si>
    <t>INE134E08KJ6</t>
  </si>
  <si>
    <t>Power Finance Corporation Ltd - 7.04% - 14/04/2023**</t>
  </si>
  <si>
    <t>INE053F07BZ2</t>
  </si>
  <si>
    <t>Indian Railway Finance Corporation Ltd - 6.59% - 14/04/2023</t>
  </si>
  <si>
    <t>INE261F08CA0</t>
  </si>
  <si>
    <t>National Bank for Agricultural &amp; Rural Development - 6.4% - 31/07/2023</t>
  </si>
  <si>
    <t>IN0020210046</t>
  </si>
  <si>
    <t>4.26% Central Government Securities 17/05/2023</t>
  </si>
  <si>
    <t>INE040A16DG7</t>
  </si>
  <si>
    <t>HDFC Bank Ltd - 13/04/2023**</t>
  </si>
  <si>
    <t>S.NO.</t>
  </si>
  <si>
    <t>ACRONYM</t>
  </si>
  <si>
    <t>SCHEME NAME</t>
  </si>
  <si>
    <t>CAPEXG</t>
  </si>
  <si>
    <t>MIDCAP</t>
  </si>
  <si>
    <t>MULTI1</t>
  </si>
  <si>
    <t>MULTI2</t>
  </si>
  <si>
    <t>Sundaram Multi Cap Fund Series II</t>
  </si>
  <si>
    <t>MULTIP</t>
  </si>
  <si>
    <t>SESCAP1</t>
  </si>
  <si>
    <t>SESCAP2</t>
  </si>
  <si>
    <t>SESCAP3</t>
  </si>
  <si>
    <t>SESCAP4</t>
  </si>
  <si>
    <t>SESCAP5</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</si>
  <si>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</si>
  <si>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</si>
  <si>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</si>
  <si>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</si>
  <si>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</si>
  <si>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</si>
  <si>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</si>
  <si>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</si>
  <si>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</si>
  <si>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</si>
  <si>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</si>
  <si>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</si>
  <si>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</si>
  <si>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</si>
  <si>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</si>
  <si>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</si>
  <si>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</si>
  <si>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</si>
  <si>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</si>
  <si>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</si>
  <si>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</si>
  <si>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</si>
  <si>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</si>
  <si>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</si>
  <si>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</si>
  <si>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SPTAX</t>
  </si>
  <si>
    <t>SRURAL</t>
  </si>
  <si>
    <t>SSFUND</t>
  </si>
  <si>
    <t>STAX</t>
  </si>
  <si>
    <t>SUNBCF</t>
  </si>
  <si>
    <t>SUNFCF</t>
  </si>
  <si>
    <t>SUNFOP</t>
  </si>
  <si>
    <t>GLOB</t>
  </si>
  <si>
    <t>Sundaram Global Brand Fund</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</si>
  <si>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</si>
  <si>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</si>
  <si>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Shriram Transport Finance Company Limited December 2022</t>
  </si>
  <si>
    <t>Hindustan Petroleum Corporation Limited December 2022</t>
  </si>
  <si>
    <t>Ambuja Cements Limited December 2022</t>
  </si>
  <si>
    <t>Divis Labarotories Limited December 2022</t>
  </si>
  <si>
    <t>Mahindra &amp; Mahindra Limited December 2022</t>
  </si>
  <si>
    <t>HDFC Life Insurance Company Limited December 2022</t>
  </si>
  <si>
    <t>TATA Consumer Products Limited December 2022</t>
  </si>
  <si>
    <t>Titan Company Limited December 2022</t>
  </si>
  <si>
    <t>Asian Paints Limited December 2022</t>
  </si>
  <si>
    <t>Bank of Baroda December 2022</t>
  </si>
  <si>
    <t>State Bank of India December 2022</t>
  </si>
  <si>
    <t>TATA Consultancy Services Limited December 2022</t>
  </si>
  <si>
    <t>Vedanta Limited December 2022</t>
  </si>
  <si>
    <t>Axis Bank Limited December 2022</t>
  </si>
  <si>
    <t>Ashok Leyland Limited December 2022</t>
  </si>
  <si>
    <t>United Spirits Limited December 2022</t>
  </si>
  <si>
    <t>Housing Development Fin Corp Limited December 2022</t>
  </si>
  <si>
    <t>Tata Steel Limited December 2022</t>
  </si>
  <si>
    <t>Bajaj Finance Limited December 2022</t>
  </si>
  <si>
    <t>Infosys Limited December 2022</t>
  </si>
  <si>
    <t>Hindustan Unilever Limited December 2022</t>
  </si>
  <si>
    <t>Tech Mahindra Limited December 2022</t>
  </si>
  <si>
    <t>ICICI Bank Limited December 2022</t>
  </si>
  <si>
    <t>HDFC Bank Limited December 2022</t>
  </si>
  <si>
    <t>Tata Power Company Limited December 2022</t>
  </si>
  <si>
    <t>Jindal Steel &amp; Power Limited December 2022</t>
  </si>
  <si>
    <t>Sun Pharmaceutical Industries Limited December 2022</t>
  </si>
  <si>
    <t>Exide Industries Limited December 2022</t>
  </si>
  <si>
    <t>Tata Motors Limited December 2022</t>
  </si>
  <si>
    <t>DLF Limited December 2022</t>
  </si>
  <si>
    <t>Zee Entertainment Enterprises Limited December 2022</t>
  </si>
  <si>
    <t>Indiabulls Housing Finance Limited December 2022</t>
  </si>
  <si>
    <t>UltraTech Cement Limited December 2022</t>
  </si>
  <si>
    <t>Navin Fluorine International Limited December 2022</t>
  </si>
  <si>
    <t>Adani Ports &amp; SEZ Limited December 2022</t>
  </si>
  <si>
    <t>Hindalco Industries Limited December 2022</t>
  </si>
  <si>
    <t>Nifty December 2022</t>
  </si>
  <si>
    <t>L&amp;T Finance Holdings Limited December 2022</t>
  </si>
  <si>
    <t>Zydus Lifesciences Limited December 2022</t>
  </si>
  <si>
    <t>Aurobindo Pharma Limited December 2022</t>
  </si>
  <si>
    <t>Wipro Limited December 2022</t>
  </si>
  <si>
    <t>Siemens Limited December 2022</t>
  </si>
  <si>
    <t>Kotak Mahindra Bank Limited December 2022</t>
  </si>
  <si>
    <t>Maruti Suzuki India Limited December 2022</t>
  </si>
  <si>
    <t>Larsen &amp; Toubro Limited December 2022</t>
  </si>
  <si>
    <t>INE0GGX23010</t>
  </si>
  <si>
    <t>Power Grid Infrastructure Investment Trust (InvIT)</t>
  </si>
  <si>
    <t>INE041025011</t>
  </si>
  <si>
    <t>Embassy Office Parks (REIT)</t>
  </si>
  <si>
    <t>INE001A13049</t>
  </si>
  <si>
    <t>Housing Development Finance Corporation Ltd.</t>
  </si>
  <si>
    <t>Sundaram Liquid Fund - Direct Growth @@</t>
  </si>
  <si>
    <t xml:space="preserve"> @@ Placed as margin for derivatives</t>
  </si>
  <si>
    <t>Hindustan Dorr-Oliver Ltd @</t>
  </si>
  <si>
    <t>b) Total value and percentage of illiquid equity shares @</t>
  </si>
  <si>
    <t>0.00 / #</t>
  </si>
  <si>
    <t>Chennai Super Kings Ltd @</t>
  </si>
  <si>
    <t>Rs. 1.59 lacs / 0.00%</t>
  </si>
  <si>
    <t>Tirrihannah Company Ltd @</t>
  </si>
  <si>
    <t>Crystal Cable Industries Ltd @</t>
  </si>
  <si>
    <t>Sandur Laminates Ltd @</t>
  </si>
  <si>
    <t>Minerava Holdings Ltd @</t>
  </si>
  <si>
    <t>Rs. 5.46 lacs/ 0.02%</t>
  </si>
  <si>
    <t>Crescent Finstock Ltd @</t>
  </si>
  <si>
    <t>Virtual Dynamics Software Ltd @</t>
  </si>
  <si>
    <t>Precision Fasteners Ltd @</t>
  </si>
  <si>
    <t>Noble Brothers Impex Ltd  @</t>
  </si>
  <si>
    <t>Balmer Lawrie Freight Containers Ltd @</t>
  </si>
  <si>
    <t>Sangam Health Care Products Ltd @</t>
  </si>
  <si>
    <t>Mukerian Papers Ltd @</t>
  </si>
  <si>
    <t>Rs.52.76 lacs / 0.03%</t>
  </si>
  <si>
    <t>Yes Bank Ltd ~</t>
  </si>
  <si>
    <t>~ Any realization beyond the carrying value shall be distributed to the investors existed as on March 13, 2020.</t>
  </si>
  <si>
    <t>Rs. 19.45 lacs / 0.02%</t>
  </si>
  <si>
    <t>IT - Software</t>
  </si>
  <si>
    <t>-</t>
  </si>
  <si>
    <t>Annexure-A</t>
  </si>
  <si>
    <t>916.45 Lacs</t>
  </si>
  <si>
    <t>g) Average Maturity - only for Debt portion (years)</t>
  </si>
  <si>
    <t>h) Macaulay Duration - only for Debt portion (years)</t>
  </si>
  <si>
    <t>i) Portfolio Turnover Ratio</t>
  </si>
  <si>
    <t>j) Repo in corporate debt</t>
  </si>
  <si>
    <t>Tata Motors Ltd - DVR</t>
  </si>
  <si>
    <t>364 Days - T Bill - 12/01/2023*</t>
  </si>
  <si>
    <t>364 Days - T Bill - 01/06/2023*</t>
  </si>
  <si>
    <t xml:space="preserve">* Investment earmarked for Derivative Margin </t>
  </si>
  <si>
    <t>364 Days - T Bill - 05/01/2023*</t>
  </si>
  <si>
    <t>182 Days - T Bill - 15/12/2022*</t>
  </si>
  <si>
    <t>364 Days - T Bill - 19/01/2023*</t>
  </si>
  <si>
    <t>YTM (%)</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</si>
  <si>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</si>
  <si>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</si>
  <si>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</si>
  <si>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</si>
  <si>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</si>
  <si>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</si>
  <si>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</si>
  <si>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</si>
  <si>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</si>
  <si>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</si>
  <si>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</si>
  <si>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</si>
  <si>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</si>
  <si>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</si>
  <si>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</si>
  <si>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</si>
  <si>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</si>
  <si>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</si>
  <si>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</si>
  <si>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to AUM as on 30/11/2022</t>
  </si>
  <si>
    <t>Refer below point k)</t>
  </si>
  <si>
    <t>21.50% Dewan Rubber Ltd</t>
  </si>
  <si>
    <t>Not Available</t>
  </si>
  <si>
    <t>Chemox Chemicals Industries</t>
  </si>
  <si>
    <t>Refer below point i)</t>
  </si>
  <si>
    <t>15% Premier Vinyl Ltd</t>
  </si>
  <si>
    <t>18% Jord Engineering Ltd</t>
  </si>
  <si>
    <t>k) Exposure to securities classified as below investment grade or default as on November 30, 2022:-</t>
  </si>
  <si>
    <t>i) Exposure to securities classified as below investment grade or default as on November 30, 2022:-</t>
  </si>
  <si>
    <t>Bank of Baroda - 8.55% - Call Dt 14/02/2024 (Tier II Bond under Basel III)**</t>
  </si>
  <si>
    <t>Yield to call date %</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</si>
  <si>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</si>
  <si>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</si>
  <si>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</si>
  <si>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</si>
  <si>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</si>
  <si>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</si>
  <si>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</si>
  <si>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</si>
  <si>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</si>
  <si>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</si>
  <si>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30 November 2022</t>
  </si>
  <si>
    <t>Sundaram Aggressive Hybrid Fund (Formerly Known As Principal Hybrid Equity Fund)</t>
  </si>
  <si>
    <t>Sundaram Arbitrage Fund (Formerly Known As Principal Arbitrage Fund)</t>
  </si>
  <si>
    <t>Sundaram Balanced Advantage Fund (Formerly Known As Principal Balanced Advantage Fund)</t>
  </si>
  <si>
    <t>Sundaram Dividend Yield Fund (Formerly Known As Principal Dividend Yield Fund)</t>
  </si>
  <si>
    <t>Sundaram Equity Savings Fund (Formerly Known As Principal Equity Savings Fund)</t>
  </si>
  <si>
    <t>Sundaram Focused Fund (Formerly Known As Principal Focused Multicap Fund)</t>
  </si>
  <si>
    <t>Sundaram Multi Cap Fund (Formerly Known As Principal Multi Cap Growth Fund)</t>
  </si>
  <si>
    <t>Sundaram Tax Savings Fund (ELSS) (Formerly Known As Principal Tax Savings Fund)</t>
  </si>
  <si>
    <t>Sundaram Consumption Fund (Formerly Known as Sundaram Rural and Consumption Fund)</t>
  </si>
  <si>
    <t>Sundaram Large Cap Fund (Formerly Known As Sundaram Bluechip Fund)</t>
  </si>
  <si>
    <t>IT - Services</t>
  </si>
  <si>
    <t>Action Construction Equipments Ltd</t>
  </si>
  <si>
    <t>364 Days - T Bill - 05/01/2023</t>
  </si>
  <si>
    <t>SUNDARAM GLOBAL BRAND FUND</t>
  </si>
  <si>
    <t>Monthly Portfolio Statement for the period ended 30 Nov 2022</t>
  </si>
  <si>
    <t>S.NO</t>
  </si>
  <si>
    <t>ISIN CODE</t>
  </si>
  <si>
    <t>Name of the Instrument</t>
  </si>
  <si>
    <t>Industry/ Rating</t>
  </si>
  <si>
    <t>A) Investments in Foreign Securities - Units of Mutual Funds</t>
  </si>
  <si>
    <t>SG9999013908</t>
  </si>
  <si>
    <t>SUNDARAM GLOBAL BRAND FUND -MASTER CLASS (Singapore)</t>
  </si>
  <si>
    <t>Mutual Funds</t>
  </si>
  <si>
    <t>Total for Investments in Foreign Securities - Units of Mutual Funds</t>
  </si>
  <si>
    <t>B) Money Market Investments</t>
  </si>
  <si>
    <t>ReverseRepo / TREPS</t>
  </si>
  <si>
    <t>Cash and Other Net Curent Assets</t>
  </si>
  <si>
    <t>a) Total securities below investment grade or default  - Nil</t>
  </si>
  <si>
    <t>b) Total value and percentage of illiquid equity shares - Nil</t>
  </si>
  <si>
    <t xml:space="preserve"> </t>
  </si>
  <si>
    <t>Options</t>
  </si>
  <si>
    <t>Direct Plan - IDCW ^^</t>
  </si>
  <si>
    <t>Regular Plan - IDCW ^^</t>
  </si>
  <si>
    <t>d) IDCW declared during the period (Rupees per unit) - Nil</t>
  </si>
  <si>
    <t>e) Total outstanding exposure in derivative instrumentsat the end of the period - Nil</t>
  </si>
  <si>
    <t>f) Total investments in foreign securities /ADR'S/GDR'S  at the end of the period - Rs. 11496.80 lacs</t>
  </si>
  <si>
    <t>g) Repo in Corporate Debt - Nil</t>
  </si>
  <si>
    <t>Index</t>
  </si>
  <si>
    <t>Scheme Riskometer</t>
  </si>
  <si>
    <t>Benchmark Riskometer - NIFTY Infrastructure TRI</t>
  </si>
  <si>
    <t>Tier I Benchmark Riskometer - Nifty Mid Cap 150 TRI</t>
  </si>
  <si>
    <t>Tier II Benchmark Riskometer - Nifty Mid Cap 100 TRI</t>
  </si>
  <si>
    <t>Benchmark Riskometer - S&amp;P BSE 500 INDEX</t>
  </si>
  <si>
    <t>Tier I Benchmark Riskometer - Nifty Large Mid Cap 250 INDEX</t>
  </si>
  <si>
    <t>Tier II Benchmark Riskometer - Nifty Large Mid Cap 250 INDEX</t>
  </si>
  <si>
    <t>Benchmark Riskometer - S&amp;P BSE Small Cap INDEX</t>
  </si>
  <si>
    <t>Benchmark Riskometer - S&amp;P BSE 250 SmallCap</t>
  </si>
  <si>
    <t xml:space="preserve">       Benchmark Riskometer - S&amp;P BSE 500 INDEX</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</si>
  <si>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</si>
  <si>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</si>
  <si>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</si>
  <si>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</si>
  <si>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</si>
  <si>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</si>
  <si>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Tier I Benchmark Riskometer - NIFTY 500</t>
  </si>
  <si>
    <t>Tier II Benchmark Riskometer - NIFTY Dividend Opportunities 50 TRI</t>
  </si>
  <si>
    <t>Benchmark Riskometer - Nifty Equity Savings INDEX</t>
  </si>
  <si>
    <t>Tier I Benchmark Riskometer - Nifty 500 TRI</t>
  </si>
  <si>
    <t>Tier II Benchmark Riskometer - Nifty Large MID CAP 250 TRI</t>
  </si>
  <si>
    <t>Tier I Benchmark Riskometer - Nifty 500 MultiCap 50:25:25</t>
  </si>
  <si>
    <t>Tier II Benchmark Riskometer - Nifty 500 MultiCap 50:25:25</t>
  </si>
  <si>
    <t>Benchmark Riskometer - Nifty 100 Equal Weight TRI</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</si>
  <si>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</si>
  <si>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</si>
  <si>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</si>
  <si>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</si>
  <si>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</si>
  <si>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</si>
  <si>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Benchmark Riskometer - Nifty Financial Services</t>
  </si>
  <si>
    <t>Benchmark Riskometer - MSCI ACWI TRI</t>
  </si>
  <si>
    <t xml:space="preserve">           Tier I Benchmark Riskometer - Nifty 500 TRI</t>
  </si>
  <si>
    <t xml:space="preserve">            Tier II Benchmark Riskometer - Nifty 500 TRI</t>
  </si>
  <si>
    <t>DERIVATIVES DISCLOSURE</t>
  </si>
  <si>
    <t>Disclosure regarding Derivative positions pursuant to SEBI Circular no CIR/IMD/DF/11/2010 dated August18,2010</t>
  </si>
  <si>
    <t>DETAILS OF INVESTMENTS IN DERIVATIVE INSTRUMENTS</t>
  </si>
  <si>
    <t>A. Hedging Positions through Futures as on November 30,2022 :</t>
  </si>
  <si>
    <t>Scheme Name</t>
  </si>
  <si>
    <t>Underlying</t>
  </si>
  <si>
    <t>Long/Short</t>
  </si>
  <si>
    <t>Futures Price When Purchased</t>
  </si>
  <si>
    <t>Current Price of the contract</t>
  </si>
  <si>
    <t>Margin maintained in       (Rs in Lakhs)*</t>
  </si>
  <si>
    <t>Sundaram Arbitrage Fund</t>
  </si>
  <si>
    <t>ADANIPORTSNSEDEC2022FUT</t>
  </si>
  <si>
    <t>Short</t>
  </si>
  <si>
    <t>AMBUJACEMNSEDEC2022FUT</t>
  </si>
  <si>
    <t>ASIANPAINTNSEDEC2022FUT</t>
  </si>
  <si>
    <t>AUROPHARMANSEDEC2022FUT</t>
  </si>
  <si>
    <t>AXISBANKNSEDEC2022FUT</t>
  </si>
  <si>
    <t>BAJFINANCENSEDEC2022FUT</t>
  </si>
  <si>
    <t>DLFBSEDEC2022FUT</t>
  </si>
  <si>
    <t>HDFCBNKNSEDEC2022FUT</t>
  </si>
  <si>
    <t>ICICIBKBSEDEC2022FUT</t>
  </si>
  <si>
    <t>KOMA02NSEDEC2022FUT</t>
  </si>
  <si>
    <t>FI3384EQUNSEDEC2022FUT</t>
  </si>
  <si>
    <t>L&amp;TBSEDEC2022FUT</t>
  </si>
  <si>
    <t>MARUTIBSEDEC2022FUT</t>
  </si>
  <si>
    <t>SIEMENSNSEDEC2022FUT</t>
  </si>
  <si>
    <t>SPIL03BSEDEC2022FUT</t>
  </si>
  <si>
    <t>WIPRONSEDEC2022FUT</t>
  </si>
  <si>
    <t>ZEEBSEDEC2022FUT</t>
  </si>
  <si>
    <t>ZYDUSLIFENSEDEC2022FUT</t>
  </si>
  <si>
    <t>EXIDEINDUSNSEDEC2022FUT</t>
  </si>
  <si>
    <t>HDFC03NSEDEC2022FUT</t>
  </si>
  <si>
    <t>HDFCLIFENSEDEC2022FUT</t>
  </si>
  <si>
    <t>HINDALCONSEDEC2022FUT</t>
  </si>
  <si>
    <t>HINUNLEVBSEDEC2022FUT</t>
  </si>
  <si>
    <t>IBULHSGFINNSEDEC2022FUT</t>
  </si>
  <si>
    <t>INFOSYSTCHBSEDEC2022FUT</t>
  </si>
  <si>
    <t>JSPLNSEDEC2022FUT</t>
  </si>
  <si>
    <t>MCDONSEDEC2022FUT</t>
  </si>
  <si>
    <t>NAVINFLUORNSEDEC2022FUT</t>
  </si>
  <si>
    <t>NIFTYFUNSEDEC2022FUT</t>
  </si>
  <si>
    <t>TATAMOTORSBSEDEC2022FUT</t>
  </si>
  <si>
    <t>TATAPOWNSEDEC2022FUT</t>
  </si>
  <si>
    <t>ULTRACEMCONSEDEC2022FUT</t>
  </si>
  <si>
    <t>VEDANTALTDNSEDEC2022FUT</t>
  </si>
  <si>
    <t>ASHOKLEYNSEDEC2022FUT</t>
  </si>
  <si>
    <t>BANKBARODABSEDEC2022FUT</t>
  </si>
  <si>
    <t>DIVISLABNSEDEC2022FUT</t>
  </si>
  <si>
    <t>HPCLNSEDEC2022FUT</t>
  </si>
  <si>
    <t>M&amp;MBSEDEC2022FUT</t>
  </si>
  <si>
    <t>SBIBSEDEC2022FUT</t>
  </si>
  <si>
    <t>TATACONSUMNSEDEC2022FUT</t>
  </si>
  <si>
    <t>TATASTEELNSEDEC2022FUT</t>
  </si>
  <si>
    <t>TCSBSEDEC2022FUT</t>
  </si>
  <si>
    <t>TECHMBSEDEC2022FUT</t>
  </si>
  <si>
    <t>TWAT02NSEDEC2022FUT</t>
  </si>
  <si>
    <t xml:space="preserve">Total percentage of existing assets hedged through futures as a percentage of net assets </t>
  </si>
  <si>
    <t>%</t>
  </si>
  <si>
    <t>For the period ended November 30,2022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</si>
  <si>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</si>
  <si>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</si>
  <si>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</si>
  <si>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</si>
  <si>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</si>
  <si>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November 30,2022 :</t>
  </si>
  <si>
    <t>Margin maintained in       (Rs. in Lakhs) *</t>
  </si>
  <si>
    <t>LONG</t>
  </si>
  <si>
    <t>Total percentage of existing assets due to non-hedging positions as a percentage of net assets</t>
  </si>
  <si>
    <t>For the period ended November 30,2022 following were the non-hedging transactions through futures which have been squared off / expired</t>
  </si>
  <si>
    <t>Gross Notional value of contracts where futures were sold      ( Rs. in Lakhs)</t>
  </si>
  <si>
    <t>Net Profit / (Loss) value on all contracts combined      (Rs. in lakhs)</t>
  </si>
  <si>
    <t>Sundaram Rural And Consumption Fund</t>
  </si>
  <si>
    <t>C. Hedging Positions through Put Options as on November 30,2022 :</t>
  </si>
  <si>
    <t>Call/Put</t>
  </si>
  <si>
    <t>Number of Contracts</t>
  </si>
  <si>
    <t>Option Price when purchased</t>
  </si>
  <si>
    <t>Current Option Price</t>
  </si>
  <si>
    <t>Total % of existing assets hedged through Put Options</t>
  </si>
  <si>
    <t>For the period ended  November 30,2022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</si>
  <si>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</si>
  <si>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</si>
  <si>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</si>
  <si>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</si>
  <si>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November 30,2022 :</t>
  </si>
  <si>
    <t xml:space="preserve">Total Exposure through Options other than hedging as a percentage of net assets </t>
  </si>
  <si>
    <t>For the period ended November 30,2022 , the following non hedging transactions through options which have been already exercised/expired</t>
  </si>
  <si>
    <t>Gross Notional value of contracts  bought(Rs. in Lakhs)</t>
  </si>
  <si>
    <t>Gross Notional value of contracts  sold (Rs. in Lakhs)</t>
  </si>
  <si>
    <t>E. Hedging Positions through Swaps as on November 30,2022 - Nil</t>
  </si>
  <si>
    <t>F. Hedging Positions through Interest Rate Futures as on November 30,2022 :</t>
  </si>
  <si>
    <t xml:space="preserve">Futures Price
When Purchased </t>
  </si>
  <si>
    <t>Current Price of
the contract</t>
  </si>
  <si>
    <t>Margin maintained
in (Rs. in Lakhs)</t>
  </si>
  <si>
    <t>Total percentage of existing assets hedged through Interest Rate Futures a Percentage of net assets</t>
  </si>
  <si>
    <t>For the period ended November 30,2022 following were the hedging transactions through Interest Rate Futures which have been squared off/ expired</t>
  </si>
  <si>
    <t>For the period ended November 30,2022 following were the Non Hedging transactions through Interest Rate Futures which have been squared off/ expired</t>
  </si>
  <si>
    <t>* Note: Margin maintained denotes security specific margin.</t>
  </si>
  <si>
    <t>Sundaram NIFTY 100 Equal Weight Fund</t>
  </si>
  <si>
    <t>Sundaram Large And Mid Cap Fund</t>
  </si>
  <si>
    <t>Sundaram NIFTY 100 Equal Weight Fund (Formerly Known As Principal Nifty 100 Equal Weight Fund)</t>
  </si>
  <si>
    <t>Bharti Airtel Ltd - Partly Paid Right Shares</t>
  </si>
  <si>
    <t>Regular Plan - Halfyearly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</si>
</sst>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0.00"/>
    <numFmt numFmtId="170" formatCode="[$-1014009]#,##0.00%"/>
    <numFmt numFmtId="171" formatCode="[$-1014009]#,##0.0000;\-#,##0.0000"/>
    <numFmt numFmtId="172" formatCode="[$-1014009]#,##0.000000;\-#,##0.000000"/>
    <numFmt numFmtId="173" formatCode="[$-1014009]#.0000"/>
    <numFmt numFmtId="174" formatCode="[$-1014009]#,##0.00;\(#,##0.00\)"/>
    <numFmt numFmtId="175" formatCode="_(* #,##0_);_(* \(#,##0\);_(* &quot;-&quot;??_);_(@_)"/>
    <numFmt numFmtId="176" formatCode="0.000"/>
    <numFmt numFmtId="177" formatCode="#,##0.000"/>
    <numFmt numFmtId="178" formatCode="0.00000"/>
    <numFmt numFmtId="179" formatCode="0.0000"/>
    <numFmt numFmtId="180" formatCode="0.000000000"/>
    <numFmt numFmtId="181" formatCode="#,##0.0000;\(#,##0.0000\)"/>
    <numFmt numFmtId="182" formatCode="_(* #,##0.000_);_(* \(#,##0.000\);_(* &quot;-&quot;??_);_(@_)"/>
  </numFmts>
  <fonts count="38"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sz val="10"/>
      <color indexed="8"/>
      <name val="Calibri"/>
      <family val="2"/>
    </font>
    <font>
      <b/>
      <i/>
      <sz val="10"/>
      <color indexed="8"/>
      <name val="Calibri"/>
      <family val="2"/>
    </font>
    <font>
      <b/>
      <sz val="10"/>
      <color indexed="8"/>
      <name val="Calibri"/>
      <family val="2"/>
    </font>
    <font>
      <b/>
      <sz val="9"/>
      <color indexed="8"/>
      <name val="Calibri"/>
      <family val="2"/>
    </font>
    <font>
      <b/>
      <sz val="11"/>
      <name val="Calibri"/>
      <family val="2"/>
    </font>
    <font>
      <b/>
      <sz val="11"/>
      <color indexed="8"/>
      <name val="Calibri"/>
      <family val="2"/>
    </font>
    <font>
      <sz val="10"/>
      <name val="Arial"/>
      <family val="2"/>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b/>
      <sz val="10"/>
      <color theme="1"/>
      <name val="Arial"/>
      <family val="2"/>
    </font>
    <font>
      <b/>
      <sz val="10"/>
      <color indexed="8"/>
      <name val="Calibri"/>
      <family val="2"/>
      <scheme val="minor"/>
    </font>
    <font>
      <sz val="10"/>
      <color indexed="8"/>
      <name val="Calibri"/>
      <family val="2"/>
      <scheme val="minor"/>
    </font>
    <font>
      <b/>
      <u/>
      <sz val="10"/>
      <name val="Calibri"/>
      <family val="2"/>
      <scheme val="minor"/>
    </font>
    <font>
      <b/>
      <sz val="10"/>
      <color indexed="8"/>
      <name val="Calibri"/>
      <family val="2"/>
    </font>
    <font>
      <b/>
      <sz val="11"/>
      <color theme="0"/>
      <name val="Calibri"/>
      <family val="2"/>
      <scheme val="minor"/>
    </font>
    <font>
      <sz val="11"/>
      <color theme="0"/>
      <name val="Calibri"/>
      <family val="2"/>
      <scheme val="minor"/>
    </font>
    <font>
      <u/>
      <sz val="11"/>
      <color rgb="FF002060"/>
      <name val="Calibri"/>
      <family val="2"/>
      <scheme val="minor"/>
    </font>
    <font>
      <sz val="11"/>
      <name val="Calibri"/>
      <family val="2"/>
    </font>
    <font>
      <b/>
      <sz val="10"/>
      <name val="Arial"/>
      <family val="2"/>
    </font>
  </fonts>
  <fills count="5">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8" tint="0.79998168889431442"/>
        <bgColor indexed="64"/>
      </patternFill>
    </fill>
  </fills>
  <borders count="15">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top/>
      <bottom/>
      <diagonal/>
    </border>
  </borders>
  <cellStyleXfs count="16">
    <xf numFmtId="0" fontId="0" fillId="0" borderId="0">
      <alignment wrapText="1"/>
    </xf>
    <xf numFmtId="0" fontId="5" fillId="0" borderId="0"/>
    <xf numFmtId="0" fontId="13" fillId="0" borderId="0">
      <alignment wrapText="1"/>
    </xf>
    <xf numFmtId="0" fontId="15" fillId="0" borderId="0" applyNumberFormat="0" applyFill="0" applyBorder="0" applyAlignment="0" applyProtection="0">
      <alignment wrapText="1"/>
    </xf>
    <xf numFmtId="0" fontId="13" fillId="0" borderId="0">
      <alignment wrapText="1"/>
    </xf>
    <xf numFmtId="0" fontId="4" fillId="0" borderId="0"/>
    <xf numFmtId="164" fontId="23" fillId="0" borderId="0" applyFont="0" applyFill="0" applyBorder="0" applyAlignment="0" applyProtection="0"/>
    <xf numFmtId="9" fontId="23" fillId="0" borderId="0" applyFont="0" applyFill="0" applyBorder="0" applyAlignment="0" applyProtection="0"/>
    <xf numFmtId="0" fontId="3" fillId="0" borderId="0"/>
    <xf numFmtId="164" fontId="3" fillId="0" borderId="0" applyFont="0" applyFill="0" applyBorder="0" applyAlignment="0" applyProtection="0"/>
    <xf numFmtId="0" fontId="13" fillId="0" borderId="0"/>
    <xf numFmtId="0" fontId="2" fillId="0" borderId="0"/>
    <xf numFmtId="43" fontId="13" fillId="0" borderId="0" applyFont="0" applyFill="0" applyBorder="0" applyAlignment="0" applyProtection="0"/>
    <xf numFmtId="0" fontId="13" fillId="0" borderId="0"/>
    <xf numFmtId="0" fontId="13" fillId="0" borderId="0"/>
    <xf numFmtId="0" fontId="1" fillId="0" borderId="0"/>
  </cellStyleXfs>
  <cellXfs count="369">
    <xf numFmtId="0" fontId="0" fillId="0" borderId="0" xfId="0">
      <alignment wrapText="1"/>
    </xf>
    <xf numFmtId="0" fontId="7" fillId="2" borderId="1" xfId="0" applyFont="1" applyFill="1" applyBorder="1" applyAlignment="1">
      <alignment horizontal="right" vertical="top" wrapText="1" readingOrder="1"/>
    </xf>
    <xf numFmtId="0" fontId="8" fillId="2" borderId="1" xfId="0" applyFont="1" applyFill="1" applyBorder="1" applyAlignment="1">
      <alignment horizontal="left" vertical="center" wrapText="1" readingOrder="1"/>
    </xf>
    <xf numFmtId="165" fontId="7" fillId="2" borderId="1" xfId="0" applyNumberFormat="1" applyFont="1" applyFill="1" applyBorder="1" applyAlignment="1">
      <alignment horizontal="right" vertical="center" wrapText="1" readingOrder="1"/>
    </xf>
    <xf numFmtId="0" fontId="7" fillId="2" borderId="1" xfId="0" applyFont="1" applyFill="1" applyBorder="1" applyAlignment="1">
      <alignment horizontal="left" vertical="center" wrapText="1" readingOrder="1"/>
    </xf>
    <xf numFmtId="166" fontId="7" fillId="2" borderId="1" xfId="0" applyNumberFormat="1" applyFont="1" applyFill="1" applyBorder="1" applyAlignment="1">
      <alignment horizontal="right" vertical="center" wrapText="1" readingOrder="1"/>
    </xf>
    <xf numFmtId="167" fontId="7" fillId="2" borderId="1" xfId="0" applyNumberFormat="1" applyFont="1" applyFill="1" applyBorder="1" applyAlignment="1">
      <alignment horizontal="right" vertical="center" wrapText="1" readingOrder="1"/>
    </xf>
    <xf numFmtId="168" fontId="7" fillId="2" borderId="1" xfId="0" applyNumberFormat="1" applyFont="1" applyFill="1" applyBorder="1" applyAlignment="1">
      <alignment horizontal="right" vertical="center" wrapText="1" readingOrder="1"/>
    </xf>
    <xf numFmtId="0" fontId="7" fillId="2" borderId="1" xfId="0" applyFont="1" applyFill="1" applyBorder="1" applyAlignment="1">
      <alignment horizontal="right" vertical="center" wrapText="1" readingOrder="1"/>
    </xf>
    <xf numFmtId="167" fontId="8" fillId="2" borderId="1" xfId="0" applyNumberFormat="1" applyFont="1" applyFill="1" applyBorder="1" applyAlignment="1">
      <alignment horizontal="right" vertical="center" wrapText="1" readingOrder="1"/>
    </xf>
    <xf numFmtId="168" fontId="8" fillId="2" borderId="1" xfId="0" applyNumberFormat="1" applyFont="1" applyFill="1" applyBorder="1" applyAlignment="1">
      <alignment horizontal="right" vertical="center" wrapText="1" readingOrder="1"/>
    </xf>
    <xf numFmtId="0" fontId="9" fillId="2" borderId="1" xfId="0" applyFont="1" applyFill="1" applyBorder="1" applyAlignment="1">
      <alignment horizontal="left" vertical="center" wrapText="1" readingOrder="1"/>
    </xf>
    <xf numFmtId="0" fontId="9" fillId="2" borderId="1" xfId="0" applyFont="1" applyFill="1" applyBorder="1" applyAlignment="1">
      <alignment horizontal="right" vertical="center" wrapText="1" readingOrder="1"/>
    </xf>
    <xf numFmtId="169" fontId="8" fillId="2" borderId="1" xfId="0" applyNumberFormat="1" applyFont="1" applyFill="1" applyBorder="1" applyAlignment="1">
      <alignment horizontal="right" vertical="center" wrapText="1" readingOrder="1"/>
    </xf>
    <xf numFmtId="170" fontId="8" fillId="2" borderId="1" xfId="0" applyNumberFormat="1" applyFont="1" applyFill="1" applyBorder="1" applyAlignment="1">
      <alignment horizontal="right" vertical="center" wrapText="1" readingOrder="1"/>
    </xf>
    <xf numFmtId="0" fontId="8" fillId="2" borderId="1" xfId="0" applyFont="1" applyFill="1" applyBorder="1" applyAlignment="1">
      <alignment horizontal="right" vertical="center" wrapText="1" readingOrder="1"/>
    </xf>
    <xf numFmtId="0" fontId="9" fillId="2" borderId="2" xfId="0" applyFont="1" applyFill="1" applyBorder="1" applyAlignment="1">
      <alignment horizontal="left" vertical="center" wrapText="1" readingOrder="1"/>
    </xf>
    <xf numFmtId="0" fontId="9" fillId="2" borderId="2" xfId="0" applyFont="1" applyFill="1" applyBorder="1" applyAlignment="1">
      <alignment horizontal="right" vertical="center" wrapText="1" readingOrder="1"/>
    </xf>
    <xf numFmtId="0" fontId="9" fillId="2" borderId="0" xfId="0" applyFont="1" applyFill="1" applyAlignment="1">
      <alignment horizontal="left" vertical="center" wrapText="1" readingOrder="1"/>
    </xf>
    <xf numFmtId="0" fontId="7" fillId="2" borderId="0" xfId="0" applyFont="1" applyFill="1" applyAlignment="1">
      <alignment horizontal="left" vertical="center" wrapText="1" readingOrder="1"/>
    </xf>
    <xf numFmtId="0" fontId="9" fillId="2" borderId="0" xfId="0" applyFont="1" applyFill="1" applyAlignment="1">
      <alignment horizontal="right" vertical="center" wrapText="1" readingOrder="1"/>
    </xf>
    <xf numFmtId="0" fontId="9" fillId="2" borderId="3" xfId="0" applyFont="1" applyFill="1" applyBorder="1" applyAlignment="1">
      <alignment horizontal="right" vertical="center" wrapText="1" readingOrder="1"/>
    </xf>
    <xf numFmtId="0" fontId="7" fillId="2" borderId="0" xfId="0" applyFont="1" applyFill="1" applyAlignment="1">
      <alignment horizontal="right" vertical="top" wrapText="1" readingOrder="1"/>
    </xf>
    <xf numFmtId="0" fontId="8" fillId="2" borderId="1" xfId="0" applyFont="1" applyFill="1" applyBorder="1" applyAlignment="1">
      <alignment horizontal="right" vertical="top" wrapText="1" readingOrder="1"/>
    </xf>
    <xf numFmtId="171" fontId="7" fillId="2" borderId="1" xfId="0" applyNumberFormat="1" applyFont="1" applyFill="1" applyBorder="1" applyAlignment="1">
      <alignment horizontal="right" vertical="center" wrapText="1" readingOrder="1"/>
    </xf>
    <xf numFmtId="0" fontId="7" fillId="2" borderId="0" xfId="0" applyFont="1" applyFill="1" applyAlignment="1">
      <alignment horizontal="right" vertical="center" wrapText="1" readingOrder="1"/>
    </xf>
    <xf numFmtId="0" fontId="7" fillId="2" borderId="2" xfId="0" applyFont="1" applyFill="1" applyBorder="1" applyAlignment="1">
      <alignment horizontal="right" vertical="top" wrapText="1" readingOrder="1"/>
    </xf>
    <xf numFmtId="170" fontId="8" fillId="2" borderId="1"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8" fillId="2" borderId="1" xfId="0" applyFont="1" applyFill="1" applyBorder="1" applyAlignment="1">
      <alignment horizontal="left" vertical="top" wrapText="1" readingOrder="1"/>
    </xf>
    <xf numFmtId="173" fontId="7" fillId="2" borderId="1" xfId="0" applyNumberFormat="1" applyFont="1" applyFill="1" applyBorder="1" applyAlignment="1">
      <alignment horizontal="right" vertical="center" wrapText="1" readingOrder="1"/>
    </xf>
    <xf numFmtId="0" fontId="7" fillId="2" borderId="3" xfId="0" applyFont="1" applyFill="1" applyBorder="1" applyAlignment="1">
      <alignment horizontal="right" vertical="top" wrapText="1" readingOrder="1"/>
    </xf>
    <xf numFmtId="174" fontId="8" fillId="2" borderId="1" xfId="0" applyNumberFormat="1" applyFont="1" applyFill="1" applyBorder="1" applyAlignment="1">
      <alignment horizontal="left" vertical="center" wrapText="1" readingOrder="1"/>
    </xf>
    <xf numFmtId="0" fontId="11" fillId="0" borderId="7" xfId="1" applyFont="1" applyBorder="1" applyAlignment="1">
      <alignment horizontal="center" vertical="center"/>
    </xf>
    <xf numFmtId="0" fontId="12" fillId="0" borderId="7" xfId="1" applyFont="1" applyBorder="1" applyAlignment="1">
      <alignment horizontal="center" vertical="center"/>
    </xf>
    <xf numFmtId="0" fontId="14" fillId="0" borderId="0" xfId="2" applyFont="1">
      <alignment wrapText="1"/>
    </xf>
    <xf numFmtId="0" fontId="14" fillId="0" borderId="7" xfId="2" applyFont="1" applyBorder="1">
      <alignment wrapText="1"/>
    </xf>
    <xf numFmtId="0" fontId="16" fillId="0" borderId="7" xfId="3" applyFont="1" applyBorder="1" applyAlignment="1"/>
    <xf numFmtId="0" fontId="14" fillId="0" borderId="7" xfId="2" applyFont="1" applyBorder="1" applyAlignment="1"/>
    <xf numFmtId="0" fontId="17" fillId="2" borderId="1" xfId="0" applyFont="1" applyFill="1" applyBorder="1" applyAlignment="1">
      <alignment horizontal="left" vertical="center" wrapText="1" readingOrder="1"/>
    </xf>
    <xf numFmtId="0" fontId="18" fillId="2" borderId="0" xfId="1" applyFont="1" applyFill="1" applyAlignment="1">
      <alignment horizontal="left" vertical="center" wrapText="1" readingOrder="1"/>
    </xf>
    <xf numFmtId="0" fontId="18" fillId="2" borderId="0" xfId="1" applyFont="1" applyFill="1" applyAlignment="1">
      <alignment horizontal="right" vertical="center" wrapText="1" readingOrder="1"/>
    </xf>
    <xf numFmtId="0" fontId="0" fillId="0" borderId="0" xfId="0" applyAlignment="1">
      <alignment vertical="center" wrapText="1"/>
    </xf>
    <xf numFmtId="0" fontId="5" fillId="0" borderId="0" xfId="1" applyAlignment="1">
      <alignment wrapText="1"/>
    </xf>
    <xf numFmtId="165" fontId="17" fillId="2" borderId="1" xfId="0" applyNumberFormat="1" applyFont="1" applyFill="1" applyBorder="1" applyAlignment="1">
      <alignment horizontal="right" vertical="center" wrapText="1" readingOrder="1"/>
    </xf>
    <xf numFmtId="0" fontId="17" fillId="0" borderId="1" xfId="0" applyFont="1" applyBorder="1" applyAlignment="1">
      <alignment horizontal="left" vertical="center" wrapText="1" readingOrder="1"/>
    </xf>
    <xf numFmtId="166" fontId="17" fillId="0" borderId="1" xfId="0" applyNumberFormat="1" applyFont="1" applyBorder="1" applyAlignment="1">
      <alignment horizontal="right" vertical="center" wrapText="1" readingOrder="1"/>
    </xf>
    <xf numFmtId="167" fontId="17" fillId="0" borderId="1" xfId="0" applyNumberFormat="1" applyFont="1" applyBorder="1" applyAlignment="1">
      <alignment horizontal="right" vertical="center" wrapText="1" readingOrder="1"/>
    </xf>
    <xf numFmtId="168" fontId="17" fillId="0" borderId="1" xfId="0" applyNumberFormat="1" applyFont="1" applyBorder="1" applyAlignment="1">
      <alignment horizontal="right" vertical="center" wrapText="1" readingOrder="1"/>
    </xf>
    <xf numFmtId="167" fontId="17" fillId="2" borderId="1" xfId="0" applyNumberFormat="1" applyFont="1" applyFill="1" applyBorder="1" applyAlignment="1">
      <alignment horizontal="right" vertical="center" wrapText="1" readingOrder="1"/>
    </xf>
    <xf numFmtId="0" fontId="13" fillId="0" borderId="0" xfId="2">
      <alignment wrapText="1"/>
    </xf>
    <xf numFmtId="166" fontId="17" fillId="2" borderId="1" xfId="0" applyNumberFormat="1" applyFont="1" applyFill="1" applyBorder="1" applyAlignment="1">
      <alignment horizontal="right" vertical="center" wrapText="1" readingOrder="1"/>
    </xf>
    <xf numFmtId="168" fontId="17" fillId="2" borderId="1" xfId="0" applyNumberFormat="1" applyFont="1" applyFill="1" applyBorder="1" applyAlignment="1">
      <alignment horizontal="right" vertical="center" wrapText="1" readingOrder="1"/>
    </xf>
    <xf numFmtId="0" fontId="18" fillId="2" borderId="0" xfId="0" applyFont="1" applyFill="1" applyAlignment="1">
      <alignment horizontal="left" vertical="center" wrapText="1" readingOrder="1"/>
    </xf>
    <xf numFmtId="0" fontId="18" fillId="2" borderId="0" xfId="0" applyFont="1" applyFill="1" applyAlignment="1">
      <alignment horizontal="right" vertical="center" wrapText="1" readingOrder="1"/>
    </xf>
    <xf numFmtId="2" fontId="9" fillId="2" borderId="2" xfId="0" applyNumberFormat="1" applyFont="1" applyFill="1" applyBorder="1" applyAlignment="1">
      <alignment horizontal="right" vertical="center" wrapText="1" readingOrder="1"/>
    </xf>
    <xf numFmtId="0" fontId="17" fillId="2" borderId="0" xfId="0" applyFont="1" applyFill="1" applyAlignment="1">
      <alignment horizontal="left" vertical="center" wrapText="1" readingOrder="1"/>
    </xf>
    <xf numFmtId="0" fontId="19" fillId="2" borderId="1" xfId="0" applyFont="1" applyFill="1" applyBorder="1" applyAlignment="1">
      <alignment horizontal="left" vertical="center" wrapText="1" readingOrder="1"/>
    </xf>
    <xf numFmtId="0" fontId="13" fillId="0" borderId="0" xfId="0" applyFont="1">
      <alignment wrapText="1"/>
    </xf>
    <xf numFmtId="0" fontId="17" fillId="2" borderId="1" xfId="0" applyFont="1" applyFill="1" applyBorder="1" applyAlignment="1">
      <alignment horizontal="right" vertical="center" wrapText="1" readingOrder="1"/>
    </xf>
    <xf numFmtId="0" fontId="17" fillId="2" borderId="0" xfId="0" applyFont="1" applyFill="1" applyAlignment="1">
      <alignment horizontal="left" vertical="center" readingOrder="1"/>
    </xf>
    <xf numFmtId="0" fontId="17" fillId="2" borderId="0" xfId="0" applyFont="1" applyFill="1" applyAlignment="1">
      <alignment horizontal="right" vertical="top" wrapText="1" readingOrder="1"/>
    </xf>
    <xf numFmtId="0" fontId="20" fillId="2" borderId="1" xfId="0" applyFont="1" applyFill="1" applyBorder="1" applyAlignment="1">
      <alignment horizontal="left" vertical="center" wrapText="1" readingOrder="1"/>
    </xf>
    <xf numFmtId="0" fontId="20" fillId="2" borderId="1" xfId="0" applyFont="1" applyFill="1" applyBorder="1" applyAlignment="1">
      <alignment horizontal="right" vertical="center" wrapText="1" readingOrder="1"/>
    </xf>
    <xf numFmtId="172" fontId="17" fillId="2" borderId="1" xfId="0" applyNumberFormat="1" applyFont="1" applyFill="1" applyBorder="1" applyAlignment="1">
      <alignment horizontal="right" vertical="center" wrapText="1" readingOrder="1"/>
    </xf>
    <xf numFmtId="0" fontId="17" fillId="2" borderId="0" xfId="0" applyFont="1" applyFill="1" applyAlignment="1">
      <alignment horizontal="right" vertical="center" wrapText="1" readingOrder="1"/>
    </xf>
    <xf numFmtId="0" fontId="21" fillId="0" borderId="7" xfId="5" applyFont="1" applyBorder="1" applyAlignment="1">
      <alignment horizontal="center" vertical="center" wrapText="1" readingOrder="1"/>
    </xf>
    <xf numFmtId="0" fontId="25" fillId="0" borderId="7" xfId="0" applyFont="1" applyBorder="1" applyAlignment="1">
      <alignment horizontal="center" vertical="center" wrapText="1"/>
    </xf>
    <xf numFmtId="10" fontId="24" fillId="0" borderId="7" xfId="7" applyNumberFormat="1" applyFont="1" applyFill="1" applyBorder="1" applyAlignment="1">
      <alignment vertical="center" wrapText="1"/>
    </xf>
    <xf numFmtId="0" fontId="24" fillId="0" borderId="0" xfId="0" applyFont="1" applyAlignment="1"/>
    <xf numFmtId="175" fontId="24" fillId="0" borderId="0" xfId="6" applyNumberFormat="1" applyFont="1"/>
    <xf numFmtId="164" fontId="24" fillId="0" borderId="0" xfId="6" applyFont="1"/>
    <xf numFmtId="0" fontId="25" fillId="0" borderId="7" xfId="0" applyFont="1" applyBorder="1" applyAlignment="1">
      <alignment horizontal="left" wrapText="1"/>
    </xf>
    <xf numFmtId="0" fontId="25" fillId="0" borderId="7" xfId="0" applyFont="1" applyBorder="1" applyAlignment="1">
      <alignment horizontal="center" wrapText="1"/>
    </xf>
    <xf numFmtId="0" fontId="26" fillId="0" borderId="7" xfId="0" applyFont="1" applyBorder="1" applyAlignment="1">
      <alignment horizontal="left" vertical="center" wrapText="1"/>
    </xf>
    <xf numFmtId="0" fontId="26" fillId="0" borderId="7" xfId="0" applyFont="1" applyBorder="1" applyAlignment="1">
      <alignment horizontal="center" vertical="center"/>
    </xf>
    <xf numFmtId="4" fontId="26" fillId="0" borderId="7" xfId="9" applyNumberFormat="1" applyFont="1" applyFill="1" applyBorder="1" applyAlignment="1">
      <alignment horizontal="center" vertical="center"/>
    </xf>
    <xf numFmtId="10" fontId="26" fillId="0" borderId="7" xfId="9" applyNumberFormat="1" applyFont="1" applyFill="1" applyBorder="1" applyAlignment="1">
      <alignment horizontal="center" vertical="center"/>
    </xf>
    <xf numFmtId="4" fontId="26" fillId="0" borderId="7" xfId="0" applyNumberFormat="1" applyFont="1" applyBorder="1" applyAlignment="1">
      <alignment horizontal="center" vertical="center"/>
    </xf>
    <xf numFmtId="0" fontId="26" fillId="0" borderId="0" xfId="0" applyFont="1" applyAlignment="1"/>
    <xf numFmtId="0" fontId="26" fillId="0" borderId="7" xfId="0" applyFont="1" applyBorder="1" applyAlignment="1">
      <alignment horizontal="left" vertical="center"/>
    </xf>
    <xf numFmtId="164" fontId="26" fillId="0" borderId="7" xfId="9" applyFont="1" applyFill="1" applyBorder="1" applyAlignment="1">
      <alignment horizontal="right" vertical="center"/>
    </xf>
    <xf numFmtId="164" fontId="26" fillId="0" borderId="7" xfId="9" applyFont="1" applyFill="1" applyBorder="1" applyAlignment="1">
      <alignment horizontal="center" vertical="center"/>
    </xf>
    <xf numFmtId="4" fontId="26" fillId="0" borderId="7" xfId="0" applyNumberFormat="1" applyFont="1" applyBorder="1" applyAlignment="1">
      <alignment horizontal="right" vertical="center"/>
    </xf>
    <xf numFmtId="0" fontId="6" fillId="2" borderId="1" xfId="0" applyFont="1" applyFill="1" applyBorder="1" applyAlignment="1">
      <alignment horizontal="center" vertical="center" wrapText="1" readingOrder="1"/>
    </xf>
    <xf numFmtId="0" fontId="0" fillId="0" borderId="0" xfId="0" applyAlignment="1">
      <alignment horizontal="center" wrapText="1"/>
    </xf>
    <xf numFmtId="0" fontId="6" fillId="2" borderId="1" xfId="0" applyFont="1" applyFill="1" applyBorder="1" applyAlignment="1">
      <alignment horizontal="center" vertical="top" wrapText="1" readingOrder="1"/>
    </xf>
    <xf numFmtId="0" fontId="6" fillId="0" borderId="1" xfId="0" applyFont="1" applyBorder="1" applyAlignment="1">
      <alignment horizontal="center" vertical="top" wrapText="1" readingOrder="1"/>
    </xf>
    <xf numFmtId="0" fontId="21" fillId="0" borderId="11" xfId="0" applyFont="1" applyBorder="1" applyAlignment="1">
      <alignment horizontal="center" vertical="center" wrapText="1" readingOrder="1"/>
    </xf>
    <xf numFmtId="0" fontId="7" fillId="0" borderId="1" xfId="0" applyFont="1" applyBorder="1" applyAlignment="1">
      <alignment horizontal="right" vertical="top" wrapText="1" readingOrder="1"/>
    </xf>
    <xf numFmtId="0" fontId="8" fillId="0" borderId="1" xfId="0" applyFont="1" applyBorder="1" applyAlignment="1">
      <alignment horizontal="left" vertical="center" wrapText="1" readingOrder="1"/>
    </xf>
    <xf numFmtId="165" fontId="7" fillId="0" borderId="1" xfId="0" applyNumberFormat="1" applyFont="1" applyBorder="1" applyAlignment="1">
      <alignment horizontal="right" vertical="center" wrapText="1" readingOrder="1"/>
    </xf>
    <xf numFmtId="0" fontId="7" fillId="0" borderId="1" xfId="0" applyFont="1" applyBorder="1" applyAlignment="1">
      <alignment horizontal="left" vertical="center" wrapText="1" readingOrder="1"/>
    </xf>
    <xf numFmtId="166" fontId="7" fillId="0" borderId="1" xfId="0" applyNumberFormat="1" applyFont="1" applyBorder="1" applyAlignment="1">
      <alignment horizontal="right" vertical="center" wrapText="1" readingOrder="1"/>
    </xf>
    <xf numFmtId="167" fontId="7" fillId="0" borderId="1" xfId="0" applyNumberFormat="1" applyFont="1" applyBorder="1" applyAlignment="1">
      <alignment horizontal="right" vertical="center" wrapText="1" readingOrder="1"/>
    </xf>
    <xf numFmtId="168" fontId="7" fillId="0" borderId="1" xfId="0" applyNumberFormat="1" applyFont="1" applyBorder="1" applyAlignment="1">
      <alignment horizontal="right" vertical="center" wrapText="1" readingOrder="1"/>
    </xf>
    <xf numFmtId="167" fontId="8" fillId="0" borderId="1" xfId="0" applyNumberFormat="1" applyFont="1" applyBorder="1" applyAlignment="1">
      <alignment horizontal="right" vertical="center" wrapText="1" readingOrder="1"/>
    </xf>
    <xf numFmtId="168" fontId="8" fillId="0" borderId="1" xfId="0" applyNumberFormat="1" applyFont="1" applyBorder="1" applyAlignment="1">
      <alignment horizontal="right" vertical="center" wrapText="1" readingOrder="1"/>
    </xf>
    <xf numFmtId="0" fontId="9" fillId="0" borderId="1" xfId="0" applyFont="1" applyBorder="1" applyAlignment="1">
      <alignment horizontal="left" vertical="center" wrapText="1" readingOrder="1"/>
    </xf>
    <xf numFmtId="0" fontId="9" fillId="0" borderId="1" xfId="0" applyFont="1" applyBorder="1" applyAlignment="1">
      <alignment horizontal="right" vertical="center" wrapText="1" readingOrder="1"/>
    </xf>
    <xf numFmtId="169" fontId="8" fillId="0" borderId="1" xfId="0" applyNumberFormat="1" applyFont="1" applyBorder="1" applyAlignment="1">
      <alignment horizontal="right" vertical="center" wrapText="1" readingOrder="1"/>
    </xf>
    <xf numFmtId="170" fontId="8" fillId="0" borderId="1" xfId="0" applyNumberFormat="1" applyFont="1" applyBorder="1" applyAlignment="1">
      <alignment horizontal="right" vertical="center" wrapText="1" readingOrder="1"/>
    </xf>
    <xf numFmtId="0" fontId="7" fillId="0" borderId="1" xfId="0" applyFont="1" applyBorder="1" applyAlignment="1">
      <alignment horizontal="right" vertical="center" wrapText="1" readingOrder="1"/>
    </xf>
    <xf numFmtId="165" fontId="17" fillId="0" borderId="1" xfId="0" applyNumberFormat="1" applyFont="1" applyBorder="1" applyAlignment="1">
      <alignment horizontal="right" vertical="center" wrapText="1" readingOrder="1"/>
    </xf>
    <xf numFmtId="0" fontId="9" fillId="0" borderId="2" xfId="0" applyFont="1" applyBorder="1" applyAlignment="1">
      <alignment horizontal="left" vertical="center" wrapText="1" readingOrder="1"/>
    </xf>
    <xf numFmtId="0" fontId="9" fillId="0" borderId="2" xfId="0" applyFont="1" applyBorder="1" applyAlignment="1">
      <alignment horizontal="right" vertical="center" wrapText="1" readingOrder="1"/>
    </xf>
    <xf numFmtId="2" fontId="9" fillId="0" borderId="2" xfId="0" applyNumberFormat="1" applyFont="1" applyBorder="1" applyAlignment="1">
      <alignment horizontal="right" vertical="center" wrapText="1" readingOrder="1"/>
    </xf>
    <xf numFmtId="0" fontId="9" fillId="0" borderId="0" xfId="0" applyFont="1" applyAlignment="1">
      <alignment horizontal="left" vertical="center" wrapText="1" readingOrder="1"/>
    </xf>
    <xf numFmtId="0" fontId="9" fillId="0" borderId="0" xfId="0" applyFont="1" applyAlignment="1">
      <alignment horizontal="right" vertical="center" wrapText="1" readingOrder="1"/>
    </xf>
    <xf numFmtId="0" fontId="18" fillId="0" borderId="0" xfId="1" applyFont="1" applyAlignment="1">
      <alignment horizontal="left" vertical="center" wrapText="1" readingOrder="1"/>
    </xf>
    <xf numFmtId="0" fontId="18" fillId="0" borderId="0" xfId="1" applyFont="1" applyAlignment="1">
      <alignment horizontal="right" vertical="center" wrapText="1" readingOrder="1"/>
    </xf>
    <xf numFmtId="0" fontId="9" fillId="0" borderId="3" xfId="0" applyFont="1" applyBorder="1" applyAlignment="1">
      <alignment horizontal="right" vertical="center" wrapText="1" readingOrder="1"/>
    </xf>
    <xf numFmtId="0" fontId="19" fillId="0" borderId="1" xfId="0" applyFont="1" applyBorder="1" applyAlignment="1">
      <alignment horizontal="left" vertical="center" wrapText="1" readingOrder="1"/>
    </xf>
    <xf numFmtId="0" fontId="7" fillId="0" borderId="0" xfId="0" applyFont="1" applyAlignment="1">
      <alignment horizontal="right" vertical="top" wrapText="1" readingOrder="1"/>
    </xf>
    <xf numFmtId="0" fontId="8" fillId="0" borderId="1" xfId="0" applyFont="1" applyBorder="1" applyAlignment="1">
      <alignment horizontal="right" vertical="top" wrapText="1" readingOrder="1"/>
    </xf>
    <xf numFmtId="0" fontId="8" fillId="0" borderId="1" xfId="0" applyFont="1" applyBorder="1" applyAlignment="1">
      <alignment horizontal="left" vertical="top" wrapText="1" readingOrder="1"/>
    </xf>
    <xf numFmtId="173" fontId="7" fillId="0" borderId="1" xfId="0" applyNumberFormat="1" applyFont="1" applyBorder="1" applyAlignment="1">
      <alignment horizontal="right" vertical="center" wrapText="1" readingOrder="1"/>
    </xf>
    <xf numFmtId="0" fontId="7" fillId="0" borderId="0" xfId="0" applyFont="1" applyAlignment="1">
      <alignment horizontal="left" vertical="center" wrapText="1" readingOrder="1"/>
    </xf>
    <xf numFmtId="0" fontId="7" fillId="0" borderId="0" xfId="0" applyFont="1" applyAlignment="1">
      <alignment horizontal="right" vertical="center" wrapText="1" readingOrder="1"/>
    </xf>
    <xf numFmtId="0" fontId="10" fillId="0" borderId="1" xfId="0" applyFont="1" applyBorder="1" applyAlignment="1">
      <alignment horizontal="left" vertical="center" wrapText="1" readingOrder="1"/>
    </xf>
    <xf numFmtId="0" fontId="10" fillId="0" borderId="1" xfId="0" applyFont="1" applyBorder="1" applyAlignment="1">
      <alignment horizontal="right" vertical="center" wrapText="1" readingOrder="1"/>
    </xf>
    <xf numFmtId="172" fontId="7" fillId="0" borderId="1" xfId="0" applyNumberFormat="1" applyFont="1" applyBorder="1" applyAlignment="1">
      <alignment horizontal="right" vertical="center" wrapText="1" readingOrder="1"/>
    </xf>
    <xf numFmtId="0" fontId="7" fillId="0" borderId="2" xfId="0" applyFont="1" applyBorder="1" applyAlignment="1">
      <alignment horizontal="left" vertical="center" wrapText="1" readingOrder="1"/>
    </xf>
    <xf numFmtId="0" fontId="8" fillId="0" borderId="2" xfId="0" applyFont="1" applyBorder="1" applyAlignment="1">
      <alignment horizontal="left" vertical="center" wrapText="1" readingOrder="1"/>
    </xf>
    <xf numFmtId="0" fontId="7" fillId="0" borderId="3" xfId="0" applyFont="1" applyBorder="1" applyAlignment="1">
      <alignment horizontal="right" vertical="top" wrapText="1" readingOrder="1"/>
    </xf>
    <xf numFmtId="174" fontId="8" fillId="0" borderId="1" xfId="0" applyNumberFormat="1" applyFont="1" applyBorder="1" applyAlignment="1">
      <alignment horizontal="left" vertical="center" wrapText="1" readingOrder="1"/>
    </xf>
    <xf numFmtId="170" fontId="8" fillId="0" borderId="1" xfId="0" applyNumberFormat="1" applyFont="1" applyBorder="1" applyAlignment="1">
      <alignment horizontal="left" vertical="center" wrapText="1" readingOrder="1"/>
    </xf>
    <xf numFmtId="0" fontId="0" fillId="0" borderId="0" xfId="0" applyAlignment="1">
      <alignment horizontal="center" vertical="top" readingOrder="1"/>
    </xf>
    <xf numFmtId="0" fontId="24" fillId="0" borderId="0" xfId="0" applyFont="1" applyAlignment="1">
      <alignment vertical="center"/>
    </xf>
    <xf numFmtId="0" fontId="26" fillId="0" borderId="7" xfId="0" applyFont="1" applyBorder="1" applyAlignment="1">
      <alignment vertical="center" wrapText="1"/>
    </xf>
    <xf numFmtId="0" fontId="26" fillId="0" borderId="7" xfId="0" applyFont="1" applyBorder="1" applyAlignment="1">
      <alignment vertical="center"/>
    </xf>
    <xf numFmtId="2" fontId="26" fillId="0" borderId="7" xfId="0" applyNumberFormat="1" applyFont="1" applyBorder="1" applyAlignment="1">
      <alignment vertical="center"/>
    </xf>
    <xf numFmtId="10" fontId="24" fillId="0" borderId="7" xfId="7" applyNumberFormat="1" applyFont="1" applyFill="1" applyBorder="1" applyAlignment="1">
      <alignment vertical="center"/>
    </xf>
    <xf numFmtId="4" fontId="26" fillId="0" borderId="7" xfId="0" applyNumberFormat="1" applyFont="1" applyBorder="1" applyAlignment="1">
      <alignment vertical="center"/>
    </xf>
    <xf numFmtId="0" fontId="25" fillId="0" borderId="7" xfId="8" applyFont="1" applyBorder="1" applyAlignment="1">
      <alignment horizontal="center" vertical="center"/>
    </xf>
    <xf numFmtId="0" fontId="25" fillId="0" borderId="0" xfId="8" applyFont="1" applyAlignment="1">
      <alignment horizontal="center" vertical="center"/>
    </xf>
    <xf numFmtId="0" fontId="13" fillId="0" borderId="0" xfId="2" applyAlignment="1">
      <alignment vertical="center" wrapText="1"/>
    </xf>
    <xf numFmtId="0" fontId="24" fillId="0" borderId="7" xfId="8" applyFont="1" applyBorder="1" applyAlignment="1">
      <alignment vertical="center"/>
    </xf>
    <xf numFmtId="0" fontId="24" fillId="0" borderId="7" xfId="8" applyFont="1" applyBorder="1" applyAlignment="1">
      <alignment vertical="center" wrapText="1"/>
    </xf>
    <xf numFmtId="0" fontId="24" fillId="0" borderId="0" xfId="8" applyFont="1" applyAlignment="1">
      <alignment horizontal="center" vertical="center"/>
    </xf>
    <xf numFmtId="0" fontId="25" fillId="0" borderId="7" xfId="8" applyFont="1" applyBorder="1" applyAlignment="1">
      <alignment horizontal="center" vertical="center" wrapText="1"/>
    </xf>
    <xf numFmtId="0" fontId="24" fillId="0" borderId="7" xfId="8" applyFont="1" applyBorder="1" applyAlignment="1">
      <alignment horizontal="left" vertical="center"/>
    </xf>
    <xf numFmtId="2" fontId="24" fillId="0" borderId="7" xfId="8" applyNumberFormat="1" applyFont="1" applyBorder="1" applyAlignment="1">
      <alignment horizontal="right" vertical="center" wrapText="1"/>
    </xf>
    <xf numFmtId="4" fontId="24" fillId="0" borderId="7" xfId="8" applyNumberFormat="1" applyFont="1" applyBorder="1" applyAlignment="1">
      <alignment horizontal="right" vertical="center"/>
    </xf>
    <xf numFmtId="0" fontId="6" fillId="0" borderId="1" xfId="0" applyFont="1" applyBorder="1" applyAlignment="1">
      <alignment horizontal="center" vertical="center" wrapText="1" readingOrder="1"/>
    </xf>
    <xf numFmtId="0" fontId="8" fillId="0" borderId="1" xfId="0" applyFont="1" applyBorder="1" applyAlignment="1">
      <alignment horizontal="right" vertical="center" wrapText="1" readingOrder="1"/>
    </xf>
    <xf numFmtId="0" fontId="18" fillId="0" borderId="0" xfId="0" applyFont="1" applyAlignment="1">
      <alignment horizontal="left" vertical="center" wrapText="1" readingOrder="1"/>
    </xf>
    <xf numFmtId="0" fontId="18" fillId="0" borderId="0" xfId="0" applyFont="1" applyAlignment="1">
      <alignment horizontal="right" vertical="center" wrapText="1" readingOrder="1"/>
    </xf>
    <xf numFmtId="0" fontId="18" fillId="0" borderId="0" xfId="2" applyFont="1" applyAlignment="1">
      <alignment horizontal="left" vertical="center" wrapText="1" readingOrder="1"/>
    </xf>
    <xf numFmtId="0" fontId="18" fillId="0" borderId="0" xfId="2" applyFont="1" applyAlignment="1">
      <alignment horizontal="right" vertical="center" wrapText="1" readingOrder="1"/>
    </xf>
    <xf numFmtId="171" fontId="7" fillId="0" borderId="1" xfId="0" applyNumberFormat="1" applyFont="1" applyBorder="1" applyAlignment="1">
      <alignment horizontal="right" vertical="center" wrapText="1" readingOrder="1"/>
    </xf>
    <xf numFmtId="0" fontId="7" fillId="0" borderId="2" xfId="0" applyFont="1" applyBorder="1" applyAlignment="1">
      <alignment horizontal="right" vertical="top" wrapText="1" readingOrder="1"/>
    </xf>
    <xf numFmtId="175" fontId="24" fillId="0" borderId="0" xfId="6" applyNumberFormat="1" applyFont="1" applyFill="1"/>
    <xf numFmtId="164" fontId="24" fillId="0" borderId="0" xfId="6" applyFont="1" applyFill="1"/>
    <xf numFmtId="174" fontId="19" fillId="0" borderId="1" xfId="0" applyNumberFormat="1" applyFont="1" applyBorder="1" applyAlignment="1">
      <alignment horizontal="left" vertical="center" wrapText="1" readingOrder="1"/>
    </xf>
    <xf numFmtId="0" fontId="4" fillId="0" borderId="0" xfId="5"/>
    <xf numFmtId="0" fontId="12" fillId="0" borderId="7" xfId="10" applyFont="1" applyBorder="1" applyAlignment="1">
      <alignment horizontal="center" vertical="center" wrapText="1"/>
    </xf>
    <xf numFmtId="0" fontId="21" fillId="0" borderId="7" xfId="0" applyFont="1" applyBorder="1" applyAlignment="1">
      <alignment horizontal="center" vertical="center" wrapText="1" readingOrder="1"/>
    </xf>
    <xf numFmtId="0" fontId="26" fillId="0" borderId="7" xfId="11" applyFont="1" applyBorder="1" applyProtection="1">
      <protection locked="0"/>
    </xf>
    <xf numFmtId="0" fontId="27" fillId="0" borderId="7" xfId="11" applyFont="1" applyBorder="1" applyAlignment="1" applyProtection="1">
      <alignment wrapText="1"/>
      <protection locked="0"/>
    </xf>
    <xf numFmtId="0" fontId="26" fillId="0" borderId="7" xfId="11" applyFont="1" applyBorder="1" applyAlignment="1">
      <alignment horizontal="right"/>
    </xf>
    <xf numFmtId="0" fontId="4" fillId="0" borderId="7" xfId="5" applyBorder="1"/>
    <xf numFmtId="0" fontId="26" fillId="0" borderId="7" xfId="11" applyFont="1" applyBorder="1" applyAlignment="1" applyProtection="1">
      <alignment wrapText="1"/>
      <protection locked="0"/>
    </xf>
    <xf numFmtId="176" fontId="26" fillId="0" borderId="7" xfId="11" applyNumberFormat="1" applyFont="1" applyBorder="1" applyProtection="1">
      <protection locked="0"/>
    </xf>
    <xf numFmtId="164" fontId="26" fillId="0" borderId="7" xfId="6" applyFont="1" applyFill="1" applyBorder="1" applyAlignment="1">
      <alignment horizontal="right"/>
    </xf>
    <xf numFmtId="10" fontId="26" fillId="0" borderId="7" xfId="11" applyNumberFormat="1" applyFont="1" applyBorder="1" applyAlignment="1">
      <alignment horizontal="right"/>
    </xf>
    <xf numFmtId="0" fontId="26" fillId="0" borderId="7" xfId="11" applyFont="1" applyBorder="1" applyAlignment="1">
      <alignment horizontal="center"/>
    </xf>
    <xf numFmtId="177" fontId="4" fillId="0" borderId="7" xfId="5" applyNumberFormat="1" applyBorder="1"/>
    <xf numFmtId="0" fontId="26" fillId="0" borderId="7" xfId="11" applyFont="1" applyBorder="1"/>
    <xf numFmtId="0" fontId="27" fillId="0" borderId="7" xfId="10" applyFont="1" applyBorder="1" applyAlignment="1">
      <alignment vertical="center" wrapText="1"/>
    </xf>
    <xf numFmtId="176" fontId="27" fillId="0" borderId="7" xfId="10" applyNumberFormat="1" applyFont="1" applyBorder="1" applyAlignment="1">
      <alignment vertical="center" wrapText="1"/>
    </xf>
    <xf numFmtId="43" fontId="27" fillId="0" borderId="7" xfId="12" applyFont="1" applyFill="1" applyBorder="1" applyAlignment="1">
      <alignment vertical="center" wrapText="1"/>
    </xf>
    <xf numFmtId="10" fontId="27" fillId="0" borderId="7" xfId="6" applyNumberFormat="1" applyFont="1" applyBorder="1" applyAlignment="1">
      <alignment horizontal="right" vertical="center"/>
    </xf>
    <xf numFmtId="10" fontId="4" fillId="0" borderId="7" xfId="5" applyNumberFormat="1" applyBorder="1"/>
    <xf numFmtId="43" fontId="26" fillId="0" borderId="7" xfId="12" applyFont="1" applyFill="1" applyBorder="1" applyAlignment="1">
      <alignment horizontal="right"/>
    </xf>
    <xf numFmtId="0" fontId="27" fillId="0" borderId="7" xfId="11" applyFont="1" applyBorder="1" applyProtection="1">
      <protection locked="0"/>
    </xf>
    <xf numFmtId="43" fontId="26" fillId="0" borderId="7" xfId="12" applyFont="1" applyFill="1" applyBorder="1" applyAlignment="1" applyProtection="1">
      <alignment horizontal="right"/>
      <protection locked="0"/>
    </xf>
    <xf numFmtId="0" fontId="26" fillId="0" borderId="7" xfId="5" applyFont="1" applyBorder="1"/>
    <xf numFmtId="43" fontId="26" fillId="0" borderId="7" xfId="12" applyFont="1" applyFill="1" applyBorder="1"/>
    <xf numFmtId="10" fontId="26" fillId="0" borderId="7" xfId="12" applyNumberFormat="1" applyFont="1" applyFill="1" applyBorder="1"/>
    <xf numFmtId="2" fontId="24" fillId="0" borderId="7" xfId="5" applyNumberFormat="1" applyFont="1" applyBorder="1"/>
    <xf numFmtId="2" fontId="26" fillId="0" borderId="7" xfId="11" applyNumberFormat="1" applyFont="1" applyBorder="1" applyAlignment="1">
      <alignment horizontal="right"/>
    </xf>
    <xf numFmtId="0" fontId="27" fillId="0" borderId="7" xfId="11" applyFont="1" applyBorder="1"/>
    <xf numFmtId="43" fontId="27" fillId="0" borderId="7" xfId="12" applyFont="1" applyFill="1" applyBorder="1" applyAlignment="1">
      <alignment horizontal="right"/>
    </xf>
    <xf numFmtId="164" fontId="4" fillId="0" borderId="7" xfId="5" applyNumberFormat="1" applyBorder="1"/>
    <xf numFmtId="10" fontId="27" fillId="0" borderId="7" xfId="11" applyNumberFormat="1" applyFont="1" applyBorder="1" applyAlignment="1">
      <alignment horizontal="right"/>
    </xf>
    <xf numFmtId="4" fontId="28" fillId="0" borderId="7" xfId="0" applyNumberFormat="1" applyFont="1" applyBorder="1" applyAlignment="1"/>
    <xf numFmtId="4" fontId="4" fillId="0" borderId="0" xfId="5" applyNumberFormat="1"/>
    <xf numFmtId="178" fontId="4" fillId="0" borderId="0" xfId="5" applyNumberFormat="1"/>
    <xf numFmtId="0" fontId="29" fillId="0" borderId="0" xfId="13" applyFont="1" applyAlignment="1">
      <alignment horizontal="left" vertical="center" wrapText="1"/>
    </xf>
    <xf numFmtId="0" fontId="30" fillId="0" borderId="0" xfId="13" applyFont="1" applyAlignment="1">
      <alignment vertical="center"/>
    </xf>
    <xf numFmtId="164" fontId="30" fillId="0" borderId="0" xfId="13" applyNumberFormat="1" applyFont="1" applyAlignment="1">
      <alignment vertical="center"/>
    </xf>
    <xf numFmtId="4" fontId="31" fillId="0" borderId="0" xfId="5" applyNumberFormat="1" applyFont="1"/>
    <xf numFmtId="2" fontId="30" fillId="0" borderId="0" xfId="13" applyNumberFormat="1" applyFont="1" applyAlignment="1">
      <alignment vertical="center"/>
    </xf>
    <xf numFmtId="0" fontId="26" fillId="0" borderId="0" xfId="14" applyFont="1" applyAlignment="1">
      <alignment vertical="center"/>
    </xf>
    <xf numFmtId="0" fontId="30" fillId="0" borderId="7" xfId="13" applyFont="1" applyBorder="1" applyAlignment="1">
      <alignment vertical="center"/>
    </xf>
    <xf numFmtId="0" fontId="27" fillId="0" borderId="7" xfId="14" applyFont="1" applyBorder="1" applyAlignment="1">
      <alignment horizontal="center" vertical="center"/>
    </xf>
    <xf numFmtId="0" fontId="29" fillId="0" borderId="0" xfId="13" applyFont="1" applyAlignment="1">
      <alignment vertical="center"/>
    </xf>
    <xf numFmtId="0" fontId="27" fillId="0" borderId="7" xfId="14" applyFont="1" applyBorder="1" applyAlignment="1">
      <alignment vertical="center"/>
    </xf>
    <xf numFmtId="14" fontId="11" fillId="0" borderId="7" xfId="5" applyNumberFormat="1" applyFont="1" applyBorder="1"/>
    <xf numFmtId="14" fontId="29" fillId="0" borderId="0" xfId="13" applyNumberFormat="1" applyFont="1" applyAlignment="1">
      <alignment horizontal="center"/>
    </xf>
    <xf numFmtId="0" fontId="24" fillId="0" borderId="0" xfId="5" applyFont="1"/>
    <xf numFmtId="0" fontId="30" fillId="0" borderId="7" xfId="13" applyFont="1" applyBorder="1" applyAlignment="1">
      <alignment horizontal="left" vertical="center"/>
    </xf>
    <xf numFmtId="179" fontId="24" fillId="0" borderId="7" xfId="5" applyNumberFormat="1" applyFont="1" applyBorder="1"/>
    <xf numFmtId="179" fontId="24" fillId="0" borderId="0" xfId="5" applyNumberFormat="1" applyFont="1"/>
    <xf numFmtId="10" fontId="24" fillId="0" borderId="0" xfId="5" applyNumberFormat="1" applyFont="1"/>
    <xf numFmtId="0" fontId="7" fillId="0" borderId="7" xfId="0" applyFont="1" applyBorder="1" applyAlignment="1">
      <alignment horizontal="left" vertical="center" wrapText="1" readingOrder="1"/>
    </xf>
    <xf numFmtId="0" fontId="7" fillId="0" borderId="0" xfId="0" applyFont="1" applyAlignment="1">
      <alignment vertical="center" readingOrder="1"/>
    </xf>
    <xf numFmtId="0" fontId="7" fillId="0" borderId="0" xfId="0" applyFont="1" applyAlignment="1">
      <alignment vertical="center" wrapText="1" readingOrder="1"/>
    </xf>
    <xf numFmtId="0" fontId="26" fillId="0" borderId="0" xfId="13" applyFont="1" applyAlignment="1">
      <alignment horizontal="center" vertical="center"/>
    </xf>
    <xf numFmtId="0" fontId="30" fillId="0" borderId="0" xfId="13" quotePrefix="1" applyFont="1" applyAlignment="1">
      <alignment vertical="center"/>
    </xf>
    <xf numFmtId="0" fontId="26" fillId="0" borderId="0" xfId="5" applyFont="1" applyAlignment="1">
      <alignment vertical="center" wrapText="1"/>
    </xf>
    <xf numFmtId="167" fontId="32" fillId="2" borderId="1" xfId="0" applyNumberFormat="1" applyFont="1" applyFill="1" applyBorder="1" applyAlignment="1">
      <alignment horizontal="right" vertical="center" wrapText="1" readingOrder="1"/>
    </xf>
    <xf numFmtId="168" fontId="32" fillId="2" borderId="1" xfId="0" applyNumberFormat="1" applyFont="1" applyFill="1" applyBorder="1" applyAlignment="1">
      <alignment horizontal="right" vertical="center" wrapText="1" readingOrder="1"/>
    </xf>
    <xf numFmtId="170" fontId="32" fillId="2" borderId="1" xfId="0" applyNumberFormat="1" applyFont="1" applyFill="1" applyBorder="1" applyAlignment="1">
      <alignment horizontal="right" vertical="center" wrapText="1" readingOrder="1"/>
    </xf>
    <xf numFmtId="0" fontId="35" fillId="4" borderId="0" xfId="3" applyFont="1" applyFill="1" applyBorder="1" applyAlignment="1">
      <alignment horizontal="center" vertical="center" wrapText="1"/>
    </xf>
    <xf numFmtId="0" fontId="0" fillId="0" borderId="0" xfId="0" applyAlignment="1">
      <alignment horizontal="center" vertical="center" wrapText="1"/>
    </xf>
    <xf numFmtId="0" fontId="11" fillId="0" borderId="0" xfId="0" applyFont="1" applyAlignment="1">
      <alignment horizontal="left" vertical="center"/>
    </xf>
    <xf numFmtId="0" fontId="0" fillId="0" borderId="0" xfId="0" applyAlignment="1"/>
    <xf numFmtId="0" fontId="15" fillId="4" borderId="0" xfId="3" applyFill="1" applyBorder="1" applyAlignment="1">
      <alignment horizontal="center" vertical="center" wrapText="1"/>
    </xf>
    <xf numFmtId="0" fontId="13" fillId="0" borderId="0" xfId="2" applyAlignment="1">
      <alignment horizontal="center" vertical="center" wrapText="1"/>
    </xf>
    <xf numFmtId="0" fontId="33" fillId="0" borderId="0" xfId="8" applyFont="1" applyAlignment="1">
      <alignment horizontal="center" vertical="center"/>
    </xf>
    <xf numFmtId="4" fontId="34" fillId="0" borderId="0" xfId="8" applyNumberFormat="1" applyFont="1"/>
    <xf numFmtId="0" fontId="36" fillId="0" borderId="0" xfId="0" applyFont="1" applyAlignment="1">
      <alignment vertical="center" wrapText="1"/>
    </xf>
    <xf numFmtId="0" fontId="11" fillId="0" borderId="0" xfId="0" applyFont="1" applyAlignment="1">
      <alignment horizontal="left" vertical="top"/>
    </xf>
    <xf numFmtId="0" fontId="37" fillId="0" borderId="0" xfId="0" applyFont="1">
      <alignment wrapText="1"/>
    </xf>
    <xf numFmtId="0" fontId="11" fillId="0" borderId="0" xfId="0" applyFont="1" applyAlignment="1">
      <alignment horizontal="left"/>
    </xf>
    <xf numFmtId="0" fontId="15" fillId="0" borderId="0" xfId="3" applyFill="1" applyBorder="1" applyAlignment="1">
      <alignment horizontal="center" vertical="center" wrapText="1"/>
    </xf>
    <xf numFmtId="0" fontId="14" fillId="0" borderId="0" xfId="15" applyFont="1"/>
    <xf numFmtId="0" fontId="1" fillId="0" borderId="0" xfId="15" applyAlignment="1">
      <alignment vertical="center"/>
    </xf>
    <xf numFmtId="0" fontId="1" fillId="0" borderId="0" xfId="15"/>
    <xf numFmtId="0" fontId="1" fillId="0" borderId="0" xfId="15" applyAlignment="1">
      <alignment horizontal="center" vertical="center"/>
    </xf>
    <xf numFmtId="0" fontId="14" fillId="0" borderId="0" xfId="15" applyFont="1" applyAlignment="1">
      <alignment horizontal="center" vertical="center"/>
    </xf>
    <xf numFmtId="176" fontId="14" fillId="0" borderId="0" xfId="15" applyNumberFormat="1" applyFont="1" applyAlignment="1">
      <alignment horizontal="center" vertical="center"/>
    </xf>
    <xf numFmtId="0" fontId="12" fillId="0" borderId="0" xfId="0" applyFont="1" applyAlignment="1">
      <alignment horizontal="left" vertical="center"/>
    </xf>
    <xf numFmtId="0" fontId="27" fillId="0" borderId="0" xfId="0" applyFont="1" applyAlignment="1"/>
    <xf numFmtId="0" fontId="27" fillId="0" borderId="7" xfId="0" applyFont="1" applyBorder="1" applyAlignment="1">
      <alignment horizontal="center" vertical="top"/>
    </xf>
    <xf numFmtId="0" fontId="27" fillId="0" borderId="7" xfId="0" applyFont="1" applyBorder="1" applyAlignment="1">
      <alignment horizontal="center" vertical="top" wrapText="1"/>
    </xf>
    <xf numFmtId="0" fontId="26" fillId="0" borderId="7" xfId="0" applyFont="1" applyBorder="1" applyAlignment="1">
      <alignment horizontal="left" vertical="top"/>
    </xf>
    <xf numFmtId="0" fontId="26" fillId="0" borderId="7" xfId="0" applyFont="1" applyBorder="1" applyAlignment="1">
      <alignment horizontal="center" vertical="top"/>
    </xf>
    <xf numFmtId="174" fontId="7" fillId="2" borderId="1" xfId="0" applyNumberFormat="1" applyFont="1" applyFill="1" applyBorder="1" applyAlignment="1">
      <alignment vertical="center" readingOrder="1"/>
    </xf>
    <xf numFmtId="174" fontId="7" fillId="2" borderId="1" xfId="0" applyNumberFormat="1" applyFont="1" applyFill="1" applyBorder="1" applyAlignment="1">
      <alignment horizontal="right" vertical="center" readingOrder="1"/>
    </xf>
    <xf numFmtId="2" fontId="26" fillId="0" borderId="7" xfId="0" applyNumberFormat="1" applyFont="1" applyBorder="1" applyAlignment="1">
      <alignment horizontal="right" vertical="top" wrapText="1"/>
    </xf>
    <xf numFmtId="0" fontId="7" fillId="2" borderId="11" xfId="0" applyFont="1" applyFill="1" applyBorder="1" applyAlignment="1">
      <alignment horizontal="left" vertical="center" readingOrder="1"/>
    </xf>
    <xf numFmtId="0" fontId="7" fillId="2" borderId="1" xfId="0" applyFont="1" applyFill="1" applyBorder="1" applyAlignment="1">
      <alignment horizontal="left" vertical="center" readingOrder="1"/>
    </xf>
    <xf numFmtId="0" fontId="26" fillId="0" borderId="12" xfId="0" applyFont="1" applyBorder="1" applyAlignment="1">
      <alignment horizontal="left" vertical="top"/>
    </xf>
    <xf numFmtId="0" fontId="7" fillId="0" borderId="13" xfId="0" applyFont="1" applyBorder="1" applyAlignment="1">
      <alignment horizontal="left" vertical="center" readingOrder="1"/>
    </xf>
    <xf numFmtId="174" fontId="7" fillId="0" borderId="1" xfId="0" applyNumberFormat="1" applyFont="1" applyBorder="1" applyAlignment="1">
      <alignment horizontal="right" vertical="center" readingOrder="1"/>
    </xf>
    <xf numFmtId="0" fontId="7" fillId="2" borderId="8" xfId="0" applyFont="1" applyFill="1" applyBorder="1" applyAlignment="1">
      <alignment horizontal="left" vertical="center" readingOrder="1"/>
    </xf>
    <xf numFmtId="174" fontId="7" fillId="2" borderId="1" xfId="0" applyNumberFormat="1" applyFont="1" applyFill="1" applyBorder="1" applyAlignment="1">
      <alignment horizontal="right" vertical="center" wrapText="1" readingOrder="1"/>
    </xf>
    <xf numFmtId="0" fontId="7" fillId="2" borderId="0" xfId="0" applyFont="1" applyFill="1" applyAlignment="1">
      <alignment horizontal="left" vertical="center" readingOrder="1"/>
    </xf>
    <xf numFmtId="2" fontId="26" fillId="0" borderId="14" xfId="0" applyNumberFormat="1" applyFont="1" applyBorder="1" applyAlignment="1">
      <alignment horizontal="right" vertical="top" wrapText="1"/>
    </xf>
    <xf numFmtId="4" fontId="26" fillId="0" borderId="7" xfId="0" applyNumberFormat="1" applyFont="1" applyBorder="1" applyAlignment="1"/>
    <xf numFmtId="2" fontId="26" fillId="0" borderId="0" xfId="0" applyNumberFormat="1" applyFont="1" applyAlignment="1">
      <alignment horizontal="right" vertical="top" wrapText="1"/>
    </xf>
    <xf numFmtId="0" fontId="7" fillId="2" borderId="7" xfId="0" applyFont="1" applyFill="1" applyBorder="1" applyAlignment="1">
      <alignment horizontal="left" vertical="center" wrapText="1" readingOrder="1"/>
    </xf>
    <xf numFmtId="174" fontId="7" fillId="2" borderId="7" xfId="0" applyNumberFormat="1" applyFont="1" applyFill="1" applyBorder="1" applyAlignment="1">
      <alignment horizontal="right" vertical="center" wrapText="1" readingOrder="1"/>
    </xf>
    <xf numFmtId="174" fontId="7" fillId="2" borderId="7" xfId="0" applyNumberFormat="1" applyFont="1" applyFill="1" applyBorder="1" applyAlignment="1">
      <alignment horizontal="right" vertical="center" readingOrder="1"/>
    </xf>
    <xf numFmtId="0" fontId="7" fillId="2" borderId="7" xfId="0" applyFont="1" applyFill="1" applyBorder="1" applyAlignment="1">
      <alignment horizontal="left" vertical="center" readingOrder="1"/>
    </xf>
    <xf numFmtId="174" fontId="26" fillId="0" borderId="0" xfId="0" applyNumberFormat="1" applyFont="1" applyAlignment="1"/>
    <xf numFmtId="0" fontId="27" fillId="0" borderId="7" xfId="0" applyFont="1" applyBorder="1" applyAlignment="1">
      <alignment horizontal="center"/>
    </xf>
    <xf numFmtId="10" fontId="26" fillId="0" borderId="7" xfId="7" applyNumberFormat="1" applyFont="1" applyFill="1" applyBorder="1" applyAlignment="1">
      <alignment horizontal="center"/>
    </xf>
    <xf numFmtId="10" fontId="26" fillId="0" borderId="7" xfId="0" applyNumberFormat="1" applyFont="1" applyBorder="1" applyAlignment="1">
      <alignment horizontal="center"/>
    </xf>
    <xf numFmtId="0" fontId="26" fillId="0" borderId="7" xfId="0" applyFont="1" applyBorder="1" applyAlignment="1"/>
    <xf numFmtId="37" fontId="26" fillId="0" borderId="7" xfId="6" applyNumberFormat="1" applyFont="1" applyFill="1" applyBorder="1" applyAlignment="1">
      <alignment horizontal="center"/>
    </xf>
    <xf numFmtId="43" fontId="26" fillId="0" borderId="7" xfId="6" applyNumberFormat="1" applyFont="1" applyFill="1" applyBorder="1"/>
    <xf numFmtId="164" fontId="26" fillId="0" borderId="0" xfId="6" applyFont="1" applyFill="1" applyBorder="1"/>
    <xf numFmtId="43" fontId="26" fillId="0" borderId="0" xfId="0" applyNumberFormat="1" applyFont="1" applyAlignment="1"/>
    <xf numFmtId="4" fontId="26" fillId="0" borderId="0" xfId="0" applyNumberFormat="1" applyFont="1" applyAlignment="1"/>
    <xf numFmtId="0" fontId="26" fillId="0" borderId="7" xfId="6" applyNumberFormat="1" applyFont="1" applyFill="1" applyBorder="1" applyAlignment="1">
      <alignment horizontal="center"/>
    </xf>
    <xf numFmtId="4" fontId="26" fillId="0" borderId="7" xfId="6" applyNumberFormat="1" applyFont="1" applyFill="1" applyBorder="1"/>
    <xf numFmtId="0" fontId="26" fillId="0" borderId="7" xfId="0" applyFont="1" applyBorder="1" applyAlignment="1">
      <alignment horizontal="left" vertical="top" wrapText="1"/>
    </xf>
    <xf numFmtId="177" fontId="26" fillId="0" borderId="7" xfId="6" applyNumberFormat="1" applyFont="1" applyFill="1" applyBorder="1"/>
    <xf numFmtId="164" fontId="26" fillId="0" borderId="7" xfId="6" applyFont="1" applyFill="1" applyBorder="1"/>
    <xf numFmtId="180" fontId="26" fillId="0" borderId="0" xfId="0" applyNumberFormat="1" applyFont="1" applyAlignment="1"/>
    <xf numFmtId="164" fontId="26" fillId="0" borderId="7" xfId="6" applyFont="1" applyFill="1" applyBorder="1" applyAlignment="1"/>
    <xf numFmtId="0" fontId="26" fillId="0" borderId="0" xfId="0" applyFont="1" applyAlignment="1" applyProtection="1">
      <alignment horizontal="left"/>
      <protection locked="0"/>
    </xf>
    <xf numFmtId="0" fontId="26" fillId="0" borderId="0" xfId="0" applyFont="1" applyAlignment="1">
      <alignment horizontal="center" vertical="top"/>
    </xf>
    <xf numFmtId="164" fontId="26" fillId="0" borderId="0" xfId="6" applyFont="1" applyFill="1" applyBorder="1" applyAlignment="1" applyProtection="1">
      <alignment horizontal="left"/>
      <protection locked="0"/>
    </xf>
    <xf numFmtId="4" fontId="26" fillId="0" borderId="0" xfId="0" applyNumberFormat="1" applyFont="1" applyAlignment="1">
      <alignment horizontal="right" vertical="center"/>
    </xf>
    <xf numFmtId="2" fontId="26" fillId="0" borderId="7" xfId="0" applyNumberFormat="1" applyFont="1" applyBorder="1" applyAlignment="1">
      <alignment horizontal="center"/>
    </xf>
    <xf numFmtId="0" fontId="26" fillId="0" borderId="0" xfId="0" applyFont="1" applyAlignment="1">
      <alignment horizontal="left" vertical="top"/>
    </xf>
    <xf numFmtId="10" fontId="26" fillId="0" borderId="0" xfId="0" applyNumberFormat="1" applyFont="1" applyAlignment="1">
      <alignment horizontal="center"/>
    </xf>
    <xf numFmtId="164" fontId="26" fillId="0" borderId="7" xfId="6" applyFont="1" applyFill="1" applyBorder="1" applyAlignment="1">
      <alignment horizontal="center" vertical="top" wrapText="1"/>
    </xf>
    <xf numFmtId="0" fontId="26" fillId="0" borderId="7" xfId="0" applyFont="1" applyBorder="1" applyAlignment="1">
      <alignment horizontal="center"/>
    </xf>
    <xf numFmtId="2" fontId="26" fillId="0" borderId="7" xfId="0" applyNumberFormat="1" applyFont="1" applyBorder="1" applyAlignment="1">
      <alignment horizontal="right"/>
    </xf>
    <xf numFmtId="164" fontId="26" fillId="0" borderId="0" xfId="0" applyNumberFormat="1" applyFont="1" applyAlignment="1"/>
    <xf numFmtId="1" fontId="26" fillId="0" borderId="7" xfId="0" applyNumberFormat="1" applyFont="1" applyBorder="1" applyAlignment="1">
      <alignment horizontal="center"/>
    </xf>
    <xf numFmtId="164" fontId="27" fillId="0" borderId="0" xfId="6" applyFont="1" applyFill="1" applyBorder="1"/>
    <xf numFmtId="0" fontId="26" fillId="0" borderId="7" xfId="0" applyFont="1" applyBorder="1" applyAlignment="1">
      <alignment vertical="top" wrapText="1"/>
    </xf>
    <xf numFmtId="43" fontId="27" fillId="0" borderId="0" xfId="0" applyNumberFormat="1" applyFont="1" applyAlignment="1"/>
    <xf numFmtId="0" fontId="27" fillId="0" borderId="7" xfId="6" applyNumberFormat="1" applyFont="1" applyFill="1" applyBorder="1" applyAlignment="1">
      <alignment horizontal="center"/>
    </xf>
    <xf numFmtId="4" fontId="27" fillId="0" borderId="7" xfId="6" applyNumberFormat="1" applyFont="1" applyFill="1" applyBorder="1"/>
    <xf numFmtId="164" fontId="27" fillId="0" borderId="7" xfId="6" applyFont="1" applyFill="1" applyBorder="1" applyAlignment="1">
      <alignment horizontal="center" vertical="top" wrapText="1"/>
    </xf>
    <xf numFmtId="0" fontId="27" fillId="0" borderId="0" xfId="0" applyFont="1" applyAlignment="1">
      <alignment vertical="top" wrapText="1"/>
    </xf>
    <xf numFmtId="0" fontId="26" fillId="0" borderId="0" xfId="0" applyFont="1" applyAlignment="1">
      <alignment horizontal="center"/>
    </xf>
    <xf numFmtId="2" fontId="26" fillId="0" borderId="0" xfId="0" applyNumberFormat="1" applyFont="1" applyAlignment="1">
      <alignment horizontal="right"/>
    </xf>
    <xf numFmtId="0" fontId="26" fillId="0" borderId="0" xfId="0" applyFont="1" applyAlignment="1">
      <alignment horizontal="right" vertical="top" wrapText="1"/>
    </xf>
    <xf numFmtId="0" fontId="26" fillId="0" borderId="7" xfId="0" applyFont="1" applyBorder="1" applyAlignment="1">
      <alignment horizontal="center" vertical="top" wrapText="1"/>
    </xf>
    <xf numFmtId="181" fontId="26" fillId="0" borderId="0" xfId="0" applyNumberFormat="1" applyFont="1" applyAlignment="1">
      <alignment horizontal="right" vertical="top" wrapText="1"/>
    </xf>
    <xf numFmtId="2" fontId="26" fillId="0" borderId="0" xfId="0" applyNumberFormat="1" applyFont="1" applyAlignment="1">
      <alignment horizontal="center"/>
    </xf>
    <xf numFmtId="0" fontId="26" fillId="0" borderId="7" xfId="0" applyFont="1" applyBorder="1" applyAlignment="1">
      <alignment horizontal="left"/>
    </xf>
    <xf numFmtId="2" fontId="26" fillId="0" borderId="7" xfId="0" applyNumberFormat="1" applyFont="1" applyBorder="1" applyAlignment="1">
      <alignment horizontal="center" vertical="top" wrapText="1"/>
    </xf>
    <xf numFmtId="0" fontId="26" fillId="0" borderId="0" xfId="0" applyFont="1" applyAlignment="1">
      <alignment horizontal="left"/>
    </xf>
    <xf numFmtId="0" fontId="26" fillId="0" borderId="0" xfId="0" applyFont="1" applyAlignment="1">
      <alignment horizontal="right" vertical="top"/>
    </xf>
    <xf numFmtId="2" fontId="26" fillId="0" borderId="0" xfId="0" applyNumberFormat="1" applyFont="1" applyAlignment="1">
      <alignment horizontal="right" vertical="top"/>
    </xf>
    <xf numFmtId="182" fontId="26" fillId="0" borderId="0" xfId="6" applyNumberFormat="1" applyFont="1" applyFill="1" applyBorder="1" applyAlignment="1">
      <alignment horizontal="center" vertical="top" wrapText="1"/>
    </xf>
    <xf numFmtId="0" fontId="26" fillId="0" borderId="0" xfId="0" applyFont="1" applyAlignment="1">
      <alignment horizontal="left" vertical="top" wrapText="1"/>
    </xf>
    <xf numFmtId="175" fontId="26" fillId="0" borderId="0" xfId="6" applyNumberFormat="1" applyFont="1" applyFill="1" applyBorder="1" applyAlignment="1">
      <alignment horizontal="right" vertical="top" wrapText="1"/>
    </xf>
    <xf numFmtId="2" fontId="26" fillId="0" borderId="0" xfId="0" applyNumberFormat="1" applyFont="1" applyAlignment="1"/>
    <xf numFmtId="4" fontId="26" fillId="0" borderId="0" xfId="6" applyNumberFormat="1" applyFont="1" applyFill="1" applyBorder="1"/>
    <xf numFmtId="2" fontId="26" fillId="0" borderId="7" xfId="0" applyNumberFormat="1" applyFont="1" applyBorder="1" applyAlignment="1">
      <alignment vertical="top" wrapText="1"/>
    </xf>
    <xf numFmtId="4" fontId="26" fillId="0" borderId="7" xfId="0" applyNumberFormat="1" applyFont="1" applyBorder="1" applyAlignment="1">
      <alignment horizontal="center"/>
    </xf>
    <xf numFmtId="4" fontId="26" fillId="0" borderId="7" xfId="6" applyNumberFormat="1" applyFont="1" applyFill="1" applyBorder="1" applyAlignment="1">
      <alignment horizontal="center"/>
    </xf>
    <xf numFmtId="4" fontId="27" fillId="0" borderId="7" xfId="0" applyNumberFormat="1" applyFont="1" applyBorder="1" applyAlignment="1">
      <alignment horizontal="center" vertical="top" wrapText="1"/>
    </xf>
    <xf numFmtId="4" fontId="26" fillId="0" borderId="7" xfId="0" applyNumberFormat="1" applyFont="1" applyBorder="1" applyAlignment="1">
      <alignment horizontal="center" vertical="top" wrapText="1"/>
    </xf>
    <xf numFmtId="0" fontId="22" fillId="2" borderId="7" xfId="0" applyFont="1" applyFill="1" applyBorder="1" applyAlignment="1">
      <alignment horizontal="center" vertical="center" wrapText="1" readingOrder="1"/>
    </xf>
    <xf numFmtId="0" fontId="22" fillId="2" borderId="8" xfId="0" applyFont="1" applyFill="1" applyBorder="1" applyAlignment="1">
      <alignment horizontal="center" vertical="center" readingOrder="1"/>
    </xf>
    <xf numFmtId="0" fontId="22" fillId="2" borderId="9" xfId="0" applyFont="1" applyFill="1" applyBorder="1" applyAlignment="1">
      <alignment horizontal="center" vertical="center" readingOrder="1"/>
    </xf>
    <xf numFmtId="0" fontId="22" fillId="2" borderId="10" xfId="0" applyFont="1" applyFill="1" applyBorder="1" applyAlignment="1">
      <alignment horizontal="center" vertical="center" readingOrder="1"/>
    </xf>
    <xf numFmtId="0" fontId="8" fillId="2" borderId="4" xfId="0" applyFont="1" applyFill="1" applyBorder="1" applyAlignment="1">
      <alignment horizontal="left" vertical="center" wrapText="1" readingOrder="1"/>
    </xf>
    <xf numFmtId="0" fontId="8" fillId="2" borderId="6" xfId="0" applyFont="1" applyFill="1" applyBorder="1" applyAlignment="1">
      <alignment horizontal="left" vertical="center" wrapText="1" readingOrder="1"/>
    </xf>
    <xf numFmtId="0" fontId="12" fillId="0" borderId="0" xfId="4" applyFont="1" applyAlignment="1">
      <alignment horizontal="center" vertical="center" wrapText="1"/>
    </xf>
    <xf numFmtId="0" fontId="17" fillId="2" borderId="0" xfId="0" applyFont="1" applyFill="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6" xfId="0" applyFont="1" applyFill="1" applyBorder="1" applyAlignment="1">
      <alignment horizontal="left" vertical="center" wrapText="1" readingOrder="1"/>
    </xf>
    <xf numFmtId="0" fontId="17" fillId="2" borderId="4" xfId="0" applyFont="1" applyFill="1" applyBorder="1" applyAlignment="1">
      <alignment horizontal="left" vertical="center" wrapText="1" readingOrder="1"/>
    </xf>
    <xf numFmtId="0" fontId="17" fillId="2" borderId="6" xfId="0" applyFont="1" applyFill="1" applyBorder="1" applyAlignment="1">
      <alignment horizontal="left" vertical="center" wrapText="1" readingOrder="1"/>
    </xf>
    <xf numFmtId="0" fontId="7" fillId="2" borderId="0" xfId="0" applyFont="1" applyFill="1" applyAlignment="1">
      <alignment horizontal="left" vertical="center" wrapText="1" readingOrder="1"/>
    </xf>
    <xf numFmtId="0" fontId="17" fillId="0" borderId="4" xfId="0" applyFont="1" applyBorder="1" applyAlignment="1">
      <alignment horizontal="left" vertical="center" wrapText="1" readingOrder="1"/>
    </xf>
    <xf numFmtId="0" fontId="17" fillId="0" borderId="6" xfId="0" applyFont="1" applyBorder="1" applyAlignment="1">
      <alignment horizontal="left" vertical="center" wrapText="1" readingOrder="1"/>
    </xf>
    <xf numFmtId="0" fontId="7" fillId="0" borderId="4" xfId="0" applyFont="1" applyBorder="1" applyAlignment="1">
      <alignment horizontal="left" vertical="center" wrapText="1" readingOrder="1"/>
    </xf>
    <xf numFmtId="0" fontId="7" fillId="0" borderId="6" xfId="0" applyFont="1" applyBorder="1" applyAlignment="1">
      <alignment horizontal="left" vertical="center" wrapText="1" readingOrder="1"/>
    </xf>
    <xf numFmtId="0" fontId="7" fillId="0" borderId="0" xfId="0" applyFont="1" applyAlignment="1">
      <alignment horizontal="left" vertical="center" wrapText="1" readingOrder="1"/>
    </xf>
    <xf numFmtId="0" fontId="17" fillId="0" borderId="0" xfId="0" applyFont="1" applyAlignment="1">
      <alignment horizontal="left" vertical="center" wrapText="1" readingOrder="1"/>
    </xf>
    <xf numFmtId="0" fontId="8" fillId="0" borderId="4" xfId="0" applyFont="1" applyBorder="1" applyAlignment="1">
      <alignment horizontal="left" vertical="center" wrapText="1" readingOrder="1"/>
    </xf>
    <xf numFmtId="0" fontId="8" fillId="0" borderId="5" xfId="0" applyFont="1" applyBorder="1" applyAlignment="1">
      <alignment horizontal="left" vertical="center" wrapText="1" readingOrder="1"/>
    </xf>
    <xf numFmtId="0" fontId="8" fillId="0" borderId="6" xfId="0" applyFont="1" applyBorder="1" applyAlignment="1">
      <alignment horizontal="left" vertical="center" wrapText="1" readingOrder="1"/>
    </xf>
    <xf numFmtId="0" fontId="24" fillId="0" borderId="8" xfId="8" applyFont="1" applyBorder="1" applyAlignment="1">
      <alignment horizontal="left" vertical="center" wrapText="1"/>
    </xf>
    <xf numFmtId="0" fontId="24" fillId="0" borderId="9" xfId="8" applyFont="1" applyBorder="1" applyAlignment="1">
      <alignment horizontal="left" vertical="center" wrapText="1"/>
    </xf>
    <xf numFmtId="0" fontId="24" fillId="0" borderId="10" xfId="8" applyFont="1" applyBorder="1" applyAlignment="1">
      <alignment horizontal="left" vertical="center" wrapText="1"/>
    </xf>
    <xf numFmtId="0" fontId="22" fillId="0" borderId="7" xfId="0" applyFont="1" applyBorder="1" applyAlignment="1">
      <alignment horizontal="center" vertical="center" wrapText="1" readingOrder="1"/>
    </xf>
    <xf numFmtId="0" fontId="22" fillId="0" borderId="7" xfId="0" applyFont="1" applyBorder="1" applyAlignment="1">
      <alignment horizontal="center" vertical="center" readingOrder="1"/>
    </xf>
    <xf numFmtId="0" fontId="24" fillId="0" borderId="8" xfId="6" applyNumberFormat="1" applyFont="1" applyFill="1" applyBorder="1" applyAlignment="1">
      <alignment horizontal="center" vertical="center"/>
    </xf>
    <xf numFmtId="0" fontId="24" fillId="0" borderId="10" xfId="6" applyNumberFormat="1" applyFont="1" applyFill="1" applyBorder="1" applyAlignment="1">
      <alignment horizontal="center" vertical="center"/>
    </xf>
    <xf numFmtId="0" fontId="25" fillId="0" borderId="8" xfId="8" applyFont="1" applyBorder="1" applyAlignment="1">
      <alignment horizontal="center" vertical="center"/>
    </xf>
    <xf numFmtId="0" fontId="25" fillId="0" borderId="9" xfId="8" applyFont="1" applyBorder="1" applyAlignment="1">
      <alignment horizontal="center" vertical="center"/>
    </xf>
    <xf numFmtId="0" fontId="25" fillId="0" borderId="10" xfId="8" applyFont="1" applyBorder="1" applyAlignment="1">
      <alignment horizontal="center" vertical="center"/>
    </xf>
    <xf numFmtId="0" fontId="25" fillId="0" borderId="7" xfId="8" applyFont="1" applyBorder="1" applyAlignment="1">
      <alignment horizontal="center" vertical="center"/>
    </xf>
    <xf numFmtId="0" fontId="25" fillId="0" borderId="8" xfId="8" applyFont="1" applyBorder="1" applyAlignment="1">
      <alignment horizontal="center" vertical="center" wrapText="1"/>
    </xf>
    <xf numFmtId="0" fontId="25" fillId="0" borderId="10" xfId="8" applyFont="1" applyBorder="1" applyAlignment="1">
      <alignment horizontal="center" vertical="center" wrapText="1"/>
    </xf>
    <xf numFmtId="0" fontId="22" fillId="0" borderId="8" xfId="0" applyFont="1" applyBorder="1" applyAlignment="1">
      <alignment horizontal="center" vertical="center" readingOrder="1"/>
    </xf>
    <xf numFmtId="0" fontId="22" fillId="0" borderId="9" xfId="0" applyFont="1" applyBorder="1" applyAlignment="1">
      <alignment horizontal="center" vertical="center" readingOrder="1"/>
    </xf>
    <xf numFmtId="0" fontId="22" fillId="0" borderId="10" xfId="0" applyFont="1" applyBorder="1" applyAlignment="1">
      <alignment horizontal="center" vertical="center" readingOrder="1"/>
    </xf>
    <xf numFmtId="0" fontId="17" fillId="0" borderId="0" xfId="2" applyFont="1" applyAlignment="1">
      <alignment horizontal="left" vertical="center" wrapText="1" readingOrder="1"/>
    </xf>
    <xf numFmtId="0" fontId="17" fillId="0" borderId="4" xfId="0" applyFont="1" applyBorder="1" applyAlignment="1">
      <alignment horizontal="left" vertical="top" wrapText="1" readingOrder="1"/>
    </xf>
    <xf numFmtId="0" fontId="17" fillId="0" borderId="6" xfId="0" applyFont="1" applyBorder="1" applyAlignment="1">
      <alignment horizontal="left" vertical="top" wrapText="1" readingOrder="1"/>
    </xf>
    <xf numFmtId="0" fontId="17" fillId="2" borderId="0" xfId="2" applyFont="1" applyFill="1" applyAlignment="1">
      <alignment horizontal="left" vertical="center" wrapText="1" readingOrder="1"/>
    </xf>
    <xf numFmtId="0" fontId="8" fillId="2" borderId="5" xfId="0" applyFont="1" applyFill="1" applyBorder="1" applyAlignment="1">
      <alignment horizontal="left" vertical="center" wrapText="1" readingOrder="1"/>
    </xf>
    <xf numFmtId="0" fontId="6" fillId="2" borderId="8" xfId="0" applyFont="1" applyFill="1" applyBorder="1" applyAlignment="1">
      <alignment horizontal="center" vertical="center" readingOrder="1"/>
    </xf>
    <xf numFmtId="0" fontId="30" fillId="0" borderId="0" xfId="13" applyFont="1" applyAlignment="1">
      <alignment horizontal="left" vertical="center"/>
    </xf>
    <xf numFmtId="0" fontId="24" fillId="0" borderId="0" xfId="5" applyFont="1" applyAlignment="1">
      <alignment horizontal="left"/>
    </xf>
    <xf numFmtId="0" fontId="11" fillId="0" borderId="7" xfId="5" applyFont="1" applyBorder="1" applyAlignment="1">
      <alignment horizontal="center"/>
    </xf>
    <xf numFmtId="0" fontId="12" fillId="0" borderId="7" xfId="10" applyFont="1" applyBorder="1" applyAlignment="1">
      <alignment horizontal="center" vertical="center"/>
    </xf>
    <xf numFmtId="0" fontId="21" fillId="3" borderId="7" xfId="10" applyFont="1" applyFill="1" applyBorder="1" applyAlignment="1">
      <alignment horizontal="center" vertical="center" wrapText="1"/>
    </xf>
    <xf numFmtId="0" fontId="30" fillId="0" borderId="8" xfId="13" applyFont="1" applyBorder="1" applyAlignment="1">
      <alignment horizontal="left" vertical="center"/>
    </xf>
    <xf numFmtId="0" fontId="30" fillId="0" borderId="9" xfId="13" applyFont="1" applyBorder="1" applyAlignment="1">
      <alignment horizontal="left" vertical="center"/>
    </xf>
    <xf numFmtId="0" fontId="30" fillId="0" borderId="10" xfId="13" applyFont="1" applyBorder="1" applyAlignment="1">
      <alignment horizontal="left" vertical="center"/>
    </xf>
    <xf numFmtId="0" fontId="30" fillId="0" borderId="0" xfId="13" applyFont="1" applyAlignment="1">
      <alignment horizontal="left"/>
    </xf>
    <xf numFmtId="0" fontId="27" fillId="0" borderId="0" xfId="0" applyFont="1" applyAlignment="1">
      <alignment horizontal="center"/>
    </xf>
  </cellXfs>
  <cellStyles count="16">
    <cellStyle name="Comma" xfId="6" builtinId="3"/>
    <cellStyle name="Comma 10" xfId="12" xr:uid="{4921FADE-B735-4B7D-9B39-50446C374470}"/>
    <cellStyle name="Comma 2" xfId="9" xr:uid="{E6769466-1E05-4305-B853-A32BA565E41E}"/>
    <cellStyle name="Hyperlink 2" xfId="3" xr:uid="{05409101-812E-440D-BBB6-EAF0E93D418A}"/>
    <cellStyle name="Normal" xfId="0" builtinId="0"/>
    <cellStyle name="Normal 2" xfId="2" xr:uid="{4DF78957-28AF-45B4-B4D0-1A60CCEDB314}"/>
    <cellStyle name="Normal 2 2" xfId="11" xr:uid="{036CD286-4FA3-4E41-AABC-6DF5AA94249A}"/>
    <cellStyle name="Normal 2 2 3" xfId="8" xr:uid="{4958494B-082A-471E-8D70-B30DEDE4D48F}"/>
    <cellStyle name="Normal 2 2 3 2" xfId="1" xr:uid="{21EE52B5-2BDE-46D0-806B-DA98899FDB30}"/>
    <cellStyle name="Normal 3" xfId="4" xr:uid="{2BB9F29E-57C5-49D7-AFE5-E1AD70560E22}"/>
    <cellStyle name="Normal 4" xfId="5" xr:uid="{44F71663-1EE5-4816-AA0E-928FB68FF644}"/>
    <cellStyle name="Normal 4 2" xfId="15" xr:uid="{95FE4878-033A-4358-B0FF-5A2FAEBC6A37}"/>
    <cellStyle name="Normal_Bonsaverportfolio 2 2" xfId="10" xr:uid="{A2200C8F-4FAB-4C4C-9097-FB3C69BD313A}"/>
    <cellStyle name="Normal_Halfyearly_Debtholdings_30092011 2" xfId="13" xr:uid="{3859F354-6258-43AB-BD96-41D268BADF36}"/>
    <cellStyle name="Normal_Holdingotherschemes new" xfId="14" xr:uid="{B62CFD1F-3FA5-4874-8872-74F9322A79BC}"/>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9.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10</xdr:row>
      <xdr:rowOff>76200</xdr:rowOff>
    </xdr:to>
    <xdr:pic>
      <xdr:nvPicPr>
        <xdr:cNvPr id="2" name="Picture 1">
          <a:extLst>
            <a:ext uri="{FF2B5EF4-FFF2-40B4-BE49-F238E27FC236}">
              <a16:creationId xmlns:a16="http://schemas.microsoft.com/office/drawing/2014/main" id="{BA2D6F9F-45A5-438E-A117-F81100A08A9D}"/>
            </a:ext>
          </a:extLst>
        </xdr:cNvPr>
        <xdr:cNvPicPr>
          <a:picLocks noChangeAspect="1"/>
        </xdr:cNvPicPr>
      </xdr:nvPicPr>
      <xdr:blipFill>
        <a:blip xmlns:r="http://schemas.openxmlformats.org/officeDocument/2006/relationships" r:embed="rId1"/>
        <a:stretch>
          <a:fillRect/>
        </a:stretch>
      </xdr:blipFill>
      <xdr:spPr>
        <a:xfrm>
          <a:off x="10620375" y="466725"/>
          <a:ext cx="3283942" cy="2009775"/>
        </a:xfrm>
        <a:prstGeom prst="rect">
          <a:avLst/>
        </a:prstGeom>
      </xdr:spPr>
    </xdr:pic>
    <xdr:clientData/>
  </xdr:twoCellAnchor>
  <xdr:twoCellAnchor editAs="oneCell">
    <xdr:from>
      <xdr:col>8</xdr:col>
      <xdr:colOff>542925</xdr:colOff>
      <xdr:row>12</xdr:row>
      <xdr:rowOff>114300</xdr:rowOff>
    </xdr:from>
    <xdr:to>
      <xdr:col>14</xdr:col>
      <xdr:colOff>266700</xdr:colOff>
      <xdr:row>20</xdr:row>
      <xdr:rowOff>0</xdr:rowOff>
    </xdr:to>
    <xdr:pic>
      <xdr:nvPicPr>
        <xdr:cNvPr id="3" name="Picture 2">
          <a:extLst>
            <a:ext uri="{FF2B5EF4-FFF2-40B4-BE49-F238E27FC236}">
              <a16:creationId xmlns:a16="http://schemas.microsoft.com/office/drawing/2014/main" id="{F6A007A4-F0DA-480E-B504-C84BCE8971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0"/>
          <a:ext cx="33813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676275</xdr:colOff>
      <xdr:row>2</xdr:row>
      <xdr:rowOff>114300</xdr:rowOff>
    </xdr:from>
    <xdr:to>
      <xdr:col>14</xdr:col>
      <xdr:colOff>171450</xdr:colOff>
      <xdr:row>10</xdr:row>
      <xdr:rowOff>161925</xdr:rowOff>
    </xdr:to>
    <xdr:pic>
      <xdr:nvPicPr>
        <xdr:cNvPr id="2" name="Picture 1">
          <a:extLst>
            <a:ext uri="{FF2B5EF4-FFF2-40B4-BE49-F238E27FC236}">
              <a16:creationId xmlns:a16="http://schemas.microsoft.com/office/drawing/2014/main" id="{805DF49B-A9B0-45AF-80BD-161F9D8DC398}"/>
            </a:ext>
          </a:extLst>
        </xdr:cNvPr>
        <xdr:cNvPicPr>
          <a:picLocks noChangeAspect="1"/>
        </xdr:cNvPicPr>
      </xdr:nvPicPr>
      <xdr:blipFill>
        <a:blip xmlns:r="http://schemas.openxmlformats.org/officeDocument/2006/relationships" r:embed="rId1"/>
        <a:stretch>
          <a:fillRect/>
        </a:stretch>
      </xdr:blipFill>
      <xdr:spPr>
        <a:xfrm>
          <a:off x="10239375" y="552450"/>
          <a:ext cx="3381375" cy="2009775"/>
        </a:xfrm>
        <a:prstGeom prst="rect">
          <a:avLst/>
        </a:prstGeom>
      </xdr:spPr>
    </xdr:pic>
    <xdr:clientData/>
  </xdr:twoCellAnchor>
  <xdr:twoCellAnchor editAs="oneCell">
    <xdr:from>
      <xdr:col>8</xdr:col>
      <xdr:colOff>647702</xdr:colOff>
      <xdr:row>13</xdr:row>
      <xdr:rowOff>0</xdr:rowOff>
    </xdr:from>
    <xdr:to>
      <xdr:col>14</xdr:col>
      <xdr:colOff>161925</xdr:colOff>
      <xdr:row>18</xdr:row>
      <xdr:rowOff>238125</xdr:rowOff>
    </xdr:to>
    <xdr:pic>
      <xdr:nvPicPr>
        <xdr:cNvPr id="3" name="Picture 2">
          <a:extLst>
            <a:ext uri="{FF2B5EF4-FFF2-40B4-BE49-F238E27FC236}">
              <a16:creationId xmlns:a16="http://schemas.microsoft.com/office/drawing/2014/main" id="{36B8DDBF-A61C-4B68-9703-C83F6281E7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2" y="3028950"/>
          <a:ext cx="3400423"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685803</xdr:colOff>
      <xdr:row>22</xdr:row>
      <xdr:rowOff>57151</xdr:rowOff>
    </xdr:from>
    <xdr:to>
      <xdr:col>14</xdr:col>
      <xdr:colOff>266701</xdr:colOff>
      <xdr:row>28</xdr:row>
      <xdr:rowOff>142069</xdr:rowOff>
    </xdr:to>
    <xdr:pic>
      <xdr:nvPicPr>
        <xdr:cNvPr id="4" name="Picture 3">
          <a:extLst>
            <a:ext uri="{FF2B5EF4-FFF2-40B4-BE49-F238E27FC236}">
              <a16:creationId xmlns:a16="http://schemas.microsoft.com/office/drawing/2014/main" id="{C3D67458-74B0-4EE8-B671-0A6DC6AA09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48903" y="5581651"/>
          <a:ext cx="3467098" cy="1799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552450</xdr:colOff>
      <xdr:row>2</xdr:row>
      <xdr:rowOff>123825</xdr:rowOff>
    </xdr:from>
    <xdr:to>
      <xdr:col>14</xdr:col>
      <xdr:colOff>178792</xdr:colOff>
      <xdr:row>10</xdr:row>
      <xdr:rowOff>19050</xdr:rowOff>
    </xdr:to>
    <xdr:pic>
      <xdr:nvPicPr>
        <xdr:cNvPr id="2" name="Picture 1">
          <a:extLst>
            <a:ext uri="{FF2B5EF4-FFF2-40B4-BE49-F238E27FC236}">
              <a16:creationId xmlns:a16="http://schemas.microsoft.com/office/drawing/2014/main" id="{F09DE139-ED83-4214-A58C-72300F2DA2AC}"/>
            </a:ext>
          </a:extLst>
        </xdr:cNvPr>
        <xdr:cNvPicPr>
          <a:picLocks noChangeAspect="1"/>
        </xdr:cNvPicPr>
      </xdr:nvPicPr>
      <xdr:blipFill>
        <a:blip xmlns:r="http://schemas.openxmlformats.org/officeDocument/2006/relationships" r:embed="rId1"/>
        <a:stretch>
          <a:fillRect/>
        </a:stretch>
      </xdr:blipFill>
      <xdr:spPr>
        <a:xfrm>
          <a:off x="10115550" y="561975"/>
          <a:ext cx="3283942" cy="2009775"/>
        </a:xfrm>
        <a:prstGeom prst="rect">
          <a:avLst/>
        </a:prstGeom>
      </xdr:spPr>
    </xdr:pic>
    <xdr:clientData/>
  </xdr:twoCellAnchor>
  <xdr:twoCellAnchor editAs="oneCell">
    <xdr:from>
      <xdr:col>8</xdr:col>
      <xdr:colOff>485775</xdr:colOff>
      <xdr:row>13</xdr:row>
      <xdr:rowOff>76200</xdr:rowOff>
    </xdr:from>
    <xdr:to>
      <xdr:col>14</xdr:col>
      <xdr:colOff>114300</xdr:colOff>
      <xdr:row>20</xdr:row>
      <xdr:rowOff>28575</xdr:rowOff>
    </xdr:to>
    <xdr:pic>
      <xdr:nvPicPr>
        <xdr:cNvPr id="3" name="Picture 2">
          <a:extLst>
            <a:ext uri="{FF2B5EF4-FFF2-40B4-BE49-F238E27FC236}">
              <a16:creationId xmlns:a16="http://schemas.microsoft.com/office/drawing/2014/main" id="{EFC803FC-12BD-4C19-A302-D6A1B1531B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5" y="3257550"/>
          <a:ext cx="32861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552450</xdr:colOff>
      <xdr:row>2</xdr:row>
      <xdr:rowOff>76200</xdr:rowOff>
    </xdr:from>
    <xdr:to>
      <xdr:col>14</xdr:col>
      <xdr:colOff>178792</xdr:colOff>
      <xdr:row>9</xdr:row>
      <xdr:rowOff>333375</xdr:rowOff>
    </xdr:to>
    <xdr:pic>
      <xdr:nvPicPr>
        <xdr:cNvPr id="2" name="Picture 1">
          <a:extLst>
            <a:ext uri="{FF2B5EF4-FFF2-40B4-BE49-F238E27FC236}">
              <a16:creationId xmlns:a16="http://schemas.microsoft.com/office/drawing/2014/main" id="{E85773A8-E2DC-484B-9287-1B7B1190B919}"/>
            </a:ext>
          </a:extLst>
        </xdr:cNvPr>
        <xdr:cNvPicPr>
          <a:picLocks noChangeAspect="1"/>
        </xdr:cNvPicPr>
      </xdr:nvPicPr>
      <xdr:blipFill>
        <a:blip xmlns:r="http://schemas.openxmlformats.org/officeDocument/2006/relationships" r:embed="rId1"/>
        <a:stretch>
          <a:fillRect/>
        </a:stretch>
      </xdr:blipFill>
      <xdr:spPr>
        <a:xfrm>
          <a:off x="10115550" y="514350"/>
          <a:ext cx="3283942" cy="2009775"/>
        </a:xfrm>
        <a:prstGeom prst="rect">
          <a:avLst/>
        </a:prstGeom>
      </xdr:spPr>
    </xdr:pic>
    <xdr:clientData/>
  </xdr:twoCellAnchor>
  <xdr:twoCellAnchor editAs="oneCell">
    <xdr:from>
      <xdr:col>8</xdr:col>
      <xdr:colOff>514350</xdr:colOff>
      <xdr:row>13</xdr:row>
      <xdr:rowOff>28576</xdr:rowOff>
    </xdr:from>
    <xdr:to>
      <xdr:col>14</xdr:col>
      <xdr:colOff>161925</xdr:colOff>
      <xdr:row>20</xdr:row>
      <xdr:rowOff>28576</xdr:rowOff>
    </xdr:to>
    <xdr:pic>
      <xdr:nvPicPr>
        <xdr:cNvPr id="3" name="Picture 2">
          <a:extLst>
            <a:ext uri="{FF2B5EF4-FFF2-40B4-BE49-F238E27FC236}">
              <a16:creationId xmlns:a16="http://schemas.microsoft.com/office/drawing/2014/main" id="{A5414949-FAFF-4935-A5E2-ED1540C118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209926"/>
          <a:ext cx="33051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190500</xdr:rowOff>
    </xdr:to>
    <xdr:pic>
      <xdr:nvPicPr>
        <xdr:cNvPr id="2" name="Picture 1">
          <a:extLst>
            <a:ext uri="{FF2B5EF4-FFF2-40B4-BE49-F238E27FC236}">
              <a16:creationId xmlns:a16="http://schemas.microsoft.com/office/drawing/2014/main" id="{EB33269B-631D-4F97-9B68-7A0154E8AB4A}"/>
            </a:ext>
          </a:extLst>
        </xdr:cNvPr>
        <xdr:cNvPicPr>
          <a:picLocks noChangeAspect="1"/>
        </xdr:cNvPicPr>
      </xdr:nvPicPr>
      <xdr:blipFill>
        <a:blip xmlns:r="http://schemas.openxmlformats.org/officeDocument/2006/relationships" r:embed="rId1"/>
        <a:stretch>
          <a:fillRect/>
        </a:stretch>
      </xdr:blipFill>
      <xdr:spPr>
        <a:xfrm>
          <a:off x="10172700" y="581025"/>
          <a:ext cx="3283942" cy="2009775"/>
        </a:xfrm>
        <a:prstGeom prst="rect">
          <a:avLst/>
        </a:prstGeom>
      </xdr:spPr>
    </xdr:pic>
    <xdr:clientData/>
  </xdr:twoCellAnchor>
  <xdr:twoCellAnchor editAs="oneCell">
    <xdr:from>
      <xdr:col>9</xdr:col>
      <xdr:colOff>0</xdr:colOff>
      <xdr:row>13</xdr:row>
      <xdr:rowOff>152400</xdr:rowOff>
    </xdr:from>
    <xdr:to>
      <xdr:col>14</xdr:col>
      <xdr:colOff>225721</xdr:colOff>
      <xdr:row>19</xdr:row>
      <xdr:rowOff>28575</xdr:rowOff>
    </xdr:to>
    <xdr:pic>
      <xdr:nvPicPr>
        <xdr:cNvPr id="3" name="Picture 2">
          <a:extLst>
            <a:ext uri="{FF2B5EF4-FFF2-40B4-BE49-F238E27FC236}">
              <a16:creationId xmlns:a16="http://schemas.microsoft.com/office/drawing/2014/main" id="{8DB60B88-6372-4E56-9AA9-6DFAA3AAA7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813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5FCD62BA-3F85-449A-9A95-5EE9BC7860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5816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8</xdr:col>
      <xdr:colOff>466726</xdr:colOff>
      <xdr:row>13</xdr:row>
      <xdr:rowOff>104776</xdr:rowOff>
    </xdr:from>
    <xdr:to>
      <xdr:col>14</xdr:col>
      <xdr:colOff>57150</xdr:colOff>
      <xdr:row>19</xdr:row>
      <xdr:rowOff>104776</xdr:rowOff>
    </xdr:to>
    <xdr:pic>
      <xdr:nvPicPr>
        <xdr:cNvPr id="2" name="Picture 1">
          <a:extLst>
            <a:ext uri="{FF2B5EF4-FFF2-40B4-BE49-F238E27FC236}">
              <a16:creationId xmlns:a16="http://schemas.microsoft.com/office/drawing/2014/main" id="{31F8BDF5-68D4-4A8D-8092-81DB5C9860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29826" y="3286126"/>
          <a:ext cx="3248024"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3</xdr:row>
      <xdr:rowOff>19049</xdr:rowOff>
    </xdr:from>
    <xdr:to>
      <xdr:col>14</xdr:col>
      <xdr:colOff>95250</xdr:colOff>
      <xdr:row>10</xdr:row>
      <xdr:rowOff>104774</xdr:rowOff>
    </xdr:to>
    <xdr:pic>
      <xdr:nvPicPr>
        <xdr:cNvPr id="4" name="Picture 3">
          <a:extLst>
            <a:ext uri="{FF2B5EF4-FFF2-40B4-BE49-F238E27FC236}">
              <a16:creationId xmlns:a16="http://schemas.microsoft.com/office/drawing/2014/main" id="{004C8C83-BD6F-4FDF-9ACF-62B8A55ACAA8}"/>
            </a:ext>
          </a:extLst>
        </xdr:cNvPr>
        <xdr:cNvPicPr>
          <a:picLocks/>
        </xdr:cNvPicPr>
      </xdr:nvPicPr>
      <xdr:blipFill>
        <a:blip xmlns:r="http://schemas.openxmlformats.org/officeDocument/2006/relationships" r:embed="rId2"/>
        <a:stretch>
          <a:fillRect/>
        </a:stretch>
      </xdr:blipFill>
      <xdr:spPr>
        <a:xfrm>
          <a:off x="10115550" y="723899"/>
          <a:ext cx="3200400" cy="19335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504825</xdr:colOff>
      <xdr:row>13</xdr:row>
      <xdr:rowOff>95250</xdr:rowOff>
    </xdr:from>
    <xdr:to>
      <xdr:col>14</xdr:col>
      <xdr:colOff>120946</xdr:colOff>
      <xdr:row>21</xdr:row>
      <xdr:rowOff>57150</xdr:rowOff>
    </xdr:to>
    <xdr:pic>
      <xdr:nvPicPr>
        <xdr:cNvPr id="3" name="Picture 2">
          <a:extLst>
            <a:ext uri="{FF2B5EF4-FFF2-40B4-BE49-F238E27FC236}">
              <a16:creationId xmlns:a16="http://schemas.microsoft.com/office/drawing/2014/main" id="{99576009-C9DC-4D53-B74F-6074791D27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67925" y="3429000"/>
          <a:ext cx="327372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533400</xdr:colOff>
      <xdr:row>2</xdr:row>
      <xdr:rowOff>171449</xdr:rowOff>
    </xdr:from>
    <xdr:to>
      <xdr:col>14</xdr:col>
      <xdr:colOff>123825</xdr:colOff>
      <xdr:row>10</xdr:row>
      <xdr:rowOff>66674</xdr:rowOff>
    </xdr:to>
    <xdr:pic>
      <xdr:nvPicPr>
        <xdr:cNvPr id="4" name="Picture 3">
          <a:extLst>
            <a:ext uri="{FF2B5EF4-FFF2-40B4-BE49-F238E27FC236}">
              <a16:creationId xmlns:a16="http://schemas.microsoft.com/office/drawing/2014/main" id="{75ADCCBE-BE6B-42C1-9B47-55F81435109D}"/>
            </a:ext>
          </a:extLst>
        </xdr:cNvPr>
        <xdr:cNvPicPr>
          <a:picLocks/>
        </xdr:cNvPicPr>
      </xdr:nvPicPr>
      <xdr:blipFill>
        <a:blip xmlns:r="http://schemas.openxmlformats.org/officeDocument/2006/relationships" r:embed="rId2"/>
        <a:stretch>
          <a:fillRect/>
        </a:stretch>
      </xdr:blipFill>
      <xdr:spPr>
        <a:xfrm>
          <a:off x="10096500" y="609599"/>
          <a:ext cx="3248025" cy="20097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542925</xdr:colOff>
      <xdr:row>13</xdr:row>
      <xdr:rowOff>133350</xdr:rowOff>
    </xdr:from>
    <xdr:to>
      <xdr:col>14</xdr:col>
      <xdr:colOff>161925</xdr:colOff>
      <xdr:row>22</xdr:row>
      <xdr:rowOff>19050</xdr:rowOff>
    </xdr:to>
    <xdr:pic>
      <xdr:nvPicPr>
        <xdr:cNvPr id="3" name="Picture 2">
          <a:extLst>
            <a:ext uri="{FF2B5EF4-FFF2-40B4-BE49-F238E27FC236}">
              <a16:creationId xmlns:a16="http://schemas.microsoft.com/office/drawing/2014/main" id="{6B2BC181-D1FF-4A64-8CDD-609A936CC6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06025" y="3314700"/>
          <a:ext cx="32766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133350</xdr:colOff>
      <xdr:row>10</xdr:row>
      <xdr:rowOff>190500</xdr:rowOff>
    </xdr:to>
    <xdr:pic>
      <xdr:nvPicPr>
        <xdr:cNvPr id="4" name="Picture 3">
          <a:extLst>
            <a:ext uri="{FF2B5EF4-FFF2-40B4-BE49-F238E27FC236}">
              <a16:creationId xmlns:a16="http://schemas.microsoft.com/office/drawing/2014/main" id="{9249C602-5A05-4B47-AFA1-18442E9B1738}"/>
            </a:ext>
          </a:extLst>
        </xdr:cNvPr>
        <xdr:cNvPicPr>
          <a:picLocks noChangeAspect="1"/>
        </xdr:cNvPicPr>
      </xdr:nvPicPr>
      <xdr:blipFill>
        <a:blip xmlns:r="http://schemas.openxmlformats.org/officeDocument/2006/relationships" r:embed="rId2"/>
        <a:stretch>
          <a:fillRect/>
        </a:stretch>
      </xdr:blipFill>
      <xdr:spPr>
        <a:xfrm>
          <a:off x="10172700" y="704850"/>
          <a:ext cx="3181350" cy="203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19049</xdr:colOff>
      <xdr:row>2</xdr:row>
      <xdr:rowOff>85725</xdr:rowOff>
    </xdr:from>
    <xdr:to>
      <xdr:col>14</xdr:col>
      <xdr:colOff>169266</xdr:colOff>
      <xdr:row>10</xdr:row>
      <xdr:rowOff>133350</xdr:rowOff>
    </xdr:to>
    <xdr:pic>
      <xdr:nvPicPr>
        <xdr:cNvPr id="2" name="Picture 1">
          <a:extLst>
            <a:ext uri="{FF2B5EF4-FFF2-40B4-BE49-F238E27FC236}">
              <a16:creationId xmlns:a16="http://schemas.microsoft.com/office/drawing/2014/main" id="{930E1533-E332-4F79-B04F-6DAE98F678FF}"/>
            </a:ext>
          </a:extLst>
        </xdr:cNvPr>
        <xdr:cNvPicPr>
          <a:picLocks noChangeAspect="1"/>
        </xdr:cNvPicPr>
      </xdr:nvPicPr>
      <xdr:blipFill>
        <a:blip xmlns:r="http://schemas.openxmlformats.org/officeDocument/2006/relationships" r:embed="rId1"/>
        <a:stretch>
          <a:fillRect/>
        </a:stretch>
      </xdr:blipFill>
      <xdr:spPr>
        <a:xfrm>
          <a:off x="10191749" y="523875"/>
          <a:ext cx="3198217" cy="2009775"/>
        </a:xfrm>
        <a:prstGeom prst="rect">
          <a:avLst/>
        </a:prstGeom>
      </xdr:spPr>
    </xdr:pic>
    <xdr:clientData/>
  </xdr:twoCellAnchor>
  <xdr:twoCellAnchor editAs="oneCell">
    <xdr:from>
      <xdr:col>8</xdr:col>
      <xdr:colOff>552450</xdr:colOff>
      <xdr:row>13</xdr:row>
      <xdr:rowOff>76201</xdr:rowOff>
    </xdr:from>
    <xdr:to>
      <xdr:col>14</xdr:col>
      <xdr:colOff>159046</xdr:colOff>
      <xdr:row>20</xdr:row>
      <xdr:rowOff>133351</xdr:rowOff>
    </xdr:to>
    <xdr:pic>
      <xdr:nvPicPr>
        <xdr:cNvPr id="3" name="Picture 2">
          <a:extLst>
            <a:ext uri="{FF2B5EF4-FFF2-40B4-BE49-F238E27FC236}">
              <a16:creationId xmlns:a16="http://schemas.microsoft.com/office/drawing/2014/main" id="{56AAF1F4-0E9C-46BF-B152-77FF7E4DBF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257551"/>
          <a:ext cx="3264196"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504825</xdr:colOff>
      <xdr:row>2</xdr:row>
      <xdr:rowOff>47625</xdr:rowOff>
    </xdr:from>
    <xdr:to>
      <xdr:col>14</xdr:col>
      <xdr:colOff>131167</xdr:colOff>
      <xdr:row>10</xdr:row>
      <xdr:rowOff>95250</xdr:rowOff>
    </xdr:to>
    <xdr:pic>
      <xdr:nvPicPr>
        <xdr:cNvPr id="2" name="Picture 1">
          <a:extLst>
            <a:ext uri="{FF2B5EF4-FFF2-40B4-BE49-F238E27FC236}">
              <a16:creationId xmlns:a16="http://schemas.microsoft.com/office/drawing/2014/main" id="{6B7BBE62-90F8-4856-ADC8-915B91AEBA47}"/>
            </a:ext>
          </a:extLst>
        </xdr:cNvPr>
        <xdr:cNvPicPr>
          <a:picLocks noChangeAspect="1"/>
        </xdr:cNvPicPr>
      </xdr:nvPicPr>
      <xdr:blipFill>
        <a:blip xmlns:r="http://schemas.openxmlformats.org/officeDocument/2006/relationships" r:embed="rId1"/>
        <a:stretch>
          <a:fillRect/>
        </a:stretch>
      </xdr:blipFill>
      <xdr:spPr>
        <a:xfrm>
          <a:off x="10067925" y="485775"/>
          <a:ext cx="3283942" cy="2009775"/>
        </a:xfrm>
        <a:prstGeom prst="rect">
          <a:avLst/>
        </a:prstGeom>
      </xdr:spPr>
    </xdr:pic>
    <xdr:clientData/>
  </xdr:twoCellAnchor>
  <xdr:twoCellAnchor editAs="oneCell">
    <xdr:from>
      <xdr:col>8</xdr:col>
      <xdr:colOff>523875</xdr:colOff>
      <xdr:row>13</xdr:row>
      <xdr:rowOff>76200</xdr:rowOff>
    </xdr:from>
    <xdr:to>
      <xdr:col>14</xdr:col>
      <xdr:colOff>139996</xdr:colOff>
      <xdr:row>20</xdr:row>
      <xdr:rowOff>200025</xdr:rowOff>
    </xdr:to>
    <xdr:pic>
      <xdr:nvPicPr>
        <xdr:cNvPr id="3" name="Picture 2">
          <a:extLst>
            <a:ext uri="{FF2B5EF4-FFF2-40B4-BE49-F238E27FC236}">
              <a16:creationId xmlns:a16="http://schemas.microsoft.com/office/drawing/2014/main" id="{C5DB4D8A-F7C0-4DAD-8DB5-AF3F08FE59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2575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514350</xdr:colOff>
      <xdr:row>2</xdr:row>
      <xdr:rowOff>66675</xdr:rowOff>
    </xdr:from>
    <xdr:to>
      <xdr:col>14</xdr:col>
      <xdr:colOff>140692</xdr:colOff>
      <xdr:row>10</xdr:row>
      <xdr:rowOff>114300</xdr:rowOff>
    </xdr:to>
    <xdr:pic>
      <xdr:nvPicPr>
        <xdr:cNvPr id="2" name="Picture 1">
          <a:extLst>
            <a:ext uri="{FF2B5EF4-FFF2-40B4-BE49-F238E27FC236}">
              <a16:creationId xmlns:a16="http://schemas.microsoft.com/office/drawing/2014/main" id="{4D66BC34-A49E-4B3B-9129-51A00C0F23B3}"/>
            </a:ext>
          </a:extLst>
        </xdr:cNvPr>
        <xdr:cNvPicPr>
          <a:picLocks noChangeAspect="1"/>
        </xdr:cNvPicPr>
      </xdr:nvPicPr>
      <xdr:blipFill>
        <a:blip xmlns:r="http://schemas.openxmlformats.org/officeDocument/2006/relationships" r:embed="rId1"/>
        <a:stretch>
          <a:fillRect/>
        </a:stretch>
      </xdr:blipFill>
      <xdr:spPr>
        <a:xfrm>
          <a:off x="10077450" y="504825"/>
          <a:ext cx="3283942" cy="2009775"/>
        </a:xfrm>
        <a:prstGeom prst="rect">
          <a:avLst/>
        </a:prstGeom>
      </xdr:spPr>
    </xdr:pic>
    <xdr:clientData/>
  </xdr:twoCellAnchor>
  <xdr:twoCellAnchor editAs="oneCell">
    <xdr:from>
      <xdr:col>8</xdr:col>
      <xdr:colOff>485775</xdr:colOff>
      <xdr:row>14</xdr:row>
      <xdr:rowOff>57150</xdr:rowOff>
    </xdr:from>
    <xdr:to>
      <xdr:col>14</xdr:col>
      <xdr:colOff>101896</xdr:colOff>
      <xdr:row>21</xdr:row>
      <xdr:rowOff>190500</xdr:rowOff>
    </xdr:to>
    <xdr:pic>
      <xdr:nvPicPr>
        <xdr:cNvPr id="3" name="Picture 2">
          <a:extLst>
            <a:ext uri="{FF2B5EF4-FFF2-40B4-BE49-F238E27FC236}">
              <a16:creationId xmlns:a16="http://schemas.microsoft.com/office/drawing/2014/main" id="{1AC5B059-2387-4EA0-B374-3F6685A666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5" y="344805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523875</xdr:colOff>
      <xdr:row>2</xdr:row>
      <xdr:rowOff>76200</xdr:rowOff>
    </xdr:from>
    <xdr:to>
      <xdr:col>14</xdr:col>
      <xdr:colOff>150217</xdr:colOff>
      <xdr:row>9</xdr:row>
      <xdr:rowOff>333375</xdr:rowOff>
    </xdr:to>
    <xdr:pic>
      <xdr:nvPicPr>
        <xdr:cNvPr id="2" name="Picture 1">
          <a:extLst>
            <a:ext uri="{FF2B5EF4-FFF2-40B4-BE49-F238E27FC236}">
              <a16:creationId xmlns:a16="http://schemas.microsoft.com/office/drawing/2014/main" id="{932EC08E-6418-483C-9740-E57261F352E5}"/>
            </a:ext>
          </a:extLst>
        </xdr:cNvPr>
        <xdr:cNvPicPr>
          <a:picLocks noChangeAspect="1"/>
        </xdr:cNvPicPr>
      </xdr:nvPicPr>
      <xdr:blipFill>
        <a:blip xmlns:r="http://schemas.openxmlformats.org/officeDocument/2006/relationships" r:embed="rId1"/>
        <a:stretch>
          <a:fillRect/>
        </a:stretch>
      </xdr:blipFill>
      <xdr:spPr>
        <a:xfrm>
          <a:off x="10086975" y="514350"/>
          <a:ext cx="3283942" cy="2009775"/>
        </a:xfrm>
        <a:prstGeom prst="rect">
          <a:avLst/>
        </a:prstGeom>
      </xdr:spPr>
    </xdr:pic>
    <xdr:clientData/>
  </xdr:twoCellAnchor>
  <xdr:twoCellAnchor editAs="oneCell">
    <xdr:from>
      <xdr:col>8</xdr:col>
      <xdr:colOff>447675</xdr:colOff>
      <xdr:row>13</xdr:row>
      <xdr:rowOff>19050</xdr:rowOff>
    </xdr:from>
    <xdr:to>
      <xdr:col>14</xdr:col>
      <xdr:colOff>123825</xdr:colOff>
      <xdr:row>20</xdr:row>
      <xdr:rowOff>19050</xdr:rowOff>
    </xdr:to>
    <xdr:pic>
      <xdr:nvPicPr>
        <xdr:cNvPr id="3" name="Picture 2">
          <a:extLst>
            <a:ext uri="{FF2B5EF4-FFF2-40B4-BE49-F238E27FC236}">
              <a16:creationId xmlns:a16="http://schemas.microsoft.com/office/drawing/2014/main" id="{733A6C30-EF16-464C-96B6-C35038410F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10775" y="320040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226417</xdr:colOff>
      <xdr:row>10</xdr:row>
      <xdr:rowOff>180975</xdr:rowOff>
    </xdr:to>
    <xdr:pic>
      <xdr:nvPicPr>
        <xdr:cNvPr id="2" name="Picture 1">
          <a:extLst>
            <a:ext uri="{FF2B5EF4-FFF2-40B4-BE49-F238E27FC236}">
              <a16:creationId xmlns:a16="http://schemas.microsoft.com/office/drawing/2014/main" id="{5EA34A5D-F793-46AF-84E8-FF9A5ADE7CCE}"/>
            </a:ext>
          </a:extLst>
        </xdr:cNvPr>
        <xdr:cNvPicPr>
          <a:picLocks noChangeAspect="1"/>
        </xdr:cNvPicPr>
      </xdr:nvPicPr>
      <xdr:blipFill>
        <a:blip xmlns:r="http://schemas.openxmlformats.org/officeDocument/2006/relationships" r:embed="rId1"/>
        <a:stretch>
          <a:fillRect/>
        </a:stretch>
      </xdr:blipFill>
      <xdr:spPr>
        <a:xfrm>
          <a:off x="10163175" y="571500"/>
          <a:ext cx="3283942" cy="2009775"/>
        </a:xfrm>
        <a:prstGeom prst="rect">
          <a:avLst/>
        </a:prstGeom>
      </xdr:spPr>
    </xdr:pic>
    <xdr:clientData/>
  </xdr:twoCellAnchor>
  <xdr:twoCellAnchor editAs="oneCell">
    <xdr:from>
      <xdr:col>8</xdr:col>
      <xdr:colOff>590550</xdr:colOff>
      <xdr:row>12</xdr:row>
      <xdr:rowOff>352426</xdr:rowOff>
    </xdr:from>
    <xdr:to>
      <xdr:col>14</xdr:col>
      <xdr:colOff>206671</xdr:colOff>
      <xdr:row>20</xdr:row>
      <xdr:rowOff>114301</xdr:rowOff>
    </xdr:to>
    <xdr:pic>
      <xdr:nvPicPr>
        <xdr:cNvPr id="3" name="Picture 2">
          <a:extLst>
            <a:ext uri="{FF2B5EF4-FFF2-40B4-BE49-F238E27FC236}">
              <a16:creationId xmlns:a16="http://schemas.microsoft.com/office/drawing/2014/main" id="{D4274394-5044-419E-B0DE-62597909E1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181351"/>
          <a:ext cx="3273721"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0</xdr:colOff>
      <xdr:row>3</xdr:row>
      <xdr:rowOff>9525</xdr:rowOff>
    </xdr:from>
    <xdr:to>
      <xdr:col>14</xdr:col>
      <xdr:colOff>235942</xdr:colOff>
      <xdr:row>11</xdr:row>
      <xdr:rowOff>114300</xdr:rowOff>
    </xdr:to>
    <xdr:pic>
      <xdr:nvPicPr>
        <xdr:cNvPr id="2" name="Picture 1">
          <a:extLst>
            <a:ext uri="{FF2B5EF4-FFF2-40B4-BE49-F238E27FC236}">
              <a16:creationId xmlns:a16="http://schemas.microsoft.com/office/drawing/2014/main" id="{CC6C2C0B-6B41-412F-A466-63DDD4D19F94}"/>
            </a:ext>
          </a:extLst>
        </xdr:cNvPr>
        <xdr:cNvPicPr>
          <a:picLocks noChangeAspect="1"/>
        </xdr:cNvPicPr>
      </xdr:nvPicPr>
      <xdr:blipFill>
        <a:blip xmlns:r="http://schemas.openxmlformats.org/officeDocument/2006/relationships" r:embed="rId1"/>
        <a:stretch>
          <a:fillRect/>
        </a:stretch>
      </xdr:blipFill>
      <xdr:spPr>
        <a:xfrm>
          <a:off x="10172700" y="714375"/>
          <a:ext cx="3283942" cy="2009775"/>
        </a:xfrm>
        <a:prstGeom prst="rect">
          <a:avLst/>
        </a:prstGeom>
      </xdr:spPr>
    </xdr:pic>
    <xdr:clientData/>
  </xdr:twoCellAnchor>
  <xdr:twoCellAnchor editAs="oneCell">
    <xdr:from>
      <xdr:col>9</xdr:col>
      <xdr:colOff>0</xdr:colOff>
      <xdr:row>14</xdr:row>
      <xdr:rowOff>0</xdr:rowOff>
    </xdr:from>
    <xdr:to>
      <xdr:col>14</xdr:col>
      <xdr:colOff>285750</xdr:colOff>
      <xdr:row>21</xdr:row>
      <xdr:rowOff>152400</xdr:rowOff>
    </xdr:to>
    <xdr:pic>
      <xdr:nvPicPr>
        <xdr:cNvPr id="3" name="Picture 2">
          <a:extLst>
            <a:ext uri="{FF2B5EF4-FFF2-40B4-BE49-F238E27FC236}">
              <a16:creationId xmlns:a16="http://schemas.microsoft.com/office/drawing/2014/main" id="{39806131-2B7A-4254-806C-5257BE7D71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235942</xdr:colOff>
      <xdr:row>11</xdr:row>
      <xdr:rowOff>76201</xdr:rowOff>
    </xdr:to>
    <xdr:pic>
      <xdr:nvPicPr>
        <xdr:cNvPr id="2" name="Picture 1">
          <a:extLst>
            <a:ext uri="{FF2B5EF4-FFF2-40B4-BE49-F238E27FC236}">
              <a16:creationId xmlns:a16="http://schemas.microsoft.com/office/drawing/2014/main" id="{CA8AB5A0-421E-4A65-8892-46BCEE1AFE28}"/>
            </a:ext>
          </a:extLst>
        </xdr:cNvPr>
        <xdr:cNvPicPr>
          <a:picLocks noChangeAspect="1"/>
        </xdr:cNvPicPr>
      </xdr:nvPicPr>
      <xdr:blipFill>
        <a:blip xmlns:r="http://schemas.openxmlformats.org/officeDocument/2006/relationships" r:embed="rId1"/>
        <a:stretch>
          <a:fillRect/>
        </a:stretch>
      </xdr:blipFill>
      <xdr:spPr>
        <a:xfrm>
          <a:off x="10172700" y="704851"/>
          <a:ext cx="3283942" cy="1981200"/>
        </a:xfrm>
        <a:prstGeom prst="rect">
          <a:avLst/>
        </a:prstGeom>
      </xdr:spPr>
    </xdr:pic>
    <xdr:clientData/>
  </xdr:twoCellAnchor>
  <xdr:twoCellAnchor editAs="oneCell">
    <xdr:from>
      <xdr:col>9</xdr:col>
      <xdr:colOff>0</xdr:colOff>
      <xdr:row>14</xdr:row>
      <xdr:rowOff>0</xdr:rowOff>
    </xdr:from>
    <xdr:to>
      <xdr:col>14</xdr:col>
      <xdr:colOff>225721</xdr:colOff>
      <xdr:row>20</xdr:row>
      <xdr:rowOff>180975</xdr:rowOff>
    </xdr:to>
    <xdr:pic>
      <xdr:nvPicPr>
        <xdr:cNvPr id="3" name="Picture 2">
          <a:extLst>
            <a:ext uri="{FF2B5EF4-FFF2-40B4-BE49-F238E27FC236}">
              <a16:creationId xmlns:a16="http://schemas.microsoft.com/office/drawing/2014/main" id="{C63913E5-C371-4426-A008-5F56BF7B4D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990F476A-AE23-41C6-8285-5AD27B8644F8}"/>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14</xdr:row>
      <xdr:rowOff>0</xdr:rowOff>
    </xdr:from>
    <xdr:to>
      <xdr:col>14</xdr:col>
      <xdr:colOff>225721</xdr:colOff>
      <xdr:row>20</xdr:row>
      <xdr:rowOff>342900</xdr:rowOff>
    </xdr:to>
    <xdr:pic>
      <xdr:nvPicPr>
        <xdr:cNvPr id="3" name="Picture 2">
          <a:extLst>
            <a:ext uri="{FF2B5EF4-FFF2-40B4-BE49-F238E27FC236}">
              <a16:creationId xmlns:a16="http://schemas.microsoft.com/office/drawing/2014/main" id="{2797A731-F40E-407C-B05E-53449ECC2F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104775</xdr:rowOff>
    </xdr:to>
    <xdr:pic>
      <xdr:nvPicPr>
        <xdr:cNvPr id="2" name="Picture 1">
          <a:extLst>
            <a:ext uri="{FF2B5EF4-FFF2-40B4-BE49-F238E27FC236}">
              <a16:creationId xmlns:a16="http://schemas.microsoft.com/office/drawing/2014/main" id="{3026A86A-3682-4732-937D-2EA8912B7DB6}"/>
            </a:ext>
          </a:extLst>
        </xdr:cNvPr>
        <xdr:cNvPicPr>
          <a:picLocks noChangeAspect="1"/>
        </xdr:cNvPicPr>
      </xdr:nvPicPr>
      <xdr:blipFill>
        <a:blip xmlns:r="http://schemas.openxmlformats.org/officeDocument/2006/relationships" r:embed="rId1"/>
        <a:stretch>
          <a:fillRect/>
        </a:stretch>
      </xdr:blipFill>
      <xdr:spPr>
        <a:xfrm>
          <a:off x="10172700" y="495300"/>
          <a:ext cx="3209925" cy="2009775"/>
        </a:xfrm>
        <a:prstGeom prst="rect">
          <a:avLst/>
        </a:prstGeom>
      </xdr:spPr>
    </xdr:pic>
    <xdr:clientData/>
  </xdr:twoCellAnchor>
  <xdr:twoCellAnchor editAs="oneCell">
    <xdr:from>
      <xdr:col>8</xdr:col>
      <xdr:colOff>523875</xdr:colOff>
      <xdr:row>13</xdr:row>
      <xdr:rowOff>66675</xdr:rowOff>
    </xdr:from>
    <xdr:to>
      <xdr:col>14</xdr:col>
      <xdr:colOff>139996</xdr:colOff>
      <xdr:row>20</xdr:row>
      <xdr:rowOff>57150</xdr:rowOff>
    </xdr:to>
    <xdr:pic>
      <xdr:nvPicPr>
        <xdr:cNvPr id="3" name="Picture 2">
          <a:extLst>
            <a:ext uri="{FF2B5EF4-FFF2-40B4-BE49-F238E27FC236}">
              <a16:creationId xmlns:a16="http://schemas.microsoft.com/office/drawing/2014/main" id="{E8A873D2-61BC-46E2-BDC0-67009FD50D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2480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200025</xdr:colOff>
      <xdr:row>11</xdr:row>
      <xdr:rowOff>104775</xdr:rowOff>
    </xdr:to>
    <xdr:pic>
      <xdr:nvPicPr>
        <xdr:cNvPr id="2" name="Picture 1">
          <a:extLst>
            <a:ext uri="{FF2B5EF4-FFF2-40B4-BE49-F238E27FC236}">
              <a16:creationId xmlns:a16="http://schemas.microsoft.com/office/drawing/2014/main" id="{71176437-62F1-4577-9136-4BABE7EA1BD4}"/>
            </a:ext>
          </a:extLst>
        </xdr:cNvPr>
        <xdr:cNvPicPr>
          <a:picLocks noChangeAspect="1"/>
        </xdr:cNvPicPr>
      </xdr:nvPicPr>
      <xdr:blipFill>
        <a:blip xmlns:r="http://schemas.openxmlformats.org/officeDocument/2006/relationships" r:embed="rId1"/>
        <a:stretch>
          <a:fillRect/>
        </a:stretch>
      </xdr:blipFill>
      <xdr:spPr>
        <a:xfrm>
          <a:off x="10172700" y="704850"/>
          <a:ext cx="3248025" cy="2009775"/>
        </a:xfrm>
        <a:prstGeom prst="rect">
          <a:avLst/>
        </a:prstGeom>
      </xdr:spPr>
    </xdr:pic>
    <xdr:clientData/>
  </xdr:twoCellAnchor>
  <xdr:twoCellAnchor editAs="oneCell">
    <xdr:from>
      <xdr:col>9</xdr:col>
      <xdr:colOff>0</xdr:colOff>
      <xdr:row>14</xdr:row>
      <xdr:rowOff>0</xdr:rowOff>
    </xdr:from>
    <xdr:to>
      <xdr:col>14</xdr:col>
      <xdr:colOff>225721</xdr:colOff>
      <xdr:row>21</xdr:row>
      <xdr:rowOff>171450</xdr:rowOff>
    </xdr:to>
    <xdr:pic>
      <xdr:nvPicPr>
        <xdr:cNvPr id="3" name="Picture 2">
          <a:extLst>
            <a:ext uri="{FF2B5EF4-FFF2-40B4-BE49-F238E27FC236}">
              <a16:creationId xmlns:a16="http://schemas.microsoft.com/office/drawing/2014/main" id="{65A81F0C-E7AB-48C9-8BCB-7762CDDF59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19050</xdr:rowOff>
    </xdr:to>
    <xdr:pic>
      <xdr:nvPicPr>
        <xdr:cNvPr id="2" name="Picture 1">
          <a:extLst>
            <a:ext uri="{FF2B5EF4-FFF2-40B4-BE49-F238E27FC236}">
              <a16:creationId xmlns:a16="http://schemas.microsoft.com/office/drawing/2014/main" id="{3F6ADF65-6343-4418-AA1A-5BDA993CBCEC}"/>
            </a:ext>
          </a:extLst>
        </xdr:cNvPr>
        <xdr:cNvPicPr>
          <a:picLocks noChangeAspect="1"/>
        </xdr:cNvPicPr>
      </xdr:nvPicPr>
      <xdr:blipFill>
        <a:blip xmlns:r="http://schemas.openxmlformats.org/officeDocument/2006/relationships" r:embed="rId1"/>
        <a:stretch>
          <a:fillRect/>
        </a:stretch>
      </xdr:blipFill>
      <xdr:spPr>
        <a:xfrm>
          <a:off x="10172700" y="619125"/>
          <a:ext cx="3283942" cy="2009775"/>
        </a:xfrm>
        <a:prstGeom prst="rect">
          <a:avLst/>
        </a:prstGeom>
      </xdr:spPr>
    </xdr:pic>
    <xdr:clientData/>
  </xdr:twoCellAnchor>
  <xdr:twoCellAnchor editAs="oneCell">
    <xdr:from>
      <xdr:col>8</xdr:col>
      <xdr:colOff>561975</xdr:colOff>
      <xdr:row>14</xdr:row>
      <xdr:rowOff>123825</xdr:rowOff>
    </xdr:from>
    <xdr:to>
      <xdr:col>14</xdr:col>
      <xdr:colOff>314325</xdr:colOff>
      <xdr:row>21</xdr:row>
      <xdr:rowOff>104775</xdr:rowOff>
    </xdr:to>
    <xdr:pic>
      <xdr:nvPicPr>
        <xdr:cNvPr id="3" name="Picture 2">
          <a:extLst>
            <a:ext uri="{FF2B5EF4-FFF2-40B4-BE49-F238E27FC236}">
              <a16:creationId xmlns:a16="http://schemas.microsoft.com/office/drawing/2014/main" id="{77709CDD-74A4-4629-8F02-4B41610FF2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362325"/>
          <a:ext cx="34099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197842</xdr:colOff>
      <xdr:row>10</xdr:row>
      <xdr:rowOff>171450</xdr:rowOff>
    </xdr:to>
    <xdr:pic>
      <xdr:nvPicPr>
        <xdr:cNvPr id="2" name="Picture 1">
          <a:extLst>
            <a:ext uri="{FF2B5EF4-FFF2-40B4-BE49-F238E27FC236}">
              <a16:creationId xmlns:a16="http://schemas.microsoft.com/office/drawing/2014/main" id="{DDA465E4-EA73-4833-B140-C2E8AE76FE1F}"/>
            </a:ext>
          </a:extLst>
        </xdr:cNvPr>
        <xdr:cNvPicPr>
          <a:picLocks noChangeAspect="1"/>
        </xdr:cNvPicPr>
      </xdr:nvPicPr>
      <xdr:blipFill>
        <a:blip xmlns:r="http://schemas.openxmlformats.org/officeDocument/2006/relationships" r:embed="rId1"/>
        <a:stretch>
          <a:fillRect/>
        </a:stretch>
      </xdr:blipFill>
      <xdr:spPr>
        <a:xfrm>
          <a:off x="10134600" y="561975"/>
          <a:ext cx="3283942" cy="2009775"/>
        </a:xfrm>
        <a:prstGeom prst="rect">
          <a:avLst/>
        </a:prstGeom>
      </xdr:spPr>
    </xdr:pic>
    <xdr:clientData/>
  </xdr:twoCellAnchor>
  <xdr:twoCellAnchor editAs="oneCell">
    <xdr:from>
      <xdr:col>8</xdr:col>
      <xdr:colOff>514350</xdr:colOff>
      <xdr:row>14</xdr:row>
      <xdr:rowOff>19050</xdr:rowOff>
    </xdr:from>
    <xdr:to>
      <xdr:col>14</xdr:col>
      <xdr:colOff>130471</xdr:colOff>
      <xdr:row>21</xdr:row>
      <xdr:rowOff>28575</xdr:rowOff>
    </xdr:to>
    <xdr:pic>
      <xdr:nvPicPr>
        <xdr:cNvPr id="3" name="Picture 2">
          <a:extLst>
            <a:ext uri="{FF2B5EF4-FFF2-40B4-BE49-F238E27FC236}">
              <a16:creationId xmlns:a16="http://schemas.microsoft.com/office/drawing/2014/main" id="{0C2EBEC9-1B9A-409E-B1BC-1F3908DF5F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257550"/>
          <a:ext cx="3273721"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10</xdr:row>
      <xdr:rowOff>219075</xdr:rowOff>
    </xdr:to>
    <xdr:pic>
      <xdr:nvPicPr>
        <xdr:cNvPr id="2" name="Picture 1">
          <a:extLst>
            <a:ext uri="{FF2B5EF4-FFF2-40B4-BE49-F238E27FC236}">
              <a16:creationId xmlns:a16="http://schemas.microsoft.com/office/drawing/2014/main" id="{2CCAD6F5-2219-4F0A-9AAA-FA3DAF6FEDB4}"/>
            </a:ext>
          </a:extLst>
        </xdr:cNvPr>
        <xdr:cNvPicPr>
          <a:picLocks noChangeAspect="1"/>
        </xdr:cNvPicPr>
      </xdr:nvPicPr>
      <xdr:blipFill>
        <a:blip xmlns:r="http://schemas.openxmlformats.org/officeDocument/2006/relationships" r:embed="rId1"/>
        <a:stretch>
          <a:fillRect/>
        </a:stretch>
      </xdr:blipFill>
      <xdr:spPr>
        <a:xfrm>
          <a:off x="10153650" y="609600"/>
          <a:ext cx="3248025" cy="2009775"/>
        </a:xfrm>
        <a:prstGeom prst="rect">
          <a:avLst/>
        </a:prstGeom>
      </xdr:spPr>
    </xdr:pic>
    <xdr:clientData/>
  </xdr:twoCellAnchor>
  <xdr:twoCellAnchor editAs="oneCell">
    <xdr:from>
      <xdr:col>8</xdr:col>
      <xdr:colOff>600076</xdr:colOff>
      <xdr:row>12</xdr:row>
      <xdr:rowOff>47626</xdr:rowOff>
    </xdr:from>
    <xdr:to>
      <xdr:col>14</xdr:col>
      <xdr:colOff>85726</xdr:colOff>
      <xdr:row>20</xdr:row>
      <xdr:rowOff>76200</xdr:rowOff>
    </xdr:to>
    <xdr:pic>
      <xdr:nvPicPr>
        <xdr:cNvPr id="3" name="Picture 2">
          <a:extLst>
            <a:ext uri="{FF2B5EF4-FFF2-40B4-BE49-F238E27FC236}">
              <a16:creationId xmlns:a16="http://schemas.microsoft.com/office/drawing/2014/main" id="{619D7B67-44A4-4945-8124-11E815FC32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6" y="3324226"/>
          <a:ext cx="3143250"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1</xdr:colOff>
      <xdr:row>23</xdr:row>
      <xdr:rowOff>0</xdr:rowOff>
    </xdr:from>
    <xdr:ext cx="3200400" cy="1676400"/>
    <xdr:pic>
      <xdr:nvPicPr>
        <xdr:cNvPr id="4" name="Picture 3">
          <a:extLst>
            <a:ext uri="{FF2B5EF4-FFF2-40B4-BE49-F238E27FC236}">
              <a16:creationId xmlns:a16="http://schemas.microsoft.com/office/drawing/2014/main" id="{0F4C7DC7-9A59-48C6-8F52-F8104978C7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5886450"/>
          <a:ext cx="320040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10</xdr:col>
      <xdr:colOff>161925</xdr:colOff>
      <xdr:row>11</xdr:row>
      <xdr:rowOff>352426</xdr:rowOff>
    </xdr:from>
    <xdr:to>
      <xdr:col>14</xdr:col>
      <xdr:colOff>542925</xdr:colOff>
      <xdr:row>19</xdr:row>
      <xdr:rowOff>276225</xdr:rowOff>
    </xdr:to>
    <xdr:pic>
      <xdr:nvPicPr>
        <xdr:cNvPr id="2" name="Picture 1">
          <a:extLst>
            <a:ext uri="{FF2B5EF4-FFF2-40B4-BE49-F238E27FC236}">
              <a16:creationId xmlns:a16="http://schemas.microsoft.com/office/drawing/2014/main" id="{A9E98754-844E-4914-B049-0793DF037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163300" y="3305176"/>
          <a:ext cx="332422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247650</xdr:colOff>
      <xdr:row>2</xdr:row>
      <xdr:rowOff>114300</xdr:rowOff>
    </xdr:from>
    <xdr:to>
      <xdr:col>14</xdr:col>
      <xdr:colOff>552450</xdr:colOff>
      <xdr:row>9</xdr:row>
      <xdr:rowOff>152400</xdr:rowOff>
    </xdr:to>
    <xdr:pic>
      <xdr:nvPicPr>
        <xdr:cNvPr id="3" name="Picture 2">
          <a:extLst>
            <a:ext uri="{FF2B5EF4-FFF2-40B4-BE49-F238E27FC236}">
              <a16:creationId xmlns:a16="http://schemas.microsoft.com/office/drawing/2014/main" id="{E821C73B-C939-4EF8-9475-4CE6381C02C1}"/>
            </a:ext>
          </a:extLst>
        </xdr:cNvPr>
        <xdr:cNvPicPr>
          <a:picLocks noChangeAspect="1"/>
        </xdr:cNvPicPr>
      </xdr:nvPicPr>
      <xdr:blipFill>
        <a:blip xmlns:r="http://schemas.openxmlformats.org/officeDocument/2006/relationships" r:embed="rId2"/>
        <a:stretch>
          <a:fillRect/>
        </a:stretch>
      </xdr:blipFill>
      <xdr:spPr>
        <a:xfrm>
          <a:off x="11249025" y="552450"/>
          <a:ext cx="3248025" cy="19812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466724</xdr:colOff>
      <xdr:row>14</xdr:row>
      <xdr:rowOff>95251</xdr:rowOff>
    </xdr:from>
    <xdr:to>
      <xdr:col>14</xdr:col>
      <xdr:colOff>152399</xdr:colOff>
      <xdr:row>21</xdr:row>
      <xdr:rowOff>19050</xdr:rowOff>
    </xdr:to>
    <xdr:pic>
      <xdr:nvPicPr>
        <xdr:cNvPr id="2" name="Picture 1">
          <a:extLst>
            <a:ext uri="{FF2B5EF4-FFF2-40B4-BE49-F238E27FC236}">
              <a16:creationId xmlns:a16="http://schemas.microsoft.com/office/drawing/2014/main" id="{EA63D0D7-E058-4AC5-A72B-AE617083CA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06024" y="3486151"/>
          <a:ext cx="334327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581023</xdr:colOff>
      <xdr:row>2</xdr:row>
      <xdr:rowOff>133350</xdr:rowOff>
    </xdr:from>
    <xdr:to>
      <xdr:col>14</xdr:col>
      <xdr:colOff>200024</xdr:colOff>
      <xdr:row>9</xdr:row>
      <xdr:rowOff>152400</xdr:rowOff>
    </xdr:to>
    <xdr:pic>
      <xdr:nvPicPr>
        <xdr:cNvPr id="3" name="Picture 2">
          <a:extLst>
            <a:ext uri="{FF2B5EF4-FFF2-40B4-BE49-F238E27FC236}">
              <a16:creationId xmlns:a16="http://schemas.microsoft.com/office/drawing/2014/main" id="{2AB4C232-8F00-48D4-A1E9-7D3F4F025B8A}"/>
            </a:ext>
          </a:extLst>
        </xdr:cNvPr>
        <xdr:cNvPicPr>
          <a:picLocks noChangeAspect="1"/>
        </xdr:cNvPicPr>
      </xdr:nvPicPr>
      <xdr:blipFill>
        <a:blip xmlns:r="http://schemas.openxmlformats.org/officeDocument/2006/relationships" r:embed="rId2"/>
        <a:stretch>
          <a:fillRect/>
        </a:stretch>
      </xdr:blipFill>
      <xdr:spPr>
        <a:xfrm>
          <a:off x="10220323" y="571500"/>
          <a:ext cx="3276601" cy="19240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76199</xdr:colOff>
      <xdr:row>12</xdr:row>
      <xdr:rowOff>95250</xdr:rowOff>
    </xdr:from>
    <xdr:to>
      <xdr:col>14</xdr:col>
      <xdr:colOff>114300</xdr:colOff>
      <xdr:row>19</xdr:row>
      <xdr:rowOff>142875</xdr:rowOff>
    </xdr:to>
    <xdr:pic>
      <xdr:nvPicPr>
        <xdr:cNvPr id="2" name="Picture 1">
          <a:extLst>
            <a:ext uri="{FF2B5EF4-FFF2-40B4-BE49-F238E27FC236}">
              <a16:creationId xmlns:a16="http://schemas.microsoft.com/office/drawing/2014/main" id="{4BDA6EBA-412E-4058-ACC3-DC8B38FDE5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899" y="3067050"/>
          <a:ext cx="308610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114300</xdr:rowOff>
    </xdr:from>
    <xdr:to>
      <xdr:col>14</xdr:col>
      <xdr:colOff>152400</xdr:colOff>
      <xdr:row>10</xdr:row>
      <xdr:rowOff>47400</xdr:rowOff>
    </xdr:to>
    <xdr:pic>
      <xdr:nvPicPr>
        <xdr:cNvPr id="3" name="Picture 2">
          <a:extLst>
            <a:ext uri="{FF2B5EF4-FFF2-40B4-BE49-F238E27FC236}">
              <a16:creationId xmlns:a16="http://schemas.microsoft.com/office/drawing/2014/main" id="{D0577B26-8EE7-4062-9F4A-ED242896EDD2}"/>
            </a:ext>
          </a:extLst>
        </xdr:cNvPr>
        <xdr:cNvPicPr>
          <a:picLocks/>
        </xdr:cNvPicPr>
      </xdr:nvPicPr>
      <xdr:blipFill>
        <a:blip xmlns:r="http://schemas.openxmlformats.org/officeDocument/2006/relationships" r:embed="rId2"/>
        <a:stretch>
          <a:fillRect/>
        </a:stretch>
      </xdr:blipFill>
      <xdr:spPr>
        <a:xfrm>
          <a:off x="10248900" y="552450"/>
          <a:ext cx="3124200" cy="18952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47625</xdr:rowOff>
    </xdr:to>
    <xdr:pic>
      <xdr:nvPicPr>
        <xdr:cNvPr id="2" name="Picture 1">
          <a:extLst>
            <a:ext uri="{FF2B5EF4-FFF2-40B4-BE49-F238E27FC236}">
              <a16:creationId xmlns:a16="http://schemas.microsoft.com/office/drawing/2014/main" id="{DE954017-F3A1-4A62-9D5B-55FD41CA719E}"/>
            </a:ext>
          </a:extLst>
        </xdr:cNvPr>
        <xdr:cNvPicPr>
          <a:picLocks noChangeAspect="1"/>
        </xdr:cNvPicPr>
      </xdr:nvPicPr>
      <xdr:blipFill>
        <a:blip xmlns:r="http://schemas.openxmlformats.org/officeDocument/2006/relationships" r:embed="rId1"/>
        <a:stretch>
          <a:fillRect/>
        </a:stretch>
      </xdr:blipFill>
      <xdr:spPr>
        <a:xfrm>
          <a:off x="10182225" y="533400"/>
          <a:ext cx="3152775" cy="1914525"/>
        </a:xfrm>
        <a:prstGeom prst="rect">
          <a:avLst/>
        </a:prstGeom>
      </xdr:spPr>
    </xdr:pic>
    <xdr:clientData/>
  </xdr:twoCellAnchor>
  <xdr:twoCellAnchor editAs="oneCell">
    <xdr:from>
      <xdr:col>8</xdr:col>
      <xdr:colOff>561975</xdr:colOff>
      <xdr:row>14</xdr:row>
      <xdr:rowOff>38101</xdr:rowOff>
    </xdr:from>
    <xdr:to>
      <xdr:col>14</xdr:col>
      <xdr:colOff>114300</xdr:colOff>
      <xdr:row>20</xdr:row>
      <xdr:rowOff>133351</xdr:rowOff>
    </xdr:to>
    <xdr:pic>
      <xdr:nvPicPr>
        <xdr:cNvPr id="3" name="Picture 2">
          <a:extLst>
            <a:ext uri="{FF2B5EF4-FFF2-40B4-BE49-F238E27FC236}">
              <a16:creationId xmlns:a16="http://schemas.microsoft.com/office/drawing/2014/main" id="{00A235C6-272B-4894-BB65-DCC760FD64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276601"/>
          <a:ext cx="3209925"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542926</xdr:colOff>
      <xdr:row>21</xdr:row>
      <xdr:rowOff>619126</xdr:rowOff>
    </xdr:from>
    <xdr:ext cx="3238500" cy="1695450"/>
    <xdr:pic>
      <xdr:nvPicPr>
        <xdr:cNvPr id="4" name="Picture 3">
          <a:extLst>
            <a:ext uri="{FF2B5EF4-FFF2-40B4-BE49-F238E27FC236}">
              <a16:creationId xmlns:a16="http://schemas.microsoft.com/office/drawing/2014/main" id="{C87CD146-E639-46FA-B032-B9ECB1111B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6" y="562927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8</xdr:col>
      <xdr:colOff>609599</xdr:colOff>
      <xdr:row>10</xdr:row>
      <xdr:rowOff>581025</xdr:rowOff>
    </xdr:from>
    <xdr:to>
      <xdr:col>13</xdr:col>
      <xdr:colOff>542924</xdr:colOff>
      <xdr:row>17</xdr:row>
      <xdr:rowOff>123824</xdr:rowOff>
    </xdr:to>
    <xdr:pic>
      <xdr:nvPicPr>
        <xdr:cNvPr id="2" name="Picture 1">
          <a:extLst>
            <a:ext uri="{FF2B5EF4-FFF2-40B4-BE49-F238E27FC236}">
              <a16:creationId xmlns:a16="http://schemas.microsoft.com/office/drawing/2014/main" id="{AF4BD5BD-C6FD-423A-9EA9-FE5F695408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9" y="2981325"/>
          <a:ext cx="2981325" cy="1619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95249</xdr:colOff>
      <xdr:row>2</xdr:row>
      <xdr:rowOff>104774</xdr:rowOff>
    </xdr:from>
    <xdr:to>
      <xdr:col>14</xdr:col>
      <xdr:colOff>9524</xdr:colOff>
      <xdr:row>10</xdr:row>
      <xdr:rowOff>0</xdr:rowOff>
    </xdr:to>
    <xdr:pic>
      <xdr:nvPicPr>
        <xdr:cNvPr id="3" name="Picture 2">
          <a:extLst>
            <a:ext uri="{FF2B5EF4-FFF2-40B4-BE49-F238E27FC236}">
              <a16:creationId xmlns:a16="http://schemas.microsoft.com/office/drawing/2014/main" id="{7B489D7A-0D56-4C85-968F-0A73292AE783}"/>
            </a:ext>
          </a:extLst>
        </xdr:cNvPr>
        <xdr:cNvPicPr>
          <a:picLocks/>
        </xdr:cNvPicPr>
      </xdr:nvPicPr>
      <xdr:blipFill>
        <a:blip xmlns:r="http://schemas.openxmlformats.org/officeDocument/2006/relationships" r:embed="rId2"/>
        <a:stretch>
          <a:fillRect/>
        </a:stretch>
      </xdr:blipFill>
      <xdr:spPr>
        <a:xfrm>
          <a:off x="10267949" y="542924"/>
          <a:ext cx="2962275" cy="185737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133350</xdr:colOff>
      <xdr:row>10</xdr:row>
      <xdr:rowOff>57151</xdr:rowOff>
    </xdr:to>
    <xdr:pic>
      <xdr:nvPicPr>
        <xdr:cNvPr id="2" name="Picture 1">
          <a:extLst>
            <a:ext uri="{FF2B5EF4-FFF2-40B4-BE49-F238E27FC236}">
              <a16:creationId xmlns:a16="http://schemas.microsoft.com/office/drawing/2014/main" id="{6A257C27-B44D-451E-B4DC-10D8F063F502}"/>
            </a:ext>
          </a:extLst>
        </xdr:cNvPr>
        <xdr:cNvPicPr>
          <a:picLocks noChangeAspect="1"/>
        </xdr:cNvPicPr>
      </xdr:nvPicPr>
      <xdr:blipFill>
        <a:blip xmlns:r="http://schemas.openxmlformats.org/officeDocument/2006/relationships" r:embed="rId1"/>
        <a:stretch>
          <a:fillRect/>
        </a:stretch>
      </xdr:blipFill>
      <xdr:spPr>
        <a:xfrm>
          <a:off x="10172700" y="704851"/>
          <a:ext cx="3181350" cy="1905000"/>
        </a:xfrm>
        <a:prstGeom prst="rect">
          <a:avLst/>
        </a:prstGeom>
      </xdr:spPr>
    </xdr:pic>
    <xdr:clientData/>
  </xdr:twoCellAnchor>
  <xdr:twoCellAnchor editAs="oneCell">
    <xdr:from>
      <xdr:col>9</xdr:col>
      <xdr:colOff>1</xdr:colOff>
      <xdr:row>15</xdr:row>
      <xdr:rowOff>1</xdr:rowOff>
    </xdr:from>
    <xdr:to>
      <xdr:col>14</xdr:col>
      <xdr:colOff>133351</xdr:colOff>
      <xdr:row>19</xdr:row>
      <xdr:rowOff>247651</xdr:rowOff>
    </xdr:to>
    <xdr:pic>
      <xdr:nvPicPr>
        <xdr:cNvPr id="3" name="Picture 2">
          <a:extLst>
            <a:ext uri="{FF2B5EF4-FFF2-40B4-BE49-F238E27FC236}">
              <a16:creationId xmlns:a16="http://schemas.microsoft.com/office/drawing/2014/main" id="{BABE8FF6-1B11-4137-BC65-B9641F9B86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3600451"/>
          <a:ext cx="31813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21</xdr:row>
      <xdr:rowOff>200026</xdr:rowOff>
    </xdr:from>
    <xdr:ext cx="3238500" cy="1647824"/>
    <xdr:pic>
      <xdr:nvPicPr>
        <xdr:cNvPr id="4" name="Picture 3">
          <a:extLst>
            <a:ext uri="{FF2B5EF4-FFF2-40B4-BE49-F238E27FC236}">
              <a16:creationId xmlns:a16="http://schemas.microsoft.com/office/drawing/2014/main" id="{0C6F3CB3-D443-4E54-B758-450B90FE4C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276976"/>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7AAE5D09-0F15-4608-8499-14338141ED9F}"/>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8</xdr:col>
      <xdr:colOff>590550</xdr:colOff>
      <xdr:row>13</xdr:row>
      <xdr:rowOff>657226</xdr:rowOff>
    </xdr:from>
    <xdr:to>
      <xdr:col>14</xdr:col>
      <xdr:colOff>285750</xdr:colOff>
      <xdr:row>20</xdr:row>
      <xdr:rowOff>19051</xdr:rowOff>
    </xdr:to>
    <xdr:pic>
      <xdr:nvPicPr>
        <xdr:cNvPr id="3" name="Picture 2">
          <a:extLst>
            <a:ext uri="{FF2B5EF4-FFF2-40B4-BE49-F238E27FC236}">
              <a16:creationId xmlns:a16="http://schemas.microsoft.com/office/drawing/2014/main" id="{0FEC5DED-FE76-4112-980E-D86D93352F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686176"/>
          <a:ext cx="33528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581025</xdr:colOff>
      <xdr:row>22</xdr:row>
      <xdr:rowOff>57150</xdr:rowOff>
    </xdr:from>
    <xdr:ext cx="3419475" cy="1771650"/>
    <xdr:pic>
      <xdr:nvPicPr>
        <xdr:cNvPr id="4" name="Picture 3">
          <a:extLst>
            <a:ext uri="{FF2B5EF4-FFF2-40B4-BE49-F238E27FC236}">
              <a16:creationId xmlns:a16="http://schemas.microsoft.com/office/drawing/2014/main" id="{386DCE87-1430-45EE-8FE8-5967B50177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5" y="558165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171450</xdr:colOff>
      <xdr:row>10</xdr:row>
      <xdr:rowOff>304801</xdr:rowOff>
    </xdr:to>
    <xdr:pic>
      <xdr:nvPicPr>
        <xdr:cNvPr id="2" name="Picture 1">
          <a:extLst>
            <a:ext uri="{FF2B5EF4-FFF2-40B4-BE49-F238E27FC236}">
              <a16:creationId xmlns:a16="http://schemas.microsoft.com/office/drawing/2014/main" id="{9494B836-74DF-455D-B586-3DE9E52C4CA2}"/>
            </a:ext>
          </a:extLst>
        </xdr:cNvPr>
        <xdr:cNvPicPr>
          <a:picLocks noChangeAspect="1"/>
        </xdr:cNvPicPr>
      </xdr:nvPicPr>
      <xdr:blipFill>
        <a:blip xmlns:r="http://schemas.openxmlformats.org/officeDocument/2006/relationships" r:embed="rId1"/>
        <a:stretch>
          <a:fillRect/>
        </a:stretch>
      </xdr:blipFill>
      <xdr:spPr>
        <a:xfrm>
          <a:off x="10172700" y="704851"/>
          <a:ext cx="3219450" cy="2000250"/>
        </a:xfrm>
        <a:prstGeom prst="rect">
          <a:avLst/>
        </a:prstGeom>
      </xdr:spPr>
    </xdr:pic>
    <xdr:clientData/>
  </xdr:twoCellAnchor>
  <xdr:twoCellAnchor editAs="oneCell">
    <xdr:from>
      <xdr:col>8</xdr:col>
      <xdr:colOff>533400</xdr:colOff>
      <xdr:row>13</xdr:row>
      <xdr:rowOff>190500</xdr:rowOff>
    </xdr:from>
    <xdr:to>
      <xdr:col>14</xdr:col>
      <xdr:colOff>180975</xdr:colOff>
      <xdr:row>19</xdr:row>
      <xdr:rowOff>38100</xdr:rowOff>
    </xdr:to>
    <xdr:pic>
      <xdr:nvPicPr>
        <xdr:cNvPr id="3" name="Picture 2">
          <a:extLst>
            <a:ext uri="{FF2B5EF4-FFF2-40B4-BE49-F238E27FC236}">
              <a16:creationId xmlns:a16="http://schemas.microsoft.com/office/drawing/2014/main" id="{9182941D-A194-46E0-9B9E-EFF804B5B4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6500" y="3371850"/>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226417</xdr:colOff>
      <xdr:row>10</xdr:row>
      <xdr:rowOff>114300</xdr:rowOff>
    </xdr:to>
    <xdr:pic>
      <xdr:nvPicPr>
        <xdr:cNvPr id="2" name="Picture 1">
          <a:extLst>
            <a:ext uri="{FF2B5EF4-FFF2-40B4-BE49-F238E27FC236}">
              <a16:creationId xmlns:a16="http://schemas.microsoft.com/office/drawing/2014/main" id="{3B2D16C8-7C05-4B2A-85AA-2842AD26DBC5}"/>
            </a:ext>
          </a:extLst>
        </xdr:cNvPr>
        <xdr:cNvPicPr>
          <a:picLocks noChangeAspect="1"/>
        </xdr:cNvPicPr>
      </xdr:nvPicPr>
      <xdr:blipFill>
        <a:blip xmlns:r="http://schemas.openxmlformats.org/officeDocument/2006/relationships" r:embed="rId1"/>
        <a:stretch>
          <a:fillRect/>
        </a:stretch>
      </xdr:blipFill>
      <xdr:spPr>
        <a:xfrm>
          <a:off x="10163175" y="504825"/>
          <a:ext cx="3283942" cy="2009775"/>
        </a:xfrm>
        <a:prstGeom prst="rect">
          <a:avLst/>
        </a:prstGeom>
      </xdr:spPr>
    </xdr:pic>
    <xdr:clientData/>
  </xdr:twoCellAnchor>
  <xdr:twoCellAnchor editAs="oneCell">
    <xdr:from>
      <xdr:col>8</xdr:col>
      <xdr:colOff>495300</xdr:colOff>
      <xdr:row>12</xdr:row>
      <xdr:rowOff>571500</xdr:rowOff>
    </xdr:from>
    <xdr:to>
      <xdr:col>14</xdr:col>
      <xdr:colOff>228600</xdr:colOff>
      <xdr:row>19</xdr:row>
      <xdr:rowOff>66675</xdr:rowOff>
    </xdr:to>
    <xdr:pic>
      <xdr:nvPicPr>
        <xdr:cNvPr id="3" name="Picture 2">
          <a:extLst>
            <a:ext uri="{FF2B5EF4-FFF2-40B4-BE49-F238E27FC236}">
              <a16:creationId xmlns:a16="http://schemas.microsoft.com/office/drawing/2014/main" id="{1B7AB720-750F-48BE-A6F9-786B104DA0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181350"/>
          <a:ext cx="33909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22</xdr:row>
      <xdr:rowOff>9525</xdr:rowOff>
    </xdr:from>
    <xdr:ext cx="3400424" cy="1800225"/>
    <xdr:pic>
      <xdr:nvPicPr>
        <xdr:cNvPr id="4" name="Picture 3">
          <a:extLst>
            <a:ext uri="{FF2B5EF4-FFF2-40B4-BE49-F238E27FC236}">
              <a16:creationId xmlns:a16="http://schemas.microsoft.com/office/drawing/2014/main" id="{062D3372-4626-44F4-80F7-C33E6835C0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5686425"/>
          <a:ext cx="3400424"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10</xdr:row>
      <xdr:rowOff>152400</xdr:rowOff>
    </xdr:to>
    <xdr:pic>
      <xdr:nvPicPr>
        <xdr:cNvPr id="2" name="Picture 1">
          <a:extLst>
            <a:ext uri="{FF2B5EF4-FFF2-40B4-BE49-F238E27FC236}">
              <a16:creationId xmlns:a16="http://schemas.microsoft.com/office/drawing/2014/main" id="{1EE8D352-5BFF-4073-97F2-F71A2E13DE70}"/>
            </a:ext>
          </a:extLst>
        </xdr:cNvPr>
        <xdr:cNvPicPr>
          <a:picLocks noChangeAspect="1"/>
        </xdr:cNvPicPr>
      </xdr:nvPicPr>
      <xdr:blipFill>
        <a:blip xmlns:r="http://schemas.openxmlformats.org/officeDocument/2006/relationships" r:embed="rId1"/>
        <a:stretch>
          <a:fillRect/>
        </a:stretch>
      </xdr:blipFill>
      <xdr:spPr>
        <a:xfrm>
          <a:off x="10172700" y="542925"/>
          <a:ext cx="3228975" cy="2009775"/>
        </a:xfrm>
        <a:prstGeom prst="rect">
          <a:avLst/>
        </a:prstGeom>
      </xdr:spPr>
    </xdr:pic>
    <xdr:clientData/>
  </xdr:twoCellAnchor>
  <xdr:twoCellAnchor editAs="oneCell">
    <xdr:from>
      <xdr:col>9</xdr:col>
      <xdr:colOff>0</xdr:colOff>
      <xdr:row>14</xdr:row>
      <xdr:rowOff>1</xdr:rowOff>
    </xdr:from>
    <xdr:to>
      <xdr:col>14</xdr:col>
      <xdr:colOff>152400</xdr:colOff>
      <xdr:row>22</xdr:row>
      <xdr:rowOff>38101</xdr:rowOff>
    </xdr:to>
    <xdr:pic>
      <xdr:nvPicPr>
        <xdr:cNvPr id="3" name="Picture 2">
          <a:extLst>
            <a:ext uri="{FF2B5EF4-FFF2-40B4-BE49-F238E27FC236}">
              <a16:creationId xmlns:a16="http://schemas.microsoft.com/office/drawing/2014/main" id="{74EC0811-F37E-4037-8BA9-BF07360370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1"/>
          <a:ext cx="32004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28575</xdr:colOff>
      <xdr:row>9</xdr:row>
      <xdr:rowOff>357022</xdr:rowOff>
    </xdr:to>
    <xdr:pic>
      <xdr:nvPicPr>
        <xdr:cNvPr id="2" name="Picture 1">
          <a:extLst>
            <a:ext uri="{FF2B5EF4-FFF2-40B4-BE49-F238E27FC236}">
              <a16:creationId xmlns:a16="http://schemas.microsoft.com/office/drawing/2014/main" id="{AC65761C-E992-4EFF-81D7-4615C566544E}"/>
            </a:ext>
          </a:extLst>
        </xdr:cNvPr>
        <xdr:cNvPicPr>
          <a:picLocks noChangeAspect="1"/>
        </xdr:cNvPicPr>
      </xdr:nvPicPr>
      <xdr:blipFill>
        <a:blip xmlns:r="http://schemas.openxmlformats.org/officeDocument/2006/relationships" r:embed="rId1"/>
        <a:stretch>
          <a:fillRect/>
        </a:stretch>
      </xdr:blipFill>
      <xdr:spPr>
        <a:xfrm>
          <a:off x="10391775" y="571500"/>
          <a:ext cx="3086100" cy="1976272"/>
        </a:xfrm>
        <a:prstGeom prst="rect">
          <a:avLst/>
        </a:prstGeom>
      </xdr:spPr>
    </xdr:pic>
    <xdr:clientData/>
  </xdr:twoCellAnchor>
  <xdr:twoCellAnchor editAs="oneCell">
    <xdr:from>
      <xdr:col>8</xdr:col>
      <xdr:colOff>609599</xdr:colOff>
      <xdr:row>13</xdr:row>
      <xdr:rowOff>123826</xdr:rowOff>
    </xdr:from>
    <xdr:to>
      <xdr:col>14</xdr:col>
      <xdr:colOff>85724</xdr:colOff>
      <xdr:row>21</xdr:row>
      <xdr:rowOff>85725</xdr:rowOff>
    </xdr:to>
    <xdr:pic>
      <xdr:nvPicPr>
        <xdr:cNvPr id="3" name="Picture 2">
          <a:extLst>
            <a:ext uri="{FF2B5EF4-FFF2-40B4-BE49-F238E27FC236}">
              <a16:creationId xmlns:a16="http://schemas.microsoft.com/office/drawing/2014/main" id="{396DCECC-B0AE-42E5-B3FF-1E7578DC49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401299" y="3305176"/>
          <a:ext cx="313372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581026</xdr:colOff>
      <xdr:row>25</xdr:row>
      <xdr:rowOff>161925</xdr:rowOff>
    </xdr:from>
    <xdr:ext cx="3295006" cy="1638299"/>
    <xdr:pic>
      <xdr:nvPicPr>
        <xdr:cNvPr id="4" name="Picture 3">
          <a:extLst>
            <a:ext uri="{FF2B5EF4-FFF2-40B4-BE49-F238E27FC236}">
              <a16:creationId xmlns:a16="http://schemas.microsoft.com/office/drawing/2014/main" id="{6CC9E25A-E626-40FC-943E-5B8A7A39BD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72726" y="5857875"/>
          <a:ext cx="3295006"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11</xdr:row>
      <xdr:rowOff>9525</xdr:rowOff>
    </xdr:to>
    <xdr:pic>
      <xdr:nvPicPr>
        <xdr:cNvPr id="2" name="Picture 1">
          <a:extLst>
            <a:ext uri="{FF2B5EF4-FFF2-40B4-BE49-F238E27FC236}">
              <a16:creationId xmlns:a16="http://schemas.microsoft.com/office/drawing/2014/main" id="{E08D51DC-6CF5-4E71-9698-9E99F614528B}"/>
            </a:ext>
          </a:extLst>
        </xdr:cNvPr>
        <xdr:cNvPicPr>
          <a:picLocks noChangeAspect="1"/>
        </xdr:cNvPicPr>
      </xdr:nvPicPr>
      <xdr:blipFill>
        <a:blip xmlns:r="http://schemas.openxmlformats.org/officeDocument/2006/relationships" r:embed="rId1"/>
        <a:stretch>
          <a:fillRect/>
        </a:stretch>
      </xdr:blipFill>
      <xdr:spPr>
        <a:xfrm>
          <a:off x="10172700" y="609600"/>
          <a:ext cx="3283942" cy="2009775"/>
        </a:xfrm>
        <a:prstGeom prst="rect">
          <a:avLst/>
        </a:prstGeom>
      </xdr:spPr>
    </xdr:pic>
    <xdr:clientData/>
  </xdr:twoCellAnchor>
  <xdr:twoCellAnchor editAs="oneCell">
    <xdr:from>
      <xdr:col>8</xdr:col>
      <xdr:colOff>590550</xdr:colOff>
      <xdr:row>13</xdr:row>
      <xdr:rowOff>180975</xdr:rowOff>
    </xdr:from>
    <xdr:to>
      <xdr:col>14</xdr:col>
      <xdr:colOff>200025</xdr:colOff>
      <xdr:row>20</xdr:row>
      <xdr:rowOff>19050</xdr:rowOff>
    </xdr:to>
    <xdr:pic>
      <xdr:nvPicPr>
        <xdr:cNvPr id="3" name="Picture 2">
          <a:extLst>
            <a:ext uri="{FF2B5EF4-FFF2-40B4-BE49-F238E27FC236}">
              <a16:creationId xmlns:a16="http://schemas.microsoft.com/office/drawing/2014/main" id="{1915581C-637E-4FC4-B5E5-D28F4FEA7C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362325"/>
          <a:ext cx="3267075"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23</xdr:row>
      <xdr:rowOff>161926</xdr:rowOff>
    </xdr:from>
    <xdr:ext cx="3390900" cy="1809750"/>
    <xdr:pic>
      <xdr:nvPicPr>
        <xdr:cNvPr id="4" name="Picture 3">
          <a:extLst>
            <a:ext uri="{FF2B5EF4-FFF2-40B4-BE49-F238E27FC236}">
              <a16:creationId xmlns:a16="http://schemas.microsoft.com/office/drawing/2014/main" id="{EEA98DC1-2DEA-46E8-B14F-B13AE71B3D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04837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133350</xdr:colOff>
      <xdr:row>10</xdr:row>
      <xdr:rowOff>161925</xdr:rowOff>
    </xdr:to>
    <xdr:pic>
      <xdr:nvPicPr>
        <xdr:cNvPr id="2" name="Picture 1">
          <a:extLst>
            <a:ext uri="{FF2B5EF4-FFF2-40B4-BE49-F238E27FC236}">
              <a16:creationId xmlns:a16="http://schemas.microsoft.com/office/drawing/2014/main" id="{A3C9CD1A-CE21-46C8-B273-F61384DC987A}"/>
            </a:ext>
          </a:extLst>
        </xdr:cNvPr>
        <xdr:cNvPicPr>
          <a:picLocks noChangeAspect="1"/>
        </xdr:cNvPicPr>
      </xdr:nvPicPr>
      <xdr:blipFill>
        <a:blip xmlns:r="http://schemas.openxmlformats.org/officeDocument/2006/relationships" r:embed="rId1"/>
        <a:stretch>
          <a:fillRect/>
        </a:stretch>
      </xdr:blipFill>
      <xdr:spPr>
        <a:xfrm>
          <a:off x="10172700" y="704850"/>
          <a:ext cx="3181350" cy="2009775"/>
        </a:xfrm>
        <a:prstGeom prst="rect">
          <a:avLst/>
        </a:prstGeom>
      </xdr:spPr>
    </xdr:pic>
    <xdr:clientData/>
  </xdr:twoCellAnchor>
  <xdr:twoCellAnchor editAs="oneCell">
    <xdr:from>
      <xdr:col>9</xdr:col>
      <xdr:colOff>1</xdr:colOff>
      <xdr:row>16</xdr:row>
      <xdr:rowOff>1</xdr:rowOff>
    </xdr:from>
    <xdr:to>
      <xdr:col>14</xdr:col>
      <xdr:colOff>171451</xdr:colOff>
      <xdr:row>22</xdr:row>
      <xdr:rowOff>1</xdr:rowOff>
    </xdr:to>
    <xdr:pic>
      <xdr:nvPicPr>
        <xdr:cNvPr id="3" name="Picture 2">
          <a:extLst>
            <a:ext uri="{FF2B5EF4-FFF2-40B4-BE49-F238E27FC236}">
              <a16:creationId xmlns:a16="http://schemas.microsoft.com/office/drawing/2014/main" id="{575133E4-C5F7-45EB-94F8-5428DF71F0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3962401"/>
          <a:ext cx="32194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219075</xdr:rowOff>
    </xdr:from>
    <xdr:ext cx="3273721" cy="1762125"/>
    <xdr:pic>
      <xdr:nvPicPr>
        <xdr:cNvPr id="4" name="Picture 3">
          <a:extLst>
            <a:ext uri="{FF2B5EF4-FFF2-40B4-BE49-F238E27FC236}">
              <a16:creationId xmlns:a16="http://schemas.microsoft.com/office/drawing/2014/main" id="{29B4BF74-23F5-4C0D-AD1A-D890347D5E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7029450"/>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9</xdr:col>
      <xdr:colOff>152401</xdr:colOff>
      <xdr:row>2</xdr:row>
      <xdr:rowOff>57150</xdr:rowOff>
    </xdr:from>
    <xdr:to>
      <xdr:col>14</xdr:col>
      <xdr:colOff>104775</xdr:colOff>
      <xdr:row>9</xdr:row>
      <xdr:rowOff>190500</xdr:rowOff>
    </xdr:to>
    <xdr:pic>
      <xdr:nvPicPr>
        <xdr:cNvPr id="2" name="Picture 1">
          <a:extLst>
            <a:ext uri="{FF2B5EF4-FFF2-40B4-BE49-F238E27FC236}">
              <a16:creationId xmlns:a16="http://schemas.microsoft.com/office/drawing/2014/main" id="{986F32DF-0ED0-48D9-9F52-4DABF9B56A4F}"/>
            </a:ext>
          </a:extLst>
        </xdr:cNvPr>
        <xdr:cNvPicPr>
          <a:picLocks noChangeAspect="1"/>
        </xdr:cNvPicPr>
      </xdr:nvPicPr>
      <xdr:blipFill>
        <a:blip xmlns:r="http://schemas.openxmlformats.org/officeDocument/2006/relationships" r:embed="rId1"/>
        <a:stretch>
          <a:fillRect/>
        </a:stretch>
      </xdr:blipFill>
      <xdr:spPr>
        <a:xfrm>
          <a:off x="10353676" y="495300"/>
          <a:ext cx="3190874" cy="2038350"/>
        </a:xfrm>
        <a:prstGeom prst="rect">
          <a:avLst/>
        </a:prstGeom>
      </xdr:spPr>
    </xdr:pic>
    <xdr:clientData/>
  </xdr:twoCellAnchor>
  <xdr:twoCellAnchor editAs="oneCell">
    <xdr:from>
      <xdr:col>9</xdr:col>
      <xdr:colOff>85725</xdr:colOff>
      <xdr:row>13</xdr:row>
      <xdr:rowOff>28573</xdr:rowOff>
    </xdr:from>
    <xdr:to>
      <xdr:col>14</xdr:col>
      <xdr:colOff>152401</xdr:colOff>
      <xdr:row>19</xdr:row>
      <xdr:rowOff>47624</xdr:rowOff>
    </xdr:to>
    <xdr:pic>
      <xdr:nvPicPr>
        <xdr:cNvPr id="3" name="Picture 2">
          <a:extLst>
            <a:ext uri="{FF2B5EF4-FFF2-40B4-BE49-F238E27FC236}">
              <a16:creationId xmlns:a16="http://schemas.microsoft.com/office/drawing/2014/main" id="{761FC464-7216-4A95-9D2C-48AE1BC154C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87000" y="3209923"/>
          <a:ext cx="3305176" cy="1733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21</xdr:row>
      <xdr:rowOff>28575</xdr:rowOff>
    </xdr:from>
    <xdr:to>
      <xdr:col>14</xdr:col>
      <xdr:colOff>161925</xdr:colOff>
      <xdr:row>28</xdr:row>
      <xdr:rowOff>200025</xdr:rowOff>
    </xdr:to>
    <xdr:pic>
      <xdr:nvPicPr>
        <xdr:cNvPr id="4" name="Picture 3">
          <a:extLst>
            <a:ext uri="{FF2B5EF4-FFF2-40B4-BE49-F238E27FC236}">
              <a16:creationId xmlns:a16="http://schemas.microsoft.com/office/drawing/2014/main" id="{03319EE9-5E3F-40A0-BF75-A652E447283E}"/>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77475" y="5495925"/>
          <a:ext cx="3324225"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76200</xdr:colOff>
      <xdr:row>10</xdr:row>
      <xdr:rowOff>180975</xdr:rowOff>
    </xdr:to>
    <xdr:pic>
      <xdr:nvPicPr>
        <xdr:cNvPr id="2" name="Picture 1">
          <a:extLst>
            <a:ext uri="{FF2B5EF4-FFF2-40B4-BE49-F238E27FC236}">
              <a16:creationId xmlns:a16="http://schemas.microsoft.com/office/drawing/2014/main" id="{987E8696-E989-45AF-A7EC-DCE69A53D86D}"/>
            </a:ext>
          </a:extLst>
        </xdr:cNvPr>
        <xdr:cNvPicPr>
          <a:picLocks noChangeAspect="1"/>
        </xdr:cNvPicPr>
      </xdr:nvPicPr>
      <xdr:blipFill>
        <a:blip xmlns:r="http://schemas.openxmlformats.org/officeDocument/2006/relationships" r:embed="rId1"/>
        <a:stretch>
          <a:fillRect/>
        </a:stretch>
      </xdr:blipFill>
      <xdr:spPr>
        <a:xfrm>
          <a:off x="10172700" y="704850"/>
          <a:ext cx="3124200" cy="1876425"/>
        </a:xfrm>
        <a:prstGeom prst="rect">
          <a:avLst/>
        </a:prstGeom>
      </xdr:spPr>
    </xdr:pic>
    <xdr:clientData/>
  </xdr:twoCellAnchor>
  <xdr:twoCellAnchor editAs="oneCell">
    <xdr:from>
      <xdr:col>9</xdr:col>
      <xdr:colOff>0</xdr:colOff>
      <xdr:row>12</xdr:row>
      <xdr:rowOff>114301</xdr:rowOff>
    </xdr:from>
    <xdr:to>
      <xdr:col>14</xdr:col>
      <xdr:colOff>190500</xdr:colOff>
      <xdr:row>20</xdr:row>
      <xdr:rowOff>114300</xdr:rowOff>
    </xdr:to>
    <xdr:pic>
      <xdr:nvPicPr>
        <xdr:cNvPr id="3" name="Picture 2">
          <a:extLst>
            <a:ext uri="{FF2B5EF4-FFF2-40B4-BE49-F238E27FC236}">
              <a16:creationId xmlns:a16="http://schemas.microsoft.com/office/drawing/2014/main" id="{2022D570-59F6-48FB-8F19-56DD84B962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1"/>
          <a:ext cx="3238500" cy="1676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9</xdr:col>
      <xdr:colOff>1</xdr:colOff>
      <xdr:row>3</xdr:row>
      <xdr:rowOff>0</xdr:rowOff>
    </xdr:from>
    <xdr:to>
      <xdr:col>13</xdr:col>
      <xdr:colOff>590550</xdr:colOff>
      <xdr:row>9</xdr:row>
      <xdr:rowOff>161925</xdr:rowOff>
    </xdr:to>
    <xdr:pic>
      <xdr:nvPicPr>
        <xdr:cNvPr id="2" name="Picture 1">
          <a:extLst>
            <a:ext uri="{FF2B5EF4-FFF2-40B4-BE49-F238E27FC236}">
              <a16:creationId xmlns:a16="http://schemas.microsoft.com/office/drawing/2014/main" id="{5F2024B9-2741-4284-BCE8-976C418CE7BC}"/>
            </a:ext>
          </a:extLst>
        </xdr:cNvPr>
        <xdr:cNvPicPr>
          <a:picLocks noChangeAspect="1"/>
        </xdr:cNvPicPr>
      </xdr:nvPicPr>
      <xdr:blipFill>
        <a:blip xmlns:r="http://schemas.openxmlformats.org/officeDocument/2006/relationships" r:embed="rId1"/>
        <a:stretch>
          <a:fillRect/>
        </a:stretch>
      </xdr:blipFill>
      <xdr:spPr>
        <a:xfrm>
          <a:off x="8629651" y="571500"/>
          <a:ext cx="3124199" cy="1914525"/>
        </a:xfrm>
        <a:prstGeom prst="rect">
          <a:avLst/>
        </a:prstGeom>
      </xdr:spPr>
    </xdr:pic>
    <xdr:clientData/>
  </xdr:twoCellAnchor>
  <xdr:twoCellAnchor editAs="oneCell">
    <xdr:from>
      <xdr:col>8</xdr:col>
      <xdr:colOff>561977</xdr:colOff>
      <xdr:row>14</xdr:row>
      <xdr:rowOff>0</xdr:rowOff>
    </xdr:from>
    <xdr:to>
      <xdr:col>14</xdr:col>
      <xdr:colOff>19051</xdr:colOff>
      <xdr:row>22</xdr:row>
      <xdr:rowOff>113479</xdr:rowOff>
    </xdr:to>
    <xdr:pic>
      <xdr:nvPicPr>
        <xdr:cNvPr id="3" name="Picture 2">
          <a:extLst>
            <a:ext uri="{FF2B5EF4-FFF2-40B4-BE49-F238E27FC236}">
              <a16:creationId xmlns:a16="http://schemas.microsoft.com/office/drawing/2014/main" id="{07917189-DF5A-41BE-922D-1ADEC29626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82027" y="3276600"/>
          <a:ext cx="3209924" cy="163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24D77-97D2-4601-BBF0-B600AAD19620}">
  <dimension ref="A1:C38"/>
  <sheetViews>
    <sheetView tabSelected="1" zoomScale="110" zoomScaleNormal="110" workbookViewId="0">
      <pane ySplit="1" topLeftCell="A2" activePane="bottomLeft" state="frozen"/>
      <selection activeCell="B1" sqref="B1"/>
      <selection pane="bottomLeft" activeCell="B1" sqref="B1"/>
    </sheetView>
  </sheetViews>
  <sheetFormatPr defaultRowHeight="15" x14ac:dyDescent="0.25"/>
  <cols>
    <col min="1" max="1" width="6" style="35" bestFit="1" customWidth="1"/>
    <col min="2" max="2" width="10.42578125" style="35" bestFit="1" customWidth="1"/>
    <col min="3" max="3" width="56.42578125" style="35" bestFit="1" customWidth="1"/>
    <col min="4" max="16384" width="9.140625" style="35"/>
  </cols>
  <sheetData>
    <row r="1" spans="1:3" x14ac:dyDescent="0.25">
      <c r="A1" s="33" t="s">
        <v>850</v>
      </c>
      <c r="B1" s="34" t="s">
        <v>851</v>
      </c>
      <c r="C1" s="34" t="s">
        <v>852</v>
      </c>
    </row>
    <row r="2" spans="1:3" x14ac:dyDescent="0.25">
      <c r="A2" s="36">
        <v>1</v>
      </c>
      <c r="B2" s="37" t="s">
        <v>853</v>
      </c>
      <c r="C2" s="38" t="s">
        <v>1</v>
      </c>
    </row>
    <row r="3" spans="1:3" x14ac:dyDescent="0.25">
      <c r="A3" s="36">
        <v>2</v>
      </c>
      <c r="B3" s="37" t="s">
        <v>854</v>
      </c>
      <c r="C3" s="38" t="s">
        <v>174</v>
      </c>
    </row>
    <row r="4" spans="1:3" x14ac:dyDescent="0.25">
      <c r="A4" s="36">
        <v>3</v>
      </c>
      <c r="B4" s="37" t="s">
        <v>855</v>
      </c>
      <c r="C4" s="38" t="s">
        <v>293</v>
      </c>
    </row>
    <row r="5" spans="1:3" x14ac:dyDescent="0.25">
      <c r="A5" s="36">
        <v>4</v>
      </c>
      <c r="B5" s="37" t="s">
        <v>856</v>
      </c>
      <c r="C5" s="38" t="s">
        <v>857</v>
      </c>
    </row>
    <row r="6" spans="1:3" x14ac:dyDescent="0.25">
      <c r="A6" s="36">
        <v>5</v>
      </c>
      <c r="B6" s="37" t="s">
        <v>858</v>
      </c>
      <c r="C6" s="38" t="s">
        <v>1202</v>
      </c>
    </row>
    <row r="7" spans="1:3" x14ac:dyDescent="0.25">
      <c r="A7" s="36">
        <v>6</v>
      </c>
      <c r="B7" s="37" t="s">
        <v>859</v>
      </c>
      <c r="C7" s="38" t="s">
        <v>369</v>
      </c>
    </row>
    <row r="8" spans="1:3" x14ac:dyDescent="0.25">
      <c r="A8" s="36">
        <v>7</v>
      </c>
      <c r="B8" s="37" t="s">
        <v>860</v>
      </c>
      <c r="C8" s="38" t="s">
        <v>395</v>
      </c>
    </row>
    <row r="9" spans="1:3" x14ac:dyDescent="0.25">
      <c r="A9" s="36">
        <v>8</v>
      </c>
      <c r="B9" s="37" t="s">
        <v>861</v>
      </c>
      <c r="C9" s="38" t="s">
        <v>416</v>
      </c>
    </row>
    <row r="10" spans="1:3" x14ac:dyDescent="0.25">
      <c r="A10" s="36">
        <v>9</v>
      </c>
      <c r="B10" s="37" t="s">
        <v>862</v>
      </c>
      <c r="C10" s="38" t="s">
        <v>446</v>
      </c>
    </row>
    <row r="11" spans="1:3" x14ac:dyDescent="0.25">
      <c r="A11" s="36">
        <v>10</v>
      </c>
      <c r="B11" s="37" t="s">
        <v>863</v>
      </c>
      <c r="C11" s="38" t="s">
        <v>463</v>
      </c>
    </row>
    <row r="12" spans="1:3" x14ac:dyDescent="0.25">
      <c r="A12" s="36">
        <v>11</v>
      </c>
      <c r="B12" s="37" t="s">
        <v>864</v>
      </c>
      <c r="C12" s="38" t="s">
        <v>464</v>
      </c>
    </row>
    <row r="13" spans="1:3" x14ac:dyDescent="0.25">
      <c r="A13" s="36">
        <v>12</v>
      </c>
      <c r="B13" s="37" t="s">
        <v>865</v>
      </c>
      <c r="C13" s="38" t="s">
        <v>465</v>
      </c>
    </row>
    <row r="14" spans="1:3" x14ac:dyDescent="0.25">
      <c r="A14" s="36">
        <v>13</v>
      </c>
      <c r="B14" s="37" t="s">
        <v>866</v>
      </c>
      <c r="C14" s="38" t="s">
        <v>867</v>
      </c>
    </row>
    <row r="15" spans="1:3" x14ac:dyDescent="0.25">
      <c r="A15" s="36">
        <v>14</v>
      </c>
      <c r="B15" s="37" t="s">
        <v>868</v>
      </c>
      <c r="C15" s="38" t="s">
        <v>869</v>
      </c>
    </row>
    <row r="16" spans="1:3" x14ac:dyDescent="0.25">
      <c r="A16" s="36">
        <v>15</v>
      </c>
      <c r="B16" s="37" t="s">
        <v>870</v>
      </c>
      <c r="C16" s="38" t="s">
        <v>871</v>
      </c>
    </row>
    <row r="17" spans="1:3" x14ac:dyDescent="0.25">
      <c r="A17" s="36">
        <v>16</v>
      </c>
      <c r="B17" s="37" t="s">
        <v>872</v>
      </c>
      <c r="C17" s="38" t="s">
        <v>873</v>
      </c>
    </row>
    <row r="18" spans="1:3" x14ac:dyDescent="0.25">
      <c r="A18" s="36">
        <v>17</v>
      </c>
      <c r="B18" s="37" t="s">
        <v>874</v>
      </c>
      <c r="C18" s="38" t="s">
        <v>489</v>
      </c>
    </row>
    <row r="19" spans="1:3" x14ac:dyDescent="0.25">
      <c r="A19" s="36">
        <v>18</v>
      </c>
      <c r="B19" s="37" t="s">
        <v>875</v>
      </c>
      <c r="C19" s="38" t="s">
        <v>492</v>
      </c>
    </row>
    <row r="20" spans="1:3" x14ac:dyDescent="0.25">
      <c r="A20" s="36">
        <v>19</v>
      </c>
      <c r="B20" s="37" t="s">
        <v>876</v>
      </c>
      <c r="C20" s="38" t="s">
        <v>493</v>
      </c>
    </row>
    <row r="21" spans="1:3" x14ac:dyDescent="0.25">
      <c r="A21" s="36">
        <v>20</v>
      </c>
      <c r="B21" s="37" t="s">
        <v>877</v>
      </c>
      <c r="C21" s="38" t="s">
        <v>494</v>
      </c>
    </row>
    <row r="22" spans="1:3" x14ac:dyDescent="0.25">
      <c r="A22" s="36">
        <v>21</v>
      </c>
      <c r="B22" s="37" t="s">
        <v>878</v>
      </c>
      <c r="C22" s="38" t="s">
        <v>495</v>
      </c>
    </row>
    <row r="23" spans="1:3" x14ac:dyDescent="0.25">
      <c r="A23" s="36">
        <v>22</v>
      </c>
      <c r="B23" s="37" t="s">
        <v>879</v>
      </c>
      <c r="C23" s="38" t="s">
        <v>742</v>
      </c>
    </row>
    <row r="24" spans="1:3" x14ac:dyDescent="0.25">
      <c r="A24" s="36">
        <v>23</v>
      </c>
      <c r="B24" s="37" t="s">
        <v>880</v>
      </c>
      <c r="C24" s="38" t="s">
        <v>881</v>
      </c>
    </row>
    <row r="25" spans="1:3" x14ac:dyDescent="0.25">
      <c r="A25" s="36">
        <v>24</v>
      </c>
      <c r="B25" s="37" t="s">
        <v>882</v>
      </c>
      <c r="C25" s="38" t="s">
        <v>822</v>
      </c>
    </row>
    <row r="26" spans="1:3" x14ac:dyDescent="0.25">
      <c r="A26" s="36">
        <v>25</v>
      </c>
      <c r="B26" s="37" t="s">
        <v>883</v>
      </c>
      <c r="C26" s="38" t="s">
        <v>557</v>
      </c>
    </row>
    <row r="27" spans="1:3" x14ac:dyDescent="0.25">
      <c r="A27" s="36">
        <v>26</v>
      </c>
      <c r="B27" s="37" t="s">
        <v>884</v>
      </c>
      <c r="C27" s="38" t="s">
        <v>583</v>
      </c>
    </row>
    <row r="28" spans="1:3" x14ac:dyDescent="0.25">
      <c r="A28" s="36">
        <v>27</v>
      </c>
      <c r="B28" s="37" t="s">
        <v>885</v>
      </c>
      <c r="C28" s="38" t="s">
        <v>886</v>
      </c>
    </row>
    <row r="29" spans="1:3" x14ac:dyDescent="0.25">
      <c r="A29" s="36">
        <v>28</v>
      </c>
      <c r="B29" s="37" t="s">
        <v>887</v>
      </c>
      <c r="C29" s="38" t="s">
        <v>622</v>
      </c>
    </row>
    <row r="30" spans="1:3" x14ac:dyDescent="0.25">
      <c r="A30" s="36">
        <v>29</v>
      </c>
      <c r="B30" s="37" t="s">
        <v>888</v>
      </c>
      <c r="C30" s="38" t="s">
        <v>1201</v>
      </c>
    </row>
    <row r="31" spans="1:3" x14ac:dyDescent="0.25">
      <c r="A31" s="36">
        <v>30</v>
      </c>
      <c r="B31" s="37" t="s">
        <v>889</v>
      </c>
      <c r="C31" s="38" t="s">
        <v>718</v>
      </c>
    </row>
    <row r="32" spans="1:3" x14ac:dyDescent="0.25">
      <c r="A32" s="36">
        <v>31</v>
      </c>
      <c r="B32" s="37" t="s">
        <v>890</v>
      </c>
      <c r="C32" s="38" t="s">
        <v>721</v>
      </c>
    </row>
    <row r="33" spans="1:3" x14ac:dyDescent="0.25">
      <c r="A33" s="36">
        <v>32</v>
      </c>
      <c r="B33" s="37" t="s">
        <v>891</v>
      </c>
      <c r="C33" s="38" t="s">
        <v>726</v>
      </c>
    </row>
    <row r="34" spans="1:3" x14ac:dyDescent="0.25">
      <c r="A34" s="36">
        <v>33</v>
      </c>
      <c r="B34" s="37" t="s">
        <v>892</v>
      </c>
      <c r="C34" s="38" t="s">
        <v>735</v>
      </c>
    </row>
    <row r="35" spans="1:3" x14ac:dyDescent="0.25">
      <c r="A35" s="36">
        <v>34</v>
      </c>
      <c r="B35" s="37" t="s">
        <v>893</v>
      </c>
      <c r="C35" s="38" t="s">
        <v>736</v>
      </c>
    </row>
    <row r="36" spans="1:3" x14ac:dyDescent="0.25">
      <c r="A36" s="36">
        <v>35</v>
      </c>
      <c r="B36" s="37" t="s">
        <v>894</v>
      </c>
      <c r="C36" s="38" t="s">
        <v>737</v>
      </c>
    </row>
    <row r="37" spans="1:3" x14ac:dyDescent="0.25">
      <c r="A37" s="36">
        <v>36</v>
      </c>
      <c r="B37" s="37" t="s">
        <v>895</v>
      </c>
      <c r="C37" s="38" t="s">
        <v>740</v>
      </c>
    </row>
    <row r="38" spans="1:3" x14ac:dyDescent="0.25">
      <c r="A38" s="36">
        <v>37</v>
      </c>
      <c r="B38" s="37" t="s">
        <v>896</v>
      </c>
      <c r="C38" s="38" t="s">
        <v>897</v>
      </c>
    </row>
  </sheetData>
  <hyperlinks>
    <hyperlink ref="B3" location="MIDCAP!A1" display="MIDCAP" xr:uid="{ECFE5BB1-56DD-4B59-89C0-CB84FC4FD77E}"/>
    <hyperlink ref="B4" location="MULTI1!A1" display="MULTI1" xr:uid="{B44DBB20-E355-45D8-A23E-E4DB211E5732}"/>
    <hyperlink ref="B5" location="MULTI2!A1" display="MULTI2" xr:uid="{958B5A7D-E21E-4FB7-B59B-99E544713BAF}"/>
    <hyperlink ref="B6" location="MULTIP!A1" display="MULTIP" xr:uid="{82E6E080-788E-4AE9-B1A0-BC759ED1CD82}"/>
    <hyperlink ref="B7" location="SESCAP1!A1" display="SESCAP1" xr:uid="{20A4E638-598C-4383-A835-F0C5517C081A}"/>
    <hyperlink ref="B8" location="SESCAP2!A1" display="SESCAP2" xr:uid="{28B28815-0778-49A6-97DE-F05833433226}"/>
    <hyperlink ref="B9" location="SESCAP3!A1" display="SESCAP3" xr:uid="{627C2B91-47ED-47EE-9B76-8E9D0C46963D}"/>
    <hyperlink ref="B10" location="SESCAP4!A1" display="SESCAP4" xr:uid="{E9DEF368-AA0C-4EA2-8B78-3DD15F98C4D6}"/>
    <hyperlink ref="B11" location="SESCAP5!A1" display="SESCAP5" xr:uid="{484708E1-D510-4063-879D-0E2451CD5CBC}"/>
    <hyperlink ref="B12" location="SESCAP6!A1" display="SESCAP6" xr:uid="{1DD46A30-6367-4FB1-8CEA-860D732AAA37}"/>
    <hyperlink ref="B13" location="SESCAP7!A1" display="SESCAP7" xr:uid="{10C09EF7-DA3A-4662-9FD1-E106364FDC0E}"/>
    <hyperlink ref="B14" location="SLTADV3!A1" display="SLTADV3" xr:uid="{63E54050-0EE6-4BBC-BA98-30A72E16C070}"/>
    <hyperlink ref="B15" location="SLTADV4!A1" display="SLTADV4" xr:uid="{AE0830D8-74CE-4631-AD7E-3CDAE8F2D61B}"/>
    <hyperlink ref="B16" location="SLTAX1!A1" display="SLTAX1" xr:uid="{E04A4A7F-F071-4A76-9204-10F664A796F5}"/>
    <hyperlink ref="B17" location="SLTAX2!A1" display="SLTAX2" xr:uid="{675FA38F-EBA9-4027-BBA7-3F4AD7403E6A}"/>
    <hyperlink ref="B18" location="SLTAX3!A1" display="SLTAX3" xr:uid="{106A219C-3F0C-464B-8085-C1F6E39E6ABE}"/>
    <hyperlink ref="B19" location="SLTAX4!A1" display="SLTAX4" xr:uid="{24186D7E-1F81-4BDE-B2B1-BEE702B9E071}"/>
    <hyperlink ref="B20" location="SLTAX5!A1" display="SLTAX5" xr:uid="{5F920D14-4D9E-42FC-8831-DCF10AB5DDB9}"/>
    <hyperlink ref="B21" location="SLTAX6!A1" display="SLTAX6" xr:uid="{CB0DCE48-7D00-42F2-A11E-9EE08165F82A}"/>
    <hyperlink ref="B22" location="SMILE!A1" display="SMILE" xr:uid="{E8A62830-1B71-42DF-8443-0615712373F1}"/>
    <hyperlink ref="B23" location="SPAHF!A1" display="SPAHF" xr:uid="{A639CE91-2056-4142-8D4F-580C7895412D}"/>
    <hyperlink ref="B24" location="SPARF!A1" display="SPARF" xr:uid="{ACB6742D-0D48-46D5-8072-1CDC47B6B64C}"/>
    <hyperlink ref="B25" location="SPBAF!A1" display="SPBAF" xr:uid="{DB3760AA-CC4D-46FC-9C82-6B72007BB6F9}"/>
    <hyperlink ref="B26" location="SPDYF!A1" display="SPDYF" xr:uid="{07F4B08D-5E95-4F35-9E9F-1B4E1C7BA71E}"/>
    <hyperlink ref="B27" location="SPESF!A1" display="SPESF" xr:uid="{4A390310-5CC5-46BD-8DA3-AC4AECFE1B07}"/>
    <hyperlink ref="B28" location="SPFOCUS!A1" display="SPFOCUS" xr:uid="{D0688E97-EE22-4D61-B2F5-36D566753B01}"/>
    <hyperlink ref="B29" location="SPMUCF!A1" display="SPMUCF" xr:uid="{3C87A6B7-4A08-4946-A0F2-F67890BF296A}"/>
    <hyperlink ref="B30" location="SPSN100!A1" display="SPSN100" xr:uid="{292369CE-9D24-4AB1-8196-1592AEA552C7}"/>
    <hyperlink ref="B31" location="SPTAX!A1" display="SPTAX" xr:uid="{E034603A-BEC4-4C6B-8266-501447AF76E8}"/>
    <hyperlink ref="B32" location="SRURAL!A1" display="SRURAL" xr:uid="{9C57CFCA-C0A8-4908-9EBD-81CA0B4F7AAE}"/>
    <hyperlink ref="B33" location="SSFUND!A1" display="SSFUND" xr:uid="{DB370DA5-5F9C-4A06-B683-E92877CDE6BC}"/>
    <hyperlink ref="B34" location="STAX!A1" display="STAX" xr:uid="{76916C73-F297-4356-8353-2E298BC8B658}"/>
    <hyperlink ref="B35" location="SUNBCF!A1" display="SUNBCF" xr:uid="{30DE4090-031E-47F6-BAA1-4EACD56CA815}"/>
    <hyperlink ref="B37" location="SUNFOP!A1" display="SUNFOP" xr:uid="{AFB8D7FD-A2AE-4D7A-B84C-B8C24FCE9C9B}"/>
    <hyperlink ref="B38" location="GLOB!A1" display="GLOB" xr:uid="{CFA30BFD-3288-48FE-8C3D-1A87A628BA21}"/>
    <hyperlink ref="B36" location="SUNFCF!A1" display="SUNFCF" xr:uid="{6D9A52F3-E42D-4B65-BF71-F2D9F5C8C24E}"/>
    <hyperlink ref="B2" location="CAPEXG!A1" display="CAPEXG" xr:uid="{3AAD08FD-3A26-4F5A-8E77-9C5D4F38119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4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15" t="s">
        <v>0</v>
      </c>
      <c r="B1" s="315"/>
      <c r="C1" s="315"/>
      <c r="D1" s="315"/>
      <c r="E1" s="315"/>
      <c r="F1" s="315"/>
      <c r="G1" s="315"/>
      <c r="H1" s="315"/>
      <c r="I1" s="215" t="s">
        <v>1069</v>
      </c>
    </row>
    <row r="2" spans="1:14" ht="17.100000000000001" customHeight="1" x14ac:dyDescent="0.2">
      <c r="A2" s="316" t="s">
        <v>1</v>
      </c>
      <c r="B2" s="317"/>
      <c r="C2" s="317"/>
      <c r="D2" s="317"/>
      <c r="E2" s="317"/>
      <c r="F2" s="317"/>
      <c r="G2" s="317"/>
      <c r="H2" s="318"/>
      <c r="J2" s="321" t="s">
        <v>1070</v>
      </c>
      <c r="K2" s="321"/>
      <c r="L2" s="321"/>
      <c r="M2" s="321"/>
      <c r="N2" s="321"/>
    </row>
    <row r="3" spans="1:14" ht="21" customHeight="1" x14ac:dyDescent="0.2">
      <c r="A3" s="315" t="s">
        <v>1031</v>
      </c>
      <c r="B3" s="315"/>
      <c r="C3" s="315"/>
      <c r="D3" s="315"/>
      <c r="E3" s="315"/>
      <c r="F3" s="315"/>
      <c r="G3" s="315"/>
      <c r="H3" s="315"/>
    </row>
    <row r="4" spans="1:14" s="85" customFormat="1" ht="30" x14ac:dyDescent="0.2">
      <c r="A4" s="84" t="s">
        <v>2</v>
      </c>
      <c r="B4" s="84" t="s">
        <v>3</v>
      </c>
      <c r="C4" s="84" t="s">
        <v>4</v>
      </c>
      <c r="D4" s="84" t="s">
        <v>5</v>
      </c>
      <c r="E4" s="84" t="s">
        <v>6</v>
      </c>
      <c r="F4" s="84" t="s">
        <v>7</v>
      </c>
      <c r="G4" s="84" t="s">
        <v>8</v>
      </c>
      <c r="H4" s="66" t="s">
        <v>989</v>
      </c>
    </row>
    <row r="5" spans="1:14" ht="14.1" customHeight="1" x14ac:dyDescent="0.2">
      <c r="A5" s="1"/>
      <c r="B5" s="1"/>
      <c r="C5" s="2" t="s">
        <v>9</v>
      </c>
      <c r="D5" s="1"/>
      <c r="E5" s="1"/>
      <c r="F5" s="1"/>
      <c r="G5" s="1"/>
      <c r="H5" s="49"/>
    </row>
    <row r="6" spans="1:14" ht="24" customHeight="1" x14ac:dyDescent="0.2">
      <c r="A6" s="1"/>
      <c r="B6" s="1"/>
      <c r="C6" s="2" t="s">
        <v>10</v>
      </c>
      <c r="D6" s="1"/>
      <c r="E6" s="1"/>
      <c r="F6" s="1"/>
      <c r="G6" s="1"/>
      <c r="H6" s="49"/>
    </row>
    <row r="7" spans="1:14" ht="17.100000000000001" customHeight="1" x14ac:dyDescent="0.2">
      <c r="A7" s="3">
        <v>1</v>
      </c>
      <c r="B7" s="4" t="s">
        <v>11</v>
      </c>
      <c r="C7" s="4" t="s">
        <v>12</v>
      </c>
      <c r="D7" s="4" t="s">
        <v>13</v>
      </c>
      <c r="E7" s="5">
        <v>293190</v>
      </c>
      <c r="F7" s="6">
        <v>6083.2527149999996</v>
      </c>
      <c r="G7" s="7">
        <v>9.4766631000000004E-2</v>
      </c>
      <c r="H7" s="49"/>
    </row>
    <row r="8" spans="1:14" ht="17.100000000000001" customHeight="1" x14ac:dyDescent="0.2">
      <c r="A8" s="3">
        <v>2</v>
      </c>
      <c r="B8" s="4" t="s">
        <v>14</v>
      </c>
      <c r="C8" s="4" t="s">
        <v>15</v>
      </c>
      <c r="D8" s="4" t="s">
        <v>16</v>
      </c>
      <c r="E8" s="5">
        <v>481000</v>
      </c>
      <c r="F8" s="6">
        <v>4583.4489999999996</v>
      </c>
      <c r="G8" s="7">
        <v>7.1402263999999993E-2</v>
      </c>
      <c r="H8" s="49"/>
    </row>
    <row r="9" spans="1:14" ht="17.100000000000001" customHeight="1" x14ac:dyDescent="0.2">
      <c r="A9" s="3">
        <v>3</v>
      </c>
      <c r="B9" s="4" t="s">
        <v>17</v>
      </c>
      <c r="C9" s="4" t="s">
        <v>18</v>
      </c>
      <c r="D9" s="4" t="s">
        <v>19</v>
      </c>
      <c r="E9" s="5">
        <v>501481</v>
      </c>
      <c r="F9" s="6">
        <v>4256.3199875</v>
      </c>
      <c r="G9" s="7">
        <v>6.6306156000000005E-2</v>
      </c>
      <c r="H9" s="49"/>
    </row>
    <row r="10" spans="1:14" ht="17.100000000000001" customHeight="1" x14ac:dyDescent="0.2">
      <c r="A10" s="3">
        <v>4</v>
      </c>
      <c r="B10" s="4" t="s">
        <v>20</v>
      </c>
      <c r="C10" s="4" t="s">
        <v>21</v>
      </c>
      <c r="D10" s="4" t="s">
        <v>22</v>
      </c>
      <c r="E10" s="5">
        <v>150246</v>
      </c>
      <c r="F10" s="6">
        <v>4103.7441209999997</v>
      </c>
      <c r="G10" s="7">
        <v>6.3929286000000002E-2</v>
      </c>
      <c r="H10" s="49"/>
    </row>
    <row r="11" spans="1:14" ht="29.1" customHeight="1" x14ac:dyDescent="0.2">
      <c r="A11" s="3">
        <v>5</v>
      </c>
      <c r="B11" s="4" t="s">
        <v>23</v>
      </c>
      <c r="C11" s="4" t="s">
        <v>24</v>
      </c>
      <c r="D11" s="4" t="s">
        <v>25</v>
      </c>
      <c r="E11" s="5">
        <v>42511</v>
      </c>
      <c r="F11" s="6">
        <v>3008.5034700000001</v>
      </c>
      <c r="G11" s="7">
        <v>4.6867317999999998E-2</v>
      </c>
      <c r="H11" s="49"/>
    </row>
    <row r="12" spans="1:14" ht="17.100000000000001" customHeight="1" x14ac:dyDescent="0.2">
      <c r="A12" s="3">
        <v>6</v>
      </c>
      <c r="B12" s="4" t="s">
        <v>26</v>
      </c>
      <c r="C12" s="4" t="s">
        <v>27</v>
      </c>
      <c r="D12" s="4" t="s">
        <v>28</v>
      </c>
      <c r="E12" s="5">
        <v>1355350</v>
      </c>
      <c r="F12" s="6">
        <v>2333.9126999999999</v>
      </c>
      <c r="G12" s="7">
        <v>3.6358351999999997E-2</v>
      </c>
      <c r="H12" s="49"/>
      <c r="J12" s="217" t="s">
        <v>1071</v>
      </c>
    </row>
    <row r="13" spans="1:14" ht="17.100000000000001" customHeight="1" x14ac:dyDescent="0.2">
      <c r="A13" s="3">
        <v>7</v>
      </c>
      <c r="B13" s="4" t="s">
        <v>29</v>
      </c>
      <c r="C13" s="4" t="s">
        <v>30</v>
      </c>
      <c r="D13" s="4" t="s">
        <v>31</v>
      </c>
      <c r="E13" s="5">
        <v>97015</v>
      </c>
      <c r="F13" s="6">
        <v>1963.8746450000001</v>
      </c>
      <c r="G13" s="7">
        <v>3.0593794000000001E-2</v>
      </c>
      <c r="H13" s="49"/>
    </row>
    <row r="14" spans="1:14" ht="17.100000000000001" customHeight="1" x14ac:dyDescent="0.2">
      <c r="A14" s="3">
        <v>8</v>
      </c>
      <c r="B14" s="4" t="s">
        <v>32</v>
      </c>
      <c r="C14" s="4" t="s">
        <v>33</v>
      </c>
      <c r="D14" s="4" t="s">
        <v>31</v>
      </c>
      <c r="E14" s="5">
        <v>40577</v>
      </c>
      <c r="F14" s="6">
        <v>1682.9716519999999</v>
      </c>
      <c r="G14" s="7">
        <v>2.6217807999999999E-2</v>
      </c>
      <c r="H14" s="49"/>
    </row>
    <row r="15" spans="1:14" ht="17.100000000000001" customHeight="1" x14ac:dyDescent="0.2">
      <c r="A15" s="3">
        <v>9</v>
      </c>
      <c r="B15" s="4" t="s">
        <v>34</v>
      </c>
      <c r="C15" s="4" t="s">
        <v>35</v>
      </c>
      <c r="D15" s="4" t="s">
        <v>31</v>
      </c>
      <c r="E15" s="5">
        <v>87105</v>
      </c>
      <c r="F15" s="6">
        <v>1671.89337</v>
      </c>
      <c r="G15" s="7">
        <v>2.6045228E-2</v>
      </c>
      <c r="H15" s="49"/>
    </row>
    <row r="16" spans="1:14" ht="17.100000000000001" customHeight="1" x14ac:dyDescent="0.2">
      <c r="A16" s="3">
        <v>10</v>
      </c>
      <c r="B16" s="4" t="s">
        <v>36</v>
      </c>
      <c r="C16" s="4" t="s">
        <v>37</v>
      </c>
      <c r="D16" s="4" t="s">
        <v>38</v>
      </c>
      <c r="E16" s="5">
        <v>50011</v>
      </c>
      <c r="F16" s="6">
        <v>1500.680077</v>
      </c>
      <c r="G16" s="7">
        <v>2.3378018E-2</v>
      </c>
      <c r="H16" s="49"/>
    </row>
    <row r="17" spans="1:8" ht="17.100000000000001" customHeight="1" x14ac:dyDescent="0.2">
      <c r="A17" s="3">
        <v>11</v>
      </c>
      <c r="B17" s="4" t="s">
        <v>39</v>
      </c>
      <c r="C17" s="4" t="s">
        <v>40</v>
      </c>
      <c r="D17" s="4" t="s">
        <v>16</v>
      </c>
      <c r="E17" s="5">
        <v>247227</v>
      </c>
      <c r="F17" s="6">
        <v>1489.4190615</v>
      </c>
      <c r="G17" s="7">
        <v>2.3202591000000002E-2</v>
      </c>
      <c r="H17" s="49"/>
    </row>
    <row r="18" spans="1:8" ht="17.100000000000001" customHeight="1" x14ac:dyDescent="0.2">
      <c r="A18" s="3">
        <v>12</v>
      </c>
      <c r="B18" s="4" t="s">
        <v>41</v>
      </c>
      <c r="C18" s="4" t="s">
        <v>42</v>
      </c>
      <c r="D18" s="4" t="s">
        <v>43</v>
      </c>
      <c r="E18" s="5">
        <v>178999</v>
      </c>
      <c r="F18" s="6">
        <v>1381.7827804999999</v>
      </c>
      <c r="G18" s="7">
        <v>2.1525803E-2</v>
      </c>
      <c r="H18" s="49"/>
    </row>
    <row r="19" spans="1:8" ht="17.100000000000001" customHeight="1" x14ac:dyDescent="0.2">
      <c r="A19" s="3">
        <v>13</v>
      </c>
      <c r="B19" s="4" t="s">
        <v>44</v>
      </c>
      <c r="C19" s="4" t="s">
        <v>45</v>
      </c>
      <c r="D19" s="4" t="s">
        <v>31</v>
      </c>
      <c r="E19" s="5">
        <v>53750</v>
      </c>
      <c r="F19" s="6">
        <v>1378.6875</v>
      </c>
      <c r="G19" s="7">
        <v>2.1477584000000001E-2</v>
      </c>
      <c r="H19" s="49"/>
    </row>
    <row r="20" spans="1:8" ht="29.1" customHeight="1" x14ac:dyDescent="0.2">
      <c r="A20" s="3">
        <v>14</v>
      </c>
      <c r="B20" s="4" t="s">
        <v>46</v>
      </c>
      <c r="C20" s="4" t="s">
        <v>47</v>
      </c>
      <c r="D20" s="4" t="s">
        <v>48</v>
      </c>
      <c r="E20" s="5">
        <v>3191</v>
      </c>
      <c r="F20" s="6">
        <v>1331.144796</v>
      </c>
      <c r="G20" s="7">
        <v>2.0736950000000001E-2</v>
      </c>
      <c r="H20" s="49"/>
    </row>
    <row r="21" spans="1:8" ht="53.1" customHeight="1" x14ac:dyDescent="0.2">
      <c r="A21" s="3">
        <v>15</v>
      </c>
      <c r="B21" s="4" t="s">
        <v>49</v>
      </c>
      <c r="C21" s="4" t="s">
        <v>50</v>
      </c>
      <c r="D21" s="4" t="s">
        <v>51</v>
      </c>
      <c r="E21" s="5">
        <v>847086</v>
      </c>
      <c r="F21" s="6">
        <v>1260.463968</v>
      </c>
      <c r="G21" s="7">
        <v>1.9635863999999999E-2</v>
      </c>
      <c r="H21" s="49"/>
    </row>
    <row r="22" spans="1:8" ht="17.100000000000001" customHeight="1" x14ac:dyDescent="0.2">
      <c r="A22" s="3">
        <v>16</v>
      </c>
      <c r="B22" s="4" t="s">
        <v>52</v>
      </c>
      <c r="C22" s="4" t="s">
        <v>53</v>
      </c>
      <c r="D22" s="4" t="s">
        <v>28</v>
      </c>
      <c r="E22" s="5">
        <v>544901</v>
      </c>
      <c r="F22" s="6">
        <v>1224.9374479999999</v>
      </c>
      <c r="G22" s="7">
        <v>1.9082422000000002E-2</v>
      </c>
      <c r="H22" s="49"/>
    </row>
    <row r="23" spans="1:8" ht="17.100000000000001" customHeight="1" x14ac:dyDescent="0.2">
      <c r="A23" s="3">
        <v>17</v>
      </c>
      <c r="B23" s="4" t="s">
        <v>54</v>
      </c>
      <c r="C23" s="4" t="s">
        <v>55</v>
      </c>
      <c r="D23" s="4" t="s">
        <v>13</v>
      </c>
      <c r="E23" s="5">
        <v>1452666</v>
      </c>
      <c r="F23" s="6">
        <v>1202.081115</v>
      </c>
      <c r="G23" s="7">
        <v>1.8726359000000001E-2</v>
      </c>
      <c r="H23" s="49"/>
    </row>
    <row r="24" spans="1:8" ht="17.100000000000001" customHeight="1" x14ac:dyDescent="0.2">
      <c r="A24" s="3">
        <v>18</v>
      </c>
      <c r="B24" s="4" t="s">
        <v>56</v>
      </c>
      <c r="C24" s="4" t="s">
        <v>57</v>
      </c>
      <c r="D24" s="4" t="s">
        <v>13</v>
      </c>
      <c r="E24" s="5">
        <v>434852</v>
      </c>
      <c r="F24" s="6">
        <v>1197.7998339999999</v>
      </c>
      <c r="G24" s="7">
        <v>1.8659663999999999E-2</v>
      </c>
      <c r="H24" s="49"/>
    </row>
    <row r="25" spans="1:8" ht="29.1" customHeight="1" x14ac:dyDescent="0.2">
      <c r="A25" s="3">
        <v>19</v>
      </c>
      <c r="B25" s="4" t="s">
        <v>58</v>
      </c>
      <c r="C25" s="4" t="s">
        <v>59</v>
      </c>
      <c r="D25" s="4" t="s">
        <v>60</v>
      </c>
      <c r="E25" s="5">
        <v>129629</v>
      </c>
      <c r="F25" s="6">
        <v>1142.0314900000001</v>
      </c>
      <c r="G25" s="7">
        <v>1.7790889000000001E-2</v>
      </c>
      <c r="H25" s="49"/>
    </row>
    <row r="26" spans="1:8" ht="29.1" customHeight="1" x14ac:dyDescent="0.2">
      <c r="A26" s="3">
        <v>20</v>
      </c>
      <c r="B26" s="4" t="s">
        <v>61</v>
      </c>
      <c r="C26" s="4" t="s">
        <v>62</v>
      </c>
      <c r="D26" s="4" t="s">
        <v>25</v>
      </c>
      <c r="E26" s="5">
        <v>37041</v>
      </c>
      <c r="F26" s="6">
        <v>1140.751677</v>
      </c>
      <c r="G26" s="7">
        <v>1.7770952E-2</v>
      </c>
      <c r="H26" s="49"/>
    </row>
    <row r="27" spans="1:8" ht="17.100000000000001" customHeight="1" x14ac:dyDescent="0.2">
      <c r="A27" s="3">
        <v>21</v>
      </c>
      <c r="B27" s="4" t="s">
        <v>63</v>
      </c>
      <c r="C27" s="4" t="s">
        <v>64</v>
      </c>
      <c r="D27" s="4" t="s">
        <v>28</v>
      </c>
      <c r="E27" s="5">
        <v>494033</v>
      </c>
      <c r="F27" s="6">
        <v>1106.63392</v>
      </c>
      <c r="G27" s="7">
        <v>1.7239456E-2</v>
      </c>
      <c r="H27" s="49"/>
    </row>
    <row r="28" spans="1:8" ht="29.1" customHeight="1" x14ac:dyDescent="0.2">
      <c r="A28" s="3">
        <v>22</v>
      </c>
      <c r="B28" s="4" t="s">
        <v>65</v>
      </c>
      <c r="C28" s="4" t="s">
        <v>66</v>
      </c>
      <c r="D28" s="4" t="s">
        <v>48</v>
      </c>
      <c r="E28" s="5">
        <v>50164</v>
      </c>
      <c r="F28" s="6">
        <v>979.02570600000001</v>
      </c>
      <c r="G28" s="7">
        <v>1.5251539E-2</v>
      </c>
      <c r="H28" s="49"/>
    </row>
    <row r="29" spans="1:8" ht="29.1" customHeight="1" x14ac:dyDescent="0.2">
      <c r="A29" s="3">
        <v>23</v>
      </c>
      <c r="B29" s="4" t="s">
        <v>67</v>
      </c>
      <c r="C29" s="4" t="s">
        <v>68</v>
      </c>
      <c r="D29" s="4" t="s">
        <v>69</v>
      </c>
      <c r="E29" s="5">
        <v>885670</v>
      </c>
      <c r="F29" s="6">
        <v>930.83916999999997</v>
      </c>
      <c r="G29" s="7">
        <v>1.4500875999999999E-2</v>
      </c>
      <c r="H29" s="49"/>
    </row>
    <row r="30" spans="1:8" ht="17.100000000000001" customHeight="1" x14ac:dyDescent="0.2">
      <c r="A30" s="3">
        <v>24</v>
      </c>
      <c r="B30" s="4" t="s">
        <v>70</v>
      </c>
      <c r="C30" s="4" t="s">
        <v>71</v>
      </c>
      <c r="D30" s="4" t="s">
        <v>72</v>
      </c>
      <c r="E30" s="5">
        <v>9900</v>
      </c>
      <c r="F30" s="6">
        <v>888.44084999999995</v>
      </c>
      <c r="G30" s="7">
        <v>1.3840383E-2</v>
      </c>
      <c r="H30" s="49"/>
    </row>
    <row r="31" spans="1:8" ht="17.100000000000001" customHeight="1" x14ac:dyDescent="0.2">
      <c r="A31" s="3">
        <v>25</v>
      </c>
      <c r="B31" s="4" t="s">
        <v>73</v>
      </c>
      <c r="C31" s="4" t="s">
        <v>74</v>
      </c>
      <c r="D31" s="4" t="s">
        <v>38</v>
      </c>
      <c r="E31" s="5">
        <v>308781</v>
      </c>
      <c r="F31" s="6">
        <v>886.0470795</v>
      </c>
      <c r="G31" s="7">
        <v>1.3803091999999999E-2</v>
      </c>
      <c r="H31" s="49"/>
    </row>
    <row r="32" spans="1:8" ht="29.1" customHeight="1" x14ac:dyDescent="0.2">
      <c r="A32" s="3">
        <v>26</v>
      </c>
      <c r="B32" s="4" t="s">
        <v>75</v>
      </c>
      <c r="C32" s="4" t="s">
        <v>76</v>
      </c>
      <c r="D32" s="4" t="s">
        <v>25</v>
      </c>
      <c r="E32" s="5">
        <v>150000</v>
      </c>
      <c r="F32" s="6">
        <v>856.125</v>
      </c>
      <c r="G32" s="7">
        <v>1.3336957E-2</v>
      </c>
      <c r="H32" s="49"/>
    </row>
    <row r="33" spans="1:8" ht="17.100000000000001" customHeight="1" x14ac:dyDescent="0.2">
      <c r="A33" s="3">
        <v>27</v>
      </c>
      <c r="B33" s="4" t="s">
        <v>77</v>
      </c>
      <c r="C33" s="4" t="s">
        <v>78</v>
      </c>
      <c r="D33" s="4" t="s">
        <v>31</v>
      </c>
      <c r="E33" s="5">
        <v>75424</v>
      </c>
      <c r="F33" s="6">
        <v>845.08820800000001</v>
      </c>
      <c r="G33" s="7">
        <v>1.3165023E-2</v>
      </c>
      <c r="H33" s="49"/>
    </row>
    <row r="34" spans="1:8" ht="17.100000000000001" customHeight="1" x14ac:dyDescent="0.2">
      <c r="A34" s="3">
        <v>28</v>
      </c>
      <c r="B34" s="4" t="s">
        <v>79</v>
      </c>
      <c r="C34" s="4" t="s">
        <v>80</v>
      </c>
      <c r="D34" s="4" t="s">
        <v>38</v>
      </c>
      <c r="E34" s="5">
        <v>30000</v>
      </c>
      <c r="F34" s="6">
        <v>832.48500000000001</v>
      </c>
      <c r="G34" s="7">
        <v>1.2968687E-2</v>
      </c>
      <c r="H34" s="49"/>
    </row>
    <row r="35" spans="1:8" ht="29.1" customHeight="1" x14ac:dyDescent="0.2">
      <c r="A35" s="3">
        <v>29</v>
      </c>
      <c r="B35" s="4" t="s">
        <v>81</v>
      </c>
      <c r="C35" s="4" t="s">
        <v>82</v>
      </c>
      <c r="D35" s="4" t="s">
        <v>25</v>
      </c>
      <c r="E35" s="5">
        <v>3379</v>
      </c>
      <c r="F35" s="6">
        <v>806.89675250000005</v>
      </c>
      <c r="G35" s="7">
        <v>1.2570066E-2</v>
      </c>
      <c r="H35" s="49"/>
    </row>
    <row r="36" spans="1:8" ht="17.100000000000001" customHeight="1" x14ac:dyDescent="0.2">
      <c r="A36" s="3">
        <v>30</v>
      </c>
      <c r="B36" s="4" t="s">
        <v>83</v>
      </c>
      <c r="C36" s="4" t="s">
        <v>84</v>
      </c>
      <c r="D36" s="4" t="s">
        <v>31</v>
      </c>
      <c r="E36" s="5">
        <v>50976</v>
      </c>
      <c r="F36" s="6">
        <v>778.55644800000005</v>
      </c>
      <c r="G36" s="7">
        <v>1.2128572000000001E-2</v>
      </c>
      <c r="H36" s="49"/>
    </row>
    <row r="37" spans="1:8" ht="17.100000000000001" customHeight="1" x14ac:dyDescent="0.2">
      <c r="A37" s="3">
        <v>31</v>
      </c>
      <c r="B37" s="4" t="s">
        <v>85</v>
      </c>
      <c r="C37" s="4" t="s">
        <v>86</v>
      </c>
      <c r="D37" s="4" t="s">
        <v>13</v>
      </c>
      <c r="E37" s="5">
        <v>279409</v>
      </c>
      <c r="F37" s="6">
        <v>731.35305749999998</v>
      </c>
      <c r="G37" s="7">
        <v>1.1393225E-2</v>
      </c>
      <c r="H37" s="49"/>
    </row>
    <row r="38" spans="1:8" ht="17.100000000000001" customHeight="1" x14ac:dyDescent="0.2">
      <c r="A38" s="3">
        <v>32</v>
      </c>
      <c r="B38" s="4" t="s">
        <v>87</v>
      </c>
      <c r="C38" s="4" t="s">
        <v>88</v>
      </c>
      <c r="D38" s="4" t="s">
        <v>89</v>
      </c>
      <c r="E38" s="5">
        <v>26495</v>
      </c>
      <c r="F38" s="6">
        <v>708.83398250000005</v>
      </c>
      <c r="G38" s="7">
        <v>1.1042415999999999E-2</v>
      </c>
      <c r="H38" s="49"/>
    </row>
    <row r="39" spans="1:8" ht="17.100000000000001" customHeight="1" x14ac:dyDescent="0.2">
      <c r="A39" s="3">
        <v>33</v>
      </c>
      <c r="B39" s="4" t="s">
        <v>90</v>
      </c>
      <c r="C39" s="4" t="s">
        <v>91</v>
      </c>
      <c r="D39" s="4" t="s">
        <v>31</v>
      </c>
      <c r="E39" s="5">
        <v>50000</v>
      </c>
      <c r="F39" s="6">
        <v>706.75</v>
      </c>
      <c r="G39" s="7">
        <v>1.1009951E-2</v>
      </c>
      <c r="H39" s="49"/>
    </row>
    <row r="40" spans="1:8" ht="17.100000000000001" customHeight="1" x14ac:dyDescent="0.2">
      <c r="A40" s="3">
        <v>34</v>
      </c>
      <c r="B40" s="4" t="s">
        <v>92</v>
      </c>
      <c r="C40" s="4" t="s">
        <v>93</v>
      </c>
      <c r="D40" s="4" t="s">
        <v>22</v>
      </c>
      <c r="E40" s="5">
        <v>199136</v>
      </c>
      <c r="F40" s="6">
        <v>679.35246400000005</v>
      </c>
      <c r="G40" s="7">
        <v>1.0583145E-2</v>
      </c>
      <c r="H40" s="49"/>
    </row>
    <row r="41" spans="1:8" ht="53.1" customHeight="1" x14ac:dyDescent="0.2">
      <c r="A41" s="3">
        <v>35</v>
      </c>
      <c r="B41" s="4" t="s">
        <v>94</v>
      </c>
      <c r="C41" s="4" t="s">
        <v>95</v>
      </c>
      <c r="D41" s="4" t="s">
        <v>51</v>
      </c>
      <c r="E41" s="5">
        <v>45404</v>
      </c>
      <c r="F41" s="6">
        <v>666.73503800000003</v>
      </c>
      <c r="G41" s="7">
        <v>1.0386586999999999E-2</v>
      </c>
      <c r="H41" s="49"/>
    </row>
    <row r="42" spans="1:8" ht="17.100000000000001" customHeight="1" x14ac:dyDescent="0.2">
      <c r="A42" s="3">
        <v>36</v>
      </c>
      <c r="B42" s="4" t="s">
        <v>96</v>
      </c>
      <c r="C42" s="4" t="s">
        <v>97</v>
      </c>
      <c r="D42" s="4" t="s">
        <v>43</v>
      </c>
      <c r="E42" s="5">
        <v>125539</v>
      </c>
      <c r="F42" s="6">
        <v>662.34376399999996</v>
      </c>
      <c r="G42" s="7">
        <v>1.0318178000000001E-2</v>
      </c>
      <c r="H42" s="49"/>
    </row>
    <row r="43" spans="1:8" ht="17.100000000000001" customHeight="1" x14ac:dyDescent="0.2">
      <c r="A43" s="3">
        <v>37</v>
      </c>
      <c r="B43" s="4" t="s">
        <v>98</v>
      </c>
      <c r="C43" s="4" t="s">
        <v>99</v>
      </c>
      <c r="D43" s="4" t="s">
        <v>100</v>
      </c>
      <c r="E43" s="5">
        <v>134092</v>
      </c>
      <c r="F43" s="6">
        <v>652.02234999999996</v>
      </c>
      <c r="G43" s="7">
        <v>1.0157388E-2</v>
      </c>
      <c r="H43" s="49"/>
    </row>
    <row r="44" spans="1:8" ht="29.1" customHeight="1" x14ac:dyDescent="0.2">
      <c r="A44" s="3">
        <v>38</v>
      </c>
      <c r="B44" s="4" t="s">
        <v>101</v>
      </c>
      <c r="C44" s="4" t="s">
        <v>102</v>
      </c>
      <c r="D44" s="4" t="s">
        <v>103</v>
      </c>
      <c r="E44" s="5">
        <v>90717</v>
      </c>
      <c r="F44" s="6">
        <v>648.4904745</v>
      </c>
      <c r="G44" s="7">
        <v>1.0102368E-2</v>
      </c>
      <c r="H44" s="49"/>
    </row>
    <row r="45" spans="1:8" ht="17.100000000000001" customHeight="1" x14ac:dyDescent="0.2">
      <c r="A45" s="3">
        <v>39</v>
      </c>
      <c r="B45" s="4" t="s">
        <v>104</v>
      </c>
      <c r="C45" s="4" t="s">
        <v>105</v>
      </c>
      <c r="D45" s="4" t="s">
        <v>100</v>
      </c>
      <c r="E45" s="5">
        <v>68500</v>
      </c>
      <c r="F45" s="6">
        <v>632.87149999999997</v>
      </c>
      <c r="G45" s="7">
        <v>9.8590510000000006E-3</v>
      </c>
      <c r="H45" s="49"/>
    </row>
    <row r="46" spans="1:8" ht="17.100000000000001" customHeight="1" x14ac:dyDescent="0.2">
      <c r="A46" s="3">
        <v>40</v>
      </c>
      <c r="B46" s="4" t="s">
        <v>106</v>
      </c>
      <c r="C46" s="4" t="s">
        <v>107</v>
      </c>
      <c r="D46" s="4" t="s">
        <v>108</v>
      </c>
      <c r="E46" s="5">
        <v>142476</v>
      </c>
      <c r="F46" s="6">
        <v>550.88345400000003</v>
      </c>
      <c r="G46" s="7">
        <v>8.5818179999999997E-3</v>
      </c>
      <c r="H46" s="49"/>
    </row>
    <row r="47" spans="1:8" ht="17.100000000000001" customHeight="1" x14ac:dyDescent="0.2">
      <c r="A47" s="3">
        <v>41</v>
      </c>
      <c r="B47" s="4" t="s">
        <v>109</v>
      </c>
      <c r="C47" s="4" t="s">
        <v>110</v>
      </c>
      <c r="D47" s="4" t="s">
        <v>89</v>
      </c>
      <c r="E47" s="5">
        <v>119000</v>
      </c>
      <c r="F47" s="6">
        <v>540.79549999999995</v>
      </c>
      <c r="G47" s="7">
        <v>8.4246649999999996E-3</v>
      </c>
      <c r="H47" s="49"/>
    </row>
    <row r="48" spans="1:8" ht="17.100000000000001" customHeight="1" x14ac:dyDescent="0.2">
      <c r="A48" s="3">
        <v>42</v>
      </c>
      <c r="B48" s="4" t="s">
        <v>111</v>
      </c>
      <c r="C48" s="4" t="s">
        <v>112</v>
      </c>
      <c r="D48" s="4" t="s">
        <v>113</v>
      </c>
      <c r="E48" s="5">
        <v>119918</v>
      </c>
      <c r="F48" s="6">
        <v>540.47042599999997</v>
      </c>
      <c r="G48" s="7">
        <v>8.4196010000000005E-3</v>
      </c>
      <c r="H48" s="49"/>
    </row>
    <row r="49" spans="1:8" ht="17.100000000000001" customHeight="1" x14ac:dyDescent="0.2">
      <c r="A49" s="3">
        <v>43</v>
      </c>
      <c r="B49" s="4" t="s">
        <v>114</v>
      </c>
      <c r="C49" s="4" t="s">
        <v>115</v>
      </c>
      <c r="D49" s="4" t="s">
        <v>100</v>
      </c>
      <c r="E49" s="5">
        <v>112117</v>
      </c>
      <c r="F49" s="6">
        <v>532.21939899999995</v>
      </c>
      <c r="G49" s="7">
        <v>8.2910640000000008E-3</v>
      </c>
      <c r="H49" s="49"/>
    </row>
    <row r="50" spans="1:8" ht="17.100000000000001" customHeight="1" x14ac:dyDescent="0.2">
      <c r="A50" s="3">
        <v>44</v>
      </c>
      <c r="B50" s="4" t="s">
        <v>116</v>
      </c>
      <c r="C50" s="4" t="s">
        <v>117</v>
      </c>
      <c r="D50" s="4" t="s">
        <v>118</v>
      </c>
      <c r="E50" s="5">
        <v>313512</v>
      </c>
      <c r="F50" s="6">
        <v>442.365432</v>
      </c>
      <c r="G50" s="7">
        <v>6.8912940000000001E-3</v>
      </c>
      <c r="H50" s="49"/>
    </row>
    <row r="51" spans="1:8" ht="17.100000000000001" customHeight="1" x14ac:dyDescent="0.2">
      <c r="A51" s="3">
        <v>45</v>
      </c>
      <c r="B51" s="4" t="s">
        <v>119</v>
      </c>
      <c r="C51" s="4" t="s">
        <v>120</v>
      </c>
      <c r="D51" s="4" t="s">
        <v>13</v>
      </c>
      <c r="E51" s="5">
        <v>33853</v>
      </c>
      <c r="F51" s="6">
        <v>408.8934605</v>
      </c>
      <c r="G51" s="7">
        <v>6.3698579999999999E-3</v>
      </c>
      <c r="H51" s="49"/>
    </row>
    <row r="52" spans="1:8" ht="17.100000000000001" customHeight="1" x14ac:dyDescent="0.2">
      <c r="A52" s="3">
        <v>46</v>
      </c>
      <c r="B52" s="4" t="s">
        <v>121</v>
      </c>
      <c r="C52" s="4" t="s">
        <v>122</v>
      </c>
      <c r="D52" s="4" t="s">
        <v>108</v>
      </c>
      <c r="E52" s="5">
        <v>10500</v>
      </c>
      <c r="F52" s="6">
        <v>202.04624999999999</v>
      </c>
      <c r="G52" s="7">
        <v>3.147534E-3</v>
      </c>
      <c r="H52" s="49"/>
    </row>
    <row r="53" spans="1:8" ht="29.1" customHeight="1" x14ac:dyDescent="0.2">
      <c r="A53" s="3">
        <v>47</v>
      </c>
      <c r="B53" s="4" t="s">
        <v>123</v>
      </c>
      <c r="C53" s="4" t="s">
        <v>124</v>
      </c>
      <c r="D53" s="4" t="s">
        <v>25</v>
      </c>
      <c r="E53" s="5">
        <v>26736</v>
      </c>
      <c r="F53" s="6">
        <v>180.41452799999999</v>
      </c>
      <c r="G53" s="7">
        <v>2.8105489999999999E-3</v>
      </c>
      <c r="H53" s="49"/>
    </row>
    <row r="54" spans="1:8" ht="17.100000000000001" customHeight="1" x14ac:dyDescent="0.2">
      <c r="A54" s="3">
        <v>48</v>
      </c>
      <c r="B54" s="4" t="s">
        <v>125</v>
      </c>
      <c r="C54" s="4" t="s">
        <v>126</v>
      </c>
      <c r="D54" s="4"/>
      <c r="E54" s="5">
        <v>45404</v>
      </c>
      <c r="F54" s="6">
        <v>137.00657000000001</v>
      </c>
      <c r="G54" s="7">
        <v>2.1343270000000001E-3</v>
      </c>
      <c r="H54" s="49"/>
    </row>
    <row r="55" spans="1:8" ht="14.1" customHeight="1" x14ac:dyDescent="0.2">
      <c r="A55" s="1"/>
      <c r="B55" s="1"/>
      <c r="C55" s="2" t="s">
        <v>130</v>
      </c>
      <c r="D55" s="1"/>
      <c r="E55" s="1" t="s">
        <v>131</v>
      </c>
      <c r="F55" s="9">
        <v>62471.687191500008</v>
      </c>
      <c r="G55" s="10">
        <v>0.9732016029999998</v>
      </c>
      <c r="H55" s="49"/>
    </row>
    <row r="56" spans="1:8" ht="14.1" customHeight="1" x14ac:dyDescent="0.2">
      <c r="A56" s="1"/>
      <c r="B56" s="1"/>
      <c r="C56" s="11"/>
      <c r="D56" s="1"/>
      <c r="E56" s="1"/>
      <c r="F56" s="12"/>
      <c r="G56" s="12"/>
      <c r="H56" s="49"/>
    </row>
    <row r="57" spans="1:8" ht="14.1" customHeight="1" x14ac:dyDescent="0.2">
      <c r="A57" s="1"/>
      <c r="B57" s="1"/>
      <c r="C57" s="2" t="s">
        <v>132</v>
      </c>
      <c r="D57" s="1"/>
      <c r="E57" s="1"/>
      <c r="F57" s="1"/>
      <c r="G57" s="1"/>
      <c r="H57" s="49"/>
    </row>
    <row r="58" spans="1:8" ht="14.1" customHeight="1" x14ac:dyDescent="0.2">
      <c r="A58" s="1"/>
      <c r="B58" s="1"/>
      <c r="C58" s="2" t="s">
        <v>130</v>
      </c>
      <c r="D58" s="1"/>
      <c r="E58" s="1" t="s">
        <v>131</v>
      </c>
      <c r="F58" s="13">
        <v>0</v>
      </c>
      <c r="G58" s="14">
        <v>0</v>
      </c>
      <c r="H58" s="49"/>
    </row>
    <row r="59" spans="1:8" ht="14.1" customHeight="1" x14ac:dyDescent="0.2">
      <c r="A59" s="1"/>
      <c r="B59" s="1"/>
      <c r="C59" s="11"/>
      <c r="D59" s="1"/>
      <c r="E59" s="1"/>
      <c r="F59" s="12"/>
      <c r="G59" s="12"/>
      <c r="H59" s="49"/>
    </row>
    <row r="60" spans="1:8" ht="14.1" customHeight="1" x14ac:dyDescent="0.2">
      <c r="A60" s="1"/>
      <c r="B60" s="1"/>
      <c r="C60" s="2" t="s">
        <v>133</v>
      </c>
      <c r="D60" s="1"/>
      <c r="E60" s="1"/>
      <c r="F60" s="1"/>
      <c r="G60" s="1"/>
      <c r="H60" s="49"/>
    </row>
    <row r="61" spans="1:8" ht="17.100000000000001" customHeight="1" x14ac:dyDescent="0.2">
      <c r="A61" s="3">
        <v>1</v>
      </c>
      <c r="B61" s="4" t="s">
        <v>127</v>
      </c>
      <c r="C61" s="39" t="s">
        <v>953</v>
      </c>
      <c r="D61" s="4" t="s">
        <v>128</v>
      </c>
      <c r="E61" s="5">
        <v>559425</v>
      </c>
      <c r="F61" s="6">
        <v>1.1189000000000001E-5</v>
      </c>
      <c r="G61" s="8" t="s">
        <v>129</v>
      </c>
      <c r="H61" s="49"/>
    </row>
    <row r="62" spans="1:8" ht="14.1" customHeight="1" x14ac:dyDescent="0.2">
      <c r="A62" s="1"/>
      <c r="B62" s="1"/>
      <c r="C62" s="2" t="s">
        <v>130</v>
      </c>
      <c r="D62" s="1"/>
      <c r="E62" s="1" t="s">
        <v>131</v>
      </c>
      <c r="F62" s="13">
        <v>1.1189000000000001E-5</v>
      </c>
      <c r="G62" s="14">
        <v>0</v>
      </c>
      <c r="H62" s="49"/>
    </row>
    <row r="63" spans="1:8" ht="14.1" customHeight="1" x14ac:dyDescent="0.2">
      <c r="A63" s="1"/>
      <c r="B63" s="1"/>
      <c r="C63" s="11"/>
      <c r="D63" s="1"/>
      <c r="E63" s="1"/>
      <c r="F63" s="12"/>
      <c r="G63" s="12"/>
      <c r="H63" s="49"/>
    </row>
    <row r="64" spans="1:8" ht="14.1" customHeight="1" x14ac:dyDescent="0.2">
      <c r="A64" s="1"/>
      <c r="B64" s="1"/>
      <c r="C64" s="2" t="s">
        <v>134</v>
      </c>
      <c r="D64" s="1"/>
      <c r="E64" s="1"/>
      <c r="F64" s="1"/>
      <c r="G64" s="1"/>
      <c r="H64" s="49"/>
    </row>
    <row r="65" spans="1:8" ht="14.1" customHeight="1" x14ac:dyDescent="0.2">
      <c r="A65" s="1"/>
      <c r="B65" s="1"/>
      <c r="C65" s="2" t="s">
        <v>130</v>
      </c>
      <c r="D65" s="1"/>
      <c r="E65" s="1" t="s">
        <v>131</v>
      </c>
      <c r="F65" s="13">
        <v>0</v>
      </c>
      <c r="G65" s="14">
        <v>0</v>
      </c>
      <c r="H65" s="49"/>
    </row>
    <row r="66" spans="1:8" ht="14.1" customHeight="1" x14ac:dyDescent="0.2">
      <c r="A66" s="1"/>
      <c r="B66" s="1"/>
      <c r="C66" s="11"/>
      <c r="D66" s="1"/>
      <c r="E66" s="1"/>
      <c r="F66" s="12"/>
      <c r="G66" s="12"/>
      <c r="H66" s="49"/>
    </row>
    <row r="67" spans="1:8" ht="14.1" customHeight="1" x14ac:dyDescent="0.2">
      <c r="A67" s="1"/>
      <c r="B67" s="1"/>
      <c r="C67" s="2" t="s">
        <v>135</v>
      </c>
      <c r="D67" s="1"/>
      <c r="E67" s="1"/>
      <c r="F67" s="12"/>
      <c r="G67" s="12"/>
      <c r="H67" s="49"/>
    </row>
    <row r="68" spans="1:8" ht="14.1" customHeight="1" x14ac:dyDescent="0.2">
      <c r="A68" s="1"/>
      <c r="B68" s="1"/>
      <c r="C68" s="2" t="s">
        <v>130</v>
      </c>
      <c r="D68" s="1"/>
      <c r="E68" s="1" t="s">
        <v>131</v>
      </c>
      <c r="F68" s="13">
        <v>0</v>
      </c>
      <c r="G68" s="14">
        <v>0</v>
      </c>
      <c r="H68" s="49"/>
    </row>
    <row r="69" spans="1:8" ht="14.1" customHeight="1" x14ac:dyDescent="0.2">
      <c r="A69" s="1"/>
      <c r="B69" s="1"/>
      <c r="C69" s="11"/>
      <c r="D69" s="1"/>
      <c r="E69" s="1"/>
      <c r="F69" s="12"/>
      <c r="G69" s="12"/>
      <c r="H69" s="49"/>
    </row>
    <row r="70" spans="1:8" ht="14.1" customHeight="1" x14ac:dyDescent="0.2">
      <c r="A70" s="1"/>
      <c r="B70" s="1"/>
      <c r="C70" s="2" t="s">
        <v>136</v>
      </c>
      <c r="D70" s="1"/>
      <c r="E70" s="1"/>
      <c r="F70" s="12"/>
      <c r="G70" s="12"/>
      <c r="H70" s="49"/>
    </row>
    <row r="71" spans="1:8" ht="14.1" customHeight="1" x14ac:dyDescent="0.2">
      <c r="A71" s="1"/>
      <c r="B71" s="1"/>
      <c r="C71" s="2" t="s">
        <v>130</v>
      </c>
      <c r="D71" s="1"/>
      <c r="E71" s="1" t="s">
        <v>131</v>
      </c>
      <c r="F71" s="13">
        <v>0</v>
      </c>
      <c r="G71" s="14">
        <v>0</v>
      </c>
      <c r="H71" s="49"/>
    </row>
    <row r="72" spans="1:8" ht="14.1" customHeight="1" x14ac:dyDescent="0.2">
      <c r="A72" s="1"/>
      <c r="B72" s="1"/>
      <c r="C72" s="11"/>
      <c r="D72" s="1"/>
      <c r="E72" s="1"/>
      <c r="F72" s="12"/>
      <c r="G72" s="12"/>
      <c r="H72" s="49"/>
    </row>
    <row r="73" spans="1:8" ht="18" customHeight="1" x14ac:dyDescent="0.2">
      <c r="A73" s="1"/>
      <c r="B73" s="1"/>
      <c r="C73" s="2" t="s">
        <v>137</v>
      </c>
      <c r="D73" s="1"/>
      <c r="E73" s="1"/>
      <c r="F73" s="9">
        <v>62471.687202688998</v>
      </c>
      <c r="G73" s="10">
        <v>0.97320160300000003</v>
      </c>
      <c r="H73" s="49"/>
    </row>
    <row r="74" spans="1:8" ht="14.1" customHeight="1" x14ac:dyDescent="0.2">
      <c r="A74" s="1"/>
      <c r="B74" s="1"/>
      <c r="C74" s="11"/>
      <c r="D74" s="1"/>
      <c r="E74" s="1"/>
      <c r="F74" s="12"/>
      <c r="G74" s="12"/>
      <c r="H74" s="49"/>
    </row>
    <row r="75" spans="1:8" ht="14.1" customHeight="1" x14ac:dyDescent="0.2">
      <c r="A75" s="1"/>
      <c r="B75" s="1"/>
      <c r="C75" s="2" t="s">
        <v>138</v>
      </c>
      <c r="D75" s="1"/>
      <c r="E75" s="1"/>
      <c r="F75" s="12"/>
      <c r="G75" s="12"/>
      <c r="H75" s="49"/>
    </row>
    <row r="76" spans="1:8" ht="24" customHeight="1" x14ac:dyDescent="0.2">
      <c r="A76" s="1"/>
      <c r="B76" s="1"/>
      <c r="C76" s="2" t="s">
        <v>10</v>
      </c>
      <c r="D76" s="1"/>
      <c r="E76" s="1"/>
      <c r="F76" s="12"/>
      <c r="G76" s="12"/>
      <c r="H76" s="49"/>
    </row>
    <row r="77" spans="1:8" ht="14.1" customHeight="1" x14ac:dyDescent="0.2">
      <c r="A77" s="1"/>
      <c r="B77" s="1"/>
      <c r="C77" s="2" t="s">
        <v>130</v>
      </c>
      <c r="D77" s="1"/>
      <c r="E77" s="1" t="s">
        <v>131</v>
      </c>
      <c r="F77" s="13">
        <v>0</v>
      </c>
      <c r="G77" s="14">
        <v>0</v>
      </c>
      <c r="H77" s="49"/>
    </row>
    <row r="78" spans="1:8" ht="14.1" customHeight="1" x14ac:dyDescent="0.2">
      <c r="A78" s="1"/>
      <c r="B78" s="1"/>
      <c r="C78" s="11"/>
      <c r="D78" s="1"/>
      <c r="E78" s="1"/>
      <c r="F78" s="12"/>
      <c r="G78" s="12"/>
      <c r="H78" s="49"/>
    </row>
    <row r="79" spans="1:8" ht="14.1" customHeight="1" x14ac:dyDescent="0.2">
      <c r="A79" s="1"/>
      <c r="B79" s="1"/>
      <c r="C79" s="2" t="s">
        <v>139</v>
      </c>
      <c r="D79" s="1"/>
      <c r="E79" s="1"/>
      <c r="F79" s="1"/>
      <c r="G79" s="1"/>
      <c r="H79" s="49"/>
    </row>
    <row r="80" spans="1:8" ht="14.1" customHeight="1" x14ac:dyDescent="0.2">
      <c r="A80" s="1"/>
      <c r="B80" s="1"/>
      <c r="C80" s="2" t="s">
        <v>130</v>
      </c>
      <c r="D80" s="1"/>
      <c r="E80" s="1" t="s">
        <v>131</v>
      </c>
      <c r="F80" s="13">
        <v>0</v>
      </c>
      <c r="G80" s="14">
        <v>0</v>
      </c>
      <c r="H80" s="49"/>
    </row>
    <row r="81" spans="1:8" ht="14.1" customHeight="1" x14ac:dyDescent="0.2">
      <c r="A81" s="1"/>
      <c r="B81" s="1"/>
      <c r="C81" s="11"/>
      <c r="D81" s="1"/>
      <c r="E81" s="1"/>
      <c r="F81" s="12"/>
      <c r="G81" s="12"/>
      <c r="H81" s="49"/>
    </row>
    <row r="82" spans="1:8" ht="14.1" customHeight="1" x14ac:dyDescent="0.2">
      <c r="A82" s="1"/>
      <c r="B82" s="1"/>
      <c r="C82" s="2" t="s">
        <v>140</v>
      </c>
      <c r="D82" s="1"/>
      <c r="E82" s="1"/>
      <c r="F82" s="1"/>
      <c r="G82" s="1"/>
      <c r="H82" s="49"/>
    </row>
    <row r="83" spans="1:8" ht="14.1" customHeight="1" x14ac:dyDescent="0.2">
      <c r="A83" s="1"/>
      <c r="B83" s="1"/>
      <c r="C83" s="2" t="s">
        <v>130</v>
      </c>
      <c r="D83" s="1"/>
      <c r="E83" s="1" t="s">
        <v>131</v>
      </c>
      <c r="F83" s="13">
        <v>0</v>
      </c>
      <c r="G83" s="14">
        <v>0</v>
      </c>
      <c r="H83" s="49"/>
    </row>
    <row r="84" spans="1:8" ht="14.1" customHeight="1" x14ac:dyDescent="0.2">
      <c r="A84" s="1"/>
      <c r="B84" s="1"/>
      <c r="C84" s="11"/>
      <c r="D84" s="1"/>
      <c r="E84" s="1"/>
      <c r="F84" s="12"/>
      <c r="G84" s="12"/>
      <c r="H84" s="49"/>
    </row>
    <row r="85" spans="1:8" ht="14.1" customHeight="1" x14ac:dyDescent="0.2">
      <c r="A85" s="1"/>
      <c r="B85" s="1"/>
      <c r="C85" s="2" t="s">
        <v>141</v>
      </c>
      <c r="D85" s="1"/>
      <c r="E85" s="1"/>
      <c r="F85" s="12"/>
      <c r="G85" s="12"/>
      <c r="H85" s="49"/>
    </row>
    <row r="86" spans="1:8" ht="14.1" customHeight="1" x14ac:dyDescent="0.2">
      <c r="A86" s="1"/>
      <c r="B86" s="1"/>
      <c r="C86" s="2" t="s">
        <v>130</v>
      </c>
      <c r="D86" s="1"/>
      <c r="E86" s="1" t="s">
        <v>131</v>
      </c>
      <c r="F86" s="13">
        <v>0</v>
      </c>
      <c r="G86" s="14">
        <v>0</v>
      </c>
      <c r="H86" s="49"/>
    </row>
    <row r="87" spans="1:8" ht="14.1" customHeight="1" x14ac:dyDescent="0.2">
      <c r="A87" s="1"/>
      <c r="B87" s="1"/>
      <c r="C87" s="11"/>
      <c r="D87" s="1"/>
      <c r="E87" s="1"/>
      <c r="F87" s="12"/>
      <c r="G87" s="12"/>
      <c r="H87" s="49"/>
    </row>
    <row r="88" spans="1:8" ht="14.1" customHeight="1" x14ac:dyDescent="0.2">
      <c r="A88" s="1"/>
      <c r="B88" s="1"/>
      <c r="C88" s="2" t="s">
        <v>142</v>
      </c>
      <c r="D88" s="1"/>
      <c r="E88" s="1"/>
      <c r="F88" s="9">
        <v>0</v>
      </c>
      <c r="G88" s="10">
        <v>0</v>
      </c>
      <c r="H88" s="49"/>
    </row>
    <row r="89" spans="1:8" ht="14.1" customHeight="1" x14ac:dyDescent="0.2">
      <c r="A89" s="1"/>
      <c r="B89" s="1"/>
      <c r="C89" s="11"/>
      <c r="D89" s="1"/>
      <c r="E89" s="1"/>
      <c r="F89" s="12"/>
      <c r="G89" s="12"/>
      <c r="H89" s="49"/>
    </row>
    <row r="90" spans="1:8" ht="14.1" customHeight="1" x14ac:dyDescent="0.2">
      <c r="A90" s="1"/>
      <c r="B90" s="1"/>
      <c r="C90" s="2" t="s">
        <v>143</v>
      </c>
      <c r="D90" s="1"/>
      <c r="E90" s="1"/>
      <c r="F90" s="12"/>
      <c r="G90" s="12"/>
      <c r="H90" s="49"/>
    </row>
    <row r="91" spans="1:8" ht="14.1" customHeight="1" x14ac:dyDescent="0.2">
      <c r="A91" s="1"/>
      <c r="B91" s="1"/>
      <c r="C91" s="2" t="s">
        <v>144</v>
      </c>
      <c r="D91" s="1"/>
      <c r="E91" s="1"/>
      <c r="F91" s="12"/>
      <c r="G91" s="12"/>
      <c r="H91" s="49"/>
    </row>
    <row r="92" spans="1:8" ht="14.1" customHeight="1" x14ac:dyDescent="0.2">
      <c r="A92" s="1"/>
      <c r="B92" s="1"/>
      <c r="C92" s="2" t="s">
        <v>130</v>
      </c>
      <c r="D92" s="1"/>
      <c r="E92" s="1" t="s">
        <v>131</v>
      </c>
      <c r="F92" s="13">
        <v>0</v>
      </c>
      <c r="G92" s="14">
        <v>0</v>
      </c>
      <c r="H92" s="49"/>
    </row>
    <row r="93" spans="1:8" ht="14.1" customHeight="1" x14ac:dyDescent="0.2">
      <c r="A93" s="1"/>
      <c r="B93" s="1"/>
      <c r="C93" s="11"/>
      <c r="D93" s="1"/>
      <c r="E93" s="1"/>
      <c r="F93" s="12"/>
      <c r="G93" s="12"/>
      <c r="H93" s="49"/>
    </row>
    <row r="94" spans="1:8" ht="14.1" customHeight="1" x14ac:dyDescent="0.2">
      <c r="A94" s="1"/>
      <c r="B94" s="1"/>
      <c r="C94" s="2" t="s">
        <v>145</v>
      </c>
      <c r="D94" s="1"/>
      <c r="E94" s="1"/>
      <c r="F94" s="12"/>
      <c r="G94" s="12"/>
      <c r="H94" s="49"/>
    </row>
    <row r="95" spans="1:8" ht="14.1" customHeight="1" x14ac:dyDescent="0.2">
      <c r="A95" s="1"/>
      <c r="B95" s="1"/>
      <c r="C95" s="2" t="s">
        <v>130</v>
      </c>
      <c r="D95" s="1"/>
      <c r="E95" s="1" t="s">
        <v>131</v>
      </c>
      <c r="F95" s="13">
        <v>0</v>
      </c>
      <c r="G95" s="14">
        <v>0</v>
      </c>
      <c r="H95" s="49"/>
    </row>
    <row r="96" spans="1:8" ht="14.1" customHeight="1" x14ac:dyDescent="0.2">
      <c r="A96" s="1"/>
      <c r="B96" s="1"/>
      <c r="C96" s="11"/>
      <c r="D96" s="1"/>
      <c r="E96" s="1"/>
      <c r="F96" s="12"/>
      <c r="G96" s="12"/>
      <c r="H96" s="49"/>
    </row>
    <row r="97" spans="1:8" ht="14.1" customHeight="1" x14ac:dyDescent="0.2">
      <c r="A97" s="1"/>
      <c r="B97" s="1"/>
      <c r="C97" s="2" t="s">
        <v>146</v>
      </c>
      <c r="D97" s="1"/>
      <c r="E97" s="1"/>
      <c r="F97" s="12"/>
      <c r="G97" s="12"/>
      <c r="H97" s="49"/>
    </row>
    <row r="98" spans="1:8" ht="14.1" customHeight="1" x14ac:dyDescent="0.2">
      <c r="A98" s="1"/>
      <c r="B98" s="1"/>
      <c r="C98" s="2" t="s">
        <v>130</v>
      </c>
      <c r="D98" s="1"/>
      <c r="E98" s="1" t="s">
        <v>131</v>
      </c>
      <c r="F98" s="13">
        <v>0</v>
      </c>
      <c r="G98" s="14">
        <v>0</v>
      </c>
      <c r="H98" s="49"/>
    </row>
    <row r="99" spans="1:8" ht="14.1" customHeight="1" x14ac:dyDescent="0.2">
      <c r="A99" s="1"/>
      <c r="B99" s="1"/>
      <c r="C99" s="11"/>
      <c r="D99" s="1"/>
      <c r="E99" s="1"/>
      <c r="F99" s="12"/>
      <c r="G99" s="12"/>
      <c r="H99" s="49"/>
    </row>
    <row r="100" spans="1:8" ht="14.1" customHeight="1" x14ac:dyDescent="0.2">
      <c r="A100" s="1"/>
      <c r="B100" s="1"/>
      <c r="C100" s="2" t="s">
        <v>147</v>
      </c>
      <c r="D100" s="1"/>
      <c r="E100" s="1"/>
      <c r="F100" s="12"/>
      <c r="G100" s="12"/>
      <c r="H100" s="49"/>
    </row>
    <row r="101" spans="1:8" ht="17.100000000000001" customHeight="1" x14ac:dyDescent="0.2">
      <c r="A101" s="3">
        <v>1</v>
      </c>
      <c r="B101" s="4"/>
      <c r="C101" s="4" t="s">
        <v>148</v>
      </c>
      <c r="D101" s="4"/>
      <c r="E101" s="8"/>
      <c r="F101" s="6">
        <v>1162.5515131</v>
      </c>
      <c r="G101" s="7">
        <v>1.8110556E-2</v>
      </c>
      <c r="H101" s="49">
        <v>5.6572293145372461</v>
      </c>
    </row>
    <row r="102" spans="1:8" ht="14.1" customHeight="1" x14ac:dyDescent="0.2">
      <c r="A102" s="1"/>
      <c r="B102" s="1"/>
      <c r="C102" s="2" t="s">
        <v>130</v>
      </c>
      <c r="D102" s="1"/>
      <c r="E102" s="1" t="s">
        <v>131</v>
      </c>
      <c r="F102" s="9">
        <v>1162.5515131</v>
      </c>
      <c r="G102" s="10">
        <v>1.8110556E-2</v>
      </c>
      <c r="H102" s="49"/>
    </row>
    <row r="103" spans="1:8" ht="14.1" customHeight="1" x14ac:dyDescent="0.2">
      <c r="A103" s="1"/>
      <c r="B103" s="1"/>
      <c r="C103" s="11"/>
      <c r="D103" s="1"/>
      <c r="E103" s="1"/>
      <c r="F103" s="12"/>
      <c r="G103" s="12"/>
      <c r="H103" s="49"/>
    </row>
    <row r="104" spans="1:8" ht="14.1" customHeight="1" x14ac:dyDescent="0.2">
      <c r="A104" s="1"/>
      <c r="B104" s="1"/>
      <c r="C104" s="2" t="s">
        <v>149</v>
      </c>
      <c r="D104" s="1"/>
      <c r="E104" s="1"/>
      <c r="F104" s="9">
        <v>1162.5515131</v>
      </c>
      <c r="G104" s="10">
        <v>1.8110556E-2</v>
      </c>
      <c r="H104" s="49"/>
    </row>
    <row r="105" spans="1:8" ht="14.1" customHeight="1" x14ac:dyDescent="0.2">
      <c r="A105" s="1"/>
      <c r="B105" s="1"/>
      <c r="C105" s="12"/>
      <c r="D105" s="1"/>
      <c r="E105" s="1"/>
      <c r="F105" s="1"/>
      <c r="G105" s="1"/>
      <c r="H105" s="49"/>
    </row>
    <row r="106" spans="1:8" ht="14.1" customHeight="1" x14ac:dyDescent="0.2">
      <c r="A106" s="1"/>
      <c r="B106" s="1"/>
      <c r="C106" s="2" t="s">
        <v>150</v>
      </c>
      <c r="D106" s="1"/>
      <c r="E106" s="1"/>
      <c r="F106" s="1"/>
      <c r="G106" s="1"/>
      <c r="H106" s="49"/>
    </row>
    <row r="107" spans="1:8" ht="14.1" customHeight="1" x14ac:dyDescent="0.2">
      <c r="A107" s="1"/>
      <c r="B107" s="1"/>
      <c r="C107" s="2" t="s">
        <v>151</v>
      </c>
      <c r="D107" s="1"/>
      <c r="E107" s="1"/>
      <c r="F107" s="1"/>
      <c r="G107" s="1"/>
      <c r="H107" s="49"/>
    </row>
    <row r="108" spans="1:8" ht="14.1" customHeight="1" x14ac:dyDescent="0.2">
      <c r="A108" s="1"/>
      <c r="B108" s="1"/>
      <c r="C108" s="2" t="s">
        <v>130</v>
      </c>
      <c r="D108" s="1"/>
      <c r="E108" s="1" t="s">
        <v>131</v>
      </c>
      <c r="F108" s="13">
        <v>0</v>
      </c>
      <c r="G108" s="14">
        <v>0</v>
      </c>
      <c r="H108" s="49"/>
    </row>
    <row r="109" spans="1:8" ht="14.1" customHeight="1" x14ac:dyDescent="0.2">
      <c r="A109" s="1"/>
      <c r="B109" s="1"/>
      <c r="C109" s="11"/>
      <c r="D109" s="1"/>
      <c r="E109" s="1"/>
      <c r="F109" s="12"/>
      <c r="G109" s="12"/>
      <c r="H109" s="49"/>
    </row>
    <row r="110" spans="1:8" ht="14.1" customHeight="1" x14ac:dyDescent="0.2">
      <c r="A110" s="1"/>
      <c r="B110" s="1"/>
      <c r="C110" s="2" t="s">
        <v>152</v>
      </c>
      <c r="D110" s="1"/>
      <c r="E110" s="1"/>
      <c r="F110" s="1"/>
      <c r="G110" s="1"/>
      <c r="H110" s="49"/>
    </row>
    <row r="111" spans="1:8" ht="14.1" customHeight="1" x14ac:dyDescent="0.2">
      <c r="A111" s="1"/>
      <c r="B111" s="1"/>
      <c r="C111" s="2" t="s">
        <v>153</v>
      </c>
      <c r="D111" s="1"/>
      <c r="E111" s="1"/>
      <c r="F111" s="1"/>
      <c r="G111" s="1"/>
      <c r="H111" s="49"/>
    </row>
    <row r="112" spans="1:8" ht="14.1" customHeight="1" x14ac:dyDescent="0.2">
      <c r="A112" s="1"/>
      <c r="B112" s="1"/>
      <c r="C112" s="2" t="s">
        <v>130</v>
      </c>
      <c r="D112" s="1"/>
      <c r="E112" s="1" t="s">
        <v>131</v>
      </c>
      <c r="F112" s="13">
        <v>0</v>
      </c>
      <c r="G112" s="14">
        <v>0</v>
      </c>
      <c r="H112" s="49"/>
    </row>
    <row r="113" spans="1:8" ht="14.1" customHeight="1" x14ac:dyDescent="0.2">
      <c r="A113" s="1"/>
      <c r="B113" s="1"/>
      <c r="C113" s="11"/>
      <c r="D113" s="1"/>
      <c r="E113" s="1"/>
      <c r="F113" s="12"/>
      <c r="G113" s="12"/>
      <c r="H113" s="49"/>
    </row>
    <row r="114" spans="1:8" ht="14.1" customHeight="1" x14ac:dyDescent="0.2">
      <c r="A114" s="1"/>
      <c r="B114" s="1"/>
      <c r="C114" s="11"/>
      <c r="D114" s="1"/>
      <c r="E114" s="1"/>
      <c r="F114" s="12"/>
      <c r="G114" s="12"/>
      <c r="H114" s="49"/>
    </row>
    <row r="115" spans="1:8" ht="24" customHeight="1" x14ac:dyDescent="0.2">
      <c r="A115" s="1"/>
      <c r="B115" s="1"/>
      <c r="C115" s="2" t="s">
        <v>154</v>
      </c>
      <c r="D115" s="1"/>
      <c r="E115" s="1"/>
      <c r="F115" s="12"/>
      <c r="G115" s="12"/>
      <c r="H115" s="49"/>
    </row>
    <row r="116" spans="1:8" ht="14.1" customHeight="1" x14ac:dyDescent="0.2">
      <c r="A116" s="1"/>
      <c r="B116" s="1"/>
      <c r="C116" s="2" t="s">
        <v>130</v>
      </c>
      <c r="D116" s="1"/>
      <c r="E116" s="1" t="s">
        <v>131</v>
      </c>
      <c r="F116" s="13">
        <v>0</v>
      </c>
      <c r="G116" s="14">
        <v>0</v>
      </c>
      <c r="H116" s="49"/>
    </row>
    <row r="117" spans="1:8" ht="14.1" customHeight="1" x14ac:dyDescent="0.2">
      <c r="A117" s="1"/>
      <c r="B117" s="1"/>
      <c r="C117" s="11"/>
      <c r="D117" s="1"/>
      <c r="E117" s="1"/>
      <c r="F117" s="12"/>
      <c r="G117" s="12"/>
      <c r="H117" s="49"/>
    </row>
    <row r="118" spans="1:8" ht="14.1" customHeight="1" x14ac:dyDescent="0.2">
      <c r="A118" s="1"/>
      <c r="B118" s="4"/>
      <c r="C118" s="4"/>
      <c r="D118" s="2"/>
      <c r="E118" s="1"/>
      <c r="F118" s="4"/>
      <c r="G118" s="8"/>
      <c r="H118" s="49"/>
    </row>
    <row r="119" spans="1:8" ht="18" customHeight="1" x14ac:dyDescent="0.2">
      <c r="A119" s="8"/>
      <c r="B119" s="4"/>
      <c r="C119" s="4" t="s">
        <v>155</v>
      </c>
      <c r="D119" s="4"/>
      <c r="E119" s="8"/>
      <c r="F119" s="6">
        <v>557.68920389000004</v>
      </c>
      <c r="G119" s="7">
        <v>8.6878400000000005E-3</v>
      </c>
      <c r="H119" s="49"/>
    </row>
    <row r="120" spans="1:8" ht="14.1" customHeight="1" x14ac:dyDescent="0.2">
      <c r="A120" s="11"/>
      <c r="B120" s="11"/>
      <c r="C120" s="2" t="s">
        <v>156</v>
      </c>
      <c r="D120" s="15"/>
      <c r="E120" s="15"/>
      <c r="F120" s="9">
        <v>64191.927919678994</v>
      </c>
      <c r="G120" s="14">
        <v>0.99999999900000003</v>
      </c>
      <c r="H120" s="49"/>
    </row>
    <row r="121" spans="1:8" ht="14.1" customHeight="1" x14ac:dyDescent="0.2">
      <c r="A121" s="16"/>
      <c r="B121" s="16"/>
      <c r="C121" s="16"/>
      <c r="D121" s="17"/>
      <c r="E121" s="17"/>
      <c r="F121" s="17"/>
      <c r="G121" s="17"/>
    </row>
    <row r="122" spans="1:8" ht="17.100000000000001" customHeight="1" x14ac:dyDescent="0.2">
      <c r="A122" s="53"/>
      <c r="B122" s="322" t="s">
        <v>157</v>
      </c>
      <c r="C122" s="322"/>
      <c r="D122" s="322"/>
      <c r="E122" s="322"/>
      <c r="F122" s="322"/>
      <c r="G122" s="54"/>
    </row>
    <row r="123" spans="1:8" ht="14.1" customHeight="1" x14ac:dyDescent="0.2">
      <c r="A123" s="18"/>
      <c r="B123" s="18"/>
      <c r="C123" s="18"/>
      <c r="D123" s="20"/>
      <c r="E123" s="20"/>
      <c r="F123" s="20"/>
      <c r="G123" s="20"/>
    </row>
    <row r="124" spans="1:8" ht="14.1" customHeight="1" x14ac:dyDescent="0.2">
      <c r="A124" s="18"/>
      <c r="B124" s="319" t="s">
        <v>158</v>
      </c>
      <c r="C124" s="320"/>
      <c r="D124" s="12" t="s">
        <v>131</v>
      </c>
      <c r="E124" s="21"/>
      <c r="F124" s="20"/>
      <c r="G124" s="20"/>
    </row>
    <row r="125" spans="1:8" ht="29.1" customHeight="1" x14ac:dyDescent="0.2">
      <c r="A125" s="18"/>
      <c r="B125" s="323" t="s">
        <v>159</v>
      </c>
      <c r="C125" s="324"/>
      <c r="D125" s="2" t="s">
        <v>160</v>
      </c>
      <c r="E125" s="21"/>
      <c r="F125" s="20"/>
      <c r="G125" s="20"/>
    </row>
    <row r="126" spans="1:8" ht="17.100000000000001" customHeight="1" x14ac:dyDescent="0.2">
      <c r="A126" s="18"/>
      <c r="B126" s="325" t="s">
        <v>954</v>
      </c>
      <c r="C126" s="326"/>
      <c r="D126" s="57" t="s">
        <v>955</v>
      </c>
      <c r="E126" s="21"/>
      <c r="F126" s="20"/>
      <c r="G126" s="20"/>
    </row>
    <row r="127" spans="1:8" ht="17.100000000000001" customHeight="1" x14ac:dyDescent="0.2">
      <c r="A127" s="18"/>
      <c r="B127" s="323" t="s">
        <v>162</v>
      </c>
      <c r="C127" s="324"/>
      <c r="D127" s="12" t="s">
        <v>131</v>
      </c>
      <c r="E127" s="21"/>
      <c r="F127" s="20"/>
      <c r="G127" s="20"/>
    </row>
    <row r="128" spans="1:8" ht="24" customHeight="1" x14ac:dyDescent="0.2">
      <c r="A128" s="22"/>
      <c r="B128" s="23" t="s">
        <v>131</v>
      </c>
      <c r="C128" s="23" t="s">
        <v>163</v>
      </c>
      <c r="D128" s="23" t="s">
        <v>164</v>
      </c>
      <c r="E128" s="22"/>
      <c r="F128" s="22"/>
      <c r="G128" s="22"/>
    </row>
    <row r="129" spans="1:7" ht="18" customHeight="1" x14ac:dyDescent="0.2">
      <c r="A129" s="22"/>
      <c r="B129" s="23" t="s">
        <v>165</v>
      </c>
      <c r="C129" s="23" t="s">
        <v>166</v>
      </c>
      <c r="D129" s="23" t="s">
        <v>167</v>
      </c>
      <c r="E129" s="22"/>
      <c r="F129" s="22"/>
      <c r="G129" s="22"/>
    </row>
    <row r="130" spans="1:7" ht="17.100000000000001" customHeight="1" x14ac:dyDescent="0.2">
      <c r="A130" s="22"/>
      <c r="B130" s="4" t="s">
        <v>168</v>
      </c>
      <c r="C130" s="24">
        <v>56.561</v>
      </c>
      <c r="D130" s="24">
        <v>57.892099999999999</v>
      </c>
      <c r="E130" s="22"/>
      <c r="F130" s="19"/>
      <c r="G130" s="25"/>
    </row>
    <row r="131" spans="1:7" ht="17.100000000000001" customHeight="1" x14ac:dyDescent="0.2">
      <c r="A131" s="22"/>
      <c r="B131" s="4" t="s">
        <v>1021</v>
      </c>
      <c r="C131" s="24">
        <v>43.638599999999997</v>
      </c>
      <c r="D131" s="24">
        <v>41.524999999999999</v>
      </c>
      <c r="E131" s="22"/>
      <c r="F131" s="19"/>
      <c r="G131" s="25"/>
    </row>
    <row r="132" spans="1:7" ht="17.100000000000001" customHeight="1" x14ac:dyDescent="0.2">
      <c r="A132" s="22"/>
      <c r="B132" s="4" t="s">
        <v>169</v>
      </c>
      <c r="C132" s="24">
        <v>53.758299999999998</v>
      </c>
      <c r="D132" s="24">
        <v>54.998899999999999</v>
      </c>
      <c r="E132" s="22"/>
      <c r="F132" s="19"/>
      <c r="G132" s="25"/>
    </row>
    <row r="133" spans="1:7" ht="17.100000000000001" customHeight="1" x14ac:dyDescent="0.2">
      <c r="A133" s="22"/>
      <c r="B133" s="4" t="s">
        <v>1022</v>
      </c>
      <c r="C133" s="24">
        <v>41.266500000000001</v>
      </c>
      <c r="D133" s="24">
        <v>39.250599999999999</v>
      </c>
      <c r="E133" s="22"/>
      <c r="F133" s="19"/>
      <c r="G133" s="25"/>
    </row>
    <row r="134" spans="1:7" ht="14.1" customHeight="1" x14ac:dyDescent="0.2">
      <c r="A134" s="22"/>
      <c r="B134" s="22"/>
      <c r="C134" s="22"/>
      <c r="D134" s="22"/>
      <c r="E134" s="22"/>
      <c r="F134" s="22"/>
      <c r="G134" s="22"/>
    </row>
    <row r="135" spans="1:7" ht="17.100000000000001" customHeight="1" x14ac:dyDescent="0.2">
      <c r="A135" s="61"/>
      <c r="B135" s="325" t="s">
        <v>1023</v>
      </c>
      <c r="C135" s="326"/>
      <c r="D135" s="57" t="s">
        <v>131</v>
      </c>
      <c r="E135" s="61"/>
      <c r="F135" s="61"/>
      <c r="G135" s="61"/>
    </row>
    <row r="136" spans="1:7" ht="18" customHeight="1" x14ac:dyDescent="0.2">
      <c r="A136" s="61"/>
      <c r="B136" s="62" t="s">
        <v>165</v>
      </c>
      <c r="C136" s="63" t="s">
        <v>820</v>
      </c>
      <c r="D136" s="63" t="s">
        <v>821</v>
      </c>
      <c r="E136" s="61"/>
      <c r="F136" s="61"/>
      <c r="G136" s="61"/>
    </row>
    <row r="137" spans="1:7" ht="29.1" customHeight="1" x14ac:dyDescent="0.2">
      <c r="A137" s="61"/>
      <c r="B137" s="39" t="s">
        <v>1021</v>
      </c>
      <c r="C137" s="64">
        <v>3.06</v>
      </c>
      <c r="D137" s="64">
        <v>3.06</v>
      </c>
      <c r="E137" s="61"/>
      <c r="F137" s="56"/>
      <c r="G137" s="65"/>
    </row>
    <row r="138" spans="1:7" ht="29.1" customHeight="1" x14ac:dyDescent="0.2">
      <c r="A138" s="61"/>
      <c r="B138" s="39" t="s">
        <v>1022</v>
      </c>
      <c r="C138" s="64">
        <v>2.8929999999999998</v>
      </c>
      <c r="D138" s="64">
        <v>2.8929999999999998</v>
      </c>
      <c r="E138" s="61"/>
      <c r="F138" s="56"/>
      <c r="G138" s="65"/>
    </row>
    <row r="139" spans="1:7" ht="14.1" customHeight="1" x14ac:dyDescent="0.2">
      <c r="A139" s="22"/>
      <c r="B139" s="19"/>
      <c r="C139" s="19"/>
      <c r="D139" s="22"/>
      <c r="E139" s="22"/>
      <c r="F139" s="22"/>
      <c r="G139" s="22"/>
    </row>
    <row r="140" spans="1:7" ht="29.1" customHeight="1" x14ac:dyDescent="0.2">
      <c r="A140" s="22"/>
      <c r="B140" s="323" t="s">
        <v>170</v>
      </c>
      <c r="C140" s="324"/>
      <c r="D140" s="2" t="s">
        <v>160</v>
      </c>
      <c r="E140" s="22"/>
      <c r="F140" s="22"/>
      <c r="G140" s="22"/>
    </row>
    <row r="141" spans="1:7" ht="29.1" customHeight="1" x14ac:dyDescent="0.2">
      <c r="A141" s="22"/>
      <c r="B141" s="323" t="s">
        <v>171</v>
      </c>
      <c r="C141" s="324"/>
      <c r="D141" s="2" t="s">
        <v>160</v>
      </c>
      <c r="E141" s="22"/>
      <c r="F141" s="22"/>
      <c r="G141" s="22"/>
    </row>
    <row r="142" spans="1:7" ht="17.100000000000001" customHeight="1" x14ac:dyDescent="0.2">
      <c r="A142" s="22"/>
      <c r="B142" s="323" t="s">
        <v>172</v>
      </c>
      <c r="C142" s="324"/>
      <c r="D142" s="27">
        <v>0.35768103823177894</v>
      </c>
      <c r="E142" s="22"/>
      <c r="F142" s="19"/>
      <c r="G142" s="25"/>
    </row>
    <row r="143" spans="1:7" ht="17.100000000000001" customHeight="1" x14ac:dyDescent="0.2">
      <c r="A143" s="22"/>
      <c r="B143" s="323" t="s">
        <v>173</v>
      </c>
      <c r="C143" s="324"/>
      <c r="D143" s="2" t="s">
        <v>160</v>
      </c>
      <c r="E143" s="22"/>
      <c r="F143" s="22"/>
      <c r="G143" s="22"/>
    </row>
  </sheetData>
  <mergeCells count="14">
    <mergeCell ref="B142:C142"/>
    <mergeCell ref="B143:C143"/>
    <mergeCell ref="B125:C125"/>
    <mergeCell ref="B126:C126"/>
    <mergeCell ref="B127:C127"/>
    <mergeCell ref="B135:C135"/>
    <mergeCell ref="B140:C140"/>
    <mergeCell ref="B141:C141"/>
    <mergeCell ref="A1:H1"/>
    <mergeCell ref="A2:H2"/>
    <mergeCell ref="A3:H3"/>
    <mergeCell ref="B124:C124"/>
    <mergeCell ref="J2:N2"/>
    <mergeCell ref="B122:F122"/>
  </mergeCells>
  <hyperlinks>
    <hyperlink ref="I1" location="Index!B2" display="Index" xr:uid="{B2B4BCAA-7D79-4744-8EED-897C2521180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2.140625" bestFit="1" customWidth="1"/>
    <col min="10" max="10" width="9.5703125" bestFit="1"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174</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175</v>
      </c>
      <c r="C7" s="4" t="s">
        <v>176</v>
      </c>
      <c r="D7" s="4" t="s">
        <v>16</v>
      </c>
      <c r="E7" s="5">
        <v>19438756</v>
      </c>
      <c r="F7" s="6">
        <v>25552.244761999998</v>
      </c>
      <c r="G7" s="7">
        <v>3.4185981999999997E-2</v>
      </c>
      <c r="H7" s="49"/>
    </row>
    <row r="8" spans="1:15" ht="17.100000000000001" customHeight="1" x14ac:dyDescent="0.2">
      <c r="A8" s="3">
        <v>2</v>
      </c>
      <c r="B8" s="4" t="s">
        <v>87</v>
      </c>
      <c r="C8" s="4" t="s">
        <v>88</v>
      </c>
      <c r="D8" s="4" t="s">
        <v>89</v>
      </c>
      <c r="E8" s="5">
        <v>907518</v>
      </c>
      <c r="F8" s="6">
        <v>24279.282813000002</v>
      </c>
      <c r="G8" s="7">
        <v>3.2482904E-2</v>
      </c>
      <c r="H8" s="49"/>
    </row>
    <row r="9" spans="1:15" ht="17.100000000000001" customHeight="1" x14ac:dyDescent="0.2">
      <c r="A9" s="3">
        <v>3</v>
      </c>
      <c r="B9" s="4" t="s">
        <v>177</v>
      </c>
      <c r="C9" s="4" t="s">
        <v>178</v>
      </c>
      <c r="D9" s="4" t="s">
        <v>179</v>
      </c>
      <c r="E9" s="5">
        <v>1824823</v>
      </c>
      <c r="F9" s="6">
        <v>22805.725442499999</v>
      </c>
      <c r="G9" s="7">
        <v>3.0511453000000001E-2</v>
      </c>
      <c r="H9" s="49"/>
    </row>
    <row r="10" spans="1:15" ht="17.100000000000001" customHeight="1" x14ac:dyDescent="0.2">
      <c r="A10" s="3">
        <v>4</v>
      </c>
      <c r="B10" s="4" t="s">
        <v>180</v>
      </c>
      <c r="C10" s="4" t="s">
        <v>181</v>
      </c>
      <c r="D10" s="4" t="s">
        <v>16</v>
      </c>
      <c r="E10" s="5">
        <v>2451728</v>
      </c>
      <c r="F10" s="6">
        <v>22096.1986</v>
      </c>
      <c r="G10" s="7">
        <v>2.9562187E-2</v>
      </c>
      <c r="H10" s="49"/>
    </row>
    <row r="11" spans="1:15" ht="17.100000000000001" customHeight="1" x14ac:dyDescent="0.2">
      <c r="A11" s="3">
        <v>5</v>
      </c>
      <c r="B11" s="4" t="s">
        <v>182</v>
      </c>
      <c r="C11" s="4" t="s">
        <v>183</v>
      </c>
      <c r="D11" s="4" t="s">
        <v>16</v>
      </c>
      <c r="E11" s="5">
        <v>12281687</v>
      </c>
      <c r="F11" s="6">
        <v>20418.304637500001</v>
      </c>
      <c r="G11" s="7">
        <v>2.7317357E-2</v>
      </c>
      <c r="H11" s="49"/>
    </row>
    <row r="12" spans="1:15" ht="17.100000000000001" customHeight="1" x14ac:dyDescent="0.2">
      <c r="A12" s="3">
        <v>6</v>
      </c>
      <c r="B12" s="4" t="s">
        <v>184</v>
      </c>
      <c r="C12" s="4" t="s">
        <v>185</v>
      </c>
      <c r="D12" s="4" t="s">
        <v>103</v>
      </c>
      <c r="E12" s="5">
        <v>1499413</v>
      </c>
      <c r="F12" s="6">
        <v>20242.075499999999</v>
      </c>
      <c r="G12" s="7">
        <v>2.7081582999999999E-2</v>
      </c>
      <c r="H12" s="49"/>
    </row>
    <row r="13" spans="1:15" ht="17.100000000000001" customHeight="1" x14ac:dyDescent="0.2">
      <c r="A13" s="3">
        <v>7</v>
      </c>
      <c r="B13" s="4" t="s">
        <v>186</v>
      </c>
      <c r="C13" s="4" t="s">
        <v>187</v>
      </c>
      <c r="D13" s="4" t="s">
        <v>188</v>
      </c>
      <c r="E13" s="5">
        <v>1361114</v>
      </c>
      <c r="F13" s="6">
        <v>20030.834180999998</v>
      </c>
      <c r="G13" s="7">
        <v>2.6798966E-2</v>
      </c>
      <c r="H13" s="49"/>
      <c r="J13" s="217" t="s">
        <v>1072</v>
      </c>
    </row>
    <row r="14" spans="1:15" ht="29.1" customHeight="1" x14ac:dyDescent="0.2">
      <c r="A14" s="3">
        <v>8</v>
      </c>
      <c r="B14" s="4" t="s">
        <v>189</v>
      </c>
      <c r="C14" s="4" t="s">
        <v>190</v>
      </c>
      <c r="D14" s="4" t="s">
        <v>108</v>
      </c>
      <c r="E14" s="5">
        <v>5140621</v>
      </c>
      <c r="F14" s="6">
        <v>18652.743298500001</v>
      </c>
      <c r="G14" s="7">
        <v>2.4955238000000001E-2</v>
      </c>
      <c r="H14" s="49"/>
    </row>
    <row r="15" spans="1:15" ht="17.100000000000001" customHeight="1" x14ac:dyDescent="0.2">
      <c r="A15" s="3">
        <v>9</v>
      </c>
      <c r="B15" s="4" t="s">
        <v>34</v>
      </c>
      <c r="C15" s="4" t="s">
        <v>35</v>
      </c>
      <c r="D15" s="4" t="s">
        <v>31</v>
      </c>
      <c r="E15" s="5">
        <v>938022</v>
      </c>
      <c r="F15" s="6">
        <v>18004.394268</v>
      </c>
      <c r="G15" s="7">
        <v>2.4087820999999999E-2</v>
      </c>
      <c r="H15" s="49"/>
    </row>
    <row r="16" spans="1:15" ht="29.1" customHeight="1" x14ac:dyDescent="0.2">
      <c r="A16" s="3">
        <v>10</v>
      </c>
      <c r="B16" s="4" t="s">
        <v>191</v>
      </c>
      <c r="C16" s="4" t="s">
        <v>192</v>
      </c>
      <c r="D16" s="4" t="s">
        <v>193</v>
      </c>
      <c r="E16" s="5">
        <v>759620</v>
      </c>
      <c r="F16" s="6">
        <v>17970.33034</v>
      </c>
      <c r="G16" s="7">
        <v>2.4042246999999999E-2</v>
      </c>
      <c r="H16" s="49"/>
    </row>
    <row r="17" spans="1:10" ht="29.1" customHeight="1" x14ac:dyDescent="0.2">
      <c r="A17" s="3">
        <v>11</v>
      </c>
      <c r="B17" s="4" t="s">
        <v>67</v>
      </c>
      <c r="C17" s="4" t="s">
        <v>68</v>
      </c>
      <c r="D17" s="4" t="s">
        <v>69</v>
      </c>
      <c r="E17" s="5">
        <v>16901432</v>
      </c>
      <c r="F17" s="6">
        <v>17763.405031999999</v>
      </c>
      <c r="G17" s="7">
        <v>2.3765405E-2</v>
      </c>
      <c r="H17" s="49"/>
    </row>
    <row r="18" spans="1:10" ht="17.100000000000001" customHeight="1" x14ac:dyDescent="0.2">
      <c r="A18" s="3">
        <v>12</v>
      </c>
      <c r="B18" s="4" t="s">
        <v>194</v>
      </c>
      <c r="C18" s="4" t="s">
        <v>195</v>
      </c>
      <c r="D18" s="4" t="s">
        <v>196</v>
      </c>
      <c r="E18" s="5">
        <v>36610</v>
      </c>
      <c r="F18" s="6">
        <v>17359.235564999999</v>
      </c>
      <c r="G18" s="7">
        <v>2.3224671999999998E-2</v>
      </c>
      <c r="H18" s="49"/>
    </row>
    <row r="19" spans="1:10" ht="29.1" customHeight="1" x14ac:dyDescent="0.2">
      <c r="A19" s="3">
        <v>13</v>
      </c>
      <c r="B19" s="4" t="s">
        <v>197</v>
      </c>
      <c r="C19" s="4" t="s">
        <v>198</v>
      </c>
      <c r="D19" s="4" t="s">
        <v>193</v>
      </c>
      <c r="E19" s="5">
        <v>394168</v>
      </c>
      <c r="F19" s="6">
        <v>17116.548316</v>
      </c>
      <c r="G19" s="7">
        <v>2.2899985000000001E-2</v>
      </c>
      <c r="H19" s="49"/>
    </row>
    <row r="20" spans="1:10" ht="17.100000000000001" customHeight="1" x14ac:dyDescent="0.2">
      <c r="A20" s="3">
        <v>14</v>
      </c>
      <c r="B20" s="4" t="s">
        <v>199</v>
      </c>
      <c r="C20" s="4" t="s">
        <v>200</v>
      </c>
      <c r="D20" s="4" t="s">
        <v>16</v>
      </c>
      <c r="E20" s="5">
        <v>2577077</v>
      </c>
      <c r="F20" s="6">
        <v>16475.253261000002</v>
      </c>
      <c r="G20" s="7">
        <v>2.2042005E-2</v>
      </c>
      <c r="H20" s="49"/>
    </row>
    <row r="21" spans="1:10" ht="17.100000000000001" customHeight="1" x14ac:dyDescent="0.2">
      <c r="A21" s="3">
        <v>15</v>
      </c>
      <c r="B21" s="4" t="s">
        <v>201</v>
      </c>
      <c r="C21" s="4" t="s">
        <v>202</v>
      </c>
      <c r="D21" s="4" t="s">
        <v>89</v>
      </c>
      <c r="E21" s="5">
        <v>579287</v>
      </c>
      <c r="F21" s="6">
        <v>16054.0702745</v>
      </c>
      <c r="G21" s="7">
        <v>2.1478509999999999E-2</v>
      </c>
      <c r="H21" s="49"/>
    </row>
    <row r="22" spans="1:10" ht="17.100000000000001" customHeight="1" x14ac:dyDescent="0.2">
      <c r="A22" s="3">
        <v>16</v>
      </c>
      <c r="B22" s="4" t="s">
        <v>90</v>
      </c>
      <c r="C22" s="4" t="s">
        <v>91</v>
      </c>
      <c r="D22" s="4" t="s">
        <v>31</v>
      </c>
      <c r="E22" s="5">
        <v>1080765</v>
      </c>
      <c r="F22" s="6">
        <v>15276.613275</v>
      </c>
      <c r="G22" s="7">
        <v>2.0438362000000002E-2</v>
      </c>
      <c r="H22" s="49"/>
      <c r="J22" s="217" t="s">
        <v>1073</v>
      </c>
    </row>
    <row r="23" spans="1:10" ht="17.100000000000001" customHeight="1" x14ac:dyDescent="0.2">
      <c r="A23" s="3">
        <v>17</v>
      </c>
      <c r="B23" s="4" t="s">
        <v>14</v>
      </c>
      <c r="C23" s="4" t="s">
        <v>15</v>
      </c>
      <c r="D23" s="4" t="s">
        <v>16</v>
      </c>
      <c r="E23" s="5">
        <v>1568901</v>
      </c>
      <c r="F23" s="6">
        <v>14950.057629000001</v>
      </c>
      <c r="G23" s="7">
        <v>2.0001468000000001E-2</v>
      </c>
      <c r="H23" s="49"/>
    </row>
    <row r="24" spans="1:10" ht="29.1" customHeight="1" x14ac:dyDescent="0.2">
      <c r="A24" s="3">
        <v>18</v>
      </c>
      <c r="B24" s="4" t="s">
        <v>101</v>
      </c>
      <c r="C24" s="4" t="s">
        <v>102</v>
      </c>
      <c r="D24" s="4" t="s">
        <v>103</v>
      </c>
      <c r="E24" s="5">
        <v>2076268</v>
      </c>
      <c r="F24" s="6">
        <v>14842.201798</v>
      </c>
      <c r="G24" s="7">
        <v>1.9857169000000001E-2</v>
      </c>
      <c r="H24" s="49"/>
    </row>
    <row r="25" spans="1:10" ht="17.100000000000001" customHeight="1" x14ac:dyDescent="0.2">
      <c r="A25" s="3">
        <v>19</v>
      </c>
      <c r="B25" s="4" t="s">
        <v>203</v>
      </c>
      <c r="C25" s="4" t="s">
        <v>204</v>
      </c>
      <c r="D25" s="4" t="s">
        <v>974</v>
      </c>
      <c r="E25" s="5">
        <v>351454</v>
      </c>
      <c r="F25" s="6">
        <v>14601.859338</v>
      </c>
      <c r="G25" s="7">
        <v>1.9535618000000001E-2</v>
      </c>
      <c r="H25" s="49"/>
    </row>
    <row r="26" spans="1:10" ht="29.1" customHeight="1" x14ac:dyDescent="0.2">
      <c r="A26" s="3">
        <v>20</v>
      </c>
      <c r="B26" s="4" t="s">
        <v>205</v>
      </c>
      <c r="C26" s="4" t="s">
        <v>206</v>
      </c>
      <c r="D26" s="4" t="s">
        <v>207</v>
      </c>
      <c r="E26" s="5">
        <v>1528520</v>
      </c>
      <c r="F26" s="6">
        <v>14211.414699999999</v>
      </c>
      <c r="G26" s="7">
        <v>1.9013248E-2</v>
      </c>
      <c r="H26" s="49"/>
    </row>
    <row r="27" spans="1:10" ht="29.1" customHeight="1" x14ac:dyDescent="0.2">
      <c r="A27" s="3">
        <v>21</v>
      </c>
      <c r="B27" s="4" t="s">
        <v>208</v>
      </c>
      <c r="C27" s="4" t="s">
        <v>209</v>
      </c>
      <c r="D27" s="4" t="s">
        <v>207</v>
      </c>
      <c r="E27" s="5">
        <v>401203</v>
      </c>
      <c r="F27" s="6">
        <v>14013.8201885</v>
      </c>
      <c r="G27" s="7">
        <v>1.8748889000000001E-2</v>
      </c>
      <c r="H27" s="49"/>
    </row>
    <row r="28" spans="1:10" ht="17.100000000000001" customHeight="1" x14ac:dyDescent="0.2">
      <c r="A28" s="3">
        <v>22</v>
      </c>
      <c r="B28" s="4" t="s">
        <v>210</v>
      </c>
      <c r="C28" s="4" t="s">
        <v>211</v>
      </c>
      <c r="D28" s="4" t="s">
        <v>212</v>
      </c>
      <c r="E28" s="5">
        <v>5175000</v>
      </c>
      <c r="F28" s="6">
        <v>13946.625</v>
      </c>
      <c r="G28" s="7">
        <v>1.865899E-2</v>
      </c>
      <c r="H28" s="49"/>
    </row>
    <row r="29" spans="1:10" ht="29.1" customHeight="1" x14ac:dyDescent="0.2">
      <c r="A29" s="3">
        <v>23</v>
      </c>
      <c r="B29" s="4" t="s">
        <v>213</v>
      </c>
      <c r="C29" s="4" t="s">
        <v>214</v>
      </c>
      <c r="D29" s="4" t="s">
        <v>215</v>
      </c>
      <c r="E29" s="5">
        <v>3042934</v>
      </c>
      <c r="F29" s="6">
        <v>12702.727983000001</v>
      </c>
      <c r="G29" s="7">
        <v>1.6994797999999998E-2</v>
      </c>
      <c r="H29" s="49"/>
    </row>
    <row r="30" spans="1:10" ht="17.100000000000001" customHeight="1" x14ac:dyDescent="0.2">
      <c r="A30" s="3">
        <v>24</v>
      </c>
      <c r="B30" s="4" t="s">
        <v>216</v>
      </c>
      <c r="C30" s="4" t="s">
        <v>217</v>
      </c>
      <c r="D30" s="4" t="s">
        <v>218</v>
      </c>
      <c r="E30" s="5">
        <v>2263751</v>
      </c>
      <c r="F30" s="6">
        <v>12128.0459825</v>
      </c>
      <c r="G30" s="7">
        <v>1.6225939000000002E-2</v>
      </c>
      <c r="H30" s="49"/>
    </row>
    <row r="31" spans="1:10" ht="17.100000000000001" customHeight="1" x14ac:dyDescent="0.2">
      <c r="A31" s="3">
        <v>25</v>
      </c>
      <c r="B31" s="4" t="s">
        <v>219</v>
      </c>
      <c r="C31" s="4" t="s">
        <v>220</v>
      </c>
      <c r="D31" s="4" t="s">
        <v>974</v>
      </c>
      <c r="E31" s="5">
        <v>248647</v>
      </c>
      <c r="F31" s="6">
        <v>12030.909418499999</v>
      </c>
      <c r="G31" s="7">
        <v>1.6095980999999999E-2</v>
      </c>
      <c r="H31" s="49"/>
    </row>
    <row r="32" spans="1:10" ht="17.100000000000001" customHeight="1" x14ac:dyDescent="0.2">
      <c r="A32" s="3">
        <v>26</v>
      </c>
      <c r="B32" s="4" t="s">
        <v>221</v>
      </c>
      <c r="C32" s="4" t="s">
        <v>222</v>
      </c>
      <c r="D32" s="4" t="s">
        <v>179</v>
      </c>
      <c r="E32" s="5">
        <v>712637</v>
      </c>
      <c r="F32" s="6">
        <v>12015.772456999999</v>
      </c>
      <c r="G32" s="7">
        <v>1.607573E-2</v>
      </c>
      <c r="H32" s="49"/>
    </row>
    <row r="33" spans="1:8" ht="53.1" customHeight="1" x14ac:dyDescent="0.2">
      <c r="A33" s="3">
        <v>27</v>
      </c>
      <c r="B33" s="4" t="s">
        <v>49</v>
      </c>
      <c r="C33" s="4" t="s">
        <v>50</v>
      </c>
      <c r="D33" s="4" t="s">
        <v>51</v>
      </c>
      <c r="E33" s="5">
        <v>8013518</v>
      </c>
      <c r="F33" s="6">
        <v>11924.114783999999</v>
      </c>
      <c r="G33" s="7">
        <v>1.5953102E-2</v>
      </c>
      <c r="H33" s="49"/>
    </row>
    <row r="34" spans="1:8" ht="17.100000000000001" customHeight="1" x14ac:dyDescent="0.2">
      <c r="A34" s="3">
        <v>28</v>
      </c>
      <c r="B34" s="4" t="s">
        <v>223</v>
      </c>
      <c r="C34" s="4" t="s">
        <v>224</v>
      </c>
      <c r="D34" s="4" t="s">
        <v>89</v>
      </c>
      <c r="E34" s="5">
        <v>218552</v>
      </c>
      <c r="F34" s="6">
        <v>11887.480384</v>
      </c>
      <c r="G34" s="7">
        <v>1.5904089999999999E-2</v>
      </c>
      <c r="H34" s="49"/>
    </row>
    <row r="35" spans="1:8" ht="17.100000000000001" customHeight="1" x14ac:dyDescent="0.2">
      <c r="A35" s="3">
        <v>29</v>
      </c>
      <c r="B35" s="4" t="s">
        <v>225</v>
      </c>
      <c r="C35" s="4" t="s">
        <v>226</v>
      </c>
      <c r="D35" s="4" t="s">
        <v>227</v>
      </c>
      <c r="E35" s="5">
        <v>249991</v>
      </c>
      <c r="F35" s="6">
        <v>11815.574624000001</v>
      </c>
      <c r="G35" s="7">
        <v>1.5807887999999999E-2</v>
      </c>
      <c r="H35" s="49"/>
    </row>
    <row r="36" spans="1:8" ht="17.100000000000001" customHeight="1" x14ac:dyDescent="0.2">
      <c r="A36" s="3">
        <v>30</v>
      </c>
      <c r="B36" s="4" t="s">
        <v>41</v>
      </c>
      <c r="C36" s="4" t="s">
        <v>42</v>
      </c>
      <c r="D36" s="4" t="s">
        <v>43</v>
      </c>
      <c r="E36" s="5">
        <v>1488129</v>
      </c>
      <c r="F36" s="6">
        <v>11487.6118155</v>
      </c>
      <c r="G36" s="7">
        <v>1.5369111E-2</v>
      </c>
      <c r="H36" s="49"/>
    </row>
    <row r="37" spans="1:8" ht="17.100000000000001" customHeight="1" x14ac:dyDescent="0.2">
      <c r="A37" s="3">
        <v>31</v>
      </c>
      <c r="B37" s="4" t="s">
        <v>228</v>
      </c>
      <c r="C37" s="4" t="s">
        <v>229</v>
      </c>
      <c r="D37" s="4" t="s">
        <v>230</v>
      </c>
      <c r="E37" s="5">
        <v>4309540</v>
      </c>
      <c r="F37" s="6">
        <v>11403.04284</v>
      </c>
      <c r="G37" s="7">
        <v>1.5255967E-2</v>
      </c>
      <c r="H37" s="49"/>
    </row>
    <row r="38" spans="1:8" ht="17.100000000000001" customHeight="1" x14ac:dyDescent="0.2">
      <c r="A38" s="3">
        <v>32</v>
      </c>
      <c r="B38" s="4" t="s">
        <v>231</v>
      </c>
      <c r="C38" s="4" t="s">
        <v>232</v>
      </c>
      <c r="D38" s="4" t="s">
        <v>233</v>
      </c>
      <c r="E38" s="5">
        <v>2075791</v>
      </c>
      <c r="F38" s="6">
        <v>11351.463083500001</v>
      </c>
      <c r="G38" s="7">
        <v>1.5186959999999999E-2</v>
      </c>
      <c r="H38" s="49"/>
    </row>
    <row r="39" spans="1:8" ht="17.100000000000001" customHeight="1" x14ac:dyDescent="0.2">
      <c r="A39" s="3">
        <v>33</v>
      </c>
      <c r="B39" s="4" t="s">
        <v>234</v>
      </c>
      <c r="C39" s="4" t="s">
        <v>235</v>
      </c>
      <c r="D39" s="4" t="s">
        <v>108</v>
      </c>
      <c r="E39" s="5">
        <v>10481502</v>
      </c>
      <c r="F39" s="6">
        <v>11099.910618</v>
      </c>
      <c r="G39" s="7">
        <v>1.4850411000000001E-2</v>
      </c>
      <c r="H39" s="49"/>
    </row>
    <row r="40" spans="1:8" ht="17.100000000000001" customHeight="1" x14ac:dyDescent="0.2">
      <c r="A40" s="3">
        <v>34</v>
      </c>
      <c r="B40" s="4" t="s">
        <v>104</v>
      </c>
      <c r="C40" s="4" t="s">
        <v>105</v>
      </c>
      <c r="D40" s="4" t="s">
        <v>100</v>
      </c>
      <c r="E40" s="5">
        <v>1196534</v>
      </c>
      <c r="F40" s="6">
        <v>11054.777625999999</v>
      </c>
      <c r="G40" s="7">
        <v>1.4790028E-2</v>
      </c>
      <c r="H40" s="49"/>
    </row>
    <row r="41" spans="1:8" ht="17.100000000000001" customHeight="1" x14ac:dyDescent="0.2">
      <c r="A41" s="3">
        <v>35</v>
      </c>
      <c r="B41" s="4" t="s">
        <v>39</v>
      </c>
      <c r="C41" s="4" t="s">
        <v>40</v>
      </c>
      <c r="D41" s="4" t="s">
        <v>16</v>
      </c>
      <c r="E41" s="5">
        <v>1692098</v>
      </c>
      <c r="F41" s="6">
        <v>10194.044400999999</v>
      </c>
      <c r="G41" s="7">
        <v>1.3638466E-2</v>
      </c>
      <c r="H41" s="49"/>
    </row>
    <row r="42" spans="1:8" ht="17.100000000000001" customHeight="1" x14ac:dyDescent="0.2">
      <c r="A42" s="3">
        <v>36</v>
      </c>
      <c r="B42" s="4" t="s">
        <v>236</v>
      </c>
      <c r="C42" s="4" t="s">
        <v>237</v>
      </c>
      <c r="D42" s="4" t="s">
        <v>238</v>
      </c>
      <c r="E42" s="5">
        <v>1390487</v>
      </c>
      <c r="F42" s="6">
        <v>9811.2762719999992</v>
      </c>
      <c r="G42" s="7">
        <v>1.3126366E-2</v>
      </c>
      <c r="H42" s="49"/>
    </row>
    <row r="43" spans="1:8" ht="17.100000000000001" customHeight="1" x14ac:dyDescent="0.2">
      <c r="A43" s="3">
        <v>37</v>
      </c>
      <c r="B43" s="4" t="s">
        <v>239</v>
      </c>
      <c r="C43" s="4" t="s">
        <v>240</v>
      </c>
      <c r="D43" s="4" t="s">
        <v>31</v>
      </c>
      <c r="E43" s="5">
        <v>1135182</v>
      </c>
      <c r="F43" s="6">
        <v>9757.4568810000001</v>
      </c>
      <c r="G43" s="7">
        <v>1.3054362E-2</v>
      </c>
      <c r="H43" s="49"/>
    </row>
    <row r="44" spans="1:8" ht="17.100000000000001" customHeight="1" x14ac:dyDescent="0.2">
      <c r="A44" s="3">
        <v>38</v>
      </c>
      <c r="B44" s="4" t="s">
        <v>241</v>
      </c>
      <c r="C44" s="4" t="s">
        <v>242</v>
      </c>
      <c r="D44" s="4" t="s">
        <v>108</v>
      </c>
      <c r="E44" s="5">
        <v>1190109</v>
      </c>
      <c r="F44" s="6">
        <v>9752.9432550000001</v>
      </c>
      <c r="G44" s="7">
        <v>1.3048323000000001E-2</v>
      </c>
      <c r="H44" s="49"/>
    </row>
    <row r="45" spans="1:8" ht="17.100000000000001" customHeight="1" x14ac:dyDescent="0.2">
      <c r="A45" s="3">
        <v>39</v>
      </c>
      <c r="B45" s="4" t="s">
        <v>243</v>
      </c>
      <c r="C45" s="4" t="s">
        <v>244</v>
      </c>
      <c r="D45" s="4" t="s">
        <v>227</v>
      </c>
      <c r="E45" s="5">
        <v>3309793</v>
      </c>
      <c r="F45" s="6">
        <v>9601.7094930000003</v>
      </c>
      <c r="G45" s="7">
        <v>1.2845989E-2</v>
      </c>
      <c r="H45" s="49"/>
    </row>
    <row r="46" spans="1:8" ht="17.100000000000001" customHeight="1" x14ac:dyDescent="0.2">
      <c r="A46" s="3">
        <v>40</v>
      </c>
      <c r="B46" s="4" t="s">
        <v>245</v>
      </c>
      <c r="C46" s="4" t="s">
        <v>246</v>
      </c>
      <c r="D46" s="4" t="s">
        <v>31</v>
      </c>
      <c r="E46" s="5">
        <v>490337</v>
      </c>
      <c r="F46" s="6">
        <v>9241.1362704999992</v>
      </c>
      <c r="G46" s="7">
        <v>1.2363584E-2</v>
      </c>
      <c r="H46" s="49"/>
    </row>
    <row r="47" spans="1:8" ht="17.100000000000001" customHeight="1" x14ac:dyDescent="0.2">
      <c r="A47" s="3">
        <v>41</v>
      </c>
      <c r="B47" s="4" t="s">
        <v>247</v>
      </c>
      <c r="C47" s="4" t="s">
        <v>248</v>
      </c>
      <c r="D47" s="4" t="s">
        <v>103</v>
      </c>
      <c r="E47" s="5">
        <v>1549881</v>
      </c>
      <c r="F47" s="6">
        <v>9152.0473050000001</v>
      </c>
      <c r="G47" s="7">
        <v>1.2244392999999999E-2</v>
      </c>
      <c r="H47" s="49"/>
    </row>
    <row r="48" spans="1:8" ht="29.1" customHeight="1" x14ac:dyDescent="0.2">
      <c r="A48" s="3">
        <v>42</v>
      </c>
      <c r="B48" s="4" t="s">
        <v>249</v>
      </c>
      <c r="C48" s="4" t="s">
        <v>250</v>
      </c>
      <c r="D48" s="4" t="s">
        <v>215</v>
      </c>
      <c r="E48" s="5">
        <v>1040000</v>
      </c>
      <c r="F48" s="6">
        <v>9027.2000000000007</v>
      </c>
      <c r="G48" s="7">
        <v>1.2077361E-2</v>
      </c>
      <c r="H48" s="49"/>
    </row>
    <row r="49" spans="1:8" ht="29.1" customHeight="1" x14ac:dyDescent="0.2">
      <c r="A49" s="3">
        <v>43</v>
      </c>
      <c r="B49" s="4" t="s">
        <v>251</v>
      </c>
      <c r="C49" s="4" t="s">
        <v>252</v>
      </c>
      <c r="D49" s="4" t="s">
        <v>215</v>
      </c>
      <c r="E49" s="5">
        <v>502724</v>
      </c>
      <c r="F49" s="6">
        <v>8946.7276660000007</v>
      </c>
      <c r="G49" s="7">
        <v>1.1969699E-2</v>
      </c>
      <c r="H49" s="49"/>
    </row>
    <row r="50" spans="1:8" ht="29.1" customHeight="1" x14ac:dyDescent="0.2">
      <c r="A50" s="3">
        <v>44</v>
      </c>
      <c r="B50" s="4" t="s">
        <v>253</v>
      </c>
      <c r="C50" s="4" t="s">
        <v>254</v>
      </c>
      <c r="D50" s="4" t="s">
        <v>25</v>
      </c>
      <c r="E50" s="5">
        <v>478606</v>
      </c>
      <c r="F50" s="6">
        <v>8713.9794419999998</v>
      </c>
      <c r="G50" s="7">
        <v>1.1658307999999999E-2</v>
      </c>
      <c r="H50" s="49"/>
    </row>
    <row r="51" spans="1:8" ht="29.1" customHeight="1" x14ac:dyDescent="0.2">
      <c r="A51" s="3">
        <v>45</v>
      </c>
      <c r="B51" s="4" t="s">
        <v>255</v>
      </c>
      <c r="C51" s="4" t="s">
        <v>256</v>
      </c>
      <c r="D51" s="4" t="s">
        <v>89</v>
      </c>
      <c r="E51" s="5">
        <v>86671</v>
      </c>
      <c r="F51" s="6">
        <v>8438.8085859999992</v>
      </c>
      <c r="G51" s="7">
        <v>1.1290161E-2</v>
      </c>
      <c r="H51" s="49"/>
    </row>
    <row r="52" spans="1:8" ht="29.1" customHeight="1" x14ac:dyDescent="0.2">
      <c r="A52" s="3">
        <v>46</v>
      </c>
      <c r="B52" s="4" t="s">
        <v>257</v>
      </c>
      <c r="C52" s="4" t="s">
        <v>258</v>
      </c>
      <c r="D52" s="4" t="s">
        <v>215</v>
      </c>
      <c r="E52" s="5">
        <v>1942739</v>
      </c>
      <c r="F52" s="6">
        <v>7963.2871610000002</v>
      </c>
      <c r="G52" s="7">
        <v>1.0653968E-2</v>
      </c>
      <c r="H52" s="49"/>
    </row>
    <row r="53" spans="1:8" ht="17.100000000000001" customHeight="1" x14ac:dyDescent="0.2">
      <c r="A53" s="3">
        <v>47</v>
      </c>
      <c r="B53" s="4" t="s">
        <v>259</v>
      </c>
      <c r="C53" s="4" t="s">
        <v>260</v>
      </c>
      <c r="D53" s="4" t="s">
        <v>103</v>
      </c>
      <c r="E53" s="5">
        <v>474540</v>
      </c>
      <c r="F53" s="6">
        <v>7718.3931000000002</v>
      </c>
      <c r="G53" s="7">
        <v>1.0326327E-2</v>
      </c>
      <c r="H53" s="49"/>
    </row>
    <row r="54" spans="1:8" ht="17.100000000000001" customHeight="1" x14ac:dyDescent="0.2">
      <c r="A54" s="3">
        <v>48</v>
      </c>
      <c r="B54" s="4" t="s">
        <v>261</v>
      </c>
      <c r="C54" s="4" t="s">
        <v>262</v>
      </c>
      <c r="D54" s="4" t="s">
        <v>108</v>
      </c>
      <c r="E54" s="5">
        <v>881680</v>
      </c>
      <c r="F54" s="6">
        <v>7332.49172</v>
      </c>
      <c r="G54" s="7">
        <v>9.8100359999999994E-3</v>
      </c>
      <c r="H54" s="49"/>
    </row>
    <row r="55" spans="1:8" ht="17.100000000000001" customHeight="1" x14ac:dyDescent="0.2">
      <c r="A55" s="3">
        <v>49</v>
      </c>
      <c r="B55" s="4" t="s">
        <v>263</v>
      </c>
      <c r="C55" s="4" t="s">
        <v>264</v>
      </c>
      <c r="D55" s="4" t="s">
        <v>16</v>
      </c>
      <c r="E55" s="5">
        <v>451141</v>
      </c>
      <c r="F55" s="6">
        <v>7256.3774144999998</v>
      </c>
      <c r="G55" s="7">
        <v>9.7082030000000003E-3</v>
      </c>
      <c r="H55" s="49"/>
    </row>
    <row r="56" spans="1:8" ht="17.100000000000001" customHeight="1" x14ac:dyDescent="0.2">
      <c r="A56" s="3">
        <v>50</v>
      </c>
      <c r="B56" s="4" t="s">
        <v>265</v>
      </c>
      <c r="C56" s="4" t="s">
        <v>266</v>
      </c>
      <c r="D56" s="4" t="s">
        <v>267</v>
      </c>
      <c r="E56" s="5">
        <v>765000</v>
      </c>
      <c r="F56" s="6">
        <v>6790.14</v>
      </c>
      <c r="G56" s="7">
        <v>9.0844310000000005E-3</v>
      </c>
      <c r="H56" s="49"/>
    </row>
    <row r="57" spans="1:8" ht="17.100000000000001" customHeight="1" x14ac:dyDescent="0.2">
      <c r="A57" s="3">
        <v>51</v>
      </c>
      <c r="B57" s="4" t="s">
        <v>268</v>
      </c>
      <c r="C57" s="4" t="s">
        <v>269</v>
      </c>
      <c r="D57" s="4" t="s">
        <v>89</v>
      </c>
      <c r="E57" s="5">
        <v>1158700</v>
      </c>
      <c r="F57" s="6">
        <v>6374.5880500000003</v>
      </c>
      <c r="G57" s="7">
        <v>8.5284699999999998E-3</v>
      </c>
      <c r="H57" s="49"/>
    </row>
    <row r="58" spans="1:8" ht="17.100000000000001" customHeight="1" x14ac:dyDescent="0.2">
      <c r="A58" s="3">
        <v>52</v>
      </c>
      <c r="B58" s="4" t="s">
        <v>44</v>
      </c>
      <c r="C58" s="4" t="s">
        <v>45</v>
      </c>
      <c r="D58" s="4" t="s">
        <v>31</v>
      </c>
      <c r="E58" s="5">
        <v>234611</v>
      </c>
      <c r="F58" s="6">
        <v>6017.7721499999998</v>
      </c>
      <c r="G58" s="7">
        <v>8.0510909999999998E-3</v>
      </c>
      <c r="H58" s="49"/>
    </row>
    <row r="59" spans="1:8" ht="17.100000000000001" customHeight="1" x14ac:dyDescent="0.2">
      <c r="A59" s="3">
        <v>53</v>
      </c>
      <c r="B59" s="4" t="s">
        <v>270</v>
      </c>
      <c r="C59" s="4" t="s">
        <v>271</v>
      </c>
      <c r="D59" s="4" t="s">
        <v>974</v>
      </c>
      <c r="E59" s="5">
        <v>271982</v>
      </c>
      <c r="F59" s="6">
        <v>5486.5568949999997</v>
      </c>
      <c r="G59" s="7">
        <v>7.340386E-3</v>
      </c>
      <c r="H59" s="49"/>
    </row>
    <row r="60" spans="1:8" ht="17.100000000000001" customHeight="1" x14ac:dyDescent="0.2">
      <c r="A60" s="3">
        <v>54</v>
      </c>
      <c r="B60" s="4" t="s">
        <v>272</v>
      </c>
      <c r="C60" s="4" t="s">
        <v>273</v>
      </c>
      <c r="D60" s="4" t="s">
        <v>108</v>
      </c>
      <c r="E60" s="5">
        <v>476103</v>
      </c>
      <c r="F60" s="6">
        <v>5481.3738389999999</v>
      </c>
      <c r="G60" s="7">
        <v>7.3334510000000004E-3</v>
      </c>
      <c r="H60" s="49"/>
    </row>
    <row r="61" spans="1:8" ht="17.100000000000001" customHeight="1" x14ac:dyDescent="0.2">
      <c r="A61" s="3">
        <v>55</v>
      </c>
      <c r="B61" s="4" t="s">
        <v>274</v>
      </c>
      <c r="C61" s="4" t="s">
        <v>275</v>
      </c>
      <c r="D61" s="4" t="s">
        <v>72</v>
      </c>
      <c r="E61" s="5">
        <v>514148</v>
      </c>
      <c r="F61" s="6">
        <v>5389.0422619999999</v>
      </c>
      <c r="G61" s="7">
        <v>7.2099219999999997E-3</v>
      </c>
      <c r="H61" s="49"/>
    </row>
    <row r="62" spans="1:8" ht="17.100000000000001" customHeight="1" x14ac:dyDescent="0.2">
      <c r="A62" s="3">
        <v>56</v>
      </c>
      <c r="B62" s="4" t="s">
        <v>276</v>
      </c>
      <c r="C62" s="4" t="s">
        <v>277</v>
      </c>
      <c r="D62" s="4" t="s">
        <v>278</v>
      </c>
      <c r="E62" s="5">
        <v>1001816</v>
      </c>
      <c r="F62" s="6">
        <v>4796.1940999999997</v>
      </c>
      <c r="G62" s="7">
        <v>6.4167590000000002E-3</v>
      </c>
      <c r="H62" s="49"/>
    </row>
    <row r="63" spans="1:8" ht="17.100000000000001" customHeight="1" x14ac:dyDescent="0.2">
      <c r="A63" s="3">
        <v>57</v>
      </c>
      <c r="B63" s="4" t="s">
        <v>279</v>
      </c>
      <c r="C63" s="4" t="s">
        <v>280</v>
      </c>
      <c r="D63" s="4" t="s">
        <v>212</v>
      </c>
      <c r="E63" s="5">
        <v>943988</v>
      </c>
      <c r="F63" s="6">
        <v>4178.0908879999997</v>
      </c>
      <c r="G63" s="7">
        <v>5.5898079999999999E-3</v>
      </c>
      <c r="H63" s="49"/>
    </row>
    <row r="64" spans="1:8" ht="17.100000000000001" customHeight="1" x14ac:dyDescent="0.2">
      <c r="A64" s="3">
        <v>58</v>
      </c>
      <c r="B64" s="4" t="s">
        <v>77</v>
      </c>
      <c r="C64" s="4" t="s">
        <v>78</v>
      </c>
      <c r="D64" s="4" t="s">
        <v>31</v>
      </c>
      <c r="E64" s="5">
        <v>302024</v>
      </c>
      <c r="F64" s="6">
        <v>3384.027908</v>
      </c>
      <c r="G64" s="7">
        <v>4.5274419999999996E-3</v>
      </c>
      <c r="H64" s="49"/>
    </row>
    <row r="65" spans="1:8" ht="17.100000000000001" customHeight="1" x14ac:dyDescent="0.2">
      <c r="A65" s="3">
        <v>59</v>
      </c>
      <c r="B65" s="4" t="s">
        <v>281</v>
      </c>
      <c r="C65" s="4" t="s">
        <v>282</v>
      </c>
      <c r="D65" s="4" t="s">
        <v>89</v>
      </c>
      <c r="E65" s="5">
        <v>153685</v>
      </c>
      <c r="F65" s="6">
        <v>3138.3245425</v>
      </c>
      <c r="G65" s="7">
        <v>4.1987190000000001E-3</v>
      </c>
      <c r="H65" s="49"/>
    </row>
    <row r="66" spans="1:8" ht="17.100000000000001" customHeight="1" x14ac:dyDescent="0.2">
      <c r="A66" s="3">
        <v>60</v>
      </c>
      <c r="B66" s="4" t="s">
        <v>109</v>
      </c>
      <c r="C66" s="4" t="s">
        <v>110</v>
      </c>
      <c r="D66" s="4" t="s">
        <v>89</v>
      </c>
      <c r="E66" s="5">
        <v>578101</v>
      </c>
      <c r="F66" s="6">
        <v>2627.1799944999998</v>
      </c>
      <c r="G66" s="7">
        <v>3.5148660000000002E-3</v>
      </c>
      <c r="H66" s="49"/>
    </row>
    <row r="67" spans="1:8" ht="29.1" customHeight="1" x14ac:dyDescent="0.2">
      <c r="A67" s="3">
        <v>61</v>
      </c>
      <c r="B67" s="4" t="s">
        <v>283</v>
      </c>
      <c r="C67" s="4" t="s">
        <v>284</v>
      </c>
      <c r="D67" s="4" t="s">
        <v>193</v>
      </c>
      <c r="E67" s="5">
        <v>331743</v>
      </c>
      <c r="F67" s="6">
        <v>2385.3980415000001</v>
      </c>
      <c r="G67" s="7">
        <v>3.1913900000000001E-3</v>
      </c>
      <c r="H67" s="49"/>
    </row>
    <row r="68" spans="1:8" ht="17.100000000000001" customHeight="1" x14ac:dyDescent="0.2">
      <c r="A68" s="3">
        <v>62</v>
      </c>
      <c r="B68" s="4" t="s">
        <v>285</v>
      </c>
      <c r="C68" s="4" t="s">
        <v>286</v>
      </c>
      <c r="D68" s="4" t="s">
        <v>22</v>
      </c>
      <c r="E68" s="5">
        <v>967689</v>
      </c>
      <c r="F68" s="6">
        <v>2313.7443990000002</v>
      </c>
      <c r="G68" s="7">
        <v>3.095525E-3</v>
      </c>
      <c r="H68" s="49"/>
    </row>
    <row r="69" spans="1:8" ht="17.100000000000001" customHeight="1" x14ac:dyDescent="0.2">
      <c r="A69" s="3">
        <v>63</v>
      </c>
      <c r="B69" s="4" t="s">
        <v>287</v>
      </c>
      <c r="C69" s="4" t="s">
        <v>288</v>
      </c>
      <c r="D69" s="4" t="s">
        <v>1042</v>
      </c>
      <c r="E69" s="5">
        <v>47798</v>
      </c>
      <c r="F69" s="6">
        <v>1823.4220029999999</v>
      </c>
      <c r="G69" s="7">
        <v>2.4395300000000001E-3</v>
      </c>
      <c r="H69" s="49"/>
    </row>
    <row r="70" spans="1:8" ht="17.100000000000001" customHeight="1" x14ac:dyDescent="0.2">
      <c r="A70" s="3">
        <v>64</v>
      </c>
      <c r="B70" s="4" t="s">
        <v>289</v>
      </c>
      <c r="C70" s="4" t="s">
        <v>290</v>
      </c>
      <c r="D70" s="4" t="s">
        <v>108</v>
      </c>
      <c r="E70" s="5">
        <v>24934</v>
      </c>
      <c r="F70" s="6">
        <v>1060.1687460000001</v>
      </c>
      <c r="G70" s="7">
        <v>1.4183850000000001E-3</v>
      </c>
      <c r="H70" s="49"/>
    </row>
    <row r="71" spans="1:8" ht="17.100000000000001" customHeight="1" x14ac:dyDescent="0.2">
      <c r="A71" s="3">
        <v>65</v>
      </c>
      <c r="B71" s="4" t="s">
        <v>291</v>
      </c>
      <c r="C71" s="4" t="s">
        <v>292</v>
      </c>
      <c r="D71" s="4" t="s">
        <v>103</v>
      </c>
      <c r="E71" s="5">
        <v>247905</v>
      </c>
      <c r="F71" s="6">
        <v>958.40072999999995</v>
      </c>
      <c r="G71" s="7">
        <v>1.282231E-3</v>
      </c>
      <c r="H71" s="49"/>
    </row>
    <row r="72" spans="1:8" ht="14.1" customHeight="1" x14ac:dyDescent="0.2">
      <c r="A72" s="1"/>
      <c r="B72" s="1"/>
      <c r="C72" s="2" t="s">
        <v>130</v>
      </c>
      <c r="D72" s="1"/>
      <c r="E72" s="1" t="s">
        <v>131</v>
      </c>
      <c r="F72" s="9">
        <v>732676.97335099999</v>
      </c>
      <c r="G72" s="10">
        <v>0.98023801600000005</v>
      </c>
      <c r="H72" s="49"/>
    </row>
    <row r="73" spans="1:8" ht="14.1" customHeight="1" x14ac:dyDescent="0.2">
      <c r="A73" s="1"/>
      <c r="B73" s="1"/>
      <c r="C73" s="11"/>
      <c r="D73" s="1"/>
      <c r="E73" s="1"/>
      <c r="F73" s="12"/>
      <c r="G73" s="12"/>
      <c r="H73" s="49"/>
    </row>
    <row r="74" spans="1:8" ht="14.1" customHeight="1" x14ac:dyDescent="0.2">
      <c r="A74" s="1"/>
      <c r="B74" s="1"/>
      <c r="C74" s="2" t="s">
        <v>132</v>
      </c>
      <c r="D74" s="1"/>
      <c r="E74" s="1"/>
      <c r="F74" s="1"/>
      <c r="G74" s="1"/>
      <c r="H74" s="49"/>
    </row>
    <row r="75" spans="1:8" ht="14.1" customHeight="1" x14ac:dyDescent="0.2">
      <c r="A75" s="1"/>
      <c r="B75" s="1"/>
      <c r="C75" s="2" t="s">
        <v>130</v>
      </c>
      <c r="D75" s="1"/>
      <c r="E75" s="1" t="s">
        <v>131</v>
      </c>
      <c r="F75" s="13">
        <v>0</v>
      </c>
      <c r="G75" s="14">
        <v>0</v>
      </c>
      <c r="H75" s="49"/>
    </row>
    <row r="76" spans="1:8" ht="14.1" customHeight="1" x14ac:dyDescent="0.2">
      <c r="A76" s="1"/>
      <c r="B76" s="1"/>
      <c r="C76" s="11"/>
      <c r="D76" s="1"/>
      <c r="E76" s="1"/>
      <c r="F76" s="12"/>
      <c r="G76" s="12"/>
      <c r="H76" s="49"/>
    </row>
    <row r="77" spans="1:8" ht="14.1" customHeight="1" x14ac:dyDescent="0.2">
      <c r="A77" s="1"/>
      <c r="B77" s="1"/>
      <c r="C77" s="2" t="s">
        <v>133</v>
      </c>
      <c r="D77" s="1"/>
      <c r="E77" s="1"/>
      <c r="F77" s="1"/>
      <c r="G77" s="1"/>
      <c r="H77" s="49"/>
    </row>
    <row r="78" spans="1:8" ht="14.1" customHeight="1" x14ac:dyDescent="0.2">
      <c r="A78" s="1"/>
      <c r="B78" s="1"/>
      <c r="C78" s="2" t="s">
        <v>130</v>
      </c>
      <c r="D78" s="1"/>
      <c r="E78" s="1" t="s">
        <v>131</v>
      </c>
      <c r="F78" s="13">
        <v>0</v>
      </c>
      <c r="G78" s="14">
        <v>0</v>
      </c>
      <c r="H78" s="49"/>
    </row>
    <row r="79" spans="1:8" ht="14.1" customHeight="1" x14ac:dyDescent="0.2">
      <c r="A79" s="1"/>
      <c r="B79" s="1"/>
      <c r="C79" s="11"/>
      <c r="D79" s="1"/>
      <c r="E79" s="1"/>
      <c r="F79" s="12"/>
      <c r="G79" s="12"/>
      <c r="H79" s="49"/>
    </row>
    <row r="80" spans="1:8" ht="14.1" customHeight="1" x14ac:dyDescent="0.2">
      <c r="A80" s="1"/>
      <c r="B80" s="1"/>
      <c r="C80" s="2" t="s">
        <v>134</v>
      </c>
      <c r="D80" s="1"/>
      <c r="E80" s="1"/>
      <c r="F80" s="1"/>
      <c r="G80" s="1"/>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135</v>
      </c>
      <c r="D83" s="1"/>
      <c r="E83" s="1"/>
      <c r="F83" s="12"/>
      <c r="G83" s="12"/>
      <c r="H83" s="49"/>
    </row>
    <row r="84" spans="1:8" ht="14.1" customHeight="1" x14ac:dyDescent="0.2">
      <c r="A84" s="1"/>
      <c r="B84" s="1"/>
      <c r="C84" s="2" t="s">
        <v>130</v>
      </c>
      <c r="D84" s="1"/>
      <c r="E84" s="1" t="s">
        <v>131</v>
      </c>
      <c r="F84" s="13">
        <v>0</v>
      </c>
      <c r="G84" s="14">
        <v>0</v>
      </c>
      <c r="H84" s="49"/>
    </row>
    <row r="85" spans="1:8" ht="14.1" customHeight="1" x14ac:dyDescent="0.2">
      <c r="A85" s="1"/>
      <c r="B85" s="1"/>
      <c r="C85" s="11"/>
      <c r="D85" s="1"/>
      <c r="E85" s="1"/>
      <c r="F85" s="12"/>
      <c r="G85" s="12"/>
      <c r="H85" s="49"/>
    </row>
    <row r="86" spans="1:8" ht="14.1" customHeight="1" x14ac:dyDescent="0.2">
      <c r="A86" s="1"/>
      <c r="B86" s="1"/>
      <c r="C86" s="2" t="s">
        <v>136</v>
      </c>
      <c r="D86" s="1"/>
      <c r="E86" s="1"/>
      <c r="F86" s="12"/>
      <c r="G86" s="12"/>
      <c r="H86" s="49"/>
    </row>
    <row r="87" spans="1:8" ht="14.1" customHeight="1" x14ac:dyDescent="0.2">
      <c r="A87" s="1"/>
      <c r="B87" s="1"/>
      <c r="C87" s="2" t="s">
        <v>130</v>
      </c>
      <c r="D87" s="1"/>
      <c r="E87" s="1" t="s">
        <v>131</v>
      </c>
      <c r="F87" s="13">
        <v>0</v>
      </c>
      <c r="G87" s="14">
        <v>0</v>
      </c>
      <c r="H87" s="49"/>
    </row>
    <row r="88" spans="1:8" ht="14.1" customHeight="1" x14ac:dyDescent="0.2">
      <c r="A88" s="1"/>
      <c r="B88" s="1"/>
      <c r="C88" s="11"/>
      <c r="D88" s="1"/>
      <c r="E88" s="1"/>
      <c r="F88" s="12"/>
      <c r="G88" s="12"/>
      <c r="H88" s="49"/>
    </row>
    <row r="89" spans="1:8" ht="18" customHeight="1" x14ac:dyDescent="0.2">
      <c r="A89" s="1"/>
      <c r="B89" s="1"/>
      <c r="C89" s="2" t="s">
        <v>137</v>
      </c>
      <c r="D89" s="1"/>
      <c r="E89" s="1"/>
      <c r="F89" s="9">
        <v>732676.97335099999</v>
      </c>
      <c r="G89" s="10">
        <v>0.98023801600000005</v>
      </c>
      <c r="H89" s="49"/>
    </row>
    <row r="90" spans="1:8" ht="14.1" customHeight="1" x14ac:dyDescent="0.2">
      <c r="A90" s="1"/>
      <c r="B90" s="1"/>
      <c r="C90" s="11"/>
      <c r="D90" s="1"/>
      <c r="E90" s="1"/>
      <c r="F90" s="12"/>
      <c r="G90" s="12"/>
      <c r="H90" s="49"/>
    </row>
    <row r="91" spans="1:8" ht="14.1" customHeight="1" x14ac:dyDescent="0.2">
      <c r="A91" s="1"/>
      <c r="B91" s="1"/>
      <c r="C91" s="2" t="s">
        <v>138</v>
      </c>
      <c r="D91" s="1"/>
      <c r="E91" s="1"/>
      <c r="F91" s="12"/>
      <c r="G91" s="12"/>
      <c r="H91" s="49"/>
    </row>
    <row r="92" spans="1:8" ht="24" customHeight="1" x14ac:dyDescent="0.2">
      <c r="A92" s="1"/>
      <c r="B92" s="1"/>
      <c r="C92" s="2" t="s">
        <v>10</v>
      </c>
      <c r="D92" s="1"/>
      <c r="E92" s="1"/>
      <c r="F92" s="12"/>
      <c r="G92" s="12"/>
      <c r="H92" s="49"/>
    </row>
    <row r="93" spans="1:8" ht="14.1" customHeight="1" x14ac:dyDescent="0.2">
      <c r="A93" s="1"/>
      <c r="B93" s="1"/>
      <c r="C93" s="2" t="s">
        <v>130</v>
      </c>
      <c r="D93" s="1"/>
      <c r="E93" s="1" t="s">
        <v>131</v>
      </c>
      <c r="F93" s="13">
        <v>0</v>
      </c>
      <c r="G93" s="14">
        <v>0</v>
      </c>
      <c r="H93" s="49"/>
    </row>
    <row r="94" spans="1:8" ht="14.1" customHeight="1" x14ac:dyDescent="0.2">
      <c r="A94" s="1"/>
      <c r="B94" s="1"/>
      <c r="C94" s="11"/>
      <c r="D94" s="1"/>
      <c r="E94" s="1"/>
      <c r="F94" s="12"/>
      <c r="G94" s="12"/>
      <c r="H94" s="49"/>
    </row>
    <row r="95" spans="1:8" ht="14.1" customHeight="1" x14ac:dyDescent="0.2">
      <c r="A95" s="1"/>
      <c r="B95" s="1"/>
      <c r="C95" s="2" t="s">
        <v>139</v>
      </c>
      <c r="D95" s="1"/>
      <c r="E95" s="1"/>
      <c r="F95" s="1"/>
      <c r="G95" s="1"/>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140</v>
      </c>
      <c r="D98" s="1"/>
      <c r="E98" s="1"/>
      <c r="F98" s="1"/>
      <c r="G98" s="1"/>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2" t="s">
        <v>141</v>
      </c>
      <c r="D101" s="1"/>
      <c r="E101" s="1"/>
      <c r="F101" s="12"/>
      <c r="G101" s="12"/>
      <c r="H101" s="49"/>
    </row>
    <row r="102" spans="1:8" ht="14.1" customHeight="1" x14ac:dyDescent="0.2">
      <c r="A102" s="1"/>
      <c r="B102" s="1"/>
      <c r="C102" s="2" t="s">
        <v>130</v>
      </c>
      <c r="D102" s="1"/>
      <c r="E102" s="1" t="s">
        <v>131</v>
      </c>
      <c r="F102" s="13">
        <v>0</v>
      </c>
      <c r="G102" s="14">
        <v>0</v>
      </c>
      <c r="H102" s="49"/>
    </row>
    <row r="103" spans="1:8" ht="14.1" customHeight="1" x14ac:dyDescent="0.2">
      <c r="A103" s="1"/>
      <c r="B103" s="1"/>
      <c r="C103" s="11"/>
      <c r="D103" s="1"/>
      <c r="E103" s="1"/>
      <c r="F103" s="12"/>
      <c r="G103" s="12"/>
      <c r="H103" s="49"/>
    </row>
    <row r="104" spans="1:8" ht="14.1" customHeight="1" x14ac:dyDescent="0.2">
      <c r="A104" s="1"/>
      <c r="B104" s="1"/>
      <c r="C104" s="2" t="s">
        <v>142</v>
      </c>
      <c r="D104" s="1"/>
      <c r="E104" s="1"/>
      <c r="F104" s="9">
        <v>0</v>
      </c>
      <c r="G104" s="10">
        <v>0</v>
      </c>
      <c r="H104" s="49"/>
    </row>
    <row r="105" spans="1:8" ht="14.1" customHeight="1" x14ac:dyDescent="0.2">
      <c r="A105" s="1"/>
      <c r="B105" s="1"/>
      <c r="C105" s="11"/>
      <c r="D105" s="1"/>
      <c r="E105" s="1"/>
      <c r="F105" s="12"/>
      <c r="G105" s="12"/>
      <c r="H105" s="49"/>
    </row>
    <row r="106" spans="1:8" ht="14.1" customHeight="1" x14ac:dyDescent="0.2">
      <c r="A106" s="1"/>
      <c r="B106" s="1"/>
      <c r="C106" s="2" t="s">
        <v>143</v>
      </c>
      <c r="D106" s="1"/>
      <c r="E106" s="1"/>
      <c r="F106" s="12"/>
      <c r="G106" s="12"/>
      <c r="H106" s="49"/>
    </row>
    <row r="107" spans="1:8" ht="14.1" customHeight="1" x14ac:dyDescent="0.2">
      <c r="A107" s="1"/>
      <c r="B107" s="1"/>
      <c r="C107" s="2" t="s">
        <v>144</v>
      </c>
      <c r="D107" s="1"/>
      <c r="E107" s="1"/>
      <c r="F107" s="12"/>
      <c r="G107" s="12"/>
      <c r="H107" s="49"/>
    </row>
    <row r="108" spans="1:8" ht="14.1" customHeight="1" x14ac:dyDescent="0.2">
      <c r="A108" s="1"/>
      <c r="B108" s="1"/>
      <c r="C108" s="2" t="s">
        <v>130</v>
      </c>
      <c r="D108" s="1"/>
      <c r="E108" s="1" t="s">
        <v>131</v>
      </c>
      <c r="F108" s="13">
        <v>0</v>
      </c>
      <c r="G108" s="14">
        <v>0</v>
      </c>
      <c r="H108" s="49"/>
    </row>
    <row r="109" spans="1:8" ht="14.1" customHeight="1" x14ac:dyDescent="0.2">
      <c r="A109" s="1"/>
      <c r="B109" s="1"/>
      <c r="C109" s="11"/>
      <c r="D109" s="1"/>
      <c r="E109" s="1"/>
      <c r="F109" s="12"/>
      <c r="G109" s="12"/>
      <c r="H109" s="49"/>
    </row>
    <row r="110" spans="1:8" ht="14.1" customHeight="1" x14ac:dyDescent="0.2">
      <c r="A110" s="1"/>
      <c r="B110" s="1"/>
      <c r="C110" s="2" t="s">
        <v>145</v>
      </c>
      <c r="D110" s="1"/>
      <c r="E110" s="1"/>
      <c r="F110" s="12"/>
      <c r="G110" s="12"/>
      <c r="H110" s="49"/>
    </row>
    <row r="111" spans="1:8" ht="14.1" customHeight="1" x14ac:dyDescent="0.2">
      <c r="A111" s="1"/>
      <c r="B111" s="1"/>
      <c r="C111" s="2" t="s">
        <v>130</v>
      </c>
      <c r="D111" s="1"/>
      <c r="E111" s="1" t="s">
        <v>131</v>
      </c>
      <c r="F111" s="13">
        <v>0</v>
      </c>
      <c r="G111" s="14">
        <v>0</v>
      </c>
      <c r="H111" s="49"/>
    </row>
    <row r="112" spans="1:8" ht="14.1" customHeight="1" x14ac:dyDescent="0.2">
      <c r="A112" s="1"/>
      <c r="B112" s="1"/>
      <c r="C112" s="11"/>
      <c r="D112" s="1"/>
      <c r="E112" s="1"/>
      <c r="F112" s="12"/>
      <c r="G112" s="12"/>
      <c r="H112" s="49"/>
    </row>
    <row r="113" spans="1:8" ht="14.1" customHeight="1" x14ac:dyDescent="0.2">
      <c r="A113" s="1"/>
      <c r="B113" s="1"/>
      <c r="C113" s="2" t="s">
        <v>146</v>
      </c>
      <c r="D113" s="1"/>
      <c r="E113" s="1"/>
      <c r="F113" s="12"/>
      <c r="G113" s="12"/>
      <c r="H113" s="49"/>
    </row>
    <row r="114" spans="1:8" ht="14.1" customHeight="1" x14ac:dyDescent="0.2">
      <c r="A114" s="1"/>
      <c r="B114" s="1"/>
      <c r="C114" s="2" t="s">
        <v>130</v>
      </c>
      <c r="D114" s="1"/>
      <c r="E114" s="1" t="s">
        <v>131</v>
      </c>
      <c r="F114" s="13">
        <v>0</v>
      </c>
      <c r="G114" s="14">
        <v>0</v>
      </c>
      <c r="H114" s="49"/>
    </row>
    <row r="115" spans="1:8" ht="14.1" customHeight="1" x14ac:dyDescent="0.2">
      <c r="A115" s="1"/>
      <c r="B115" s="1"/>
      <c r="C115" s="11"/>
      <c r="D115" s="1"/>
      <c r="E115" s="1"/>
      <c r="F115" s="12"/>
      <c r="G115" s="12"/>
      <c r="H115" s="49"/>
    </row>
    <row r="116" spans="1:8" ht="14.1" customHeight="1" x14ac:dyDescent="0.2">
      <c r="A116" s="1"/>
      <c r="B116" s="1"/>
      <c r="C116" s="2" t="s">
        <v>147</v>
      </c>
      <c r="D116" s="1"/>
      <c r="E116" s="1"/>
      <c r="F116" s="12"/>
      <c r="G116" s="12"/>
      <c r="H116" s="49"/>
    </row>
    <row r="117" spans="1:8" ht="17.100000000000001" customHeight="1" x14ac:dyDescent="0.2">
      <c r="A117" s="3">
        <v>1</v>
      </c>
      <c r="B117" s="4"/>
      <c r="C117" s="4" t="s">
        <v>148</v>
      </c>
      <c r="D117" s="4"/>
      <c r="E117" s="8"/>
      <c r="F117" s="6">
        <v>8419.9563689000006</v>
      </c>
      <c r="G117" s="7">
        <v>1.1264939E-2</v>
      </c>
      <c r="H117" s="49">
        <v>5.6572293145372496</v>
      </c>
    </row>
    <row r="118" spans="1:8" ht="14.1" customHeight="1" x14ac:dyDescent="0.2">
      <c r="A118" s="1"/>
      <c r="B118" s="1"/>
      <c r="C118" s="2" t="s">
        <v>130</v>
      </c>
      <c r="D118" s="1"/>
      <c r="E118" s="1" t="s">
        <v>131</v>
      </c>
      <c r="F118" s="9">
        <v>8419.9563689000006</v>
      </c>
      <c r="G118" s="10">
        <v>1.1264939E-2</v>
      </c>
      <c r="H118" s="49"/>
    </row>
    <row r="119" spans="1:8" ht="14.1" customHeight="1" x14ac:dyDescent="0.2">
      <c r="A119" s="1"/>
      <c r="B119" s="1"/>
      <c r="C119" s="11"/>
      <c r="D119" s="1"/>
      <c r="E119" s="1"/>
      <c r="F119" s="12"/>
      <c r="G119" s="12"/>
      <c r="H119" s="49"/>
    </row>
    <row r="120" spans="1:8" ht="14.1" customHeight="1" x14ac:dyDescent="0.2">
      <c r="A120" s="1"/>
      <c r="B120" s="1"/>
      <c r="C120" s="2" t="s">
        <v>149</v>
      </c>
      <c r="D120" s="1"/>
      <c r="E120" s="1"/>
      <c r="F120" s="9">
        <v>8419.9563689000006</v>
      </c>
      <c r="G120" s="10">
        <v>1.1264939E-2</v>
      </c>
      <c r="H120" s="49"/>
    </row>
    <row r="121" spans="1:8" ht="14.1" customHeight="1" x14ac:dyDescent="0.2">
      <c r="A121" s="1"/>
      <c r="B121" s="1"/>
      <c r="C121" s="12"/>
      <c r="D121" s="1"/>
      <c r="E121" s="1"/>
      <c r="F121" s="1"/>
      <c r="G121" s="1"/>
      <c r="H121" s="49"/>
    </row>
    <row r="122" spans="1:8" ht="14.1" customHeight="1" x14ac:dyDescent="0.2">
      <c r="A122" s="1"/>
      <c r="B122" s="1"/>
      <c r="C122" s="2" t="s">
        <v>150</v>
      </c>
      <c r="D122" s="1"/>
      <c r="E122" s="1"/>
      <c r="F122" s="1"/>
      <c r="G122" s="1"/>
      <c r="H122" s="49"/>
    </row>
    <row r="123" spans="1:8" ht="14.1" customHeight="1" x14ac:dyDescent="0.2">
      <c r="A123" s="1"/>
      <c r="B123" s="1"/>
      <c r="C123" s="2" t="s">
        <v>151</v>
      </c>
      <c r="D123" s="1"/>
      <c r="E123" s="1"/>
      <c r="F123" s="1"/>
      <c r="G123" s="1"/>
      <c r="H123" s="49"/>
    </row>
    <row r="124" spans="1:8" ht="14.1" customHeight="1" x14ac:dyDescent="0.2">
      <c r="A124" s="1"/>
      <c r="B124" s="1"/>
      <c r="C124" s="2" t="s">
        <v>130</v>
      </c>
      <c r="D124" s="1"/>
      <c r="E124" s="1" t="s">
        <v>131</v>
      </c>
      <c r="F124" s="13">
        <v>0</v>
      </c>
      <c r="G124" s="14">
        <v>0</v>
      </c>
      <c r="H124" s="49"/>
    </row>
    <row r="125" spans="1:8" ht="14.1" customHeight="1" x14ac:dyDescent="0.2">
      <c r="A125" s="1"/>
      <c r="B125" s="1"/>
      <c r="C125" s="11"/>
      <c r="D125" s="1"/>
      <c r="E125" s="1"/>
      <c r="F125" s="12"/>
      <c r="G125" s="12"/>
      <c r="H125" s="49"/>
    </row>
    <row r="126" spans="1:8" ht="14.1" customHeight="1" x14ac:dyDescent="0.2">
      <c r="A126" s="1"/>
      <c r="B126" s="1"/>
      <c r="C126" s="2" t="s">
        <v>152</v>
      </c>
      <c r="D126" s="1"/>
      <c r="E126" s="1"/>
      <c r="F126" s="1"/>
      <c r="G126" s="1"/>
      <c r="H126" s="49"/>
    </row>
    <row r="127" spans="1:8" ht="14.1" customHeight="1" x14ac:dyDescent="0.2">
      <c r="A127" s="1"/>
      <c r="B127" s="1"/>
      <c r="C127" s="2" t="s">
        <v>153</v>
      </c>
      <c r="D127" s="1"/>
      <c r="E127" s="1"/>
      <c r="F127" s="1"/>
      <c r="G127" s="1"/>
      <c r="H127" s="49"/>
    </row>
    <row r="128" spans="1:8" ht="14.1" customHeight="1" x14ac:dyDescent="0.2">
      <c r="A128" s="1"/>
      <c r="B128" s="1"/>
      <c r="C128" s="2" t="s">
        <v>130</v>
      </c>
      <c r="D128" s="1"/>
      <c r="E128" s="1" t="s">
        <v>131</v>
      </c>
      <c r="F128" s="13">
        <v>0</v>
      </c>
      <c r="G128" s="14">
        <v>0</v>
      </c>
      <c r="H128" s="49"/>
    </row>
    <row r="129" spans="1:8" ht="14.1" customHeight="1" x14ac:dyDescent="0.2">
      <c r="A129" s="1"/>
      <c r="B129" s="1"/>
      <c r="C129" s="11"/>
      <c r="D129" s="1"/>
      <c r="E129" s="1"/>
      <c r="F129" s="12"/>
      <c r="G129" s="12"/>
      <c r="H129" s="49"/>
    </row>
    <row r="130" spans="1:8" ht="14.1" customHeight="1" x14ac:dyDescent="0.2">
      <c r="A130" s="1"/>
      <c r="B130" s="1"/>
      <c r="C130" s="11"/>
      <c r="D130" s="1"/>
      <c r="E130" s="1"/>
      <c r="F130" s="12"/>
      <c r="G130" s="12"/>
      <c r="H130" s="49"/>
    </row>
    <row r="131" spans="1:8" ht="24" customHeight="1" x14ac:dyDescent="0.2">
      <c r="A131" s="1"/>
      <c r="B131" s="1"/>
      <c r="C131" s="2" t="s">
        <v>154</v>
      </c>
      <c r="D131" s="1"/>
      <c r="E131" s="1"/>
      <c r="F131" s="12"/>
      <c r="G131" s="12"/>
      <c r="H131" s="49"/>
    </row>
    <row r="132" spans="1:8" ht="14.1" customHeight="1" x14ac:dyDescent="0.2">
      <c r="A132" s="1"/>
      <c r="B132" s="1"/>
      <c r="C132" s="2" t="s">
        <v>130</v>
      </c>
      <c r="D132" s="1"/>
      <c r="E132" s="1" t="s">
        <v>131</v>
      </c>
      <c r="F132" s="13">
        <v>0</v>
      </c>
      <c r="G132" s="14">
        <v>0</v>
      </c>
      <c r="H132" s="49"/>
    </row>
    <row r="133" spans="1:8" ht="14.1" customHeight="1" x14ac:dyDescent="0.2">
      <c r="A133" s="1"/>
      <c r="B133" s="1"/>
      <c r="C133" s="11"/>
      <c r="D133" s="1"/>
      <c r="E133" s="1"/>
      <c r="F133" s="12"/>
      <c r="G133" s="12"/>
      <c r="H133" s="49"/>
    </row>
    <row r="134" spans="1:8" ht="14.1" customHeight="1" x14ac:dyDescent="0.2">
      <c r="A134" s="1"/>
      <c r="B134" s="4"/>
      <c r="C134" s="4"/>
      <c r="D134" s="2"/>
      <c r="E134" s="1"/>
      <c r="F134" s="4"/>
      <c r="G134" s="8"/>
      <c r="H134" s="49"/>
    </row>
    <row r="135" spans="1:8" ht="18" customHeight="1" x14ac:dyDescent="0.2">
      <c r="A135" s="8"/>
      <c r="B135" s="4"/>
      <c r="C135" s="4" t="s">
        <v>155</v>
      </c>
      <c r="D135" s="4"/>
      <c r="E135" s="8"/>
      <c r="F135" s="6">
        <v>6351.0998936799997</v>
      </c>
      <c r="G135" s="7">
        <v>8.4970449999999999E-3</v>
      </c>
      <c r="H135" s="49"/>
    </row>
    <row r="136" spans="1:8" ht="14.1" customHeight="1" x14ac:dyDescent="0.2">
      <c r="A136" s="11"/>
      <c r="B136" s="11"/>
      <c r="C136" s="2" t="s">
        <v>156</v>
      </c>
      <c r="D136" s="15"/>
      <c r="E136" s="15"/>
      <c r="F136" s="9">
        <v>747448.02961357997</v>
      </c>
      <c r="G136" s="10">
        <v>1</v>
      </c>
      <c r="H136" s="49"/>
    </row>
    <row r="137" spans="1:8" ht="14.1" customHeight="1" x14ac:dyDescent="0.2">
      <c r="A137" s="16"/>
      <c r="B137" s="16"/>
      <c r="C137" s="16"/>
      <c r="D137" s="17"/>
      <c r="E137" s="17"/>
      <c r="F137" s="17"/>
      <c r="G137" s="17"/>
    </row>
    <row r="138" spans="1:8" ht="14.1" customHeight="1" x14ac:dyDescent="0.2">
      <c r="A138" s="18"/>
      <c r="B138" s="18"/>
      <c r="C138" s="18"/>
      <c r="D138" s="20"/>
      <c r="E138" s="20"/>
      <c r="F138" s="20"/>
      <c r="G138" s="20"/>
    </row>
    <row r="139" spans="1:8" ht="14.1" customHeight="1" x14ac:dyDescent="0.2">
      <c r="A139" s="18"/>
      <c r="B139" s="319" t="s">
        <v>158</v>
      </c>
      <c r="C139" s="320"/>
      <c r="D139" s="12" t="s">
        <v>131</v>
      </c>
      <c r="E139" s="21"/>
      <c r="F139" s="20"/>
      <c r="G139" s="20"/>
    </row>
    <row r="140" spans="1:8" ht="29.1" customHeight="1" x14ac:dyDescent="0.2">
      <c r="A140" s="18"/>
      <c r="B140" s="323" t="s">
        <v>159</v>
      </c>
      <c r="C140" s="324"/>
      <c r="D140" s="2" t="s">
        <v>160</v>
      </c>
      <c r="E140" s="21"/>
      <c r="F140" s="20"/>
      <c r="G140" s="20"/>
    </row>
    <row r="141" spans="1:8" ht="17.100000000000001" customHeight="1" x14ac:dyDescent="0.2">
      <c r="A141" s="18"/>
      <c r="B141" s="323" t="s">
        <v>161</v>
      </c>
      <c r="C141" s="324"/>
      <c r="D141" s="2" t="s">
        <v>160</v>
      </c>
      <c r="E141" s="21"/>
      <c r="F141" s="20"/>
      <c r="G141" s="20"/>
    </row>
    <row r="142" spans="1:8" ht="17.100000000000001" customHeight="1" x14ac:dyDescent="0.2">
      <c r="A142" s="18"/>
      <c r="B142" s="323" t="s">
        <v>162</v>
      </c>
      <c r="C142" s="324"/>
      <c r="D142" s="12" t="s">
        <v>131</v>
      </c>
      <c r="E142" s="21"/>
      <c r="F142" s="20"/>
      <c r="G142" s="20"/>
    </row>
    <row r="143" spans="1:8" ht="24" customHeight="1" x14ac:dyDescent="0.2">
      <c r="A143" s="22"/>
      <c r="B143" s="23" t="s">
        <v>131</v>
      </c>
      <c r="C143" s="23" t="s">
        <v>163</v>
      </c>
      <c r="D143" s="23" t="s">
        <v>164</v>
      </c>
      <c r="E143" s="22"/>
      <c r="F143" s="22"/>
      <c r="G143" s="22"/>
    </row>
    <row r="144" spans="1:8" ht="18" customHeight="1" x14ac:dyDescent="0.2">
      <c r="A144" s="22"/>
      <c r="B144" s="23" t="s">
        <v>165</v>
      </c>
      <c r="C144" s="23" t="s">
        <v>166</v>
      </c>
      <c r="D144" s="23" t="s">
        <v>167</v>
      </c>
      <c r="E144" s="22"/>
      <c r="F144" s="22"/>
      <c r="G144" s="22"/>
    </row>
    <row r="145" spans="1:7" ht="17.100000000000001" customHeight="1" x14ac:dyDescent="0.2">
      <c r="A145" s="22"/>
      <c r="B145" s="4" t="s">
        <v>168</v>
      </c>
      <c r="C145" s="24">
        <v>800.27719999999999</v>
      </c>
      <c r="D145" s="24">
        <v>808.41240000000005</v>
      </c>
      <c r="E145" s="22"/>
      <c r="F145" s="19"/>
      <c r="G145" s="25"/>
    </row>
    <row r="146" spans="1:7" ht="17.100000000000001" customHeight="1" x14ac:dyDescent="0.2">
      <c r="A146" s="22"/>
      <c r="B146" s="4" t="s">
        <v>1021</v>
      </c>
      <c r="C146" s="24">
        <v>50.206000000000003</v>
      </c>
      <c r="D146" s="24">
        <v>47.189100000000003</v>
      </c>
      <c r="E146" s="22"/>
      <c r="F146" s="19"/>
      <c r="G146" s="25"/>
    </row>
    <row r="147" spans="1:7" ht="17.100000000000001" customHeight="1" x14ac:dyDescent="0.2">
      <c r="A147" s="22"/>
      <c r="B147" s="4" t="s">
        <v>169</v>
      </c>
      <c r="C147" s="24">
        <v>749.75850000000003</v>
      </c>
      <c r="D147" s="24">
        <v>756.80889999999999</v>
      </c>
      <c r="E147" s="22"/>
      <c r="F147" s="19"/>
      <c r="G147" s="25"/>
    </row>
    <row r="148" spans="1:7" ht="17.100000000000001" customHeight="1" x14ac:dyDescent="0.2">
      <c r="A148" s="22"/>
      <c r="B148" s="4" t="s">
        <v>1022</v>
      </c>
      <c r="C148" s="24">
        <v>46.380299999999998</v>
      </c>
      <c r="D148" s="24">
        <v>43.560200000000002</v>
      </c>
      <c r="E148" s="22"/>
      <c r="F148" s="19"/>
      <c r="G148" s="25"/>
    </row>
    <row r="149" spans="1:7" ht="14.1" customHeight="1" x14ac:dyDescent="0.2">
      <c r="A149" s="22"/>
      <c r="B149" s="22"/>
      <c r="C149" s="22"/>
      <c r="D149" s="22"/>
      <c r="E149" s="22"/>
      <c r="F149" s="22"/>
      <c r="G149" s="22"/>
    </row>
    <row r="150" spans="1:7" ht="17.100000000000001" customHeight="1" x14ac:dyDescent="0.2">
      <c r="A150" s="22"/>
      <c r="B150" s="325" t="s">
        <v>1023</v>
      </c>
      <c r="C150" s="326"/>
      <c r="D150" s="57" t="s">
        <v>131</v>
      </c>
      <c r="E150" s="22"/>
      <c r="F150" s="22"/>
      <c r="G150" s="22"/>
    </row>
    <row r="151" spans="1:7" ht="18" customHeight="1" x14ac:dyDescent="0.2">
      <c r="A151" s="61"/>
      <c r="B151" s="62" t="s">
        <v>165</v>
      </c>
      <c r="C151" s="63" t="s">
        <v>820</v>
      </c>
      <c r="D151" s="63" t="s">
        <v>821</v>
      </c>
      <c r="E151" s="61"/>
      <c r="F151" s="61"/>
      <c r="G151" s="61"/>
    </row>
    <row r="152" spans="1:7" ht="17.100000000000001" customHeight="1" x14ac:dyDescent="0.2">
      <c r="A152" s="22"/>
      <c r="B152" s="39" t="s">
        <v>1021</v>
      </c>
      <c r="C152" s="64">
        <v>3.4940000000000002</v>
      </c>
      <c r="D152" s="64">
        <v>3.4940000000000002</v>
      </c>
      <c r="E152" s="22"/>
      <c r="F152" s="19"/>
      <c r="G152" s="25"/>
    </row>
    <row r="153" spans="1:7" ht="17.100000000000001" customHeight="1" x14ac:dyDescent="0.2">
      <c r="A153" s="22"/>
      <c r="B153" s="39" t="s">
        <v>1022</v>
      </c>
      <c r="C153" s="64">
        <v>3.226</v>
      </c>
      <c r="D153" s="64">
        <v>3.226</v>
      </c>
      <c r="E153" s="22"/>
      <c r="F153" s="19"/>
      <c r="G153" s="25"/>
    </row>
    <row r="154" spans="1:7" ht="14.1" customHeight="1" x14ac:dyDescent="0.2">
      <c r="A154" s="22"/>
      <c r="B154" s="19"/>
      <c r="C154" s="19"/>
      <c r="D154" s="22"/>
      <c r="E154" s="22"/>
      <c r="F154" s="22"/>
      <c r="G154" s="22"/>
    </row>
    <row r="155" spans="1:7" ht="29.1" customHeight="1" x14ac:dyDescent="0.2">
      <c r="A155" s="22"/>
      <c r="B155" s="323" t="s">
        <v>170</v>
      </c>
      <c r="C155" s="324"/>
      <c r="D155" s="2" t="s">
        <v>160</v>
      </c>
      <c r="E155" s="22"/>
      <c r="F155" s="22"/>
      <c r="G155" s="22"/>
    </row>
    <row r="156" spans="1:7" ht="29.1" customHeight="1" x14ac:dyDescent="0.2">
      <c r="A156" s="22"/>
      <c r="B156" s="323" t="s">
        <v>171</v>
      </c>
      <c r="C156" s="324"/>
      <c r="D156" s="2" t="s">
        <v>160</v>
      </c>
      <c r="E156" s="22"/>
      <c r="F156" s="22"/>
      <c r="G156" s="22"/>
    </row>
    <row r="157" spans="1:7" ht="17.100000000000001" customHeight="1" x14ac:dyDescent="0.2">
      <c r="A157" s="22"/>
      <c r="B157" s="323" t="s">
        <v>172</v>
      </c>
      <c r="C157" s="324"/>
      <c r="D157" s="27">
        <v>0.43429650529576636</v>
      </c>
      <c r="E157" s="22"/>
      <c r="F157" s="19"/>
      <c r="G157" s="25"/>
    </row>
    <row r="158" spans="1:7" ht="17.100000000000001" customHeight="1" x14ac:dyDescent="0.2">
      <c r="A158" s="22"/>
      <c r="B158" s="323" t="s">
        <v>173</v>
      </c>
      <c r="C158" s="324"/>
      <c r="D158" s="2" t="s">
        <v>160</v>
      </c>
      <c r="E158" s="22"/>
      <c r="F158" s="22"/>
      <c r="G158" s="22"/>
    </row>
  </sheetData>
  <mergeCells count="13">
    <mergeCell ref="J2:N2"/>
    <mergeCell ref="B158:C158"/>
    <mergeCell ref="B140:C140"/>
    <mergeCell ref="B141:C141"/>
    <mergeCell ref="B142:C142"/>
    <mergeCell ref="B150:C150"/>
    <mergeCell ref="B155:C155"/>
    <mergeCell ref="B156:C156"/>
    <mergeCell ref="A1:H1"/>
    <mergeCell ref="A2:H2"/>
    <mergeCell ref="A3:H3"/>
    <mergeCell ref="B139:C139"/>
    <mergeCell ref="B157:C157"/>
  </mergeCells>
  <hyperlinks>
    <hyperlink ref="I1" location="Index!B3" display="Index" xr:uid="{D77A0D66-7AEF-4576-BDE9-74548BF14FF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293</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14</v>
      </c>
      <c r="C7" s="4" t="s">
        <v>15</v>
      </c>
      <c r="D7" s="4" t="s">
        <v>16</v>
      </c>
      <c r="E7" s="5">
        <v>137271</v>
      </c>
      <c r="F7" s="6">
        <v>1308.055359</v>
      </c>
      <c r="G7" s="7">
        <v>8.3873876999999999E-2</v>
      </c>
      <c r="H7" s="49"/>
    </row>
    <row r="8" spans="1:15" ht="17.100000000000001" customHeight="1" x14ac:dyDescent="0.2">
      <c r="A8" s="3">
        <v>2</v>
      </c>
      <c r="B8" s="4" t="s">
        <v>20</v>
      </c>
      <c r="C8" s="4" t="s">
        <v>21</v>
      </c>
      <c r="D8" s="4" t="s">
        <v>22</v>
      </c>
      <c r="E8" s="5">
        <v>44211</v>
      </c>
      <c r="F8" s="6">
        <v>1207.5571485</v>
      </c>
      <c r="G8" s="7">
        <v>7.7429825999999993E-2</v>
      </c>
      <c r="H8" s="49"/>
    </row>
    <row r="9" spans="1:15" ht="17.100000000000001" customHeight="1" x14ac:dyDescent="0.2">
      <c r="A9" s="3">
        <v>3</v>
      </c>
      <c r="B9" s="4" t="s">
        <v>294</v>
      </c>
      <c r="C9" s="4" t="s">
        <v>295</v>
      </c>
      <c r="D9" s="4" t="s">
        <v>974</v>
      </c>
      <c r="E9" s="5">
        <v>53410</v>
      </c>
      <c r="F9" s="6">
        <v>873.22679500000004</v>
      </c>
      <c r="G9" s="7">
        <v>5.5992214999999998E-2</v>
      </c>
      <c r="H9" s="49"/>
    </row>
    <row r="10" spans="1:15" ht="29.1" customHeight="1" x14ac:dyDescent="0.2">
      <c r="A10" s="3">
        <v>4</v>
      </c>
      <c r="B10" s="4" t="s">
        <v>296</v>
      </c>
      <c r="C10" s="4" t="s">
        <v>297</v>
      </c>
      <c r="D10" s="4" t="s">
        <v>103</v>
      </c>
      <c r="E10" s="5">
        <v>27959</v>
      </c>
      <c r="F10" s="6">
        <v>752.81005449999998</v>
      </c>
      <c r="G10" s="7">
        <v>4.8270966999999998E-2</v>
      </c>
      <c r="H10" s="49"/>
    </row>
    <row r="11" spans="1:15" ht="17.100000000000001" customHeight="1" x14ac:dyDescent="0.2">
      <c r="A11" s="3">
        <v>5</v>
      </c>
      <c r="B11" s="4" t="s">
        <v>39</v>
      </c>
      <c r="C11" s="4" t="s">
        <v>40</v>
      </c>
      <c r="D11" s="4" t="s">
        <v>16</v>
      </c>
      <c r="E11" s="5">
        <v>123316</v>
      </c>
      <c r="F11" s="6">
        <v>742.91724199999999</v>
      </c>
      <c r="G11" s="7">
        <v>4.7636629999999999E-2</v>
      </c>
      <c r="H11" s="49"/>
    </row>
    <row r="12" spans="1:15" ht="17.100000000000001" customHeight="1" x14ac:dyDescent="0.2">
      <c r="A12" s="3">
        <v>6</v>
      </c>
      <c r="B12" s="4" t="s">
        <v>263</v>
      </c>
      <c r="C12" s="4" t="s">
        <v>264</v>
      </c>
      <c r="D12" s="4" t="s">
        <v>16</v>
      </c>
      <c r="E12" s="5">
        <v>44398</v>
      </c>
      <c r="F12" s="6">
        <v>714.11963100000003</v>
      </c>
      <c r="G12" s="7">
        <v>4.5790097000000002E-2</v>
      </c>
      <c r="H12" s="49"/>
    </row>
    <row r="13" spans="1:15" ht="17.100000000000001" customHeight="1" x14ac:dyDescent="0.2">
      <c r="A13" s="3">
        <v>7</v>
      </c>
      <c r="B13" s="4" t="s">
        <v>180</v>
      </c>
      <c r="C13" s="4" t="s">
        <v>181</v>
      </c>
      <c r="D13" s="4" t="s">
        <v>16</v>
      </c>
      <c r="E13" s="5">
        <v>66020</v>
      </c>
      <c r="F13" s="6">
        <v>595.00525000000005</v>
      </c>
      <c r="G13" s="7">
        <v>3.8152357999999997E-2</v>
      </c>
      <c r="H13" s="49"/>
      <c r="J13" s="217" t="s">
        <v>1074</v>
      </c>
    </row>
    <row r="14" spans="1:15" ht="17.100000000000001" customHeight="1" x14ac:dyDescent="0.2">
      <c r="A14" s="3">
        <v>8</v>
      </c>
      <c r="B14" s="4" t="s">
        <v>11</v>
      </c>
      <c r="C14" s="4" t="s">
        <v>12</v>
      </c>
      <c r="D14" s="4" t="s">
        <v>13</v>
      </c>
      <c r="E14" s="5">
        <v>23069</v>
      </c>
      <c r="F14" s="6">
        <v>478.64714650000002</v>
      </c>
      <c r="G14" s="7">
        <v>3.0691355E-2</v>
      </c>
      <c r="H14" s="49"/>
    </row>
    <row r="15" spans="1:15" ht="29.1" customHeight="1" x14ac:dyDescent="0.2">
      <c r="A15" s="3">
        <v>9</v>
      </c>
      <c r="B15" s="4" t="s">
        <v>189</v>
      </c>
      <c r="C15" s="4" t="s">
        <v>190</v>
      </c>
      <c r="D15" s="4" t="s">
        <v>108</v>
      </c>
      <c r="E15" s="5">
        <v>120569</v>
      </c>
      <c r="F15" s="6">
        <v>437.48461650000002</v>
      </c>
      <c r="G15" s="7">
        <v>2.8051970999999998E-2</v>
      </c>
      <c r="H15" s="49"/>
    </row>
    <row r="16" spans="1:15" ht="17.100000000000001" customHeight="1" x14ac:dyDescent="0.2">
      <c r="A16" s="3">
        <v>10</v>
      </c>
      <c r="B16" s="4" t="s">
        <v>17</v>
      </c>
      <c r="C16" s="4" t="s">
        <v>18</v>
      </c>
      <c r="D16" s="4" t="s">
        <v>19</v>
      </c>
      <c r="E16" s="5">
        <v>45416</v>
      </c>
      <c r="F16" s="6">
        <v>385.4683</v>
      </c>
      <c r="G16" s="7">
        <v>2.471663E-2</v>
      </c>
      <c r="H16" s="49"/>
    </row>
    <row r="17" spans="1:8" ht="29.1" customHeight="1" x14ac:dyDescent="0.2">
      <c r="A17" s="3">
        <v>11</v>
      </c>
      <c r="B17" s="4" t="s">
        <v>197</v>
      </c>
      <c r="C17" s="4" t="s">
        <v>198</v>
      </c>
      <c r="D17" s="4" t="s">
        <v>193</v>
      </c>
      <c r="E17" s="5">
        <v>8388</v>
      </c>
      <c r="F17" s="6">
        <v>364.24470600000001</v>
      </c>
      <c r="G17" s="7">
        <v>2.3355751000000001E-2</v>
      </c>
      <c r="H17" s="49"/>
    </row>
    <row r="18" spans="1:8" ht="17.100000000000001" customHeight="1" x14ac:dyDescent="0.2">
      <c r="A18" s="3">
        <v>12</v>
      </c>
      <c r="B18" s="4" t="s">
        <v>298</v>
      </c>
      <c r="C18" s="4" t="s">
        <v>299</v>
      </c>
      <c r="D18" s="4" t="s">
        <v>238</v>
      </c>
      <c r="E18" s="5">
        <v>24719</v>
      </c>
      <c r="F18" s="6">
        <v>317.12005099999999</v>
      </c>
      <c r="G18" s="7">
        <v>2.0334069E-2</v>
      </c>
      <c r="H18" s="49"/>
    </row>
    <row r="19" spans="1:8" ht="17.100000000000001" customHeight="1" x14ac:dyDescent="0.2">
      <c r="A19" s="3">
        <v>13</v>
      </c>
      <c r="B19" s="4" t="s">
        <v>300</v>
      </c>
      <c r="C19" s="4" t="s">
        <v>301</v>
      </c>
      <c r="D19" s="4" t="s">
        <v>230</v>
      </c>
      <c r="E19" s="5">
        <v>55938</v>
      </c>
      <c r="F19" s="6">
        <v>301.78550999999999</v>
      </c>
      <c r="G19" s="7">
        <v>1.9350802E-2</v>
      </c>
      <c r="H19" s="49"/>
    </row>
    <row r="20" spans="1:8" ht="17.100000000000001" customHeight="1" x14ac:dyDescent="0.2">
      <c r="A20" s="3">
        <v>14</v>
      </c>
      <c r="B20" s="4" t="s">
        <v>302</v>
      </c>
      <c r="C20" s="4" t="s">
        <v>303</v>
      </c>
      <c r="D20" s="4" t="s">
        <v>974</v>
      </c>
      <c r="E20" s="5">
        <v>8814</v>
      </c>
      <c r="F20" s="6">
        <v>298.86511200000001</v>
      </c>
      <c r="G20" s="7">
        <v>1.9163543000000002E-2</v>
      </c>
      <c r="H20" s="49"/>
    </row>
    <row r="21" spans="1:8" ht="29.1" customHeight="1" x14ac:dyDescent="0.2">
      <c r="A21" s="3">
        <v>15</v>
      </c>
      <c r="B21" s="4" t="s">
        <v>304</v>
      </c>
      <c r="C21" s="4" t="s">
        <v>305</v>
      </c>
      <c r="D21" s="4" t="s">
        <v>215</v>
      </c>
      <c r="E21" s="5">
        <v>28492</v>
      </c>
      <c r="F21" s="6">
        <v>298.04056600000001</v>
      </c>
      <c r="G21" s="7">
        <v>1.9110673000000002E-2</v>
      </c>
      <c r="H21" s="49"/>
    </row>
    <row r="22" spans="1:8" ht="17.100000000000001" customHeight="1" x14ac:dyDescent="0.2">
      <c r="A22" s="3">
        <v>16</v>
      </c>
      <c r="B22" s="4" t="s">
        <v>34</v>
      </c>
      <c r="C22" s="4" t="s">
        <v>35</v>
      </c>
      <c r="D22" s="4" t="s">
        <v>31</v>
      </c>
      <c r="E22" s="5">
        <v>15186</v>
      </c>
      <c r="F22" s="6">
        <v>291.48008399999998</v>
      </c>
      <c r="G22" s="7">
        <v>1.8690008000000001E-2</v>
      </c>
      <c r="H22" s="49"/>
    </row>
    <row r="23" spans="1:8" ht="17.100000000000001" customHeight="1" x14ac:dyDescent="0.2">
      <c r="A23" s="3">
        <v>17</v>
      </c>
      <c r="B23" s="4" t="s">
        <v>182</v>
      </c>
      <c r="C23" s="4" t="s">
        <v>183</v>
      </c>
      <c r="D23" s="4" t="s">
        <v>16</v>
      </c>
      <c r="E23" s="5">
        <v>160000</v>
      </c>
      <c r="F23" s="6">
        <v>266</v>
      </c>
      <c r="G23" s="7">
        <v>1.7056198000000002E-2</v>
      </c>
      <c r="H23" s="49"/>
    </row>
    <row r="24" spans="1:8" ht="17.100000000000001" customHeight="1" x14ac:dyDescent="0.2">
      <c r="A24" s="3">
        <v>18</v>
      </c>
      <c r="B24" s="4" t="s">
        <v>306</v>
      </c>
      <c r="C24" s="4" t="s">
        <v>307</v>
      </c>
      <c r="D24" s="4" t="s">
        <v>308</v>
      </c>
      <c r="E24" s="5">
        <v>9430</v>
      </c>
      <c r="F24" s="6">
        <v>253.13420500000001</v>
      </c>
      <c r="G24" s="7">
        <v>1.6231229999999999E-2</v>
      </c>
      <c r="H24" s="49"/>
    </row>
    <row r="25" spans="1:8" ht="29.1" customHeight="1" x14ac:dyDescent="0.2">
      <c r="A25" s="3">
        <v>19</v>
      </c>
      <c r="B25" s="4" t="s">
        <v>23</v>
      </c>
      <c r="C25" s="4" t="s">
        <v>24</v>
      </c>
      <c r="D25" s="4" t="s">
        <v>25</v>
      </c>
      <c r="E25" s="5">
        <v>3567</v>
      </c>
      <c r="F25" s="6">
        <v>252.43659</v>
      </c>
      <c r="G25" s="7">
        <v>1.6186498000000001E-2</v>
      </c>
      <c r="H25" s="49"/>
    </row>
    <row r="26" spans="1:8" ht="17.100000000000001" customHeight="1" x14ac:dyDescent="0.2">
      <c r="A26" s="3">
        <v>20</v>
      </c>
      <c r="B26" s="4" t="s">
        <v>309</v>
      </c>
      <c r="C26" s="4" t="s">
        <v>310</v>
      </c>
      <c r="D26" s="4" t="s">
        <v>72</v>
      </c>
      <c r="E26" s="5">
        <v>17387</v>
      </c>
      <c r="F26" s="6">
        <v>227.004672</v>
      </c>
      <c r="G26" s="7">
        <v>1.4555777000000001E-2</v>
      </c>
      <c r="H26" s="49"/>
    </row>
    <row r="27" spans="1:8" ht="17.100000000000001" customHeight="1" x14ac:dyDescent="0.2">
      <c r="A27" s="3">
        <v>21</v>
      </c>
      <c r="B27" s="4" t="s">
        <v>285</v>
      </c>
      <c r="C27" s="4" t="s">
        <v>286</v>
      </c>
      <c r="D27" s="4" t="s">
        <v>22</v>
      </c>
      <c r="E27" s="5">
        <v>92048</v>
      </c>
      <c r="F27" s="6">
        <v>220.08676800000001</v>
      </c>
      <c r="G27" s="7">
        <v>1.4112194E-2</v>
      </c>
      <c r="H27" s="49"/>
    </row>
    <row r="28" spans="1:8" ht="17.100000000000001" customHeight="1" x14ac:dyDescent="0.2">
      <c r="A28" s="3">
        <v>22</v>
      </c>
      <c r="B28" s="4" t="s">
        <v>87</v>
      </c>
      <c r="C28" s="4" t="s">
        <v>88</v>
      </c>
      <c r="D28" s="4" t="s">
        <v>89</v>
      </c>
      <c r="E28" s="5">
        <v>8130</v>
      </c>
      <c r="F28" s="6">
        <v>217.505955</v>
      </c>
      <c r="G28" s="7">
        <v>1.3946709E-2</v>
      </c>
      <c r="H28" s="49"/>
    </row>
    <row r="29" spans="1:8" ht="17.100000000000001" customHeight="1" x14ac:dyDescent="0.2">
      <c r="A29" s="3">
        <v>23</v>
      </c>
      <c r="B29" s="4" t="s">
        <v>194</v>
      </c>
      <c r="C29" s="4" t="s">
        <v>195</v>
      </c>
      <c r="D29" s="4" t="s">
        <v>196</v>
      </c>
      <c r="E29" s="5">
        <v>443</v>
      </c>
      <c r="F29" s="6">
        <v>210.05575949999999</v>
      </c>
      <c r="G29" s="7">
        <v>1.3468994999999999E-2</v>
      </c>
      <c r="H29" s="49"/>
    </row>
    <row r="30" spans="1:8" ht="17.100000000000001" customHeight="1" x14ac:dyDescent="0.2">
      <c r="A30" s="3">
        <v>24</v>
      </c>
      <c r="B30" s="4" t="s">
        <v>311</v>
      </c>
      <c r="C30" s="4" t="s">
        <v>312</v>
      </c>
      <c r="D30" s="4" t="s">
        <v>974</v>
      </c>
      <c r="E30" s="5">
        <v>18271</v>
      </c>
      <c r="F30" s="6">
        <v>204.78136799999999</v>
      </c>
      <c r="G30" s="7">
        <v>1.3130795000000001E-2</v>
      </c>
      <c r="H30" s="49"/>
    </row>
    <row r="31" spans="1:8" ht="17.100000000000001" customHeight="1" x14ac:dyDescent="0.2">
      <c r="A31" s="3">
        <v>25</v>
      </c>
      <c r="B31" s="4" t="s">
        <v>186</v>
      </c>
      <c r="C31" s="4" t="s">
        <v>187</v>
      </c>
      <c r="D31" s="4" t="s">
        <v>188</v>
      </c>
      <c r="E31" s="5">
        <v>13636</v>
      </c>
      <c r="F31" s="6">
        <v>200.674194</v>
      </c>
      <c r="G31" s="7">
        <v>1.2867439E-2</v>
      </c>
      <c r="H31" s="49"/>
    </row>
    <row r="32" spans="1:8" ht="17.100000000000001" customHeight="1" x14ac:dyDescent="0.2">
      <c r="A32" s="3">
        <v>26</v>
      </c>
      <c r="B32" s="4" t="s">
        <v>216</v>
      </c>
      <c r="C32" s="4" t="s">
        <v>217</v>
      </c>
      <c r="D32" s="4" t="s">
        <v>218</v>
      </c>
      <c r="E32" s="5">
        <v>35316</v>
      </c>
      <c r="F32" s="6">
        <v>189.20546999999999</v>
      </c>
      <c r="G32" s="7">
        <v>1.2132052000000001E-2</v>
      </c>
      <c r="H32" s="49"/>
    </row>
    <row r="33" spans="1:8" ht="17.100000000000001" customHeight="1" x14ac:dyDescent="0.2">
      <c r="A33" s="3">
        <v>27</v>
      </c>
      <c r="B33" s="4" t="s">
        <v>313</v>
      </c>
      <c r="C33" s="4" t="s">
        <v>314</v>
      </c>
      <c r="D33" s="4" t="s">
        <v>308</v>
      </c>
      <c r="E33" s="5">
        <v>53592</v>
      </c>
      <c r="F33" s="6">
        <v>182.21279999999999</v>
      </c>
      <c r="G33" s="7">
        <v>1.1683674999999999E-2</v>
      </c>
      <c r="H33" s="49"/>
    </row>
    <row r="34" spans="1:8" ht="29.1" customHeight="1" x14ac:dyDescent="0.2">
      <c r="A34" s="3">
        <v>28</v>
      </c>
      <c r="B34" s="4" t="s">
        <v>213</v>
      </c>
      <c r="C34" s="4" t="s">
        <v>214</v>
      </c>
      <c r="D34" s="4" t="s">
        <v>215</v>
      </c>
      <c r="E34" s="5">
        <v>43242</v>
      </c>
      <c r="F34" s="6">
        <v>180.51372900000001</v>
      </c>
      <c r="G34" s="7">
        <v>1.1574729000000001E-2</v>
      </c>
      <c r="H34" s="49"/>
    </row>
    <row r="35" spans="1:8" ht="17.100000000000001" customHeight="1" x14ac:dyDescent="0.2">
      <c r="A35" s="3">
        <v>29</v>
      </c>
      <c r="B35" s="4" t="s">
        <v>106</v>
      </c>
      <c r="C35" s="4" t="s">
        <v>107</v>
      </c>
      <c r="D35" s="4" t="s">
        <v>108</v>
      </c>
      <c r="E35" s="5">
        <v>44599</v>
      </c>
      <c r="F35" s="6">
        <v>172.44203350000001</v>
      </c>
      <c r="G35" s="7">
        <v>1.1057163E-2</v>
      </c>
      <c r="H35" s="49"/>
    </row>
    <row r="36" spans="1:8" ht="17.100000000000001" customHeight="1" x14ac:dyDescent="0.2">
      <c r="A36" s="3">
        <v>30</v>
      </c>
      <c r="B36" s="4" t="s">
        <v>315</v>
      </c>
      <c r="C36" s="4" t="s">
        <v>316</v>
      </c>
      <c r="D36" s="4" t="s">
        <v>317</v>
      </c>
      <c r="E36" s="5">
        <v>10757</v>
      </c>
      <c r="F36" s="6">
        <v>171.80542550000001</v>
      </c>
      <c r="G36" s="7">
        <v>1.1016343E-2</v>
      </c>
      <c r="H36" s="49"/>
    </row>
    <row r="37" spans="1:8" ht="17.100000000000001" customHeight="1" x14ac:dyDescent="0.2">
      <c r="A37" s="3">
        <v>31</v>
      </c>
      <c r="B37" s="4" t="s">
        <v>111</v>
      </c>
      <c r="C37" s="4" t="s">
        <v>112</v>
      </c>
      <c r="D37" s="4" t="s">
        <v>113</v>
      </c>
      <c r="E37" s="5">
        <v>38023</v>
      </c>
      <c r="F37" s="6">
        <v>171.36966100000001</v>
      </c>
      <c r="G37" s="7">
        <v>1.0988402E-2</v>
      </c>
      <c r="H37" s="49"/>
    </row>
    <row r="38" spans="1:8" ht="17.100000000000001" customHeight="1" x14ac:dyDescent="0.2">
      <c r="A38" s="3">
        <v>32</v>
      </c>
      <c r="B38" s="4" t="s">
        <v>318</v>
      </c>
      <c r="C38" s="4" t="s">
        <v>319</v>
      </c>
      <c r="D38" s="4" t="s">
        <v>233</v>
      </c>
      <c r="E38" s="5">
        <v>12015</v>
      </c>
      <c r="F38" s="6">
        <v>162.20249999999999</v>
      </c>
      <c r="G38" s="7">
        <v>1.0400594000000001E-2</v>
      </c>
      <c r="H38" s="49"/>
    </row>
    <row r="39" spans="1:8" ht="17.100000000000001" customHeight="1" x14ac:dyDescent="0.2">
      <c r="A39" s="3">
        <v>33</v>
      </c>
      <c r="B39" s="4" t="s">
        <v>320</v>
      </c>
      <c r="C39" s="4" t="s">
        <v>321</v>
      </c>
      <c r="D39" s="4" t="s">
        <v>974</v>
      </c>
      <c r="E39" s="5">
        <v>39000</v>
      </c>
      <c r="F39" s="6">
        <v>158.691</v>
      </c>
      <c r="G39" s="7">
        <v>1.0175432999999999E-2</v>
      </c>
      <c r="H39" s="49"/>
    </row>
    <row r="40" spans="1:8" ht="29.1" customHeight="1" x14ac:dyDescent="0.2">
      <c r="A40" s="3">
        <v>34</v>
      </c>
      <c r="B40" s="4" t="s">
        <v>205</v>
      </c>
      <c r="C40" s="4" t="s">
        <v>206</v>
      </c>
      <c r="D40" s="4" t="s">
        <v>207</v>
      </c>
      <c r="E40" s="5">
        <v>16000</v>
      </c>
      <c r="F40" s="6">
        <v>148.76</v>
      </c>
      <c r="G40" s="7">
        <v>9.5386470000000008E-3</v>
      </c>
      <c r="H40" s="49"/>
    </row>
    <row r="41" spans="1:8" ht="17.100000000000001" customHeight="1" x14ac:dyDescent="0.2">
      <c r="A41" s="3">
        <v>35</v>
      </c>
      <c r="B41" s="4" t="s">
        <v>184</v>
      </c>
      <c r="C41" s="4" t="s">
        <v>185</v>
      </c>
      <c r="D41" s="4" t="s">
        <v>103</v>
      </c>
      <c r="E41" s="5">
        <v>10614</v>
      </c>
      <c r="F41" s="6">
        <v>143.28899999999999</v>
      </c>
      <c r="G41" s="7">
        <v>9.1878399999999992E-3</v>
      </c>
      <c r="H41" s="49"/>
    </row>
    <row r="42" spans="1:8" ht="17.100000000000001" customHeight="1" x14ac:dyDescent="0.2">
      <c r="A42" s="3">
        <v>36</v>
      </c>
      <c r="B42" s="4" t="s">
        <v>41</v>
      </c>
      <c r="C42" s="4" t="s">
        <v>42</v>
      </c>
      <c r="D42" s="4" t="s">
        <v>43</v>
      </c>
      <c r="E42" s="5">
        <v>18275</v>
      </c>
      <c r="F42" s="6">
        <v>141.07386249999999</v>
      </c>
      <c r="G42" s="7">
        <v>9.0458029999999998E-3</v>
      </c>
      <c r="H42" s="49"/>
    </row>
    <row r="43" spans="1:8" ht="29.1" customHeight="1" x14ac:dyDescent="0.2">
      <c r="A43" s="3">
        <v>37</v>
      </c>
      <c r="B43" s="4" t="s">
        <v>322</v>
      </c>
      <c r="C43" s="4" t="s">
        <v>323</v>
      </c>
      <c r="D43" s="4" t="s">
        <v>193</v>
      </c>
      <c r="E43" s="5">
        <v>34955</v>
      </c>
      <c r="F43" s="6">
        <v>135.74774249999999</v>
      </c>
      <c r="G43" s="7">
        <v>8.7042869999999998E-3</v>
      </c>
      <c r="H43" s="49"/>
    </row>
    <row r="44" spans="1:8" ht="17.100000000000001" customHeight="1" x14ac:dyDescent="0.2">
      <c r="A44" s="3">
        <v>38</v>
      </c>
      <c r="B44" s="4" t="s">
        <v>324</v>
      </c>
      <c r="C44" s="4" t="s">
        <v>325</v>
      </c>
      <c r="D44" s="4" t="s">
        <v>317</v>
      </c>
      <c r="E44" s="5">
        <v>25439</v>
      </c>
      <c r="F44" s="6">
        <v>134.17800550000001</v>
      </c>
      <c r="G44" s="7">
        <v>8.6036340000000006E-3</v>
      </c>
      <c r="H44" s="49"/>
    </row>
    <row r="45" spans="1:8" ht="17.100000000000001" customHeight="1" x14ac:dyDescent="0.2">
      <c r="A45" s="3">
        <v>39</v>
      </c>
      <c r="B45" s="4" t="s">
        <v>92</v>
      </c>
      <c r="C45" s="4" t="s">
        <v>93</v>
      </c>
      <c r="D45" s="4" t="s">
        <v>22</v>
      </c>
      <c r="E45" s="5">
        <v>37123</v>
      </c>
      <c r="F45" s="6">
        <v>126.64511450000001</v>
      </c>
      <c r="G45" s="7">
        <v>8.1206170000000001E-3</v>
      </c>
      <c r="H45" s="49"/>
    </row>
    <row r="46" spans="1:8" ht="17.100000000000001" customHeight="1" x14ac:dyDescent="0.2">
      <c r="A46" s="3">
        <v>40</v>
      </c>
      <c r="B46" s="4" t="s">
        <v>326</v>
      </c>
      <c r="C46" s="4" t="s">
        <v>327</v>
      </c>
      <c r="D46" s="4" t="s">
        <v>974</v>
      </c>
      <c r="E46" s="5">
        <v>11437</v>
      </c>
      <c r="F46" s="6">
        <v>123.17649</v>
      </c>
      <c r="G46" s="7">
        <v>7.8982050000000002E-3</v>
      </c>
      <c r="H46" s="49"/>
    </row>
    <row r="47" spans="1:8" ht="17.100000000000001" customHeight="1" x14ac:dyDescent="0.2">
      <c r="A47" s="3">
        <v>41</v>
      </c>
      <c r="B47" s="4" t="s">
        <v>231</v>
      </c>
      <c r="C47" s="4" t="s">
        <v>232</v>
      </c>
      <c r="D47" s="4" t="s">
        <v>233</v>
      </c>
      <c r="E47" s="5">
        <v>20885</v>
      </c>
      <c r="F47" s="6">
        <v>114.20962249999999</v>
      </c>
      <c r="G47" s="7">
        <v>7.32324E-3</v>
      </c>
      <c r="H47" s="49"/>
    </row>
    <row r="48" spans="1:8" ht="17.100000000000001" customHeight="1" x14ac:dyDescent="0.2">
      <c r="A48" s="3">
        <v>42</v>
      </c>
      <c r="B48" s="4" t="s">
        <v>328</v>
      </c>
      <c r="C48" s="4" t="s">
        <v>329</v>
      </c>
      <c r="D48" s="4" t="s">
        <v>16</v>
      </c>
      <c r="E48" s="5">
        <v>4709</v>
      </c>
      <c r="F48" s="6">
        <v>91.686584499999995</v>
      </c>
      <c r="G48" s="7">
        <v>5.8790400000000003E-3</v>
      </c>
      <c r="H48" s="49"/>
    </row>
    <row r="49" spans="1:8" ht="17.100000000000001" customHeight="1" x14ac:dyDescent="0.2">
      <c r="A49" s="3">
        <v>43</v>
      </c>
      <c r="B49" s="4" t="s">
        <v>330</v>
      </c>
      <c r="C49" s="4" t="s">
        <v>331</v>
      </c>
      <c r="D49" s="4" t="s">
        <v>100</v>
      </c>
      <c r="E49" s="5">
        <v>111123</v>
      </c>
      <c r="F49" s="6">
        <v>87.509362499999995</v>
      </c>
      <c r="G49" s="7">
        <v>5.6111920000000001E-3</v>
      </c>
      <c r="H49" s="49"/>
    </row>
    <row r="50" spans="1:8" ht="17.100000000000001" customHeight="1" x14ac:dyDescent="0.2">
      <c r="A50" s="3">
        <v>44</v>
      </c>
      <c r="B50" s="4" t="s">
        <v>332</v>
      </c>
      <c r="C50" s="4" t="s">
        <v>333</v>
      </c>
      <c r="D50" s="4" t="s">
        <v>218</v>
      </c>
      <c r="E50" s="5">
        <v>77730</v>
      </c>
      <c r="F50" s="6">
        <v>83.676344999999998</v>
      </c>
      <c r="G50" s="7">
        <v>5.3654150000000001E-3</v>
      </c>
      <c r="H50" s="49"/>
    </row>
    <row r="51" spans="1:8" ht="17.100000000000001" customHeight="1" x14ac:dyDescent="0.2">
      <c r="A51" s="3">
        <v>45</v>
      </c>
      <c r="B51" s="4" t="s">
        <v>334</v>
      </c>
      <c r="C51" s="4" t="s">
        <v>335</v>
      </c>
      <c r="D51" s="4" t="s">
        <v>16</v>
      </c>
      <c r="E51" s="5">
        <v>7154</v>
      </c>
      <c r="F51" s="6">
        <v>83.544411999999994</v>
      </c>
      <c r="G51" s="7">
        <v>5.3569550000000001E-3</v>
      </c>
      <c r="H51" s="49"/>
    </row>
    <row r="52" spans="1:8" ht="29.1" customHeight="1" x14ac:dyDescent="0.2">
      <c r="A52" s="3">
        <v>46</v>
      </c>
      <c r="B52" s="4" t="s">
        <v>251</v>
      </c>
      <c r="C52" s="4" t="s">
        <v>252</v>
      </c>
      <c r="D52" s="4" t="s">
        <v>215</v>
      </c>
      <c r="E52" s="5">
        <v>4108</v>
      </c>
      <c r="F52" s="6">
        <v>73.108022000000005</v>
      </c>
      <c r="G52" s="7">
        <v>4.6877630000000002E-3</v>
      </c>
      <c r="H52" s="49"/>
    </row>
    <row r="53" spans="1:8" ht="17.100000000000001" customHeight="1" x14ac:dyDescent="0.2">
      <c r="A53" s="3">
        <v>47</v>
      </c>
      <c r="B53" s="4" t="s">
        <v>236</v>
      </c>
      <c r="C53" s="4" t="s">
        <v>237</v>
      </c>
      <c r="D53" s="4" t="s">
        <v>238</v>
      </c>
      <c r="E53" s="5">
        <v>10058</v>
      </c>
      <c r="F53" s="6">
        <v>70.969247999999993</v>
      </c>
      <c r="G53" s="7">
        <v>4.5506219999999998E-3</v>
      </c>
      <c r="H53" s="49"/>
    </row>
    <row r="54" spans="1:8" ht="53.1" customHeight="1" x14ac:dyDescent="0.2">
      <c r="A54" s="3">
        <v>48</v>
      </c>
      <c r="B54" s="4" t="s">
        <v>336</v>
      </c>
      <c r="C54" s="4" t="s">
        <v>1043</v>
      </c>
      <c r="D54" s="4" t="s">
        <v>51</v>
      </c>
      <c r="E54" s="5">
        <v>16284</v>
      </c>
      <c r="F54" s="6">
        <v>55.235328000000003</v>
      </c>
      <c r="G54" s="7">
        <v>3.541747E-3</v>
      </c>
      <c r="H54" s="49"/>
    </row>
    <row r="55" spans="1:8" ht="17.100000000000001" customHeight="1" x14ac:dyDescent="0.2">
      <c r="A55" s="3">
        <v>49</v>
      </c>
      <c r="B55" s="4" t="s">
        <v>337</v>
      </c>
      <c r="C55" s="4" t="s">
        <v>1204</v>
      </c>
      <c r="D55" s="4" t="s">
        <v>19</v>
      </c>
      <c r="E55" s="5">
        <v>3244</v>
      </c>
      <c r="F55" s="6">
        <v>15.073245999999999</v>
      </c>
      <c r="G55" s="7">
        <v>9.6651199999999999E-4</v>
      </c>
      <c r="H55" s="49"/>
    </row>
    <row r="56" spans="1:8" ht="14.1" customHeight="1" x14ac:dyDescent="0.2">
      <c r="A56" s="1"/>
      <c r="B56" s="1"/>
      <c r="C56" s="2" t="s">
        <v>130</v>
      </c>
      <c r="D56" s="1"/>
      <c r="E56" s="1" t="s">
        <v>131</v>
      </c>
      <c r="F56" s="9">
        <v>14434.832087999997</v>
      </c>
      <c r="G56" s="10">
        <v>0.92557651699999999</v>
      </c>
      <c r="H56" s="49"/>
    </row>
    <row r="57" spans="1:8" ht="14.1" customHeight="1" x14ac:dyDescent="0.2">
      <c r="A57" s="1"/>
      <c r="B57" s="1"/>
      <c r="C57" s="11"/>
      <c r="D57" s="1"/>
      <c r="E57" s="1"/>
      <c r="F57" s="12"/>
      <c r="G57" s="12"/>
      <c r="H57" s="49"/>
    </row>
    <row r="58" spans="1:8" ht="14.1" customHeight="1" x14ac:dyDescent="0.2">
      <c r="A58" s="1"/>
      <c r="B58" s="1"/>
      <c r="C58" s="2" t="s">
        <v>132</v>
      </c>
      <c r="D58" s="1"/>
      <c r="E58" s="1"/>
      <c r="F58" s="1"/>
      <c r="G58" s="1"/>
      <c r="H58" s="49"/>
    </row>
    <row r="59" spans="1:8" ht="14.1" customHeight="1" x14ac:dyDescent="0.2">
      <c r="A59" s="1"/>
      <c r="B59" s="1"/>
      <c r="C59" s="2" t="s">
        <v>130</v>
      </c>
      <c r="D59" s="1"/>
      <c r="E59" s="1" t="s">
        <v>131</v>
      </c>
      <c r="F59" s="13">
        <v>0</v>
      </c>
      <c r="G59" s="14">
        <v>0</v>
      </c>
      <c r="H59" s="49"/>
    </row>
    <row r="60" spans="1:8" ht="14.1" customHeight="1" x14ac:dyDescent="0.2">
      <c r="A60" s="1"/>
      <c r="B60" s="1"/>
      <c r="C60" s="11"/>
      <c r="D60" s="1"/>
      <c r="E60" s="1"/>
      <c r="F60" s="12"/>
      <c r="G60" s="12"/>
      <c r="H60" s="49"/>
    </row>
    <row r="61" spans="1:8" ht="14.1" customHeight="1" x14ac:dyDescent="0.2">
      <c r="A61" s="1"/>
      <c r="B61" s="1"/>
      <c r="C61" s="2" t="s">
        <v>133</v>
      </c>
      <c r="D61" s="1"/>
      <c r="E61" s="1"/>
      <c r="F61" s="1"/>
      <c r="G61" s="1"/>
      <c r="H61" s="49"/>
    </row>
    <row r="62" spans="1:8" ht="14.1" customHeight="1" x14ac:dyDescent="0.2">
      <c r="A62" s="1"/>
      <c r="B62" s="1"/>
      <c r="C62" s="2" t="s">
        <v>130</v>
      </c>
      <c r="D62" s="1"/>
      <c r="E62" s="1" t="s">
        <v>131</v>
      </c>
      <c r="F62" s="13">
        <v>0</v>
      </c>
      <c r="G62" s="14">
        <v>0</v>
      </c>
      <c r="H62" s="49"/>
    </row>
    <row r="63" spans="1:8" ht="14.1" customHeight="1" x14ac:dyDescent="0.2">
      <c r="A63" s="1"/>
      <c r="B63" s="1"/>
      <c r="C63" s="11"/>
      <c r="D63" s="1"/>
      <c r="E63" s="1"/>
      <c r="F63" s="12"/>
      <c r="G63" s="12"/>
      <c r="H63" s="49"/>
    </row>
    <row r="64" spans="1:8" ht="14.1" customHeight="1" x14ac:dyDescent="0.2">
      <c r="A64" s="1"/>
      <c r="B64" s="1"/>
      <c r="C64" s="2" t="s">
        <v>134</v>
      </c>
      <c r="D64" s="1"/>
      <c r="E64" s="1"/>
      <c r="F64" s="1"/>
      <c r="G64" s="1"/>
      <c r="H64" s="49"/>
    </row>
    <row r="65" spans="1:8" ht="14.1" customHeight="1" x14ac:dyDescent="0.2">
      <c r="A65" s="1"/>
      <c r="B65" s="1"/>
      <c r="C65" s="2" t="s">
        <v>130</v>
      </c>
      <c r="D65" s="1"/>
      <c r="E65" s="1" t="s">
        <v>131</v>
      </c>
      <c r="F65" s="9">
        <v>0</v>
      </c>
      <c r="G65" s="10">
        <v>0</v>
      </c>
      <c r="H65" s="49"/>
    </row>
    <row r="66" spans="1:8" ht="14.1" customHeight="1" x14ac:dyDescent="0.2">
      <c r="A66" s="1"/>
      <c r="B66" s="1"/>
      <c r="C66" s="11"/>
      <c r="D66" s="1"/>
      <c r="E66" s="1"/>
      <c r="F66" s="12"/>
      <c r="G66" s="12"/>
      <c r="H66" s="49"/>
    </row>
    <row r="67" spans="1:8" ht="14.1" customHeight="1" x14ac:dyDescent="0.2">
      <c r="A67" s="1"/>
      <c r="B67" s="1"/>
      <c r="C67" s="2" t="s">
        <v>135</v>
      </c>
      <c r="D67" s="1"/>
      <c r="E67" s="1"/>
      <c r="F67" s="12"/>
      <c r="G67" s="12"/>
      <c r="H67" s="49"/>
    </row>
    <row r="68" spans="1:8" ht="14.1" customHeight="1" x14ac:dyDescent="0.2">
      <c r="A68" s="1"/>
      <c r="B68" s="1"/>
      <c r="C68" s="2" t="s">
        <v>130</v>
      </c>
      <c r="D68" s="1"/>
      <c r="E68" s="1" t="s">
        <v>131</v>
      </c>
      <c r="F68" s="13">
        <v>0</v>
      </c>
      <c r="G68" s="14">
        <v>0</v>
      </c>
      <c r="H68" s="49"/>
    </row>
    <row r="69" spans="1:8" ht="14.1" customHeight="1" x14ac:dyDescent="0.2">
      <c r="A69" s="1"/>
      <c r="B69" s="1"/>
      <c r="C69" s="11"/>
      <c r="D69" s="1"/>
      <c r="E69" s="1"/>
      <c r="F69" s="12"/>
      <c r="G69" s="12"/>
      <c r="H69" s="49"/>
    </row>
    <row r="70" spans="1:8" ht="14.1" customHeight="1" x14ac:dyDescent="0.2">
      <c r="A70" s="1"/>
      <c r="B70" s="1"/>
      <c r="C70" s="2" t="s">
        <v>136</v>
      </c>
      <c r="D70" s="1"/>
      <c r="E70" s="1"/>
      <c r="F70" s="12"/>
      <c r="G70" s="12"/>
      <c r="H70" s="49"/>
    </row>
    <row r="71" spans="1:8" ht="14.1" customHeight="1" x14ac:dyDescent="0.2">
      <c r="A71" s="1"/>
      <c r="B71" s="1"/>
      <c r="C71" s="2" t="s">
        <v>130</v>
      </c>
      <c r="D71" s="1"/>
      <c r="E71" s="1" t="s">
        <v>131</v>
      </c>
      <c r="F71" s="13">
        <v>0</v>
      </c>
      <c r="G71" s="14">
        <v>0</v>
      </c>
      <c r="H71" s="49"/>
    </row>
    <row r="72" spans="1:8" ht="14.1" customHeight="1" x14ac:dyDescent="0.2">
      <c r="A72" s="1"/>
      <c r="B72" s="1"/>
      <c r="C72" s="11"/>
      <c r="D72" s="1"/>
      <c r="E72" s="1"/>
      <c r="F72" s="12"/>
      <c r="G72" s="12"/>
      <c r="H72" s="49"/>
    </row>
    <row r="73" spans="1:8" ht="18" customHeight="1" x14ac:dyDescent="0.2">
      <c r="A73" s="1"/>
      <c r="B73" s="1"/>
      <c r="C73" s="2" t="s">
        <v>137</v>
      </c>
      <c r="D73" s="1"/>
      <c r="E73" s="1"/>
      <c r="F73" s="9">
        <v>14434.832087999999</v>
      </c>
      <c r="G73" s="10">
        <v>0.92557651699999999</v>
      </c>
      <c r="H73" s="49"/>
    </row>
    <row r="74" spans="1:8" ht="14.1" customHeight="1" x14ac:dyDescent="0.2">
      <c r="A74" s="1"/>
      <c r="B74" s="1"/>
      <c r="C74" s="11"/>
      <c r="D74" s="1"/>
      <c r="E74" s="1"/>
      <c r="F74" s="12"/>
      <c r="G74" s="12"/>
      <c r="H74" s="49"/>
    </row>
    <row r="75" spans="1:8" ht="14.1" customHeight="1" x14ac:dyDescent="0.2">
      <c r="A75" s="1"/>
      <c r="B75" s="1"/>
      <c r="C75" s="2" t="s">
        <v>138</v>
      </c>
      <c r="D75" s="1"/>
      <c r="E75" s="1"/>
      <c r="F75" s="12"/>
      <c r="G75" s="12"/>
      <c r="H75" s="49"/>
    </row>
    <row r="76" spans="1:8" ht="24" customHeight="1" x14ac:dyDescent="0.2">
      <c r="A76" s="1"/>
      <c r="B76" s="1"/>
      <c r="C76" s="2" t="s">
        <v>10</v>
      </c>
      <c r="D76" s="1"/>
      <c r="E76" s="1"/>
      <c r="F76" s="12"/>
      <c r="G76" s="12"/>
      <c r="H76" s="49"/>
    </row>
    <row r="77" spans="1:8" ht="14.1" customHeight="1" x14ac:dyDescent="0.2">
      <c r="A77" s="1"/>
      <c r="B77" s="1"/>
      <c r="C77" s="2" t="s">
        <v>130</v>
      </c>
      <c r="D77" s="1"/>
      <c r="E77" s="1" t="s">
        <v>131</v>
      </c>
      <c r="F77" s="13">
        <v>0</v>
      </c>
      <c r="G77" s="14">
        <v>0</v>
      </c>
      <c r="H77" s="49"/>
    </row>
    <row r="78" spans="1:8" ht="14.1" customHeight="1" x14ac:dyDescent="0.2">
      <c r="A78" s="1"/>
      <c r="B78" s="1"/>
      <c r="C78" s="11"/>
      <c r="D78" s="1"/>
      <c r="E78" s="1"/>
      <c r="F78" s="12"/>
      <c r="G78" s="12"/>
      <c r="H78" s="49"/>
    </row>
    <row r="79" spans="1:8" ht="14.1" customHeight="1" x14ac:dyDescent="0.2">
      <c r="A79" s="1"/>
      <c r="B79" s="1"/>
      <c r="C79" s="2" t="s">
        <v>139</v>
      </c>
      <c r="D79" s="1"/>
      <c r="E79" s="1"/>
      <c r="F79" s="1"/>
      <c r="G79" s="1"/>
      <c r="H79" s="49"/>
    </row>
    <row r="80" spans="1:8" ht="14.1" customHeight="1" x14ac:dyDescent="0.2">
      <c r="A80" s="1"/>
      <c r="B80" s="1"/>
      <c r="C80" s="2" t="s">
        <v>130</v>
      </c>
      <c r="D80" s="1"/>
      <c r="E80" s="1" t="s">
        <v>131</v>
      </c>
      <c r="F80" s="13">
        <v>0</v>
      </c>
      <c r="G80" s="14">
        <v>0</v>
      </c>
      <c r="H80" s="49"/>
    </row>
    <row r="81" spans="1:8" ht="14.1" customHeight="1" x14ac:dyDescent="0.2">
      <c r="A81" s="1"/>
      <c r="B81" s="1"/>
      <c r="C81" s="11"/>
      <c r="D81" s="1"/>
      <c r="E81" s="1"/>
      <c r="F81" s="12"/>
      <c r="G81" s="12"/>
      <c r="H81" s="49"/>
    </row>
    <row r="82" spans="1:8" ht="14.1" customHeight="1" x14ac:dyDescent="0.2">
      <c r="A82" s="1"/>
      <c r="B82" s="1"/>
      <c r="C82" s="2" t="s">
        <v>140</v>
      </c>
      <c r="D82" s="1"/>
      <c r="E82" s="1"/>
      <c r="F82" s="1"/>
      <c r="G82" s="1"/>
      <c r="H82" s="49"/>
    </row>
    <row r="83" spans="1:8" ht="14.1" customHeight="1" x14ac:dyDescent="0.2">
      <c r="A83" s="1"/>
      <c r="B83" s="1"/>
      <c r="C83" s="2" t="s">
        <v>130</v>
      </c>
      <c r="D83" s="1"/>
      <c r="E83" s="1" t="s">
        <v>131</v>
      </c>
      <c r="F83" s="13">
        <v>0</v>
      </c>
      <c r="G83" s="14">
        <v>0</v>
      </c>
      <c r="H83" s="49"/>
    </row>
    <row r="84" spans="1:8" ht="14.1" customHeight="1" x14ac:dyDescent="0.2">
      <c r="A84" s="1"/>
      <c r="B84" s="1"/>
      <c r="C84" s="11"/>
      <c r="D84" s="1"/>
      <c r="E84" s="1"/>
      <c r="F84" s="12"/>
      <c r="G84" s="12"/>
      <c r="H84" s="49"/>
    </row>
    <row r="85" spans="1:8" ht="14.1" customHeight="1" x14ac:dyDescent="0.2">
      <c r="A85" s="1"/>
      <c r="B85" s="1"/>
      <c r="C85" s="2" t="s">
        <v>141</v>
      </c>
      <c r="D85" s="1"/>
      <c r="E85" s="1"/>
      <c r="F85" s="12"/>
      <c r="G85" s="12"/>
      <c r="H85" s="49"/>
    </row>
    <row r="86" spans="1:8" ht="14.1" customHeight="1" x14ac:dyDescent="0.2">
      <c r="A86" s="1"/>
      <c r="B86" s="1"/>
      <c r="C86" s="2" t="s">
        <v>130</v>
      </c>
      <c r="D86" s="1"/>
      <c r="E86" s="1" t="s">
        <v>131</v>
      </c>
      <c r="F86" s="13">
        <v>0</v>
      </c>
      <c r="G86" s="14">
        <v>0</v>
      </c>
      <c r="H86" s="49"/>
    </row>
    <row r="87" spans="1:8" ht="14.1" customHeight="1" x14ac:dyDescent="0.2">
      <c r="A87" s="1"/>
      <c r="B87" s="1"/>
      <c r="C87" s="11"/>
      <c r="D87" s="1"/>
      <c r="E87" s="1"/>
      <c r="F87" s="12"/>
      <c r="G87" s="12"/>
      <c r="H87" s="49"/>
    </row>
    <row r="88" spans="1:8" ht="14.1" customHeight="1" x14ac:dyDescent="0.2">
      <c r="A88" s="1"/>
      <c r="B88" s="1"/>
      <c r="C88" s="2" t="s">
        <v>142</v>
      </c>
      <c r="D88" s="1"/>
      <c r="E88" s="1"/>
      <c r="F88" s="9">
        <v>0</v>
      </c>
      <c r="G88" s="10">
        <v>0</v>
      </c>
      <c r="H88" s="49"/>
    </row>
    <row r="89" spans="1:8" ht="14.1" customHeight="1" x14ac:dyDescent="0.2">
      <c r="A89" s="1"/>
      <c r="B89" s="1"/>
      <c r="C89" s="11"/>
      <c r="D89" s="1"/>
      <c r="E89" s="1"/>
      <c r="F89" s="12"/>
      <c r="G89" s="12"/>
      <c r="H89" s="49"/>
    </row>
    <row r="90" spans="1:8" ht="14.1" customHeight="1" x14ac:dyDescent="0.2">
      <c r="A90" s="1"/>
      <c r="B90" s="1"/>
      <c r="C90" s="2" t="s">
        <v>143</v>
      </c>
      <c r="D90" s="1"/>
      <c r="E90" s="1"/>
      <c r="F90" s="12"/>
      <c r="G90" s="12"/>
      <c r="H90" s="49"/>
    </row>
    <row r="91" spans="1:8" ht="14.1" customHeight="1" x14ac:dyDescent="0.2">
      <c r="A91" s="1"/>
      <c r="B91" s="1"/>
      <c r="C91" s="2" t="s">
        <v>144</v>
      </c>
      <c r="D91" s="1"/>
      <c r="E91" s="1"/>
      <c r="F91" s="12"/>
      <c r="G91" s="12"/>
      <c r="H91" s="49"/>
    </row>
    <row r="92" spans="1:8" ht="14.1" customHeight="1" x14ac:dyDescent="0.2">
      <c r="A92" s="1"/>
      <c r="B92" s="1"/>
      <c r="C92" s="2" t="s">
        <v>130</v>
      </c>
      <c r="D92" s="1"/>
      <c r="E92" s="1" t="s">
        <v>131</v>
      </c>
      <c r="F92" s="13">
        <v>0</v>
      </c>
      <c r="G92" s="14">
        <v>0</v>
      </c>
      <c r="H92" s="49"/>
    </row>
    <row r="93" spans="1:8" ht="14.1" customHeight="1" x14ac:dyDescent="0.2">
      <c r="A93" s="1"/>
      <c r="B93" s="1"/>
      <c r="C93" s="11"/>
      <c r="D93" s="1"/>
      <c r="E93" s="1"/>
      <c r="F93" s="12"/>
      <c r="G93" s="12"/>
      <c r="H93" s="49"/>
    </row>
    <row r="94" spans="1:8" ht="14.1" customHeight="1" x14ac:dyDescent="0.2">
      <c r="A94" s="1"/>
      <c r="B94" s="1"/>
      <c r="C94" s="2" t="s">
        <v>145</v>
      </c>
      <c r="D94" s="1"/>
      <c r="E94" s="1"/>
      <c r="F94" s="12"/>
      <c r="G94" s="12"/>
      <c r="H94" s="49"/>
    </row>
    <row r="95" spans="1:8" ht="14.1" customHeight="1" x14ac:dyDescent="0.2">
      <c r="A95" s="1"/>
      <c r="B95" s="1"/>
      <c r="C95" s="2" t="s">
        <v>130</v>
      </c>
      <c r="D95" s="1"/>
      <c r="E95" s="1" t="s">
        <v>131</v>
      </c>
      <c r="F95" s="13">
        <v>0</v>
      </c>
      <c r="G95" s="14">
        <v>0</v>
      </c>
      <c r="H95" s="49"/>
    </row>
    <row r="96" spans="1:8" ht="14.1" customHeight="1" x14ac:dyDescent="0.2">
      <c r="A96" s="1"/>
      <c r="B96" s="1"/>
      <c r="C96" s="11"/>
      <c r="D96" s="1"/>
      <c r="E96" s="1"/>
      <c r="F96" s="12"/>
      <c r="G96" s="12"/>
      <c r="H96" s="49"/>
    </row>
    <row r="97" spans="1:8" ht="14.1" customHeight="1" x14ac:dyDescent="0.2">
      <c r="A97" s="1"/>
      <c r="B97" s="1"/>
      <c r="C97" s="2" t="s">
        <v>146</v>
      </c>
      <c r="D97" s="1"/>
      <c r="E97" s="1"/>
      <c r="F97" s="12"/>
      <c r="G97" s="12"/>
      <c r="H97" s="49"/>
    </row>
    <row r="98" spans="1:8" ht="14.1" customHeight="1" x14ac:dyDescent="0.2">
      <c r="A98" s="1"/>
      <c r="B98" s="1"/>
      <c r="C98" s="2" t="s">
        <v>130</v>
      </c>
      <c r="D98" s="1"/>
      <c r="E98" s="1" t="s">
        <v>131</v>
      </c>
      <c r="F98" s="13">
        <v>0</v>
      </c>
      <c r="G98" s="14">
        <v>0</v>
      </c>
      <c r="H98" s="49"/>
    </row>
    <row r="99" spans="1:8" ht="14.1" customHeight="1" x14ac:dyDescent="0.2">
      <c r="A99" s="1"/>
      <c r="B99" s="1"/>
      <c r="C99" s="11"/>
      <c r="D99" s="1"/>
      <c r="E99" s="1"/>
      <c r="F99" s="12"/>
      <c r="G99" s="12"/>
      <c r="H99" s="49"/>
    </row>
    <row r="100" spans="1:8" ht="14.1" customHeight="1" x14ac:dyDescent="0.2">
      <c r="A100" s="1"/>
      <c r="B100" s="1"/>
      <c r="C100" s="2" t="s">
        <v>147</v>
      </c>
      <c r="D100" s="1"/>
      <c r="E100" s="1"/>
      <c r="F100" s="12"/>
      <c r="G100" s="12"/>
      <c r="H100" s="49"/>
    </row>
    <row r="101" spans="1:8" ht="17.100000000000001" customHeight="1" x14ac:dyDescent="0.2">
      <c r="A101" s="3">
        <v>1</v>
      </c>
      <c r="B101" s="4"/>
      <c r="C101" s="4" t="s">
        <v>148</v>
      </c>
      <c r="D101" s="4"/>
      <c r="E101" s="8"/>
      <c r="F101" s="6">
        <v>960.53262459999996</v>
      </c>
      <c r="G101" s="7">
        <v>6.1590355999999999E-2</v>
      </c>
      <c r="H101" s="49">
        <v>5.6572293145372496</v>
      </c>
    </row>
    <row r="102" spans="1:8" ht="14.1" customHeight="1" x14ac:dyDescent="0.2">
      <c r="A102" s="1"/>
      <c r="B102" s="1"/>
      <c r="C102" s="2" t="s">
        <v>130</v>
      </c>
      <c r="D102" s="1"/>
      <c r="E102" s="1" t="s">
        <v>131</v>
      </c>
      <c r="F102" s="9">
        <v>960.53262459999996</v>
      </c>
      <c r="G102" s="10">
        <v>6.1590355999999999E-2</v>
      </c>
      <c r="H102" s="49"/>
    </row>
    <row r="103" spans="1:8" ht="14.1" customHeight="1" x14ac:dyDescent="0.2">
      <c r="A103" s="1"/>
      <c r="B103" s="1"/>
      <c r="C103" s="11"/>
      <c r="D103" s="1"/>
      <c r="E103" s="1"/>
      <c r="F103" s="12"/>
      <c r="G103" s="12"/>
      <c r="H103" s="49"/>
    </row>
    <row r="104" spans="1:8" ht="14.1" customHeight="1" x14ac:dyDescent="0.2">
      <c r="A104" s="1"/>
      <c r="B104" s="1"/>
      <c r="C104" s="2" t="s">
        <v>149</v>
      </c>
      <c r="D104" s="1"/>
      <c r="E104" s="1"/>
      <c r="F104" s="9">
        <v>960.53262459999996</v>
      </c>
      <c r="G104" s="10">
        <v>6.1590355999999999E-2</v>
      </c>
      <c r="H104" s="49"/>
    </row>
    <row r="105" spans="1:8" ht="14.1" customHeight="1" x14ac:dyDescent="0.2">
      <c r="A105" s="1"/>
      <c r="B105" s="1"/>
      <c r="C105" s="12"/>
      <c r="D105" s="1"/>
      <c r="E105" s="1"/>
      <c r="F105" s="1"/>
      <c r="G105" s="1"/>
      <c r="H105" s="49"/>
    </row>
    <row r="106" spans="1:8" ht="14.1" customHeight="1" x14ac:dyDescent="0.2">
      <c r="A106" s="1"/>
      <c r="B106" s="1"/>
      <c r="C106" s="2" t="s">
        <v>150</v>
      </c>
      <c r="D106" s="1"/>
      <c r="E106" s="1"/>
      <c r="F106" s="1"/>
      <c r="G106" s="1"/>
      <c r="H106" s="49"/>
    </row>
    <row r="107" spans="1:8" ht="14.1" customHeight="1" x14ac:dyDescent="0.2">
      <c r="A107" s="1"/>
      <c r="B107" s="1"/>
      <c r="C107" s="2" t="s">
        <v>151</v>
      </c>
      <c r="D107" s="1"/>
      <c r="E107" s="1"/>
      <c r="F107" s="1"/>
      <c r="G107" s="1"/>
      <c r="H107" s="49"/>
    </row>
    <row r="108" spans="1:8" ht="14.1" customHeight="1" x14ac:dyDescent="0.2">
      <c r="A108" s="1"/>
      <c r="B108" s="1"/>
      <c r="C108" s="2" t="s">
        <v>130</v>
      </c>
      <c r="D108" s="1"/>
      <c r="E108" s="1" t="s">
        <v>131</v>
      </c>
      <c r="F108" s="13">
        <v>0</v>
      </c>
      <c r="G108" s="14">
        <v>0</v>
      </c>
      <c r="H108" s="49"/>
    </row>
    <row r="109" spans="1:8" ht="14.1" customHeight="1" x14ac:dyDescent="0.2">
      <c r="A109" s="1"/>
      <c r="B109" s="1"/>
      <c r="C109" s="11"/>
      <c r="D109" s="1"/>
      <c r="E109" s="1"/>
      <c r="F109" s="12"/>
      <c r="G109" s="12"/>
      <c r="H109" s="49"/>
    </row>
    <row r="110" spans="1:8" ht="14.1" customHeight="1" x14ac:dyDescent="0.2">
      <c r="A110" s="1"/>
      <c r="B110" s="1"/>
      <c r="C110" s="2" t="s">
        <v>152</v>
      </c>
      <c r="D110" s="1"/>
      <c r="E110" s="1"/>
      <c r="F110" s="1"/>
      <c r="G110" s="1"/>
      <c r="H110" s="49"/>
    </row>
    <row r="111" spans="1:8" ht="14.1" customHeight="1" x14ac:dyDescent="0.2">
      <c r="A111" s="1"/>
      <c r="B111" s="1"/>
      <c r="C111" s="2" t="s">
        <v>153</v>
      </c>
      <c r="D111" s="1"/>
      <c r="E111" s="1"/>
      <c r="F111" s="1"/>
      <c r="G111" s="1"/>
      <c r="H111" s="49"/>
    </row>
    <row r="112" spans="1:8" ht="14.1" customHeight="1" x14ac:dyDescent="0.2">
      <c r="A112" s="1"/>
      <c r="B112" s="1"/>
      <c r="C112" s="2" t="s">
        <v>130</v>
      </c>
      <c r="D112" s="1"/>
      <c r="E112" s="1" t="s">
        <v>131</v>
      </c>
      <c r="F112" s="13">
        <v>0</v>
      </c>
      <c r="G112" s="14">
        <v>0</v>
      </c>
      <c r="H112" s="49"/>
    </row>
    <row r="113" spans="1:8" ht="14.1" customHeight="1" x14ac:dyDescent="0.2">
      <c r="A113" s="1"/>
      <c r="B113" s="1"/>
      <c r="C113" s="11"/>
      <c r="D113" s="1"/>
      <c r="E113" s="1"/>
      <c r="F113" s="12"/>
      <c r="G113" s="12"/>
      <c r="H113" s="49"/>
    </row>
    <row r="114" spans="1:8" ht="14.1" customHeight="1" x14ac:dyDescent="0.2">
      <c r="A114" s="1"/>
      <c r="B114" s="1"/>
      <c r="C114" s="11"/>
      <c r="D114" s="1"/>
      <c r="E114" s="1"/>
      <c r="F114" s="12"/>
      <c r="G114" s="12"/>
      <c r="H114" s="49"/>
    </row>
    <row r="115" spans="1:8" ht="24" customHeight="1" x14ac:dyDescent="0.2">
      <c r="A115" s="1"/>
      <c r="B115" s="1"/>
      <c r="C115" s="2" t="s">
        <v>154</v>
      </c>
      <c r="D115" s="1"/>
      <c r="E115" s="1"/>
      <c r="F115" s="12"/>
      <c r="G115" s="12"/>
      <c r="H115" s="49"/>
    </row>
    <row r="116" spans="1:8" ht="14.1" customHeight="1" x14ac:dyDescent="0.2">
      <c r="A116" s="1"/>
      <c r="B116" s="1"/>
      <c r="C116" s="2" t="s">
        <v>130</v>
      </c>
      <c r="D116" s="1"/>
      <c r="E116" s="1" t="s">
        <v>131</v>
      </c>
      <c r="F116" s="13">
        <v>0</v>
      </c>
      <c r="G116" s="14">
        <v>0</v>
      </c>
      <c r="H116" s="49"/>
    </row>
    <row r="117" spans="1:8" ht="14.1" customHeight="1" x14ac:dyDescent="0.2">
      <c r="A117" s="1"/>
      <c r="B117" s="1"/>
      <c r="C117" s="11"/>
      <c r="D117" s="1"/>
      <c r="E117" s="1"/>
      <c r="F117" s="12"/>
      <c r="G117" s="12"/>
      <c r="H117" s="49"/>
    </row>
    <row r="118" spans="1:8" ht="14.1" customHeight="1" x14ac:dyDescent="0.2">
      <c r="A118" s="1"/>
      <c r="B118" s="4"/>
      <c r="C118" s="4"/>
      <c r="D118" s="2"/>
      <c r="E118" s="1"/>
      <c r="F118" s="4"/>
      <c r="G118" s="8"/>
      <c r="H118" s="49"/>
    </row>
    <row r="119" spans="1:8" ht="18" customHeight="1" x14ac:dyDescent="0.2">
      <c r="A119" s="8"/>
      <c r="B119" s="4"/>
      <c r="C119" s="4" t="s">
        <v>155</v>
      </c>
      <c r="D119" s="4"/>
      <c r="E119" s="8"/>
      <c r="F119" s="6">
        <v>200.13905711000001</v>
      </c>
      <c r="G119" s="7">
        <v>1.2833125000000001E-2</v>
      </c>
      <c r="H119" s="49"/>
    </row>
    <row r="120" spans="1:8" ht="14.1" customHeight="1" x14ac:dyDescent="0.2">
      <c r="A120" s="11"/>
      <c r="B120" s="11"/>
      <c r="C120" s="2" t="s">
        <v>156</v>
      </c>
      <c r="D120" s="15"/>
      <c r="E120" s="15"/>
      <c r="F120" s="9">
        <v>15595.50376971</v>
      </c>
      <c r="G120" s="10">
        <v>0.99999999799999995</v>
      </c>
      <c r="H120" s="49"/>
    </row>
    <row r="121" spans="1:8" ht="14.1" customHeight="1" x14ac:dyDescent="0.2">
      <c r="A121" s="16"/>
      <c r="B121" s="16"/>
      <c r="C121" s="16"/>
      <c r="D121" s="17"/>
      <c r="E121" s="17"/>
      <c r="F121" s="17"/>
      <c r="G121" s="17"/>
    </row>
    <row r="122" spans="1:8" ht="14.1" customHeight="1" x14ac:dyDescent="0.2">
      <c r="A122" s="18"/>
      <c r="B122" s="18"/>
      <c r="C122" s="18"/>
      <c r="D122" s="20"/>
      <c r="E122" s="20"/>
      <c r="F122" s="20"/>
      <c r="G122" s="20"/>
    </row>
    <row r="123" spans="1:8" ht="14.1" customHeight="1" x14ac:dyDescent="0.2">
      <c r="A123" s="18"/>
      <c r="B123" s="319" t="s">
        <v>158</v>
      </c>
      <c r="C123" s="320"/>
      <c r="D123" s="12" t="s">
        <v>131</v>
      </c>
      <c r="E123" s="21"/>
      <c r="F123" s="20"/>
      <c r="G123" s="20"/>
    </row>
    <row r="124" spans="1:8" ht="29.1" customHeight="1" x14ac:dyDescent="0.2">
      <c r="A124" s="18"/>
      <c r="B124" s="323" t="s">
        <v>159</v>
      </c>
      <c r="C124" s="324"/>
      <c r="D124" s="2" t="s">
        <v>160</v>
      </c>
      <c r="E124" s="21"/>
      <c r="F124" s="20"/>
      <c r="G124" s="20"/>
    </row>
    <row r="125" spans="1:8" ht="17.100000000000001" customHeight="1" x14ac:dyDescent="0.2">
      <c r="A125" s="18"/>
      <c r="B125" s="323" t="s">
        <v>161</v>
      </c>
      <c r="C125" s="324"/>
      <c r="D125" s="2" t="s">
        <v>160</v>
      </c>
      <c r="E125" s="21"/>
      <c r="F125" s="20"/>
      <c r="G125" s="20"/>
    </row>
    <row r="126" spans="1:8" ht="17.100000000000001" customHeight="1" x14ac:dyDescent="0.2">
      <c r="A126" s="18"/>
      <c r="B126" s="323" t="s">
        <v>162</v>
      </c>
      <c r="C126" s="324"/>
      <c r="D126" s="12" t="s">
        <v>131</v>
      </c>
      <c r="E126" s="21"/>
      <c r="F126" s="20"/>
      <c r="G126" s="20"/>
    </row>
    <row r="127" spans="1:8" ht="24" customHeight="1" x14ac:dyDescent="0.2">
      <c r="A127" s="22"/>
      <c r="B127" s="23" t="s">
        <v>131</v>
      </c>
      <c r="C127" s="23" t="s">
        <v>163</v>
      </c>
      <c r="D127" s="23" t="s">
        <v>164</v>
      </c>
      <c r="E127" s="22"/>
      <c r="F127" s="22"/>
      <c r="G127" s="22"/>
    </row>
    <row r="128" spans="1:8" ht="18" customHeight="1" x14ac:dyDescent="0.2">
      <c r="A128" s="22"/>
      <c r="B128" s="23" t="s">
        <v>165</v>
      </c>
      <c r="C128" s="23" t="s">
        <v>166</v>
      </c>
      <c r="D128" s="23" t="s">
        <v>167</v>
      </c>
      <c r="E128" s="22"/>
      <c r="F128" s="22"/>
      <c r="G128" s="22"/>
    </row>
    <row r="129" spans="1:15" ht="17.100000000000001" customHeight="1" x14ac:dyDescent="0.2">
      <c r="A129" s="22"/>
      <c r="B129" s="4" t="s">
        <v>168</v>
      </c>
      <c r="C129" s="24">
        <v>18.313700000000001</v>
      </c>
      <c r="D129" s="24">
        <v>18.860299999999999</v>
      </c>
      <c r="E129" s="22"/>
      <c r="F129" s="19"/>
      <c r="G129" s="25"/>
    </row>
    <row r="130" spans="1:15" ht="17.100000000000001" customHeight="1" x14ac:dyDescent="0.2">
      <c r="A130" s="22"/>
      <c r="B130" s="4" t="s">
        <v>1021</v>
      </c>
      <c r="C130" s="24">
        <v>17.419</v>
      </c>
      <c r="D130" s="24">
        <v>17.9389</v>
      </c>
      <c r="E130" s="22"/>
      <c r="F130" s="19"/>
      <c r="G130" s="25"/>
    </row>
    <row r="131" spans="1:15" ht="17.100000000000001" customHeight="1" x14ac:dyDescent="0.2">
      <c r="A131" s="22"/>
      <c r="B131" s="4" t="s">
        <v>169</v>
      </c>
      <c r="C131" s="24">
        <v>17.860900000000001</v>
      </c>
      <c r="D131" s="24">
        <v>18.385400000000001</v>
      </c>
      <c r="E131" s="22"/>
      <c r="F131" s="19"/>
      <c r="G131" s="25"/>
    </row>
    <row r="132" spans="1:15" ht="17.100000000000001" customHeight="1" x14ac:dyDescent="0.2">
      <c r="A132" s="22"/>
      <c r="B132" s="4" t="s">
        <v>1022</v>
      </c>
      <c r="C132" s="24">
        <v>17.183199999999999</v>
      </c>
      <c r="D132" s="24">
        <v>17.687899999999999</v>
      </c>
      <c r="E132" s="22"/>
      <c r="F132" s="19"/>
      <c r="G132" s="25"/>
    </row>
    <row r="133" spans="1:15" ht="14.1" customHeight="1" x14ac:dyDescent="0.2">
      <c r="A133" s="22"/>
      <c r="B133" s="22"/>
      <c r="C133" s="22"/>
      <c r="D133" s="22"/>
      <c r="E133" s="22"/>
      <c r="F133" s="22"/>
      <c r="G133" s="22"/>
    </row>
    <row r="134" spans="1:15" ht="17.100000000000001" customHeight="1" x14ac:dyDescent="0.2">
      <c r="A134" s="22"/>
      <c r="B134" s="323" t="s">
        <v>1023</v>
      </c>
      <c r="C134" s="324"/>
      <c r="D134" s="57" t="s">
        <v>160</v>
      </c>
      <c r="E134" s="22"/>
      <c r="F134" s="22"/>
      <c r="G134" s="22"/>
    </row>
    <row r="135" spans="1:15" ht="18" customHeight="1" x14ac:dyDescent="0.2">
      <c r="A135" s="22"/>
      <c r="B135" s="28"/>
      <c r="C135" s="28"/>
      <c r="D135" s="26"/>
      <c r="E135" s="22"/>
      <c r="F135" s="22"/>
      <c r="G135" s="22"/>
    </row>
    <row r="136" spans="1:15" ht="29.1" customHeight="1" x14ac:dyDescent="0.2">
      <c r="A136" s="22"/>
      <c r="B136" s="323" t="s">
        <v>170</v>
      </c>
      <c r="C136" s="324"/>
      <c r="D136" s="2" t="s">
        <v>160</v>
      </c>
      <c r="E136" s="22"/>
      <c r="F136" s="22"/>
      <c r="G136" s="22"/>
    </row>
    <row r="137" spans="1:15" ht="29.1" customHeight="1" x14ac:dyDescent="0.2">
      <c r="A137" s="22"/>
      <c r="B137" s="323" t="s">
        <v>171</v>
      </c>
      <c r="C137" s="324"/>
      <c r="D137" s="2" t="s">
        <v>160</v>
      </c>
      <c r="E137" s="22"/>
      <c r="F137" s="22"/>
      <c r="G137" s="22"/>
    </row>
    <row r="138" spans="1:15" ht="17.100000000000001" customHeight="1" x14ac:dyDescent="0.2">
      <c r="A138" s="22"/>
      <c r="B138" s="323" t="s">
        <v>172</v>
      </c>
      <c r="C138" s="324"/>
      <c r="D138" s="27">
        <v>0.18904538710450586</v>
      </c>
      <c r="E138" s="22"/>
      <c r="F138" s="19"/>
      <c r="G138" s="25"/>
    </row>
    <row r="139" spans="1:15" ht="17.100000000000001" customHeight="1" x14ac:dyDescent="0.2">
      <c r="A139" s="22"/>
      <c r="B139" s="323" t="s">
        <v>173</v>
      </c>
      <c r="C139" s="324"/>
      <c r="D139" s="2" t="s">
        <v>160</v>
      </c>
      <c r="E139" s="22"/>
      <c r="F139" s="22"/>
      <c r="G139" s="22"/>
    </row>
    <row r="140" spans="1:15" x14ac:dyDescent="0.2">
      <c r="J140" s="218"/>
      <c r="K140" s="218"/>
      <c r="L140" s="218"/>
      <c r="M140" s="218"/>
      <c r="N140" s="218"/>
      <c r="O140" s="218"/>
    </row>
  </sheetData>
  <mergeCells count="13">
    <mergeCell ref="J2:N2"/>
    <mergeCell ref="B139:C139"/>
    <mergeCell ref="B124:C124"/>
    <mergeCell ref="B125:C125"/>
    <mergeCell ref="B126:C126"/>
    <mergeCell ref="B134:C134"/>
    <mergeCell ref="B136:C136"/>
    <mergeCell ref="B137:C137"/>
    <mergeCell ref="A1:H1"/>
    <mergeCell ref="A2:H2"/>
    <mergeCell ref="A3:H3"/>
    <mergeCell ref="B123:C123"/>
    <mergeCell ref="B138:C138"/>
  </mergeCells>
  <hyperlinks>
    <hyperlink ref="I1" location="Index!B4" display="Index" xr:uid="{4552F945-C0C6-4776-98C6-803434C7F6D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40"/>
  <sheetViews>
    <sheetView showGridLines="0" workbookViewId="0">
      <selection activeCell="G56" sqref="G56"/>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338</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14</v>
      </c>
      <c r="C7" s="4" t="s">
        <v>15</v>
      </c>
      <c r="D7" s="4" t="s">
        <v>16</v>
      </c>
      <c r="E7" s="5">
        <v>80632</v>
      </c>
      <c r="F7" s="6">
        <v>768.34232799999995</v>
      </c>
      <c r="G7" s="7">
        <v>8.3770072000000001E-2</v>
      </c>
      <c r="H7" s="49"/>
    </row>
    <row r="8" spans="1:15" ht="17.100000000000001" customHeight="1" x14ac:dyDescent="0.2">
      <c r="A8" s="3">
        <v>2</v>
      </c>
      <c r="B8" s="4" t="s">
        <v>20</v>
      </c>
      <c r="C8" s="4" t="s">
        <v>21</v>
      </c>
      <c r="D8" s="4" t="s">
        <v>22</v>
      </c>
      <c r="E8" s="5">
        <v>26043</v>
      </c>
      <c r="F8" s="6">
        <v>711.32548050000003</v>
      </c>
      <c r="G8" s="7">
        <v>7.7553695000000006E-2</v>
      </c>
      <c r="H8" s="49"/>
    </row>
    <row r="9" spans="1:15" ht="17.100000000000001" customHeight="1" x14ac:dyDescent="0.2">
      <c r="A9" s="3">
        <v>3</v>
      </c>
      <c r="B9" s="4" t="s">
        <v>294</v>
      </c>
      <c r="C9" s="4" t="s">
        <v>295</v>
      </c>
      <c r="D9" s="4" t="s">
        <v>974</v>
      </c>
      <c r="E9" s="5">
        <v>31453</v>
      </c>
      <c r="F9" s="6">
        <v>514.24082350000003</v>
      </c>
      <c r="G9" s="7">
        <v>5.6066142999999999E-2</v>
      </c>
      <c r="H9" s="49"/>
    </row>
    <row r="10" spans="1:15" ht="29.1" customHeight="1" x14ac:dyDescent="0.2">
      <c r="A10" s="3">
        <v>4</v>
      </c>
      <c r="B10" s="4" t="s">
        <v>296</v>
      </c>
      <c r="C10" s="4" t="s">
        <v>297</v>
      </c>
      <c r="D10" s="4" t="s">
        <v>103</v>
      </c>
      <c r="E10" s="5">
        <v>16489</v>
      </c>
      <c r="F10" s="6">
        <v>443.97456949999997</v>
      </c>
      <c r="G10" s="7">
        <v>4.8405222999999997E-2</v>
      </c>
      <c r="H10" s="49"/>
    </row>
    <row r="11" spans="1:15" ht="17.100000000000001" customHeight="1" x14ac:dyDescent="0.2">
      <c r="A11" s="3">
        <v>5</v>
      </c>
      <c r="B11" s="4" t="s">
        <v>39</v>
      </c>
      <c r="C11" s="4" t="s">
        <v>40</v>
      </c>
      <c r="D11" s="4" t="s">
        <v>16</v>
      </c>
      <c r="E11" s="5">
        <v>73332</v>
      </c>
      <c r="F11" s="6">
        <v>441.788634</v>
      </c>
      <c r="G11" s="7">
        <v>4.8166897E-2</v>
      </c>
      <c r="H11" s="49"/>
    </row>
    <row r="12" spans="1:15" ht="17.100000000000001" customHeight="1" x14ac:dyDescent="0.2">
      <c r="A12" s="3">
        <v>6</v>
      </c>
      <c r="B12" s="4" t="s">
        <v>263</v>
      </c>
      <c r="C12" s="4" t="s">
        <v>264</v>
      </c>
      <c r="D12" s="4" t="s">
        <v>16</v>
      </c>
      <c r="E12" s="5">
        <v>26088</v>
      </c>
      <c r="F12" s="6">
        <v>419.612436</v>
      </c>
      <c r="G12" s="7">
        <v>4.5749091999999998E-2</v>
      </c>
      <c r="H12" s="49"/>
    </row>
    <row r="13" spans="1:15" ht="17.100000000000001" customHeight="1" x14ac:dyDescent="0.2">
      <c r="A13" s="3">
        <v>7</v>
      </c>
      <c r="B13" s="4" t="s">
        <v>180</v>
      </c>
      <c r="C13" s="4" t="s">
        <v>181</v>
      </c>
      <c r="D13" s="4" t="s">
        <v>16</v>
      </c>
      <c r="E13" s="5">
        <v>38735</v>
      </c>
      <c r="F13" s="6">
        <v>349.09918750000003</v>
      </c>
      <c r="G13" s="7">
        <v>3.8061243000000002E-2</v>
      </c>
      <c r="H13" s="49"/>
      <c r="J13" s="217" t="s">
        <v>1074</v>
      </c>
    </row>
    <row r="14" spans="1:15" ht="17.100000000000001" customHeight="1" x14ac:dyDescent="0.2">
      <c r="A14" s="3">
        <v>8</v>
      </c>
      <c r="B14" s="4" t="s">
        <v>11</v>
      </c>
      <c r="C14" s="4" t="s">
        <v>12</v>
      </c>
      <c r="D14" s="4" t="s">
        <v>13</v>
      </c>
      <c r="E14" s="5">
        <v>13567</v>
      </c>
      <c r="F14" s="6">
        <v>281.49489949999997</v>
      </c>
      <c r="G14" s="7">
        <v>3.0690549000000001E-2</v>
      </c>
      <c r="H14" s="49"/>
    </row>
    <row r="15" spans="1:15" ht="29.1" customHeight="1" x14ac:dyDescent="0.2">
      <c r="A15" s="3">
        <v>9</v>
      </c>
      <c r="B15" s="4" t="s">
        <v>189</v>
      </c>
      <c r="C15" s="4" t="s">
        <v>190</v>
      </c>
      <c r="D15" s="4" t="s">
        <v>108</v>
      </c>
      <c r="E15" s="5">
        <v>70938</v>
      </c>
      <c r="F15" s="6">
        <v>257.39853299999999</v>
      </c>
      <c r="G15" s="7">
        <v>2.8063393999999998E-2</v>
      </c>
      <c r="H15" s="49"/>
    </row>
    <row r="16" spans="1:15" ht="17.100000000000001" customHeight="1" x14ac:dyDescent="0.2">
      <c r="A16" s="3">
        <v>10</v>
      </c>
      <c r="B16" s="4" t="s">
        <v>17</v>
      </c>
      <c r="C16" s="4" t="s">
        <v>18</v>
      </c>
      <c r="D16" s="4" t="s">
        <v>19</v>
      </c>
      <c r="E16" s="5">
        <v>26720</v>
      </c>
      <c r="F16" s="6">
        <v>226.786</v>
      </c>
      <c r="G16" s="7">
        <v>2.4725800999999999E-2</v>
      </c>
      <c r="H16" s="49"/>
    </row>
    <row r="17" spans="1:8" ht="29.1" customHeight="1" x14ac:dyDescent="0.2">
      <c r="A17" s="3">
        <v>11</v>
      </c>
      <c r="B17" s="4" t="s">
        <v>197</v>
      </c>
      <c r="C17" s="4" t="s">
        <v>198</v>
      </c>
      <c r="D17" s="4" t="s">
        <v>193</v>
      </c>
      <c r="E17" s="5">
        <v>4933</v>
      </c>
      <c r="F17" s="6">
        <v>214.21305849999999</v>
      </c>
      <c r="G17" s="7">
        <v>2.3355010999999998E-2</v>
      </c>
      <c r="H17" s="49"/>
    </row>
    <row r="18" spans="1:8" ht="17.100000000000001" customHeight="1" x14ac:dyDescent="0.2">
      <c r="A18" s="3">
        <v>12</v>
      </c>
      <c r="B18" s="4" t="s">
        <v>298</v>
      </c>
      <c r="C18" s="4" t="s">
        <v>299</v>
      </c>
      <c r="D18" s="4" t="s">
        <v>238</v>
      </c>
      <c r="E18" s="5">
        <v>14560</v>
      </c>
      <c r="F18" s="6">
        <v>186.79024000000001</v>
      </c>
      <c r="G18" s="7">
        <v>2.0365182999999999E-2</v>
      </c>
      <c r="H18" s="49"/>
    </row>
    <row r="19" spans="1:8" ht="17.100000000000001" customHeight="1" x14ac:dyDescent="0.2">
      <c r="A19" s="3">
        <v>13</v>
      </c>
      <c r="B19" s="4" t="s">
        <v>300</v>
      </c>
      <c r="C19" s="4" t="s">
        <v>301</v>
      </c>
      <c r="D19" s="4" t="s">
        <v>230</v>
      </c>
      <c r="E19" s="5">
        <v>32901</v>
      </c>
      <c r="F19" s="6">
        <v>177.50089500000001</v>
      </c>
      <c r="G19" s="7">
        <v>1.9352392999999999E-2</v>
      </c>
      <c r="H19" s="49"/>
    </row>
    <row r="20" spans="1:8" ht="17.100000000000001" customHeight="1" x14ac:dyDescent="0.2">
      <c r="A20" s="3">
        <v>14</v>
      </c>
      <c r="B20" s="4" t="s">
        <v>302</v>
      </c>
      <c r="C20" s="4" t="s">
        <v>303</v>
      </c>
      <c r="D20" s="4" t="s">
        <v>974</v>
      </c>
      <c r="E20" s="5">
        <v>5191</v>
      </c>
      <c r="F20" s="6">
        <v>176.01642799999999</v>
      </c>
      <c r="G20" s="7">
        <v>1.9190545999999999E-2</v>
      </c>
      <c r="H20" s="49"/>
    </row>
    <row r="21" spans="1:8" ht="29.1" customHeight="1" x14ac:dyDescent="0.2">
      <c r="A21" s="3">
        <v>15</v>
      </c>
      <c r="B21" s="4" t="s">
        <v>304</v>
      </c>
      <c r="C21" s="4" t="s">
        <v>305</v>
      </c>
      <c r="D21" s="4" t="s">
        <v>215</v>
      </c>
      <c r="E21" s="5">
        <v>16801</v>
      </c>
      <c r="F21" s="6">
        <v>175.7468605</v>
      </c>
      <c r="G21" s="7">
        <v>1.9161155999999999E-2</v>
      </c>
      <c r="H21" s="49"/>
    </row>
    <row r="22" spans="1:8" ht="17.100000000000001" customHeight="1" x14ac:dyDescent="0.2">
      <c r="A22" s="3">
        <v>16</v>
      </c>
      <c r="B22" s="4" t="s">
        <v>34</v>
      </c>
      <c r="C22" s="4" t="s">
        <v>35</v>
      </c>
      <c r="D22" s="4" t="s">
        <v>31</v>
      </c>
      <c r="E22" s="5">
        <v>8928</v>
      </c>
      <c r="F22" s="6">
        <v>171.36403200000001</v>
      </c>
      <c r="G22" s="7">
        <v>1.8683308999999999E-2</v>
      </c>
      <c r="H22" s="49"/>
    </row>
    <row r="23" spans="1:8" ht="17.100000000000001" customHeight="1" x14ac:dyDescent="0.2">
      <c r="A23" s="3">
        <v>17</v>
      </c>
      <c r="B23" s="4" t="s">
        <v>182</v>
      </c>
      <c r="C23" s="4" t="s">
        <v>183</v>
      </c>
      <c r="D23" s="4" t="s">
        <v>16</v>
      </c>
      <c r="E23" s="5">
        <v>96000</v>
      </c>
      <c r="F23" s="6">
        <v>159.6</v>
      </c>
      <c r="G23" s="7">
        <v>1.7400711999999999E-2</v>
      </c>
      <c r="H23" s="49"/>
    </row>
    <row r="24" spans="1:8" ht="29.1" customHeight="1" x14ac:dyDescent="0.2">
      <c r="A24" s="3">
        <v>18</v>
      </c>
      <c r="B24" s="4" t="s">
        <v>23</v>
      </c>
      <c r="C24" s="4" t="s">
        <v>24</v>
      </c>
      <c r="D24" s="4" t="s">
        <v>25</v>
      </c>
      <c r="E24" s="5">
        <v>2097</v>
      </c>
      <c r="F24" s="6">
        <v>148.40468999999999</v>
      </c>
      <c r="G24" s="7">
        <v>1.6180120999999999E-2</v>
      </c>
      <c r="H24" s="49"/>
    </row>
    <row r="25" spans="1:8" ht="17.100000000000001" customHeight="1" x14ac:dyDescent="0.2">
      <c r="A25" s="3">
        <v>19</v>
      </c>
      <c r="B25" s="4" t="s">
        <v>306</v>
      </c>
      <c r="C25" s="4" t="s">
        <v>307</v>
      </c>
      <c r="D25" s="4" t="s">
        <v>308</v>
      </c>
      <c r="E25" s="5">
        <v>5513</v>
      </c>
      <c r="F25" s="6">
        <v>147.9882155</v>
      </c>
      <c r="G25" s="7">
        <v>1.6134714000000001E-2</v>
      </c>
      <c r="H25" s="49"/>
    </row>
    <row r="26" spans="1:8" ht="17.100000000000001" customHeight="1" x14ac:dyDescent="0.2">
      <c r="A26" s="3">
        <v>20</v>
      </c>
      <c r="B26" s="4" t="s">
        <v>309</v>
      </c>
      <c r="C26" s="4" t="s">
        <v>310</v>
      </c>
      <c r="D26" s="4" t="s">
        <v>72</v>
      </c>
      <c r="E26" s="5">
        <v>10176</v>
      </c>
      <c r="F26" s="6">
        <v>132.857856</v>
      </c>
      <c r="G26" s="7">
        <v>1.4485095999999999E-2</v>
      </c>
      <c r="H26" s="49"/>
    </row>
    <row r="27" spans="1:8" ht="17.100000000000001" customHeight="1" x14ac:dyDescent="0.2">
      <c r="A27" s="3">
        <v>21</v>
      </c>
      <c r="B27" s="4" t="s">
        <v>285</v>
      </c>
      <c r="C27" s="4" t="s">
        <v>286</v>
      </c>
      <c r="D27" s="4" t="s">
        <v>22</v>
      </c>
      <c r="E27" s="5">
        <v>54676</v>
      </c>
      <c r="F27" s="6">
        <v>130.73031599999999</v>
      </c>
      <c r="G27" s="7">
        <v>1.4253136E-2</v>
      </c>
      <c r="H27" s="49"/>
    </row>
    <row r="28" spans="1:8" ht="17.100000000000001" customHeight="1" x14ac:dyDescent="0.2">
      <c r="A28" s="3">
        <v>22</v>
      </c>
      <c r="B28" s="4" t="s">
        <v>87</v>
      </c>
      <c r="C28" s="4" t="s">
        <v>88</v>
      </c>
      <c r="D28" s="4" t="s">
        <v>89</v>
      </c>
      <c r="E28" s="5">
        <v>4780</v>
      </c>
      <c r="F28" s="6">
        <v>127.88173</v>
      </c>
      <c r="G28" s="7">
        <v>1.3942563999999999E-2</v>
      </c>
      <c r="H28" s="49"/>
    </row>
    <row r="29" spans="1:8" ht="17.100000000000001" customHeight="1" x14ac:dyDescent="0.2">
      <c r="A29" s="3">
        <v>23</v>
      </c>
      <c r="B29" s="4" t="s">
        <v>194</v>
      </c>
      <c r="C29" s="4" t="s">
        <v>195</v>
      </c>
      <c r="D29" s="4" t="s">
        <v>196</v>
      </c>
      <c r="E29" s="5">
        <v>260</v>
      </c>
      <c r="F29" s="6">
        <v>123.28328999999999</v>
      </c>
      <c r="G29" s="7">
        <v>1.3441209000000001E-2</v>
      </c>
      <c r="H29" s="49"/>
    </row>
    <row r="30" spans="1:8" ht="17.100000000000001" customHeight="1" x14ac:dyDescent="0.2">
      <c r="A30" s="3">
        <v>24</v>
      </c>
      <c r="B30" s="4" t="s">
        <v>311</v>
      </c>
      <c r="C30" s="4" t="s">
        <v>312</v>
      </c>
      <c r="D30" s="4" t="s">
        <v>974</v>
      </c>
      <c r="E30" s="5">
        <v>10771</v>
      </c>
      <c r="F30" s="6">
        <v>120.721368</v>
      </c>
      <c r="G30" s="7">
        <v>1.3161891E-2</v>
      </c>
      <c r="H30" s="49"/>
    </row>
    <row r="31" spans="1:8" ht="17.100000000000001" customHeight="1" x14ac:dyDescent="0.2">
      <c r="A31" s="3">
        <v>25</v>
      </c>
      <c r="B31" s="4" t="s">
        <v>186</v>
      </c>
      <c r="C31" s="4" t="s">
        <v>187</v>
      </c>
      <c r="D31" s="4" t="s">
        <v>188</v>
      </c>
      <c r="E31" s="5">
        <v>8029</v>
      </c>
      <c r="F31" s="6">
        <v>118.1587785</v>
      </c>
      <c r="G31" s="7">
        <v>1.2882499E-2</v>
      </c>
      <c r="H31" s="49"/>
    </row>
    <row r="32" spans="1:8" ht="17.100000000000001" customHeight="1" x14ac:dyDescent="0.2">
      <c r="A32" s="3">
        <v>26</v>
      </c>
      <c r="B32" s="4" t="s">
        <v>216</v>
      </c>
      <c r="C32" s="4" t="s">
        <v>217</v>
      </c>
      <c r="D32" s="4" t="s">
        <v>218</v>
      </c>
      <c r="E32" s="5">
        <v>20478</v>
      </c>
      <c r="F32" s="6">
        <v>109.710885</v>
      </c>
      <c r="G32" s="7">
        <v>1.1961451E-2</v>
      </c>
      <c r="H32" s="49"/>
    </row>
    <row r="33" spans="1:8" ht="17.100000000000001" customHeight="1" x14ac:dyDescent="0.2">
      <c r="A33" s="3">
        <v>27</v>
      </c>
      <c r="B33" s="4" t="s">
        <v>313</v>
      </c>
      <c r="C33" s="4" t="s">
        <v>314</v>
      </c>
      <c r="D33" s="4" t="s">
        <v>308</v>
      </c>
      <c r="E33" s="5">
        <v>31300</v>
      </c>
      <c r="F33" s="6">
        <v>106.42</v>
      </c>
      <c r="G33" s="7">
        <v>1.1602655E-2</v>
      </c>
      <c r="H33" s="49"/>
    </row>
    <row r="34" spans="1:8" ht="29.1" customHeight="1" x14ac:dyDescent="0.2">
      <c r="A34" s="3">
        <v>28</v>
      </c>
      <c r="B34" s="4" t="s">
        <v>213</v>
      </c>
      <c r="C34" s="4" t="s">
        <v>214</v>
      </c>
      <c r="D34" s="4" t="s">
        <v>215</v>
      </c>
      <c r="E34" s="5">
        <v>25434</v>
      </c>
      <c r="F34" s="6">
        <v>106.174233</v>
      </c>
      <c r="G34" s="7">
        <v>1.157586E-2</v>
      </c>
      <c r="H34" s="49"/>
    </row>
    <row r="35" spans="1:8" ht="17.100000000000001" customHeight="1" x14ac:dyDescent="0.2">
      <c r="A35" s="3">
        <v>29</v>
      </c>
      <c r="B35" s="4" t="s">
        <v>111</v>
      </c>
      <c r="C35" s="4" t="s">
        <v>112</v>
      </c>
      <c r="D35" s="4" t="s">
        <v>113</v>
      </c>
      <c r="E35" s="5">
        <v>22685</v>
      </c>
      <c r="F35" s="6">
        <v>102.24129499999999</v>
      </c>
      <c r="G35" s="7">
        <v>1.1147063E-2</v>
      </c>
      <c r="H35" s="49"/>
    </row>
    <row r="36" spans="1:8" ht="17.100000000000001" customHeight="1" x14ac:dyDescent="0.2">
      <c r="A36" s="3">
        <v>30</v>
      </c>
      <c r="B36" s="4" t="s">
        <v>106</v>
      </c>
      <c r="C36" s="4" t="s">
        <v>107</v>
      </c>
      <c r="D36" s="4" t="s">
        <v>108</v>
      </c>
      <c r="E36" s="5">
        <v>26229</v>
      </c>
      <c r="F36" s="6">
        <v>101.4144285</v>
      </c>
      <c r="G36" s="7">
        <v>1.1056913E-2</v>
      </c>
      <c r="H36" s="49"/>
    </row>
    <row r="37" spans="1:8" ht="17.100000000000001" customHeight="1" x14ac:dyDescent="0.2">
      <c r="A37" s="3">
        <v>31</v>
      </c>
      <c r="B37" s="4" t="s">
        <v>315</v>
      </c>
      <c r="C37" s="4" t="s">
        <v>316</v>
      </c>
      <c r="D37" s="4" t="s">
        <v>317</v>
      </c>
      <c r="E37" s="5">
        <v>6326</v>
      </c>
      <c r="F37" s="6">
        <v>101.035709</v>
      </c>
      <c r="G37" s="7">
        <v>1.1015621999999999E-2</v>
      </c>
      <c r="H37" s="49"/>
    </row>
    <row r="38" spans="1:8" ht="17.100000000000001" customHeight="1" x14ac:dyDescent="0.2">
      <c r="A38" s="3">
        <v>32</v>
      </c>
      <c r="B38" s="4" t="s">
        <v>318</v>
      </c>
      <c r="C38" s="4" t="s">
        <v>319</v>
      </c>
      <c r="D38" s="4" t="s">
        <v>233</v>
      </c>
      <c r="E38" s="5">
        <v>7066</v>
      </c>
      <c r="F38" s="6">
        <v>95.391000000000005</v>
      </c>
      <c r="G38" s="7">
        <v>1.0400196E-2</v>
      </c>
      <c r="H38" s="49"/>
    </row>
    <row r="39" spans="1:8" ht="17.100000000000001" customHeight="1" x14ac:dyDescent="0.2">
      <c r="A39" s="3">
        <v>33</v>
      </c>
      <c r="B39" s="4" t="s">
        <v>320</v>
      </c>
      <c r="C39" s="4" t="s">
        <v>321</v>
      </c>
      <c r="D39" s="4" t="s">
        <v>974</v>
      </c>
      <c r="E39" s="5">
        <v>23000</v>
      </c>
      <c r="F39" s="6">
        <v>93.587000000000003</v>
      </c>
      <c r="G39" s="7">
        <v>1.0203511E-2</v>
      </c>
      <c r="H39" s="49"/>
    </row>
    <row r="40" spans="1:8" ht="29.1" customHeight="1" x14ac:dyDescent="0.2">
      <c r="A40" s="3">
        <v>34</v>
      </c>
      <c r="B40" s="4" t="s">
        <v>205</v>
      </c>
      <c r="C40" s="4" t="s">
        <v>206</v>
      </c>
      <c r="D40" s="4" t="s">
        <v>207</v>
      </c>
      <c r="E40" s="5">
        <v>9400</v>
      </c>
      <c r="F40" s="6">
        <v>87.396500000000003</v>
      </c>
      <c r="G40" s="7">
        <v>9.52858E-3</v>
      </c>
      <c r="H40" s="49"/>
    </row>
    <row r="41" spans="1:8" ht="17.100000000000001" customHeight="1" x14ac:dyDescent="0.2">
      <c r="A41" s="3">
        <v>35</v>
      </c>
      <c r="B41" s="4" t="s">
        <v>184</v>
      </c>
      <c r="C41" s="4" t="s">
        <v>185</v>
      </c>
      <c r="D41" s="4" t="s">
        <v>103</v>
      </c>
      <c r="E41" s="5">
        <v>6241</v>
      </c>
      <c r="F41" s="6">
        <v>84.253500000000003</v>
      </c>
      <c r="G41" s="7">
        <v>9.1859079999999996E-3</v>
      </c>
      <c r="H41" s="49"/>
    </row>
    <row r="42" spans="1:8" ht="17.100000000000001" customHeight="1" x14ac:dyDescent="0.2">
      <c r="A42" s="3">
        <v>36</v>
      </c>
      <c r="B42" s="4" t="s">
        <v>41</v>
      </c>
      <c r="C42" s="4" t="s">
        <v>42</v>
      </c>
      <c r="D42" s="4" t="s">
        <v>43</v>
      </c>
      <c r="E42" s="5">
        <v>10722</v>
      </c>
      <c r="F42" s="6">
        <v>82.768478999999999</v>
      </c>
      <c r="G42" s="7">
        <v>9.0240000000000008E-3</v>
      </c>
      <c r="H42" s="49"/>
    </row>
    <row r="43" spans="1:8" ht="17.100000000000001" customHeight="1" x14ac:dyDescent="0.2">
      <c r="A43" s="3">
        <v>37</v>
      </c>
      <c r="B43" s="4" t="s">
        <v>324</v>
      </c>
      <c r="C43" s="4" t="s">
        <v>325</v>
      </c>
      <c r="D43" s="4" t="s">
        <v>317</v>
      </c>
      <c r="E43" s="5">
        <v>15345</v>
      </c>
      <c r="F43" s="6">
        <v>80.937202499999998</v>
      </c>
      <c r="G43" s="7">
        <v>8.8243420000000006E-3</v>
      </c>
      <c r="H43" s="49"/>
    </row>
    <row r="44" spans="1:8" ht="29.1" customHeight="1" x14ac:dyDescent="0.2">
      <c r="A44" s="3">
        <v>38</v>
      </c>
      <c r="B44" s="4" t="s">
        <v>322</v>
      </c>
      <c r="C44" s="4" t="s">
        <v>323</v>
      </c>
      <c r="D44" s="4" t="s">
        <v>193</v>
      </c>
      <c r="E44" s="5">
        <v>20479</v>
      </c>
      <c r="F44" s="6">
        <v>79.530196500000002</v>
      </c>
      <c r="G44" s="7">
        <v>8.6709400000000002E-3</v>
      </c>
      <c r="H44" s="49"/>
    </row>
    <row r="45" spans="1:8" ht="17.100000000000001" customHeight="1" x14ac:dyDescent="0.2">
      <c r="A45" s="3">
        <v>39</v>
      </c>
      <c r="B45" s="4" t="s">
        <v>92</v>
      </c>
      <c r="C45" s="4" t="s">
        <v>93</v>
      </c>
      <c r="D45" s="4" t="s">
        <v>22</v>
      </c>
      <c r="E45" s="5">
        <v>21882</v>
      </c>
      <c r="F45" s="6">
        <v>74.650442999999996</v>
      </c>
      <c r="G45" s="7">
        <v>8.138915E-3</v>
      </c>
      <c r="H45" s="49"/>
    </row>
    <row r="46" spans="1:8" ht="17.100000000000001" customHeight="1" x14ac:dyDescent="0.2">
      <c r="A46" s="3">
        <v>40</v>
      </c>
      <c r="B46" s="4" t="s">
        <v>326</v>
      </c>
      <c r="C46" s="4" t="s">
        <v>327</v>
      </c>
      <c r="D46" s="4" t="s">
        <v>974</v>
      </c>
      <c r="E46" s="5">
        <v>6698</v>
      </c>
      <c r="F46" s="6">
        <v>72.137460000000004</v>
      </c>
      <c r="G46" s="7">
        <v>7.8649319999999998E-3</v>
      </c>
      <c r="H46" s="49"/>
    </row>
    <row r="47" spans="1:8" ht="17.100000000000001" customHeight="1" x14ac:dyDescent="0.2">
      <c r="A47" s="3">
        <v>41</v>
      </c>
      <c r="B47" s="4" t="s">
        <v>231</v>
      </c>
      <c r="C47" s="4" t="s">
        <v>232</v>
      </c>
      <c r="D47" s="4" t="s">
        <v>233</v>
      </c>
      <c r="E47" s="5">
        <v>12280</v>
      </c>
      <c r="F47" s="6">
        <v>67.153180000000006</v>
      </c>
      <c r="G47" s="7">
        <v>7.3215110000000002E-3</v>
      </c>
      <c r="H47" s="49"/>
    </row>
    <row r="48" spans="1:8" ht="17.100000000000001" customHeight="1" x14ac:dyDescent="0.2">
      <c r="A48" s="3">
        <v>42</v>
      </c>
      <c r="B48" s="4" t="s">
        <v>328</v>
      </c>
      <c r="C48" s="4" t="s">
        <v>329</v>
      </c>
      <c r="D48" s="4" t="s">
        <v>16</v>
      </c>
      <c r="E48" s="5">
        <v>2804</v>
      </c>
      <c r="F48" s="6">
        <v>54.595281999999997</v>
      </c>
      <c r="G48" s="7">
        <v>5.9523609999999998E-3</v>
      </c>
      <c r="H48" s="49"/>
    </row>
    <row r="49" spans="1:8" ht="17.100000000000001" customHeight="1" x14ac:dyDescent="0.2">
      <c r="A49" s="3">
        <v>43</v>
      </c>
      <c r="B49" s="4" t="s">
        <v>332</v>
      </c>
      <c r="C49" s="4" t="s">
        <v>333</v>
      </c>
      <c r="D49" s="4" t="s">
        <v>218</v>
      </c>
      <c r="E49" s="5">
        <v>45750</v>
      </c>
      <c r="F49" s="6">
        <v>49.249875000000003</v>
      </c>
      <c r="G49" s="7">
        <v>5.3695669999999996E-3</v>
      </c>
      <c r="H49" s="49"/>
    </row>
    <row r="50" spans="1:8" ht="17.100000000000001" customHeight="1" x14ac:dyDescent="0.2">
      <c r="A50" s="3">
        <v>44</v>
      </c>
      <c r="B50" s="4" t="s">
        <v>334</v>
      </c>
      <c r="C50" s="4" t="s">
        <v>335</v>
      </c>
      <c r="D50" s="4" t="s">
        <v>16</v>
      </c>
      <c r="E50" s="5">
        <v>4209</v>
      </c>
      <c r="F50" s="6">
        <v>49.152701999999998</v>
      </c>
      <c r="G50" s="7">
        <v>5.358972E-3</v>
      </c>
      <c r="H50" s="49"/>
    </row>
    <row r="51" spans="1:8" ht="17.100000000000001" customHeight="1" x14ac:dyDescent="0.2">
      <c r="A51" s="3">
        <v>45</v>
      </c>
      <c r="B51" s="4" t="s">
        <v>330</v>
      </c>
      <c r="C51" s="4" t="s">
        <v>331</v>
      </c>
      <c r="D51" s="4" t="s">
        <v>100</v>
      </c>
      <c r="E51" s="5">
        <v>55523</v>
      </c>
      <c r="F51" s="6">
        <v>43.724362499999998</v>
      </c>
      <c r="G51" s="7">
        <v>4.7671370000000003E-3</v>
      </c>
      <c r="H51" s="49"/>
    </row>
    <row r="52" spans="1:8" ht="29.1" customHeight="1" x14ac:dyDescent="0.2">
      <c r="A52" s="3">
        <v>46</v>
      </c>
      <c r="B52" s="4" t="s">
        <v>251</v>
      </c>
      <c r="C52" s="4" t="s">
        <v>252</v>
      </c>
      <c r="D52" s="4" t="s">
        <v>215</v>
      </c>
      <c r="E52" s="5">
        <v>2422</v>
      </c>
      <c r="F52" s="6">
        <v>43.103122999999997</v>
      </c>
      <c r="G52" s="7">
        <v>4.6994050000000002E-3</v>
      </c>
      <c r="H52" s="49"/>
    </row>
    <row r="53" spans="1:8" ht="17.100000000000001" customHeight="1" x14ac:dyDescent="0.2">
      <c r="A53" s="3">
        <v>47</v>
      </c>
      <c r="B53" s="4" t="s">
        <v>236</v>
      </c>
      <c r="C53" s="4" t="s">
        <v>237</v>
      </c>
      <c r="D53" s="4" t="s">
        <v>238</v>
      </c>
      <c r="E53" s="5">
        <v>5927</v>
      </c>
      <c r="F53" s="6">
        <v>41.820912</v>
      </c>
      <c r="G53" s="7">
        <v>4.5596090000000001E-3</v>
      </c>
      <c r="H53" s="49"/>
    </row>
    <row r="54" spans="1:8" ht="53.1" customHeight="1" x14ac:dyDescent="0.2">
      <c r="A54" s="3">
        <v>48</v>
      </c>
      <c r="B54" s="4" t="s">
        <v>336</v>
      </c>
      <c r="C54" s="4" t="s">
        <v>1043</v>
      </c>
      <c r="D54" s="4" t="s">
        <v>51</v>
      </c>
      <c r="E54" s="5">
        <v>9596</v>
      </c>
      <c r="F54" s="6">
        <v>32.549632000000003</v>
      </c>
      <c r="G54" s="7">
        <v>3.5487890000000001E-3</v>
      </c>
      <c r="H54" s="49"/>
    </row>
    <row r="55" spans="1:8" ht="17.100000000000001" customHeight="1" x14ac:dyDescent="0.2">
      <c r="A55" s="3">
        <v>49</v>
      </c>
      <c r="B55" s="4" t="s">
        <v>337</v>
      </c>
      <c r="C55" s="4" t="s">
        <v>1204</v>
      </c>
      <c r="D55" s="4" t="s">
        <v>19</v>
      </c>
      <c r="E55" s="5">
        <v>1908</v>
      </c>
      <c r="F55" s="6">
        <v>8.8655220000000003</v>
      </c>
      <c r="G55" s="7">
        <v>9.6658099999999999E-4</v>
      </c>
      <c r="H55" s="49"/>
    </row>
    <row r="56" spans="1:8" ht="14.1" customHeight="1" x14ac:dyDescent="0.2">
      <c r="A56" s="1"/>
      <c r="B56" s="1"/>
      <c r="C56" s="2" t="s">
        <v>130</v>
      </c>
      <c r="D56" s="1"/>
      <c r="E56" s="1" t="s">
        <v>131</v>
      </c>
      <c r="F56" s="96">
        <v>8493.1835714999997</v>
      </c>
      <c r="G56" s="10">
        <v>0.92598646900000003</v>
      </c>
      <c r="H56" s="49"/>
    </row>
    <row r="57" spans="1:8" ht="14.1" customHeight="1" x14ac:dyDescent="0.2">
      <c r="A57" s="1"/>
      <c r="B57" s="1"/>
      <c r="C57" s="11"/>
      <c r="D57" s="1"/>
      <c r="E57" s="1"/>
      <c r="F57" s="12"/>
      <c r="G57" s="12"/>
      <c r="H57" s="49"/>
    </row>
    <row r="58" spans="1:8" ht="14.1" customHeight="1" x14ac:dyDescent="0.2">
      <c r="A58" s="1"/>
      <c r="B58" s="1"/>
      <c r="C58" s="2" t="s">
        <v>132</v>
      </c>
      <c r="D58" s="1"/>
      <c r="E58" s="1"/>
      <c r="F58" s="1"/>
      <c r="G58" s="1"/>
      <c r="H58" s="49"/>
    </row>
    <row r="59" spans="1:8" ht="14.1" customHeight="1" x14ac:dyDescent="0.2">
      <c r="A59" s="1"/>
      <c r="B59" s="1"/>
      <c r="C59" s="2" t="s">
        <v>130</v>
      </c>
      <c r="D59" s="1"/>
      <c r="E59" s="1" t="s">
        <v>131</v>
      </c>
      <c r="F59" s="13">
        <v>0</v>
      </c>
      <c r="G59" s="14">
        <v>0</v>
      </c>
      <c r="H59" s="49"/>
    </row>
    <row r="60" spans="1:8" ht="14.1" customHeight="1" x14ac:dyDescent="0.2">
      <c r="A60" s="1"/>
      <c r="B60" s="1"/>
      <c r="C60" s="11"/>
      <c r="D60" s="1"/>
      <c r="E60" s="1"/>
      <c r="F60" s="12"/>
      <c r="G60" s="12"/>
      <c r="H60" s="49"/>
    </row>
    <row r="61" spans="1:8" ht="14.1" customHeight="1" x14ac:dyDescent="0.2">
      <c r="A61" s="1"/>
      <c r="B61" s="1"/>
      <c r="C61" s="2" t="s">
        <v>133</v>
      </c>
      <c r="D61" s="1"/>
      <c r="E61" s="1"/>
      <c r="F61" s="1"/>
      <c r="G61" s="1"/>
      <c r="H61" s="49"/>
    </row>
    <row r="62" spans="1:8" ht="14.1" customHeight="1" x14ac:dyDescent="0.2">
      <c r="A62" s="1"/>
      <c r="B62" s="1"/>
      <c r="C62" s="2" t="s">
        <v>130</v>
      </c>
      <c r="D62" s="1"/>
      <c r="E62" s="1" t="s">
        <v>131</v>
      </c>
      <c r="F62" s="13">
        <v>0</v>
      </c>
      <c r="G62" s="14">
        <v>0</v>
      </c>
      <c r="H62" s="49"/>
    </row>
    <row r="63" spans="1:8" ht="14.1" customHeight="1" x14ac:dyDescent="0.2">
      <c r="A63" s="1"/>
      <c r="B63" s="1"/>
      <c r="C63" s="11"/>
      <c r="D63" s="1"/>
      <c r="E63" s="1"/>
      <c r="F63" s="12"/>
      <c r="G63" s="12"/>
      <c r="H63" s="49"/>
    </row>
    <row r="64" spans="1:8" ht="14.1" customHeight="1" x14ac:dyDescent="0.2">
      <c r="A64" s="1"/>
      <c r="B64" s="1"/>
      <c r="C64" s="2" t="s">
        <v>134</v>
      </c>
      <c r="D64" s="1"/>
      <c r="E64" s="1"/>
      <c r="F64" s="1"/>
      <c r="G64" s="1"/>
      <c r="H64" s="49"/>
    </row>
    <row r="65" spans="1:8" ht="14.1" customHeight="1" x14ac:dyDescent="0.2">
      <c r="A65" s="1"/>
      <c r="B65" s="1"/>
      <c r="C65" s="2" t="s">
        <v>130</v>
      </c>
      <c r="D65" s="1"/>
      <c r="E65" s="1" t="s">
        <v>131</v>
      </c>
      <c r="F65" s="9">
        <v>0</v>
      </c>
      <c r="G65" s="10">
        <v>0</v>
      </c>
      <c r="H65" s="49"/>
    </row>
    <row r="66" spans="1:8" ht="14.1" customHeight="1" x14ac:dyDescent="0.2">
      <c r="A66" s="1"/>
      <c r="B66" s="1"/>
      <c r="C66" s="11"/>
      <c r="D66" s="1"/>
      <c r="E66" s="1"/>
      <c r="F66" s="12"/>
      <c r="G66" s="12"/>
      <c r="H66" s="49"/>
    </row>
    <row r="67" spans="1:8" ht="14.1" customHeight="1" x14ac:dyDescent="0.2">
      <c r="A67" s="1"/>
      <c r="B67" s="1"/>
      <c r="C67" s="2" t="s">
        <v>135</v>
      </c>
      <c r="D67" s="1"/>
      <c r="E67" s="1"/>
      <c r="F67" s="12"/>
      <c r="G67" s="12"/>
      <c r="H67" s="49"/>
    </row>
    <row r="68" spans="1:8" ht="14.1" customHeight="1" x14ac:dyDescent="0.2">
      <c r="A68" s="1"/>
      <c r="B68" s="1"/>
      <c r="C68" s="2" t="s">
        <v>130</v>
      </c>
      <c r="D68" s="1"/>
      <c r="E68" s="1" t="s">
        <v>131</v>
      </c>
      <c r="F68" s="13">
        <v>0</v>
      </c>
      <c r="G68" s="14">
        <v>0</v>
      </c>
      <c r="H68" s="49"/>
    </row>
    <row r="69" spans="1:8" ht="14.1" customHeight="1" x14ac:dyDescent="0.2">
      <c r="A69" s="1"/>
      <c r="B69" s="1"/>
      <c r="C69" s="11"/>
      <c r="D69" s="1"/>
      <c r="E69" s="1"/>
      <c r="F69" s="12"/>
      <c r="G69" s="12"/>
      <c r="H69" s="49"/>
    </row>
    <row r="70" spans="1:8" ht="14.1" customHeight="1" x14ac:dyDescent="0.2">
      <c r="A70" s="1"/>
      <c r="B70" s="1"/>
      <c r="C70" s="2" t="s">
        <v>136</v>
      </c>
      <c r="D70" s="1"/>
      <c r="E70" s="1"/>
      <c r="F70" s="12"/>
      <c r="G70" s="12"/>
      <c r="H70" s="49"/>
    </row>
    <row r="71" spans="1:8" ht="14.1" customHeight="1" x14ac:dyDescent="0.2">
      <c r="A71" s="1"/>
      <c r="B71" s="1"/>
      <c r="C71" s="2" t="s">
        <v>130</v>
      </c>
      <c r="D71" s="1"/>
      <c r="E71" s="1" t="s">
        <v>131</v>
      </c>
      <c r="F71" s="13">
        <v>0</v>
      </c>
      <c r="G71" s="14">
        <v>0</v>
      </c>
      <c r="H71" s="49"/>
    </row>
    <row r="72" spans="1:8" ht="14.1" customHeight="1" x14ac:dyDescent="0.2">
      <c r="A72" s="1"/>
      <c r="B72" s="1"/>
      <c r="C72" s="11"/>
      <c r="D72" s="1"/>
      <c r="E72" s="1"/>
      <c r="F72" s="12"/>
      <c r="G72" s="12"/>
      <c r="H72" s="49"/>
    </row>
    <row r="73" spans="1:8" ht="18" customHeight="1" x14ac:dyDescent="0.2">
      <c r="A73" s="1"/>
      <c r="B73" s="1"/>
      <c r="C73" s="2" t="s">
        <v>137</v>
      </c>
      <c r="D73" s="1"/>
      <c r="E73" s="1"/>
      <c r="F73" s="9">
        <v>8493.1835714999997</v>
      </c>
      <c r="G73" s="10">
        <v>0.92598646900000003</v>
      </c>
      <c r="H73" s="49"/>
    </row>
    <row r="74" spans="1:8" ht="14.1" customHeight="1" x14ac:dyDescent="0.2">
      <c r="A74" s="1"/>
      <c r="B74" s="1"/>
      <c r="C74" s="11"/>
      <c r="D74" s="1"/>
      <c r="E74" s="1"/>
      <c r="F74" s="12"/>
      <c r="G74" s="12"/>
      <c r="H74" s="49"/>
    </row>
    <row r="75" spans="1:8" ht="14.1" customHeight="1" x14ac:dyDescent="0.2">
      <c r="A75" s="1"/>
      <c r="B75" s="1"/>
      <c r="C75" s="2" t="s">
        <v>138</v>
      </c>
      <c r="D75" s="1"/>
      <c r="E75" s="1"/>
      <c r="F75" s="12"/>
      <c r="G75" s="12"/>
      <c r="H75" s="49"/>
    </row>
    <row r="76" spans="1:8" ht="24" customHeight="1" x14ac:dyDescent="0.2">
      <c r="A76" s="1"/>
      <c r="B76" s="1"/>
      <c r="C76" s="2" t="s">
        <v>10</v>
      </c>
      <c r="D76" s="1"/>
      <c r="E76" s="1"/>
      <c r="F76" s="12"/>
      <c r="G76" s="12"/>
      <c r="H76" s="49"/>
    </row>
    <row r="77" spans="1:8" ht="14.1" customHeight="1" x14ac:dyDescent="0.2">
      <c r="A77" s="1"/>
      <c r="B77" s="1"/>
      <c r="C77" s="2" t="s">
        <v>130</v>
      </c>
      <c r="D77" s="1"/>
      <c r="E77" s="1" t="s">
        <v>131</v>
      </c>
      <c r="F77" s="13">
        <v>0</v>
      </c>
      <c r="G77" s="14">
        <v>0</v>
      </c>
      <c r="H77" s="49"/>
    </row>
    <row r="78" spans="1:8" ht="14.1" customHeight="1" x14ac:dyDescent="0.2">
      <c r="A78" s="1"/>
      <c r="B78" s="1"/>
      <c r="C78" s="11"/>
      <c r="D78" s="1"/>
      <c r="E78" s="1"/>
      <c r="F78" s="12"/>
      <c r="G78" s="12"/>
      <c r="H78" s="49"/>
    </row>
    <row r="79" spans="1:8" ht="14.1" customHeight="1" x14ac:dyDescent="0.2">
      <c r="A79" s="1"/>
      <c r="B79" s="1"/>
      <c r="C79" s="2" t="s">
        <v>139</v>
      </c>
      <c r="D79" s="1"/>
      <c r="E79" s="1"/>
      <c r="F79" s="1"/>
      <c r="G79" s="1"/>
      <c r="H79" s="49"/>
    </row>
    <row r="80" spans="1:8" ht="14.1" customHeight="1" x14ac:dyDescent="0.2">
      <c r="A80" s="1"/>
      <c r="B80" s="1"/>
      <c r="C80" s="2" t="s">
        <v>130</v>
      </c>
      <c r="D80" s="1"/>
      <c r="E80" s="1" t="s">
        <v>131</v>
      </c>
      <c r="F80" s="13">
        <v>0</v>
      </c>
      <c r="G80" s="14">
        <v>0</v>
      </c>
      <c r="H80" s="49"/>
    </row>
    <row r="81" spans="1:8" ht="14.1" customHeight="1" x14ac:dyDescent="0.2">
      <c r="A81" s="1"/>
      <c r="B81" s="1"/>
      <c r="C81" s="11"/>
      <c r="D81" s="1"/>
      <c r="E81" s="1"/>
      <c r="F81" s="12"/>
      <c r="G81" s="12"/>
      <c r="H81" s="49"/>
    </row>
    <row r="82" spans="1:8" ht="14.1" customHeight="1" x14ac:dyDescent="0.2">
      <c r="A82" s="1"/>
      <c r="B82" s="1"/>
      <c r="C82" s="2" t="s">
        <v>140</v>
      </c>
      <c r="D82" s="1"/>
      <c r="E82" s="1"/>
      <c r="F82" s="1"/>
      <c r="G82" s="1"/>
      <c r="H82" s="49"/>
    </row>
    <row r="83" spans="1:8" ht="14.1" customHeight="1" x14ac:dyDescent="0.2">
      <c r="A83" s="1"/>
      <c r="B83" s="1"/>
      <c r="C83" s="2" t="s">
        <v>130</v>
      </c>
      <c r="D83" s="1"/>
      <c r="E83" s="1" t="s">
        <v>131</v>
      </c>
      <c r="F83" s="13">
        <v>0</v>
      </c>
      <c r="G83" s="14">
        <v>0</v>
      </c>
      <c r="H83" s="49"/>
    </row>
    <row r="84" spans="1:8" ht="14.1" customHeight="1" x14ac:dyDescent="0.2">
      <c r="A84" s="1"/>
      <c r="B84" s="1"/>
      <c r="C84" s="11"/>
      <c r="D84" s="1"/>
      <c r="E84" s="1"/>
      <c r="F84" s="12"/>
      <c r="G84" s="12"/>
      <c r="H84" s="49"/>
    </row>
    <row r="85" spans="1:8" ht="14.1" customHeight="1" x14ac:dyDescent="0.2">
      <c r="A85" s="1"/>
      <c r="B85" s="1"/>
      <c r="C85" s="2" t="s">
        <v>141</v>
      </c>
      <c r="D85" s="1"/>
      <c r="E85" s="1"/>
      <c r="F85" s="12"/>
      <c r="G85" s="12"/>
      <c r="H85" s="49"/>
    </row>
    <row r="86" spans="1:8" ht="14.1" customHeight="1" x14ac:dyDescent="0.2">
      <c r="A86" s="1"/>
      <c r="B86" s="1"/>
      <c r="C86" s="2" t="s">
        <v>130</v>
      </c>
      <c r="D86" s="1"/>
      <c r="E86" s="1" t="s">
        <v>131</v>
      </c>
      <c r="F86" s="13">
        <v>0</v>
      </c>
      <c r="G86" s="14">
        <v>0</v>
      </c>
      <c r="H86" s="49"/>
    </row>
    <row r="87" spans="1:8" ht="14.1" customHeight="1" x14ac:dyDescent="0.2">
      <c r="A87" s="1"/>
      <c r="B87" s="1"/>
      <c r="C87" s="11"/>
      <c r="D87" s="1"/>
      <c r="E87" s="1"/>
      <c r="F87" s="12"/>
      <c r="G87" s="12"/>
      <c r="H87" s="49"/>
    </row>
    <row r="88" spans="1:8" ht="14.1" customHeight="1" x14ac:dyDescent="0.2">
      <c r="A88" s="1"/>
      <c r="B88" s="1"/>
      <c r="C88" s="2" t="s">
        <v>142</v>
      </c>
      <c r="D88" s="1"/>
      <c r="E88" s="1"/>
      <c r="F88" s="9">
        <v>0</v>
      </c>
      <c r="G88" s="10">
        <v>0</v>
      </c>
      <c r="H88" s="49"/>
    </row>
    <row r="89" spans="1:8" ht="14.1" customHeight="1" x14ac:dyDescent="0.2">
      <c r="A89" s="1"/>
      <c r="B89" s="1"/>
      <c r="C89" s="11"/>
      <c r="D89" s="1"/>
      <c r="E89" s="1"/>
      <c r="F89" s="12"/>
      <c r="G89" s="12"/>
      <c r="H89" s="49"/>
    </row>
    <row r="90" spans="1:8" ht="14.1" customHeight="1" x14ac:dyDescent="0.2">
      <c r="A90" s="1"/>
      <c r="B90" s="1"/>
      <c r="C90" s="2" t="s">
        <v>143</v>
      </c>
      <c r="D90" s="1"/>
      <c r="E90" s="1"/>
      <c r="F90" s="12"/>
      <c r="G90" s="12"/>
      <c r="H90" s="49"/>
    </row>
    <row r="91" spans="1:8" ht="14.1" customHeight="1" x14ac:dyDescent="0.2">
      <c r="A91" s="1"/>
      <c r="B91" s="1"/>
      <c r="C91" s="2" t="s">
        <v>144</v>
      </c>
      <c r="D91" s="1"/>
      <c r="E91" s="1"/>
      <c r="F91" s="12"/>
      <c r="G91" s="12"/>
      <c r="H91" s="49"/>
    </row>
    <row r="92" spans="1:8" ht="14.1" customHeight="1" x14ac:dyDescent="0.2">
      <c r="A92" s="1"/>
      <c r="B92" s="1"/>
      <c r="C92" s="2" t="s">
        <v>130</v>
      </c>
      <c r="D92" s="1"/>
      <c r="E92" s="1" t="s">
        <v>131</v>
      </c>
      <c r="F92" s="13">
        <v>0</v>
      </c>
      <c r="G92" s="14">
        <v>0</v>
      </c>
      <c r="H92" s="49"/>
    </row>
    <row r="93" spans="1:8" ht="14.1" customHeight="1" x14ac:dyDescent="0.2">
      <c r="A93" s="1"/>
      <c r="B93" s="1"/>
      <c r="C93" s="11"/>
      <c r="D93" s="1"/>
      <c r="E93" s="1"/>
      <c r="F93" s="12"/>
      <c r="G93" s="12"/>
      <c r="H93" s="49"/>
    </row>
    <row r="94" spans="1:8" ht="14.1" customHeight="1" x14ac:dyDescent="0.2">
      <c r="A94" s="1"/>
      <c r="B94" s="1"/>
      <c r="C94" s="2" t="s">
        <v>145</v>
      </c>
      <c r="D94" s="1"/>
      <c r="E94" s="1"/>
      <c r="F94" s="12"/>
      <c r="G94" s="12"/>
      <c r="H94" s="49"/>
    </row>
    <row r="95" spans="1:8" ht="14.1" customHeight="1" x14ac:dyDescent="0.2">
      <c r="A95" s="1"/>
      <c r="B95" s="1"/>
      <c r="C95" s="2" t="s">
        <v>130</v>
      </c>
      <c r="D95" s="1"/>
      <c r="E95" s="1" t="s">
        <v>131</v>
      </c>
      <c r="F95" s="13">
        <v>0</v>
      </c>
      <c r="G95" s="14">
        <v>0</v>
      </c>
      <c r="H95" s="49"/>
    </row>
    <row r="96" spans="1:8" ht="14.1" customHeight="1" x14ac:dyDescent="0.2">
      <c r="A96" s="1"/>
      <c r="B96" s="1"/>
      <c r="C96" s="11"/>
      <c r="D96" s="1"/>
      <c r="E96" s="1"/>
      <c r="F96" s="12"/>
      <c r="G96" s="12"/>
      <c r="H96" s="49"/>
    </row>
    <row r="97" spans="1:8" ht="14.1" customHeight="1" x14ac:dyDescent="0.2">
      <c r="A97" s="1"/>
      <c r="B97" s="1"/>
      <c r="C97" s="2" t="s">
        <v>146</v>
      </c>
      <c r="D97" s="1"/>
      <c r="E97" s="1"/>
      <c r="F97" s="12"/>
      <c r="G97" s="12"/>
      <c r="H97" s="49"/>
    </row>
    <row r="98" spans="1:8" ht="14.1" customHeight="1" x14ac:dyDescent="0.2">
      <c r="A98" s="1"/>
      <c r="B98" s="1"/>
      <c r="C98" s="2" t="s">
        <v>130</v>
      </c>
      <c r="D98" s="1"/>
      <c r="E98" s="1" t="s">
        <v>131</v>
      </c>
      <c r="F98" s="13">
        <v>0</v>
      </c>
      <c r="G98" s="14">
        <v>0</v>
      </c>
      <c r="H98" s="49"/>
    </row>
    <row r="99" spans="1:8" ht="14.1" customHeight="1" x14ac:dyDescent="0.2">
      <c r="A99" s="1"/>
      <c r="B99" s="1"/>
      <c r="C99" s="11"/>
      <c r="D99" s="1"/>
      <c r="E99" s="1"/>
      <c r="F99" s="12"/>
      <c r="G99" s="12"/>
      <c r="H99" s="49"/>
    </row>
    <row r="100" spans="1:8" ht="14.1" customHeight="1" x14ac:dyDescent="0.2">
      <c r="A100" s="1"/>
      <c r="B100" s="1"/>
      <c r="C100" s="2" t="s">
        <v>147</v>
      </c>
      <c r="D100" s="1"/>
      <c r="E100" s="1"/>
      <c r="F100" s="12"/>
      <c r="G100" s="12"/>
      <c r="H100" s="49"/>
    </row>
    <row r="101" spans="1:8" ht="17.100000000000001" customHeight="1" x14ac:dyDescent="0.2">
      <c r="A101" s="3">
        <v>1</v>
      </c>
      <c r="B101" s="4"/>
      <c r="C101" s="4" t="s">
        <v>148</v>
      </c>
      <c r="D101" s="4"/>
      <c r="E101" s="8"/>
      <c r="F101" s="6">
        <v>558.5123347</v>
      </c>
      <c r="G101" s="7">
        <v>6.0892934000000003E-2</v>
      </c>
      <c r="H101" s="49">
        <v>5.6572293145372496</v>
      </c>
    </row>
    <row r="102" spans="1:8" ht="14.1" customHeight="1" x14ac:dyDescent="0.2">
      <c r="A102" s="1"/>
      <c r="B102" s="1"/>
      <c r="C102" s="2" t="s">
        <v>130</v>
      </c>
      <c r="D102" s="1"/>
      <c r="E102" s="1" t="s">
        <v>131</v>
      </c>
      <c r="F102" s="9">
        <v>558.5123347</v>
      </c>
      <c r="G102" s="10">
        <v>6.0892934000000003E-2</v>
      </c>
      <c r="H102" s="49"/>
    </row>
    <row r="103" spans="1:8" ht="14.1" customHeight="1" x14ac:dyDescent="0.2">
      <c r="A103" s="1"/>
      <c r="B103" s="1"/>
      <c r="C103" s="11"/>
      <c r="D103" s="1"/>
      <c r="E103" s="1"/>
      <c r="F103" s="12"/>
      <c r="G103" s="12"/>
      <c r="H103" s="49"/>
    </row>
    <row r="104" spans="1:8" ht="14.1" customHeight="1" x14ac:dyDescent="0.2">
      <c r="A104" s="1"/>
      <c r="B104" s="1"/>
      <c r="C104" s="2" t="s">
        <v>149</v>
      </c>
      <c r="D104" s="1"/>
      <c r="E104" s="1"/>
      <c r="F104" s="9">
        <v>558.5123347</v>
      </c>
      <c r="G104" s="10">
        <v>6.0892934000000003E-2</v>
      </c>
      <c r="H104" s="49"/>
    </row>
    <row r="105" spans="1:8" ht="14.1" customHeight="1" x14ac:dyDescent="0.2">
      <c r="A105" s="1"/>
      <c r="B105" s="1"/>
      <c r="C105" s="12"/>
      <c r="D105" s="1"/>
      <c r="E105" s="1"/>
      <c r="F105" s="1"/>
      <c r="G105" s="1"/>
      <c r="H105" s="49"/>
    </row>
    <row r="106" spans="1:8" ht="14.1" customHeight="1" x14ac:dyDescent="0.2">
      <c r="A106" s="1"/>
      <c r="B106" s="1"/>
      <c r="C106" s="2" t="s">
        <v>150</v>
      </c>
      <c r="D106" s="1"/>
      <c r="E106" s="1"/>
      <c r="F106" s="1"/>
      <c r="G106" s="1"/>
      <c r="H106" s="49"/>
    </row>
    <row r="107" spans="1:8" ht="14.1" customHeight="1" x14ac:dyDescent="0.2">
      <c r="A107" s="1"/>
      <c r="B107" s="1"/>
      <c r="C107" s="2" t="s">
        <v>151</v>
      </c>
      <c r="D107" s="1"/>
      <c r="E107" s="1"/>
      <c r="F107" s="1"/>
      <c r="G107" s="1"/>
      <c r="H107" s="49"/>
    </row>
    <row r="108" spans="1:8" ht="14.1" customHeight="1" x14ac:dyDescent="0.2">
      <c r="A108" s="1"/>
      <c r="B108" s="1"/>
      <c r="C108" s="2" t="s">
        <v>130</v>
      </c>
      <c r="D108" s="1"/>
      <c r="E108" s="1" t="s">
        <v>131</v>
      </c>
      <c r="F108" s="13">
        <v>0</v>
      </c>
      <c r="G108" s="14">
        <v>0</v>
      </c>
      <c r="H108" s="49"/>
    </row>
    <row r="109" spans="1:8" ht="14.1" customHeight="1" x14ac:dyDescent="0.2">
      <c r="A109" s="1"/>
      <c r="B109" s="1"/>
      <c r="C109" s="11"/>
      <c r="D109" s="1"/>
      <c r="E109" s="1"/>
      <c r="F109" s="12"/>
      <c r="G109" s="12"/>
      <c r="H109" s="49"/>
    </row>
    <row r="110" spans="1:8" ht="14.1" customHeight="1" x14ac:dyDescent="0.2">
      <c r="A110" s="1"/>
      <c r="B110" s="1"/>
      <c r="C110" s="2" t="s">
        <v>152</v>
      </c>
      <c r="D110" s="1"/>
      <c r="E110" s="1"/>
      <c r="F110" s="1"/>
      <c r="G110" s="1"/>
      <c r="H110" s="49"/>
    </row>
    <row r="111" spans="1:8" ht="14.1" customHeight="1" x14ac:dyDescent="0.2">
      <c r="A111" s="1"/>
      <c r="B111" s="1"/>
      <c r="C111" s="2" t="s">
        <v>153</v>
      </c>
      <c r="D111" s="1"/>
      <c r="E111" s="1"/>
      <c r="F111" s="1"/>
      <c r="G111" s="1"/>
      <c r="H111" s="49"/>
    </row>
    <row r="112" spans="1:8" ht="14.1" customHeight="1" x14ac:dyDescent="0.2">
      <c r="A112" s="1"/>
      <c r="B112" s="1"/>
      <c r="C112" s="2" t="s">
        <v>130</v>
      </c>
      <c r="D112" s="1"/>
      <c r="E112" s="1" t="s">
        <v>131</v>
      </c>
      <c r="F112" s="13">
        <v>0</v>
      </c>
      <c r="G112" s="14">
        <v>0</v>
      </c>
      <c r="H112" s="49"/>
    </row>
    <row r="113" spans="1:8" ht="14.1" customHeight="1" x14ac:dyDescent="0.2">
      <c r="A113" s="1"/>
      <c r="B113" s="1"/>
      <c r="C113" s="11"/>
      <c r="D113" s="1"/>
      <c r="E113" s="1"/>
      <c r="F113" s="12"/>
      <c r="G113" s="12"/>
      <c r="H113" s="49"/>
    </row>
    <row r="114" spans="1:8" ht="14.1" customHeight="1" x14ac:dyDescent="0.2">
      <c r="A114" s="1"/>
      <c r="B114" s="1"/>
      <c r="C114" s="11"/>
      <c r="D114" s="1"/>
      <c r="E114" s="1"/>
      <c r="F114" s="12"/>
      <c r="G114" s="12"/>
      <c r="H114" s="49"/>
    </row>
    <row r="115" spans="1:8" ht="24" customHeight="1" x14ac:dyDescent="0.2">
      <c r="A115" s="1"/>
      <c r="B115" s="1"/>
      <c r="C115" s="2" t="s">
        <v>154</v>
      </c>
      <c r="D115" s="1"/>
      <c r="E115" s="1"/>
      <c r="F115" s="12"/>
      <c r="G115" s="12"/>
      <c r="H115" s="49"/>
    </row>
    <row r="116" spans="1:8" ht="14.1" customHeight="1" x14ac:dyDescent="0.2">
      <c r="A116" s="1"/>
      <c r="B116" s="1"/>
      <c r="C116" s="2" t="s">
        <v>130</v>
      </c>
      <c r="D116" s="1"/>
      <c r="E116" s="1" t="s">
        <v>131</v>
      </c>
      <c r="F116" s="13">
        <v>0</v>
      </c>
      <c r="G116" s="14">
        <v>0</v>
      </c>
      <c r="H116" s="49"/>
    </row>
    <row r="117" spans="1:8" ht="14.1" customHeight="1" x14ac:dyDescent="0.2">
      <c r="A117" s="1"/>
      <c r="B117" s="1"/>
      <c r="C117" s="11"/>
      <c r="D117" s="1"/>
      <c r="E117" s="1"/>
      <c r="F117" s="12"/>
      <c r="G117" s="12"/>
      <c r="H117" s="49"/>
    </row>
    <row r="118" spans="1:8" ht="14.1" customHeight="1" x14ac:dyDescent="0.2">
      <c r="A118" s="1"/>
      <c r="B118" s="4"/>
      <c r="C118" s="4"/>
      <c r="D118" s="2"/>
      <c r="E118" s="1"/>
      <c r="F118" s="4"/>
      <c r="G118" s="8"/>
      <c r="H118" s="49"/>
    </row>
    <row r="119" spans="1:8" ht="18" customHeight="1" x14ac:dyDescent="0.2">
      <c r="A119" s="8"/>
      <c r="B119" s="4"/>
      <c r="C119" s="4" t="s">
        <v>155</v>
      </c>
      <c r="D119" s="4"/>
      <c r="E119" s="8"/>
      <c r="F119" s="6">
        <v>120.34259041</v>
      </c>
      <c r="G119" s="7">
        <v>1.3120593999999999E-2</v>
      </c>
      <c r="H119" s="49"/>
    </row>
    <row r="120" spans="1:8" ht="14.1" customHeight="1" x14ac:dyDescent="0.2">
      <c r="A120" s="11"/>
      <c r="B120" s="11"/>
      <c r="C120" s="2" t="s">
        <v>156</v>
      </c>
      <c r="D120" s="15"/>
      <c r="E120" s="15"/>
      <c r="F120" s="9">
        <v>9172.0384966099991</v>
      </c>
      <c r="G120" s="10">
        <v>0.99999999699999997</v>
      </c>
      <c r="H120" s="49"/>
    </row>
    <row r="121" spans="1:8" ht="14.1" customHeight="1" x14ac:dyDescent="0.2">
      <c r="A121" s="16"/>
      <c r="B121" s="16"/>
      <c r="C121" s="16"/>
      <c r="D121" s="17"/>
      <c r="E121" s="17"/>
      <c r="F121" s="17"/>
      <c r="G121" s="17"/>
    </row>
    <row r="122" spans="1:8" ht="14.1" customHeight="1" x14ac:dyDescent="0.2">
      <c r="A122" s="18"/>
      <c r="B122" s="18"/>
      <c r="C122" s="18"/>
      <c r="D122" s="20"/>
      <c r="E122" s="20"/>
      <c r="F122" s="20"/>
      <c r="G122" s="20"/>
    </row>
    <row r="123" spans="1:8" ht="14.1" customHeight="1" x14ac:dyDescent="0.2">
      <c r="A123" s="18"/>
      <c r="B123" s="319" t="s">
        <v>158</v>
      </c>
      <c r="C123" s="320"/>
      <c r="D123" s="12" t="s">
        <v>131</v>
      </c>
      <c r="E123" s="21"/>
      <c r="F123" s="20"/>
      <c r="G123" s="20"/>
    </row>
    <row r="124" spans="1:8" ht="29.1" customHeight="1" x14ac:dyDescent="0.2">
      <c r="A124" s="18"/>
      <c r="B124" s="323" t="s">
        <v>159</v>
      </c>
      <c r="C124" s="324"/>
      <c r="D124" s="2" t="s">
        <v>160</v>
      </c>
      <c r="E124" s="21"/>
      <c r="F124" s="20"/>
      <c r="G124" s="20"/>
    </row>
    <row r="125" spans="1:8" ht="17.100000000000001" customHeight="1" x14ac:dyDescent="0.2">
      <c r="A125" s="18"/>
      <c r="B125" s="323" t="s">
        <v>161</v>
      </c>
      <c r="C125" s="324"/>
      <c r="D125" s="2" t="s">
        <v>160</v>
      </c>
      <c r="E125" s="21"/>
      <c r="F125" s="20"/>
      <c r="G125" s="20"/>
    </row>
    <row r="126" spans="1:8" ht="17.100000000000001" customHeight="1" x14ac:dyDescent="0.2">
      <c r="A126" s="18"/>
      <c r="B126" s="323" t="s">
        <v>162</v>
      </c>
      <c r="C126" s="324"/>
      <c r="D126" s="12" t="s">
        <v>131</v>
      </c>
      <c r="E126" s="21"/>
      <c r="F126" s="20"/>
      <c r="G126" s="20"/>
    </row>
    <row r="127" spans="1:8" ht="24" customHeight="1" x14ac:dyDescent="0.2">
      <c r="A127" s="22"/>
      <c r="B127" s="23" t="s">
        <v>131</v>
      </c>
      <c r="C127" s="23" t="s">
        <v>163</v>
      </c>
      <c r="D127" s="23" t="s">
        <v>164</v>
      </c>
      <c r="E127" s="22"/>
      <c r="F127" s="22"/>
      <c r="G127" s="22"/>
    </row>
    <row r="128" spans="1:8" ht="18" customHeight="1" x14ac:dyDescent="0.2">
      <c r="A128" s="22"/>
      <c r="B128" s="23" t="s">
        <v>165</v>
      </c>
      <c r="C128" s="23" t="s">
        <v>166</v>
      </c>
      <c r="D128" s="23" t="s">
        <v>167</v>
      </c>
      <c r="E128" s="22"/>
      <c r="F128" s="22"/>
      <c r="G128" s="22"/>
    </row>
    <row r="129" spans="1:15" ht="17.100000000000001" customHeight="1" x14ac:dyDescent="0.2">
      <c r="A129" s="22"/>
      <c r="B129" s="4" t="s">
        <v>168</v>
      </c>
      <c r="C129" s="24">
        <v>18.3111</v>
      </c>
      <c r="D129" s="24">
        <v>18.857399999999998</v>
      </c>
      <c r="E129" s="22"/>
      <c r="F129" s="19"/>
      <c r="G129" s="25"/>
    </row>
    <row r="130" spans="1:15" ht="17.100000000000001" customHeight="1" x14ac:dyDescent="0.2">
      <c r="A130" s="22"/>
      <c r="B130" s="4" t="s">
        <v>1021</v>
      </c>
      <c r="C130" s="24">
        <v>17.427399999999999</v>
      </c>
      <c r="D130" s="24">
        <v>17.947399999999998</v>
      </c>
      <c r="E130" s="22"/>
      <c r="F130" s="19"/>
      <c r="G130" s="25"/>
    </row>
    <row r="131" spans="1:15" ht="17.100000000000001" customHeight="1" x14ac:dyDescent="0.2">
      <c r="A131" s="22"/>
      <c r="B131" s="4" t="s">
        <v>169</v>
      </c>
      <c r="C131" s="24">
        <v>17.846900000000002</v>
      </c>
      <c r="D131" s="24">
        <v>18.370899999999999</v>
      </c>
      <c r="E131" s="22"/>
      <c r="F131" s="19"/>
      <c r="G131" s="25"/>
    </row>
    <row r="132" spans="1:15" ht="17.100000000000001" customHeight="1" x14ac:dyDescent="0.2">
      <c r="A132" s="22"/>
      <c r="B132" s="4" t="s">
        <v>1022</v>
      </c>
      <c r="C132" s="24">
        <v>17.180399999999999</v>
      </c>
      <c r="D132" s="24">
        <v>17.684799999999999</v>
      </c>
      <c r="E132" s="22"/>
      <c r="F132" s="19"/>
      <c r="G132" s="25"/>
    </row>
    <row r="133" spans="1:15" ht="14.1" customHeight="1" x14ac:dyDescent="0.2">
      <c r="A133" s="22"/>
      <c r="B133" s="22"/>
      <c r="C133" s="22"/>
      <c r="D133" s="22"/>
      <c r="E133" s="22"/>
      <c r="F133" s="22"/>
      <c r="G133" s="22"/>
    </row>
    <row r="134" spans="1:15" ht="17.100000000000001" customHeight="1" x14ac:dyDescent="0.2">
      <c r="A134" s="22"/>
      <c r="B134" s="323" t="s">
        <v>1023</v>
      </c>
      <c r="C134" s="324"/>
      <c r="D134" s="57" t="s">
        <v>160</v>
      </c>
      <c r="E134" s="22"/>
      <c r="F134" s="22"/>
      <c r="G134" s="22"/>
    </row>
    <row r="135" spans="1:15" ht="18" customHeight="1" x14ac:dyDescent="0.2">
      <c r="A135" s="22"/>
      <c r="B135" s="28"/>
      <c r="C135" s="28"/>
      <c r="D135" s="26"/>
      <c r="E135" s="22"/>
      <c r="F135" s="22"/>
      <c r="G135" s="22"/>
    </row>
    <row r="136" spans="1:15" ht="29.1" customHeight="1" x14ac:dyDescent="0.2">
      <c r="A136" s="22"/>
      <c r="B136" s="323" t="s">
        <v>170</v>
      </c>
      <c r="C136" s="324"/>
      <c r="D136" s="2" t="s">
        <v>160</v>
      </c>
      <c r="E136" s="22"/>
      <c r="F136" s="22"/>
      <c r="G136" s="22"/>
    </row>
    <row r="137" spans="1:15" ht="29.1" customHeight="1" x14ac:dyDescent="0.2">
      <c r="A137" s="22"/>
      <c r="B137" s="323" t="s">
        <v>171</v>
      </c>
      <c r="C137" s="324"/>
      <c r="D137" s="2" t="s">
        <v>160</v>
      </c>
      <c r="E137" s="22"/>
      <c r="F137" s="22"/>
      <c r="G137" s="22"/>
    </row>
    <row r="138" spans="1:15" ht="17.100000000000001" customHeight="1" x14ac:dyDescent="0.2">
      <c r="A138" s="22"/>
      <c r="B138" s="323" t="s">
        <v>172</v>
      </c>
      <c r="C138" s="324"/>
      <c r="D138" s="27">
        <v>0.18810593579934787</v>
      </c>
      <c r="E138" s="22"/>
      <c r="F138" s="19"/>
      <c r="G138" s="25"/>
    </row>
    <row r="139" spans="1:15" ht="17.100000000000001" customHeight="1" x14ac:dyDescent="0.2">
      <c r="A139" s="22"/>
      <c r="B139" s="323" t="s">
        <v>173</v>
      </c>
      <c r="C139" s="324"/>
      <c r="D139" s="2" t="s">
        <v>160</v>
      </c>
      <c r="E139" s="22"/>
      <c r="F139" s="22"/>
      <c r="G139" s="22"/>
    </row>
    <row r="140" spans="1:15" x14ac:dyDescent="0.2">
      <c r="J140" s="218"/>
      <c r="K140" s="218"/>
      <c r="L140" s="218"/>
      <c r="M140" s="218"/>
      <c r="N140" s="218"/>
      <c r="O140" s="218"/>
    </row>
  </sheetData>
  <mergeCells count="13">
    <mergeCell ref="J2:N2"/>
    <mergeCell ref="B139:C139"/>
    <mergeCell ref="B124:C124"/>
    <mergeCell ref="B125:C125"/>
    <mergeCell ref="B126:C126"/>
    <mergeCell ref="B134:C134"/>
    <mergeCell ref="B136:C136"/>
    <mergeCell ref="B137:C137"/>
    <mergeCell ref="A1:H1"/>
    <mergeCell ref="A2:H2"/>
    <mergeCell ref="A3:H3"/>
    <mergeCell ref="B123:C123"/>
    <mergeCell ref="B138:C138"/>
  </mergeCells>
  <hyperlinks>
    <hyperlink ref="I1" location="Index!B5" display="Index" xr:uid="{3DA1D86E-64FF-4EE4-8850-8A701D94D79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339</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14</v>
      </c>
      <c r="C7" s="4" t="s">
        <v>15</v>
      </c>
      <c r="D7" s="4" t="s">
        <v>16</v>
      </c>
      <c r="E7" s="5">
        <v>4495006</v>
      </c>
      <c r="F7" s="6">
        <v>42832.912173999997</v>
      </c>
      <c r="G7" s="7">
        <v>8.0942114999999995E-2</v>
      </c>
      <c r="H7" s="49"/>
    </row>
    <row r="8" spans="1:15" ht="17.100000000000001" customHeight="1" x14ac:dyDescent="0.2">
      <c r="A8" s="3">
        <v>2</v>
      </c>
      <c r="B8" s="4" t="s">
        <v>20</v>
      </c>
      <c r="C8" s="4" t="s">
        <v>21</v>
      </c>
      <c r="D8" s="4" t="s">
        <v>22</v>
      </c>
      <c r="E8" s="5">
        <v>870000</v>
      </c>
      <c r="F8" s="6">
        <v>23762.744999999999</v>
      </c>
      <c r="G8" s="7">
        <v>4.4904881000000001E-2</v>
      </c>
      <c r="H8" s="49"/>
    </row>
    <row r="9" spans="1:15" ht="17.100000000000001" customHeight="1" x14ac:dyDescent="0.2">
      <c r="A9" s="3">
        <v>3</v>
      </c>
      <c r="B9" s="4" t="s">
        <v>263</v>
      </c>
      <c r="C9" s="4" t="s">
        <v>264</v>
      </c>
      <c r="D9" s="4" t="s">
        <v>16</v>
      </c>
      <c r="E9" s="5">
        <v>1323852</v>
      </c>
      <c r="F9" s="6">
        <v>21293.497493999999</v>
      </c>
      <c r="G9" s="7">
        <v>4.0238701000000002E-2</v>
      </c>
      <c r="H9" s="49"/>
    </row>
    <row r="10" spans="1:15" ht="17.100000000000001" customHeight="1" x14ac:dyDescent="0.2">
      <c r="A10" s="3">
        <v>4</v>
      </c>
      <c r="B10" s="4" t="s">
        <v>294</v>
      </c>
      <c r="C10" s="4" t="s">
        <v>295</v>
      </c>
      <c r="D10" s="4" t="s">
        <v>974</v>
      </c>
      <c r="E10" s="5">
        <v>1279690</v>
      </c>
      <c r="F10" s="6">
        <v>20922.291655000001</v>
      </c>
      <c r="G10" s="7">
        <v>3.9537226000000002E-2</v>
      </c>
      <c r="H10" s="49"/>
    </row>
    <row r="11" spans="1:15" ht="17.100000000000001" customHeight="1" x14ac:dyDescent="0.2">
      <c r="A11" s="3">
        <v>5</v>
      </c>
      <c r="B11" s="4" t="s">
        <v>11</v>
      </c>
      <c r="C11" s="4" t="s">
        <v>12</v>
      </c>
      <c r="D11" s="4" t="s">
        <v>13</v>
      </c>
      <c r="E11" s="5">
        <v>687821</v>
      </c>
      <c r="F11" s="6">
        <v>14271.2540185</v>
      </c>
      <c r="G11" s="7">
        <v>2.6968642000000001E-2</v>
      </c>
      <c r="H11" s="49"/>
    </row>
    <row r="12" spans="1:15" ht="17.100000000000001" customHeight="1" x14ac:dyDescent="0.2">
      <c r="A12" s="3">
        <v>6</v>
      </c>
      <c r="B12" s="4" t="s">
        <v>259</v>
      </c>
      <c r="C12" s="4" t="s">
        <v>260</v>
      </c>
      <c r="D12" s="4" t="s">
        <v>103</v>
      </c>
      <c r="E12" s="5">
        <v>826720</v>
      </c>
      <c r="F12" s="6">
        <v>13446.6008</v>
      </c>
      <c r="G12" s="7">
        <v>2.541028E-2</v>
      </c>
      <c r="H12" s="49"/>
    </row>
    <row r="13" spans="1:15" ht="17.100000000000001" customHeight="1" x14ac:dyDescent="0.2">
      <c r="A13" s="3">
        <v>7</v>
      </c>
      <c r="B13" s="4" t="s">
        <v>177</v>
      </c>
      <c r="C13" s="4" t="s">
        <v>178</v>
      </c>
      <c r="D13" s="4" t="s">
        <v>179</v>
      </c>
      <c r="E13" s="5">
        <v>1071770</v>
      </c>
      <c r="F13" s="6">
        <v>13394.445575</v>
      </c>
      <c r="G13" s="7">
        <v>2.5311721999999998E-2</v>
      </c>
      <c r="H13" s="49"/>
      <c r="J13" s="217" t="s">
        <v>1075</v>
      </c>
    </row>
    <row r="14" spans="1:15" ht="17.100000000000001" customHeight="1" x14ac:dyDescent="0.2">
      <c r="A14" s="3">
        <v>8</v>
      </c>
      <c r="B14" s="4" t="s">
        <v>39</v>
      </c>
      <c r="C14" s="4" t="s">
        <v>40</v>
      </c>
      <c r="D14" s="4" t="s">
        <v>16</v>
      </c>
      <c r="E14" s="5">
        <v>2191327</v>
      </c>
      <c r="F14" s="6">
        <v>13201.6495115</v>
      </c>
      <c r="G14" s="7">
        <v>2.4947391999999999E-2</v>
      </c>
      <c r="H14" s="49"/>
    </row>
    <row r="15" spans="1:15" ht="17.100000000000001" customHeight="1" x14ac:dyDescent="0.2">
      <c r="A15" s="3">
        <v>9</v>
      </c>
      <c r="B15" s="4" t="s">
        <v>180</v>
      </c>
      <c r="C15" s="4" t="s">
        <v>181</v>
      </c>
      <c r="D15" s="4" t="s">
        <v>16</v>
      </c>
      <c r="E15" s="5">
        <v>1371950</v>
      </c>
      <c r="F15" s="6">
        <v>12364.699375</v>
      </c>
      <c r="G15" s="7">
        <v>2.3365792E-2</v>
      </c>
      <c r="H15" s="49"/>
    </row>
    <row r="16" spans="1:15" ht="17.100000000000001" customHeight="1" x14ac:dyDescent="0.2">
      <c r="A16" s="3">
        <v>10</v>
      </c>
      <c r="B16" s="4" t="s">
        <v>340</v>
      </c>
      <c r="C16" s="4" t="s">
        <v>341</v>
      </c>
      <c r="D16" s="4" t="s">
        <v>16</v>
      </c>
      <c r="E16" s="5">
        <v>3875118</v>
      </c>
      <c r="F16" s="6">
        <v>12194.996346</v>
      </c>
      <c r="G16" s="7">
        <v>2.3045100999999998E-2</v>
      </c>
      <c r="H16" s="49"/>
    </row>
    <row r="17" spans="1:10" ht="29.1" customHeight="1" x14ac:dyDescent="0.2">
      <c r="A17" s="3">
        <v>11</v>
      </c>
      <c r="B17" s="4" t="s">
        <v>296</v>
      </c>
      <c r="C17" s="4" t="s">
        <v>297</v>
      </c>
      <c r="D17" s="4" t="s">
        <v>103</v>
      </c>
      <c r="E17" s="5">
        <v>384006</v>
      </c>
      <c r="F17" s="6">
        <v>10339.553553</v>
      </c>
      <c r="G17" s="7">
        <v>1.9538837999999999E-2</v>
      </c>
      <c r="H17" s="49"/>
    </row>
    <row r="18" spans="1:10" ht="17.100000000000001" customHeight="1" x14ac:dyDescent="0.2">
      <c r="A18" s="3">
        <v>12</v>
      </c>
      <c r="B18" s="4" t="s">
        <v>36</v>
      </c>
      <c r="C18" s="4" t="s">
        <v>37</v>
      </c>
      <c r="D18" s="4" t="s">
        <v>38</v>
      </c>
      <c r="E18" s="5">
        <v>321054</v>
      </c>
      <c r="F18" s="6">
        <v>9633.8673780000008</v>
      </c>
      <c r="G18" s="7">
        <v>1.8205289999999999E-2</v>
      </c>
      <c r="H18" s="49"/>
    </row>
    <row r="19" spans="1:10" ht="53.1" customHeight="1" x14ac:dyDescent="0.2">
      <c r="A19" s="3">
        <v>13</v>
      </c>
      <c r="B19" s="4" t="s">
        <v>49</v>
      </c>
      <c r="C19" s="4" t="s">
        <v>50</v>
      </c>
      <c r="D19" s="4" t="s">
        <v>51</v>
      </c>
      <c r="E19" s="5">
        <v>6352636</v>
      </c>
      <c r="F19" s="6">
        <v>9452.7223680000006</v>
      </c>
      <c r="G19" s="7">
        <v>1.7862976999999999E-2</v>
      </c>
      <c r="H19" s="49"/>
    </row>
    <row r="20" spans="1:10" ht="17.100000000000001" customHeight="1" x14ac:dyDescent="0.2">
      <c r="A20" s="3">
        <v>14</v>
      </c>
      <c r="B20" s="4" t="s">
        <v>17</v>
      </c>
      <c r="C20" s="4" t="s">
        <v>18</v>
      </c>
      <c r="D20" s="4" t="s">
        <v>19</v>
      </c>
      <c r="E20" s="5">
        <v>1002403</v>
      </c>
      <c r="F20" s="6">
        <v>8507.8954625000006</v>
      </c>
      <c r="G20" s="7">
        <v>1.6077521000000001E-2</v>
      </c>
      <c r="H20" s="49"/>
    </row>
    <row r="21" spans="1:10" ht="17.100000000000001" customHeight="1" x14ac:dyDescent="0.2">
      <c r="A21" s="3">
        <v>15</v>
      </c>
      <c r="B21" s="4" t="s">
        <v>109</v>
      </c>
      <c r="C21" s="4" t="s">
        <v>110</v>
      </c>
      <c r="D21" s="4" t="s">
        <v>89</v>
      </c>
      <c r="E21" s="5">
        <v>1863566</v>
      </c>
      <c r="F21" s="6">
        <v>8468.9756870000001</v>
      </c>
      <c r="G21" s="7">
        <v>1.6003974000000001E-2</v>
      </c>
      <c r="H21" s="49"/>
    </row>
    <row r="22" spans="1:10" ht="17.100000000000001" customHeight="1" x14ac:dyDescent="0.2">
      <c r="A22" s="3">
        <v>16</v>
      </c>
      <c r="B22" s="4" t="s">
        <v>268</v>
      </c>
      <c r="C22" s="4" t="s">
        <v>269</v>
      </c>
      <c r="D22" s="4" t="s">
        <v>89</v>
      </c>
      <c r="E22" s="5">
        <v>1535229</v>
      </c>
      <c r="F22" s="6">
        <v>8446.0623434999998</v>
      </c>
      <c r="G22" s="7">
        <v>1.5960674000000001E-2</v>
      </c>
      <c r="H22" s="49"/>
      <c r="J22" s="217" t="s">
        <v>1076</v>
      </c>
    </row>
    <row r="23" spans="1:10" ht="17.100000000000001" customHeight="1" x14ac:dyDescent="0.2">
      <c r="A23" s="3">
        <v>17</v>
      </c>
      <c r="B23" s="4" t="s">
        <v>41</v>
      </c>
      <c r="C23" s="4" t="s">
        <v>42</v>
      </c>
      <c r="D23" s="4" t="s">
        <v>43</v>
      </c>
      <c r="E23" s="5">
        <v>1015161</v>
      </c>
      <c r="F23" s="6">
        <v>7836.5353395000002</v>
      </c>
      <c r="G23" s="7">
        <v>1.480884E-2</v>
      </c>
      <c r="H23" s="49"/>
    </row>
    <row r="24" spans="1:10" ht="17.100000000000001" customHeight="1" x14ac:dyDescent="0.2">
      <c r="A24" s="3">
        <v>18</v>
      </c>
      <c r="B24" s="4" t="s">
        <v>289</v>
      </c>
      <c r="C24" s="4" t="s">
        <v>290</v>
      </c>
      <c r="D24" s="4" t="s">
        <v>108</v>
      </c>
      <c r="E24" s="5">
        <v>184208</v>
      </c>
      <c r="F24" s="6">
        <v>7832.3399520000003</v>
      </c>
      <c r="G24" s="7">
        <v>1.4800911999999999E-2</v>
      </c>
      <c r="H24" s="49"/>
    </row>
    <row r="25" spans="1:10" ht="17.100000000000001" customHeight="1" x14ac:dyDescent="0.2">
      <c r="A25" s="3">
        <v>19</v>
      </c>
      <c r="B25" s="4" t="s">
        <v>342</v>
      </c>
      <c r="C25" s="4" t="s">
        <v>343</v>
      </c>
      <c r="D25" s="4" t="s">
        <v>31</v>
      </c>
      <c r="E25" s="5">
        <v>856506</v>
      </c>
      <c r="F25" s="6">
        <v>7793.3480939999999</v>
      </c>
      <c r="G25" s="7">
        <v>1.4727228E-2</v>
      </c>
      <c r="H25" s="49"/>
    </row>
    <row r="26" spans="1:10" ht="17.100000000000001" customHeight="1" x14ac:dyDescent="0.2">
      <c r="A26" s="3">
        <v>20</v>
      </c>
      <c r="B26" s="4" t="s">
        <v>344</v>
      </c>
      <c r="C26" s="4" t="s">
        <v>345</v>
      </c>
      <c r="D26" s="4" t="s">
        <v>103</v>
      </c>
      <c r="E26" s="5">
        <v>113013</v>
      </c>
      <c r="F26" s="6">
        <v>7595.5472234999997</v>
      </c>
      <c r="G26" s="7">
        <v>1.4353441E-2</v>
      </c>
      <c r="H26" s="49"/>
    </row>
    <row r="27" spans="1:10" ht="17.100000000000001" customHeight="1" x14ac:dyDescent="0.2">
      <c r="A27" s="3">
        <v>21</v>
      </c>
      <c r="B27" s="4" t="s">
        <v>111</v>
      </c>
      <c r="C27" s="4" t="s">
        <v>112</v>
      </c>
      <c r="D27" s="4" t="s">
        <v>113</v>
      </c>
      <c r="E27" s="5">
        <v>1649310</v>
      </c>
      <c r="F27" s="6">
        <v>7433.4401699999999</v>
      </c>
      <c r="G27" s="7">
        <v>1.4047103999999999E-2</v>
      </c>
      <c r="H27" s="49"/>
    </row>
    <row r="28" spans="1:10" ht="17.100000000000001" customHeight="1" x14ac:dyDescent="0.2">
      <c r="A28" s="3">
        <v>22</v>
      </c>
      <c r="B28" s="4" t="s">
        <v>104</v>
      </c>
      <c r="C28" s="4" t="s">
        <v>105</v>
      </c>
      <c r="D28" s="4" t="s">
        <v>100</v>
      </c>
      <c r="E28" s="5">
        <v>801652</v>
      </c>
      <c r="F28" s="6">
        <v>7406.4628279999997</v>
      </c>
      <c r="G28" s="7">
        <v>1.3996124E-2</v>
      </c>
      <c r="H28" s="49"/>
    </row>
    <row r="29" spans="1:10" ht="17.100000000000001" customHeight="1" x14ac:dyDescent="0.2">
      <c r="A29" s="3">
        <v>23</v>
      </c>
      <c r="B29" s="4" t="s">
        <v>182</v>
      </c>
      <c r="C29" s="4" t="s">
        <v>183</v>
      </c>
      <c r="D29" s="4" t="s">
        <v>16</v>
      </c>
      <c r="E29" s="5">
        <v>4445537</v>
      </c>
      <c r="F29" s="6">
        <v>7390.7052624999997</v>
      </c>
      <c r="G29" s="7">
        <v>1.3966347E-2</v>
      </c>
      <c r="H29" s="49"/>
    </row>
    <row r="30" spans="1:10" ht="29.1" customHeight="1" x14ac:dyDescent="0.2">
      <c r="A30" s="3">
        <v>24</v>
      </c>
      <c r="B30" s="4" t="s">
        <v>189</v>
      </c>
      <c r="C30" s="4" t="s">
        <v>190</v>
      </c>
      <c r="D30" s="4" t="s">
        <v>108</v>
      </c>
      <c r="E30" s="5">
        <v>1981839</v>
      </c>
      <c r="F30" s="6">
        <v>7191.1028114999999</v>
      </c>
      <c r="G30" s="7">
        <v>1.3589155E-2</v>
      </c>
      <c r="H30" s="49"/>
    </row>
    <row r="31" spans="1:10" ht="17.100000000000001" customHeight="1" x14ac:dyDescent="0.2">
      <c r="A31" s="3">
        <v>25</v>
      </c>
      <c r="B31" s="4" t="s">
        <v>236</v>
      </c>
      <c r="C31" s="4" t="s">
        <v>237</v>
      </c>
      <c r="D31" s="4" t="s">
        <v>238</v>
      </c>
      <c r="E31" s="5">
        <v>997049</v>
      </c>
      <c r="F31" s="6">
        <v>7035.1777439999996</v>
      </c>
      <c r="G31" s="7">
        <v>1.3294500000000001E-2</v>
      </c>
      <c r="H31" s="49"/>
    </row>
    <row r="32" spans="1:10" ht="17.100000000000001" customHeight="1" x14ac:dyDescent="0.2">
      <c r="A32" s="3">
        <v>26</v>
      </c>
      <c r="B32" s="4" t="s">
        <v>245</v>
      </c>
      <c r="C32" s="4" t="s">
        <v>246</v>
      </c>
      <c r="D32" s="4" t="s">
        <v>31</v>
      </c>
      <c r="E32" s="5">
        <v>364960</v>
      </c>
      <c r="F32" s="6">
        <v>6878.2186400000001</v>
      </c>
      <c r="G32" s="7">
        <v>1.2997892E-2</v>
      </c>
      <c r="H32" s="49"/>
    </row>
    <row r="33" spans="1:8" ht="17.100000000000001" customHeight="1" x14ac:dyDescent="0.2">
      <c r="A33" s="3">
        <v>27</v>
      </c>
      <c r="B33" s="4" t="s">
        <v>346</v>
      </c>
      <c r="C33" s="4" t="s">
        <v>347</v>
      </c>
      <c r="D33" s="4" t="s">
        <v>233</v>
      </c>
      <c r="E33" s="5">
        <v>2105119</v>
      </c>
      <c r="F33" s="6">
        <v>6771.1152634999999</v>
      </c>
      <c r="G33" s="7">
        <v>1.2795496999999999E-2</v>
      </c>
      <c r="H33" s="49"/>
    </row>
    <row r="34" spans="1:8" ht="17.100000000000001" customHeight="1" x14ac:dyDescent="0.2">
      <c r="A34" s="3">
        <v>28</v>
      </c>
      <c r="B34" s="4" t="s">
        <v>44</v>
      </c>
      <c r="C34" s="4" t="s">
        <v>45</v>
      </c>
      <c r="D34" s="4" t="s">
        <v>31</v>
      </c>
      <c r="E34" s="5">
        <v>261885</v>
      </c>
      <c r="F34" s="6">
        <v>6717.3502500000004</v>
      </c>
      <c r="G34" s="7">
        <v>1.2693896E-2</v>
      </c>
      <c r="H34" s="49"/>
    </row>
    <row r="35" spans="1:8" ht="29.1" customHeight="1" x14ac:dyDescent="0.2">
      <c r="A35" s="3">
        <v>29</v>
      </c>
      <c r="B35" s="4" t="s">
        <v>304</v>
      </c>
      <c r="C35" s="4" t="s">
        <v>305</v>
      </c>
      <c r="D35" s="4" t="s">
        <v>215</v>
      </c>
      <c r="E35" s="5">
        <v>622280</v>
      </c>
      <c r="F35" s="6">
        <v>6509.3599400000003</v>
      </c>
      <c r="G35" s="7">
        <v>1.2300853E-2</v>
      </c>
      <c r="H35" s="49"/>
    </row>
    <row r="36" spans="1:8" ht="17.100000000000001" customHeight="1" x14ac:dyDescent="0.2">
      <c r="A36" s="3">
        <v>30</v>
      </c>
      <c r="B36" s="4" t="s">
        <v>302</v>
      </c>
      <c r="C36" s="4" t="s">
        <v>303</v>
      </c>
      <c r="D36" s="4" t="s">
        <v>974</v>
      </c>
      <c r="E36" s="5">
        <v>191953</v>
      </c>
      <c r="F36" s="6">
        <v>6508.7423239999998</v>
      </c>
      <c r="G36" s="7">
        <v>1.2299686000000001E-2</v>
      </c>
      <c r="H36" s="49"/>
    </row>
    <row r="37" spans="1:8" ht="17.100000000000001" customHeight="1" x14ac:dyDescent="0.2">
      <c r="A37" s="3">
        <v>31</v>
      </c>
      <c r="B37" s="4" t="s">
        <v>87</v>
      </c>
      <c r="C37" s="4" t="s">
        <v>88</v>
      </c>
      <c r="D37" s="4" t="s">
        <v>89</v>
      </c>
      <c r="E37" s="5">
        <v>242298</v>
      </c>
      <c r="F37" s="6">
        <v>6482.3195429999996</v>
      </c>
      <c r="G37" s="7">
        <v>1.2249754E-2</v>
      </c>
      <c r="H37" s="49"/>
    </row>
    <row r="38" spans="1:8" ht="17.100000000000001" customHeight="1" x14ac:dyDescent="0.2">
      <c r="A38" s="3">
        <v>32</v>
      </c>
      <c r="B38" s="4" t="s">
        <v>306</v>
      </c>
      <c r="C38" s="4" t="s">
        <v>307</v>
      </c>
      <c r="D38" s="4" t="s">
        <v>308</v>
      </c>
      <c r="E38" s="5">
        <v>241253</v>
      </c>
      <c r="F38" s="6">
        <v>6476.0749054999997</v>
      </c>
      <c r="G38" s="7">
        <v>1.2237954000000001E-2</v>
      </c>
      <c r="H38" s="49"/>
    </row>
    <row r="39" spans="1:8" ht="29.1" customHeight="1" x14ac:dyDescent="0.2">
      <c r="A39" s="3">
        <v>33</v>
      </c>
      <c r="B39" s="4" t="s">
        <v>348</v>
      </c>
      <c r="C39" s="4" t="s">
        <v>349</v>
      </c>
      <c r="D39" s="4" t="s">
        <v>215</v>
      </c>
      <c r="E39" s="5">
        <v>187233</v>
      </c>
      <c r="F39" s="6">
        <v>6374.7219510000004</v>
      </c>
      <c r="G39" s="7">
        <v>1.2046424999999999E-2</v>
      </c>
      <c r="H39" s="49"/>
    </row>
    <row r="40" spans="1:8" ht="29.1" customHeight="1" x14ac:dyDescent="0.2">
      <c r="A40" s="3">
        <v>34</v>
      </c>
      <c r="B40" s="4" t="s">
        <v>23</v>
      </c>
      <c r="C40" s="4" t="s">
        <v>24</v>
      </c>
      <c r="D40" s="4" t="s">
        <v>25</v>
      </c>
      <c r="E40" s="5">
        <v>88217</v>
      </c>
      <c r="F40" s="6">
        <v>6243.1170899999997</v>
      </c>
      <c r="G40" s="7">
        <v>1.1797729E-2</v>
      </c>
      <c r="H40" s="49"/>
    </row>
    <row r="41" spans="1:8" ht="29.1" customHeight="1" x14ac:dyDescent="0.2">
      <c r="A41" s="3">
        <v>35</v>
      </c>
      <c r="B41" s="4" t="s">
        <v>197</v>
      </c>
      <c r="C41" s="4" t="s">
        <v>198</v>
      </c>
      <c r="D41" s="4" t="s">
        <v>193</v>
      </c>
      <c r="E41" s="5">
        <v>140588</v>
      </c>
      <c r="F41" s="6">
        <v>6104.9636060000003</v>
      </c>
      <c r="G41" s="7">
        <v>1.1536658E-2</v>
      </c>
      <c r="H41" s="49"/>
    </row>
    <row r="42" spans="1:8" ht="17.100000000000001" customHeight="1" x14ac:dyDescent="0.2">
      <c r="A42" s="3">
        <v>36</v>
      </c>
      <c r="B42" s="4" t="s">
        <v>350</v>
      </c>
      <c r="C42" s="4" t="s">
        <v>351</v>
      </c>
      <c r="D42" s="4" t="s">
        <v>43</v>
      </c>
      <c r="E42" s="5">
        <v>320375</v>
      </c>
      <c r="F42" s="6">
        <v>5966.0232500000002</v>
      </c>
      <c r="G42" s="7">
        <v>1.12741E-2</v>
      </c>
      <c r="H42" s="49"/>
    </row>
    <row r="43" spans="1:8" ht="17.100000000000001" customHeight="1" x14ac:dyDescent="0.2">
      <c r="A43" s="3">
        <v>37</v>
      </c>
      <c r="B43" s="4" t="s">
        <v>352</v>
      </c>
      <c r="C43" s="4" t="s">
        <v>353</v>
      </c>
      <c r="D43" s="4" t="s">
        <v>72</v>
      </c>
      <c r="E43" s="5">
        <v>1355977</v>
      </c>
      <c r="F43" s="6">
        <v>5958.1629380000004</v>
      </c>
      <c r="G43" s="7">
        <v>1.1259246000000001E-2</v>
      </c>
      <c r="H43" s="49"/>
    </row>
    <row r="44" spans="1:8" ht="29.1" customHeight="1" x14ac:dyDescent="0.2">
      <c r="A44" s="3">
        <v>38</v>
      </c>
      <c r="B44" s="4" t="s">
        <v>208</v>
      </c>
      <c r="C44" s="4" t="s">
        <v>209</v>
      </c>
      <c r="D44" s="4" t="s">
        <v>207</v>
      </c>
      <c r="E44" s="5">
        <v>167631</v>
      </c>
      <c r="F44" s="6">
        <v>5855.2670145000002</v>
      </c>
      <c r="G44" s="7">
        <v>1.1064802E-2</v>
      </c>
      <c r="H44" s="49"/>
    </row>
    <row r="45" spans="1:8" ht="29.1" customHeight="1" x14ac:dyDescent="0.2">
      <c r="A45" s="3">
        <v>39</v>
      </c>
      <c r="B45" s="4" t="s">
        <v>101</v>
      </c>
      <c r="C45" s="4" t="s">
        <v>102</v>
      </c>
      <c r="D45" s="4" t="s">
        <v>103</v>
      </c>
      <c r="E45" s="5">
        <v>808159</v>
      </c>
      <c r="F45" s="6">
        <v>5777.1246115000004</v>
      </c>
      <c r="G45" s="7">
        <v>1.0917135E-2</v>
      </c>
      <c r="H45" s="49"/>
    </row>
    <row r="46" spans="1:8" ht="17.100000000000001" customHeight="1" x14ac:dyDescent="0.2">
      <c r="A46" s="3">
        <v>40</v>
      </c>
      <c r="B46" s="4" t="s">
        <v>70</v>
      </c>
      <c r="C46" s="4" t="s">
        <v>71</v>
      </c>
      <c r="D46" s="4" t="s">
        <v>72</v>
      </c>
      <c r="E46" s="5">
        <v>63700</v>
      </c>
      <c r="F46" s="6">
        <v>5716.5335500000001</v>
      </c>
      <c r="G46" s="7">
        <v>1.0802635E-2</v>
      </c>
      <c r="H46" s="49"/>
    </row>
    <row r="47" spans="1:8" ht="17.100000000000001" customHeight="1" x14ac:dyDescent="0.2">
      <c r="A47" s="3">
        <v>41</v>
      </c>
      <c r="B47" s="4" t="s">
        <v>334</v>
      </c>
      <c r="C47" s="4" t="s">
        <v>335</v>
      </c>
      <c r="D47" s="4" t="s">
        <v>16</v>
      </c>
      <c r="E47" s="5">
        <v>489000</v>
      </c>
      <c r="F47" s="6">
        <v>5710.5420000000004</v>
      </c>
      <c r="G47" s="7">
        <v>1.0791313E-2</v>
      </c>
      <c r="H47" s="49"/>
    </row>
    <row r="48" spans="1:8" ht="53.1" customHeight="1" x14ac:dyDescent="0.2">
      <c r="A48" s="3">
        <v>42</v>
      </c>
      <c r="B48" s="4" t="s">
        <v>94</v>
      </c>
      <c r="C48" s="4" t="s">
        <v>95</v>
      </c>
      <c r="D48" s="4" t="s">
        <v>51</v>
      </c>
      <c r="E48" s="5">
        <v>378482</v>
      </c>
      <c r="F48" s="6">
        <v>5557.818929</v>
      </c>
      <c r="G48" s="7">
        <v>1.0502709000000001E-2</v>
      </c>
      <c r="H48" s="49"/>
    </row>
    <row r="49" spans="1:8" ht="17.100000000000001" customHeight="1" x14ac:dyDescent="0.2">
      <c r="A49" s="3">
        <v>43</v>
      </c>
      <c r="B49" s="4" t="s">
        <v>354</v>
      </c>
      <c r="C49" s="4" t="s">
        <v>355</v>
      </c>
      <c r="D49" s="4" t="s">
        <v>188</v>
      </c>
      <c r="E49" s="5">
        <v>133556</v>
      </c>
      <c r="F49" s="6">
        <v>5376.2967799999997</v>
      </c>
      <c r="G49" s="7">
        <v>1.0159684E-2</v>
      </c>
      <c r="H49" s="49"/>
    </row>
    <row r="50" spans="1:8" ht="17.100000000000001" customHeight="1" x14ac:dyDescent="0.2">
      <c r="A50" s="3">
        <v>44</v>
      </c>
      <c r="B50" s="4" t="s">
        <v>221</v>
      </c>
      <c r="C50" s="4" t="s">
        <v>222</v>
      </c>
      <c r="D50" s="4" t="s">
        <v>179</v>
      </c>
      <c r="E50" s="5">
        <v>315360</v>
      </c>
      <c r="F50" s="6">
        <v>5317.28496</v>
      </c>
      <c r="G50" s="7">
        <v>1.0048168E-2</v>
      </c>
      <c r="H50" s="49"/>
    </row>
    <row r="51" spans="1:8" ht="17.100000000000001" customHeight="1" x14ac:dyDescent="0.2">
      <c r="A51" s="3">
        <v>45</v>
      </c>
      <c r="B51" s="4" t="s">
        <v>201</v>
      </c>
      <c r="C51" s="4" t="s">
        <v>202</v>
      </c>
      <c r="D51" s="4" t="s">
        <v>89</v>
      </c>
      <c r="E51" s="5">
        <v>189801</v>
      </c>
      <c r="F51" s="6">
        <v>5260.0500135000002</v>
      </c>
      <c r="G51" s="7">
        <v>9.9400100000000009E-3</v>
      </c>
      <c r="H51" s="49"/>
    </row>
    <row r="52" spans="1:8" ht="17.100000000000001" customHeight="1" x14ac:dyDescent="0.2">
      <c r="A52" s="3">
        <v>46</v>
      </c>
      <c r="B52" s="4" t="s">
        <v>279</v>
      </c>
      <c r="C52" s="4" t="s">
        <v>280</v>
      </c>
      <c r="D52" s="4" t="s">
        <v>212</v>
      </c>
      <c r="E52" s="5">
        <v>1176577</v>
      </c>
      <c r="F52" s="6">
        <v>5207.529802</v>
      </c>
      <c r="G52" s="7">
        <v>9.8407619999999994E-3</v>
      </c>
      <c r="H52" s="49"/>
    </row>
    <row r="53" spans="1:8" ht="17.100000000000001" customHeight="1" x14ac:dyDescent="0.2">
      <c r="A53" s="3">
        <v>47</v>
      </c>
      <c r="B53" s="4" t="s">
        <v>243</v>
      </c>
      <c r="C53" s="4" t="s">
        <v>244</v>
      </c>
      <c r="D53" s="4" t="s">
        <v>227</v>
      </c>
      <c r="E53" s="5">
        <v>1743213</v>
      </c>
      <c r="F53" s="6">
        <v>5057.0609130000003</v>
      </c>
      <c r="G53" s="7">
        <v>9.5564180000000006E-3</v>
      </c>
      <c r="H53" s="49"/>
    </row>
    <row r="54" spans="1:8" ht="17.100000000000001" customHeight="1" x14ac:dyDescent="0.2">
      <c r="A54" s="3">
        <v>48</v>
      </c>
      <c r="B54" s="4" t="s">
        <v>52</v>
      </c>
      <c r="C54" s="4" t="s">
        <v>53</v>
      </c>
      <c r="D54" s="4" t="s">
        <v>28</v>
      </c>
      <c r="E54" s="5">
        <v>2249244</v>
      </c>
      <c r="F54" s="6">
        <v>5056.3005119999998</v>
      </c>
      <c r="G54" s="7">
        <v>9.5549810000000006E-3</v>
      </c>
      <c r="H54" s="49"/>
    </row>
    <row r="55" spans="1:8" ht="17.100000000000001" customHeight="1" x14ac:dyDescent="0.2">
      <c r="A55" s="3">
        <v>49</v>
      </c>
      <c r="B55" s="4" t="s">
        <v>231</v>
      </c>
      <c r="C55" s="4" t="s">
        <v>232</v>
      </c>
      <c r="D55" s="4" t="s">
        <v>233</v>
      </c>
      <c r="E55" s="5">
        <v>910339</v>
      </c>
      <c r="F55" s="6">
        <v>4978.1888214999999</v>
      </c>
      <c r="G55" s="7">
        <v>9.4073720000000007E-3</v>
      </c>
      <c r="H55" s="49"/>
    </row>
    <row r="56" spans="1:8" ht="17.100000000000001" customHeight="1" x14ac:dyDescent="0.2">
      <c r="A56" s="3">
        <v>50</v>
      </c>
      <c r="B56" s="4" t="s">
        <v>270</v>
      </c>
      <c r="C56" s="4" t="s">
        <v>271</v>
      </c>
      <c r="D56" s="4" t="s">
        <v>974</v>
      </c>
      <c r="E56" s="5">
        <v>241818</v>
      </c>
      <c r="F56" s="6">
        <v>4878.0736049999996</v>
      </c>
      <c r="G56" s="7">
        <v>9.2181820000000001E-3</v>
      </c>
      <c r="H56" s="49"/>
    </row>
    <row r="57" spans="1:8" ht="29.1" customHeight="1" x14ac:dyDescent="0.2">
      <c r="A57" s="3">
        <v>51</v>
      </c>
      <c r="B57" s="4" t="s">
        <v>356</v>
      </c>
      <c r="C57" s="4" t="s">
        <v>357</v>
      </c>
      <c r="D57" s="4" t="s">
        <v>193</v>
      </c>
      <c r="E57" s="5">
        <v>58125</v>
      </c>
      <c r="F57" s="6">
        <v>4862.0109375000002</v>
      </c>
      <c r="G57" s="7">
        <v>9.1878280000000003E-3</v>
      </c>
      <c r="H57" s="49"/>
    </row>
    <row r="58" spans="1:8" ht="17.100000000000001" customHeight="1" x14ac:dyDescent="0.2">
      <c r="A58" s="3">
        <v>52</v>
      </c>
      <c r="B58" s="4" t="s">
        <v>203</v>
      </c>
      <c r="C58" s="4" t="s">
        <v>204</v>
      </c>
      <c r="D58" s="4" t="s">
        <v>974</v>
      </c>
      <c r="E58" s="5">
        <v>116944</v>
      </c>
      <c r="F58" s="6">
        <v>4858.6723679999996</v>
      </c>
      <c r="G58" s="7">
        <v>9.1815190000000008E-3</v>
      </c>
      <c r="H58" s="49"/>
    </row>
    <row r="59" spans="1:8" ht="29.1" customHeight="1" x14ac:dyDescent="0.2">
      <c r="A59" s="3">
        <v>53</v>
      </c>
      <c r="B59" s="4" t="s">
        <v>81</v>
      </c>
      <c r="C59" s="4" t="s">
        <v>82</v>
      </c>
      <c r="D59" s="4" t="s">
        <v>25</v>
      </c>
      <c r="E59" s="5">
        <v>19449</v>
      </c>
      <c r="F59" s="6">
        <v>4644.3725775000003</v>
      </c>
      <c r="G59" s="7">
        <v>8.7765529999999994E-3</v>
      </c>
      <c r="H59" s="49"/>
    </row>
    <row r="60" spans="1:8" ht="17.100000000000001" customHeight="1" x14ac:dyDescent="0.2">
      <c r="A60" s="3">
        <v>54</v>
      </c>
      <c r="B60" s="4" t="s">
        <v>261</v>
      </c>
      <c r="C60" s="4" t="s">
        <v>262</v>
      </c>
      <c r="D60" s="4" t="s">
        <v>108</v>
      </c>
      <c r="E60" s="5">
        <v>509693</v>
      </c>
      <c r="F60" s="6">
        <v>4238.8618345000004</v>
      </c>
      <c r="G60" s="7">
        <v>8.0102530000000002E-3</v>
      </c>
      <c r="H60" s="49"/>
    </row>
    <row r="61" spans="1:8" ht="17.100000000000001" customHeight="1" x14ac:dyDescent="0.2">
      <c r="A61" s="3">
        <v>55</v>
      </c>
      <c r="B61" s="4" t="s">
        <v>194</v>
      </c>
      <c r="C61" s="4" t="s">
        <v>195</v>
      </c>
      <c r="D61" s="4" t="s">
        <v>196</v>
      </c>
      <c r="E61" s="5">
        <v>8729</v>
      </c>
      <c r="F61" s="6">
        <v>4138.9993784999997</v>
      </c>
      <c r="G61" s="7">
        <v>7.8215409999999996E-3</v>
      </c>
      <c r="H61" s="49"/>
    </row>
    <row r="62" spans="1:8" ht="17.100000000000001" customHeight="1" x14ac:dyDescent="0.2">
      <c r="A62" s="3">
        <v>56</v>
      </c>
      <c r="B62" s="4" t="s">
        <v>90</v>
      </c>
      <c r="C62" s="4" t="s">
        <v>91</v>
      </c>
      <c r="D62" s="4" t="s">
        <v>31</v>
      </c>
      <c r="E62" s="5">
        <v>286278</v>
      </c>
      <c r="F62" s="6">
        <v>4046.53953</v>
      </c>
      <c r="G62" s="7">
        <v>7.6468179999999997E-3</v>
      </c>
      <c r="H62" s="49"/>
    </row>
    <row r="63" spans="1:8" ht="29.1" customHeight="1" x14ac:dyDescent="0.2">
      <c r="A63" s="3">
        <v>57</v>
      </c>
      <c r="B63" s="4" t="s">
        <v>191</v>
      </c>
      <c r="C63" s="4" t="s">
        <v>192</v>
      </c>
      <c r="D63" s="4" t="s">
        <v>193</v>
      </c>
      <c r="E63" s="5">
        <v>150285</v>
      </c>
      <c r="F63" s="6">
        <v>3555.2922450000001</v>
      </c>
      <c r="G63" s="7">
        <v>6.7184990000000002E-3</v>
      </c>
      <c r="H63" s="49"/>
    </row>
    <row r="64" spans="1:8" ht="17.100000000000001" customHeight="1" x14ac:dyDescent="0.2">
      <c r="A64" s="3">
        <v>58</v>
      </c>
      <c r="B64" s="4" t="s">
        <v>358</v>
      </c>
      <c r="C64" s="4" t="s">
        <v>359</v>
      </c>
      <c r="D64" s="4" t="s">
        <v>108</v>
      </c>
      <c r="E64" s="5">
        <v>348399</v>
      </c>
      <c r="F64" s="6">
        <v>3294.6351435000001</v>
      </c>
      <c r="G64" s="7">
        <v>6.2259309999999997E-3</v>
      </c>
      <c r="H64" s="49"/>
    </row>
    <row r="65" spans="1:8" ht="17.100000000000001" customHeight="1" x14ac:dyDescent="0.2">
      <c r="A65" s="3">
        <v>59</v>
      </c>
      <c r="B65" s="4" t="s">
        <v>360</v>
      </c>
      <c r="C65" s="4" t="s">
        <v>361</v>
      </c>
      <c r="D65" s="4" t="s">
        <v>89</v>
      </c>
      <c r="E65" s="5">
        <v>328185</v>
      </c>
      <c r="F65" s="6">
        <v>3004.6977674999998</v>
      </c>
      <c r="G65" s="7">
        <v>5.6780310000000001E-3</v>
      </c>
      <c r="H65" s="49"/>
    </row>
    <row r="66" spans="1:8" ht="17.100000000000001" customHeight="1" x14ac:dyDescent="0.2">
      <c r="A66" s="3">
        <v>60</v>
      </c>
      <c r="B66" s="4" t="s">
        <v>247</v>
      </c>
      <c r="C66" s="4" t="s">
        <v>248</v>
      </c>
      <c r="D66" s="4" t="s">
        <v>103</v>
      </c>
      <c r="E66" s="5">
        <v>492415</v>
      </c>
      <c r="F66" s="6">
        <v>2907.7105750000001</v>
      </c>
      <c r="G66" s="7">
        <v>5.4947520000000003E-3</v>
      </c>
      <c r="H66" s="49"/>
    </row>
    <row r="67" spans="1:8" ht="17.100000000000001" customHeight="1" x14ac:dyDescent="0.2">
      <c r="A67" s="3">
        <v>61</v>
      </c>
      <c r="B67" s="4" t="s">
        <v>272</v>
      </c>
      <c r="C67" s="4" t="s">
        <v>273</v>
      </c>
      <c r="D67" s="4" t="s">
        <v>108</v>
      </c>
      <c r="E67" s="5">
        <v>198211</v>
      </c>
      <c r="F67" s="6">
        <v>2282.0032430000001</v>
      </c>
      <c r="G67" s="7">
        <v>4.3123420000000003E-3</v>
      </c>
      <c r="H67" s="49"/>
    </row>
    <row r="68" spans="1:8" ht="29.1" customHeight="1" x14ac:dyDescent="0.2">
      <c r="A68" s="3">
        <v>62</v>
      </c>
      <c r="B68" s="4" t="s">
        <v>362</v>
      </c>
      <c r="C68" s="4" t="s">
        <v>363</v>
      </c>
      <c r="D68" s="4" t="s">
        <v>364</v>
      </c>
      <c r="E68" s="5">
        <v>264100</v>
      </c>
      <c r="F68" s="6">
        <v>2160.4700499999999</v>
      </c>
      <c r="G68" s="7">
        <v>4.0826789999999996E-3</v>
      </c>
      <c r="H68" s="49"/>
    </row>
    <row r="69" spans="1:8" ht="17.100000000000001" customHeight="1" x14ac:dyDescent="0.2">
      <c r="A69" s="3">
        <v>63</v>
      </c>
      <c r="B69" s="4" t="s">
        <v>365</v>
      </c>
      <c r="C69" s="4" t="s">
        <v>366</v>
      </c>
      <c r="D69" s="4" t="s">
        <v>108</v>
      </c>
      <c r="E69" s="5">
        <v>80959</v>
      </c>
      <c r="F69" s="6">
        <v>2147.8422700000001</v>
      </c>
      <c r="G69" s="7">
        <v>4.0588159999999998E-3</v>
      </c>
      <c r="H69" s="49"/>
    </row>
    <row r="70" spans="1:8" ht="17.100000000000001" customHeight="1" x14ac:dyDescent="0.2">
      <c r="A70" s="3">
        <v>64</v>
      </c>
      <c r="B70" s="4" t="s">
        <v>367</v>
      </c>
      <c r="C70" s="4" t="s">
        <v>368</v>
      </c>
      <c r="D70" s="4" t="s">
        <v>188</v>
      </c>
      <c r="E70" s="5">
        <v>989118</v>
      </c>
      <c r="F70" s="6">
        <v>1704.2503139999999</v>
      </c>
      <c r="G70" s="7">
        <v>3.2205519999999998E-3</v>
      </c>
      <c r="H70" s="49"/>
    </row>
    <row r="71" spans="1:8" ht="17.100000000000001" customHeight="1" x14ac:dyDescent="0.2">
      <c r="A71" s="3">
        <v>65</v>
      </c>
      <c r="B71" s="4" t="s">
        <v>241</v>
      </c>
      <c r="C71" s="4" t="s">
        <v>242</v>
      </c>
      <c r="D71" s="4" t="s">
        <v>108</v>
      </c>
      <c r="E71" s="5">
        <v>192573</v>
      </c>
      <c r="F71" s="6">
        <v>1578.1357350000001</v>
      </c>
      <c r="G71" s="7">
        <v>2.9822310000000001E-3</v>
      </c>
      <c r="H71" s="49"/>
    </row>
    <row r="72" spans="1:8" ht="17.100000000000001" customHeight="1" x14ac:dyDescent="0.2">
      <c r="A72" s="3">
        <v>66</v>
      </c>
      <c r="B72" s="4" t="s">
        <v>73</v>
      </c>
      <c r="C72" s="4" t="s">
        <v>74</v>
      </c>
      <c r="D72" s="4" t="s">
        <v>38</v>
      </c>
      <c r="E72" s="5">
        <v>518396</v>
      </c>
      <c r="F72" s="6">
        <v>1487.5373219999999</v>
      </c>
      <c r="G72" s="7">
        <v>2.8110259999999999E-3</v>
      </c>
      <c r="H72" s="49"/>
    </row>
    <row r="73" spans="1:8" ht="17.100000000000001" customHeight="1" x14ac:dyDescent="0.2">
      <c r="A73" s="3">
        <v>67</v>
      </c>
      <c r="B73" s="4" t="s">
        <v>125</v>
      </c>
      <c r="C73" s="4" t="s">
        <v>126</v>
      </c>
      <c r="D73" s="4"/>
      <c r="E73" s="5">
        <v>378482</v>
      </c>
      <c r="F73" s="6">
        <v>1142.0694350000001</v>
      </c>
      <c r="G73" s="7">
        <v>2.158189E-3</v>
      </c>
      <c r="H73" s="49"/>
    </row>
    <row r="74" spans="1:8" ht="29.1" customHeight="1" x14ac:dyDescent="0.2">
      <c r="A74" s="3">
        <v>68</v>
      </c>
      <c r="B74" s="4" t="s">
        <v>249</v>
      </c>
      <c r="C74" s="4" t="s">
        <v>250</v>
      </c>
      <c r="D74" s="4" t="s">
        <v>215</v>
      </c>
      <c r="E74" s="5">
        <v>27109</v>
      </c>
      <c r="F74" s="6">
        <v>235.30611999999999</v>
      </c>
      <c r="G74" s="7">
        <v>4.4466200000000002E-4</v>
      </c>
      <c r="H74" s="49"/>
    </row>
    <row r="75" spans="1:8" ht="14.1" customHeight="1" x14ac:dyDescent="0.2">
      <c r="A75" s="1"/>
      <c r="B75" s="1"/>
      <c r="C75" s="2" t="s">
        <v>130</v>
      </c>
      <c r="D75" s="1"/>
      <c r="E75" s="1" t="s">
        <v>131</v>
      </c>
      <c r="F75" s="9">
        <v>509076.47622499999</v>
      </c>
      <c r="G75" s="10">
        <v>0.96201086000000002</v>
      </c>
      <c r="H75" s="49"/>
    </row>
    <row r="76" spans="1:8" ht="14.1" customHeight="1" x14ac:dyDescent="0.2">
      <c r="A76" s="1"/>
      <c r="B76" s="1"/>
      <c r="C76" s="11"/>
      <c r="D76" s="1"/>
      <c r="E76" s="1"/>
      <c r="F76" s="12"/>
      <c r="G76" s="12"/>
      <c r="H76" s="49"/>
    </row>
    <row r="77" spans="1:8" ht="14.1" customHeight="1" x14ac:dyDescent="0.2">
      <c r="A77" s="1"/>
      <c r="B77" s="1"/>
      <c r="C77" s="2" t="s">
        <v>132</v>
      </c>
      <c r="D77" s="1"/>
      <c r="E77" s="1"/>
      <c r="F77" s="1"/>
      <c r="G77" s="1"/>
      <c r="H77" s="49"/>
    </row>
    <row r="78" spans="1:8" ht="14.1" customHeight="1" x14ac:dyDescent="0.2">
      <c r="A78" s="1"/>
      <c r="B78" s="1"/>
      <c r="C78" s="2" t="s">
        <v>130</v>
      </c>
      <c r="D78" s="1"/>
      <c r="E78" s="1" t="s">
        <v>131</v>
      </c>
      <c r="F78" s="13">
        <v>0</v>
      </c>
      <c r="G78" s="14">
        <v>0</v>
      </c>
      <c r="H78" s="49"/>
    </row>
    <row r="79" spans="1:8" ht="14.1" customHeight="1" x14ac:dyDescent="0.2">
      <c r="A79" s="1"/>
      <c r="B79" s="1"/>
      <c r="C79" s="11"/>
      <c r="D79" s="1"/>
      <c r="E79" s="1"/>
      <c r="F79" s="12"/>
      <c r="G79" s="12"/>
      <c r="H79" s="49"/>
    </row>
    <row r="80" spans="1:8" ht="14.1" customHeight="1" x14ac:dyDescent="0.2">
      <c r="A80" s="1"/>
      <c r="B80" s="1"/>
      <c r="C80" s="2" t="s">
        <v>133</v>
      </c>
      <c r="D80" s="1"/>
      <c r="E80" s="1"/>
      <c r="F80" s="1"/>
      <c r="G80" s="1"/>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134</v>
      </c>
      <c r="D83" s="1"/>
      <c r="E83" s="1"/>
      <c r="F83" s="1"/>
      <c r="G83" s="1"/>
      <c r="H83" s="49"/>
    </row>
    <row r="84" spans="1:8" ht="14.1" customHeight="1" x14ac:dyDescent="0.2">
      <c r="A84" s="1"/>
      <c r="B84" s="1"/>
      <c r="C84" s="2" t="s">
        <v>130</v>
      </c>
      <c r="D84" s="1"/>
      <c r="E84" s="1" t="s">
        <v>131</v>
      </c>
      <c r="F84" s="13">
        <v>0</v>
      </c>
      <c r="G84" s="14">
        <v>0</v>
      </c>
      <c r="H84" s="49"/>
    </row>
    <row r="85" spans="1:8" ht="14.1" customHeight="1" x14ac:dyDescent="0.2">
      <c r="A85" s="1"/>
      <c r="B85" s="1"/>
      <c r="C85" s="11"/>
      <c r="D85" s="1"/>
      <c r="E85" s="1"/>
      <c r="F85" s="12"/>
      <c r="G85" s="12"/>
      <c r="H85" s="49"/>
    </row>
    <row r="86" spans="1:8" ht="14.1" customHeight="1" x14ac:dyDescent="0.2">
      <c r="A86" s="1"/>
      <c r="B86" s="1"/>
      <c r="C86" s="2" t="s">
        <v>135</v>
      </c>
      <c r="D86" s="1"/>
      <c r="E86" s="1"/>
      <c r="F86" s="12"/>
      <c r="G86" s="12"/>
      <c r="H86" s="49"/>
    </row>
    <row r="87" spans="1:8" ht="14.1" customHeight="1" x14ac:dyDescent="0.2">
      <c r="A87" s="1"/>
      <c r="B87" s="1"/>
      <c r="C87" s="2" t="s">
        <v>130</v>
      </c>
      <c r="D87" s="1"/>
      <c r="E87" s="1" t="s">
        <v>131</v>
      </c>
      <c r="F87" s="13">
        <v>0</v>
      </c>
      <c r="G87" s="14">
        <v>0</v>
      </c>
      <c r="H87" s="49"/>
    </row>
    <row r="88" spans="1:8" ht="14.1" customHeight="1" x14ac:dyDescent="0.2">
      <c r="A88" s="1"/>
      <c r="B88" s="1"/>
      <c r="C88" s="11"/>
      <c r="D88" s="1"/>
      <c r="E88" s="1"/>
      <c r="F88" s="12"/>
      <c r="G88" s="12"/>
      <c r="H88" s="49"/>
    </row>
    <row r="89" spans="1:8" ht="14.1" customHeight="1" x14ac:dyDescent="0.2">
      <c r="A89" s="1"/>
      <c r="B89" s="1"/>
      <c r="C89" s="2" t="s">
        <v>136</v>
      </c>
      <c r="D89" s="1"/>
      <c r="E89" s="1"/>
      <c r="F89" s="12"/>
      <c r="G89" s="12"/>
      <c r="H89" s="49"/>
    </row>
    <row r="90" spans="1:8" ht="14.1" customHeight="1" x14ac:dyDescent="0.2">
      <c r="A90" s="1"/>
      <c r="B90" s="1"/>
      <c r="C90" s="2" t="s">
        <v>130</v>
      </c>
      <c r="D90" s="1"/>
      <c r="E90" s="1" t="s">
        <v>131</v>
      </c>
      <c r="F90" s="13">
        <v>0</v>
      </c>
      <c r="G90" s="14">
        <v>0</v>
      </c>
      <c r="H90" s="49"/>
    </row>
    <row r="91" spans="1:8" ht="14.1" customHeight="1" x14ac:dyDescent="0.2">
      <c r="A91" s="1"/>
      <c r="B91" s="1"/>
      <c r="C91" s="11"/>
      <c r="D91" s="1"/>
      <c r="E91" s="1"/>
      <c r="F91" s="12"/>
      <c r="G91" s="12"/>
      <c r="H91" s="49"/>
    </row>
    <row r="92" spans="1:8" ht="18" customHeight="1" x14ac:dyDescent="0.2">
      <c r="A92" s="1"/>
      <c r="B92" s="1"/>
      <c r="C92" s="2" t="s">
        <v>137</v>
      </c>
      <c r="D92" s="1"/>
      <c r="E92" s="1"/>
      <c r="F92" s="9">
        <v>509076.47622499999</v>
      </c>
      <c r="G92" s="10">
        <v>0.96201086000000002</v>
      </c>
      <c r="H92" s="49"/>
    </row>
    <row r="93" spans="1:8" ht="14.1" customHeight="1" x14ac:dyDescent="0.2">
      <c r="A93" s="1"/>
      <c r="B93" s="1"/>
      <c r="C93" s="11"/>
      <c r="D93" s="1"/>
      <c r="E93" s="1"/>
      <c r="F93" s="12"/>
      <c r="G93" s="12"/>
      <c r="H93" s="49"/>
    </row>
    <row r="94" spans="1:8" ht="14.1" customHeight="1" x14ac:dyDescent="0.2">
      <c r="A94" s="1"/>
      <c r="B94" s="1"/>
      <c r="C94" s="2" t="s">
        <v>138</v>
      </c>
      <c r="D94" s="1"/>
      <c r="E94" s="1"/>
      <c r="F94" s="12"/>
      <c r="G94" s="12"/>
      <c r="H94" s="49"/>
    </row>
    <row r="95" spans="1:8" ht="24" customHeight="1" x14ac:dyDescent="0.2">
      <c r="A95" s="1"/>
      <c r="B95" s="1"/>
      <c r="C95" s="2" t="s">
        <v>10</v>
      </c>
      <c r="D95" s="1"/>
      <c r="E95" s="1"/>
      <c r="F95" s="12"/>
      <c r="G95" s="12"/>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139</v>
      </c>
      <c r="D98" s="1"/>
      <c r="E98" s="1"/>
      <c r="F98" s="1"/>
      <c r="G98" s="1"/>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2" t="s">
        <v>140</v>
      </c>
      <c r="D101" s="1"/>
      <c r="E101" s="1"/>
      <c r="F101" s="1"/>
      <c r="G101" s="1"/>
      <c r="H101" s="49"/>
    </row>
    <row r="102" spans="1:8" ht="14.1" customHeight="1" x14ac:dyDescent="0.2">
      <c r="A102" s="1"/>
      <c r="B102" s="1"/>
      <c r="C102" s="2" t="s">
        <v>130</v>
      </c>
      <c r="D102" s="1"/>
      <c r="E102" s="1" t="s">
        <v>131</v>
      </c>
      <c r="F102" s="13">
        <v>0</v>
      </c>
      <c r="G102" s="14">
        <v>0</v>
      </c>
      <c r="H102" s="49"/>
    </row>
    <row r="103" spans="1:8" ht="14.1" customHeight="1" x14ac:dyDescent="0.2">
      <c r="A103" s="1"/>
      <c r="B103" s="1"/>
      <c r="C103" s="11"/>
      <c r="D103" s="1"/>
      <c r="E103" s="1"/>
      <c r="F103" s="12"/>
      <c r="G103" s="12"/>
      <c r="H103" s="49"/>
    </row>
    <row r="104" spans="1:8" ht="14.1" customHeight="1" x14ac:dyDescent="0.2">
      <c r="A104" s="1"/>
      <c r="B104" s="1"/>
      <c r="C104" s="2" t="s">
        <v>141</v>
      </c>
      <c r="D104" s="1"/>
      <c r="E104" s="1"/>
      <c r="F104" s="12"/>
      <c r="G104" s="12"/>
      <c r="H104" s="49"/>
    </row>
    <row r="105" spans="1:8" ht="14.1" customHeight="1" x14ac:dyDescent="0.2">
      <c r="A105" s="1"/>
      <c r="B105" s="1"/>
      <c r="C105" s="2" t="s">
        <v>130</v>
      </c>
      <c r="D105" s="1"/>
      <c r="E105" s="1" t="s">
        <v>131</v>
      </c>
      <c r="F105" s="13">
        <v>0</v>
      </c>
      <c r="G105" s="14">
        <v>0</v>
      </c>
      <c r="H105" s="49"/>
    </row>
    <row r="106" spans="1:8" ht="14.1" customHeight="1" x14ac:dyDescent="0.2">
      <c r="A106" s="1"/>
      <c r="B106" s="1"/>
      <c r="C106" s="11"/>
      <c r="D106" s="1"/>
      <c r="E106" s="1"/>
      <c r="F106" s="12"/>
      <c r="G106" s="12"/>
      <c r="H106" s="49"/>
    </row>
    <row r="107" spans="1:8" ht="14.1" customHeight="1" x14ac:dyDescent="0.2">
      <c r="A107" s="1"/>
      <c r="B107" s="1"/>
      <c r="C107" s="2" t="s">
        <v>142</v>
      </c>
      <c r="D107" s="1"/>
      <c r="E107" s="1"/>
      <c r="F107" s="9">
        <v>0</v>
      </c>
      <c r="G107" s="10">
        <v>0</v>
      </c>
      <c r="H107" s="49"/>
    </row>
    <row r="108" spans="1:8" ht="14.1" customHeight="1" x14ac:dyDescent="0.2">
      <c r="A108" s="1"/>
      <c r="B108" s="1"/>
      <c r="C108" s="11"/>
      <c r="D108" s="1"/>
      <c r="E108" s="1"/>
      <c r="F108" s="12"/>
      <c r="G108" s="12"/>
      <c r="H108" s="49"/>
    </row>
    <row r="109" spans="1:8" ht="14.1" customHeight="1" x14ac:dyDescent="0.2">
      <c r="A109" s="1"/>
      <c r="B109" s="1"/>
      <c r="C109" s="2" t="s">
        <v>143</v>
      </c>
      <c r="D109" s="1"/>
      <c r="E109" s="1"/>
      <c r="F109" s="12"/>
      <c r="G109" s="12"/>
      <c r="H109" s="49"/>
    </row>
    <row r="110" spans="1:8" ht="14.1" customHeight="1" x14ac:dyDescent="0.2">
      <c r="A110" s="1"/>
      <c r="B110" s="1"/>
      <c r="C110" s="2" t="s">
        <v>144</v>
      </c>
      <c r="D110" s="1"/>
      <c r="E110" s="1"/>
      <c r="F110" s="12"/>
      <c r="G110" s="12"/>
      <c r="H110" s="49"/>
    </row>
    <row r="111" spans="1:8" ht="14.1" customHeight="1" x14ac:dyDescent="0.2">
      <c r="A111" s="1"/>
      <c r="B111" s="1"/>
      <c r="C111" s="2" t="s">
        <v>130</v>
      </c>
      <c r="D111" s="1"/>
      <c r="E111" s="1" t="s">
        <v>131</v>
      </c>
      <c r="F111" s="13">
        <v>0</v>
      </c>
      <c r="G111" s="14">
        <v>0</v>
      </c>
      <c r="H111" s="49"/>
    </row>
    <row r="112" spans="1:8" ht="14.1" customHeight="1" x14ac:dyDescent="0.2">
      <c r="A112" s="1"/>
      <c r="B112" s="1"/>
      <c r="C112" s="11"/>
      <c r="D112" s="1"/>
      <c r="E112" s="1"/>
      <c r="F112" s="12"/>
      <c r="G112" s="12"/>
      <c r="H112" s="49"/>
    </row>
    <row r="113" spans="1:8" ht="14.1" customHeight="1" x14ac:dyDescent="0.2">
      <c r="A113" s="1"/>
      <c r="B113" s="1"/>
      <c r="C113" s="2" t="s">
        <v>145</v>
      </c>
      <c r="D113" s="1"/>
      <c r="E113" s="1"/>
      <c r="F113" s="12"/>
      <c r="G113" s="12"/>
      <c r="H113" s="49"/>
    </row>
    <row r="114" spans="1:8" ht="14.1" customHeight="1" x14ac:dyDescent="0.2">
      <c r="A114" s="1"/>
      <c r="B114" s="1"/>
      <c r="C114" s="2" t="s">
        <v>130</v>
      </c>
      <c r="D114" s="1"/>
      <c r="E114" s="1" t="s">
        <v>131</v>
      </c>
      <c r="F114" s="13">
        <v>0</v>
      </c>
      <c r="G114" s="14">
        <v>0</v>
      </c>
      <c r="H114" s="49"/>
    </row>
    <row r="115" spans="1:8" ht="14.1" customHeight="1" x14ac:dyDescent="0.2">
      <c r="A115" s="1"/>
      <c r="B115" s="1"/>
      <c r="C115" s="11"/>
      <c r="D115" s="1"/>
      <c r="E115" s="1"/>
      <c r="F115" s="12"/>
      <c r="G115" s="12"/>
      <c r="H115" s="49"/>
    </row>
    <row r="116" spans="1:8" ht="14.1" customHeight="1" x14ac:dyDescent="0.2">
      <c r="A116" s="1"/>
      <c r="B116" s="1"/>
      <c r="C116" s="2" t="s">
        <v>146</v>
      </c>
      <c r="D116" s="1"/>
      <c r="E116" s="1"/>
      <c r="F116" s="12"/>
      <c r="G116" s="12"/>
      <c r="H116" s="49"/>
    </row>
    <row r="117" spans="1:8" ht="14.1" customHeight="1" x14ac:dyDescent="0.2">
      <c r="A117" s="1"/>
      <c r="B117" s="1"/>
      <c r="C117" s="2" t="s">
        <v>130</v>
      </c>
      <c r="D117" s="1"/>
      <c r="E117" s="1" t="s">
        <v>131</v>
      </c>
      <c r="F117" s="13">
        <v>0</v>
      </c>
      <c r="G117" s="14">
        <v>0</v>
      </c>
      <c r="H117" s="49"/>
    </row>
    <row r="118" spans="1:8" ht="14.1" customHeight="1" x14ac:dyDescent="0.2">
      <c r="A118" s="1"/>
      <c r="B118" s="1"/>
      <c r="C118" s="11"/>
      <c r="D118" s="1"/>
      <c r="E118" s="1"/>
      <c r="F118" s="12"/>
      <c r="G118" s="12"/>
      <c r="H118" s="49"/>
    </row>
    <row r="119" spans="1:8" ht="14.1" customHeight="1" x14ac:dyDescent="0.2">
      <c r="A119" s="1"/>
      <c r="B119" s="1"/>
      <c r="C119" s="2" t="s">
        <v>147</v>
      </c>
      <c r="D119" s="1"/>
      <c r="E119" s="1"/>
      <c r="F119" s="12"/>
      <c r="G119" s="12"/>
      <c r="H119" s="49"/>
    </row>
    <row r="120" spans="1:8" ht="17.100000000000001" customHeight="1" x14ac:dyDescent="0.2">
      <c r="A120" s="3">
        <v>1</v>
      </c>
      <c r="B120" s="4"/>
      <c r="C120" s="4" t="s">
        <v>148</v>
      </c>
      <c r="D120" s="4"/>
      <c r="E120" s="8"/>
      <c r="F120" s="6">
        <v>19992.8227601</v>
      </c>
      <c r="G120" s="7">
        <v>3.7780792000000001E-2</v>
      </c>
      <c r="H120" s="49">
        <v>5.6572293145372496</v>
      </c>
    </row>
    <row r="121" spans="1:8" ht="14.1" customHeight="1" x14ac:dyDescent="0.2">
      <c r="A121" s="1"/>
      <c r="B121" s="1"/>
      <c r="C121" s="2" t="s">
        <v>130</v>
      </c>
      <c r="D121" s="1"/>
      <c r="E121" s="1" t="s">
        <v>131</v>
      </c>
      <c r="F121" s="9">
        <v>19992.8227601</v>
      </c>
      <c r="G121" s="10">
        <v>3.7780792000000001E-2</v>
      </c>
      <c r="H121" s="49"/>
    </row>
    <row r="122" spans="1:8" ht="14.1" customHeight="1" x14ac:dyDescent="0.2">
      <c r="A122" s="1"/>
      <c r="B122" s="1"/>
      <c r="C122" s="11"/>
      <c r="D122" s="1"/>
      <c r="E122" s="1"/>
      <c r="F122" s="12"/>
      <c r="G122" s="12"/>
      <c r="H122" s="49"/>
    </row>
    <row r="123" spans="1:8" ht="14.1" customHeight="1" x14ac:dyDescent="0.2">
      <c r="A123" s="1"/>
      <c r="B123" s="1"/>
      <c r="C123" s="2" t="s">
        <v>149</v>
      </c>
      <c r="D123" s="1"/>
      <c r="E123" s="1"/>
      <c r="F123" s="9">
        <v>19992.8227601</v>
      </c>
      <c r="G123" s="10">
        <v>3.7780792000000001E-2</v>
      </c>
      <c r="H123" s="49"/>
    </row>
    <row r="124" spans="1:8" ht="14.1" customHeight="1" x14ac:dyDescent="0.2">
      <c r="A124" s="1"/>
      <c r="B124" s="1"/>
      <c r="C124" s="12"/>
      <c r="D124" s="1"/>
      <c r="E124" s="1"/>
      <c r="F124" s="1"/>
      <c r="G124" s="1"/>
      <c r="H124" s="49"/>
    </row>
    <row r="125" spans="1:8" ht="14.1" customHeight="1" x14ac:dyDescent="0.2">
      <c r="A125" s="1"/>
      <c r="B125" s="1"/>
      <c r="C125" s="2" t="s">
        <v>150</v>
      </c>
      <c r="D125" s="1"/>
      <c r="E125" s="1"/>
      <c r="F125" s="1"/>
      <c r="G125" s="1"/>
      <c r="H125" s="49"/>
    </row>
    <row r="126" spans="1:8" ht="14.1" customHeight="1" x14ac:dyDescent="0.2">
      <c r="A126" s="1"/>
      <c r="B126" s="1"/>
      <c r="C126" s="2" t="s">
        <v>151</v>
      </c>
      <c r="D126" s="1"/>
      <c r="E126" s="1"/>
      <c r="F126" s="1"/>
      <c r="G126" s="1"/>
      <c r="H126" s="49"/>
    </row>
    <row r="127" spans="1:8" ht="14.1" customHeight="1" x14ac:dyDescent="0.2">
      <c r="A127" s="1"/>
      <c r="B127" s="1"/>
      <c r="C127" s="2" t="s">
        <v>130</v>
      </c>
      <c r="D127" s="1"/>
      <c r="E127" s="1" t="s">
        <v>131</v>
      </c>
      <c r="F127" s="13">
        <v>0</v>
      </c>
      <c r="G127" s="14">
        <v>0</v>
      </c>
      <c r="H127" s="49"/>
    </row>
    <row r="128" spans="1:8" ht="14.1" customHeight="1" x14ac:dyDescent="0.2">
      <c r="A128" s="1"/>
      <c r="B128" s="1"/>
      <c r="C128" s="11"/>
      <c r="D128" s="1"/>
      <c r="E128" s="1"/>
      <c r="F128" s="12"/>
      <c r="G128" s="12"/>
      <c r="H128" s="49"/>
    </row>
    <row r="129" spans="1:15" ht="14.1" customHeight="1" x14ac:dyDescent="0.2">
      <c r="A129" s="1"/>
      <c r="B129" s="1"/>
      <c r="C129" s="2" t="s">
        <v>152</v>
      </c>
      <c r="D129" s="1"/>
      <c r="E129" s="1"/>
      <c r="F129" s="1"/>
      <c r="G129" s="1"/>
      <c r="H129" s="49"/>
    </row>
    <row r="130" spans="1:15" ht="14.1" customHeight="1" x14ac:dyDescent="0.2">
      <c r="A130" s="1"/>
      <c r="B130" s="1"/>
      <c r="C130" s="2" t="s">
        <v>153</v>
      </c>
      <c r="D130" s="1"/>
      <c r="E130" s="1"/>
      <c r="F130" s="1"/>
      <c r="G130" s="1"/>
      <c r="H130" s="49"/>
    </row>
    <row r="131" spans="1:15" ht="14.1" customHeight="1" x14ac:dyDescent="0.2">
      <c r="A131" s="1"/>
      <c r="B131" s="1"/>
      <c r="C131" s="2" t="s">
        <v>130</v>
      </c>
      <c r="D131" s="1"/>
      <c r="E131" s="1" t="s">
        <v>131</v>
      </c>
      <c r="F131" s="13">
        <v>0</v>
      </c>
      <c r="G131" s="14">
        <v>0</v>
      </c>
      <c r="H131" s="49"/>
    </row>
    <row r="132" spans="1:15" ht="14.1" customHeight="1" x14ac:dyDescent="0.2">
      <c r="A132" s="1"/>
      <c r="B132" s="1"/>
      <c r="C132" s="11"/>
      <c r="D132" s="1"/>
      <c r="E132" s="1"/>
      <c r="F132" s="12"/>
      <c r="G132" s="12"/>
      <c r="H132" s="49"/>
    </row>
    <row r="133" spans="1:15" ht="14.1" customHeight="1" x14ac:dyDescent="0.2">
      <c r="A133" s="1"/>
      <c r="B133" s="1"/>
      <c r="C133" s="11"/>
      <c r="D133" s="1"/>
      <c r="E133" s="1"/>
      <c r="F133" s="12"/>
      <c r="G133" s="12"/>
      <c r="H133" s="49"/>
    </row>
    <row r="134" spans="1:15" ht="24" customHeight="1" x14ac:dyDescent="0.2">
      <c r="A134" s="1"/>
      <c r="B134" s="1"/>
      <c r="C134" s="2" t="s">
        <v>154</v>
      </c>
      <c r="D134" s="1"/>
      <c r="E134" s="1"/>
      <c r="F134" s="12"/>
      <c r="G134" s="12"/>
      <c r="H134" s="49"/>
    </row>
    <row r="135" spans="1:15" ht="14.1" customHeight="1" x14ac:dyDescent="0.2">
      <c r="A135" s="1"/>
      <c r="B135" s="1"/>
      <c r="C135" s="2" t="s">
        <v>130</v>
      </c>
      <c r="D135" s="1"/>
      <c r="E135" s="1" t="s">
        <v>131</v>
      </c>
      <c r="F135" s="13">
        <v>0</v>
      </c>
      <c r="G135" s="14">
        <v>0</v>
      </c>
      <c r="H135" s="49"/>
    </row>
    <row r="136" spans="1:15" ht="14.1" customHeight="1" x14ac:dyDescent="0.2">
      <c r="A136" s="1"/>
      <c r="B136" s="1"/>
      <c r="C136" s="11"/>
      <c r="D136" s="1"/>
      <c r="E136" s="1"/>
      <c r="F136" s="12"/>
      <c r="G136" s="12"/>
      <c r="H136" s="49"/>
    </row>
    <row r="137" spans="1:15" ht="14.1" customHeight="1" x14ac:dyDescent="0.2">
      <c r="A137" s="1"/>
      <c r="B137" s="4"/>
      <c r="C137" s="4"/>
      <c r="D137" s="2"/>
      <c r="E137" s="1"/>
      <c r="F137" s="4"/>
      <c r="G137" s="8"/>
      <c r="H137" s="49"/>
      <c r="J137" s="218"/>
      <c r="K137" s="218"/>
      <c r="L137" s="218"/>
      <c r="M137" s="218"/>
      <c r="N137" s="218"/>
      <c r="O137" s="218"/>
    </row>
    <row r="138" spans="1:15" ht="18" customHeight="1" x14ac:dyDescent="0.2">
      <c r="A138" s="8"/>
      <c r="B138" s="4"/>
      <c r="C138" s="4" t="s">
        <v>155</v>
      </c>
      <c r="D138" s="4"/>
      <c r="E138" s="8"/>
      <c r="F138" s="6">
        <v>110.25240247000001</v>
      </c>
      <c r="G138" s="7">
        <v>2.0834599999999999E-4</v>
      </c>
      <c r="H138" s="49"/>
    </row>
    <row r="139" spans="1:15" ht="14.1" customHeight="1" x14ac:dyDescent="0.2">
      <c r="A139" s="11"/>
      <c r="B139" s="11"/>
      <c r="C139" s="2" t="s">
        <v>156</v>
      </c>
      <c r="D139" s="15"/>
      <c r="E139" s="15"/>
      <c r="F139" s="9">
        <v>529179.55138756998</v>
      </c>
      <c r="G139" s="14">
        <v>0.99999999799999995</v>
      </c>
      <c r="H139" s="49"/>
    </row>
    <row r="140" spans="1:15" ht="14.1" customHeight="1" x14ac:dyDescent="0.2">
      <c r="A140" s="16"/>
      <c r="B140" s="16"/>
      <c r="C140" s="16"/>
      <c r="D140" s="17"/>
      <c r="E140" s="17"/>
      <c r="F140" s="17"/>
      <c r="G140" s="17"/>
    </row>
    <row r="141" spans="1:15" ht="14.1" customHeight="1" x14ac:dyDescent="0.2">
      <c r="A141" s="18"/>
      <c r="B141" s="18"/>
      <c r="C141" s="18"/>
      <c r="D141" s="20"/>
      <c r="E141" s="20"/>
      <c r="F141" s="20"/>
      <c r="G141" s="20"/>
    </row>
    <row r="142" spans="1:15" ht="14.1" customHeight="1" x14ac:dyDescent="0.2">
      <c r="A142" s="18"/>
      <c r="B142" s="319" t="s">
        <v>158</v>
      </c>
      <c r="C142" s="320"/>
      <c r="D142" s="12" t="s">
        <v>131</v>
      </c>
      <c r="E142" s="21"/>
      <c r="F142" s="20"/>
      <c r="G142" s="20"/>
    </row>
    <row r="143" spans="1:15" ht="29.1" customHeight="1" x14ac:dyDescent="0.2">
      <c r="A143" s="18"/>
      <c r="B143" s="323" t="s">
        <v>159</v>
      </c>
      <c r="C143" s="324"/>
      <c r="D143" s="2" t="s">
        <v>160</v>
      </c>
      <c r="E143" s="21"/>
      <c r="F143" s="20"/>
      <c r="G143" s="20"/>
    </row>
    <row r="144" spans="1:15" ht="17.100000000000001" customHeight="1" x14ac:dyDescent="0.2">
      <c r="A144" s="18"/>
      <c r="B144" s="323" t="s">
        <v>161</v>
      </c>
      <c r="C144" s="324"/>
      <c r="D144" s="2" t="s">
        <v>160</v>
      </c>
      <c r="E144" s="21"/>
      <c r="F144" s="20"/>
      <c r="G144" s="20"/>
    </row>
    <row r="145" spans="1:7" ht="17.100000000000001" customHeight="1" x14ac:dyDescent="0.2">
      <c r="A145" s="18"/>
      <c r="B145" s="323" t="s">
        <v>162</v>
      </c>
      <c r="C145" s="324"/>
      <c r="D145" s="12" t="s">
        <v>131</v>
      </c>
      <c r="E145" s="21"/>
      <c r="F145" s="20"/>
      <c r="G145" s="20"/>
    </row>
    <row r="146" spans="1:7" ht="24" customHeight="1" x14ac:dyDescent="0.2">
      <c r="A146" s="22"/>
      <c r="B146" s="23" t="s">
        <v>131</v>
      </c>
      <c r="C146" s="23" t="s">
        <v>163</v>
      </c>
      <c r="D146" s="23" t="s">
        <v>164</v>
      </c>
      <c r="E146" s="22"/>
      <c r="F146" s="22"/>
      <c r="G146" s="22"/>
    </row>
    <row r="147" spans="1:7" ht="18" customHeight="1" x14ac:dyDescent="0.2">
      <c r="A147" s="22"/>
      <c r="B147" s="23" t="s">
        <v>165</v>
      </c>
      <c r="C147" s="23" t="s">
        <v>166</v>
      </c>
      <c r="D147" s="23" t="s">
        <v>167</v>
      </c>
      <c r="E147" s="22"/>
      <c r="F147" s="22"/>
      <c r="G147" s="22"/>
    </row>
    <row r="148" spans="1:7" ht="17.100000000000001" customHeight="1" x14ac:dyDescent="0.2">
      <c r="A148" s="22"/>
      <c r="B148" s="4" t="s">
        <v>168</v>
      </c>
      <c r="C148" s="24">
        <v>61.0931</v>
      </c>
      <c r="D148" s="24">
        <v>62.198</v>
      </c>
      <c r="E148" s="22"/>
      <c r="F148" s="19"/>
      <c r="G148" s="25"/>
    </row>
    <row r="149" spans="1:7" ht="17.100000000000001" customHeight="1" x14ac:dyDescent="0.2">
      <c r="A149" s="22"/>
      <c r="B149" s="4" t="s">
        <v>1021</v>
      </c>
      <c r="C149" s="24">
        <v>28.277200000000001</v>
      </c>
      <c r="D149" s="24">
        <v>26.771000000000001</v>
      </c>
      <c r="E149" s="22"/>
      <c r="F149" s="19"/>
      <c r="G149" s="25"/>
    </row>
    <row r="150" spans="1:7" ht="17.100000000000001" customHeight="1" x14ac:dyDescent="0.2">
      <c r="A150" s="22"/>
      <c r="B150" s="4" t="s">
        <v>169</v>
      </c>
      <c r="C150" s="24">
        <v>55.939900000000002</v>
      </c>
      <c r="D150" s="24">
        <v>56.897799999999997</v>
      </c>
      <c r="E150" s="22"/>
      <c r="F150" s="19"/>
      <c r="G150" s="25"/>
    </row>
    <row r="151" spans="1:7" ht="17.100000000000001" customHeight="1" x14ac:dyDescent="0.2">
      <c r="A151" s="22"/>
      <c r="B151" s="4" t="s">
        <v>1022</v>
      </c>
      <c r="C151" s="24">
        <v>25.3475</v>
      </c>
      <c r="D151" s="24">
        <v>23.9739</v>
      </c>
      <c r="E151" s="22"/>
      <c r="F151" s="19"/>
      <c r="G151" s="25"/>
    </row>
    <row r="152" spans="1:7" ht="14.1" customHeight="1" x14ac:dyDescent="0.2">
      <c r="A152" s="22"/>
      <c r="B152" s="22"/>
      <c r="C152" s="22"/>
      <c r="D152" s="22"/>
      <c r="E152" s="22"/>
      <c r="F152" s="22"/>
      <c r="G152" s="22"/>
    </row>
    <row r="153" spans="1:7" ht="17.100000000000001" customHeight="1" x14ac:dyDescent="0.2">
      <c r="A153" s="22"/>
      <c r="B153" s="325" t="s">
        <v>1023</v>
      </c>
      <c r="C153" s="326"/>
      <c r="D153" s="57" t="s">
        <v>131</v>
      </c>
      <c r="E153" s="22"/>
      <c r="F153" s="22"/>
      <c r="G153" s="22"/>
    </row>
    <row r="154" spans="1:7" ht="18" customHeight="1" x14ac:dyDescent="0.2">
      <c r="A154" s="61"/>
      <c r="B154" s="62" t="s">
        <v>165</v>
      </c>
      <c r="C154" s="63" t="s">
        <v>820</v>
      </c>
      <c r="D154" s="63" t="s">
        <v>821</v>
      </c>
      <c r="E154" s="61"/>
      <c r="F154" s="61"/>
      <c r="G154" s="61"/>
    </row>
    <row r="155" spans="1:7" ht="17.100000000000001" customHeight="1" x14ac:dyDescent="0.2">
      <c r="A155" s="22"/>
      <c r="B155" s="39" t="s">
        <v>1021</v>
      </c>
      <c r="C155" s="64">
        <v>1.99</v>
      </c>
      <c r="D155" s="64">
        <v>1.99</v>
      </c>
      <c r="E155" s="22"/>
      <c r="F155" s="19"/>
      <c r="G155" s="25"/>
    </row>
    <row r="156" spans="1:7" ht="17.100000000000001" customHeight="1" x14ac:dyDescent="0.2">
      <c r="A156" s="22"/>
      <c r="B156" s="39" t="s">
        <v>1022</v>
      </c>
      <c r="C156" s="64">
        <v>1.784</v>
      </c>
      <c r="D156" s="64">
        <v>1.784</v>
      </c>
      <c r="E156" s="22"/>
      <c r="F156" s="19"/>
      <c r="G156" s="25"/>
    </row>
    <row r="157" spans="1:7" ht="14.1" customHeight="1" x14ac:dyDescent="0.2">
      <c r="A157" s="22"/>
      <c r="B157" s="19"/>
      <c r="C157" s="19"/>
      <c r="D157" s="22"/>
      <c r="E157" s="22"/>
      <c r="F157" s="22"/>
      <c r="G157" s="22"/>
    </row>
    <row r="158" spans="1:7" ht="29.1" customHeight="1" x14ac:dyDescent="0.2">
      <c r="A158" s="22"/>
      <c r="B158" s="323" t="s">
        <v>170</v>
      </c>
      <c r="C158" s="324"/>
      <c r="D158" s="2" t="s">
        <v>160</v>
      </c>
      <c r="E158" s="22"/>
      <c r="F158" s="22"/>
      <c r="G158" s="22"/>
    </row>
    <row r="159" spans="1:7" ht="29.1" customHeight="1" x14ac:dyDescent="0.2">
      <c r="A159" s="22"/>
      <c r="B159" s="323" t="s">
        <v>171</v>
      </c>
      <c r="C159" s="324"/>
      <c r="D159" s="2" t="s">
        <v>160</v>
      </c>
      <c r="E159" s="22"/>
      <c r="F159" s="22"/>
      <c r="G159" s="22"/>
    </row>
    <row r="160" spans="1:7" ht="17.100000000000001" customHeight="1" x14ac:dyDescent="0.2">
      <c r="A160" s="22"/>
      <c r="B160" s="323" t="s">
        <v>172</v>
      </c>
      <c r="C160" s="324"/>
      <c r="D160" s="27">
        <v>0.22328136328863168</v>
      </c>
      <c r="E160" s="22"/>
      <c r="F160" s="19"/>
      <c r="G160" s="25"/>
    </row>
    <row r="161" spans="1:7" ht="17.100000000000001" customHeight="1" x14ac:dyDescent="0.2">
      <c r="A161" s="22"/>
      <c r="B161" s="323" t="s">
        <v>173</v>
      </c>
      <c r="C161" s="324"/>
      <c r="D161" s="2" t="s">
        <v>160</v>
      </c>
      <c r="E161" s="22"/>
      <c r="F161" s="22"/>
      <c r="G161" s="22"/>
    </row>
  </sheetData>
  <mergeCells count="13">
    <mergeCell ref="J2:N2"/>
    <mergeCell ref="B161:C161"/>
    <mergeCell ref="B143:C143"/>
    <mergeCell ref="B144:C144"/>
    <mergeCell ref="B145:C145"/>
    <mergeCell ref="B153:C153"/>
    <mergeCell ref="B158:C158"/>
    <mergeCell ref="B159:C159"/>
    <mergeCell ref="A1:H1"/>
    <mergeCell ref="A2:H2"/>
    <mergeCell ref="A3:H3"/>
    <mergeCell ref="B142:C142"/>
    <mergeCell ref="B160:C160"/>
  </mergeCells>
  <hyperlinks>
    <hyperlink ref="I1" location="Index!B6" display="Index" xr:uid="{91798C1A-E067-47D1-A526-82D42543BA8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369</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106</v>
      </c>
      <c r="C7" s="4" t="s">
        <v>107</v>
      </c>
      <c r="D7" s="4" t="s">
        <v>108</v>
      </c>
      <c r="E7" s="5">
        <v>252941</v>
      </c>
      <c r="F7" s="6">
        <v>977.9963765</v>
      </c>
      <c r="G7" s="7">
        <v>3.1130425999999999E-2</v>
      </c>
      <c r="H7" s="49"/>
    </row>
    <row r="8" spans="1:15" ht="29.1" customHeight="1" x14ac:dyDescent="0.2">
      <c r="A8" s="3">
        <v>2</v>
      </c>
      <c r="B8" s="4" t="s">
        <v>189</v>
      </c>
      <c r="C8" s="4" t="s">
        <v>190</v>
      </c>
      <c r="D8" s="4" t="s">
        <v>108</v>
      </c>
      <c r="E8" s="5">
        <v>238680</v>
      </c>
      <c r="F8" s="6">
        <v>866.05038000000002</v>
      </c>
      <c r="G8" s="7">
        <v>2.7567093000000001E-2</v>
      </c>
      <c r="H8" s="49"/>
    </row>
    <row r="9" spans="1:15" ht="17.100000000000001" customHeight="1" x14ac:dyDescent="0.2">
      <c r="A9" s="3">
        <v>3</v>
      </c>
      <c r="B9" s="4" t="s">
        <v>285</v>
      </c>
      <c r="C9" s="4" t="s">
        <v>286</v>
      </c>
      <c r="D9" s="4" t="s">
        <v>22</v>
      </c>
      <c r="E9" s="5">
        <v>258753</v>
      </c>
      <c r="F9" s="6">
        <v>618.67842299999995</v>
      </c>
      <c r="G9" s="7">
        <v>1.9693041000000001E-2</v>
      </c>
      <c r="H9" s="49"/>
    </row>
    <row r="10" spans="1:15" ht="17.100000000000001" customHeight="1" x14ac:dyDescent="0.2">
      <c r="A10" s="3">
        <v>4</v>
      </c>
      <c r="B10" s="4" t="s">
        <v>370</v>
      </c>
      <c r="C10" s="4" t="s">
        <v>371</v>
      </c>
      <c r="D10" s="4" t="s">
        <v>108</v>
      </c>
      <c r="E10" s="5">
        <v>95870</v>
      </c>
      <c r="F10" s="6">
        <v>519.99887999999999</v>
      </c>
      <c r="G10" s="7">
        <v>1.6551989999999999E-2</v>
      </c>
      <c r="H10" s="49"/>
    </row>
    <row r="11" spans="1:15" ht="17.100000000000001" customHeight="1" x14ac:dyDescent="0.2">
      <c r="A11" s="3">
        <v>5</v>
      </c>
      <c r="B11" s="4" t="s">
        <v>372</v>
      </c>
      <c r="C11" s="4" t="s">
        <v>373</v>
      </c>
      <c r="D11" s="4" t="s">
        <v>103</v>
      </c>
      <c r="E11" s="5">
        <v>93044</v>
      </c>
      <c r="F11" s="6">
        <v>514.57984199999999</v>
      </c>
      <c r="G11" s="7">
        <v>1.6379497999999999E-2</v>
      </c>
      <c r="H11" s="49"/>
    </row>
    <row r="12" spans="1:15" ht="17.100000000000001" customHeight="1" x14ac:dyDescent="0.2">
      <c r="A12" s="3">
        <v>6</v>
      </c>
      <c r="B12" s="4" t="s">
        <v>300</v>
      </c>
      <c r="C12" s="4" t="s">
        <v>301</v>
      </c>
      <c r="D12" s="4" t="s">
        <v>230</v>
      </c>
      <c r="E12" s="5">
        <v>72301</v>
      </c>
      <c r="F12" s="6">
        <v>390.063895</v>
      </c>
      <c r="G12" s="7">
        <v>1.2416053E-2</v>
      </c>
      <c r="H12" s="49"/>
    </row>
    <row r="13" spans="1:15" ht="17.100000000000001" customHeight="1" x14ac:dyDescent="0.2">
      <c r="A13" s="3">
        <v>7</v>
      </c>
      <c r="B13" s="4" t="s">
        <v>374</v>
      </c>
      <c r="C13" s="4" t="s">
        <v>375</v>
      </c>
      <c r="D13" s="4" t="s">
        <v>103</v>
      </c>
      <c r="E13" s="5">
        <v>47334</v>
      </c>
      <c r="F13" s="6">
        <v>347.289558</v>
      </c>
      <c r="G13" s="7">
        <v>1.1054511E-2</v>
      </c>
      <c r="H13" s="49"/>
      <c r="J13" s="217" t="s">
        <v>1077</v>
      </c>
    </row>
    <row r="14" spans="1:15" ht="17.100000000000001" customHeight="1" x14ac:dyDescent="0.2">
      <c r="A14" s="3">
        <v>8</v>
      </c>
      <c r="B14" s="4" t="s">
        <v>376</v>
      </c>
      <c r="C14" s="4" t="s">
        <v>377</v>
      </c>
      <c r="D14" s="4" t="s">
        <v>108</v>
      </c>
      <c r="E14" s="5">
        <v>49939</v>
      </c>
      <c r="F14" s="6">
        <v>304.27832699999999</v>
      </c>
      <c r="G14" s="7">
        <v>9.6854279999999994E-3</v>
      </c>
      <c r="H14" s="49"/>
    </row>
    <row r="15" spans="1:15" ht="17.100000000000001" customHeight="1" x14ac:dyDescent="0.2">
      <c r="A15" s="3">
        <v>9</v>
      </c>
      <c r="B15" s="4" t="s">
        <v>247</v>
      </c>
      <c r="C15" s="4" t="s">
        <v>248</v>
      </c>
      <c r="D15" s="4" t="s">
        <v>103</v>
      </c>
      <c r="E15" s="5">
        <v>47685</v>
      </c>
      <c r="F15" s="6">
        <v>281.579925</v>
      </c>
      <c r="G15" s="7">
        <v>8.9629199999999992E-3</v>
      </c>
      <c r="H15" s="49"/>
    </row>
    <row r="16" spans="1:15" ht="29.1" customHeight="1" x14ac:dyDescent="0.2">
      <c r="A16" s="3">
        <v>10</v>
      </c>
      <c r="B16" s="4" t="s">
        <v>378</v>
      </c>
      <c r="C16" s="4" t="s">
        <v>379</v>
      </c>
      <c r="D16" s="4" t="s">
        <v>380</v>
      </c>
      <c r="E16" s="5">
        <v>64218</v>
      </c>
      <c r="F16" s="6">
        <v>255.234441</v>
      </c>
      <c r="G16" s="7">
        <v>8.1243210000000003E-3</v>
      </c>
      <c r="H16" s="49"/>
    </row>
    <row r="17" spans="1:8" ht="29.1" customHeight="1" x14ac:dyDescent="0.2">
      <c r="A17" s="3">
        <v>11</v>
      </c>
      <c r="B17" s="4" t="s">
        <v>381</v>
      </c>
      <c r="C17" s="4" t="s">
        <v>382</v>
      </c>
      <c r="D17" s="4" t="s">
        <v>193</v>
      </c>
      <c r="E17" s="5">
        <v>23134</v>
      </c>
      <c r="F17" s="6">
        <v>182.26121900000001</v>
      </c>
      <c r="G17" s="7">
        <v>5.8015239999999997E-3</v>
      </c>
      <c r="H17" s="49"/>
    </row>
    <row r="18" spans="1:8" ht="17.100000000000001" customHeight="1" x14ac:dyDescent="0.2">
      <c r="A18" s="3">
        <v>12</v>
      </c>
      <c r="B18" s="4" t="s">
        <v>383</v>
      </c>
      <c r="C18" s="4" t="s">
        <v>384</v>
      </c>
      <c r="D18" s="4" t="s">
        <v>31</v>
      </c>
      <c r="E18" s="5">
        <v>18881</v>
      </c>
      <c r="F18" s="6">
        <v>161.092692</v>
      </c>
      <c r="G18" s="7">
        <v>5.1277120000000004E-3</v>
      </c>
      <c r="H18" s="49"/>
    </row>
    <row r="19" spans="1:8" ht="29.1" customHeight="1" x14ac:dyDescent="0.2">
      <c r="A19" s="3">
        <v>13</v>
      </c>
      <c r="B19" s="4" t="s">
        <v>385</v>
      </c>
      <c r="C19" s="4" t="s">
        <v>386</v>
      </c>
      <c r="D19" s="4" t="s">
        <v>69</v>
      </c>
      <c r="E19" s="5">
        <v>9695</v>
      </c>
      <c r="F19" s="6">
        <v>153.8257175</v>
      </c>
      <c r="G19" s="7">
        <v>4.8963990000000001E-3</v>
      </c>
      <c r="H19" s="49"/>
    </row>
    <row r="20" spans="1:8" ht="29.1" customHeight="1" x14ac:dyDescent="0.2">
      <c r="A20" s="3">
        <v>14</v>
      </c>
      <c r="B20" s="4" t="s">
        <v>387</v>
      </c>
      <c r="C20" s="4" t="s">
        <v>388</v>
      </c>
      <c r="D20" s="4" t="s">
        <v>215</v>
      </c>
      <c r="E20" s="5">
        <v>3032</v>
      </c>
      <c r="F20" s="6">
        <v>126.25248000000001</v>
      </c>
      <c r="G20" s="7">
        <v>4.0187199999999999E-3</v>
      </c>
      <c r="H20" s="49"/>
    </row>
    <row r="21" spans="1:8" ht="17.100000000000001" customHeight="1" x14ac:dyDescent="0.2">
      <c r="A21" s="3">
        <v>15</v>
      </c>
      <c r="B21" s="4" t="s">
        <v>389</v>
      </c>
      <c r="C21" s="4" t="s">
        <v>390</v>
      </c>
      <c r="D21" s="4" t="s">
        <v>103</v>
      </c>
      <c r="E21" s="5">
        <v>91618</v>
      </c>
      <c r="F21" s="6">
        <v>109.391892</v>
      </c>
      <c r="G21" s="7">
        <v>3.4820340000000002E-3</v>
      </c>
      <c r="H21" s="49"/>
    </row>
    <row r="22" spans="1:8" ht="29.1" customHeight="1" x14ac:dyDescent="0.2">
      <c r="A22" s="3">
        <v>16</v>
      </c>
      <c r="B22" s="4" t="s">
        <v>283</v>
      </c>
      <c r="C22" s="4" t="s">
        <v>284</v>
      </c>
      <c r="D22" s="4" t="s">
        <v>193</v>
      </c>
      <c r="E22" s="5">
        <v>12796</v>
      </c>
      <c r="F22" s="6">
        <v>92.009637999999995</v>
      </c>
      <c r="G22" s="7">
        <v>2.9287419999999998E-3</v>
      </c>
      <c r="H22" s="49"/>
    </row>
    <row r="23" spans="1:8" ht="17.100000000000001" customHeight="1" x14ac:dyDescent="0.2">
      <c r="A23" s="3">
        <v>17</v>
      </c>
      <c r="B23" s="4" t="s">
        <v>391</v>
      </c>
      <c r="C23" s="4" t="s">
        <v>392</v>
      </c>
      <c r="D23" s="4" t="s">
        <v>196</v>
      </c>
      <c r="E23" s="5">
        <v>7758</v>
      </c>
      <c r="F23" s="6">
        <v>58.219911000000003</v>
      </c>
      <c r="G23" s="7">
        <v>1.8531870000000001E-3</v>
      </c>
      <c r="H23" s="49"/>
    </row>
    <row r="24" spans="1:8" ht="17.100000000000001" customHeight="1" x14ac:dyDescent="0.2">
      <c r="A24" s="3">
        <v>18</v>
      </c>
      <c r="B24" s="4" t="s">
        <v>393</v>
      </c>
      <c r="C24" s="4" t="s">
        <v>394</v>
      </c>
      <c r="D24" s="4" t="s">
        <v>16</v>
      </c>
      <c r="E24" s="5">
        <v>12313</v>
      </c>
      <c r="F24" s="6">
        <v>26.879279</v>
      </c>
      <c r="G24" s="7">
        <v>8.5558900000000002E-4</v>
      </c>
      <c r="H24" s="49"/>
    </row>
    <row r="25" spans="1:8" ht="14.1" customHeight="1" x14ac:dyDescent="0.2">
      <c r="A25" s="1"/>
      <c r="B25" s="1"/>
      <c r="C25" s="2" t="s">
        <v>130</v>
      </c>
      <c r="D25" s="1"/>
      <c r="E25" s="1" t="s">
        <v>131</v>
      </c>
      <c r="F25" s="9">
        <v>5985.6828759999999</v>
      </c>
      <c r="G25" s="10">
        <v>0.19052918799999999</v>
      </c>
      <c r="H25" s="49"/>
    </row>
    <row r="26" spans="1:8" ht="14.1" customHeight="1" x14ac:dyDescent="0.2">
      <c r="A26" s="1"/>
      <c r="B26" s="1"/>
      <c r="C26" s="11"/>
      <c r="D26" s="1"/>
      <c r="E26" s="1"/>
      <c r="F26" s="12"/>
      <c r="G26" s="12"/>
      <c r="H26" s="49"/>
    </row>
    <row r="27" spans="1:8" ht="14.1" customHeight="1" x14ac:dyDescent="0.2">
      <c r="A27" s="1"/>
      <c r="B27" s="1"/>
      <c r="C27" s="2" t="s">
        <v>132</v>
      </c>
      <c r="D27" s="1"/>
      <c r="E27" s="1"/>
      <c r="F27" s="1"/>
      <c r="G27" s="1"/>
      <c r="H27" s="49"/>
    </row>
    <row r="28" spans="1:8" ht="14.1" customHeight="1" x14ac:dyDescent="0.2">
      <c r="A28" s="1"/>
      <c r="B28" s="1"/>
      <c r="C28" s="2" t="s">
        <v>130</v>
      </c>
      <c r="D28" s="1"/>
      <c r="E28" s="1" t="s">
        <v>131</v>
      </c>
      <c r="F28" s="13">
        <v>0</v>
      </c>
      <c r="G28" s="14">
        <v>0</v>
      </c>
      <c r="H28" s="49"/>
    </row>
    <row r="29" spans="1:8" ht="14.1" customHeight="1" x14ac:dyDescent="0.2">
      <c r="A29" s="1"/>
      <c r="B29" s="1"/>
      <c r="C29" s="11"/>
      <c r="D29" s="1"/>
      <c r="E29" s="1"/>
      <c r="F29" s="12"/>
      <c r="G29" s="12"/>
      <c r="H29" s="49"/>
    </row>
    <row r="30" spans="1:8" ht="14.1" customHeight="1" x14ac:dyDescent="0.2">
      <c r="A30" s="1"/>
      <c r="B30" s="1"/>
      <c r="C30" s="2" t="s">
        <v>133</v>
      </c>
      <c r="D30" s="1"/>
      <c r="E30" s="1"/>
      <c r="F30" s="1"/>
      <c r="G30" s="1"/>
      <c r="H30" s="49"/>
    </row>
    <row r="31" spans="1:8" ht="14.1" customHeight="1" x14ac:dyDescent="0.2">
      <c r="A31" s="1"/>
      <c r="B31" s="1"/>
      <c r="C31" s="2" t="s">
        <v>130</v>
      </c>
      <c r="D31" s="1"/>
      <c r="E31" s="1" t="s">
        <v>131</v>
      </c>
      <c r="F31" s="13">
        <v>0</v>
      </c>
      <c r="G31" s="14">
        <v>0</v>
      </c>
      <c r="H31" s="49"/>
    </row>
    <row r="32" spans="1:8" ht="14.1" customHeight="1" x14ac:dyDescent="0.2">
      <c r="A32" s="1"/>
      <c r="B32" s="1"/>
      <c r="C32" s="11"/>
      <c r="D32" s="1"/>
      <c r="E32" s="1"/>
      <c r="F32" s="12"/>
      <c r="G32" s="12"/>
      <c r="H32" s="49"/>
    </row>
    <row r="33" spans="1:8" ht="14.1" customHeight="1" x14ac:dyDescent="0.2">
      <c r="A33" s="1"/>
      <c r="B33" s="1"/>
      <c r="C33" s="2" t="s">
        <v>134</v>
      </c>
      <c r="D33" s="1"/>
      <c r="E33" s="1"/>
      <c r="F33" s="1"/>
      <c r="G33" s="1"/>
      <c r="H33" s="49"/>
    </row>
    <row r="34" spans="1:8" ht="14.1" customHeight="1" x14ac:dyDescent="0.2">
      <c r="A34" s="1"/>
      <c r="B34" s="1"/>
      <c r="C34" s="2" t="s">
        <v>130</v>
      </c>
      <c r="D34" s="1"/>
      <c r="E34" s="1" t="s">
        <v>131</v>
      </c>
      <c r="F34" s="13">
        <v>0</v>
      </c>
      <c r="G34" s="14">
        <v>0</v>
      </c>
      <c r="H34" s="49"/>
    </row>
    <row r="35" spans="1:8" ht="14.1" customHeight="1" x14ac:dyDescent="0.2">
      <c r="A35" s="1"/>
      <c r="B35" s="1"/>
      <c r="C35" s="11"/>
      <c r="D35" s="1"/>
      <c r="E35" s="1"/>
      <c r="F35" s="12"/>
      <c r="G35" s="12"/>
      <c r="H35" s="49"/>
    </row>
    <row r="36" spans="1:8" ht="14.1" customHeight="1" x14ac:dyDescent="0.2">
      <c r="A36" s="1"/>
      <c r="B36" s="1"/>
      <c r="C36" s="2" t="s">
        <v>135</v>
      </c>
      <c r="D36" s="1"/>
      <c r="E36" s="1"/>
      <c r="F36" s="12"/>
      <c r="G36" s="12"/>
      <c r="H36" s="49"/>
    </row>
    <row r="37" spans="1:8" ht="14.1" customHeight="1" x14ac:dyDescent="0.2">
      <c r="A37" s="1"/>
      <c r="B37" s="1"/>
      <c r="C37" s="2" t="s">
        <v>130</v>
      </c>
      <c r="D37" s="1"/>
      <c r="E37" s="1" t="s">
        <v>131</v>
      </c>
      <c r="F37" s="13">
        <v>0</v>
      </c>
      <c r="G37" s="14">
        <v>0</v>
      </c>
      <c r="H37" s="49"/>
    </row>
    <row r="38" spans="1:8" ht="14.1" customHeight="1" x14ac:dyDescent="0.2">
      <c r="A38" s="1"/>
      <c r="B38" s="1"/>
      <c r="C38" s="11"/>
      <c r="D38" s="1"/>
      <c r="E38" s="1"/>
      <c r="F38" s="12"/>
      <c r="G38" s="12"/>
      <c r="H38" s="49"/>
    </row>
    <row r="39" spans="1:8" ht="14.1" customHeight="1" x14ac:dyDescent="0.2">
      <c r="A39" s="1"/>
      <c r="B39" s="1"/>
      <c r="C39" s="2" t="s">
        <v>136</v>
      </c>
      <c r="D39" s="1"/>
      <c r="E39" s="1"/>
      <c r="F39" s="12"/>
      <c r="G39" s="12"/>
      <c r="H39" s="49"/>
    </row>
    <row r="40" spans="1:8" ht="14.1" customHeight="1" x14ac:dyDescent="0.2">
      <c r="A40" s="1"/>
      <c r="B40" s="1"/>
      <c r="C40" s="2" t="s">
        <v>130</v>
      </c>
      <c r="D40" s="1"/>
      <c r="E40" s="1" t="s">
        <v>131</v>
      </c>
      <c r="F40" s="13">
        <v>0</v>
      </c>
      <c r="G40" s="14">
        <v>0</v>
      </c>
      <c r="H40" s="49"/>
    </row>
    <row r="41" spans="1:8" ht="14.1" customHeight="1" x14ac:dyDescent="0.2">
      <c r="A41" s="1"/>
      <c r="B41" s="1"/>
      <c r="C41" s="11"/>
      <c r="D41" s="1"/>
      <c r="E41" s="1"/>
      <c r="F41" s="12"/>
      <c r="G41" s="12"/>
      <c r="H41" s="49"/>
    </row>
    <row r="42" spans="1:8" ht="18" customHeight="1" x14ac:dyDescent="0.2">
      <c r="A42" s="1"/>
      <c r="B42" s="1"/>
      <c r="C42" s="2" t="s">
        <v>137</v>
      </c>
      <c r="D42" s="1"/>
      <c r="E42" s="1"/>
      <c r="F42" s="9">
        <v>5985.6828759999999</v>
      </c>
      <c r="G42" s="10">
        <v>0.19052918799999999</v>
      </c>
      <c r="H42" s="49"/>
    </row>
    <row r="43" spans="1:8" ht="14.1" customHeight="1" x14ac:dyDescent="0.2">
      <c r="A43" s="1"/>
      <c r="B43" s="1"/>
      <c r="C43" s="11"/>
      <c r="D43" s="1"/>
      <c r="E43" s="1"/>
      <c r="F43" s="12"/>
      <c r="G43" s="12"/>
      <c r="H43" s="49"/>
    </row>
    <row r="44" spans="1:8" ht="14.1" customHeight="1" x14ac:dyDescent="0.2">
      <c r="A44" s="1"/>
      <c r="B44" s="1"/>
      <c r="C44" s="2" t="s">
        <v>138</v>
      </c>
      <c r="D44" s="1"/>
      <c r="E44" s="1"/>
      <c r="F44" s="12"/>
      <c r="G44" s="12"/>
      <c r="H44" s="49"/>
    </row>
    <row r="45" spans="1:8" ht="24" customHeight="1" x14ac:dyDescent="0.2">
      <c r="A45" s="1"/>
      <c r="B45" s="1"/>
      <c r="C45" s="2" t="s">
        <v>10</v>
      </c>
      <c r="D45" s="1"/>
      <c r="E45" s="1"/>
      <c r="F45" s="12"/>
      <c r="G45" s="12"/>
      <c r="H45" s="49"/>
    </row>
    <row r="46" spans="1:8" ht="14.1" customHeight="1" x14ac:dyDescent="0.2">
      <c r="A46" s="1"/>
      <c r="B46" s="1"/>
      <c r="C46" s="2" t="s">
        <v>130</v>
      </c>
      <c r="D46" s="1"/>
      <c r="E46" s="1" t="s">
        <v>131</v>
      </c>
      <c r="F46" s="13">
        <v>0</v>
      </c>
      <c r="G46" s="14">
        <v>0</v>
      </c>
      <c r="H46" s="49"/>
    </row>
    <row r="47" spans="1:8" ht="14.1" customHeight="1" x14ac:dyDescent="0.2">
      <c r="A47" s="1"/>
      <c r="B47" s="1"/>
      <c r="C47" s="11"/>
      <c r="D47" s="1"/>
      <c r="E47" s="1"/>
      <c r="F47" s="12"/>
      <c r="G47" s="12"/>
      <c r="H47" s="49"/>
    </row>
    <row r="48" spans="1:8" ht="14.1" customHeight="1" x14ac:dyDescent="0.2">
      <c r="A48" s="1"/>
      <c r="B48" s="1"/>
      <c r="C48" s="2" t="s">
        <v>139</v>
      </c>
      <c r="D48" s="1"/>
      <c r="E48" s="1"/>
      <c r="F48" s="1"/>
      <c r="G48" s="1"/>
      <c r="H48" s="49"/>
    </row>
    <row r="49" spans="1:8" ht="14.1" customHeight="1" x14ac:dyDescent="0.2">
      <c r="A49" s="1"/>
      <c r="B49" s="1"/>
      <c r="C49" s="2" t="s">
        <v>130</v>
      </c>
      <c r="D49" s="1"/>
      <c r="E49" s="1" t="s">
        <v>131</v>
      </c>
      <c r="F49" s="13">
        <v>0</v>
      </c>
      <c r="G49" s="14">
        <v>0</v>
      </c>
      <c r="H49" s="49"/>
    </row>
    <row r="50" spans="1:8" ht="14.1" customHeight="1" x14ac:dyDescent="0.2">
      <c r="A50" s="1"/>
      <c r="B50" s="1"/>
      <c r="C50" s="11"/>
      <c r="D50" s="1"/>
      <c r="E50" s="1"/>
      <c r="F50" s="12"/>
      <c r="G50" s="12"/>
      <c r="H50" s="49"/>
    </row>
    <row r="51" spans="1:8" ht="14.1" customHeight="1" x14ac:dyDescent="0.2">
      <c r="A51" s="1"/>
      <c r="B51" s="1"/>
      <c r="C51" s="2" t="s">
        <v>140</v>
      </c>
      <c r="D51" s="1"/>
      <c r="E51" s="1"/>
      <c r="F51" s="1"/>
      <c r="G51" s="1"/>
      <c r="H51" s="49"/>
    </row>
    <row r="52" spans="1:8" ht="14.1" customHeight="1" x14ac:dyDescent="0.2">
      <c r="A52" s="1"/>
      <c r="B52" s="1"/>
      <c r="C52" s="2" t="s">
        <v>130</v>
      </c>
      <c r="D52" s="1"/>
      <c r="E52" s="1" t="s">
        <v>131</v>
      </c>
      <c r="F52" s="13">
        <v>0</v>
      </c>
      <c r="G52" s="14">
        <v>0</v>
      </c>
      <c r="H52" s="49"/>
    </row>
    <row r="53" spans="1:8" ht="14.1" customHeight="1" x14ac:dyDescent="0.2">
      <c r="A53" s="1"/>
      <c r="B53" s="1"/>
      <c r="C53" s="11"/>
      <c r="D53" s="1"/>
      <c r="E53" s="1"/>
      <c r="F53" s="12"/>
      <c r="G53" s="12"/>
      <c r="H53" s="49"/>
    </row>
    <row r="54" spans="1:8" ht="14.1" customHeight="1" x14ac:dyDescent="0.2">
      <c r="A54" s="1"/>
      <c r="B54" s="1"/>
      <c r="C54" s="2" t="s">
        <v>141</v>
      </c>
      <c r="D54" s="1"/>
      <c r="E54" s="1"/>
      <c r="F54" s="12"/>
      <c r="G54" s="12"/>
      <c r="H54" s="49"/>
    </row>
    <row r="55" spans="1:8" ht="14.1" customHeight="1" x14ac:dyDescent="0.2">
      <c r="A55" s="1"/>
      <c r="B55" s="1"/>
      <c r="C55" s="2" t="s">
        <v>130</v>
      </c>
      <c r="D55" s="1"/>
      <c r="E55" s="1" t="s">
        <v>131</v>
      </c>
      <c r="F55" s="13">
        <v>0</v>
      </c>
      <c r="G55" s="14">
        <v>0</v>
      </c>
      <c r="H55" s="49"/>
    </row>
    <row r="56" spans="1:8" ht="14.1" customHeight="1" x14ac:dyDescent="0.2">
      <c r="A56" s="1"/>
      <c r="B56" s="1"/>
      <c r="C56" s="11"/>
      <c r="D56" s="1"/>
      <c r="E56" s="1"/>
      <c r="F56" s="12"/>
      <c r="G56" s="12"/>
      <c r="H56" s="49"/>
    </row>
    <row r="57" spans="1:8" ht="14.1" customHeight="1" x14ac:dyDescent="0.2">
      <c r="A57" s="1"/>
      <c r="B57" s="1"/>
      <c r="C57" s="2" t="s">
        <v>142</v>
      </c>
      <c r="D57" s="1"/>
      <c r="E57" s="1"/>
      <c r="F57" s="9">
        <v>0</v>
      </c>
      <c r="G57" s="10">
        <v>0</v>
      </c>
      <c r="H57" s="49"/>
    </row>
    <row r="58" spans="1:8" ht="14.1" customHeight="1" x14ac:dyDescent="0.2">
      <c r="A58" s="1"/>
      <c r="B58" s="1"/>
      <c r="C58" s="11"/>
      <c r="D58" s="1"/>
      <c r="E58" s="1"/>
      <c r="F58" s="12"/>
      <c r="G58" s="12"/>
      <c r="H58" s="49"/>
    </row>
    <row r="59" spans="1:8" ht="14.1" customHeight="1" x14ac:dyDescent="0.2">
      <c r="A59" s="1"/>
      <c r="B59" s="1"/>
      <c r="C59" s="2" t="s">
        <v>143</v>
      </c>
      <c r="D59" s="1"/>
      <c r="E59" s="1"/>
      <c r="F59" s="12"/>
      <c r="G59" s="12"/>
      <c r="H59" s="49"/>
    </row>
    <row r="60" spans="1:8" ht="14.1" customHeight="1" x14ac:dyDescent="0.2">
      <c r="A60" s="1"/>
      <c r="B60" s="1"/>
      <c r="C60" s="2" t="s">
        <v>144</v>
      </c>
      <c r="D60" s="1"/>
      <c r="E60" s="1"/>
      <c r="F60" s="12"/>
      <c r="G60" s="12"/>
      <c r="H60" s="49"/>
    </row>
    <row r="61" spans="1:8" ht="14.1" customHeight="1" x14ac:dyDescent="0.2">
      <c r="A61" s="1"/>
      <c r="B61" s="1"/>
      <c r="C61" s="2" t="s">
        <v>130</v>
      </c>
      <c r="D61" s="1"/>
      <c r="E61" s="1" t="s">
        <v>131</v>
      </c>
      <c r="F61" s="13">
        <v>0</v>
      </c>
      <c r="G61" s="14">
        <v>0</v>
      </c>
      <c r="H61" s="49"/>
    </row>
    <row r="62" spans="1:8" ht="14.1" customHeight="1" x14ac:dyDescent="0.2">
      <c r="A62" s="1"/>
      <c r="B62" s="1"/>
      <c r="C62" s="11"/>
      <c r="D62" s="1"/>
      <c r="E62" s="1"/>
      <c r="F62" s="12"/>
      <c r="G62" s="12"/>
      <c r="H62" s="49"/>
    </row>
    <row r="63" spans="1:8" ht="14.1" customHeight="1" x14ac:dyDescent="0.2">
      <c r="A63" s="1"/>
      <c r="B63" s="1"/>
      <c r="C63" s="2" t="s">
        <v>145</v>
      </c>
      <c r="D63" s="1"/>
      <c r="E63" s="1"/>
      <c r="F63" s="12"/>
      <c r="G63" s="12"/>
      <c r="H63" s="49"/>
    </row>
    <row r="64" spans="1:8" ht="14.1" customHeight="1" x14ac:dyDescent="0.2">
      <c r="A64" s="1"/>
      <c r="B64" s="1"/>
      <c r="C64" s="2" t="s">
        <v>130</v>
      </c>
      <c r="D64" s="1"/>
      <c r="E64" s="1" t="s">
        <v>131</v>
      </c>
      <c r="F64" s="13">
        <v>0</v>
      </c>
      <c r="G64" s="14">
        <v>0</v>
      </c>
      <c r="H64" s="49"/>
    </row>
    <row r="65" spans="1:8" ht="14.1" customHeight="1" x14ac:dyDescent="0.2">
      <c r="A65" s="1"/>
      <c r="B65" s="1"/>
      <c r="C65" s="11"/>
      <c r="D65" s="1"/>
      <c r="E65" s="1"/>
      <c r="F65" s="12"/>
      <c r="G65" s="12"/>
      <c r="H65" s="49"/>
    </row>
    <row r="66" spans="1:8" ht="14.1" customHeight="1" x14ac:dyDescent="0.2">
      <c r="A66" s="1"/>
      <c r="B66" s="1"/>
      <c r="C66" s="2" t="s">
        <v>146</v>
      </c>
      <c r="D66" s="1"/>
      <c r="E66" s="1"/>
      <c r="F66" s="12"/>
      <c r="G66" s="12"/>
      <c r="H66" s="49"/>
    </row>
    <row r="67" spans="1:8" ht="14.1" customHeight="1" x14ac:dyDescent="0.2">
      <c r="A67" s="1"/>
      <c r="B67" s="1"/>
      <c r="C67" s="2" t="s">
        <v>130</v>
      </c>
      <c r="D67" s="1"/>
      <c r="E67" s="1" t="s">
        <v>131</v>
      </c>
      <c r="F67" s="13">
        <v>0</v>
      </c>
      <c r="G67" s="14">
        <v>0</v>
      </c>
      <c r="H67" s="49"/>
    </row>
    <row r="68" spans="1:8" ht="14.1" customHeight="1" x14ac:dyDescent="0.2">
      <c r="A68" s="1"/>
      <c r="B68" s="1"/>
      <c r="C68" s="11"/>
      <c r="D68" s="1"/>
      <c r="E68" s="1"/>
      <c r="F68" s="12"/>
      <c r="G68" s="12"/>
      <c r="H68" s="49"/>
    </row>
    <row r="69" spans="1:8" ht="14.1" customHeight="1" x14ac:dyDescent="0.2">
      <c r="A69" s="1"/>
      <c r="B69" s="1"/>
      <c r="C69" s="2" t="s">
        <v>147</v>
      </c>
      <c r="D69" s="1"/>
      <c r="E69" s="1"/>
      <c r="F69" s="12"/>
      <c r="G69" s="12"/>
      <c r="H69" s="49"/>
    </row>
    <row r="70" spans="1:8" ht="17.100000000000001" customHeight="1" x14ac:dyDescent="0.2">
      <c r="A70" s="3">
        <v>1</v>
      </c>
      <c r="B70" s="4"/>
      <c r="C70" s="4" t="s">
        <v>148</v>
      </c>
      <c r="D70" s="4"/>
      <c r="E70" s="8"/>
      <c r="F70" s="6">
        <v>24798.979141299998</v>
      </c>
      <c r="G70" s="7">
        <v>0.78937181899999997</v>
      </c>
      <c r="H70" s="49">
        <v>5.6572293145372496</v>
      </c>
    </row>
    <row r="71" spans="1:8" ht="14.1" customHeight="1" x14ac:dyDescent="0.2">
      <c r="A71" s="1"/>
      <c r="B71" s="1"/>
      <c r="C71" s="2" t="s">
        <v>130</v>
      </c>
      <c r="D71" s="1"/>
      <c r="E71" s="1" t="s">
        <v>131</v>
      </c>
      <c r="F71" s="9">
        <v>24798.979141299998</v>
      </c>
      <c r="G71" s="10">
        <v>0.78937181899999997</v>
      </c>
      <c r="H71" s="49"/>
    </row>
    <row r="72" spans="1:8" ht="14.1" customHeight="1" x14ac:dyDescent="0.2">
      <c r="A72" s="1"/>
      <c r="B72" s="1"/>
      <c r="C72" s="11"/>
      <c r="D72" s="1"/>
      <c r="E72" s="1"/>
      <c r="F72" s="12"/>
      <c r="G72" s="12"/>
      <c r="H72" s="49"/>
    </row>
    <row r="73" spans="1:8" ht="14.1" customHeight="1" x14ac:dyDescent="0.2">
      <c r="A73" s="1"/>
      <c r="B73" s="1"/>
      <c r="C73" s="2" t="s">
        <v>149</v>
      </c>
      <c r="D73" s="1"/>
      <c r="E73" s="1"/>
      <c r="F73" s="9">
        <v>24798.979141299998</v>
      </c>
      <c r="G73" s="10">
        <v>0.78937181899999997</v>
      </c>
      <c r="H73" s="49"/>
    </row>
    <row r="74" spans="1:8" ht="14.1" customHeight="1" x14ac:dyDescent="0.2">
      <c r="A74" s="1"/>
      <c r="B74" s="1"/>
      <c r="C74" s="12"/>
      <c r="D74" s="1"/>
      <c r="E74" s="1"/>
      <c r="F74" s="1"/>
      <c r="G74" s="1"/>
      <c r="H74" s="49"/>
    </row>
    <row r="75" spans="1:8" ht="14.1" customHeight="1" x14ac:dyDescent="0.2">
      <c r="A75" s="1"/>
      <c r="B75" s="1"/>
      <c r="C75" s="2" t="s">
        <v>150</v>
      </c>
      <c r="D75" s="1"/>
      <c r="E75" s="1"/>
      <c r="F75" s="1"/>
      <c r="G75" s="1"/>
      <c r="H75" s="49"/>
    </row>
    <row r="76" spans="1:8" ht="14.1" customHeight="1" x14ac:dyDescent="0.2">
      <c r="A76" s="1"/>
      <c r="B76" s="1"/>
      <c r="C76" s="2" t="s">
        <v>151</v>
      </c>
      <c r="D76" s="1"/>
      <c r="E76" s="1"/>
      <c r="F76" s="1"/>
      <c r="G76" s="1"/>
      <c r="H76" s="49"/>
    </row>
    <row r="77" spans="1:8" ht="14.1" customHeight="1" x14ac:dyDescent="0.2">
      <c r="A77" s="1"/>
      <c r="B77" s="1"/>
      <c r="C77" s="2" t="s">
        <v>130</v>
      </c>
      <c r="D77" s="1"/>
      <c r="E77" s="1" t="s">
        <v>131</v>
      </c>
      <c r="F77" s="13">
        <v>0</v>
      </c>
      <c r="G77" s="14">
        <v>0</v>
      </c>
      <c r="H77" s="49"/>
    </row>
    <row r="78" spans="1:8" ht="14.1" customHeight="1" x14ac:dyDescent="0.2">
      <c r="A78" s="1"/>
      <c r="B78" s="1"/>
      <c r="C78" s="11"/>
      <c r="D78" s="1"/>
      <c r="E78" s="1"/>
      <c r="F78" s="12"/>
      <c r="G78" s="12"/>
      <c r="H78" s="49"/>
    </row>
    <row r="79" spans="1:8" ht="14.1" customHeight="1" x14ac:dyDescent="0.2">
      <c r="A79" s="1"/>
      <c r="B79" s="1"/>
      <c r="C79" s="2" t="s">
        <v>152</v>
      </c>
      <c r="D79" s="1"/>
      <c r="E79" s="1"/>
      <c r="F79" s="1"/>
      <c r="G79" s="1"/>
      <c r="H79" s="49"/>
    </row>
    <row r="80" spans="1:8" ht="14.1" customHeight="1" x14ac:dyDescent="0.2">
      <c r="A80" s="1"/>
      <c r="B80" s="1"/>
      <c r="C80" s="2" t="s">
        <v>153</v>
      </c>
      <c r="D80" s="1"/>
      <c r="E80" s="1"/>
      <c r="F80" s="1"/>
      <c r="G80" s="1"/>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11"/>
      <c r="D83" s="1"/>
      <c r="E83" s="1"/>
      <c r="F83" s="12"/>
      <c r="G83" s="12"/>
      <c r="H83" s="49"/>
    </row>
    <row r="84" spans="1:8" ht="24" customHeight="1" x14ac:dyDescent="0.2">
      <c r="A84" s="1"/>
      <c r="B84" s="1"/>
      <c r="C84" s="2" t="s">
        <v>154</v>
      </c>
      <c r="D84" s="1"/>
      <c r="E84" s="1"/>
      <c r="F84" s="12"/>
      <c r="G84" s="12"/>
      <c r="H84" s="49"/>
    </row>
    <row r="85" spans="1:8" ht="14.1" customHeight="1" x14ac:dyDescent="0.2">
      <c r="A85" s="1"/>
      <c r="B85" s="1"/>
      <c r="C85" s="2" t="s">
        <v>130</v>
      </c>
      <c r="D85" s="1"/>
      <c r="E85" s="1" t="s">
        <v>131</v>
      </c>
      <c r="F85" s="13">
        <v>0</v>
      </c>
      <c r="G85" s="14">
        <v>0</v>
      </c>
      <c r="H85" s="49"/>
    </row>
    <row r="86" spans="1:8" ht="14.1" customHeight="1" x14ac:dyDescent="0.2">
      <c r="A86" s="1"/>
      <c r="B86" s="1"/>
      <c r="C86" s="11"/>
      <c r="D86" s="1"/>
      <c r="E86" s="1"/>
      <c r="F86" s="12"/>
      <c r="G86" s="12"/>
      <c r="H86" s="49"/>
    </row>
    <row r="87" spans="1:8" ht="14.1" customHeight="1" x14ac:dyDescent="0.2">
      <c r="A87" s="1"/>
      <c r="B87" s="4"/>
      <c r="C87" s="4"/>
      <c r="D87" s="2"/>
      <c r="E87" s="1"/>
      <c r="F87" s="4"/>
      <c r="G87" s="8"/>
      <c r="H87" s="49"/>
    </row>
    <row r="88" spans="1:8" ht="18" customHeight="1" x14ac:dyDescent="0.2">
      <c r="A88" s="8"/>
      <c r="B88" s="4"/>
      <c r="C88" s="4" t="s">
        <v>155</v>
      </c>
      <c r="D88" s="4"/>
      <c r="E88" s="8"/>
      <c r="F88" s="6">
        <v>631.43180439000002</v>
      </c>
      <c r="G88" s="7">
        <v>2.0098992E-2</v>
      </c>
      <c r="H88" s="49"/>
    </row>
    <row r="89" spans="1:8" ht="14.1" customHeight="1" x14ac:dyDescent="0.2">
      <c r="A89" s="11"/>
      <c r="B89" s="11"/>
      <c r="C89" s="2" t="s">
        <v>156</v>
      </c>
      <c r="D89" s="15"/>
      <c r="E89" s="15"/>
      <c r="F89" s="9">
        <v>31416.093821689999</v>
      </c>
      <c r="G89" s="10">
        <v>0.99999999900000003</v>
      </c>
      <c r="H89" s="49"/>
    </row>
    <row r="90" spans="1:8" ht="14.1" customHeight="1" x14ac:dyDescent="0.2">
      <c r="A90" s="16"/>
      <c r="B90" s="16"/>
      <c r="C90" s="16"/>
      <c r="D90" s="17"/>
      <c r="E90" s="17"/>
      <c r="F90" s="17"/>
      <c r="G90" s="17"/>
    </row>
    <row r="91" spans="1:8" ht="14.1" customHeight="1" x14ac:dyDescent="0.2">
      <c r="A91" s="18"/>
      <c r="B91" s="18"/>
      <c r="C91" s="18"/>
      <c r="D91" s="20"/>
      <c r="E91" s="20"/>
      <c r="F91" s="20"/>
      <c r="G91" s="20"/>
    </row>
    <row r="92" spans="1:8" ht="14.1" customHeight="1" x14ac:dyDescent="0.2">
      <c r="A92" s="18"/>
      <c r="B92" s="319" t="s">
        <v>158</v>
      </c>
      <c r="C92" s="320"/>
      <c r="D92" s="12" t="s">
        <v>131</v>
      </c>
      <c r="E92" s="21"/>
      <c r="F92" s="20"/>
      <c r="G92" s="20"/>
    </row>
    <row r="93" spans="1:8" ht="29.1" customHeight="1" x14ac:dyDescent="0.2">
      <c r="A93" s="18"/>
      <c r="B93" s="323" t="s">
        <v>159</v>
      </c>
      <c r="C93" s="324"/>
      <c r="D93" s="2" t="s">
        <v>160</v>
      </c>
      <c r="E93" s="21"/>
      <c r="F93" s="20"/>
      <c r="G93" s="20"/>
    </row>
    <row r="94" spans="1:8" ht="17.100000000000001" customHeight="1" x14ac:dyDescent="0.2">
      <c r="A94" s="18"/>
      <c r="B94" s="323" t="s">
        <v>161</v>
      </c>
      <c r="C94" s="324"/>
      <c r="D94" s="2" t="s">
        <v>160</v>
      </c>
      <c r="E94" s="21"/>
      <c r="F94" s="20"/>
      <c r="G94" s="20"/>
    </row>
    <row r="95" spans="1:8" ht="17.100000000000001" customHeight="1" x14ac:dyDescent="0.2">
      <c r="A95" s="18"/>
      <c r="B95" s="323" t="s">
        <v>162</v>
      </c>
      <c r="C95" s="324"/>
      <c r="D95" s="12" t="s">
        <v>131</v>
      </c>
      <c r="E95" s="21"/>
      <c r="F95" s="20"/>
      <c r="G95" s="20"/>
    </row>
    <row r="96" spans="1:8" ht="24" customHeight="1" x14ac:dyDescent="0.2">
      <c r="A96" s="22"/>
      <c r="B96" s="23" t="s">
        <v>131</v>
      </c>
      <c r="C96" s="23" t="s">
        <v>163</v>
      </c>
      <c r="D96" s="23" t="s">
        <v>164</v>
      </c>
      <c r="E96" s="22"/>
      <c r="F96" s="22"/>
      <c r="G96" s="22"/>
    </row>
    <row r="97" spans="1:7" ht="18" customHeight="1" x14ac:dyDescent="0.2">
      <c r="A97" s="22"/>
      <c r="B97" s="23" t="s">
        <v>165</v>
      </c>
      <c r="C97" s="23" t="s">
        <v>166</v>
      </c>
      <c r="D97" s="23" t="s">
        <v>167</v>
      </c>
      <c r="E97" s="22"/>
      <c r="F97" s="22"/>
      <c r="G97" s="22"/>
    </row>
    <row r="98" spans="1:7" ht="17.100000000000001" customHeight="1" x14ac:dyDescent="0.2">
      <c r="A98" s="22"/>
      <c r="B98" s="4" t="s">
        <v>168</v>
      </c>
      <c r="C98" s="24">
        <v>17.3508</v>
      </c>
      <c r="D98" s="24">
        <v>17.450199999999999</v>
      </c>
      <c r="E98" s="22"/>
      <c r="F98" s="19"/>
      <c r="G98" s="25"/>
    </row>
    <row r="99" spans="1:7" ht="17.100000000000001" customHeight="1" x14ac:dyDescent="0.2">
      <c r="A99" s="22"/>
      <c r="B99" s="4" t="s">
        <v>1021</v>
      </c>
      <c r="C99" s="24">
        <v>17.3508</v>
      </c>
      <c r="D99" s="24">
        <v>17.450199999999999</v>
      </c>
      <c r="E99" s="22"/>
      <c r="F99" s="19"/>
      <c r="G99" s="25"/>
    </row>
    <row r="100" spans="1:7" ht="17.100000000000001" customHeight="1" x14ac:dyDescent="0.2">
      <c r="A100" s="22"/>
      <c r="B100" s="4" t="s">
        <v>169</v>
      </c>
      <c r="C100" s="24">
        <v>16.834900000000001</v>
      </c>
      <c r="D100" s="24">
        <v>16.9252</v>
      </c>
      <c r="E100" s="22"/>
      <c r="F100" s="19"/>
      <c r="G100" s="25"/>
    </row>
    <row r="101" spans="1:7" ht="17.100000000000001" customHeight="1" x14ac:dyDescent="0.2">
      <c r="A101" s="22"/>
      <c r="B101" s="4" t="s">
        <v>1022</v>
      </c>
      <c r="C101" s="24">
        <v>16.834900000000001</v>
      </c>
      <c r="D101" s="24">
        <v>16.9252</v>
      </c>
      <c r="E101" s="22"/>
      <c r="F101" s="19"/>
      <c r="G101" s="25"/>
    </row>
    <row r="102" spans="1:7" ht="14.1" customHeight="1" x14ac:dyDescent="0.2">
      <c r="A102" s="22"/>
      <c r="B102" s="22"/>
      <c r="C102" s="22"/>
      <c r="D102" s="22"/>
      <c r="E102" s="22"/>
      <c r="F102" s="22"/>
      <c r="G102" s="22"/>
    </row>
    <row r="103" spans="1:7" ht="17.100000000000001" customHeight="1" x14ac:dyDescent="0.2">
      <c r="A103" s="22"/>
      <c r="B103" s="323" t="s">
        <v>1023</v>
      </c>
      <c r="C103" s="324"/>
      <c r="D103" s="57" t="s">
        <v>160</v>
      </c>
      <c r="E103" s="22"/>
      <c r="F103" s="22"/>
      <c r="G103" s="22"/>
    </row>
    <row r="104" spans="1:7" ht="18" customHeight="1" x14ac:dyDescent="0.2">
      <c r="A104" s="22"/>
      <c r="B104" s="28"/>
      <c r="C104" s="28"/>
      <c r="D104" s="26"/>
      <c r="E104" s="22"/>
      <c r="F104" s="22"/>
      <c r="G104" s="22"/>
    </row>
    <row r="105" spans="1:7" ht="29.1" customHeight="1" x14ac:dyDescent="0.2">
      <c r="A105" s="22"/>
      <c r="B105" s="323" t="s">
        <v>170</v>
      </c>
      <c r="C105" s="324"/>
      <c r="D105" s="2" t="s">
        <v>160</v>
      </c>
      <c r="E105" s="22"/>
      <c r="F105" s="22"/>
      <c r="G105" s="22"/>
    </row>
    <row r="106" spans="1:7" ht="29.1" customHeight="1" x14ac:dyDescent="0.2">
      <c r="A106" s="22"/>
      <c r="B106" s="323" t="s">
        <v>171</v>
      </c>
      <c r="C106" s="324"/>
      <c r="D106" s="2" t="s">
        <v>160</v>
      </c>
      <c r="E106" s="22"/>
      <c r="F106" s="22"/>
      <c r="G106" s="22"/>
    </row>
    <row r="107" spans="1:7" ht="17.100000000000001" customHeight="1" x14ac:dyDescent="0.2">
      <c r="A107" s="22"/>
      <c r="B107" s="323" t="s">
        <v>172</v>
      </c>
      <c r="C107" s="324"/>
      <c r="D107" s="27">
        <v>0.24782324031573441</v>
      </c>
      <c r="E107" s="22"/>
      <c r="F107" s="19"/>
      <c r="G107" s="25"/>
    </row>
    <row r="108" spans="1:7" ht="17.100000000000001" customHeight="1" x14ac:dyDescent="0.2">
      <c r="A108" s="22"/>
      <c r="B108" s="323" t="s">
        <v>173</v>
      </c>
      <c r="C108" s="324"/>
      <c r="D108" s="2" t="s">
        <v>160</v>
      </c>
      <c r="E108" s="22"/>
      <c r="F108" s="22"/>
      <c r="G108" s="22"/>
    </row>
    <row r="165" spans="10:15" x14ac:dyDescent="0.2">
      <c r="J165" s="218"/>
      <c r="K165" s="218"/>
      <c r="L165" s="218"/>
      <c r="M165" s="218"/>
      <c r="N165" s="218"/>
      <c r="O165" s="218"/>
    </row>
  </sheetData>
  <mergeCells count="13">
    <mergeCell ref="J2:N2"/>
    <mergeCell ref="B108:C108"/>
    <mergeCell ref="B93:C93"/>
    <mergeCell ref="B94:C94"/>
    <mergeCell ref="B95:C95"/>
    <mergeCell ref="B103:C103"/>
    <mergeCell ref="B105:C105"/>
    <mergeCell ref="B106:C106"/>
    <mergeCell ref="A1:H1"/>
    <mergeCell ref="A2:H2"/>
    <mergeCell ref="A3:H3"/>
    <mergeCell ref="B92:C92"/>
    <mergeCell ref="B107:C107"/>
  </mergeCells>
  <hyperlinks>
    <hyperlink ref="I1" location="Index!B7" display="Index" xr:uid="{BF88882B-63B1-473B-BDE6-2796226BF0E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395</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106</v>
      </c>
      <c r="C7" s="4" t="s">
        <v>107</v>
      </c>
      <c r="D7" s="4" t="s">
        <v>108</v>
      </c>
      <c r="E7" s="5">
        <v>270742</v>
      </c>
      <c r="F7" s="6">
        <v>1046.8239430000001</v>
      </c>
      <c r="G7" s="7">
        <v>3.0873439999999999E-2</v>
      </c>
      <c r="H7" s="49"/>
    </row>
    <row r="8" spans="1:15" ht="17.100000000000001" customHeight="1" x14ac:dyDescent="0.2">
      <c r="A8" s="3">
        <v>2</v>
      </c>
      <c r="B8" s="4" t="s">
        <v>389</v>
      </c>
      <c r="C8" s="4" t="s">
        <v>390</v>
      </c>
      <c r="D8" s="4" t="s">
        <v>103</v>
      </c>
      <c r="E8" s="5">
        <v>872540</v>
      </c>
      <c r="F8" s="6">
        <v>1041.81276</v>
      </c>
      <c r="G8" s="7">
        <v>3.0725646999999998E-2</v>
      </c>
      <c r="H8" s="49"/>
    </row>
    <row r="9" spans="1:15" ht="17.100000000000001" customHeight="1" x14ac:dyDescent="0.2">
      <c r="A9" s="3">
        <v>3</v>
      </c>
      <c r="B9" s="4" t="s">
        <v>29</v>
      </c>
      <c r="C9" s="4" t="s">
        <v>30</v>
      </c>
      <c r="D9" s="4" t="s">
        <v>31</v>
      </c>
      <c r="E9" s="5">
        <v>48157</v>
      </c>
      <c r="F9" s="6">
        <v>974.84215099999994</v>
      </c>
      <c r="G9" s="7">
        <v>2.8750517999999999E-2</v>
      </c>
      <c r="H9" s="49"/>
    </row>
    <row r="10" spans="1:15" ht="29.1" customHeight="1" x14ac:dyDescent="0.2">
      <c r="A10" s="3">
        <v>4</v>
      </c>
      <c r="B10" s="4" t="s">
        <v>189</v>
      </c>
      <c r="C10" s="4" t="s">
        <v>190</v>
      </c>
      <c r="D10" s="4" t="s">
        <v>108</v>
      </c>
      <c r="E10" s="5">
        <v>254938</v>
      </c>
      <c r="F10" s="6">
        <v>925.04253300000005</v>
      </c>
      <c r="G10" s="7">
        <v>2.7281803E-2</v>
      </c>
      <c r="H10" s="49"/>
    </row>
    <row r="11" spans="1:15" ht="29.1" customHeight="1" x14ac:dyDescent="0.2">
      <c r="A11" s="3">
        <v>5</v>
      </c>
      <c r="B11" s="4" t="s">
        <v>197</v>
      </c>
      <c r="C11" s="4" t="s">
        <v>198</v>
      </c>
      <c r="D11" s="4" t="s">
        <v>193</v>
      </c>
      <c r="E11" s="5">
        <v>15850</v>
      </c>
      <c r="F11" s="6">
        <v>688.278325</v>
      </c>
      <c r="G11" s="7">
        <v>2.0299037999999998E-2</v>
      </c>
      <c r="H11" s="49"/>
    </row>
    <row r="12" spans="1:15" ht="17.100000000000001" customHeight="1" x14ac:dyDescent="0.2">
      <c r="A12" s="3">
        <v>6</v>
      </c>
      <c r="B12" s="4" t="s">
        <v>300</v>
      </c>
      <c r="C12" s="4" t="s">
        <v>301</v>
      </c>
      <c r="D12" s="4" t="s">
        <v>230</v>
      </c>
      <c r="E12" s="5">
        <v>124808</v>
      </c>
      <c r="F12" s="6">
        <v>673.33915999999999</v>
      </c>
      <c r="G12" s="7">
        <v>1.9858444999999999E-2</v>
      </c>
      <c r="H12" s="49"/>
    </row>
    <row r="13" spans="1:15" ht="17.100000000000001" customHeight="1" x14ac:dyDescent="0.2">
      <c r="A13" s="3">
        <v>7</v>
      </c>
      <c r="B13" s="4" t="s">
        <v>285</v>
      </c>
      <c r="C13" s="4" t="s">
        <v>286</v>
      </c>
      <c r="D13" s="4" t="s">
        <v>22</v>
      </c>
      <c r="E13" s="5">
        <v>277558</v>
      </c>
      <c r="F13" s="6">
        <v>663.64117799999997</v>
      </c>
      <c r="G13" s="7">
        <v>1.9572427999999999E-2</v>
      </c>
      <c r="H13" s="49"/>
      <c r="J13" s="217" t="s">
        <v>1078</v>
      </c>
    </row>
    <row r="14" spans="1:15" ht="17.100000000000001" customHeight="1" x14ac:dyDescent="0.2">
      <c r="A14" s="3">
        <v>8</v>
      </c>
      <c r="B14" s="4" t="s">
        <v>396</v>
      </c>
      <c r="C14" s="4" t="s">
        <v>397</v>
      </c>
      <c r="D14" s="4" t="s">
        <v>31</v>
      </c>
      <c r="E14" s="5">
        <v>78108</v>
      </c>
      <c r="F14" s="6">
        <v>650.32720800000004</v>
      </c>
      <c r="G14" s="7">
        <v>1.9179765000000001E-2</v>
      </c>
      <c r="H14" s="49"/>
    </row>
    <row r="15" spans="1:15" ht="17.100000000000001" customHeight="1" x14ac:dyDescent="0.2">
      <c r="A15" s="3">
        <v>9</v>
      </c>
      <c r="B15" s="4" t="s">
        <v>370</v>
      </c>
      <c r="C15" s="4" t="s">
        <v>371</v>
      </c>
      <c r="D15" s="4" t="s">
        <v>108</v>
      </c>
      <c r="E15" s="5">
        <v>115651</v>
      </c>
      <c r="F15" s="6">
        <v>627.29102399999999</v>
      </c>
      <c r="G15" s="7">
        <v>1.8500371000000002E-2</v>
      </c>
      <c r="H15" s="49"/>
    </row>
    <row r="16" spans="1:15" ht="17.100000000000001" customHeight="1" x14ac:dyDescent="0.2">
      <c r="A16" s="3">
        <v>10</v>
      </c>
      <c r="B16" s="4" t="s">
        <v>398</v>
      </c>
      <c r="C16" s="4" t="s">
        <v>399</v>
      </c>
      <c r="D16" s="4" t="s">
        <v>108</v>
      </c>
      <c r="E16" s="5">
        <v>36662</v>
      </c>
      <c r="F16" s="6">
        <v>598.32384000000002</v>
      </c>
      <c r="G16" s="7">
        <v>1.7646057E-2</v>
      </c>
      <c r="H16" s="49"/>
    </row>
    <row r="17" spans="1:8" ht="17.100000000000001" customHeight="1" x14ac:dyDescent="0.2">
      <c r="A17" s="3">
        <v>11</v>
      </c>
      <c r="B17" s="4" t="s">
        <v>372</v>
      </c>
      <c r="C17" s="4" t="s">
        <v>373</v>
      </c>
      <c r="D17" s="4" t="s">
        <v>103</v>
      </c>
      <c r="E17" s="5">
        <v>99518</v>
      </c>
      <c r="F17" s="6">
        <v>550.38429900000006</v>
      </c>
      <c r="G17" s="7">
        <v>1.6232201000000002E-2</v>
      </c>
      <c r="H17" s="49"/>
    </row>
    <row r="18" spans="1:8" ht="17.100000000000001" customHeight="1" x14ac:dyDescent="0.2">
      <c r="A18" s="3">
        <v>12</v>
      </c>
      <c r="B18" s="4" t="s">
        <v>98</v>
      </c>
      <c r="C18" s="4" t="s">
        <v>99</v>
      </c>
      <c r="D18" s="4" t="s">
        <v>100</v>
      </c>
      <c r="E18" s="5">
        <v>103225</v>
      </c>
      <c r="F18" s="6">
        <v>501.93156249999998</v>
      </c>
      <c r="G18" s="7">
        <v>1.4803208999999999E-2</v>
      </c>
      <c r="H18" s="49"/>
    </row>
    <row r="19" spans="1:8" ht="29.1" customHeight="1" x14ac:dyDescent="0.2">
      <c r="A19" s="3">
        <v>13</v>
      </c>
      <c r="B19" s="4" t="s">
        <v>385</v>
      </c>
      <c r="C19" s="4" t="s">
        <v>386</v>
      </c>
      <c r="D19" s="4" t="s">
        <v>69</v>
      </c>
      <c r="E19" s="5">
        <v>26634</v>
      </c>
      <c r="F19" s="6">
        <v>422.58836100000002</v>
      </c>
      <c r="G19" s="7">
        <v>1.2463181E-2</v>
      </c>
      <c r="H19" s="49"/>
    </row>
    <row r="20" spans="1:8" ht="17.100000000000001" customHeight="1" x14ac:dyDescent="0.2">
      <c r="A20" s="3">
        <v>14</v>
      </c>
      <c r="B20" s="4" t="s">
        <v>374</v>
      </c>
      <c r="C20" s="4" t="s">
        <v>375</v>
      </c>
      <c r="D20" s="4" t="s">
        <v>103</v>
      </c>
      <c r="E20" s="5">
        <v>50964</v>
      </c>
      <c r="F20" s="6">
        <v>373.92286799999999</v>
      </c>
      <c r="G20" s="7">
        <v>1.1027914999999999E-2</v>
      </c>
      <c r="H20" s="49"/>
    </row>
    <row r="21" spans="1:8" ht="17.100000000000001" customHeight="1" x14ac:dyDescent="0.2">
      <c r="A21" s="3">
        <v>15</v>
      </c>
      <c r="B21" s="4" t="s">
        <v>383</v>
      </c>
      <c r="C21" s="4" t="s">
        <v>384</v>
      </c>
      <c r="D21" s="4" t="s">
        <v>31</v>
      </c>
      <c r="E21" s="5">
        <v>40294</v>
      </c>
      <c r="F21" s="6">
        <v>343.788408</v>
      </c>
      <c r="G21" s="7">
        <v>1.0139174000000001E-2</v>
      </c>
      <c r="H21" s="49"/>
    </row>
    <row r="22" spans="1:8" ht="17.100000000000001" customHeight="1" x14ac:dyDescent="0.2">
      <c r="A22" s="3">
        <v>16</v>
      </c>
      <c r="B22" s="4" t="s">
        <v>400</v>
      </c>
      <c r="C22" s="4" t="s">
        <v>401</v>
      </c>
      <c r="D22" s="4" t="s">
        <v>1042</v>
      </c>
      <c r="E22" s="5">
        <v>27207</v>
      </c>
      <c r="F22" s="6">
        <v>341.20298700000001</v>
      </c>
      <c r="G22" s="7">
        <v>1.0062923999999999E-2</v>
      </c>
      <c r="H22" s="49"/>
    </row>
    <row r="23" spans="1:8" ht="17.100000000000001" customHeight="1" x14ac:dyDescent="0.2">
      <c r="A23" s="3">
        <v>17</v>
      </c>
      <c r="B23" s="4" t="s">
        <v>376</v>
      </c>
      <c r="C23" s="4" t="s">
        <v>377</v>
      </c>
      <c r="D23" s="4" t="s">
        <v>108</v>
      </c>
      <c r="E23" s="5">
        <v>53631</v>
      </c>
      <c r="F23" s="6">
        <v>326.77368300000001</v>
      </c>
      <c r="G23" s="7">
        <v>9.6373680000000003E-3</v>
      </c>
      <c r="H23" s="49"/>
    </row>
    <row r="24" spans="1:8" ht="17.100000000000001" customHeight="1" x14ac:dyDescent="0.2">
      <c r="A24" s="3">
        <v>18</v>
      </c>
      <c r="B24" s="4" t="s">
        <v>247</v>
      </c>
      <c r="C24" s="4" t="s">
        <v>248</v>
      </c>
      <c r="D24" s="4" t="s">
        <v>103</v>
      </c>
      <c r="E24" s="5">
        <v>51171</v>
      </c>
      <c r="F24" s="6">
        <v>302.16475500000001</v>
      </c>
      <c r="G24" s="7">
        <v>8.9115900000000005E-3</v>
      </c>
      <c r="H24" s="49"/>
    </row>
    <row r="25" spans="1:8" ht="17.100000000000001" customHeight="1" x14ac:dyDescent="0.2">
      <c r="A25" s="3">
        <v>19</v>
      </c>
      <c r="B25" s="4" t="s">
        <v>402</v>
      </c>
      <c r="C25" s="4" t="s">
        <v>403</v>
      </c>
      <c r="D25" s="4" t="s">
        <v>103</v>
      </c>
      <c r="E25" s="5">
        <v>30109</v>
      </c>
      <c r="F25" s="6">
        <v>289.12167249999999</v>
      </c>
      <c r="G25" s="7">
        <v>8.5269170000000002E-3</v>
      </c>
      <c r="H25" s="49"/>
    </row>
    <row r="26" spans="1:8" ht="29.1" customHeight="1" x14ac:dyDescent="0.2">
      <c r="A26" s="3">
        <v>20</v>
      </c>
      <c r="B26" s="4" t="s">
        <v>378</v>
      </c>
      <c r="C26" s="4" t="s">
        <v>379</v>
      </c>
      <c r="D26" s="4" t="s">
        <v>380</v>
      </c>
      <c r="E26" s="5">
        <v>69032</v>
      </c>
      <c r="F26" s="6">
        <v>274.367684</v>
      </c>
      <c r="G26" s="7">
        <v>8.0917850000000006E-3</v>
      </c>
      <c r="H26" s="49"/>
    </row>
    <row r="27" spans="1:8" ht="29.1" customHeight="1" x14ac:dyDescent="0.2">
      <c r="A27" s="3">
        <v>21</v>
      </c>
      <c r="B27" s="4" t="s">
        <v>283</v>
      </c>
      <c r="C27" s="4" t="s">
        <v>284</v>
      </c>
      <c r="D27" s="4" t="s">
        <v>193</v>
      </c>
      <c r="E27" s="5">
        <v>37796</v>
      </c>
      <c r="F27" s="6">
        <v>271.77213799999998</v>
      </c>
      <c r="G27" s="7">
        <v>8.0152360000000002E-3</v>
      </c>
      <c r="H27" s="49"/>
    </row>
    <row r="28" spans="1:8" ht="17.100000000000001" customHeight="1" x14ac:dyDescent="0.2">
      <c r="A28" s="3">
        <v>22</v>
      </c>
      <c r="B28" s="4" t="s">
        <v>203</v>
      </c>
      <c r="C28" s="4" t="s">
        <v>204</v>
      </c>
      <c r="D28" s="4" t="s">
        <v>974</v>
      </c>
      <c r="E28" s="5">
        <v>6040</v>
      </c>
      <c r="F28" s="6">
        <v>250.94388000000001</v>
      </c>
      <c r="G28" s="7">
        <v>7.4009590000000004E-3</v>
      </c>
      <c r="H28" s="49"/>
    </row>
    <row r="29" spans="1:8" ht="17.100000000000001" customHeight="1" x14ac:dyDescent="0.2">
      <c r="A29" s="3">
        <v>23</v>
      </c>
      <c r="B29" s="4" t="s">
        <v>391</v>
      </c>
      <c r="C29" s="4" t="s">
        <v>392</v>
      </c>
      <c r="D29" s="4" t="s">
        <v>196</v>
      </c>
      <c r="E29" s="5">
        <v>31437</v>
      </c>
      <c r="F29" s="6">
        <v>235.91896650000001</v>
      </c>
      <c r="G29" s="7">
        <v>6.9578369999999997E-3</v>
      </c>
      <c r="H29" s="49"/>
    </row>
    <row r="30" spans="1:8" ht="29.1" customHeight="1" x14ac:dyDescent="0.2">
      <c r="A30" s="3">
        <v>24</v>
      </c>
      <c r="B30" s="4" t="s">
        <v>381</v>
      </c>
      <c r="C30" s="4" t="s">
        <v>382</v>
      </c>
      <c r="D30" s="4" t="s">
        <v>193</v>
      </c>
      <c r="E30" s="5">
        <v>24941</v>
      </c>
      <c r="F30" s="6">
        <v>196.4976685</v>
      </c>
      <c r="G30" s="7">
        <v>5.7952050000000003E-3</v>
      </c>
      <c r="H30" s="49"/>
    </row>
    <row r="31" spans="1:8" ht="17.100000000000001" customHeight="1" x14ac:dyDescent="0.2">
      <c r="A31" s="3">
        <v>25</v>
      </c>
      <c r="B31" s="4" t="s">
        <v>404</v>
      </c>
      <c r="C31" s="4" t="s">
        <v>405</v>
      </c>
      <c r="D31" s="4" t="s">
        <v>317</v>
      </c>
      <c r="E31" s="5">
        <v>10867</v>
      </c>
      <c r="F31" s="6">
        <v>169.7805745</v>
      </c>
      <c r="G31" s="7">
        <v>5.0072509999999999E-3</v>
      </c>
      <c r="H31" s="49"/>
    </row>
    <row r="32" spans="1:8" ht="17.100000000000001" customHeight="1" x14ac:dyDescent="0.2">
      <c r="A32" s="3">
        <v>26</v>
      </c>
      <c r="B32" s="4" t="s">
        <v>315</v>
      </c>
      <c r="C32" s="4" t="s">
        <v>316</v>
      </c>
      <c r="D32" s="4" t="s">
        <v>317</v>
      </c>
      <c r="E32" s="5">
        <v>10000</v>
      </c>
      <c r="F32" s="6">
        <v>159.715</v>
      </c>
      <c r="G32" s="7">
        <v>4.7103919999999999E-3</v>
      </c>
      <c r="H32" s="49"/>
    </row>
    <row r="33" spans="1:8" ht="29.1" customHeight="1" x14ac:dyDescent="0.2">
      <c r="A33" s="3">
        <v>27</v>
      </c>
      <c r="B33" s="4" t="s">
        <v>387</v>
      </c>
      <c r="C33" s="4" t="s">
        <v>388</v>
      </c>
      <c r="D33" s="4" t="s">
        <v>215</v>
      </c>
      <c r="E33" s="5">
        <v>3290</v>
      </c>
      <c r="F33" s="6">
        <v>136.9956</v>
      </c>
      <c r="G33" s="7">
        <v>4.0403410000000002E-3</v>
      </c>
      <c r="H33" s="49"/>
    </row>
    <row r="34" spans="1:8" ht="29.1" customHeight="1" x14ac:dyDescent="0.2">
      <c r="A34" s="3">
        <v>28</v>
      </c>
      <c r="B34" s="4" t="s">
        <v>406</v>
      </c>
      <c r="C34" s="4" t="s">
        <v>407</v>
      </c>
      <c r="D34" s="4" t="s">
        <v>108</v>
      </c>
      <c r="E34" s="5">
        <v>9707</v>
      </c>
      <c r="F34" s="6">
        <v>114.2368295</v>
      </c>
      <c r="G34" s="7">
        <v>3.3691279999999999E-3</v>
      </c>
      <c r="H34" s="49"/>
    </row>
    <row r="35" spans="1:8" ht="17.100000000000001" customHeight="1" x14ac:dyDescent="0.2">
      <c r="A35" s="3">
        <v>29</v>
      </c>
      <c r="B35" s="4" t="s">
        <v>408</v>
      </c>
      <c r="C35" s="4" t="s">
        <v>409</v>
      </c>
      <c r="D35" s="4" t="s">
        <v>108</v>
      </c>
      <c r="E35" s="5">
        <v>25841</v>
      </c>
      <c r="F35" s="6">
        <v>68.995469999999997</v>
      </c>
      <c r="G35" s="7">
        <v>2.0348480000000001E-3</v>
      </c>
      <c r="H35" s="49"/>
    </row>
    <row r="36" spans="1:8" ht="17.100000000000001" customHeight="1" x14ac:dyDescent="0.2">
      <c r="A36" s="3">
        <v>30</v>
      </c>
      <c r="B36" s="4" t="s">
        <v>410</v>
      </c>
      <c r="C36" s="4" t="s">
        <v>411</v>
      </c>
      <c r="D36" s="4" t="s">
        <v>89</v>
      </c>
      <c r="E36" s="5">
        <v>10196</v>
      </c>
      <c r="F36" s="6">
        <v>66.875563999999997</v>
      </c>
      <c r="G36" s="7">
        <v>1.9723269999999998E-3</v>
      </c>
      <c r="H36" s="49"/>
    </row>
    <row r="37" spans="1:8" ht="17.100000000000001" customHeight="1" x14ac:dyDescent="0.2">
      <c r="A37" s="3">
        <v>31</v>
      </c>
      <c r="B37" s="4" t="s">
        <v>412</v>
      </c>
      <c r="C37" s="4" t="s">
        <v>413</v>
      </c>
      <c r="D37" s="4" t="s">
        <v>267</v>
      </c>
      <c r="E37" s="5">
        <v>19800</v>
      </c>
      <c r="F37" s="6">
        <v>63.092700000000001</v>
      </c>
      <c r="G37" s="7">
        <v>1.8607610000000001E-3</v>
      </c>
      <c r="H37" s="49"/>
    </row>
    <row r="38" spans="1:8" ht="29.1" customHeight="1" x14ac:dyDescent="0.2">
      <c r="A38" s="3">
        <v>32</v>
      </c>
      <c r="B38" s="4" t="s">
        <v>414</v>
      </c>
      <c r="C38" s="4" t="s">
        <v>415</v>
      </c>
      <c r="D38" s="4" t="s">
        <v>60</v>
      </c>
      <c r="E38" s="5">
        <v>14211</v>
      </c>
      <c r="F38" s="6">
        <v>52.268058000000003</v>
      </c>
      <c r="G38" s="7">
        <v>1.541515E-3</v>
      </c>
      <c r="H38" s="49"/>
    </row>
    <row r="39" spans="1:8" ht="29.1" customHeight="1" x14ac:dyDescent="0.2">
      <c r="A39" s="3">
        <v>33</v>
      </c>
      <c r="B39" s="4" t="s">
        <v>322</v>
      </c>
      <c r="C39" s="4" t="s">
        <v>323</v>
      </c>
      <c r="D39" s="4" t="s">
        <v>193</v>
      </c>
      <c r="E39" s="5">
        <v>9684</v>
      </c>
      <c r="F39" s="6">
        <v>37.607813999999998</v>
      </c>
      <c r="G39" s="7">
        <v>1.1091479999999999E-3</v>
      </c>
      <c r="H39" s="49"/>
    </row>
    <row r="40" spans="1:8" ht="17.100000000000001" customHeight="1" x14ac:dyDescent="0.2">
      <c r="A40" s="3">
        <v>34</v>
      </c>
      <c r="B40" s="4" t="s">
        <v>393</v>
      </c>
      <c r="C40" s="4" t="s">
        <v>394</v>
      </c>
      <c r="D40" s="4" t="s">
        <v>16</v>
      </c>
      <c r="E40" s="5">
        <v>13031</v>
      </c>
      <c r="F40" s="6">
        <v>28.446673000000001</v>
      </c>
      <c r="G40" s="7">
        <v>8.3896299999999997E-4</v>
      </c>
      <c r="H40" s="49"/>
    </row>
    <row r="41" spans="1:8" ht="14.1" customHeight="1" x14ac:dyDescent="0.2">
      <c r="A41" s="1"/>
      <c r="B41" s="1"/>
      <c r="C41" s="2" t="s">
        <v>130</v>
      </c>
      <c r="D41" s="1"/>
      <c r="E41" s="1" t="s">
        <v>131</v>
      </c>
      <c r="F41" s="9">
        <v>13469.115338</v>
      </c>
      <c r="G41" s="10">
        <v>0.39723768700000001</v>
      </c>
      <c r="H41" s="49"/>
    </row>
    <row r="42" spans="1:8" ht="14.1" customHeight="1" x14ac:dyDescent="0.2">
      <c r="A42" s="1"/>
      <c r="B42" s="1"/>
      <c r="C42" s="11"/>
      <c r="D42" s="1"/>
      <c r="E42" s="1"/>
      <c r="F42" s="12"/>
      <c r="G42" s="12"/>
      <c r="H42" s="49"/>
    </row>
    <row r="43" spans="1:8" ht="14.1" customHeight="1" x14ac:dyDescent="0.2">
      <c r="A43" s="1"/>
      <c r="B43" s="1"/>
      <c r="C43" s="2" t="s">
        <v>132</v>
      </c>
      <c r="D43" s="1"/>
      <c r="E43" s="1"/>
      <c r="F43" s="1"/>
      <c r="G43" s="1"/>
      <c r="H43" s="49"/>
    </row>
    <row r="44" spans="1:8" ht="14.1" customHeight="1" x14ac:dyDescent="0.2">
      <c r="A44" s="1"/>
      <c r="B44" s="1"/>
      <c r="C44" s="2" t="s">
        <v>130</v>
      </c>
      <c r="D44" s="1"/>
      <c r="E44" s="1" t="s">
        <v>131</v>
      </c>
      <c r="F44" s="13">
        <v>0</v>
      </c>
      <c r="G44" s="14">
        <v>0</v>
      </c>
      <c r="H44" s="49"/>
    </row>
    <row r="45" spans="1:8" ht="14.1" customHeight="1" x14ac:dyDescent="0.2">
      <c r="A45" s="1"/>
      <c r="B45" s="1"/>
      <c r="C45" s="11"/>
      <c r="D45" s="1"/>
      <c r="E45" s="1"/>
      <c r="F45" s="12"/>
      <c r="G45" s="12"/>
      <c r="H45" s="49"/>
    </row>
    <row r="46" spans="1:8" ht="14.1" customHeight="1" x14ac:dyDescent="0.2">
      <c r="A46" s="1"/>
      <c r="B46" s="1"/>
      <c r="C46" s="2" t="s">
        <v>133</v>
      </c>
      <c r="D46" s="1"/>
      <c r="E46" s="1"/>
      <c r="F46" s="1"/>
      <c r="G46" s="1"/>
      <c r="H46" s="49"/>
    </row>
    <row r="47" spans="1:8" ht="14.1" customHeight="1" x14ac:dyDescent="0.2">
      <c r="A47" s="1"/>
      <c r="B47" s="1"/>
      <c r="C47" s="2" t="s">
        <v>130</v>
      </c>
      <c r="D47" s="1"/>
      <c r="E47" s="1" t="s">
        <v>131</v>
      </c>
      <c r="F47" s="13">
        <v>0</v>
      </c>
      <c r="G47" s="14">
        <v>0</v>
      </c>
      <c r="H47" s="49"/>
    </row>
    <row r="48" spans="1:8" ht="14.1" customHeight="1" x14ac:dyDescent="0.2">
      <c r="A48" s="1"/>
      <c r="B48" s="1"/>
      <c r="C48" s="11"/>
      <c r="D48" s="1"/>
      <c r="E48" s="1"/>
      <c r="F48" s="12"/>
      <c r="G48" s="12"/>
      <c r="H48" s="49"/>
    </row>
    <row r="49" spans="1:8" ht="14.1" customHeight="1" x14ac:dyDescent="0.2">
      <c r="A49" s="1"/>
      <c r="B49" s="1"/>
      <c r="C49" s="2" t="s">
        <v>134</v>
      </c>
      <c r="D49" s="1"/>
      <c r="E49" s="1"/>
      <c r="F49" s="1"/>
      <c r="G49" s="1"/>
      <c r="H49" s="49"/>
    </row>
    <row r="50" spans="1:8" ht="14.1" customHeight="1" x14ac:dyDescent="0.2">
      <c r="A50" s="1"/>
      <c r="B50" s="1"/>
      <c r="C50" s="2" t="s">
        <v>130</v>
      </c>
      <c r="D50" s="1"/>
      <c r="E50" s="1" t="s">
        <v>131</v>
      </c>
      <c r="F50" s="13">
        <v>0</v>
      </c>
      <c r="G50" s="14">
        <v>0</v>
      </c>
      <c r="H50" s="49"/>
    </row>
    <row r="51" spans="1:8" ht="14.1" customHeight="1" x14ac:dyDescent="0.2">
      <c r="A51" s="1"/>
      <c r="B51" s="1"/>
      <c r="C51" s="11"/>
      <c r="D51" s="1"/>
      <c r="E51" s="1"/>
      <c r="F51" s="12"/>
      <c r="G51" s="12"/>
      <c r="H51" s="49"/>
    </row>
    <row r="52" spans="1:8" ht="14.1" customHeight="1" x14ac:dyDescent="0.2">
      <c r="A52" s="1"/>
      <c r="B52" s="1"/>
      <c r="C52" s="2" t="s">
        <v>135</v>
      </c>
      <c r="D52" s="1"/>
      <c r="E52" s="1"/>
      <c r="F52" s="12"/>
      <c r="G52" s="12"/>
      <c r="H52" s="49"/>
    </row>
    <row r="53" spans="1:8" ht="14.1" customHeight="1" x14ac:dyDescent="0.2">
      <c r="A53" s="1"/>
      <c r="B53" s="1"/>
      <c r="C53" s="2" t="s">
        <v>130</v>
      </c>
      <c r="D53" s="1"/>
      <c r="E53" s="1" t="s">
        <v>131</v>
      </c>
      <c r="F53" s="13">
        <v>0</v>
      </c>
      <c r="G53" s="14">
        <v>0</v>
      </c>
      <c r="H53" s="49"/>
    </row>
    <row r="54" spans="1:8" ht="14.1" customHeight="1" x14ac:dyDescent="0.2">
      <c r="A54" s="1"/>
      <c r="B54" s="1"/>
      <c r="C54" s="11"/>
      <c r="D54" s="1"/>
      <c r="E54" s="1"/>
      <c r="F54" s="12"/>
      <c r="G54" s="12"/>
      <c r="H54" s="49"/>
    </row>
    <row r="55" spans="1:8" ht="14.1" customHeight="1" x14ac:dyDescent="0.2">
      <c r="A55" s="1"/>
      <c r="B55" s="1"/>
      <c r="C55" s="2" t="s">
        <v>136</v>
      </c>
      <c r="D55" s="1"/>
      <c r="E55" s="1"/>
      <c r="F55" s="12"/>
      <c r="G55" s="12"/>
      <c r="H55" s="49"/>
    </row>
    <row r="56" spans="1:8" ht="14.1" customHeight="1" x14ac:dyDescent="0.2">
      <c r="A56" s="1"/>
      <c r="B56" s="1"/>
      <c r="C56" s="2" t="s">
        <v>130</v>
      </c>
      <c r="D56" s="1"/>
      <c r="E56" s="1" t="s">
        <v>131</v>
      </c>
      <c r="F56" s="13">
        <v>0</v>
      </c>
      <c r="G56" s="14">
        <v>0</v>
      </c>
      <c r="H56" s="49"/>
    </row>
    <row r="57" spans="1:8" ht="14.1" customHeight="1" x14ac:dyDescent="0.2">
      <c r="A57" s="1"/>
      <c r="B57" s="1"/>
      <c r="C57" s="11"/>
      <c r="D57" s="1"/>
      <c r="E57" s="1"/>
      <c r="F57" s="12"/>
      <c r="G57" s="12"/>
      <c r="H57" s="49"/>
    </row>
    <row r="58" spans="1:8" ht="18" customHeight="1" x14ac:dyDescent="0.2">
      <c r="A58" s="1"/>
      <c r="B58" s="1"/>
      <c r="C58" s="2" t="s">
        <v>137</v>
      </c>
      <c r="D58" s="1"/>
      <c r="E58" s="1"/>
      <c r="F58" s="9">
        <v>13469.115338</v>
      </c>
      <c r="G58" s="10">
        <v>0.39723768700000001</v>
      </c>
      <c r="H58" s="49"/>
    </row>
    <row r="59" spans="1:8" ht="14.1" customHeight="1" x14ac:dyDescent="0.2">
      <c r="A59" s="1"/>
      <c r="B59" s="1"/>
      <c r="C59" s="11"/>
      <c r="D59" s="1"/>
      <c r="E59" s="1"/>
      <c r="F59" s="12"/>
      <c r="G59" s="12"/>
      <c r="H59" s="49"/>
    </row>
    <row r="60" spans="1:8" ht="14.1" customHeight="1" x14ac:dyDescent="0.2">
      <c r="A60" s="1"/>
      <c r="B60" s="1"/>
      <c r="C60" s="2" t="s">
        <v>138</v>
      </c>
      <c r="D60" s="1"/>
      <c r="E60" s="1"/>
      <c r="F60" s="12"/>
      <c r="G60" s="12"/>
      <c r="H60" s="49"/>
    </row>
    <row r="61" spans="1:8" ht="24" customHeight="1" x14ac:dyDescent="0.2">
      <c r="A61" s="1"/>
      <c r="B61" s="1"/>
      <c r="C61" s="2" t="s">
        <v>10</v>
      </c>
      <c r="D61" s="1"/>
      <c r="E61" s="1"/>
      <c r="F61" s="12"/>
      <c r="G61" s="12"/>
      <c r="H61" s="49"/>
    </row>
    <row r="62" spans="1:8" ht="14.1" customHeight="1" x14ac:dyDescent="0.2">
      <c r="A62" s="1"/>
      <c r="B62" s="1"/>
      <c r="C62" s="2" t="s">
        <v>130</v>
      </c>
      <c r="D62" s="1"/>
      <c r="E62" s="1" t="s">
        <v>131</v>
      </c>
      <c r="F62" s="13">
        <v>0</v>
      </c>
      <c r="G62" s="14">
        <v>0</v>
      </c>
      <c r="H62" s="49"/>
    </row>
    <row r="63" spans="1:8" ht="14.1" customHeight="1" x14ac:dyDescent="0.2">
      <c r="A63" s="1"/>
      <c r="B63" s="1"/>
      <c r="C63" s="11"/>
      <c r="D63" s="1"/>
      <c r="E63" s="1"/>
      <c r="F63" s="12"/>
      <c r="G63" s="12"/>
      <c r="H63" s="49"/>
    </row>
    <row r="64" spans="1:8" ht="14.1" customHeight="1" x14ac:dyDescent="0.2">
      <c r="A64" s="1"/>
      <c r="B64" s="1"/>
      <c r="C64" s="2" t="s">
        <v>139</v>
      </c>
      <c r="D64" s="1"/>
      <c r="E64" s="1"/>
      <c r="F64" s="1"/>
      <c r="G64" s="1"/>
      <c r="H64" s="49"/>
    </row>
    <row r="65" spans="1:8" ht="14.1" customHeight="1" x14ac:dyDescent="0.2">
      <c r="A65" s="1"/>
      <c r="B65" s="1"/>
      <c r="C65" s="2" t="s">
        <v>130</v>
      </c>
      <c r="D65" s="1"/>
      <c r="E65" s="1" t="s">
        <v>131</v>
      </c>
      <c r="F65" s="13">
        <v>0</v>
      </c>
      <c r="G65" s="14">
        <v>0</v>
      </c>
      <c r="H65" s="49"/>
    </row>
    <row r="66" spans="1:8" ht="14.1" customHeight="1" x14ac:dyDescent="0.2">
      <c r="A66" s="1"/>
      <c r="B66" s="1"/>
      <c r="C66" s="11"/>
      <c r="D66" s="1"/>
      <c r="E66" s="1"/>
      <c r="F66" s="12"/>
      <c r="G66" s="12"/>
      <c r="H66" s="49"/>
    </row>
    <row r="67" spans="1:8" ht="14.1" customHeight="1" x14ac:dyDescent="0.2">
      <c r="A67" s="1"/>
      <c r="B67" s="1"/>
      <c r="C67" s="2" t="s">
        <v>140</v>
      </c>
      <c r="D67" s="1"/>
      <c r="E67" s="1"/>
      <c r="F67" s="1"/>
      <c r="G67" s="1"/>
      <c r="H67" s="49"/>
    </row>
    <row r="68" spans="1:8" ht="14.1" customHeight="1" x14ac:dyDescent="0.2">
      <c r="A68" s="1"/>
      <c r="B68" s="1"/>
      <c r="C68" s="2" t="s">
        <v>130</v>
      </c>
      <c r="D68" s="1"/>
      <c r="E68" s="1" t="s">
        <v>131</v>
      </c>
      <c r="F68" s="13">
        <v>0</v>
      </c>
      <c r="G68" s="14">
        <v>0</v>
      </c>
      <c r="H68" s="49"/>
    </row>
    <row r="69" spans="1:8" ht="14.1" customHeight="1" x14ac:dyDescent="0.2">
      <c r="A69" s="1"/>
      <c r="B69" s="1"/>
      <c r="C69" s="11"/>
      <c r="D69" s="1"/>
      <c r="E69" s="1"/>
      <c r="F69" s="12"/>
      <c r="G69" s="12"/>
      <c r="H69" s="49"/>
    </row>
    <row r="70" spans="1:8" ht="14.1" customHeight="1" x14ac:dyDescent="0.2">
      <c r="A70" s="1"/>
      <c r="B70" s="1"/>
      <c r="C70" s="2" t="s">
        <v>141</v>
      </c>
      <c r="D70" s="1"/>
      <c r="E70" s="1"/>
      <c r="F70" s="12"/>
      <c r="G70" s="12"/>
      <c r="H70" s="49"/>
    </row>
    <row r="71" spans="1:8" ht="14.1" customHeight="1" x14ac:dyDescent="0.2">
      <c r="A71" s="1"/>
      <c r="B71" s="1"/>
      <c r="C71" s="2" t="s">
        <v>130</v>
      </c>
      <c r="D71" s="1"/>
      <c r="E71" s="1" t="s">
        <v>131</v>
      </c>
      <c r="F71" s="13">
        <v>0</v>
      </c>
      <c r="G71" s="14">
        <v>0</v>
      </c>
      <c r="H71" s="49"/>
    </row>
    <row r="72" spans="1:8" ht="14.1" customHeight="1" x14ac:dyDescent="0.2">
      <c r="A72" s="1"/>
      <c r="B72" s="1"/>
      <c r="C72" s="11"/>
      <c r="D72" s="1"/>
      <c r="E72" s="1"/>
      <c r="F72" s="12"/>
      <c r="G72" s="12"/>
      <c r="H72" s="49"/>
    </row>
    <row r="73" spans="1:8" ht="14.1" customHeight="1" x14ac:dyDescent="0.2">
      <c r="A73" s="1"/>
      <c r="B73" s="1"/>
      <c r="C73" s="2" t="s">
        <v>142</v>
      </c>
      <c r="D73" s="1"/>
      <c r="E73" s="1"/>
      <c r="F73" s="9">
        <v>0</v>
      </c>
      <c r="G73" s="10">
        <v>0</v>
      </c>
      <c r="H73" s="49"/>
    </row>
    <row r="74" spans="1:8" ht="14.1" customHeight="1" x14ac:dyDescent="0.2">
      <c r="A74" s="1"/>
      <c r="B74" s="1"/>
      <c r="C74" s="11"/>
      <c r="D74" s="1"/>
      <c r="E74" s="1"/>
      <c r="F74" s="12"/>
      <c r="G74" s="12"/>
      <c r="H74" s="49"/>
    </row>
    <row r="75" spans="1:8" ht="14.1" customHeight="1" x14ac:dyDescent="0.2">
      <c r="A75" s="1"/>
      <c r="B75" s="1"/>
      <c r="C75" s="2" t="s">
        <v>143</v>
      </c>
      <c r="D75" s="1"/>
      <c r="E75" s="1"/>
      <c r="F75" s="12"/>
      <c r="G75" s="12"/>
      <c r="H75" s="49"/>
    </row>
    <row r="76" spans="1:8" ht="14.1" customHeight="1" x14ac:dyDescent="0.2">
      <c r="A76" s="1"/>
      <c r="B76" s="1"/>
      <c r="C76" s="2" t="s">
        <v>144</v>
      </c>
      <c r="D76" s="1"/>
      <c r="E76" s="1"/>
      <c r="F76" s="12"/>
      <c r="G76" s="12"/>
      <c r="H76" s="49"/>
    </row>
    <row r="77" spans="1:8" ht="14.1" customHeight="1" x14ac:dyDescent="0.2">
      <c r="A77" s="1"/>
      <c r="B77" s="1"/>
      <c r="C77" s="2" t="s">
        <v>130</v>
      </c>
      <c r="D77" s="1"/>
      <c r="E77" s="1" t="s">
        <v>131</v>
      </c>
      <c r="F77" s="13">
        <v>0</v>
      </c>
      <c r="G77" s="14">
        <v>0</v>
      </c>
      <c r="H77" s="49"/>
    </row>
    <row r="78" spans="1:8" ht="14.1" customHeight="1" x14ac:dyDescent="0.2">
      <c r="A78" s="1"/>
      <c r="B78" s="1"/>
      <c r="C78" s="11"/>
      <c r="D78" s="1"/>
      <c r="E78" s="1"/>
      <c r="F78" s="12"/>
      <c r="G78" s="12"/>
      <c r="H78" s="49"/>
    </row>
    <row r="79" spans="1:8" ht="14.1" customHeight="1" x14ac:dyDescent="0.2">
      <c r="A79" s="1"/>
      <c r="B79" s="1"/>
      <c r="C79" s="2" t="s">
        <v>145</v>
      </c>
      <c r="D79" s="1"/>
      <c r="E79" s="1"/>
      <c r="F79" s="12"/>
      <c r="G79" s="12"/>
      <c r="H79" s="49"/>
    </row>
    <row r="80" spans="1:8" ht="14.1" customHeight="1" x14ac:dyDescent="0.2">
      <c r="A80" s="1"/>
      <c r="B80" s="1"/>
      <c r="C80" s="2" t="s">
        <v>130</v>
      </c>
      <c r="D80" s="1"/>
      <c r="E80" s="1" t="s">
        <v>131</v>
      </c>
      <c r="F80" s="13">
        <v>0</v>
      </c>
      <c r="G80" s="14">
        <v>0</v>
      </c>
      <c r="H80" s="49"/>
    </row>
    <row r="81" spans="1:8" ht="14.1" customHeight="1" x14ac:dyDescent="0.2">
      <c r="A81" s="1"/>
      <c r="B81" s="1"/>
      <c r="C81" s="11"/>
      <c r="D81" s="1"/>
      <c r="E81" s="1"/>
      <c r="F81" s="12"/>
      <c r="G81" s="12"/>
      <c r="H81" s="49"/>
    </row>
    <row r="82" spans="1:8" ht="14.1" customHeight="1" x14ac:dyDescent="0.2">
      <c r="A82" s="1"/>
      <c r="B82" s="1"/>
      <c r="C82" s="2" t="s">
        <v>146</v>
      </c>
      <c r="D82" s="1"/>
      <c r="E82" s="1"/>
      <c r="F82" s="12"/>
      <c r="G82" s="12"/>
      <c r="H82" s="49"/>
    </row>
    <row r="83" spans="1:8" ht="14.1" customHeight="1" x14ac:dyDescent="0.2">
      <c r="A83" s="1"/>
      <c r="B83" s="1"/>
      <c r="C83" s="2" t="s">
        <v>130</v>
      </c>
      <c r="D83" s="1"/>
      <c r="E83" s="1" t="s">
        <v>131</v>
      </c>
      <c r="F83" s="13">
        <v>0</v>
      </c>
      <c r="G83" s="14">
        <v>0</v>
      </c>
      <c r="H83" s="49"/>
    </row>
    <row r="84" spans="1:8" ht="14.1" customHeight="1" x14ac:dyDescent="0.2">
      <c r="A84" s="1"/>
      <c r="B84" s="1"/>
      <c r="C84" s="11"/>
      <c r="D84" s="1"/>
      <c r="E84" s="1"/>
      <c r="F84" s="12"/>
      <c r="G84" s="12"/>
      <c r="H84" s="49"/>
    </row>
    <row r="85" spans="1:8" ht="14.1" customHeight="1" x14ac:dyDescent="0.2">
      <c r="A85" s="1"/>
      <c r="B85" s="1"/>
      <c r="C85" s="2" t="s">
        <v>147</v>
      </c>
      <c r="D85" s="1"/>
      <c r="E85" s="1"/>
      <c r="F85" s="12"/>
      <c r="G85" s="12"/>
      <c r="H85" s="49"/>
    </row>
    <row r="86" spans="1:8" ht="17.100000000000001" customHeight="1" x14ac:dyDescent="0.2">
      <c r="A86" s="3">
        <v>1</v>
      </c>
      <c r="B86" s="4"/>
      <c r="C86" s="4" t="s">
        <v>148</v>
      </c>
      <c r="D86" s="4"/>
      <c r="E86" s="8"/>
      <c r="F86" s="6">
        <v>19404.733709299999</v>
      </c>
      <c r="G86" s="7">
        <v>0.57229381999999995</v>
      </c>
      <c r="H86" s="49">
        <v>5.6572293145372496</v>
      </c>
    </row>
    <row r="87" spans="1:8" ht="14.1" customHeight="1" x14ac:dyDescent="0.2">
      <c r="A87" s="1"/>
      <c r="B87" s="1"/>
      <c r="C87" s="2" t="s">
        <v>130</v>
      </c>
      <c r="D87" s="1"/>
      <c r="E87" s="1" t="s">
        <v>131</v>
      </c>
      <c r="F87" s="9">
        <v>19404.733709299999</v>
      </c>
      <c r="G87" s="10">
        <v>0.57229381999999995</v>
      </c>
      <c r="H87" s="49"/>
    </row>
    <row r="88" spans="1:8" ht="14.1" customHeight="1" x14ac:dyDescent="0.2">
      <c r="A88" s="1"/>
      <c r="B88" s="1"/>
      <c r="C88" s="11"/>
      <c r="D88" s="1"/>
      <c r="E88" s="1"/>
      <c r="F88" s="12"/>
      <c r="G88" s="12"/>
      <c r="H88" s="49"/>
    </row>
    <row r="89" spans="1:8" ht="14.1" customHeight="1" x14ac:dyDescent="0.2">
      <c r="A89" s="1"/>
      <c r="B89" s="1"/>
      <c r="C89" s="2" t="s">
        <v>149</v>
      </c>
      <c r="D89" s="1"/>
      <c r="E89" s="1"/>
      <c r="F89" s="9">
        <v>19404.733709299999</v>
      </c>
      <c r="G89" s="10">
        <v>0.57229381999999995</v>
      </c>
      <c r="H89" s="49"/>
    </row>
    <row r="90" spans="1:8" ht="14.1" customHeight="1" x14ac:dyDescent="0.2">
      <c r="A90" s="1"/>
      <c r="B90" s="1"/>
      <c r="C90" s="12"/>
      <c r="D90" s="1"/>
      <c r="E90" s="1"/>
      <c r="F90" s="1"/>
      <c r="G90" s="1"/>
      <c r="H90" s="49"/>
    </row>
    <row r="91" spans="1:8" ht="14.1" customHeight="1" x14ac:dyDescent="0.2">
      <c r="A91" s="1"/>
      <c r="B91" s="1"/>
      <c r="C91" s="2" t="s">
        <v>150</v>
      </c>
      <c r="D91" s="1"/>
      <c r="E91" s="1"/>
      <c r="F91" s="1"/>
      <c r="G91" s="1"/>
      <c r="H91" s="49"/>
    </row>
    <row r="92" spans="1:8" ht="14.1" customHeight="1" x14ac:dyDescent="0.2">
      <c r="A92" s="1"/>
      <c r="B92" s="1"/>
      <c r="C92" s="2" t="s">
        <v>151</v>
      </c>
      <c r="D92" s="1"/>
      <c r="E92" s="1"/>
      <c r="F92" s="1"/>
      <c r="G92" s="1"/>
      <c r="H92" s="49"/>
    </row>
    <row r="93" spans="1:8" ht="14.1" customHeight="1" x14ac:dyDescent="0.2">
      <c r="A93" s="1"/>
      <c r="B93" s="1"/>
      <c r="C93" s="2" t="s">
        <v>130</v>
      </c>
      <c r="D93" s="1"/>
      <c r="E93" s="1" t="s">
        <v>131</v>
      </c>
      <c r="F93" s="13">
        <v>0</v>
      </c>
      <c r="G93" s="14">
        <v>0</v>
      </c>
      <c r="H93" s="49"/>
    </row>
    <row r="94" spans="1:8" ht="14.1" customHeight="1" x14ac:dyDescent="0.2">
      <c r="A94" s="1"/>
      <c r="B94" s="1"/>
      <c r="C94" s="11"/>
      <c r="D94" s="1"/>
      <c r="E94" s="1"/>
      <c r="F94" s="12"/>
      <c r="G94" s="12"/>
      <c r="H94" s="49"/>
    </row>
    <row r="95" spans="1:8" ht="14.1" customHeight="1" x14ac:dyDescent="0.2">
      <c r="A95" s="1"/>
      <c r="B95" s="1"/>
      <c r="C95" s="2" t="s">
        <v>152</v>
      </c>
      <c r="D95" s="1"/>
      <c r="E95" s="1"/>
      <c r="F95" s="1"/>
      <c r="G95" s="1"/>
      <c r="H95" s="49"/>
    </row>
    <row r="96" spans="1:8" ht="14.1" customHeight="1" x14ac:dyDescent="0.2">
      <c r="A96" s="1"/>
      <c r="B96" s="1"/>
      <c r="C96" s="2" t="s">
        <v>153</v>
      </c>
      <c r="D96" s="1"/>
      <c r="E96" s="1"/>
      <c r="F96" s="1"/>
      <c r="G96" s="1"/>
      <c r="H96" s="49"/>
    </row>
    <row r="97" spans="1:8" ht="14.1" customHeight="1" x14ac:dyDescent="0.2">
      <c r="A97" s="1"/>
      <c r="B97" s="1"/>
      <c r="C97" s="2" t="s">
        <v>130</v>
      </c>
      <c r="D97" s="1"/>
      <c r="E97" s="1" t="s">
        <v>131</v>
      </c>
      <c r="F97" s="13">
        <v>0</v>
      </c>
      <c r="G97" s="14">
        <v>0</v>
      </c>
      <c r="H97" s="49"/>
    </row>
    <row r="98" spans="1:8" ht="14.1" customHeight="1" x14ac:dyDescent="0.2">
      <c r="A98" s="1"/>
      <c r="B98" s="1"/>
      <c r="C98" s="11"/>
      <c r="D98" s="1"/>
      <c r="E98" s="1"/>
      <c r="F98" s="12"/>
      <c r="G98" s="12"/>
      <c r="H98" s="49"/>
    </row>
    <row r="99" spans="1:8" ht="14.1" customHeight="1" x14ac:dyDescent="0.2">
      <c r="A99" s="1"/>
      <c r="B99" s="1"/>
      <c r="C99" s="11"/>
      <c r="D99" s="1"/>
      <c r="E99" s="1"/>
      <c r="F99" s="12"/>
      <c r="G99" s="12"/>
      <c r="H99" s="49"/>
    </row>
    <row r="100" spans="1:8" ht="24" customHeight="1" x14ac:dyDescent="0.2">
      <c r="A100" s="1"/>
      <c r="B100" s="1"/>
      <c r="C100" s="2" t="s">
        <v>154</v>
      </c>
      <c r="D100" s="1"/>
      <c r="E100" s="1"/>
      <c r="F100" s="12"/>
      <c r="G100" s="12"/>
      <c r="H100" s="49"/>
    </row>
    <row r="101" spans="1:8" ht="14.1" customHeight="1" x14ac:dyDescent="0.2">
      <c r="A101" s="1"/>
      <c r="B101" s="1"/>
      <c r="C101" s="2" t="s">
        <v>130</v>
      </c>
      <c r="D101" s="1"/>
      <c r="E101" s="1" t="s">
        <v>131</v>
      </c>
      <c r="F101" s="13">
        <v>0</v>
      </c>
      <c r="G101" s="14">
        <v>0</v>
      </c>
      <c r="H101" s="49"/>
    </row>
    <row r="102" spans="1:8" ht="14.1" customHeight="1" x14ac:dyDescent="0.2">
      <c r="A102" s="1"/>
      <c r="B102" s="1"/>
      <c r="C102" s="11"/>
      <c r="D102" s="1"/>
      <c r="E102" s="1"/>
      <c r="F102" s="12"/>
      <c r="G102" s="12"/>
      <c r="H102" s="49"/>
    </row>
    <row r="103" spans="1:8" ht="14.1" customHeight="1" x14ac:dyDescent="0.2">
      <c r="A103" s="1"/>
      <c r="B103" s="4"/>
      <c r="C103" s="4"/>
      <c r="D103" s="2"/>
      <c r="E103" s="1"/>
      <c r="F103" s="4"/>
      <c r="G103" s="8"/>
      <c r="H103" s="49"/>
    </row>
    <row r="104" spans="1:8" ht="18" customHeight="1" x14ac:dyDescent="0.2">
      <c r="A104" s="8"/>
      <c r="B104" s="4"/>
      <c r="C104" s="4" t="s">
        <v>155</v>
      </c>
      <c r="D104" s="4"/>
      <c r="E104" s="8"/>
      <c r="F104" s="6">
        <v>1033.0935883100001</v>
      </c>
      <c r="G104" s="7">
        <v>3.0468497000000001E-2</v>
      </c>
      <c r="H104" s="49"/>
    </row>
    <row r="105" spans="1:8" ht="14.1" customHeight="1" x14ac:dyDescent="0.2">
      <c r="A105" s="11"/>
      <c r="B105" s="11"/>
      <c r="C105" s="2" t="s">
        <v>156</v>
      </c>
      <c r="D105" s="15"/>
      <c r="E105" s="15"/>
      <c r="F105" s="9">
        <v>33906.942635610001</v>
      </c>
      <c r="G105" s="10">
        <v>1.0000000040000001</v>
      </c>
      <c r="H105" s="49"/>
    </row>
    <row r="106" spans="1:8" ht="14.1" customHeight="1" x14ac:dyDescent="0.2">
      <c r="A106" s="16"/>
      <c r="B106" s="16"/>
      <c r="C106" s="16"/>
      <c r="D106" s="17"/>
      <c r="E106" s="17"/>
      <c r="F106" s="17"/>
      <c r="G106" s="17"/>
    </row>
    <row r="107" spans="1:8" ht="14.1" customHeight="1" x14ac:dyDescent="0.2">
      <c r="A107" s="18"/>
      <c r="B107" s="18"/>
      <c r="C107" s="18"/>
      <c r="D107" s="20"/>
      <c r="E107" s="20"/>
      <c r="F107" s="20"/>
      <c r="G107" s="20"/>
    </row>
    <row r="108" spans="1:8" ht="14.1" customHeight="1" x14ac:dyDescent="0.2">
      <c r="A108" s="18"/>
      <c r="B108" s="319" t="s">
        <v>158</v>
      </c>
      <c r="C108" s="320"/>
      <c r="D108" s="12" t="s">
        <v>131</v>
      </c>
      <c r="E108" s="21"/>
      <c r="F108" s="20"/>
      <c r="G108" s="20"/>
    </row>
    <row r="109" spans="1:8" ht="29.1" customHeight="1" x14ac:dyDescent="0.2">
      <c r="A109" s="18"/>
      <c r="B109" s="323" t="s">
        <v>159</v>
      </c>
      <c r="C109" s="324"/>
      <c r="D109" s="2" t="s">
        <v>160</v>
      </c>
      <c r="E109" s="21"/>
      <c r="F109" s="20"/>
      <c r="G109" s="20"/>
    </row>
    <row r="110" spans="1:8" ht="17.100000000000001" customHeight="1" x14ac:dyDescent="0.2">
      <c r="A110" s="18"/>
      <c r="B110" s="323" t="s">
        <v>161</v>
      </c>
      <c r="C110" s="324"/>
      <c r="D110" s="2" t="s">
        <v>160</v>
      </c>
      <c r="E110" s="21"/>
      <c r="F110" s="20"/>
      <c r="G110" s="20"/>
    </row>
    <row r="111" spans="1:8" ht="17.100000000000001" customHeight="1" x14ac:dyDescent="0.2">
      <c r="A111" s="18"/>
      <c r="B111" s="323" t="s">
        <v>162</v>
      </c>
      <c r="C111" s="324"/>
      <c r="D111" s="12" t="s">
        <v>131</v>
      </c>
      <c r="E111" s="21"/>
      <c r="F111" s="20"/>
      <c r="G111" s="20"/>
    </row>
    <row r="112" spans="1:8" ht="24" customHeight="1" x14ac:dyDescent="0.2">
      <c r="A112" s="22"/>
      <c r="B112" s="23" t="s">
        <v>131</v>
      </c>
      <c r="C112" s="23" t="s">
        <v>163</v>
      </c>
      <c r="D112" s="23" t="s">
        <v>164</v>
      </c>
      <c r="E112" s="22"/>
      <c r="F112" s="22"/>
      <c r="G112" s="22"/>
    </row>
    <row r="113" spans="1:7" ht="18" customHeight="1" x14ac:dyDescent="0.2">
      <c r="A113" s="22"/>
      <c r="B113" s="23" t="s">
        <v>165</v>
      </c>
      <c r="C113" s="23" t="s">
        <v>166</v>
      </c>
      <c r="D113" s="23" t="s">
        <v>167</v>
      </c>
      <c r="E113" s="22"/>
      <c r="F113" s="22"/>
      <c r="G113" s="22"/>
    </row>
    <row r="114" spans="1:7" ht="17.100000000000001" customHeight="1" x14ac:dyDescent="0.2">
      <c r="A114" s="22"/>
      <c r="B114" s="4" t="s">
        <v>168</v>
      </c>
      <c r="C114" s="24">
        <v>17.960799999999999</v>
      </c>
      <c r="D114" s="24">
        <v>18.081800000000001</v>
      </c>
      <c r="E114" s="22"/>
      <c r="F114" s="19"/>
      <c r="G114" s="25"/>
    </row>
    <row r="115" spans="1:7" ht="17.100000000000001" customHeight="1" x14ac:dyDescent="0.2">
      <c r="A115" s="22"/>
      <c r="B115" s="4" t="s">
        <v>1021</v>
      </c>
      <c r="C115" s="24">
        <v>17.960799999999999</v>
      </c>
      <c r="D115" s="24">
        <v>18.081800000000001</v>
      </c>
      <c r="E115" s="22"/>
      <c r="F115" s="19"/>
      <c r="G115" s="25"/>
    </row>
    <row r="116" spans="1:7" ht="17.100000000000001" customHeight="1" x14ac:dyDescent="0.2">
      <c r="A116" s="22"/>
      <c r="B116" s="4" t="s">
        <v>169</v>
      </c>
      <c r="C116" s="24">
        <v>17.1953</v>
      </c>
      <c r="D116" s="24">
        <v>17.3001</v>
      </c>
      <c r="E116" s="22"/>
      <c r="F116" s="19"/>
      <c r="G116" s="25"/>
    </row>
    <row r="117" spans="1:7" ht="17.100000000000001" customHeight="1" x14ac:dyDescent="0.2">
      <c r="A117" s="22"/>
      <c r="B117" s="4" t="s">
        <v>1022</v>
      </c>
      <c r="C117" s="24">
        <v>17.1953</v>
      </c>
      <c r="D117" s="24">
        <v>17.3001</v>
      </c>
      <c r="E117" s="22"/>
      <c r="F117" s="19"/>
      <c r="G117" s="25"/>
    </row>
    <row r="118" spans="1:7" ht="14.1" customHeight="1" x14ac:dyDescent="0.2">
      <c r="A118" s="22"/>
      <c r="B118" s="22"/>
      <c r="C118" s="22"/>
      <c r="D118" s="22"/>
      <c r="E118" s="22"/>
      <c r="F118" s="22"/>
      <c r="G118" s="22"/>
    </row>
    <row r="119" spans="1:7" ht="17.100000000000001" customHeight="1" x14ac:dyDescent="0.2">
      <c r="A119" s="22"/>
      <c r="B119" s="323" t="s">
        <v>1023</v>
      </c>
      <c r="C119" s="324"/>
      <c r="D119" s="57" t="s">
        <v>160</v>
      </c>
      <c r="E119" s="22"/>
      <c r="F119" s="22"/>
      <c r="G119" s="22"/>
    </row>
    <row r="120" spans="1:7" ht="18" customHeight="1" x14ac:dyDescent="0.2">
      <c r="A120" s="22"/>
      <c r="B120" s="28"/>
      <c r="C120" s="28"/>
      <c r="D120" s="26"/>
      <c r="E120" s="22"/>
      <c r="F120" s="22"/>
      <c r="G120" s="22"/>
    </row>
    <row r="121" spans="1:7" ht="29.1" customHeight="1" x14ac:dyDescent="0.2">
      <c r="A121" s="22"/>
      <c r="B121" s="323" t="s">
        <v>170</v>
      </c>
      <c r="C121" s="324"/>
      <c r="D121" s="2" t="s">
        <v>160</v>
      </c>
      <c r="E121" s="22"/>
      <c r="F121" s="22"/>
      <c r="G121" s="22"/>
    </row>
    <row r="122" spans="1:7" ht="29.1" customHeight="1" x14ac:dyDescent="0.2">
      <c r="A122" s="22"/>
      <c r="B122" s="323" t="s">
        <v>171</v>
      </c>
      <c r="C122" s="324"/>
      <c r="D122" s="2" t="s">
        <v>160</v>
      </c>
      <c r="E122" s="22"/>
      <c r="F122" s="22"/>
      <c r="G122" s="22"/>
    </row>
    <row r="123" spans="1:7" ht="17.100000000000001" customHeight="1" x14ac:dyDescent="0.2">
      <c r="A123" s="22"/>
      <c r="B123" s="323" t="s">
        <v>172</v>
      </c>
      <c r="C123" s="324"/>
      <c r="D123" s="27">
        <v>0.22820509978002554</v>
      </c>
      <c r="E123" s="22"/>
      <c r="F123" s="19"/>
      <c r="G123" s="25"/>
    </row>
    <row r="124" spans="1:7" ht="17.100000000000001" customHeight="1" x14ac:dyDescent="0.2">
      <c r="A124" s="22"/>
      <c r="B124" s="323" t="s">
        <v>173</v>
      </c>
      <c r="C124" s="324"/>
      <c r="D124" s="2" t="s">
        <v>160</v>
      </c>
      <c r="E124" s="22"/>
      <c r="F124" s="22"/>
      <c r="G124" s="22"/>
    </row>
    <row r="165" spans="10:14" x14ac:dyDescent="0.2">
      <c r="J165" s="218"/>
      <c r="K165" s="218"/>
      <c r="L165" s="218"/>
      <c r="M165" s="218"/>
      <c r="N165" s="218"/>
    </row>
  </sheetData>
  <mergeCells count="13">
    <mergeCell ref="J2:N2"/>
    <mergeCell ref="B124:C124"/>
    <mergeCell ref="B109:C109"/>
    <mergeCell ref="B110:C110"/>
    <mergeCell ref="B111:C111"/>
    <mergeCell ref="B119:C119"/>
    <mergeCell ref="B121:C121"/>
    <mergeCell ref="B122:C122"/>
    <mergeCell ref="A1:H1"/>
    <mergeCell ref="A2:H2"/>
    <mergeCell ref="A3:H3"/>
    <mergeCell ref="B108:C108"/>
    <mergeCell ref="B123:C123"/>
  </mergeCells>
  <hyperlinks>
    <hyperlink ref="I1" location="Index!B8" display="Index" xr:uid="{CB30E52B-F13E-4944-BF8F-525A1B2963C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416</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29</v>
      </c>
      <c r="C7" s="4" t="s">
        <v>30</v>
      </c>
      <c r="D7" s="4" t="s">
        <v>31</v>
      </c>
      <c r="E7" s="5">
        <v>48732</v>
      </c>
      <c r="F7" s="6">
        <v>986.48187600000006</v>
      </c>
      <c r="G7" s="7">
        <v>3.2348531999999999E-2</v>
      </c>
      <c r="H7" s="49"/>
    </row>
    <row r="8" spans="1:15" ht="17.100000000000001" customHeight="1" x14ac:dyDescent="0.2">
      <c r="A8" s="3">
        <v>2</v>
      </c>
      <c r="B8" s="4" t="s">
        <v>106</v>
      </c>
      <c r="C8" s="4" t="s">
        <v>107</v>
      </c>
      <c r="D8" s="4" t="s">
        <v>108</v>
      </c>
      <c r="E8" s="5">
        <v>241828</v>
      </c>
      <c r="F8" s="6">
        <v>935.027962</v>
      </c>
      <c r="G8" s="7">
        <v>3.0661265E-2</v>
      </c>
      <c r="H8" s="49"/>
    </row>
    <row r="9" spans="1:15" ht="17.100000000000001" customHeight="1" x14ac:dyDescent="0.2">
      <c r="A9" s="3">
        <v>3</v>
      </c>
      <c r="B9" s="4" t="s">
        <v>389</v>
      </c>
      <c r="C9" s="4" t="s">
        <v>390</v>
      </c>
      <c r="D9" s="4" t="s">
        <v>103</v>
      </c>
      <c r="E9" s="5">
        <v>774973</v>
      </c>
      <c r="F9" s="6">
        <v>925.31776200000002</v>
      </c>
      <c r="G9" s="7">
        <v>3.0342850000000001E-2</v>
      </c>
      <c r="H9" s="49"/>
    </row>
    <row r="10" spans="1:15" ht="29.1" customHeight="1" x14ac:dyDescent="0.2">
      <c r="A10" s="3">
        <v>4</v>
      </c>
      <c r="B10" s="4" t="s">
        <v>189</v>
      </c>
      <c r="C10" s="4" t="s">
        <v>190</v>
      </c>
      <c r="D10" s="4" t="s">
        <v>108</v>
      </c>
      <c r="E10" s="5">
        <v>230487</v>
      </c>
      <c r="F10" s="6">
        <v>836.32207949999997</v>
      </c>
      <c r="G10" s="7">
        <v>2.7424520000000001E-2</v>
      </c>
      <c r="H10" s="49"/>
    </row>
    <row r="11" spans="1:15" ht="17.100000000000001" customHeight="1" x14ac:dyDescent="0.2">
      <c r="A11" s="3">
        <v>5</v>
      </c>
      <c r="B11" s="4" t="s">
        <v>398</v>
      </c>
      <c r="C11" s="4" t="s">
        <v>399</v>
      </c>
      <c r="D11" s="4" t="s">
        <v>108</v>
      </c>
      <c r="E11" s="5">
        <v>45571</v>
      </c>
      <c r="F11" s="6">
        <v>743.71871999999996</v>
      </c>
      <c r="G11" s="7">
        <v>2.4387887E-2</v>
      </c>
      <c r="H11" s="49"/>
    </row>
    <row r="12" spans="1:15" ht="29.1" customHeight="1" x14ac:dyDescent="0.2">
      <c r="A12" s="3">
        <v>6</v>
      </c>
      <c r="B12" s="4" t="s">
        <v>197</v>
      </c>
      <c r="C12" s="4" t="s">
        <v>198</v>
      </c>
      <c r="D12" s="4" t="s">
        <v>193</v>
      </c>
      <c r="E12" s="5">
        <v>16196</v>
      </c>
      <c r="F12" s="6">
        <v>703.30320200000006</v>
      </c>
      <c r="G12" s="7">
        <v>2.3062589000000001E-2</v>
      </c>
      <c r="H12" s="49"/>
    </row>
    <row r="13" spans="1:15" ht="17.100000000000001" customHeight="1" x14ac:dyDescent="0.2">
      <c r="A13" s="3">
        <v>7</v>
      </c>
      <c r="B13" s="4" t="s">
        <v>300</v>
      </c>
      <c r="C13" s="4" t="s">
        <v>301</v>
      </c>
      <c r="D13" s="4" t="s">
        <v>230</v>
      </c>
      <c r="E13" s="5">
        <v>128698</v>
      </c>
      <c r="F13" s="6">
        <v>694.32570999999996</v>
      </c>
      <c r="G13" s="7">
        <v>2.2768200999999998E-2</v>
      </c>
      <c r="H13" s="49"/>
      <c r="J13" s="217" t="s">
        <v>1078</v>
      </c>
    </row>
    <row r="14" spans="1:15" ht="17.100000000000001" customHeight="1" x14ac:dyDescent="0.2">
      <c r="A14" s="3">
        <v>8</v>
      </c>
      <c r="B14" s="4" t="s">
        <v>83</v>
      </c>
      <c r="C14" s="4" t="s">
        <v>84</v>
      </c>
      <c r="D14" s="4" t="s">
        <v>31</v>
      </c>
      <c r="E14" s="5">
        <v>42914</v>
      </c>
      <c r="F14" s="6">
        <v>655.425522</v>
      </c>
      <c r="G14" s="7">
        <v>2.1492593000000001E-2</v>
      </c>
      <c r="H14" s="49"/>
    </row>
    <row r="15" spans="1:15" ht="17.100000000000001" customHeight="1" x14ac:dyDescent="0.2">
      <c r="A15" s="3">
        <v>9</v>
      </c>
      <c r="B15" s="4" t="s">
        <v>400</v>
      </c>
      <c r="C15" s="4" t="s">
        <v>401</v>
      </c>
      <c r="D15" s="4" t="s">
        <v>1042</v>
      </c>
      <c r="E15" s="5">
        <v>50165</v>
      </c>
      <c r="F15" s="6">
        <v>629.11926500000004</v>
      </c>
      <c r="G15" s="7">
        <v>2.0629963000000001E-2</v>
      </c>
      <c r="H15" s="49"/>
    </row>
    <row r="16" spans="1:15" ht="17.100000000000001" customHeight="1" x14ac:dyDescent="0.2">
      <c r="A16" s="3">
        <v>10</v>
      </c>
      <c r="B16" s="4" t="s">
        <v>315</v>
      </c>
      <c r="C16" s="4" t="s">
        <v>316</v>
      </c>
      <c r="D16" s="4" t="s">
        <v>317</v>
      </c>
      <c r="E16" s="5">
        <v>37952</v>
      </c>
      <c r="F16" s="6">
        <v>606.15036799999996</v>
      </c>
      <c r="G16" s="7">
        <v>1.9876771000000001E-2</v>
      </c>
      <c r="H16" s="49"/>
    </row>
    <row r="17" spans="1:8" ht="17.100000000000001" customHeight="1" x14ac:dyDescent="0.2">
      <c r="A17" s="3">
        <v>11</v>
      </c>
      <c r="B17" s="4" t="s">
        <v>318</v>
      </c>
      <c r="C17" s="4" t="s">
        <v>319</v>
      </c>
      <c r="D17" s="4" t="s">
        <v>233</v>
      </c>
      <c r="E17" s="5">
        <v>44350</v>
      </c>
      <c r="F17" s="6">
        <v>598.72500000000002</v>
      </c>
      <c r="G17" s="7">
        <v>1.9633279999999999E-2</v>
      </c>
      <c r="H17" s="49"/>
    </row>
    <row r="18" spans="1:8" ht="17.100000000000001" customHeight="1" x14ac:dyDescent="0.2">
      <c r="A18" s="3">
        <v>12</v>
      </c>
      <c r="B18" s="4" t="s">
        <v>285</v>
      </c>
      <c r="C18" s="4" t="s">
        <v>286</v>
      </c>
      <c r="D18" s="4" t="s">
        <v>22</v>
      </c>
      <c r="E18" s="5">
        <v>247778</v>
      </c>
      <c r="F18" s="6">
        <v>592.43719799999997</v>
      </c>
      <c r="G18" s="7">
        <v>1.9427091E-2</v>
      </c>
      <c r="H18" s="49"/>
    </row>
    <row r="19" spans="1:8" ht="17.100000000000001" customHeight="1" x14ac:dyDescent="0.2">
      <c r="A19" s="3">
        <v>13</v>
      </c>
      <c r="B19" s="4" t="s">
        <v>396</v>
      </c>
      <c r="C19" s="4" t="s">
        <v>397</v>
      </c>
      <c r="D19" s="4" t="s">
        <v>31</v>
      </c>
      <c r="E19" s="5">
        <v>69784</v>
      </c>
      <c r="F19" s="6">
        <v>581.02158399999996</v>
      </c>
      <c r="G19" s="7">
        <v>1.9052752999999999E-2</v>
      </c>
      <c r="H19" s="49"/>
    </row>
    <row r="20" spans="1:8" ht="17.100000000000001" customHeight="1" x14ac:dyDescent="0.2">
      <c r="A20" s="3">
        <v>14</v>
      </c>
      <c r="B20" s="4" t="s">
        <v>370</v>
      </c>
      <c r="C20" s="4" t="s">
        <v>371</v>
      </c>
      <c r="D20" s="4" t="s">
        <v>108</v>
      </c>
      <c r="E20" s="5">
        <v>101825</v>
      </c>
      <c r="F20" s="6">
        <v>552.29880000000003</v>
      </c>
      <c r="G20" s="7">
        <v>1.8110880999999999E-2</v>
      </c>
      <c r="H20" s="49"/>
    </row>
    <row r="21" spans="1:8" ht="17.100000000000001" customHeight="1" x14ac:dyDescent="0.2">
      <c r="A21" s="3">
        <v>15</v>
      </c>
      <c r="B21" s="4" t="s">
        <v>34</v>
      </c>
      <c r="C21" s="4" t="s">
        <v>35</v>
      </c>
      <c r="D21" s="4" t="s">
        <v>31</v>
      </c>
      <c r="E21" s="5">
        <v>28496</v>
      </c>
      <c r="F21" s="6">
        <v>546.952224</v>
      </c>
      <c r="G21" s="7">
        <v>1.7935557000000001E-2</v>
      </c>
      <c r="H21" s="49"/>
    </row>
    <row r="22" spans="1:8" ht="17.100000000000001" customHeight="1" x14ac:dyDescent="0.2">
      <c r="A22" s="3">
        <v>16</v>
      </c>
      <c r="B22" s="4" t="s">
        <v>98</v>
      </c>
      <c r="C22" s="4" t="s">
        <v>99</v>
      </c>
      <c r="D22" s="4" t="s">
        <v>100</v>
      </c>
      <c r="E22" s="5">
        <v>110331</v>
      </c>
      <c r="F22" s="6">
        <v>536.4844875</v>
      </c>
      <c r="G22" s="7">
        <v>1.7592301000000001E-2</v>
      </c>
      <c r="H22" s="49"/>
    </row>
    <row r="23" spans="1:8" ht="17.100000000000001" customHeight="1" x14ac:dyDescent="0.2">
      <c r="A23" s="3">
        <v>17</v>
      </c>
      <c r="B23" s="4" t="s">
        <v>372</v>
      </c>
      <c r="C23" s="4" t="s">
        <v>373</v>
      </c>
      <c r="D23" s="4" t="s">
        <v>103</v>
      </c>
      <c r="E23" s="5">
        <v>89016</v>
      </c>
      <c r="F23" s="6">
        <v>492.30298800000003</v>
      </c>
      <c r="G23" s="7">
        <v>1.6143509E-2</v>
      </c>
      <c r="H23" s="49"/>
    </row>
    <row r="24" spans="1:8" ht="17.100000000000001" customHeight="1" x14ac:dyDescent="0.2">
      <c r="A24" s="3">
        <v>18</v>
      </c>
      <c r="B24" s="4" t="s">
        <v>404</v>
      </c>
      <c r="C24" s="4" t="s">
        <v>405</v>
      </c>
      <c r="D24" s="4" t="s">
        <v>317</v>
      </c>
      <c r="E24" s="5">
        <v>30957</v>
      </c>
      <c r="F24" s="6">
        <v>483.65668950000003</v>
      </c>
      <c r="G24" s="7">
        <v>1.5859980999999999E-2</v>
      </c>
      <c r="H24" s="49"/>
    </row>
    <row r="25" spans="1:8" ht="17.100000000000001" customHeight="1" x14ac:dyDescent="0.2">
      <c r="A25" s="3">
        <v>19</v>
      </c>
      <c r="B25" s="4" t="s">
        <v>417</v>
      </c>
      <c r="C25" s="4" t="s">
        <v>418</v>
      </c>
      <c r="D25" s="4" t="s">
        <v>974</v>
      </c>
      <c r="E25" s="5">
        <v>63232</v>
      </c>
      <c r="F25" s="6">
        <v>452.01395200000002</v>
      </c>
      <c r="G25" s="7">
        <v>1.4822358000000001E-2</v>
      </c>
      <c r="H25" s="49"/>
    </row>
    <row r="26" spans="1:8" ht="17.100000000000001" customHeight="1" x14ac:dyDescent="0.2">
      <c r="A26" s="3">
        <v>20</v>
      </c>
      <c r="B26" s="4" t="s">
        <v>419</v>
      </c>
      <c r="C26" s="4" t="s">
        <v>420</v>
      </c>
      <c r="D26" s="4" t="s">
        <v>227</v>
      </c>
      <c r="E26" s="5">
        <v>149156</v>
      </c>
      <c r="F26" s="6">
        <v>441.27802600000001</v>
      </c>
      <c r="G26" s="7">
        <v>1.4470307999999999E-2</v>
      </c>
      <c r="H26" s="49"/>
    </row>
    <row r="27" spans="1:8" ht="29.1" customHeight="1" x14ac:dyDescent="0.2">
      <c r="A27" s="3">
        <v>21</v>
      </c>
      <c r="B27" s="4" t="s">
        <v>213</v>
      </c>
      <c r="C27" s="4" t="s">
        <v>214</v>
      </c>
      <c r="D27" s="4" t="s">
        <v>215</v>
      </c>
      <c r="E27" s="5">
        <v>97944</v>
      </c>
      <c r="F27" s="6">
        <v>408.86722800000001</v>
      </c>
      <c r="G27" s="7">
        <v>1.3407499E-2</v>
      </c>
      <c r="H27" s="49"/>
    </row>
    <row r="28" spans="1:8" ht="29.1" customHeight="1" x14ac:dyDescent="0.2">
      <c r="A28" s="3">
        <v>22</v>
      </c>
      <c r="B28" s="4" t="s">
        <v>385</v>
      </c>
      <c r="C28" s="4" t="s">
        <v>386</v>
      </c>
      <c r="D28" s="4" t="s">
        <v>69</v>
      </c>
      <c r="E28" s="5">
        <v>23848</v>
      </c>
      <c r="F28" s="6">
        <v>378.38429200000002</v>
      </c>
      <c r="G28" s="7">
        <v>1.2407908E-2</v>
      </c>
      <c r="H28" s="49"/>
    </row>
    <row r="29" spans="1:8" ht="29.1" customHeight="1" x14ac:dyDescent="0.2">
      <c r="A29" s="3">
        <v>23</v>
      </c>
      <c r="B29" s="4" t="s">
        <v>421</v>
      </c>
      <c r="C29" s="4" t="s">
        <v>422</v>
      </c>
      <c r="D29" s="4" t="s">
        <v>215</v>
      </c>
      <c r="E29" s="5">
        <v>94915</v>
      </c>
      <c r="F29" s="6">
        <v>377.42949750000002</v>
      </c>
      <c r="G29" s="7">
        <v>1.2376599E-2</v>
      </c>
      <c r="H29" s="49"/>
    </row>
    <row r="30" spans="1:8" ht="17.100000000000001" customHeight="1" x14ac:dyDescent="0.2">
      <c r="A30" s="3">
        <v>24</v>
      </c>
      <c r="B30" s="4" t="s">
        <v>423</v>
      </c>
      <c r="C30" s="4" t="s">
        <v>424</v>
      </c>
      <c r="D30" s="4" t="s">
        <v>233</v>
      </c>
      <c r="E30" s="5">
        <v>50260</v>
      </c>
      <c r="F30" s="6">
        <v>364.33474000000001</v>
      </c>
      <c r="G30" s="7">
        <v>1.1947197999999999E-2</v>
      </c>
      <c r="H30" s="49"/>
    </row>
    <row r="31" spans="1:8" ht="17.100000000000001" customHeight="1" x14ac:dyDescent="0.2">
      <c r="A31" s="3">
        <v>25</v>
      </c>
      <c r="B31" s="4" t="s">
        <v>39</v>
      </c>
      <c r="C31" s="4" t="s">
        <v>40</v>
      </c>
      <c r="D31" s="4" t="s">
        <v>16</v>
      </c>
      <c r="E31" s="5">
        <v>57776</v>
      </c>
      <c r="F31" s="6">
        <v>348.07151199999998</v>
      </c>
      <c r="G31" s="7">
        <v>1.1413896999999999E-2</v>
      </c>
      <c r="H31" s="49"/>
    </row>
    <row r="32" spans="1:8" ht="17.100000000000001" customHeight="1" x14ac:dyDescent="0.2">
      <c r="A32" s="3">
        <v>26</v>
      </c>
      <c r="B32" s="4" t="s">
        <v>374</v>
      </c>
      <c r="C32" s="4" t="s">
        <v>375</v>
      </c>
      <c r="D32" s="4" t="s">
        <v>103</v>
      </c>
      <c r="E32" s="5">
        <v>45431</v>
      </c>
      <c r="F32" s="6">
        <v>333.327247</v>
      </c>
      <c r="G32" s="7">
        <v>1.0930406E-2</v>
      </c>
      <c r="H32" s="49"/>
    </row>
    <row r="33" spans="1:8" ht="17.100000000000001" customHeight="1" x14ac:dyDescent="0.2">
      <c r="A33" s="3">
        <v>27</v>
      </c>
      <c r="B33" s="4" t="s">
        <v>203</v>
      </c>
      <c r="C33" s="4" t="s">
        <v>204</v>
      </c>
      <c r="D33" s="4" t="s">
        <v>974</v>
      </c>
      <c r="E33" s="5">
        <v>7785</v>
      </c>
      <c r="F33" s="6">
        <v>323.44339500000001</v>
      </c>
      <c r="G33" s="7">
        <v>1.0606295999999999E-2</v>
      </c>
      <c r="H33" s="49"/>
    </row>
    <row r="34" spans="1:8" ht="29.1" customHeight="1" x14ac:dyDescent="0.2">
      <c r="A34" s="3">
        <v>28</v>
      </c>
      <c r="B34" s="4" t="s">
        <v>61</v>
      </c>
      <c r="C34" s="4" t="s">
        <v>62</v>
      </c>
      <c r="D34" s="4" t="s">
        <v>25</v>
      </c>
      <c r="E34" s="5">
        <v>10183</v>
      </c>
      <c r="F34" s="6">
        <v>313.60585099999997</v>
      </c>
      <c r="G34" s="7">
        <v>1.0283705000000001E-2</v>
      </c>
      <c r="H34" s="49"/>
    </row>
    <row r="35" spans="1:8" ht="17.100000000000001" customHeight="1" x14ac:dyDescent="0.2">
      <c r="A35" s="3">
        <v>29</v>
      </c>
      <c r="B35" s="4" t="s">
        <v>383</v>
      </c>
      <c r="C35" s="4" t="s">
        <v>384</v>
      </c>
      <c r="D35" s="4" t="s">
        <v>31</v>
      </c>
      <c r="E35" s="5">
        <v>35318</v>
      </c>
      <c r="F35" s="6">
        <v>301.33317599999998</v>
      </c>
      <c r="G35" s="7">
        <v>9.881262E-3</v>
      </c>
      <c r="H35" s="49"/>
    </row>
    <row r="36" spans="1:8" ht="29.1" customHeight="1" x14ac:dyDescent="0.2">
      <c r="A36" s="3">
        <v>30</v>
      </c>
      <c r="B36" s="4" t="s">
        <v>425</v>
      </c>
      <c r="C36" s="4" t="s">
        <v>426</v>
      </c>
      <c r="D36" s="4" t="s">
        <v>48</v>
      </c>
      <c r="E36" s="5">
        <v>10761</v>
      </c>
      <c r="F36" s="6">
        <v>295.335645</v>
      </c>
      <c r="G36" s="7">
        <v>9.6845920000000005E-3</v>
      </c>
      <c r="H36" s="49"/>
    </row>
    <row r="37" spans="1:8" ht="29.1" customHeight="1" x14ac:dyDescent="0.2">
      <c r="A37" s="3">
        <v>31</v>
      </c>
      <c r="B37" s="4" t="s">
        <v>283</v>
      </c>
      <c r="C37" s="4" t="s">
        <v>284</v>
      </c>
      <c r="D37" s="4" t="s">
        <v>193</v>
      </c>
      <c r="E37" s="5">
        <v>40704</v>
      </c>
      <c r="F37" s="6">
        <v>292.68211200000002</v>
      </c>
      <c r="G37" s="7">
        <v>9.5975780000000007E-3</v>
      </c>
      <c r="H37" s="49"/>
    </row>
    <row r="38" spans="1:8" ht="17.100000000000001" customHeight="1" x14ac:dyDescent="0.2">
      <c r="A38" s="3">
        <v>32</v>
      </c>
      <c r="B38" s="4" t="s">
        <v>376</v>
      </c>
      <c r="C38" s="4" t="s">
        <v>377</v>
      </c>
      <c r="D38" s="4" t="s">
        <v>108</v>
      </c>
      <c r="E38" s="5">
        <v>47969</v>
      </c>
      <c r="F38" s="6">
        <v>292.27511700000002</v>
      </c>
      <c r="G38" s="7">
        <v>9.5842319999999998E-3</v>
      </c>
      <c r="H38" s="49"/>
    </row>
    <row r="39" spans="1:8" ht="17.100000000000001" customHeight="1" x14ac:dyDescent="0.2">
      <c r="A39" s="3">
        <v>33</v>
      </c>
      <c r="B39" s="4" t="s">
        <v>223</v>
      </c>
      <c r="C39" s="4" t="s">
        <v>224</v>
      </c>
      <c r="D39" s="4" t="s">
        <v>89</v>
      </c>
      <c r="E39" s="5">
        <v>5301</v>
      </c>
      <c r="F39" s="6">
        <v>288.33199200000001</v>
      </c>
      <c r="G39" s="7">
        <v>9.4549300000000003E-3</v>
      </c>
      <c r="H39" s="49"/>
    </row>
    <row r="40" spans="1:8" ht="17.100000000000001" customHeight="1" x14ac:dyDescent="0.2">
      <c r="A40" s="3">
        <v>34</v>
      </c>
      <c r="B40" s="4" t="s">
        <v>247</v>
      </c>
      <c r="C40" s="4" t="s">
        <v>248</v>
      </c>
      <c r="D40" s="4" t="s">
        <v>103</v>
      </c>
      <c r="E40" s="5">
        <v>45794</v>
      </c>
      <c r="F40" s="6">
        <v>270.41356999999999</v>
      </c>
      <c r="G40" s="7">
        <v>8.8673520000000002E-3</v>
      </c>
      <c r="H40" s="49"/>
    </row>
    <row r="41" spans="1:8" ht="17.100000000000001" customHeight="1" x14ac:dyDescent="0.2">
      <c r="A41" s="3">
        <v>35</v>
      </c>
      <c r="B41" s="4" t="s">
        <v>427</v>
      </c>
      <c r="C41" s="4" t="s">
        <v>428</v>
      </c>
      <c r="D41" s="4" t="s">
        <v>13</v>
      </c>
      <c r="E41" s="5">
        <v>329417</v>
      </c>
      <c r="F41" s="6">
        <v>261.39238949999998</v>
      </c>
      <c r="G41" s="7">
        <v>8.5715310000000003E-3</v>
      </c>
      <c r="H41" s="49"/>
    </row>
    <row r="42" spans="1:8" ht="17.100000000000001" customHeight="1" x14ac:dyDescent="0.2">
      <c r="A42" s="3">
        <v>36</v>
      </c>
      <c r="B42" s="4" t="s">
        <v>402</v>
      </c>
      <c r="C42" s="4" t="s">
        <v>403</v>
      </c>
      <c r="D42" s="4" t="s">
        <v>103</v>
      </c>
      <c r="E42" s="5">
        <v>26475</v>
      </c>
      <c r="F42" s="6">
        <v>254.22618750000001</v>
      </c>
      <c r="G42" s="7">
        <v>8.3365379999999992E-3</v>
      </c>
      <c r="H42" s="49"/>
    </row>
    <row r="43" spans="1:8" ht="29.1" customHeight="1" x14ac:dyDescent="0.2">
      <c r="A43" s="3">
        <v>37</v>
      </c>
      <c r="B43" s="4" t="s">
        <v>378</v>
      </c>
      <c r="C43" s="4" t="s">
        <v>379</v>
      </c>
      <c r="D43" s="4" t="s">
        <v>380</v>
      </c>
      <c r="E43" s="5">
        <v>61507</v>
      </c>
      <c r="F43" s="6">
        <v>244.45957150000001</v>
      </c>
      <c r="G43" s="7">
        <v>8.0162730000000008E-3</v>
      </c>
      <c r="H43" s="49"/>
    </row>
    <row r="44" spans="1:8" ht="17.100000000000001" customHeight="1" x14ac:dyDescent="0.2">
      <c r="A44" s="3">
        <v>38</v>
      </c>
      <c r="B44" s="4" t="s">
        <v>412</v>
      </c>
      <c r="C44" s="4" t="s">
        <v>413</v>
      </c>
      <c r="D44" s="4" t="s">
        <v>267</v>
      </c>
      <c r="E44" s="5">
        <v>76500</v>
      </c>
      <c r="F44" s="6">
        <v>243.76724999999999</v>
      </c>
      <c r="G44" s="7">
        <v>7.9935709999999997E-3</v>
      </c>
      <c r="H44" s="49"/>
    </row>
    <row r="45" spans="1:8" ht="29.1" customHeight="1" x14ac:dyDescent="0.2">
      <c r="A45" s="3">
        <v>39</v>
      </c>
      <c r="B45" s="4" t="s">
        <v>429</v>
      </c>
      <c r="C45" s="4" t="s">
        <v>430</v>
      </c>
      <c r="D45" s="4" t="s">
        <v>431</v>
      </c>
      <c r="E45" s="5">
        <v>191551</v>
      </c>
      <c r="F45" s="6">
        <v>241.83313749999999</v>
      </c>
      <c r="G45" s="7">
        <v>7.9301479999999997E-3</v>
      </c>
      <c r="H45" s="49"/>
    </row>
    <row r="46" spans="1:8" ht="17.100000000000001" customHeight="1" x14ac:dyDescent="0.2">
      <c r="A46" s="3">
        <v>40</v>
      </c>
      <c r="B46" s="4" t="s">
        <v>391</v>
      </c>
      <c r="C46" s="4" t="s">
        <v>392</v>
      </c>
      <c r="D46" s="4" t="s">
        <v>196</v>
      </c>
      <c r="E46" s="5">
        <v>28480</v>
      </c>
      <c r="F46" s="6">
        <v>213.72816</v>
      </c>
      <c r="G46" s="7">
        <v>7.0085340000000003E-3</v>
      </c>
      <c r="H46" s="49"/>
    </row>
    <row r="47" spans="1:8" ht="17.100000000000001" customHeight="1" x14ac:dyDescent="0.2">
      <c r="A47" s="3">
        <v>41</v>
      </c>
      <c r="B47" s="4" t="s">
        <v>410</v>
      </c>
      <c r="C47" s="4" t="s">
        <v>411</v>
      </c>
      <c r="D47" s="4" t="s">
        <v>89</v>
      </c>
      <c r="E47" s="5">
        <v>30910</v>
      </c>
      <c r="F47" s="6">
        <v>202.73868999999999</v>
      </c>
      <c r="G47" s="7">
        <v>6.6481700000000001E-3</v>
      </c>
      <c r="H47" s="49"/>
    </row>
    <row r="48" spans="1:8" ht="17.100000000000001" customHeight="1" x14ac:dyDescent="0.2">
      <c r="A48" s="3">
        <v>42</v>
      </c>
      <c r="B48" s="4" t="s">
        <v>432</v>
      </c>
      <c r="C48" s="4" t="s">
        <v>433</v>
      </c>
      <c r="D48" s="4" t="s">
        <v>103</v>
      </c>
      <c r="E48" s="5">
        <v>224422</v>
      </c>
      <c r="F48" s="6">
        <v>183.91382899999999</v>
      </c>
      <c r="G48" s="7">
        <v>6.030868E-3</v>
      </c>
      <c r="H48" s="49"/>
    </row>
    <row r="49" spans="1:8" ht="17.100000000000001" customHeight="1" x14ac:dyDescent="0.2">
      <c r="A49" s="3">
        <v>43</v>
      </c>
      <c r="B49" s="4" t="s">
        <v>434</v>
      </c>
      <c r="C49" s="4" t="s">
        <v>435</v>
      </c>
      <c r="D49" s="4" t="s">
        <v>218</v>
      </c>
      <c r="E49" s="5">
        <v>19778</v>
      </c>
      <c r="F49" s="6">
        <v>151.32147800000001</v>
      </c>
      <c r="G49" s="7">
        <v>4.962106E-3</v>
      </c>
      <c r="H49" s="49"/>
    </row>
    <row r="50" spans="1:8" ht="29.1" customHeight="1" x14ac:dyDescent="0.2">
      <c r="A50" s="3">
        <v>44</v>
      </c>
      <c r="B50" s="4" t="s">
        <v>436</v>
      </c>
      <c r="C50" s="4" t="s">
        <v>437</v>
      </c>
      <c r="D50" s="4" t="s">
        <v>215</v>
      </c>
      <c r="E50" s="5">
        <v>7293</v>
      </c>
      <c r="F50" s="6">
        <v>147.18732600000001</v>
      </c>
      <c r="G50" s="7">
        <v>4.8265399999999998E-3</v>
      </c>
      <c r="H50" s="49"/>
    </row>
    <row r="51" spans="1:8" ht="17.100000000000001" customHeight="1" x14ac:dyDescent="0.2">
      <c r="A51" s="3">
        <v>45</v>
      </c>
      <c r="B51" s="4" t="s">
        <v>438</v>
      </c>
      <c r="C51" s="4" t="s">
        <v>439</v>
      </c>
      <c r="D51" s="4" t="s">
        <v>31</v>
      </c>
      <c r="E51" s="5">
        <v>16111</v>
      </c>
      <c r="F51" s="6">
        <v>142.163464</v>
      </c>
      <c r="G51" s="7">
        <v>4.661798E-3</v>
      </c>
      <c r="H51" s="49"/>
    </row>
    <row r="52" spans="1:8" ht="29.1" customHeight="1" x14ac:dyDescent="0.2">
      <c r="A52" s="3">
        <v>46</v>
      </c>
      <c r="B52" s="4" t="s">
        <v>440</v>
      </c>
      <c r="C52" s="4" t="s">
        <v>441</v>
      </c>
      <c r="D52" s="4" t="s">
        <v>215</v>
      </c>
      <c r="E52" s="5">
        <v>47700</v>
      </c>
      <c r="F52" s="6">
        <v>125.8326</v>
      </c>
      <c r="G52" s="7">
        <v>4.1262790000000001E-3</v>
      </c>
      <c r="H52" s="49"/>
    </row>
    <row r="53" spans="1:8" ht="29.1" customHeight="1" x14ac:dyDescent="0.2">
      <c r="A53" s="3">
        <v>47</v>
      </c>
      <c r="B53" s="4" t="s">
        <v>387</v>
      </c>
      <c r="C53" s="4" t="s">
        <v>388</v>
      </c>
      <c r="D53" s="4" t="s">
        <v>215</v>
      </c>
      <c r="E53" s="5">
        <v>2928</v>
      </c>
      <c r="F53" s="6">
        <v>121.92192</v>
      </c>
      <c r="G53" s="7">
        <v>3.9980409999999999E-3</v>
      </c>
      <c r="H53" s="49"/>
    </row>
    <row r="54" spans="1:8" ht="17.100000000000001" customHeight="1" x14ac:dyDescent="0.2">
      <c r="A54" s="3">
        <v>48</v>
      </c>
      <c r="B54" s="4" t="s">
        <v>330</v>
      </c>
      <c r="C54" s="4" t="s">
        <v>331</v>
      </c>
      <c r="D54" s="4" t="s">
        <v>100</v>
      </c>
      <c r="E54" s="5">
        <v>154250</v>
      </c>
      <c r="F54" s="6">
        <v>121.471875</v>
      </c>
      <c r="G54" s="7">
        <v>3.9832829999999998E-3</v>
      </c>
      <c r="H54" s="49"/>
    </row>
    <row r="55" spans="1:8" ht="17.100000000000001" customHeight="1" x14ac:dyDescent="0.2">
      <c r="A55" s="3">
        <v>49</v>
      </c>
      <c r="B55" s="4" t="s">
        <v>408</v>
      </c>
      <c r="C55" s="4" t="s">
        <v>409</v>
      </c>
      <c r="D55" s="4" t="s">
        <v>108</v>
      </c>
      <c r="E55" s="5">
        <v>38843</v>
      </c>
      <c r="F55" s="6">
        <v>103.71081</v>
      </c>
      <c r="G55" s="7">
        <v>3.4008659999999998E-3</v>
      </c>
      <c r="H55" s="49"/>
    </row>
    <row r="56" spans="1:8" ht="29.1" customHeight="1" x14ac:dyDescent="0.2">
      <c r="A56" s="3">
        <v>50</v>
      </c>
      <c r="B56" s="4" t="s">
        <v>406</v>
      </c>
      <c r="C56" s="4" t="s">
        <v>407</v>
      </c>
      <c r="D56" s="4" t="s">
        <v>108</v>
      </c>
      <c r="E56" s="5">
        <v>8392</v>
      </c>
      <c r="F56" s="6">
        <v>98.761251999999999</v>
      </c>
      <c r="G56" s="7">
        <v>3.238561E-3</v>
      </c>
      <c r="H56" s="49"/>
    </row>
    <row r="57" spans="1:8" ht="29.1" customHeight="1" x14ac:dyDescent="0.2">
      <c r="A57" s="3">
        <v>51</v>
      </c>
      <c r="B57" s="4" t="s">
        <v>322</v>
      </c>
      <c r="C57" s="4" t="s">
        <v>323</v>
      </c>
      <c r="D57" s="4" t="s">
        <v>193</v>
      </c>
      <c r="E57" s="5">
        <v>22459</v>
      </c>
      <c r="F57" s="6">
        <v>87.219526500000001</v>
      </c>
      <c r="G57" s="7">
        <v>2.8600869999999999E-3</v>
      </c>
      <c r="H57" s="49"/>
    </row>
    <row r="58" spans="1:8" ht="29.1" customHeight="1" x14ac:dyDescent="0.2">
      <c r="A58" s="3">
        <v>52</v>
      </c>
      <c r="B58" s="4" t="s">
        <v>442</v>
      </c>
      <c r="C58" s="4" t="s">
        <v>443</v>
      </c>
      <c r="D58" s="4" t="s">
        <v>364</v>
      </c>
      <c r="E58" s="5">
        <v>8803</v>
      </c>
      <c r="F58" s="6">
        <v>53.029271999999999</v>
      </c>
      <c r="G58" s="7">
        <v>1.738926E-3</v>
      </c>
      <c r="H58" s="49"/>
    </row>
    <row r="59" spans="1:8" ht="29.1" customHeight="1" x14ac:dyDescent="0.2">
      <c r="A59" s="3">
        <v>53</v>
      </c>
      <c r="B59" s="4" t="s">
        <v>444</v>
      </c>
      <c r="C59" s="4" t="s">
        <v>445</v>
      </c>
      <c r="D59" s="4" t="s">
        <v>193</v>
      </c>
      <c r="E59" s="5">
        <v>8196</v>
      </c>
      <c r="F59" s="6">
        <v>52.827317999999998</v>
      </c>
      <c r="G59" s="7">
        <v>1.732304E-3</v>
      </c>
      <c r="H59" s="49"/>
    </row>
    <row r="60" spans="1:8" ht="29.1" customHeight="1" x14ac:dyDescent="0.2">
      <c r="A60" s="3">
        <v>54</v>
      </c>
      <c r="B60" s="4" t="s">
        <v>414</v>
      </c>
      <c r="C60" s="4" t="s">
        <v>415</v>
      </c>
      <c r="D60" s="4" t="s">
        <v>60</v>
      </c>
      <c r="E60" s="5">
        <v>14211</v>
      </c>
      <c r="F60" s="6">
        <v>52.268058000000003</v>
      </c>
      <c r="G60" s="7">
        <v>1.713965E-3</v>
      </c>
      <c r="H60" s="49"/>
    </row>
    <row r="61" spans="1:8" ht="17.100000000000001" customHeight="1" x14ac:dyDescent="0.2">
      <c r="A61" s="3">
        <v>55</v>
      </c>
      <c r="B61" s="4" t="s">
        <v>393</v>
      </c>
      <c r="C61" s="4" t="s">
        <v>394</v>
      </c>
      <c r="D61" s="4" t="s">
        <v>16</v>
      </c>
      <c r="E61" s="5">
        <v>11655</v>
      </c>
      <c r="F61" s="6">
        <v>25.442865000000001</v>
      </c>
      <c r="G61" s="7">
        <v>8.3431800000000002E-4</v>
      </c>
      <c r="H61" s="49"/>
    </row>
    <row r="62" spans="1:8" ht="14.1" customHeight="1" x14ac:dyDescent="0.2">
      <c r="A62" s="1"/>
      <c r="B62" s="1"/>
      <c r="C62" s="2" t="s">
        <v>130</v>
      </c>
      <c r="D62" s="1"/>
      <c r="E62" s="1" t="s">
        <v>131</v>
      </c>
      <c r="F62" s="9">
        <v>20709.415769499999</v>
      </c>
      <c r="G62" s="10">
        <v>0.67909935099999996</v>
      </c>
      <c r="H62" s="49"/>
    </row>
    <row r="63" spans="1:8" ht="14.1" customHeight="1" x14ac:dyDescent="0.2">
      <c r="A63" s="1"/>
      <c r="B63" s="1"/>
      <c r="C63" s="11"/>
      <c r="D63" s="1"/>
      <c r="E63" s="1"/>
      <c r="F63" s="12"/>
      <c r="G63" s="12"/>
      <c r="H63" s="49"/>
    </row>
    <row r="64" spans="1:8" ht="14.1" customHeight="1" x14ac:dyDescent="0.2">
      <c r="A64" s="1"/>
      <c r="B64" s="1"/>
      <c r="C64" s="2" t="s">
        <v>132</v>
      </c>
      <c r="D64" s="1"/>
      <c r="E64" s="1"/>
      <c r="F64" s="1"/>
      <c r="G64" s="1"/>
      <c r="H64" s="49"/>
    </row>
    <row r="65" spans="1:8" ht="14.1" customHeight="1" x14ac:dyDescent="0.2">
      <c r="A65" s="1"/>
      <c r="B65" s="1"/>
      <c r="C65" s="2" t="s">
        <v>130</v>
      </c>
      <c r="D65" s="1"/>
      <c r="E65" s="1" t="s">
        <v>131</v>
      </c>
      <c r="F65" s="13">
        <v>0</v>
      </c>
      <c r="G65" s="14">
        <v>0</v>
      </c>
      <c r="H65" s="49"/>
    </row>
    <row r="66" spans="1:8" ht="14.1" customHeight="1" x14ac:dyDescent="0.2">
      <c r="A66" s="1"/>
      <c r="B66" s="1"/>
      <c r="C66" s="11"/>
      <c r="D66" s="1"/>
      <c r="E66" s="1"/>
      <c r="F66" s="12"/>
      <c r="G66" s="12"/>
      <c r="H66" s="49"/>
    </row>
    <row r="67" spans="1:8" ht="14.1" customHeight="1" x14ac:dyDescent="0.2">
      <c r="A67" s="1"/>
      <c r="B67" s="1"/>
      <c r="C67" s="2" t="s">
        <v>133</v>
      </c>
      <c r="D67" s="1"/>
      <c r="E67" s="1"/>
      <c r="F67" s="1"/>
      <c r="G67" s="1"/>
      <c r="H67" s="49"/>
    </row>
    <row r="68" spans="1:8" ht="14.1" customHeight="1" x14ac:dyDescent="0.2">
      <c r="A68" s="1"/>
      <c r="B68" s="1"/>
      <c r="C68" s="2" t="s">
        <v>130</v>
      </c>
      <c r="D68" s="1"/>
      <c r="E68" s="1" t="s">
        <v>131</v>
      </c>
      <c r="F68" s="13">
        <v>0</v>
      </c>
      <c r="G68" s="14">
        <v>0</v>
      </c>
      <c r="H68" s="49"/>
    </row>
    <row r="69" spans="1:8" ht="14.1" customHeight="1" x14ac:dyDescent="0.2">
      <c r="A69" s="1"/>
      <c r="B69" s="1"/>
      <c r="C69" s="11"/>
      <c r="D69" s="1"/>
      <c r="E69" s="1"/>
      <c r="F69" s="12"/>
      <c r="G69" s="12"/>
      <c r="H69" s="49"/>
    </row>
    <row r="70" spans="1:8" ht="14.1" customHeight="1" x14ac:dyDescent="0.2">
      <c r="A70" s="1"/>
      <c r="B70" s="1"/>
      <c r="C70" s="2" t="s">
        <v>134</v>
      </c>
      <c r="D70" s="1"/>
      <c r="E70" s="1"/>
      <c r="F70" s="1"/>
      <c r="G70" s="1"/>
      <c r="H70" s="49"/>
    </row>
    <row r="71" spans="1:8" ht="14.1" customHeight="1" x14ac:dyDescent="0.2">
      <c r="A71" s="1"/>
      <c r="B71" s="1"/>
      <c r="C71" s="2" t="s">
        <v>130</v>
      </c>
      <c r="D71" s="1"/>
      <c r="E71" s="1" t="s">
        <v>131</v>
      </c>
      <c r="F71" s="13">
        <v>0</v>
      </c>
      <c r="G71" s="14">
        <v>0</v>
      </c>
      <c r="H71" s="49"/>
    </row>
    <row r="72" spans="1:8" ht="14.1" customHeight="1" x14ac:dyDescent="0.2">
      <c r="A72" s="1"/>
      <c r="B72" s="1"/>
      <c r="C72" s="11"/>
      <c r="D72" s="1"/>
      <c r="E72" s="1"/>
      <c r="F72" s="12"/>
      <c r="G72" s="12"/>
      <c r="H72" s="49"/>
    </row>
    <row r="73" spans="1:8" ht="14.1" customHeight="1" x14ac:dyDescent="0.2">
      <c r="A73" s="1"/>
      <c r="B73" s="1"/>
      <c r="C73" s="2" t="s">
        <v>135</v>
      </c>
      <c r="D73" s="1"/>
      <c r="E73" s="1"/>
      <c r="F73" s="12"/>
      <c r="G73" s="12"/>
      <c r="H73" s="49"/>
    </row>
    <row r="74" spans="1:8" ht="14.1" customHeight="1" x14ac:dyDescent="0.2">
      <c r="A74" s="1"/>
      <c r="B74" s="1"/>
      <c r="C74" s="2" t="s">
        <v>130</v>
      </c>
      <c r="D74" s="1"/>
      <c r="E74" s="1" t="s">
        <v>131</v>
      </c>
      <c r="F74" s="13">
        <v>0</v>
      </c>
      <c r="G74" s="14">
        <v>0</v>
      </c>
      <c r="H74" s="49"/>
    </row>
    <row r="75" spans="1:8" ht="14.1" customHeight="1" x14ac:dyDescent="0.2">
      <c r="A75" s="1"/>
      <c r="B75" s="1"/>
      <c r="C75" s="11"/>
      <c r="D75" s="1"/>
      <c r="E75" s="1"/>
      <c r="F75" s="12"/>
      <c r="G75" s="12"/>
      <c r="H75" s="49"/>
    </row>
    <row r="76" spans="1:8" ht="14.1" customHeight="1" x14ac:dyDescent="0.2">
      <c r="A76" s="1"/>
      <c r="B76" s="1"/>
      <c r="C76" s="2" t="s">
        <v>136</v>
      </c>
      <c r="D76" s="1"/>
      <c r="E76" s="1"/>
      <c r="F76" s="12"/>
      <c r="G76" s="12"/>
      <c r="H76" s="49"/>
    </row>
    <row r="77" spans="1:8" ht="14.1" customHeight="1" x14ac:dyDescent="0.2">
      <c r="A77" s="1"/>
      <c r="B77" s="1"/>
      <c r="C77" s="2" t="s">
        <v>130</v>
      </c>
      <c r="D77" s="1"/>
      <c r="E77" s="1" t="s">
        <v>131</v>
      </c>
      <c r="F77" s="13">
        <v>0</v>
      </c>
      <c r="G77" s="14">
        <v>0</v>
      </c>
      <c r="H77" s="49"/>
    </row>
    <row r="78" spans="1:8" ht="14.1" customHeight="1" x14ac:dyDescent="0.2">
      <c r="A78" s="1"/>
      <c r="B78" s="1"/>
      <c r="C78" s="11"/>
      <c r="D78" s="1"/>
      <c r="E78" s="1"/>
      <c r="F78" s="12"/>
      <c r="G78" s="12"/>
      <c r="H78" s="49"/>
    </row>
    <row r="79" spans="1:8" ht="18" customHeight="1" x14ac:dyDescent="0.2">
      <c r="A79" s="1"/>
      <c r="B79" s="1"/>
      <c r="C79" s="2" t="s">
        <v>137</v>
      </c>
      <c r="D79" s="1"/>
      <c r="E79" s="1"/>
      <c r="F79" s="9">
        <v>20709.415769499999</v>
      </c>
      <c r="G79" s="10">
        <v>0.67909935099999996</v>
      </c>
      <c r="H79" s="49"/>
    </row>
    <row r="80" spans="1:8" ht="14.1" customHeight="1" x14ac:dyDescent="0.2">
      <c r="A80" s="1"/>
      <c r="B80" s="1"/>
      <c r="C80" s="11"/>
      <c r="D80" s="1"/>
      <c r="E80" s="1"/>
      <c r="F80" s="12"/>
      <c r="G80" s="12"/>
      <c r="H80" s="49"/>
    </row>
    <row r="81" spans="1:8" ht="14.1" customHeight="1" x14ac:dyDescent="0.2">
      <c r="A81" s="1"/>
      <c r="B81" s="1"/>
      <c r="C81" s="2" t="s">
        <v>138</v>
      </c>
      <c r="D81" s="1"/>
      <c r="E81" s="1"/>
      <c r="F81" s="12"/>
      <c r="G81" s="12"/>
      <c r="H81" s="49"/>
    </row>
    <row r="82" spans="1:8" ht="24" customHeight="1" x14ac:dyDescent="0.2">
      <c r="A82" s="1"/>
      <c r="B82" s="1"/>
      <c r="C82" s="2" t="s">
        <v>10</v>
      </c>
      <c r="D82" s="1"/>
      <c r="E82" s="1"/>
      <c r="F82" s="12"/>
      <c r="G82" s="12"/>
      <c r="H82" s="49"/>
    </row>
    <row r="83" spans="1:8" ht="14.1" customHeight="1" x14ac:dyDescent="0.2">
      <c r="A83" s="1"/>
      <c r="B83" s="1"/>
      <c r="C83" s="2" t="s">
        <v>130</v>
      </c>
      <c r="D83" s="1"/>
      <c r="E83" s="1" t="s">
        <v>131</v>
      </c>
      <c r="F83" s="13">
        <v>0</v>
      </c>
      <c r="G83" s="14">
        <v>0</v>
      </c>
      <c r="H83" s="49"/>
    </row>
    <row r="84" spans="1:8" ht="14.1" customHeight="1" x14ac:dyDescent="0.2">
      <c r="A84" s="1"/>
      <c r="B84" s="1"/>
      <c r="C84" s="11"/>
      <c r="D84" s="1"/>
      <c r="E84" s="1"/>
      <c r="F84" s="12"/>
      <c r="G84" s="12"/>
      <c r="H84" s="49"/>
    </row>
    <row r="85" spans="1:8" ht="14.1" customHeight="1" x14ac:dyDescent="0.2">
      <c r="A85" s="1"/>
      <c r="B85" s="1"/>
      <c r="C85" s="2" t="s">
        <v>139</v>
      </c>
      <c r="D85" s="1"/>
      <c r="E85" s="1"/>
      <c r="F85" s="1"/>
      <c r="G85" s="1"/>
      <c r="H85" s="49"/>
    </row>
    <row r="86" spans="1:8" ht="14.1" customHeight="1" x14ac:dyDescent="0.2">
      <c r="A86" s="1"/>
      <c r="B86" s="1"/>
      <c r="C86" s="2" t="s">
        <v>130</v>
      </c>
      <c r="D86" s="1"/>
      <c r="E86" s="1" t="s">
        <v>131</v>
      </c>
      <c r="F86" s="13">
        <v>0</v>
      </c>
      <c r="G86" s="14">
        <v>0</v>
      </c>
      <c r="H86" s="49"/>
    </row>
    <row r="87" spans="1:8" ht="14.1" customHeight="1" x14ac:dyDescent="0.2">
      <c r="A87" s="1"/>
      <c r="B87" s="1"/>
      <c r="C87" s="11"/>
      <c r="D87" s="1"/>
      <c r="E87" s="1"/>
      <c r="F87" s="12"/>
      <c r="G87" s="12"/>
      <c r="H87" s="49"/>
    </row>
    <row r="88" spans="1:8" ht="14.1" customHeight="1" x14ac:dyDescent="0.2">
      <c r="A88" s="1"/>
      <c r="B88" s="1"/>
      <c r="C88" s="2" t="s">
        <v>140</v>
      </c>
      <c r="D88" s="1"/>
      <c r="E88" s="1"/>
      <c r="F88" s="1"/>
      <c r="G88" s="1"/>
      <c r="H88" s="49"/>
    </row>
    <row r="89" spans="1:8" ht="14.1" customHeight="1" x14ac:dyDescent="0.2">
      <c r="A89" s="1"/>
      <c r="B89" s="1"/>
      <c r="C89" s="2" t="s">
        <v>130</v>
      </c>
      <c r="D89" s="1"/>
      <c r="E89" s="1" t="s">
        <v>131</v>
      </c>
      <c r="F89" s="13">
        <v>0</v>
      </c>
      <c r="G89" s="14">
        <v>0</v>
      </c>
      <c r="H89" s="49"/>
    </row>
    <row r="90" spans="1:8" ht="14.1" customHeight="1" x14ac:dyDescent="0.2">
      <c r="A90" s="1"/>
      <c r="B90" s="1"/>
      <c r="C90" s="11"/>
      <c r="D90" s="1"/>
      <c r="E90" s="1"/>
      <c r="F90" s="12"/>
      <c r="G90" s="12"/>
      <c r="H90" s="49"/>
    </row>
    <row r="91" spans="1:8" ht="14.1" customHeight="1" x14ac:dyDescent="0.2">
      <c r="A91" s="1"/>
      <c r="B91" s="1"/>
      <c r="C91" s="2" t="s">
        <v>141</v>
      </c>
      <c r="D91" s="1"/>
      <c r="E91" s="1"/>
      <c r="F91" s="12"/>
      <c r="G91" s="12"/>
      <c r="H91" s="49"/>
    </row>
    <row r="92" spans="1:8" ht="14.1" customHeight="1" x14ac:dyDescent="0.2">
      <c r="A92" s="1"/>
      <c r="B92" s="1"/>
      <c r="C92" s="2" t="s">
        <v>130</v>
      </c>
      <c r="D92" s="1"/>
      <c r="E92" s="1" t="s">
        <v>131</v>
      </c>
      <c r="F92" s="13">
        <v>0</v>
      </c>
      <c r="G92" s="14">
        <v>0</v>
      </c>
      <c r="H92" s="49"/>
    </row>
    <row r="93" spans="1:8" ht="14.1" customHeight="1" x14ac:dyDescent="0.2">
      <c r="A93" s="1"/>
      <c r="B93" s="1"/>
      <c r="C93" s="11"/>
      <c r="D93" s="1"/>
      <c r="E93" s="1"/>
      <c r="F93" s="12"/>
      <c r="G93" s="12"/>
      <c r="H93" s="49"/>
    </row>
    <row r="94" spans="1:8" ht="14.1" customHeight="1" x14ac:dyDescent="0.2">
      <c r="A94" s="1"/>
      <c r="B94" s="1"/>
      <c r="C94" s="2" t="s">
        <v>142</v>
      </c>
      <c r="D94" s="1"/>
      <c r="E94" s="1"/>
      <c r="F94" s="9">
        <v>0</v>
      </c>
      <c r="G94" s="10">
        <v>0</v>
      </c>
      <c r="H94" s="49"/>
    </row>
    <row r="95" spans="1:8" ht="14.1" customHeight="1" x14ac:dyDescent="0.2">
      <c r="A95" s="1"/>
      <c r="B95" s="1"/>
      <c r="C95" s="11"/>
      <c r="D95" s="1"/>
      <c r="E95" s="1"/>
      <c r="F95" s="12"/>
      <c r="G95" s="12"/>
      <c r="H95" s="49"/>
    </row>
    <row r="96" spans="1:8" ht="14.1" customHeight="1" x14ac:dyDescent="0.2">
      <c r="A96" s="1"/>
      <c r="B96" s="1"/>
      <c r="C96" s="2" t="s">
        <v>143</v>
      </c>
      <c r="D96" s="1"/>
      <c r="E96" s="1"/>
      <c r="F96" s="12"/>
      <c r="G96" s="12"/>
      <c r="H96" s="49"/>
    </row>
    <row r="97" spans="1:8" ht="14.1" customHeight="1" x14ac:dyDescent="0.2">
      <c r="A97" s="1"/>
      <c r="B97" s="1"/>
      <c r="C97" s="2" t="s">
        <v>144</v>
      </c>
      <c r="D97" s="1"/>
      <c r="E97" s="1"/>
      <c r="F97" s="12"/>
      <c r="G97" s="12"/>
      <c r="H97" s="49"/>
    </row>
    <row r="98" spans="1:8" ht="14.1" customHeight="1" x14ac:dyDescent="0.2">
      <c r="A98" s="1"/>
      <c r="B98" s="1"/>
      <c r="C98" s="2" t="s">
        <v>130</v>
      </c>
      <c r="D98" s="1"/>
      <c r="E98" s="1" t="s">
        <v>131</v>
      </c>
      <c r="F98" s="13">
        <v>0</v>
      </c>
      <c r="G98" s="14">
        <v>0</v>
      </c>
      <c r="H98" s="49"/>
    </row>
    <row r="99" spans="1:8" ht="14.1" customHeight="1" x14ac:dyDescent="0.2">
      <c r="A99" s="1"/>
      <c r="B99" s="1"/>
      <c r="C99" s="11"/>
      <c r="D99" s="1"/>
      <c r="E99" s="1"/>
      <c r="F99" s="12"/>
      <c r="G99" s="12"/>
      <c r="H99" s="49"/>
    </row>
    <row r="100" spans="1:8" ht="14.1" customHeight="1" x14ac:dyDescent="0.2">
      <c r="A100" s="1"/>
      <c r="B100" s="1"/>
      <c r="C100" s="2" t="s">
        <v>145</v>
      </c>
      <c r="D100" s="1"/>
      <c r="E100" s="1"/>
      <c r="F100" s="12"/>
      <c r="G100" s="12"/>
      <c r="H100" s="49"/>
    </row>
    <row r="101" spans="1:8" ht="14.1" customHeight="1" x14ac:dyDescent="0.2">
      <c r="A101" s="1"/>
      <c r="B101" s="1"/>
      <c r="C101" s="2" t="s">
        <v>130</v>
      </c>
      <c r="D101" s="1"/>
      <c r="E101" s="1" t="s">
        <v>131</v>
      </c>
      <c r="F101" s="13">
        <v>0</v>
      </c>
      <c r="G101" s="14">
        <v>0</v>
      </c>
      <c r="H101" s="49"/>
    </row>
    <row r="102" spans="1:8" ht="14.1" customHeight="1" x14ac:dyDescent="0.2">
      <c r="A102" s="1"/>
      <c r="B102" s="1"/>
      <c r="C102" s="11"/>
      <c r="D102" s="1"/>
      <c r="E102" s="1"/>
      <c r="F102" s="12"/>
      <c r="G102" s="12"/>
      <c r="H102" s="49"/>
    </row>
    <row r="103" spans="1:8" ht="14.1" customHeight="1" x14ac:dyDescent="0.2">
      <c r="A103" s="1"/>
      <c r="B103" s="1"/>
      <c r="C103" s="2" t="s">
        <v>146</v>
      </c>
      <c r="D103" s="1"/>
      <c r="E103" s="1"/>
      <c r="F103" s="12"/>
      <c r="G103" s="12"/>
      <c r="H103" s="49"/>
    </row>
    <row r="104" spans="1:8" ht="14.1" customHeight="1" x14ac:dyDescent="0.2">
      <c r="A104" s="1"/>
      <c r="B104" s="1"/>
      <c r="C104" s="2" t="s">
        <v>130</v>
      </c>
      <c r="D104" s="1"/>
      <c r="E104" s="1" t="s">
        <v>131</v>
      </c>
      <c r="F104" s="13">
        <v>0</v>
      </c>
      <c r="G104" s="14">
        <v>0</v>
      </c>
      <c r="H104" s="49"/>
    </row>
    <row r="105" spans="1:8" ht="14.1" customHeight="1" x14ac:dyDescent="0.2">
      <c r="A105" s="1"/>
      <c r="B105" s="1"/>
      <c r="C105" s="11"/>
      <c r="D105" s="1"/>
      <c r="E105" s="1"/>
      <c r="F105" s="12"/>
      <c r="G105" s="12"/>
      <c r="H105" s="49"/>
    </row>
    <row r="106" spans="1:8" ht="14.1" customHeight="1" x14ac:dyDescent="0.2">
      <c r="A106" s="1"/>
      <c r="B106" s="1"/>
      <c r="C106" s="2" t="s">
        <v>147</v>
      </c>
      <c r="D106" s="1"/>
      <c r="E106" s="1"/>
      <c r="F106" s="12"/>
      <c r="G106" s="12"/>
      <c r="H106" s="49"/>
    </row>
    <row r="107" spans="1:8" ht="17.100000000000001" customHeight="1" x14ac:dyDescent="0.2">
      <c r="A107" s="3">
        <v>1</v>
      </c>
      <c r="B107" s="4"/>
      <c r="C107" s="4" t="s">
        <v>148</v>
      </c>
      <c r="D107" s="4"/>
      <c r="E107" s="8"/>
      <c r="F107" s="6">
        <v>9239.4267569999993</v>
      </c>
      <c r="G107" s="7">
        <v>0.302977581</v>
      </c>
      <c r="H107" s="49">
        <v>5.6572293145372496</v>
      </c>
    </row>
    <row r="108" spans="1:8" ht="14.1" customHeight="1" x14ac:dyDescent="0.2">
      <c r="A108" s="1"/>
      <c r="B108" s="1"/>
      <c r="C108" s="2" t="s">
        <v>130</v>
      </c>
      <c r="D108" s="1"/>
      <c r="E108" s="1" t="s">
        <v>131</v>
      </c>
      <c r="F108" s="9">
        <v>9239.4267569999993</v>
      </c>
      <c r="G108" s="10">
        <v>0.302977581</v>
      </c>
      <c r="H108" s="49"/>
    </row>
    <row r="109" spans="1:8" ht="14.1" customHeight="1" x14ac:dyDescent="0.2">
      <c r="A109" s="1"/>
      <c r="B109" s="1"/>
      <c r="C109" s="11"/>
      <c r="D109" s="1"/>
      <c r="E109" s="1"/>
      <c r="F109" s="12"/>
      <c r="G109" s="12"/>
      <c r="H109" s="49"/>
    </row>
    <row r="110" spans="1:8" ht="14.1" customHeight="1" x14ac:dyDescent="0.2">
      <c r="A110" s="1"/>
      <c r="B110" s="1"/>
      <c r="C110" s="2" t="s">
        <v>149</v>
      </c>
      <c r="D110" s="1"/>
      <c r="E110" s="1"/>
      <c r="F110" s="9">
        <v>9239.4267569999993</v>
      </c>
      <c r="G110" s="10">
        <v>0.302977581</v>
      </c>
      <c r="H110" s="49"/>
    </row>
    <row r="111" spans="1:8" ht="14.1" customHeight="1" x14ac:dyDescent="0.2">
      <c r="A111" s="1"/>
      <c r="B111" s="1"/>
      <c r="C111" s="12"/>
      <c r="D111" s="1"/>
      <c r="E111" s="1"/>
      <c r="F111" s="1"/>
      <c r="G111" s="1"/>
      <c r="H111" s="49"/>
    </row>
    <row r="112" spans="1:8" ht="14.1" customHeight="1" x14ac:dyDescent="0.2">
      <c r="A112" s="1"/>
      <c r="B112" s="1"/>
      <c r="C112" s="2" t="s">
        <v>150</v>
      </c>
      <c r="D112" s="1"/>
      <c r="E112" s="1"/>
      <c r="F112" s="1"/>
      <c r="G112" s="1"/>
      <c r="H112" s="49"/>
    </row>
    <row r="113" spans="1:8" ht="14.1" customHeight="1" x14ac:dyDescent="0.2">
      <c r="A113" s="1"/>
      <c r="B113" s="1"/>
      <c r="C113" s="2" t="s">
        <v>151</v>
      </c>
      <c r="D113" s="1"/>
      <c r="E113" s="1"/>
      <c r="F113" s="1"/>
      <c r="G113" s="1"/>
      <c r="H113" s="49"/>
    </row>
    <row r="114" spans="1:8" ht="14.1" customHeight="1" x14ac:dyDescent="0.2">
      <c r="A114" s="1"/>
      <c r="B114" s="1"/>
      <c r="C114" s="2" t="s">
        <v>130</v>
      </c>
      <c r="D114" s="1"/>
      <c r="E114" s="1" t="s">
        <v>131</v>
      </c>
      <c r="F114" s="13">
        <v>0</v>
      </c>
      <c r="G114" s="14">
        <v>0</v>
      </c>
      <c r="H114" s="49"/>
    </row>
    <row r="115" spans="1:8" ht="14.1" customHeight="1" x14ac:dyDescent="0.2">
      <c r="A115" s="1"/>
      <c r="B115" s="1"/>
      <c r="C115" s="11"/>
      <c r="D115" s="1"/>
      <c r="E115" s="1"/>
      <c r="F115" s="12"/>
      <c r="G115" s="12"/>
      <c r="H115" s="49"/>
    </row>
    <row r="116" spans="1:8" ht="14.1" customHeight="1" x14ac:dyDescent="0.2">
      <c r="A116" s="1"/>
      <c r="B116" s="1"/>
      <c r="C116" s="2" t="s">
        <v>152</v>
      </c>
      <c r="D116" s="1"/>
      <c r="E116" s="1"/>
      <c r="F116" s="1"/>
      <c r="G116" s="1"/>
      <c r="H116" s="49"/>
    </row>
    <row r="117" spans="1:8" ht="14.1" customHeight="1" x14ac:dyDescent="0.2">
      <c r="A117" s="1"/>
      <c r="B117" s="1"/>
      <c r="C117" s="2" t="s">
        <v>153</v>
      </c>
      <c r="D117" s="1"/>
      <c r="E117" s="1"/>
      <c r="F117" s="1"/>
      <c r="G117" s="1"/>
      <c r="H117" s="49"/>
    </row>
    <row r="118" spans="1:8" ht="14.1" customHeight="1" x14ac:dyDescent="0.2">
      <c r="A118" s="1"/>
      <c r="B118" s="1"/>
      <c r="C118" s="2" t="s">
        <v>130</v>
      </c>
      <c r="D118" s="1"/>
      <c r="E118" s="1" t="s">
        <v>131</v>
      </c>
      <c r="F118" s="13">
        <v>0</v>
      </c>
      <c r="G118" s="14">
        <v>0</v>
      </c>
      <c r="H118" s="49"/>
    </row>
    <row r="119" spans="1:8" ht="14.1" customHeight="1" x14ac:dyDescent="0.2">
      <c r="A119" s="1"/>
      <c r="B119" s="1"/>
      <c r="C119" s="11"/>
      <c r="D119" s="1"/>
      <c r="E119" s="1"/>
      <c r="F119" s="12"/>
      <c r="G119" s="12"/>
      <c r="H119" s="49"/>
    </row>
    <row r="120" spans="1:8" ht="14.1" customHeight="1" x14ac:dyDescent="0.2">
      <c r="A120" s="1"/>
      <c r="B120" s="1"/>
      <c r="C120" s="11"/>
      <c r="D120" s="1"/>
      <c r="E120" s="1"/>
      <c r="F120" s="12"/>
      <c r="G120" s="12"/>
      <c r="H120" s="49"/>
    </row>
    <row r="121" spans="1:8" ht="24" customHeight="1" x14ac:dyDescent="0.2">
      <c r="A121" s="1"/>
      <c r="B121" s="1"/>
      <c r="C121" s="2" t="s">
        <v>154</v>
      </c>
      <c r="D121" s="1"/>
      <c r="E121" s="1"/>
      <c r="F121" s="12"/>
      <c r="G121" s="12"/>
      <c r="H121" s="49"/>
    </row>
    <row r="122" spans="1:8" ht="14.1" customHeight="1" x14ac:dyDescent="0.2">
      <c r="A122" s="1"/>
      <c r="B122" s="1"/>
      <c r="C122" s="2" t="s">
        <v>130</v>
      </c>
      <c r="D122" s="1"/>
      <c r="E122" s="1" t="s">
        <v>131</v>
      </c>
      <c r="F122" s="13">
        <v>0</v>
      </c>
      <c r="G122" s="14">
        <v>0</v>
      </c>
      <c r="H122" s="49"/>
    </row>
    <row r="123" spans="1:8" ht="14.1" customHeight="1" x14ac:dyDescent="0.2">
      <c r="A123" s="1"/>
      <c r="B123" s="1"/>
      <c r="C123" s="11"/>
      <c r="D123" s="1"/>
      <c r="E123" s="1"/>
      <c r="F123" s="12"/>
      <c r="G123" s="12"/>
      <c r="H123" s="49"/>
    </row>
    <row r="124" spans="1:8" ht="14.1" customHeight="1" x14ac:dyDescent="0.2">
      <c r="A124" s="1"/>
      <c r="B124" s="4"/>
      <c r="C124" s="4"/>
      <c r="D124" s="2"/>
      <c r="E124" s="1"/>
      <c r="F124" s="4"/>
      <c r="G124" s="8"/>
      <c r="H124" s="49"/>
    </row>
    <row r="125" spans="1:8" ht="18" customHeight="1" x14ac:dyDescent="0.2">
      <c r="A125" s="8"/>
      <c r="B125" s="4"/>
      <c r="C125" s="4" t="s">
        <v>155</v>
      </c>
      <c r="D125" s="4"/>
      <c r="E125" s="8"/>
      <c r="F125" s="6">
        <v>546.57146838999995</v>
      </c>
      <c r="G125" s="7">
        <v>1.7923070999999999E-2</v>
      </c>
      <c r="H125" s="49"/>
    </row>
    <row r="126" spans="1:8" ht="14.1" customHeight="1" x14ac:dyDescent="0.2">
      <c r="A126" s="11"/>
      <c r="B126" s="11"/>
      <c r="C126" s="2" t="s">
        <v>156</v>
      </c>
      <c r="D126" s="15"/>
      <c r="E126" s="15"/>
      <c r="F126" s="9">
        <v>30495.413994890001</v>
      </c>
      <c r="G126" s="10">
        <v>1.000000003</v>
      </c>
      <c r="H126" s="49"/>
    </row>
    <row r="127" spans="1:8" ht="14.1" customHeight="1" x14ac:dyDescent="0.2">
      <c r="A127" s="16"/>
      <c r="B127" s="16"/>
      <c r="C127" s="16"/>
      <c r="D127" s="17"/>
      <c r="E127" s="17"/>
      <c r="F127" s="17"/>
      <c r="G127" s="17"/>
    </row>
    <row r="128" spans="1:8" ht="14.1" customHeight="1" x14ac:dyDescent="0.2">
      <c r="A128" s="18"/>
      <c r="B128" s="18"/>
      <c r="C128" s="18"/>
      <c r="D128" s="20"/>
      <c r="E128" s="20"/>
      <c r="F128" s="20"/>
      <c r="G128" s="20"/>
    </row>
    <row r="129" spans="1:7" ht="14.1" customHeight="1" x14ac:dyDescent="0.2">
      <c r="A129" s="18"/>
      <c r="B129" s="319" t="s">
        <v>158</v>
      </c>
      <c r="C129" s="320"/>
      <c r="D129" s="12" t="s">
        <v>131</v>
      </c>
      <c r="E129" s="21"/>
      <c r="F129" s="20"/>
      <c r="G129" s="20"/>
    </row>
    <row r="130" spans="1:7" ht="29.1" customHeight="1" x14ac:dyDescent="0.2">
      <c r="A130" s="18"/>
      <c r="B130" s="323" t="s">
        <v>159</v>
      </c>
      <c r="C130" s="324"/>
      <c r="D130" s="2" t="s">
        <v>160</v>
      </c>
      <c r="E130" s="21"/>
      <c r="F130" s="20"/>
      <c r="G130" s="20"/>
    </row>
    <row r="131" spans="1:7" ht="17.100000000000001" customHeight="1" x14ac:dyDescent="0.2">
      <c r="A131" s="18"/>
      <c r="B131" s="323" t="s">
        <v>161</v>
      </c>
      <c r="C131" s="324"/>
      <c r="D131" s="2" t="s">
        <v>160</v>
      </c>
      <c r="E131" s="21"/>
      <c r="F131" s="20"/>
      <c r="G131" s="20"/>
    </row>
    <row r="132" spans="1:7" ht="17.100000000000001" customHeight="1" x14ac:dyDescent="0.2">
      <c r="A132" s="18"/>
      <c r="B132" s="323" t="s">
        <v>162</v>
      </c>
      <c r="C132" s="324"/>
      <c r="D132" s="12" t="s">
        <v>131</v>
      </c>
      <c r="E132" s="21"/>
      <c r="F132" s="20"/>
      <c r="G132" s="20"/>
    </row>
    <row r="133" spans="1:7" ht="24" customHeight="1" x14ac:dyDescent="0.2">
      <c r="A133" s="22"/>
      <c r="B133" s="23" t="s">
        <v>131</v>
      </c>
      <c r="C133" s="23" t="s">
        <v>163</v>
      </c>
      <c r="D133" s="23" t="s">
        <v>164</v>
      </c>
      <c r="E133" s="22"/>
      <c r="F133" s="22"/>
      <c r="G133" s="22"/>
    </row>
    <row r="134" spans="1:7" ht="18" customHeight="1" x14ac:dyDescent="0.2">
      <c r="A134" s="22"/>
      <c r="B134" s="23" t="s">
        <v>165</v>
      </c>
      <c r="C134" s="23" t="s">
        <v>166</v>
      </c>
      <c r="D134" s="23" t="s">
        <v>167</v>
      </c>
      <c r="E134" s="22"/>
      <c r="F134" s="22"/>
      <c r="G134" s="22"/>
    </row>
    <row r="135" spans="1:7" ht="17.100000000000001" customHeight="1" x14ac:dyDescent="0.2">
      <c r="A135" s="22"/>
      <c r="B135" s="4" t="s">
        <v>168</v>
      </c>
      <c r="C135" s="24">
        <v>19.995000000000001</v>
      </c>
      <c r="D135" s="24">
        <v>20.1677</v>
      </c>
      <c r="E135" s="22"/>
      <c r="F135" s="19"/>
      <c r="G135" s="25"/>
    </row>
    <row r="136" spans="1:7" ht="17.100000000000001" customHeight="1" x14ac:dyDescent="0.2">
      <c r="A136" s="22"/>
      <c r="B136" s="4" t="s">
        <v>1021</v>
      </c>
      <c r="C136" s="24">
        <v>19.6279</v>
      </c>
      <c r="D136" s="24">
        <v>19.7974</v>
      </c>
      <c r="E136" s="22"/>
      <c r="F136" s="19"/>
      <c r="G136" s="25"/>
    </row>
    <row r="137" spans="1:7" ht="17.100000000000001" customHeight="1" x14ac:dyDescent="0.2">
      <c r="A137" s="22"/>
      <c r="B137" s="4" t="s">
        <v>169</v>
      </c>
      <c r="C137" s="24">
        <v>19.322700000000001</v>
      </c>
      <c r="D137" s="24">
        <v>19.48</v>
      </c>
      <c r="E137" s="22"/>
      <c r="F137" s="19"/>
      <c r="G137" s="25"/>
    </row>
    <row r="138" spans="1:7" ht="17.100000000000001" customHeight="1" x14ac:dyDescent="0.2">
      <c r="A138" s="22"/>
      <c r="B138" s="4" t="s">
        <v>1022</v>
      </c>
      <c r="C138" s="24">
        <v>18.958600000000001</v>
      </c>
      <c r="D138" s="24">
        <v>19.1129</v>
      </c>
      <c r="E138" s="22"/>
      <c r="F138" s="19"/>
      <c r="G138" s="25"/>
    </row>
    <row r="139" spans="1:7" ht="14.1" customHeight="1" x14ac:dyDescent="0.2">
      <c r="A139" s="22"/>
      <c r="B139" s="22"/>
      <c r="C139" s="22"/>
      <c r="D139" s="22"/>
      <c r="E139" s="22"/>
      <c r="F139" s="22"/>
      <c r="G139" s="22"/>
    </row>
    <row r="140" spans="1:7" ht="17.100000000000001" customHeight="1" x14ac:dyDescent="0.2">
      <c r="A140" s="22"/>
      <c r="B140" s="323" t="s">
        <v>1023</v>
      </c>
      <c r="C140" s="324"/>
      <c r="D140" s="57" t="s">
        <v>160</v>
      </c>
      <c r="E140" s="22"/>
      <c r="F140" s="22"/>
      <c r="G140" s="22"/>
    </row>
    <row r="141" spans="1:7" ht="18" customHeight="1" x14ac:dyDescent="0.2">
      <c r="A141" s="22"/>
      <c r="B141" s="28"/>
      <c r="C141" s="28"/>
      <c r="D141" s="26"/>
      <c r="E141" s="22"/>
      <c r="F141" s="22"/>
      <c r="G141" s="22"/>
    </row>
    <row r="142" spans="1:7" ht="29.1" customHeight="1" x14ac:dyDescent="0.2">
      <c r="A142" s="22"/>
      <c r="B142" s="323" t="s">
        <v>170</v>
      </c>
      <c r="C142" s="324"/>
      <c r="D142" s="2" t="s">
        <v>160</v>
      </c>
      <c r="E142" s="22"/>
      <c r="F142" s="22"/>
      <c r="G142" s="22"/>
    </row>
    <row r="143" spans="1:7" ht="29.1" customHeight="1" x14ac:dyDescent="0.2">
      <c r="A143" s="22"/>
      <c r="B143" s="323" t="s">
        <v>171</v>
      </c>
      <c r="C143" s="324"/>
      <c r="D143" s="2" t="s">
        <v>160</v>
      </c>
      <c r="E143" s="22"/>
      <c r="F143" s="22"/>
      <c r="G143" s="22"/>
    </row>
    <row r="144" spans="1:7" ht="17.100000000000001" customHeight="1" x14ac:dyDescent="0.2">
      <c r="A144" s="22"/>
      <c r="B144" s="323" t="s">
        <v>172</v>
      </c>
      <c r="C144" s="324"/>
      <c r="D144" s="27">
        <v>0.23343069055525509</v>
      </c>
      <c r="E144" s="22"/>
      <c r="F144" s="19"/>
      <c r="G144" s="25"/>
    </row>
    <row r="145" spans="1:7" ht="17.100000000000001" customHeight="1" x14ac:dyDescent="0.2">
      <c r="A145" s="22"/>
      <c r="B145" s="323" t="s">
        <v>173</v>
      </c>
      <c r="C145" s="324"/>
      <c r="D145" s="2" t="s">
        <v>160</v>
      </c>
      <c r="E145" s="22"/>
      <c r="F145" s="22"/>
      <c r="G145" s="22"/>
    </row>
    <row r="164" spans="10:15" x14ac:dyDescent="0.2">
      <c r="J164" s="218"/>
      <c r="K164" s="218"/>
      <c r="L164" s="218"/>
      <c r="M164" s="218"/>
      <c r="N164" s="218"/>
      <c r="O164" s="218"/>
    </row>
  </sheetData>
  <mergeCells count="13">
    <mergeCell ref="J2:N2"/>
    <mergeCell ref="B145:C145"/>
    <mergeCell ref="B130:C130"/>
    <mergeCell ref="B131:C131"/>
    <mergeCell ref="B132:C132"/>
    <mergeCell ref="B140:C140"/>
    <mergeCell ref="B142:C142"/>
    <mergeCell ref="B143:C143"/>
    <mergeCell ref="A1:H1"/>
    <mergeCell ref="A2:H2"/>
    <mergeCell ref="A3:H3"/>
    <mergeCell ref="B129:C129"/>
    <mergeCell ref="B144:C144"/>
  </mergeCells>
  <hyperlinks>
    <hyperlink ref="I1" location="Index!B9" display="Index" xr:uid="{4A948CBB-B179-4943-A749-C1AF7B7EDEF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446</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106</v>
      </c>
      <c r="C7" s="4" t="s">
        <v>107</v>
      </c>
      <c r="D7" s="4" t="s">
        <v>108</v>
      </c>
      <c r="E7" s="5">
        <v>172146</v>
      </c>
      <c r="F7" s="6">
        <v>665.60250900000005</v>
      </c>
      <c r="G7" s="7">
        <v>3.0744942000000001E-2</v>
      </c>
      <c r="H7" s="49"/>
    </row>
    <row r="8" spans="1:15" ht="17.100000000000001" customHeight="1" x14ac:dyDescent="0.2">
      <c r="A8" s="3">
        <v>2</v>
      </c>
      <c r="B8" s="4" t="s">
        <v>83</v>
      </c>
      <c r="C8" s="4" t="s">
        <v>84</v>
      </c>
      <c r="D8" s="4" t="s">
        <v>31</v>
      </c>
      <c r="E8" s="5">
        <v>43501</v>
      </c>
      <c r="F8" s="6">
        <v>664.39077299999997</v>
      </c>
      <c r="G8" s="7">
        <v>3.0688969999999999E-2</v>
      </c>
      <c r="H8" s="49"/>
    </row>
    <row r="9" spans="1:15" ht="17.100000000000001" customHeight="1" x14ac:dyDescent="0.2">
      <c r="A9" s="3">
        <v>3</v>
      </c>
      <c r="B9" s="4" t="s">
        <v>389</v>
      </c>
      <c r="C9" s="4" t="s">
        <v>390</v>
      </c>
      <c r="D9" s="4" t="s">
        <v>103</v>
      </c>
      <c r="E9" s="5">
        <v>551852</v>
      </c>
      <c r="F9" s="6">
        <v>658.91128800000001</v>
      </c>
      <c r="G9" s="7">
        <v>3.0435866999999998E-2</v>
      </c>
      <c r="H9" s="49"/>
    </row>
    <row r="10" spans="1:15" ht="17.100000000000001" customHeight="1" x14ac:dyDescent="0.2">
      <c r="A10" s="3">
        <v>4</v>
      </c>
      <c r="B10" s="4" t="s">
        <v>29</v>
      </c>
      <c r="C10" s="4" t="s">
        <v>30</v>
      </c>
      <c r="D10" s="4" t="s">
        <v>31</v>
      </c>
      <c r="E10" s="5">
        <v>31667</v>
      </c>
      <c r="F10" s="6">
        <v>641.03508099999999</v>
      </c>
      <c r="G10" s="7">
        <v>2.9610144000000001E-2</v>
      </c>
      <c r="H10" s="49"/>
    </row>
    <row r="11" spans="1:15" ht="29.1" customHeight="1" x14ac:dyDescent="0.2">
      <c r="A11" s="3">
        <v>5</v>
      </c>
      <c r="B11" s="4" t="s">
        <v>189</v>
      </c>
      <c r="C11" s="4" t="s">
        <v>190</v>
      </c>
      <c r="D11" s="4" t="s">
        <v>108</v>
      </c>
      <c r="E11" s="5">
        <v>162926</v>
      </c>
      <c r="F11" s="6">
        <v>591.17699100000004</v>
      </c>
      <c r="G11" s="7">
        <v>2.7307142E-2</v>
      </c>
      <c r="H11" s="49"/>
    </row>
    <row r="12" spans="1:15" ht="17.100000000000001" customHeight="1" x14ac:dyDescent="0.2">
      <c r="A12" s="3">
        <v>6</v>
      </c>
      <c r="B12" s="4" t="s">
        <v>34</v>
      </c>
      <c r="C12" s="4" t="s">
        <v>35</v>
      </c>
      <c r="D12" s="4" t="s">
        <v>31</v>
      </c>
      <c r="E12" s="5">
        <v>28200</v>
      </c>
      <c r="F12" s="6">
        <v>541.27080000000001</v>
      </c>
      <c r="G12" s="7">
        <v>2.5001918000000001E-2</v>
      </c>
      <c r="H12" s="49"/>
    </row>
    <row r="13" spans="1:15" ht="17.100000000000001" customHeight="1" x14ac:dyDescent="0.2">
      <c r="A13" s="3">
        <v>7</v>
      </c>
      <c r="B13" s="4" t="s">
        <v>398</v>
      </c>
      <c r="C13" s="4" t="s">
        <v>399</v>
      </c>
      <c r="D13" s="4" t="s">
        <v>108</v>
      </c>
      <c r="E13" s="5">
        <v>32500</v>
      </c>
      <c r="F13" s="6">
        <v>530.4</v>
      </c>
      <c r="G13" s="7">
        <v>2.4499783000000001E-2</v>
      </c>
      <c r="H13" s="49"/>
      <c r="J13" s="217" t="s">
        <v>1078</v>
      </c>
    </row>
    <row r="14" spans="1:15" ht="29.1" customHeight="1" x14ac:dyDescent="0.2">
      <c r="A14" s="3">
        <v>8</v>
      </c>
      <c r="B14" s="4" t="s">
        <v>197</v>
      </c>
      <c r="C14" s="4" t="s">
        <v>198</v>
      </c>
      <c r="D14" s="4" t="s">
        <v>193</v>
      </c>
      <c r="E14" s="5">
        <v>11594</v>
      </c>
      <c r="F14" s="6">
        <v>503.46365300000002</v>
      </c>
      <c r="G14" s="7">
        <v>2.3255562E-2</v>
      </c>
      <c r="H14" s="49"/>
    </row>
    <row r="15" spans="1:15" ht="17.100000000000001" customHeight="1" x14ac:dyDescent="0.2">
      <c r="A15" s="3">
        <v>9</v>
      </c>
      <c r="B15" s="4" t="s">
        <v>300</v>
      </c>
      <c r="C15" s="4" t="s">
        <v>301</v>
      </c>
      <c r="D15" s="4" t="s">
        <v>230</v>
      </c>
      <c r="E15" s="5">
        <v>91611</v>
      </c>
      <c r="F15" s="6">
        <v>494.24134500000002</v>
      </c>
      <c r="G15" s="7">
        <v>2.2829572999999999E-2</v>
      </c>
      <c r="H15" s="49"/>
    </row>
    <row r="16" spans="1:15" ht="17.100000000000001" customHeight="1" x14ac:dyDescent="0.2">
      <c r="A16" s="3">
        <v>10</v>
      </c>
      <c r="B16" s="4" t="s">
        <v>400</v>
      </c>
      <c r="C16" s="4" t="s">
        <v>401</v>
      </c>
      <c r="D16" s="4" t="s">
        <v>1042</v>
      </c>
      <c r="E16" s="5">
        <v>35713</v>
      </c>
      <c r="F16" s="6">
        <v>447.876733</v>
      </c>
      <c r="G16" s="7">
        <v>2.0687938999999999E-2</v>
      </c>
      <c r="H16" s="49"/>
    </row>
    <row r="17" spans="1:8" ht="17.100000000000001" customHeight="1" x14ac:dyDescent="0.2">
      <c r="A17" s="3">
        <v>11</v>
      </c>
      <c r="B17" s="4" t="s">
        <v>417</v>
      </c>
      <c r="C17" s="4" t="s">
        <v>418</v>
      </c>
      <c r="D17" s="4" t="s">
        <v>974</v>
      </c>
      <c r="E17" s="5">
        <v>62518</v>
      </c>
      <c r="F17" s="6">
        <v>446.90992299999999</v>
      </c>
      <c r="G17" s="7">
        <v>2.0643280999999999E-2</v>
      </c>
      <c r="H17" s="49"/>
    </row>
    <row r="18" spans="1:8" ht="17.100000000000001" customHeight="1" x14ac:dyDescent="0.2">
      <c r="A18" s="3">
        <v>12</v>
      </c>
      <c r="B18" s="4" t="s">
        <v>447</v>
      </c>
      <c r="C18" s="4" t="s">
        <v>448</v>
      </c>
      <c r="D18" s="4" t="s">
        <v>100</v>
      </c>
      <c r="E18" s="5">
        <v>30347</v>
      </c>
      <c r="F18" s="6">
        <v>442.5958215</v>
      </c>
      <c r="G18" s="7">
        <v>2.0444008E-2</v>
      </c>
      <c r="H18" s="49"/>
    </row>
    <row r="19" spans="1:8" ht="17.100000000000001" customHeight="1" x14ac:dyDescent="0.2">
      <c r="A19" s="3">
        <v>13</v>
      </c>
      <c r="B19" s="4" t="s">
        <v>318</v>
      </c>
      <c r="C19" s="4" t="s">
        <v>319</v>
      </c>
      <c r="D19" s="4" t="s">
        <v>233</v>
      </c>
      <c r="E19" s="5">
        <v>32200</v>
      </c>
      <c r="F19" s="6">
        <v>434.7</v>
      </c>
      <c r="G19" s="7">
        <v>2.0079290999999999E-2</v>
      </c>
      <c r="H19" s="49"/>
    </row>
    <row r="20" spans="1:8" ht="17.100000000000001" customHeight="1" x14ac:dyDescent="0.2">
      <c r="A20" s="3">
        <v>14</v>
      </c>
      <c r="B20" s="4" t="s">
        <v>396</v>
      </c>
      <c r="C20" s="4" t="s">
        <v>397</v>
      </c>
      <c r="D20" s="4" t="s">
        <v>31</v>
      </c>
      <c r="E20" s="5">
        <v>51999</v>
      </c>
      <c r="F20" s="6">
        <v>432.94367399999999</v>
      </c>
      <c r="G20" s="7">
        <v>1.9998163999999999E-2</v>
      </c>
      <c r="H20" s="49"/>
    </row>
    <row r="21" spans="1:8" ht="17.100000000000001" customHeight="1" x14ac:dyDescent="0.2">
      <c r="A21" s="3">
        <v>15</v>
      </c>
      <c r="B21" s="4" t="s">
        <v>315</v>
      </c>
      <c r="C21" s="4" t="s">
        <v>316</v>
      </c>
      <c r="D21" s="4" t="s">
        <v>317</v>
      </c>
      <c r="E21" s="5">
        <v>27031</v>
      </c>
      <c r="F21" s="6">
        <v>431.7256165</v>
      </c>
      <c r="G21" s="7">
        <v>1.9941899999999999E-2</v>
      </c>
      <c r="H21" s="49"/>
    </row>
    <row r="22" spans="1:8" ht="17.100000000000001" customHeight="1" x14ac:dyDescent="0.2">
      <c r="A22" s="3">
        <v>16</v>
      </c>
      <c r="B22" s="4" t="s">
        <v>203</v>
      </c>
      <c r="C22" s="4" t="s">
        <v>204</v>
      </c>
      <c r="D22" s="4" t="s">
        <v>974</v>
      </c>
      <c r="E22" s="5">
        <v>10158</v>
      </c>
      <c r="F22" s="6">
        <v>422.034426</v>
      </c>
      <c r="G22" s="7">
        <v>1.9494253E-2</v>
      </c>
      <c r="H22" s="49"/>
    </row>
    <row r="23" spans="1:8" ht="17.100000000000001" customHeight="1" x14ac:dyDescent="0.2">
      <c r="A23" s="3">
        <v>17</v>
      </c>
      <c r="B23" s="4" t="s">
        <v>285</v>
      </c>
      <c r="C23" s="4" t="s">
        <v>286</v>
      </c>
      <c r="D23" s="4" t="s">
        <v>22</v>
      </c>
      <c r="E23" s="5">
        <v>176499</v>
      </c>
      <c r="F23" s="6">
        <v>422.00910900000002</v>
      </c>
      <c r="G23" s="7">
        <v>1.9493084000000001E-2</v>
      </c>
      <c r="H23" s="49"/>
    </row>
    <row r="24" spans="1:8" ht="17.100000000000001" customHeight="1" x14ac:dyDescent="0.2">
      <c r="A24" s="3">
        <v>18</v>
      </c>
      <c r="B24" s="4" t="s">
        <v>370</v>
      </c>
      <c r="C24" s="4" t="s">
        <v>371</v>
      </c>
      <c r="D24" s="4" t="s">
        <v>108</v>
      </c>
      <c r="E24" s="5">
        <v>74088</v>
      </c>
      <c r="F24" s="6">
        <v>401.85331200000002</v>
      </c>
      <c r="G24" s="7">
        <v>1.8562064E-2</v>
      </c>
      <c r="H24" s="49"/>
    </row>
    <row r="25" spans="1:8" ht="17.100000000000001" customHeight="1" x14ac:dyDescent="0.2">
      <c r="A25" s="3">
        <v>19</v>
      </c>
      <c r="B25" s="4" t="s">
        <v>419</v>
      </c>
      <c r="C25" s="4" t="s">
        <v>420</v>
      </c>
      <c r="D25" s="4" t="s">
        <v>227</v>
      </c>
      <c r="E25" s="5">
        <v>124748</v>
      </c>
      <c r="F25" s="6">
        <v>369.066958</v>
      </c>
      <c r="G25" s="7">
        <v>1.7047625E-2</v>
      </c>
      <c r="H25" s="49"/>
    </row>
    <row r="26" spans="1:8" ht="17.100000000000001" customHeight="1" x14ac:dyDescent="0.2">
      <c r="A26" s="3">
        <v>20</v>
      </c>
      <c r="B26" s="4" t="s">
        <v>372</v>
      </c>
      <c r="C26" s="4" t="s">
        <v>373</v>
      </c>
      <c r="D26" s="4" t="s">
        <v>103</v>
      </c>
      <c r="E26" s="5">
        <v>63371</v>
      </c>
      <c r="F26" s="6">
        <v>350.47331550000001</v>
      </c>
      <c r="G26" s="7">
        <v>1.6188764000000001E-2</v>
      </c>
      <c r="H26" s="49"/>
    </row>
    <row r="27" spans="1:8" ht="17.100000000000001" customHeight="1" x14ac:dyDescent="0.2">
      <c r="A27" s="3">
        <v>21</v>
      </c>
      <c r="B27" s="4" t="s">
        <v>404</v>
      </c>
      <c r="C27" s="4" t="s">
        <v>405</v>
      </c>
      <c r="D27" s="4" t="s">
        <v>317</v>
      </c>
      <c r="E27" s="5">
        <v>22068</v>
      </c>
      <c r="F27" s="6">
        <v>344.77939800000001</v>
      </c>
      <c r="G27" s="7">
        <v>1.5925755E-2</v>
      </c>
      <c r="H27" s="49"/>
    </row>
    <row r="28" spans="1:8" ht="17.100000000000001" customHeight="1" x14ac:dyDescent="0.2">
      <c r="A28" s="3">
        <v>22</v>
      </c>
      <c r="B28" s="4" t="s">
        <v>423</v>
      </c>
      <c r="C28" s="4" t="s">
        <v>424</v>
      </c>
      <c r="D28" s="4" t="s">
        <v>233</v>
      </c>
      <c r="E28" s="5">
        <v>45868</v>
      </c>
      <c r="F28" s="6">
        <v>332.49713200000002</v>
      </c>
      <c r="G28" s="7">
        <v>1.5358423E-2</v>
      </c>
      <c r="H28" s="49"/>
    </row>
    <row r="29" spans="1:8" ht="29.1" customHeight="1" x14ac:dyDescent="0.2">
      <c r="A29" s="3">
        <v>23</v>
      </c>
      <c r="B29" s="4" t="s">
        <v>61</v>
      </c>
      <c r="C29" s="4" t="s">
        <v>62</v>
      </c>
      <c r="D29" s="4" t="s">
        <v>25</v>
      </c>
      <c r="E29" s="5">
        <v>10728</v>
      </c>
      <c r="F29" s="6">
        <v>330.39021600000001</v>
      </c>
      <c r="G29" s="7">
        <v>1.5261102E-2</v>
      </c>
      <c r="H29" s="49"/>
    </row>
    <row r="30" spans="1:8" ht="29.1" customHeight="1" x14ac:dyDescent="0.2">
      <c r="A30" s="3">
        <v>24</v>
      </c>
      <c r="B30" s="4" t="s">
        <v>425</v>
      </c>
      <c r="C30" s="4" t="s">
        <v>426</v>
      </c>
      <c r="D30" s="4" t="s">
        <v>48</v>
      </c>
      <c r="E30" s="5">
        <v>11405</v>
      </c>
      <c r="F30" s="6">
        <v>313.01022499999999</v>
      </c>
      <c r="G30" s="7">
        <v>1.4458301E-2</v>
      </c>
      <c r="H30" s="49"/>
    </row>
    <row r="31" spans="1:8" ht="29.1" customHeight="1" x14ac:dyDescent="0.2">
      <c r="A31" s="3">
        <v>25</v>
      </c>
      <c r="B31" s="4" t="s">
        <v>213</v>
      </c>
      <c r="C31" s="4" t="s">
        <v>214</v>
      </c>
      <c r="D31" s="4" t="s">
        <v>215</v>
      </c>
      <c r="E31" s="5">
        <v>71099</v>
      </c>
      <c r="F31" s="6">
        <v>296.8027755</v>
      </c>
      <c r="G31" s="7">
        <v>1.370966E-2</v>
      </c>
      <c r="H31" s="49"/>
    </row>
    <row r="32" spans="1:8" ht="17.100000000000001" customHeight="1" x14ac:dyDescent="0.2">
      <c r="A32" s="3">
        <v>26</v>
      </c>
      <c r="B32" s="4" t="s">
        <v>223</v>
      </c>
      <c r="C32" s="4" t="s">
        <v>224</v>
      </c>
      <c r="D32" s="4" t="s">
        <v>89</v>
      </c>
      <c r="E32" s="5">
        <v>5394</v>
      </c>
      <c r="F32" s="6">
        <v>293.39044799999999</v>
      </c>
      <c r="G32" s="7">
        <v>1.3552041000000001E-2</v>
      </c>
      <c r="H32" s="49"/>
    </row>
    <row r="33" spans="1:8" ht="29.1" customHeight="1" x14ac:dyDescent="0.2">
      <c r="A33" s="3">
        <v>27</v>
      </c>
      <c r="B33" s="4" t="s">
        <v>421</v>
      </c>
      <c r="C33" s="4" t="s">
        <v>422</v>
      </c>
      <c r="D33" s="4" t="s">
        <v>215</v>
      </c>
      <c r="E33" s="5">
        <v>69018</v>
      </c>
      <c r="F33" s="6">
        <v>274.45007700000002</v>
      </c>
      <c r="G33" s="7">
        <v>1.2677163E-2</v>
      </c>
      <c r="H33" s="49"/>
    </row>
    <row r="34" spans="1:8" ht="29.1" customHeight="1" x14ac:dyDescent="0.2">
      <c r="A34" s="3">
        <v>28</v>
      </c>
      <c r="B34" s="4" t="s">
        <v>385</v>
      </c>
      <c r="C34" s="4" t="s">
        <v>386</v>
      </c>
      <c r="D34" s="4" t="s">
        <v>69</v>
      </c>
      <c r="E34" s="5">
        <v>16998</v>
      </c>
      <c r="F34" s="6">
        <v>269.69876699999998</v>
      </c>
      <c r="G34" s="7">
        <v>1.2457695E-2</v>
      </c>
      <c r="H34" s="49"/>
    </row>
    <row r="35" spans="1:8" ht="17.100000000000001" customHeight="1" x14ac:dyDescent="0.2">
      <c r="A35" s="3">
        <v>29</v>
      </c>
      <c r="B35" s="4" t="s">
        <v>432</v>
      </c>
      <c r="C35" s="4" t="s">
        <v>433</v>
      </c>
      <c r="D35" s="4" t="s">
        <v>103</v>
      </c>
      <c r="E35" s="5">
        <v>320700</v>
      </c>
      <c r="F35" s="6">
        <v>262.81365</v>
      </c>
      <c r="G35" s="7">
        <v>1.2139663E-2</v>
      </c>
      <c r="H35" s="49"/>
    </row>
    <row r="36" spans="1:8" ht="53.1" customHeight="1" x14ac:dyDescent="0.2">
      <c r="A36" s="3">
        <v>30</v>
      </c>
      <c r="B36" s="4" t="s">
        <v>336</v>
      </c>
      <c r="C36" s="4" t="s">
        <v>1043</v>
      </c>
      <c r="D36" s="4" t="s">
        <v>51</v>
      </c>
      <c r="E36" s="5">
        <v>74468</v>
      </c>
      <c r="F36" s="6">
        <v>252.59545600000001</v>
      </c>
      <c r="G36" s="7">
        <v>1.1667673E-2</v>
      </c>
      <c r="H36" s="49"/>
    </row>
    <row r="37" spans="1:8" ht="17.100000000000001" customHeight="1" x14ac:dyDescent="0.2">
      <c r="A37" s="3">
        <v>31</v>
      </c>
      <c r="B37" s="4" t="s">
        <v>449</v>
      </c>
      <c r="C37" s="4" t="s">
        <v>450</v>
      </c>
      <c r="D37" s="4" t="s">
        <v>1042</v>
      </c>
      <c r="E37" s="5">
        <v>29851</v>
      </c>
      <c r="F37" s="6">
        <v>249.94242299999999</v>
      </c>
      <c r="G37" s="7">
        <v>1.1545127000000001E-2</v>
      </c>
      <c r="H37" s="49"/>
    </row>
    <row r="38" spans="1:8" ht="17.100000000000001" customHeight="1" x14ac:dyDescent="0.2">
      <c r="A38" s="3">
        <v>32</v>
      </c>
      <c r="B38" s="4" t="s">
        <v>39</v>
      </c>
      <c r="C38" s="4" t="s">
        <v>40</v>
      </c>
      <c r="D38" s="4" t="s">
        <v>16</v>
      </c>
      <c r="E38" s="5">
        <v>41060</v>
      </c>
      <c r="F38" s="6">
        <v>247.36597</v>
      </c>
      <c r="G38" s="7">
        <v>1.1426117E-2</v>
      </c>
      <c r="H38" s="49"/>
    </row>
    <row r="39" spans="1:8" ht="17.100000000000001" customHeight="1" x14ac:dyDescent="0.2">
      <c r="A39" s="3">
        <v>33</v>
      </c>
      <c r="B39" s="4" t="s">
        <v>374</v>
      </c>
      <c r="C39" s="4" t="s">
        <v>375</v>
      </c>
      <c r="D39" s="4" t="s">
        <v>103</v>
      </c>
      <c r="E39" s="5">
        <v>32571</v>
      </c>
      <c r="F39" s="6">
        <v>238.97342699999999</v>
      </c>
      <c r="G39" s="7">
        <v>1.1038456E-2</v>
      </c>
      <c r="H39" s="49"/>
    </row>
    <row r="40" spans="1:8" ht="29.1" customHeight="1" x14ac:dyDescent="0.2">
      <c r="A40" s="3">
        <v>34</v>
      </c>
      <c r="B40" s="4" t="s">
        <v>451</v>
      </c>
      <c r="C40" s="4" t="s">
        <v>452</v>
      </c>
      <c r="D40" s="4" t="s">
        <v>364</v>
      </c>
      <c r="E40" s="5">
        <v>43436</v>
      </c>
      <c r="F40" s="6">
        <v>237.20399599999999</v>
      </c>
      <c r="G40" s="7">
        <v>1.0956723999999999E-2</v>
      </c>
      <c r="H40" s="49"/>
    </row>
    <row r="41" spans="1:8" ht="17.100000000000001" customHeight="1" x14ac:dyDescent="0.2">
      <c r="A41" s="3">
        <v>35</v>
      </c>
      <c r="B41" s="4" t="s">
        <v>453</v>
      </c>
      <c r="C41" s="4" t="s">
        <v>454</v>
      </c>
      <c r="D41" s="4" t="s">
        <v>38</v>
      </c>
      <c r="E41" s="5">
        <v>84116</v>
      </c>
      <c r="F41" s="6">
        <v>235.18833599999999</v>
      </c>
      <c r="G41" s="7">
        <v>1.0863618E-2</v>
      </c>
      <c r="H41" s="49"/>
    </row>
    <row r="42" spans="1:8" ht="29.1" customHeight="1" x14ac:dyDescent="0.2">
      <c r="A42" s="3">
        <v>36</v>
      </c>
      <c r="B42" s="4" t="s">
        <v>442</v>
      </c>
      <c r="C42" s="4" t="s">
        <v>443</v>
      </c>
      <c r="D42" s="4" t="s">
        <v>364</v>
      </c>
      <c r="E42" s="5">
        <v>37465</v>
      </c>
      <c r="F42" s="6">
        <v>225.68915999999999</v>
      </c>
      <c r="G42" s="7">
        <v>1.0424841000000001E-2</v>
      </c>
      <c r="H42" s="49"/>
    </row>
    <row r="43" spans="1:8" ht="17.100000000000001" customHeight="1" x14ac:dyDescent="0.2">
      <c r="A43" s="3">
        <v>37</v>
      </c>
      <c r="B43" s="4" t="s">
        <v>383</v>
      </c>
      <c r="C43" s="4" t="s">
        <v>384</v>
      </c>
      <c r="D43" s="4" t="s">
        <v>31</v>
      </c>
      <c r="E43" s="5">
        <v>25628</v>
      </c>
      <c r="F43" s="6">
        <v>218.658096</v>
      </c>
      <c r="G43" s="7">
        <v>1.0100068E-2</v>
      </c>
      <c r="H43" s="49"/>
    </row>
    <row r="44" spans="1:8" ht="17.100000000000001" customHeight="1" x14ac:dyDescent="0.2">
      <c r="A44" s="3">
        <v>38</v>
      </c>
      <c r="B44" s="4" t="s">
        <v>455</v>
      </c>
      <c r="C44" s="4" t="s">
        <v>456</v>
      </c>
      <c r="D44" s="4" t="s">
        <v>108</v>
      </c>
      <c r="E44" s="5">
        <v>17492</v>
      </c>
      <c r="F44" s="6">
        <v>214.37320600000001</v>
      </c>
      <c r="G44" s="7">
        <v>9.9021439999999999E-3</v>
      </c>
      <c r="H44" s="49"/>
    </row>
    <row r="45" spans="1:8" ht="29.1" customHeight="1" x14ac:dyDescent="0.2">
      <c r="A45" s="3">
        <v>39</v>
      </c>
      <c r="B45" s="4" t="s">
        <v>436</v>
      </c>
      <c r="C45" s="4" t="s">
        <v>437</v>
      </c>
      <c r="D45" s="4" t="s">
        <v>215</v>
      </c>
      <c r="E45" s="5">
        <v>10472</v>
      </c>
      <c r="F45" s="6">
        <v>211.34590399999999</v>
      </c>
      <c r="G45" s="7">
        <v>9.7623090000000003E-3</v>
      </c>
      <c r="H45" s="49"/>
    </row>
    <row r="46" spans="1:8" ht="17.100000000000001" customHeight="1" x14ac:dyDescent="0.2">
      <c r="A46" s="3">
        <v>40</v>
      </c>
      <c r="B46" s="4" t="s">
        <v>376</v>
      </c>
      <c r="C46" s="4" t="s">
        <v>377</v>
      </c>
      <c r="D46" s="4" t="s">
        <v>108</v>
      </c>
      <c r="E46" s="5">
        <v>34209</v>
      </c>
      <c r="F46" s="6">
        <v>208.43543700000001</v>
      </c>
      <c r="G46" s="7">
        <v>9.6278709999999997E-3</v>
      </c>
      <c r="H46" s="49"/>
    </row>
    <row r="47" spans="1:8" ht="29.1" customHeight="1" x14ac:dyDescent="0.2">
      <c r="A47" s="3">
        <v>41</v>
      </c>
      <c r="B47" s="4" t="s">
        <v>283</v>
      </c>
      <c r="C47" s="4" t="s">
        <v>284</v>
      </c>
      <c r="D47" s="4" t="s">
        <v>193</v>
      </c>
      <c r="E47" s="5">
        <v>28959</v>
      </c>
      <c r="F47" s="6">
        <v>208.22968950000001</v>
      </c>
      <c r="G47" s="7">
        <v>9.6183680000000004E-3</v>
      </c>
      <c r="H47" s="49"/>
    </row>
    <row r="48" spans="1:8" ht="17.100000000000001" customHeight="1" x14ac:dyDescent="0.2">
      <c r="A48" s="3">
        <v>42</v>
      </c>
      <c r="B48" s="4" t="s">
        <v>457</v>
      </c>
      <c r="C48" s="4" t="s">
        <v>458</v>
      </c>
      <c r="D48" s="4" t="s">
        <v>13</v>
      </c>
      <c r="E48" s="5">
        <v>39951</v>
      </c>
      <c r="F48" s="6">
        <v>202.61149649999999</v>
      </c>
      <c r="G48" s="7">
        <v>9.3588569999999999E-3</v>
      </c>
      <c r="H48" s="49"/>
    </row>
    <row r="49" spans="1:8" ht="29.1" customHeight="1" x14ac:dyDescent="0.2">
      <c r="A49" s="3">
        <v>43</v>
      </c>
      <c r="B49" s="4" t="s">
        <v>429</v>
      </c>
      <c r="C49" s="4" t="s">
        <v>430</v>
      </c>
      <c r="D49" s="4" t="s">
        <v>431</v>
      </c>
      <c r="E49" s="5">
        <v>157132</v>
      </c>
      <c r="F49" s="6">
        <v>198.37915000000001</v>
      </c>
      <c r="G49" s="7">
        <v>9.1633600000000006E-3</v>
      </c>
      <c r="H49" s="49"/>
    </row>
    <row r="50" spans="1:8" ht="17.100000000000001" customHeight="1" x14ac:dyDescent="0.2">
      <c r="A50" s="3">
        <v>44</v>
      </c>
      <c r="B50" s="4" t="s">
        <v>98</v>
      </c>
      <c r="C50" s="4" t="s">
        <v>99</v>
      </c>
      <c r="D50" s="4" t="s">
        <v>100</v>
      </c>
      <c r="E50" s="5">
        <v>40384</v>
      </c>
      <c r="F50" s="6">
        <v>196.3672</v>
      </c>
      <c r="G50" s="7">
        <v>9.0704259999999995E-3</v>
      </c>
      <c r="H50" s="49"/>
    </row>
    <row r="51" spans="1:8" ht="17.100000000000001" customHeight="1" x14ac:dyDescent="0.2">
      <c r="A51" s="3">
        <v>45</v>
      </c>
      <c r="B51" s="4" t="s">
        <v>247</v>
      </c>
      <c r="C51" s="4" t="s">
        <v>248</v>
      </c>
      <c r="D51" s="4" t="s">
        <v>103</v>
      </c>
      <c r="E51" s="5">
        <v>32539</v>
      </c>
      <c r="F51" s="6">
        <v>192.14279500000001</v>
      </c>
      <c r="G51" s="7">
        <v>8.8752959999999995E-3</v>
      </c>
      <c r="H51" s="49"/>
    </row>
    <row r="52" spans="1:8" ht="17.100000000000001" customHeight="1" x14ac:dyDescent="0.2">
      <c r="A52" s="3">
        <v>46</v>
      </c>
      <c r="B52" s="4" t="s">
        <v>427</v>
      </c>
      <c r="C52" s="4" t="s">
        <v>428</v>
      </c>
      <c r="D52" s="4" t="s">
        <v>13</v>
      </c>
      <c r="E52" s="5">
        <v>235040</v>
      </c>
      <c r="F52" s="6">
        <v>186.50424000000001</v>
      </c>
      <c r="G52" s="7">
        <v>8.614844E-3</v>
      </c>
      <c r="H52" s="49"/>
    </row>
    <row r="53" spans="1:8" ht="29.1" customHeight="1" x14ac:dyDescent="0.2">
      <c r="A53" s="3">
        <v>47</v>
      </c>
      <c r="B53" s="4" t="s">
        <v>459</v>
      </c>
      <c r="C53" s="4" t="s">
        <v>460</v>
      </c>
      <c r="D53" s="4" t="s">
        <v>380</v>
      </c>
      <c r="E53" s="5">
        <v>42321</v>
      </c>
      <c r="F53" s="6">
        <v>185.196696</v>
      </c>
      <c r="G53" s="7">
        <v>8.5544469999999997E-3</v>
      </c>
      <c r="H53" s="49"/>
    </row>
    <row r="54" spans="1:8" ht="17.100000000000001" customHeight="1" x14ac:dyDescent="0.2">
      <c r="A54" s="3">
        <v>48</v>
      </c>
      <c r="B54" s="4" t="s">
        <v>402</v>
      </c>
      <c r="C54" s="4" t="s">
        <v>403</v>
      </c>
      <c r="D54" s="4" t="s">
        <v>103</v>
      </c>
      <c r="E54" s="5">
        <v>19196</v>
      </c>
      <c r="F54" s="6">
        <v>184.32959</v>
      </c>
      <c r="G54" s="7">
        <v>8.5143949999999993E-3</v>
      </c>
      <c r="H54" s="49"/>
    </row>
    <row r="55" spans="1:8" ht="17.100000000000001" customHeight="1" x14ac:dyDescent="0.2">
      <c r="A55" s="3">
        <v>49</v>
      </c>
      <c r="B55" s="4" t="s">
        <v>461</v>
      </c>
      <c r="C55" s="4" t="s">
        <v>462</v>
      </c>
      <c r="D55" s="4" t="s">
        <v>43</v>
      </c>
      <c r="E55" s="5">
        <v>26074</v>
      </c>
      <c r="F55" s="6">
        <v>180.497265</v>
      </c>
      <c r="G55" s="7">
        <v>8.3373749999999993E-3</v>
      </c>
      <c r="H55" s="49"/>
    </row>
    <row r="56" spans="1:8" ht="17.100000000000001" customHeight="1" x14ac:dyDescent="0.2">
      <c r="A56" s="3">
        <v>50</v>
      </c>
      <c r="B56" s="4" t="s">
        <v>412</v>
      </c>
      <c r="C56" s="4" t="s">
        <v>413</v>
      </c>
      <c r="D56" s="4" t="s">
        <v>267</v>
      </c>
      <c r="E56" s="5">
        <v>55539</v>
      </c>
      <c r="F56" s="6">
        <v>176.97502349999999</v>
      </c>
      <c r="G56" s="7">
        <v>8.1746790000000007E-3</v>
      </c>
      <c r="H56" s="49"/>
    </row>
    <row r="57" spans="1:8" ht="29.1" customHeight="1" x14ac:dyDescent="0.2">
      <c r="A57" s="3">
        <v>51</v>
      </c>
      <c r="B57" s="4" t="s">
        <v>378</v>
      </c>
      <c r="C57" s="4" t="s">
        <v>379</v>
      </c>
      <c r="D57" s="4" t="s">
        <v>380</v>
      </c>
      <c r="E57" s="5">
        <v>43898</v>
      </c>
      <c r="F57" s="6">
        <v>174.472601</v>
      </c>
      <c r="G57" s="7">
        <v>8.0590890000000002E-3</v>
      </c>
      <c r="H57" s="49"/>
    </row>
    <row r="58" spans="1:8" ht="17.100000000000001" customHeight="1" x14ac:dyDescent="0.2">
      <c r="A58" s="3">
        <v>52</v>
      </c>
      <c r="B58" s="4" t="s">
        <v>391</v>
      </c>
      <c r="C58" s="4" t="s">
        <v>392</v>
      </c>
      <c r="D58" s="4" t="s">
        <v>196</v>
      </c>
      <c r="E58" s="5">
        <v>19644</v>
      </c>
      <c r="F58" s="6">
        <v>147.418398</v>
      </c>
      <c r="G58" s="7">
        <v>6.809425E-3</v>
      </c>
      <c r="H58" s="49"/>
    </row>
    <row r="59" spans="1:8" ht="17.100000000000001" customHeight="1" x14ac:dyDescent="0.2">
      <c r="A59" s="3">
        <v>53</v>
      </c>
      <c r="B59" s="4" t="s">
        <v>410</v>
      </c>
      <c r="C59" s="4" t="s">
        <v>411</v>
      </c>
      <c r="D59" s="4" t="s">
        <v>89</v>
      </c>
      <c r="E59" s="5">
        <v>21910</v>
      </c>
      <c r="F59" s="6">
        <v>143.70769000000001</v>
      </c>
      <c r="G59" s="7">
        <v>6.6380229999999998E-3</v>
      </c>
      <c r="H59" s="49"/>
    </row>
    <row r="60" spans="1:8" ht="29.1" customHeight="1" x14ac:dyDescent="0.2">
      <c r="A60" s="3">
        <v>54</v>
      </c>
      <c r="B60" s="4" t="s">
        <v>406</v>
      </c>
      <c r="C60" s="4" t="s">
        <v>407</v>
      </c>
      <c r="D60" s="4" t="s">
        <v>108</v>
      </c>
      <c r="E60" s="5">
        <v>10609</v>
      </c>
      <c r="F60" s="6">
        <v>124.8520165</v>
      </c>
      <c r="G60" s="7">
        <v>5.7670580000000003E-3</v>
      </c>
      <c r="H60" s="49"/>
    </row>
    <row r="61" spans="1:8" ht="17.100000000000001" customHeight="1" x14ac:dyDescent="0.2">
      <c r="A61" s="3">
        <v>55</v>
      </c>
      <c r="B61" s="4" t="s">
        <v>393</v>
      </c>
      <c r="C61" s="4" t="s">
        <v>394</v>
      </c>
      <c r="D61" s="4" t="s">
        <v>16</v>
      </c>
      <c r="E61" s="5">
        <v>52998</v>
      </c>
      <c r="F61" s="6">
        <v>115.69463399999999</v>
      </c>
      <c r="G61" s="7">
        <v>5.3440680000000004E-3</v>
      </c>
      <c r="H61" s="49"/>
    </row>
    <row r="62" spans="1:8" ht="17.100000000000001" customHeight="1" x14ac:dyDescent="0.2">
      <c r="A62" s="3">
        <v>56</v>
      </c>
      <c r="B62" s="4" t="s">
        <v>434</v>
      </c>
      <c r="C62" s="4" t="s">
        <v>435</v>
      </c>
      <c r="D62" s="4" t="s">
        <v>218</v>
      </c>
      <c r="E62" s="5">
        <v>14169</v>
      </c>
      <c r="F62" s="6">
        <v>108.40701900000001</v>
      </c>
      <c r="G62" s="7">
        <v>5.0074439999999998E-3</v>
      </c>
      <c r="H62" s="49"/>
    </row>
    <row r="63" spans="1:8" ht="17.100000000000001" customHeight="1" x14ac:dyDescent="0.2">
      <c r="A63" s="3">
        <v>57</v>
      </c>
      <c r="B63" s="4" t="s">
        <v>438</v>
      </c>
      <c r="C63" s="4" t="s">
        <v>439</v>
      </c>
      <c r="D63" s="4" t="s">
        <v>31</v>
      </c>
      <c r="E63" s="5">
        <v>11481</v>
      </c>
      <c r="F63" s="6">
        <v>101.30834400000001</v>
      </c>
      <c r="G63" s="7">
        <v>4.6795480000000004E-3</v>
      </c>
      <c r="H63" s="49"/>
    </row>
    <row r="64" spans="1:8" ht="29.1" customHeight="1" x14ac:dyDescent="0.2">
      <c r="A64" s="3">
        <v>58</v>
      </c>
      <c r="B64" s="4" t="s">
        <v>440</v>
      </c>
      <c r="C64" s="4" t="s">
        <v>441</v>
      </c>
      <c r="D64" s="4" t="s">
        <v>215</v>
      </c>
      <c r="E64" s="5">
        <v>34046</v>
      </c>
      <c r="F64" s="6">
        <v>89.813348000000005</v>
      </c>
      <c r="G64" s="7">
        <v>4.1485810000000001E-3</v>
      </c>
      <c r="H64" s="49"/>
    </row>
    <row r="65" spans="1:8" ht="29.1" customHeight="1" x14ac:dyDescent="0.2">
      <c r="A65" s="3">
        <v>59</v>
      </c>
      <c r="B65" s="4" t="s">
        <v>387</v>
      </c>
      <c r="C65" s="4" t="s">
        <v>388</v>
      </c>
      <c r="D65" s="4" t="s">
        <v>215</v>
      </c>
      <c r="E65" s="5">
        <v>2097</v>
      </c>
      <c r="F65" s="6">
        <v>87.31908</v>
      </c>
      <c r="G65" s="7">
        <v>4.0333679999999998E-3</v>
      </c>
      <c r="H65" s="49"/>
    </row>
    <row r="66" spans="1:8" ht="17.100000000000001" customHeight="1" x14ac:dyDescent="0.2">
      <c r="A66" s="3">
        <v>60</v>
      </c>
      <c r="B66" s="4" t="s">
        <v>330</v>
      </c>
      <c r="C66" s="4" t="s">
        <v>331</v>
      </c>
      <c r="D66" s="4" t="s">
        <v>100</v>
      </c>
      <c r="E66" s="5">
        <v>110125</v>
      </c>
      <c r="F66" s="6">
        <v>86.723437500000003</v>
      </c>
      <c r="G66" s="7">
        <v>4.005855E-3</v>
      </c>
      <c r="H66" s="49"/>
    </row>
    <row r="67" spans="1:8" ht="17.100000000000001" customHeight="1" x14ac:dyDescent="0.2">
      <c r="A67" s="3">
        <v>61</v>
      </c>
      <c r="B67" s="4" t="s">
        <v>32</v>
      </c>
      <c r="C67" s="4" t="s">
        <v>33</v>
      </c>
      <c r="D67" s="4" t="s">
        <v>31</v>
      </c>
      <c r="E67" s="5">
        <v>2000</v>
      </c>
      <c r="F67" s="6">
        <v>82.951999999999998</v>
      </c>
      <c r="G67" s="7">
        <v>3.831648E-3</v>
      </c>
      <c r="H67" s="49"/>
    </row>
    <row r="68" spans="1:8" ht="17.100000000000001" customHeight="1" x14ac:dyDescent="0.2">
      <c r="A68" s="3">
        <v>62</v>
      </c>
      <c r="B68" s="4" t="s">
        <v>408</v>
      </c>
      <c r="C68" s="4" t="s">
        <v>409</v>
      </c>
      <c r="D68" s="4" t="s">
        <v>108</v>
      </c>
      <c r="E68" s="5">
        <v>28500</v>
      </c>
      <c r="F68" s="6">
        <v>76.094999999999999</v>
      </c>
      <c r="G68" s="7">
        <v>3.514915E-3</v>
      </c>
      <c r="H68" s="49"/>
    </row>
    <row r="69" spans="1:8" ht="29.1" customHeight="1" x14ac:dyDescent="0.2">
      <c r="A69" s="3">
        <v>63</v>
      </c>
      <c r="B69" s="4" t="s">
        <v>322</v>
      </c>
      <c r="C69" s="4" t="s">
        <v>323</v>
      </c>
      <c r="D69" s="4" t="s">
        <v>193</v>
      </c>
      <c r="E69" s="5">
        <v>16020</v>
      </c>
      <c r="F69" s="6">
        <v>62.21367</v>
      </c>
      <c r="G69" s="7">
        <v>2.8737210000000001E-3</v>
      </c>
      <c r="H69" s="49"/>
    </row>
    <row r="70" spans="1:8" ht="29.1" customHeight="1" x14ac:dyDescent="0.2">
      <c r="A70" s="3">
        <v>64</v>
      </c>
      <c r="B70" s="4" t="s">
        <v>444</v>
      </c>
      <c r="C70" s="4" t="s">
        <v>445</v>
      </c>
      <c r="D70" s="4" t="s">
        <v>193</v>
      </c>
      <c r="E70" s="5">
        <v>6324</v>
      </c>
      <c r="F70" s="6">
        <v>40.761341999999999</v>
      </c>
      <c r="G70" s="7">
        <v>1.8828130000000001E-3</v>
      </c>
      <c r="H70" s="49"/>
    </row>
    <row r="71" spans="1:8" ht="29.1" customHeight="1" x14ac:dyDescent="0.2">
      <c r="A71" s="3">
        <v>65</v>
      </c>
      <c r="B71" s="4" t="s">
        <v>414</v>
      </c>
      <c r="C71" s="4" t="s">
        <v>415</v>
      </c>
      <c r="D71" s="4" t="s">
        <v>60</v>
      </c>
      <c r="E71" s="5">
        <v>9497</v>
      </c>
      <c r="F71" s="6">
        <v>34.929966</v>
      </c>
      <c r="G71" s="7">
        <v>1.613455E-3</v>
      </c>
      <c r="H71" s="49"/>
    </row>
    <row r="72" spans="1:8" ht="14.1" customHeight="1" x14ac:dyDescent="0.2">
      <c r="A72" s="1"/>
      <c r="B72" s="1"/>
      <c r="C72" s="2" t="s">
        <v>130</v>
      </c>
      <c r="D72" s="1"/>
      <c r="E72" s="1" t="s">
        <v>131</v>
      </c>
      <c r="F72" s="9">
        <v>18538.187119499999</v>
      </c>
      <c r="G72" s="10">
        <v>0.85630008300000005</v>
      </c>
      <c r="H72" s="49"/>
    </row>
    <row r="73" spans="1:8" ht="14.1" customHeight="1" x14ac:dyDescent="0.2">
      <c r="A73" s="1"/>
      <c r="B73" s="1"/>
      <c r="C73" s="11"/>
      <c r="D73" s="1"/>
      <c r="E73" s="1"/>
      <c r="F73" s="12"/>
      <c r="G73" s="12"/>
      <c r="H73" s="49"/>
    </row>
    <row r="74" spans="1:8" ht="14.1" customHeight="1" x14ac:dyDescent="0.2">
      <c r="A74" s="1"/>
      <c r="B74" s="1"/>
      <c r="C74" s="2" t="s">
        <v>132</v>
      </c>
      <c r="D74" s="1"/>
      <c r="E74" s="1"/>
      <c r="F74" s="1"/>
      <c r="G74" s="1"/>
      <c r="H74" s="49"/>
    </row>
    <row r="75" spans="1:8" ht="14.1" customHeight="1" x14ac:dyDescent="0.2">
      <c r="A75" s="1"/>
      <c r="B75" s="1"/>
      <c r="C75" s="2" t="s">
        <v>130</v>
      </c>
      <c r="D75" s="1"/>
      <c r="E75" s="1" t="s">
        <v>131</v>
      </c>
      <c r="F75" s="13">
        <v>0</v>
      </c>
      <c r="G75" s="14">
        <v>0</v>
      </c>
      <c r="H75" s="49"/>
    </row>
    <row r="76" spans="1:8" ht="14.1" customHeight="1" x14ac:dyDescent="0.2">
      <c r="A76" s="1"/>
      <c r="B76" s="1"/>
      <c r="C76" s="11"/>
      <c r="D76" s="1"/>
      <c r="E76" s="1"/>
      <c r="F76" s="12"/>
      <c r="G76" s="12"/>
      <c r="H76" s="49"/>
    </row>
    <row r="77" spans="1:8" ht="14.1" customHeight="1" x14ac:dyDescent="0.2">
      <c r="A77" s="1"/>
      <c r="B77" s="1"/>
      <c r="C77" s="2" t="s">
        <v>133</v>
      </c>
      <c r="D77" s="1"/>
      <c r="E77" s="1"/>
      <c r="F77" s="1"/>
      <c r="G77" s="1"/>
      <c r="H77" s="49"/>
    </row>
    <row r="78" spans="1:8" ht="14.1" customHeight="1" x14ac:dyDescent="0.2">
      <c r="A78" s="1"/>
      <c r="B78" s="1"/>
      <c r="C78" s="2" t="s">
        <v>130</v>
      </c>
      <c r="D78" s="1"/>
      <c r="E78" s="1" t="s">
        <v>131</v>
      </c>
      <c r="F78" s="13">
        <v>0</v>
      </c>
      <c r="G78" s="14">
        <v>0</v>
      </c>
      <c r="H78" s="49"/>
    </row>
    <row r="79" spans="1:8" ht="14.1" customHeight="1" x14ac:dyDescent="0.2">
      <c r="A79" s="1"/>
      <c r="B79" s="1"/>
      <c r="C79" s="11"/>
      <c r="D79" s="1"/>
      <c r="E79" s="1"/>
      <c r="F79" s="12"/>
      <c r="G79" s="12"/>
      <c r="H79" s="49"/>
    </row>
    <row r="80" spans="1:8" ht="14.1" customHeight="1" x14ac:dyDescent="0.2">
      <c r="A80" s="1"/>
      <c r="B80" s="1"/>
      <c r="C80" s="2" t="s">
        <v>134</v>
      </c>
      <c r="D80" s="1"/>
      <c r="E80" s="1"/>
      <c r="F80" s="1"/>
      <c r="G80" s="1"/>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135</v>
      </c>
      <c r="D83" s="1"/>
      <c r="E83" s="1"/>
      <c r="F83" s="12"/>
      <c r="G83" s="12"/>
      <c r="H83" s="49"/>
    </row>
    <row r="84" spans="1:8" ht="14.1" customHeight="1" x14ac:dyDescent="0.2">
      <c r="A84" s="1"/>
      <c r="B84" s="1"/>
      <c r="C84" s="2" t="s">
        <v>130</v>
      </c>
      <c r="D84" s="1"/>
      <c r="E84" s="1" t="s">
        <v>131</v>
      </c>
      <c r="F84" s="13">
        <v>0</v>
      </c>
      <c r="G84" s="14">
        <v>0</v>
      </c>
      <c r="H84" s="49"/>
    </row>
    <row r="85" spans="1:8" ht="14.1" customHeight="1" x14ac:dyDescent="0.2">
      <c r="A85" s="1"/>
      <c r="B85" s="1"/>
      <c r="C85" s="11"/>
      <c r="D85" s="1"/>
      <c r="E85" s="1"/>
      <c r="F85" s="12"/>
      <c r="G85" s="12"/>
      <c r="H85" s="49"/>
    </row>
    <row r="86" spans="1:8" ht="14.1" customHeight="1" x14ac:dyDescent="0.2">
      <c r="A86" s="1"/>
      <c r="B86" s="1"/>
      <c r="C86" s="2" t="s">
        <v>136</v>
      </c>
      <c r="D86" s="1"/>
      <c r="E86" s="1"/>
      <c r="F86" s="12"/>
      <c r="G86" s="12"/>
      <c r="H86" s="49"/>
    </row>
    <row r="87" spans="1:8" ht="14.1" customHeight="1" x14ac:dyDescent="0.2">
      <c r="A87" s="1"/>
      <c r="B87" s="1"/>
      <c r="C87" s="2" t="s">
        <v>130</v>
      </c>
      <c r="D87" s="1"/>
      <c r="E87" s="1" t="s">
        <v>131</v>
      </c>
      <c r="F87" s="13">
        <v>0</v>
      </c>
      <c r="G87" s="14">
        <v>0</v>
      </c>
      <c r="H87" s="49"/>
    </row>
    <row r="88" spans="1:8" ht="14.1" customHeight="1" x14ac:dyDescent="0.2">
      <c r="A88" s="1"/>
      <c r="B88" s="1"/>
      <c r="C88" s="11"/>
      <c r="D88" s="1"/>
      <c r="E88" s="1"/>
      <c r="F88" s="12"/>
      <c r="G88" s="12"/>
      <c r="H88" s="49"/>
    </row>
    <row r="89" spans="1:8" ht="18" customHeight="1" x14ac:dyDescent="0.2">
      <c r="A89" s="1"/>
      <c r="B89" s="1"/>
      <c r="C89" s="2" t="s">
        <v>137</v>
      </c>
      <c r="D89" s="1"/>
      <c r="E89" s="1"/>
      <c r="F89" s="9">
        <v>18538.187119499999</v>
      </c>
      <c r="G89" s="10">
        <v>0.85630008300000005</v>
      </c>
      <c r="H89" s="49"/>
    </row>
    <row r="90" spans="1:8" ht="14.1" customHeight="1" x14ac:dyDescent="0.2">
      <c r="A90" s="1"/>
      <c r="B90" s="1"/>
      <c r="C90" s="11"/>
      <c r="D90" s="1"/>
      <c r="E90" s="1"/>
      <c r="F90" s="12"/>
      <c r="G90" s="12"/>
      <c r="H90" s="49"/>
    </row>
    <row r="91" spans="1:8" ht="14.1" customHeight="1" x14ac:dyDescent="0.2">
      <c r="A91" s="1"/>
      <c r="B91" s="1"/>
      <c r="C91" s="2" t="s">
        <v>138</v>
      </c>
      <c r="D91" s="1"/>
      <c r="E91" s="1"/>
      <c r="F91" s="12"/>
      <c r="G91" s="12"/>
      <c r="H91" s="49"/>
    </row>
    <row r="92" spans="1:8" ht="24" customHeight="1" x14ac:dyDescent="0.2">
      <c r="A92" s="1"/>
      <c r="B92" s="1"/>
      <c r="C92" s="2" t="s">
        <v>10</v>
      </c>
      <c r="D92" s="1"/>
      <c r="E92" s="1"/>
      <c r="F92" s="12"/>
      <c r="G92" s="12"/>
      <c r="H92" s="49"/>
    </row>
    <row r="93" spans="1:8" ht="14.1" customHeight="1" x14ac:dyDescent="0.2">
      <c r="A93" s="1"/>
      <c r="B93" s="1"/>
      <c r="C93" s="2" t="s">
        <v>130</v>
      </c>
      <c r="D93" s="1"/>
      <c r="E93" s="1" t="s">
        <v>131</v>
      </c>
      <c r="F93" s="13">
        <v>0</v>
      </c>
      <c r="G93" s="14">
        <v>0</v>
      </c>
      <c r="H93" s="49"/>
    </row>
    <row r="94" spans="1:8" ht="14.1" customHeight="1" x14ac:dyDescent="0.2">
      <c r="A94" s="1"/>
      <c r="B94" s="1"/>
      <c r="C94" s="11"/>
      <c r="D94" s="1"/>
      <c r="E94" s="1"/>
      <c r="F94" s="12"/>
      <c r="G94" s="12"/>
      <c r="H94" s="49"/>
    </row>
    <row r="95" spans="1:8" ht="14.1" customHeight="1" x14ac:dyDescent="0.2">
      <c r="A95" s="1"/>
      <c r="B95" s="1"/>
      <c r="C95" s="2" t="s">
        <v>139</v>
      </c>
      <c r="D95" s="1"/>
      <c r="E95" s="1"/>
      <c r="F95" s="1"/>
      <c r="G95" s="1"/>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140</v>
      </c>
      <c r="D98" s="1"/>
      <c r="E98" s="1"/>
      <c r="F98" s="1"/>
      <c r="G98" s="1"/>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2" t="s">
        <v>141</v>
      </c>
      <c r="D101" s="1"/>
      <c r="E101" s="1"/>
      <c r="F101" s="12"/>
      <c r="G101" s="12"/>
      <c r="H101" s="49"/>
    </row>
    <row r="102" spans="1:8" ht="14.1" customHeight="1" x14ac:dyDescent="0.2">
      <c r="A102" s="1"/>
      <c r="B102" s="1"/>
      <c r="C102" s="2" t="s">
        <v>130</v>
      </c>
      <c r="D102" s="1"/>
      <c r="E102" s="1" t="s">
        <v>131</v>
      </c>
      <c r="F102" s="13">
        <v>0</v>
      </c>
      <c r="G102" s="14">
        <v>0</v>
      </c>
      <c r="H102" s="49"/>
    </row>
    <row r="103" spans="1:8" ht="14.1" customHeight="1" x14ac:dyDescent="0.2">
      <c r="A103" s="1"/>
      <c r="B103" s="1"/>
      <c r="C103" s="11"/>
      <c r="D103" s="1"/>
      <c r="E103" s="1"/>
      <c r="F103" s="12"/>
      <c r="G103" s="12"/>
      <c r="H103" s="49"/>
    </row>
    <row r="104" spans="1:8" ht="14.1" customHeight="1" x14ac:dyDescent="0.2">
      <c r="A104" s="1"/>
      <c r="B104" s="1"/>
      <c r="C104" s="2" t="s">
        <v>142</v>
      </c>
      <c r="D104" s="1"/>
      <c r="E104" s="1"/>
      <c r="F104" s="9">
        <v>0</v>
      </c>
      <c r="G104" s="10">
        <v>0</v>
      </c>
      <c r="H104" s="49"/>
    </row>
    <row r="105" spans="1:8" ht="14.1" customHeight="1" x14ac:dyDescent="0.2">
      <c r="A105" s="1"/>
      <c r="B105" s="1"/>
      <c r="C105" s="11"/>
      <c r="D105" s="1"/>
      <c r="E105" s="1"/>
      <c r="F105" s="12"/>
      <c r="G105" s="12"/>
      <c r="H105" s="49"/>
    </row>
    <row r="106" spans="1:8" ht="14.1" customHeight="1" x14ac:dyDescent="0.2">
      <c r="A106" s="1"/>
      <c r="B106" s="1"/>
      <c r="C106" s="2" t="s">
        <v>143</v>
      </c>
      <c r="D106" s="1"/>
      <c r="E106" s="1"/>
      <c r="F106" s="12"/>
      <c r="G106" s="12"/>
      <c r="H106" s="49"/>
    </row>
    <row r="107" spans="1:8" ht="14.1" customHeight="1" x14ac:dyDescent="0.2">
      <c r="A107" s="1"/>
      <c r="B107" s="1"/>
      <c r="C107" s="2" t="s">
        <v>144</v>
      </c>
      <c r="D107" s="1"/>
      <c r="E107" s="1"/>
      <c r="F107" s="12"/>
      <c r="G107" s="12"/>
      <c r="H107" s="49"/>
    </row>
    <row r="108" spans="1:8" ht="14.1" customHeight="1" x14ac:dyDescent="0.2">
      <c r="A108" s="1"/>
      <c r="B108" s="1"/>
      <c r="C108" s="2" t="s">
        <v>130</v>
      </c>
      <c r="D108" s="1"/>
      <c r="E108" s="1" t="s">
        <v>131</v>
      </c>
      <c r="F108" s="13">
        <v>0</v>
      </c>
      <c r="G108" s="14">
        <v>0</v>
      </c>
      <c r="H108" s="49"/>
    </row>
    <row r="109" spans="1:8" ht="14.1" customHeight="1" x14ac:dyDescent="0.2">
      <c r="A109" s="1"/>
      <c r="B109" s="1"/>
      <c r="C109" s="11"/>
      <c r="D109" s="1"/>
      <c r="E109" s="1"/>
      <c r="F109" s="12"/>
      <c r="G109" s="12"/>
      <c r="H109" s="49"/>
    </row>
    <row r="110" spans="1:8" ht="14.1" customHeight="1" x14ac:dyDescent="0.2">
      <c r="A110" s="1"/>
      <c r="B110" s="1"/>
      <c r="C110" s="2" t="s">
        <v>145</v>
      </c>
      <c r="D110" s="1"/>
      <c r="E110" s="1"/>
      <c r="F110" s="12"/>
      <c r="G110" s="12"/>
      <c r="H110" s="49"/>
    </row>
    <row r="111" spans="1:8" ht="14.1" customHeight="1" x14ac:dyDescent="0.2">
      <c r="A111" s="1"/>
      <c r="B111" s="1"/>
      <c r="C111" s="2" t="s">
        <v>130</v>
      </c>
      <c r="D111" s="1"/>
      <c r="E111" s="1" t="s">
        <v>131</v>
      </c>
      <c r="F111" s="13">
        <v>0</v>
      </c>
      <c r="G111" s="14">
        <v>0</v>
      </c>
      <c r="H111" s="49"/>
    </row>
    <row r="112" spans="1:8" ht="14.1" customHeight="1" x14ac:dyDescent="0.2">
      <c r="A112" s="1"/>
      <c r="B112" s="1"/>
      <c r="C112" s="11"/>
      <c r="D112" s="1"/>
      <c r="E112" s="1"/>
      <c r="F112" s="12"/>
      <c r="G112" s="12"/>
      <c r="H112" s="49"/>
    </row>
    <row r="113" spans="1:8" ht="14.1" customHeight="1" x14ac:dyDescent="0.2">
      <c r="A113" s="1"/>
      <c r="B113" s="1"/>
      <c r="C113" s="2" t="s">
        <v>146</v>
      </c>
      <c r="D113" s="1"/>
      <c r="E113" s="1"/>
      <c r="F113" s="12"/>
      <c r="G113" s="12"/>
      <c r="H113" s="49"/>
    </row>
    <row r="114" spans="1:8" ht="14.1" customHeight="1" x14ac:dyDescent="0.2">
      <c r="A114" s="1"/>
      <c r="B114" s="1"/>
      <c r="C114" s="2" t="s">
        <v>130</v>
      </c>
      <c r="D114" s="1"/>
      <c r="E114" s="1" t="s">
        <v>131</v>
      </c>
      <c r="F114" s="13">
        <v>0</v>
      </c>
      <c r="G114" s="14">
        <v>0</v>
      </c>
      <c r="H114" s="49"/>
    </row>
    <row r="115" spans="1:8" ht="14.1" customHeight="1" x14ac:dyDescent="0.2">
      <c r="A115" s="1"/>
      <c r="B115" s="1"/>
      <c r="C115" s="11"/>
      <c r="D115" s="1"/>
      <c r="E115" s="1"/>
      <c r="F115" s="12"/>
      <c r="G115" s="12"/>
      <c r="H115" s="49"/>
    </row>
    <row r="116" spans="1:8" ht="14.1" customHeight="1" x14ac:dyDescent="0.2">
      <c r="A116" s="1"/>
      <c r="B116" s="1"/>
      <c r="C116" s="2" t="s">
        <v>147</v>
      </c>
      <c r="D116" s="1"/>
      <c r="E116" s="1"/>
      <c r="F116" s="12"/>
      <c r="G116" s="12"/>
      <c r="H116" s="49"/>
    </row>
    <row r="117" spans="1:8" ht="17.100000000000001" customHeight="1" x14ac:dyDescent="0.2">
      <c r="A117" s="3">
        <v>1</v>
      </c>
      <c r="B117" s="4"/>
      <c r="C117" s="4" t="s">
        <v>148</v>
      </c>
      <c r="D117" s="4"/>
      <c r="E117" s="8"/>
      <c r="F117" s="6">
        <v>2958.8318032000002</v>
      </c>
      <c r="G117" s="7">
        <v>0.136671828</v>
      </c>
      <c r="H117" s="49">
        <v>5.6572293145372496</v>
      </c>
    </row>
    <row r="118" spans="1:8" ht="14.1" customHeight="1" x14ac:dyDescent="0.2">
      <c r="A118" s="1"/>
      <c r="B118" s="1"/>
      <c r="C118" s="2" t="s">
        <v>130</v>
      </c>
      <c r="D118" s="1"/>
      <c r="E118" s="1" t="s">
        <v>131</v>
      </c>
      <c r="F118" s="9">
        <v>2958.8318032000002</v>
      </c>
      <c r="G118" s="10">
        <v>0.136671828</v>
      </c>
      <c r="H118" s="49"/>
    </row>
    <row r="119" spans="1:8" ht="14.1" customHeight="1" x14ac:dyDescent="0.2">
      <c r="A119" s="1"/>
      <c r="B119" s="1"/>
      <c r="C119" s="11"/>
      <c r="D119" s="1"/>
      <c r="E119" s="1"/>
      <c r="F119" s="12"/>
      <c r="G119" s="12"/>
      <c r="H119" s="49"/>
    </row>
    <row r="120" spans="1:8" ht="14.1" customHeight="1" x14ac:dyDescent="0.2">
      <c r="A120" s="1"/>
      <c r="B120" s="1"/>
      <c r="C120" s="2" t="s">
        <v>149</v>
      </c>
      <c r="D120" s="1"/>
      <c r="E120" s="1"/>
      <c r="F120" s="9">
        <v>2958.8318032000002</v>
      </c>
      <c r="G120" s="10">
        <v>0.136671828</v>
      </c>
      <c r="H120" s="49"/>
    </row>
    <row r="121" spans="1:8" ht="14.1" customHeight="1" x14ac:dyDescent="0.2">
      <c r="A121" s="1"/>
      <c r="B121" s="1"/>
      <c r="C121" s="12"/>
      <c r="D121" s="1"/>
      <c r="E121" s="1"/>
      <c r="F121" s="1"/>
      <c r="G121" s="1"/>
      <c r="H121" s="49"/>
    </row>
    <row r="122" spans="1:8" ht="14.1" customHeight="1" x14ac:dyDescent="0.2">
      <c r="A122" s="1"/>
      <c r="B122" s="1"/>
      <c r="C122" s="2" t="s">
        <v>150</v>
      </c>
      <c r="D122" s="1"/>
      <c r="E122" s="1"/>
      <c r="F122" s="1"/>
      <c r="G122" s="1"/>
      <c r="H122" s="49"/>
    </row>
    <row r="123" spans="1:8" ht="14.1" customHeight="1" x14ac:dyDescent="0.2">
      <c r="A123" s="1"/>
      <c r="B123" s="1"/>
      <c r="C123" s="2" t="s">
        <v>151</v>
      </c>
      <c r="D123" s="1"/>
      <c r="E123" s="1"/>
      <c r="F123" s="1"/>
      <c r="G123" s="1"/>
      <c r="H123" s="49"/>
    </row>
    <row r="124" spans="1:8" ht="14.1" customHeight="1" x14ac:dyDescent="0.2">
      <c r="A124" s="1"/>
      <c r="B124" s="1"/>
      <c r="C124" s="2" t="s">
        <v>130</v>
      </c>
      <c r="D124" s="1"/>
      <c r="E124" s="1" t="s">
        <v>131</v>
      </c>
      <c r="F124" s="13">
        <v>0</v>
      </c>
      <c r="G124" s="14">
        <v>0</v>
      </c>
      <c r="H124" s="49"/>
    </row>
    <row r="125" spans="1:8" ht="14.1" customHeight="1" x14ac:dyDescent="0.2">
      <c r="A125" s="1"/>
      <c r="B125" s="1"/>
      <c r="C125" s="11"/>
      <c r="D125" s="1"/>
      <c r="E125" s="1"/>
      <c r="F125" s="12"/>
      <c r="G125" s="12"/>
      <c r="H125" s="49"/>
    </row>
    <row r="126" spans="1:8" ht="14.1" customHeight="1" x14ac:dyDescent="0.2">
      <c r="A126" s="1"/>
      <c r="B126" s="1"/>
      <c r="C126" s="2" t="s">
        <v>152</v>
      </c>
      <c r="D126" s="1"/>
      <c r="E126" s="1"/>
      <c r="F126" s="1"/>
      <c r="G126" s="1"/>
      <c r="H126" s="49"/>
    </row>
    <row r="127" spans="1:8" ht="14.1" customHeight="1" x14ac:dyDescent="0.2">
      <c r="A127" s="1"/>
      <c r="B127" s="1"/>
      <c r="C127" s="2" t="s">
        <v>153</v>
      </c>
      <c r="D127" s="1"/>
      <c r="E127" s="1"/>
      <c r="F127" s="1"/>
      <c r="G127" s="1"/>
      <c r="H127" s="49"/>
    </row>
    <row r="128" spans="1:8" ht="14.1" customHeight="1" x14ac:dyDescent="0.2">
      <c r="A128" s="1"/>
      <c r="B128" s="1"/>
      <c r="C128" s="2" t="s">
        <v>130</v>
      </c>
      <c r="D128" s="1"/>
      <c r="E128" s="1" t="s">
        <v>131</v>
      </c>
      <c r="F128" s="13">
        <v>0</v>
      </c>
      <c r="G128" s="14">
        <v>0</v>
      </c>
      <c r="H128" s="49"/>
    </row>
    <row r="129" spans="1:8" ht="14.1" customHeight="1" x14ac:dyDescent="0.2">
      <c r="A129" s="1"/>
      <c r="B129" s="1"/>
      <c r="C129" s="11"/>
      <c r="D129" s="1"/>
      <c r="E129" s="1"/>
      <c r="F129" s="12"/>
      <c r="G129" s="12"/>
      <c r="H129" s="49"/>
    </row>
    <row r="130" spans="1:8" ht="14.1" customHeight="1" x14ac:dyDescent="0.2">
      <c r="A130" s="1"/>
      <c r="B130" s="1"/>
      <c r="C130" s="11"/>
      <c r="D130" s="1"/>
      <c r="E130" s="1"/>
      <c r="F130" s="12"/>
      <c r="G130" s="12"/>
      <c r="H130" s="49"/>
    </row>
    <row r="131" spans="1:8" ht="24" customHeight="1" x14ac:dyDescent="0.2">
      <c r="A131" s="1"/>
      <c r="B131" s="1"/>
      <c r="C131" s="2" t="s">
        <v>154</v>
      </c>
      <c r="D131" s="1"/>
      <c r="E131" s="1"/>
      <c r="F131" s="12"/>
      <c r="G131" s="12"/>
      <c r="H131" s="49"/>
    </row>
    <row r="132" spans="1:8" ht="14.1" customHeight="1" x14ac:dyDescent="0.2">
      <c r="A132" s="1"/>
      <c r="B132" s="1"/>
      <c r="C132" s="2" t="s">
        <v>130</v>
      </c>
      <c r="D132" s="1"/>
      <c r="E132" s="1" t="s">
        <v>131</v>
      </c>
      <c r="F132" s="13">
        <v>0</v>
      </c>
      <c r="G132" s="14">
        <v>0</v>
      </c>
      <c r="H132" s="49"/>
    </row>
    <row r="133" spans="1:8" ht="14.1" customHeight="1" x14ac:dyDescent="0.2">
      <c r="A133" s="1"/>
      <c r="B133" s="1"/>
      <c r="C133" s="11"/>
      <c r="D133" s="1"/>
      <c r="E133" s="1"/>
      <c r="F133" s="12"/>
      <c r="G133" s="12"/>
      <c r="H133" s="49"/>
    </row>
    <row r="134" spans="1:8" ht="14.1" customHeight="1" x14ac:dyDescent="0.2">
      <c r="A134" s="1"/>
      <c r="B134" s="4"/>
      <c r="C134" s="4"/>
      <c r="D134" s="2"/>
      <c r="E134" s="1"/>
      <c r="F134" s="4"/>
      <c r="G134" s="8"/>
      <c r="H134" s="49"/>
    </row>
    <row r="135" spans="1:8" ht="18" customHeight="1" x14ac:dyDescent="0.2">
      <c r="A135" s="8"/>
      <c r="B135" s="4"/>
      <c r="C135" s="4" t="s">
        <v>155</v>
      </c>
      <c r="D135" s="4"/>
      <c r="E135" s="8"/>
      <c r="F135" s="6">
        <v>152.15232431999999</v>
      </c>
      <c r="G135" s="7">
        <v>7.0280899999999999E-3</v>
      </c>
      <c r="H135" s="49"/>
    </row>
    <row r="136" spans="1:8" ht="14.1" customHeight="1" x14ac:dyDescent="0.2">
      <c r="A136" s="11"/>
      <c r="B136" s="11"/>
      <c r="C136" s="2" t="s">
        <v>156</v>
      </c>
      <c r="D136" s="15"/>
      <c r="E136" s="15"/>
      <c r="F136" s="9">
        <v>21649.17124702</v>
      </c>
      <c r="G136" s="10">
        <v>1.0000000010000001</v>
      </c>
      <c r="H136" s="49"/>
    </row>
    <row r="137" spans="1:8" ht="14.1" customHeight="1" x14ac:dyDescent="0.2">
      <c r="A137" s="16"/>
      <c r="B137" s="16"/>
      <c r="C137" s="16"/>
      <c r="D137" s="17"/>
      <c r="E137" s="17"/>
      <c r="F137" s="17"/>
      <c r="G137" s="17"/>
    </row>
    <row r="138" spans="1:8" ht="14.1" customHeight="1" x14ac:dyDescent="0.2">
      <c r="A138" s="18"/>
      <c r="B138" s="18"/>
      <c r="C138" s="18"/>
      <c r="D138" s="20"/>
      <c r="E138" s="20"/>
      <c r="F138" s="20"/>
      <c r="G138" s="20"/>
    </row>
    <row r="139" spans="1:8" ht="14.1" customHeight="1" x14ac:dyDescent="0.2">
      <c r="A139" s="18"/>
      <c r="B139" s="319" t="s">
        <v>158</v>
      </c>
      <c r="C139" s="320"/>
      <c r="D139" s="12" t="s">
        <v>131</v>
      </c>
      <c r="E139" s="21"/>
      <c r="F139" s="20"/>
      <c r="G139" s="20"/>
    </row>
    <row r="140" spans="1:8" ht="29.1" customHeight="1" x14ac:dyDescent="0.2">
      <c r="A140" s="18"/>
      <c r="B140" s="323" t="s">
        <v>159</v>
      </c>
      <c r="C140" s="324"/>
      <c r="D140" s="2" t="s">
        <v>160</v>
      </c>
      <c r="E140" s="21"/>
      <c r="F140" s="20"/>
      <c r="G140" s="20"/>
    </row>
    <row r="141" spans="1:8" ht="17.100000000000001" customHeight="1" x14ac:dyDescent="0.2">
      <c r="A141" s="18"/>
      <c r="B141" s="323" t="s">
        <v>161</v>
      </c>
      <c r="C141" s="324"/>
      <c r="D141" s="2" t="s">
        <v>160</v>
      </c>
      <c r="E141" s="21"/>
      <c r="F141" s="20"/>
      <c r="G141" s="20"/>
    </row>
    <row r="142" spans="1:8" ht="17.100000000000001" customHeight="1" x14ac:dyDescent="0.2">
      <c r="A142" s="18"/>
      <c r="B142" s="323" t="s">
        <v>162</v>
      </c>
      <c r="C142" s="324"/>
      <c r="D142" s="12" t="s">
        <v>131</v>
      </c>
      <c r="E142" s="21"/>
      <c r="F142" s="20"/>
      <c r="G142" s="20"/>
    </row>
    <row r="143" spans="1:8" ht="24" customHeight="1" x14ac:dyDescent="0.2">
      <c r="A143" s="22"/>
      <c r="B143" s="23" t="s">
        <v>131</v>
      </c>
      <c r="C143" s="23" t="s">
        <v>163</v>
      </c>
      <c r="D143" s="23" t="s">
        <v>164</v>
      </c>
      <c r="E143" s="22"/>
      <c r="F143" s="22"/>
      <c r="G143" s="22"/>
    </row>
    <row r="144" spans="1:8" ht="18" customHeight="1" x14ac:dyDescent="0.2">
      <c r="A144" s="22"/>
      <c r="B144" s="23" t="s">
        <v>165</v>
      </c>
      <c r="C144" s="23" t="s">
        <v>166</v>
      </c>
      <c r="D144" s="23" t="s">
        <v>167</v>
      </c>
      <c r="E144" s="22"/>
      <c r="F144" s="22"/>
      <c r="G144" s="22"/>
    </row>
    <row r="145" spans="1:7" ht="17.100000000000001" customHeight="1" x14ac:dyDescent="0.2">
      <c r="A145" s="22"/>
      <c r="B145" s="4" t="s">
        <v>168</v>
      </c>
      <c r="C145" s="24">
        <v>20.4377</v>
      </c>
      <c r="D145" s="24">
        <v>20.625599999999999</v>
      </c>
      <c r="E145" s="22"/>
      <c r="F145" s="19"/>
      <c r="G145" s="25"/>
    </row>
    <row r="146" spans="1:7" ht="17.100000000000001" customHeight="1" x14ac:dyDescent="0.2">
      <c r="A146" s="22"/>
      <c r="B146" s="4" t="s">
        <v>1021</v>
      </c>
      <c r="C146" s="24">
        <v>19.708500000000001</v>
      </c>
      <c r="D146" s="24">
        <v>19.889600000000002</v>
      </c>
      <c r="E146" s="22"/>
      <c r="F146" s="19"/>
      <c r="G146" s="25"/>
    </row>
    <row r="147" spans="1:7" ht="17.100000000000001" customHeight="1" x14ac:dyDescent="0.2">
      <c r="A147" s="22"/>
      <c r="B147" s="4" t="s">
        <v>169</v>
      </c>
      <c r="C147" s="24">
        <v>19.743500000000001</v>
      </c>
      <c r="D147" s="24">
        <v>19.915199999999999</v>
      </c>
      <c r="E147" s="22"/>
      <c r="F147" s="19"/>
      <c r="G147" s="25"/>
    </row>
    <row r="148" spans="1:7" ht="17.100000000000001" customHeight="1" x14ac:dyDescent="0.2">
      <c r="A148" s="22"/>
      <c r="B148" s="4" t="s">
        <v>1022</v>
      </c>
      <c r="C148" s="24">
        <v>19.020700000000001</v>
      </c>
      <c r="D148" s="24">
        <v>19.1861</v>
      </c>
      <c r="E148" s="22"/>
      <c r="F148" s="19"/>
      <c r="G148" s="25"/>
    </row>
    <row r="149" spans="1:7" ht="14.1" customHeight="1" x14ac:dyDescent="0.2">
      <c r="A149" s="22"/>
      <c r="B149" s="22"/>
      <c r="C149" s="22"/>
      <c r="D149" s="22"/>
      <c r="E149" s="22"/>
      <c r="F149" s="22"/>
      <c r="G149" s="22"/>
    </row>
    <row r="150" spans="1:7" ht="17.100000000000001" customHeight="1" x14ac:dyDescent="0.2">
      <c r="A150" s="22"/>
      <c r="B150" s="323" t="s">
        <v>1023</v>
      </c>
      <c r="C150" s="324"/>
      <c r="D150" s="57" t="s">
        <v>160</v>
      </c>
      <c r="E150" s="22"/>
      <c r="F150" s="22"/>
      <c r="G150" s="22"/>
    </row>
    <row r="151" spans="1:7" ht="18" customHeight="1" x14ac:dyDescent="0.2">
      <c r="A151" s="22"/>
      <c r="B151" s="28"/>
      <c r="C151" s="28"/>
      <c r="D151" s="26"/>
      <c r="E151" s="22"/>
      <c r="F151" s="22"/>
      <c r="G151" s="22"/>
    </row>
    <row r="152" spans="1:7" ht="29.1" customHeight="1" x14ac:dyDescent="0.2">
      <c r="A152" s="22"/>
      <c r="B152" s="323" t="s">
        <v>170</v>
      </c>
      <c r="C152" s="324"/>
      <c r="D152" s="2" t="s">
        <v>160</v>
      </c>
      <c r="E152" s="22"/>
      <c r="F152" s="22"/>
      <c r="G152" s="22"/>
    </row>
    <row r="153" spans="1:7" ht="29.1" customHeight="1" x14ac:dyDescent="0.2">
      <c r="A153" s="22"/>
      <c r="B153" s="323" t="s">
        <v>171</v>
      </c>
      <c r="C153" s="324"/>
      <c r="D153" s="2" t="s">
        <v>160</v>
      </c>
      <c r="E153" s="22"/>
      <c r="F153" s="22"/>
      <c r="G153" s="22"/>
    </row>
    <row r="154" spans="1:7" ht="17.100000000000001" customHeight="1" x14ac:dyDescent="0.2">
      <c r="A154" s="22"/>
      <c r="B154" s="323" t="s">
        <v>172</v>
      </c>
      <c r="C154" s="324"/>
      <c r="D154" s="27">
        <v>0.2371718676009073</v>
      </c>
      <c r="E154" s="22"/>
      <c r="F154" s="19"/>
      <c r="G154" s="25"/>
    </row>
    <row r="155" spans="1:7" ht="17.100000000000001" customHeight="1" x14ac:dyDescent="0.2">
      <c r="A155" s="22"/>
      <c r="B155" s="323" t="s">
        <v>173</v>
      </c>
      <c r="C155" s="324"/>
      <c r="D155" s="2" t="s">
        <v>160</v>
      </c>
      <c r="E155" s="22"/>
      <c r="F155" s="22"/>
      <c r="G155" s="22"/>
    </row>
    <row r="164" spans="10:15" x14ac:dyDescent="0.2">
      <c r="J164" s="218"/>
      <c r="K164" s="218"/>
      <c r="L164" s="218"/>
      <c r="M164" s="218"/>
      <c r="N164" s="218"/>
      <c r="O164" s="218"/>
    </row>
  </sheetData>
  <mergeCells count="13">
    <mergeCell ref="J2:N2"/>
    <mergeCell ref="B155:C155"/>
    <mergeCell ref="B140:C140"/>
    <mergeCell ref="B141:C141"/>
    <mergeCell ref="B142:C142"/>
    <mergeCell ref="B150:C150"/>
    <mergeCell ref="B152:C152"/>
    <mergeCell ref="B153:C153"/>
    <mergeCell ref="A1:H1"/>
    <mergeCell ref="A2:H2"/>
    <mergeCell ref="A3:H3"/>
    <mergeCell ref="B139:C139"/>
    <mergeCell ref="B154:C154"/>
  </mergeCells>
  <hyperlinks>
    <hyperlink ref="I1" location="Index!B10" display="Index" xr:uid="{44B60CA9-3B41-4996-B36D-920E9B84346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463</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398</v>
      </c>
      <c r="C7" s="4" t="s">
        <v>399</v>
      </c>
      <c r="D7" s="4" t="s">
        <v>108</v>
      </c>
      <c r="E7" s="5">
        <v>17407</v>
      </c>
      <c r="F7" s="6">
        <v>284.08224000000001</v>
      </c>
      <c r="G7" s="7">
        <v>3.4489222999999999E-2</v>
      </c>
      <c r="H7" s="49"/>
    </row>
    <row r="8" spans="1:15" ht="17.100000000000001" customHeight="1" x14ac:dyDescent="0.2">
      <c r="A8" s="3">
        <v>2</v>
      </c>
      <c r="B8" s="4" t="s">
        <v>106</v>
      </c>
      <c r="C8" s="4" t="s">
        <v>107</v>
      </c>
      <c r="D8" s="4" t="s">
        <v>108</v>
      </c>
      <c r="E8" s="5">
        <v>65263</v>
      </c>
      <c r="F8" s="6">
        <v>252.33938950000001</v>
      </c>
      <c r="G8" s="7">
        <v>3.0635458000000001E-2</v>
      </c>
      <c r="H8" s="49"/>
    </row>
    <row r="9" spans="1:15" ht="17.100000000000001" customHeight="1" x14ac:dyDescent="0.2">
      <c r="A9" s="3">
        <v>3</v>
      </c>
      <c r="B9" s="4" t="s">
        <v>83</v>
      </c>
      <c r="C9" s="4" t="s">
        <v>84</v>
      </c>
      <c r="D9" s="4" t="s">
        <v>31</v>
      </c>
      <c r="E9" s="5">
        <v>16493</v>
      </c>
      <c r="F9" s="6">
        <v>251.89758900000001</v>
      </c>
      <c r="G9" s="7">
        <v>3.0581820999999999E-2</v>
      </c>
      <c r="H9" s="49"/>
    </row>
    <row r="10" spans="1:15" ht="17.100000000000001" customHeight="1" x14ac:dyDescent="0.2">
      <c r="A10" s="3">
        <v>4</v>
      </c>
      <c r="B10" s="4" t="s">
        <v>389</v>
      </c>
      <c r="C10" s="4" t="s">
        <v>390</v>
      </c>
      <c r="D10" s="4" t="s">
        <v>103</v>
      </c>
      <c r="E10" s="5">
        <v>210200</v>
      </c>
      <c r="F10" s="6">
        <v>250.97880000000001</v>
      </c>
      <c r="G10" s="7">
        <v>3.0470273999999999E-2</v>
      </c>
      <c r="H10" s="49"/>
    </row>
    <row r="11" spans="1:15" ht="17.100000000000001" customHeight="1" x14ac:dyDescent="0.2">
      <c r="A11" s="3">
        <v>5</v>
      </c>
      <c r="B11" s="4" t="s">
        <v>29</v>
      </c>
      <c r="C11" s="4" t="s">
        <v>30</v>
      </c>
      <c r="D11" s="4" t="s">
        <v>31</v>
      </c>
      <c r="E11" s="5">
        <v>12093</v>
      </c>
      <c r="F11" s="6">
        <v>244.798599</v>
      </c>
      <c r="G11" s="7">
        <v>2.9719961999999999E-2</v>
      </c>
      <c r="H11" s="49"/>
    </row>
    <row r="12" spans="1:15" ht="17.100000000000001" customHeight="1" x14ac:dyDescent="0.2">
      <c r="A12" s="3">
        <v>6</v>
      </c>
      <c r="B12" s="4" t="s">
        <v>417</v>
      </c>
      <c r="C12" s="4" t="s">
        <v>418</v>
      </c>
      <c r="D12" s="4" t="s">
        <v>974</v>
      </c>
      <c r="E12" s="5">
        <v>31217</v>
      </c>
      <c r="F12" s="6">
        <v>223.15472449999999</v>
      </c>
      <c r="G12" s="7">
        <v>2.7092271000000001E-2</v>
      </c>
      <c r="H12" s="49"/>
    </row>
    <row r="13" spans="1:15" ht="29.1" customHeight="1" x14ac:dyDescent="0.2">
      <c r="A13" s="3">
        <v>7</v>
      </c>
      <c r="B13" s="4" t="s">
        <v>189</v>
      </c>
      <c r="C13" s="4" t="s">
        <v>190</v>
      </c>
      <c r="D13" s="4" t="s">
        <v>108</v>
      </c>
      <c r="E13" s="5">
        <v>61313</v>
      </c>
      <c r="F13" s="6">
        <v>222.4742205</v>
      </c>
      <c r="G13" s="7">
        <v>2.7009654000000001E-2</v>
      </c>
      <c r="H13" s="49"/>
      <c r="J13" s="217" t="s">
        <v>1078</v>
      </c>
    </row>
    <row r="14" spans="1:15" ht="17.100000000000001" customHeight="1" x14ac:dyDescent="0.2">
      <c r="A14" s="3">
        <v>8</v>
      </c>
      <c r="B14" s="4" t="s">
        <v>34</v>
      </c>
      <c r="C14" s="4" t="s">
        <v>35</v>
      </c>
      <c r="D14" s="4" t="s">
        <v>31</v>
      </c>
      <c r="E14" s="5">
        <v>10555</v>
      </c>
      <c r="F14" s="6">
        <v>202.59267</v>
      </c>
      <c r="G14" s="7">
        <v>2.4595919000000001E-2</v>
      </c>
      <c r="H14" s="49"/>
    </row>
    <row r="15" spans="1:15" ht="29.1" customHeight="1" x14ac:dyDescent="0.2">
      <c r="A15" s="3">
        <v>9</v>
      </c>
      <c r="B15" s="4" t="s">
        <v>197</v>
      </c>
      <c r="C15" s="4" t="s">
        <v>198</v>
      </c>
      <c r="D15" s="4" t="s">
        <v>193</v>
      </c>
      <c r="E15" s="5">
        <v>4390</v>
      </c>
      <c r="F15" s="6">
        <v>190.633555</v>
      </c>
      <c r="G15" s="7">
        <v>2.3144014000000001E-2</v>
      </c>
      <c r="H15" s="49"/>
    </row>
    <row r="16" spans="1:15" ht="17.100000000000001" customHeight="1" x14ac:dyDescent="0.2">
      <c r="A16" s="3">
        <v>10</v>
      </c>
      <c r="B16" s="4" t="s">
        <v>300</v>
      </c>
      <c r="C16" s="4" t="s">
        <v>301</v>
      </c>
      <c r="D16" s="4" t="s">
        <v>230</v>
      </c>
      <c r="E16" s="5">
        <v>34698</v>
      </c>
      <c r="F16" s="6">
        <v>187.19570999999999</v>
      </c>
      <c r="G16" s="7">
        <v>2.2726639E-2</v>
      </c>
      <c r="H16" s="49"/>
    </row>
    <row r="17" spans="1:8" ht="17.100000000000001" customHeight="1" x14ac:dyDescent="0.2">
      <c r="A17" s="3">
        <v>11</v>
      </c>
      <c r="B17" s="4" t="s">
        <v>400</v>
      </c>
      <c r="C17" s="4" t="s">
        <v>401</v>
      </c>
      <c r="D17" s="4" t="s">
        <v>1042</v>
      </c>
      <c r="E17" s="5">
        <v>13510</v>
      </c>
      <c r="F17" s="6">
        <v>169.42891</v>
      </c>
      <c r="G17" s="7">
        <v>2.0569647E-2</v>
      </c>
      <c r="H17" s="49"/>
    </row>
    <row r="18" spans="1:8" ht="17.100000000000001" customHeight="1" x14ac:dyDescent="0.2">
      <c r="A18" s="3">
        <v>12</v>
      </c>
      <c r="B18" s="4" t="s">
        <v>447</v>
      </c>
      <c r="C18" s="4" t="s">
        <v>448</v>
      </c>
      <c r="D18" s="4" t="s">
        <v>100</v>
      </c>
      <c r="E18" s="5">
        <v>11320</v>
      </c>
      <c r="F18" s="6">
        <v>165.09654</v>
      </c>
      <c r="G18" s="7">
        <v>2.0043673000000001E-2</v>
      </c>
      <c r="H18" s="49"/>
    </row>
    <row r="19" spans="1:8" ht="17.100000000000001" customHeight="1" x14ac:dyDescent="0.2">
      <c r="A19" s="3">
        <v>13</v>
      </c>
      <c r="B19" s="4" t="s">
        <v>318</v>
      </c>
      <c r="C19" s="4" t="s">
        <v>319</v>
      </c>
      <c r="D19" s="4" t="s">
        <v>233</v>
      </c>
      <c r="E19" s="5">
        <v>12162</v>
      </c>
      <c r="F19" s="6">
        <v>164.18700000000001</v>
      </c>
      <c r="G19" s="7">
        <v>1.9933249E-2</v>
      </c>
      <c r="H19" s="49"/>
    </row>
    <row r="20" spans="1:8" ht="17.100000000000001" customHeight="1" x14ac:dyDescent="0.2">
      <c r="A20" s="3">
        <v>14</v>
      </c>
      <c r="B20" s="4" t="s">
        <v>315</v>
      </c>
      <c r="C20" s="4" t="s">
        <v>316</v>
      </c>
      <c r="D20" s="4" t="s">
        <v>317</v>
      </c>
      <c r="E20" s="5">
        <v>10225</v>
      </c>
      <c r="F20" s="6">
        <v>163.30858749999999</v>
      </c>
      <c r="G20" s="7">
        <v>1.9826605000000001E-2</v>
      </c>
      <c r="H20" s="49"/>
    </row>
    <row r="21" spans="1:8" ht="17.100000000000001" customHeight="1" x14ac:dyDescent="0.2">
      <c r="A21" s="3">
        <v>15</v>
      </c>
      <c r="B21" s="4" t="s">
        <v>285</v>
      </c>
      <c r="C21" s="4" t="s">
        <v>286</v>
      </c>
      <c r="D21" s="4" t="s">
        <v>22</v>
      </c>
      <c r="E21" s="5">
        <v>66963</v>
      </c>
      <c r="F21" s="6">
        <v>160.10853299999999</v>
      </c>
      <c r="G21" s="7">
        <v>1.94381E-2</v>
      </c>
      <c r="H21" s="49"/>
    </row>
    <row r="22" spans="1:8" ht="17.100000000000001" customHeight="1" x14ac:dyDescent="0.2">
      <c r="A22" s="3">
        <v>16</v>
      </c>
      <c r="B22" s="4" t="s">
        <v>396</v>
      </c>
      <c r="C22" s="4" t="s">
        <v>397</v>
      </c>
      <c r="D22" s="4" t="s">
        <v>31</v>
      </c>
      <c r="E22" s="5">
        <v>19221</v>
      </c>
      <c r="F22" s="6">
        <v>160.03404599999999</v>
      </c>
      <c r="G22" s="7">
        <v>1.9429057E-2</v>
      </c>
      <c r="H22" s="49"/>
    </row>
    <row r="23" spans="1:8" ht="17.100000000000001" customHeight="1" x14ac:dyDescent="0.2">
      <c r="A23" s="3">
        <v>17</v>
      </c>
      <c r="B23" s="4" t="s">
        <v>203</v>
      </c>
      <c r="C23" s="4" t="s">
        <v>204</v>
      </c>
      <c r="D23" s="4" t="s">
        <v>974</v>
      </c>
      <c r="E23" s="5">
        <v>3812</v>
      </c>
      <c r="F23" s="6">
        <v>158.37716399999999</v>
      </c>
      <c r="G23" s="7">
        <v>1.9227902000000002E-2</v>
      </c>
      <c r="H23" s="49"/>
    </row>
    <row r="24" spans="1:8" ht="17.100000000000001" customHeight="1" x14ac:dyDescent="0.2">
      <c r="A24" s="3">
        <v>18</v>
      </c>
      <c r="B24" s="4" t="s">
        <v>370</v>
      </c>
      <c r="C24" s="4" t="s">
        <v>371</v>
      </c>
      <c r="D24" s="4" t="s">
        <v>108</v>
      </c>
      <c r="E24" s="5">
        <v>27636</v>
      </c>
      <c r="F24" s="6">
        <v>149.89766399999999</v>
      </c>
      <c r="G24" s="7">
        <v>1.8198440999999999E-2</v>
      </c>
      <c r="H24" s="49"/>
    </row>
    <row r="25" spans="1:8" ht="17.100000000000001" customHeight="1" x14ac:dyDescent="0.2">
      <c r="A25" s="3">
        <v>19</v>
      </c>
      <c r="B25" s="4" t="s">
        <v>419</v>
      </c>
      <c r="C25" s="4" t="s">
        <v>420</v>
      </c>
      <c r="D25" s="4" t="s">
        <v>227</v>
      </c>
      <c r="E25" s="5">
        <v>46520</v>
      </c>
      <c r="F25" s="6">
        <v>137.62942000000001</v>
      </c>
      <c r="G25" s="7">
        <v>1.6709005999999998E-2</v>
      </c>
      <c r="H25" s="49"/>
    </row>
    <row r="26" spans="1:8" ht="17.100000000000001" customHeight="1" x14ac:dyDescent="0.2">
      <c r="A26" s="3">
        <v>20</v>
      </c>
      <c r="B26" s="4" t="s">
        <v>372</v>
      </c>
      <c r="C26" s="4" t="s">
        <v>373</v>
      </c>
      <c r="D26" s="4" t="s">
        <v>103</v>
      </c>
      <c r="E26" s="5">
        <v>23973</v>
      </c>
      <c r="F26" s="6">
        <v>132.58267649999999</v>
      </c>
      <c r="G26" s="7">
        <v>1.6096302E-2</v>
      </c>
      <c r="H26" s="49"/>
    </row>
    <row r="27" spans="1:8" ht="17.100000000000001" customHeight="1" x14ac:dyDescent="0.2">
      <c r="A27" s="3">
        <v>21</v>
      </c>
      <c r="B27" s="4" t="s">
        <v>404</v>
      </c>
      <c r="C27" s="4" t="s">
        <v>405</v>
      </c>
      <c r="D27" s="4" t="s">
        <v>317</v>
      </c>
      <c r="E27" s="5">
        <v>8355</v>
      </c>
      <c r="F27" s="6">
        <v>130.53434250000001</v>
      </c>
      <c r="G27" s="7">
        <v>1.5847621999999999E-2</v>
      </c>
      <c r="H27" s="49"/>
    </row>
    <row r="28" spans="1:8" ht="17.100000000000001" customHeight="1" x14ac:dyDescent="0.2">
      <c r="A28" s="3">
        <v>22</v>
      </c>
      <c r="B28" s="4" t="s">
        <v>423</v>
      </c>
      <c r="C28" s="4" t="s">
        <v>424</v>
      </c>
      <c r="D28" s="4" t="s">
        <v>233</v>
      </c>
      <c r="E28" s="5">
        <v>17350</v>
      </c>
      <c r="F28" s="6">
        <v>125.77015</v>
      </c>
      <c r="G28" s="7">
        <v>1.5269222000000001E-2</v>
      </c>
      <c r="H28" s="49"/>
    </row>
    <row r="29" spans="1:8" ht="29.1" customHeight="1" x14ac:dyDescent="0.2">
      <c r="A29" s="3">
        <v>23</v>
      </c>
      <c r="B29" s="4" t="s">
        <v>61</v>
      </c>
      <c r="C29" s="4" t="s">
        <v>62</v>
      </c>
      <c r="D29" s="4" t="s">
        <v>25</v>
      </c>
      <c r="E29" s="5">
        <v>4064</v>
      </c>
      <c r="F29" s="6">
        <v>125.159008</v>
      </c>
      <c r="G29" s="7">
        <v>1.5195026E-2</v>
      </c>
      <c r="H29" s="49"/>
    </row>
    <row r="30" spans="1:8" ht="29.1" customHeight="1" x14ac:dyDescent="0.2">
      <c r="A30" s="3">
        <v>24</v>
      </c>
      <c r="B30" s="4" t="s">
        <v>425</v>
      </c>
      <c r="C30" s="4" t="s">
        <v>426</v>
      </c>
      <c r="D30" s="4" t="s">
        <v>48</v>
      </c>
      <c r="E30" s="5">
        <v>4415</v>
      </c>
      <c r="F30" s="6">
        <v>121.169675</v>
      </c>
      <c r="G30" s="7">
        <v>1.4710697999999999E-2</v>
      </c>
      <c r="H30" s="49"/>
    </row>
    <row r="31" spans="1:8" ht="17.100000000000001" customHeight="1" x14ac:dyDescent="0.2">
      <c r="A31" s="3">
        <v>25</v>
      </c>
      <c r="B31" s="4" t="s">
        <v>223</v>
      </c>
      <c r="C31" s="4" t="s">
        <v>224</v>
      </c>
      <c r="D31" s="4" t="s">
        <v>89</v>
      </c>
      <c r="E31" s="5">
        <v>2040</v>
      </c>
      <c r="F31" s="6">
        <v>110.95968000000001</v>
      </c>
      <c r="G31" s="7">
        <v>1.3471145E-2</v>
      </c>
      <c r="H31" s="49"/>
    </row>
    <row r="32" spans="1:8" ht="29.1" customHeight="1" x14ac:dyDescent="0.2">
      <c r="A32" s="3">
        <v>26</v>
      </c>
      <c r="B32" s="4" t="s">
        <v>213</v>
      </c>
      <c r="C32" s="4" t="s">
        <v>214</v>
      </c>
      <c r="D32" s="4" t="s">
        <v>215</v>
      </c>
      <c r="E32" s="5">
        <v>26473</v>
      </c>
      <c r="F32" s="6">
        <v>110.5115385</v>
      </c>
      <c r="G32" s="7">
        <v>1.3416737999999999E-2</v>
      </c>
      <c r="H32" s="49"/>
    </row>
    <row r="33" spans="1:8" ht="29.1" customHeight="1" x14ac:dyDescent="0.2">
      <c r="A33" s="3">
        <v>27</v>
      </c>
      <c r="B33" s="4" t="s">
        <v>421</v>
      </c>
      <c r="C33" s="4" t="s">
        <v>422</v>
      </c>
      <c r="D33" s="4" t="s">
        <v>215</v>
      </c>
      <c r="E33" s="5">
        <v>25867</v>
      </c>
      <c r="F33" s="6">
        <v>102.8601255</v>
      </c>
      <c r="G33" s="7">
        <v>1.2487813E-2</v>
      </c>
      <c r="H33" s="49"/>
    </row>
    <row r="34" spans="1:8" ht="29.1" customHeight="1" x14ac:dyDescent="0.2">
      <c r="A34" s="3">
        <v>28</v>
      </c>
      <c r="B34" s="4" t="s">
        <v>385</v>
      </c>
      <c r="C34" s="4" t="s">
        <v>386</v>
      </c>
      <c r="D34" s="4" t="s">
        <v>69</v>
      </c>
      <c r="E34" s="5">
        <v>6442</v>
      </c>
      <c r="F34" s="6">
        <v>102.21199300000001</v>
      </c>
      <c r="G34" s="7">
        <v>1.2409125999999999E-2</v>
      </c>
      <c r="H34" s="49"/>
    </row>
    <row r="35" spans="1:8" ht="17.100000000000001" customHeight="1" x14ac:dyDescent="0.2">
      <c r="A35" s="3">
        <v>29</v>
      </c>
      <c r="B35" s="4" t="s">
        <v>432</v>
      </c>
      <c r="C35" s="4" t="s">
        <v>433</v>
      </c>
      <c r="D35" s="4" t="s">
        <v>103</v>
      </c>
      <c r="E35" s="5">
        <v>121452</v>
      </c>
      <c r="F35" s="6">
        <v>99.529914000000005</v>
      </c>
      <c r="G35" s="7">
        <v>1.2083506000000001E-2</v>
      </c>
      <c r="H35" s="49"/>
    </row>
    <row r="36" spans="1:8" ht="53.1" customHeight="1" x14ac:dyDescent="0.2">
      <c r="A36" s="3">
        <v>30</v>
      </c>
      <c r="B36" s="4" t="s">
        <v>336</v>
      </c>
      <c r="C36" s="4" t="s">
        <v>1043</v>
      </c>
      <c r="D36" s="4" t="s">
        <v>51</v>
      </c>
      <c r="E36" s="5">
        <v>28232</v>
      </c>
      <c r="F36" s="6">
        <v>95.762944000000005</v>
      </c>
      <c r="G36" s="7">
        <v>1.1626174E-2</v>
      </c>
      <c r="H36" s="49"/>
    </row>
    <row r="37" spans="1:8" ht="17.100000000000001" customHeight="1" x14ac:dyDescent="0.2">
      <c r="A37" s="3">
        <v>31</v>
      </c>
      <c r="B37" s="4" t="s">
        <v>449</v>
      </c>
      <c r="C37" s="4" t="s">
        <v>450</v>
      </c>
      <c r="D37" s="4" t="s">
        <v>1042</v>
      </c>
      <c r="E37" s="5">
        <v>11291</v>
      </c>
      <c r="F37" s="6">
        <v>94.539542999999995</v>
      </c>
      <c r="G37" s="7">
        <v>1.1477645999999999E-2</v>
      </c>
      <c r="H37" s="49"/>
    </row>
    <row r="38" spans="1:8" ht="17.100000000000001" customHeight="1" x14ac:dyDescent="0.2">
      <c r="A38" s="3">
        <v>32</v>
      </c>
      <c r="B38" s="4" t="s">
        <v>39</v>
      </c>
      <c r="C38" s="4" t="s">
        <v>40</v>
      </c>
      <c r="D38" s="4" t="s">
        <v>16</v>
      </c>
      <c r="E38" s="5">
        <v>15608</v>
      </c>
      <c r="F38" s="6">
        <v>94.030395999999996</v>
      </c>
      <c r="G38" s="7">
        <v>1.1415833E-2</v>
      </c>
      <c r="H38" s="49"/>
    </row>
    <row r="39" spans="1:8" ht="17.100000000000001" customHeight="1" x14ac:dyDescent="0.2">
      <c r="A39" s="3">
        <v>33</v>
      </c>
      <c r="B39" s="4" t="s">
        <v>374</v>
      </c>
      <c r="C39" s="4" t="s">
        <v>375</v>
      </c>
      <c r="D39" s="4" t="s">
        <v>103</v>
      </c>
      <c r="E39" s="5">
        <v>12330</v>
      </c>
      <c r="F39" s="6">
        <v>90.465209999999999</v>
      </c>
      <c r="G39" s="7">
        <v>1.0982998000000001E-2</v>
      </c>
      <c r="H39" s="49"/>
    </row>
    <row r="40" spans="1:8" ht="29.1" customHeight="1" x14ac:dyDescent="0.2">
      <c r="A40" s="3">
        <v>34</v>
      </c>
      <c r="B40" s="4" t="s">
        <v>451</v>
      </c>
      <c r="C40" s="4" t="s">
        <v>452</v>
      </c>
      <c r="D40" s="4" t="s">
        <v>364</v>
      </c>
      <c r="E40" s="5">
        <v>16397</v>
      </c>
      <c r="F40" s="6">
        <v>89.544016999999997</v>
      </c>
      <c r="G40" s="7">
        <v>1.087116E-2</v>
      </c>
      <c r="H40" s="49"/>
    </row>
    <row r="41" spans="1:8" ht="17.100000000000001" customHeight="1" x14ac:dyDescent="0.2">
      <c r="A41" s="3">
        <v>35</v>
      </c>
      <c r="B41" s="4" t="s">
        <v>453</v>
      </c>
      <c r="C41" s="4" t="s">
        <v>454</v>
      </c>
      <c r="D41" s="4" t="s">
        <v>38</v>
      </c>
      <c r="E41" s="5">
        <v>31981</v>
      </c>
      <c r="F41" s="6">
        <v>89.418875999999997</v>
      </c>
      <c r="G41" s="7">
        <v>1.0855966999999999E-2</v>
      </c>
      <c r="H41" s="49"/>
    </row>
    <row r="42" spans="1:8" ht="17.100000000000001" customHeight="1" x14ac:dyDescent="0.2">
      <c r="A42" s="3">
        <v>36</v>
      </c>
      <c r="B42" s="4" t="s">
        <v>32</v>
      </c>
      <c r="C42" s="4" t="s">
        <v>33</v>
      </c>
      <c r="D42" s="4" t="s">
        <v>31</v>
      </c>
      <c r="E42" s="5">
        <v>2121</v>
      </c>
      <c r="F42" s="6">
        <v>87.970596</v>
      </c>
      <c r="G42" s="7">
        <v>1.0680138E-2</v>
      </c>
      <c r="H42" s="49"/>
    </row>
    <row r="43" spans="1:8" ht="29.1" customHeight="1" x14ac:dyDescent="0.2">
      <c r="A43" s="3">
        <v>37</v>
      </c>
      <c r="B43" s="4" t="s">
        <v>442</v>
      </c>
      <c r="C43" s="4" t="s">
        <v>443</v>
      </c>
      <c r="D43" s="4" t="s">
        <v>364</v>
      </c>
      <c r="E43" s="5">
        <v>14150</v>
      </c>
      <c r="F43" s="6">
        <v>85.239599999999996</v>
      </c>
      <c r="G43" s="7">
        <v>1.0348579E-2</v>
      </c>
      <c r="H43" s="49"/>
    </row>
    <row r="44" spans="1:8" ht="17.100000000000001" customHeight="1" x14ac:dyDescent="0.2">
      <c r="A44" s="3">
        <v>38</v>
      </c>
      <c r="B44" s="4" t="s">
        <v>383</v>
      </c>
      <c r="C44" s="4" t="s">
        <v>384</v>
      </c>
      <c r="D44" s="4" t="s">
        <v>31</v>
      </c>
      <c r="E44" s="5">
        <v>9582</v>
      </c>
      <c r="F44" s="6">
        <v>81.753624000000002</v>
      </c>
      <c r="G44" s="7">
        <v>9.9253620000000001E-3</v>
      </c>
      <c r="H44" s="49"/>
    </row>
    <row r="45" spans="1:8" ht="17.100000000000001" customHeight="1" x14ac:dyDescent="0.2">
      <c r="A45" s="3">
        <v>39</v>
      </c>
      <c r="B45" s="4" t="s">
        <v>455</v>
      </c>
      <c r="C45" s="4" t="s">
        <v>456</v>
      </c>
      <c r="D45" s="4" t="s">
        <v>108</v>
      </c>
      <c r="E45" s="5">
        <v>6623</v>
      </c>
      <c r="F45" s="6">
        <v>81.168176500000001</v>
      </c>
      <c r="G45" s="7">
        <v>9.8542850000000008E-3</v>
      </c>
      <c r="H45" s="49"/>
    </row>
    <row r="46" spans="1:8" ht="29.1" customHeight="1" x14ac:dyDescent="0.2">
      <c r="A46" s="3">
        <v>40</v>
      </c>
      <c r="B46" s="4" t="s">
        <v>436</v>
      </c>
      <c r="C46" s="4" t="s">
        <v>437</v>
      </c>
      <c r="D46" s="4" t="s">
        <v>215</v>
      </c>
      <c r="E46" s="5">
        <v>3920</v>
      </c>
      <c r="F46" s="6">
        <v>79.113439999999997</v>
      </c>
      <c r="G46" s="7">
        <v>9.6048279999999993E-3</v>
      </c>
      <c r="H46" s="49"/>
    </row>
    <row r="47" spans="1:8" ht="17.100000000000001" customHeight="1" x14ac:dyDescent="0.2">
      <c r="A47" s="3">
        <v>41</v>
      </c>
      <c r="B47" s="4" t="s">
        <v>376</v>
      </c>
      <c r="C47" s="4" t="s">
        <v>377</v>
      </c>
      <c r="D47" s="4" t="s">
        <v>108</v>
      </c>
      <c r="E47" s="5">
        <v>12964</v>
      </c>
      <c r="F47" s="6">
        <v>78.989652000000007</v>
      </c>
      <c r="G47" s="7">
        <v>9.5898000000000008E-3</v>
      </c>
      <c r="H47" s="49"/>
    </row>
    <row r="48" spans="1:8" ht="29.1" customHeight="1" x14ac:dyDescent="0.2">
      <c r="A48" s="3">
        <v>42</v>
      </c>
      <c r="B48" s="4" t="s">
        <v>283</v>
      </c>
      <c r="C48" s="4" t="s">
        <v>284</v>
      </c>
      <c r="D48" s="4" t="s">
        <v>193</v>
      </c>
      <c r="E48" s="5">
        <v>10979</v>
      </c>
      <c r="F48" s="6">
        <v>78.944499500000006</v>
      </c>
      <c r="G48" s="7">
        <v>9.5843179999999997E-3</v>
      </c>
      <c r="H48" s="49"/>
    </row>
    <row r="49" spans="1:8" ht="17.100000000000001" customHeight="1" x14ac:dyDescent="0.2">
      <c r="A49" s="3">
        <v>43</v>
      </c>
      <c r="B49" s="4" t="s">
        <v>457</v>
      </c>
      <c r="C49" s="4" t="s">
        <v>458</v>
      </c>
      <c r="D49" s="4" t="s">
        <v>13</v>
      </c>
      <c r="E49" s="5">
        <v>15004</v>
      </c>
      <c r="F49" s="6">
        <v>76.092786000000004</v>
      </c>
      <c r="G49" s="7">
        <v>9.2381029999999992E-3</v>
      </c>
      <c r="H49" s="49"/>
    </row>
    <row r="50" spans="1:8" ht="29.1" customHeight="1" x14ac:dyDescent="0.2">
      <c r="A50" s="3">
        <v>44</v>
      </c>
      <c r="B50" s="4" t="s">
        <v>429</v>
      </c>
      <c r="C50" s="4" t="s">
        <v>430</v>
      </c>
      <c r="D50" s="4" t="s">
        <v>431</v>
      </c>
      <c r="E50" s="5">
        <v>59314</v>
      </c>
      <c r="F50" s="6">
        <v>74.883925000000005</v>
      </c>
      <c r="G50" s="7">
        <v>9.0913409999999993E-3</v>
      </c>
      <c r="H50" s="49"/>
    </row>
    <row r="51" spans="1:8" ht="17.100000000000001" customHeight="1" x14ac:dyDescent="0.2">
      <c r="A51" s="3">
        <v>45</v>
      </c>
      <c r="B51" s="4" t="s">
        <v>247</v>
      </c>
      <c r="C51" s="4" t="s">
        <v>248</v>
      </c>
      <c r="D51" s="4" t="s">
        <v>103</v>
      </c>
      <c r="E51" s="5">
        <v>12364</v>
      </c>
      <c r="F51" s="6">
        <v>73.009420000000006</v>
      </c>
      <c r="G51" s="7">
        <v>8.8637649999999991E-3</v>
      </c>
      <c r="H51" s="49"/>
    </row>
    <row r="52" spans="1:8" ht="17.100000000000001" customHeight="1" x14ac:dyDescent="0.2">
      <c r="A52" s="3">
        <v>46</v>
      </c>
      <c r="B52" s="4" t="s">
        <v>427</v>
      </c>
      <c r="C52" s="4" t="s">
        <v>428</v>
      </c>
      <c r="D52" s="4" t="s">
        <v>13</v>
      </c>
      <c r="E52" s="5">
        <v>88984</v>
      </c>
      <c r="F52" s="6">
        <v>70.608804000000006</v>
      </c>
      <c r="G52" s="7">
        <v>8.572316E-3</v>
      </c>
      <c r="H52" s="49"/>
    </row>
    <row r="53" spans="1:8" ht="29.1" customHeight="1" x14ac:dyDescent="0.2">
      <c r="A53" s="3">
        <v>47</v>
      </c>
      <c r="B53" s="4" t="s">
        <v>459</v>
      </c>
      <c r="C53" s="4" t="s">
        <v>460</v>
      </c>
      <c r="D53" s="4" t="s">
        <v>380</v>
      </c>
      <c r="E53" s="5">
        <v>16028</v>
      </c>
      <c r="F53" s="6">
        <v>70.138527999999994</v>
      </c>
      <c r="G53" s="7">
        <v>8.5152219999999994E-3</v>
      </c>
      <c r="H53" s="49"/>
    </row>
    <row r="54" spans="1:8" ht="17.100000000000001" customHeight="1" x14ac:dyDescent="0.2">
      <c r="A54" s="3">
        <v>48</v>
      </c>
      <c r="B54" s="4" t="s">
        <v>461</v>
      </c>
      <c r="C54" s="4" t="s">
        <v>462</v>
      </c>
      <c r="D54" s="4" t="s">
        <v>43</v>
      </c>
      <c r="E54" s="5">
        <v>10066</v>
      </c>
      <c r="F54" s="6">
        <v>69.681884999999994</v>
      </c>
      <c r="G54" s="7">
        <v>8.4597830000000002E-3</v>
      </c>
      <c r="H54" s="49"/>
    </row>
    <row r="55" spans="1:8" ht="17.100000000000001" customHeight="1" x14ac:dyDescent="0.2">
      <c r="A55" s="3">
        <v>49</v>
      </c>
      <c r="B55" s="4" t="s">
        <v>402</v>
      </c>
      <c r="C55" s="4" t="s">
        <v>403</v>
      </c>
      <c r="D55" s="4" t="s">
        <v>103</v>
      </c>
      <c r="E55" s="5">
        <v>7194</v>
      </c>
      <c r="F55" s="6">
        <v>69.080385000000007</v>
      </c>
      <c r="G55" s="7">
        <v>8.3867569999999999E-3</v>
      </c>
      <c r="H55" s="49"/>
    </row>
    <row r="56" spans="1:8" ht="17.100000000000001" customHeight="1" x14ac:dyDescent="0.2">
      <c r="A56" s="3">
        <v>50</v>
      </c>
      <c r="B56" s="4" t="s">
        <v>412</v>
      </c>
      <c r="C56" s="4" t="s">
        <v>413</v>
      </c>
      <c r="D56" s="4" t="s">
        <v>267</v>
      </c>
      <c r="E56" s="5">
        <v>20765</v>
      </c>
      <c r="F56" s="6">
        <v>66.167672499999995</v>
      </c>
      <c r="G56" s="7">
        <v>8.0331369999999992E-3</v>
      </c>
      <c r="H56" s="49"/>
    </row>
    <row r="57" spans="1:8" ht="29.1" customHeight="1" x14ac:dyDescent="0.2">
      <c r="A57" s="3">
        <v>51</v>
      </c>
      <c r="B57" s="4" t="s">
        <v>378</v>
      </c>
      <c r="C57" s="4" t="s">
        <v>379</v>
      </c>
      <c r="D57" s="4" t="s">
        <v>380</v>
      </c>
      <c r="E57" s="5">
        <v>16626</v>
      </c>
      <c r="F57" s="6">
        <v>66.080037000000004</v>
      </c>
      <c r="G57" s="7">
        <v>8.0224979999999994E-3</v>
      </c>
      <c r="H57" s="49"/>
    </row>
    <row r="58" spans="1:8" ht="17.100000000000001" customHeight="1" x14ac:dyDescent="0.2">
      <c r="A58" s="3">
        <v>52</v>
      </c>
      <c r="B58" s="4" t="s">
        <v>391</v>
      </c>
      <c r="C58" s="4" t="s">
        <v>392</v>
      </c>
      <c r="D58" s="4" t="s">
        <v>196</v>
      </c>
      <c r="E58" s="5">
        <v>7374</v>
      </c>
      <c r="F58" s="6">
        <v>55.338183000000001</v>
      </c>
      <c r="G58" s="7">
        <v>6.7183750000000004E-3</v>
      </c>
      <c r="H58" s="49"/>
    </row>
    <row r="59" spans="1:8" ht="17.100000000000001" customHeight="1" x14ac:dyDescent="0.2">
      <c r="A59" s="3">
        <v>53</v>
      </c>
      <c r="B59" s="4" t="s">
        <v>410</v>
      </c>
      <c r="C59" s="4" t="s">
        <v>411</v>
      </c>
      <c r="D59" s="4" t="s">
        <v>89</v>
      </c>
      <c r="E59" s="5">
        <v>8175</v>
      </c>
      <c r="F59" s="6">
        <v>53.619824999999999</v>
      </c>
      <c r="G59" s="7">
        <v>6.5097560000000002E-3</v>
      </c>
      <c r="H59" s="49"/>
    </row>
    <row r="60" spans="1:8" ht="17.100000000000001" customHeight="1" x14ac:dyDescent="0.2">
      <c r="A60" s="3">
        <v>54</v>
      </c>
      <c r="B60" s="4" t="s">
        <v>98</v>
      </c>
      <c r="C60" s="4" t="s">
        <v>99</v>
      </c>
      <c r="D60" s="4" t="s">
        <v>100</v>
      </c>
      <c r="E60" s="5">
        <v>10971</v>
      </c>
      <c r="F60" s="6">
        <v>53.346487500000002</v>
      </c>
      <c r="G60" s="7">
        <v>6.4765710000000004E-3</v>
      </c>
      <c r="H60" s="49"/>
    </row>
    <row r="61" spans="1:8" ht="29.1" customHeight="1" x14ac:dyDescent="0.2">
      <c r="A61" s="3">
        <v>55</v>
      </c>
      <c r="B61" s="4" t="s">
        <v>406</v>
      </c>
      <c r="C61" s="4" t="s">
        <v>407</v>
      </c>
      <c r="D61" s="4" t="s">
        <v>108</v>
      </c>
      <c r="E61" s="5">
        <v>3957</v>
      </c>
      <c r="F61" s="6">
        <v>46.567954499999999</v>
      </c>
      <c r="G61" s="7">
        <v>5.653618E-3</v>
      </c>
      <c r="H61" s="49"/>
    </row>
    <row r="62" spans="1:8" ht="17.100000000000001" customHeight="1" x14ac:dyDescent="0.2">
      <c r="A62" s="3">
        <v>56</v>
      </c>
      <c r="B62" s="4" t="s">
        <v>393</v>
      </c>
      <c r="C62" s="4" t="s">
        <v>394</v>
      </c>
      <c r="D62" s="4" t="s">
        <v>16</v>
      </c>
      <c r="E62" s="5">
        <v>20028</v>
      </c>
      <c r="F62" s="6">
        <v>43.721124000000003</v>
      </c>
      <c r="G62" s="7">
        <v>5.3079970000000001E-3</v>
      </c>
      <c r="H62" s="49"/>
    </row>
    <row r="63" spans="1:8" ht="17.100000000000001" customHeight="1" x14ac:dyDescent="0.2">
      <c r="A63" s="3">
        <v>57</v>
      </c>
      <c r="B63" s="4" t="s">
        <v>434</v>
      </c>
      <c r="C63" s="4" t="s">
        <v>435</v>
      </c>
      <c r="D63" s="4" t="s">
        <v>218</v>
      </c>
      <c r="E63" s="5">
        <v>5369</v>
      </c>
      <c r="F63" s="6">
        <v>41.078218999999997</v>
      </c>
      <c r="G63" s="7">
        <v>4.9871330000000004E-3</v>
      </c>
      <c r="H63" s="49"/>
    </row>
    <row r="64" spans="1:8" ht="17.100000000000001" customHeight="1" x14ac:dyDescent="0.2">
      <c r="A64" s="3">
        <v>58</v>
      </c>
      <c r="B64" s="4" t="s">
        <v>438</v>
      </c>
      <c r="C64" s="4" t="s">
        <v>439</v>
      </c>
      <c r="D64" s="4" t="s">
        <v>31</v>
      </c>
      <c r="E64" s="5">
        <v>4345</v>
      </c>
      <c r="F64" s="6">
        <v>38.34028</v>
      </c>
      <c r="G64" s="7">
        <v>4.6547309999999996E-3</v>
      </c>
      <c r="H64" s="49"/>
    </row>
    <row r="65" spans="1:8" ht="29.1" customHeight="1" x14ac:dyDescent="0.2">
      <c r="A65" s="3">
        <v>59</v>
      </c>
      <c r="B65" s="4" t="s">
        <v>440</v>
      </c>
      <c r="C65" s="4" t="s">
        <v>441</v>
      </c>
      <c r="D65" s="4" t="s">
        <v>215</v>
      </c>
      <c r="E65" s="5">
        <v>12902</v>
      </c>
      <c r="F65" s="6">
        <v>34.035476000000003</v>
      </c>
      <c r="G65" s="7">
        <v>4.1321029999999998E-3</v>
      </c>
      <c r="H65" s="49"/>
    </row>
    <row r="66" spans="1:8" ht="29.1" customHeight="1" x14ac:dyDescent="0.2">
      <c r="A66" s="3">
        <v>60</v>
      </c>
      <c r="B66" s="4" t="s">
        <v>387</v>
      </c>
      <c r="C66" s="4" t="s">
        <v>388</v>
      </c>
      <c r="D66" s="4" t="s">
        <v>215</v>
      </c>
      <c r="E66" s="5">
        <v>792</v>
      </c>
      <c r="F66" s="6">
        <v>32.978879999999997</v>
      </c>
      <c r="G66" s="7">
        <v>4.0038260000000003E-3</v>
      </c>
      <c r="H66" s="49"/>
    </row>
    <row r="67" spans="1:8" ht="17.100000000000001" customHeight="1" x14ac:dyDescent="0.2">
      <c r="A67" s="3">
        <v>61</v>
      </c>
      <c r="B67" s="4" t="s">
        <v>330</v>
      </c>
      <c r="C67" s="4" t="s">
        <v>331</v>
      </c>
      <c r="D67" s="4" t="s">
        <v>100</v>
      </c>
      <c r="E67" s="5">
        <v>41500</v>
      </c>
      <c r="F67" s="6">
        <v>32.681249999999999</v>
      </c>
      <c r="G67" s="7">
        <v>3.9676920000000001E-3</v>
      </c>
      <c r="H67" s="49"/>
    </row>
    <row r="68" spans="1:8" ht="17.100000000000001" customHeight="1" x14ac:dyDescent="0.2">
      <c r="A68" s="3">
        <v>62</v>
      </c>
      <c r="B68" s="4" t="s">
        <v>408</v>
      </c>
      <c r="C68" s="4" t="s">
        <v>409</v>
      </c>
      <c r="D68" s="4" t="s">
        <v>108</v>
      </c>
      <c r="E68" s="5">
        <v>10376</v>
      </c>
      <c r="F68" s="6">
        <v>27.70392</v>
      </c>
      <c r="G68" s="7">
        <v>3.3634160000000001E-3</v>
      </c>
      <c r="H68" s="49"/>
    </row>
    <row r="69" spans="1:8" ht="29.1" customHeight="1" x14ac:dyDescent="0.2">
      <c r="A69" s="3">
        <v>63</v>
      </c>
      <c r="B69" s="4" t="s">
        <v>322</v>
      </c>
      <c r="C69" s="4" t="s">
        <v>323</v>
      </c>
      <c r="D69" s="4" t="s">
        <v>193</v>
      </c>
      <c r="E69" s="5">
        <v>6070</v>
      </c>
      <c r="F69" s="6">
        <v>23.572845000000001</v>
      </c>
      <c r="G69" s="7">
        <v>2.8618789999999999E-3</v>
      </c>
      <c r="H69" s="49"/>
    </row>
    <row r="70" spans="1:8" ht="29.1" customHeight="1" x14ac:dyDescent="0.2">
      <c r="A70" s="3">
        <v>64</v>
      </c>
      <c r="B70" s="4" t="s">
        <v>414</v>
      </c>
      <c r="C70" s="4" t="s">
        <v>415</v>
      </c>
      <c r="D70" s="4" t="s">
        <v>60</v>
      </c>
      <c r="E70" s="5">
        <v>3799</v>
      </c>
      <c r="F70" s="6">
        <v>13.972721999999999</v>
      </c>
      <c r="G70" s="7">
        <v>1.6963690000000001E-3</v>
      </c>
      <c r="H70" s="49"/>
    </row>
    <row r="71" spans="1:8" ht="29.1" customHeight="1" x14ac:dyDescent="0.2">
      <c r="A71" s="3">
        <v>65</v>
      </c>
      <c r="B71" s="4" t="s">
        <v>444</v>
      </c>
      <c r="C71" s="4" t="s">
        <v>445</v>
      </c>
      <c r="D71" s="4" t="s">
        <v>193</v>
      </c>
      <c r="E71" s="5">
        <v>1852</v>
      </c>
      <c r="F71" s="6">
        <v>11.937066</v>
      </c>
      <c r="G71" s="7">
        <v>1.449229E-3</v>
      </c>
      <c r="H71" s="49"/>
    </row>
    <row r="72" spans="1:8" ht="14.1" customHeight="1" x14ac:dyDescent="0.2">
      <c r="A72" s="1"/>
      <c r="B72" s="1"/>
      <c r="C72" s="2" t="s">
        <v>130</v>
      </c>
      <c r="D72" s="1"/>
      <c r="E72" s="1" t="s">
        <v>131</v>
      </c>
      <c r="F72" s="9">
        <v>7171.0827135</v>
      </c>
      <c r="G72" s="10">
        <v>0.87061081799999995</v>
      </c>
      <c r="H72" s="49"/>
    </row>
    <row r="73" spans="1:8" ht="14.1" customHeight="1" x14ac:dyDescent="0.2">
      <c r="A73" s="1"/>
      <c r="B73" s="1"/>
      <c r="C73" s="11"/>
      <c r="D73" s="1"/>
      <c r="E73" s="1"/>
      <c r="F73" s="12"/>
      <c r="G73" s="12"/>
      <c r="H73" s="49"/>
    </row>
    <row r="74" spans="1:8" ht="14.1" customHeight="1" x14ac:dyDescent="0.2">
      <c r="A74" s="1"/>
      <c r="B74" s="1"/>
      <c r="C74" s="2" t="s">
        <v>132</v>
      </c>
      <c r="D74" s="1"/>
      <c r="E74" s="1"/>
      <c r="F74" s="1"/>
      <c r="G74" s="1"/>
      <c r="H74" s="49"/>
    </row>
    <row r="75" spans="1:8" ht="14.1" customHeight="1" x14ac:dyDescent="0.2">
      <c r="A75" s="1"/>
      <c r="B75" s="1"/>
      <c r="C75" s="2" t="s">
        <v>130</v>
      </c>
      <c r="D75" s="1"/>
      <c r="E75" s="1" t="s">
        <v>131</v>
      </c>
      <c r="F75" s="13">
        <v>0</v>
      </c>
      <c r="G75" s="14">
        <v>0</v>
      </c>
      <c r="H75" s="49"/>
    </row>
    <row r="76" spans="1:8" ht="14.1" customHeight="1" x14ac:dyDescent="0.2">
      <c r="A76" s="1"/>
      <c r="B76" s="1"/>
      <c r="C76" s="11"/>
      <c r="D76" s="1"/>
      <c r="E76" s="1"/>
      <c r="F76" s="12"/>
      <c r="G76" s="12"/>
      <c r="H76" s="49"/>
    </row>
    <row r="77" spans="1:8" ht="14.1" customHeight="1" x14ac:dyDescent="0.2">
      <c r="A77" s="1"/>
      <c r="B77" s="1"/>
      <c r="C77" s="2" t="s">
        <v>133</v>
      </c>
      <c r="D77" s="1"/>
      <c r="E77" s="1"/>
      <c r="F77" s="1"/>
      <c r="G77" s="1"/>
      <c r="H77" s="49"/>
    </row>
    <row r="78" spans="1:8" ht="14.1" customHeight="1" x14ac:dyDescent="0.2">
      <c r="A78" s="1"/>
      <c r="B78" s="1"/>
      <c r="C78" s="2" t="s">
        <v>130</v>
      </c>
      <c r="D78" s="1"/>
      <c r="E78" s="1" t="s">
        <v>131</v>
      </c>
      <c r="F78" s="13">
        <v>0</v>
      </c>
      <c r="G78" s="14">
        <v>0</v>
      </c>
      <c r="H78" s="49"/>
    </row>
    <row r="79" spans="1:8" ht="14.1" customHeight="1" x14ac:dyDescent="0.2">
      <c r="A79" s="1"/>
      <c r="B79" s="1"/>
      <c r="C79" s="11"/>
      <c r="D79" s="1"/>
      <c r="E79" s="1"/>
      <c r="F79" s="12"/>
      <c r="G79" s="12"/>
      <c r="H79" s="49"/>
    </row>
    <row r="80" spans="1:8" ht="14.1" customHeight="1" x14ac:dyDescent="0.2">
      <c r="A80" s="1"/>
      <c r="B80" s="1"/>
      <c r="C80" s="2" t="s">
        <v>134</v>
      </c>
      <c r="D80" s="1"/>
      <c r="E80" s="1"/>
      <c r="F80" s="1"/>
      <c r="G80" s="1"/>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135</v>
      </c>
      <c r="D83" s="1"/>
      <c r="E83" s="1"/>
      <c r="F83" s="12"/>
      <c r="G83" s="12"/>
      <c r="H83" s="49"/>
    </row>
    <row r="84" spans="1:8" ht="14.1" customHeight="1" x14ac:dyDescent="0.2">
      <c r="A84" s="1"/>
      <c r="B84" s="1"/>
      <c r="C84" s="2" t="s">
        <v>130</v>
      </c>
      <c r="D84" s="1"/>
      <c r="E84" s="1" t="s">
        <v>131</v>
      </c>
      <c r="F84" s="13">
        <v>0</v>
      </c>
      <c r="G84" s="14">
        <v>0</v>
      </c>
      <c r="H84" s="49"/>
    </row>
    <row r="85" spans="1:8" ht="14.1" customHeight="1" x14ac:dyDescent="0.2">
      <c r="A85" s="1"/>
      <c r="B85" s="1"/>
      <c r="C85" s="11"/>
      <c r="D85" s="1"/>
      <c r="E85" s="1"/>
      <c r="F85" s="12"/>
      <c r="G85" s="12"/>
      <c r="H85" s="49"/>
    </row>
    <row r="86" spans="1:8" ht="14.1" customHeight="1" x14ac:dyDescent="0.2">
      <c r="A86" s="1"/>
      <c r="B86" s="1"/>
      <c r="C86" s="2" t="s">
        <v>136</v>
      </c>
      <c r="D86" s="1"/>
      <c r="E86" s="1"/>
      <c r="F86" s="12"/>
      <c r="G86" s="12"/>
      <c r="H86" s="49"/>
    </row>
    <row r="87" spans="1:8" ht="14.1" customHeight="1" x14ac:dyDescent="0.2">
      <c r="A87" s="1"/>
      <c r="B87" s="1"/>
      <c r="C87" s="2" t="s">
        <v>130</v>
      </c>
      <c r="D87" s="1"/>
      <c r="E87" s="1" t="s">
        <v>131</v>
      </c>
      <c r="F87" s="13">
        <v>0</v>
      </c>
      <c r="G87" s="14">
        <v>0</v>
      </c>
      <c r="H87" s="49"/>
    </row>
    <row r="88" spans="1:8" ht="14.1" customHeight="1" x14ac:dyDescent="0.2">
      <c r="A88" s="1"/>
      <c r="B88" s="1"/>
      <c r="C88" s="11"/>
      <c r="D88" s="1"/>
      <c r="E88" s="1"/>
      <c r="F88" s="12"/>
      <c r="G88" s="12"/>
      <c r="H88" s="49"/>
    </row>
    <row r="89" spans="1:8" ht="18" customHeight="1" x14ac:dyDescent="0.2">
      <c r="A89" s="1"/>
      <c r="B89" s="1"/>
      <c r="C89" s="2" t="s">
        <v>137</v>
      </c>
      <c r="D89" s="1"/>
      <c r="E89" s="1"/>
      <c r="F89" s="9">
        <v>7171.0827135</v>
      </c>
      <c r="G89" s="10">
        <v>0.87061081799999995</v>
      </c>
      <c r="H89" s="49"/>
    </row>
    <row r="90" spans="1:8" ht="14.1" customHeight="1" x14ac:dyDescent="0.2">
      <c r="A90" s="1"/>
      <c r="B90" s="1"/>
      <c r="C90" s="11"/>
      <c r="D90" s="1"/>
      <c r="E90" s="1"/>
      <c r="F90" s="12"/>
      <c r="G90" s="12"/>
      <c r="H90" s="49"/>
    </row>
    <row r="91" spans="1:8" ht="14.1" customHeight="1" x14ac:dyDescent="0.2">
      <c r="A91" s="1"/>
      <c r="B91" s="1"/>
      <c r="C91" s="2" t="s">
        <v>138</v>
      </c>
      <c r="D91" s="1"/>
      <c r="E91" s="1"/>
      <c r="F91" s="12"/>
      <c r="G91" s="12"/>
      <c r="H91" s="49"/>
    </row>
    <row r="92" spans="1:8" ht="24" customHeight="1" x14ac:dyDescent="0.2">
      <c r="A92" s="1"/>
      <c r="B92" s="1"/>
      <c r="C92" s="2" t="s">
        <v>10</v>
      </c>
      <c r="D92" s="1"/>
      <c r="E92" s="1"/>
      <c r="F92" s="12"/>
      <c r="G92" s="12"/>
      <c r="H92" s="49"/>
    </row>
    <row r="93" spans="1:8" ht="14.1" customHeight="1" x14ac:dyDescent="0.2">
      <c r="A93" s="1"/>
      <c r="B93" s="1"/>
      <c r="C93" s="2" t="s">
        <v>130</v>
      </c>
      <c r="D93" s="1"/>
      <c r="E93" s="1" t="s">
        <v>131</v>
      </c>
      <c r="F93" s="13">
        <v>0</v>
      </c>
      <c r="G93" s="14">
        <v>0</v>
      </c>
      <c r="H93" s="49"/>
    </row>
    <row r="94" spans="1:8" ht="14.1" customHeight="1" x14ac:dyDescent="0.2">
      <c r="A94" s="1"/>
      <c r="B94" s="1"/>
      <c r="C94" s="11"/>
      <c r="D94" s="1"/>
      <c r="E94" s="1"/>
      <c r="F94" s="12"/>
      <c r="G94" s="12"/>
      <c r="H94" s="49"/>
    </row>
    <row r="95" spans="1:8" ht="14.1" customHeight="1" x14ac:dyDescent="0.2">
      <c r="A95" s="1"/>
      <c r="B95" s="1"/>
      <c r="C95" s="2" t="s">
        <v>139</v>
      </c>
      <c r="D95" s="1"/>
      <c r="E95" s="1"/>
      <c r="F95" s="1"/>
      <c r="G95" s="1"/>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140</v>
      </c>
      <c r="D98" s="1"/>
      <c r="E98" s="1"/>
      <c r="F98" s="1"/>
      <c r="G98" s="1"/>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2" t="s">
        <v>141</v>
      </c>
      <c r="D101" s="1"/>
      <c r="E101" s="1"/>
      <c r="F101" s="12"/>
      <c r="G101" s="12"/>
      <c r="H101" s="49"/>
    </row>
    <row r="102" spans="1:8" ht="14.1" customHeight="1" x14ac:dyDescent="0.2">
      <c r="A102" s="1"/>
      <c r="B102" s="1"/>
      <c r="C102" s="2" t="s">
        <v>130</v>
      </c>
      <c r="D102" s="1"/>
      <c r="E102" s="1" t="s">
        <v>131</v>
      </c>
      <c r="F102" s="13">
        <v>0</v>
      </c>
      <c r="G102" s="14">
        <v>0</v>
      </c>
      <c r="H102" s="49"/>
    </row>
    <row r="103" spans="1:8" ht="14.1" customHeight="1" x14ac:dyDescent="0.2">
      <c r="A103" s="1"/>
      <c r="B103" s="1"/>
      <c r="C103" s="11"/>
      <c r="D103" s="1"/>
      <c r="E103" s="1"/>
      <c r="F103" s="12"/>
      <c r="G103" s="12"/>
      <c r="H103" s="49"/>
    </row>
    <row r="104" spans="1:8" ht="14.1" customHeight="1" x14ac:dyDescent="0.2">
      <c r="A104" s="1"/>
      <c r="B104" s="1"/>
      <c r="C104" s="2" t="s">
        <v>142</v>
      </c>
      <c r="D104" s="1"/>
      <c r="E104" s="1"/>
      <c r="F104" s="9">
        <v>0</v>
      </c>
      <c r="G104" s="10">
        <v>0</v>
      </c>
      <c r="H104" s="49"/>
    </row>
    <row r="105" spans="1:8" ht="14.1" customHeight="1" x14ac:dyDescent="0.2">
      <c r="A105" s="1"/>
      <c r="B105" s="1"/>
      <c r="C105" s="11"/>
      <c r="D105" s="1"/>
      <c r="E105" s="1"/>
      <c r="F105" s="12"/>
      <c r="G105" s="12"/>
      <c r="H105" s="49"/>
    </row>
    <row r="106" spans="1:8" ht="14.1" customHeight="1" x14ac:dyDescent="0.2">
      <c r="A106" s="1"/>
      <c r="B106" s="1"/>
      <c r="C106" s="2" t="s">
        <v>143</v>
      </c>
      <c r="D106" s="1"/>
      <c r="E106" s="1"/>
      <c r="F106" s="12"/>
      <c r="G106" s="12"/>
      <c r="H106" s="49"/>
    </row>
    <row r="107" spans="1:8" ht="14.1" customHeight="1" x14ac:dyDescent="0.2">
      <c r="A107" s="1"/>
      <c r="B107" s="1"/>
      <c r="C107" s="2" t="s">
        <v>144</v>
      </c>
      <c r="D107" s="1"/>
      <c r="E107" s="1"/>
      <c r="F107" s="12"/>
      <c r="G107" s="12"/>
      <c r="H107" s="49"/>
    </row>
    <row r="108" spans="1:8" ht="14.1" customHeight="1" x14ac:dyDescent="0.2">
      <c r="A108" s="1"/>
      <c r="B108" s="1"/>
      <c r="C108" s="2" t="s">
        <v>130</v>
      </c>
      <c r="D108" s="1"/>
      <c r="E108" s="1" t="s">
        <v>131</v>
      </c>
      <c r="F108" s="13">
        <v>0</v>
      </c>
      <c r="G108" s="14">
        <v>0</v>
      </c>
      <c r="H108" s="49"/>
    </row>
    <row r="109" spans="1:8" ht="14.1" customHeight="1" x14ac:dyDescent="0.2">
      <c r="A109" s="1"/>
      <c r="B109" s="1"/>
      <c r="C109" s="11"/>
      <c r="D109" s="1"/>
      <c r="E109" s="1"/>
      <c r="F109" s="12"/>
      <c r="G109" s="12"/>
      <c r="H109" s="49"/>
    </row>
    <row r="110" spans="1:8" ht="14.1" customHeight="1" x14ac:dyDescent="0.2">
      <c r="A110" s="1"/>
      <c r="B110" s="1"/>
      <c r="C110" s="2" t="s">
        <v>145</v>
      </c>
      <c r="D110" s="1"/>
      <c r="E110" s="1"/>
      <c r="F110" s="12"/>
      <c r="G110" s="12"/>
      <c r="H110" s="49"/>
    </row>
    <row r="111" spans="1:8" ht="14.1" customHeight="1" x14ac:dyDescent="0.2">
      <c r="A111" s="1"/>
      <c r="B111" s="1"/>
      <c r="C111" s="2" t="s">
        <v>130</v>
      </c>
      <c r="D111" s="1"/>
      <c r="E111" s="1" t="s">
        <v>131</v>
      </c>
      <c r="F111" s="13">
        <v>0</v>
      </c>
      <c r="G111" s="14">
        <v>0</v>
      </c>
      <c r="H111" s="49"/>
    </row>
    <row r="112" spans="1:8" ht="14.1" customHeight="1" x14ac:dyDescent="0.2">
      <c r="A112" s="1"/>
      <c r="B112" s="1"/>
      <c r="C112" s="11"/>
      <c r="D112" s="1"/>
      <c r="E112" s="1"/>
      <c r="F112" s="12"/>
      <c r="G112" s="12"/>
      <c r="H112" s="49"/>
    </row>
    <row r="113" spans="1:8" ht="14.1" customHeight="1" x14ac:dyDescent="0.2">
      <c r="A113" s="1"/>
      <c r="B113" s="1"/>
      <c r="C113" s="2" t="s">
        <v>146</v>
      </c>
      <c r="D113" s="1"/>
      <c r="E113" s="1"/>
      <c r="F113" s="12"/>
      <c r="G113" s="12"/>
      <c r="H113" s="49"/>
    </row>
    <row r="114" spans="1:8" ht="14.1" customHeight="1" x14ac:dyDescent="0.2">
      <c r="A114" s="1"/>
      <c r="B114" s="1"/>
      <c r="C114" s="2" t="s">
        <v>130</v>
      </c>
      <c r="D114" s="1"/>
      <c r="E114" s="1" t="s">
        <v>131</v>
      </c>
      <c r="F114" s="13">
        <v>0</v>
      </c>
      <c r="G114" s="14">
        <v>0</v>
      </c>
      <c r="H114" s="49"/>
    </row>
    <row r="115" spans="1:8" ht="14.1" customHeight="1" x14ac:dyDescent="0.2">
      <c r="A115" s="1"/>
      <c r="B115" s="1"/>
      <c r="C115" s="11"/>
      <c r="D115" s="1"/>
      <c r="E115" s="1"/>
      <c r="F115" s="12"/>
      <c r="G115" s="12"/>
      <c r="H115" s="49"/>
    </row>
    <row r="116" spans="1:8" ht="14.1" customHeight="1" x14ac:dyDescent="0.2">
      <c r="A116" s="1"/>
      <c r="B116" s="1"/>
      <c r="C116" s="2" t="s">
        <v>147</v>
      </c>
      <c r="D116" s="1"/>
      <c r="E116" s="1"/>
      <c r="F116" s="12"/>
      <c r="G116" s="12"/>
      <c r="H116" s="49"/>
    </row>
    <row r="117" spans="1:8" ht="17.100000000000001" customHeight="1" x14ac:dyDescent="0.2">
      <c r="A117" s="3">
        <v>1</v>
      </c>
      <c r="B117" s="4"/>
      <c r="C117" s="4" t="s">
        <v>148</v>
      </c>
      <c r="D117" s="4"/>
      <c r="E117" s="8"/>
      <c r="F117" s="6">
        <v>1068.0152656</v>
      </c>
      <c r="G117" s="7">
        <v>0.129663216</v>
      </c>
      <c r="H117" s="49">
        <v>5.6572293145372496</v>
      </c>
    </row>
    <row r="118" spans="1:8" ht="14.1" customHeight="1" x14ac:dyDescent="0.2">
      <c r="A118" s="1"/>
      <c r="B118" s="1"/>
      <c r="C118" s="2" t="s">
        <v>130</v>
      </c>
      <c r="D118" s="1"/>
      <c r="E118" s="1" t="s">
        <v>131</v>
      </c>
      <c r="F118" s="9">
        <v>1068.0152656</v>
      </c>
      <c r="G118" s="10">
        <v>0.129663216</v>
      </c>
      <c r="H118" s="49"/>
    </row>
    <row r="119" spans="1:8" ht="14.1" customHeight="1" x14ac:dyDescent="0.2">
      <c r="A119" s="1"/>
      <c r="B119" s="1"/>
      <c r="C119" s="11"/>
      <c r="D119" s="1"/>
      <c r="E119" s="1"/>
      <c r="F119" s="12"/>
      <c r="G119" s="12"/>
      <c r="H119" s="49"/>
    </row>
    <row r="120" spans="1:8" ht="14.1" customHeight="1" x14ac:dyDescent="0.2">
      <c r="A120" s="1"/>
      <c r="B120" s="1"/>
      <c r="C120" s="2" t="s">
        <v>149</v>
      </c>
      <c r="D120" s="1"/>
      <c r="E120" s="1"/>
      <c r="F120" s="9">
        <v>1068.0152656</v>
      </c>
      <c r="G120" s="10">
        <v>0.129663216</v>
      </c>
      <c r="H120" s="49"/>
    </row>
    <row r="121" spans="1:8" ht="14.1" customHeight="1" x14ac:dyDescent="0.2">
      <c r="A121" s="1"/>
      <c r="B121" s="1"/>
      <c r="C121" s="12"/>
      <c r="D121" s="1"/>
      <c r="E121" s="1"/>
      <c r="F121" s="1"/>
      <c r="G121" s="1"/>
      <c r="H121" s="49"/>
    </row>
    <row r="122" spans="1:8" ht="14.1" customHeight="1" x14ac:dyDescent="0.2">
      <c r="A122" s="1"/>
      <c r="B122" s="1"/>
      <c r="C122" s="2" t="s">
        <v>150</v>
      </c>
      <c r="D122" s="1"/>
      <c r="E122" s="1"/>
      <c r="F122" s="1"/>
      <c r="G122" s="1"/>
      <c r="H122" s="49"/>
    </row>
    <row r="123" spans="1:8" ht="14.1" customHeight="1" x14ac:dyDescent="0.2">
      <c r="A123" s="1"/>
      <c r="B123" s="1"/>
      <c r="C123" s="2" t="s">
        <v>151</v>
      </c>
      <c r="D123" s="1"/>
      <c r="E123" s="1"/>
      <c r="F123" s="1"/>
      <c r="G123" s="1"/>
      <c r="H123" s="49"/>
    </row>
    <row r="124" spans="1:8" ht="14.1" customHeight="1" x14ac:dyDescent="0.2">
      <c r="A124" s="1"/>
      <c r="B124" s="1"/>
      <c r="C124" s="2" t="s">
        <v>130</v>
      </c>
      <c r="D124" s="1"/>
      <c r="E124" s="1" t="s">
        <v>131</v>
      </c>
      <c r="F124" s="13">
        <v>0</v>
      </c>
      <c r="G124" s="14">
        <v>0</v>
      </c>
      <c r="H124" s="49"/>
    </row>
    <row r="125" spans="1:8" ht="14.1" customHeight="1" x14ac:dyDescent="0.2">
      <c r="A125" s="1"/>
      <c r="B125" s="1"/>
      <c r="C125" s="11"/>
      <c r="D125" s="1"/>
      <c r="E125" s="1"/>
      <c r="F125" s="12"/>
      <c r="G125" s="12"/>
      <c r="H125" s="49"/>
    </row>
    <row r="126" spans="1:8" ht="14.1" customHeight="1" x14ac:dyDescent="0.2">
      <c r="A126" s="1"/>
      <c r="B126" s="1"/>
      <c r="C126" s="2" t="s">
        <v>152</v>
      </c>
      <c r="D126" s="1"/>
      <c r="E126" s="1"/>
      <c r="F126" s="1"/>
      <c r="G126" s="1"/>
      <c r="H126" s="49"/>
    </row>
    <row r="127" spans="1:8" ht="14.1" customHeight="1" x14ac:dyDescent="0.2">
      <c r="A127" s="1"/>
      <c r="B127" s="1"/>
      <c r="C127" s="2" t="s">
        <v>153</v>
      </c>
      <c r="D127" s="1"/>
      <c r="E127" s="1"/>
      <c r="F127" s="1"/>
      <c r="G127" s="1"/>
      <c r="H127" s="49"/>
    </row>
    <row r="128" spans="1:8" ht="14.1" customHeight="1" x14ac:dyDescent="0.2">
      <c r="A128" s="1"/>
      <c r="B128" s="1"/>
      <c r="C128" s="2" t="s">
        <v>130</v>
      </c>
      <c r="D128" s="1"/>
      <c r="E128" s="1" t="s">
        <v>131</v>
      </c>
      <c r="F128" s="13">
        <v>0</v>
      </c>
      <c r="G128" s="14">
        <v>0</v>
      </c>
      <c r="H128" s="49"/>
    </row>
    <row r="129" spans="1:8" ht="14.1" customHeight="1" x14ac:dyDescent="0.2">
      <c r="A129" s="1"/>
      <c r="B129" s="1"/>
      <c r="C129" s="11"/>
      <c r="D129" s="1"/>
      <c r="E129" s="1"/>
      <c r="F129" s="12"/>
      <c r="G129" s="12"/>
      <c r="H129" s="49"/>
    </row>
    <row r="130" spans="1:8" ht="14.1" customHeight="1" x14ac:dyDescent="0.2">
      <c r="A130" s="1"/>
      <c r="B130" s="1"/>
      <c r="C130" s="11"/>
      <c r="D130" s="1"/>
      <c r="E130" s="1"/>
      <c r="F130" s="12"/>
      <c r="G130" s="12"/>
      <c r="H130" s="49"/>
    </row>
    <row r="131" spans="1:8" ht="24" customHeight="1" x14ac:dyDescent="0.2">
      <c r="A131" s="1"/>
      <c r="B131" s="1"/>
      <c r="C131" s="2" t="s">
        <v>154</v>
      </c>
      <c r="D131" s="1"/>
      <c r="E131" s="1"/>
      <c r="F131" s="12"/>
      <c r="G131" s="12"/>
      <c r="H131" s="49"/>
    </row>
    <row r="132" spans="1:8" ht="14.1" customHeight="1" x14ac:dyDescent="0.2">
      <c r="A132" s="1"/>
      <c r="B132" s="1"/>
      <c r="C132" s="2" t="s">
        <v>130</v>
      </c>
      <c r="D132" s="1"/>
      <c r="E132" s="1" t="s">
        <v>131</v>
      </c>
      <c r="F132" s="13">
        <v>0</v>
      </c>
      <c r="G132" s="14">
        <v>0</v>
      </c>
      <c r="H132" s="49"/>
    </row>
    <row r="133" spans="1:8" ht="14.1" customHeight="1" x14ac:dyDescent="0.2">
      <c r="A133" s="1"/>
      <c r="B133" s="1"/>
      <c r="C133" s="11"/>
      <c r="D133" s="1"/>
      <c r="E133" s="1"/>
      <c r="F133" s="12"/>
      <c r="G133" s="12"/>
      <c r="H133" s="49"/>
    </row>
    <row r="134" spans="1:8" ht="14.1" customHeight="1" x14ac:dyDescent="0.2">
      <c r="A134" s="1"/>
      <c r="B134" s="4"/>
      <c r="C134" s="4"/>
      <c r="D134" s="2"/>
      <c r="E134" s="1"/>
      <c r="F134" s="4"/>
      <c r="G134" s="8"/>
      <c r="H134" s="49"/>
    </row>
    <row r="135" spans="1:8" ht="18" customHeight="1" x14ac:dyDescent="0.2">
      <c r="A135" s="8"/>
      <c r="B135" s="4"/>
      <c r="C135" s="4" t="s">
        <v>155</v>
      </c>
      <c r="D135" s="4"/>
      <c r="E135" s="8"/>
      <c r="F135" s="6">
        <v>-2.2571764999999999</v>
      </c>
      <c r="G135" s="7">
        <v>-2.7403399999999999E-4</v>
      </c>
      <c r="H135" s="49"/>
    </row>
    <row r="136" spans="1:8" ht="14.1" customHeight="1" x14ac:dyDescent="0.2">
      <c r="A136" s="11"/>
      <c r="B136" s="11"/>
      <c r="C136" s="2" t="s">
        <v>156</v>
      </c>
      <c r="D136" s="15"/>
      <c r="E136" s="15"/>
      <c r="F136" s="9">
        <v>8236.8408221999998</v>
      </c>
      <c r="G136" s="10">
        <v>1.0000000019999999</v>
      </c>
      <c r="H136" s="49"/>
    </row>
    <row r="137" spans="1:8" ht="14.1" customHeight="1" x14ac:dyDescent="0.2">
      <c r="A137" s="16"/>
      <c r="B137" s="16"/>
      <c r="C137" s="16"/>
      <c r="D137" s="17"/>
      <c r="E137" s="17"/>
      <c r="F137" s="17"/>
      <c r="G137" s="17"/>
    </row>
    <row r="138" spans="1:8" ht="14.1" customHeight="1" x14ac:dyDescent="0.2">
      <c r="A138" s="18"/>
      <c r="B138" s="18"/>
      <c r="C138" s="18"/>
      <c r="D138" s="20"/>
      <c r="E138" s="20"/>
      <c r="F138" s="20"/>
      <c r="G138" s="20"/>
    </row>
    <row r="139" spans="1:8" ht="14.1" customHeight="1" x14ac:dyDescent="0.2">
      <c r="A139" s="18"/>
      <c r="B139" s="319" t="s">
        <v>158</v>
      </c>
      <c r="C139" s="320"/>
      <c r="D139" s="12" t="s">
        <v>131</v>
      </c>
      <c r="E139" s="21"/>
      <c r="F139" s="20"/>
      <c r="G139" s="20"/>
    </row>
    <row r="140" spans="1:8" ht="29.1" customHeight="1" x14ac:dyDescent="0.2">
      <c r="A140" s="18"/>
      <c r="B140" s="323" t="s">
        <v>159</v>
      </c>
      <c r="C140" s="324"/>
      <c r="D140" s="2" t="s">
        <v>160</v>
      </c>
      <c r="E140" s="21"/>
      <c r="F140" s="20"/>
      <c r="G140" s="20"/>
    </row>
    <row r="141" spans="1:8" ht="17.100000000000001" customHeight="1" x14ac:dyDescent="0.2">
      <c r="A141" s="18"/>
      <c r="B141" s="323" t="s">
        <v>161</v>
      </c>
      <c r="C141" s="324"/>
      <c r="D141" s="2" t="s">
        <v>160</v>
      </c>
      <c r="E141" s="21"/>
      <c r="F141" s="20"/>
      <c r="G141" s="20"/>
    </row>
    <row r="142" spans="1:8" ht="17.100000000000001" customHeight="1" x14ac:dyDescent="0.2">
      <c r="A142" s="18"/>
      <c r="B142" s="323" t="s">
        <v>162</v>
      </c>
      <c r="C142" s="324"/>
      <c r="D142" s="12" t="s">
        <v>131</v>
      </c>
      <c r="E142" s="21"/>
      <c r="F142" s="20"/>
      <c r="G142" s="20"/>
    </row>
    <row r="143" spans="1:8" ht="24" customHeight="1" x14ac:dyDescent="0.2">
      <c r="A143" s="22"/>
      <c r="B143" s="23" t="s">
        <v>131</v>
      </c>
      <c r="C143" s="23" t="s">
        <v>163</v>
      </c>
      <c r="D143" s="23" t="s">
        <v>164</v>
      </c>
      <c r="E143" s="22"/>
      <c r="F143" s="22"/>
      <c r="G143" s="22"/>
    </row>
    <row r="144" spans="1:8" ht="18" customHeight="1" x14ac:dyDescent="0.2">
      <c r="A144" s="22"/>
      <c r="B144" s="23" t="s">
        <v>165</v>
      </c>
      <c r="C144" s="23" t="s">
        <v>166</v>
      </c>
      <c r="D144" s="23" t="s">
        <v>167</v>
      </c>
      <c r="E144" s="22"/>
      <c r="F144" s="22"/>
      <c r="G144" s="22"/>
    </row>
    <row r="145" spans="1:7" ht="17.100000000000001" customHeight="1" x14ac:dyDescent="0.2">
      <c r="A145" s="22"/>
      <c r="B145" s="4" t="s">
        <v>168</v>
      </c>
      <c r="C145" s="24">
        <v>20.689599999999999</v>
      </c>
      <c r="D145" s="24">
        <v>20.854600000000001</v>
      </c>
      <c r="E145" s="22"/>
      <c r="F145" s="19"/>
      <c r="G145" s="25"/>
    </row>
    <row r="146" spans="1:7" ht="17.100000000000001" customHeight="1" x14ac:dyDescent="0.2">
      <c r="A146" s="22"/>
      <c r="B146" s="4" t="s">
        <v>1021</v>
      </c>
      <c r="C146" s="24">
        <v>19.953900000000001</v>
      </c>
      <c r="D146" s="24">
        <v>20.113099999999999</v>
      </c>
      <c r="E146" s="22"/>
      <c r="F146" s="19"/>
      <c r="G146" s="25"/>
    </row>
    <row r="147" spans="1:7" ht="17.100000000000001" customHeight="1" x14ac:dyDescent="0.2">
      <c r="A147" s="22"/>
      <c r="B147" s="4" t="s">
        <v>169</v>
      </c>
      <c r="C147" s="24">
        <v>20.179200000000002</v>
      </c>
      <c r="D147" s="24">
        <v>20.3308</v>
      </c>
      <c r="E147" s="22"/>
      <c r="F147" s="19"/>
      <c r="G147" s="25"/>
    </row>
    <row r="148" spans="1:7" ht="17.100000000000001" customHeight="1" x14ac:dyDescent="0.2">
      <c r="A148" s="22"/>
      <c r="B148" s="4" t="s">
        <v>1022</v>
      </c>
      <c r="C148" s="24">
        <v>19.4495</v>
      </c>
      <c r="D148" s="24">
        <v>19.595600000000001</v>
      </c>
      <c r="E148" s="22"/>
      <c r="F148" s="19"/>
      <c r="G148" s="25"/>
    </row>
    <row r="149" spans="1:7" ht="14.1" customHeight="1" x14ac:dyDescent="0.2">
      <c r="A149" s="22"/>
      <c r="B149" s="22"/>
      <c r="C149" s="22"/>
      <c r="D149" s="22"/>
      <c r="E149" s="22"/>
      <c r="F149" s="22"/>
      <c r="G149" s="22"/>
    </row>
    <row r="150" spans="1:7" ht="17.100000000000001" customHeight="1" x14ac:dyDescent="0.2">
      <c r="A150" s="22"/>
      <c r="B150" s="323" t="s">
        <v>1023</v>
      </c>
      <c r="C150" s="324"/>
      <c r="D150" s="57" t="s">
        <v>160</v>
      </c>
      <c r="E150" s="22"/>
      <c r="F150" s="22"/>
      <c r="G150" s="22"/>
    </row>
    <row r="151" spans="1:7" ht="18" customHeight="1" x14ac:dyDescent="0.2">
      <c r="A151" s="22"/>
      <c r="B151" s="28"/>
      <c r="C151" s="28"/>
      <c r="D151" s="26"/>
      <c r="E151" s="22"/>
      <c r="F151" s="22"/>
      <c r="G151" s="22"/>
    </row>
    <row r="152" spans="1:7" ht="29.1" customHeight="1" x14ac:dyDescent="0.2">
      <c r="A152" s="22"/>
      <c r="B152" s="323" t="s">
        <v>170</v>
      </c>
      <c r="C152" s="324"/>
      <c r="D152" s="2" t="s">
        <v>160</v>
      </c>
      <c r="E152" s="22"/>
      <c r="F152" s="22"/>
      <c r="G152" s="22"/>
    </row>
    <row r="153" spans="1:7" ht="29.1" customHeight="1" x14ac:dyDescent="0.2">
      <c r="A153" s="22"/>
      <c r="B153" s="323" t="s">
        <v>171</v>
      </c>
      <c r="C153" s="324"/>
      <c r="D153" s="2" t="s">
        <v>160</v>
      </c>
      <c r="E153" s="22"/>
      <c r="F153" s="22"/>
      <c r="G153" s="22"/>
    </row>
    <row r="154" spans="1:7" ht="17.100000000000001" customHeight="1" x14ac:dyDescent="0.2">
      <c r="A154" s="22"/>
      <c r="B154" s="323" t="s">
        <v>172</v>
      </c>
      <c r="C154" s="324"/>
      <c r="D154" s="27">
        <v>0.24685047311015948</v>
      </c>
      <c r="E154" s="22"/>
      <c r="F154" s="19"/>
      <c r="G154" s="25"/>
    </row>
    <row r="155" spans="1:7" ht="17.100000000000001" customHeight="1" x14ac:dyDescent="0.2">
      <c r="A155" s="22"/>
      <c r="B155" s="323" t="s">
        <v>173</v>
      </c>
      <c r="C155" s="324"/>
      <c r="D155" s="2" t="s">
        <v>160</v>
      </c>
      <c r="E155" s="22"/>
      <c r="F155" s="22"/>
      <c r="G155" s="22"/>
    </row>
    <row r="163" spans="10:15" x14ac:dyDescent="0.2">
      <c r="J163" s="218"/>
      <c r="K163" s="218"/>
      <c r="L163" s="218"/>
      <c r="M163" s="218"/>
      <c r="N163" s="218"/>
      <c r="O163" s="218"/>
    </row>
  </sheetData>
  <mergeCells count="13">
    <mergeCell ref="J2:N2"/>
    <mergeCell ref="B155:C155"/>
    <mergeCell ref="B140:C140"/>
    <mergeCell ref="B141:C141"/>
    <mergeCell ref="B142:C142"/>
    <mergeCell ref="B150:C150"/>
    <mergeCell ref="B152:C152"/>
    <mergeCell ref="B153:C153"/>
    <mergeCell ref="A1:H1"/>
    <mergeCell ref="A2:H2"/>
    <mergeCell ref="A3:H3"/>
    <mergeCell ref="B139:C139"/>
    <mergeCell ref="B154:C154"/>
  </mergeCells>
  <hyperlinks>
    <hyperlink ref="I1" location="Index!B11" display="Index" xr:uid="{6692A4A7-D9B4-4D99-B02A-5BD3AA6F0CD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464</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29</v>
      </c>
      <c r="C7" s="4" t="s">
        <v>30</v>
      </c>
      <c r="D7" s="4" t="s">
        <v>31</v>
      </c>
      <c r="E7" s="5">
        <v>7409</v>
      </c>
      <c r="F7" s="6">
        <v>149.98038700000001</v>
      </c>
      <c r="G7" s="7">
        <v>3.5181221999999998E-2</v>
      </c>
      <c r="H7" s="49"/>
    </row>
    <row r="8" spans="1:15" ht="17.100000000000001" customHeight="1" x14ac:dyDescent="0.2">
      <c r="A8" s="3">
        <v>2</v>
      </c>
      <c r="B8" s="4" t="s">
        <v>398</v>
      </c>
      <c r="C8" s="4" t="s">
        <v>399</v>
      </c>
      <c r="D8" s="4" t="s">
        <v>108</v>
      </c>
      <c r="E8" s="5">
        <v>9128</v>
      </c>
      <c r="F8" s="6">
        <v>148.96896000000001</v>
      </c>
      <c r="G8" s="7">
        <v>3.4943968999999998E-2</v>
      </c>
      <c r="H8" s="49"/>
    </row>
    <row r="9" spans="1:15" ht="17.100000000000001" customHeight="1" x14ac:dyDescent="0.2">
      <c r="A9" s="3">
        <v>3</v>
      </c>
      <c r="B9" s="4" t="s">
        <v>106</v>
      </c>
      <c r="C9" s="4" t="s">
        <v>107</v>
      </c>
      <c r="D9" s="4" t="s">
        <v>108</v>
      </c>
      <c r="E9" s="5">
        <v>33781</v>
      </c>
      <c r="F9" s="6">
        <v>130.6142365</v>
      </c>
      <c r="G9" s="7">
        <v>3.0638462000000002E-2</v>
      </c>
      <c r="H9" s="49"/>
    </row>
    <row r="10" spans="1:15" ht="17.100000000000001" customHeight="1" x14ac:dyDescent="0.2">
      <c r="A10" s="3">
        <v>4</v>
      </c>
      <c r="B10" s="4" t="s">
        <v>83</v>
      </c>
      <c r="C10" s="4" t="s">
        <v>84</v>
      </c>
      <c r="D10" s="4" t="s">
        <v>31</v>
      </c>
      <c r="E10" s="5">
        <v>8542</v>
      </c>
      <c r="F10" s="6">
        <v>130.46196599999999</v>
      </c>
      <c r="G10" s="7">
        <v>3.0602744000000001E-2</v>
      </c>
      <c r="H10" s="49"/>
    </row>
    <row r="11" spans="1:15" ht="17.100000000000001" customHeight="1" x14ac:dyDescent="0.2">
      <c r="A11" s="3">
        <v>5</v>
      </c>
      <c r="B11" s="4" t="s">
        <v>389</v>
      </c>
      <c r="C11" s="4" t="s">
        <v>390</v>
      </c>
      <c r="D11" s="4" t="s">
        <v>103</v>
      </c>
      <c r="E11" s="5">
        <v>108727</v>
      </c>
      <c r="F11" s="6">
        <v>129.82003800000001</v>
      </c>
      <c r="G11" s="7">
        <v>3.0452165E-2</v>
      </c>
      <c r="H11" s="49"/>
    </row>
    <row r="12" spans="1:15" ht="29.1" customHeight="1" x14ac:dyDescent="0.2">
      <c r="A12" s="3">
        <v>6</v>
      </c>
      <c r="B12" s="4" t="s">
        <v>189</v>
      </c>
      <c r="C12" s="4" t="s">
        <v>190</v>
      </c>
      <c r="D12" s="4" t="s">
        <v>108</v>
      </c>
      <c r="E12" s="5">
        <v>31926</v>
      </c>
      <c r="F12" s="6">
        <v>115.843491</v>
      </c>
      <c r="G12" s="7">
        <v>2.7173657E-2</v>
      </c>
      <c r="H12" s="49"/>
    </row>
    <row r="13" spans="1:15" ht="17.100000000000001" customHeight="1" x14ac:dyDescent="0.2">
      <c r="A13" s="3">
        <v>7</v>
      </c>
      <c r="B13" s="4" t="s">
        <v>417</v>
      </c>
      <c r="C13" s="4" t="s">
        <v>418</v>
      </c>
      <c r="D13" s="4" t="s">
        <v>974</v>
      </c>
      <c r="E13" s="5">
        <v>16149</v>
      </c>
      <c r="F13" s="6">
        <v>115.4411265</v>
      </c>
      <c r="G13" s="7">
        <v>2.7079273000000001E-2</v>
      </c>
      <c r="H13" s="49"/>
    </row>
    <row r="14" spans="1:15" ht="17.100000000000001" customHeight="1" x14ac:dyDescent="0.2">
      <c r="A14" s="3">
        <v>8</v>
      </c>
      <c r="B14" s="4" t="s">
        <v>34</v>
      </c>
      <c r="C14" s="4" t="s">
        <v>35</v>
      </c>
      <c r="D14" s="4" t="s">
        <v>31</v>
      </c>
      <c r="E14" s="5">
        <v>5450</v>
      </c>
      <c r="F14" s="6">
        <v>104.6073</v>
      </c>
      <c r="G14" s="7">
        <v>2.4537959000000002E-2</v>
      </c>
      <c r="H14" s="49"/>
      <c r="J14" s="217" t="s">
        <v>1078</v>
      </c>
    </row>
    <row r="15" spans="1:15" ht="29.1" customHeight="1" x14ac:dyDescent="0.2">
      <c r="A15" s="3">
        <v>9</v>
      </c>
      <c r="B15" s="4" t="s">
        <v>197</v>
      </c>
      <c r="C15" s="4" t="s">
        <v>198</v>
      </c>
      <c r="D15" s="4" t="s">
        <v>193</v>
      </c>
      <c r="E15" s="5">
        <v>2276</v>
      </c>
      <c r="F15" s="6">
        <v>98.834162000000006</v>
      </c>
      <c r="G15" s="7">
        <v>2.3183742E-2</v>
      </c>
      <c r="H15" s="49"/>
    </row>
    <row r="16" spans="1:15" ht="17.100000000000001" customHeight="1" x14ac:dyDescent="0.2">
      <c r="A16" s="3">
        <v>10</v>
      </c>
      <c r="B16" s="4" t="s">
        <v>300</v>
      </c>
      <c r="C16" s="4" t="s">
        <v>301</v>
      </c>
      <c r="D16" s="4" t="s">
        <v>230</v>
      </c>
      <c r="E16" s="5">
        <v>17981</v>
      </c>
      <c r="F16" s="6">
        <v>97.007495000000006</v>
      </c>
      <c r="G16" s="7">
        <v>2.2755256000000001E-2</v>
      </c>
      <c r="H16" s="49"/>
    </row>
    <row r="17" spans="1:8" ht="17.100000000000001" customHeight="1" x14ac:dyDescent="0.2">
      <c r="A17" s="3">
        <v>11</v>
      </c>
      <c r="B17" s="4" t="s">
        <v>447</v>
      </c>
      <c r="C17" s="4" t="s">
        <v>448</v>
      </c>
      <c r="D17" s="4" t="s">
        <v>100</v>
      </c>
      <c r="E17" s="5">
        <v>6219</v>
      </c>
      <c r="F17" s="6">
        <v>90.701005499999994</v>
      </c>
      <c r="G17" s="7">
        <v>2.1275929999999998E-2</v>
      </c>
      <c r="H17" s="49"/>
    </row>
    <row r="18" spans="1:8" ht="17.100000000000001" customHeight="1" x14ac:dyDescent="0.2">
      <c r="A18" s="3">
        <v>12</v>
      </c>
      <c r="B18" s="4" t="s">
        <v>400</v>
      </c>
      <c r="C18" s="4" t="s">
        <v>401</v>
      </c>
      <c r="D18" s="4" t="s">
        <v>1042</v>
      </c>
      <c r="E18" s="5">
        <v>6988</v>
      </c>
      <c r="F18" s="6">
        <v>87.636508000000006</v>
      </c>
      <c r="G18" s="7">
        <v>2.0557084E-2</v>
      </c>
      <c r="H18" s="49"/>
    </row>
    <row r="19" spans="1:8" ht="17.100000000000001" customHeight="1" x14ac:dyDescent="0.2">
      <c r="A19" s="3">
        <v>13</v>
      </c>
      <c r="B19" s="4" t="s">
        <v>318</v>
      </c>
      <c r="C19" s="4" t="s">
        <v>319</v>
      </c>
      <c r="D19" s="4" t="s">
        <v>233</v>
      </c>
      <c r="E19" s="5">
        <v>6299</v>
      </c>
      <c r="F19" s="6">
        <v>85.036500000000004</v>
      </c>
      <c r="G19" s="7">
        <v>1.9947194000000001E-2</v>
      </c>
      <c r="H19" s="49"/>
    </row>
    <row r="20" spans="1:8" ht="17.100000000000001" customHeight="1" x14ac:dyDescent="0.2">
      <c r="A20" s="3">
        <v>14</v>
      </c>
      <c r="B20" s="4" t="s">
        <v>315</v>
      </c>
      <c r="C20" s="4" t="s">
        <v>316</v>
      </c>
      <c r="D20" s="4" t="s">
        <v>317</v>
      </c>
      <c r="E20" s="5">
        <v>5299</v>
      </c>
      <c r="F20" s="6">
        <v>84.632978499999993</v>
      </c>
      <c r="G20" s="7">
        <v>1.9852539999999998E-2</v>
      </c>
      <c r="H20" s="49"/>
    </row>
    <row r="21" spans="1:8" ht="17.100000000000001" customHeight="1" x14ac:dyDescent="0.2">
      <c r="A21" s="3">
        <v>15</v>
      </c>
      <c r="B21" s="4" t="s">
        <v>203</v>
      </c>
      <c r="C21" s="4" t="s">
        <v>204</v>
      </c>
      <c r="D21" s="4" t="s">
        <v>974</v>
      </c>
      <c r="E21" s="5">
        <v>2021</v>
      </c>
      <c r="F21" s="6">
        <v>83.966487000000001</v>
      </c>
      <c r="G21" s="7">
        <v>1.9696199000000001E-2</v>
      </c>
      <c r="H21" s="49"/>
    </row>
    <row r="22" spans="1:8" ht="17.100000000000001" customHeight="1" x14ac:dyDescent="0.2">
      <c r="A22" s="3">
        <v>16</v>
      </c>
      <c r="B22" s="4" t="s">
        <v>285</v>
      </c>
      <c r="C22" s="4" t="s">
        <v>286</v>
      </c>
      <c r="D22" s="4" t="s">
        <v>22</v>
      </c>
      <c r="E22" s="5">
        <v>34622</v>
      </c>
      <c r="F22" s="6">
        <v>82.781201999999993</v>
      </c>
      <c r="G22" s="7">
        <v>1.9418164000000002E-2</v>
      </c>
      <c r="H22" s="49"/>
    </row>
    <row r="23" spans="1:8" ht="17.100000000000001" customHeight="1" x14ac:dyDescent="0.2">
      <c r="A23" s="3">
        <v>17</v>
      </c>
      <c r="B23" s="4" t="s">
        <v>370</v>
      </c>
      <c r="C23" s="4" t="s">
        <v>371</v>
      </c>
      <c r="D23" s="4" t="s">
        <v>108</v>
      </c>
      <c r="E23" s="5">
        <v>14697</v>
      </c>
      <c r="F23" s="6">
        <v>79.716527999999997</v>
      </c>
      <c r="G23" s="7">
        <v>1.8699277E-2</v>
      </c>
      <c r="H23" s="49"/>
    </row>
    <row r="24" spans="1:8" ht="17.100000000000001" customHeight="1" x14ac:dyDescent="0.2">
      <c r="A24" s="3">
        <v>18</v>
      </c>
      <c r="B24" s="4" t="s">
        <v>419</v>
      </c>
      <c r="C24" s="4" t="s">
        <v>420</v>
      </c>
      <c r="D24" s="4" t="s">
        <v>227</v>
      </c>
      <c r="E24" s="5">
        <v>24683</v>
      </c>
      <c r="F24" s="6">
        <v>73.024655499999994</v>
      </c>
      <c r="G24" s="7">
        <v>1.712955E-2</v>
      </c>
      <c r="H24" s="49"/>
    </row>
    <row r="25" spans="1:8" ht="17.100000000000001" customHeight="1" x14ac:dyDescent="0.2">
      <c r="A25" s="3">
        <v>19</v>
      </c>
      <c r="B25" s="4" t="s">
        <v>372</v>
      </c>
      <c r="C25" s="4" t="s">
        <v>373</v>
      </c>
      <c r="D25" s="4" t="s">
        <v>103</v>
      </c>
      <c r="E25" s="5">
        <v>12401</v>
      </c>
      <c r="F25" s="6">
        <v>68.583730500000001</v>
      </c>
      <c r="G25" s="7">
        <v>1.6087832999999999E-2</v>
      </c>
      <c r="H25" s="49"/>
    </row>
    <row r="26" spans="1:8" ht="17.100000000000001" customHeight="1" x14ac:dyDescent="0.2">
      <c r="A26" s="3">
        <v>20</v>
      </c>
      <c r="B26" s="4" t="s">
        <v>404</v>
      </c>
      <c r="C26" s="4" t="s">
        <v>405</v>
      </c>
      <c r="D26" s="4" t="s">
        <v>317</v>
      </c>
      <c r="E26" s="5">
        <v>4311</v>
      </c>
      <c r="F26" s="6">
        <v>67.352908499999998</v>
      </c>
      <c r="G26" s="7">
        <v>1.5799115999999998E-2</v>
      </c>
      <c r="H26" s="49"/>
    </row>
    <row r="27" spans="1:8" ht="17.100000000000001" customHeight="1" x14ac:dyDescent="0.2">
      <c r="A27" s="3">
        <v>21</v>
      </c>
      <c r="B27" s="4" t="s">
        <v>423</v>
      </c>
      <c r="C27" s="4" t="s">
        <v>424</v>
      </c>
      <c r="D27" s="4" t="s">
        <v>233</v>
      </c>
      <c r="E27" s="5">
        <v>8986</v>
      </c>
      <c r="F27" s="6">
        <v>65.139514000000005</v>
      </c>
      <c r="G27" s="7">
        <v>1.5279915999999999E-2</v>
      </c>
      <c r="H27" s="49"/>
    </row>
    <row r="28" spans="1:8" ht="29.1" customHeight="1" x14ac:dyDescent="0.2">
      <c r="A28" s="3">
        <v>22</v>
      </c>
      <c r="B28" s="4" t="s">
        <v>61</v>
      </c>
      <c r="C28" s="4" t="s">
        <v>62</v>
      </c>
      <c r="D28" s="4" t="s">
        <v>25</v>
      </c>
      <c r="E28" s="5">
        <v>2108</v>
      </c>
      <c r="F28" s="6">
        <v>64.920075999999995</v>
      </c>
      <c r="G28" s="7">
        <v>1.5228442E-2</v>
      </c>
      <c r="H28" s="49"/>
    </row>
    <row r="29" spans="1:8" ht="29.1" customHeight="1" x14ac:dyDescent="0.2">
      <c r="A29" s="3">
        <v>23</v>
      </c>
      <c r="B29" s="4" t="s">
        <v>425</v>
      </c>
      <c r="C29" s="4" t="s">
        <v>426</v>
      </c>
      <c r="D29" s="4" t="s">
        <v>48</v>
      </c>
      <c r="E29" s="5">
        <v>2243</v>
      </c>
      <c r="F29" s="6">
        <v>61.559134999999998</v>
      </c>
      <c r="G29" s="7">
        <v>1.4440059E-2</v>
      </c>
      <c r="H29" s="49"/>
    </row>
    <row r="30" spans="1:8" ht="29.1" customHeight="1" x14ac:dyDescent="0.2">
      <c r="A30" s="3">
        <v>24</v>
      </c>
      <c r="B30" s="4" t="s">
        <v>213</v>
      </c>
      <c r="C30" s="4" t="s">
        <v>214</v>
      </c>
      <c r="D30" s="4" t="s">
        <v>215</v>
      </c>
      <c r="E30" s="5">
        <v>14038</v>
      </c>
      <c r="F30" s="6">
        <v>58.601630999999998</v>
      </c>
      <c r="G30" s="7">
        <v>1.3746309999999999E-2</v>
      </c>
      <c r="H30" s="49"/>
    </row>
    <row r="31" spans="1:8" ht="17.100000000000001" customHeight="1" x14ac:dyDescent="0.2">
      <c r="A31" s="3">
        <v>25</v>
      </c>
      <c r="B31" s="4" t="s">
        <v>223</v>
      </c>
      <c r="C31" s="4" t="s">
        <v>224</v>
      </c>
      <c r="D31" s="4" t="s">
        <v>89</v>
      </c>
      <c r="E31" s="5">
        <v>1054</v>
      </c>
      <c r="F31" s="6">
        <v>57.329168000000003</v>
      </c>
      <c r="G31" s="7">
        <v>1.3447826E-2</v>
      </c>
      <c r="H31" s="49"/>
    </row>
    <row r="32" spans="1:8" ht="29.1" customHeight="1" x14ac:dyDescent="0.2">
      <c r="A32" s="3">
        <v>26</v>
      </c>
      <c r="B32" s="4" t="s">
        <v>421</v>
      </c>
      <c r="C32" s="4" t="s">
        <v>422</v>
      </c>
      <c r="D32" s="4" t="s">
        <v>215</v>
      </c>
      <c r="E32" s="5">
        <v>13484</v>
      </c>
      <c r="F32" s="6">
        <v>53.619126000000001</v>
      </c>
      <c r="G32" s="7">
        <v>1.2577553999999999E-2</v>
      </c>
      <c r="H32" s="49"/>
    </row>
    <row r="33" spans="1:8" ht="29.1" customHeight="1" x14ac:dyDescent="0.2">
      <c r="A33" s="3">
        <v>27</v>
      </c>
      <c r="B33" s="4" t="s">
        <v>385</v>
      </c>
      <c r="C33" s="4" t="s">
        <v>386</v>
      </c>
      <c r="D33" s="4" t="s">
        <v>69</v>
      </c>
      <c r="E33" s="5">
        <v>3341</v>
      </c>
      <c r="F33" s="6">
        <v>53.0099765</v>
      </c>
      <c r="G33" s="7">
        <v>1.2434664E-2</v>
      </c>
      <c r="H33" s="49"/>
    </row>
    <row r="34" spans="1:8" ht="17.100000000000001" customHeight="1" x14ac:dyDescent="0.2">
      <c r="A34" s="3">
        <v>28</v>
      </c>
      <c r="B34" s="4" t="s">
        <v>432</v>
      </c>
      <c r="C34" s="4" t="s">
        <v>433</v>
      </c>
      <c r="D34" s="4" t="s">
        <v>103</v>
      </c>
      <c r="E34" s="5">
        <v>62967</v>
      </c>
      <c r="F34" s="6">
        <v>51.601456499999998</v>
      </c>
      <c r="G34" s="7">
        <v>1.2104264E-2</v>
      </c>
      <c r="H34" s="49"/>
    </row>
    <row r="35" spans="1:8" ht="53.1" customHeight="1" x14ac:dyDescent="0.2">
      <c r="A35" s="3">
        <v>29</v>
      </c>
      <c r="B35" s="4" t="s">
        <v>336</v>
      </c>
      <c r="C35" s="4" t="s">
        <v>1043</v>
      </c>
      <c r="D35" s="4" t="s">
        <v>51</v>
      </c>
      <c r="E35" s="5">
        <v>14626</v>
      </c>
      <c r="F35" s="6">
        <v>49.611392000000002</v>
      </c>
      <c r="G35" s="7">
        <v>1.1637451E-2</v>
      </c>
      <c r="H35" s="49"/>
    </row>
    <row r="36" spans="1:8" ht="17.100000000000001" customHeight="1" x14ac:dyDescent="0.2">
      <c r="A36" s="3">
        <v>30</v>
      </c>
      <c r="B36" s="4" t="s">
        <v>449</v>
      </c>
      <c r="C36" s="4" t="s">
        <v>450</v>
      </c>
      <c r="D36" s="4" t="s">
        <v>1042</v>
      </c>
      <c r="E36" s="5">
        <v>5849</v>
      </c>
      <c r="F36" s="6">
        <v>48.973677000000002</v>
      </c>
      <c r="G36" s="7">
        <v>1.1487861E-2</v>
      </c>
      <c r="H36" s="49"/>
    </row>
    <row r="37" spans="1:8" ht="17.100000000000001" customHeight="1" x14ac:dyDescent="0.2">
      <c r="A37" s="3">
        <v>31</v>
      </c>
      <c r="B37" s="4" t="s">
        <v>39</v>
      </c>
      <c r="C37" s="4" t="s">
        <v>40</v>
      </c>
      <c r="D37" s="4" t="s">
        <v>16</v>
      </c>
      <c r="E37" s="5">
        <v>8081</v>
      </c>
      <c r="F37" s="6">
        <v>48.683984500000001</v>
      </c>
      <c r="G37" s="7">
        <v>1.1419907E-2</v>
      </c>
      <c r="H37" s="49"/>
    </row>
    <row r="38" spans="1:8" ht="17.100000000000001" customHeight="1" x14ac:dyDescent="0.2">
      <c r="A38" s="3">
        <v>32</v>
      </c>
      <c r="B38" s="4" t="s">
        <v>396</v>
      </c>
      <c r="C38" s="4" t="s">
        <v>397</v>
      </c>
      <c r="D38" s="4" t="s">
        <v>31</v>
      </c>
      <c r="E38" s="5">
        <v>5737</v>
      </c>
      <c r="F38" s="6">
        <v>47.766261999999998</v>
      </c>
      <c r="G38" s="7">
        <v>1.1204634999999999E-2</v>
      </c>
      <c r="H38" s="49"/>
    </row>
    <row r="39" spans="1:8" ht="17.100000000000001" customHeight="1" x14ac:dyDescent="0.2">
      <c r="A39" s="3">
        <v>33</v>
      </c>
      <c r="B39" s="4" t="s">
        <v>374</v>
      </c>
      <c r="C39" s="4" t="s">
        <v>375</v>
      </c>
      <c r="D39" s="4" t="s">
        <v>103</v>
      </c>
      <c r="E39" s="5">
        <v>6397</v>
      </c>
      <c r="F39" s="6">
        <v>46.934789000000002</v>
      </c>
      <c r="G39" s="7">
        <v>1.1009593999999999E-2</v>
      </c>
      <c r="H39" s="49"/>
    </row>
    <row r="40" spans="1:8" ht="29.1" customHeight="1" x14ac:dyDescent="0.2">
      <c r="A40" s="3">
        <v>34</v>
      </c>
      <c r="B40" s="4" t="s">
        <v>451</v>
      </c>
      <c r="C40" s="4" t="s">
        <v>452</v>
      </c>
      <c r="D40" s="4" t="s">
        <v>364</v>
      </c>
      <c r="E40" s="5">
        <v>8568</v>
      </c>
      <c r="F40" s="6">
        <v>46.789847999999999</v>
      </c>
      <c r="G40" s="7">
        <v>1.0975594999999999E-2</v>
      </c>
      <c r="H40" s="49"/>
    </row>
    <row r="41" spans="1:8" ht="17.100000000000001" customHeight="1" x14ac:dyDescent="0.2">
      <c r="A41" s="3">
        <v>35</v>
      </c>
      <c r="B41" s="4" t="s">
        <v>453</v>
      </c>
      <c r="C41" s="4" t="s">
        <v>454</v>
      </c>
      <c r="D41" s="4" t="s">
        <v>38</v>
      </c>
      <c r="E41" s="5">
        <v>16529</v>
      </c>
      <c r="F41" s="6">
        <v>46.215083999999997</v>
      </c>
      <c r="G41" s="7">
        <v>1.0840772E-2</v>
      </c>
      <c r="H41" s="49"/>
    </row>
    <row r="42" spans="1:8" ht="29.1" customHeight="1" x14ac:dyDescent="0.2">
      <c r="A42" s="3">
        <v>36</v>
      </c>
      <c r="B42" s="4" t="s">
        <v>442</v>
      </c>
      <c r="C42" s="4" t="s">
        <v>443</v>
      </c>
      <c r="D42" s="4" t="s">
        <v>364</v>
      </c>
      <c r="E42" s="5">
        <v>7362</v>
      </c>
      <c r="F42" s="6">
        <v>44.348688000000003</v>
      </c>
      <c r="G42" s="7">
        <v>1.0402967000000001E-2</v>
      </c>
      <c r="H42" s="49"/>
    </row>
    <row r="43" spans="1:8" ht="17.100000000000001" customHeight="1" x14ac:dyDescent="0.2">
      <c r="A43" s="3">
        <v>37</v>
      </c>
      <c r="B43" s="4" t="s">
        <v>383</v>
      </c>
      <c r="C43" s="4" t="s">
        <v>384</v>
      </c>
      <c r="D43" s="4" t="s">
        <v>31</v>
      </c>
      <c r="E43" s="5">
        <v>5096</v>
      </c>
      <c r="F43" s="6">
        <v>43.479072000000002</v>
      </c>
      <c r="G43" s="7">
        <v>1.0198979E-2</v>
      </c>
      <c r="H43" s="49"/>
    </row>
    <row r="44" spans="1:8" ht="17.100000000000001" customHeight="1" x14ac:dyDescent="0.2">
      <c r="A44" s="3">
        <v>38</v>
      </c>
      <c r="B44" s="4" t="s">
        <v>455</v>
      </c>
      <c r="C44" s="4" t="s">
        <v>456</v>
      </c>
      <c r="D44" s="4" t="s">
        <v>108</v>
      </c>
      <c r="E44" s="5">
        <v>3437</v>
      </c>
      <c r="F44" s="6">
        <v>42.122153500000003</v>
      </c>
      <c r="G44" s="7">
        <v>9.8806840000000007E-3</v>
      </c>
      <c r="H44" s="49"/>
    </row>
    <row r="45" spans="1:8" ht="29.1" customHeight="1" x14ac:dyDescent="0.2">
      <c r="A45" s="3">
        <v>39</v>
      </c>
      <c r="B45" s="4" t="s">
        <v>436</v>
      </c>
      <c r="C45" s="4" t="s">
        <v>437</v>
      </c>
      <c r="D45" s="4" t="s">
        <v>215</v>
      </c>
      <c r="E45" s="5">
        <v>2084</v>
      </c>
      <c r="F45" s="6">
        <v>42.059288000000002</v>
      </c>
      <c r="G45" s="7">
        <v>9.8659379999999994E-3</v>
      </c>
      <c r="H45" s="49"/>
    </row>
    <row r="46" spans="1:8" ht="17.100000000000001" customHeight="1" x14ac:dyDescent="0.2">
      <c r="A46" s="3">
        <v>40</v>
      </c>
      <c r="B46" s="4" t="s">
        <v>32</v>
      </c>
      <c r="C46" s="4" t="s">
        <v>33</v>
      </c>
      <c r="D46" s="4" t="s">
        <v>31</v>
      </c>
      <c r="E46" s="5">
        <v>1006</v>
      </c>
      <c r="F46" s="6">
        <v>41.724856000000003</v>
      </c>
      <c r="G46" s="7">
        <v>9.7874889999999999E-3</v>
      </c>
      <c r="H46" s="49"/>
    </row>
    <row r="47" spans="1:8" ht="17.100000000000001" customHeight="1" x14ac:dyDescent="0.2">
      <c r="A47" s="3">
        <v>41</v>
      </c>
      <c r="B47" s="4" t="s">
        <v>457</v>
      </c>
      <c r="C47" s="4" t="s">
        <v>458</v>
      </c>
      <c r="D47" s="4" t="s">
        <v>13</v>
      </c>
      <c r="E47" s="5">
        <v>8109</v>
      </c>
      <c r="F47" s="6">
        <v>41.124793500000003</v>
      </c>
      <c r="G47" s="7">
        <v>9.6467310000000004E-3</v>
      </c>
      <c r="H47" s="49"/>
    </row>
    <row r="48" spans="1:8" ht="29.1" customHeight="1" x14ac:dyDescent="0.2">
      <c r="A48" s="3">
        <v>42</v>
      </c>
      <c r="B48" s="4" t="s">
        <v>283</v>
      </c>
      <c r="C48" s="4" t="s">
        <v>284</v>
      </c>
      <c r="D48" s="4" t="s">
        <v>193</v>
      </c>
      <c r="E48" s="5">
        <v>5691</v>
      </c>
      <c r="F48" s="6">
        <v>40.921135499999998</v>
      </c>
      <c r="G48" s="7">
        <v>9.5989590000000007E-3</v>
      </c>
      <c r="H48" s="49"/>
    </row>
    <row r="49" spans="1:8" ht="17.100000000000001" customHeight="1" x14ac:dyDescent="0.2">
      <c r="A49" s="3">
        <v>43</v>
      </c>
      <c r="B49" s="4" t="s">
        <v>376</v>
      </c>
      <c r="C49" s="4" t="s">
        <v>377</v>
      </c>
      <c r="D49" s="4" t="s">
        <v>108</v>
      </c>
      <c r="E49" s="5">
        <v>6701</v>
      </c>
      <c r="F49" s="6">
        <v>40.829192999999997</v>
      </c>
      <c r="G49" s="7">
        <v>9.5773909999999993E-3</v>
      </c>
      <c r="H49" s="49"/>
    </row>
    <row r="50" spans="1:8" ht="29.1" customHeight="1" x14ac:dyDescent="0.2">
      <c r="A50" s="3">
        <v>44</v>
      </c>
      <c r="B50" s="4" t="s">
        <v>429</v>
      </c>
      <c r="C50" s="4" t="s">
        <v>430</v>
      </c>
      <c r="D50" s="4" t="s">
        <v>431</v>
      </c>
      <c r="E50" s="5">
        <v>30866</v>
      </c>
      <c r="F50" s="6">
        <v>38.968325</v>
      </c>
      <c r="G50" s="7">
        <v>9.1408840000000002E-3</v>
      </c>
      <c r="H50" s="49"/>
    </row>
    <row r="51" spans="1:8" ht="17.100000000000001" customHeight="1" x14ac:dyDescent="0.2">
      <c r="A51" s="3">
        <v>45</v>
      </c>
      <c r="B51" s="4" t="s">
        <v>247</v>
      </c>
      <c r="C51" s="4" t="s">
        <v>248</v>
      </c>
      <c r="D51" s="4" t="s">
        <v>103</v>
      </c>
      <c r="E51" s="5">
        <v>6402</v>
      </c>
      <c r="F51" s="6">
        <v>37.803809999999999</v>
      </c>
      <c r="G51" s="7">
        <v>8.8677210000000003E-3</v>
      </c>
      <c r="H51" s="49"/>
    </row>
    <row r="52" spans="1:8" ht="17.100000000000001" customHeight="1" x14ac:dyDescent="0.2">
      <c r="A52" s="3">
        <v>46</v>
      </c>
      <c r="B52" s="4" t="s">
        <v>461</v>
      </c>
      <c r="C52" s="4" t="s">
        <v>462</v>
      </c>
      <c r="D52" s="4" t="s">
        <v>43</v>
      </c>
      <c r="E52" s="5">
        <v>5422</v>
      </c>
      <c r="F52" s="6">
        <v>37.533794999999998</v>
      </c>
      <c r="G52" s="7">
        <v>8.8043830000000007E-3</v>
      </c>
      <c r="H52" s="49"/>
    </row>
    <row r="53" spans="1:8" ht="17.100000000000001" customHeight="1" x14ac:dyDescent="0.2">
      <c r="A53" s="3">
        <v>47</v>
      </c>
      <c r="B53" s="4" t="s">
        <v>391</v>
      </c>
      <c r="C53" s="4" t="s">
        <v>392</v>
      </c>
      <c r="D53" s="4" t="s">
        <v>196</v>
      </c>
      <c r="E53" s="5">
        <v>4863</v>
      </c>
      <c r="F53" s="6">
        <v>36.494383499999998</v>
      </c>
      <c r="G53" s="7">
        <v>8.5605660000000004E-3</v>
      </c>
      <c r="H53" s="49"/>
    </row>
    <row r="54" spans="1:8" ht="29.1" customHeight="1" x14ac:dyDescent="0.2">
      <c r="A54" s="3">
        <v>48</v>
      </c>
      <c r="B54" s="4" t="s">
        <v>459</v>
      </c>
      <c r="C54" s="4" t="s">
        <v>460</v>
      </c>
      <c r="D54" s="4" t="s">
        <v>380</v>
      </c>
      <c r="E54" s="5">
        <v>8297</v>
      </c>
      <c r="F54" s="6">
        <v>36.307671999999997</v>
      </c>
      <c r="G54" s="7">
        <v>8.5167690000000004E-3</v>
      </c>
      <c r="H54" s="49"/>
    </row>
    <row r="55" spans="1:8" ht="17.100000000000001" customHeight="1" x14ac:dyDescent="0.2">
      <c r="A55" s="3">
        <v>49</v>
      </c>
      <c r="B55" s="4" t="s">
        <v>402</v>
      </c>
      <c r="C55" s="4" t="s">
        <v>403</v>
      </c>
      <c r="D55" s="4" t="s">
        <v>103</v>
      </c>
      <c r="E55" s="5">
        <v>3781</v>
      </c>
      <c r="F55" s="6">
        <v>36.307052499999998</v>
      </c>
      <c r="G55" s="7">
        <v>8.5166229999999992E-3</v>
      </c>
      <c r="H55" s="49"/>
    </row>
    <row r="56" spans="1:8" ht="17.100000000000001" customHeight="1" x14ac:dyDescent="0.2">
      <c r="A56" s="3">
        <v>50</v>
      </c>
      <c r="B56" s="4" t="s">
        <v>412</v>
      </c>
      <c r="C56" s="4" t="s">
        <v>413</v>
      </c>
      <c r="D56" s="4" t="s">
        <v>267</v>
      </c>
      <c r="E56" s="5">
        <v>11014</v>
      </c>
      <c r="F56" s="6">
        <v>35.096111000000001</v>
      </c>
      <c r="G56" s="7">
        <v>8.2325699999999998E-3</v>
      </c>
      <c r="H56" s="49"/>
    </row>
    <row r="57" spans="1:8" ht="29.1" customHeight="1" x14ac:dyDescent="0.2">
      <c r="A57" s="3">
        <v>51</v>
      </c>
      <c r="B57" s="4" t="s">
        <v>378</v>
      </c>
      <c r="C57" s="4" t="s">
        <v>379</v>
      </c>
      <c r="D57" s="4" t="s">
        <v>380</v>
      </c>
      <c r="E57" s="5">
        <v>8569</v>
      </c>
      <c r="F57" s="6">
        <v>34.0574905</v>
      </c>
      <c r="G57" s="7">
        <v>7.9889390000000005E-3</v>
      </c>
      <c r="H57" s="49"/>
    </row>
    <row r="58" spans="1:8" ht="17.100000000000001" customHeight="1" x14ac:dyDescent="0.2">
      <c r="A58" s="3">
        <v>52</v>
      </c>
      <c r="B58" s="4" t="s">
        <v>98</v>
      </c>
      <c r="C58" s="4" t="s">
        <v>99</v>
      </c>
      <c r="D58" s="4" t="s">
        <v>100</v>
      </c>
      <c r="E58" s="5">
        <v>5816</v>
      </c>
      <c r="F58" s="6">
        <v>28.2803</v>
      </c>
      <c r="G58" s="7">
        <v>6.6337710000000001E-3</v>
      </c>
      <c r="H58" s="49"/>
    </row>
    <row r="59" spans="1:8" ht="17.100000000000001" customHeight="1" x14ac:dyDescent="0.2">
      <c r="A59" s="3">
        <v>53</v>
      </c>
      <c r="B59" s="4" t="s">
        <v>410</v>
      </c>
      <c r="C59" s="4" t="s">
        <v>411</v>
      </c>
      <c r="D59" s="4" t="s">
        <v>89</v>
      </c>
      <c r="E59" s="5">
        <v>4235</v>
      </c>
      <c r="F59" s="6">
        <v>27.777365</v>
      </c>
      <c r="G59" s="7">
        <v>6.5157959999999999E-3</v>
      </c>
      <c r="H59" s="49"/>
    </row>
    <row r="60" spans="1:8" ht="29.1" customHeight="1" x14ac:dyDescent="0.2">
      <c r="A60" s="3">
        <v>54</v>
      </c>
      <c r="B60" s="4" t="s">
        <v>406</v>
      </c>
      <c r="C60" s="4" t="s">
        <v>407</v>
      </c>
      <c r="D60" s="4" t="s">
        <v>108</v>
      </c>
      <c r="E60" s="5">
        <v>2300</v>
      </c>
      <c r="F60" s="6">
        <v>27.067550000000001</v>
      </c>
      <c r="G60" s="7">
        <v>6.3492929999999998E-3</v>
      </c>
      <c r="H60" s="49"/>
    </row>
    <row r="61" spans="1:8" ht="17.100000000000001" customHeight="1" x14ac:dyDescent="0.2">
      <c r="A61" s="3">
        <v>55</v>
      </c>
      <c r="B61" s="4" t="s">
        <v>393</v>
      </c>
      <c r="C61" s="4" t="s">
        <v>394</v>
      </c>
      <c r="D61" s="4" t="s">
        <v>16</v>
      </c>
      <c r="E61" s="5">
        <v>10375</v>
      </c>
      <c r="F61" s="6">
        <v>22.648624999999999</v>
      </c>
      <c r="G61" s="7">
        <v>5.3127369999999997E-3</v>
      </c>
      <c r="H61" s="49"/>
    </row>
    <row r="62" spans="1:8" ht="17.100000000000001" customHeight="1" x14ac:dyDescent="0.2">
      <c r="A62" s="3">
        <v>56</v>
      </c>
      <c r="B62" s="4" t="s">
        <v>434</v>
      </c>
      <c r="C62" s="4" t="s">
        <v>435</v>
      </c>
      <c r="D62" s="4" t="s">
        <v>218</v>
      </c>
      <c r="E62" s="5">
        <v>2788</v>
      </c>
      <c r="F62" s="6">
        <v>21.330988000000001</v>
      </c>
      <c r="G62" s="7">
        <v>5.0036560000000004E-3</v>
      </c>
      <c r="H62" s="49"/>
    </row>
    <row r="63" spans="1:8" ht="17.100000000000001" customHeight="1" x14ac:dyDescent="0.2">
      <c r="A63" s="3">
        <v>57</v>
      </c>
      <c r="B63" s="4" t="s">
        <v>438</v>
      </c>
      <c r="C63" s="4" t="s">
        <v>439</v>
      </c>
      <c r="D63" s="4" t="s">
        <v>31</v>
      </c>
      <c r="E63" s="5">
        <v>2256</v>
      </c>
      <c r="F63" s="6">
        <v>19.906943999999999</v>
      </c>
      <c r="G63" s="7">
        <v>4.6696150000000002E-3</v>
      </c>
      <c r="H63" s="49"/>
    </row>
    <row r="64" spans="1:8" ht="29.1" customHeight="1" x14ac:dyDescent="0.2">
      <c r="A64" s="3">
        <v>58</v>
      </c>
      <c r="B64" s="4" t="s">
        <v>440</v>
      </c>
      <c r="C64" s="4" t="s">
        <v>441</v>
      </c>
      <c r="D64" s="4" t="s">
        <v>215</v>
      </c>
      <c r="E64" s="5">
        <v>6683</v>
      </c>
      <c r="F64" s="6">
        <v>17.629753999999998</v>
      </c>
      <c r="G64" s="7">
        <v>4.1354490000000002E-3</v>
      </c>
      <c r="H64" s="49"/>
    </row>
    <row r="65" spans="1:8" ht="17.100000000000001" customHeight="1" x14ac:dyDescent="0.2">
      <c r="A65" s="3">
        <v>59</v>
      </c>
      <c r="B65" s="4" t="s">
        <v>427</v>
      </c>
      <c r="C65" s="4" t="s">
        <v>428</v>
      </c>
      <c r="D65" s="4" t="s">
        <v>13</v>
      </c>
      <c r="E65" s="5">
        <v>21843</v>
      </c>
      <c r="F65" s="6">
        <v>17.332420500000001</v>
      </c>
      <c r="G65" s="7">
        <v>4.0657030000000004E-3</v>
      </c>
      <c r="H65" s="49"/>
    </row>
    <row r="66" spans="1:8" ht="29.1" customHeight="1" x14ac:dyDescent="0.2">
      <c r="A66" s="3">
        <v>60</v>
      </c>
      <c r="B66" s="4" t="s">
        <v>387</v>
      </c>
      <c r="C66" s="4" t="s">
        <v>388</v>
      </c>
      <c r="D66" s="4" t="s">
        <v>215</v>
      </c>
      <c r="E66" s="5">
        <v>411</v>
      </c>
      <c r="F66" s="6">
        <v>17.114039999999999</v>
      </c>
      <c r="G66" s="7">
        <v>4.0144769999999998E-3</v>
      </c>
      <c r="H66" s="49"/>
    </row>
    <row r="67" spans="1:8" ht="17.100000000000001" customHeight="1" x14ac:dyDescent="0.2">
      <c r="A67" s="3">
        <v>61</v>
      </c>
      <c r="B67" s="4" t="s">
        <v>330</v>
      </c>
      <c r="C67" s="4" t="s">
        <v>331</v>
      </c>
      <c r="D67" s="4" t="s">
        <v>100</v>
      </c>
      <c r="E67" s="5">
        <v>21125</v>
      </c>
      <c r="F67" s="6">
        <v>16.635937500000001</v>
      </c>
      <c r="G67" s="7">
        <v>3.902328E-3</v>
      </c>
      <c r="H67" s="49"/>
    </row>
    <row r="68" spans="1:8" ht="17.100000000000001" customHeight="1" x14ac:dyDescent="0.2">
      <c r="A68" s="3">
        <v>62</v>
      </c>
      <c r="B68" s="4" t="s">
        <v>408</v>
      </c>
      <c r="C68" s="4" t="s">
        <v>409</v>
      </c>
      <c r="D68" s="4" t="s">
        <v>108</v>
      </c>
      <c r="E68" s="5">
        <v>5685</v>
      </c>
      <c r="F68" s="6">
        <v>15.17895</v>
      </c>
      <c r="G68" s="7">
        <v>3.560559E-3</v>
      </c>
      <c r="H68" s="49"/>
    </row>
    <row r="69" spans="1:8" ht="29.1" customHeight="1" x14ac:dyDescent="0.2">
      <c r="A69" s="3">
        <v>63</v>
      </c>
      <c r="B69" s="4" t="s">
        <v>322</v>
      </c>
      <c r="C69" s="4" t="s">
        <v>323</v>
      </c>
      <c r="D69" s="4" t="s">
        <v>193</v>
      </c>
      <c r="E69" s="5">
        <v>3145</v>
      </c>
      <c r="F69" s="6">
        <v>12.2136075</v>
      </c>
      <c r="G69" s="7">
        <v>2.8649719999999999E-3</v>
      </c>
      <c r="H69" s="49"/>
    </row>
    <row r="70" spans="1:8" ht="29.1" customHeight="1" x14ac:dyDescent="0.2">
      <c r="A70" s="3">
        <v>64</v>
      </c>
      <c r="B70" s="4" t="s">
        <v>414</v>
      </c>
      <c r="C70" s="4" t="s">
        <v>415</v>
      </c>
      <c r="D70" s="4" t="s">
        <v>60</v>
      </c>
      <c r="E70" s="5">
        <v>1899</v>
      </c>
      <c r="F70" s="6">
        <v>6.9845220000000001</v>
      </c>
      <c r="G70" s="7">
        <v>1.638374E-3</v>
      </c>
      <c r="H70" s="49"/>
    </row>
    <row r="71" spans="1:8" ht="29.1" customHeight="1" x14ac:dyDescent="0.2">
      <c r="A71" s="3">
        <v>65</v>
      </c>
      <c r="B71" s="4" t="s">
        <v>444</v>
      </c>
      <c r="C71" s="4" t="s">
        <v>445</v>
      </c>
      <c r="D71" s="4" t="s">
        <v>193</v>
      </c>
      <c r="E71" s="5">
        <v>982</v>
      </c>
      <c r="F71" s="6">
        <v>6.3294810000000004</v>
      </c>
      <c r="G71" s="7">
        <v>1.4847199999999999E-3</v>
      </c>
      <c r="H71" s="49"/>
    </row>
    <row r="72" spans="1:8" ht="14.1" customHeight="1" x14ac:dyDescent="0.2">
      <c r="A72" s="1"/>
      <c r="B72" s="1"/>
      <c r="C72" s="2" t="s">
        <v>130</v>
      </c>
      <c r="D72" s="1"/>
      <c r="E72" s="1" t="s">
        <v>131</v>
      </c>
      <c r="F72" s="9">
        <v>3711.3750884999999</v>
      </c>
      <c r="G72" s="10">
        <v>0.87058522900000002</v>
      </c>
      <c r="H72" s="49"/>
    </row>
    <row r="73" spans="1:8" ht="14.1" customHeight="1" x14ac:dyDescent="0.2">
      <c r="A73" s="1"/>
      <c r="B73" s="1"/>
      <c r="C73" s="11"/>
      <c r="D73" s="1"/>
      <c r="E73" s="1"/>
      <c r="F73" s="12"/>
      <c r="G73" s="12"/>
      <c r="H73" s="49"/>
    </row>
    <row r="74" spans="1:8" ht="14.1" customHeight="1" x14ac:dyDescent="0.2">
      <c r="A74" s="1"/>
      <c r="B74" s="1"/>
      <c r="C74" s="2" t="s">
        <v>132</v>
      </c>
      <c r="D74" s="1"/>
      <c r="E74" s="1"/>
      <c r="F74" s="1"/>
      <c r="G74" s="1"/>
      <c r="H74" s="49"/>
    </row>
    <row r="75" spans="1:8" ht="14.1" customHeight="1" x14ac:dyDescent="0.2">
      <c r="A75" s="1"/>
      <c r="B75" s="1"/>
      <c r="C75" s="2" t="s">
        <v>130</v>
      </c>
      <c r="D75" s="1"/>
      <c r="E75" s="1" t="s">
        <v>131</v>
      </c>
      <c r="F75" s="13">
        <v>0</v>
      </c>
      <c r="G75" s="14">
        <v>0</v>
      </c>
      <c r="H75" s="49"/>
    </row>
    <row r="76" spans="1:8" ht="14.1" customHeight="1" x14ac:dyDescent="0.2">
      <c r="A76" s="1"/>
      <c r="B76" s="1"/>
      <c r="C76" s="11"/>
      <c r="D76" s="1"/>
      <c r="E76" s="1"/>
      <c r="F76" s="12"/>
      <c r="G76" s="12"/>
      <c r="H76" s="49"/>
    </row>
    <row r="77" spans="1:8" ht="14.1" customHeight="1" x14ac:dyDescent="0.2">
      <c r="A77" s="1"/>
      <c r="B77" s="1"/>
      <c r="C77" s="2" t="s">
        <v>133</v>
      </c>
      <c r="D77" s="1"/>
      <c r="E77" s="1"/>
      <c r="F77" s="1"/>
      <c r="G77" s="1"/>
      <c r="H77" s="49"/>
    </row>
    <row r="78" spans="1:8" ht="14.1" customHeight="1" x14ac:dyDescent="0.2">
      <c r="A78" s="1"/>
      <c r="B78" s="1"/>
      <c r="C78" s="2" t="s">
        <v>130</v>
      </c>
      <c r="D78" s="1"/>
      <c r="E78" s="1" t="s">
        <v>131</v>
      </c>
      <c r="F78" s="13">
        <v>0</v>
      </c>
      <c r="G78" s="14">
        <v>0</v>
      </c>
      <c r="H78" s="49"/>
    </row>
    <row r="79" spans="1:8" ht="14.1" customHeight="1" x14ac:dyDescent="0.2">
      <c r="A79" s="1"/>
      <c r="B79" s="1"/>
      <c r="C79" s="11"/>
      <c r="D79" s="1"/>
      <c r="E79" s="1"/>
      <c r="F79" s="12"/>
      <c r="G79" s="12"/>
      <c r="H79" s="49"/>
    </row>
    <row r="80" spans="1:8" ht="14.1" customHeight="1" x14ac:dyDescent="0.2">
      <c r="A80" s="1"/>
      <c r="B80" s="1"/>
      <c r="C80" s="2" t="s">
        <v>134</v>
      </c>
      <c r="D80" s="1"/>
      <c r="E80" s="1"/>
      <c r="F80" s="1"/>
      <c r="G80" s="1"/>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135</v>
      </c>
      <c r="D83" s="1"/>
      <c r="E83" s="1"/>
      <c r="F83" s="12"/>
      <c r="G83" s="12"/>
      <c r="H83" s="49"/>
    </row>
    <row r="84" spans="1:8" ht="14.1" customHeight="1" x14ac:dyDescent="0.2">
      <c r="A84" s="1"/>
      <c r="B84" s="1"/>
      <c r="C84" s="2" t="s">
        <v>130</v>
      </c>
      <c r="D84" s="1"/>
      <c r="E84" s="1" t="s">
        <v>131</v>
      </c>
      <c r="F84" s="13">
        <v>0</v>
      </c>
      <c r="G84" s="14">
        <v>0</v>
      </c>
      <c r="H84" s="49"/>
    </row>
    <row r="85" spans="1:8" ht="14.1" customHeight="1" x14ac:dyDescent="0.2">
      <c r="A85" s="1"/>
      <c r="B85" s="1"/>
      <c r="C85" s="11"/>
      <c r="D85" s="1"/>
      <c r="E85" s="1"/>
      <c r="F85" s="12"/>
      <c r="G85" s="12"/>
      <c r="H85" s="49"/>
    </row>
    <row r="86" spans="1:8" ht="14.1" customHeight="1" x14ac:dyDescent="0.2">
      <c r="A86" s="1"/>
      <c r="B86" s="1"/>
      <c r="C86" s="2" t="s">
        <v>136</v>
      </c>
      <c r="D86" s="1"/>
      <c r="E86" s="1"/>
      <c r="F86" s="12"/>
      <c r="G86" s="12"/>
      <c r="H86" s="49"/>
    </row>
    <row r="87" spans="1:8" ht="14.1" customHeight="1" x14ac:dyDescent="0.2">
      <c r="A87" s="1"/>
      <c r="B87" s="1"/>
      <c r="C87" s="2" t="s">
        <v>130</v>
      </c>
      <c r="D87" s="1"/>
      <c r="E87" s="1" t="s">
        <v>131</v>
      </c>
      <c r="F87" s="13">
        <v>0</v>
      </c>
      <c r="G87" s="14">
        <v>0</v>
      </c>
      <c r="H87" s="49"/>
    </row>
    <row r="88" spans="1:8" ht="14.1" customHeight="1" x14ac:dyDescent="0.2">
      <c r="A88" s="1"/>
      <c r="B88" s="1"/>
      <c r="C88" s="11"/>
      <c r="D88" s="1"/>
      <c r="E88" s="1"/>
      <c r="F88" s="12"/>
      <c r="G88" s="12"/>
      <c r="H88" s="49"/>
    </row>
    <row r="89" spans="1:8" ht="18" customHeight="1" x14ac:dyDescent="0.2">
      <c r="A89" s="1"/>
      <c r="B89" s="1"/>
      <c r="C89" s="2" t="s">
        <v>137</v>
      </c>
      <c r="D89" s="1"/>
      <c r="E89" s="1"/>
      <c r="F89" s="9">
        <v>3711.3750884999999</v>
      </c>
      <c r="G89" s="10">
        <v>0.87058522900000002</v>
      </c>
      <c r="H89" s="49"/>
    </row>
    <row r="90" spans="1:8" ht="14.1" customHeight="1" x14ac:dyDescent="0.2">
      <c r="A90" s="1"/>
      <c r="B90" s="1"/>
      <c r="C90" s="11"/>
      <c r="D90" s="1"/>
      <c r="E90" s="1"/>
      <c r="F90" s="12"/>
      <c r="G90" s="12"/>
      <c r="H90" s="49"/>
    </row>
    <row r="91" spans="1:8" ht="14.1" customHeight="1" x14ac:dyDescent="0.2">
      <c r="A91" s="1"/>
      <c r="B91" s="1"/>
      <c r="C91" s="2" t="s">
        <v>138</v>
      </c>
      <c r="D91" s="1"/>
      <c r="E91" s="1"/>
      <c r="F91" s="12"/>
      <c r="G91" s="12"/>
      <c r="H91" s="49"/>
    </row>
    <row r="92" spans="1:8" ht="24" customHeight="1" x14ac:dyDescent="0.2">
      <c r="A92" s="1"/>
      <c r="B92" s="1"/>
      <c r="C92" s="2" t="s">
        <v>10</v>
      </c>
      <c r="D92" s="1"/>
      <c r="E92" s="1"/>
      <c r="F92" s="12"/>
      <c r="G92" s="12"/>
      <c r="H92" s="49"/>
    </row>
    <row r="93" spans="1:8" ht="14.1" customHeight="1" x14ac:dyDescent="0.2">
      <c r="A93" s="1"/>
      <c r="B93" s="1"/>
      <c r="C93" s="2" t="s">
        <v>130</v>
      </c>
      <c r="D93" s="1"/>
      <c r="E93" s="1" t="s">
        <v>131</v>
      </c>
      <c r="F93" s="13">
        <v>0</v>
      </c>
      <c r="G93" s="14">
        <v>0</v>
      </c>
      <c r="H93" s="49"/>
    </row>
    <row r="94" spans="1:8" ht="14.1" customHeight="1" x14ac:dyDescent="0.2">
      <c r="A94" s="1"/>
      <c r="B94" s="1"/>
      <c r="C94" s="11"/>
      <c r="D94" s="1"/>
      <c r="E94" s="1"/>
      <c r="F94" s="12"/>
      <c r="G94" s="12"/>
      <c r="H94" s="49"/>
    </row>
    <row r="95" spans="1:8" ht="14.1" customHeight="1" x14ac:dyDescent="0.2">
      <c r="A95" s="1"/>
      <c r="B95" s="1"/>
      <c r="C95" s="2" t="s">
        <v>139</v>
      </c>
      <c r="D95" s="1"/>
      <c r="E95" s="1"/>
      <c r="F95" s="1"/>
      <c r="G95" s="1"/>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140</v>
      </c>
      <c r="D98" s="1"/>
      <c r="E98" s="1"/>
      <c r="F98" s="1"/>
      <c r="G98" s="1"/>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2" t="s">
        <v>141</v>
      </c>
      <c r="D101" s="1"/>
      <c r="E101" s="1"/>
      <c r="F101" s="12"/>
      <c r="G101" s="12"/>
      <c r="H101" s="49"/>
    </row>
    <row r="102" spans="1:8" ht="14.1" customHeight="1" x14ac:dyDescent="0.2">
      <c r="A102" s="1"/>
      <c r="B102" s="1"/>
      <c r="C102" s="2" t="s">
        <v>130</v>
      </c>
      <c r="D102" s="1"/>
      <c r="E102" s="1" t="s">
        <v>131</v>
      </c>
      <c r="F102" s="13">
        <v>0</v>
      </c>
      <c r="G102" s="14">
        <v>0</v>
      </c>
      <c r="H102" s="49"/>
    </row>
    <row r="103" spans="1:8" ht="14.1" customHeight="1" x14ac:dyDescent="0.2">
      <c r="A103" s="1"/>
      <c r="B103" s="1"/>
      <c r="C103" s="11"/>
      <c r="D103" s="1"/>
      <c r="E103" s="1"/>
      <c r="F103" s="12"/>
      <c r="G103" s="12"/>
      <c r="H103" s="49"/>
    </row>
    <row r="104" spans="1:8" ht="14.1" customHeight="1" x14ac:dyDescent="0.2">
      <c r="A104" s="1"/>
      <c r="B104" s="1"/>
      <c r="C104" s="2" t="s">
        <v>142</v>
      </c>
      <c r="D104" s="1"/>
      <c r="E104" s="1"/>
      <c r="F104" s="9">
        <v>0</v>
      </c>
      <c r="G104" s="10">
        <v>0</v>
      </c>
      <c r="H104" s="49"/>
    </row>
    <row r="105" spans="1:8" ht="14.1" customHeight="1" x14ac:dyDescent="0.2">
      <c r="A105" s="1"/>
      <c r="B105" s="1"/>
      <c r="C105" s="11"/>
      <c r="D105" s="1"/>
      <c r="E105" s="1"/>
      <c r="F105" s="12"/>
      <c r="G105" s="12"/>
      <c r="H105" s="49"/>
    </row>
    <row r="106" spans="1:8" ht="14.1" customHeight="1" x14ac:dyDescent="0.2">
      <c r="A106" s="1"/>
      <c r="B106" s="1"/>
      <c r="C106" s="2" t="s">
        <v>143</v>
      </c>
      <c r="D106" s="1"/>
      <c r="E106" s="1"/>
      <c r="F106" s="12"/>
      <c r="G106" s="12"/>
      <c r="H106" s="49"/>
    </row>
    <row r="107" spans="1:8" ht="14.1" customHeight="1" x14ac:dyDescent="0.2">
      <c r="A107" s="1"/>
      <c r="B107" s="1"/>
      <c r="C107" s="2" t="s">
        <v>144</v>
      </c>
      <c r="D107" s="1"/>
      <c r="E107" s="1"/>
      <c r="F107" s="12"/>
      <c r="G107" s="12"/>
      <c r="H107" s="49"/>
    </row>
    <row r="108" spans="1:8" ht="14.1" customHeight="1" x14ac:dyDescent="0.2">
      <c r="A108" s="1"/>
      <c r="B108" s="1"/>
      <c r="C108" s="2" t="s">
        <v>130</v>
      </c>
      <c r="D108" s="1"/>
      <c r="E108" s="1" t="s">
        <v>131</v>
      </c>
      <c r="F108" s="13">
        <v>0</v>
      </c>
      <c r="G108" s="14">
        <v>0</v>
      </c>
      <c r="H108" s="49"/>
    </row>
    <row r="109" spans="1:8" ht="14.1" customHeight="1" x14ac:dyDescent="0.2">
      <c r="A109" s="1"/>
      <c r="B109" s="1"/>
      <c r="C109" s="11"/>
      <c r="D109" s="1"/>
      <c r="E109" s="1"/>
      <c r="F109" s="12"/>
      <c r="G109" s="12"/>
      <c r="H109" s="49"/>
    </row>
    <row r="110" spans="1:8" ht="14.1" customHeight="1" x14ac:dyDescent="0.2">
      <c r="A110" s="1"/>
      <c r="B110" s="1"/>
      <c r="C110" s="2" t="s">
        <v>145</v>
      </c>
      <c r="D110" s="1"/>
      <c r="E110" s="1"/>
      <c r="F110" s="12"/>
      <c r="G110" s="12"/>
      <c r="H110" s="49"/>
    </row>
    <row r="111" spans="1:8" ht="14.1" customHeight="1" x14ac:dyDescent="0.2">
      <c r="A111" s="1"/>
      <c r="B111" s="1"/>
      <c r="C111" s="2" t="s">
        <v>130</v>
      </c>
      <c r="D111" s="1"/>
      <c r="E111" s="1" t="s">
        <v>131</v>
      </c>
      <c r="F111" s="13">
        <v>0</v>
      </c>
      <c r="G111" s="14">
        <v>0</v>
      </c>
      <c r="H111" s="49"/>
    </row>
    <row r="112" spans="1:8" ht="14.1" customHeight="1" x14ac:dyDescent="0.2">
      <c r="A112" s="1"/>
      <c r="B112" s="1"/>
      <c r="C112" s="11"/>
      <c r="D112" s="1"/>
      <c r="E112" s="1"/>
      <c r="F112" s="12"/>
      <c r="G112" s="12"/>
      <c r="H112" s="49"/>
    </row>
    <row r="113" spans="1:8" ht="14.1" customHeight="1" x14ac:dyDescent="0.2">
      <c r="A113" s="1"/>
      <c r="B113" s="1"/>
      <c r="C113" s="2" t="s">
        <v>146</v>
      </c>
      <c r="D113" s="1"/>
      <c r="E113" s="1"/>
      <c r="F113" s="12"/>
      <c r="G113" s="12"/>
      <c r="H113" s="49"/>
    </row>
    <row r="114" spans="1:8" ht="14.1" customHeight="1" x14ac:dyDescent="0.2">
      <c r="A114" s="1"/>
      <c r="B114" s="1"/>
      <c r="C114" s="2" t="s">
        <v>130</v>
      </c>
      <c r="D114" s="1"/>
      <c r="E114" s="1" t="s">
        <v>131</v>
      </c>
      <c r="F114" s="13">
        <v>0</v>
      </c>
      <c r="G114" s="14">
        <v>0</v>
      </c>
      <c r="H114" s="49"/>
    </row>
    <row r="115" spans="1:8" ht="14.1" customHeight="1" x14ac:dyDescent="0.2">
      <c r="A115" s="1"/>
      <c r="B115" s="1"/>
      <c r="C115" s="11"/>
      <c r="D115" s="1"/>
      <c r="E115" s="1"/>
      <c r="F115" s="12"/>
      <c r="G115" s="12"/>
      <c r="H115" s="49"/>
    </row>
    <row r="116" spans="1:8" ht="14.1" customHeight="1" x14ac:dyDescent="0.2">
      <c r="A116" s="1"/>
      <c r="B116" s="1"/>
      <c r="C116" s="2" t="s">
        <v>147</v>
      </c>
      <c r="D116" s="1"/>
      <c r="E116" s="1"/>
      <c r="F116" s="12"/>
      <c r="G116" s="12"/>
      <c r="H116" s="49"/>
    </row>
    <row r="117" spans="1:8" ht="17.100000000000001" customHeight="1" x14ac:dyDescent="0.2">
      <c r="A117" s="3">
        <v>1</v>
      </c>
      <c r="B117" s="4"/>
      <c r="C117" s="4" t="s">
        <v>148</v>
      </c>
      <c r="D117" s="4"/>
      <c r="E117" s="8"/>
      <c r="F117" s="6">
        <v>553.26714790000005</v>
      </c>
      <c r="G117" s="7">
        <v>0.129781063</v>
      </c>
      <c r="H117" s="49">
        <v>5.6572293145372496</v>
      </c>
    </row>
    <row r="118" spans="1:8" ht="14.1" customHeight="1" x14ac:dyDescent="0.2">
      <c r="A118" s="1"/>
      <c r="B118" s="1"/>
      <c r="C118" s="2" t="s">
        <v>130</v>
      </c>
      <c r="D118" s="1"/>
      <c r="E118" s="1" t="s">
        <v>131</v>
      </c>
      <c r="F118" s="9">
        <v>553.26714790000005</v>
      </c>
      <c r="G118" s="10">
        <v>0.129781063</v>
      </c>
      <c r="H118" s="49"/>
    </row>
    <row r="119" spans="1:8" ht="14.1" customHeight="1" x14ac:dyDescent="0.2">
      <c r="A119" s="1"/>
      <c r="B119" s="1"/>
      <c r="C119" s="11"/>
      <c r="D119" s="1"/>
      <c r="E119" s="1"/>
      <c r="F119" s="12"/>
      <c r="G119" s="12"/>
      <c r="H119" s="49"/>
    </row>
    <row r="120" spans="1:8" ht="14.1" customHeight="1" x14ac:dyDescent="0.2">
      <c r="A120" s="1"/>
      <c r="B120" s="1"/>
      <c r="C120" s="2" t="s">
        <v>149</v>
      </c>
      <c r="D120" s="1"/>
      <c r="E120" s="1"/>
      <c r="F120" s="9">
        <v>553.26714790000005</v>
      </c>
      <c r="G120" s="10">
        <v>0.129781063</v>
      </c>
      <c r="H120" s="49"/>
    </row>
    <row r="121" spans="1:8" ht="14.1" customHeight="1" x14ac:dyDescent="0.2">
      <c r="A121" s="1"/>
      <c r="B121" s="1"/>
      <c r="C121" s="12"/>
      <c r="D121" s="1"/>
      <c r="E121" s="1"/>
      <c r="F121" s="1"/>
      <c r="G121" s="1"/>
      <c r="H121" s="49"/>
    </row>
    <row r="122" spans="1:8" ht="14.1" customHeight="1" x14ac:dyDescent="0.2">
      <c r="A122" s="1"/>
      <c r="B122" s="1"/>
      <c r="C122" s="2" t="s">
        <v>150</v>
      </c>
      <c r="D122" s="1"/>
      <c r="E122" s="1"/>
      <c r="F122" s="1"/>
      <c r="G122" s="1"/>
      <c r="H122" s="49"/>
    </row>
    <row r="123" spans="1:8" ht="14.1" customHeight="1" x14ac:dyDescent="0.2">
      <c r="A123" s="1"/>
      <c r="B123" s="1"/>
      <c r="C123" s="2" t="s">
        <v>151</v>
      </c>
      <c r="D123" s="1"/>
      <c r="E123" s="1"/>
      <c r="F123" s="1"/>
      <c r="G123" s="1"/>
      <c r="H123" s="49"/>
    </row>
    <row r="124" spans="1:8" ht="14.1" customHeight="1" x14ac:dyDescent="0.2">
      <c r="A124" s="1"/>
      <c r="B124" s="1"/>
      <c r="C124" s="2" t="s">
        <v>130</v>
      </c>
      <c r="D124" s="1"/>
      <c r="E124" s="1" t="s">
        <v>131</v>
      </c>
      <c r="F124" s="13">
        <v>0</v>
      </c>
      <c r="G124" s="14">
        <v>0</v>
      </c>
      <c r="H124" s="49"/>
    </row>
    <row r="125" spans="1:8" ht="14.1" customHeight="1" x14ac:dyDescent="0.2">
      <c r="A125" s="1"/>
      <c r="B125" s="1"/>
      <c r="C125" s="11"/>
      <c r="D125" s="1"/>
      <c r="E125" s="1"/>
      <c r="F125" s="12"/>
      <c r="G125" s="12"/>
      <c r="H125" s="49"/>
    </row>
    <row r="126" spans="1:8" ht="14.1" customHeight="1" x14ac:dyDescent="0.2">
      <c r="A126" s="1"/>
      <c r="B126" s="1"/>
      <c r="C126" s="2" t="s">
        <v>152</v>
      </c>
      <c r="D126" s="1"/>
      <c r="E126" s="1"/>
      <c r="F126" s="1"/>
      <c r="G126" s="1"/>
      <c r="H126" s="49"/>
    </row>
    <row r="127" spans="1:8" ht="14.1" customHeight="1" x14ac:dyDescent="0.2">
      <c r="A127" s="1"/>
      <c r="B127" s="1"/>
      <c r="C127" s="2" t="s">
        <v>153</v>
      </c>
      <c r="D127" s="1"/>
      <c r="E127" s="1"/>
      <c r="F127" s="1"/>
      <c r="G127" s="1"/>
      <c r="H127" s="49"/>
    </row>
    <row r="128" spans="1:8" ht="14.1" customHeight="1" x14ac:dyDescent="0.2">
      <c r="A128" s="1"/>
      <c r="B128" s="1"/>
      <c r="C128" s="2" t="s">
        <v>130</v>
      </c>
      <c r="D128" s="1"/>
      <c r="E128" s="1" t="s">
        <v>131</v>
      </c>
      <c r="F128" s="13">
        <v>0</v>
      </c>
      <c r="G128" s="14">
        <v>0</v>
      </c>
      <c r="H128" s="49"/>
    </row>
    <row r="129" spans="1:8" ht="14.1" customHeight="1" x14ac:dyDescent="0.2">
      <c r="A129" s="1"/>
      <c r="B129" s="1"/>
      <c r="C129" s="11"/>
      <c r="D129" s="1"/>
      <c r="E129" s="1"/>
      <c r="F129" s="12"/>
      <c r="G129" s="12"/>
      <c r="H129" s="49"/>
    </row>
    <row r="130" spans="1:8" ht="14.1" customHeight="1" x14ac:dyDescent="0.2">
      <c r="A130" s="1"/>
      <c r="B130" s="1"/>
      <c r="C130" s="11"/>
      <c r="D130" s="1"/>
      <c r="E130" s="1"/>
      <c r="F130" s="12"/>
      <c r="G130" s="12"/>
      <c r="H130" s="49"/>
    </row>
    <row r="131" spans="1:8" ht="24" customHeight="1" x14ac:dyDescent="0.2">
      <c r="A131" s="1"/>
      <c r="B131" s="1"/>
      <c r="C131" s="2" t="s">
        <v>154</v>
      </c>
      <c r="D131" s="1"/>
      <c r="E131" s="1"/>
      <c r="F131" s="12"/>
      <c r="G131" s="12"/>
      <c r="H131" s="49"/>
    </row>
    <row r="132" spans="1:8" ht="14.1" customHeight="1" x14ac:dyDescent="0.2">
      <c r="A132" s="1"/>
      <c r="B132" s="1"/>
      <c r="C132" s="2" t="s">
        <v>130</v>
      </c>
      <c r="D132" s="1"/>
      <c r="E132" s="1" t="s">
        <v>131</v>
      </c>
      <c r="F132" s="13">
        <v>0</v>
      </c>
      <c r="G132" s="14">
        <v>0</v>
      </c>
      <c r="H132" s="49"/>
    </row>
    <row r="133" spans="1:8" ht="14.1" customHeight="1" x14ac:dyDescent="0.2">
      <c r="A133" s="1"/>
      <c r="B133" s="1"/>
      <c r="C133" s="11"/>
      <c r="D133" s="1"/>
      <c r="E133" s="1"/>
      <c r="F133" s="12"/>
      <c r="G133" s="12"/>
      <c r="H133" s="49"/>
    </row>
    <row r="134" spans="1:8" ht="14.1" customHeight="1" x14ac:dyDescent="0.2">
      <c r="A134" s="1"/>
      <c r="B134" s="4"/>
      <c r="C134" s="4"/>
      <c r="D134" s="2"/>
      <c r="E134" s="1"/>
      <c r="F134" s="4"/>
      <c r="G134" s="8"/>
      <c r="H134" s="49"/>
    </row>
    <row r="135" spans="1:8" ht="18" customHeight="1" x14ac:dyDescent="0.2">
      <c r="A135" s="8"/>
      <c r="B135" s="4"/>
      <c r="C135" s="4" t="s">
        <v>155</v>
      </c>
      <c r="D135" s="4"/>
      <c r="E135" s="8"/>
      <c r="F135" s="6">
        <v>-1.56152081</v>
      </c>
      <c r="G135" s="7">
        <v>-3.66289E-4</v>
      </c>
      <c r="H135" s="49"/>
    </row>
    <row r="136" spans="1:8" ht="14.1" customHeight="1" x14ac:dyDescent="0.2">
      <c r="A136" s="11"/>
      <c r="B136" s="11"/>
      <c r="C136" s="2" t="s">
        <v>156</v>
      </c>
      <c r="D136" s="15"/>
      <c r="E136" s="15"/>
      <c r="F136" s="9">
        <v>4263.0807155900002</v>
      </c>
      <c r="G136" s="10">
        <v>1.000000003</v>
      </c>
      <c r="H136" s="49"/>
    </row>
    <row r="137" spans="1:8" ht="14.1" customHeight="1" x14ac:dyDescent="0.2">
      <c r="A137" s="16"/>
      <c r="B137" s="16"/>
      <c r="C137" s="16"/>
      <c r="D137" s="17"/>
      <c r="E137" s="17"/>
      <c r="F137" s="17"/>
      <c r="G137" s="17"/>
    </row>
    <row r="138" spans="1:8" ht="14.1" customHeight="1" x14ac:dyDescent="0.2">
      <c r="A138" s="18"/>
      <c r="B138" s="18"/>
      <c r="C138" s="18"/>
      <c r="D138" s="20"/>
      <c r="E138" s="20"/>
      <c r="F138" s="20"/>
      <c r="G138" s="20"/>
    </row>
    <row r="139" spans="1:8" ht="14.1" customHeight="1" x14ac:dyDescent="0.2">
      <c r="A139" s="18"/>
      <c r="B139" s="319" t="s">
        <v>158</v>
      </c>
      <c r="C139" s="320"/>
      <c r="D139" s="12" t="s">
        <v>131</v>
      </c>
      <c r="E139" s="21"/>
      <c r="F139" s="20"/>
      <c r="G139" s="20"/>
    </row>
    <row r="140" spans="1:8" ht="29.1" customHeight="1" x14ac:dyDescent="0.2">
      <c r="A140" s="18"/>
      <c r="B140" s="323" t="s">
        <v>159</v>
      </c>
      <c r="C140" s="324"/>
      <c r="D140" s="2" t="s">
        <v>160</v>
      </c>
      <c r="E140" s="21"/>
      <c r="F140" s="20"/>
      <c r="G140" s="20"/>
    </row>
    <row r="141" spans="1:8" ht="17.100000000000001" customHeight="1" x14ac:dyDescent="0.2">
      <c r="A141" s="18"/>
      <c r="B141" s="323" t="s">
        <v>161</v>
      </c>
      <c r="C141" s="324"/>
      <c r="D141" s="2" t="s">
        <v>160</v>
      </c>
      <c r="E141" s="21"/>
      <c r="F141" s="20"/>
      <c r="G141" s="20"/>
    </row>
    <row r="142" spans="1:8" ht="17.100000000000001" customHeight="1" x14ac:dyDescent="0.2">
      <c r="A142" s="18"/>
      <c r="B142" s="323" t="s">
        <v>162</v>
      </c>
      <c r="C142" s="324"/>
      <c r="D142" s="12" t="s">
        <v>131</v>
      </c>
      <c r="E142" s="21"/>
      <c r="F142" s="20"/>
      <c r="G142" s="20"/>
    </row>
    <row r="143" spans="1:8" ht="24" customHeight="1" x14ac:dyDescent="0.2">
      <c r="A143" s="22"/>
      <c r="B143" s="23" t="s">
        <v>131</v>
      </c>
      <c r="C143" s="23" t="s">
        <v>163</v>
      </c>
      <c r="D143" s="23" t="s">
        <v>164</v>
      </c>
      <c r="E143" s="22"/>
      <c r="F143" s="22"/>
      <c r="G143" s="22"/>
    </row>
    <row r="144" spans="1:8" ht="18" customHeight="1" x14ac:dyDescent="0.2">
      <c r="A144" s="22"/>
      <c r="B144" s="23" t="s">
        <v>165</v>
      </c>
      <c r="C144" s="23" t="s">
        <v>166</v>
      </c>
      <c r="D144" s="23" t="s">
        <v>167</v>
      </c>
      <c r="E144" s="22"/>
      <c r="F144" s="22"/>
      <c r="G144" s="22"/>
    </row>
    <row r="145" spans="1:7" ht="17.100000000000001" customHeight="1" x14ac:dyDescent="0.2">
      <c r="A145" s="22"/>
      <c r="B145" s="4" t="s">
        <v>168</v>
      </c>
      <c r="C145" s="24">
        <v>23.277699999999999</v>
      </c>
      <c r="D145" s="24">
        <v>23.4465</v>
      </c>
      <c r="E145" s="22"/>
      <c r="F145" s="19"/>
      <c r="G145" s="25"/>
    </row>
    <row r="146" spans="1:7" ht="17.100000000000001" customHeight="1" x14ac:dyDescent="0.2">
      <c r="A146" s="22"/>
      <c r="B146" s="4" t="s">
        <v>1021</v>
      </c>
      <c r="C146" s="24">
        <v>21.821999999999999</v>
      </c>
      <c r="D146" s="24">
        <v>21.9802</v>
      </c>
      <c r="E146" s="22"/>
      <c r="F146" s="19"/>
      <c r="G146" s="25"/>
    </row>
    <row r="147" spans="1:7" ht="17.100000000000001" customHeight="1" x14ac:dyDescent="0.2">
      <c r="A147" s="22"/>
      <c r="B147" s="4" t="s">
        <v>169</v>
      </c>
      <c r="C147" s="24">
        <v>22.750800000000002</v>
      </c>
      <c r="D147" s="24">
        <v>22.9053</v>
      </c>
      <c r="E147" s="22"/>
      <c r="F147" s="19"/>
      <c r="G147" s="25"/>
    </row>
    <row r="148" spans="1:7" ht="17.100000000000001" customHeight="1" x14ac:dyDescent="0.2">
      <c r="A148" s="22"/>
      <c r="B148" s="4" t="s">
        <v>1022</v>
      </c>
      <c r="C148" s="24">
        <v>21.306799999999999</v>
      </c>
      <c r="D148" s="24">
        <v>21.451499999999999</v>
      </c>
      <c r="E148" s="22"/>
      <c r="F148" s="19"/>
      <c r="G148" s="25"/>
    </row>
    <row r="149" spans="1:7" ht="14.1" customHeight="1" x14ac:dyDescent="0.2">
      <c r="A149" s="22"/>
      <c r="B149" s="22"/>
      <c r="C149" s="22"/>
      <c r="D149" s="22"/>
      <c r="E149" s="22"/>
      <c r="F149" s="22"/>
      <c r="G149" s="22"/>
    </row>
    <row r="150" spans="1:7" ht="17.100000000000001" customHeight="1" x14ac:dyDescent="0.2">
      <c r="A150" s="22"/>
      <c r="B150" s="323" t="s">
        <v>1023</v>
      </c>
      <c r="C150" s="324"/>
      <c r="D150" s="57" t="s">
        <v>160</v>
      </c>
      <c r="E150" s="22"/>
      <c r="F150" s="22"/>
      <c r="G150" s="22"/>
    </row>
    <row r="151" spans="1:7" ht="18" customHeight="1" x14ac:dyDescent="0.2">
      <c r="A151" s="22"/>
      <c r="B151" s="28"/>
      <c r="C151" s="28"/>
      <c r="D151" s="26"/>
      <c r="E151" s="22"/>
      <c r="F151" s="22"/>
      <c r="G151" s="22"/>
    </row>
    <row r="152" spans="1:7" ht="29.1" customHeight="1" x14ac:dyDescent="0.2">
      <c r="A152" s="22"/>
      <c r="B152" s="323" t="s">
        <v>170</v>
      </c>
      <c r="C152" s="324"/>
      <c r="D152" s="2" t="s">
        <v>160</v>
      </c>
      <c r="E152" s="22"/>
      <c r="F152" s="22"/>
      <c r="G152" s="22"/>
    </row>
    <row r="153" spans="1:7" ht="29.1" customHeight="1" x14ac:dyDescent="0.2">
      <c r="A153" s="22"/>
      <c r="B153" s="323" t="s">
        <v>171</v>
      </c>
      <c r="C153" s="324"/>
      <c r="D153" s="2" t="s">
        <v>160</v>
      </c>
      <c r="E153" s="22"/>
      <c r="F153" s="22"/>
      <c r="G153" s="22"/>
    </row>
    <row r="154" spans="1:7" ht="17.100000000000001" customHeight="1" x14ac:dyDescent="0.2">
      <c r="A154" s="22"/>
      <c r="B154" s="323" t="s">
        <v>172</v>
      </c>
      <c r="C154" s="324"/>
      <c r="D154" s="27">
        <v>0.24761147894399982</v>
      </c>
      <c r="E154" s="22"/>
      <c r="F154" s="19"/>
      <c r="G154" s="25"/>
    </row>
    <row r="155" spans="1:7" ht="17.100000000000001" customHeight="1" x14ac:dyDescent="0.2">
      <c r="A155" s="22"/>
      <c r="B155" s="323" t="s">
        <v>173</v>
      </c>
      <c r="C155" s="324"/>
      <c r="D155" s="2" t="s">
        <v>160</v>
      </c>
      <c r="E155" s="22"/>
      <c r="F155" s="22"/>
      <c r="G155" s="22"/>
    </row>
    <row r="162" spans="10:15" x14ac:dyDescent="0.2">
      <c r="J162" s="218"/>
      <c r="K162" s="218"/>
      <c r="L162" s="218"/>
      <c r="M162" s="218"/>
      <c r="N162" s="218"/>
      <c r="O162" s="218"/>
    </row>
  </sheetData>
  <mergeCells count="13">
    <mergeCell ref="J2:N2"/>
    <mergeCell ref="B155:C155"/>
    <mergeCell ref="B140:C140"/>
    <mergeCell ref="B141:C141"/>
    <mergeCell ref="B142:C142"/>
    <mergeCell ref="B150:C150"/>
    <mergeCell ref="B152:C152"/>
    <mergeCell ref="B153:C153"/>
    <mergeCell ref="A1:H1"/>
    <mergeCell ref="A2:H2"/>
    <mergeCell ref="A3:H3"/>
    <mergeCell ref="B139:C139"/>
    <mergeCell ref="B154:C154"/>
  </mergeCells>
  <hyperlinks>
    <hyperlink ref="I1" location="Index!B12" display="Index" xr:uid="{4B8FB161-056A-41AE-A816-FF3AF8B014D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465</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29</v>
      </c>
      <c r="C7" s="4" t="s">
        <v>30</v>
      </c>
      <c r="D7" s="4" t="s">
        <v>31</v>
      </c>
      <c r="E7" s="5">
        <v>33960</v>
      </c>
      <c r="F7" s="6">
        <v>687.45227999999997</v>
      </c>
      <c r="G7" s="7">
        <v>4.6683323999999998E-2</v>
      </c>
      <c r="H7" s="49"/>
    </row>
    <row r="8" spans="1:15" ht="17.100000000000001" customHeight="1" x14ac:dyDescent="0.2">
      <c r="A8" s="3">
        <v>2</v>
      </c>
      <c r="B8" s="4" t="s">
        <v>106</v>
      </c>
      <c r="C8" s="4" t="s">
        <v>107</v>
      </c>
      <c r="D8" s="4" t="s">
        <v>108</v>
      </c>
      <c r="E8" s="5">
        <v>119971</v>
      </c>
      <c r="F8" s="6">
        <v>463.86787149999998</v>
      </c>
      <c r="G8" s="7">
        <v>3.1500213999999999E-2</v>
      </c>
      <c r="H8" s="49"/>
    </row>
    <row r="9" spans="1:15" ht="17.100000000000001" customHeight="1" x14ac:dyDescent="0.2">
      <c r="A9" s="3">
        <v>3</v>
      </c>
      <c r="B9" s="4" t="s">
        <v>389</v>
      </c>
      <c r="C9" s="4" t="s">
        <v>390</v>
      </c>
      <c r="D9" s="4" t="s">
        <v>103</v>
      </c>
      <c r="E9" s="5">
        <v>384936</v>
      </c>
      <c r="F9" s="6">
        <v>459.613584</v>
      </c>
      <c r="G9" s="7">
        <v>3.1211315E-2</v>
      </c>
      <c r="H9" s="49"/>
    </row>
    <row r="10" spans="1:15" ht="29.1" customHeight="1" x14ac:dyDescent="0.2">
      <c r="A10" s="3">
        <v>4</v>
      </c>
      <c r="B10" s="4" t="s">
        <v>189</v>
      </c>
      <c r="C10" s="4" t="s">
        <v>190</v>
      </c>
      <c r="D10" s="4" t="s">
        <v>108</v>
      </c>
      <c r="E10" s="5">
        <v>120960</v>
      </c>
      <c r="F10" s="6">
        <v>438.90336000000002</v>
      </c>
      <c r="G10" s="7">
        <v>2.9804931E-2</v>
      </c>
      <c r="H10" s="49"/>
    </row>
    <row r="11" spans="1:15" ht="17.100000000000001" customHeight="1" x14ac:dyDescent="0.2">
      <c r="A11" s="3">
        <v>5</v>
      </c>
      <c r="B11" s="4" t="s">
        <v>419</v>
      </c>
      <c r="C11" s="4" t="s">
        <v>420</v>
      </c>
      <c r="D11" s="4" t="s">
        <v>227</v>
      </c>
      <c r="E11" s="5">
        <v>127326</v>
      </c>
      <c r="F11" s="6">
        <v>376.69397099999998</v>
      </c>
      <c r="G11" s="7">
        <v>2.5580432E-2</v>
      </c>
      <c r="H11" s="49"/>
    </row>
    <row r="12" spans="1:15" ht="17.100000000000001" customHeight="1" x14ac:dyDescent="0.2">
      <c r="A12" s="3">
        <v>6</v>
      </c>
      <c r="B12" s="4" t="s">
        <v>34</v>
      </c>
      <c r="C12" s="4" t="s">
        <v>35</v>
      </c>
      <c r="D12" s="4" t="s">
        <v>31</v>
      </c>
      <c r="E12" s="5">
        <v>19181</v>
      </c>
      <c r="F12" s="6">
        <v>368.16011400000002</v>
      </c>
      <c r="G12" s="7">
        <v>2.5000918E-2</v>
      </c>
      <c r="H12" s="49"/>
    </row>
    <row r="13" spans="1:15" ht="17.100000000000001" customHeight="1" x14ac:dyDescent="0.2">
      <c r="A13" s="3">
        <v>7</v>
      </c>
      <c r="B13" s="4" t="s">
        <v>83</v>
      </c>
      <c r="C13" s="4" t="s">
        <v>84</v>
      </c>
      <c r="D13" s="4" t="s">
        <v>31</v>
      </c>
      <c r="E13" s="5">
        <v>23527</v>
      </c>
      <c r="F13" s="6">
        <v>359.32787100000002</v>
      </c>
      <c r="G13" s="7">
        <v>2.4401140000000002E-2</v>
      </c>
      <c r="H13" s="49"/>
      <c r="J13" s="217" t="s">
        <v>1078</v>
      </c>
    </row>
    <row r="14" spans="1:15" ht="17.100000000000001" customHeight="1" x14ac:dyDescent="0.2">
      <c r="A14" s="3">
        <v>8</v>
      </c>
      <c r="B14" s="4" t="s">
        <v>300</v>
      </c>
      <c r="C14" s="4" t="s">
        <v>301</v>
      </c>
      <c r="D14" s="4" t="s">
        <v>230</v>
      </c>
      <c r="E14" s="5">
        <v>64027</v>
      </c>
      <c r="F14" s="6">
        <v>345.42566499999998</v>
      </c>
      <c r="G14" s="7">
        <v>2.3457072999999998E-2</v>
      </c>
      <c r="H14" s="49"/>
    </row>
    <row r="15" spans="1:15" ht="29.1" customHeight="1" x14ac:dyDescent="0.2">
      <c r="A15" s="3">
        <v>9</v>
      </c>
      <c r="B15" s="4" t="s">
        <v>197</v>
      </c>
      <c r="C15" s="4" t="s">
        <v>198</v>
      </c>
      <c r="D15" s="4" t="s">
        <v>193</v>
      </c>
      <c r="E15" s="5">
        <v>7906</v>
      </c>
      <c r="F15" s="6">
        <v>343.314097</v>
      </c>
      <c r="G15" s="7">
        <v>2.3313680999999999E-2</v>
      </c>
      <c r="H15" s="49"/>
    </row>
    <row r="16" spans="1:15" ht="29.1" customHeight="1" x14ac:dyDescent="0.2">
      <c r="A16" s="3">
        <v>10</v>
      </c>
      <c r="B16" s="4" t="s">
        <v>425</v>
      </c>
      <c r="C16" s="4" t="s">
        <v>426</v>
      </c>
      <c r="D16" s="4" t="s">
        <v>48</v>
      </c>
      <c r="E16" s="5">
        <v>12377</v>
      </c>
      <c r="F16" s="6">
        <v>339.68676499999998</v>
      </c>
      <c r="G16" s="7">
        <v>2.3067357E-2</v>
      </c>
      <c r="H16" s="49"/>
    </row>
    <row r="17" spans="1:8" ht="17.100000000000001" customHeight="1" x14ac:dyDescent="0.2">
      <c r="A17" s="3">
        <v>11</v>
      </c>
      <c r="B17" s="4" t="s">
        <v>398</v>
      </c>
      <c r="C17" s="4" t="s">
        <v>399</v>
      </c>
      <c r="D17" s="4" t="s">
        <v>108</v>
      </c>
      <c r="E17" s="5">
        <v>20160</v>
      </c>
      <c r="F17" s="6">
        <v>329.01119999999997</v>
      </c>
      <c r="G17" s="7">
        <v>2.2342404E-2</v>
      </c>
      <c r="H17" s="49"/>
    </row>
    <row r="18" spans="1:8" ht="17.100000000000001" customHeight="1" x14ac:dyDescent="0.2">
      <c r="A18" s="3">
        <v>12</v>
      </c>
      <c r="B18" s="4" t="s">
        <v>447</v>
      </c>
      <c r="C18" s="4" t="s">
        <v>448</v>
      </c>
      <c r="D18" s="4" t="s">
        <v>100</v>
      </c>
      <c r="E18" s="5">
        <v>21498</v>
      </c>
      <c r="F18" s="6">
        <v>313.53758099999999</v>
      </c>
      <c r="G18" s="7">
        <v>2.1291625000000002E-2</v>
      </c>
      <c r="H18" s="49"/>
    </row>
    <row r="19" spans="1:8" ht="17.100000000000001" customHeight="1" x14ac:dyDescent="0.2">
      <c r="A19" s="3">
        <v>13</v>
      </c>
      <c r="B19" s="4" t="s">
        <v>400</v>
      </c>
      <c r="C19" s="4" t="s">
        <v>401</v>
      </c>
      <c r="D19" s="4" t="s">
        <v>1042</v>
      </c>
      <c r="E19" s="5">
        <v>23695</v>
      </c>
      <c r="F19" s="6">
        <v>297.158995</v>
      </c>
      <c r="G19" s="7">
        <v>2.0179393E-2</v>
      </c>
      <c r="H19" s="49"/>
    </row>
    <row r="20" spans="1:8" ht="17.100000000000001" customHeight="1" x14ac:dyDescent="0.2">
      <c r="A20" s="3">
        <v>14</v>
      </c>
      <c r="B20" s="4" t="s">
        <v>315</v>
      </c>
      <c r="C20" s="4" t="s">
        <v>316</v>
      </c>
      <c r="D20" s="4" t="s">
        <v>317</v>
      </c>
      <c r="E20" s="5">
        <v>18321</v>
      </c>
      <c r="F20" s="6">
        <v>292.61385150000001</v>
      </c>
      <c r="G20" s="7">
        <v>1.9870742E-2</v>
      </c>
      <c r="H20" s="49"/>
    </row>
    <row r="21" spans="1:8" ht="17.100000000000001" customHeight="1" x14ac:dyDescent="0.2">
      <c r="A21" s="3">
        <v>15</v>
      </c>
      <c r="B21" s="4" t="s">
        <v>318</v>
      </c>
      <c r="C21" s="4" t="s">
        <v>319</v>
      </c>
      <c r="D21" s="4" t="s">
        <v>233</v>
      </c>
      <c r="E21" s="5">
        <v>21555</v>
      </c>
      <c r="F21" s="6">
        <v>290.99250000000001</v>
      </c>
      <c r="G21" s="7">
        <v>1.9760639999999999E-2</v>
      </c>
      <c r="H21" s="49"/>
    </row>
    <row r="22" spans="1:8" ht="17.100000000000001" customHeight="1" x14ac:dyDescent="0.2">
      <c r="A22" s="3">
        <v>16</v>
      </c>
      <c r="B22" s="4" t="s">
        <v>417</v>
      </c>
      <c r="C22" s="4" t="s">
        <v>418</v>
      </c>
      <c r="D22" s="4" t="s">
        <v>974</v>
      </c>
      <c r="E22" s="5">
        <v>40028</v>
      </c>
      <c r="F22" s="6">
        <v>286.14015799999999</v>
      </c>
      <c r="G22" s="7">
        <v>1.9431128999999998E-2</v>
      </c>
      <c r="H22" s="49"/>
    </row>
    <row r="23" spans="1:8" ht="17.100000000000001" customHeight="1" x14ac:dyDescent="0.2">
      <c r="A23" s="3">
        <v>17</v>
      </c>
      <c r="B23" s="4" t="s">
        <v>285</v>
      </c>
      <c r="C23" s="4" t="s">
        <v>286</v>
      </c>
      <c r="D23" s="4" t="s">
        <v>22</v>
      </c>
      <c r="E23" s="5">
        <v>119529</v>
      </c>
      <c r="F23" s="6">
        <v>285.79383899999999</v>
      </c>
      <c r="G23" s="7">
        <v>1.9407611000000002E-2</v>
      </c>
      <c r="H23" s="49"/>
    </row>
    <row r="24" spans="1:8" ht="17.100000000000001" customHeight="1" x14ac:dyDescent="0.2">
      <c r="A24" s="3">
        <v>18</v>
      </c>
      <c r="B24" s="4" t="s">
        <v>87</v>
      </c>
      <c r="C24" s="4" t="s">
        <v>88</v>
      </c>
      <c r="D24" s="4" t="s">
        <v>89</v>
      </c>
      <c r="E24" s="5">
        <v>10363</v>
      </c>
      <c r="F24" s="6">
        <v>277.24652049999997</v>
      </c>
      <c r="G24" s="7">
        <v>1.8827182000000001E-2</v>
      </c>
      <c r="H24" s="49"/>
    </row>
    <row r="25" spans="1:8" ht="17.100000000000001" customHeight="1" x14ac:dyDescent="0.2">
      <c r="A25" s="3">
        <v>19</v>
      </c>
      <c r="B25" s="4" t="s">
        <v>372</v>
      </c>
      <c r="C25" s="4" t="s">
        <v>373</v>
      </c>
      <c r="D25" s="4" t="s">
        <v>103</v>
      </c>
      <c r="E25" s="5">
        <v>43956</v>
      </c>
      <c r="F25" s="6">
        <v>243.098658</v>
      </c>
      <c r="G25" s="7">
        <v>1.6508278000000001E-2</v>
      </c>
      <c r="H25" s="49"/>
    </row>
    <row r="26" spans="1:8" ht="17.100000000000001" customHeight="1" x14ac:dyDescent="0.2">
      <c r="A26" s="3">
        <v>20</v>
      </c>
      <c r="B26" s="4" t="s">
        <v>404</v>
      </c>
      <c r="C26" s="4" t="s">
        <v>405</v>
      </c>
      <c r="D26" s="4" t="s">
        <v>317</v>
      </c>
      <c r="E26" s="5">
        <v>14772</v>
      </c>
      <c r="F26" s="6">
        <v>230.79034200000001</v>
      </c>
      <c r="G26" s="7">
        <v>1.5672447999999999E-2</v>
      </c>
      <c r="H26" s="49"/>
    </row>
    <row r="27" spans="1:8" ht="29.1" customHeight="1" x14ac:dyDescent="0.2">
      <c r="A27" s="3">
        <v>21</v>
      </c>
      <c r="B27" s="4" t="s">
        <v>213</v>
      </c>
      <c r="C27" s="4" t="s">
        <v>214</v>
      </c>
      <c r="D27" s="4" t="s">
        <v>215</v>
      </c>
      <c r="E27" s="5">
        <v>53018</v>
      </c>
      <c r="F27" s="6">
        <v>221.32364100000001</v>
      </c>
      <c r="G27" s="7">
        <v>1.5029585999999999E-2</v>
      </c>
      <c r="H27" s="49"/>
    </row>
    <row r="28" spans="1:8" ht="17.100000000000001" customHeight="1" x14ac:dyDescent="0.2">
      <c r="A28" s="3">
        <v>22</v>
      </c>
      <c r="B28" s="4" t="s">
        <v>423</v>
      </c>
      <c r="C28" s="4" t="s">
        <v>424</v>
      </c>
      <c r="D28" s="4" t="s">
        <v>233</v>
      </c>
      <c r="E28" s="5">
        <v>30500</v>
      </c>
      <c r="F28" s="6">
        <v>221.09450000000001</v>
      </c>
      <c r="G28" s="7">
        <v>1.5014026E-2</v>
      </c>
      <c r="H28" s="49"/>
    </row>
    <row r="29" spans="1:8" ht="29.1" customHeight="1" x14ac:dyDescent="0.2">
      <c r="A29" s="3">
        <v>23</v>
      </c>
      <c r="B29" s="4" t="s">
        <v>421</v>
      </c>
      <c r="C29" s="4" t="s">
        <v>422</v>
      </c>
      <c r="D29" s="4" t="s">
        <v>215</v>
      </c>
      <c r="E29" s="5">
        <v>46637</v>
      </c>
      <c r="F29" s="6">
        <v>185.45203050000001</v>
      </c>
      <c r="G29" s="7">
        <v>1.2593626E-2</v>
      </c>
      <c r="H29" s="49"/>
    </row>
    <row r="30" spans="1:8" ht="29.1" customHeight="1" x14ac:dyDescent="0.2">
      <c r="A30" s="3">
        <v>24</v>
      </c>
      <c r="B30" s="4" t="s">
        <v>385</v>
      </c>
      <c r="C30" s="4" t="s">
        <v>386</v>
      </c>
      <c r="D30" s="4" t="s">
        <v>69</v>
      </c>
      <c r="E30" s="5">
        <v>11589</v>
      </c>
      <c r="F30" s="6">
        <v>183.8768685</v>
      </c>
      <c r="G30" s="7">
        <v>1.2486661E-2</v>
      </c>
      <c r="H30" s="49"/>
    </row>
    <row r="31" spans="1:8" ht="17.100000000000001" customHeight="1" x14ac:dyDescent="0.2">
      <c r="A31" s="3">
        <v>25</v>
      </c>
      <c r="B31" s="4" t="s">
        <v>432</v>
      </c>
      <c r="C31" s="4" t="s">
        <v>433</v>
      </c>
      <c r="D31" s="4" t="s">
        <v>103</v>
      </c>
      <c r="E31" s="5">
        <v>214883</v>
      </c>
      <c r="F31" s="6">
        <v>176.09661850000001</v>
      </c>
      <c r="G31" s="7">
        <v>1.1958322E-2</v>
      </c>
      <c r="H31" s="49"/>
    </row>
    <row r="32" spans="1:8" ht="17.100000000000001" customHeight="1" x14ac:dyDescent="0.2">
      <c r="A32" s="3">
        <v>26</v>
      </c>
      <c r="B32" s="4" t="s">
        <v>396</v>
      </c>
      <c r="C32" s="4" t="s">
        <v>397</v>
      </c>
      <c r="D32" s="4" t="s">
        <v>31</v>
      </c>
      <c r="E32" s="5">
        <v>20871</v>
      </c>
      <c r="F32" s="6">
        <v>173.77194600000001</v>
      </c>
      <c r="G32" s="7">
        <v>1.1800458E-2</v>
      </c>
      <c r="H32" s="49"/>
    </row>
    <row r="33" spans="1:8" ht="17.100000000000001" customHeight="1" x14ac:dyDescent="0.2">
      <c r="A33" s="3">
        <v>27</v>
      </c>
      <c r="B33" s="4" t="s">
        <v>402</v>
      </c>
      <c r="C33" s="4" t="s">
        <v>403</v>
      </c>
      <c r="D33" s="4" t="s">
        <v>103</v>
      </c>
      <c r="E33" s="5">
        <v>17966</v>
      </c>
      <c r="F33" s="6">
        <v>172.51851500000001</v>
      </c>
      <c r="G33" s="7">
        <v>1.1715341000000001E-2</v>
      </c>
      <c r="H33" s="49"/>
    </row>
    <row r="34" spans="1:8" ht="53.1" customHeight="1" x14ac:dyDescent="0.2">
      <c r="A34" s="3">
        <v>28</v>
      </c>
      <c r="B34" s="4" t="s">
        <v>336</v>
      </c>
      <c r="C34" s="4" t="s">
        <v>1043</v>
      </c>
      <c r="D34" s="4" t="s">
        <v>51</v>
      </c>
      <c r="E34" s="5">
        <v>50508</v>
      </c>
      <c r="F34" s="6">
        <v>171.32313600000001</v>
      </c>
      <c r="G34" s="7">
        <v>1.1634165E-2</v>
      </c>
      <c r="H34" s="49"/>
    </row>
    <row r="35" spans="1:8" ht="17.100000000000001" customHeight="1" x14ac:dyDescent="0.2">
      <c r="A35" s="3">
        <v>29</v>
      </c>
      <c r="B35" s="4" t="s">
        <v>39</v>
      </c>
      <c r="C35" s="4" t="s">
        <v>40</v>
      </c>
      <c r="D35" s="4" t="s">
        <v>16</v>
      </c>
      <c r="E35" s="5">
        <v>28181</v>
      </c>
      <c r="F35" s="6">
        <v>169.77643449999999</v>
      </c>
      <c r="G35" s="7">
        <v>1.1529131999999999E-2</v>
      </c>
      <c r="H35" s="49"/>
    </row>
    <row r="36" spans="1:8" ht="17.100000000000001" customHeight="1" x14ac:dyDescent="0.2">
      <c r="A36" s="3">
        <v>30</v>
      </c>
      <c r="B36" s="4" t="s">
        <v>449</v>
      </c>
      <c r="C36" s="4" t="s">
        <v>450</v>
      </c>
      <c r="D36" s="4" t="s">
        <v>1042</v>
      </c>
      <c r="E36" s="5">
        <v>19892</v>
      </c>
      <c r="F36" s="6">
        <v>166.55571599999999</v>
      </c>
      <c r="G36" s="7">
        <v>1.1310420999999999E-2</v>
      </c>
      <c r="H36" s="49"/>
    </row>
    <row r="37" spans="1:8" ht="29.1" customHeight="1" x14ac:dyDescent="0.2">
      <c r="A37" s="3">
        <v>31</v>
      </c>
      <c r="B37" s="4" t="s">
        <v>451</v>
      </c>
      <c r="C37" s="4" t="s">
        <v>452</v>
      </c>
      <c r="D37" s="4" t="s">
        <v>364</v>
      </c>
      <c r="E37" s="5">
        <v>30368</v>
      </c>
      <c r="F37" s="6">
        <v>165.83964800000001</v>
      </c>
      <c r="G37" s="7">
        <v>1.1261794E-2</v>
      </c>
      <c r="H37" s="49"/>
    </row>
    <row r="38" spans="1:8" ht="17.100000000000001" customHeight="1" x14ac:dyDescent="0.2">
      <c r="A38" s="3">
        <v>32</v>
      </c>
      <c r="B38" s="4" t="s">
        <v>383</v>
      </c>
      <c r="C38" s="4" t="s">
        <v>384</v>
      </c>
      <c r="D38" s="4" t="s">
        <v>31</v>
      </c>
      <c r="E38" s="5">
        <v>19126</v>
      </c>
      <c r="F38" s="6">
        <v>163.183032</v>
      </c>
      <c r="G38" s="7">
        <v>1.1081389000000001E-2</v>
      </c>
      <c r="H38" s="49"/>
    </row>
    <row r="39" spans="1:8" ht="17.100000000000001" customHeight="1" x14ac:dyDescent="0.2">
      <c r="A39" s="3">
        <v>33</v>
      </c>
      <c r="B39" s="4" t="s">
        <v>32</v>
      </c>
      <c r="C39" s="4" t="s">
        <v>33</v>
      </c>
      <c r="D39" s="4" t="s">
        <v>31</v>
      </c>
      <c r="E39" s="5">
        <v>3907</v>
      </c>
      <c r="F39" s="6">
        <v>162.04673199999999</v>
      </c>
      <c r="G39" s="7">
        <v>1.1004226000000001E-2</v>
      </c>
      <c r="H39" s="49"/>
    </row>
    <row r="40" spans="1:8" ht="17.100000000000001" customHeight="1" x14ac:dyDescent="0.2">
      <c r="A40" s="3">
        <v>34</v>
      </c>
      <c r="B40" s="4" t="s">
        <v>374</v>
      </c>
      <c r="C40" s="4" t="s">
        <v>375</v>
      </c>
      <c r="D40" s="4" t="s">
        <v>103</v>
      </c>
      <c r="E40" s="5">
        <v>22023</v>
      </c>
      <c r="F40" s="6">
        <v>161.582751</v>
      </c>
      <c r="G40" s="7">
        <v>1.0972717999999999E-2</v>
      </c>
      <c r="H40" s="49"/>
    </row>
    <row r="41" spans="1:8" ht="17.100000000000001" customHeight="1" x14ac:dyDescent="0.2">
      <c r="A41" s="3">
        <v>35</v>
      </c>
      <c r="B41" s="4" t="s">
        <v>453</v>
      </c>
      <c r="C41" s="4" t="s">
        <v>454</v>
      </c>
      <c r="D41" s="4" t="s">
        <v>38</v>
      </c>
      <c r="E41" s="5">
        <v>57782</v>
      </c>
      <c r="F41" s="6">
        <v>161.55847199999999</v>
      </c>
      <c r="G41" s="7">
        <v>1.0971069E-2</v>
      </c>
      <c r="H41" s="49"/>
    </row>
    <row r="42" spans="1:8" ht="29.1" customHeight="1" x14ac:dyDescent="0.2">
      <c r="A42" s="3">
        <v>36</v>
      </c>
      <c r="B42" s="4" t="s">
        <v>466</v>
      </c>
      <c r="C42" s="4" t="s">
        <v>467</v>
      </c>
      <c r="D42" s="4" t="s">
        <v>468</v>
      </c>
      <c r="E42" s="5">
        <v>36994</v>
      </c>
      <c r="F42" s="6">
        <v>157.705422</v>
      </c>
      <c r="G42" s="7">
        <v>1.0709417000000001E-2</v>
      </c>
      <c r="H42" s="49"/>
    </row>
    <row r="43" spans="1:8" ht="29.1" customHeight="1" x14ac:dyDescent="0.2">
      <c r="A43" s="3">
        <v>37</v>
      </c>
      <c r="B43" s="4" t="s">
        <v>436</v>
      </c>
      <c r="C43" s="4" t="s">
        <v>437</v>
      </c>
      <c r="D43" s="4" t="s">
        <v>215</v>
      </c>
      <c r="E43" s="5">
        <v>7795</v>
      </c>
      <c r="F43" s="6">
        <v>157.31869</v>
      </c>
      <c r="G43" s="7">
        <v>1.0683155E-2</v>
      </c>
      <c r="H43" s="49"/>
    </row>
    <row r="44" spans="1:8" ht="29.1" customHeight="1" x14ac:dyDescent="0.2">
      <c r="A44" s="3">
        <v>38</v>
      </c>
      <c r="B44" s="4" t="s">
        <v>442</v>
      </c>
      <c r="C44" s="4" t="s">
        <v>443</v>
      </c>
      <c r="D44" s="4" t="s">
        <v>364</v>
      </c>
      <c r="E44" s="5">
        <v>25833</v>
      </c>
      <c r="F44" s="6">
        <v>155.61799199999999</v>
      </c>
      <c r="G44" s="7">
        <v>1.0567665E-2</v>
      </c>
      <c r="H44" s="49"/>
    </row>
    <row r="45" spans="1:8" ht="29.1" customHeight="1" x14ac:dyDescent="0.2">
      <c r="A45" s="3">
        <v>39</v>
      </c>
      <c r="B45" s="4" t="s">
        <v>283</v>
      </c>
      <c r="C45" s="4" t="s">
        <v>284</v>
      </c>
      <c r="D45" s="4" t="s">
        <v>193</v>
      </c>
      <c r="E45" s="5">
        <v>19852</v>
      </c>
      <c r="F45" s="6">
        <v>142.74580599999999</v>
      </c>
      <c r="G45" s="7">
        <v>9.6935440000000001E-3</v>
      </c>
      <c r="H45" s="49"/>
    </row>
    <row r="46" spans="1:8" ht="17.100000000000001" customHeight="1" x14ac:dyDescent="0.2">
      <c r="A46" s="3">
        <v>40</v>
      </c>
      <c r="B46" s="4" t="s">
        <v>469</v>
      </c>
      <c r="C46" s="4" t="s">
        <v>470</v>
      </c>
      <c r="D46" s="4" t="s">
        <v>233</v>
      </c>
      <c r="E46" s="5">
        <v>63181</v>
      </c>
      <c r="F46" s="6">
        <v>141.019992</v>
      </c>
      <c r="G46" s="7">
        <v>9.5763480000000002E-3</v>
      </c>
      <c r="H46" s="49"/>
    </row>
    <row r="47" spans="1:8" ht="17.100000000000001" customHeight="1" x14ac:dyDescent="0.2">
      <c r="A47" s="3">
        <v>41</v>
      </c>
      <c r="B47" s="4" t="s">
        <v>376</v>
      </c>
      <c r="C47" s="4" t="s">
        <v>377</v>
      </c>
      <c r="D47" s="4" t="s">
        <v>108</v>
      </c>
      <c r="E47" s="5">
        <v>23119</v>
      </c>
      <c r="F47" s="6">
        <v>140.86406700000001</v>
      </c>
      <c r="G47" s="7">
        <v>9.5657590000000001E-3</v>
      </c>
      <c r="H47" s="49"/>
    </row>
    <row r="48" spans="1:8" ht="29.1" customHeight="1" x14ac:dyDescent="0.2">
      <c r="A48" s="3">
        <v>42</v>
      </c>
      <c r="B48" s="4" t="s">
        <v>471</v>
      </c>
      <c r="C48" s="4" t="s">
        <v>472</v>
      </c>
      <c r="D48" s="4" t="s">
        <v>215</v>
      </c>
      <c r="E48" s="5">
        <v>2436</v>
      </c>
      <c r="F48" s="6">
        <v>139.135794</v>
      </c>
      <c r="G48" s="7">
        <v>9.4483959999999995E-3</v>
      </c>
      <c r="H48" s="49"/>
    </row>
    <row r="49" spans="1:8" ht="29.1" customHeight="1" x14ac:dyDescent="0.2">
      <c r="A49" s="3">
        <v>43</v>
      </c>
      <c r="B49" s="4" t="s">
        <v>429</v>
      </c>
      <c r="C49" s="4" t="s">
        <v>430</v>
      </c>
      <c r="D49" s="4" t="s">
        <v>431</v>
      </c>
      <c r="E49" s="5">
        <v>107873</v>
      </c>
      <c r="F49" s="6">
        <v>136.1896625</v>
      </c>
      <c r="G49" s="7">
        <v>9.2483310000000003E-3</v>
      </c>
      <c r="H49" s="49"/>
    </row>
    <row r="50" spans="1:8" ht="17.100000000000001" customHeight="1" x14ac:dyDescent="0.2">
      <c r="A50" s="3">
        <v>44</v>
      </c>
      <c r="B50" s="4" t="s">
        <v>247</v>
      </c>
      <c r="C50" s="4" t="s">
        <v>248</v>
      </c>
      <c r="D50" s="4" t="s">
        <v>103</v>
      </c>
      <c r="E50" s="5">
        <v>22326</v>
      </c>
      <c r="F50" s="6">
        <v>131.83502999999999</v>
      </c>
      <c r="G50" s="7">
        <v>8.9526180000000007E-3</v>
      </c>
      <c r="H50" s="49"/>
    </row>
    <row r="51" spans="1:8" ht="29.1" customHeight="1" x14ac:dyDescent="0.2">
      <c r="A51" s="3">
        <v>45</v>
      </c>
      <c r="B51" s="4" t="s">
        <v>459</v>
      </c>
      <c r="C51" s="4" t="s">
        <v>460</v>
      </c>
      <c r="D51" s="4" t="s">
        <v>380</v>
      </c>
      <c r="E51" s="5">
        <v>28411</v>
      </c>
      <c r="F51" s="6">
        <v>124.326536</v>
      </c>
      <c r="G51" s="7">
        <v>8.4427329999999991E-3</v>
      </c>
      <c r="H51" s="49"/>
    </row>
    <row r="52" spans="1:8" ht="17.100000000000001" customHeight="1" x14ac:dyDescent="0.2">
      <c r="A52" s="3">
        <v>46</v>
      </c>
      <c r="B52" s="4" t="s">
        <v>473</v>
      </c>
      <c r="C52" s="4" t="s">
        <v>474</v>
      </c>
      <c r="D52" s="4" t="s">
        <v>108</v>
      </c>
      <c r="E52" s="5">
        <v>8109</v>
      </c>
      <c r="F52" s="6">
        <v>123.8771385</v>
      </c>
      <c r="G52" s="7">
        <v>8.4122150000000007E-3</v>
      </c>
      <c r="H52" s="49"/>
    </row>
    <row r="53" spans="1:8" ht="17.100000000000001" customHeight="1" x14ac:dyDescent="0.2">
      <c r="A53" s="3">
        <v>47</v>
      </c>
      <c r="B53" s="4" t="s">
        <v>461</v>
      </c>
      <c r="C53" s="4" t="s">
        <v>462</v>
      </c>
      <c r="D53" s="4" t="s">
        <v>43</v>
      </c>
      <c r="E53" s="5">
        <v>17619</v>
      </c>
      <c r="F53" s="6">
        <v>121.9675275</v>
      </c>
      <c r="G53" s="7">
        <v>8.2825380000000007E-3</v>
      </c>
      <c r="H53" s="49"/>
    </row>
    <row r="54" spans="1:8" ht="29.1" customHeight="1" x14ac:dyDescent="0.2">
      <c r="A54" s="3">
        <v>48</v>
      </c>
      <c r="B54" s="4" t="s">
        <v>378</v>
      </c>
      <c r="C54" s="4" t="s">
        <v>379</v>
      </c>
      <c r="D54" s="4" t="s">
        <v>380</v>
      </c>
      <c r="E54" s="5">
        <v>29241</v>
      </c>
      <c r="F54" s="6">
        <v>116.2183545</v>
      </c>
      <c r="G54" s="7">
        <v>7.8921249999999998E-3</v>
      </c>
      <c r="H54" s="49"/>
    </row>
    <row r="55" spans="1:8" ht="29.1" customHeight="1" x14ac:dyDescent="0.2">
      <c r="A55" s="3">
        <v>49</v>
      </c>
      <c r="B55" s="4" t="s">
        <v>406</v>
      </c>
      <c r="C55" s="4" t="s">
        <v>407</v>
      </c>
      <c r="D55" s="4" t="s">
        <v>108</v>
      </c>
      <c r="E55" s="5">
        <v>9500</v>
      </c>
      <c r="F55" s="6">
        <v>111.80074999999999</v>
      </c>
      <c r="G55" s="7">
        <v>7.5921349999999999E-3</v>
      </c>
      <c r="H55" s="49"/>
    </row>
    <row r="56" spans="1:8" ht="17.100000000000001" customHeight="1" x14ac:dyDescent="0.2">
      <c r="A56" s="3">
        <v>50</v>
      </c>
      <c r="B56" s="4" t="s">
        <v>370</v>
      </c>
      <c r="C56" s="4" t="s">
        <v>371</v>
      </c>
      <c r="D56" s="4" t="s">
        <v>108</v>
      </c>
      <c r="E56" s="5">
        <v>20567</v>
      </c>
      <c r="F56" s="6">
        <v>111.555408</v>
      </c>
      <c r="G56" s="7">
        <v>7.5754749999999999E-3</v>
      </c>
      <c r="H56" s="49"/>
    </row>
    <row r="57" spans="1:8" ht="17.100000000000001" customHeight="1" x14ac:dyDescent="0.2">
      <c r="A57" s="3">
        <v>51</v>
      </c>
      <c r="B57" s="4" t="s">
        <v>391</v>
      </c>
      <c r="C57" s="4" t="s">
        <v>392</v>
      </c>
      <c r="D57" s="4" t="s">
        <v>196</v>
      </c>
      <c r="E57" s="5">
        <v>14087</v>
      </c>
      <c r="F57" s="6">
        <v>105.7158915</v>
      </c>
      <c r="G57" s="7">
        <v>7.1789260000000004E-3</v>
      </c>
      <c r="H57" s="49"/>
    </row>
    <row r="58" spans="1:8" ht="17.100000000000001" customHeight="1" x14ac:dyDescent="0.2">
      <c r="A58" s="3">
        <v>52</v>
      </c>
      <c r="B58" s="4" t="s">
        <v>410</v>
      </c>
      <c r="C58" s="4" t="s">
        <v>411</v>
      </c>
      <c r="D58" s="4" t="s">
        <v>89</v>
      </c>
      <c r="E58" s="5">
        <v>15982</v>
      </c>
      <c r="F58" s="6">
        <v>104.82593799999999</v>
      </c>
      <c r="G58" s="7">
        <v>7.1184910000000002E-3</v>
      </c>
      <c r="H58" s="49"/>
    </row>
    <row r="59" spans="1:8" ht="29.1" customHeight="1" x14ac:dyDescent="0.2">
      <c r="A59" s="3">
        <v>53</v>
      </c>
      <c r="B59" s="4" t="s">
        <v>475</v>
      </c>
      <c r="C59" s="4" t="s">
        <v>476</v>
      </c>
      <c r="D59" s="4" t="s">
        <v>60</v>
      </c>
      <c r="E59" s="5">
        <v>103230</v>
      </c>
      <c r="F59" s="6">
        <v>93.939300000000003</v>
      </c>
      <c r="G59" s="7">
        <v>6.3792049999999998E-3</v>
      </c>
      <c r="H59" s="49"/>
    </row>
    <row r="60" spans="1:8" ht="29.1" customHeight="1" x14ac:dyDescent="0.2">
      <c r="A60" s="3">
        <v>54</v>
      </c>
      <c r="B60" s="4" t="s">
        <v>477</v>
      </c>
      <c r="C60" s="4" t="s">
        <v>478</v>
      </c>
      <c r="D60" s="4" t="s">
        <v>215</v>
      </c>
      <c r="E60" s="5">
        <v>2024</v>
      </c>
      <c r="F60" s="6">
        <v>93.091856000000007</v>
      </c>
      <c r="G60" s="7">
        <v>6.3216569999999996E-3</v>
      </c>
      <c r="H60" s="49"/>
    </row>
    <row r="61" spans="1:8" ht="17.100000000000001" customHeight="1" x14ac:dyDescent="0.2">
      <c r="A61" s="3">
        <v>55</v>
      </c>
      <c r="B61" s="4" t="s">
        <v>393</v>
      </c>
      <c r="C61" s="4" t="s">
        <v>394</v>
      </c>
      <c r="D61" s="4" t="s">
        <v>16</v>
      </c>
      <c r="E61" s="5">
        <v>34897</v>
      </c>
      <c r="F61" s="6">
        <v>76.180150999999995</v>
      </c>
      <c r="G61" s="7">
        <v>5.1732210000000004E-3</v>
      </c>
      <c r="H61" s="49"/>
    </row>
    <row r="62" spans="1:8" ht="17.100000000000001" customHeight="1" x14ac:dyDescent="0.2">
      <c r="A62" s="3">
        <v>56</v>
      </c>
      <c r="B62" s="4" t="s">
        <v>434</v>
      </c>
      <c r="C62" s="4" t="s">
        <v>435</v>
      </c>
      <c r="D62" s="4" t="s">
        <v>218</v>
      </c>
      <c r="E62" s="5">
        <v>9697</v>
      </c>
      <c r="F62" s="6">
        <v>74.191747000000007</v>
      </c>
      <c r="G62" s="7">
        <v>5.0381929999999998E-3</v>
      </c>
      <c r="H62" s="49"/>
    </row>
    <row r="63" spans="1:8" ht="17.100000000000001" customHeight="1" x14ac:dyDescent="0.2">
      <c r="A63" s="3">
        <v>57</v>
      </c>
      <c r="B63" s="4" t="s">
        <v>455</v>
      </c>
      <c r="C63" s="4" t="s">
        <v>456</v>
      </c>
      <c r="D63" s="4" t="s">
        <v>108</v>
      </c>
      <c r="E63" s="5">
        <v>5957</v>
      </c>
      <c r="F63" s="6">
        <v>73.006013499999995</v>
      </c>
      <c r="G63" s="7">
        <v>4.9576730000000001E-3</v>
      </c>
      <c r="H63" s="49"/>
    </row>
    <row r="64" spans="1:8" ht="17.100000000000001" customHeight="1" x14ac:dyDescent="0.2">
      <c r="A64" s="3">
        <v>58</v>
      </c>
      <c r="B64" s="4" t="s">
        <v>438</v>
      </c>
      <c r="C64" s="4" t="s">
        <v>439</v>
      </c>
      <c r="D64" s="4" t="s">
        <v>31</v>
      </c>
      <c r="E64" s="5">
        <v>7769</v>
      </c>
      <c r="F64" s="6">
        <v>68.553656000000004</v>
      </c>
      <c r="G64" s="7">
        <v>4.6553230000000003E-3</v>
      </c>
      <c r="H64" s="49"/>
    </row>
    <row r="65" spans="1:8" ht="29.1" customHeight="1" x14ac:dyDescent="0.2">
      <c r="A65" s="3">
        <v>59</v>
      </c>
      <c r="B65" s="4" t="s">
        <v>440</v>
      </c>
      <c r="C65" s="4" t="s">
        <v>441</v>
      </c>
      <c r="D65" s="4" t="s">
        <v>215</v>
      </c>
      <c r="E65" s="5">
        <v>23079</v>
      </c>
      <c r="F65" s="6">
        <v>60.882401999999999</v>
      </c>
      <c r="G65" s="7">
        <v>4.1343860000000003E-3</v>
      </c>
      <c r="H65" s="49"/>
    </row>
    <row r="66" spans="1:8" ht="29.1" customHeight="1" x14ac:dyDescent="0.2">
      <c r="A66" s="3">
        <v>60</v>
      </c>
      <c r="B66" s="4" t="s">
        <v>387</v>
      </c>
      <c r="C66" s="4" t="s">
        <v>388</v>
      </c>
      <c r="D66" s="4" t="s">
        <v>215</v>
      </c>
      <c r="E66" s="5">
        <v>1438</v>
      </c>
      <c r="F66" s="6">
        <v>59.878320000000002</v>
      </c>
      <c r="G66" s="7">
        <v>4.0662010000000002E-3</v>
      </c>
      <c r="H66" s="49"/>
    </row>
    <row r="67" spans="1:8" ht="17.100000000000001" customHeight="1" x14ac:dyDescent="0.2">
      <c r="A67" s="3">
        <v>61</v>
      </c>
      <c r="B67" s="4" t="s">
        <v>408</v>
      </c>
      <c r="C67" s="4" t="s">
        <v>409</v>
      </c>
      <c r="D67" s="4" t="s">
        <v>108</v>
      </c>
      <c r="E67" s="5">
        <v>22129</v>
      </c>
      <c r="F67" s="6">
        <v>59.084429999999998</v>
      </c>
      <c r="G67" s="7">
        <v>4.01229E-3</v>
      </c>
      <c r="H67" s="49"/>
    </row>
    <row r="68" spans="1:8" ht="17.100000000000001" customHeight="1" x14ac:dyDescent="0.2">
      <c r="A68" s="3">
        <v>62</v>
      </c>
      <c r="B68" s="4" t="s">
        <v>330</v>
      </c>
      <c r="C68" s="4" t="s">
        <v>331</v>
      </c>
      <c r="D68" s="4" t="s">
        <v>100</v>
      </c>
      <c r="E68" s="5">
        <v>72875</v>
      </c>
      <c r="F68" s="6">
        <v>57.389062500000001</v>
      </c>
      <c r="G68" s="7">
        <v>3.8971610000000001E-3</v>
      </c>
      <c r="H68" s="49"/>
    </row>
    <row r="69" spans="1:8" ht="29.1" customHeight="1" x14ac:dyDescent="0.2">
      <c r="A69" s="3">
        <v>63</v>
      </c>
      <c r="B69" s="4" t="s">
        <v>322</v>
      </c>
      <c r="C69" s="4" t="s">
        <v>323</v>
      </c>
      <c r="D69" s="4" t="s">
        <v>193</v>
      </c>
      <c r="E69" s="5">
        <v>10835</v>
      </c>
      <c r="F69" s="6">
        <v>42.0777225</v>
      </c>
      <c r="G69" s="7">
        <v>2.8574030000000001E-3</v>
      </c>
      <c r="H69" s="49"/>
    </row>
    <row r="70" spans="1:8" ht="17.100000000000001" customHeight="1" x14ac:dyDescent="0.2">
      <c r="A70" s="3">
        <v>64</v>
      </c>
      <c r="B70" s="4" t="s">
        <v>427</v>
      </c>
      <c r="C70" s="4" t="s">
        <v>428</v>
      </c>
      <c r="D70" s="4" t="s">
        <v>13</v>
      </c>
      <c r="E70" s="5">
        <v>47153</v>
      </c>
      <c r="F70" s="6">
        <v>37.415905500000001</v>
      </c>
      <c r="G70" s="7">
        <v>2.5408290000000001E-3</v>
      </c>
      <c r="H70" s="49"/>
    </row>
    <row r="71" spans="1:8" ht="29.1" customHeight="1" x14ac:dyDescent="0.2">
      <c r="A71" s="3">
        <v>65</v>
      </c>
      <c r="B71" s="4" t="s">
        <v>414</v>
      </c>
      <c r="C71" s="4" t="s">
        <v>415</v>
      </c>
      <c r="D71" s="4" t="s">
        <v>60</v>
      </c>
      <c r="E71" s="5">
        <v>6615</v>
      </c>
      <c r="F71" s="6">
        <v>24.329969999999999</v>
      </c>
      <c r="G71" s="7">
        <v>1.6521929999999999E-3</v>
      </c>
      <c r="H71" s="49"/>
    </row>
    <row r="72" spans="1:8" ht="14.1" customHeight="1" x14ac:dyDescent="0.2">
      <c r="A72" s="1"/>
      <c r="B72" s="1"/>
      <c r="C72" s="2" t="s">
        <v>130</v>
      </c>
      <c r="D72" s="1"/>
      <c r="E72" s="1" t="s">
        <v>131</v>
      </c>
      <c r="F72" s="9">
        <v>12727.569799999999</v>
      </c>
      <c r="G72" s="10">
        <v>0.86430037699999995</v>
      </c>
      <c r="H72" s="49"/>
    </row>
    <row r="73" spans="1:8" ht="14.1" customHeight="1" x14ac:dyDescent="0.2">
      <c r="A73" s="1"/>
      <c r="B73" s="1"/>
      <c r="C73" s="11"/>
      <c r="D73" s="1"/>
      <c r="E73" s="1"/>
      <c r="F73" s="12"/>
      <c r="G73" s="12"/>
      <c r="H73" s="49"/>
    </row>
    <row r="74" spans="1:8" ht="14.1" customHeight="1" x14ac:dyDescent="0.2">
      <c r="A74" s="1"/>
      <c r="B74" s="1"/>
      <c r="C74" s="2" t="s">
        <v>132</v>
      </c>
      <c r="D74" s="1"/>
      <c r="E74" s="1"/>
      <c r="F74" s="1"/>
      <c r="G74" s="1"/>
      <c r="H74" s="49"/>
    </row>
    <row r="75" spans="1:8" ht="14.1" customHeight="1" x14ac:dyDescent="0.2">
      <c r="A75" s="1"/>
      <c r="B75" s="1"/>
      <c r="C75" s="2" t="s">
        <v>130</v>
      </c>
      <c r="D75" s="1"/>
      <c r="E75" s="1" t="s">
        <v>131</v>
      </c>
      <c r="F75" s="13">
        <v>0</v>
      </c>
      <c r="G75" s="14">
        <v>0</v>
      </c>
      <c r="H75" s="49"/>
    </row>
    <row r="76" spans="1:8" ht="14.1" customHeight="1" x14ac:dyDescent="0.2">
      <c r="A76" s="1"/>
      <c r="B76" s="1"/>
      <c r="C76" s="11"/>
      <c r="D76" s="1"/>
      <c r="E76" s="1"/>
      <c r="F76" s="12"/>
      <c r="G76" s="12"/>
      <c r="H76" s="49"/>
    </row>
    <row r="77" spans="1:8" ht="14.1" customHeight="1" x14ac:dyDescent="0.2">
      <c r="A77" s="1"/>
      <c r="B77" s="1"/>
      <c r="C77" s="2" t="s">
        <v>133</v>
      </c>
      <c r="D77" s="1"/>
      <c r="E77" s="1"/>
      <c r="F77" s="1"/>
      <c r="G77" s="1"/>
      <c r="H77" s="49"/>
    </row>
    <row r="78" spans="1:8" ht="14.1" customHeight="1" x14ac:dyDescent="0.2">
      <c r="A78" s="1"/>
      <c r="B78" s="1"/>
      <c r="C78" s="2" t="s">
        <v>130</v>
      </c>
      <c r="D78" s="1"/>
      <c r="E78" s="1" t="s">
        <v>131</v>
      </c>
      <c r="F78" s="13">
        <v>0</v>
      </c>
      <c r="G78" s="14">
        <v>0</v>
      </c>
      <c r="H78" s="49"/>
    </row>
    <row r="79" spans="1:8" ht="14.1" customHeight="1" x14ac:dyDescent="0.2">
      <c r="A79" s="1"/>
      <c r="B79" s="1"/>
      <c r="C79" s="11"/>
      <c r="D79" s="1"/>
      <c r="E79" s="1"/>
      <c r="F79" s="12"/>
      <c r="G79" s="12"/>
      <c r="H79" s="49"/>
    </row>
    <row r="80" spans="1:8" ht="14.1" customHeight="1" x14ac:dyDescent="0.2">
      <c r="A80" s="1"/>
      <c r="B80" s="1"/>
      <c r="C80" s="2" t="s">
        <v>134</v>
      </c>
      <c r="D80" s="1"/>
      <c r="E80" s="1"/>
      <c r="F80" s="1"/>
      <c r="G80" s="1"/>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135</v>
      </c>
      <c r="D83" s="1"/>
      <c r="E83" s="1"/>
      <c r="F83" s="12"/>
      <c r="G83" s="12"/>
      <c r="H83" s="49"/>
    </row>
    <row r="84" spans="1:8" ht="14.1" customHeight="1" x14ac:dyDescent="0.2">
      <c r="A84" s="1"/>
      <c r="B84" s="1"/>
      <c r="C84" s="2" t="s">
        <v>130</v>
      </c>
      <c r="D84" s="1"/>
      <c r="E84" s="1" t="s">
        <v>131</v>
      </c>
      <c r="F84" s="13">
        <v>0</v>
      </c>
      <c r="G84" s="14">
        <v>0</v>
      </c>
      <c r="H84" s="49"/>
    </row>
    <row r="85" spans="1:8" ht="14.1" customHeight="1" x14ac:dyDescent="0.2">
      <c r="A85" s="1"/>
      <c r="B85" s="1"/>
      <c r="C85" s="11"/>
      <c r="D85" s="1"/>
      <c r="E85" s="1"/>
      <c r="F85" s="12"/>
      <c r="G85" s="12"/>
      <c r="H85" s="49"/>
    </row>
    <row r="86" spans="1:8" ht="14.1" customHeight="1" x14ac:dyDescent="0.2">
      <c r="A86" s="1"/>
      <c r="B86" s="1"/>
      <c r="C86" s="2" t="s">
        <v>136</v>
      </c>
      <c r="D86" s="1"/>
      <c r="E86" s="1"/>
      <c r="F86" s="12"/>
      <c r="G86" s="12"/>
      <c r="H86" s="49"/>
    </row>
    <row r="87" spans="1:8" ht="14.1" customHeight="1" x14ac:dyDescent="0.2">
      <c r="A87" s="1"/>
      <c r="B87" s="1"/>
      <c r="C87" s="2" t="s">
        <v>130</v>
      </c>
      <c r="D87" s="1"/>
      <c r="E87" s="1" t="s">
        <v>131</v>
      </c>
      <c r="F87" s="13">
        <v>0</v>
      </c>
      <c r="G87" s="14">
        <v>0</v>
      </c>
      <c r="H87" s="49"/>
    </row>
    <row r="88" spans="1:8" ht="14.1" customHeight="1" x14ac:dyDescent="0.2">
      <c r="A88" s="1"/>
      <c r="B88" s="1"/>
      <c r="C88" s="11"/>
      <c r="D88" s="1"/>
      <c r="E88" s="1"/>
      <c r="F88" s="12"/>
      <c r="G88" s="12"/>
      <c r="H88" s="49"/>
    </row>
    <row r="89" spans="1:8" ht="18" customHeight="1" x14ac:dyDescent="0.2">
      <c r="A89" s="1"/>
      <c r="B89" s="1"/>
      <c r="C89" s="2" t="s">
        <v>137</v>
      </c>
      <c r="D89" s="1"/>
      <c r="E89" s="1"/>
      <c r="F89" s="9">
        <v>12727.569799999999</v>
      </c>
      <c r="G89" s="10">
        <v>0.86430037699999995</v>
      </c>
      <c r="H89" s="49"/>
    </row>
    <row r="90" spans="1:8" ht="14.1" customHeight="1" x14ac:dyDescent="0.2">
      <c r="A90" s="1"/>
      <c r="B90" s="1"/>
      <c r="C90" s="11"/>
      <c r="D90" s="1"/>
      <c r="E90" s="1"/>
      <c r="F90" s="12"/>
      <c r="G90" s="12"/>
      <c r="H90" s="49"/>
    </row>
    <row r="91" spans="1:8" ht="14.1" customHeight="1" x14ac:dyDescent="0.2">
      <c r="A91" s="1"/>
      <c r="B91" s="1"/>
      <c r="C91" s="2" t="s">
        <v>138</v>
      </c>
      <c r="D91" s="1"/>
      <c r="E91" s="1"/>
      <c r="F91" s="12"/>
      <c r="G91" s="12"/>
      <c r="H91" s="49"/>
    </row>
    <row r="92" spans="1:8" ht="24" customHeight="1" x14ac:dyDescent="0.2">
      <c r="A92" s="1"/>
      <c r="B92" s="1"/>
      <c r="C92" s="2" t="s">
        <v>10</v>
      </c>
      <c r="D92" s="1"/>
      <c r="E92" s="1"/>
      <c r="F92" s="12"/>
      <c r="G92" s="12"/>
      <c r="H92" s="49"/>
    </row>
    <row r="93" spans="1:8" ht="14.1" customHeight="1" x14ac:dyDescent="0.2">
      <c r="A93" s="1"/>
      <c r="B93" s="1"/>
      <c r="C93" s="2" t="s">
        <v>130</v>
      </c>
      <c r="D93" s="1"/>
      <c r="E93" s="1" t="s">
        <v>131</v>
      </c>
      <c r="F93" s="13">
        <v>0</v>
      </c>
      <c r="G93" s="14">
        <v>0</v>
      </c>
      <c r="H93" s="49"/>
    </row>
    <row r="94" spans="1:8" ht="14.1" customHeight="1" x14ac:dyDescent="0.2">
      <c r="A94" s="1"/>
      <c r="B94" s="1"/>
      <c r="C94" s="11"/>
      <c r="D94" s="1"/>
      <c r="E94" s="1"/>
      <c r="F94" s="12"/>
      <c r="G94" s="12"/>
      <c r="H94" s="49"/>
    </row>
    <row r="95" spans="1:8" ht="14.1" customHeight="1" x14ac:dyDescent="0.2">
      <c r="A95" s="1"/>
      <c r="B95" s="1"/>
      <c r="C95" s="2" t="s">
        <v>139</v>
      </c>
      <c r="D95" s="1"/>
      <c r="E95" s="1"/>
      <c r="F95" s="1"/>
      <c r="G95" s="1"/>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140</v>
      </c>
      <c r="D98" s="1"/>
      <c r="E98" s="1"/>
      <c r="F98" s="1"/>
      <c r="G98" s="1"/>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2" t="s">
        <v>141</v>
      </c>
      <c r="D101" s="1"/>
      <c r="E101" s="1"/>
      <c r="F101" s="12"/>
      <c r="G101" s="12"/>
      <c r="H101" s="49"/>
    </row>
    <row r="102" spans="1:8" ht="14.1" customHeight="1" x14ac:dyDescent="0.2">
      <c r="A102" s="1"/>
      <c r="B102" s="1"/>
      <c r="C102" s="2" t="s">
        <v>130</v>
      </c>
      <c r="D102" s="1"/>
      <c r="E102" s="1" t="s">
        <v>131</v>
      </c>
      <c r="F102" s="13">
        <v>0</v>
      </c>
      <c r="G102" s="14">
        <v>0</v>
      </c>
      <c r="H102" s="49"/>
    </row>
    <row r="103" spans="1:8" ht="14.1" customHeight="1" x14ac:dyDescent="0.2">
      <c r="A103" s="1"/>
      <c r="B103" s="1"/>
      <c r="C103" s="11"/>
      <c r="D103" s="1"/>
      <c r="E103" s="1"/>
      <c r="F103" s="12"/>
      <c r="G103" s="12"/>
      <c r="H103" s="49"/>
    </row>
    <row r="104" spans="1:8" ht="14.1" customHeight="1" x14ac:dyDescent="0.2">
      <c r="A104" s="1"/>
      <c r="B104" s="1"/>
      <c r="C104" s="2" t="s">
        <v>142</v>
      </c>
      <c r="D104" s="1"/>
      <c r="E104" s="1"/>
      <c r="F104" s="9">
        <v>0</v>
      </c>
      <c r="G104" s="10">
        <v>0</v>
      </c>
      <c r="H104" s="49"/>
    </row>
    <row r="105" spans="1:8" ht="14.1" customHeight="1" x14ac:dyDescent="0.2">
      <c r="A105" s="1"/>
      <c r="B105" s="1"/>
      <c r="C105" s="11"/>
      <c r="D105" s="1"/>
      <c r="E105" s="1"/>
      <c r="F105" s="12"/>
      <c r="G105" s="12"/>
      <c r="H105" s="49"/>
    </row>
    <row r="106" spans="1:8" ht="14.1" customHeight="1" x14ac:dyDescent="0.2">
      <c r="A106" s="1"/>
      <c r="B106" s="1"/>
      <c r="C106" s="2" t="s">
        <v>143</v>
      </c>
      <c r="D106" s="1"/>
      <c r="E106" s="1"/>
      <c r="F106" s="12"/>
      <c r="G106" s="12"/>
      <c r="H106" s="49"/>
    </row>
    <row r="107" spans="1:8" ht="14.1" customHeight="1" x14ac:dyDescent="0.2">
      <c r="A107" s="1"/>
      <c r="B107" s="1"/>
      <c r="C107" s="2" t="s">
        <v>144</v>
      </c>
      <c r="D107" s="1"/>
      <c r="E107" s="1"/>
      <c r="F107" s="12"/>
      <c r="G107" s="12"/>
      <c r="H107" s="49"/>
    </row>
    <row r="108" spans="1:8" ht="14.1" customHeight="1" x14ac:dyDescent="0.2">
      <c r="A108" s="1"/>
      <c r="B108" s="1"/>
      <c r="C108" s="2" t="s">
        <v>130</v>
      </c>
      <c r="D108" s="1"/>
      <c r="E108" s="1" t="s">
        <v>131</v>
      </c>
      <c r="F108" s="13">
        <v>0</v>
      </c>
      <c r="G108" s="14">
        <v>0</v>
      </c>
      <c r="H108" s="49"/>
    </row>
    <row r="109" spans="1:8" ht="14.1" customHeight="1" x14ac:dyDescent="0.2">
      <c r="A109" s="1"/>
      <c r="B109" s="1"/>
      <c r="C109" s="11"/>
      <c r="D109" s="1"/>
      <c r="E109" s="1"/>
      <c r="F109" s="12"/>
      <c r="G109" s="12"/>
      <c r="H109" s="49"/>
    </row>
    <row r="110" spans="1:8" ht="14.1" customHeight="1" x14ac:dyDescent="0.2">
      <c r="A110" s="1"/>
      <c r="B110" s="1"/>
      <c r="C110" s="2" t="s">
        <v>145</v>
      </c>
      <c r="D110" s="1"/>
      <c r="E110" s="1"/>
      <c r="F110" s="12"/>
      <c r="G110" s="12"/>
      <c r="H110" s="49"/>
    </row>
    <row r="111" spans="1:8" ht="14.1" customHeight="1" x14ac:dyDescent="0.2">
      <c r="A111" s="1"/>
      <c r="B111" s="1"/>
      <c r="C111" s="2" t="s">
        <v>130</v>
      </c>
      <c r="D111" s="1"/>
      <c r="E111" s="1" t="s">
        <v>131</v>
      </c>
      <c r="F111" s="13">
        <v>0</v>
      </c>
      <c r="G111" s="14">
        <v>0</v>
      </c>
      <c r="H111" s="49"/>
    </row>
    <row r="112" spans="1:8" ht="14.1" customHeight="1" x14ac:dyDescent="0.2">
      <c r="A112" s="1"/>
      <c r="B112" s="1"/>
      <c r="C112" s="11"/>
      <c r="D112" s="1"/>
      <c r="E112" s="1"/>
      <c r="F112" s="12"/>
      <c r="G112" s="12"/>
      <c r="H112" s="49"/>
    </row>
    <row r="113" spans="1:8" ht="14.1" customHeight="1" x14ac:dyDescent="0.2">
      <c r="A113" s="1"/>
      <c r="B113" s="1"/>
      <c r="C113" s="2" t="s">
        <v>146</v>
      </c>
      <c r="D113" s="1"/>
      <c r="E113" s="1"/>
      <c r="F113" s="12"/>
      <c r="G113" s="12"/>
      <c r="H113" s="49"/>
    </row>
    <row r="114" spans="1:8" ht="14.1" customHeight="1" x14ac:dyDescent="0.2">
      <c r="A114" s="1"/>
      <c r="B114" s="1"/>
      <c r="C114" s="2" t="s">
        <v>130</v>
      </c>
      <c r="D114" s="1"/>
      <c r="E114" s="1" t="s">
        <v>131</v>
      </c>
      <c r="F114" s="13">
        <v>0</v>
      </c>
      <c r="G114" s="14">
        <v>0</v>
      </c>
      <c r="H114" s="49"/>
    </row>
    <row r="115" spans="1:8" ht="14.1" customHeight="1" x14ac:dyDescent="0.2">
      <c r="A115" s="1"/>
      <c r="B115" s="1"/>
      <c r="C115" s="11"/>
      <c r="D115" s="1"/>
      <c r="E115" s="1"/>
      <c r="F115" s="12"/>
      <c r="G115" s="12"/>
      <c r="H115" s="49"/>
    </row>
    <row r="116" spans="1:8" ht="14.1" customHeight="1" x14ac:dyDescent="0.2">
      <c r="A116" s="1"/>
      <c r="B116" s="1"/>
      <c r="C116" s="2" t="s">
        <v>147</v>
      </c>
      <c r="D116" s="1"/>
      <c r="E116" s="1"/>
      <c r="F116" s="12"/>
      <c r="G116" s="12"/>
      <c r="H116" s="49"/>
    </row>
    <row r="117" spans="1:8" ht="17.100000000000001" customHeight="1" x14ac:dyDescent="0.2">
      <c r="A117" s="3">
        <v>1</v>
      </c>
      <c r="B117" s="4"/>
      <c r="C117" s="4" t="s">
        <v>148</v>
      </c>
      <c r="D117" s="4"/>
      <c r="E117" s="8"/>
      <c r="F117" s="6">
        <v>1994.9545968</v>
      </c>
      <c r="G117" s="7">
        <v>0.13547283800000001</v>
      </c>
      <c r="H117" s="49">
        <v>5.6572293145372496</v>
      </c>
    </row>
    <row r="118" spans="1:8" ht="14.1" customHeight="1" x14ac:dyDescent="0.2">
      <c r="A118" s="1"/>
      <c r="B118" s="1"/>
      <c r="C118" s="2" t="s">
        <v>130</v>
      </c>
      <c r="D118" s="1"/>
      <c r="E118" s="1" t="s">
        <v>131</v>
      </c>
      <c r="F118" s="9">
        <v>1994.9545968</v>
      </c>
      <c r="G118" s="10">
        <v>0.13547283800000001</v>
      </c>
      <c r="H118" s="49"/>
    </row>
    <row r="119" spans="1:8" ht="14.1" customHeight="1" x14ac:dyDescent="0.2">
      <c r="A119" s="1"/>
      <c r="B119" s="1"/>
      <c r="C119" s="11"/>
      <c r="D119" s="1"/>
      <c r="E119" s="1"/>
      <c r="F119" s="12"/>
      <c r="G119" s="12"/>
      <c r="H119" s="49"/>
    </row>
    <row r="120" spans="1:8" ht="14.1" customHeight="1" x14ac:dyDescent="0.2">
      <c r="A120" s="1"/>
      <c r="B120" s="1"/>
      <c r="C120" s="2" t="s">
        <v>149</v>
      </c>
      <c r="D120" s="1"/>
      <c r="E120" s="1"/>
      <c r="F120" s="9">
        <v>1994.9545968</v>
      </c>
      <c r="G120" s="10">
        <v>0.13547283800000001</v>
      </c>
      <c r="H120" s="49"/>
    </row>
    <row r="121" spans="1:8" ht="14.1" customHeight="1" x14ac:dyDescent="0.2">
      <c r="A121" s="1"/>
      <c r="B121" s="1"/>
      <c r="C121" s="12"/>
      <c r="D121" s="1"/>
      <c r="E121" s="1"/>
      <c r="F121" s="1"/>
      <c r="G121" s="1"/>
      <c r="H121" s="49"/>
    </row>
    <row r="122" spans="1:8" ht="14.1" customHeight="1" x14ac:dyDescent="0.2">
      <c r="A122" s="1"/>
      <c r="B122" s="1"/>
      <c r="C122" s="2" t="s">
        <v>150</v>
      </c>
      <c r="D122" s="1"/>
      <c r="E122" s="1"/>
      <c r="F122" s="1"/>
      <c r="G122" s="1"/>
      <c r="H122" s="49"/>
    </row>
    <row r="123" spans="1:8" ht="14.1" customHeight="1" x14ac:dyDescent="0.2">
      <c r="A123" s="1"/>
      <c r="B123" s="1"/>
      <c r="C123" s="2" t="s">
        <v>151</v>
      </c>
      <c r="D123" s="1"/>
      <c r="E123" s="1"/>
      <c r="F123" s="1"/>
      <c r="G123" s="1"/>
      <c r="H123" s="49"/>
    </row>
    <row r="124" spans="1:8" ht="14.1" customHeight="1" x14ac:dyDescent="0.2">
      <c r="A124" s="1"/>
      <c r="B124" s="1"/>
      <c r="C124" s="2" t="s">
        <v>130</v>
      </c>
      <c r="D124" s="1"/>
      <c r="E124" s="1" t="s">
        <v>131</v>
      </c>
      <c r="F124" s="13">
        <v>0</v>
      </c>
      <c r="G124" s="14">
        <v>0</v>
      </c>
      <c r="H124" s="49"/>
    </row>
    <row r="125" spans="1:8" ht="14.1" customHeight="1" x14ac:dyDescent="0.2">
      <c r="A125" s="1"/>
      <c r="B125" s="1"/>
      <c r="C125" s="11"/>
      <c r="D125" s="1"/>
      <c r="E125" s="1"/>
      <c r="F125" s="12"/>
      <c r="G125" s="12"/>
      <c r="H125" s="49"/>
    </row>
    <row r="126" spans="1:8" ht="14.1" customHeight="1" x14ac:dyDescent="0.2">
      <c r="A126" s="1"/>
      <c r="B126" s="1"/>
      <c r="C126" s="2" t="s">
        <v>152</v>
      </c>
      <c r="D126" s="1"/>
      <c r="E126" s="1"/>
      <c r="F126" s="1"/>
      <c r="G126" s="1"/>
      <c r="H126" s="49"/>
    </row>
    <row r="127" spans="1:8" ht="14.1" customHeight="1" x14ac:dyDescent="0.2">
      <c r="A127" s="1"/>
      <c r="B127" s="1"/>
      <c r="C127" s="2" t="s">
        <v>153</v>
      </c>
      <c r="D127" s="1"/>
      <c r="E127" s="1"/>
      <c r="F127" s="1"/>
      <c r="G127" s="1"/>
      <c r="H127" s="49"/>
    </row>
    <row r="128" spans="1:8" ht="14.1" customHeight="1" x14ac:dyDescent="0.2">
      <c r="A128" s="1"/>
      <c r="B128" s="1"/>
      <c r="C128" s="2" t="s">
        <v>130</v>
      </c>
      <c r="D128" s="1"/>
      <c r="E128" s="1" t="s">
        <v>131</v>
      </c>
      <c r="F128" s="13">
        <v>0</v>
      </c>
      <c r="G128" s="14">
        <v>0</v>
      </c>
      <c r="H128" s="49"/>
    </row>
    <row r="129" spans="1:8" ht="14.1" customHeight="1" x14ac:dyDescent="0.2">
      <c r="A129" s="1"/>
      <c r="B129" s="1"/>
      <c r="C129" s="11"/>
      <c r="D129" s="1"/>
      <c r="E129" s="1"/>
      <c r="F129" s="12"/>
      <c r="G129" s="12"/>
      <c r="H129" s="49"/>
    </row>
    <row r="130" spans="1:8" ht="14.1" customHeight="1" x14ac:dyDescent="0.2">
      <c r="A130" s="1"/>
      <c r="B130" s="1"/>
      <c r="C130" s="11"/>
      <c r="D130" s="1"/>
      <c r="E130" s="1"/>
      <c r="F130" s="12"/>
      <c r="G130" s="12"/>
      <c r="H130" s="49"/>
    </row>
    <row r="131" spans="1:8" ht="24" customHeight="1" x14ac:dyDescent="0.2">
      <c r="A131" s="1"/>
      <c r="B131" s="1"/>
      <c r="C131" s="2" t="s">
        <v>154</v>
      </c>
      <c r="D131" s="1"/>
      <c r="E131" s="1"/>
      <c r="F131" s="12"/>
      <c r="G131" s="12"/>
      <c r="H131" s="49"/>
    </row>
    <row r="132" spans="1:8" ht="14.1" customHeight="1" x14ac:dyDescent="0.2">
      <c r="A132" s="1"/>
      <c r="B132" s="1"/>
      <c r="C132" s="2" t="s">
        <v>130</v>
      </c>
      <c r="D132" s="1"/>
      <c r="E132" s="1" t="s">
        <v>131</v>
      </c>
      <c r="F132" s="13">
        <v>0</v>
      </c>
      <c r="G132" s="14">
        <v>0</v>
      </c>
      <c r="H132" s="49"/>
    </row>
    <row r="133" spans="1:8" ht="14.1" customHeight="1" x14ac:dyDescent="0.2">
      <c r="A133" s="1"/>
      <c r="B133" s="1"/>
      <c r="C133" s="11"/>
      <c r="D133" s="1"/>
      <c r="E133" s="1"/>
      <c r="F133" s="12"/>
      <c r="G133" s="12"/>
      <c r="H133" s="49"/>
    </row>
    <row r="134" spans="1:8" ht="14.1" customHeight="1" x14ac:dyDescent="0.2">
      <c r="A134" s="1"/>
      <c r="B134" s="4"/>
      <c r="C134" s="4"/>
      <c r="D134" s="2"/>
      <c r="E134" s="1"/>
      <c r="F134" s="4"/>
      <c r="G134" s="8"/>
      <c r="H134" s="49"/>
    </row>
    <row r="135" spans="1:8" ht="18" customHeight="1" x14ac:dyDescent="0.2">
      <c r="A135" s="8"/>
      <c r="B135" s="4"/>
      <c r="C135" s="4" t="s">
        <v>155</v>
      </c>
      <c r="D135" s="4"/>
      <c r="E135" s="8"/>
      <c r="F135" s="6">
        <v>3.33964829</v>
      </c>
      <c r="G135" s="7">
        <v>2.2678800000000001E-4</v>
      </c>
      <c r="H135" s="49"/>
    </row>
    <row r="136" spans="1:8" ht="14.1" customHeight="1" x14ac:dyDescent="0.2">
      <c r="A136" s="11"/>
      <c r="B136" s="11"/>
      <c r="C136" s="2" t="s">
        <v>156</v>
      </c>
      <c r="D136" s="15"/>
      <c r="E136" s="15"/>
      <c r="F136" s="9">
        <v>14725.86404509</v>
      </c>
      <c r="G136" s="10">
        <v>1.000000003</v>
      </c>
      <c r="H136" s="49"/>
    </row>
    <row r="137" spans="1:8" ht="14.1" customHeight="1" x14ac:dyDescent="0.2">
      <c r="A137" s="16"/>
      <c r="B137" s="16"/>
      <c r="C137" s="16"/>
      <c r="D137" s="17"/>
      <c r="E137" s="17"/>
      <c r="F137" s="17"/>
      <c r="G137" s="17"/>
    </row>
    <row r="138" spans="1:8" ht="14.1" customHeight="1" x14ac:dyDescent="0.2">
      <c r="A138" s="18"/>
      <c r="B138" s="18"/>
      <c r="C138" s="18"/>
      <c r="D138" s="20"/>
      <c r="E138" s="20"/>
      <c r="F138" s="20"/>
      <c r="G138" s="20"/>
    </row>
    <row r="139" spans="1:8" ht="14.1" customHeight="1" x14ac:dyDescent="0.2">
      <c r="A139" s="18"/>
      <c r="B139" s="319" t="s">
        <v>158</v>
      </c>
      <c r="C139" s="320"/>
      <c r="D139" s="12" t="s">
        <v>131</v>
      </c>
      <c r="E139" s="21"/>
      <c r="F139" s="20"/>
      <c r="G139" s="20"/>
    </row>
    <row r="140" spans="1:8" ht="29.1" customHeight="1" x14ac:dyDescent="0.2">
      <c r="A140" s="18"/>
      <c r="B140" s="323" t="s">
        <v>159</v>
      </c>
      <c r="C140" s="324"/>
      <c r="D140" s="2" t="s">
        <v>160</v>
      </c>
      <c r="E140" s="21"/>
      <c r="F140" s="20"/>
      <c r="G140" s="20"/>
    </row>
    <row r="141" spans="1:8" ht="17.100000000000001" customHeight="1" x14ac:dyDescent="0.2">
      <c r="A141" s="18"/>
      <c r="B141" s="323" t="s">
        <v>161</v>
      </c>
      <c r="C141" s="324"/>
      <c r="D141" s="2" t="s">
        <v>160</v>
      </c>
      <c r="E141" s="21"/>
      <c r="F141" s="20"/>
      <c r="G141" s="20"/>
    </row>
    <row r="142" spans="1:8" ht="17.100000000000001" customHeight="1" x14ac:dyDescent="0.2">
      <c r="A142" s="18"/>
      <c r="B142" s="323" t="s">
        <v>162</v>
      </c>
      <c r="C142" s="324"/>
      <c r="D142" s="12" t="s">
        <v>131</v>
      </c>
      <c r="E142" s="21"/>
      <c r="F142" s="20"/>
      <c r="G142" s="20"/>
    </row>
    <row r="143" spans="1:8" ht="24" customHeight="1" x14ac:dyDescent="0.2">
      <c r="A143" s="22"/>
      <c r="B143" s="23" t="s">
        <v>131</v>
      </c>
      <c r="C143" s="23" t="s">
        <v>163</v>
      </c>
      <c r="D143" s="23" t="s">
        <v>164</v>
      </c>
      <c r="E143" s="22"/>
      <c r="F143" s="22"/>
      <c r="G143" s="22"/>
    </row>
    <row r="144" spans="1:8" ht="18" customHeight="1" x14ac:dyDescent="0.2">
      <c r="A144" s="22"/>
      <c r="B144" s="23" t="s">
        <v>165</v>
      </c>
      <c r="C144" s="23" t="s">
        <v>166</v>
      </c>
      <c r="D144" s="23" t="s">
        <v>167</v>
      </c>
      <c r="E144" s="22"/>
      <c r="F144" s="22"/>
      <c r="G144" s="22"/>
    </row>
    <row r="145" spans="1:15" ht="17.100000000000001" customHeight="1" x14ac:dyDescent="0.2">
      <c r="A145" s="22"/>
      <c r="B145" s="4" t="s">
        <v>168</v>
      </c>
      <c r="C145" s="24">
        <v>23.141300000000001</v>
      </c>
      <c r="D145" s="24">
        <v>23.2498</v>
      </c>
      <c r="E145" s="22"/>
      <c r="F145" s="19"/>
      <c r="G145" s="25"/>
    </row>
    <row r="146" spans="1:15" ht="17.100000000000001" customHeight="1" x14ac:dyDescent="0.2">
      <c r="A146" s="22"/>
      <c r="B146" s="4" t="s">
        <v>1021</v>
      </c>
      <c r="C146" s="24">
        <v>21.720400000000001</v>
      </c>
      <c r="D146" s="24">
        <v>21.822299999999998</v>
      </c>
      <c r="E146" s="22"/>
      <c r="F146" s="19"/>
      <c r="G146" s="25"/>
    </row>
    <row r="147" spans="1:15" ht="17.100000000000001" customHeight="1" x14ac:dyDescent="0.2">
      <c r="A147" s="22"/>
      <c r="B147" s="4" t="s">
        <v>169</v>
      </c>
      <c r="C147" s="24">
        <v>22.710100000000001</v>
      </c>
      <c r="D147" s="24">
        <v>22.808800000000002</v>
      </c>
      <c r="E147" s="22"/>
      <c r="F147" s="19"/>
      <c r="G147" s="25"/>
    </row>
    <row r="148" spans="1:15" ht="17.100000000000001" customHeight="1" x14ac:dyDescent="0.2">
      <c r="A148" s="22"/>
      <c r="B148" s="4" t="s">
        <v>1022</v>
      </c>
      <c r="C148" s="24">
        <v>21.297799999999999</v>
      </c>
      <c r="D148" s="24">
        <v>21.3904</v>
      </c>
      <c r="E148" s="22"/>
      <c r="F148" s="19"/>
      <c r="G148" s="25"/>
    </row>
    <row r="149" spans="1:15" ht="14.1" customHeight="1" x14ac:dyDescent="0.2">
      <c r="A149" s="22"/>
      <c r="B149" s="22"/>
      <c r="C149" s="22"/>
      <c r="D149" s="22"/>
      <c r="E149" s="22"/>
      <c r="F149" s="22"/>
      <c r="G149" s="22"/>
    </row>
    <row r="150" spans="1:15" ht="17.100000000000001" customHeight="1" x14ac:dyDescent="0.2">
      <c r="A150" s="22"/>
      <c r="B150" s="323" t="s">
        <v>1023</v>
      </c>
      <c r="C150" s="324"/>
      <c r="D150" s="57" t="s">
        <v>160</v>
      </c>
      <c r="E150" s="22"/>
      <c r="F150" s="22"/>
      <c r="G150" s="22"/>
    </row>
    <row r="151" spans="1:15" ht="18" customHeight="1" x14ac:dyDescent="0.2">
      <c r="A151" s="22"/>
      <c r="B151" s="28"/>
      <c r="C151" s="28"/>
      <c r="D151" s="26"/>
      <c r="E151" s="22"/>
      <c r="F151" s="22"/>
      <c r="G151" s="22"/>
    </row>
    <row r="152" spans="1:15" ht="29.1" customHeight="1" x14ac:dyDescent="0.2">
      <c r="A152" s="22"/>
      <c r="B152" s="323" t="s">
        <v>170</v>
      </c>
      <c r="C152" s="324"/>
      <c r="D152" s="2" t="s">
        <v>160</v>
      </c>
      <c r="E152" s="22"/>
      <c r="F152" s="22"/>
      <c r="G152" s="22"/>
    </row>
    <row r="153" spans="1:15" ht="29.1" customHeight="1" x14ac:dyDescent="0.2">
      <c r="A153" s="22"/>
      <c r="B153" s="323" t="s">
        <v>171</v>
      </c>
      <c r="C153" s="324"/>
      <c r="D153" s="2" t="s">
        <v>160</v>
      </c>
      <c r="E153" s="22"/>
      <c r="F153" s="22"/>
      <c r="G153" s="22"/>
    </row>
    <row r="154" spans="1:15" ht="17.100000000000001" customHeight="1" x14ac:dyDescent="0.2">
      <c r="A154" s="22"/>
      <c r="B154" s="323" t="s">
        <v>172</v>
      </c>
      <c r="C154" s="324"/>
      <c r="D154" s="27">
        <v>0.30292666572158783</v>
      </c>
      <c r="E154" s="22"/>
      <c r="F154" s="19"/>
      <c r="G154" s="25"/>
    </row>
    <row r="155" spans="1:15" ht="17.100000000000001" customHeight="1" x14ac:dyDescent="0.2">
      <c r="A155" s="22"/>
      <c r="B155" s="323" t="s">
        <v>173</v>
      </c>
      <c r="C155" s="324"/>
      <c r="D155" s="2" t="s">
        <v>160</v>
      </c>
      <c r="E155" s="22"/>
      <c r="F155" s="22"/>
      <c r="G155" s="22"/>
    </row>
    <row r="156" spans="1:15" x14ac:dyDescent="0.2">
      <c r="J156" s="218"/>
      <c r="K156" s="218"/>
      <c r="L156" s="218"/>
      <c r="M156" s="218"/>
      <c r="N156" s="218"/>
      <c r="O156" s="218"/>
    </row>
  </sheetData>
  <mergeCells count="13">
    <mergeCell ref="J2:N2"/>
    <mergeCell ref="B155:C155"/>
    <mergeCell ref="B140:C140"/>
    <mergeCell ref="B141:C141"/>
    <mergeCell ref="B142:C142"/>
    <mergeCell ref="B150:C150"/>
    <mergeCell ref="B152:C152"/>
    <mergeCell ref="B153:C153"/>
    <mergeCell ref="A1:H1"/>
    <mergeCell ref="A2:H2"/>
    <mergeCell ref="A3:H3"/>
    <mergeCell ref="B139:C139"/>
    <mergeCell ref="B154:C154"/>
  </mergeCells>
  <hyperlinks>
    <hyperlink ref="I1" location="Index!B13" display="Index" xr:uid="{BB663F53-C543-47D7-A5EA-DDC3E46D98A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479</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83</v>
      </c>
      <c r="C7" s="4" t="s">
        <v>84</v>
      </c>
      <c r="D7" s="4" t="s">
        <v>31</v>
      </c>
      <c r="E7" s="5">
        <v>7681</v>
      </c>
      <c r="F7" s="6">
        <v>117.311913</v>
      </c>
      <c r="G7" s="7">
        <v>3.7253964000000001E-2</v>
      </c>
      <c r="H7" s="49"/>
    </row>
    <row r="8" spans="1:15" ht="17.100000000000001" customHeight="1" x14ac:dyDescent="0.2">
      <c r="A8" s="3">
        <v>2</v>
      </c>
      <c r="B8" s="4" t="s">
        <v>29</v>
      </c>
      <c r="C8" s="4" t="s">
        <v>30</v>
      </c>
      <c r="D8" s="4" t="s">
        <v>31</v>
      </c>
      <c r="E8" s="5">
        <v>5488</v>
      </c>
      <c r="F8" s="6">
        <v>111.09358400000001</v>
      </c>
      <c r="G8" s="7">
        <v>3.5279250999999998E-2</v>
      </c>
      <c r="H8" s="49"/>
    </row>
    <row r="9" spans="1:15" ht="17.100000000000001" customHeight="1" x14ac:dyDescent="0.2">
      <c r="A9" s="3">
        <v>3</v>
      </c>
      <c r="B9" s="4" t="s">
        <v>398</v>
      </c>
      <c r="C9" s="4" t="s">
        <v>399</v>
      </c>
      <c r="D9" s="4" t="s">
        <v>108</v>
      </c>
      <c r="E9" s="5">
        <v>6741</v>
      </c>
      <c r="F9" s="6">
        <v>110.01312</v>
      </c>
      <c r="G9" s="7">
        <v>3.4936135E-2</v>
      </c>
      <c r="H9" s="49"/>
    </row>
    <row r="10" spans="1:15" ht="17.100000000000001" customHeight="1" x14ac:dyDescent="0.2">
      <c r="A10" s="3">
        <v>4</v>
      </c>
      <c r="B10" s="4" t="s">
        <v>389</v>
      </c>
      <c r="C10" s="4" t="s">
        <v>390</v>
      </c>
      <c r="D10" s="4" t="s">
        <v>103</v>
      </c>
      <c r="E10" s="5">
        <v>91263</v>
      </c>
      <c r="F10" s="6">
        <v>108.968022</v>
      </c>
      <c r="G10" s="7">
        <v>3.4604250000000003E-2</v>
      </c>
      <c r="H10" s="49"/>
    </row>
    <row r="11" spans="1:15" ht="17.100000000000001" customHeight="1" x14ac:dyDescent="0.2">
      <c r="A11" s="3">
        <v>5</v>
      </c>
      <c r="B11" s="4" t="s">
        <v>106</v>
      </c>
      <c r="C11" s="4" t="s">
        <v>107</v>
      </c>
      <c r="D11" s="4" t="s">
        <v>108</v>
      </c>
      <c r="E11" s="5">
        <v>26505</v>
      </c>
      <c r="F11" s="6">
        <v>102.4815825</v>
      </c>
      <c r="G11" s="7">
        <v>3.2544394999999997E-2</v>
      </c>
      <c r="H11" s="49"/>
    </row>
    <row r="12" spans="1:15" ht="29.1" customHeight="1" x14ac:dyDescent="0.2">
      <c r="A12" s="3">
        <v>6</v>
      </c>
      <c r="B12" s="4" t="s">
        <v>189</v>
      </c>
      <c r="C12" s="4" t="s">
        <v>190</v>
      </c>
      <c r="D12" s="4" t="s">
        <v>108</v>
      </c>
      <c r="E12" s="5">
        <v>27823</v>
      </c>
      <c r="F12" s="6">
        <v>100.9557555</v>
      </c>
      <c r="G12" s="7">
        <v>3.2059848000000002E-2</v>
      </c>
      <c r="H12" s="49"/>
    </row>
    <row r="13" spans="1:15" ht="17.100000000000001" customHeight="1" x14ac:dyDescent="0.2">
      <c r="A13" s="3">
        <v>7</v>
      </c>
      <c r="B13" s="4" t="s">
        <v>417</v>
      </c>
      <c r="C13" s="4" t="s">
        <v>418</v>
      </c>
      <c r="D13" s="4" t="s">
        <v>974</v>
      </c>
      <c r="E13" s="5">
        <v>13845</v>
      </c>
      <c r="F13" s="6">
        <v>98.970982500000005</v>
      </c>
      <c r="G13" s="7">
        <v>3.1429556999999997E-2</v>
      </c>
      <c r="H13" s="49"/>
      <c r="J13" s="217" t="s">
        <v>1079</v>
      </c>
    </row>
    <row r="14" spans="1:15" ht="17.100000000000001" customHeight="1" x14ac:dyDescent="0.2">
      <c r="A14" s="3">
        <v>8</v>
      </c>
      <c r="B14" s="4" t="s">
        <v>300</v>
      </c>
      <c r="C14" s="4" t="s">
        <v>301</v>
      </c>
      <c r="D14" s="4" t="s">
        <v>230</v>
      </c>
      <c r="E14" s="5">
        <v>16846</v>
      </c>
      <c r="F14" s="6">
        <v>90.884169999999997</v>
      </c>
      <c r="G14" s="7">
        <v>2.8861481000000001E-2</v>
      </c>
      <c r="H14" s="49"/>
    </row>
    <row r="15" spans="1:15" ht="17.100000000000001" customHeight="1" x14ac:dyDescent="0.2">
      <c r="A15" s="3">
        <v>9</v>
      </c>
      <c r="B15" s="4" t="s">
        <v>203</v>
      </c>
      <c r="C15" s="4" t="s">
        <v>204</v>
      </c>
      <c r="D15" s="4" t="s">
        <v>974</v>
      </c>
      <c r="E15" s="5">
        <v>2123</v>
      </c>
      <c r="F15" s="6">
        <v>88.204280999999995</v>
      </c>
      <c r="G15" s="7">
        <v>2.8010447000000001E-2</v>
      </c>
      <c r="H15" s="49"/>
    </row>
    <row r="16" spans="1:15" ht="29.1" customHeight="1" x14ac:dyDescent="0.2">
      <c r="A16" s="3">
        <v>10</v>
      </c>
      <c r="B16" s="4" t="s">
        <v>197</v>
      </c>
      <c r="C16" s="4" t="s">
        <v>198</v>
      </c>
      <c r="D16" s="4" t="s">
        <v>193</v>
      </c>
      <c r="E16" s="5">
        <v>1842</v>
      </c>
      <c r="F16" s="6">
        <v>79.987928999999994</v>
      </c>
      <c r="G16" s="7">
        <v>2.5401235000000001E-2</v>
      </c>
      <c r="H16" s="49"/>
    </row>
    <row r="17" spans="1:8" ht="17.100000000000001" customHeight="1" x14ac:dyDescent="0.2">
      <c r="A17" s="3">
        <v>11</v>
      </c>
      <c r="B17" s="4" t="s">
        <v>370</v>
      </c>
      <c r="C17" s="4" t="s">
        <v>371</v>
      </c>
      <c r="D17" s="4" t="s">
        <v>108</v>
      </c>
      <c r="E17" s="5">
        <v>14146</v>
      </c>
      <c r="F17" s="6">
        <v>76.727903999999995</v>
      </c>
      <c r="G17" s="7">
        <v>2.4365970000000001E-2</v>
      </c>
      <c r="H17" s="49"/>
    </row>
    <row r="18" spans="1:8" ht="17.100000000000001" customHeight="1" x14ac:dyDescent="0.2">
      <c r="A18" s="3">
        <v>12</v>
      </c>
      <c r="B18" s="4" t="s">
        <v>318</v>
      </c>
      <c r="C18" s="4" t="s">
        <v>319</v>
      </c>
      <c r="D18" s="4" t="s">
        <v>233</v>
      </c>
      <c r="E18" s="5">
        <v>5630</v>
      </c>
      <c r="F18" s="6">
        <v>76.004999999999995</v>
      </c>
      <c r="G18" s="7">
        <v>2.4136402000000001E-2</v>
      </c>
      <c r="H18" s="49"/>
    </row>
    <row r="19" spans="1:8" ht="17.100000000000001" customHeight="1" x14ac:dyDescent="0.2">
      <c r="A19" s="3">
        <v>13</v>
      </c>
      <c r="B19" s="4" t="s">
        <v>396</v>
      </c>
      <c r="C19" s="4" t="s">
        <v>397</v>
      </c>
      <c r="D19" s="4" t="s">
        <v>31</v>
      </c>
      <c r="E19" s="5">
        <v>9092</v>
      </c>
      <c r="F19" s="6">
        <v>75.699991999999995</v>
      </c>
      <c r="G19" s="7">
        <v>2.4039543E-2</v>
      </c>
      <c r="H19" s="49"/>
    </row>
    <row r="20" spans="1:8" ht="17.100000000000001" customHeight="1" x14ac:dyDescent="0.2">
      <c r="A20" s="3">
        <v>14</v>
      </c>
      <c r="B20" s="4" t="s">
        <v>419</v>
      </c>
      <c r="C20" s="4" t="s">
        <v>420</v>
      </c>
      <c r="D20" s="4" t="s">
        <v>227</v>
      </c>
      <c r="E20" s="5">
        <v>24416</v>
      </c>
      <c r="F20" s="6">
        <v>72.234735999999998</v>
      </c>
      <c r="G20" s="7">
        <v>2.2939105000000001E-2</v>
      </c>
      <c r="H20" s="49"/>
    </row>
    <row r="21" spans="1:8" ht="29.1" customHeight="1" x14ac:dyDescent="0.2">
      <c r="A21" s="3">
        <v>15</v>
      </c>
      <c r="B21" s="4" t="s">
        <v>213</v>
      </c>
      <c r="C21" s="4" t="s">
        <v>214</v>
      </c>
      <c r="D21" s="4" t="s">
        <v>215</v>
      </c>
      <c r="E21" s="5">
        <v>16491</v>
      </c>
      <c r="F21" s="6">
        <v>68.841679499999998</v>
      </c>
      <c r="G21" s="7">
        <v>2.1861594000000002E-2</v>
      </c>
      <c r="H21" s="49"/>
    </row>
    <row r="22" spans="1:8" ht="17.100000000000001" customHeight="1" x14ac:dyDescent="0.2">
      <c r="A22" s="3">
        <v>16</v>
      </c>
      <c r="B22" s="4" t="s">
        <v>404</v>
      </c>
      <c r="C22" s="4" t="s">
        <v>405</v>
      </c>
      <c r="D22" s="4" t="s">
        <v>317</v>
      </c>
      <c r="E22" s="5">
        <v>4118</v>
      </c>
      <c r="F22" s="6">
        <v>64.337573000000006</v>
      </c>
      <c r="G22" s="7">
        <v>2.0431254999999999E-2</v>
      </c>
      <c r="H22" s="49"/>
    </row>
    <row r="23" spans="1:8" ht="17.100000000000001" customHeight="1" x14ac:dyDescent="0.2">
      <c r="A23" s="3">
        <v>17</v>
      </c>
      <c r="B23" s="4" t="s">
        <v>223</v>
      </c>
      <c r="C23" s="4" t="s">
        <v>224</v>
      </c>
      <c r="D23" s="4" t="s">
        <v>89</v>
      </c>
      <c r="E23" s="5">
        <v>1151</v>
      </c>
      <c r="F23" s="6">
        <v>62.605192000000002</v>
      </c>
      <c r="G23" s="7">
        <v>1.9881113999999998E-2</v>
      </c>
      <c r="H23" s="49"/>
    </row>
    <row r="24" spans="1:8" ht="17.100000000000001" customHeight="1" x14ac:dyDescent="0.2">
      <c r="A24" s="3">
        <v>18</v>
      </c>
      <c r="B24" s="4" t="s">
        <v>372</v>
      </c>
      <c r="C24" s="4" t="s">
        <v>373</v>
      </c>
      <c r="D24" s="4" t="s">
        <v>103</v>
      </c>
      <c r="E24" s="5">
        <v>11094</v>
      </c>
      <c r="F24" s="6">
        <v>61.355367000000001</v>
      </c>
      <c r="G24" s="7">
        <v>1.9484215999999999E-2</v>
      </c>
      <c r="H24" s="49"/>
    </row>
    <row r="25" spans="1:8" ht="29.1" customHeight="1" x14ac:dyDescent="0.2">
      <c r="A25" s="3">
        <v>19</v>
      </c>
      <c r="B25" s="4" t="s">
        <v>425</v>
      </c>
      <c r="C25" s="4" t="s">
        <v>426</v>
      </c>
      <c r="D25" s="4" t="s">
        <v>48</v>
      </c>
      <c r="E25" s="5">
        <v>2187</v>
      </c>
      <c r="F25" s="6">
        <v>60.022215000000003</v>
      </c>
      <c r="G25" s="7">
        <v>1.9060856000000001E-2</v>
      </c>
      <c r="H25" s="49"/>
    </row>
    <row r="26" spans="1:8" ht="17.100000000000001" customHeight="1" x14ac:dyDescent="0.2">
      <c r="A26" s="3">
        <v>20</v>
      </c>
      <c r="B26" s="4" t="s">
        <v>423</v>
      </c>
      <c r="C26" s="4" t="s">
        <v>424</v>
      </c>
      <c r="D26" s="4" t="s">
        <v>233</v>
      </c>
      <c r="E26" s="5">
        <v>8151</v>
      </c>
      <c r="F26" s="6">
        <v>59.086599</v>
      </c>
      <c r="G26" s="7">
        <v>1.8763737999999999E-2</v>
      </c>
      <c r="H26" s="49"/>
    </row>
    <row r="27" spans="1:8" ht="17.100000000000001" customHeight="1" x14ac:dyDescent="0.2">
      <c r="A27" s="3">
        <v>21</v>
      </c>
      <c r="B27" s="4" t="s">
        <v>315</v>
      </c>
      <c r="C27" s="4" t="s">
        <v>316</v>
      </c>
      <c r="D27" s="4" t="s">
        <v>317</v>
      </c>
      <c r="E27" s="5">
        <v>3672</v>
      </c>
      <c r="F27" s="6">
        <v>58.647348000000001</v>
      </c>
      <c r="G27" s="7">
        <v>1.8624247999999999E-2</v>
      </c>
      <c r="H27" s="49"/>
    </row>
    <row r="28" spans="1:8" ht="29.1" customHeight="1" x14ac:dyDescent="0.2">
      <c r="A28" s="3">
        <v>22</v>
      </c>
      <c r="B28" s="4" t="s">
        <v>429</v>
      </c>
      <c r="C28" s="4" t="s">
        <v>430</v>
      </c>
      <c r="D28" s="4" t="s">
        <v>431</v>
      </c>
      <c r="E28" s="5">
        <v>44667</v>
      </c>
      <c r="F28" s="6">
        <v>56.392087500000002</v>
      </c>
      <c r="G28" s="7">
        <v>1.790806E-2</v>
      </c>
      <c r="H28" s="49"/>
    </row>
    <row r="29" spans="1:8" ht="29.1" customHeight="1" x14ac:dyDescent="0.2">
      <c r="A29" s="3">
        <v>23</v>
      </c>
      <c r="B29" s="4" t="s">
        <v>61</v>
      </c>
      <c r="C29" s="4" t="s">
        <v>62</v>
      </c>
      <c r="D29" s="4" t="s">
        <v>25</v>
      </c>
      <c r="E29" s="5">
        <v>1823</v>
      </c>
      <c r="F29" s="6">
        <v>56.142930999999997</v>
      </c>
      <c r="G29" s="7">
        <v>1.7828937E-2</v>
      </c>
      <c r="H29" s="49"/>
    </row>
    <row r="30" spans="1:8" ht="17.100000000000001" customHeight="1" x14ac:dyDescent="0.2">
      <c r="A30" s="3">
        <v>24</v>
      </c>
      <c r="B30" s="4" t="s">
        <v>427</v>
      </c>
      <c r="C30" s="4" t="s">
        <v>428</v>
      </c>
      <c r="D30" s="4" t="s">
        <v>13</v>
      </c>
      <c r="E30" s="5">
        <v>70325</v>
      </c>
      <c r="F30" s="6">
        <v>55.802887499999997</v>
      </c>
      <c r="G30" s="7">
        <v>1.7720952000000002E-2</v>
      </c>
      <c r="H30" s="49"/>
    </row>
    <row r="31" spans="1:8" ht="29.1" customHeight="1" x14ac:dyDescent="0.2">
      <c r="A31" s="3">
        <v>25</v>
      </c>
      <c r="B31" s="4" t="s">
        <v>436</v>
      </c>
      <c r="C31" s="4" t="s">
        <v>437</v>
      </c>
      <c r="D31" s="4" t="s">
        <v>215</v>
      </c>
      <c r="E31" s="5">
        <v>2681</v>
      </c>
      <c r="F31" s="6">
        <v>54.107942000000001</v>
      </c>
      <c r="G31" s="7">
        <v>1.7182698999999999E-2</v>
      </c>
      <c r="H31" s="49"/>
    </row>
    <row r="32" spans="1:8" ht="29.1" customHeight="1" x14ac:dyDescent="0.2">
      <c r="A32" s="3">
        <v>26</v>
      </c>
      <c r="B32" s="4" t="s">
        <v>421</v>
      </c>
      <c r="C32" s="4" t="s">
        <v>422</v>
      </c>
      <c r="D32" s="4" t="s">
        <v>215</v>
      </c>
      <c r="E32" s="5">
        <v>13550</v>
      </c>
      <c r="F32" s="6">
        <v>53.881574999999998</v>
      </c>
      <c r="G32" s="7">
        <v>1.7110812999999999E-2</v>
      </c>
      <c r="H32" s="49"/>
    </row>
    <row r="33" spans="1:8" ht="17.100000000000001" customHeight="1" x14ac:dyDescent="0.2">
      <c r="A33" s="3">
        <v>27</v>
      </c>
      <c r="B33" s="4" t="s">
        <v>285</v>
      </c>
      <c r="C33" s="4" t="s">
        <v>286</v>
      </c>
      <c r="D33" s="4" t="s">
        <v>22</v>
      </c>
      <c r="E33" s="5">
        <v>21314</v>
      </c>
      <c r="F33" s="6">
        <v>50.961773999999998</v>
      </c>
      <c r="G33" s="7">
        <v>1.6183592E-2</v>
      </c>
      <c r="H33" s="49"/>
    </row>
    <row r="34" spans="1:8" ht="17.100000000000001" customHeight="1" x14ac:dyDescent="0.2">
      <c r="A34" s="3">
        <v>28</v>
      </c>
      <c r="B34" s="4" t="s">
        <v>447</v>
      </c>
      <c r="C34" s="4" t="s">
        <v>448</v>
      </c>
      <c r="D34" s="4" t="s">
        <v>100</v>
      </c>
      <c r="E34" s="5">
        <v>3479</v>
      </c>
      <c r="F34" s="6">
        <v>50.739475499999998</v>
      </c>
      <c r="G34" s="7">
        <v>1.6112998E-2</v>
      </c>
      <c r="H34" s="49"/>
    </row>
    <row r="35" spans="1:8" ht="17.100000000000001" customHeight="1" x14ac:dyDescent="0.2">
      <c r="A35" s="3">
        <v>29</v>
      </c>
      <c r="B35" s="4" t="s">
        <v>449</v>
      </c>
      <c r="C35" s="4" t="s">
        <v>450</v>
      </c>
      <c r="D35" s="4" t="s">
        <v>1042</v>
      </c>
      <c r="E35" s="5">
        <v>6040</v>
      </c>
      <c r="F35" s="6">
        <v>50.572920000000003</v>
      </c>
      <c r="G35" s="7">
        <v>1.6060106000000001E-2</v>
      </c>
      <c r="H35" s="49"/>
    </row>
    <row r="36" spans="1:8" ht="29.1" customHeight="1" x14ac:dyDescent="0.2">
      <c r="A36" s="3">
        <v>30</v>
      </c>
      <c r="B36" s="4" t="s">
        <v>442</v>
      </c>
      <c r="C36" s="4" t="s">
        <v>443</v>
      </c>
      <c r="D36" s="4" t="s">
        <v>364</v>
      </c>
      <c r="E36" s="5">
        <v>8191</v>
      </c>
      <c r="F36" s="6">
        <v>49.342584000000002</v>
      </c>
      <c r="G36" s="7">
        <v>1.5669395999999999E-2</v>
      </c>
      <c r="H36" s="49"/>
    </row>
    <row r="37" spans="1:8" ht="17.100000000000001" customHeight="1" x14ac:dyDescent="0.2">
      <c r="A37" s="3">
        <v>31</v>
      </c>
      <c r="B37" s="4" t="s">
        <v>432</v>
      </c>
      <c r="C37" s="4" t="s">
        <v>433</v>
      </c>
      <c r="D37" s="4" t="s">
        <v>103</v>
      </c>
      <c r="E37" s="5">
        <v>59081</v>
      </c>
      <c r="F37" s="6">
        <v>48.4168795</v>
      </c>
      <c r="G37" s="7">
        <v>1.5375425999999999E-2</v>
      </c>
      <c r="H37" s="49"/>
    </row>
    <row r="38" spans="1:8" ht="17.100000000000001" customHeight="1" x14ac:dyDescent="0.2">
      <c r="A38" s="3">
        <v>32</v>
      </c>
      <c r="B38" s="4" t="s">
        <v>98</v>
      </c>
      <c r="C38" s="4" t="s">
        <v>99</v>
      </c>
      <c r="D38" s="4" t="s">
        <v>100</v>
      </c>
      <c r="E38" s="5">
        <v>9950</v>
      </c>
      <c r="F38" s="6">
        <v>48.381875000000001</v>
      </c>
      <c r="G38" s="7">
        <v>1.5364310000000001E-2</v>
      </c>
      <c r="H38" s="49"/>
    </row>
    <row r="39" spans="1:8" ht="17.100000000000001" customHeight="1" x14ac:dyDescent="0.2">
      <c r="A39" s="3">
        <v>33</v>
      </c>
      <c r="B39" s="4" t="s">
        <v>391</v>
      </c>
      <c r="C39" s="4" t="s">
        <v>392</v>
      </c>
      <c r="D39" s="4" t="s">
        <v>196</v>
      </c>
      <c r="E39" s="5">
        <v>6215</v>
      </c>
      <c r="F39" s="6">
        <v>46.6404675</v>
      </c>
      <c r="G39" s="7">
        <v>1.4811303E-2</v>
      </c>
      <c r="H39" s="49"/>
    </row>
    <row r="40" spans="1:8" ht="17.100000000000001" customHeight="1" x14ac:dyDescent="0.2">
      <c r="A40" s="3">
        <v>34</v>
      </c>
      <c r="B40" s="4" t="s">
        <v>412</v>
      </c>
      <c r="C40" s="4" t="s">
        <v>413</v>
      </c>
      <c r="D40" s="4" t="s">
        <v>267</v>
      </c>
      <c r="E40" s="5">
        <v>14444</v>
      </c>
      <c r="F40" s="6">
        <v>46.025806000000003</v>
      </c>
      <c r="G40" s="7">
        <v>1.4616109E-2</v>
      </c>
      <c r="H40" s="49"/>
    </row>
    <row r="41" spans="1:8" ht="17.100000000000001" customHeight="1" x14ac:dyDescent="0.2">
      <c r="A41" s="3">
        <v>35</v>
      </c>
      <c r="B41" s="4" t="s">
        <v>376</v>
      </c>
      <c r="C41" s="4" t="s">
        <v>377</v>
      </c>
      <c r="D41" s="4" t="s">
        <v>108</v>
      </c>
      <c r="E41" s="5">
        <v>7524</v>
      </c>
      <c r="F41" s="6">
        <v>45.843732000000003</v>
      </c>
      <c r="G41" s="7">
        <v>1.4558289E-2</v>
      </c>
      <c r="H41" s="49"/>
    </row>
    <row r="42" spans="1:8" ht="17.100000000000001" customHeight="1" x14ac:dyDescent="0.2">
      <c r="A42" s="3">
        <v>36</v>
      </c>
      <c r="B42" s="4" t="s">
        <v>34</v>
      </c>
      <c r="C42" s="4" t="s">
        <v>35</v>
      </c>
      <c r="D42" s="4" t="s">
        <v>31</v>
      </c>
      <c r="E42" s="5">
        <v>2356</v>
      </c>
      <c r="F42" s="6">
        <v>45.221063999999998</v>
      </c>
      <c r="G42" s="7">
        <v>1.4360553E-2</v>
      </c>
      <c r="H42" s="49"/>
    </row>
    <row r="43" spans="1:8" ht="17.100000000000001" customHeight="1" x14ac:dyDescent="0.2">
      <c r="A43" s="3">
        <v>37</v>
      </c>
      <c r="B43" s="4" t="s">
        <v>457</v>
      </c>
      <c r="C43" s="4" t="s">
        <v>458</v>
      </c>
      <c r="D43" s="4" t="s">
        <v>13</v>
      </c>
      <c r="E43" s="5">
        <v>8816</v>
      </c>
      <c r="F43" s="6">
        <v>44.710343999999999</v>
      </c>
      <c r="G43" s="7">
        <v>1.4198367E-2</v>
      </c>
      <c r="H43" s="49"/>
    </row>
    <row r="44" spans="1:8" ht="17.100000000000001" customHeight="1" x14ac:dyDescent="0.2">
      <c r="A44" s="3">
        <v>38</v>
      </c>
      <c r="B44" s="4" t="s">
        <v>400</v>
      </c>
      <c r="C44" s="4" t="s">
        <v>401</v>
      </c>
      <c r="D44" s="4" t="s">
        <v>1042</v>
      </c>
      <c r="E44" s="5">
        <v>3553</v>
      </c>
      <c r="F44" s="6">
        <v>44.558172999999996</v>
      </c>
      <c r="G44" s="7">
        <v>1.4150042999999999E-2</v>
      </c>
      <c r="H44" s="49"/>
    </row>
    <row r="45" spans="1:8" ht="17.100000000000001" customHeight="1" x14ac:dyDescent="0.2">
      <c r="A45" s="3">
        <v>39</v>
      </c>
      <c r="B45" s="4" t="s">
        <v>402</v>
      </c>
      <c r="C45" s="4" t="s">
        <v>403</v>
      </c>
      <c r="D45" s="4" t="s">
        <v>103</v>
      </c>
      <c r="E45" s="5">
        <v>4638</v>
      </c>
      <c r="F45" s="6">
        <v>44.536394999999999</v>
      </c>
      <c r="G45" s="7">
        <v>1.4143127E-2</v>
      </c>
      <c r="H45" s="49"/>
    </row>
    <row r="46" spans="1:8" ht="29.1" customHeight="1" x14ac:dyDescent="0.2">
      <c r="A46" s="3">
        <v>40</v>
      </c>
      <c r="B46" s="4" t="s">
        <v>385</v>
      </c>
      <c r="C46" s="4" t="s">
        <v>386</v>
      </c>
      <c r="D46" s="4" t="s">
        <v>69</v>
      </c>
      <c r="E46" s="5">
        <v>2627</v>
      </c>
      <c r="F46" s="6">
        <v>41.681295499999997</v>
      </c>
      <c r="G46" s="7">
        <v>1.3236451999999999E-2</v>
      </c>
      <c r="H46" s="49"/>
    </row>
    <row r="47" spans="1:8" ht="53.1" customHeight="1" x14ac:dyDescent="0.2">
      <c r="A47" s="3">
        <v>41</v>
      </c>
      <c r="B47" s="4" t="s">
        <v>336</v>
      </c>
      <c r="C47" s="4" t="s">
        <v>1043</v>
      </c>
      <c r="D47" s="4" t="s">
        <v>51</v>
      </c>
      <c r="E47" s="5">
        <v>11330</v>
      </c>
      <c r="F47" s="6">
        <v>38.431359999999998</v>
      </c>
      <c r="G47" s="7">
        <v>1.2204391E-2</v>
      </c>
      <c r="H47" s="49"/>
    </row>
    <row r="48" spans="1:8" ht="29.1" customHeight="1" x14ac:dyDescent="0.2">
      <c r="A48" s="3">
        <v>42</v>
      </c>
      <c r="B48" s="4" t="s">
        <v>283</v>
      </c>
      <c r="C48" s="4" t="s">
        <v>284</v>
      </c>
      <c r="D48" s="4" t="s">
        <v>193</v>
      </c>
      <c r="E48" s="5">
        <v>5060</v>
      </c>
      <c r="F48" s="6">
        <v>36.383929999999999</v>
      </c>
      <c r="G48" s="7">
        <v>1.1554203000000001E-2</v>
      </c>
      <c r="H48" s="49"/>
    </row>
    <row r="49" spans="1:8" ht="17.100000000000001" customHeight="1" x14ac:dyDescent="0.2">
      <c r="A49" s="3">
        <v>43</v>
      </c>
      <c r="B49" s="4" t="s">
        <v>469</v>
      </c>
      <c r="C49" s="4" t="s">
        <v>470</v>
      </c>
      <c r="D49" s="4" t="s">
        <v>233</v>
      </c>
      <c r="E49" s="5">
        <v>16207</v>
      </c>
      <c r="F49" s="6">
        <v>36.174024000000003</v>
      </c>
      <c r="G49" s="7">
        <v>1.1487544000000001E-2</v>
      </c>
      <c r="H49" s="49"/>
    </row>
    <row r="50" spans="1:8" ht="17.100000000000001" customHeight="1" x14ac:dyDescent="0.2">
      <c r="A50" s="3">
        <v>44</v>
      </c>
      <c r="B50" s="4" t="s">
        <v>374</v>
      </c>
      <c r="C50" s="4" t="s">
        <v>375</v>
      </c>
      <c r="D50" s="4" t="s">
        <v>103</v>
      </c>
      <c r="E50" s="5">
        <v>4394</v>
      </c>
      <c r="F50" s="6">
        <v>32.238778000000003</v>
      </c>
      <c r="G50" s="7">
        <v>1.0237853999999999E-2</v>
      </c>
      <c r="H50" s="49"/>
    </row>
    <row r="51" spans="1:8" ht="17.100000000000001" customHeight="1" x14ac:dyDescent="0.2">
      <c r="A51" s="3">
        <v>45</v>
      </c>
      <c r="B51" s="4" t="s">
        <v>434</v>
      </c>
      <c r="C51" s="4" t="s">
        <v>435</v>
      </c>
      <c r="D51" s="4" t="s">
        <v>218</v>
      </c>
      <c r="E51" s="5">
        <v>3908</v>
      </c>
      <c r="F51" s="6">
        <v>29.900107999999999</v>
      </c>
      <c r="G51" s="7">
        <v>9.495178E-3</v>
      </c>
      <c r="H51" s="49"/>
    </row>
    <row r="52" spans="1:8" ht="17.100000000000001" customHeight="1" x14ac:dyDescent="0.2">
      <c r="A52" s="3">
        <v>46</v>
      </c>
      <c r="B52" s="4" t="s">
        <v>461</v>
      </c>
      <c r="C52" s="4" t="s">
        <v>462</v>
      </c>
      <c r="D52" s="4" t="s">
        <v>43</v>
      </c>
      <c r="E52" s="5">
        <v>4036</v>
      </c>
      <c r="F52" s="6">
        <v>27.939209999999999</v>
      </c>
      <c r="G52" s="7">
        <v>8.8724689999999991E-3</v>
      </c>
      <c r="H52" s="49"/>
    </row>
    <row r="53" spans="1:8" ht="17.100000000000001" customHeight="1" x14ac:dyDescent="0.2">
      <c r="A53" s="3">
        <v>47</v>
      </c>
      <c r="B53" s="4" t="s">
        <v>383</v>
      </c>
      <c r="C53" s="4" t="s">
        <v>384</v>
      </c>
      <c r="D53" s="4" t="s">
        <v>31</v>
      </c>
      <c r="E53" s="5">
        <v>3042</v>
      </c>
      <c r="F53" s="6">
        <v>25.954343999999999</v>
      </c>
      <c r="G53" s="7">
        <v>8.2421479999999995E-3</v>
      </c>
      <c r="H53" s="49"/>
    </row>
    <row r="54" spans="1:8" ht="29.1" customHeight="1" x14ac:dyDescent="0.2">
      <c r="A54" s="3">
        <v>48</v>
      </c>
      <c r="B54" s="4" t="s">
        <v>387</v>
      </c>
      <c r="C54" s="4" t="s">
        <v>388</v>
      </c>
      <c r="D54" s="4" t="s">
        <v>215</v>
      </c>
      <c r="E54" s="5">
        <v>596</v>
      </c>
      <c r="F54" s="6">
        <v>24.817440000000001</v>
      </c>
      <c r="G54" s="7">
        <v>7.8811090000000007E-3</v>
      </c>
      <c r="H54" s="49"/>
    </row>
    <row r="55" spans="1:8" ht="17.100000000000001" customHeight="1" x14ac:dyDescent="0.2">
      <c r="A55" s="3">
        <v>49</v>
      </c>
      <c r="B55" s="4" t="s">
        <v>438</v>
      </c>
      <c r="C55" s="4" t="s">
        <v>439</v>
      </c>
      <c r="D55" s="4" t="s">
        <v>31</v>
      </c>
      <c r="E55" s="5">
        <v>2107</v>
      </c>
      <c r="F55" s="6">
        <v>18.592168000000001</v>
      </c>
      <c r="G55" s="7">
        <v>5.9041909999999996E-3</v>
      </c>
      <c r="H55" s="49"/>
    </row>
    <row r="56" spans="1:8" ht="17.100000000000001" customHeight="1" x14ac:dyDescent="0.2">
      <c r="A56" s="3">
        <v>50</v>
      </c>
      <c r="B56" s="4" t="s">
        <v>330</v>
      </c>
      <c r="C56" s="4" t="s">
        <v>331</v>
      </c>
      <c r="D56" s="4" t="s">
        <v>100</v>
      </c>
      <c r="E56" s="5">
        <v>22875</v>
      </c>
      <c r="F56" s="6">
        <v>18.014062500000001</v>
      </c>
      <c r="G56" s="7">
        <v>5.7206059999999996E-3</v>
      </c>
      <c r="H56" s="49"/>
    </row>
    <row r="57" spans="1:8" ht="29.1" customHeight="1" x14ac:dyDescent="0.2">
      <c r="A57" s="3">
        <v>51</v>
      </c>
      <c r="B57" s="4" t="s">
        <v>444</v>
      </c>
      <c r="C57" s="4" t="s">
        <v>445</v>
      </c>
      <c r="D57" s="4" t="s">
        <v>193</v>
      </c>
      <c r="E57" s="5">
        <v>2348</v>
      </c>
      <c r="F57" s="6">
        <v>15.134034</v>
      </c>
      <c r="G57" s="7">
        <v>4.8060150000000003E-3</v>
      </c>
      <c r="H57" s="49"/>
    </row>
    <row r="58" spans="1:8" ht="29.1" customHeight="1" x14ac:dyDescent="0.2">
      <c r="A58" s="3">
        <v>52</v>
      </c>
      <c r="B58" s="4" t="s">
        <v>440</v>
      </c>
      <c r="C58" s="4" t="s">
        <v>441</v>
      </c>
      <c r="D58" s="4" t="s">
        <v>215</v>
      </c>
      <c r="E58" s="5">
        <v>1719</v>
      </c>
      <c r="F58" s="6">
        <v>4.5347220000000004</v>
      </c>
      <c r="G58" s="7">
        <v>1.440062E-3</v>
      </c>
      <c r="H58" s="49"/>
    </row>
    <row r="59" spans="1:8" ht="17.100000000000001" customHeight="1" x14ac:dyDescent="0.2">
      <c r="A59" s="3">
        <v>53</v>
      </c>
      <c r="B59" s="4" t="s">
        <v>393</v>
      </c>
      <c r="C59" s="4" t="s">
        <v>394</v>
      </c>
      <c r="D59" s="4" t="s">
        <v>16</v>
      </c>
      <c r="E59" s="5">
        <v>1978</v>
      </c>
      <c r="F59" s="6">
        <v>4.3179740000000004</v>
      </c>
      <c r="G59" s="7">
        <v>1.37123E-3</v>
      </c>
      <c r="H59" s="49"/>
    </row>
    <row r="60" spans="1:8" ht="14.1" customHeight="1" x14ac:dyDescent="0.2">
      <c r="A60" s="1"/>
      <c r="B60" s="1"/>
      <c r="C60" s="2" t="s">
        <v>130</v>
      </c>
      <c r="D60" s="1"/>
      <c r="E60" s="1" t="s">
        <v>131</v>
      </c>
      <c r="F60" s="9">
        <v>2990.8273075000002</v>
      </c>
      <c r="G60" s="10">
        <v>0.94977713600000002</v>
      </c>
      <c r="H60" s="49"/>
    </row>
    <row r="61" spans="1:8" ht="14.1" customHeight="1" x14ac:dyDescent="0.2">
      <c r="A61" s="1"/>
      <c r="B61" s="1"/>
      <c r="C61" s="11"/>
      <c r="D61" s="1"/>
      <c r="E61" s="1"/>
      <c r="F61" s="12"/>
      <c r="G61" s="12"/>
      <c r="H61" s="49"/>
    </row>
    <row r="62" spans="1:8" ht="14.1" customHeight="1" x14ac:dyDescent="0.2">
      <c r="A62" s="1"/>
      <c r="B62" s="1"/>
      <c r="C62" s="2" t="s">
        <v>132</v>
      </c>
      <c r="D62" s="1"/>
      <c r="E62" s="1"/>
      <c r="F62" s="1"/>
      <c r="G62" s="1"/>
      <c r="H62" s="49"/>
    </row>
    <row r="63" spans="1:8" ht="14.1" customHeight="1" x14ac:dyDescent="0.2">
      <c r="A63" s="1"/>
      <c r="B63" s="1"/>
      <c r="C63" s="2" t="s">
        <v>130</v>
      </c>
      <c r="D63" s="1"/>
      <c r="E63" s="1" t="s">
        <v>131</v>
      </c>
      <c r="F63" s="13">
        <v>0</v>
      </c>
      <c r="G63" s="14">
        <v>0</v>
      </c>
      <c r="H63" s="49"/>
    </row>
    <row r="64" spans="1:8" ht="14.1" customHeight="1" x14ac:dyDescent="0.2">
      <c r="A64" s="1"/>
      <c r="B64" s="1"/>
      <c r="C64" s="11"/>
      <c r="D64" s="1"/>
      <c r="E64" s="1"/>
      <c r="F64" s="12"/>
      <c r="G64" s="12"/>
      <c r="H64" s="49"/>
    </row>
    <row r="65" spans="1:8" ht="14.1" customHeight="1" x14ac:dyDescent="0.2">
      <c r="A65" s="1"/>
      <c r="B65" s="1"/>
      <c r="C65" s="2" t="s">
        <v>133</v>
      </c>
      <c r="D65" s="1"/>
      <c r="E65" s="1"/>
      <c r="F65" s="1"/>
      <c r="G65" s="1"/>
      <c r="H65" s="49"/>
    </row>
    <row r="66" spans="1:8" ht="14.1" customHeight="1" x14ac:dyDescent="0.2">
      <c r="A66" s="1"/>
      <c r="B66" s="1"/>
      <c r="C66" s="2" t="s">
        <v>130</v>
      </c>
      <c r="D66" s="1"/>
      <c r="E66" s="1" t="s">
        <v>131</v>
      </c>
      <c r="F66" s="13">
        <v>0</v>
      </c>
      <c r="G66" s="14">
        <v>0</v>
      </c>
      <c r="H66" s="49"/>
    </row>
    <row r="67" spans="1:8" ht="14.1" customHeight="1" x14ac:dyDescent="0.2">
      <c r="A67" s="1"/>
      <c r="B67" s="1"/>
      <c r="C67" s="11"/>
      <c r="D67" s="1"/>
      <c r="E67" s="1"/>
      <c r="F67" s="12"/>
      <c r="G67" s="12"/>
      <c r="H67" s="49"/>
    </row>
    <row r="68" spans="1:8" ht="14.1" customHeight="1" x14ac:dyDescent="0.2">
      <c r="A68" s="1"/>
      <c r="B68" s="1"/>
      <c r="C68" s="2" t="s">
        <v>134</v>
      </c>
      <c r="D68" s="1"/>
      <c r="E68" s="1"/>
      <c r="F68" s="1"/>
      <c r="G68" s="1"/>
      <c r="H68" s="49"/>
    </row>
    <row r="69" spans="1:8" ht="14.1" customHeight="1" x14ac:dyDescent="0.2">
      <c r="A69" s="1"/>
      <c r="B69" s="1"/>
      <c r="C69" s="2" t="s">
        <v>130</v>
      </c>
      <c r="D69" s="1"/>
      <c r="E69" s="1" t="s">
        <v>131</v>
      </c>
      <c r="F69" s="13">
        <v>0</v>
      </c>
      <c r="G69" s="14">
        <v>0</v>
      </c>
      <c r="H69" s="49"/>
    </row>
    <row r="70" spans="1:8" ht="14.1" customHeight="1" x14ac:dyDescent="0.2">
      <c r="A70" s="1"/>
      <c r="B70" s="1"/>
      <c r="C70" s="11"/>
      <c r="D70" s="1"/>
      <c r="E70" s="1"/>
      <c r="F70" s="12"/>
      <c r="G70" s="12"/>
      <c r="H70" s="49"/>
    </row>
    <row r="71" spans="1:8" ht="14.1" customHeight="1" x14ac:dyDescent="0.2">
      <c r="A71" s="1"/>
      <c r="B71" s="1"/>
      <c r="C71" s="2" t="s">
        <v>135</v>
      </c>
      <c r="D71" s="1"/>
      <c r="E71" s="1"/>
      <c r="F71" s="12"/>
      <c r="G71" s="12"/>
      <c r="H71" s="49"/>
    </row>
    <row r="72" spans="1:8" ht="14.1" customHeight="1" x14ac:dyDescent="0.2">
      <c r="A72" s="1"/>
      <c r="B72" s="1"/>
      <c r="C72" s="2" t="s">
        <v>130</v>
      </c>
      <c r="D72" s="1"/>
      <c r="E72" s="1" t="s">
        <v>131</v>
      </c>
      <c r="F72" s="13">
        <v>0</v>
      </c>
      <c r="G72" s="14">
        <v>0</v>
      </c>
      <c r="H72" s="49"/>
    </row>
    <row r="73" spans="1:8" ht="14.1" customHeight="1" x14ac:dyDescent="0.2">
      <c r="A73" s="1"/>
      <c r="B73" s="1"/>
      <c r="C73" s="11"/>
      <c r="D73" s="1"/>
      <c r="E73" s="1"/>
      <c r="F73" s="12"/>
      <c r="G73" s="12"/>
      <c r="H73" s="49"/>
    </row>
    <row r="74" spans="1:8" ht="14.1" customHeight="1" x14ac:dyDescent="0.2">
      <c r="A74" s="1"/>
      <c r="B74" s="1"/>
      <c r="C74" s="2" t="s">
        <v>136</v>
      </c>
      <c r="D74" s="1"/>
      <c r="E74" s="1"/>
      <c r="F74" s="12"/>
      <c r="G74" s="12"/>
      <c r="H74" s="49"/>
    </row>
    <row r="75" spans="1:8" ht="14.1" customHeight="1" x14ac:dyDescent="0.2">
      <c r="A75" s="1"/>
      <c r="B75" s="1"/>
      <c r="C75" s="2" t="s">
        <v>130</v>
      </c>
      <c r="D75" s="1"/>
      <c r="E75" s="1" t="s">
        <v>131</v>
      </c>
      <c r="F75" s="13">
        <v>0</v>
      </c>
      <c r="G75" s="14">
        <v>0</v>
      </c>
      <c r="H75" s="49"/>
    </row>
    <row r="76" spans="1:8" ht="14.1" customHeight="1" x14ac:dyDescent="0.2">
      <c r="A76" s="1"/>
      <c r="B76" s="1"/>
      <c r="C76" s="11"/>
      <c r="D76" s="1"/>
      <c r="E76" s="1"/>
      <c r="F76" s="12"/>
      <c r="G76" s="12"/>
      <c r="H76" s="49"/>
    </row>
    <row r="77" spans="1:8" ht="18" customHeight="1" x14ac:dyDescent="0.2">
      <c r="A77" s="1"/>
      <c r="B77" s="1"/>
      <c r="C77" s="2" t="s">
        <v>137</v>
      </c>
      <c r="D77" s="1"/>
      <c r="E77" s="1"/>
      <c r="F77" s="9">
        <v>2990.8273075000002</v>
      </c>
      <c r="G77" s="10">
        <v>0.94977713600000002</v>
      </c>
      <c r="H77" s="49"/>
    </row>
    <row r="78" spans="1:8" ht="14.1" customHeight="1" x14ac:dyDescent="0.2">
      <c r="A78" s="1"/>
      <c r="B78" s="1"/>
      <c r="C78" s="11"/>
      <c r="D78" s="1"/>
      <c r="E78" s="1"/>
      <c r="F78" s="12"/>
      <c r="G78" s="12"/>
      <c r="H78" s="49"/>
    </row>
    <row r="79" spans="1:8" ht="14.1" customHeight="1" x14ac:dyDescent="0.2">
      <c r="A79" s="1"/>
      <c r="B79" s="1"/>
      <c r="C79" s="2" t="s">
        <v>138</v>
      </c>
      <c r="D79" s="1"/>
      <c r="E79" s="1"/>
      <c r="F79" s="12"/>
      <c r="G79" s="12"/>
      <c r="H79" s="49"/>
    </row>
    <row r="80" spans="1:8" ht="24" customHeight="1" x14ac:dyDescent="0.2">
      <c r="A80" s="1"/>
      <c r="B80" s="1"/>
      <c r="C80" s="2" t="s">
        <v>10</v>
      </c>
      <c r="D80" s="1"/>
      <c r="E80" s="1"/>
      <c r="F80" s="12"/>
      <c r="G80" s="12"/>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139</v>
      </c>
      <c r="D83" s="1"/>
      <c r="E83" s="1"/>
      <c r="F83" s="1"/>
      <c r="G83" s="1"/>
      <c r="H83" s="49"/>
    </row>
    <row r="84" spans="1:8" ht="14.1" customHeight="1" x14ac:dyDescent="0.2">
      <c r="A84" s="1"/>
      <c r="B84" s="1"/>
      <c r="C84" s="2" t="s">
        <v>130</v>
      </c>
      <c r="D84" s="1"/>
      <c r="E84" s="1" t="s">
        <v>131</v>
      </c>
      <c r="F84" s="13">
        <v>0</v>
      </c>
      <c r="G84" s="14">
        <v>0</v>
      </c>
      <c r="H84" s="49"/>
    </row>
    <row r="85" spans="1:8" ht="14.1" customHeight="1" x14ac:dyDescent="0.2">
      <c r="A85" s="1"/>
      <c r="B85" s="1"/>
      <c r="C85" s="11"/>
      <c r="D85" s="1"/>
      <c r="E85" s="1"/>
      <c r="F85" s="12"/>
      <c r="G85" s="12"/>
      <c r="H85" s="49"/>
    </row>
    <row r="86" spans="1:8" ht="14.1" customHeight="1" x14ac:dyDescent="0.2">
      <c r="A86" s="1"/>
      <c r="B86" s="1"/>
      <c r="C86" s="2" t="s">
        <v>140</v>
      </c>
      <c r="D86" s="1"/>
      <c r="E86" s="1"/>
      <c r="F86" s="1"/>
      <c r="G86" s="1"/>
      <c r="H86" s="49"/>
    </row>
    <row r="87" spans="1:8" ht="14.1" customHeight="1" x14ac:dyDescent="0.2">
      <c r="A87" s="1"/>
      <c r="B87" s="1"/>
      <c r="C87" s="2" t="s">
        <v>130</v>
      </c>
      <c r="D87" s="1"/>
      <c r="E87" s="1" t="s">
        <v>131</v>
      </c>
      <c r="F87" s="13">
        <v>0</v>
      </c>
      <c r="G87" s="14">
        <v>0</v>
      </c>
      <c r="H87" s="49"/>
    </row>
    <row r="88" spans="1:8" ht="14.1" customHeight="1" x14ac:dyDescent="0.2">
      <c r="A88" s="1"/>
      <c r="B88" s="1"/>
      <c r="C88" s="11"/>
      <c r="D88" s="1"/>
      <c r="E88" s="1"/>
      <c r="F88" s="12"/>
      <c r="G88" s="12"/>
      <c r="H88" s="49"/>
    </row>
    <row r="89" spans="1:8" ht="14.1" customHeight="1" x14ac:dyDescent="0.2">
      <c r="A89" s="1"/>
      <c r="B89" s="1"/>
      <c r="C89" s="2" t="s">
        <v>141</v>
      </c>
      <c r="D89" s="1"/>
      <c r="E89" s="1"/>
      <c r="F89" s="12"/>
      <c r="G89" s="12"/>
      <c r="H89" s="49"/>
    </row>
    <row r="90" spans="1:8" ht="14.1" customHeight="1" x14ac:dyDescent="0.2">
      <c r="A90" s="1"/>
      <c r="B90" s="1"/>
      <c r="C90" s="2" t="s">
        <v>130</v>
      </c>
      <c r="D90" s="1"/>
      <c r="E90" s="1" t="s">
        <v>131</v>
      </c>
      <c r="F90" s="13">
        <v>0</v>
      </c>
      <c r="G90" s="14">
        <v>0</v>
      </c>
      <c r="H90" s="49"/>
    </row>
    <row r="91" spans="1:8" ht="14.1" customHeight="1" x14ac:dyDescent="0.2">
      <c r="A91" s="1"/>
      <c r="B91" s="1"/>
      <c r="C91" s="11"/>
      <c r="D91" s="1"/>
      <c r="E91" s="1"/>
      <c r="F91" s="12"/>
      <c r="G91" s="12"/>
      <c r="H91" s="49"/>
    </row>
    <row r="92" spans="1:8" ht="14.1" customHeight="1" x14ac:dyDescent="0.2">
      <c r="A92" s="1"/>
      <c r="B92" s="1"/>
      <c r="C92" s="2" t="s">
        <v>142</v>
      </c>
      <c r="D92" s="1"/>
      <c r="E92" s="1"/>
      <c r="F92" s="9">
        <v>0</v>
      </c>
      <c r="G92" s="10">
        <v>0</v>
      </c>
      <c r="H92" s="49"/>
    </row>
    <row r="93" spans="1:8" ht="14.1" customHeight="1" x14ac:dyDescent="0.2">
      <c r="A93" s="1"/>
      <c r="B93" s="1"/>
      <c r="C93" s="11"/>
      <c r="D93" s="1"/>
      <c r="E93" s="1"/>
      <c r="F93" s="12"/>
      <c r="G93" s="12"/>
      <c r="H93" s="49"/>
    </row>
    <row r="94" spans="1:8" ht="14.1" customHeight="1" x14ac:dyDescent="0.2">
      <c r="A94" s="1"/>
      <c r="B94" s="1"/>
      <c r="C94" s="2" t="s">
        <v>143</v>
      </c>
      <c r="D94" s="1"/>
      <c r="E94" s="1"/>
      <c r="F94" s="12"/>
      <c r="G94" s="12"/>
      <c r="H94" s="49"/>
    </row>
    <row r="95" spans="1:8" ht="14.1" customHeight="1" x14ac:dyDescent="0.2">
      <c r="A95" s="1"/>
      <c r="B95" s="1"/>
      <c r="C95" s="2" t="s">
        <v>144</v>
      </c>
      <c r="D95" s="1"/>
      <c r="E95" s="1"/>
      <c r="F95" s="12"/>
      <c r="G95" s="12"/>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145</v>
      </c>
      <c r="D98" s="1"/>
      <c r="E98" s="1"/>
      <c r="F98" s="12"/>
      <c r="G98" s="12"/>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2" t="s">
        <v>146</v>
      </c>
      <c r="D101" s="1"/>
      <c r="E101" s="1"/>
      <c r="F101" s="12"/>
      <c r="G101" s="12"/>
      <c r="H101" s="49"/>
    </row>
    <row r="102" spans="1:8" ht="14.1" customHeight="1" x14ac:dyDescent="0.2">
      <c r="A102" s="1"/>
      <c r="B102" s="1"/>
      <c r="C102" s="2" t="s">
        <v>130</v>
      </c>
      <c r="D102" s="1"/>
      <c r="E102" s="1" t="s">
        <v>131</v>
      </c>
      <c r="F102" s="13">
        <v>0</v>
      </c>
      <c r="G102" s="14">
        <v>0</v>
      </c>
      <c r="H102" s="49"/>
    </row>
    <row r="103" spans="1:8" ht="14.1" customHeight="1" x14ac:dyDescent="0.2">
      <c r="A103" s="1"/>
      <c r="B103" s="1"/>
      <c r="C103" s="11"/>
      <c r="D103" s="1"/>
      <c r="E103" s="1"/>
      <c r="F103" s="12"/>
      <c r="G103" s="12"/>
      <c r="H103" s="49"/>
    </row>
    <row r="104" spans="1:8" ht="14.1" customHeight="1" x14ac:dyDescent="0.2">
      <c r="A104" s="1"/>
      <c r="B104" s="1"/>
      <c r="C104" s="2" t="s">
        <v>147</v>
      </c>
      <c r="D104" s="1"/>
      <c r="E104" s="1"/>
      <c r="F104" s="12"/>
      <c r="G104" s="12"/>
      <c r="H104" s="49"/>
    </row>
    <row r="105" spans="1:8" ht="17.100000000000001" customHeight="1" x14ac:dyDescent="0.2">
      <c r="A105" s="3">
        <v>1</v>
      </c>
      <c r="B105" s="4"/>
      <c r="C105" s="4" t="s">
        <v>148</v>
      </c>
      <c r="D105" s="4"/>
      <c r="E105" s="8"/>
      <c r="F105" s="6">
        <v>130.9454045</v>
      </c>
      <c r="G105" s="7">
        <v>4.1583461000000002E-2</v>
      </c>
      <c r="H105" s="49">
        <v>5.6572293145372496</v>
      </c>
    </row>
    <row r="106" spans="1:8" ht="14.1" customHeight="1" x14ac:dyDescent="0.2">
      <c r="A106" s="1"/>
      <c r="B106" s="1"/>
      <c r="C106" s="2" t="s">
        <v>130</v>
      </c>
      <c r="D106" s="1"/>
      <c r="E106" s="1" t="s">
        <v>131</v>
      </c>
      <c r="F106" s="9">
        <v>130.9454045</v>
      </c>
      <c r="G106" s="10">
        <v>4.1583461000000002E-2</v>
      </c>
      <c r="H106" s="49"/>
    </row>
    <row r="107" spans="1:8" ht="14.1" customHeight="1" x14ac:dyDescent="0.2">
      <c r="A107" s="1"/>
      <c r="B107" s="1"/>
      <c r="C107" s="11"/>
      <c r="D107" s="1"/>
      <c r="E107" s="1"/>
      <c r="F107" s="12"/>
      <c r="G107" s="12"/>
      <c r="H107" s="49"/>
    </row>
    <row r="108" spans="1:8" ht="14.1" customHeight="1" x14ac:dyDescent="0.2">
      <c r="A108" s="1"/>
      <c r="B108" s="1"/>
      <c r="C108" s="2" t="s">
        <v>149</v>
      </c>
      <c r="D108" s="1"/>
      <c r="E108" s="1"/>
      <c r="F108" s="9">
        <v>130.9454045</v>
      </c>
      <c r="G108" s="10">
        <v>4.1583461000000002E-2</v>
      </c>
      <c r="H108" s="49"/>
    </row>
    <row r="109" spans="1:8" ht="14.1" customHeight="1" x14ac:dyDescent="0.2">
      <c r="A109" s="1"/>
      <c r="B109" s="1"/>
      <c r="C109" s="12"/>
      <c r="D109" s="1"/>
      <c r="E109" s="1"/>
      <c r="F109" s="1"/>
      <c r="G109" s="1"/>
      <c r="H109" s="49"/>
    </row>
    <row r="110" spans="1:8" ht="14.1" customHeight="1" x14ac:dyDescent="0.2">
      <c r="A110" s="1"/>
      <c r="B110" s="1"/>
      <c r="C110" s="2" t="s">
        <v>150</v>
      </c>
      <c r="D110" s="1"/>
      <c r="E110" s="1"/>
      <c r="F110" s="1"/>
      <c r="G110" s="1"/>
      <c r="H110" s="49"/>
    </row>
    <row r="111" spans="1:8" ht="14.1" customHeight="1" x14ac:dyDescent="0.2">
      <c r="A111" s="1"/>
      <c r="B111" s="1"/>
      <c r="C111" s="2" t="s">
        <v>151</v>
      </c>
      <c r="D111" s="1"/>
      <c r="E111" s="1"/>
      <c r="F111" s="1"/>
      <c r="G111" s="1"/>
      <c r="H111" s="49"/>
    </row>
    <row r="112" spans="1:8" ht="14.1" customHeight="1" x14ac:dyDescent="0.2">
      <c r="A112" s="1"/>
      <c r="B112" s="1"/>
      <c r="C112" s="2" t="s">
        <v>130</v>
      </c>
      <c r="D112" s="1"/>
      <c r="E112" s="1" t="s">
        <v>131</v>
      </c>
      <c r="F112" s="13">
        <v>0</v>
      </c>
      <c r="G112" s="14">
        <v>0</v>
      </c>
      <c r="H112" s="49"/>
    </row>
    <row r="113" spans="1:8" ht="14.1" customHeight="1" x14ac:dyDescent="0.2">
      <c r="A113" s="1"/>
      <c r="B113" s="1"/>
      <c r="C113" s="11"/>
      <c r="D113" s="1"/>
      <c r="E113" s="1"/>
      <c r="F113" s="12"/>
      <c r="G113" s="12"/>
      <c r="H113" s="49"/>
    </row>
    <row r="114" spans="1:8" ht="14.1" customHeight="1" x14ac:dyDescent="0.2">
      <c r="A114" s="1"/>
      <c r="B114" s="1"/>
      <c r="C114" s="2" t="s">
        <v>152</v>
      </c>
      <c r="D114" s="1"/>
      <c r="E114" s="1"/>
      <c r="F114" s="1"/>
      <c r="G114" s="1"/>
      <c r="H114" s="49"/>
    </row>
    <row r="115" spans="1:8" ht="14.1" customHeight="1" x14ac:dyDescent="0.2">
      <c r="A115" s="1"/>
      <c r="B115" s="1"/>
      <c r="C115" s="2" t="s">
        <v>153</v>
      </c>
      <c r="D115" s="1"/>
      <c r="E115" s="1"/>
      <c r="F115" s="1"/>
      <c r="G115" s="1"/>
      <c r="H115" s="49"/>
    </row>
    <row r="116" spans="1:8" ht="14.1" customHeight="1" x14ac:dyDescent="0.2">
      <c r="A116" s="1"/>
      <c r="B116" s="1"/>
      <c r="C116" s="2" t="s">
        <v>130</v>
      </c>
      <c r="D116" s="1"/>
      <c r="E116" s="1" t="s">
        <v>131</v>
      </c>
      <c r="F116" s="13">
        <v>0</v>
      </c>
      <c r="G116" s="14">
        <v>0</v>
      </c>
      <c r="H116" s="49"/>
    </row>
    <row r="117" spans="1:8" ht="14.1" customHeight="1" x14ac:dyDescent="0.2">
      <c r="A117" s="1"/>
      <c r="B117" s="1"/>
      <c r="C117" s="11"/>
      <c r="D117" s="1"/>
      <c r="E117" s="1"/>
      <c r="F117" s="12"/>
      <c r="G117" s="12"/>
      <c r="H117" s="49"/>
    </row>
    <row r="118" spans="1:8" ht="14.1" customHeight="1" x14ac:dyDescent="0.2">
      <c r="A118" s="1"/>
      <c r="B118" s="1"/>
      <c r="C118" s="11"/>
      <c r="D118" s="1"/>
      <c r="E118" s="1"/>
      <c r="F118" s="12"/>
      <c r="G118" s="12"/>
      <c r="H118" s="49"/>
    </row>
    <row r="119" spans="1:8" ht="24" customHeight="1" x14ac:dyDescent="0.2">
      <c r="A119" s="1"/>
      <c r="B119" s="1"/>
      <c r="C119" s="2" t="s">
        <v>154</v>
      </c>
      <c r="D119" s="1"/>
      <c r="E119" s="1"/>
      <c r="F119" s="12"/>
      <c r="G119" s="12"/>
      <c r="H119" s="49"/>
    </row>
    <row r="120" spans="1:8" ht="14.1" customHeight="1" x14ac:dyDescent="0.2">
      <c r="A120" s="1"/>
      <c r="B120" s="1"/>
      <c r="C120" s="2" t="s">
        <v>130</v>
      </c>
      <c r="D120" s="1"/>
      <c r="E120" s="1" t="s">
        <v>131</v>
      </c>
      <c r="F120" s="13">
        <v>0</v>
      </c>
      <c r="G120" s="14">
        <v>0</v>
      </c>
      <c r="H120" s="49"/>
    </row>
    <row r="121" spans="1:8" ht="14.1" customHeight="1" x14ac:dyDescent="0.2">
      <c r="A121" s="1"/>
      <c r="B121" s="1"/>
      <c r="C121" s="11"/>
      <c r="D121" s="1"/>
      <c r="E121" s="1"/>
      <c r="F121" s="12"/>
      <c r="G121" s="12"/>
      <c r="H121" s="49"/>
    </row>
    <row r="122" spans="1:8" ht="14.1" customHeight="1" x14ac:dyDescent="0.2">
      <c r="A122" s="1"/>
      <c r="B122" s="4"/>
      <c r="C122" s="4"/>
      <c r="D122" s="2"/>
      <c r="E122" s="1"/>
      <c r="F122" s="4"/>
      <c r="G122" s="8"/>
      <c r="H122" s="49"/>
    </row>
    <row r="123" spans="1:8" ht="18" customHeight="1" x14ac:dyDescent="0.2">
      <c r="A123" s="8"/>
      <c r="B123" s="4"/>
      <c r="C123" s="4" t="s">
        <v>155</v>
      </c>
      <c r="D123" s="4"/>
      <c r="E123" s="8"/>
      <c r="F123" s="6">
        <v>27.205281190000001</v>
      </c>
      <c r="G123" s="7">
        <v>8.6394000000000002E-3</v>
      </c>
      <c r="H123" s="49"/>
    </row>
    <row r="124" spans="1:8" ht="14.1" customHeight="1" x14ac:dyDescent="0.2">
      <c r="A124" s="11"/>
      <c r="B124" s="11"/>
      <c r="C124" s="2" t="s">
        <v>156</v>
      </c>
      <c r="D124" s="15"/>
      <c r="E124" s="15"/>
      <c r="F124" s="9">
        <v>3148.9779931899998</v>
      </c>
      <c r="G124" s="10">
        <v>0.99999999699999997</v>
      </c>
      <c r="H124" s="49"/>
    </row>
    <row r="125" spans="1:8" ht="14.1" customHeight="1" x14ac:dyDescent="0.2">
      <c r="A125" s="16"/>
      <c r="B125" s="16"/>
      <c r="C125" s="16"/>
      <c r="D125" s="17"/>
      <c r="E125" s="17"/>
      <c r="F125" s="17"/>
      <c r="G125" s="17"/>
    </row>
    <row r="126" spans="1:8" ht="14.1" customHeight="1" x14ac:dyDescent="0.2">
      <c r="A126" s="18"/>
      <c r="B126" s="18"/>
      <c r="C126" s="18"/>
      <c r="D126" s="20"/>
      <c r="E126" s="20"/>
      <c r="F126" s="20"/>
      <c r="G126" s="20"/>
    </row>
    <row r="127" spans="1:8" ht="14.1" customHeight="1" x14ac:dyDescent="0.2">
      <c r="A127" s="18"/>
      <c r="B127" s="319" t="s">
        <v>158</v>
      </c>
      <c r="C127" s="320"/>
      <c r="D127" s="12" t="s">
        <v>131</v>
      </c>
      <c r="E127" s="21"/>
      <c r="F127" s="20"/>
      <c r="G127" s="20"/>
    </row>
    <row r="128" spans="1:8" ht="29.1" customHeight="1" x14ac:dyDescent="0.2">
      <c r="A128" s="18"/>
      <c r="B128" s="323" t="s">
        <v>159</v>
      </c>
      <c r="C128" s="324"/>
      <c r="D128" s="2" t="s">
        <v>160</v>
      </c>
      <c r="E128" s="21"/>
      <c r="F128" s="20"/>
      <c r="G128" s="20"/>
    </row>
    <row r="129" spans="1:7" ht="17.100000000000001" customHeight="1" x14ac:dyDescent="0.2">
      <c r="A129" s="18"/>
      <c r="B129" s="323" t="s">
        <v>161</v>
      </c>
      <c r="C129" s="324"/>
      <c r="D129" s="2" t="s">
        <v>160</v>
      </c>
      <c r="E129" s="21"/>
      <c r="F129" s="20"/>
      <c r="G129" s="20"/>
    </row>
    <row r="130" spans="1:7" ht="17.100000000000001" customHeight="1" x14ac:dyDescent="0.2">
      <c r="A130" s="18"/>
      <c r="B130" s="323" t="s">
        <v>162</v>
      </c>
      <c r="C130" s="324"/>
      <c r="D130" s="12" t="s">
        <v>131</v>
      </c>
      <c r="E130" s="21"/>
      <c r="F130" s="20"/>
      <c r="G130" s="20"/>
    </row>
    <row r="131" spans="1:7" ht="24" customHeight="1" x14ac:dyDescent="0.2">
      <c r="A131" s="22"/>
      <c r="B131" s="23" t="s">
        <v>131</v>
      </c>
      <c r="C131" s="23" t="s">
        <v>163</v>
      </c>
      <c r="D131" s="23" t="s">
        <v>164</v>
      </c>
      <c r="E131" s="22"/>
      <c r="F131" s="22"/>
      <c r="G131" s="22"/>
    </row>
    <row r="132" spans="1:7" ht="18" customHeight="1" x14ac:dyDescent="0.2">
      <c r="A132" s="22"/>
      <c r="B132" s="23" t="s">
        <v>165</v>
      </c>
      <c r="C132" s="23" t="s">
        <v>166</v>
      </c>
      <c r="D132" s="23" t="s">
        <v>167</v>
      </c>
      <c r="E132" s="22"/>
      <c r="F132" s="22"/>
      <c r="G132" s="22"/>
    </row>
    <row r="133" spans="1:7" ht="17.100000000000001" customHeight="1" x14ac:dyDescent="0.2">
      <c r="A133" s="22"/>
      <c r="B133" s="4" t="s">
        <v>168</v>
      </c>
      <c r="C133" s="24">
        <v>17.356000000000002</v>
      </c>
      <c r="D133" s="24">
        <v>17.510000000000002</v>
      </c>
      <c r="E133" s="22"/>
      <c r="F133" s="19"/>
      <c r="G133" s="25"/>
    </row>
    <row r="134" spans="1:7" ht="17.100000000000001" customHeight="1" x14ac:dyDescent="0.2">
      <c r="A134" s="22"/>
      <c r="B134" s="4" t="s">
        <v>1021</v>
      </c>
      <c r="C134" s="24">
        <v>17.356000000000002</v>
      </c>
      <c r="D134" s="24">
        <v>17.510000000000002</v>
      </c>
      <c r="E134" s="22"/>
      <c r="F134" s="19"/>
      <c r="G134" s="25"/>
    </row>
    <row r="135" spans="1:7" ht="17.100000000000001" customHeight="1" x14ac:dyDescent="0.2">
      <c r="A135" s="22"/>
      <c r="B135" s="4" t="s">
        <v>169</v>
      </c>
      <c r="C135" s="24">
        <v>16.898199999999999</v>
      </c>
      <c r="D135" s="24">
        <v>17.0426</v>
      </c>
      <c r="E135" s="22"/>
      <c r="F135" s="19"/>
      <c r="G135" s="25"/>
    </row>
    <row r="136" spans="1:7" ht="17.100000000000001" customHeight="1" x14ac:dyDescent="0.2">
      <c r="A136" s="22"/>
      <c r="B136" s="4" t="s">
        <v>1022</v>
      </c>
      <c r="C136" s="24">
        <v>16.898299999999999</v>
      </c>
      <c r="D136" s="24">
        <v>17.0427</v>
      </c>
      <c r="E136" s="22"/>
      <c r="F136" s="19"/>
      <c r="G136" s="25"/>
    </row>
    <row r="137" spans="1:7" ht="14.1" customHeight="1" x14ac:dyDescent="0.2">
      <c r="A137" s="22"/>
      <c r="B137" s="22"/>
      <c r="C137" s="22"/>
      <c r="D137" s="22"/>
      <c r="E137" s="22"/>
      <c r="F137" s="22"/>
      <c r="G137" s="22"/>
    </row>
    <row r="138" spans="1:7" ht="17.100000000000001" customHeight="1" x14ac:dyDescent="0.2">
      <c r="A138" s="22"/>
      <c r="B138" s="323" t="s">
        <v>1023</v>
      </c>
      <c r="C138" s="324"/>
      <c r="D138" s="57" t="s">
        <v>160</v>
      </c>
      <c r="E138" s="22"/>
      <c r="F138" s="22"/>
      <c r="G138" s="22"/>
    </row>
    <row r="139" spans="1:7" ht="18" customHeight="1" x14ac:dyDescent="0.2">
      <c r="A139" s="22"/>
      <c r="B139" s="28"/>
      <c r="C139" s="28"/>
      <c r="D139" s="26"/>
      <c r="E139" s="22"/>
      <c r="F139" s="22"/>
      <c r="G139" s="22"/>
    </row>
    <row r="140" spans="1:7" ht="29.1" customHeight="1" x14ac:dyDescent="0.2">
      <c r="A140" s="22"/>
      <c r="B140" s="323" t="s">
        <v>170</v>
      </c>
      <c r="C140" s="324"/>
      <c r="D140" s="2" t="s">
        <v>160</v>
      </c>
      <c r="E140" s="22"/>
      <c r="F140" s="22"/>
      <c r="G140" s="22"/>
    </row>
    <row r="141" spans="1:7" ht="29.1" customHeight="1" x14ac:dyDescent="0.2">
      <c r="A141" s="22"/>
      <c r="B141" s="323" t="s">
        <v>171</v>
      </c>
      <c r="C141" s="324"/>
      <c r="D141" s="2" t="s">
        <v>160</v>
      </c>
      <c r="E141" s="22"/>
      <c r="F141" s="22"/>
      <c r="G141" s="22"/>
    </row>
    <row r="142" spans="1:7" ht="17.100000000000001" customHeight="1" x14ac:dyDescent="0.2">
      <c r="A142" s="22"/>
      <c r="B142" s="323" t="s">
        <v>172</v>
      </c>
      <c r="C142" s="324"/>
      <c r="D142" s="27">
        <v>0.14130661506036277</v>
      </c>
      <c r="E142" s="22"/>
      <c r="F142" s="19"/>
      <c r="G142" s="25"/>
    </row>
    <row r="143" spans="1:7" ht="17.100000000000001" customHeight="1" x14ac:dyDescent="0.2">
      <c r="A143" s="22"/>
      <c r="B143" s="323" t="s">
        <v>173</v>
      </c>
      <c r="C143" s="324"/>
      <c r="D143" s="2" t="s">
        <v>160</v>
      </c>
      <c r="E143" s="22"/>
      <c r="F143" s="22"/>
      <c r="G143" s="22"/>
    </row>
    <row r="158" spans="10:14" x14ac:dyDescent="0.2">
      <c r="J158" s="218"/>
      <c r="K158" s="218"/>
      <c r="L158" s="218"/>
      <c r="M158" s="218"/>
      <c r="N158" s="218"/>
    </row>
  </sheetData>
  <mergeCells count="13">
    <mergeCell ref="J2:N2"/>
    <mergeCell ref="B143:C143"/>
    <mergeCell ref="B128:C128"/>
    <mergeCell ref="B129:C129"/>
    <mergeCell ref="B130:C130"/>
    <mergeCell ref="B138:C138"/>
    <mergeCell ref="B140:C140"/>
    <mergeCell ref="B141:C141"/>
    <mergeCell ref="A1:H1"/>
    <mergeCell ref="A2:H2"/>
    <mergeCell ref="A3:H3"/>
    <mergeCell ref="B127:C127"/>
    <mergeCell ref="B142:C142"/>
  </mergeCells>
  <hyperlinks>
    <hyperlink ref="I1" location="Index!B14" display="Index" xr:uid="{15B45DB5-00E8-4803-BE7C-E3A0F62B07A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O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480</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398</v>
      </c>
      <c r="C7" s="4" t="s">
        <v>399</v>
      </c>
      <c r="D7" s="4" t="s">
        <v>108</v>
      </c>
      <c r="E7" s="5">
        <v>4578</v>
      </c>
      <c r="F7" s="6">
        <v>74.712959999999995</v>
      </c>
      <c r="G7" s="7">
        <v>3.6161621999999997E-2</v>
      </c>
      <c r="H7" s="49"/>
    </row>
    <row r="8" spans="1:15" ht="17.100000000000001" customHeight="1" x14ac:dyDescent="0.2">
      <c r="A8" s="3">
        <v>2</v>
      </c>
      <c r="B8" s="4" t="s">
        <v>83</v>
      </c>
      <c r="C8" s="4" t="s">
        <v>84</v>
      </c>
      <c r="D8" s="4" t="s">
        <v>31</v>
      </c>
      <c r="E8" s="5">
        <v>4789</v>
      </c>
      <c r="F8" s="6">
        <v>73.142397000000003</v>
      </c>
      <c r="G8" s="7">
        <v>3.5401457999999997E-2</v>
      </c>
      <c r="H8" s="49"/>
    </row>
    <row r="9" spans="1:15" ht="17.100000000000001" customHeight="1" x14ac:dyDescent="0.2">
      <c r="A9" s="3">
        <v>3</v>
      </c>
      <c r="B9" s="4" t="s">
        <v>389</v>
      </c>
      <c r="C9" s="4" t="s">
        <v>390</v>
      </c>
      <c r="D9" s="4" t="s">
        <v>103</v>
      </c>
      <c r="E9" s="5">
        <v>59758</v>
      </c>
      <c r="F9" s="6">
        <v>71.351051999999996</v>
      </c>
      <c r="G9" s="7">
        <v>3.4534434000000003E-2</v>
      </c>
      <c r="H9" s="49"/>
    </row>
    <row r="10" spans="1:15" ht="17.100000000000001" customHeight="1" x14ac:dyDescent="0.2">
      <c r="A10" s="3">
        <v>4</v>
      </c>
      <c r="B10" s="4" t="s">
        <v>29</v>
      </c>
      <c r="C10" s="4" t="s">
        <v>30</v>
      </c>
      <c r="D10" s="4" t="s">
        <v>31</v>
      </c>
      <c r="E10" s="5">
        <v>3493</v>
      </c>
      <c r="F10" s="6">
        <v>70.708798999999999</v>
      </c>
      <c r="G10" s="7">
        <v>3.4223577999999998E-2</v>
      </c>
      <c r="H10" s="49"/>
    </row>
    <row r="11" spans="1:15" ht="17.100000000000001" customHeight="1" x14ac:dyDescent="0.2">
      <c r="A11" s="3">
        <v>5</v>
      </c>
      <c r="B11" s="4" t="s">
        <v>106</v>
      </c>
      <c r="C11" s="4" t="s">
        <v>107</v>
      </c>
      <c r="D11" s="4" t="s">
        <v>108</v>
      </c>
      <c r="E11" s="5">
        <v>17019</v>
      </c>
      <c r="F11" s="6">
        <v>65.803963499999995</v>
      </c>
      <c r="G11" s="7">
        <v>3.1849601999999998E-2</v>
      </c>
      <c r="H11" s="49"/>
    </row>
    <row r="12" spans="1:15" ht="29.1" customHeight="1" x14ac:dyDescent="0.2">
      <c r="A12" s="3">
        <v>6</v>
      </c>
      <c r="B12" s="4" t="s">
        <v>189</v>
      </c>
      <c r="C12" s="4" t="s">
        <v>190</v>
      </c>
      <c r="D12" s="4" t="s">
        <v>108</v>
      </c>
      <c r="E12" s="5">
        <v>17793</v>
      </c>
      <c r="F12" s="6">
        <v>64.561900499999993</v>
      </c>
      <c r="G12" s="7">
        <v>3.1248433999999999E-2</v>
      </c>
      <c r="H12" s="49"/>
    </row>
    <row r="13" spans="1:15" ht="17.100000000000001" customHeight="1" x14ac:dyDescent="0.2">
      <c r="A13" s="3">
        <v>7</v>
      </c>
      <c r="B13" s="4" t="s">
        <v>417</v>
      </c>
      <c r="C13" s="4" t="s">
        <v>418</v>
      </c>
      <c r="D13" s="4" t="s">
        <v>974</v>
      </c>
      <c r="E13" s="5">
        <v>8856</v>
      </c>
      <c r="F13" s="6">
        <v>63.307116000000001</v>
      </c>
      <c r="G13" s="7">
        <v>3.0641109E-2</v>
      </c>
      <c r="H13" s="49"/>
      <c r="J13" s="217" t="s">
        <v>1074</v>
      </c>
    </row>
    <row r="14" spans="1:15" ht="17.100000000000001" customHeight="1" x14ac:dyDescent="0.2">
      <c r="A14" s="3">
        <v>8</v>
      </c>
      <c r="B14" s="4" t="s">
        <v>300</v>
      </c>
      <c r="C14" s="4" t="s">
        <v>301</v>
      </c>
      <c r="D14" s="4" t="s">
        <v>230</v>
      </c>
      <c r="E14" s="5">
        <v>10907</v>
      </c>
      <c r="F14" s="6">
        <v>58.843265000000002</v>
      </c>
      <c r="G14" s="7">
        <v>2.8480572999999999E-2</v>
      </c>
      <c r="H14" s="49"/>
    </row>
    <row r="15" spans="1:15" ht="17.100000000000001" customHeight="1" x14ac:dyDescent="0.2">
      <c r="A15" s="3">
        <v>9</v>
      </c>
      <c r="B15" s="4" t="s">
        <v>370</v>
      </c>
      <c r="C15" s="4" t="s">
        <v>371</v>
      </c>
      <c r="D15" s="4" t="s">
        <v>108</v>
      </c>
      <c r="E15" s="5">
        <v>10545</v>
      </c>
      <c r="F15" s="6">
        <v>57.196080000000002</v>
      </c>
      <c r="G15" s="7">
        <v>2.7683322999999999E-2</v>
      </c>
      <c r="H15" s="49"/>
    </row>
    <row r="16" spans="1:15" ht="17.100000000000001" customHeight="1" x14ac:dyDescent="0.2">
      <c r="A16" s="3">
        <v>10</v>
      </c>
      <c r="B16" s="4" t="s">
        <v>203</v>
      </c>
      <c r="C16" s="4" t="s">
        <v>204</v>
      </c>
      <c r="D16" s="4" t="s">
        <v>974</v>
      </c>
      <c r="E16" s="5">
        <v>1308</v>
      </c>
      <c r="F16" s="6">
        <v>54.343476000000003</v>
      </c>
      <c r="G16" s="7">
        <v>2.6302642000000001E-2</v>
      </c>
      <c r="H16" s="49"/>
    </row>
    <row r="17" spans="1:8" ht="29.1" customHeight="1" x14ac:dyDescent="0.2">
      <c r="A17" s="3">
        <v>11</v>
      </c>
      <c r="B17" s="4" t="s">
        <v>197</v>
      </c>
      <c r="C17" s="4" t="s">
        <v>198</v>
      </c>
      <c r="D17" s="4" t="s">
        <v>193</v>
      </c>
      <c r="E17" s="5">
        <v>1246</v>
      </c>
      <c r="F17" s="6">
        <v>54.106926999999999</v>
      </c>
      <c r="G17" s="7">
        <v>2.618815E-2</v>
      </c>
      <c r="H17" s="49"/>
    </row>
    <row r="18" spans="1:8" ht="17.100000000000001" customHeight="1" x14ac:dyDescent="0.2">
      <c r="A18" s="3">
        <v>12</v>
      </c>
      <c r="B18" s="4" t="s">
        <v>318</v>
      </c>
      <c r="C18" s="4" t="s">
        <v>319</v>
      </c>
      <c r="D18" s="4" t="s">
        <v>233</v>
      </c>
      <c r="E18" s="5">
        <v>3795</v>
      </c>
      <c r="F18" s="6">
        <v>51.232500000000002</v>
      </c>
      <c r="G18" s="7">
        <v>2.4796907E-2</v>
      </c>
      <c r="H18" s="49"/>
    </row>
    <row r="19" spans="1:8" ht="17.100000000000001" customHeight="1" x14ac:dyDescent="0.2">
      <c r="A19" s="3">
        <v>13</v>
      </c>
      <c r="B19" s="4" t="s">
        <v>396</v>
      </c>
      <c r="C19" s="4" t="s">
        <v>397</v>
      </c>
      <c r="D19" s="4" t="s">
        <v>31</v>
      </c>
      <c r="E19" s="5">
        <v>5962</v>
      </c>
      <c r="F19" s="6">
        <v>49.639612</v>
      </c>
      <c r="G19" s="7">
        <v>2.4025937000000001E-2</v>
      </c>
      <c r="H19" s="49"/>
    </row>
    <row r="20" spans="1:8" ht="17.100000000000001" customHeight="1" x14ac:dyDescent="0.2">
      <c r="A20" s="3">
        <v>14</v>
      </c>
      <c r="B20" s="4" t="s">
        <v>419</v>
      </c>
      <c r="C20" s="4" t="s">
        <v>420</v>
      </c>
      <c r="D20" s="4" t="s">
        <v>227</v>
      </c>
      <c r="E20" s="5">
        <v>15930</v>
      </c>
      <c r="F20" s="6">
        <v>47.128905000000003</v>
      </c>
      <c r="G20" s="7">
        <v>2.2810736000000002E-2</v>
      </c>
      <c r="H20" s="49"/>
    </row>
    <row r="21" spans="1:8" ht="17.100000000000001" customHeight="1" x14ac:dyDescent="0.2">
      <c r="A21" s="3">
        <v>15</v>
      </c>
      <c r="B21" s="4" t="s">
        <v>400</v>
      </c>
      <c r="C21" s="4" t="s">
        <v>401</v>
      </c>
      <c r="D21" s="4" t="s">
        <v>1042</v>
      </c>
      <c r="E21" s="5">
        <v>3437</v>
      </c>
      <c r="F21" s="6">
        <v>43.103417</v>
      </c>
      <c r="G21" s="7">
        <v>2.0862371000000001E-2</v>
      </c>
      <c r="H21" s="49"/>
    </row>
    <row r="22" spans="1:8" ht="17.100000000000001" customHeight="1" x14ac:dyDescent="0.2">
      <c r="A22" s="3">
        <v>16</v>
      </c>
      <c r="B22" s="4" t="s">
        <v>404</v>
      </c>
      <c r="C22" s="4" t="s">
        <v>405</v>
      </c>
      <c r="D22" s="4" t="s">
        <v>317</v>
      </c>
      <c r="E22" s="5">
        <v>2656</v>
      </c>
      <c r="F22" s="6">
        <v>41.496015999999997</v>
      </c>
      <c r="G22" s="7">
        <v>2.0084377E-2</v>
      </c>
      <c r="H22" s="49"/>
    </row>
    <row r="23" spans="1:8" ht="29.1" customHeight="1" x14ac:dyDescent="0.2">
      <c r="A23" s="3">
        <v>17</v>
      </c>
      <c r="B23" s="4" t="s">
        <v>213</v>
      </c>
      <c r="C23" s="4" t="s">
        <v>214</v>
      </c>
      <c r="D23" s="4" t="s">
        <v>215</v>
      </c>
      <c r="E23" s="5">
        <v>9440</v>
      </c>
      <c r="F23" s="6">
        <v>39.40728</v>
      </c>
      <c r="G23" s="7">
        <v>1.9073413000000001E-2</v>
      </c>
      <c r="H23" s="49"/>
    </row>
    <row r="24" spans="1:8" ht="29.1" customHeight="1" x14ac:dyDescent="0.2">
      <c r="A24" s="3">
        <v>18</v>
      </c>
      <c r="B24" s="4" t="s">
        <v>425</v>
      </c>
      <c r="C24" s="4" t="s">
        <v>426</v>
      </c>
      <c r="D24" s="4" t="s">
        <v>48</v>
      </c>
      <c r="E24" s="5">
        <v>1417</v>
      </c>
      <c r="F24" s="6">
        <v>38.889564999999997</v>
      </c>
      <c r="G24" s="7">
        <v>1.8822835E-2</v>
      </c>
      <c r="H24" s="49"/>
    </row>
    <row r="25" spans="1:8" ht="17.100000000000001" customHeight="1" x14ac:dyDescent="0.2">
      <c r="A25" s="3">
        <v>19</v>
      </c>
      <c r="B25" s="4" t="s">
        <v>372</v>
      </c>
      <c r="C25" s="4" t="s">
        <v>373</v>
      </c>
      <c r="D25" s="4" t="s">
        <v>103</v>
      </c>
      <c r="E25" s="5">
        <v>6934</v>
      </c>
      <c r="F25" s="6">
        <v>38.348486999999999</v>
      </c>
      <c r="G25" s="7">
        <v>1.856095E-2</v>
      </c>
      <c r="H25" s="49"/>
    </row>
    <row r="26" spans="1:8" ht="17.100000000000001" customHeight="1" x14ac:dyDescent="0.2">
      <c r="A26" s="3">
        <v>20</v>
      </c>
      <c r="B26" s="4" t="s">
        <v>98</v>
      </c>
      <c r="C26" s="4" t="s">
        <v>99</v>
      </c>
      <c r="D26" s="4" t="s">
        <v>100</v>
      </c>
      <c r="E26" s="5">
        <v>7883</v>
      </c>
      <c r="F26" s="6">
        <v>38.331087500000002</v>
      </c>
      <c r="G26" s="7">
        <v>1.8552527999999999E-2</v>
      </c>
      <c r="H26" s="49"/>
    </row>
    <row r="27" spans="1:8" ht="17.100000000000001" customHeight="1" x14ac:dyDescent="0.2">
      <c r="A27" s="3">
        <v>21</v>
      </c>
      <c r="B27" s="4" t="s">
        <v>223</v>
      </c>
      <c r="C27" s="4" t="s">
        <v>224</v>
      </c>
      <c r="D27" s="4" t="s">
        <v>89</v>
      </c>
      <c r="E27" s="5">
        <v>700</v>
      </c>
      <c r="F27" s="6">
        <v>38.074399999999997</v>
      </c>
      <c r="G27" s="7">
        <v>1.8428289E-2</v>
      </c>
      <c r="H27" s="49"/>
    </row>
    <row r="28" spans="1:8" ht="17.100000000000001" customHeight="1" x14ac:dyDescent="0.2">
      <c r="A28" s="3">
        <v>22</v>
      </c>
      <c r="B28" s="4" t="s">
        <v>315</v>
      </c>
      <c r="C28" s="4" t="s">
        <v>316</v>
      </c>
      <c r="D28" s="4" t="s">
        <v>317</v>
      </c>
      <c r="E28" s="5">
        <v>2367</v>
      </c>
      <c r="F28" s="6">
        <v>37.804540500000002</v>
      </c>
      <c r="G28" s="7">
        <v>1.8297674999999999E-2</v>
      </c>
      <c r="H28" s="49"/>
    </row>
    <row r="29" spans="1:8" ht="17.100000000000001" customHeight="1" x14ac:dyDescent="0.2">
      <c r="A29" s="3">
        <v>23</v>
      </c>
      <c r="B29" s="4" t="s">
        <v>423</v>
      </c>
      <c r="C29" s="4" t="s">
        <v>424</v>
      </c>
      <c r="D29" s="4" t="s">
        <v>233</v>
      </c>
      <c r="E29" s="5">
        <v>5099</v>
      </c>
      <c r="F29" s="6">
        <v>36.962651000000001</v>
      </c>
      <c r="G29" s="7">
        <v>1.7890195000000001E-2</v>
      </c>
      <c r="H29" s="49"/>
    </row>
    <row r="30" spans="1:8" ht="29.1" customHeight="1" x14ac:dyDescent="0.2">
      <c r="A30" s="3">
        <v>24</v>
      </c>
      <c r="B30" s="4" t="s">
        <v>61</v>
      </c>
      <c r="C30" s="4" t="s">
        <v>62</v>
      </c>
      <c r="D30" s="4" t="s">
        <v>25</v>
      </c>
      <c r="E30" s="5">
        <v>1193</v>
      </c>
      <c r="F30" s="6">
        <v>36.740820999999997</v>
      </c>
      <c r="G30" s="7">
        <v>1.7782827000000001E-2</v>
      </c>
      <c r="H30" s="49"/>
    </row>
    <row r="31" spans="1:8" ht="29.1" customHeight="1" x14ac:dyDescent="0.2">
      <c r="A31" s="3">
        <v>25</v>
      </c>
      <c r="B31" s="4" t="s">
        <v>436</v>
      </c>
      <c r="C31" s="4" t="s">
        <v>437</v>
      </c>
      <c r="D31" s="4" t="s">
        <v>215</v>
      </c>
      <c r="E31" s="5">
        <v>1815</v>
      </c>
      <c r="F31" s="6">
        <v>36.630330000000001</v>
      </c>
      <c r="G31" s="7">
        <v>1.7729348999999998E-2</v>
      </c>
      <c r="H31" s="49"/>
    </row>
    <row r="32" spans="1:8" ht="17.100000000000001" customHeight="1" x14ac:dyDescent="0.2">
      <c r="A32" s="3">
        <v>26</v>
      </c>
      <c r="B32" s="4" t="s">
        <v>34</v>
      </c>
      <c r="C32" s="4" t="s">
        <v>35</v>
      </c>
      <c r="D32" s="4" t="s">
        <v>31</v>
      </c>
      <c r="E32" s="5">
        <v>1906</v>
      </c>
      <c r="F32" s="6">
        <v>36.583764000000002</v>
      </c>
      <c r="G32" s="7">
        <v>1.7706810999999999E-2</v>
      </c>
      <c r="H32" s="49"/>
    </row>
    <row r="33" spans="1:8" ht="29.1" customHeight="1" x14ac:dyDescent="0.2">
      <c r="A33" s="3">
        <v>27</v>
      </c>
      <c r="B33" s="4" t="s">
        <v>429</v>
      </c>
      <c r="C33" s="4" t="s">
        <v>430</v>
      </c>
      <c r="D33" s="4" t="s">
        <v>431</v>
      </c>
      <c r="E33" s="5">
        <v>28099</v>
      </c>
      <c r="F33" s="6">
        <v>35.474987499999997</v>
      </c>
      <c r="G33" s="7">
        <v>1.7170154999999999E-2</v>
      </c>
      <c r="H33" s="49"/>
    </row>
    <row r="34" spans="1:8" ht="53.1" customHeight="1" x14ac:dyDescent="0.2">
      <c r="A34" s="3">
        <v>28</v>
      </c>
      <c r="B34" s="4" t="s">
        <v>336</v>
      </c>
      <c r="C34" s="4" t="s">
        <v>1043</v>
      </c>
      <c r="D34" s="4" t="s">
        <v>51</v>
      </c>
      <c r="E34" s="5">
        <v>10454</v>
      </c>
      <c r="F34" s="6">
        <v>35.459968000000003</v>
      </c>
      <c r="G34" s="7">
        <v>1.7162884999999999E-2</v>
      </c>
      <c r="H34" s="49"/>
    </row>
    <row r="35" spans="1:8" ht="17.100000000000001" customHeight="1" x14ac:dyDescent="0.2">
      <c r="A35" s="3">
        <v>29</v>
      </c>
      <c r="B35" s="4" t="s">
        <v>447</v>
      </c>
      <c r="C35" s="4" t="s">
        <v>448</v>
      </c>
      <c r="D35" s="4" t="s">
        <v>100</v>
      </c>
      <c r="E35" s="5">
        <v>2275</v>
      </c>
      <c r="F35" s="6">
        <v>33.179737500000002</v>
      </c>
      <c r="G35" s="7">
        <v>1.6059237000000001E-2</v>
      </c>
      <c r="H35" s="49"/>
    </row>
    <row r="36" spans="1:8" ht="17.100000000000001" customHeight="1" x14ac:dyDescent="0.2">
      <c r="A36" s="3">
        <v>30</v>
      </c>
      <c r="B36" s="4" t="s">
        <v>427</v>
      </c>
      <c r="C36" s="4" t="s">
        <v>428</v>
      </c>
      <c r="D36" s="4" t="s">
        <v>13</v>
      </c>
      <c r="E36" s="5">
        <v>40346</v>
      </c>
      <c r="F36" s="6">
        <v>32.014550999999997</v>
      </c>
      <c r="G36" s="7">
        <v>1.5495277999999999E-2</v>
      </c>
      <c r="H36" s="49"/>
    </row>
    <row r="37" spans="1:8" ht="17.100000000000001" customHeight="1" x14ac:dyDescent="0.2">
      <c r="A37" s="3">
        <v>31</v>
      </c>
      <c r="B37" s="4" t="s">
        <v>402</v>
      </c>
      <c r="C37" s="4" t="s">
        <v>403</v>
      </c>
      <c r="D37" s="4" t="s">
        <v>103</v>
      </c>
      <c r="E37" s="5">
        <v>3328</v>
      </c>
      <c r="F37" s="6">
        <v>31.95712</v>
      </c>
      <c r="G37" s="7">
        <v>1.5467481E-2</v>
      </c>
      <c r="H37" s="49"/>
    </row>
    <row r="38" spans="1:8" ht="17.100000000000001" customHeight="1" x14ac:dyDescent="0.2">
      <c r="A38" s="3">
        <v>32</v>
      </c>
      <c r="B38" s="4" t="s">
        <v>449</v>
      </c>
      <c r="C38" s="4" t="s">
        <v>450</v>
      </c>
      <c r="D38" s="4" t="s">
        <v>1042</v>
      </c>
      <c r="E38" s="5">
        <v>3807</v>
      </c>
      <c r="F38" s="6">
        <v>31.876010999999998</v>
      </c>
      <c r="G38" s="7">
        <v>1.5428224000000001E-2</v>
      </c>
      <c r="H38" s="49"/>
    </row>
    <row r="39" spans="1:8" ht="17.100000000000001" customHeight="1" x14ac:dyDescent="0.2">
      <c r="A39" s="3">
        <v>33</v>
      </c>
      <c r="B39" s="4" t="s">
        <v>285</v>
      </c>
      <c r="C39" s="4" t="s">
        <v>286</v>
      </c>
      <c r="D39" s="4" t="s">
        <v>22</v>
      </c>
      <c r="E39" s="5">
        <v>13326</v>
      </c>
      <c r="F39" s="6">
        <v>31.862466000000001</v>
      </c>
      <c r="G39" s="7">
        <v>1.5421667999999999E-2</v>
      </c>
      <c r="H39" s="49"/>
    </row>
    <row r="40" spans="1:8" ht="17.100000000000001" customHeight="1" x14ac:dyDescent="0.2">
      <c r="A40" s="3">
        <v>34</v>
      </c>
      <c r="B40" s="4" t="s">
        <v>432</v>
      </c>
      <c r="C40" s="4" t="s">
        <v>433</v>
      </c>
      <c r="D40" s="4" t="s">
        <v>103</v>
      </c>
      <c r="E40" s="5">
        <v>38221</v>
      </c>
      <c r="F40" s="6">
        <v>31.3221095</v>
      </c>
      <c r="G40" s="7">
        <v>1.5160131E-2</v>
      </c>
      <c r="H40" s="49"/>
    </row>
    <row r="41" spans="1:8" ht="17.100000000000001" customHeight="1" x14ac:dyDescent="0.2">
      <c r="A41" s="3">
        <v>35</v>
      </c>
      <c r="B41" s="4" t="s">
        <v>412</v>
      </c>
      <c r="C41" s="4" t="s">
        <v>413</v>
      </c>
      <c r="D41" s="4" t="s">
        <v>267</v>
      </c>
      <c r="E41" s="5">
        <v>9664</v>
      </c>
      <c r="F41" s="6">
        <v>30.794336000000001</v>
      </c>
      <c r="G41" s="7">
        <v>1.4904685000000001E-2</v>
      </c>
      <c r="H41" s="49"/>
    </row>
    <row r="42" spans="1:8" ht="17.100000000000001" customHeight="1" x14ac:dyDescent="0.2">
      <c r="A42" s="3">
        <v>36</v>
      </c>
      <c r="B42" s="4" t="s">
        <v>457</v>
      </c>
      <c r="C42" s="4" t="s">
        <v>458</v>
      </c>
      <c r="D42" s="4" t="s">
        <v>13</v>
      </c>
      <c r="E42" s="5">
        <v>5893</v>
      </c>
      <c r="F42" s="6">
        <v>29.886349500000001</v>
      </c>
      <c r="G42" s="7">
        <v>1.4465212999999999E-2</v>
      </c>
      <c r="H42" s="49"/>
    </row>
    <row r="43" spans="1:8" ht="29.1" customHeight="1" x14ac:dyDescent="0.2">
      <c r="A43" s="3">
        <v>37</v>
      </c>
      <c r="B43" s="4" t="s">
        <v>421</v>
      </c>
      <c r="C43" s="4" t="s">
        <v>422</v>
      </c>
      <c r="D43" s="4" t="s">
        <v>215</v>
      </c>
      <c r="E43" s="5">
        <v>7291</v>
      </c>
      <c r="F43" s="6">
        <v>28.992661500000001</v>
      </c>
      <c r="G43" s="7">
        <v>1.4032661E-2</v>
      </c>
      <c r="H43" s="49"/>
    </row>
    <row r="44" spans="1:8" ht="17.100000000000001" customHeight="1" x14ac:dyDescent="0.2">
      <c r="A44" s="3">
        <v>38</v>
      </c>
      <c r="B44" s="4" t="s">
        <v>391</v>
      </c>
      <c r="C44" s="4" t="s">
        <v>392</v>
      </c>
      <c r="D44" s="4" t="s">
        <v>196</v>
      </c>
      <c r="E44" s="5">
        <v>3820</v>
      </c>
      <c r="F44" s="6">
        <v>28.667190000000002</v>
      </c>
      <c r="G44" s="7">
        <v>1.3875131000000001E-2</v>
      </c>
      <c r="H44" s="49"/>
    </row>
    <row r="45" spans="1:8" ht="17.100000000000001" customHeight="1" x14ac:dyDescent="0.2">
      <c r="A45" s="3">
        <v>39</v>
      </c>
      <c r="B45" s="4" t="s">
        <v>376</v>
      </c>
      <c r="C45" s="4" t="s">
        <v>377</v>
      </c>
      <c r="D45" s="4" t="s">
        <v>108</v>
      </c>
      <c r="E45" s="5">
        <v>4498</v>
      </c>
      <c r="F45" s="6">
        <v>27.406313999999998</v>
      </c>
      <c r="G45" s="7">
        <v>1.3264857E-2</v>
      </c>
      <c r="H45" s="49"/>
    </row>
    <row r="46" spans="1:8" ht="29.1" customHeight="1" x14ac:dyDescent="0.2">
      <c r="A46" s="3">
        <v>40</v>
      </c>
      <c r="B46" s="4" t="s">
        <v>385</v>
      </c>
      <c r="C46" s="4" t="s">
        <v>386</v>
      </c>
      <c r="D46" s="4" t="s">
        <v>69</v>
      </c>
      <c r="E46" s="5">
        <v>1669</v>
      </c>
      <c r="F46" s="6">
        <v>26.481188499999998</v>
      </c>
      <c r="G46" s="7">
        <v>1.281709E-2</v>
      </c>
      <c r="H46" s="49"/>
    </row>
    <row r="47" spans="1:8" ht="29.1" customHeight="1" x14ac:dyDescent="0.2">
      <c r="A47" s="3">
        <v>41</v>
      </c>
      <c r="B47" s="4" t="s">
        <v>283</v>
      </c>
      <c r="C47" s="4" t="s">
        <v>284</v>
      </c>
      <c r="D47" s="4" t="s">
        <v>193</v>
      </c>
      <c r="E47" s="5">
        <v>3180</v>
      </c>
      <c r="F47" s="6">
        <v>22.865790000000001</v>
      </c>
      <c r="G47" s="7">
        <v>1.1067209999999999E-2</v>
      </c>
      <c r="H47" s="49"/>
    </row>
    <row r="48" spans="1:8" ht="17.100000000000001" customHeight="1" x14ac:dyDescent="0.2">
      <c r="A48" s="3">
        <v>42</v>
      </c>
      <c r="B48" s="4" t="s">
        <v>469</v>
      </c>
      <c r="C48" s="4" t="s">
        <v>470</v>
      </c>
      <c r="D48" s="4" t="s">
        <v>233</v>
      </c>
      <c r="E48" s="5">
        <v>10135</v>
      </c>
      <c r="F48" s="6">
        <v>22.621320000000001</v>
      </c>
      <c r="G48" s="7">
        <v>1.0948885E-2</v>
      </c>
      <c r="H48" s="49"/>
    </row>
    <row r="49" spans="1:8" ht="29.1" customHeight="1" x14ac:dyDescent="0.2">
      <c r="A49" s="3">
        <v>43</v>
      </c>
      <c r="B49" s="4" t="s">
        <v>442</v>
      </c>
      <c r="C49" s="4" t="s">
        <v>443</v>
      </c>
      <c r="D49" s="4" t="s">
        <v>364</v>
      </c>
      <c r="E49" s="5">
        <v>3485</v>
      </c>
      <c r="F49" s="6">
        <v>20.993639999999999</v>
      </c>
      <c r="G49" s="7">
        <v>1.0161076E-2</v>
      </c>
      <c r="H49" s="49"/>
    </row>
    <row r="50" spans="1:8" ht="17.100000000000001" customHeight="1" x14ac:dyDescent="0.2">
      <c r="A50" s="3">
        <v>44</v>
      </c>
      <c r="B50" s="4" t="s">
        <v>374</v>
      </c>
      <c r="C50" s="4" t="s">
        <v>375</v>
      </c>
      <c r="D50" s="4" t="s">
        <v>103</v>
      </c>
      <c r="E50" s="5">
        <v>2752</v>
      </c>
      <c r="F50" s="6">
        <v>20.191424000000001</v>
      </c>
      <c r="G50" s="7">
        <v>9.7727979999999992E-3</v>
      </c>
      <c r="H50" s="49"/>
    </row>
    <row r="51" spans="1:8" ht="29.1" customHeight="1" x14ac:dyDescent="0.2">
      <c r="A51" s="3">
        <v>45</v>
      </c>
      <c r="B51" s="4" t="s">
        <v>387</v>
      </c>
      <c r="C51" s="4" t="s">
        <v>388</v>
      </c>
      <c r="D51" s="4" t="s">
        <v>215</v>
      </c>
      <c r="E51" s="5">
        <v>472</v>
      </c>
      <c r="F51" s="6">
        <v>19.65408</v>
      </c>
      <c r="G51" s="7">
        <v>9.5127189999999993E-3</v>
      </c>
      <c r="H51" s="49"/>
    </row>
    <row r="52" spans="1:8" ht="17.100000000000001" customHeight="1" x14ac:dyDescent="0.2">
      <c r="A52" s="3">
        <v>46</v>
      </c>
      <c r="B52" s="4" t="s">
        <v>383</v>
      </c>
      <c r="C52" s="4" t="s">
        <v>384</v>
      </c>
      <c r="D52" s="4" t="s">
        <v>31</v>
      </c>
      <c r="E52" s="5">
        <v>2300</v>
      </c>
      <c r="F52" s="6">
        <v>19.6236</v>
      </c>
      <c r="G52" s="7">
        <v>9.4979669999999995E-3</v>
      </c>
      <c r="H52" s="49"/>
    </row>
    <row r="53" spans="1:8" ht="17.100000000000001" customHeight="1" x14ac:dyDescent="0.2">
      <c r="A53" s="3">
        <v>47</v>
      </c>
      <c r="B53" s="4" t="s">
        <v>434</v>
      </c>
      <c r="C53" s="4" t="s">
        <v>435</v>
      </c>
      <c r="D53" s="4" t="s">
        <v>218</v>
      </c>
      <c r="E53" s="5">
        <v>2336</v>
      </c>
      <c r="F53" s="6">
        <v>17.872736</v>
      </c>
      <c r="G53" s="7">
        <v>8.6505360000000003E-3</v>
      </c>
      <c r="H53" s="49"/>
    </row>
    <row r="54" spans="1:8" ht="17.100000000000001" customHeight="1" x14ac:dyDescent="0.2">
      <c r="A54" s="3">
        <v>48</v>
      </c>
      <c r="B54" s="4" t="s">
        <v>461</v>
      </c>
      <c r="C54" s="4" t="s">
        <v>462</v>
      </c>
      <c r="D54" s="4" t="s">
        <v>43</v>
      </c>
      <c r="E54" s="5">
        <v>2557</v>
      </c>
      <c r="F54" s="6">
        <v>17.700832500000001</v>
      </c>
      <c r="G54" s="7">
        <v>8.5673329999999999E-3</v>
      </c>
      <c r="H54" s="49"/>
    </row>
    <row r="55" spans="1:8" ht="17.100000000000001" customHeight="1" x14ac:dyDescent="0.2">
      <c r="A55" s="3">
        <v>49</v>
      </c>
      <c r="B55" s="4" t="s">
        <v>438</v>
      </c>
      <c r="C55" s="4" t="s">
        <v>439</v>
      </c>
      <c r="D55" s="4" t="s">
        <v>31</v>
      </c>
      <c r="E55" s="5">
        <v>1303</v>
      </c>
      <c r="F55" s="6">
        <v>11.497672</v>
      </c>
      <c r="G55" s="7">
        <v>5.5649580000000001E-3</v>
      </c>
      <c r="H55" s="49"/>
    </row>
    <row r="56" spans="1:8" ht="17.100000000000001" customHeight="1" x14ac:dyDescent="0.2">
      <c r="A56" s="3">
        <v>50</v>
      </c>
      <c r="B56" s="4" t="s">
        <v>330</v>
      </c>
      <c r="C56" s="4" t="s">
        <v>331</v>
      </c>
      <c r="D56" s="4" t="s">
        <v>100</v>
      </c>
      <c r="E56" s="5">
        <v>14375</v>
      </c>
      <c r="F56" s="6">
        <v>11.3203125</v>
      </c>
      <c r="G56" s="7">
        <v>5.4791140000000002E-3</v>
      </c>
      <c r="H56" s="49"/>
    </row>
    <row r="57" spans="1:8" ht="29.1" customHeight="1" x14ac:dyDescent="0.2">
      <c r="A57" s="3">
        <v>51</v>
      </c>
      <c r="B57" s="4" t="s">
        <v>444</v>
      </c>
      <c r="C57" s="4" t="s">
        <v>445</v>
      </c>
      <c r="D57" s="4" t="s">
        <v>193</v>
      </c>
      <c r="E57" s="5">
        <v>1125</v>
      </c>
      <c r="F57" s="6">
        <v>7.2511875000000003</v>
      </c>
      <c r="G57" s="7">
        <v>3.5096279999999999E-3</v>
      </c>
      <c r="H57" s="49"/>
    </row>
    <row r="58" spans="1:8" ht="17.100000000000001" customHeight="1" x14ac:dyDescent="0.2">
      <c r="A58" s="3">
        <v>52</v>
      </c>
      <c r="B58" s="4" t="s">
        <v>393</v>
      </c>
      <c r="C58" s="4" t="s">
        <v>394</v>
      </c>
      <c r="D58" s="4" t="s">
        <v>16</v>
      </c>
      <c r="E58" s="5">
        <v>1389</v>
      </c>
      <c r="F58" s="6">
        <v>3.032187</v>
      </c>
      <c r="G58" s="7">
        <v>1.467601E-3</v>
      </c>
      <c r="H58" s="49"/>
    </row>
    <row r="59" spans="1:8" ht="29.1" customHeight="1" x14ac:dyDescent="0.2">
      <c r="A59" s="3">
        <v>53</v>
      </c>
      <c r="B59" s="4" t="s">
        <v>440</v>
      </c>
      <c r="C59" s="4" t="s">
        <v>441</v>
      </c>
      <c r="D59" s="4" t="s">
        <v>215</v>
      </c>
      <c r="E59" s="5">
        <v>1120</v>
      </c>
      <c r="F59" s="6">
        <v>2.9545599999999999</v>
      </c>
      <c r="G59" s="7">
        <v>1.430029E-3</v>
      </c>
      <c r="H59" s="49"/>
    </row>
    <row r="60" spans="1:8" ht="14.1" customHeight="1" x14ac:dyDescent="0.2">
      <c r="A60" s="1"/>
      <c r="B60" s="1"/>
      <c r="C60" s="2" t="s">
        <v>130</v>
      </c>
      <c r="D60" s="1"/>
      <c r="E60" s="1" t="s">
        <v>131</v>
      </c>
      <c r="F60" s="9">
        <v>1951.4056435</v>
      </c>
      <c r="G60" s="10">
        <v>0.94449467499999995</v>
      </c>
      <c r="H60" s="49"/>
    </row>
    <row r="61" spans="1:8" ht="14.1" customHeight="1" x14ac:dyDescent="0.2">
      <c r="A61" s="1"/>
      <c r="B61" s="1"/>
      <c r="C61" s="11"/>
      <c r="D61" s="1"/>
      <c r="E61" s="1"/>
      <c r="F61" s="12"/>
      <c r="G61" s="12"/>
      <c r="H61" s="49"/>
    </row>
    <row r="62" spans="1:8" ht="14.1" customHeight="1" x14ac:dyDescent="0.2">
      <c r="A62" s="1"/>
      <c r="B62" s="1"/>
      <c r="C62" s="2" t="s">
        <v>132</v>
      </c>
      <c r="D62" s="1"/>
      <c r="E62" s="1"/>
      <c r="F62" s="1"/>
      <c r="G62" s="1"/>
      <c r="H62" s="49"/>
    </row>
    <row r="63" spans="1:8" ht="14.1" customHeight="1" x14ac:dyDescent="0.2">
      <c r="A63" s="1"/>
      <c r="B63" s="1"/>
      <c r="C63" s="2" t="s">
        <v>130</v>
      </c>
      <c r="D63" s="1"/>
      <c r="E63" s="1" t="s">
        <v>131</v>
      </c>
      <c r="F63" s="13">
        <v>0</v>
      </c>
      <c r="G63" s="14">
        <v>0</v>
      </c>
      <c r="H63" s="49"/>
    </row>
    <row r="64" spans="1:8" ht="14.1" customHeight="1" x14ac:dyDescent="0.2">
      <c r="A64" s="1"/>
      <c r="B64" s="1"/>
      <c r="C64" s="11"/>
      <c r="D64" s="1"/>
      <c r="E64" s="1"/>
      <c r="F64" s="12"/>
      <c r="G64" s="12"/>
      <c r="H64" s="49"/>
    </row>
    <row r="65" spans="1:8" ht="14.1" customHeight="1" x14ac:dyDescent="0.2">
      <c r="A65" s="1"/>
      <c r="B65" s="1"/>
      <c r="C65" s="2" t="s">
        <v>133</v>
      </c>
      <c r="D65" s="1"/>
      <c r="E65" s="1"/>
      <c r="F65" s="1"/>
      <c r="G65" s="1"/>
      <c r="H65" s="49"/>
    </row>
    <row r="66" spans="1:8" ht="14.1" customHeight="1" x14ac:dyDescent="0.2">
      <c r="A66" s="1"/>
      <c r="B66" s="1"/>
      <c r="C66" s="2" t="s">
        <v>130</v>
      </c>
      <c r="D66" s="1"/>
      <c r="E66" s="1" t="s">
        <v>131</v>
      </c>
      <c r="F66" s="13">
        <v>0</v>
      </c>
      <c r="G66" s="14">
        <v>0</v>
      </c>
      <c r="H66" s="49"/>
    </row>
    <row r="67" spans="1:8" ht="14.1" customHeight="1" x14ac:dyDescent="0.2">
      <c r="A67" s="1"/>
      <c r="B67" s="1"/>
      <c r="C67" s="11"/>
      <c r="D67" s="1"/>
      <c r="E67" s="1"/>
      <c r="F67" s="12"/>
      <c r="G67" s="12"/>
      <c r="H67" s="49"/>
    </row>
    <row r="68" spans="1:8" ht="14.1" customHeight="1" x14ac:dyDescent="0.2">
      <c r="A68" s="1"/>
      <c r="B68" s="1"/>
      <c r="C68" s="2" t="s">
        <v>134</v>
      </c>
      <c r="D68" s="1"/>
      <c r="E68" s="1"/>
      <c r="F68" s="1"/>
      <c r="G68" s="1"/>
      <c r="H68" s="49"/>
    </row>
    <row r="69" spans="1:8" ht="14.1" customHeight="1" x14ac:dyDescent="0.2">
      <c r="A69" s="1"/>
      <c r="B69" s="1"/>
      <c r="C69" s="2" t="s">
        <v>130</v>
      </c>
      <c r="D69" s="1"/>
      <c r="E69" s="1" t="s">
        <v>131</v>
      </c>
      <c r="F69" s="13">
        <v>0</v>
      </c>
      <c r="G69" s="14">
        <v>0</v>
      </c>
      <c r="H69" s="49"/>
    </row>
    <row r="70" spans="1:8" ht="14.1" customHeight="1" x14ac:dyDescent="0.2">
      <c r="A70" s="1"/>
      <c r="B70" s="1"/>
      <c r="C70" s="11"/>
      <c r="D70" s="1"/>
      <c r="E70" s="1"/>
      <c r="F70" s="12"/>
      <c r="G70" s="12"/>
      <c r="H70" s="49"/>
    </row>
    <row r="71" spans="1:8" ht="14.1" customHeight="1" x14ac:dyDescent="0.2">
      <c r="A71" s="1"/>
      <c r="B71" s="1"/>
      <c r="C71" s="2" t="s">
        <v>135</v>
      </c>
      <c r="D71" s="1"/>
      <c r="E71" s="1"/>
      <c r="F71" s="12"/>
      <c r="G71" s="12"/>
      <c r="H71" s="49"/>
    </row>
    <row r="72" spans="1:8" ht="14.1" customHeight="1" x14ac:dyDescent="0.2">
      <c r="A72" s="1"/>
      <c r="B72" s="1"/>
      <c r="C72" s="2" t="s">
        <v>130</v>
      </c>
      <c r="D72" s="1"/>
      <c r="E72" s="1" t="s">
        <v>131</v>
      </c>
      <c r="F72" s="13">
        <v>0</v>
      </c>
      <c r="G72" s="14">
        <v>0</v>
      </c>
      <c r="H72" s="49"/>
    </row>
    <row r="73" spans="1:8" ht="14.1" customHeight="1" x14ac:dyDescent="0.2">
      <c r="A73" s="1"/>
      <c r="B73" s="1"/>
      <c r="C73" s="11"/>
      <c r="D73" s="1"/>
      <c r="E73" s="1"/>
      <c r="F73" s="12"/>
      <c r="G73" s="12"/>
      <c r="H73" s="49"/>
    </row>
    <row r="74" spans="1:8" ht="14.1" customHeight="1" x14ac:dyDescent="0.2">
      <c r="A74" s="1"/>
      <c r="B74" s="1"/>
      <c r="C74" s="2" t="s">
        <v>136</v>
      </c>
      <c r="D74" s="1"/>
      <c r="E74" s="1"/>
      <c r="F74" s="12"/>
      <c r="G74" s="12"/>
      <c r="H74" s="49"/>
    </row>
    <row r="75" spans="1:8" ht="14.1" customHeight="1" x14ac:dyDescent="0.2">
      <c r="A75" s="1"/>
      <c r="B75" s="1"/>
      <c r="C75" s="2" t="s">
        <v>130</v>
      </c>
      <c r="D75" s="1"/>
      <c r="E75" s="1" t="s">
        <v>131</v>
      </c>
      <c r="F75" s="13">
        <v>0</v>
      </c>
      <c r="G75" s="14">
        <v>0</v>
      </c>
      <c r="H75" s="49"/>
    </row>
    <row r="76" spans="1:8" ht="14.1" customHeight="1" x14ac:dyDescent="0.2">
      <c r="A76" s="1"/>
      <c r="B76" s="1"/>
      <c r="C76" s="11"/>
      <c r="D76" s="1"/>
      <c r="E76" s="1"/>
      <c r="F76" s="12"/>
      <c r="G76" s="12"/>
      <c r="H76" s="49"/>
    </row>
    <row r="77" spans="1:8" ht="18" customHeight="1" x14ac:dyDescent="0.2">
      <c r="A77" s="1"/>
      <c r="B77" s="1"/>
      <c r="C77" s="2" t="s">
        <v>137</v>
      </c>
      <c r="D77" s="1"/>
      <c r="E77" s="1"/>
      <c r="F77" s="9">
        <v>1951.4056435</v>
      </c>
      <c r="G77" s="10">
        <v>0.94449467499999995</v>
      </c>
      <c r="H77" s="49"/>
    </row>
    <row r="78" spans="1:8" ht="14.1" customHeight="1" x14ac:dyDescent="0.2">
      <c r="A78" s="1"/>
      <c r="B78" s="1"/>
      <c r="C78" s="11"/>
      <c r="D78" s="1"/>
      <c r="E78" s="1"/>
      <c r="F78" s="12"/>
      <c r="G78" s="12"/>
      <c r="H78" s="49"/>
    </row>
    <row r="79" spans="1:8" ht="14.1" customHeight="1" x14ac:dyDescent="0.2">
      <c r="A79" s="1"/>
      <c r="B79" s="1"/>
      <c r="C79" s="2" t="s">
        <v>138</v>
      </c>
      <c r="D79" s="1"/>
      <c r="E79" s="1"/>
      <c r="F79" s="12"/>
      <c r="G79" s="12"/>
      <c r="H79" s="49"/>
    </row>
    <row r="80" spans="1:8" ht="24" customHeight="1" x14ac:dyDescent="0.2">
      <c r="A80" s="1"/>
      <c r="B80" s="1"/>
      <c r="C80" s="2" t="s">
        <v>10</v>
      </c>
      <c r="D80" s="1"/>
      <c r="E80" s="1"/>
      <c r="F80" s="12"/>
      <c r="G80" s="12"/>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139</v>
      </c>
      <c r="D83" s="1"/>
      <c r="E83" s="1"/>
      <c r="F83" s="1"/>
      <c r="G83" s="1"/>
      <c r="H83" s="49"/>
    </row>
    <row r="84" spans="1:8" ht="14.1" customHeight="1" x14ac:dyDescent="0.2">
      <c r="A84" s="1"/>
      <c r="B84" s="1"/>
      <c r="C84" s="2" t="s">
        <v>130</v>
      </c>
      <c r="D84" s="1"/>
      <c r="E84" s="1" t="s">
        <v>131</v>
      </c>
      <c r="F84" s="13">
        <v>0</v>
      </c>
      <c r="G84" s="14">
        <v>0</v>
      </c>
      <c r="H84" s="49"/>
    </row>
    <row r="85" spans="1:8" ht="14.1" customHeight="1" x14ac:dyDescent="0.2">
      <c r="A85" s="1"/>
      <c r="B85" s="1"/>
      <c r="C85" s="11"/>
      <c r="D85" s="1"/>
      <c r="E85" s="1"/>
      <c r="F85" s="12"/>
      <c r="G85" s="12"/>
      <c r="H85" s="49"/>
    </row>
    <row r="86" spans="1:8" ht="14.1" customHeight="1" x14ac:dyDescent="0.2">
      <c r="A86" s="1"/>
      <c r="B86" s="1"/>
      <c r="C86" s="2" t="s">
        <v>140</v>
      </c>
      <c r="D86" s="1"/>
      <c r="E86" s="1"/>
      <c r="F86" s="1"/>
      <c r="G86" s="1"/>
      <c r="H86" s="49"/>
    </row>
    <row r="87" spans="1:8" ht="14.1" customHeight="1" x14ac:dyDescent="0.2">
      <c r="A87" s="1"/>
      <c r="B87" s="1"/>
      <c r="C87" s="2" t="s">
        <v>130</v>
      </c>
      <c r="D87" s="1"/>
      <c r="E87" s="1" t="s">
        <v>131</v>
      </c>
      <c r="F87" s="13">
        <v>0</v>
      </c>
      <c r="G87" s="14">
        <v>0</v>
      </c>
      <c r="H87" s="49"/>
    </row>
    <row r="88" spans="1:8" ht="14.1" customHeight="1" x14ac:dyDescent="0.2">
      <c r="A88" s="1"/>
      <c r="B88" s="1"/>
      <c r="C88" s="11"/>
      <c r="D88" s="1"/>
      <c r="E88" s="1"/>
      <c r="F88" s="12"/>
      <c r="G88" s="12"/>
      <c r="H88" s="49"/>
    </row>
    <row r="89" spans="1:8" ht="14.1" customHeight="1" x14ac:dyDescent="0.2">
      <c r="A89" s="1"/>
      <c r="B89" s="1"/>
      <c r="C89" s="2" t="s">
        <v>141</v>
      </c>
      <c r="D89" s="1"/>
      <c r="E89" s="1"/>
      <c r="F89" s="12"/>
      <c r="G89" s="12"/>
      <c r="H89" s="49"/>
    </row>
    <row r="90" spans="1:8" ht="14.1" customHeight="1" x14ac:dyDescent="0.2">
      <c r="A90" s="1"/>
      <c r="B90" s="1"/>
      <c r="C90" s="2" t="s">
        <v>130</v>
      </c>
      <c r="D90" s="1"/>
      <c r="E90" s="1" t="s">
        <v>131</v>
      </c>
      <c r="F90" s="13">
        <v>0</v>
      </c>
      <c r="G90" s="14">
        <v>0</v>
      </c>
      <c r="H90" s="49"/>
    </row>
    <row r="91" spans="1:8" ht="14.1" customHeight="1" x14ac:dyDescent="0.2">
      <c r="A91" s="1"/>
      <c r="B91" s="1"/>
      <c r="C91" s="11"/>
      <c r="D91" s="1"/>
      <c r="E91" s="1"/>
      <c r="F91" s="12"/>
      <c r="G91" s="12"/>
      <c r="H91" s="49"/>
    </row>
    <row r="92" spans="1:8" ht="14.1" customHeight="1" x14ac:dyDescent="0.2">
      <c r="A92" s="1"/>
      <c r="B92" s="1"/>
      <c r="C92" s="2" t="s">
        <v>142</v>
      </c>
      <c r="D92" s="1"/>
      <c r="E92" s="1"/>
      <c r="F92" s="9">
        <v>0</v>
      </c>
      <c r="G92" s="10">
        <v>0</v>
      </c>
      <c r="H92" s="49"/>
    </row>
    <row r="93" spans="1:8" ht="14.1" customHeight="1" x14ac:dyDescent="0.2">
      <c r="A93" s="1"/>
      <c r="B93" s="1"/>
      <c r="C93" s="11"/>
      <c r="D93" s="1"/>
      <c r="E93" s="1"/>
      <c r="F93" s="12"/>
      <c r="G93" s="12"/>
      <c r="H93" s="49"/>
    </row>
    <row r="94" spans="1:8" ht="14.1" customHeight="1" x14ac:dyDescent="0.2">
      <c r="A94" s="1"/>
      <c r="B94" s="1"/>
      <c r="C94" s="2" t="s">
        <v>143</v>
      </c>
      <c r="D94" s="1"/>
      <c r="E94" s="1"/>
      <c r="F94" s="12"/>
      <c r="G94" s="12"/>
      <c r="H94" s="49"/>
    </row>
    <row r="95" spans="1:8" ht="14.1" customHeight="1" x14ac:dyDescent="0.2">
      <c r="A95" s="1"/>
      <c r="B95" s="1"/>
      <c r="C95" s="2" t="s">
        <v>144</v>
      </c>
      <c r="D95" s="1"/>
      <c r="E95" s="1"/>
      <c r="F95" s="12"/>
      <c r="G95" s="12"/>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145</v>
      </c>
      <c r="D98" s="1"/>
      <c r="E98" s="1"/>
      <c r="F98" s="12"/>
      <c r="G98" s="12"/>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2" t="s">
        <v>146</v>
      </c>
      <c r="D101" s="1"/>
      <c r="E101" s="1"/>
      <c r="F101" s="12"/>
      <c r="G101" s="12"/>
      <c r="H101" s="49"/>
    </row>
    <row r="102" spans="1:8" ht="14.1" customHeight="1" x14ac:dyDescent="0.2">
      <c r="A102" s="1"/>
      <c r="B102" s="1"/>
      <c r="C102" s="2" t="s">
        <v>130</v>
      </c>
      <c r="D102" s="1"/>
      <c r="E102" s="1" t="s">
        <v>131</v>
      </c>
      <c r="F102" s="13">
        <v>0</v>
      </c>
      <c r="G102" s="14">
        <v>0</v>
      </c>
      <c r="H102" s="49"/>
    </row>
    <row r="103" spans="1:8" ht="14.1" customHeight="1" x14ac:dyDescent="0.2">
      <c r="A103" s="1"/>
      <c r="B103" s="1"/>
      <c r="C103" s="11"/>
      <c r="D103" s="1"/>
      <c r="E103" s="1"/>
      <c r="F103" s="12"/>
      <c r="G103" s="12"/>
      <c r="H103" s="49"/>
    </row>
    <row r="104" spans="1:8" ht="14.1" customHeight="1" x14ac:dyDescent="0.2">
      <c r="A104" s="1"/>
      <c r="B104" s="1"/>
      <c r="C104" s="2" t="s">
        <v>147</v>
      </c>
      <c r="D104" s="1"/>
      <c r="E104" s="1"/>
      <c r="F104" s="12"/>
      <c r="G104" s="12"/>
      <c r="H104" s="49"/>
    </row>
    <row r="105" spans="1:8" ht="17.100000000000001" customHeight="1" x14ac:dyDescent="0.2">
      <c r="A105" s="3">
        <v>1</v>
      </c>
      <c r="B105" s="4"/>
      <c r="C105" s="4" t="s">
        <v>148</v>
      </c>
      <c r="D105" s="4"/>
      <c r="E105" s="8"/>
      <c r="F105" s="6">
        <v>91.241358399999996</v>
      </c>
      <c r="G105" s="7">
        <v>4.4161487999999999E-2</v>
      </c>
      <c r="H105" s="49">
        <v>5.6572293145372496</v>
      </c>
    </row>
    <row r="106" spans="1:8" ht="14.1" customHeight="1" x14ac:dyDescent="0.2">
      <c r="A106" s="1"/>
      <c r="B106" s="1"/>
      <c r="C106" s="2" t="s">
        <v>130</v>
      </c>
      <c r="D106" s="1"/>
      <c r="E106" s="1" t="s">
        <v>131</v>
      </c>
      <c r="F106" s="9">
        <v>91.241358399999996</v>
      </c>
      <c r="G106" s="10">
        <v>4.4161487999999999E-2</v>
      </c>
      <c r="H106" s="49"/>
    </row>
    <row r="107" spans="1:8" ht="14.1" customHeight="1" x14ac:dyDescent="0.2">
      <c r="A107" s="1"/>
      <c r="B107" s="1"/>
      <c r="C107" s="11"/>
      <c r="D107" s="1"/>
      <c r="E107" s="1"/>
      <c r="F107" s="12"/>
      <c r="G107" s="12"/>
      <c r="H107" s="49"/>
    </row>
    <row r="108" spans="1:8" ht="14.1" customHeight="1" x14ac:dyDescent="0.2">
      <c r="A108" s="1"/>
      <c r="B108" s="1"/>
      <c r="C108" s="2" t="s">
        <v>149</v>
      </c>
      <c r="D108" s="1"/>
      <c r="E108" s="1"/>
      <c r="F108" s="9">
        <v>91.241358399999996</v>
      </c>
      <c r="G108" s="10">
        <v>4.4161487999999999E-2</v>
      </c>
      <c r="H108" s="49"/>
    </row>
    <row r="109" spans="1:8" ht="14.1" customHeight="1" x14ac:dyDescent="0.2">
      <c r="A109" s="1"/>
      <c r="B109" s="1"/>
      <c r="C109" s="12"/>
      <c r="D109" s="1"/>
      <c r="E109" s="1"/>
      <c r="F109" s="1"/>
      <c r="G109" s="1"/>
      <c r="H109" s="49"/>
    </row>
    <row r="110" spans="1:8" ht="14.1" customHeight="1" x14ac:dyDescent="0.2">
      <c r="A110" s="1"/>
      <c r="B110" s="1"/>
      <c r="C110" s="2" t="s">
        <v>150</v>
      </c>
      <c r="D110" s="1"/>
      <c r="E110" s="1"/>
      <c r="F110" s="1"/>
      <c r="G110" s="1"/>
      <c r="H110" s="49"/>
    </row>
    <row r="111" spans="1:8" ht="14.1" customHeight="1" x14ac:dyDescent="0.2">
      <c r="A111" s="1"/>
      <c r="B111" s="1"/>
      <c r="C111" s="2" t="s">
        <v>151</v>
      </c>
      <c r="D111" s="1"/>
      <c r="E111" s="1"/>
      <c r="F111" s="1"/>
      <c r="G111" s="1"/>
      <c r="H111" s="49"/>
    </row>
    <row r="112" spans="1:8" ht="14.1" customHeight="1" x14ac:dyDescent="0.2">
      <c r="A112" s="1"/>
      <c r="B112" s="1"/>
      <c r="C112" s="2" t="s">
        <v>130</v>
      </c>
      <c r="D112" s="1"/>
      <c r="E112" s="1" t="s">
        <v>131</v>
      </c>
      <c r="F112" s="13">
        <v>0</v>
      </c>
      <c r="G112" s="14">
        <v>0</v>
      </c>
      <c r="H112" s="49"/>
    </row>
    <row r="113" spans="1:8" ht="14.1" customHeight="1" x14ac:dyDescent="0.2">
      <c r="A113" s="1"/>
      <c r="B113" s="1"/>
      <c r="C113" s="11"/>
      <c r="D113" s="1"/>
      <c r="E113" s="1"/>
      <c r="F113" s="12"/>
      <c r="G113" s="12"/>
      <c r="H113" s="49"/>
    </row>
    <row r="114" spans="1:8" ht="14.1" customHeight="1" x14ac:dyDescent="0.2">
      <c r="A114" s="1"/>
      <c r="B114" s="1"/>
      <c r="C114" s="2" t="s">
        <v>152</v>
      </c>
      <c r="D114" s="1"/>
      <c r="E114" s="1"/>
      <c r="F114" s="1"/>
      <c r="G114" s="1"/>
      <c r="H114" s="49"/>
    </row>
    <row r="115" spans="1:8" ht="14.1" customHeight="1" x14ac:dyDescent="0.2">
      <c r="A115" s="1"/>
      <c r="B115" s="1"/>
      <c r="C115" s="2" t="s">
        <v>153</v>
      </c>
      <c r="D115" s="1"/>
      <c r="E115" s="1"/>
      <c r="F115" s="1"/>
      <c r="G115" s="1"/>
      <c r="H115" s="49"/>
    </row>
    <row r="116" spans="1:8" ht="14.1" customHeight="1" x14ac:dyDescent="0.2">
      <c r="A116" s="1"/>
      <c r="B116" s="1"/>
      <c r="C116" s="2" t="s">
        <v>130</v>
      </c>
      <c r="D116" s="1"/>
      <c r="E116" s="1" t="s">
        <v>131</v>
      </c>
      <c r="F116" s="13">
        <v>0</v>
      </c>
      <c r="G116" s="14">
        <v>0</v>
      </c>
      <c r="H116" s="49"/>
    </row>
    <row r="117" spans="1:8" ht="14.1" customHeight="1" x14ac:dyDescent="0.2">
      <c r="A117" s="1"/>
      <c r="B117" s="1"/>
      <c r="C117" s="11"/>
      <c r="D117" s="1"/>
      <c r="E117" s="1"/>
      <c r="F117" s="12"/>
      <c r="G117" s="12"/>
      <c r="H117" s="49"/>
    </row>
    <row r="118" spans="1:8" ht="14.1" customHeight="1" x14ac:dyDescent="0.2">
      <c r="A118" s="1"/>
      <c r="B118" s="1"/>
      <c r="C118" s="11"/>
      <c r="D118" s="1"/>
      <c r="E118" s="1"/>
      <c r="F118" s="12"/>
      <c r="G118" s="12"/>
      <c r="H118" s="49"/>
    </row>
    <row r="119" spans="1:8" ht="24" customHeight="1" x14ac:dyDescent="0.2">
      <c r="A119" s="1"/>
      <c r="B119" s="1"/>
      <c r="C119" s="2" t="s">
        <v>154</v>
      </c>
      <c r="D119" s="1"/>
      <c r="E119" s="1"/>
      <c r="F119" s="12"/>
      <c r="G119" s="12"/>
      <c r="H119" s="49"/>
    </row>
    <row r="120" spans="1:8" ht="14.1" customHeight="1" x14ac:dyDescent="0.2">
      <c r="A120" s="1"/>
      <c r="B120" s="1"/>
      <c r="C120" s="2" t="s">
        <v>130</v>
      </c>
      <c r="D120" s="1"/>
      <c r="E120" s="1" t="s">
        <v>131</v>
      </c>
      <c r="F120" s="13">
        <v>0</v>
      </c>
      <c r="G120" s="14">
        <v>0</v>
      </c>
      <c r="H120" s="49"/>
    </row>
    <row r="121" spans="1:8" ht="14.1" customHeight="1" x14ac:dyDescent="0.2">
      <c r="A121" s="1"/>
      <c r="B121" s="1"/>
      <c r="C121" s="11"/>
      <c r="D121" s="1"/>
      <c r="E121" s="1"/>
      <c r="F121" s="12"/>
      <c r="G121" s="12"/>
      <c r="H121" s="49"/>
    </row>
    <row r="122" spans="1:8" ht="14.1" customHeight="1" x14ac:dyDescent="0.2">
      <c r="A122" s="1"/>
      <c r="B122" s="4"/>
      <c r="C122" s="4"/>
      <c r="D122" s="2"/>
      <c r="E122" s="1"/>
      <c r="F122" s="4"/>
      <c r="G122" s="8"/>
      <c r="H122" s="49"/>
    </row>
    <row r="123" spans="1:8" ht="18" customHeight="1" x14ac:dyDescent="0.2">
      <c r="A123" s="8"/>
      <c r="B123" s="4"/>
      <c r="C123" s="4" t="s">
        <v>155</v>
      </c>
      <c r="D123" s="4"/>
      <c r="E123" s="8"/>
      <c r="F123" s="6">
        <v>23.437322479999999</v>
      </c>
      <c r="G123" s="7">
        <v>1.1343836E-2</v>
      </c>
      <c r="H123" s="49"/>
    </row>
    <row r="124" spans="1:8" ht="14.1" customHeight="1" x14ac:dyDescent="0.2">
      <c r="A124" s="11"/>
      <c r="B124" s="11"/>
      <c r="C124" s="2" t="s">
        <v>156</v>
      </c>
      <c r="D124" s="15"/>
      <c r="E124" s="15"/>
      <c r="F124" s="9">
        <v>2066.08432438</v>
      </c>
      <c r="G124" s="10">
        <v>0.99999999900000003</v>
      </c>
      <c r="H124" s="49"/>
    </row>
    <row r="125" spans="1:8" ht="14.1" customHeight="1" x14ac:dyDescent="0.2">
      <c r="A125" s="16"/>
      <c r="B125" s="16"/>
      <c r="C125" s="16"/>
      <c r="D125" s="17"/>
      <c r="E125" s="17"/>
      <c r="F125" s="17"/>
      <c r="G125" s="17"/>
    </row>
    <row r="126" spans="1:8" ht="14.1" customHeight="1" x14ac:dyDescent="0.2">
      <c r="A126" s="18"/>
      <c r="B126" s="18"/>
      <c r="C126" s="18"/>
      <c r="D126" s="20"/>
      <c r="E126" s="20"/>
      <c r="F126" s="20"/>
      <c r="G126" s="20"/>
    </row>
    <row r="127" spans="1:8" ht="14.1" customHeight="1" x14ac:dyDescent="0.2">
      <c r="A127" s="18"/>
      <c r="B127" s="319" t="s">
        <v>158</v>
      </c>
      <c r="C127" s="320"/>
      <c r="D127" s="12" t="s">
        <v>131</v>
      </c>
      <c r="E127" s="21"/>
      <c r="F127" s="20"/>
      <c r="G127" s="20"/>
    </row>
    <row r="128" spans="1:8" ht="29.1" customHeight="1" x14ac:dyDescent="0.2">
      <c r="A128" s="18"/>
      <c r="B128" s="323" t="s">
        <v>159</v>
      </c>
      <c r="C128" s="324"/>
      <c r="D128" s="2" t="s">
        <v>160</v>
      </c>
      <c r="E128" s="21"/>
      <c r="F128" s="20"/>
      <c r="G128" s="20"/>
    </row>
    <row r="129" spans="1:7" ht="17.100000000000001" customHeight="1" x14ac:dyDescent="0.2">
      <c r="A129" s="18"/>
      <c r="B129" s="323" t="s">
        <v>161</v>
      </c>
      <c r="C129" s="324"/>
      <c r="D129" s="2" t="s">
        <v>160</v>
      </c>
      <c r="E129" s="21"/>
      <c r="F129" s="20"/>
      <c r="G129" s="20"/>
    </row>
    <row r="130" spans="1:7" ht="17.100000000000001" customHeight="1" x14ac:dyDescent="0.2">
      <c r="A130" s="18"/>
      <c r="B130" s="323" t="s">
        <v>162</v>
      </c>
      <c r="C130" s="324"/>
      <c r="D130" s="12" t="s">
        <v>131</v>
      </c>
      <c r="E130" s="21"/>
      <c r="F130" s="20"/>
      <c r="G130" s="20"/>
    </row>
    <row r="131" spans="1:7" ht="24" customHeight="1" x14ac:dyDescent="0.2">
      <c r="A131" s="22"/>
      <c r="B131" s="23" t="s">
        <v>131</v>
      </c>
      <c r="C131" s="23" t="s">
        <v>163</v>
      </c>
      <c r="D131" s="23" t="s">
        <v>164</v>
      </c>
      <c r="E131" s="22"/>
      <c r="F131" s="22"/>
      <c r="G131" s="22"/>
    </row>
    <row r="132" spans="1:7" ht="18" customHeight="1" x14ac:dyDescent="0.2">
      <c r="A132" s="22"/>
      <c r="B132" s="23" t="s">
        <v>165</v>
      </c>
      <c r="C132" s="23" t="s">
        <v>166</v>
      </c>
      <c r="D132" s="23" t="s">
        <v>167</v>
      </c>
      <c r="E132" s="22"/>
      <c r="F132" s="22"/>
      <c r="G132" s="22"/>
    </row>
    <row r="133" spans="1:7" ht="17.100000000000001" customHeight="1" x14ac:dyDescent="0.2">
      <c r="A133" s="22"/>
      <c r="B133" s="4" t="s">
        <v>168</v>
      </c>
      <c r="C133" s="24">
        <v>19.7775</v>
      </c>
      <c r="D133" s="24">
        <v>19.934899999999999</v>
      </c>
      <c r="E133" s="22"/>
      <c r="F133" s="19"/>
      <c r="G133" s="25"/>
    </row>
    <row r="134" spans="1:7" ht="17.100000000000001" customHeight="1" x14ac:dyDescent="0.2">
      <c r="A134" s="22"/>
      <c r="B134" s="4" t="s">
        <v>1021</v>
      </c>
      <c r="C134" s="24">
        <v>19.098299999999998</v>
      </c>
      <c r="D134" s="24">
        <v>19.250299999999999</v>
      </c>
      <c r="E134" s="22"/>
      <c r="F134" s="19"/>
      <c r="G134" s="25"/>
    </row>
    <row r="135" spans="1:7" ht="17.100000000000001" customHeight="1" x14ac:dyDescent="0.2">
      <c r="A135" s="22"/>
      <c r="B135" s="4" t="s">
        <v>169</v>
      </c>
      <c r="C135" s="24">
        <v>19.520600000000002</v>
      </c>
      <c r="D135" s="24">
        <v>19.673999999999999</v>
      </c>
      <c r="E135" s="22"/>
      <c r="F135" s="19"/>
      <c r="G135" s="25"/>
    </row>
    <row r="136" spans="1:7" ht="17.100000000000001" customHeight="1" x14ac:dyDescent="0.2">
      <c r="A136" s="22"/>
      <c r="B136" s="4" t="s">
        <v>1022</v>
      </c>
      <c r="C136" s="24">
        <v>18.843299999999999</v>
      </c>
      <c r="D136" s="24">
        <v>18.991399999999999</v>
      </c>
      <c r="E136" s="22"/>
      <c r="F136" s="19"/>
      <c r="G136" s="25"/>
    </row>
    <row r="137" spans="1:7" ht="14.1" customHeight="1" x14ac:dyDescent="0.2">
      <c r="A137" s="22"/>
      <c r="B137" s="22"/>
      <c r="C137" s="22"/>
      <c r="D137" s="22"/>
      <c r="E137" s="22"/>
      <c r="F137" s="22"/>
      <c r="G137" s="22"/>
    </row>
    <row r="138" spans="1:7" ht="17.100000000000001" customHeight="1" x14ac:dyDescent="0.2">
      <c r="A138" s="22"/>
      <c r="B138" s="323" t="s">
        <v>1023</v>
      </c>
      <c r="C138" s="324"/>
      <c r="D138" s="57" t="s">
        <v>160</v>
      </c>
      <c r="E138" s="22"/>
      <c r="F138" s="22"/>
      <c r="G138" s="22"/>
    </row>
    <row r="139" spans="1:7" ht="18" customHeight="1" x14ac:dyDescent="0.2">
      <c r="A139" s="22"/>
      <c r="B139" s="28"/>
      <c r="C139" s="28"/>
      <c r="D139" s="26"/>
      <c r="E139" s="22"/>
      <c r="F139" s="22"/>
      <c r="G139" s="22"/>
    </row>
    <row r="140" spans="1:7" ht="29.1" customHeight="1" x14ac:dyDescent="0.2">
      <c r="A140" s="22"/>
      <c r="B140" s="323" t="s">
        <v>170</v>
      </c>
      <c r="C140" s="324"/>
      <c r="D140" s="2" t="s">
        <v>160</v>
      </c>
      <c r="E140" s="22"/>
      <c r="F140" s="22"/>
      <c r="G140" s="22"/>
    </row>
    <row r="141" spans="1:7" ht="29.1" customHeight="1" x14ac:dyDescent="0.2">
      <c r="A141" s="22"/>
      <c r="B141" s="323" t="s">
        <v>171</v>
      </c>
      <c r="C141" s="324"/>
      <c r="D141" s="2" t="s">
        <v>160</v>
      </c>
      <c r="E141" s="22"/>
      <c r="F141" s="22"/>
      <c r="G141" s="22"/>
    </row>
    <row r="142" spans="1:7" ht="17.100000000000001" customHeight="1" x14ac:dyDescent="0.2">
      <c r="A142" s="22"/>
      <c r="B142" s="323" t="s">
        <v>172</v>
      </c>
      <c r="C142" s="324"/>
      <c r="D142" s="27">
        <v>0.13268607463306911</v>
      </c>
      <c r="E142" s="22"/>
      <c r="F142" s="19"/>
      <c r="G142" s="25"/>
    </row>
    <row r="143" spans="1:7" ht="17.100000000000001" customHeight="1" x14ac:dyDescent="0.2">
      <c r="A143" s="22"/>
      <c r="B143" s="323" t="s">
        <v>173</v>
      </c>
      <c r="C143" s="324"/>
      <c r="D143" s="2" t="s">
        <v>160</v>
      </c>
      <c r="E143" s="22"/>
      <c r="F143" s="22"/>
      <c r="G143" s="22"/>
    </row>
    <row r="155" spans="10:14" x14ac:dyDescent="0.2">
      <c r="J155" s="218"/>
      <c r="K155" s="218"/>
      <c r="L155" s="218"/>
      <c r="M155" s="218"/>
      <c r="N155" s="218"/>
    </row>
  </sheetData>
  <mergeCells count="13">
    <mergeCell ref="J2:N2"/>
    <mergeCell ref="B143:C143"/>
    <mergeCell ref="B128:C128"/>
    <mergeCell ref="B129:C129"/>
    <mergeCell ref="B130:C130"/>
    <mergeCell ref="B138:C138"/>
    <mergeCell ref="B140:C140"/>
    <mergeCell ref="B141:C141"/>
    <mergeCell ref="A1:H1"/>
    <mergeCell ref="A2:H2"/>
    <mergeCell ref="A3:H3"/>
    <mergeCell ref="B127:C127"/>
    <mergeCell ref="B142:C142"/>
  </mergeCells>
  <hyperlinks>
    <hyperlink ref="I1" location="Index!B15" display="Index" xr:uid="{09473145-78E6-47DC-9B8D-94C9CC22AAB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481</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14</v>
      </c>
      <c r="C7" s="4" t="s">
        <v>15</v>
      </c>
      <c r="D7" s="4" t="s">
        <v>16</v>
      </c>
      <c r="E7" s="5">
        <v>19081</v>
      </c>
      <c r="F7" s="6">
        <v>181.82284899999999</v>
      </c>
      <c r="G7" s="7">
        <v>9.8229003999999995E-2</v>
      </c>
      <c r="H7" s="49"/>
    </row>
    <row r="8" spans="1:15" ht="17.100000000000001" customHeight="1" x14ac:dyDescent="0.2">
      <c r="A8" s="3">
        <v>2</v>
      </c>
      <c r="B8" s="4" t="s">
        <v>20</v>
      </c>
      <c r="C8" s="4" t="s">
        <v>21</v>
      </c>
      <c r="D8" s="4" t="s">
        <v>22</v>
      </c>
      <c r="E8" s="5">
        <v>5610</v>
      </c>
      <c r="F8" s="6">
        <v>153.228735</v>
      </c>
      <c r="G8" s="7">
        <v>8.2781157999999994E-2</v>
      </c>
      <c r="H8" s="49"/>
    </row>
    <row r="9" spans="1:15" ht="17.100000000000001" customHeight="1" x14ac:dyDescent="0.2">
      <c r="A9" s="3">
        <v>3</v>
      </c>
      <c r="B9" s="4" t="s">
        <v>294</v>
      </c>
      <c r="C9" s="4" t="s">
        <v>295</v>
      </c>
      <c r="D9" s="4" t="s">
        <v>974</v>
      </c>
      <c r="E9" s="5">
        <v>8300</v>
      </c>
      <c r="F9" s="6">
        <v>135.70085</v>
      </c>
      <c r="G9" s="7">
        <v>7.3311794999999999E-2</v>
      </c>
      <c r="H9" s="49"/>
    </row>
    <row r="10" spans="1:15" ht="17.100000000000001" customHeight="1" x14ac:dyDescent="0.2">
      <c r="A10" s="3">
        <v>4</v>
      </c>
      <c r="B10" s="4" t="s">
        <v>263</v>
      </c>
      <c r="C10" s="4" t="s">
        <v>264</v>
      </c>
      <c r="D10" s="4" t="s">
        <v>16</v>
      </c>
      <c r="E10" s="5">
        <v>7350</v>
      </c>
      <c r="F10" s="6">
        <v>118.221075</v>
      </c>
      <c r="G10" s="7">
        <v>6.3868421999999994E-2</v>
      </c>
      <c r="H10" s="49"/>
    </row>
    <row r="11" spans="1:15" ht="17.100000000000001" customHeight="1" x14ac:dyDescent="0.2">
      <c r="A11" s="3">
        <v>5</v>
      </c>
      <c r="B11" s="4" t="s">
        <v>39</v>
      </c>
      <c r="C11" s="4" t="s">
        <v>40</v>
      </c>
      <c r="D11" s="4" t="s">
        <v>16</v>
      </c>
      <c r="E11" s="5">
        <v>17595</v>
      </c>
      <c r="F11" s="6">
        <v>106.00107749999999</v>
      </c>
      <c r="G11" s="7">
        <v>5.7266622000000003E-2</v>
      </c>
      <c r="H11" s="49"/>
    </row>
    <row r="12" spans="1:15" ht="29.1" customHeight="1" x14ac:dyDescent="0.2">
      <c r="A12" s="3">
        <v>6</v>
      </c>
      <c r="B12" s="4" t="s">
        <v>296</v>
      </c>
      <c r="C12" s="4" t="s">
        <v>297</v>
      </c>
      <c r="D12" s="4" t="s">
        <v>103</v>
      </c>
      <c r="E12" s="5">
        <v>3376</v>
      </c>
      <c r="F12" s="6">
        <v>90.900487999999996</v>
      </c>
      <c r="G12" s="7">
        <v>4.9108593999999998E-2</v>
      </c>
      <c r="H12" s="49"/>
    </row>
    <row r="13" spans="1:15" ht="17.100000000000001" customHeight="1" x14ac:dyDescent="0.2">
      <c r="A13" s="3">
        <v>7</v>
      </c>
      <c r="B13" s="4" t="s">
        <v>180</v>
      </c>
      <c r="C13" s="4" t="s">
        <v>181</v>
      </c>
      <c r="D13" s="4" t="s">
        <v>16</v>
      </c>
      <c r="E13" s="5">
        <v>8341</v>
      </c>
      <c r="F13" s="6">
        <v>75.173262500000007</v>
      </c>
      <c r="G13" s="7">
        <v>4.0612028000000001E-2</v>
      </c>
      <c r="H13" s="49"/>
      <c r="J13" s="217" t="s">
        <v>1074</v>
      </c>
    </row>
    <row r="14" spans="1:15" ht="17.100000000000001" customHeight="1" x14ac:dyDescent="0.2">
      <c r="A14" s="3">
        <v>8</v>
      </c>
      <c r="B14" s="4" t="s">
        <v>11</v>
      </c>
      <c r="C14" s="4" t="s">
        <v>12</v>
      </c>
      <c r="D14" s="4" t="s">
        <v>13</v>
      </c>
      <c r="E14" s="5">
        <v>3340</v>
      </c>
      <c r="F14" s="6">
        <v>69.299989999999994</v>
      </c>
      <c r="G14" s="7">
        <v>3.7439017999999998E-2</v>
      </c>
      <c r="H14" s="49"/>
    </row>
    <row r="15" spans="1:15" ht="17.100000000000001" customHeight="1" x14ac:dyDescent="0.2">
      <c r="A15" s="3">
        <v>9</v>
      </c>
      <c r="B15" s="4" t="s">
        <v>17</v>
      </c>
      <c r="C15" s="4" t="s">
        <v>18</v>
      </c>
      <c r="D15" s="4" t="s">
        <v>19</v>
      </c>
      <c r="E15" s="5">
        <v>6757</v>
      </c>
      <c r="F15" s="6">
        <v>57.350037499999999</v>
      </c>
      <c r="G15" s="7">
        <v>3.0983109000000002E-2</v>
      </c>
      <c r="H15" s="49"/>
    </row>
    <row r="16" spans="1:15" ht="29.1" customHeight="1" x14ac:dyDescent="0.2">
      <c r="A16" s="3">
        <v>10</v>
      </c>
      <c r="B16" s="4" t="s">
        <v>23</v>
      </c>
      <c r="C16" s="4" t="s">
        <v>24</v>
      </c>
      <c r="D16" s="4" t="s">
        <v>25</v>
      </c>
      <c r="E16" s="5">
        <v>746</v>
      </c>
      <c r="F16" s="6">
        <v>52.794420000000002</v>
      </c>
      <c r="G16" s="7">
        <v>2.8521956000000001E-2</v>
      </c>
      <c r="H16" s="49"/>
    </row>
    <row r="17" spans="1:8" ht="29.1" customHeight="1" x14ac:dyDescent="0.2">
      <c r="A17" s="3">
        <v>11</v>
      </c>
      <c r="B17" s="4" t="s">
        <v>197</v>
      </c>
      <c r="C17" s="4" t="s">
        <v>198</v>
      </c>
      <c r="D17" s="4" t="s">
        <v>193</v>
      </c>
      <c r="E17" s="5">
        <v>1204</v>
      </c>
      <c r="F17" s="6">
        <v>52.283098000000003</v>
      </c>
      <c r="G17" s="7">
        <v>2.8245717E-2</v>
      </c>
      <c r="H17" s="49"/>
    </row>
    <row r="18" spans="1:8" ht="17.100000000000001" customHeight="1" x14ac:dyDescent="0.2">
      <c r="A18" s="3">
        <v>12</v>
      </c>
      <c r="B18" s="4" t="s">
        <v>313</v>
      </c>
      <c r="C18" s="4" t="s">
        <v>314</v>
      </c>
      <c r="D18" s="4" t="s">
        <v>308</v>
      </c>
      <c r="E18" s="5">
        <v>12606</v>
      </c>
      <c r="F18" s="6">
        <v>42.860399999999998</v>
      </c>
      <c r="G18" s="7">
        <v>2.3155144999999999E-2</v>
      </c>
      <c r="H18" s="49"/>
    </row>
    <row r="19" spans="1:8" ht="17.100000000000001" customHeight="1" x14ac:dyDescent="0.2">
      <c r="A19" s="3">
        <v>13</v>
      </c>
      <c r="B19" s="4" t="s">
        <v>182</v>
      </c>
      <c r="C19" s="4" t="s">
        <v>183</v>
      </c>
      <c r="D19" s="4" t="s">
        <v>16</v>
      </c>
      <c r="E19" s="5">
        <v>25574</v>
      </c>
      <c r="F19" s="6">
        <v>42.516775000000003</v>
      </c>
      <c r="G19" s="7">
        <v>2.2969502999999999E-2</v>
      </c>
      <c r="H19" s="49"/>
    </row>
    <row r="20" spans="1:8" ht="17.100000000000001" customHeight="1" x14ac:dyDescent="0.2">
      <c r="A20" s="3">
        <v>14</v>
      </c>
      <c r="B20" s="4" t="s">
        <v>298</v>
      </c>
      <c r="C20" s="4" t="s">
        <v>299</v>
      </c>
      <c r="D20" s="4" t="s">
        <v>238</v>
      </c>
      <c r="E20" s="5">
        <v>3200</v>
      </c>
      <c r="F20" s="6">
        <v>41.052799999999998</v>
      </c>
      <c r="G20" s="7">
        <v>2.2178597000000001E-2</v>
      </c>
      <c r="H20" s="49"/>
    </row>
    <row r="21" spans="1:8" ht="17.100000000000001" customHeight="1" x14ac:dyDescent="0.2">
      <c r="A21" s="3">
        <v>15</v>
      </c>
      <c r="B21" s="4" t="s">
        <v>352</v>
      </c>
      <c r="C21" s="4" t="s">
        <v>353</v>
      </c>
      <c r="D21" s="4" t="s">
        <v>72</v>
      </c>
      <c r="E21" s="5">
        <v>9000</v>
      </c>
      <c r="F21" s="6">
        <v>39.545999999999999</v>
      </c>
      <c r="G21" s="7">
        <v>2.1364555E-2</v>
      </c>
      <c r="H21" s="49"/>
    </row>
    <row r="22" spans="1:8" ht="17.100000000000001" customHeight="1" x14ac:dyDescent="0.2">
      <c r="A22" s="3">
        <v>16</v>
      </c>
      <c r="B22" s="4" t="s">
        <v>419</v>
      </c>
      <c r="C22" s="4" t="s">
        <v>420</v>
      </c>
      <c r="D22" s="4" t="s">
        <v>227</v>
      </c>
      <c r="E22" s="5">
        <v>13359</v>
      </c>
      <c r="F22" s="6">
        <v>39.5226015</v>
      </c>
      <c r="G22" s="7">
        <v>2.1351914E-2</v>
      </c>
      <c r="H22" s="49"/>
    </row>
    <row r="23" spans="1:8" ht="17.100000000000001" customHeight="1" x14ac:dyDescent="0.2">
      <c r="A23" s="3">
        <v>17</v>
      </c>
      <c r="B23" s="4" t="s">
        <v>365</v>
      </c>
      <c r="C23" s="4" t="s">
        <v>366</v>
      </c>
      <c r="D23" s="4" t="s">
        <v>108</v>
      </c>
      <c r="E23" s="5">
        <v>1421</v>
      </c>
      <c r="F23" s="6">
        <v>37.699129999999997</v>
      </c>
      <c r="G23" s="7">
        <v>2.0366790999999999E-2</v>
      </c>
      <c r="H23" s="49"/>
    </row>
    <row r="24" spans="1:8" ht="29.1" customHeight="1" x14ac:dyDescent="0.2">
      <c r="A24" s="3">
        <v>18</v>
      </c>
      <c r="B24" s="4" t="s">
        <v>205</v>
      </c>
      <c r="C24" s="4" t="s">
        <v>206</v>
      </c>
      <c r="D24" s="4" t="s">
        <v>207</v>
      </c>
      <c r="E24" s="5">
        <v>4000</v>
      </c>
      <c r="F24" s="6">
        <v>37.19</v>
      </c>
      <c r="G24" s="7">
        <v>2.0091735999999999E-2</v>
      </c>
      <c r="H24" s="49"/>
    </row>
    <row r="25" spans="1:8" ht="17.100000000000001" customHeight="1" x14ac:dyDescent="0.2">
      <c r="A25" s="3">
        <v>19</v>
      </c>
      <c r="B25" s="4" t="s">
        <v>311</v>
      </c>
      <c r="C25" s="4" t="s">
        <v>312</v>
      </c>
      <c r="D25" s="4" t="s">
        <v>974</v>
      </c>
      <c r="E25" s="5">
        <v>3000</v>
      </c>
      <c r="F25" s="6">
        <v>33.624000000000002</v>
      </c>
      <c r="G25" s="7">
        <v>1.8165219999999999E-2</v>
      </c>
      <c r="H25" s="49"/>
    </row>
    <row r="26" spans="1:8" ht="17.100000000000001" customHeight="1" x14ac:dyDescent="0.2">
      <c r="A26" s="3">
        <v>20</v>
      </c>
      <c r="B26" s="4" t="s">
        <v>87</v>
      </c>
      <c r="C26" s="4" t="s">
        <v>88</v>
      </c>
      <c r="D26" s="4" t="s">
        <v>89</v>
      </c>
      <c r="E26" s="5">
        <v>1240</v>
      </c>
      <c r="F26" s="6">
        <v>33.174340000000001</v>
      </c>
      <c r="G26" s="7">
        <v>1.7922292999999999E-2</v>
      </c>
      <c r="H26" s="49"/>
    </row>
    <row r="27" spans="1:8" ht="17.100000000000001" customHeight="1" x14ac:dyDescent="0.2">
      <c r="A27" s="3">
        <v>21</v>
      </c>
      <c r="B27" s="4" t="s">
        <v>302</v>
      </c>
      <c r="C27" s="4" t="s">
        <v>303</v>
      </c>
      <c r="D27" s="4" t="s">
        <v>974</v>
      </c>
      <c r="E27" s="5">
        <v>960</v>
      </c>
      <c r="F27" s="6">
        <v>32.551679999999998</v>
      </c>
      <c r="G27" s="7">
        <v>1.7585903999999999E-2</v>
      </c>
      <c r="H27" s="49"/>
    </row>
    <row r="28" spans="1:8" ht="17.100000000000001" customHeight="1" x14ac:dyDescent="0.2">
      <c r="A28" s="3">
        <v>22</v>
      </c>
      <c r="B28" s="4" t="s">
        <v>216</v>
      </c>
      <c r="C28" s="4" t="s">
        <v>217</v>
      </c>
      <c r="D28" s="4" t="s">
        <v>218</v>
      </c>
      <c r="E28" s="5">
        <v>6000</v>
      </c>
      <c r="F28" s="6">
        <v>32.145000000000003</v>
      </c>
      <c r="G28" s="7">
        <v>1.7366197E-2</v>
      </c>
      <c r="H28" s="49"/>
    </row>
    <row r="29" spans="1:8" ht="17.100000000000001" customHeight="1" x14ac:dyDescent="0.2">
      <c r="A29" s="3">
        <v>23</v>
      </c>
      <c r="B29" s="4" t="s">
        <v>328</v>
      </c>
      <c r="C29" s="4" t="s">
        <v>329</v>
      </c>
      <c r="D29" s="4" t="s">
        <v>16</v>
      </c>
      <c r="E29" s="5">
        <v>1570</v>
      </c>
      <c r="F29" s="6">
        <v>30.568684999999999</v>
      </c>
      <c r="G29" s="7">
        <v>1.6514599000000001E-2</v>
      </c>
      <c r="H29" s="49"/>
    </row>
    <row r="30" spans="1:8" ht="29.1" customHeight="1" x14ac:dyDescent="0.2">
      <c r="A30" s="3">
        <v>24</v>
      </c>
      <c r="B30" s="4" t="s">
        <v>304</v>
      </c>
      <c r="C30" s="4" t="s">
        <v>305</v>
      </c>
      <c r="D30" s="4" t="s">
        <v>215</v>
      </c>
      <c r="E30" s="5">
        <v>2650</v>
      </c>
      <c r="F30" s="6">
        <v>27.720324999999999</v>
      </c>
      <c r="G30" s="7">
        <v>1.4975785E-2</v>
      </c>
      <c r="H30" s="49"/>
    </row>
    <row r="31" spans="1:8" ht="17.100000000000001" customHeight="1" x14ac:dyDescent="0.2">
      <c r="A31" s="3">
        <v>25</v>
      </c>
      <c r="B31" s="4" t="s">
        <v>285</v>
      </c>
      <c r="C31" s="4" t="s">
        <v>286</v>
      </c>
      <c r="D31" s="4" t="s">
        <v>22</v>
      </c>
      <c r="E31" s="5">
        <v>10787</v>
      </c>
      <c r="F31" s="6">
        <v>25.791716999999998</v>
      </c>
      <c r="G31" s="7">
        <v>1.3933862999999999E-2</v>
      </c>
      <c r="H31" s="49"/>
    </row>
    <row r="32" spans="1:8" ht="17.100000000000001" customHeight="1" x14ac:dyDescent="0.2">
      <c r="A32" s="3">
        <v>26</v>
      </c>
      <c r="B32" s="4" t="s">
        <v>482</v>
      </c>
      <c r="C32" s="4" t="s">
        <v>483</v>
      </c>
      <c r="D32" s="4" t="s">
        <v>188</v>
      </c>
      <c r="E32" s="5">
        <v>7000</v>
      </c>
      <c r="F32" s="6">
        <v>22.001000000000001</v>
      </c>
      <c r="G32" s="7">
        <v>1.1885945E-2</v>
      </c>
      <c r="H32" s="49"/>
    </row>
    <row r="33" spans="1:8" ht="17.100000000000001" customHeight="1" x14ac:dyDescent="0.2">
      <c r="A33" s="3">
        <v>27</v>
      </c>
      <c r="B33" s="4" t="s">
        <v>306</v>
      </c>
      <c r="C33" s="4" t="s">
        <v>307</v>
      </c>
      <c r="D33" s="4" t="s">
        <v>308</v>
      </c>
      <c r="E33" s="5">
        <v>788</v>
      </c>
      <c r="F33" s="6">
        <v>21.152678000000002</v>
      </c>
      <c r="G33" s="7">
        <v>1.1427642E-2</v>
      </c>
      <c r="H33" s="49"/>
    </row>
    <row r="34" spans="1:8" ht="29.1" customHeight="1" x14ac:dyDescent="0.2">
      <c r="A34" s="3">
        <v>28</v>
      </c>
      <c r="B34" s="4" t="s">
        <v>484</v>
      </c>
      <c r="C34" s="4" t="s">
        <v>485</v>
      </c>
      <c r="D34" s="4" t="s">
        <v>215</v>
      </c>
      <c r="E34" s="5">
        <v>1814</v>
      </c>
      <c r="F34" s="6">
        <v>20.673251</v>
      </c>
      <c r="G34" s="7">
        <v>1.1168634E-2</v>
      </c>
      <c r="H34" s="49"/>
    </row>
    <row r="35" spans="1:8" ht="17.100000000000001" customHeight="1" x14ac:dyDescent="0.2">
      <c r="A35" s="3">
        <v>29</v>
      </c>
      <c r="B35" s="4" t="s">
        <v>92</v>
      </c>
      <c r="C35" s="4" t="s">
        <v>93</v>
      </c>
      <c r="D35" s="4" t="s">
        <v>22</v>
      </c>
      <c r="E35" s="5">
        <v>5912</v>
      </c>
      <c r="F35" s="6">
        <v>20.168787999999999</v>
      </c>
      <c r="G35" s="7">
        <v>1.0896100000000001E-2</v>
      </c>
      <c r="H35" s="49"/>
    </row>
    <row r="36" spans="1:8" ht="17.100000000000001" customHeight="1" x14ac:dyDescent="0.2">
      <c r="A36" s="3">
        <v>30</v>
      </c>
      <c r="B36" s="4" t="s">
        <v>41</v>
      </c>
      <c r="C36" s="4" t="s">
        <v>42</v>
      </c>
      <c r="D36" s="4" t="s">
        <v>43</v>
      </c>
      <c r="E36" s="5">
        <v>2464</v>
      </c>
      <c r="F36" s="6">
        <v>19.020848000000001</v>
      </c>
      <c r="G36" s="7">
        <v>1.0275930000000001E-2</v>
      </c>
      <c r="H36" s="49"/>
    </row>
    <row r="37" spans="1:8" ht="29.1" customHeight="1" x14ac:dyDescent="0.2">
      <c r="A37" s="3">
        <v>31</v>
      </c>
      <c r="B37" s="4" t="s">
        <v>362</v>
      </c>
      <c r="C37" s="4" t="s">
        <v>363</v>
      </c>
      <c r="D37" s="4" t="s">
        <v>364</v>
      </c>
      <c r="E37" s="5">
        <v>2272</v>
      </c>
      <c r="F37" s="6">
        <v>18.586096000000001</v>
      </c>
      <c r="G37" s="7">
        <v>1.0041058E-2</v>
      </c>
      <c r="H37" s="49"/>
    </row>
    <row r="38" spans="1:8" ht="17.100000000000001" customHeight="1" x14ac:dyDescent="0.2">
      <c r="A38" s="3">
        <v>32</v>
      </c>
      <c r="B38" s="4" t="s">
        <v>334</v>
      </c>
      <c r="C38" s="4" t="s">
        <v>335</v>
      </c>
      <c r="D38" s="4" t="s">
        <v>16</v>
      </c>
      <c r="E38" s="5">
        <v>1556</v>
      </c>
      <c r="F38" s="6">
        <v>18.170967999999998</v>
      </c>
      <c r="G38" s="7">
        <v>9.8167870000000004E-3</v>
      </c>
      <c r="H38" s="49"/>
    </row>
    <row r="39" spans="1:8" ht="29.1" customHeight="1" x14ac:dyDescent="0.2">
      <c r="A39" s="3">
        <v>33</v>
      </c>
      <c r="B39" s="4" t="s">
        <v>486</v>
      </c>
      <c r="C39" s="4" t="s">
        <v>487</v>
      </c>
      <c r="D39" s="4" t="s">
        <v>25</v>
      </c>
      <c r="E39" s="5">
        <v>1871</v>
      </c>
      <c r="F39" s="6">
        <v>17.767016000000002</v>
      </c>
      <c r="G39" s="7">
        <v>9.5985529999999993E-3</v>
      </c>
      <c r="H39" s="49"/>
    </row>
    <row r="40" spans="1:8" ht="17.100000000000001" customHeight="1" x14ac:dyDescent="0.2">
      <c r="A40" s="3">
        <v>34</v>
      </c>
      <c r="B40" s="4" t="s">
        <v>320</v>
      </c>
      <c r="C40" s="4" t="s">
        <v>321</v>
      </c>
      <c r="D40" s="4" t="s">
        <v>974</v>
      </c>
      <c r="E40" s="5">
        <v>2582</v>
      </c>
      <c r="F40" s="6">
        <v>10.506157999999999</v>
      </c>
      <c r="G40" s="7">
        <v>5.6759059999999997E-3</v>
      </c>
      <c r="H40" s="49"/>
    </row>
    <row r="41" spans="1:8" ht="17.100000000000001" customHeight="1" x14ac:dyDescent="0.2">
      <c r="A41" s="3">
        <v>35</v>
      </c>
      <c r="B41" s="4" t="s">
        <v>111</v>
      </c>
      <c r="C41" s="4" t="s">
        <v>112</v>
      </c>
      <c r="D41" s="4" t="s">
        <v>113</v>
      </c>
      <c r="E41" s="5">
        <v>2289</v>
      </c>
      <c r="F41" s="6">
        <v>10.316523</v>
      </c>
      <c r="G41" s="7">
        <v>5.5734570000000004E-3</v>
      </c>
      <c r="H41" s="49"/>
    </row>
    <row r="42" spans="1:8" ht="29.1" customHeight="1" x14ac:dyDescent="0.2">
      <c r="A42" s="3">
        <v>36</v>
      </c>
      <c r="B42" s="4" t="s">
        <v>251</v>
      </c>
      <c r="C42" s="4" t="s">
        <v>252</v>
      </c>
      <c r="D42" s="4" t="s">
        <v>215</v>
      </c>
      <c r="E42" s="5">
        <v>462</v>
      </c>
      <c r="F42" s="6">
        <v>8.2219829999999998</v>
      </c>
      <c r="G42" s="7">
        <v>4.4418909999999999E-3</v>
      </c>
      <c r="H42" s="49"/>
    </row>
    <row r="43" spans="1:8" ht="17.100000000000001" customHeight="1" x14ac:dyDescent="0.2">
      <c r="A43" s="3">
        <v>37</v>
      </c>
      <c r="B43" s="4" t="s">
        <v>337</v>
      </c>
      <c r="C43" s="4" t="s">
        <v>1204</v>
      </c>
      <c r="D43" s="4" t="s">
        <v>19</v>
      </c>
      <c r="E43" s="5">
        <v>482</v>
      </c>
      <c r="F43" s="6">
        <v>2.2396129999999999</v>
      </c>
      <c r="G43" s="7">
        <v>1.209941E-3</v>
      </c>
      <c r="H43" s="49"/>
    </row>
    <row r="44" spans="1:8" ht="14.1" customHeight="1" x14ac:dyDescent="0.2">
      <c r="A44" s="1"/>
      <c r="B44" s="1"/>
      <c r="C44" s="2" t="s">
        <v>130</v>
      </c>
      <c r="D44" s="1"/>
      <c r="E44" s="1" t="s">
        <v>131</v>
      </c>
      <c r="F44" s="9">
        <v>1777.5642579999997</v>
      </c>
      <c r="G44" s="10">
        <v>0.9603213690000002</v>
      </c>
      <c r="H44" s="49"/>
    </row>
    <row r="45" spans="1:8" ht="14.1" customHeight="1" x14ac:dyDescent="0.2">
      <c r="A45" s="1"/>
      <c r="B45" s="1"/>
      <c r="C45" s="11"/>
      <c r="D45" s="1"/>
      <c r="E45" s="1"/>
      <c r="F45" s="12"/>
      <c r="G45" s="12"/>
      <c r="H45" s="49"/>
    </row>
    <row r="46" spans="1:8" ht="14.1" customHeight="1" x14ac:dyDescent="0.2">
      <c r="A46" s="1"/>
      <c r="B46" s="1"/>
      <c r="C46" s="2" t="s">
        <v>132</v>
      </c>
      <c r="D46" s="1"/>
      <c r="E46" s="1"/>
      <c r="F46" s="1"/>
      <c r="G46" s="1"/>
      <c r="H46" s="49"/>
    </row>
    <row r="47" spans="1:8" ht="14.1" customHeight="1" x14ac:dyDescent="0.2">
      <c r="A47" s="1"/>
      <c r="B47" s="1"/>
      <c r="C47" s="2" t="s">
        <v>130</v>
      </c>
      <c r="D47" s="1"/>
      <c r="E47" s="1" t="s">
        <v>131</v>
      </c>
      <c r="F47" s="13">
        <v>0</v>
      </c>
      <c r="G47" s="14">
        <v>0</v>
      </c>
      <c r="H47" s="49"/>
    </row>
    <row r="48" spans="1:8" ht="14.1" customHeight="1" x14ac:dyDescent="0.2">
      <c r="A48" s="1"/>
      <c r="B48" s="1"/>
      <c r="C48" s="11"/>
      <c r="D48" s="1"/>
      <c r="E48" s="1"/>
      <c r="F48" s="12"/>
      <c r="G48" s="12"/>
      <c r="H48" s="49"/>
    </row>
    <row r="49" spans="1:8" ht="14.1" customHeight="1" x14ac:dyDescent="0.2">
      <c r="A49" s="1"/>
      <c r="B49" s="1"/>
      <c r="C49" s="2" t="s">
        <v>133</v>
      </c>
      <c r="D49" s="1"/>
      <c r="E49" s="1"/>
      <c r="F49" s="1"/>
      <c r="G49" s="1"/>
      <c r="H49" s="49"/>
    </row>
    <row r="50" spans="1:8" ht="14.1" customHeight="1" x14ac:dyDescent="0.2">
      <c r="A50" s="1"/>
      <c r="B50" s="1"/>
      <c r="C50" s="2" t="s">
        <v>130</v>
      </c>
      <c r="D50" s="1"/>
      <c r="E50" s="1" t="s">
        <v>131</v>
      </c>
      <c r="F50" s="13">
        <v>0</v>
      </c>
      <c r="G50" s="14">
        <v>0</v>
      </c>
      <c r="H50" s="49"/>
    </row>
    <row r="51" spans="1:8" ht="14.1" customHeight="1" x14ac:dyDescent="0.2">
      <c r="A51" s="1"/>
      <c r="B51" s="1"/>
      <c r="C51" s="11"/>
      <c r="D51" s="1"/>
      <c r="E51" s="1"/>
      <c r="F51" s="12"/>
      <c r="G51" s="12"/>
      <c r="H51" s="49"/>
    </row>
    <row r="52" spans="1:8" ht="14.1" customHeight="1" x14ac:dyDescent="0.2">
      <c r="A52" s="1"/>
      <c r="B52" s="1"/>
      <c r="C52" s="2" t="s">
        <v>134</v>
      </c>
      <c r="D52" s="1"/>
      <c r="E52" s="1"/>
      <c r="F52" s="1"/>
      <c r="G52" s="1"/>
      <c r="H52" s="49"/>
    </row>
    <row r="53" spans="1:8" ht="14.1" customHeight="1" x14ac:dyDescent="0.2">
      <c r="A53" s="1"/>
      <c r="B53" s="1"/>
      <c r="C53" s="2" t="s">
        <v>130</v>
      </c>
      <c r="D53" s="1"/>
      <c r="E53" s="1" t="s">
        <v>131</v>
      </c>
      <c r="F53" s="9">
        <v>0</v>
      </c>
      <c r="G53" s="10">
        <v>0</v>
      </c>
      <c r="H53" s="49"/>
    </row>
    <row r="54" spans="1:8" ht="14.1" customHeight="1" x14ac:dyDescent="0.2">
      <c r="A54" s="1"/>
      <c r="B54" s="1"/>
      <c r="C54" s="11"/>
      <c r="D54" s="1"/>
      <c r="E54" s="1"/>
      <c r="F54" s="12"/>
      <c r="G54" s="12"/>
      <c r="H54" s="49"/>
    </row>
    <row r="55" spans="1:8" ht="14.1" customHeight="1" x14ac:dyDescent="0.2">
      <c r="A55" s="1"/>
      <c r="B55" s="1"/>
      <c r="C55" s="2" t="s">
        <v>135</v>
      </c>
      <c r="D55" s="1"/>
      <c r="E55" s="1"/>
      <c r="F55" s="12"/>
      <c r="G55" s="12"/>
      <c r="H55" s="49"/>
    </row>
    <row r="56" spans="1:8" ht="14.1" customHeight="1" x14ac:dyDescent="0.2">
      <c r="A56" s="1"/>
      <c r="B56" s="1"/>
      <c r="C56" s="2" t="s">
        <v>130</v>
      </c>
      <c r="D56" s="1"/>
      <c r="E56" s="1" t="s">
        <v>131</v>
      </c>
      <c r="F56" s="13">
        <v>0</v>
      </c>
      <c r="G56" s="14">
        <v>0</v>
      </c>
      <c r="H56" s="49"/>
    </row>
    <row r="57" spans="1:8" ht="14.1" customHeight="1" x14ac:dyDescent="0.2">
      <c r="A57" s="1"/>
      <c r="B57" s="1"/>
      <c r="C57" s="11"/>
      <c r="D57" s="1"/>
      <c r="E57" s="1"/>
      <c r="F57" s="12"/>
      <c r="G57" s="12"/>
      <c r="H57" s="49"/>
    </row>
    <row r="58" spans="1:8" ht="14.1" customHeight="1" x14ac:dyDescent="0.2">
      <c r="A58" s="1"/>
      <c r="B58" s="1"/>
      <c r="C58" s="2" t="s">
        <v>136</v>
      </c>
      <c r="D58" s="1"/>
      <c r="E58" s="1"/>
      <c r="F58" s="12"/>
      <c r="G58" s="12"/>
      <c r="H58" s="49"/>
    </row>
    <row r="59" spans="1:8" ht="14.1" customHeight="1" x14ac:dyDescent="0.2">
      <c r="A59" s="1"/>
      <c r="B59" s="1"/>
      <c r="C59" s="2" t="s">
        <v>130</v>
      </c>
      <c r="D59" s="1"/>
      <c r="E59" s="1" t="s">
        <v>131</v>
      </c>
      <c r="F59" s="13">
        <v>0</v>
      </c>
      <c r="G59" s="14">
        <v>0</v>
      </c>
      <c r="H59" s="49"/>
    </row>
    <row r="60" spans="1:8" ht="14.1" customHeight="1" x14ac:dyDescent="0.2">
      <c r="A60" s="1"/>
      <c r="B60" s="1"/>
      <c r="C60" s="11"/>
      <c r="D60" s="1"/>
      <c r="E60" s="1"/>
      <c r="F60" s="12"/>
      <c r="G60" s="12"/>
      <c r="H60" s="49"/>
    </row>
    <row r="61" spans="1:8" ht="18" customHeight="1" x14ac:dyDescent="0.2">
      <c r="A61" s="1"/>
      <c r="B61" s="1"/>
      <c r="C61" s="2" t="s">
        <v>137</v>
      </c>
      <c r="D61" s="1"/>
      <c r="E61" s="1"/>
      <c r="F61" s="9">
        <v>1777.5642580000001</v>
      </c>
      <c r="G61" s="10">
        <v>0.96032136899999998</v>
      </c>
      <c r="H61" s="49"/>
    </row>
    <row r="62" spans="1:8" ht="14.1" customHeight="1" x14ac:dyDescent="0.2">
      <c r="A62" s="1"/>
      <c r="B62" s="1"/>
      <c r="C62" s="11"/>
      <c r="D62" s="1"/>
      <c r="E62" s="1"/>
      <c r="F62" s="12"/>
      <c r="G62" s="12"/>
      <c r="H62" s="49"/>
    </row>
    <row r="63" spans="1:8" ht="14.1" customHeight="1" x14ac:dyDescent="0.2">
      <c r="A63" s="1"/>
      <c r="B63" s="1"/>
      <c r="C63" s="2" t="s">
        <v>138</v>
      </c>
      <c r="D63" s="1"/>
      <c r="E63" s="1"/>
      <c r="F63" s="12"/>
      <c r="G63" s="12"/>
      <c r="H63" s="49"/>
    </row>
    <row r="64" spans="1:8" ht="24" customHeight="1" x14ac:dyDescent="0.2">
      <c r="A64" s="1"/>
      <c r="B64" s="1"/>
      <c r="C64" s="2" t="s">
        <v>10</v>
      </c>
      <c r="D64" s="1"/>
      <c r="E64" s="1"/>
      <c r="F64" s="12"/>
      <c r="G64" s="12"/>
      <c r="H64" s="49"/>
    </row>
    <row r="65" spans="1:8" ht="14.1" customHeight="1" x14ac:dyDescent="0.2">
      <c r="A65" s="1"/>
      <c r="B65" s="1"/>
      <c r="C65" s="2" t="s">
        <v>130</v>
      </c>
      <c r="D65" s="1"/>
      <c r="E65" s="1" t="s">
        <v>131</v>
      </c>
      <c r="F65" s="13">
        <v>0</v>
      </c>
      <c r="G65" s="14">
        <v>0</v>
      </c>
      <c r="H65" s="49"/>
    </row>
    <row r="66" spans="1:8" ht="14.1" customHeight="1" x14ac:dyDescent="0.2">
      <c r="A66" s="1"/>
      <c r="B66" s="1"/>
      <c r="C66" s="11"/>
      <c r="D66" s="1"/>
      <c r="E66" s="1"/>
      <c r="F66" s="12"/>
      <c r="G66" s="12"/>
      <c r="H66" s="49"/>
    </row>
    <row r="67" spans="1:8" ht="14.1" customHeight="1" x14ac:dyDescent="0.2">
      <c r="A67" s="1"/>
      <c r="B67" s="1"/>
      <c r="C67" s="2" t="s">
        <v>139</v>
      </c>
      <c r="D67" s="1"/>
      <c r="E67" s="1"/>
      <c r="F67" s="1"/>
      <c r="G67" s="1"/>
      <c r="H67" s="49"/>
    </row>
    <row r="68" spans="1:8" ht="14.1" customHeight="1" x14ac:dyDescent="0.2">
      <c r="A68" s="1"/>
      <c r="B68" s="1"/>
      <c r="C68" s="2" t="s">
        <v>130</v>
      </c>
      <c r="D68" s="1"/>
      <c r="E68" s="1" t="s">
        <v>131</v>
      </c>
      <c r="F68" s="13">
        <v>0</v>
      </c>
      <c r="G68" s="14">
        <v>0</v>
      </c>
      <c r="H68" s="49"/>
    </row>
    <row r="69" spans="1:8" ht="14.1" customHeight="1" x14ac:dyDescent="0.2">
      <c r="A69" s="1"/>
      <c r="B69" s="1"/>
      <c r="C69" s="11"/>
      <c r="D69" s="1"/>
      <c r="E69" s="1"/>
      <c r="F69" s="12"/>
      <c r="G69" s="12"/>
      <c r="H69" s="49"/>
    </row>
    <row r="70" spans="1:8" ht="14.1" customHeight="1" x14ac:dyDescent="0.2">
      <c r="A70" s="1"/>
      <c r="B70" s="1"/>
      <c r="C70" s="2" t="s">
        <v>140</v>
      </c>
      <c r="D70" s="1"/>
      <c r="E70" s="1"/>
      <c r="F70" s="1"/>
      <c r="G70" s="1"/>
      <c r="H70" s="49"/>
    </row>
    <row r="71" spans="1:8" ht="14.1" customHeight="1" x14ac:dyDescent="0.2">
      <c r="A71" s="1"/>
      <c r="B71" s="1"/>
      <c r="C71" s="2" t="s">
        <v>130</v>
      </c>
      <c r="D71" s="1"/>
      <c r="E71" s="1" t="s">
        <v>131</v>
      </c>
      <c r="F71" s="13">
        <v>0</v>
      </c>
      <c r="G71" s="14">
        <v>0</v>
      </c>
      <c r="H71" s="49"/>
    </row>
    <row r="72" spans="1:8" ht="14.1" customHeight="1" x14ac:dyDescent="0.2">
      <c r="A72" s="1"/>
      <c r="B72" s="1"/>
      <c r="C72" s="11"/>
      <c r="D72" s="1"/>
      <c r="E72" s="1"/>
      <c r="F72" s="12"/>
      <c r="G72" s="12"/>
      <c r="H72" s="49"/>
    </row>
    <row r="73" spans="1:8" ht="14.1" customHeight="1" x14ac:dyDescent="0.2">
      <c r="A73" s="1"/>
      <c r="B73" s="1"/>
      <c r="C73" s="2" t="s">
        <v>141</v>
      </c>
      <c r="D73" s="1"/>
      <c r="E73" s="1"/>
      <c r="F73" s="12"/>
      <c r="G73" s="12"/>
      <c r="H73" s="49"/>
    </row>
    <row r="74" spans="1:8" ht="14.1" customHeight="1" x14ac:dyDescent="0.2">
      <c r="A74" s="1"/>
      <c r="B74" s="1"/>
      <c r="C74" s="2" t="s">
        <v>130</v>
      </c>
      <c r="D74" s="1"/>
      <c r="E74" s="1" t="s">
        <v>131</v>
      </c>
      <c r="F74" s="13">
        <v>0</v>
      </c>
      <c r="G74" s="14">
        <v>0</v>
      </c>
      <c r="H74" s="49"/>
    </row>
    <row r="75" spans="1:8" ht="14.1" customHeight="1" x14ac:dyDescent="0.2">
      <c r="A75" s="1"/>
      <c r="B75" s="1"/>
      <c r="C75" s="11"/>
      <c r="D75" s="1"/>
      <c r="E75" s="1"/>
      <c r="F75" s="12"/>
      <c r="G75" s="12"/>
      <c r="H75" s="49"/>
    </row>
    <row r="76" spans="1:8" ht="14.1" customHeight="1" x14ac:dyDescent="0.2">
      <c r="A76" s="1"/>
      <c r="B76" s="1"/>
      <c r="C76" s="2" t="s">
        <v>142</v>
      </c>
      <c r="D76" s="1"/>
      <c r="E76" s="1"/>
      <c r="F76" s="9">
        <v>0</v>
      </c>
      <c r="G76" s="10">
        <v>0</v>
      </c>
      <c r="H76" s="49"/>
    </row>
    <row r="77" spans="1:8" ht="14.1" customHeight="1" x14ac:dyDescent="0.2">
      <c r="A77" s="1"/>
      <c r="B77" s="1"/>
      <c r="C77" s="11"/>
      <c r="D77" s="1"/>
      <c r="E77" s="1"/>
      <c r="F77" s="12"/>
      <c r="G77" s="12"/>
      <c r="H77" s="49"/>
    </row>
    <row r="78" spans="1:8" ht="14.1" customHeight="1" x14ac:dyDescent="0.2">
      <c r="A78" s="1"/>
      <c r="B78" s="1"/>
      <c r="C78" s="2" t="s">
        <v>143</v>
      </c>
      <c r="D78" s="1"/>
      <c r="E78" s="1"/>
      <c r="F78" s="12"/>
      <c r="G78" s="12"/>
      <c r="H78" s="49"/>
    </row>
    <row r="79" spans="1:8" ht="14.1" customHeight="1" x14ac:dyDescent="0.2">
      <c r="A79" s="1"/>
      <c r="B79" s="1"/>
      <c r="C79" s="2" t="s">
        <v>144</v>
      </c>
      <c r="D79" s="1"/>
      <c r="E79" s="1"/>
      <c r="F79" s="12"/>
      <c r="G79" s="12"/>
      <c r="H79" s="49"/>
    </row>
    <row r="80" spans="1:8" ht="14.1" customHeight="1" x14ac:dyDescent="0.2">
      <c r="A80" s="1"/>
      <c r="B80" s="1"/>
      <c r="C80" s="2" t="s">
        <v>130</v>
      </c>
      <c r="D80" s="1"/>
      <c r="E80" s="1" t="s">
        <v>131</v>
      </c>
      <c r="F80" s="13">
        <v>0</v>
      </c>
      <c r="G80" s="14">
        <v>0</v>
      </c>
      <c r="H80" s="49"/>
    </row>
    <row r="81" spans="1:8" ht="14.1" customHeight="1" x14ac:dyDescent="0.2">
      <c r="A81" s="1"/>
      <c r="B81" s="1"/>
      <c r="C81" s="11"/>
      <c r="D81" s="1"/>
      <c r="E81" s="1"/>
      <c r="F81" s="12"/>
      <c r="G81" s="12"/>
      <c r="H81" s="49"/>
    </row>
    <row r="82" spans="1:8" ht="14.1" customHeight="1" x14ac:dyDescent="0.2">
      <c r="A82" s="1"/>
      <c r="B82" s="1"/>
      <c r="C82" s="2" t="s">
        <v>145</v>
      </c>
      <c r="D82" s="1"/>
      <c r="E82" s="1"/>
      <c r="F82" s="12"/>
      <c r="G82" s="12"/>
      <c r="H82" s="49"/>
    </row>
    <row r="83" spans="1:8" ht="14.1" customHeight="1" x14ac:dyDescent="0.2">
      <c r="A83" s="1"/>
      <c r="B83" s="1"/>
      <c r="C83" s="2" t="s">
        <v>130</v>
      </c>
      <c r="D83" s="1"/>
      <c r="E83" s="1" t="s">
        <v>131</v>
      </c>
      <c r="F83" s="13">
        <v>0</v>
      </c>
      <c r="G83" s="14">
        <v>0</v>
      </c>
      <c r="H83" s="49"/>
    </row>
    <row r="84" spans="1:8" ht="14.1" customHeight="1" x14ac:dyDescent="0.2">
      <c r="A84" s="1"/>
      <c r="B84" s="1"/>
      <c r="C84" s="11"/>
      <c r="D84" s="1"/>
      <c r="E84" s="1"/>
      <c r="F84" s="12"/>
      <c r="G84" s="12"/>
      <c r="H84" s="49"/>
    </row>
    <row r="85" spans="1:8" ht="14.1" customHeight="1" x14ac:dyDescent="0.2">
      <c r="A85" s="1"/>
      <c r="B85" s="1"/>
      <c r="C85" s="2" t="s">
        <v>146</v>
      </c>
      <c r="D85" s="1"/>
      <c r="E85" s="1"/>
      <c r="F85" s="12"/>
      <c r="G85" s="12"/>
      <c r="H85" s="49"/>
    </row>
    <row r="86" spans="1:8" ht="14.1" customHeight="1" x14ac:dyDescent="0.2">
      <c r="A86" s="1"/>
      <c r="B86" s="1"/>
      <c r="C86" s="2" t="s">
        <v>130</v>
      </c>
      <c r="D86" s="1"/>
      <c r="E86" s="1" t="s">
        <v>131</v>
      </c>
      <c r="F86" s="13">
        <v>0</v>
      </c>
      <c r="G86" s="14">
        <v>0</v>
      </c>
      <c r="H86" s="49"/>
    </row>
    <row r="87" spans="1:8" ht="14.1" customHeight="1" x14ac:dyDescent="0.2">
      <c r="A87" s="1"/>
      <c r="B87" s="1"/>
      <c r="C87" s="11"/>
      <c r="D87" s="1"/>
      <c r="E87" s="1"/>
      <c r="F87" s="12"/>
      <c r="G87" s="12"/>
      <c r="H87" s="49"/>
    </row>
    <row r="88" spans="1:8" ht="14.1" customHeight="1" x14ac:dyDescent="0.2">
      <c r="A88" s="1"/>
      <c r="B88" s="1"/>
      <c r="C88" s="2" t="s">
        <v>147</v>
      </c>
      <c r="D88" s="1"/>
      <c r="E88" s="1"/>
      <c r="F88" s="12"/>
      <c r="G88" s="12"/>
      <c r="H88" s="49"/>
    </row>
    <row r="89" spans="1:8" ht="17.100000000000001" customHeight="1" x14ac:dyDescent="0.2">
      <c r="A89" s="3">
        <v>1</v>
      </c>
      <c r="B89" s="4"/>
      <c r="C89" s="4" t="s">
        <v>148</v>
      </c>
      <c r="D89" s="4"/>
      <c r="E89" s="8"/>
      <c r="F89" s="6">
        <v>57.3713081</v>
      </c>
      <c r="G89" s="7">
        <v>3.0994600000000001E-2</v>
      </c>
      <c r="H89" s="49">
        <v>5.6572293145372496</v>
      </c>
    </row>
    <row r="90" spans="1:8" ht="14.1" customHeight="1" x14ac:dyDescent="0.2">
      <c r="A90" s="1"/>
      <c r="B90" s="1"/>
      <c r="C90" s="2" t="s">
        <v>130</v>
      </c>
      <c r="D90" s="1"/>
      <c r="E90" s="1" t="s">
        <v>131</v>
      </c>
      <c r="F90" s="9">
        <v>57.3713081</v>
      </c>
      <c r="G90" s="10">
        <v>3.0994600000000001E-2</v>
      </c>
      <c r="H90" s="49"/>
    </row>
    <row r="91" spans="1:8" ht="14.1" customHeight="1" x14ac:dyDescent="0.2">
      <c r="A91" s="1"/>
      <c r="B91" s="1"/>
      <c r="C91" s="11"/>
      <c r="D91" s="1"/>
      <c r="E91" s="1"/>
      <c r="F91" s="12"/>
      <c r="G91" s="12"/>
      <c r="H91" s="49"/>
    </row>
    <row r="92" spans="1:8" ht="14.1" customHeight="1" x14ac:dyDescent="0.2">
      <c r="A92" s="1"/>
      <c r="B92" s="1"/>
      <c r="C92" s="2" t="s">
        <v>149</v>
      </c>
      <c r="D92" s="1"/>
      <c r="E92" s="1"/>
      <c r="F92" s="9">
        <v>57.3713081</v>
      </c>
      <c r="G92" s="10">
        <v>3.0994600000000001E-2</v>
      </c>
      <c r="H92" s="49"/>
    </row>
    <row r="93" spans="1:8" ht="14.1" customHeight="1" x14ac:dyDescent="0.2">
      <c r="A93" s="1"/>
      <c r="B93" s="1"/>
      <c r="C93" s="12"/>
      <c r="D93" s="1"/>
      <c r="E93" s="1"/>
      <c r="F93" s="1"/>
      <c r="G93" s="1"/>
      <c r="H93" s="49"/>
    </row>
    <row r="94" spans="1:8" ht="14.1" customHeight="1" x14ac:dyDescent="0.2">
      <c r="A94" s="1"/>
      <c r="B94" s="1"/>
      <c r="C94" s="2" t="s">
        <v>150</v>
      </c>
      <c r="D94" s="1"/>
      <c r="E94" s="1"/>
      <c r="F94" s="1"/>
      <c r="G94" s="1"/>
      <c r="H94" s="49"/>
    </row>
    <row r="95" spans="1:8" ht="14.1" customHeight="1" x14ac:dyDescent="0.2">
      <c r="A95" s="1"/>
      <c r="B95" s="1"/>
      <c r="C95" s="2" t="s">
        <v>151</v>
      </c>
      <c r="D95" s="1"/>
      <c r="E95" s="1"/>
      <c r="F95" s="1"/>
      <c r="G95" s="1"/>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152</v>
      </c>
      <c r="D98" s="1"/>
      <c r="E98" s="1"/>
      <c r="F98" s="1"/>
      <c r="G98" s="1"/>
      <c r="H98" s="49"/>
    </row>
    <row r="99" spans="1:8" ht="14.1" customHeight="1" x14ac:dyDescent="0.2">
      <c r="A99" s="1"/>
      <c r="B99" s="1"/>
      <c r="C99" s="2" t="s">
        <v>153</v>
      </c>
      <c r="D99" s="1"/>
      <c r="E99" s="1"/>
      <c r="F99" s="1"/>
      <c r="G99" s="1"/>
      <c r="H99" s="49"/>
    </row>
    <row r="100" spans="1:8" ht="14.1" customHeight="1" x14ac:dyDescent="0.2">
      <c r="A100" s="1"/>
      <c r="B100" s="1"/>
      <c r="C100" s="2" t="s">
        <v>130</v>
      </c>
      <c r="D100" s="1"/>
      <c r="E100" s="1" t="s">
        <v>131</v>
      </c>
      <c r="F100" s="13">
        <v>0</v>
      </c>
      <c r="G100" s="14">
        <v>0</v>
      </c>
      <c r="H100" s="49"/>
    </row>
    <row r="101" spans="1:8" ht="14.1" customHeight="1" x14ac:dyDescent="0.2">
      <c r="A101" s="1"/>
      <c r="B101" s="1"/>
      <c r="C101" s="11"/>
      <c r="D101" s="1"/>
      <c r="E101" s="1"/>
      <c r="F101" s="12"/>
      <c r="G101" s="12"/>
      <c r="H101" s="49"/>
    </row>
    <row r="102" spans="1:8" ht="14.1" customHeight="1" x14ac:dyDescent="0.2">
      <c r="A102" s="1"/>
      <c r="B102" s="1"/>
      <c r="C102" s="11"/>
      <c r="D102" s="1"/>
      <c r="E102" s="1"/>
      <c r="F102" s="12"/>
      <c r="G102" s="12"/>
      <c r="H102" s="49"/>
    </row>
    <row r="103" spans="1:8" ht="24" customHeight="1" x14ac:dyDescent="0.2">
      <c r="A103" s="1"/>
      <c r="B103" s="1"/>
      <c r="C103" s="2" t="s">
        <v>154</v>
      </c>
      <c r="D103" s="1"/>
      <c r="E103" s="1"/>
      <c r="F103" s="12"/>
      <c r="G103" s="12"/>
      <c r="H103" s="49"/>
    </row>
    <row r="104" spans="1:8" ht="14.1" customHeight="1" x14ac:dyDescent="0.2">
      <c r="A104" s="1"/>
      <c r="B104" s="1"/>
      <c r="C104" s="2" t="s">
        <v>130</v>
      </c>
      <c r="D104" s="1"/>
      <c r="E104" s="1" t="s">
        <v>131</v>
      </c>
      <c r="F104" s="13">
        <v>0</v>
      </c>
      <c r="G104" s="14">
        <v>0</v>
      </c>
      <c r="H104" s="49"/>
    </row>
    <row r="105" spans="1:8" ht="14.1" customHeight="1" x14ac:dyDescent="0.2">
      <c r="A105" s="1"/>
      <c r="B105" s="1"/>
      <c r="C105" s="11"/>
      <c r="D105" s="1"/>
      <c r="E105" s="1"/>
      <c r="F105" s="12"/>
      <c r="G105" s="12"/>
      <c r="H105" s="49"/>
    </row>
    <row r="106" spans="1:8" ht="14.1" customHeight="1" x14ac:dyDescent="0.2">
      <c r="A106" s="1"/>
      <c r="B106" s="4"/>
      <c r="C106" s="4"/>
      <c r="D106" s="2"/>
      <c r="E106" s="1"/>
      <c r="F106" s="4"/>
      <c r="G106" s="8"/>
      <c r="H106" s="49"/>
    </row>
    <row r="107" spans="1:8" ht="18" customHeight="1" x14ac:dyDescent="0.2">
      <c r="A107" s="8"/>
      <c r="B107" s="4"/>
      <c r="C107" s="4" t="s">
        <v>155</v>
      </c>
      <c r="D107" s="4"/>
      <c r="E107" s="8"/>
      <c r="F107" s="6">
        <v>16.074231189999999</v>
      </c>
      <c r="G107" s="7">
        <v>8.6840340000000002E-3</v>
      </c>
      <c r="H107" s="49"/>
    </row>
    <row r="108" spans="1:8" ht="14.1" customHeight="1" x14ac:dyDescent="0.2">
      <c r="A108" s="11"/>
      <c r="B108" s="11"/>
      <c r="C108" s="2" t="s">
        <v>156</v>
      </c>
      <c r="D108" s="15"/>
      <c r="E108" s="15"/>
      <c r="F108" s="9">
        <v>1851.0097972900001</v>
      </c>
      <c r="G108" s="10">
        <v>1.000000003</v>
      </c>
      <c r="H108" s="49"/>
    </row>
    <row r="109" spans="1:8" ht="14.1" customHeight="1" x14ac:dyDescent="0.2">
      <c r="A109" s="16"/>
      <c r="B109" s="16"/>
      <c r="C109" s="16"/>
      <c r="D109" s="17"/>
      <c r="E109" s="17"/>
      <c r="F109" s="17"/>
      <c r="G109" s="17"/>
    </row>
    <row r="110" spans="1:8" ht="14.1" customHeight="1" x14ac:dyDescent="0.2">
      <c r="A110" s="18"/>
      <c r="B110" s="18"/>
      <c r="C110" s="18"/>
      <c r="D110" s="20"/>
      <c r="E110" s="20"/>
      <c r="F110" s="20"/>
      <c r="G110" s="20"/>
    </row>
    <row r="111" spans="1:8" ht="14.1" customHeight="1" x14ac:dyDescent="0.2">
      <c r="A111" s="18"/>
      <c r="B111" s="319" t="s">
        <v>158</v>
      </c>
      <c r="C111" s="320"/>
      <c r="D111" s="12" t="s">
        <v>131</v>
      </c>
      <c r="E111" s="21"/>
      <c r="F111" s="20"/>
      <c r="G111" s="20"/>
    </row>
    <row r="112" spans="1:8" ht="29.1" customHeight="1" x14ac:dyDescent="0.2">
      <c r="A112" s="18"/>
      <c r="B112" s="323" t="s">
        <v>159</v>
      </c>
      <c r="C112" s="324"/>
      <c r="D112" s="2" t="s">
        <v>160</v>
      </c>
      <c r="E112" s="21"/>
      <c r="F112" s="20"/>
      <c r="G112" s="20"/>
    </row>
    <row r="113" spans="1:7" ht="17.100000000000001" customHeight="1" x14ac:dyDescent="0.2">
      <c r="A113" s="18"/>
      <c r="B113" s="323" t="s">
        <v>161</v>
      </c>
      <c r="C113" s="324"/>
      <c r="D113" s="2" t="s">
        <v>160</v>
      </c>
      <c r="E113" s="21"/>
      <c r="F113" s="20"/>
      <c r="G113" s="20"/>
    </row>
    <row r="114" spans="1:7" ht="17.100000000000001" customHeight="1" x14ac:dyDescent="0.2">
      <c r="A114" s="18"/>
      <c r="B114" s="323" t="s">
        <v>162</v>
      </c>
      <c r="C114" s="324"/>
      <c r="D114" s="12" t="s">
        <v>131</v>
      </c>
      <c r="E114" s="21"/>
      <c r="F114" s="20"/>
      <c r="G114" s="20"/>
    </row>
    <row r="115" spans="1:7" ht="24" customHeight="1" x14ac:dyDescent="0.2">
      <c r="A115" s="22"/>
      <c r="B115" s="23" t="s">
        <v>131</v>
      </c>
      <c r="C115" s="23" t="s">
        <v>163</v>
      </c>
      <c r="D115" s="23" t="s">
        <v>164</v>
      </c>
      <c r="E115" s="22"/>
      <c r="F115" s="22"/>
      <c r="G115" s="22"/>
    </row>
    <row r="116" spans="1:7" ht="18" customHeight="1" x14ac:dyDescent="0.2">
      <c r="A116" s="22"/>
      <c r="B116" s="23" t="s">
        <v>165</v>
      </c>
      <c r="C116" s="23" t="s">
        <v>166</v>
      </c>
      <c r="D116" s="23" t="s">
        <v>167</v>
      </c>
      <c r="E116" s="22"/>
      <c r="F116" s="22"/>
      <c r="G116" s="22"/>
    </row>
    <row r="117" spans="1:7" ht="17.100000000000001" customHeight="1" x14ac:dyDescent="0.2">
      <c r="A117" s="22"/>
      <c r="B117" s="4" t="s">
        <v>168</v>
      </c>
      <c r="C117" s="24">
        <v>23.547999999999998</v>
      </c>
      <c r="D117" s="24">
        <v>24.406400000000001</v>
      </c>
      <c r="E117" s="22"/>
      <c r="F117" s="19"/>
      <c r="G117" s="25"/>
    </row>
    <row r="118" spans="1:7" ht="17.100000000000001" customHeight="1" x14ac:dyDescent="0.2">
      <c r="A118" s="22"/>
      <c r="B118" s="4" t="s">
        <v>1021</v>
      </c>
      <c r="C118" s="24">
        <v>19.616499999999998</v>
      </c>
      <c r="D118" s="24">
        <v>20.331499999999998</v>
      </c>
      <c r="E118" s="22"/>
      <c r="F118" s="19"/>
      <c r="G118" s="25"/>
    </row>
    <row r="119" spans="1:7" ht="17.100000000000001" customHeight="1" x14ac:dyDescent="0.2">
      <c r="A119" s="22"/>
      <c r="B119" s="4" t="s">
        <v>169</v>
      </c>
      <c r="C119" s="24">
        <v>22.978400000000001</v>
      </c>
      <c r="D119" s="24">
        <v>23.809000000000001</v>
      </c>
      <c r="E119" s="22"/>
      <c r="F119" s="19"/>
      <c r="G119" s="25"/>
    </row>
    <row r="120" spans="1:7" ht="17.100000000000001" customHeight="1" x14ac:dyDescent="0.2">
      <c r="A120" s="22"/>
      <c r="B120" s="4" t="s">
        <v>1022</v>
      </c>
      <c r="C120" s="24">
        <v>19.076599999999999</v>
      </c>
      <c r="D120" s="24">
        <v>19.766100000000002</v>
      </c>
      <c r="E120" s="22"/>
      <c r="F120" s="19"/>
      <c r="G120" s="25"/>
    </row>
    <row r="121" spans="1:7" ht="14.1" customHeight="1" x14ac:dyDescent="0.2">
      <c r="A121" s="22"/>
      <c r="B121" s="22"/>
      <c r="C121" s="22"/>
      <c r="D121" s="22"/>
      <c r="E121" s="22"/>
      <c r="F121" s="22"/>
      <c r="G121" s="22"/>
    </row>
    <row r="122" spans="1:7" ht="17.100000000000001" customHeight="1" x14ac:dyDescent="0.2">
      <c r="A122" s="22"/>
      <c r="B122" s="323" t="s">
        <v>1023</v>
      </c>
      <c r="C122" s="324"/>
      <c r="D122" s="57" t="s">
        <v>160</v>
      </c>
      <c r="E122" s="22"/>
      <c r="F122" s="22"/>
      <c r="G122" s="22"/>
    </row>
    <row r="123" spans="1:7" ht="18" customHeight="1" x14ac:dyDescent="0.2">
      <c r="A123" s="22"/>
      <c r="B123" s="28"/>
      <c r="C123" s="28"/>
      <c r="D123" s="26"/>
      <c r="E123" s="22"/>
      <c r="F123" s="22"/>
      <c r="G123" s="22"/>
    </row>
    <row r="124" spans="1:7" ht="29.1" customHeight="1" x14ac:dyDescent="0.2">
      <c r="A124" s="22"/>
      <c r="B124" s="323" t="s">
        <v>170</v>
      </c>
      <c r="C124" s="324"/>
      <c r="D124" s="2" t="s">
        <v>160</v>
      </c>
      <c r="E124" s="22"/>
      <c r="F124" s="22"/>
      <c r="G124" s="22"/>
    </row>
    <row r="125" spans="1:7" ht="29.1" customHeight="1" x14ac:dyDescent="0.2">
      <c r="A125" s="22"/>
      <c r="B125" s="323" t="s">
        <v>171</v>
      </c>
      <c r="C125" s="324"/>
      <c r="D125" s="2" t="s">
        <v>160</v>
      </c>
      <c r="E125" s="22"/>
      <c r="F125" s="22"/>
      <c r="G125" s="22"/>
    </row>
    <row r="126" spans="1:7" ht="17.100000000000001" customHeight="1" x14ac:dyDescent="0.2">
      <c r="A126" s="22"/>
      <c r="B126" s="323" t="s">
        <v>172</v>
      </c>
      <c r="C126" s="324"/>
      <c r="D126" s="27">
        <v>4.2481795695714357E-2</v>
      </c>
      <c r="E126" s="22"/>
      <c r="F126" s="19"/>
      <c r="G126" s="25"/>
    </row>
    <row r="127" spans="1:7" ht="17.100000000000001" customHeight="1" x14ac:dyDescent="0.2">
      <c r="A127" s="22"/>
      <c r="B127" s="323" t="s">
        <v>173</v>
      </c>
      <c r="C127" s="324"/>
      <c r="D127" s="2" t="s">
        <v>160</v>
      </c>
      <c r="E127" s="22"/>
      <c r="F127" s="22"/>
      <c r="G127" s="22"/>
    </row>
    <row r="130" spans="10:14" x14ac:dyDescent="0.2">
      <c r="J130" s="218"/>
      <c r="K130" s="218"/>
      <c r="L130" s="218"/>
      <c r="M130" s="218"/>
      <c r="N130" s="218"/>
    </row>
  </sheetData>
  <mergeCells count="13">
    <mergeCell ref="J2:N2"/>
    <mergeCell ref="B127:C127"/>
    <mergeCell ref="B112:C112"/>
    <mergeCell ref="B113:C113"/>
    <mergeCell ref="B114:C114"/>
    <mergeCell ref="B122:C122"/>
    <mergeCell ref="B124:C124"/>
    <mergeCell ref="B125:C125"/>
    <mergeCell ref="A1:H1"/>
    <mergeCell ref="A2:H2"/>
    <mergeCell ref="A3:H3"/>
    <mergeCell ref="B111:C111"/>
    <mergeCell ref="B126:C126"/>
  </mergeCells>
  <hyperlinks>
    <hyperlink ref="I1" location="Index!B16" display="Index" xr:uid="{5B25EB5E-9A41-43C8-B298-7917D06D6A3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O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488</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14</v>
      </c>
      <c r="C7" s="4" t="s">
        <v>15</v>
      </c>
      <c r="D7" s="4" t="s">
        <v>16</v>
      </c>
      <c r="E7" s="5">
        <v>12088</v>
      </c>
      <c r="F7" s="6">
        <v>115.18655200000001</v>
      </c>
      <c r="G7" s="7">
        <v>9.8455286000000003E-2</v>
      </c>
      <c r="H7" s="49"/>
    </row>
    <row r="8" spans="1:15" ht="17.100000000000001" customHeight="1" x14ac:dyDescent="0.2">
      <c r="A8" s="3">
        <v>2</v>
      </c>
      <c r="B8" s="4" t="s">
        <v>20</v>
      </c>
      <c r="C8" s="4" t="s">
        <v>21</v>
      </c>
      <c r="D8" s="4" t="s">
        <v>22</v>
      </c>
      <c r="E8" s="5">
        <v>3489</v>
      </c>
      <c r="F8" s="6">
        <v>95.296801500000001</v>
      </c>
      <c r="G8" s="7">
        <v>8.1454595000000005E-2</v>
      </c>
      <c r="H8" s="49"/>
    </row>
    <row r="9" spans="1:15" ht="17.100000000000001" customHeight="1" x14ac:dyDescent="0.2">
      <c r="A9" s="3">
        <v>3</v>
      </c>
      <c r="B9" s="4" t="s">
        <v>294</v>
      </c>
      <c r="C9" s="4" t="s">
        <v>295</v>
      </c>
      <c r="D9" s="4" t="s">
        <v>974</v>
      </c>
      <c r="E9" s="5">
        <v>5779</v>
      </c>
      <c r="F9" s="6">
        <v>94.483760500000002</v>
      </c>
      <c r="G9" s="7">
        <v>8.0759651000000002E-2</v>
      </c>
      <c r="H9" s="49"/>
    </row>
    <row r="10" spans="1:15" ht="17.100000000000001" customHeight="1" x14ac:dyDescent="0.2">
      <c r="A10" s="3">
        <v>4</v>
      </c>
      <c r="B10" s="4" t="s">
        <v>263</v>
      </c>
      <c r="C10" s="4" t="s">
        <v>264</v>
      </c>
      <c r="D10" s="4" t="s">
        <v>16</v>
      </c>
      <c r="E10" s="5">
        <v>4906</v>
      </c>
      <c r="F10" s="6">
        <v>78.910556999999997</v>
      </c>
      <c r="G10" s="7">
        <v>6.7448512000000002E-2</v>
      </c>
      <c r="H10" s="49"/>
    </row>
    <row r="11" spans="1:15" ht="17.100000000000001" customHeight="1" x14ac:dyDescent="0.2">
      <c r="A11" s="3">
        <v>5</v>
      </c>
      <c r="B11" s="4" t="s">
        <v>39</v>
      </c>
      <c r="C11" s="4" t="s">
        <v>40</v>
      </c>
      <c r="D11" s="4" t="s">
        <v>16</v>
      </c>
      <c r="E11" s="5">
        <v>12485</v>
      </c>
      <c r="F11" s="6">
        <v>75.215882500000006</v>
      </c>
      <c r="G11" s="7">
        <v>6.4290501999999999E-2</v>
      </c>
      <c r="H11" s="49"/>
    </row>
    <row r="12" spans="1:15" ht="29.1" customHeight="1" x14ac:dyDescent="0.2">
      <c r="A12" s="3">
        <v>6</v>
      </c>
      <c r="B12" s="4" t="s">
        <v>296</v>
      </c>
      <c r="C12" s="4" t="s">
        <v>297</v>
      </c>
      <c r="D12" s="4" t="s">
        <v>103</v>
      </c>
      <c r="E12" s="5">
        <v>2230</v>
      </c>
      <c r="F12" s="6">
        <v>60.043864999999997</v>
      </c>
      <c r="G12" s="7">
        <v>5.1322275000000001E-2</v>
      </c>
      <c r="H12" s="49"/>
    </row>
    <row r="13" spans="1:15" ht="17.100000000000001" customHeight="1" x14ac:dyDescent="0.2">
      <c r="A13" s="3">
        <v>7</v>
      </c>
      <c r="B13" s="4" t="s">
        <v>180</v>
      </c>
      <c r="C13" s="4" t="s">
        <v>181</v>
      </c>
      <c r="D13" s="4" t="s">
        <v>16</v>
      </c>
      <c r="E13" s="5">
        <v>5335</v>
      </c>
      <c r="F13" s="6">
        <v>48.081687500000001</v>
      </c>
      <c r="G13" s="7">
        <v>4.1097648000000001E-2</v>
      </c>
      <c r="H13" s="49"/>
      <c r="J13" s="217" t="s">
        <v>1074</v>
      </c>
    </row>
    <row r="14" spans="1:15" ht="17.100000000000001" customHeight="1" x14ac:dyDescent="0.2">
      <c r="A14" s="3">
        <v>8</v>
      </c>
      <c r="B14" s="4" t="s">
        <v>11</v>
      </c>
      <c r="C14" s="4" t="s">
        <v>12</v>
      </c>
      <c r="D14" s="4" t="s">
        <v>13</v>
      </c>
      <c r="E14" s="5">
        <v>2233</v>
      </c>
      <c r="F14" s="6">
        <v>46.331400500000001</v>
      </c>
      <c r="G14" s="7">
        <v>3.9601596000000003E-2</v>
      </c>
      <c r="H14" s="49"/>
    </row>
    <row r="15" spans="1:15" ht="17.100000000000001" customHeight="1" x14ac:dyDescent="0.2">
      <c r="A15" s="3">
        <v>9</v>
      </c>
      <c r="B15" s="4" t="s">
        <v>17</v>
      </c>
      <c r="C15" s="4" t="s">
        <v>18</v>
      </c>
      <c r="D15" s="4" t="s">
        <v>19</v>
      </c>
      <c r="E15" s="5">
        <v>4570</v>
      </c>
      <c r="F15" s="6">
        <v>38.787875</v>
      </c>
      <c r="G15" s="7">
        <v>3.3153795E-2</v>
      </c>
      <c r="H15" s="49"/>
    </row>
    <row r="16" spans="1:15" ht="29.1" customHeight="1" x14ac:dyDescent="0.2">
      <c r="A16" s="3">
        <v>10</v>
      </c>
      <c r="B16" s="4" t="s">
        <v>23</v>
      </c>
      <c r="C16" s="4" t="s">
        <v>24</v>
      </c>
      <c r="D16" s="4" t="s">
        <v>25</v>
      </c>
      <c r="E16" s="5">
        <v>501</v>
      </c>
      <c r="F16" s="6">
        <v>35.455770000000001</v>
      </c>
      <c r="G16" s="7">
        <v>3.030569E-2</v>
      </c>
      <c r="H16" s="49"/>
    </row>
    <row r="17" spans="1:8" ht="17.100000000000001" customHeight="1" x14ac:dyDescent="0.2">
      <c r="A17" s="3">
        <v>11</v>
      </c>
      <c r="B17" s="4" t="s">
        <v>352</v>
      </c>
      <c r="C17" s="4" t="s">
        <v>353</v>
      </c>
      <c r="D17" s="4" t="s">
        <v>72</v>
      </c>
      <c r="E17" s="5">
        <v>7590</v>
      </c>
      <c r="F17" s="6">
        <v>33.350459999999998</v>
      </c>
      <c r="G17" s="7">
        <v>2.8506184E-2</v>
      </c>
      <c r="H17" s="49"/>
    </row>
    <row r="18" spans="1:8" ht="17.100000000000001" customHeight="1" x14ac:dyDescent="0.2">
      <c r="A18" s="3">
        <v>12</v>
      </c>
      <c r="B18" s="4" t="s">
        <v>365</v>
      </c>
      <c r="C18" s="4" t="s">
        <v>366</v>
      </c>
      <c r="D18" s="4" t="s">
        <v>108</v>
      </c>
      <c r="E18" s="5">
        <v>959</v>
      </c>
      <c r="F18" s="6">
        <v>25.442270000000001</v>
      </c>
      <c r="G18" s="7">
        <v>2.1746688E-2</v>
      </c>
      <c r="H18" s="49"/>
    </row>
    <row r="19" spans="1:8" ht="17.100000000000001" customHeight="1" x14ac:dyDescent="0.2">
      <c r="A19" s="3">
        <v>13</v>
      </c>
      <c r="B19" s="4" t="s">
        <v>313</v>
      </c>
      <c r="C19" s="4" t="s">
        <v>314</v>
      </c>
      <c r="D19" s="4" t="s">
        <v>308</v>
      </c>
      <c r="E19" s="5">
        <v>7286</v>
      </c>
      <c r="F19" s="6">
        <v>24.772400000000001</v>
      </c>
      <c r="G19" s="7">
        <v>2.1174119000000002E-2</v>
      </c>
      <c r="H19" s="49"/>
    </row>
    <row r="20" spans="1:8" ht="17.100000000000001" customHeight="1" x14ac:dyDescent="0.2">
      <c r="A20" s="3">
        <v>14</v>
      </c>
      <c r="B20" s="4" t="s">
        <v>298</v>
      </c>
      <c r="C20" s="4" t="s">
        <v>299</v>
      </c>
      <c r="D20" s="4" t="s">
        <v>238</v>
      </c>
      <c r="E20" s="5">
        <v>1859</v>
      </c>
      <c r="F20" s="6">
        <v>23.849111000000001</v>
      </c>
      <c r="G20" s="7">
        <v>2.0384941E-2</v>
      </c>
      <c r="H20" s="49"/>
    </row>
    <row r="21" spans="1:8" ht="29.1" customHeight="1" x14ac:dyDescent="0.2">
      <c r="A21" s="3">
        <v>15</v>
      </c>
      <c r="B21" s="4" t="s">
        <v>197</v>
      </c>
      <c r="C21" s="4" t="s">
        <v>198</v>
      </c>
      <c r="D21" s="4" t="s">
        <v>193</v>
      </c>
      <c r="E21" s="5">
        <v>526</v>
      </c>
      <c r="F21" s="6">
        <v>22.841287000000001</v>
      </c>
      <c r="G21" s="7">
        <v>1.9523506999999999E-2</v>
      </c>
      <c r="H21" s="49"/>
    </row>
    <row r="22" spans="1:8" ht="17.100000000000001" customHeight="1" x14ac:dyDescent="0.2">
      <c r="A22" s="3">
        <v>16</v>
      </c>
      <c r="B22" s="4" t="s">
        <v>302</v>
      </c>
      <c r="C22" s="4" t="s">
        <v>303</v>
      </c>
      <c r="D22" s="4" t="s">
        <v>974</v>
      </c>
      <c r="E22" s="5">
        <v>672</v>
      </c>
      <c r="F22" s="6">
        <v>22.786176000000001</v>
      </c>
      <c r="G22" s="7">
        <v>1.9476401000000001E-2</v>
      </c>
      <c r="H22" s="49"/>
    </row>
    <row r="23" spans="1:8" ht="17.100000000000001" customHeight="1" x14ac:dyDescent="0.2">
      <c r="A23" s="3">
        <v>17</v>
      </c>
      <c r="B23" s="4" t="s">
        <v>311</v>
      </c>
      <c r="C23" s="4" t="s">
        <v>312</v>
      </c>
      <c r="D23" s="4" t="s">
        <v>974</v>
      </c>
      <c r="E23" s="5">
        <v>1859</v>
      </c>
      <c r="F23" s="6">
        <v>20.835671999999999</v>
      </c>
      <c r="G23" s="7">
        <v>1.7809215E-2</v>
      </c>
      <c r="H23" s="49"/>
    </row>
    <row r="24" spans="1:8" ht="17.100000000000001" customHeight="1" x14ac:dyDescent="0.2">
      <c r="A24" s="3">
        <v>18</v>
      </c>
      <c r="B24" s="4" t="s">
        <v>216</v>
      </c>
      <c r="C24" s="4" t="s">
        <v>217</v>
      </c>
      <c r="D24" s="4" t="s">
        <v>218</v>
      </c>
      <c r="E24" s="5">
        <v>3810</v>
      </c>
      <c r="F24" s="6">
        <v>20.412075000000002</v>
      </c>
      <c r="G24" s="7">
        <v>1.7447147E-2</v>
      </c>
      <c r="H24" s="49"/>
    </row>
    <row r="25" spans="1:8" ht="17.100000000000001" customHeight="1" x14ac:dyDescent="0.2">
      <c r="A25" s="3">
        <v>19</v>
      </c>
      <c r="B25" s="4" t="s">
        <v>182</v>
      </c>
      <c r="C25" s="4" t="s">
        <v>183</v>
      </c>
      <c r="D25" s="4" t="s">
        <v>16</v>
      </c>
      <c r="E25" s="5">
        <v>12176</v>
      </c>
      <c r="F25" s="6">
        <v>20.242599999999999</v>
      </c>
      <c r="G25" s="7">
        <v>1.7302288999999998E-2</v>
      </c>
      <c r="H25" s="49"/>
    </row>
    <row r="26" spans="1:8" ht="17.100000000000001" customHeight="1" x14ac:dyDescent="0.2">
      <c r="A26" s="3">
        <v>20</v>
      </c>
      <c r="B26" s="4" t="s">
        <v>285</v>
      </c>
      <c r="C26" s="4" t="s">
        <v>286</v>
      </c>
      <c r="D26" s="4" t="s">
        <v>22</v>
      </c>
      <c r="E26" s="5">
        <v>8132</v>
      </c>
      <c r="F26" s="6">
        <v>19.443612000000002</v>
      </c>
      <c r="G26" s="7">
        <v>1.6619357000000001E-2</v>
      </c>
      <c r="H26" s="49"/>
    </row>
    <row r="27" spans="1:8" ht="29.1" customHeight="1" x14ac:dyDescent="0.2">
      <c r="A27" s="3">
        <v>21</v>
      </c>
      <c r="B27" s="4" t="s">
        <v>205</v>
      </c>
      <c r="C27" s="4" t="s">
        <v>206</v>
      </c>
      <c r="D27" s="4" t="s">
        <v>207</v>
      </c>
      <c r="E27" s="5">
        <v>2059</v>
      </c>
      <c r="F27" s="6">
        <v>19.143552499999998</v>
      </c>
      <c r="G27" s="7">
        <v>1.6362881999999999E-2</v>
      </c>
      <c r="H27" s="49"/>
    </row>
    <row r="28" spans="1:8" ht="17.100000000000001" customHeight="1" x14ac:dyDescent="0.2">
      <c r="A28" s="3">
        <v>22</v>
      </c>
      <c r="B28" s="4" t="s">
        <v>328</v>
      </c>
      <c r="C28" s="4" t="s">
        <v>329</v>
      </c>
      <c r="D28" s="4" t="s">
        <v>16</v>
      </c>
      <c r="E28" s="5">
        <v>916</v>
      </c>
      <c r="F28" s="6">
        <v>17.834978</v>
      </c>
      <c r="G28" s="7">
        <v>1.5244383E-2</v>
      </c>
      <c r="H28" s="49"/>
    </row>
    <row r="29" spans="1:8" ht="17.100000000000001" customHeight="1" x14ac:dyDescent="0.2">
      <c r="A29" s="3">
        <v>23</v>
      </c>
      <c r="B29" s="4" t="s">
        <v>419</v>
      </c>
      <c r="C29" s="4" t="s">
        <v>420</v>
      </c>
      <c r="D29" s="4" t="s">
        <v>227</v>
      </c>
      <c r="E29" s="5">
        <v>5791</v>
      </c>
      <c r="F29" s="6">
        <v>17.132673499999999</v>
      </c>
      <c r="G29" s="7">
        <v>1.464409E-2</v>
      </c>
      <c r="H29" s="49"/>
    </row>
    <row r="30" spans="1:8" ht="17.100000000000001" customHeight="1" x14ac:dyDescent="0.2">
      <c r="A30" s="3">
        <v>24</v>
      </c>
      <c r="B30" s="4" t="s">
        <v>87</v>
      </c>
      <c r="C30" s="4" t="s">
        <v>88</v>
      </c>
      <c r="D30" s="4" t="s">
        <v>89</v>
      </c>
      <c r="E30" s="5">
        <v>587</v>
      </c>
      <c r="F30" s="6">
        <v>15.704304499999999</v>
      </c>
      <c r="G30" s="7">
        <v>1.3423197E-2</v>
      </c>
      <c r="H30" s="49"/>
    </row>
    <row r="31" spans="1:8" ht="17.100000000000001" customHeight="1" x14ac:dyDescent="0.2">
      <c r="A31" s="3">
        <v>25</v>
      </c>
      <c r="B31" s="4" t="s">
        <v>482</v>
      </c>
      <c r="C31" s="4" t="s">
        <v>483</v>
      </c>
      <c r="D31" s="4" t="s">
        <v>188</v>
      </c>
      <c r="E31" s="5">
        <v>4646</v>
      </c>
      <c r="F31" s="6">
        <v>14.602378</v>
      </c>
      <c r="G31" s="7">
        <v>1.2481328999999999E-2</v>
      </c>
      <c r="H31" s="49"/>
    </row>
    <row r="32" spans="1:8" ht="17.100000000000001" customHeight="1" x14ac:dyDescent="0.2">
      <c r="A32" s="3">
        <v>26</v>
      </c>
      <c r="B32" s="4" t="s">
        <v>306</v>
      </c>
      <c r="C32" s="4" t="s">
        <v>307</v>
      </c>
      <c r="D32" s="4" t="s">
        <v>308</v>
      </c>
      <c r="E32" s="5">
        <v>517</v>
      </c>
      <c r="F32" s="6">
        <v>13.8780895</v>
      </c>
      <c r="G32" s="7">
        <v>1.1862246999999999E-2</v>
      </c>
      <c r="H32" s="49"/>
    </row>
    <row r="33" spans="1:8" ht="29.1" customHeight="1" x14ac:dyDescent="0.2">
      <c r="A33" s="3">
        <v>27</v>
      </c>
      <c r="B33" s="4" t="s">
        <v>484</v>
      </c>
      <c r="C33" s="4" t="s">
        <v>485</v>
      </c>
      <c r="D33" s="4" t="s">
        <v>215</v>
      </c>
      <c r="E33" s="5">
        <v>1213</v>
      </c>
      <c r="F33" s="6">
        <v>13.823954499999999</v>
      </c>
      <c r="G33" s="7">
        <v>1.1815974999999999E-2</v>
      </c>
      <c r="H33" s="49"/>
    </row>
    <row r="34" spans="1:8" ht="17.100000000000001" customHeight="1" x14ac:dyDescent="0.2">
      <c r="A34" s="3">
        <v>28</v>
      </c>
      <c r="B34" s="4" t="s">
        <v>92</v>
      </c>
      <c r="C34" s="4" t="s">
        <v>93</v>
      </c>
      <c r="D34" s="4" t="s">
        <v>22</v>
      </c>
      <c r="E34" s="5">
        <v>3989</v>
      </c>
      <c r="F34" s="6">
        <v>13.608473500000001</v>
      </c>
      <c r="G34" s="7">
        <v>1.1631793E-2</v>
      </c>
      <c r="H34" s="49"/>
    </row>
    <row r="35" spans="1:8" ht="17.100000000000001" customHeight="1" x14ac:dyDescent="0.2">
      <c r="A35" s="3">
        <v>29</v>
      </c>
      <c r="B35" s="4" t="s">
        <v>111</v>
      </c>
      <c r="C35" s="4" t="s">
        <v>112</v>
      </c>
      <c r="D35" s="4" t="s">
        <v>113</v>
      </c>
      <c r="E35" s="5">
        <v>2990</v>
      </c>
      <c r="F35" s="6">
        <v>13.47593</v>
      </c>
      <c r="G35" s="7">
        <v>1.1518502E-2</v>
      </c>
      <c r="H35" s="49"/>
    </row>
    <row r="36" spans="1:8" ht="29.1" customHeight="1" x14ac:dyDescent="0.2">
      <c r="A36" s="3">
        <v>30</v>
      </c>
      <c r="B36" s="4" t="s">
        <v>362</v>
      </c>
      <c r="C36" s="4" t="s">
        <v>363</v>
      </c>
      <c r="D36" s="4" t="s">
        <v>364</v>
      </c>
      <c r="E36" s="5">
        <v>1535</v>
      </c>
      <c r="F36" s="6">
        <v>12.5570675</v>
      </c>
      <c r="G36" s="7">
        <v>1.0733108E-2</v>
      </c>
      <c r="H36" s="49"/>
    </row>
    <row r="37" spans="1:8" ht="17.100000000000001" customHeight="1" x14ac:dyDescent="0.2">
      <c r="A37" s="3">
        <v>31</v>
      </c>
      <c r="B37" s="4" t="s">
        <v>41</v>
      </c>
      <c r="C37" s="4" t="s">
        <v>42</v>
      </c>
      <c r="D37" s="4" t="s">
        <v>43</v>
      </c>
      <c r="E37" s="5">
        <v>1593</v>
      </c>
      <c r="F37" s="6">
        <v>12.2971635</v>
      </c>
      <c r="G37" s="7">
        <v>1.0510956E-2</v>
      </c>
      <c r="H37" s="49"/>
    </row>
    <row r="38" spans="1:8" ht="17.100000000000001" customHeight="1" x14ac:dyDescent="0.2">
      <c r="A38" s="3">
        <v>32</v>
      </c>
      <c r="B38" s="4" t="s">
        <v>334</v>
      </c>
      <c r="C38" s="4" t="s">
        <v>335</v>
      </c>
      <c r="D38" s="4" t="s">
        <v>16</v>
      </c>
      <c r="E38" s="5">
        <v>1052</v>
      </c>
      <c r="F38" s="6">
        <v>12.285256</v>
      </c>
      <c r="G38" s="7">
        <v>1.0500778000000001E-2</v>
      </c>
      <c r="H38" s="49"/>
    </row>
    <row r="39" spans="1:8" ht="29.1" customHeight="1" x14ac:dyDescent="0.2">
      <c r="A39" s="3">
        <v>33</v>
      </c>
      <c r="B39" s="4" t="s">
        <v>486</v>
      </c>
      <c r="C39" s="4" t="s">
        <v>487</v>
      </c>
      <c r="D39" s="4" t="s">
        <v>25</v>
      </c>
      <c r="E39" s="5">
        <v>1266</v>
      </c>
      <c r="F39" s="6">
        <v>12.021936</v>
      </c>
      <c r="G39" s="7">
        <v>1.0275706000000001E-2</v>
      </c>
      <c r="H39" s="49"/>
    </row>
    <row r="40" spans="1:8" ht="17.100000000000001" customHeight="1" x14ac:dyDescent="0.2">
      <c r="A40" s="3">
        <v>34</v>
      </c>
      <c r="B40" s="4" t="s">
        <v>320</v>
      </c>
      <c r="C40" s="4" t="s">
        <v>321</v>
      </c>
      <c r="D40" s="4" t="s">
        <v>974</v>
      </c>
      <c r="E40" s="5">
        <v>1742</v>
      </c>
      <c r="F40" s="6">
        <v>7.0881980000000002</v>
      </c>
      <c r="G40" s="7">
        <v>6.0586110000000002E-3</v>
      </c>
      <c r="H40" s="49"/>
    </row>
    <row r="41" spans="1:8" ht="29.1" customHeight="1" x14ac:dyDescent="0.2">
      <c r="A41" s="3">
        <v>35</v>
      </c>
      <c r="B41" s="4" t="s">
        <v>251</v>
      </c>
      <c r="C41" s="4" t="s">
        <v>252</v>
      </c>
      <c r="D41" s="4" t="s">
        <v>215</v>
      </c>
      <c r="E41" s="5">
        <v>311</v>
      </c>
      <c r="F41" s="6">
        <v>5.5347115000000002</v>
      </c>
      <c r="G41" s="7">
        <v>4.7307750000000004E-3</v>
      </c>
      <c r="H41" s="49"/>
    </row>
    <row r="42" spans="1:8" ht="17.100000000000001" customHeight="1" x14ac:dyDescent="0.2">
      <c r="A42" s="3">
        <v>36</v>
      </c>
      <c r="B42" s="4" t="s">
        <v>337</v>
      </c>
      <c r="C42" s="4" t="s">
        <v>1204</v>
      </c>
      <c r="D42" s="4" t="s">
        <v>19</v>
      </c>
      <c r="E42" s="5">
        <v>327</v>
      </c>
      <c r="F42" s="6">
        <v>1.5194055</v>
      </c>
      <c r="G42" s="7">
        <v>1.2987059999999999E-3</v>
      </c>
      <c r="H42" s="49"/>
    </row>
    <row r="43" spans="1:8" ht="14.1" customHeight="1" x14ac:dyDescent="0.2">
      <c r="A43" s="1"/>
      <c r="B43" s="1"/>
      <c r="C43" s="2" t="s">
        <v>130</v>
      </c>
      <c r="D43" s="1"/>
      <c r="E43" s="1" t="s">
        <v>131</v>
      </c>
      <c r="F43" s="9">
        <v>1124.2778864999998</v>
      </c>
      <c r="G43" s="10">
        <v>0.96097243600000026</v>
      </c>
      <c r="H43" s="49"/>
    </row>
    <row r="44" spans="1:8" ht="14.1" customHeight="1" x14ac:dyDescent="0.2">
      <c r="A44" s="1"/>
      <c r="B44" s="1"/>
      <c r="C44" s="11"/>
      <c r="D44" s="1"/>
      <c r="E44" s="1"/>
      <c r="F44" s="12"/>
      <c r="G44" s="12"/>
      <c r="H44" s="49"/>
    </row>
    <row r="45" spans="1:8" ht="14.1" customHeight="1" x14ac:dyDescent="0.2">
      <c r="A45" s="1"/>
      <c r="B45" s="1"/>
      <c r="C45" s="2" t="s">
        <v>132</v>
      </c>
      <c r="D45" s="1"/>
      <c r="E45" s="1"/>
      <c r="F45" s="1"/>
      <c r="G45" s="1"/>
      <c r="H45" s="49"/>
    </row>
    <row r="46" spans="1:8" ht="14.1" customHeight="1" x14ac:dyDescent="0.2">
      <c r="A46" s="1"/>
      <c r="B46" s="1"/>
      <c r="C46" s="2" t="s">
        <v>130</v>
      </c>
      <c r="D46" s="1"/>
      <c r="E46" s="1" t="s">
        <v>131</v>
      </c>
      <c r="F46" s="13">
        <v>0</v>
      </c>
      <c r="G46" s="14">
        <v>0</v>
      </c>
      <c r="H46" s="49"/>
    </row>
    <row r="47" spans="1:8" ht="14.1" customHeight="1" x14ac:dyDescent="0.2">
      <c r="A47" s="1"/>
      <c r="B47" s="1"/>
      <c r="C47" s="11"/>
      <c r="D47" s="1"/>
      <c r="E47" s="1"/>
      <c r="F47" s="12"/>
      <c r="G47" s="12"/>
      <c r="H47" s="49"/>
    </row>
    <row r="48" spans="1:8" ht="14.1" customHeight="1" x14ac:dyDescent="0.2">
      <c r="A48" s="1"/>
      <c r="B48" s="1"/>
      <c r="C48" s="2" t="s">
        <v>133</v>
      </c>
      <c r="D48" s="1"/>
      <c r="E48" s="1"/>
      <c r="F48" s="1"/>
      <c r="G48" s="1"/>
      <c r="H48" s="49"/>
    </row>
    <row r="49" spans="1:8" ht="14.1" customHeight="1" x14ac:dyDescent="0.2">
      <c r="A49" s="1"/>
      <c r="B49" s="1"/>
      <c r="C49" s="2" t="s">
        <v>130</v>
      </c>
      <c r="D49" s="1"/>
      <c r="E49" s="1" t="s">
        <v>131</v>
      </c>
      <c r="F49" s="13">
        <v>0</v>
      </c>
      <c r="G49" s="14">
        <v>0</v>
      </c>
      <c r="H49" s="49"/>
    </row>
    <row r="50" spans="1:8" ht="14.1" customHeight="1" x14ac:dyDescent="0.2">
      <c r="A50" s="1"/>
      <c r="B50" s="1"/>
      <c r="C50" s="11"/>
      <c r="D50" s="1"/>
      <c r="E50" s="1"/>
      <c r="F50" s="12"/>
      <c r="G50" s="12"/>
      <c r="H50" s="49"/>
    </row>
    <row r="51" spans="1:8" ht="14.1" customHeight="1" x14ac:dyDescent="0.2">
      <c r="A51" s="1"/>
      <c r="B51" s="1"/>
      <c r="C51" s="2" t="s">
        <v>134</v>
      </c>
      <c r="D51" s="1"/>
      <c r="E51" s="1"/>
      <c r="F51" s="1"/>
      <c r="G51" s="1"/>
      <c r="H51" s="49"/>
    </row>
    <row r="52" spans="1:8" ht="14.1" customHeight="1" x14ac:dyDescent="0.2">
      <c r="A52" s="1"/>
      <c r="B52" s="1"/>
      <c r="C52" s="2" t="s">
        <v>130</v>
      </c>
      <c r="D52" s="1"/>
      <c r="E52" s="1" t="s">
        <v>131</v>
      </c>
      <c r="F52" s="9">
        <v>0</v>
      </c>
      <c r="G52" s="10">
        <v>0</v>
      </c>
      <c r="H52" s="49"/>
    </row>
    <row r="53" spans="1:8" ht="14.1" customHeight="1" x14ac:dyDescent="0.2">
      <c r="A53" s="1"/>
      <c r="B53" s="1"/>
      <c r="C53" s="11"/>
      <c r="D53" s="1"/>
      <c r="E53" s="1"/>
      <c r="F53" s="12"/>
      <c r="G53" s="12"/>
      <c r="H53" s="49"/>
    </row>
    <row r="54" spans="1:8" ht="14.1" customHeight="1" x14ac:dyDescent="0.2">
      <c r="A54" s="1"/>
      <c r="B54" s="1"/>
      <c r="C54" s="2" t="s">
        <v>135</v>
      </c>
      <c r="D54" s="1"/>
      <c r="E54" s="1"/>
      <c r="F54" s="12"/>
      <c r="G54" s="12"/>
      <c r="H54" s="49"/>
    </row>
    <row r="55" spans="1:8" ht="14.1" customHeight="1" x14ac:dyDescent="0.2">
      <c r="A55" s="1"/>
      <c r="B55" s="1"/>
      <c r="C55" s="2" t="s">
        <v>130</v>
      </c>
      <c r="D55" s="1"/>
      <c r="E55" s="1" t="s">
        <v>131</v>
      </c>
      <c r="F55" s="13">
        <v>0</v>
      </c>
      <c r="G55" s="14">
        <v>0</v>
      </c>
      <c r="H55" s="49"/>
    </row>
    <row r="56" spans="1:8" ht="14.1" customHeight="1" x14ac:dyDescent="0.2">
      <c r="A56" s="1"/>
      <c r="B56" s="1"/>
      <c r="C56" s="11"/>
      <c r="D56" s="1"/>
      <c r="E56" s="1"/>
      <c r="F56" s="12"/>
      <c r="G56" s="12"/>
      <c r="H56" s="49"/>
    </row>
    <row r="57" spans="1:8" ht="14.1" customHeight="1" x14ac:dyDescent="0.2">
      <c r="A57" s="1"/>
      <c r="B57" s="1"/>
      <c r="C57" s="2" t="s">
        <v>136</v>
      </c>
      <c r="D57" s="1"/>
      <c r="E57" s="1"/>
      <c r="F57" s="12"/>
      <c r="G57" s="12"/>
      <c r="H57" s="49"/>
    </row>
    <row r="58" spans="1:8" ht="14.1" customHeight="1" x14ac:dyDescent="0.2">
      <c r="A58" s="1"/>
      <c r="B58" s="1"/>
      <c r="C58" s="2" t="s">
        <v>130</v>
      </c>
      <c r="D58" s="1"/>
      <c r="E58" s="1" t="s">
        <v>131</v>
      </c>
      <c r="F58" s="13">
        <v>0</v>
      </c>
      <c r="G58" s="14">
        <v>0</v>
      </c>
      <c r="H58" s="49"/>
    </row>
    <row r="59" spans="1:8" ht="14.1" customHeight="1" x14ac:dyDescent="0.2">
      <c r="A59" s="1"/>
      <c r="B59" s="1"/>
      <c r="C59" s="11"/>
      <c r="D59" s="1"/>
      <c r="E59" s="1"/>
      <c r="F59" s="12"/>
      <c r="G59" s="12"/>
      <c r="H59" s="49"/>
    </row>
    <row r="60" spans="1:8" ht="18" customHeight="1" x14ac:dyDescent="0.2">
      <c r="A60" s="1"/>
      <c r="B60" s="1"/>
      <c r="C60" s="2" t="s">
        <v>137</v>
      </c>
      <c r="D60" s="1"/>
      <c r="E60" s="1"/>
      <c r="F60" s="9">
        <v>1124.2778865</v>
      </c>
      <c r="G60" s="10">
        <v>0.96097243600000004</v>
      </c>
      <c r="H60" s="49"/>
    </row>
    <row r="61" spans="1:8" ht="14.1" customHeight="1" x14ac:dyDescent="0.2">
      <c r="A61" s="1"/>
      <c r="B61" s="1"/>
      <c r="C61" s="11"/>
      <c r="D61" s="1"/>
      <c r="E61" s="1"/>
      <c r="F61" s="12"/>
      <c r="G61" s="12"/>
      <c r="H61" s="49"/>
    </row>
    <row r="62" spans="1:8" ht="14.1" customHeight="1" x14ac:dyDescent="0.2">
      <c r="A62" s="1"/>
      <c r="B62" s="1"/>
      <c r="C62" s="2" t="s">
        <v>138</v>
      </c>
      <c r="D62" s="1"/>
      <c r="E62" s="1"/>
      <c r="F62" s="12"/>
      <c r="G62" s="12"/>
      <c r="H62" s="49"/>
    </row>
    <row r="63" spans="1:8" ht="24" customHeight="1" x14ac:dyDescent="0.2">
      <c r="A63" s="1"/>
      <c r="B63" s="1"/>
      <c r="C63" s="2" t="s">
        <v>10</v>
      </c>
      <c r="D63" s="1"/>
      <c r="E63" s="1"/>
      <c r="F63" s="12"/>
      <c r="G63" s="12"/>
      <c r="H63" s="49"/>
    </row>
    <row r="64" spans="1:8" ht="14.1" customHeight="1" x14ac:dyDescent="0.2">
      <c r="A64" s="1"/>
      <c r="B64" s="1"/>
      <c r="C64" s="2" t="s">
        <v>130</v>
      </c>
      <c r="D64" s="1"/>
      <c r="E64" s="1" t="s">
        <v>131</v>
      </c>
      <c r="F64" s="13">
        <v>0</v>
      </c>
      <c r="G64" s="14">
        <v>0</v>
      </c>
      <c r="H64" s="49"/>
    </row>
    <row r="65" spans="1:8" ht="14.1" customHeight="1" x14ac:dyDescent="0.2">
      <c r="A65" s="1"/>
      <c r="B65" s="1"/>
      <c r="C65" s="11"/>
      <c r="D65" s="1"/>
      <c r="E65" s="1"/>
      <c r="F65" s="12"/>
      <c r="G65" s="12"/>
      <c r="H65" s="49"/>
    </row>
    <row r="66" spans="1:8" ht="14.1" customHeight="1" x14ac:dyDescent="0.2">
      <c r="A66" s="1"/>
      <c r="B66" s="1"/>
      <c r="C66" s="2" t="s">
        <v>139</v>
      </c>
      <c r="D66" s="1"/>
      <c r="E66" s="1"/>
      <c r="F66" s="1"/>
      <c r="G66" s="1"/>
      <c r="H66" s="49"/>
    </row>
    <row r="67" spans="1:8" ht="14.1" customHeight="1" x14ac:dyDescent="0.2">
      <c r="A67" s="1"/>
      <c r="B67" s="1"/>
      <c r="C67" s="2" t="s">
        <v>130</v>
      </c>
      <c r="D67" s="1"/>
      <c r="E67" s="1" t="s">
        <v>131</v>
      </c>
      <c r="F67" s="13">
        <v>0</v>
      </c>
      <c r="G67" s="14">
        <v>0</v>
      </c>
      <c r="H67" s="49"/>
    </row>
    <row r="68" spans="1:8" ht="14.1" customHeight="1" x14ac:dyDescent="0.2">
      <c r="A68" s="1"/>
      <c r="B68" s="1"/>
      <c r="C68" s="11"/>
      <c r="D68" s="1"/>
      <c r="E68" s="1"/>
      <c r="F68" s="12"/>
      <c r="G68" s="12"/>
      <c r="H68" s="49"/>
    </row>
    <row r="69" spans="1:8" ht="14.1" customHeight="1" x14ac:dyDescent="0.2">
      <c r="A69" s="1"/>
      <c r="B69" s="1"/>
      <c r="C69" s="2" t="s">
        <v>140</v>
      </c>
      <c r="D69" s="1"/>
      <c r="E69" s="1"/>
      <c r="F69" s="1"/>
      <c r="G69" s="1"/>
      <c r="H69" s="49"/>
    </row>
    <row r="70" spans="1:8" ht="14.1" customHeight="1" x14ac:dyDescent="0.2">
      <c r="A70" s="1"/>
      <c r="B70" s="1"/>
      <c r="C70" s="2" t="s">
        <v>130</v>
      </c>
      <c r="D70" s="1"/>
      <c r="E70" s="1" t="s">
        <v>131</v>
      </c>
      <c r="F70" s="13">
        <v>0</v>
      </c>
      <c r="G70" s="14">
        <v>0</v>
      </c>
      <c r="H70" s="49"/>
    </row>
    <row r="71" spans="1:8" ht="14.1" customHeight="1" x14ac:dyDescent="0.2">
      <c r="A71" s="1"/>
      <c r="B71" s="1"/>
      <c r="C71" s="11"/>
      <c r="D71" s="1"/>
      <c r="E71" s="1"/>
      <c r="F71" s="12"/>
      <c r="G71" s="12"/>
      <c r="H71" s="49"/>
    </row>
    <row r="72" spans="1:8" ht="14.1" customHeight="1" x14ac:dyDescent="0.2">
      <c r="A72" s="1"/>
      <c r="B72" s="1"/>
      <c r="C72" s="2" t="s">
        <v>141</v>
      </c>
      <c r="D72" s="1"/>
      <c r="E72" s="1"/>
      <c r="F72" s="12"/>
      <c r="G72" s="12"/>
      <c r="H72" s="49"/>
    </row>
    <row r="73" spans="1:8" ht="14.1" customHeight="1" x14ac:dyDescent="0.2">
      <c r="A73" s="1"/>
      <c r="B73" s="1"/>
      <c r="C73" s="2" t="s">
        <v>130</v>
      </c>
      <c r="D73" s="1"/>
      <c r="E73" s="1" t="s">
        <v>131</v>
      </c>
      <c r="F73" s="13">
        <v>0</v>
      </c>
      <c r="G73" s="14">
        <v>0</v>
      </c>
      <c r="H73" s="49"/>
    </row>
    <row r="74" spans="1:8" ht="14.1" customHeight="1" x14ac:dyDescent="0.2">
      <c r="A74" s="1"/>
      <c r="B74" s="1"/>
      <c r="C74" s="11"/>
      <c r="D74" s="1"/>
      <c r="E74" s="1"/>
      <c r="F74" s="12"/>
      <c r="G74" s="12"/>
      <c r="H74" s="49"/>
    </row>
    <row r="75" spans="1:8" ht="14.1" customHeight="1" x14ac:dyDescent="0.2">
      <c r="A75" s="1"/>
      <c r="B75" s="1"/>
      <c r="C75" s="2" t="s">
        <v>142</v>
      </c>
      <c r="D75" s="1"/>
      <c r="E75" s="1"/>
      <c r="F75" s="9">
        <v>0</v>
      </c>
      <c r="G75" s="10">
        <v>0</v>
      </c>
      <c r="H75" s="49"/>
    </row>
    <row r="76" spans="1:8" ht="14.1" customHeight="1" x14ac:dyDescent="0.2">
      <c r="A76" s="1"/>
      <c r="B76" s="1"/>
      <c r="C76" s="11"/>
      <c r="D76" s="1"/>
      <c r="E76" s="1"/>
      <c r="F76" s="12"/>
      <c r="G76" s="12"/>
      <c r="H76" s="49"/>
    </row>
    <row r="77" spans="1:8" ht="14.1" customHeight="1" x14ac:dyDescent="0.2">
      <c r="A77" s="1"/>
      <c r="B77" s="1"/>
      <c r="C77" s="2" t="s">
        <v>143</v>
      </c>
      <c r="D77" s="1"/>
      <c r="E77" s="1"/>
      <c r="F77" s="12"/>
      <c r="G77" s="12"/>
      <c r="H77" s="49"/>
    </row>
    <row r="78" spans="1:8" ht="14.1" customHeight="1" x14ac:dyDescent="0.2">
      <c r="A78" s="1"/>
      <c r="B78" s="1"/>
      <c r="C78" s="2" t="s">
        <v>144</v>
      </c>
      <c r="D78" s="1"/>
      <c r="E78" s="1"/>
      <c r="F78" s="12"/>
      <c r="G78" s="12"/>
      <c r="H78" s="49"/>
    </row>
    <row r="79" spans="1:8" ht="14.1" customHeight="1" x14ac:dyDescent="0.2">
      <c r="A79" s="1"/>
      <c r="B79" s="1"/>
      <c r="C79" s="2" t="s">
        <v>130</v>
      </c>
      <c r="D79" s="1"/>
      <c r="E79" s="1" t="s">
        <v>131</v>
      </c>
      <c r="F79" s="13">
        <v>0</v>
      </c>
      <c r="G79" s="14">
        <v>0</v>
      </c>
      <c r="H79" s="49"/>
    </row>
    <row r="80" spans="1:8" ht="14.1" customHeight="1" x14ac:dyDescent="0.2">
      <c r="A80" s="1"/>
      <c r="B80" s="1"/>
      <c r="C80" s="11"/>
      <c r="D80" s="1"/>
      <c r="E80" s="1"/>
      <c r="F80" s="12"/>
      <c r="G80" s="12"/>
      <c r="H80" s="49"/>
    </row>
    <row r="81" spans="1:8" ht="14.1" customHeight="1" x14ac:dyDescent="0.2">
      <c r="A81" s="1"/>
      <c r="B81" s="1"/>
      <c r="C81" s="2" t="s">
        <v>145</v>
      </c>
      <c r="D81" s="1"/>
      <c r="E81" s="1"/>
      <c r="F81" s="12"/>
      <c r="G81" s="12"/>
      <c r="H81" s="49"/>
    </row>
    <row r="82" spans="1:8" ht="14.1" customHeight="1" x14ac:dyDescent="0.2">
      <c r="A82" s="1"/>
      <c r="B82" s="1"/>
      <c r="C82" s="2" t="s">
        <v>130</v>
      </c>
      <c r="D82" s="1"/>
      <c r="E82" s="1" t="s">
        <v>131</v>
      </c>
      <c r="F82" s="13">
        <v>0</v>
      </c>
      <c r="G82" s="14">
        <v>0</v>
      </c>
      <c r="H82" s="49"/>
    </row>
    <row r="83" spans="1:8" ht="14.1" customHeight="1" x14ac:dyDescent="0.2">
      <c r="A83" s="1"/>
      <c r="B83" s="1"/>
      <c r="C83" s="11"/>
      <c r="D83" s="1"/>
      <c r="E83" s="1"/>
      <c r="F83" s="12"/>
      <c r="G83" s="12"/>
      <c r="H83" s="49"/>
    </row>
    <row r="84" spans="1:8" ht="14.1" customHeight="1" x14ac:dyDescent="0.2">
      <c r="A84" s="1"/>
      <c r="B84" s="1"/>
      <c r="C84" s="2" t="s">
        <v>146</v>
      </c>
      <c r="D84" s="1"/>
      <c r="E84" s="1"/>
      <c r="F84" s="12"/>
      <c r="G84" s="12"/>
      <c r="H84" s="49"/>
    </row>
    <row r="85" spans="1:8" ht="14.1" customHeight="1" x14ac:dyDescent="0.2">
      <c r="A85" s="1"/>
      <c r="B85" s="1"/>
      <c r="C85" s="2" t="s">
        <v>130</v>
      </c>
      <c r="D85" s="1"/>
      <c r="E85" s="1" t="s">
        <v>131</v>
      </c>
      <c r="F85" s="13">
        <v>0</v>
      </c>
      <c r="G85" s="14">
        <v>0</v>
      </c>
      <c r="H85" s="49"/>
    </row>
    <row r="86" spans="1:8" ht="14.1" customHeight="1" x14ac:dyDescent="0.2">
      <c r="A86" s="1"/>
      <c r="B86" s="1"/>
      <c r="C86" s="11"/>
      <c r="D86" s="1"/>
      <c r="E86" s="1"/>
      <c r="F86" s="12"/>
      <c r="G86" s="12"/>
      <c r="H86" s="49"/>
    </row>
    <row r="87" spans="1:8" ht="14.1" customHeight="1" x14ac:dyDescent="0.2">
      <c r="A87" s="1"/>
      <c r="B87" s="1"/>
      <c r="C87" s="2" t="s">
        <v>147</v>
      </c>
      <c r="D87" s="1"/>
      <c r="E87" s="1"/>
      <c r="F87" s="12"/>
      <c r="G87" s="12"/>
      <c r="H87" s="49"/>
    </row>
    <row r="88" spans="1:8" ht="17.100000000000001" customHeight="1" x14ac:dyDescent="0.2">
      <c r="A88" s="3">
        <v>1</v>
      </c>
      <c r="B88" s="4"/>
      <c r="C88" s="4" t="s">
        <v>148</v>
      </c>
      <c r="D88" s="4"/>
      <c r="E88" s="8"/>
      <c r="F88" s="6">
        <v>31.656093500000001</v>
      </c>
      <c r="G88" s="7">
        <v>2.7057931E-2</v>
      </c>
      <c r="H88" s="49">
        <v>5.6572293145372496</v>
      </c>
    </row>
    <row r="89" spans="1:8" ht="14.1" customHeight="1" x14ac:dyDescent="0.2">
      <c r="A89" s="1"/>
      <c r="B89" s="1"/>
      <c r="C89" s="2" t="s">
        <v>130</v>
      </c>
      <c r="D89" s="1"/>
      <c r="E89" s="1" t="s">
        <v>131</v>
      </c>
      <c r="F89" s="9">
        <v>31.656093500000001</v>
      </c>
      <c r="G89" s="10">
        <v>2.7057931E-2</v>
      </c>
      <c r="H89" s="49"/>
    </row>
    <row r="90" spans="1:8" ht="14.1" customHeight="1" x14ac:dyDescent="0.2">
      <c r="A90" s="1"/>
      <c r="B90" s="1"/>
      <c r="C90" s="11"/>
      <c r="D90" s="1"/>
      <c r="E90" s="1"/>
      <c r="F90" s="12"/>
      <c r="G90" s="12"/>
      <c r="H90" s="49"/>
    </row>
    <row r="91" spans="1:8" ht="14.1" customHeight="1" x14ac:dyDescent="0.2">
      <c r="A91" s="1"/>
      <c r="B91" s="1"/>
      <c r="C91" s="2" t="s">
        <v>149</v>
      </c>
      <c r="D91" s="1"/>
      <c r="E91" s="1"/>
      <c r="F91" s="9">
        <v>31.656093500000001</v>
      </c>
      <c r="G91" s="10">
        <v>2.7057931E-2</v>
      </c>
      <c r="H91" s="49"/>
    </row>
    <row r="92" spans="1:8" ht="14.1" customHeight="1" x14ac:dyDescent="0.2">
      <c r="A92" s="1"/>
      <c r="B92" s="1"/>
      <c r="C92" s="12"/>
      <c r="D92" s="1"/>
      <c r="E92" s="1"/>
      <c r="F92" s="1"/>
      <c r="G92" s="1"/>
      <c r="H92" s="49"/>
    </row>
    <row r="93" spans="1:8" ht="14.1" customHeight="1" x14ac:dyDescent="0.2">
      <c r="A93" s="1"/>
      <c r="B93" s="1"/>
      <c r="C93" s="2" t="s">
        <v>150</v>
      </c>
      <c r="D93" s="1"/>
      <c r="E93" s="1"/>
      <c r="F93" s="1"/>
      <c r="G93" s="1"/>
      <c r="H93" s="49"/>
    </row>
    <row r="94" spans="1:8" ht="14.1" customHeight="1" x14ac:dyDescent="0.2">
      <c r="A94" s="1"/>
      <c r="B94" s="1"/>
      <c r="C94" s="2" t="s">
        <v>151</v>
      </c>
      <c r="D94" s="1"/>
      <c r="E94" s="1"/>
      <c r="F94" s="1"/>
      <c r="G94" s="1"/>
      <c r="H94" s="49"/>
    </row>
    <row r="95" spans="1:8" ht="14.1" customHeight="1" x14ac:dyDescent="0.2">
      <c r="A95" s="1"/>
      <c r="B95" s="1"/>
      <c r="C95" s="2" t="s">
        <v>130</v>
      </c>
      <c r="D95" s="1"/>
      <c r="E95" s="1" t="s">
        <v>131</v>
      </c>
      <c r="F95" s="13">
        <v>0</v>
      </c>
      <c r="G95" s="14">
        <v>0</v>
      </c>
      <c r="H95" s="49"/>
    </row>
    <row r="96" spans="1:8" ht="14.1" customHeight="1" x14ac:dyDescent="0.2">
      <c r="A96" s="1"/>
      <c r="B96" s="1"/>
      <c r="C96" s="11"/>
      <c r="D96" s="1"/>
      <c r="E96" s="1"/>
      <c r="F96" s="12"/>
      <c r="G96" s="12"/>
      <c r="H96" s="49"/>
    </row>
    <row r="97" spans="1:8" ht="14.1" customHeight="1" x14ac:dyDescent="0.2">
      <c r="A97" s="1"/>
      <c r="B97" s="1"/>
      <c r="C97" s="2" t="s">
        <v>152</v>
      </c>
      <c r="D97" s="1"/>
      <c r="E97" s="1"/>
      <c r="F97" s="1"/>
      <c r="G97" s="1"/>
      <c r="H97" s="49"/>
    </row>
    <row r="98" spans="1:8" ht="14.1" customHeight="1" x14ac:dyDescent="0.2">
      <c r="A98" s="1"/>
      <c r="B98" s="1"/>
      <c r="C98" s="2" t="s">
        <v>153</v>
      </c>
      <c r="D98" s="1"/>
      <c r="E98" s="1"/>
      <c r="F98" s="1"/>
      <c r="G98" s="1"/>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11"/>
      <c r="D101" s="1"/>
      <c r="E101" s="1"/>
      <c r="F101" s="12"/>
      <c r="G101" s="12"/>
      <c r="H101" s="49"/>
    </row>
    <row r="102" spans="1:8" ht="24" customHeight="1" x14ac:dyDescent="0.2">
      <c r="A102" s="1"/>
      <c r="B102" s="1"/>
      <c r="C102" s="2" t="s">
        <v>154</v>
      </c>
      <c r="D102" s="1"/>
      <c r="E102" s="1"/>
      <c r="F102" s="12"/>
      <c r="G102" s="12"/>
      <c r="H102" s="49"/>
    </row>
    <row r="103" spans="1:8" ht="14.1" customHeight="1" x14ac:dyDescent="0.2">
      <c r="A103" s="1"/>
      <c r="B103" s="1"/>
      <c r="C103" s="2" t="s">
        <v>130</v>
      </c>
      <c r="D103" s="1"/>
      <c r="E103" s="1" t="s">
        <v>131</v>
      </c>
      <c r="F103" s="13">
        <v>0</v>
      </c>
      <c r="G103" s="14">
        <v>0</v>
      </c>
      <c r="H103" s="49"/>
    </row>
    <row r="104" spans="1:8" ht="14.1" customHeight="1" x14ac:dyDescent="0.2">
      <c r="A104" s="1"/>
      <c r="B104" s="1"/>
      <c r="C104" s="11"/>
      <c r="D104" s="1"/>
      <c r="E104" s="1"/>
      <c r="F104" s="12"/>
      <c r="G104" s="12"/>
      <c r="H104" s="49"/>
    </row>
    <row r="105" spans="1:8" ht="14.1" customHeight="1" x14ac:dyDescent="0.2">
      <c r="A105" s="1"/>
      <c r="B105" s="4"/>
      <c r="C105" s="4"/>
      <c r="D105" s="2"/>
      <c r="E105" s="1"/>
      <c r="F105" s="4"/>
      <c r="G105" s="8"/>
      <c r="H105" s="49"/>
    </row>
    <row r="106" spans="1:8" ht="18" customHeight="1" x14ac:dyDescent="0.2">
      <c r="A106" s="8"/>
      <c r="B106" s="4"/>
      <c r="C106" s="4" t="s">
        <v>155</v>
      </c>
      <c r="D106" s="4"/>
      <c r="E106" s="8"/>
      <c r="F106" s="6">
        <v>14.003726110000001</v>
      </c>
      <c r="G106" s="7">
        <v>1.1969634E-2</v>
      </c>
      <c r="H106" s="49"/>
    </row>
    <row r="107" spans="1:8" ht="14.1" customHeight="1" x14ac:dyDescent="0.2">
      <c r="A107" s="11"/>
      <c r="B107" s="11"/>
      <c r="C107" s="2" t="s">
        <v>156</v>
      </c>
      <c r="D107" s="15"/>
      <c r="E107" s="15"/>
      <c r="F107" s="9">
        <v>1169.9377061099999</v>
      </c>
      <c r="G107" s="10">
        <v>1.0000000010000001</v>
      </c>
      <c r="H107" s="49"/>
    </row>
    <row r="108" spans="1:8" ht="14.1" customHeight="1" x14ac:dyDescent="0.2">
      <c r="A108" s="16"/>
      <c r="B108" s="16"/>
      <c r="C108" s="16"/>
      <c r="D108" s="17"/>
      <c r="E108" s="17"/>
      <c r="F108" s="17"/>
      <c r="G108" s="17"/>
    </row>
    <row r="109" spans="1:8" ht="14.1" customHeight="1" x14ac:dyDescent="0.2">
      <c r="A109" s="18"/>
      <c r="B109" s="18"/>
      <c r="C109" s="18"/>
      <c r="D109" s="20"/>
      <c r="E109" s="20"/>
      <c r="F109" s="20"/>
      <c r="G109" s="20"/>
    </row>
    <row r="110" spans="1:8" ht="14.1" customHeight="1" x14ac:dyDescent="0.2">
      <c r="A110" s="18"/>
      <c r="B110" s="319" t="s">
        <v>158</v>
      </c>
      <c r="C110" s="320"/>
      <c r="D110" s="12" t="s">
        <v>131</v>
      </c>
      <c r="E110" s="21"/>
      <c r="F110" s="20"/>
      <c r="G110" s="20"/>
    </row>
    <row r="111" spans="1:8" ht="29.1" customHeight="1" x14ac:dyDescent="0.2">
      <c r="A111" s="18"/>
      <c r="B111" s="323" t="s">
        <v>159</v>
      </c>
      <c r="C111" s="324"/>
      <c r="D111" s="2" t="s">
        <v>160</v>
      </c>
      <c r="E111" s="21"/>
      <c r="F111" s="20"/>
      <c r="G111" s="20"/>
    </row>
    <row r="112" spans="1:8" ht="17.100000000000001" customHeight="1" x14ac:dyDescent="0.2">
      <c r="A112" s="18"/>
      <c r="B112" s="323" t="s">
        <v>161</v>
      </c>
      <c r="C112" s="324"/>
      <c r="D112" s="2" t="s">
        <v>160</v>
      </c>
      <c r="E112" s="21"/>
      <c r="F112" s="20"/>
      <c r="G112" s="20"/>
    </row>
    <row r="113" spans="1:14" ht="17.100000000000001" customHeight="1" x14ac:dyDescent="0.2">
      <c r="A113" s="18"/>
      <c r="B113" s="323" t="s">
        <v>162</v>
      </c>
      <c r="C113" s="324"/>
      <c r="D113" s="12" t="s">
        <v>131</v>
      </c>
      <c r="E113" s="21"/>
      <c r="F113" s="20"/>
      <c r="G113" s="20"/>
    </row>
    <row r="114" spans="1:14" ht="24" customHeight="1" x14ac:dyDescent="0.2">
      <c r="A114" s="22"/>
      <c r="B114" s="23" t="s">
        <v>131</v>
      </c>
      <c r="C114" s="23" t="s">
        <v>163</v>
      </c>
      <c r="D114" s="23" t="s">
        <v>164</v>
      </c>
      <c r="E114" s="22"/>
      <c r="F114" s="22"/>
      <c r="G114" s="22"/>
    </row>
    <row r="115" spans="1:14" ht="18" customHeight="1" x14ac:dyDescent="0.2">
      <c r="A115" s="22"/>
      <c r="B115" s="23" t="s">
        <v>165</v>
      </c>
      <c r="C115" s="23" t="s">
        <v>166</v>
      </c>
      <c r="D115" s="23" t="s">
        <v>167</v>
      </c>
      <c r="E115" s="22"/>
      <c r="F115" s="22"/>
      <c r="G115" s="22"/>
    </row>
    <row r="116" spans="1:14" ht="17.100000000000001" customHeight="1" x14ac:dyDescent="0.2">
      <c r="A116" s="22"/>
      <c r="B116" s="4" t="s">
        <v>168</v>
      </c>
      <c r="C116" s="24">
        <v>25.584299999999999</v>
      </c>
      <c r="D116" s="24">
        <v>26.5565</v>
      </c>
      <c r="E116" s="22"/>
      <c r="F116" s="19"/>
      <c r="G116" s="25"/>
    </row>
    <row r="117" spans="1:14" ht="17.100000000000001" customHeight="1" x14ac:dyDescent="0.2">
      <c r="A117" s="22"/>
      <c r="B117" s="4" t="s">
        <v>1021</v>
      </c>
      <c r="C117" s="24">
        <v>20.729299999999999</v>
      </c>
      <c r="D117" s="24">
        <v>21.516999999999999</v>
      </c>
      <c r="E117" s="22"/>
      <c r="F117" s="19"/>
      <c r="G117" s="25"/>
    </row>
    <row r="118" spans="1:14" ht="17.100000000000001" customHeight="1" x14ac:dyDescent="0.2">
      <c r="A118" s="22"/>
      <c r="B118" s="4" t="s">
        <v>169</v>
      </c>
      <c r="C118" s="24">
        <v>24.9636</v>
      </c>
      <c r="D118" s="24">
        <v>25.908300000000001</v>
      </c>
      <c r="E118" s="22"/>
      <c r="F118" s="19"/>
      <c r="G118" s="25"/>
    </row>
    <row r="119" spans="1:14" ht="17.100000000000001" customHeight="1" x14ac:dyDescent="0.2">
      <c r="A119" s="22"/>
      <c r="B119" s="4" t="s">
        <v>1022</v>
      </c>
      <c r="C119" s="24">
        <v>20.148800000000001</v>
      </c>
      <c r="D119" s="24">
        <v>20.911300000000001</v>
      </c>
      <c r="E119" s="22"/>
      <c r="F119" s="19"/>
      <c r="G119" s="25"/>
    </row>
    <row r="120" spans="1:14" ht="14.1" customHeight="1" x14ac:dyDescent="0.2">
      <c r="A120" s="22"/>
      <c r="B120" s="22"/>
      <c r="C120" s="22"/>
      <c r="D120" s="22"/>
      <c r="E120" s="22"/>
      <c r="F120" s="22"/>
      <c r="G120" s="22"/>
    </row>
    <row r="121" spans="1:14" ht="17.100000000000001" customHeight="1" x14ac:dyDescent="0.2">
      <c r="A121" s="22"/>
      <c r="B121" s="323" t="s">
        <v>1023</v>
      </c>
      <c r="C121" s="324"/>
      <c r="D121" s="57" t="s">
        <v>160</v>
      </c>
      <c r="E121" s="22"/>
      <c r="F121" s="22"/>
      <c r="G121" s="22"/>
    </row>
    <row r="122" spans="1:14" ht="18" customHeight="1" x14ac:dyDescent="0.2">
      <c r="A122" s="22"/>
      <c r="B122" s="28"/>
      <c r="C122" s="28"/>
      <c r="D122" s="26"/>
      <c r="E122" s="22"/>
      <c r="F122" s="22"/>
      <c r="G122" s="22"/>
    </row>
    <row r="123" spans="1:14" ht="29.1" customHeight="1" x14ac:dyDescent="0.2">
      <c r="A123" s="22"/>
      <c r="B123" s="323" t="s">
        <v>170</v>
      </c>
      <c r="C123" s="324"/>
      <c r="D123" s="2" t="s">
        <v>160</v>
      </c>
      <c r="E123" s="22"/>
      <c r="F123" s="22"/>
      <c r="G123" s="22"/>
    </row>
    <row r="124" spans="1:14" ht="29.1" customHeight="1" x14ac:dyDescent="0.2">
      <c r="A124" s="22"/>
      <c r="B124" s="323" t="s">
        <v>171</v>
      </c>
      <c r="C124" s="324"/>
      <c r="D124" s="2" t="s">
        <v>160</v>
      </c>
      <c r="E124" s="22"/>
      <c r="F124" s="22"/>
      <c r="G124" s="22"/>
    </row>
    <row r="125" spans="1:14" ht="17.100000000000001" customHeight="1" x14ac:dyDescent="0.2">
      <c r="A125" s="22"/>
      <c r="B125" s="323" t="s">
        <v>172</v>
      </c>
      <c r="C125" s="324"/>
      <c r="D125" s="27">
        <v>4.9047236111285718E-2</v>
      </c>
      <c r="E125" s="22"/>
      <c r="F125" s="19"/>
      <c r="G125" s="25"/>
    </row>
    <row r="126" spans="1:14" ht="17.100000000000001" customHeight="1" x14ac:dyDescent="0.2">
      <c r="A126" s="22"/>
      <c r="B126" s="323" t="s">
        <v>173</v>
      </c>
      <c r="C126" s="324"/>
      <c r="D126" s="2" t="s">
        <v>160</v>
      </c>
      <c r="E126" s="22"/>
      <c r="F126" s="22"/>
      <c r="G126" s="22"/>
    </row>
    <row r="127" spans="1:14" x14ac:dyDescent="0.2">
      <c r="J127" s="218"/>
      <c r="K127" s="218"/>
      <c r="L127" s="218"/>
      <c r="M127" s="218"/>
      <c r="N127" s="218"/>
    </row>
  </sheetData>
  <mergeCells count="13">
    <mergeCell ref="J2:N2"/>
    <mergeCell ref="B126:C126"/>
    <mergeCell ref="B111:C111"/>
    <mergeCell ref="B112:C112"/>
    <mergeCell ref="B113:C113"/>
    <mergeCell ref="B121:C121"/>
    <mergeCell ref="B123:C123"/>
    <mergeCell ref="B124:C124"/>
    <mergeCell ref="A1:H1"/>
    <mergeCell ref="A2:H2"/>
    <mergeCell ref="A3:H3"/>
    <mergeCell ref="B110:C110"/>
    <mergeCell ref="B125:C125"/>
  </mergeCells>
  <hyperlinks>
    <hyperlink ref="I1" location="Index!B17" display="Index" xr:uid="{E88E9C4F-8F97-4E85-B993-0C71B155CF3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O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489</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417</v>
      </c>
      <c r="C7" s="4" t="s">
        <v>418</v>
      </c>
      <c r="D7" s="4" t="s">
        <v>974</v>
      </c>
      <c r="E7" s="5">
        <v>37699</v>
      </c>
      <c r="F7" s="6">
        <v>269.49130150000002</v>
      </c>
      <c r="G7" s="7">
        <v>3.9209664999999998E-2</v>
      </c>
      <c r="H7" s="49"/>
    </row>
    <row r="8" spans="1:15" ht="17.100000000000001" customHeight="1" x14ac:dyDescent="0.2">
      <c r="A8" s="3">
        <v>2</v>
      </c>
      <c r="B8" s="4" t="s">
        <v>315</v>
      </c>
      <c r="C8" s="4" t="s">
        <v>316</v>
      </c>
      <c r="D8" s="4" t="s">
        <v>317</v>
      </c>
      <c r="E8" s="5">
        <v>16028</v>
      </c>
      <c r="F8" s="6">
        <v>255.99120199999999</v>
      </c>
      <c r="G8" s="7">
        <v>3.7245465999999998E-2</v>
      </c>
      <c r="H8" s="49"/>
    </row>
    <row r="9" spans="1:15" ht="17.100000000000001" customHeight="1" x14ac:dyDescent="0.2">
      <c r="A9" s="3">
        <v>3</v>
      </c>
      <c r="B9" s="4" t="s">
        <v>106</v>
      </c>
      <c r="C9" s="4" t="s">
        <v>107</v>
      </c>
      <c r="D9" s="4" t="s">
        <v>108</v>
      </c>
      <c r="E9" s="5">
        <v>65253</v>
      </c>
      <c r="F9" s="6">
        <v>252.3007245</v>
      </c>
      <c r="G9" s="7">
        <v>3.6708520000000001E-2</v>
      </c>
      <c r="H9" s="49"/>
    </row>
    <row r="10" spans="1:15" ht="17.100000000000001" customHeight="1" x14ac:dyDescent="0.2">
      <c r="A10" s="3">
        <v>4</v>
      </c>
      <c r="B10" s="4" t="s">
        <v>29</v>
      </c>
      <c r="C10" s="4" t="s">
        <v>30</v>
      </c>
      <c r="D10" s="4" t="s">
        <v>31</v>
      </c>
      <c r="E10" s="5">
        <v>12434</v>
      </c>
      <c r="F10" s="6">
        <v>251.70146199999999</v>
      </c>
      <c r="G10" s="7">
        <v>3.6621330000000001E-2</v>
      </c>
      <c r="H10" s="49"/>
    </row>
    <row r="11" spans="1:15" ht="17.100000000000001" customHeight="1" x14ac:dyDescent="0.2">
      <c r="A11" s="3">
        <v>5</v>
      </c>
      <c r="B11" s="4" t="s">
        <v>83</v>
      </c>
      <c r="C11" s="4" t="s">
        <v>84</v>
      </c>
      <c r="D11" s="4" t="s">
        <v>31</v>
      </c>
      <c r="E11" s="5">
        <v>15897</v>
      </c>
      <c r="F11" s="6">
        <v>242.794881</v>
      </c>
      <c r="G11" s="7">
        <v>3.5325466E-2</v>
      </c>
      <c r="H11" s="49"/>
    </row>
    <row r="12" spans="1:15" ht="17.100000000000001" customHeight="1" x14ac:dyDescent="0.2">
      <c r="A12" s="3">
        <v>6</v>
      </c>
      <c r="B12" s="4" t="s">
        <v>389</v>
      </c>
      <c r="C12" s="4" t="s">
        <v>390</v>
      </c>
      <c r="D12" s="4" t="s">
        <v>103</v>
      </c>
      <c r="E12" s="5">
        <v>192978</v>
      </c>
      <c r="F12" s="6">
        <v>230.41573199999999</v>
      </c>
      <c r="G12" s="7">
        <v>3.3524361000000003E-2</v>
      </c>
      <c r="H12" s="49"/>
    </row>
    <row r="13" spans="1:15" ht="17.100000000000001" customHeight="1" x14ac:dyDescent="0.2">
      <c r="A13" s="3">
        <v>7</v>
      </c>
      <c r="B13" s="4" t="s">
        <v>419</v>
      </c>
      <c r="C13" s="4" t="s">
        <v>420</v>
      </c>
      <c r="D13" s="4" t="s">
        <v>227</v>
      </c>
      <c r="E13" s="5">
        <v>72529</v>
      </c>
      <c r="F13" s="6">
        <v>214.57704649999999</v>
      </c>
      <c r="G13" s="7">
        <v>3.1219909000000001E-2</v>
      </c>
      <c r="H13" s="49"/>
      <c r="J13" s="217" t="s">
        <v>1080</v>
      </c>
    </row>
    <row r="14" spans="1:15" ht="29.1" customHeight="1" x14ac:dyDescent="0.2">
      <c r="A14" s="3">
        <v>8</v>
      </c>
      <c r="B14" s="4" t="s">
        <v>197</v>
      </c>
      <c r="C14" s="4" t="s">
        <v>198</v>
      </c>
      <c r="D14" s="4" t="s">
        <v>193</v>
      </c>
      <c r="E14" s="5">
        <v>4936</v>
      </c>
      <c r="F14" s="6">
        <v>214.343332</v>
      </c>
      <c r="G14" s="7">
        <v>3.1185905E-2</v>
      </c>
      <c r="H14" s="49"/>
    </row>
    <row r="15" spans="1:15" ht="17.100000000000001" customHeight="1" x14ac:dyDescent="0.2">
      <c r="A15" s="3">
        <v>9</v>
      </c>
      <c r="B15" s="4" t="s">
        <v>370</v>
      </c>
      <c r="C15" s="4" t="s">
        <v>371</v>
      </c>
      <c r="D15" s="4" t="s">
        <v>108</v>
      </c>
      <c r="E15" s="5">
        <v>37592</v>
      </c>
      <c r="F15" s="6">
        <v>203.89900800000001</v>
      </c>
      <c r="G15" s="7">
        <v>2.9666306999999999E-2</v>
      </c>
      <c r="H15" s="49"/>
    </row>
    <row r="16" spans="1:15" ht="17.100000000000001" customHeight="1" x14ac:dyDescent="0.2">
      <c r="A16" s="3">
        <v>10</v>
      </c>
      <c r="B16" s="4" t="s">
        <v>300</v>
      </c>
      <c r="C16" s="4" t="s">
        <v>301</v>
      </c>
      <c r="D16" s="4" t="s">
        <v>230</v>
      </c>
      <c r="E16" s="5">
        <v>36966</v>
      </c>
      <c r="F16" s="6">
        <v>199.43156999999999</v>
      </c>
      <c r="G16" s="7">
        <v>2.9016317E-2</v>
      </c>
      <c r="H16" s="49"/>
    </row>
    <row r="17" spans="1:8" ht="17.100000000000001" customHeight="1" x14ac:dyDescent="0.2">
      <c r="A17" s="3">
        <v>11</v>
      </c>
      <c r="B17" s="4" t="s">
        <v>98</v>
      </c>
      <c r="C17" s="4" t="s">
        <v>99</v>
      </c>
      <c r="D17" s="4" t="s">
        <v>100</v>
      </c>
      <c r="E17" s="5">
        <v>40332</v>
      </c>
      <c r="F17" s="6">
        <v>196.11435</v>
      </c>
      <c r="G17" s="7">
        <v>2.8533678E-2</v>
      </c>
      <c r="H17" s="49"/>
    </row>
    <row r="18" spans="1:8" ht="17.100000000000001" customHeight="1" x14ac:dyDescent="0.2">
      <c r="A18" s="3">
        <v>12</v>
      </c>
      <c r="B18" s="4" t="s">
        <v>34</v>
      </c>
      <c r="C18" s="4" t="s">
        <v>35</v>
      </c>
      <c r="D18" s="4" t="s">
        <v>31</v>
      </c>
      <c r="E18" s="5">
        <v>10116</v>
      </c>
      <c r="F18" s="6">
        <v>194.166504</v>
      </c>
      <c r="G18" s="7">
        <v>2.8250274999999998E-2</v>
      </c>
      <c r="H18" s="49"/>
    </row>
    <row r="19" spans="1:8" ht="17.100000000000001" customHeight="1" x14ac:dyDescent="0.2">
      <c r="A19" s="3">
        <v>13</v>
      </c>
      <c r="B19" s="4" t="s">
        <v>398</v>
      </c>
      <c r="C19" s="4" t="s">
        <v>399</v>
      </c>
      <c r="D19" s="4" t="s">
        <v>108</v>
      </c>
      <c r="E19" s="5">
        <v>11132</v>
      </c>
      <c r="F19" s="6">
        <v>181.67424</v>
      </c>
      <c r="G19" s="7">
        <v>2.6432712000000001E-2</v>
      </c>
      <c r="H19" s="49"/>
    </row>
    <row r="20" spans="1:8" ht="29.1" customHeight="1" x14ac:dyDescent="0.2">
      <c r="A20" s="3">
        <v>14</v>
      </c>
      <c r="B20" s="4" t="s">
        <v>425</v>
      </c>
      <c r="C20" s="4" t="s">
        <v>426</v>
      </c>
      <c r="D20" s="4" t="s">
        <v>48</v>
      </c>
      <c r="E20" s="5">
        <v>6607</v>
      </c>
      <c r="F20" s="6">
        <v>181.329115</v>
      </c>
      <c r="G20" s="7">
        <v>2.6382498000000001E-2</v>
      </c>
      <c r="H20" s="49"/>
    </row>
    <row r="21" spans="1:8" ht="17.100000000000001" customHeight="1" x14ac:dyDescent="0.2">
      <c r="A21" s="3">
        <v>15</v>
      </c>
      <c r="B21" s="4" t="s">
        <v>318</v>
      </c>
      <c r="C21" s="4" t="s">
        <v>319</v>
      </c>
      <c r="D21" s="4" t="s">
        <v>233</v>
      </c>
      <c r="E21" s="5">
        <v>12562</v>
      </c>
      <c r="F21" s="6">
        <v>169.58699999999999</v>
      </c>
      <c r="G21" s="7">
        <v>2.4674077999999999E-2</v>
      </c>
      <c r="H21" s="49"/>
    </row>
    <row r="22" spans="1:8" ht="29.1" customHeight="1" x14ac:dyDescent="0.2">
      <c r="A22" s="3">
        <v>16</v>
      </c>
      <c r="B22" s="4" t="s">
        <v>61</v>
      </c>
      <c r="C22" s="4" t="s">
        <v>62</v>
      </c>
      <c r="D22" s="4" t="s">
        <v>25</v>
      </c>
      <c r="E22" s="5">
        <v>5414</v>
      </c>
      <c r="F22" s="6">
        <v>166.73495800000001</v>
      </c>
      <c r="G22" s="7">
        <v>2.4259119999999999E-2</v>
      </c>
      <c r="H22" s="49"/>
    </row>
    <row r="23" spans="1:8" ht="17.100000000000001" customHeight="1" x14ac:dyDescent="0.2">
      <c r="A23" s="3">
        <v>17</v>
      </c>
      <c r="B23" s="4" t="s">
        <v>457</v>
      </c>
      <c r="C23" s="4" t="s">
        <v>458</v>
      </c>
      <c r="D23" s="4" t="s">
        <v>13</v>
      </c>
      <c r="E23" s="5">
        <v>31964</v>
      </c>
      <c r="F23" s="6">
        <v>162.10542599999999</v>
      </c>
      <c r="G23" s="7">
        <v>2.3585545999999999E-2</v>
      </c>
      <c r="H23" s="49"/>
    </row>
    <row r="24" spans="1:8" ht="17.100000000000001" customHeight="1" x14ac:dyDescent="0.2">
      <c r="A24" s="3">
        <v>18</v>
      </c>
      <c r="B24" s="4" t="s">
        <v>469</v>
      </c>
      <c r="C24" s="4" t="s">
        <v>470</v>
      </c>
      <c r="D24" s="4" t="s">
        <v>233</v>
      </c>
      <c r="E24" s="5">
        <v>65797</v>
      </c>
      <c r="F24" s="6">
        <v>146.858904</v>
      </c>
      <c r="G24" s="7">
        <v>2.1367251E-2</v>
      </c>
      <c r="H24" s="49"/>
    </row>
    <row r="25" spans="1:8" ht="17.100000000000001" customHeight="1" x14ac:dyDescent="0.2">
      <c r="A25" s="3">
        <v>19</v>
      </c>
      <c r="B25" s="4" t="s">
        <v>372</v>
      </c>
      <c r="C25" s="4" t="s">
        <v>373</v>
      </c>
      <c r="D25" s="4" t="s">
        <v>103</v>
      </c>
      <c r="E25" s="5">
        <v>26340</v>
      </c>
      <c r="F25" s="6">
        <v>145.67337000000001</v>
      </c>
      <c r="G25" s="7">
        <v>2.1194761999999999E-2</v>
      </c>
      <c r="H25" s="49"/>
    </row>
    <row r="26" spans="1:8" ht="29.1" customHeight="1" x14ac:dyDescent="0.2">
      <c r="A26" s="3">
        <v>20</v>
      </c>
      <c r="B26" s="4" t="s">
        <v>421</v>
      </c>
      <c r="C26" s="4" t="s">
        <v>422</v>
      </c>
      <c r="D26" s="4" t="s">
        <v>215</v>
      </c>
      <c r="E26" s="5">
        <v>36034</v>
      </c>
      <c r="F26" s="6">
        <v>143.28920099999999</v>
      </c>
      <c r="G26" s="7">
        <v>2.0847877000000001E-2</v>
      </c>
      <c r="H26" s="49"/>
    </row>
    <row r="27" spans="1:8" ht="17.100000000000001" customHeight="1" x14ac:dyDescent="0.2">
      <c r="A27" s="3">
        <v>21</v>
      </c>
      <c r="B27" s="4" t="s">
        <v>423</v>
      </c>
      <c r="C27" s="4" t="s">
        <v>424</v>
      </c>
      <c r="D27" s="4" t="s">
        <v>233</v>
      </c>
      <c r="E27" s="5">
        <v>18794</v>
      </c>
      <c r="F27" s="6">
        <v>136.237706</v>
      </c>
      <c r="G27" s="7">
        <v>1.9821919E-2</v>
      </c>
      <c r="H27" s="49"/>
    </row>
    <row r="28" spans="1:8" ht="17.100000000000001" customHeight="1" x14ac:dyDescent="0.2">
      <c r="A28" s="3">
        <v>22</v>
      </c>
      <c r="B28" s="4" t="s">
        <v>404</v>
      </c>
      <c r="C28" s="4" t="s">
        <v>405</v>
      </c>
      <c r="D28" s="4" t="s">
        <v>317</v>
      </c>
      <c r="E28" s="5">
        <v>8551</v>
      </c>
      <c r="F28" s="6">
        <v>133.59654850000001</v>
      </c>
      <c r="G28" s="7">
        <v>1.9437644E-2</v>
      </c>
      <c r="H28" s="49"/>
    </row>
    <row r="29" spans="1:8" ht="17.100000000000001" customHeight="1" x14ac:dyDescent="0.2">
      <c r="A29" s="3">
        <v>23</v>
      </c>
      <c r="B29" s="4" t="s">
        <v>376</v>
      </c>
      <c r="C29" s="4" t="s">
        <v>377</v>
      </c>
      <c r="D29" s="4" t="s">
        <v>108</v>
      </c>
      <c r="E29" s="5">
        <v>20256</v>
      </c>
      <c r="F29" s="6">
        <v>123.419808</v>
      </c>
      <c r="G29" s="7">
        <v>1.7956977999999998E-2</v>
      </c>
      <c r="H29" s="49"/>
    </row>
    <row r="30" spans="1:8" ht="17.100000000000001" customHeight="1" x14ac:dyDescent="0.2">
      <c r="A30" s="3">
        <v>24</v>
      </c>
      <c r="B30" s="4" t="s">
        <v>412</v>
      </c>
      <c r="C30" s="4" t="s">
        <v>413</v>
      </c>
      <c r="D30" s="4" t="s">
        <v>267</v>
      </c>
      <c r="E30" s="5">
        <v>38459</v>
      </c>
      <c r="F30" s="6">
        <v>122.5496035</v>
      </c>
      <c r="G30" s="7">
        <v>1.7830367E-2</v>
      </c>
      <c r="H30" s="49"/>
    </row>
    <row r="31" spans="1:8" ht="29.1" customHeight="1" x14ac:dyDescent="0.2">
      <c r="A31" s="3">
        <v>25</v>
      </c>
      <c r="B31" s="4" t="s">
        <v>429</v>
      </c>
      <c r="C31" s="4" t="s">
        <v>430</v>
      </c>
      <c r="D31" s="4" t="s">
        <v>431</v>
      </c>
      <c r="E31" s="5">
        <v>96813</v>
      </c>
      <c r="F31" s="6">
        <v>122.2264125</v>
      </c>
      <c r="G31" s="7">
        <v>1.7783344E-2</v>
      </c>
      <c r="H31" s="49"/>
    </row>
    <row r="32" spans="1:8" ht="29.1" customHeight="1" x14ac:dyDescent="0.2">
      <c r="A32" s="3">
        <v>26</v>
      </c>
      <c r="B32" s="4" t="s">
        <v>442</v>
      </c>
      <c r="C32" s="4" t="s">
        <v>443</v>
      </c>
      <c r="D32" s="4" t="s">
        <v>364</v>
      </c>
      <c r="E32" s="5">
        <v>18954</v>
      </c>
      <c r="F32" s="6">
        <v>114.17889599999999</v>
      </c>
      <c r="G32" s="7">
        <v>1.6612470000000001E-2</v>
      </c>
      <c r="H32" s="49"/>
    </row>
    <row r="33" spans="1:8" ht="53.1" customHeight="1" x14ac:dyDescent="0.2">
      <c r="A33" s="3">
        <v>27</v>
      </c>
      <c r="B33" s="4" t="s">
        <v>336</v>
      </c>
      <c r="C33" s="4" t="s">
        <v>1043</v>
      </c>
      <c r="D33" s="4" t="s">
        <v>51</v>
      </c>
      <c r="E33" s="5">
        <v>33472</v>
      </c>
      <c r="F33" s="6">
        <v>113.537024</v>
      </c>
      <c r="G33" s="7">
        <v>1.6519081000000001E-2</v>
      </c>
      <c r="H33" s="49"/>
    </row>
    <row r="34" spans="1:8" ht="17.100000000000001" customHeight="1" x14ac:dyDescent="0.2">
      <c r="A34" s="3">
        <v>28</v>
      </c>
      <c r="B34" s="4" t="s">
        <v>374</v>
      </c>
      <c r="C34" s="4" t="s">
        <v>375</v>
      </c>
      <c r="D34" s="4" t="s">
        <v>103</v>
      </c>
      <c r="E34" s="5">
        <v>15340</v>
      </c>
      <c r="F34" s="6">
        <v>112.54958000000001</v>
      </c>
      <c r="G34" s="7">
        <v>1.6375412999999998E-2</v>
      </c>
      <c r="H34" s="49"/>
    </row>
    <row r="35" spans="1:8" ht="17.100000000000001" customHeight="1" x14ac:dyDescent="0.2">
      <c r="A35" s="3">
        <v>29</v>
      </c>
      <c r="B35" s="4" t="s">
        <v>449</v>
      </c>
      <c r="C35" s="4" t="s">
        <v>450</v>
      </c>
      <c r="D35" s="4" t="s">
        <v>1042</v>
      </c>
      <c r="E35" s="5">
        <v>12295</v>
      </c>
      <c r="F35" s="6">
        <v>102.94603499999999</v>
      </c>
      <c r="G35" s="7">
        <v>1.4978144000000001E-2</v>
      </c>
      <c r="H35" s="49"/>
    </row>
    <row r="36" spans="1:8" ht="17.100000000000001" customHeight="1" x14ac:dyDescent="0.2">
      <c r="A36" s="3">
        <v>30</v>
      </c>
      <c r="B36" s="4" t="s">
        <v>432</v>
      </c>
      <c r="C36" s="4" t="s">
        <v>433</v>
      </c>
      <c r="D36" s="4" t="s">
        <v>103</v>
      </c>
      <c r="E36" s="5">
        <v>124593</v>
      </c>
      <c r="F36" s="6">
        <v>102.10396350000001</v>
      </c>
      <c r="G36" s="7">
        <v>1.4855627E-2</v>
      </c>
      <c r="H36" s="49"/>
    </row>
    <row r="37" spans="1:8" ht="29.1" customHeight="1" x14ac:dyDescent="0.2">
      <c r="A37" s="3">
        <v>31</v>
      </c>
      <c r="B37" s="4" t="s">
        <v>451</v>
      </c>
      <c r="C37" s="4" t="s">
        <v>452</v>
      </c>
      <c r="D37" s="4" t="s">
        <v>364</v>
      </c>
      <c r="E37" s="5">
        <v>18519</v>
      </c>
      <c r="F37" s="6">
        <v>101.132259</v>
      </c>
      <c r="G37" s="7">
        <v>1.4714247999999999E-2</v>
      </c>
      <c r="H37" s="49"/>
    </row>
    <row r="38" spans="1:8" ht="29.1" customHeight="1" x14ac:dyDescent="0.2">
      <c r="A38" s="3">
        <v>32</v>
      </c>
      <c r="B38" s="4" t="s">
        <v>385</v>
      </c>
      <c r="C38" s="4" t="s">
        <v>386</v>
      </c>
      <c r="D38" s="4" t="s">
        <v>69</v>
      </c>
      <c r="E38" s="5">
        <v>6367</v>
      </c>
      <c r="F38" s="6">
        <v>101.02200550000001</v>
      </c>
      <c r="G38" s="7">
        <v>1.4698207E-2</v>
      </c>
      <c r="H38" s="49"/>
    </row>
    <row r="39" spans="1:8" ht="29.1" customHeight="1" x14ac:dyDescent="0.2">
      <c r="A39" s="3">
        <v>33</v>
      </c>
      <c r="B39" s="4" t="s">
        <v>466</v>
      </c>
      <c r="C39" s="4" t="s">
        <v>467</v>
      </c>
      <c r="D39" s="4" t="s">
        <v>468</v>
      </c>
      <c r="E39" s="5">
        <v>20856</v>
      </c>
      <c r="F39" s="6">
        <v>88.909127999999995</v>
      </c>
      <c r="G39" s="7">
        <v>1.2935843000000001E-2</v>
      </c>
      <c r="H39" s="49"/>
    </row>
    <row r="40" spans="1:8" ht="17.100000000000001" customHeight="1" x14ac:dyDescent="0.2">
      <c r="A40" s="3">
        <v>34</v>
      </c>
      <c r="B40" s="4" t="s">
        <v>427</v>
      </c>
      <c r="C40" s="4" t="s">
        <v>428</v>
      </c>
      <c r="D40" s="4" t="s">
        <v>13</v>
      </c>
      <c r="E40" s="5">
        <v>104608</v>
      </c>
      <c r="F40" s="6">
        <v>83.006448000000006</v>
      </c>
      <c r="G40" s="7">
        <v>1.2077032E-2</v>
      </c>
      <c r="H40" s="49"/>
    </row>
    <row r="41" spans="1:8" ht="29.1" customHeight="1" x14ac:dyDescent="0.2">
      <c r="A41" s="3">
        <v>35</v>
      </c>
      <c r="B41" s="4" t="s">
        <v>490</v>
      </c>
      <c r="C41" s="4" t="s">
        <v>491</v>
      </c>
      <c r="D41" s="4" t="s">
        <v>69</v>
      </c>
      <c r="E41" s="5">
        <v>26477</v>
      </c>
      <c r="F41" s="6">
        <v>81.893360999999999</v>
      </c>
      <c r="G41" s="7">
        <v>1.1915083E-2</v>
      </c>
      <c r="H41" s="49"/>
    </row>
    <row r="42" spans="1:8" ht="17.100000000000001" customHeight="1" x14ac:dyDescent="0.2">
      <c r="A42" s="3">
        <v>36</v>
      </c>
      <c r="B42" s="4" t="s">
        <v>391</v>
      </c>
      <c r="C42" s="4" t="s">
        <v>392</v>
      </c>
      <c r="D42" s="4" t="s">
        <v>196</v>
      </c>
      <c r="E42" s="5">
        <v>10328</v>
      </c>
      <c r="F42" s="6">
        <v>77.506476000000006</v>
      </c>
      <c r="G42" s="7">
        <v>1.1276813E-2</v>
      </c>
      <c r="H42" s="49"/>
    </row>
    <row r="43" spans="1:8" ht="17.100000000000001" customHeight="1" x14ac:dyDescent="0.2">
      <c r="A43" s="3">
        <v>37</v>
      </c>
      <c r="B43" s="4" t="s">
        <v>453</v>
      </c>
      <c r="C43" s="4" t="s">
        <v>454</v>
      </c>
      <c r="D43" s="4" t="s">
        <v>38</v>
      </c>
      <c r="E43" s="5">
        <v>27402</v>
      </c>
      <c r="F43" s="6">
        <v>76.615992000000006</v>
      </c>
      <c r="G43" s="7">
        <v>1.1147252E-2</v>
      </c>
      <c r="H43" s="49"/>
    </row>
    <row r="44" spans="1:8" ht="29.1" customHeight="1" x14ac:dyDescent="0.2">
      <c r="A44" s="3">
        <v>38</v>
      </c>
      <c r="B44" s="4" t="s">
        <v>283</v>
      </c>
      <c r="C44" s="4" t="s">
        <v>284</v>
      </c>
      <c r="D44" s="4" t="s">
        <v>193</v>
      </c>
      <c r="E44" s="5">
        <v>10502</v>
      </c>
      <c r="F44" s="6">
        <v>75.514630999999994</v>
      </c>
      <c r="G44" s="7">
        <v>1.0987009000000001E-2</v>
      </c>
      <c r="H44" s="49"/>
    </row>
    <row r="45" spans="1:8" ht="29.1" customHeight="1" x14ac:dyDescent="0.2">
      <c r="A45" s="3">
        <v>39</v>
      </c>
      <c r="B45" s="4" t="s">
        <v>378</v>
      </c>
      <c r="C45" s="4" t="s">
        <v>379</v>
      </c>
      <c r="D45" s="4" t="s">
        <v>380</v>
      </c>
      <c r="E45" s="5">
        <v>18905</v>
      </c>
      <c r="F45" s="6">
        <v>75.137922500000002</v>
      </c>
      <c r="G45" s="7">
        <v>1.09322E-2</v>
      </c>
      <c r="H45" s="49"/>
    </row>
    <row r="46" spans="1:8" ht="29.1" customHeight="1" x14ac:dyDescent="0.2">
      <c r="A46" s="3">
        <v>40</v>
      </c>
      <c r="B46" s="4" t="s">
        <v>459</v>
      </c>
      <c r="C46" s="4" t="s">
        <v>460</v>
      </c>
      <c r="D46" s="4" t="s">
        <v>380</v>
      </c>
      <c r="E46" s="5">
        <v>16350</v>
      </c>
      <c r="F46" s="6">
        <v>71.547600000000003</v>
      </c>
      <c r="G46" s="7">
        <v>1.0409824999999999E-2</v>
      </c>
      <c r="H46" s="49"/>
    </row>
    <row r="47" spans="1:8" ht="17.100000000000001" customHeight="1" x14ac:dyDescent="0.2">
      <c r="A47" s="3">
        <v>41</v>
      </c>
      <c r="B47" s="4" t="s">
        <v>410</v>
      </c>
      <c r="C47" s="4" t="s">
        <v>411</v>
      </c>
      <c r="D47" s="4" t="s">
        <v>89</v>
      </c>
      <c r="E47" s="5">
        <v>10808</v>
      </c>
      <c r="F47" s="6">
        <v>70.889672000000004</v>
      </c>
      <c r="G47" s="7">
        <v>1.03141E-2</v>
      </c>
      <c r="H47" s="49"/>
    </row>
    <row r="48" spans="1:8" ht="29.1" customHeight="1" x14ac:dyDescent="0.2">
      <c r="A48" s="3">
        <v>42</v>
      </c>
      <c r="B48" s="4" t="s">
        <v>406</v>
      </c>
      <c r="C48" s="4" t="s">
        <v>407</v>
      </c>
      <c r="D48" s="4" t="s">
        <v>108</v>
      </c>
      <c r="E48" s="5">
        <v>5046</v>
      </c>
      <c r="F48" s="6">
        <v>59.383851</v>
      </c>
      <c r="G48" s="7">
        <v>8.6400599999999998E-3</v>
      </c>
      <c r="H48" s="49"/>
    </row>
    <row r="49" spans="1:8" ht="17.100000000000001" customHeight="1" x14ac:dyDescent="0.2">
      <c r="A49" s="3">
        <v>43</v>
      </c>
      <c r="B49" s="4" t="s">
        <v>434</v>
      </c>
      <c r="C49" s="4" t="s">
        <v>435</v>
      </c>
      <c r="D49" s="4" t="s">
        <v>218</v>
      </c>
      <c r="E49" s="5">
        <v>7165</v>
      </c>
      <c r="F49" s="6">
        <v>54.819414999999999</v>
      </c>
      <c r="G49" s="7">
        <v>7.9759559999999993E-3</v>
      </c>
      <c r="H49" s="49"/>
    </row>
    <row r="50" spans="1:8" ht="17.100000000000001" customHeight="1" x14ac:dyDescent="0.2">
      <c r="A50" s="3">
        <v>44</v>
      </c>
      <c r="B50" s="4" t="s">
        <v>408</v>
      </c>
      <c r="C50" s="4" t="s">
        <v>409</v>
      </c>
      <c r="D50" s="4" t="s">
        <v>108</v>
      </c>
      <c r="E50" s="5">
        <v>20113</v>
      </c>
      <c r="F50" s="6">
        <v>53.701709999999999</v>
      </c>
      <c r="G50" s="7">
        <v>7.8133360000000006E-3</v>
      </c>
      <c r="H50" s="49"/>
    </row>
    <row r="51" spans="1:8" ht="29.1" customHeight="1" x14ac:dyDescent="0.2">
      <c r="A51" s="3">
        <v>45</v>
      </c>
      <c r="B51" s="4" t="s">
        <v>387</v>
      </c>
      <c r="C51" s="4" t="s">
        <v>388</v>
      </c>
      <c r="D51" s="4" t="s">
        <v>215</v>
      </c>
      <c r="E51" s="5">
        <v>1052</v>
      </c>
      <c r="F51" s="6">
        <v>43.805280000000003</v>
      </c>
      <c r="G51" s="7">
        <v>6.3734539999999998E-3</v>
      </c>
      <c r="H51" s="49"/>
    </row>
    <row r="52" spans="1:8" ht="17.100000000000001" customHeight="1" x14ac:dyDescent="0.2">
      <c r="A52" s="3">
        <v>46</v>
      </c>
      <c r="B52" s="4" t="s">
        <v>393</v>
      </c>
      <c r="C52" s="4" t="s">
        <v>394</v>
      </c>
      <c r="D52" s="4" t="s">
        <v>16</v>
      </c>
      <c r="E52" s="5">
        <v>18341</v>
      </c>
      <c r="F52" s="6">
        <v>40.038403000000002</v>
      </c>
      <c r="G52" s="7">
        <v>5.8253920000000004E-3</v>
      </c>
      <c r="H52" s="49"/>
    </row>
    <row r="53" spans="1:8" ht="17.100000000000001" customHeight="1" x14ac:dyDescent="0.2">
      <c r="A53" s="3">
        <v>47</v>
      </c>
      <c r="B53" s="4" t="s">
        <v>438</v>
      </c>
      <c r="C53" s="4" t="s">
        <v>439</v>
      </c>
      <c r="D53" s="4" t="s">
        <v>31</v>
      </c>
      <c r="E53" s="5">
        <v>4443</v>
      </c>
      <c r="F53" s="6">
        <v>39.205032000000003</v>
      </c>
      <c r="G53" s="7">
        <v>5.7041399999999999E-3</v>
      </c>
      <c r="H53" s="49"/>
    </row>
    <row r="54" spans="1:8" ht="17.100000000000001" customHeight="1" x14ac:dyDescent="0.2">
      <c r="A54" s="3">
        <v>48</v>
      </c>
      <c r="B54" s="4" t="s">
        <v>121</v>
      </c>
      <c r="C54" s="4" t="s">
        <v>122</v>
      </c>
      <c r="D54" s="4" t="s">
        <v>108</v>
      </c>
      <c r="E54" s="5">
        <v>1940</v>
      </c>
      <c r="F54" s="6">
        <v>37.330449999999999</v>
      </c>
      <c r="G54" s="7">
        <v>5.4313979999999996E-3</v>
      </c>
      <c r="H54" s="49"/>
    </row>
    <row r="55" spans="1:8" ht="17.100000000000001" customHeight="1" x14ac:dyDescent="0.2">
      <c r="A55" s="3">
        <v>49</v>
      </c>
      <c r="B55" s="4" t="s">
        <v>330</v>
      </c>
      <c r="C55" s="4" t="s">
        <v>331</v>
      </c>
      <c r="D55" s="4" t="s">
        <v>100</v>
      </c>
      <c r="E55" s="5">
        <v>45125</v>
      </c>
      <c r="F55" s="6">
        <v>35.535937500000003</v>
      </c>
      <c r="G55" s="7">
        <v>5.170305E-3</v>
      </c>
      <c r="H55" s="49"/>
    </row>
    <row r="56" spans="1:8" ht="29.1" customHeight="1" x14ac:dyDescent="0.2">
      <c r="A56" s="3">
        <v>50</v>
      </c>
      <c r="B56" s="4" t="s">
        <v>444</v>
      </c>
      <c r="C56" s="4" t="s">
        <v>445</v>
      </c>
      <c r="D56" s="4" t="s">
        <v>193</v>
      </c>
      <c r="E56" s="5">
        <v>3563</v>
      </c>
      <c r="F56" s="6">
        <v>22.9653165</v>
      </c>
      <c r="G56" s="7">
        <v>3.3413409999999998E-3</v>
      </c>
      <c r="H56" s="49"/>
    </row>
    <row r="57" spans="1:8" ht="29.1" customHeight="1" x14ac:dyDescent="0.2">
      <c r="A57" s="3">
        <v>51</v>
      </c>
      <c r="B57" s="4" t="s">
        <v>440</v>
      </c>
      <c r="C57" s="4" t="s">
        <v>441</v>
      </c>
      <c r="D57" s="4" t="s">
        <v>215</v>
      </c>
      <c r="E57" s="5">
        <v>3593</v>
      </c>
      <c r="F57" s="6">
        <v>9.4783340000000003</v>
      </c>
      <c r="G57" s="7">
        <v>1.3790510000000001E-3</v>
      </c>
      <c r="H57" s="49"/>
    </row>
    <row r="58" spans="1:8" ht="14.1" customHeight="1" x14ac:dyDescent="0.2">
      <c r="A58" s="1"/>
      <c r="B58" s="1"/>
      <c r="C58" s="2" t="s">
        <v>130</v>
      </c>
      <c r="D58" s="1"/>
      <c r="E58" s="1" t="s">
        <v>131</v>
      </c>
      <c r="F58" s="9">
        <v>6505.2641285</v>
      </c>
      <c r="G58" s="10">
        <v>0.94648407499999998</v>
      </c>
      <c r="H58" s="49"/>
    </row>
    <row r="59" spans="1:8" ht="14.1" customHeight="1" x14ac:dyDescent="0.2">
      <c r="A59" s="1"/>
      <c r="B59" s="1"/>
      <c r="C59" s="11"/>
      <c r="D59" s="1"/>
      <c r="E59" s="1"/>
      <c r="F59" s="12"/>
      <c r="G59" s="12"/>
      <c r="H59" s="49"/>
    </row>
    <row r="60" spans="1:8" ht="14.1" customHeight="1" x14ac:dyDescent="0.2">
      <c r="A60" s="1"/>
      <c r="B60" s="1"/>
      <c r="C60" s="2" t="s">
        <v>132</v>
      </c>
      <c r="D60" s="1"/>
      <c r="E60" s="1"/>
      <c r="F60" s="1"/>
      <c r="G60" s="1"/>
      <c r="H60" s="49"/>
    </row>
    <row r="61" spans="1:8" ht="14.1" customHeight="1" x14ac:dyDescent="0.2">
      <c r="A61" s="1"/>
      <c r="B61" s="1"/>
      <c r="C61" s="2" t="s">
        <v>130</v>
      </c>
      <c r="D61" s="1"/>
      <c r="E61" s="1" t="s">
        <v>131</v>
      </c>
      <c r="F61" s="13">
        <v>0</v>
      </c>
      <c r="G61" s="14">
        <v>0</v>
      </c>
      <c r="H61" s="49"/>
    </row>
    <row r="62" spans="1:8" ht="14.1" customHeight="1" x14ac:dyDescent="0.2">
      <c r="A62" s="1"/>
      <c r="B62" s="1"/>
      <c r="C62" s="11"/>
      <c r="D62" s="1"/>
      <c r="E62" s="1"/>
      <c r="F62" s="12"/>
      <c r="G62" s="12"/>
      <c r="H62" s="49"/>
    </row>
    <row r="63" spans="1:8" ht="14.1" customHeight="1" x14ac:dyDescent="0.2">
      <c r="A63" s="1"/>
      <c r="B63" s="1"/>
      <c r="C63" s="2" t="s">
        <v>133</v>
      </c>
      <c r="D63" s="1"/>
      <c r="E63" s="1"/>
      <c r="F63" s="1"/>
      <c r="G63" s="1"/>
      <c r="H63" s="49"/>
    </row>
    <row r="64" spans="1:8" ht="14.1" customHeight="1" x14ac:dyDescent="0.2">
      <c r="A64" s="1"/>
      <c r="B64" s="1"/>
      <c r="C64" s="2" t="s">
        <v>130</v>
      </c>
      <c r="D64" s="1"/>
      <c r="E64" s="1" t="s">
        <v>131</v>
      </c>
      <c r="F64" s="13">
        <v>0</v>
      </c>
      <c r="G64" s="14">
        <v>0</v>
      </c>
      <c r="H64" s="49"/>
    </row>
    <row r="65" spans="1:8" ht="14.1" customHeight="1" x14ac:dyDescent="0.2">
      <c r="A65" s="1"/>
      <c r="B65" s="1"/>
      <c r="C65" s="11"/>
      <c r="D65" s="1"/>
      <c r="E65" s="1"/>
      <c r="F65" s="12"/>
      <c r="G65" s="12"/>
      <c r="H65" s="49"/>
    </row>
    <row r="66" spans="1:8" ht="14.1" customHeight="1" x14ac:dyDescent="0.2">
      <c r="A66" s="1"/>
      <c r="B66" s="1"/>
      <c r="C66" s="2" t="s">
        <v>134</v>
      </c>
      <c r="D66" s="1"/>
      <c r="E66" s="1"/>
      <c r="F66" s="1"/>
      <c r="G66" s="1"/>
      <c r="H66" s="49"/>
    </row>
    <row r="67" spans="1:8" ht="14.1" customHeight="1" x14ac:dyDescent="0.2">
      <c r="A67" s="1"/>
      <c r="B67" s="1"/>
      <c r="C67" s="2" t="s">
        <v>130</v>
      </c>
      <c r="D67" s="1"/>
      <c r="E67" s="1" t="s">
        <v>131</v>
      </c>
      <c r="F67" s="13">
        <v>0</v>
      </c>
      <c r="G67" s="14">
        <v>0</v>
      </c>
      <c r="H67" s="49"/>
    </row>
    <row r="68" spans="1:8" ht="14.1" customHeight="1" x14ac:dyDescent="0.2">
      <c r="A68" s="1"/>
      <c r="B68" s="1"/>
      <c r="C68" s="11"/>
      <c r="D68" s="1"/>
      <c r="E68" s="1"/>
      <c r="F68" s="12"/>
      <c r="G68" s="12"/>
      <c r="H68" s="49"/>
    </row>
    <row r="69" spans="1:8" ht="14.1" customHeight="1" x14ac:dyDescent="0.2">
      <c r="A69" s="1"/>
      <c r="B69" s="1"/>
      <c r="C69" s="2" t="s">
        <v>135</v>
      </c>
      <c r="D69" s="1"/>
      <c r="E69" s="1"/>
      <c r="F69" s="12"/>
      <c r="G69" s="12"/>
      <c r="H69" s="49"/>
    </row>
    <row r="70" spans="1:8" ht="14.1" customHeight="1" x14ac:dyDescent="0.2">
      <c r="A70" s="1"/>
      <c r="B70" s="1"/>
      <c r="C70" s="2" t="s">
        <v>130</v>
      </c>
      <c r="D70" s="1"/>
      <c r="E70" s="1" t="s">
        <v>131</v>
      </c>
      <c r="F70" s="13">
        <v>0</v>
      </c>
      <c r="G70" s="14">
        <v>0</v>
      </c>
      <c r="H70" s="49"/>
    </row>
    <row r="71" spans="1:8" ht="14.1" customHeight="1" x14ac:dyDescent="0.2">
      <c r="A71" s="1"/>
      <c r="B71" s="1"/>
      <c r="C71" s="11"/>
      <c r="D71" s="1"/>
      <c r="E71" s="1"/>
      <c r="F71" s="12"/>
      <c r="G71" s="12"/>
      <c r="H71" s="49"/>
    </row>
    <row r="72" spans="1:8" ht="14.1" customHeight="1" x14ac:dyDescent="0.2">
      <c r="A72" s="1"/>
      <c r="B72" s="1"/>
      <c r="C72" s="2" t="s">
        <v>136</v>
      </c>
      <c r="D72" s="1"/>
      <c r="E72" s="1"/>
      <c r="F72" s="12"/>
      <c r="G72" s="12"/>
      <c r="H72" s="49"/>
    </row>
    <row r="73" spans="1:8" ht="14.1" customHeight="1" x14ac:dyDescent="0.2">
      <c r="A73" s="1"/>
      <c r="B73" s="1"/>
      <c r="C73" s="2" t="s">
        <v>130</v>
      </c>
      <c r="D73" s="1"/>
      <c r="E73" s="1" t="s">
        <v>131</v>
      </c>
      <c r="F73" s="13">
        <v>0</v>
      </c>
      <c r="G73" s="14">
        <v>0</v>
      </c>
      <c r="H73" s="49"/>
    </row>
    <row r="74" spans="1:8" ht="14.1" customHeight="1" x14ac:dyDescent="0.2">
      <c r="A74" s="1"/>
      <c r="B74" s="1"/>
      <c r="C74" s="11"/>
      <c r="D74" s="1"/>
      <c r="E74" s="1"/>
      <c r="F74" s="12"/>
      <c r="G74" s="12"/>
      <c r="H74" s="49"/>
    </row>
    <row r="75" spans="1:8" ht="18" customHeight="1" x14ac:dyDescent="0.2">
      <c r="A75" s="1"/>
      <c r="B75" s="1"/>
      <c r="C75" s="2" t="s">
        <v>137</v>
      </c>
      <c r="D75" s="1"/>
      <c r="E75" s="1"/>
      <c r="F75" s="9">
        <v>6505.2641285</v>
      </c>
      <c r="G75" s="10">
        <v>0.94648407499999998</v>
      </c>
      <c r="H75" s="49"/>
    </row>
    <row r="76" spans="1:8" ht="14.1" customHeight="1" x14ac:dyDescent="0.2">
      <c r="A76" s="1"/>
      <c r="B76" s="1"/>
      <c r="C76" s="11"/>
      <c r="D76" s="1"/>
      <c r="E76" s="1"/>
      <c r="F76" s="12"/>
      <c r="G76" s="12"/>
      <c r="H76" s="49"/>
    </row>
    <row r="77" spans="1:8" ht="14.1" customHeight="1" x14ac:dyDescent="0.2">
      <c r="A77" s="1"/>
      <c r="B77" s="1"/>
      <c r="C77" s="2" t="s">
        <v>138</v>
      </c>
      <c r="D77" s="1"/>
      <c r="E77" s="1"/>
      <c r="F77" s="12"/>
      <c r="G77" s="12"/>
      <c r="H77" s="49"/>
    </row>
    <row r="78" spans="1:8" ht="24" customHeight="1" x14ac:dyDescent="0.2">
      <c r="A78" s="1"/>
      <c r="B78" s="1"/>
      <c r="C78" s="2" t="s">
        <v>10</v>
      </c>
      <c r="D78" s="1"/>
      <c r="E78" s="1"/>
      <c r="F78" s="12"/>
      <c r="G78" s="12"/>
      <c r="H78" s="49"/>
    </row>
    <row r="79" spans="1:8" ht="14.1" customHeight="1" x14ac:dyDescent="0.2">
      <c r="A79" s="1"/>
      <c r="B79" s="1"/>
      <c r="C79" s="2" t="s">
        <v>130</v>
      </c>
      <c r="D79" s="1"/>
      <c r="E79" s="1" t="s">
        <v>131</v>
      </c>
      <c r="F79" s="13">
        <v>0</v>
      </c>
      <c r="G79" s="14">
        <v>0</v>
      </c>
      <c r="H79" s="49"/>
    </row>
    <row r="80" spans="1:8" ht="14.1" customHeight="1" x14ac:dyDescent="0.2">
      <c r="A80" s="1"/>
      <c r="B80" s="1"/>
      <c r="C80" s="11"/>
      <c r="D80" s="1"/>
      <c r="E80" s="1"/>
      <c r="F80" s="12"/>
      <c r="G80" s="12"/>
      <c r="H80" s="49"/>
    </row>
    <row r="81" spans="1:8" ht="14.1" customHeight="1" x14ac:dyDescent="0.2">
      <c r="A81" s="1"/>
      <c r="B81" s="1"/>
      <c r="C81" s="2" t="s">
        <v>139</v>
      </c>
      <c r="D81" s="1"/>
      <c r="E81" s="1"/>
      <c r="F81" s="1"/>
      <c r="G81" s="1"/>
      <c r="H81" s="49"/>
    </row>
    <row r="82" spans="1:8" ht="14.1" customHeight="1" x14ac:dyDescent="0.2">
      <c r="A82" s="1"/>
      <c r="B82" s="1"/>
      <c r="C82" s="2" t="s">
        <v>130</v>
      </c>
      <c r="D82" s="1"/>
      <c r="E82" s="1" t="s">
        <v>131</v>
      </c>
      <c r="F82" s="13">
        <v>0</v>
      </c>
      <c r="G82" s="14">
        <v>0</v>
      </c>
      <c r="H82" s="49"/>
    </row>
    <row r="83" spans="1:8" ht="14.1" customHeight="1" x14ac:dyDescent="0.2">
      <c r="A83" s="1"/>
      <c r="B83" s="1"/>
      <c r="C83" s="11"/>
      <c r="D83" s="1"/>
      <c r="E83" s="1"/>
      <c r="F83" s="12"/>
      <c r="G83" s="12"/>
      <c r="H83" s="49"/>
    </row>
    <row r="84" spans="1:8" ht="14.1" customHeight="1" x14ac:dyDescent="0.2">
      <c r="A84" s="1"/>
      <c r="B84" s="1"/>
      <c r="C84" s="2" t="s">
        <v>140</v>
      </c>
      <c r="D84" s="1"/>
      <c r="E84" s="1"/>
      <c r="F84" s="1"/>
      <c r="G84" s="1"/>
      <c r="H84" s="49"/>
    </row>
    <row r="85" spans="1:8" ht="14.1" customHeight="1" x14ac:dyDescent="0.2">
      <c r="A85" s="1"/>
      <c r="B85" s="1"/>
      <c r="C85" s="2" t="s">
        <v>130</v>
      </c>
      <c r="D85" s="1"/>
      <c r="E85" s="1" t="s">
        <v>131</v>
      </c>
      <c r="F85" s="13">
        <v>0</v>
      </c>
      <c r="G85" s="14">
        <v>0</v>
      </c>
      <c r="H85" s="49"/>
    </row>
    <row r="86" spans="1:8" ht="14.1" customHeight="1" x14ac:dyDescent="0.2">
      <c r="A86" s="1"/>
      <c r="B86" s="1"/>
      <c r="C86" s="11"/>
      <c r="D86" s="1"/>
      <c r="E86" s="1"/>
      <c r="F86" s="12"/>
      <c r="G86" s="12"/>
      <c r="H86" s="49"/>
    </row>
    <row r="87" spans="1:8" ht="14.1" customHeight="1" x14ac:dyDescent="0.2">
      <c r="A87" s="1"/>
      <c r="B87" s="1"/>
      <c r="C87" s="2" t="s">
        <v>141</v>
      </c>
      <c r="D87" s="1"/>
      <c r="E87" s="1"/>
      <c r="F87" s="12"/>
      <c r="G87" s="12"/>
      <c r="H87" s="49"/>
    </row>
    <row r="88" spans="1:8" ht="14.1" customHeight="1" x14ac:dyDescent="0.2">
      <c r="A88" s="1"/>
      <c r="B88" s="1"/>
      <c r="C88" s="2" t="s">
        <v>130</v>
      </c>
      <c r="D88" s="1"/>
      <c r="E88" s="1" t="s">
        <v>131</v>
      </c>
      <c r="F88" s="13">
        <v>0</v>
      </c>
      <c r="G88" s="14">
        <v>0</v>
      </c>
      <c r="H88" s="49"/>
    </row>
    <row r="89" spans="1:8" ht="14.1" customHeight="1" x14ac:dyDescent="0.2">
      <c r="A89" s="1"/>
      <c r="B89" s="1"/>
      <c r="C89" s="11"/>
      <c r="D89" s="1"/>
      <c r="E89" s="1"/>
      <c r="F89" s="12"/>
      <c r="G89" s="12"/>
      <c r="H89" s="49"/>
    </row>
    <row r="90" spans="1:8" ht="14.1" customHeight="1" x14ac:dyDescent="0.2">
      <c r="A90" s="1"/>
      <c r="B90" s="1"/>
      <c r="C90" s="2" t="s">
        <v>142</v>
      </c>
      <c r="D90" s="1"/>
      <c r="E90" s="1"/>
      <c r="F90" s="9">
        <v>0</v>
      </c>
      <c r="G90" s="10">
        <v>0</v>
      </c>
      <c r="H90" s="49"/>
    </row>
    <row r="91" spans="1:8" ht="14.1" customHeight="1" x14ac:dyDescent="0.2">
      <c r="A91" s="1"/>
      <c r="B91" s="1"/>
      <c r="C91" s="11"/>
      <c r="D91" s="1"/>
      <c r="E91" s="1"/>
      <c r="F91" s="12"/>
      <c r="G91" s="12"/>
      <c r="H91" s="49"/>
    </row>
    <row r="92" spans="1:8" ht="14.1" customHeight="1" x14ac:dyDescent="0.2">
      <c r="A92" s="1"/>
      <c r="B92" s="1"/>
      <c r="C92" s="2" t="s">
        <v>143</v>
      </c>
      <c r="D92" s="1"/>
      <c r="E92" s="1"/>
      <c r="F92" s="12"/>
      <c r="G92" s="12"/>
      <c r="H92" s="49"/>
    </row>
    <row r="93" spans="1:8" ht="14.1" customHeight="1" x14ac:dyDescent="0.2">
      <c r="A93" s="1"/>
      <c r="B93" s="1"/>
      <c r="C93" s="2" t="s">
        <v>144</v>
      </c>
      <c r="D93" s="1"/>
      <c r="E93" s="1"/>
      <c r="F93" s="12"/>
      <c r="G93" s="12"/>
      <c r="H93" s="49"/>
    </row>
    <row r="94" spans="1:8" ht="14.1" customHeight="1" x14ac:dyDescent="0.2">
      <c r="A94" s="1"/>
      <c r="B94" s="1"/>
      <c r="C94" s="2" t="s">
        <v>130</v>
      </c>
      <c r="D94" s="1"/>
      <c r="E94" s="1" t="s">
        <v>131</v>
      </c>
      <c r="F94" s="13">
        <v>0</v>
      </c>
      <c r="G94" s="14">
        <v>0</v>
      </c>
      <c r="H94" s="49"/>
    </row>
    <row r="95" spans="1:8" ht="14.1" customHeight="1" x14ac:dyDescent="0.2">
      <c r="A95" s="1"/>
      <c r="B95" s="1"/>
      <c r="C95" s="11"/>
      <c r="D95" s="1"/>
      <c r="E95" s="1"/>
      <c r="F95" s="12"/>
      <c r="G95" s="12"/>
      <c r="H95" s="49"/>
    </row>
    <row r="96" spans="1:8" ht="14.1" customHeight="1" x14ac:dyDescent="0.2">
      <c r="A96" s="1"/>
      <c r="B96" s="1"/>
      <c r="C96" s="2" t="s">
        <v>145</v>
      </c>
      <c r="D96" s="1"/>
      <c r="E96" s="1"/>
      <c r="F96" s="12"/>
      <c r="G96" s="12"/>
      <c r="H96" s="49"/>
    </row>
    <row r="97" spans="1:8" ht="14.1" customHeight="1" x14ac:dyDescent="0.2">
      <c r="A97" s="1"/>
      <c r="B97" s="1"/>
      <c r="C97" s="2" t="s">
        <v>130</v>
      </c>
      <c r="D97" s="1"/>
      <c r="E97" s="1" t="s">
        <v>131</v>
      </c>
      <c r="F97" s="13">
        <v>0</v>
      </c>
      <c r="G97" s="14">
        <v>0</v>
      </c>
      <c r="H97" s="49"/>
    </row>
    <row r="98" spans="1:8" ht="14.1" customHeight="1" x14ac:dyDescent="0.2">
      <c r="A98" s="1"/>
      <c r="B98" s="1"/>
      <c r="C98" s="11"/>
      <c r="D98" s="1"/>
      <c r="E98" s="1"/>
      <c r="F98" s="12"/>
      <c r="G98" s="12"/>
      <c r="H98" s="49"/>
    </row>
    <row r="99" spans="1:8" ht="14.1" customHeight="1" x14ac:dyDescent="0.2">
      <c r="A99" s="1"/>
      <c r="B99" s="1"/>
      <c r="C99" s="2" t="s">
        <v>146</v>
      </c>
      <c r="D99" s="1"/>
      <c r="E99" s="1"/>
      <c r="F99" s="12"/>
      <c r="G99" s="12"/>
      <c r="H99" s="49"/>
    </row>
    <row r="100" spans="1:8" ht="14.1" customHeight="1" x14ac:dyDescent="0.2">
      <c r="A100" s="1"/>
      <c r="B100" s="1"/>
      <c r="C100" s="2" t="s">
        <v>130</v>
      </c>
      <c r="D100" s="1"/>
      <c r="E100" s="1" t="s">
        <v>131</v>
      </c>
      <c r="F100" s="13">
        <v>0</v>
      </c>
      <c r="G100" s="14">
        <v>0</v>
      </c>
      <c r="H100" s="49"/>
    </row>
    <row r="101" spans="1:8" ht="14.1" customHeight="1" x14ac:dyDescent="0.2">
      <c r="A101" s="1"/>
      <c r="B101" s="1"/>
      <c r="C101" s="11"/>
      <c r="D101" s="1"/>
      <c r="E101" s="1"/>
      <c r="F101" s="12"/>
      <c r="G101" s="12"/>
      <c r="H101" s="49"/>
    </row>
    <row r="102" spans="1:8" ht="14.1" customHeight="1" x14ac:dyDescent="0.2">
      <c r="A102" s="1"/>
      <c r="B102" s="1"/>
      <c r="C102" s="2" t="s">
        <v>147</v>
      </c>
      <c r="D102" s="1"/>
      <c r="E102" s="1"/>
      <c r="F102" s="12"/>
      <c r="G102" s="12"/>
      <c r="H102" s="49"/>
    </row>
    <row r="103" spans="1:8" ht="17.100000000000001" customHeight="1" x14ac:dyDescent="0.2">
      <c r="A103" s="3">
        <v>1</v>
      </c>
      <c r="B103" s="4"/>
      <c r="C103" s="4" t="s">
        <v>148</v>
      </c>
      <c r="D103" s="4"/>
      <c r="E103" s="8"/>
      <c r="F103" s="6">
        <v>379.81763089999998</v>
      </c>
      <c r="G103" s="7">
        <v>5.5261604999999998E-2</v>
      </c>
      <c r="H103" s="49">
        <v>5.6572293145372496</v>
      </c>
    </row>
    <row r="104" spans="1:8" ht="14.1" customHeight="1" x14ac:dyDescent="0.2">
      <c r="A104" s="1"/>
      <c r="B104" s="1"/>
      <c r="C104" s="2" t="s">
        <v>130</v>
      </c>
      <c r="D104" s="1"/>
      <c r="E104" s="1" t="s">
        <v>131</v>
      </c>
      <c r="F104" s="9">
        <v>379.81763089999998</v>
      </c>
      <c r="G104" s="10">
        <v>5.5261604999999998E-2</v>
      </c>
      <c r="H104" s="49"/>
    </row>
    <row r="105" spans="1:8" ht="14.1" customHeight="1" x14ac:dyDescent="0.2">
      <c r="A105" s="1"/>
      <c r="B105" s="1"/>
      <c r="C105" s="11"/>
      <c r="D105" s="1"/>
      <c r="E105" s="1"/>
      <c r="F105" s="12"/>
      <c r="G105" s="12"/>
      <c r="H105" s="49"/>
    </row>
    <row r="106" spans="1:8" ht="14.1" customHeight="1" x14ac:dyDescent="0.2">
      <c r="A106" s="1"/>
      <c r="B106" s="1"/>
      <c r="C106" s="2" t="s">
        <v>149</v>
      </c>
      <c r="D106" s="1"/>
      <c r="E106" s="1"/>
      <c r="F106" s="9">
        <v>379.81763089999998</v>
      </c>
      <c r="G106" s="10">
        <v>5.5261604999999998E-2</v>
      </c>
      <c r="H106" s="49"/>
    </row>
    <row r="107" spans="1:8" ht="14.1" customHeight="1" x14ac:dyDescent="0.2">
      <c r="A107" s="1"/>
      <c r="B107" s="1"/>
      <c r="C107" s="12"/>
      <c r="D107" s="1"/>
      <c r="E107" s="1"/>
      <c r="F107" s="1"/>
      <c r="G107" s="1"/>
      <c r="H107" s="49"/>
    </row>
    <row r="108" spans="1:8" ht="14.1" customHeight="1" x14ac:dyDescent="0.2">
      <c r="A108" s="1"/>
      <c r="B108" s="1"/>
      <c r="C108" s="2" t="s">
        <v>150</v>
      </c>
      <c r="D108" s="1"/>
      <c r="E108" s="1"/>
      <c r="F108" s="1"/>
      <c r="G108" s="1"/>
      <c r="H108" s="49"/>
    </row>
    <row r="109" spans="1:8" ht="14.1" customHeight="1" x14ac:dyDescent="0.2">
      <c r="A109" s="1"/>
      <c r="B109" s="1"/>
      <c r="C109" s="2" t="s">
        <v>151</v>
      </c>
      <c r="D109" s="1"/>
      <c r="E109" s="1"/>
      <c r="F109" s="1"/>
      <c r="G109" s="1"/>
      <c r="H109" s="49"/>
    </row>
    <row r="110" spans="1:8" ht="14.1" customHeight="1" x14ac:dyDescent="0.2">
      <c r="A110" s="1"/>
      <c r="B110" s="1"/>
      <c r="C110" s="2" t="s">
        <v>130</v>
      </c>
      <c r="D110" s="1"/>
      <c r="E110" s="1" t="s">
        <v>131</v>
      </c>
      <c r="F110" s="13">
        <v>0</v>
      </c>
      <c r="G110" s="14">
        <v>0</v>
      </c>
      <c r="H110" s="49"/>
    </row>
    <row r="111" spans="1:8" ht="14.1" customHeight="1" x14ac:dyDescent="0.2">
      <c r="A111" s="1"/>
      <c r="B111" s="1"/>
      <c r="C111" s="11"/>
      <c r="D111" s="1"/>
      <c r="E111" s="1"/>
      <c r="F111" s="12"/>
      <c r="G111" s="12"/>
      <c r="H111" s="49"/>
    </row>
    <row r="112" spans="1:8" ht="14.1" customHeight="1" x14ac:dyDescent="0.2">
      <c r="A112" s="1"/>
      <c r="B112" s="1"/>
      <c r="C112" s="2" t="s">
        <v>152</v>
      </c>
      <c r="D112" s="1"/>
      <c r="E112" s="1"/>
      <c r="F112" s="1"/>
      <c r="G112" s="1"/>
      <c r="H112" s="49"/>
    </row>
    <row r="113" spans="1:8" ht="14.1" customHeight="1" x14ac:dyDescent="0.2">
      <c r="A113" s="1"/>
      <c r="B113" s="1"/>
      <c r="C113" s="2" t="s">
        <v>153</v>
      </c>
      <c r="D113" s="1"/>
      <c r="E113" s="1"/>
      <c r="F113" s="1"/>
      <c r="G113" s="1"/>
      <c r="H113" s="49"/>
    </row>
    <row r="114" spans="1:8" ht="14.1" customHeight="1" x14ac:dyDescent="0.2">
      <c r="A114" s="1"/>
      <c r="B114" s="1"/>
      <c r="C114" s="2" t="s">
        <v>130</v>
      </c>
      <c r="D114" s="1"/>
      <c r="E114" s="1" t="s">
        <v>131</v>
      </c>
      <c r="F114" s="13">
        <v>0</v>
      </c>
      <c r="G114" s="14">
        <v>0</v>
      </c>
      <c r="H114" s="49"/>
    </row>
    <row r="115" spans="1:8" ht="14.1" customHeight="1" x14ac:dyDescent="0.2">
      <c r="A115" s="1"/>
      <c r="B115" s="1"/>
      <c r="C115" s="11"/>
      <c r="D115" s="1"/>
      <c r="E115" s="1"/>
      <c r="F115" s="12"/>
      <c r="G115" s="12"/>
      <c r="H115" s="49"/>
    </row>
    <row r="116" spans="1:8" ht="14.1" customHeight="1" x14ac:dyDescent="0.2">
      <c r="A116" s="1"/>
      <c r="B116" s="1"/>
      <c r="C116" s="11"/>
      <c r="D116" s="1"/>
      <c r="E116" s="1"/>
      <c r="F116" s="12"/>
      <c r="G116" s="12"/>
      <c r="H116" s="49"/>
    </row>
    <row r="117" spans="1:8" ht="24" customHeight="1" x14ac:dyDescent="0.2">
      <c r="A117" s="1"/>
      <c r="B117" s="1"/>
      <c r="C117" s="2" t="s">
        <v>154</v>
      </c>
      <c r="D117" s="1"/>
      <c r="E117" s="1"/>
      <c r="F117" s="12"/>
      <c r="G117" s="12"/>
      <c r="H117" s="49"/>
    </row>
    <row r="118" spans="1:8" ht="14.1" customHeight="1" x14ac:dyDescent="0.2">
      <c r="A118" s="1"/>
      <c r="B118" s="1"/>
      <c r="C118" s="2" t="s">
        <v>130</v>
      </c>
      <c r="D118" s="1"/>
      <c r="E118" s="1" t="s">
        <v>131</v>
      </c>
      <c r="F118" s="13">
        <v>0</v>
      </c>
      <c r="G118" s="14">
        <v>0</v>
      </c>
      <c r="H118" s="49"/>
    </row>
    <row r="119" spans="1:8" ht="14.1" customHeight="1" x14ac:dyDescent="0.2">
      <c r="A119" s="1"/>
      <c r="B119" s="1"/>
      <c r="C119" s="11"/>
      <c r="D119" s="1"/>
      <c r="E119" s="1"/>
      <c r="F119" s="12"/>
      <c r="G119" s="12"/>
      <c r="H119" s="49"/>
    </row>
    <row r="120" spans="1:8" ht="14.1" customHeight="1" x14ac:dyDescent="0.2">
      <c r="A120" s="1"/>
      <c r="B120" s="4"/>
      <c r="C120" s="4"/>
      <c r="D120" s="2"/>
      <c r="E120" s="1"/>
      <c r="F120" s="4"/>
      <c r="G120" s="8"/>
      <c r="H120" s="49"/>
    </row>
    <row r="121" spans="1:8" ht="18" customHeight="1" x14ac:dyDescent="0.2">
      <c r="A121" s="8"/>
      <c r="B121" s="4"/>
      <c r="C121" s="4" t="s">
        <v>155</v>
      </c>
      <c r="D121" s="4"/>
      <c r="E121" s="8"/>
      <c r="F121" s="6">
        <v>-11.9981913</v>
      </c>
      <c r="G121" s="7">
        <v>-1.7456780000000001E-3</v>
      </c>
      <c r="H121" s="49"/>
    </row>
    <row r="122" spans="1:8" ht="14.1" customHeight="1" x14ac:dyDescent="0.2">
      <c r="A122" s="11"/>
      <c r="B122" s="11"/>
      <c r="C122" s="2" t="s">
        <v>156</v>
      </c>
      <c r="D122" s="15"/>
      <c r="E122" s="15"/>
      <c r="F122" s="9">
        <v>6873.0835680999999</v>
      </c>
      <c r="G122" s="10">
        <v>1.0000000019999999</v>
      </c>
      <c r="H122" s="49"/>
    </row>
    <row r="123" spans="1:8" ht="14.1" customHeight="1" x14ac:dyDescent="0.2">
      <c r="A123" s="16"/>
      <c r="B123" s="16"/>
      <c r="C123" s="16"/>
      <c r="D123" s="17"/>
      <c r="E123" s="17"/>
      <c r="F123" s="17"/>
      <c r="G123" s="17"/>
    </row>
    <row r="124" spans="1:8" ht="14.1" customHeight="1" x14ac:dyDescent="0.2">
      <c r="A124" s="18"/>
      <c r="B124" s="18"/>
      <c r="C124" s="18"/>
      <c r="D124" s="20"/>
      <c r="E124" s="20"/>
      <c r="F124" s="20"/>
      <c r="G124" s="20"/>
    </row>
    <row r="125" spans="1:8" ht="14.1" customHeight="1" x14ac:dyDescent="0.2">
      <c r="A125" s="18"/>
      <c r="B125" s="319" t="s">
        <v>158</v>
      </c>
      <c r="C125" s="320"/>
      <c r="D125" s="12" t="s">
        <v>131</v>
      </c>
      <c r="E125" s="21"/>
      <c r="F125" s="20"/>
      <c r="G125" s="20"/>
    </row>
    <row r="126" spans="1:8" ht="29.1" customHeight="1" x14ac:dyDescent="0.2">
      <c r="A126" s="18"/>
      <c r="B126" s="323" t="s">
        <v>159</v>
      </c>
      <c r="C126" s="324"/>
      <c r="D126" s="2" t="s">
        <v>160</v>
      </c>
      <c r="E126" s="21"/>
      <c r="F126" s="20"/>
      <c r="G126" s="20"/>
    </row>
    <row r="127" spans="1:8" ht="17.100000000000001" customHeight="1" x14ac:dyDescent="0.2">
      <c r="A127" s="18"/>
      <c r="B127" s="323" t="s">
        <v>161</v>
      </c>
      <c r="C127" s="324"/>
      <c r="D127" s="2" t="s">
        <v>160</v>
      </c>
      <c r="E127" s="21"/>
      <c r="F127" s="20"/>
      <c r="G127" s="20"/>
    </row>
    <row r="128" spans="1:8" ht="17.100000000000001" customHeight="1" x14ac:dyDescent="0.2">
      <c r="A128" s="18"/>
      <c r="B128" s="323" t="s">
        <v>162</v>
      </c>
      <c r="C128" s="324"/>
      <c r="D128" s="12" t="s">
        <v>131</v>
      </c>
      <c r="E128" s="21"/>
      <c r="F128" s="20"/>
      <c r="G128" s="20"/>
    </row>
    <row r="129" spans="1:7" ht="24" customHeight="1" x14ac:dyDescent="0.2">
      <c r="A129" s="22"/>
      <c r="B129" s="23" t="s">
        <v>131</v>
      </c>
      <c r="C129" s="23" t="s">
        <v>163</v>
      </c>
      <c r="D129" s="23" t="s">
        <v>164</v>
      </c>
      <c r="E129" s="22"/>
      <c r="F129" s="22"/>
      <c r="G129" s="22"/>
    </row>
    <row r="130" spans="1:7" ht="18" customHeight="1" x14ac:dyDescent="0.2">
      <c r="A130" s="22"/>
      <c r="B130" s="23" t="s">
        <v>165</v>
      </c>
      <c r="C130" s="23" t="s">
        <v>166</v>
      </c>
      <c r="D130" s="23" t="s">
        <v>167</v>
      </c>
      <c r="E130" s="22"/>
      <c r="F130" s="22"/>
      <c r="G130" s="22"/>
    </row>
    <row r="131" spans="1:7" ht="17.100000000000001" customHeight="1" x14ac:dyDescent="0.2">
      <c r="A131" s="22"/>
      <c r="B131" s="4" t="s">
        <v>168</v>
      </c>
      <c r="C131" s="24">
        <v>20.6355</v>
      </c>
      <c r="D131" s="24">
        <v>20.722300000000001</v>
      </c>
      <c r="E131" s="22"/>
      <c r="F131" s="19"/>
      <c r="G131" s="25"/>
    </row>
    <row r="132" spans="1:7" ht="17.100000000000001" customHeight="1" x14ac:dyDescent="0.2">
      <c r="A132" s="22"/>
      <c r="B132" s="4" t="s">
        <v>1021</v>
      </c>
      <c r="C132" s="24">
        <v>19.006799999999998</v>
      </c>
      <c r="D132" s="24">
        <v>19.0867</v>
      </c>
      <c r="E132" s="22"/>
      <c r="F132" s="19"/>
      <c r="G132" s="25"/>
    </row>
    <row r="133" spans="1:7" ht="17.100000000000001" customHeight="1" x14ac:dyDescent="0.2">
      <c r="A133" s="22"/>
      <c r="B133" s="4" t="s">
        <v>169</v>
      </c>
      <c r="C133" s="24">
        <v>20.137599999999999</v>
      </c>
      <c r="D133" s="24">
        <v>20.2195</v>
      </c>
      <c r="E133" s="22"/>
      <c r="F133" s="19"/>
      <c r="G133" s="25"/>
    </row>
    <row r="134" spans="1:7" ht="17.100000000000001" customHeight="1" x14ac:dyDescent="0.2">
      <c r="A134" s="22"/>
      <c r="B134" s="4" t="s">
        <v>1022</v>
      </c>
      <c r="C134" s="24">
        <v>18.530799999999999</v>
      </c>
      <c r="D134" s="24">
        <v>18.606200000000001</v>
      </c>
      <c r="E134" s="22"/>
      <c r="F134" s="19"/>
      <c r="G134" s="25"/>
    </row>
    <row r="135" spans="1:7" ht="14.1" customHeight="1" x14ac:dyDescent="0.2">
      <c r="A135" s="22"/>
      <c r="B135" s="22"/>
      <c r="C135" s="22"/>
      <c r="D135" s="22"/>
      <c r="E135" s="22"/>
      <c r="F135" s="22"/>
      <c r="G135" s="22"/>
    </row>
    <row r="136" spans="1:7" ht="17.100000000000001" customHeight="1" x14ac:dyDescent="0.2">
      <c r="A136" s="22"/>
      <c r="B136" s="323" t="s">
        <v>1023</v>
      </c>
      <c r="C136" s="324"/>
      <c r="D136" s="57" t="s">
        <v>160</v>
      </c>
      <c r="E136" s="22"/>
      <c r="F136" s="22"/>
      <c r="G136" s="22"/>
    </row>
    <row r="137" spans="1:7" ht="18" customHeight="1" x14ac:dyDescent="0.2">
      <c r="A137" s="22"/>
      <c r="B137" s="28"/>
      <c r="C137" s="28"/>
      <c r="D137" s="26"/>
      <c r="E137" s="22"/>
      <c r="F137" s="22"/>
      <c r="G137" s="22"/>
    </row>
    <row r="138" spans="1:7" ht="29.1" customHeight="1" x14ac:dyDescent="0.2">
      <c r="A138" s="22"/>
      <c r="B138" s="323" t="s">
        <v>170</v>
      </c>
      <c r="C138" s="324"/>
      <c r="D138" s="2" t="s">
        <v>160</v>
      </c>
      <c r="E138" s="22"/>
      <c r="F138" s="22"/>
      <c r="G138" s="22"/>
    </row>
    <row r="139" spans="1:7" ht="29.1" customHeight="1" x14ac:dyDescent="0.2">
      <c r="A139" s="22"/>
      <c r="B139" s="323" t="s">
        <v>171</v>
      </c>
      <c r="C139" s="324"/>
      <c r="D139" s="2" t="s">
        <v>160</v>
      </c>
      <c r="E139" s="22"/>
      <c r="F139" s="22"/>
      <c r="G139" s="22"/>
    </row>
    <row r="140" spans="1:7" ht="17.100000000000001" customHeight="1" x14ac:dyDescent="0.2">
      <c r="A140" s="22"/>
      <c r="B140" s="323" t="s">
        <v>172</v>
      </c>
      <c r="C140" s="324"/>
      <c r="D140" s="27">
        <v>0.10476102704882267</v>
      </c>
      <c r="E140" s="22"/>
      <c r="F140" s="19"/>
      <c r="G140" s="25"/>
    </row>
    <row r="141" spans="1:7" ht="17.100000000000001" customHeight="1" x14ac:dyDescent="0.2">
      <c r="A141" s="22"/>
      <c r="B141" s="323" t="s">
        <v>173</v>
      </c>
      <c r="C141" s="324"/>
      <c r="D141" s="2" t="s">
        <v>160</v>
      </c>
      <c r="E141" s="22"/>
      <c r="F141" s="22"/>
      <c r="G141" s="22"/>
    </row>
    <row r="156" spans="10:14" x14ac:dyDescent="0.2">
      <c r="J156" s="218"/>
      <c r="K156" s="218"/>
      <c r="L156" s="218"/>
      <c r="M156" s="218"/>
      <c r="N156" s="218"/>
    </row>
  </sheetData>
  <mergeCells count="13">
    <mergeCell ref="J2:N2"/>
    <mergeCell ref="B141:C141"/>
    <mergeCell ref="B126:C126"/>
    <mergeCell ref="B127:C127"/>
    <mergeCell ref="B128:C128"/>
    <mergeCell ref="B136:C136"/>
    <mergeCell ref="B138:C138"/>
    <mergeCell ref="B139:C139"/>
    <mergeCell ref="A1:H1"/>
    <mergeCell ref="A2:H2"/>
    <mergeCell ref="A3:H3"/>
    <mergeCell ref="B125:C125"/>
    <mergeCell ref="B140:C140"/>
  </mergeCells>
  <hyperlinks>
    <hyperlink ref="I1" location="Index!B18" display="Index" xr:uid="{F9DD23F5-6FD4-41F3-94DC-E4BF536FC87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O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492</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417</v>
      </c>
      <c r="C7" s="4" t="s">
        <v>418</v>
      </c>
      <c r="D7" s="4" t="s">
        <v>974</v>
      </c>
      <c r="E7" s="5">
        <v>19582</v>
      </c>
      <c r="F7" s="6">
        <v>139.98192700000001</v>
      </c>
      <c r="G7" s="7">
        <v>4.1554503E-2</v>
      </c>
      <c r="H7" s="49"/>
    </row>
    <row r="8" spans="1:15" ht="17.100000000000001" customHeight="1" x14ac:dyDescent="0.2">
      <c r="A8" s="3">
        <v>2</v>
      </c>
      <c r="B8" s="4" t="s">
        <v>315</v>
      </c>
      <c r="C8" s="4" t="s">
        <v>316</v>
      </c>
      <c r="D8" s="4" t="s">
        <v>317</v>
      </c>
      <c r="E8" s="5">
        <v>7740</v>
      </c>
      <c r="F8" s="6">
        <v>123.61941</v>
      </c>
      <c r="G8" s="7">
        <v>3.6697187999999999E-2</v>
      </c>
      <c r="H8" s="49"/>
    </row>
    <row r="9" spans="1:15" ht="17.100000000000001" customHeight="1" x14ac:dyDescent="0.2">
      <c r="A9" s="3">
        <v>3</v>
      </c>
      <c r="B9" s="4" t="s">
        <v>106</v>
      </c>
      <c r="C9" s="4" t="s">
        <v>107</v>
      </c>
      <c r="D9" s="4" t="s">
        <v>108</v>
      </c>
      <c r="E9" s="5">
        <v>31555</v>
      </c>
      <c r="F9" s="6">
        <v>122.0074075</v>
      </c>
      <c r="G9" s="7">
        <v>3.6218655000000002E-2</v>
      </c>
      <c r="H9" s="49"/>
    </row>
    <row r="10" spans="1:15" ht="17.100000000000001" customHeight="1" x14ac:dyDescent="0.2">
      <c r="A10" s="3">
        <v>4</v>
      </c>
      <c r="B10" s="4" t="s">
        <v>83</v>
      </c>
      <c r="C10" s="4" t="s">
        <v>84</v>
      </c>
      <c r="D10" s="4" t="s">
        <v>31</v>
      </c>
      <c r="E10" s="5">
        <v>7749</v>
      </c>
      <c r="F10" s="6">
        <v>118.350477</v>
      </c>
      <c r="G10" s="7">
        <v>3.5133073000000001E-2</v>
      </c>
      <c r="H10" s="49"/>
    </row>
    <row r="11" spans="1:15" ht="17.100000000000001" customHeight="1" x14ac:dyDescent="0.2">
      <c r="A11" s="3">
        <v>5</v>
      </c>
      <c r="B11" s="4" t="s">
        <v>29</v>
      </c>
      <c r="C11" s="4" t="s">
        <v>30</v>
      </c>
      <c r="D11" s="4" t="s">
        <v>31</v>
      </c>
      <c r="E11" s="5">
        <v>5766</v>
      </c>
      <c r="F11" s="6">
        <v>116.721138</v>
      </c>
      <c r="G11" s="7">
        <v>3.4649393000000001E-2</v>
      </c>
      <c r="H11" s="49"/>
    </row>
    <row r="12" spans="1:15" ht="17.100000000000001" customHeight="1" x14ac:dyDescent="0.2">
      <c r="A12" s="3">
        <v>6</v>
      </c>
      <c r="B12" s="4" t="s">
        <v>389</v>
      </c>
      <c r="C12" s="4" t="s">
        <v>390</v>
      </c>
      <c r="D12" s="4" t="s">
        <v>103</v>
      </c>
      <c r="E12" s="5">
        <v>88789</v>
      </c>
      <c r="F12" s="6">
        <v>106.014066</v>
      </c>
      <c r="G12" s="7">
        <v>3.1470933E-2</v>
      </c>
      <c r="H12" s="49"/>
    </row>
    <row r="13" spans="1:15" ht="17.100000000000001" customHeight="1" x14ac:dyDescent="0.2">
      <c r="A13" s="3">
        <v>7</v>
      </c>
      <c r="B13" s="4" t="s">
        <v>419</v>
      </c>
      <c r="C13" s="4" t="s">
        <v>420</v>
      </c>
      <c r="D13" s="4" t="s">
        <v>227</v>
      </c>
      <c r="E13" s="5">
        <v>35324</v>
      </c>
      <c r="F13" s="6">
        <v>104.50605400000001</v>
      </c>
      <c r="G13" s="7">
        <v>3.1023269999999999E-2</v>
      </c>
      <c r="H13" s="49"/>
      <c r="J13" s="217" t="s">
        <v>1080</v>
      </c>
    </row>
    <row r="14" spans="1:15" ht="29.1" customHeight="1" x14ac:dyDescent="0.2">
      <c r="A14" s="3">
        <v>8</v>
      </c>
      <c r="B14" s="4" t="s">
        <v>197</v>
      </c>
      <c r="C14" s="4" t="s">
        <v>198</v>
      </c>
      <c r="D14" s="4" t="s">
        <v>193</v>
      </c>
      <c r="E14" s="5">
        <v>2356</v>
      </c>
      <c r="F14" s="6">
        <v>102.308122</v>
      </c>
      <c r="G14" s="7">
        <v>3.03708E-2</v>
      </c>
      <c r="H14" s="49"/>
    </row>
    <row r="15" spans="1:15" ht="17.100000000000001" customHeight="1" x14ac:dyDescent="0.2">
      <c r="A15" s="3">
        <v>9</v>
      </c>
      <c r="B15" s="4" t="s">
        <v>370</v>
      </c>
      <c r="C15" s="4" t="s">
        <v>371</v>
      </c>
      <c r="D15" s="4" t="s">
        <v>108</v>
      </c>
      <c r="E15" s="5">
        <v>18118</v>
      </c>
      <c r="F15" s="6">
        <v>98.272031999999996</v>
      </c>
      <c r="G15" s="7">
        <v>2.9172661999999999E-2</v>
      </c>
      <c r="H15" s="49"/>
    </row>
    <row r="16" spans="1:15" ht="17.100000000000001" customHeight="1" x14ac:dyDescent="0.2">
      <c r="A16" s="3">
        <v>10</v>
      </c>
      <c r="B16" s="4" t="s">
        <v>300</v>
      </c>
      <c r="C16" s="4" t="s">
        <v>301</v>
      </c>
      <c r="D16" s="4" t="s">
        <v>230</v>
      </c>
      <c r="E16" s="5">
        <v>18116</v>
      </c>
      <c r="F16" s="6">
        <v>97.735820000000004</v>
      </c>
      <c r="G16" s="7">
        <v>2.9013483999999999E-2</v>
      </c>
      <c r="H16" s="49"/>
    </row>
    <row r="17" spans="1:8" ht="17.100000000000001" customHeight="1" x14ac:dyDescent="0.2">
      <c r="A17" s="3">
        <v>11</v>
      </c>
      <c r="B17" s="4" t="s">
        <v>34</v>
      </c>
      <c r="C17" s="4" t="s">
        <v>35</v>
      </c>
      <c r="D17" s="4" t="s">
        <v>31</v>
      </c>
      <c r="E17" s="5">
        <v>4869</v>
      </c>
      <c r="F17" s="6">
        <v>93.455585999999997</v>
      </c>
      <c r="G17" s="7">
        <v>2.7742869999999999E-2</v>
      </c>
      <c r="H17" s="49"/>
    </row>
    <row r="18" spans="1:8" ht="17.100000000000001" customHeight="1" x14ac:dyDescent="0.2">
      <c r="A18" s="3">
        <v>12</v>
      </c>
      <c r="B18" s="4" t="s">
        <v>398</v>
      </c>
      <c r="C18" s="4" t="s">
        <v>399</v>
      </c>
      <c r="D18" s="4" t="s">
        <v>108</v>
      </c>
      <c r="E18" s="5">
        <v>5646</v>
      </c>
      <c r="F18" s="6">
        <v>92.142719999999997</v>
      </c>
      <c r="G18" s="7">
        <v>2.7353137999999999E-2</v>
      </c>
      <c r="H18" s="49"/>
    </row>
    <row r="19" spans="1:8" ht="17.100000000000001" customHeight="1" x14ac:dyDescent="0.2">
      <c r="A19" s="3">
        <v>13</v>
      </c>
      <c r="B19" s="4" t="s">
        <v>98</v>
      </c>
      <c r="C19" s="4" t="s">
        <v>99</v>
      </c>
      <c r="D19" s="4" t="s">
        <v>100</v>
      </c>
      <c r="E19" s="5">
        <v>18429</v>
      </c>
      <c r="F19" s="6">
        <v>89.611012500000001</v>
      </c>
      <c r="G19" s="7">
        <v>2.6601584000000001E-2</v>
      </c>
      <c r="H19" s="49"/>
    </row>
    <row r="20" spans="1:8" ht="29.1" customHeight="1" x14ac:dyDescent="0.2">
      <c r="A20" s="3">
        <v>14</v>
      </c>
      <c r="B20" s="4" t="s">
        <v>425</v>
      </c>
      <c r="C20" s="4" t="s">
        <v>426</v>
      </c>
      <c r="D20" s="4" t="s">
        <v>48</v>
      </c>
      <c r="E20" s="5">
        <v>3181</v>
      </c>
      <c r="F20" s="6">
        <v>87.302544999999995</v>
      </c>
      <c r="G20" s="7">
        <v>2.5916301999999999E-2</v>
      </c>
      <c r="H20" s="49"/>
    </row>
    <row r="21" spans="1:8" ht="17.100000000000001" customHeight="1" x14ac:dyDescent="0.2">
      <c r="A21" s="3">
        <v>15</v>
      </c>
      <c r="B21" s="4" t="s">
        <v>457</v>
      </c>
      <c r="C21" s="4" t="s">
        <v>458</v>
      </c>
      <c r="D21" s="4" t="s">
        <v>13</v>
      </c>
      <c r="E21" s="5">
        <v>17176</v>
      </c>
      <c r="F21" s="6">
        <v>87.108084000000005</v>
      </c>
      <c r="G21" s="7">
        <v>2.5858575000000002E-2</v>
      </c>
      <c r="H21" s="49"/>
    </row>
    <row r="22" spans="1:8" ht="17.100000000000001" customHeight="1" x14ac:dyDescent="0.2">
      <c r="A22" s="3">
        <v>16</v>
      </c>
      <c r="B22" s="4" t="s">
        <v>318</v>
      </c>
      <c r="C22" s="4" t="s">
        <v>319</v>
      </c>
      <c r="D22" s="4" t="s">
        <v>233</v>
      </c>
      <c r="E22" s="5">
        <v>6161</v>
      </c>
      <c r="F22" s="6">
        <v>83.173500000000004</v>
      </c>
      <c r="G22" s="7">
        <v>2.4690568999999999E-2</v>
      </c>
      <c r="H22" s="49"/>
    </row>
    <row r="23" spans="1:8" ht="29.1" customHeight="1" x14ac:dyDescent="0.2">
      <c r="A23" s="3">
        <v>17</v>
      </c>
      <c r="B23" s="4" t="s">
        <v>61</v>
      </c>
      <c r="C23" s="4" t="s">
        <v>62</v>
      </c>
      <c r="D23" s="4" t="s">
        <v>25</v>
      </c>
      <c r="E23" s="5">
        <v>2480</v>
      </c>
      <c r="F23" s="6">
        <v>76.376559999999998</v>
      </c>
      <c r="G23" s="7">
        <v>2.2672854999999999E-2</v>
      </c>
      <c r="H23" s="49"/>
    </row>
    <row r="24" spans="1:8" ht="29.1" customHeight="1" x14ac:dyDescent="0.2">
      <c r="A24" s="3">
        <v>18</v>
      </c>
      <c r="B24" s="4" t="s">
        <v>490</v>
      </c>
      <c r="C24" s="4" t="s">
        <v>491</v>
      </c>
      <c r="D24" s="4" t="s">
        <v>69</v>
      </c>
      <c r="E24" s="5">
        <v>23991</v>
      </c>
      <c r="F24" s="6">
        <v>74.204162999999994</v>
      </c>
      <c r="G24" s="7">
        <v>2.2027966E-2</v>
      </c>
      <c r="H24" s="49"/>
    </row>
    <row r="25" spans="1:8" ht="29.1" customHeight="1" x14ac:dyDescent="0.2">
      <c r="A25" s="3">
        <v>19</v>
      </c>
      <c r="B25" s="4" t="s">
        <v>421</v>
      </c>
      <c r="C25" s="4" t="s">
        <v>422</v>
      </c>
      <c r="D25" s="4" t="s">
        <v>215</v>
      </c>
      <c r="E25" s="5">
        <v>18366</v>
      </c>
      <c r="F25" s="6">
        <v>73.032398999999998</v>
      </c>
      <c r="G25" s="7">
        <v>2.1680120000000001E-2</v>
      </c>
      <c r="H25" s="49"/>
    </row>
    <row r="26" spans="1:8" ht="17.100000000000001" customHeight="1" x14ac:dyDescent="0.2">
      <c r="A26" s="3">
        <v>20</v>
      </c>
      <c r="B26" s="4" t="s">
        <v>469</v>
      </c>
      <c r="C26" s="4" t="s">
        <v>470</v>
      </c>
      <c r="D26" s="4" t="s">
        <v>233</v>
      </c>
      <c r="E26" s="5">
        <v>31256</v>
      </c>
      <c r="F26" s="6">
        <v>69.763391999999996</v>
      </c>
      <c r="G26" s="7">
        <v>2.0709695E-2</v>
      </c>
      <c r="H26" s="49"/>
    </row>
    <row r="27" spans="1:8" ht="17.100000000000001" customHeight="1" x14ac:dyDescent="0.2">
      <c r="A27" s="3">
        <v>21</v>
      </c>
      <c r="B27" s="4" t="s">
        <v>372</v>
      </c>
      <c r="C27" s="4" t="s">
        <v>373</v>
      </c>
      <c r="D27" s="4" t="s">
        <v>103</v>
      </c>
      <c r="E27" s="5">
        <v>12457</v>
      </c>
      <c r="F27" s="6">
        <v>68.893438500000002</v>
      </c>
      <c r="G27" s="7">
        <v>2.0451443999999999E-2</v>
      </c>
      <c r="H27" s="49"/>
    </row>
    <row r="28" spans="1:8" ht="17.100000000000001" customHeight="1" x14ac:dyDescent="0.2">
      <c r="A28" s="3">
        <v>22</v>
      </c>
      <c r="B28" s="4" t="s">
        <v>423</v>
      </c>
      <c r="C28" s="4" t="s">
        <v>424</v>
      </c>
      <c r="D28" s="4" t="s">
        <v>233</v>
      </c>
      <c r="E28" s="5">
        <v>9165</v>
      </c>
      <c r="F28" s="6">
        <v>66.437084999999996</v>
      </c>
      <c r="G28" s="7">
        <v>1.9722259999999998E-2</v>
      </c>
      <c r="H28" s="49"/>
    </row>
    <row r="29" spans="1:8" ht="17.100000000000001" customHeight="1" x14ac:dyDescent="0.2">
      <c r="A29" s="3">
        <v>23</v>
      </c>
      <c r="B29" s="4" t="s">
        <v>404</v>
      </c>
      <c r="C29" s="4" t="s">
        <v>405</v>
      </c>
      <c r="D29" s="4" t="s">
        <v>317</v>
      </c>
      <c r="E29" s="5">
        <v>4114</v>
      </c>
      <c r="F29" s="6">
        <v>64.275079000000005</v>
      </c>
      <c r="G29" s="7">
        <v>1.9080455999999999E-2</v>
      </c>
      <c r="H29" s="49"/>
    </row>
    <row r="30" spans="1:8" ht="17.100000000000001" customHeight="1" x14ac:dyDescent="0.2">
      <c r="A30" s="3">
        <v>24</v>
      </c>
      <c r="B30" s="4" t="s">
        <v>376</v>
      </c>
      <c r="C30" s="4" t="s">
        <v>377</v>
      </c>
      <c r="D30" s="4" t="s">
        <v>108</v>
      </c>
      <c r="E30" s="5">
        <v>10328</v>
      </c>
      <c r="F30" s="6">
        <v>62.928503999999997</v>
      </c>
      <c r="G30" s="7">
        <v>1.8680716E-2</v>
      </c>
      <c r="H30" s="49"/>
    </row>
    <row r="31" spans="1:8" ht="29.1" customHeight="1" x14ac:dyDescent="0.2">
      <c r="A31" s="3">
        <v>25</v>
      </c>
      <c r="B31" s="4" t="s">
        <v>429</v>
      </c>
      <c r="C31" s="4" t="s">
        <v>430</v>
      </c>
      <c r="D31" s="4" t="s">
        <v>431</v>
      </c>
      <c r="E31" s="5">
        <v>47711</v>
      </c>
      <c r="F31" s="6">
        <v>60.2351375</v>
      </c>
      <c r="G31" s="7">
        <v>1.7881174E-2</v>
      </c>
      <c r="H31" s="49"/>
    </row>
    <row r="32" spans="1:8" ht="29.1" customHeight="1" x14ac:dyDescent="0.2">
      <c r="A32" s="3">
        <v>26</v>
      </c>
      <c r="B32" s="4" t="s">
        <v>466</v>
      </c>
      <c r="C32" s="4" t="s">
        <v>467</v>
      </c>
      <c r="D32" s="4" t="s">
        <v>468</v>
      </c>
      <c r="E32" s="5">
        <v>13939</v>
      </c>
      <c r="F32" s="6">
        <v>59.421956999999999</v>
      </c>
      <c r="G32" s="7">
        <v>1.7639775999999999E-2</v>
      </c>
      <c r="H32" s="49"/>
    </row>
    <row r="33" spans="1:8" ht="17.100000000000001" customHeight="1" x14ac:dyDescent="0.2">
      <c r="A33" s="3">
        <v>27</v>
      </c>
      <c r="B33" s="4" t="s">
        <v>412</v>
      </c>
      <c r="C33" s="4" t="s">
        <v>413</v>
      </c>
      <c r="D33" s="4" t="s">
        <v>267</v>
      </c>
      <c r="E33" s="5">
        <v>17911</v>
      </c>
      <c r="F33" s="6">
        <v>57.073401500000003</v>
      </c>
      <c r="G33" s="7">
        <v>1.6942592999999999E-2</v>
      </c>
      <c r="H33" s="49"/>
    </row>
    <row r="34" spans="1:8" ht="53.1" customHeight="1" x14ac:dyDescent="0.2">
      <c r="A34" s="3">
        <v>28</v>
      </c>
      <c r="B34" s="4" t="s">
        <v>336</v>
      </c>
      <c r="C34" s="4" t="s">
        <v>1043</v>
      </c>
      <c r="D34" s="4" t="s">
        <v>51</v>
      </c>
      <c r="E34" s="5">
        <v>15720</v>
      </c>
      <c r="F34" s="6">
        <v>53.322240000000001</v>
      </c>
      <c r="G34" s="7">
        <v>1.5829037000000001E-2</v>
      </c>
      <c r="H34" s="49"/>
    </row>
    <row r="35" spans="1:8" ht="17.100000000000001" customHeight="1" x14ac:dyDescent="0.2">
      <c r="A35" s="3">
        <v>29</v>
      </c>
      <c r="B35" s="4" t="s">
        <v>374</v>
      </c>
      <c r="C35" s="4" t="s">
        <v>375</v>
      </c>
      <c r="D35" s="4" t="s">
        <v>103</v>
      </c>
      <c r="E35" s="5">
        <v>7127</v>
      </c>
      <c r="F35" s="6">
        <v>52.290799</v>
      </c>
      <c r="G35" s="7">
        <v>1.5522848000000001E-2</v>
      </c>
      <c r="H35" s="49"/>
    </row>
    <row r="36" spans="1:8" ht="29.1" customHeight="1" x14ac:dyDescent="0.2">
      <c r="A36" s="3">
        <v>30</v>
      </c>
      <c r="B36" s="4" t="s">
        <v>442</v>
      </c>
      <c r="C36" s="4" t="s">
        <v>443</v>
      </c>
      <c r="D36" s="4" t="s">
        <v>364</v>
      </c>
      <c r="E36" s="5">
        <v>8645</v>
      </c>
      <c r="F36" s="6">
        <v>52.077480000000001</v>
      </c>
      <c r="G36" s="7">
        <v>1.5459522999999999E-2</v>
      </c>
      <c r="H36" s="49"/>
    </row>
    <row r="37" spans="1:8" ht="17.100000000000001" customHeight="1" x14ac:dyDescent="0.2">
      <c r="A37" s="3">
        <v>31</v>
      </c>
      <c r="B37" s="4" t="s">
        <v>449</v>
      </c>
      <c r="C37" s="4" t="s">
        <v>450</v>
      </c>
      <c r="D37" s="4" t="s">
        <v>1042</v>
      </c>
      <c r="E37" s="5">
        <v>5920</v>
      </c>
      <c r="F37" s="6">
        <v>49.568159999999999</v>
      </c>
      <c r="G37" s="7">
        <v>1.4714616E-2</v>
      </c>
      <c r="H37" s="49"/>
    </row>
    <row r="38" spans="1:8" ht="17.100000000000001" customHeight="1" x14ac:dyDescent="0.2">
      <c r="A38" s="3">
        <v>32</v>
      </c>
      <c r="B38" s="4" t="s">
        <v>432</v>
      </c>
      <c r="C38" s="4" t="s">
        <v>433</v>
      </c>
      <c r="D38" s="4" t="s">
        <v>103</v>
      </c>
      <c r="E38" s="5">
        <v>60160</v>
      </c>
      <c r="F38" s="6">
        <v>49.301119999999997</v>
      </c>
      <c r="G38" s="7">
        <v>1.4635343E-2</v>
      </c>
      <c r="H38" s="49"/>
    </row>
    <row r="39" spans="1:8" ht="29.1" customHeight="1" x14ac:dyDescent="0.2">
      <c r="A39" s="3">
        <v>33</v>
      </c>
      <c r="B39" s="4" t="s">
        <v>385</v>
      </c>
      <c r="C39" s="4" t="s">
        <v>386</v>
      </c>
      <c r="D39" s="4" t="s">
        <v>69</v>
      </c>
      <c r="E39" s="5">
        <v>3088</v>
      </c>
      <c r="F39" s="6">
        <v>48.995752000000003</v>
      </c>
      <c r="G39" s="7">
        <v>1.4544692999999999E-2</v>
      </c>
      <c r="H39" s="49"/>
    </row>
    <row r="40" spans="1:8" ht="29.1" customHeight="1" x14ac:dyDescent="0.2">
      <c r="A40" s="3">
        <v>34</v>
      </c>
      <c r="B40" s="4" t="s">
        <v>451</v>
      </c>
      <c r="C40" s="4" t="s">
        <v>452</v>
      </c>
      <c r="D40" s="4" t="s">
        <v>364</v>
      </c>
      <c r="E40" s="5">
        <v>8921</v>
      </c>
      <c r="F40" s="6">
        <v>48.717581000000003</v>
      </c>
      <c r="G40" s="7">
        <v>1.4462116000000001E-2</v>
      </c>
      <c r="H40" s="49"/>
    </row>
    <row r="41" spans="1:8" ht="17.100000000000001" customHeight="1" x14ac:dyDescent="0.2">
      <c r="A41" s="3">
        <v>35</v>
      </c>
      <c r="B41" s="4" t="s">
        <v>427</v>
      </c>
      <c r="C41" s="4" t="s">
        <v>428</v>
      </c>
      <c r="D41" s="4" t="s">
        <v>13</v>
      </c>
      <c r="E41" s="5">
        <v>50158</v>
      </c>
      <c r="F41" s="6">
        <v>39.800373</v>
      </c>
      <c r="G41" s="7">
        <v>1.1814987000000001E-2</v>
      </c>
      <c r="H41" s="49"/>
    </row>
    <row r="42" spans="1:8" ht="17.100000000000001" customHeight="1" x14ac:dyDescent="0.2">
      <c r="A42" s="3">
        <v>36</v>
      </c>
      <c r="B42" s="4" t="s">
        <v>453</v>
      </c>
      <c r="C42" s="4" t="s">
        <v>454</v>
      </c>
      <c r="D42" s="4" t="s">
        <v>38</v>
      </c>
      <c r="E42" s="5">
        <v>13444</v>
      </c>
      <c r="F42" s="6">
        <v>37.589424000000001</v>
      </c>
      <c r="G42" s="7">
        <v>1.1158652999999999E-2</v>
      </c>
      <c r="H42" s="49"/>
    </row>
    <row r="43" spans="1:8" ht="29.1" customHeight="1" x14ac:dyDescent="0.2">
      <c r="A43" s="3">
        <v>37</v>
      </c>
      <c r="B43" s="4" t="s">
        <v>283</v>
      </c>
      <c r="C43" s="4" t="s">
        <v>284</v>
      </c>
      <c r="D43" s="4" t="s">
        <v>193</v>
      </c>
      <c r="E43" s="5">
        <v>5097</v>
      </c>
      <c r="F43" s="6">
        <v>36.649978500000003</v>
      </c>
      <c r="G43" s="7">
        <v>1.0879773000000001E-2</v>
      </c>
      <c r="H43" s="49"/>
    </row>
    <row r="44" spans="1:8" ht="17.100000000000001" customHeight="1" x14ac:dyDescent="0.2">
      <c r="A44" s="3">
        <v>38</v>
      </c>
      <c r="B44" s="4" t="s">
        <v>391</v>
      </c>
      <c r="C44" s="4" t="s">
        <v>392</v>
      </c>
      <c r="D44" s="4" t="s">
        <v>196</v>
      </c>
      <c r="E44" s="5">
        <v>4775</v>
      </c>
      <c r="F44" s="6">
        <v>35.833987499999999</v>
      </c>
      <c r="G44" s="7">
        <v>1.0637541E-2</v>
      </c>
      <c r="H44" s="49"/>
    </row>
    <row r="45" spans="1:8" ht="29.1" customHeight="1" x14ac:dyDescent="0.2">
      <c r="A45" s="3">
        <v>39</v>
      </c>
      <c r="B45" s="4" t="s">
        <v>459</v>
      </c>
      <c r="C45" s="4" t="s">
        <v>460</v>
      </c>
      <c r="D45" s="4" t="s">
        <v>380</v>
      </c>
      <c r="E45" s="5">
        <v>7893</v>
      </c>
      <c r="F45" s="6">
        <v>34.539768000000002</v>
      </c>
      <c r="G45" s="7">
        <v>1.0253343999999999E-2</v>
      </c>
      <c r="H45" s="49"/>
    </row>
    <row r="46" spans="1:8" ht="29.1" customHeight="1" x14ac:dyDescent="0.2">
      <c r="A46" s="3">
        <v>40</v>
      </c>
      <c r="B46" s="4" t="s">
        <v>378</v>
      </c>
      <c r="C46" s="4" t="s">
        <v>379</v>
      </c>
      <c r="D46" s="4" t="s">
        <v>380</v>
      </c>
      <c r="E46" s="5">
        <v>8672</v>
      </c>
      <c r="F46" s="6">
        <v>34.466864000000001</v>
      </c>
      <c r="G46" s="7">
        <v>1.0231702000000001E-2</v>
      </c>
      <c r="H46" s="49"/>
    </row>
    <row r="47" spans="1:8" ht="17.100000000000001" customHeight="1" x14ac:dyDescent="0.2">
      <c r="A47" s="3">
        <v>41</v>
      </c>
      <c r="B47" s="4" t="s">
        <v>410</v>
      </c>
      <c r="C47" s="4" t="s">
        <v>411</v>
      </c>
      <c r="D47" s="4" t="s">
        <v>89</v>
      </c>
      <c r="E47" s="5">
        <v>5084</v>
      </c>
      <c r="F47" s="6">
        <v>33.345956000000001</v>
      </c>
      <c r="G47" s="7">
        <v>9.8989539999999997E-3</v>
      </c>
      <c r="H47" s="49"/>
    </row>
    <row r="48" spans="1:8" ht="29.1" customHeight="1" x14ac:dyDescent="0.2">
      <c r="A48" s="3">
        <v>42</v>
      </c>
      <c r="B48" s="4" t="s">
        <v>406</v>
      </c>
      <c r="C48" s="4" t="s">
        <v>407</v>
      </c>
      <c r="D48" s="4" t="s">
        <v>108</v>
      </c>
      <c r="E48" s="5">
        <v>2514</v>
      </c>
      <c r="F48" s="6">
        <v>29.586009000000001</v>
      </c>
      <c r="G48" s="7">
        <v>8.7827900000000004E-3</v>
      </c>
      <c r="H48" s="49"/>
    </row>
    <row r="49" spans="1:8" ht="17.100000000000001" customHeight="1" x14ac:dyDescent="0.2">
      <c r="A49" s="3">
        <v>43</v>
      </c>
      <c r="B49" s="4" t="s">
        <v>434</v>
      </c>
      <c r="C49" s="4" t="s">
        <v>435</v>
      </c>
      <c r="D49" s="4" t="s">
        <v>218</v>
      </c>
      <c r="E49" s="5">
        <v>3248</v>
      </c>
      <c r="F49" s="6">
        <v>24.850448</v>
      </c>
      <c r="G49" s="7">
        <v>7.3770099999999998E-3</v>
      </c>
      <c r="H49" s="49"/>
    </row>
    <row r="50" spans="1:8" ht="29.1" customHeight="1" x14ac:dyDescent="0.2">
      <c r="A50" s="3">
        <v>44</v>
      </c>
      <c r="B50" s="4" t="s">
        <v>387</v>
      </c>
      <c r="C50" s="4" t="s">
        <v>388</v>
      </c>
      <c r="D50" s="4" t="s">
        <v>215</v>
      </c>
      <c r="E50" s="5">
        <v>482</v>
      </c>
      <c r="F50" s="6">
        <v>20.07048</v>
      </c>
      <c r="G50" s="7">
        <v>5.9580459999999998E-3</v>
      </c>
      <c r="H50" s="49"/>
    </row>
    <row r="51" spans="1:8" ht="17.100000000000001" customHeight="1" x14ac:dyDescent="0.2">
      <c r="A51" s="3">
        <v>45</v>
      </c>
      <c r="B51" s="4" t="s">
        <v>393</v>
      </c>
      <c r="C51" s="4" t="s">
        <v>394</v>
      </c>
      <c r="D51" s="4" t="s">
        <v>16</v>
      </c>
      <c r="E51" s="5">
        <v>8773</v>
      </c>
      <c r="F51" s="6">
        <v>19.151458999999999</v>
      </c>
      <c r="G51" s="7">
        <v>5.685229E-3</v>
      </c>
      <c r="H51" s="49"/>
    </row>
    <row r="52" spans="1:8" ht="17.100000000000001" customHeight="1" x14ac:dyDescent="0.2">
      <c r="A52" s="3">
        <v>46</v>
      </c>
      <c r="B52" s="4" t="s">
        <v>438</v>
      </c>
      <c r="C52" s="4" t="s">
        <v>439</v>
      </c>
      <c r="D52" s="4" t="s">
        <v>31</v>
      </c>
      <c r="E52" s="5">
        <v>2157</v>
      </c>
      <c r="F52" s="6">
        <v>19.033367999999999</v>
      </c>
      <c r="G52" s="7">
        <v>5.6501729999999997E-3</v>
      </c>
      <c r="H52" s="49"/>
    </row>
    <row r="53" spans="1:8" ht="17.100000000000001" customHeight="1" x14ac:dyDescent="0.2">
      <c r="A53" s="3">
        <v>47</v>
      </c>
      <c r="B53" s="4" t="s">
        <v>121</v>
      </c>
      <c r="C53" s="4" t="s">
        <v>122</v>
      </c>
      <c r="D53" s="4" t="s">
        <v>108</v>
      </c>
      <c r="E53" s="5">
        <v>937</v>
      </c>
      <c r="F53" s="6">
        <v>18.030222500000001</v>
      </c>
      <c r="G53" s="7">
        <v>5.3523829999999996E-3</v>
      </c>
      <c r="H53" s="49"/>
    </row>
    <row r="54" spans="1:8" ht="17.100000000000001" customHeight="1" x14ac:dyDescent="0.2">
      <c r="A54" s="3">
        <v>48</v>
      </c>
      <c r="B54" s="4" t="s">
        <v>330</v>
      </c>
      <c r="C54" s="4" t="s">
        <v>331</v>
      </c>
      <c r="D54" s="4" t="s">
        <v>100</v>
      </c>
      <c r="E54" s="5">
        <v>21625</v>
      </c>
      <c r="F54" s="6">
        <v>17.029687500000001</v>
      </c>
      <c r="G54" s="7">
        <v>5.0553680000000002E-3</v>
      </c>
      <c r="H54" s="49"/>
    </row>
    <row r="55" spans="1:8" ht="29.1" customHeight="1" x14ac:dyDescent="0.2">
      <c r="A55" s="3">
        <v>49</v>
      </c>
      <c r="B55" s="4" t="s">
        <v>444</v>
      </c>
      <c r="C55" s="4" t="s">
        <v>445</v>
      </c>
      <c r="D55" s="4" t="s">
        <v>193</v>
      </c>
      <c r="E55" s="5">
        <v>1745</v>
      </c>
      <c r="F55" s="6">
        <v>11.2473975</v>
      </c>
      <c r="G55" s="7">
        <v>3.3388599999999999E-3</v>
      </c>
      <c r="H55" s="49"/>
    </row>
    <row r="56" spans="1:8" ht="29.1" customHeight="1" x14ac:dyDescent="0.2">
      <c r="A56" s="3">
        <v>50</v>
      </c>
      <c r="B56" s="4" t="s">
        <v>440</v>
      </c>
      <c r="C56" s="4" t="s">
        <v>441</v>
      </c>
      <c r="D56" s="4" t="s">
        <v>215</v>
      </c>
      <c r="E56" s="5">
        <v>1757</v>
      </c>
      <c r="F56" s="6">
        <v>4.6349660000000004</v>
      </c>
      <c r="G56" s="7">
        <v>1.3759180000000001E-3</v>
      </c>
      <c r="H56" s="49"/>
    </row>
    <row r="57" spans="1:8" ht="14.1" customHeight="1" x14ac:dyDescent="0.2">
      <c r="A57" s="1"/>
      <c r="B57" s="1"/>
      <c r="C57" s="2" t="s">
        <v>130</v>
      </c>
      <c r="D57" s="1"/>
      <c r="E57" s="1" t="s">
        <v>131</v>
      </c>
      <c r="F57" s="9">
        <v>3165.0845380000001</v>
      </c>
      <c r="G57" s="10">
        <v>0.93957496100000004</v>
      </c>
      <c r="H57" s="49"/>
    </row>
    <row r="58" spans="1:8" ht="14.1" customHeight="1" x14ac:dyDescent="0.2">
      <c r="A58" s="1"/>
      <c r="B58" s="1"/>
      <c r="C58" s="11"/>
      <c r="D58" s="1"/>
      <c r="E58" s="1"/>
      <c r="F58" s="12"/>
      <c r="G58" s="12"/>
      <c r="H58" s="49"/>
    </row>
    <row r="59" spans="1:8" ht="14.1" customHeight="1" x14ac:dyDescent="0.2">
      <c r="A59" s="1"/>
      <c r="B59" s="1"/>
      <c r="C59" s="2" t="s">
        <v>132</v>
      </c>
      <c r="D59" s="1"/>
      <c r="E59" s="1"/>
      <c r="F59" s="1"/>
      <c r="G59" s="1"/>
      <c r="H59" s="49"/>
    </row>
    <row r="60" spans="1:8" ht="14.1" customHeight="1" x14ac:dyDescent="0.2">
      <c r="A60" s="1"/>
      <c r="B60" s="1"/>
      <c r="C60" s="2" t="s">
        <v>130</v>
      </c>
      <c r="D60" s="1"/>
      <c r="E60" s="1" t="s">
        <v>131</v>
      </c>
      <c r="F60" s="13">
        <v>0</v>
      </c>
      <c r="G60" s="14">
        <v>0</v>
      </c>
      <c r="H60" s="49"/>
    </row>
    <row r="61" spans="1:8" ht="14.1" customHeight="1" x14ac:dyDescent="0.2">
      <c r="A61" s="1"/>
      <c r="B61" s="1"/>
      <c r="C61" s="11"/>
      <c r="D61" s="1"/>
      <c r="E61" s="1"/>
      <c r="F61" s="12"/>
      <c r="G61" s="12"/>
      <c r="H61" s="49"/>
    </row>
    <row r="62" spans="1:8" ht="14.1" customHeight="1" x14ac:dyDescent="0.2">
      <c r="A62" s="1"/>
      <c r="B62" s="1"/>
      <c r="C62" s="2" t="s">
        <v>133</v>
      </c>
      <c r="D62" s="1"/>
      <c r="E62" s="1"/>
      <c r="F62" s="1"/>
      <c r="G62" s="1"/>
      <c r="H62" s="49"/>
    </row>
    <row r="63" spans="1:8" ht="14.1" customHeight="1" x14ac:dyDescent="0.2">
      <c r="A63" s="1"/>
      <c r="B63" s="1"/>
      <c r="C63" s="2" t="s">
        <v>130</v>
      </c>
      <c r="D63" s="1"/>
      <c r="E63" s="1" t="s">
        <v>131</v>
      </c>
      <c r="F63" s="13">
        <v>0</v>
      </c>
      <c r="G63" s="14">
        <v>0</v>
      </c>
      <c r="H63" s="49"/>
    </row>
    <row r="64" spans="1:8" ht="14.1" customHeight="1" x14ac:dyDescent="0.2">
      <c r="A64" s="1"/>
      <c r="B64" s="1"/>
      <c r="C64" s="11"/>
      <c r="D64" s="1"/>
      <c r="E64" s="1"/>
      <c r="F64" s="12"/>
      <c r="G64" s="12"/>
      <c r="H64" s="49"/>
    </row>
    <row r="65" spans="1:8" ht="14.1" customHeight="1" x14ac:dyDescent="0.2">
      <c r="A65" s="1"/>
      <c r="B65" s="1"/>
      <c r="C65" s="2" t="s">
        <v>134</v>
      </c>
      <c r="D65" s="1"/>
      <c r="E65" s="1"/>
      <c r="F65" s="1"/>
      <c r="G65" s="1"/>
      <c r="H65" s="49"/>
    </row>
    <row r="66" spans="1:8" ht="14.1" customHeight="1" x14ac:dyDescent="0.2">
      <c r="A66" s="1"/>
      <c r="B66" s="1"/>
      <c r="C66" s="2" t="s">
        <v>130</v>
      </c>
      <c r="D66" s="1"/>
      <c r="E66" s="1" t="s">
        <v>131</v>
      </c>
      <c r="F66" s="13">
        <v>0</v>
      </c>
      <c r="G66" s="14">
        <v>0</v>
      </c>
      <c r="H66" s="49"/>
    </row>
    <row r="67" spans="1:8" ht="14.1" customHeight="1" x14ac:dyDescent="0.2">
      <c r="A67" s="1"/>
      <c r="B67" s="1"/>
      <c r="C67" s="11"/>
      <c r="D67" s="1"/>
      <c r="E67" s="1"/>
      <c r="F67" s="12"/>
      <c r="G67" s="12"/>
      <c r="H67" s="49"/>
    </row>
    <row r="68" spans="1:8" ht="14.1" customHeight="1" x14ac:dyDescent="0.2">
      <c r="A68" s="1"/>
      <c r="B68" s="1"/>
      <c r="C68" s="2" t="s">
        <v>135</v>
      </c>
      <c r="D68" s="1"/>
      <c r="E68" s="1"/>
      <c r="F68" s="12"/>
      <c r="G68" s="12"/>
      <c r="H68" s="49"/>
    </row>
    <row r="69" spans="1:8" ht="14.1" customHeight="1" x14ac:dyDescent="0.2">
      <c r="A69" s="1"/>
      <c r="B69" s="1"/>
      <c r="C69" s="2" t="s">
        <v>130</v>
      </c>
      <c r="D69" s="1"/>
      <c r="E69" s="1" t="s">
        <v>131</v>
      </c>
      <c r="F69" s="13">
        <v>0</v>
      </c>
      <c r="G69" s="14">
        <v>0</v>
      </c>
      <c r="H69" s="49"/>
    </row>
    <row r="70" spans="1:8" ht="14.1" customHeight="1" x14ac:dyDescent="0.2">
      <c r="A70" s="1"/>
      <c r="B70" s="1"/>
      <c r="C70" s="11"/>
      <c r="D70" s="1"/>
      <c r="E70" s="1"/>
      <c r="F70" s="12"/>
      <c r="G70" s="12"/>
      <c r="H70" s="49"/>
    </row>
    <row r="71" spans="1:8" ht="14.1" customHeight="1" x14ac:dyDescent="0.2">
      <c r="A71" s="1"/>
      <c r="B71" s="1"/>
      <c r="C71" s="2" t="s">
        <v>136</v>
      </c>
      <c r="D71" s="1"/>
      <c r="E71" s="1"/>
      <c r="F71" s="12"/>
      <c r="G71" s="12"/>
      <c r="H71" s="49"/>
    </row>
    <row r="72" spans="1:8" ht="14.1" customHeight="1" x14ac:dyDescent="0.2">
      <c r="A72" s="1"/>
      <c r="B72" s="1"/>
      <c r="C72" s="2" t="s">
        <v>130</v>
      </c>
      <c r="D72" s="1"/>
      <c r="E72" s="1" t="s">
        <v>131</v>
      </c>
      <c r="F72" s="13">
        <v>0</v>
      </c>
      <c r="G72" s="14">
        <v>0</v>
      </c>
      <c r="H72" s="49"/>
    </row>
    <row r="73" spans="1:8" ht="14.1" customHeight="1" x14ac:dyDescent="0.2">
      <c r="A73" s="1"/>
      <c r="B73" s="1"/>
      <c r="C73" s="11"/>
      <c r="D73" s="1"/>
      <c r="E73" s="1"/>
      <c r="F73" s="12"/>
      <c r="G73" s="12"/>
      <c r="H73" s="49"/>
    </row>
    <row r="74" spans="1:8" ht="18" customHeight="1" x14ac:dyDescent="0.2">
      <c r="A74" s="1"/>
      <c r="B74" s="1"/>
      <c r="C74" s="2" t="s">
        <v>137</v>
      </c>
      <c r="D74" s="1"/>
      <c r="E74" s="1"/>
      <c r="F74" s="9">
        <v>3165.0845380000001</v>
      </c>
      <c r="G74" s="10">
        <v>0.93957496100000004</v>
      </c>
      <c r="H74" s="49"/>
    </row>
    <row r="75" spans="1:8" ht="14.1" customHeight="1" x14ac:dyDescent="0.2">
      <c r="A75" s="1"/>
      <c r="B75" s="1"/>
      <c r="C75" s="11"/>
      <c r="D75" s="1"/>
      <c r="E75" s="1"/>
      <c r="F75" s="12"/>
      <c r="G75" s="12"/>
      <c r="H75" s="49"/>
    </row>
    <row r="76" spans="1:8" ht="14.1" customHeight="1" x14ac:dyDescent="0.2">
      <c r="A76" s="1"/>
      <c r="B76" s="1"/>
      <c r="C76" s="2" t="s">
        <v>138</v>
      </c>
      <c r="D76" s="1"/>
      <c r="E76" s="1"/>
      <c r="F76" s="12"/>
      <c r="G76" s="12"/>
      <c r="H76" s="49"/>
    </row>
    <row r="77" spans="1:8" ht="24" customHeight="1" x14ac:dyDescent="0.2">
      <c r="A77" s="1"/>
      <c r="B77" s="1"/>
      <c r="C77" s="2" t="s">
        <v>10</v>
      </c>
      <c r="D77" s="1"/>
      <c r="E77" s="1"/>
      <c r="F77" s="12"/>
      <c r="G77" s="12"/>
      <c r="H77" s="49"/>
    </row>
    <row r="78" spans="1:8" ht="14.1" customHeight="1" x14ac:dyDescent="0.2">
      <c r="A78" s="1"/>
      <c r="B78" s="1"/>
      <c r="C78" s="2" t="s">
        <v>130</v>
      </c>
      <c r="D78" s="1"/>
      <c r="E78" s="1" t="s">
        <v>131</v>
      </c>
      <c r="F78" s="13">
        <v>0</v>
      </c>
      <c r="G78" s="14">
        <v>0</v>
      </c>
      <c r="H78" s="49"/>
    </row>
    <row r="79" spans="1:8" ht="14.1" customHeight="1" x14ac:dyDescent="0.2">
      <c r="A79" s="1"/>
      <c r="B79" s="1"/>
      <c r="C79" s="11"/>
      <c r="D79" s="1"/>
      <c r="E79" s="1"/>
      <c r="F79" s="12"/>
      <c r="G79" s="12"/>
      <c r="H79" s="49"/>
    </row>
    <row r="80" spans="1:8" ht="14.1" customHeight="1" x14ac:dyDescent="0.2">
      <c r="A80" s="1"/>
      <c r="B80" s="1"/>
      <c r="C80" s="2" t="s">
        <v>139</v>
      </c>
      <c r="D80" s="1"/>
      <c r="E80" s="1"/>
      <c r="F80" s="1"/>
      <c r="G80" s="1"/>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140</v>
      </c>
      <c r="D83" s="1"/>
      <c r="E83" s="1"/>
      <c r="F83" s="1"/>
      <c r="G83" s="1"/>
      <c r="H83" s="49"/>
    </row>
    <row r="84" spans="1:8" ht="14.1" customHeight="1" x14ac:dyDescent="0.2">
      <c r="A84" s="1"/>
      <c r="B84" s="1"/>
      <c r="C84" s="2" t="s">
        <v>130</v>
      </c>
      <c r="D84" s="1"/>
      <c r="E84" s="1" t="s">
        <v>131</v>
      </c>
      <c r="F84" s="13">
        <v>0</v>
      </c>
      <c r="G84" s="14">
        <v>0</v>
      </c>
      <c r="H84" s="49"/>
    </row>
    <row r="85" spans="1:8" ht="14.1" customHeight="1" x14ac:dyDescent="0.2">
      <c r="A85" s="1"/>
      <c r="B85" s="1"/>
      <c r="C85" s="11"/>
      <c r="D85" s="1"/>
      <c r="E85" s="1"/>
      <c r="F85" s="12"/>
      <c r="G85" s="12"/>
      <c r="H85" s="49"/>
    </row>
    <row r="86" spans="1:8" ht="14.1" customHeight="1" x14ac:dyDescent="0.2">
      <c r="A86" s="1"/>
      <c r="B86" s="1"/>
      <c r="C86" s="2" t="s">
        <v>141</v>
      </c>
      <c r="D86" s="1"/>
      <c r="E86" s="1"/>
      <c r="F86" s="12"/>
      <c r="G86" s="12"/>
      <c r="H86" s="49"/>
    </row>
    <row r="87" spans="1:8" ht="14.1" customHeight="1" x14ac:dyDescent="0.2">
      <c r="A87" s="1"/>
      <c r="B87" s="1"/>
      <c r="C87" s="2" t="s">
        <v>130</v>
      </c>
      <c r="D87" s="1"/>
      <c r="E87" s="1" t="s">
        <v>131</v>
      </c>
      <c r="F87" s="13">
        <v>0</v>
      </c>
      <c r="G87" s="14">
        <v>0</v>
      </c>
      <c r="H87" s="49"/>
    </row>
    <row r="88" spans="1:8" ht="14.1" customHeight="1" x14ac:dyDescent="0.2">
      <c r="A88" s="1"/>
      <c r="B88" s="1"/>
      <c r="C88" s="11"/>
      <c r="D88" s="1"/>
      <c r="E88" s="1"/>
      <c r="F88" s="12"/>
      <c r="G88" s="12"/>
      <c r="H88" s="49"/>
    </row>
    <row r="89" spans="1:8" ht="14.1" customHeight="1" x14ac:dyDescent="0.2">
      <c r="A89" s="1"/>
      <c r="B89" s="1"/>
      <c r="C89" s="2" t="s">
        <v>142</v>
      </c>
      <c r="D89" s="1"/>
      <c r="E89" s="1"/>
      <c r="F89" s="9">
        <v>0</v>
      </c>
      <c r="G89" s="10">
        <v>0</v>
      </c>
      <c r="H89" s="49"/>
    </row>
    <row r="90" spans="1:8" ht="14.1" customHeight="1" x14ac:dyDescent="0.2">
      <c r="A90" s="1"/>
      <c r="B90" s="1"/>
      <c r="C90" s="11"/>
      <c r="D90" s="1"/>
      <c r="E90" s="1"/>
      <c r="F90" s="12"/>
      <c r="G90" s="12"/>
      <c r="H90" s="49"/>
    </row>
    <row r="91" spans="1:8" ht="14.1" customHeight="1" x14ac:dyDescent="0.2">
      <c r="A91" s="1"/>
      <c r="B91" s="1"/>
      <c r="C91" s="2" t="s">
        <v>143</v>
      </c>
      <c r="D91" s="1"/>
      <c r="E91" s="1"/>
      <c r="F91" s="12"/>
      <c r="G91" s="12"/>
      <c r="H91" s="49"/>
    </row>
    <row r="92" spans="1:8" ht="14.1" customHeight="1" x14ac:dyDescent="0.2">
      <c r="A92" s="1"/>
      <c r="B92" s="1"/>
      <c r="C92" s="2" t="s">
        <v>144</v>
      </c>
      <c r="D92" s="1"/>
      <c r="E92" s="1"/>
      <c r="F92" s="12"/>
      <c r="G92" s="12"/>
      <c r="H92" s="49"/>
    </row>
    <row r="93" spans="1:8" ht="14.1" customHeight="1" x14ac:dyDescent="0.2">
      <c r="A93" s="1"/>
      <c r="B93" s="1"/>
      <c r="C93" s="2" t="s">
        <v>130</v>
      </c>
      <c r="D93" s="1"/>
      <c r="E93" s="1" t="s">
        <v>131</v>
      </c>
      <c r="F93" s="13">
        <v>0</v>
      </c>
      <c r="G93" s="14">
        <v>0</v>
      </c>
      <c r="H93" s="49"/>
    </row>
    <row r="94" spans="1:8" ht="14.1" customHeight="1" x14ac:dyDescent="0.2">
      <c r="A94" s="1"/>
      <c r="B94" s="1"/>
      <c r="C94" s="11"/>
      <c r="D94" s="1"/>
      <c r="E94" s="1"/>
      <c r="F94" s="12"/>
      <c r="G94" s="12"/>
      <c r="H94" s="49"/>
    </row>
    <row r="95" spans="1:8" ht="14.1" customHeight="1" x14ac:dyDescent="0.2">
      <c r="A95" s="1"/>
      <c r="B95" s="1"/>
      <c r="C95" s="2" t="s">
        <v>145</v>
      </c>
      <c r="D95" s="1"/>
      <c r="E95" s="1"/>
      <c r="F95" s="12"/>
      <c r="G95" s="12"/>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146</v>
      </c>
      <c r="D98" s="1"/>
      <c r="E98" s="1"/>
      <c r="F98" s="12"/>
      <c r="G98" s="12"/>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2" t="s">
        <v>147</v>
      </c>
      <c r="D101" s="1"/>
      <c r="E101" s="1"/>
      <c r="F101" s="12"/>
      <c r="G101" s="12"/>
      <c r="H101" s="49"/>
    </row>
    <row r="102" spans="1:8" ht="17.100000000000001" customHeight="1" x14ac:dyDescent="0.2">
      <c r="A102" s="3">
        <v>1</v>
      </c>
      <c r="B102" s="4"/>
      <c r="C102" s="4" t="s">
        <v>148</v>
      </c>
      <c r="D102" s="4"/>
      <c r="E102" s="8"/>
      <c r="F102" s="6">
        <v>202.74987530000001</v>
      </c>
      <c r="G102" s="7">
        <v>6.0187557000000003E-2</v>
      </c>
      <c r="H102" s="49">
        <v>5.6572293145372496</v>
      </c>
    </row>
    <row r="103" spans="1:8" ht="14.1" customHeight="1" x14ac:dyDescent="0.2">
      <c r="A103" s="1"/>
      <c r="B103" s="1"/>
      <c r="C103" s="2" t="s">
        <v>130</v>
      </c>
      <c r="D103" s="1"/>
      <c r="E103" s="1" t="s">
        <v>131</v>
      </c>
      <c r="F103" s="9">
        <v>202.74987530000001</v>
      </c>
      <c r="G103" s="10">
        <v>6.0187557000000003E-2</v>
      </c>
      <c r="H103" s="49"/>
    </row>
    <row r="104" spans="1:8" ht="14.1" customHeight="1" x14ac:dyDescent="0.2">
      <c r="A104" s="1"/>
      <c r="B104" s="1"/>
      <c r="C104" s="11"/>
      <c r="D104" s="1"/>
      <c r="E104" s="1"/>
      <c r="F104" s="12"/>
      <c r="G104" s="12"/>
      <c r="H104" s="49"/>
    </row>
    <row r="105" spans="1:8" ht="14.1" customHeight="1" x14ac:dyDescent="0.2">
      <c r="A105" s="1"/>
      <c r="B105" s="1"/>
      <c r="C105" s="2" t="s">
        <v>149</v>
      </c>
      <c r="D105" s="1"/>
      <c r="E105" s="1"/>
      <c r="F105" s="9">
        <v>202.74987530000001</v>
      </c>
      <c r="G105" s="10">
        <v>6.0187557000000003E-2</v>
      </c>
      <c r="H105" s="49"/>
    </row>
    <row r="106" spans="1:8" ht="14.1" customHeight="1" x14ac:dyDescent="0.2">
      <c r="A106" s="1"/>
      <c r="B106" s="1"/>
      <c r="C106" s="12"/>
      <c r="D106" s="1"/>
      <c r="E106" s="1"/>
      <c r="F106" s="1"/>
      <c r="G106" s="1"/>
      <c r="H106" s="49"/>
    </row>
    <row r="107" spans="1:8" ht="14.1" customHeight="1" x14ac:dyDescent="0.2">
      <c r="A107" s="1"/>
      <c r="B107" s="1"/>
      <c r="C107" s="2" t="s">
        <v>150</v>
      </c>
      <c r="D107" s="1"/>
      <c r="E107" s="1"/>
      <c r="F107" s="1"/>
      <c r="G107" s="1"/>
      <c r="H107" s="49"/>
    </row>
    <row r="108" spans="1:8" ht="14.1" customHeight="1" x14ac:dyDescent="0.2">
      <c r="A108" s="1"/>
      <c r="B108" s="1"/>
      <c r="C108" s="2" t="s">
        <v>151</v>
      </c>
      <c r="D108" s="1"/>
      <c r="E108" s="1"/>
      <c r="F108" s="1"/>
      <c r="G108" s="1"/>
      <c r="H108" s="49"/>
    </row>
    <row r="109" spans="1:8" ht="14.1" customHeight="1" x14ac:dyDescent="0.2">
      <c r="A109" s="1"/>
      <c r="B109" s="1"/>
      <c r="C109" s="2" t="s">
        <v>130</v>
      </c>
      <c r="D109" s="1"/>
      <c r="E109" s="1" t="s">
        <v>131</v>
      </c>
      <c r="F109" s="13">
        <v>0</v>
      </c>
      <c r="G109" s="14">
        <v>0</v>
      </c>
      <c r="H109" s="49"/>
    </row>
    <row r="110" spans="1:8" ht="14.1" customHeight="1" x14ac:dyDescent="0.2">
      <c r="A110" s="1"/>
      <c r="B110" s="1"/>
      <c r="C110" s="11"/>
      <c r="D110" s="1"/>
      <c r="E110" s="1"/>
      <c r="F110" s="12"/>
      <c r="G110" s="12"/>
      <c r="H110" s="49"/>
    </row>
    <row r="111" spans="1:8" ht="14.1" customHeight="1" x14ac:dyDescent="0.2">
      <c r="A111" s="1"/>
      <c r="B111" s="1"/>
      <c r="C111" s="2" t="s">
        <v>152</v>
      </c>
      <c r="D111" s="1"/>
      <c r="E111" s="1"/>
      <c r="F111" s="1"/>
      <c r="G111" s="1"/>
      <c r="H111" s="49"/>
    </row>
    <row r="112" spans="1:8" ht="14.1" customHeight="1" x14ac:dyDescent="0.2">
      <c r="A112" s="1"/>
      <c r="B112" s="1"/>
      <c r="C112" s="2" t="s">
        <v>153</v>
      </c>
      <c r="D112" s="1"/>
      <c r="E112" s="1"/>
      <c r="F112" s="1"/>
      <c r="G112" s="1"/>
      <c r="H112" s="49"/>
    </row>
    <row r="113" spans="1:8" ht="14.1" customHeight="1" x14ac:dyDescent="0.2">
      <c r="A113" s="1"/>
      <c r="B113" s="1"/>
      <c r="C113" s="2" t="s">
        <v>130</v>
      </c>
      <c r="D113" s="1"/>
      <c r="E113" s="1" t="s">
        <v>131</v>
      </c>
      <c r="F113" s="13">
        <v>0</v>
      </c>
      <c r="G113" s="14">
        <v>0</v>
      </c>
      <c r="H113" s="49"/>
    </row>
    <row r="114" spans="1:8" ht="14.1" customHeight="1" x14ac:dyDescent="0.2">
      <c r="A114" s="1"/>
      <c r="B114" s="1"/>
      <c r="C114" s="11"/>
      <c r="D114" s="1"/>
      <c r="E114" s="1"/>
      <c r="F114" s="12"/>
      <c r="G114" s="12"/>
      <c r="H114" s="49"/>
    </row>
    <row r="115" spans="1:8" ht="14.1" customHeight="1" x14ac:dyDescent="0.2">
      <c r="A115" s="1"/>
      <c r="B115" s="1"/>
      <c r="C115" s="11"/>
      <c r="D115" s="1"/>
      <c r="E115" s="1"/>
      <c r="F115" s="12"/>
      <c r="G115" s="12"/>
      <c r="H115" s="49"/>
    </row>
    <row r="116" spans="1:8" ht="24" customHeight="1" x14ac:dyDescent="0.2">
      <c r="A116" s="1"/>
      <c r="B116" s="1"/>
      <c r="C116" s="2" t="s">
        <v>154</v>
      </c>
      <c r="D116" s="1"/>
      <c r="E116" s="1"/>
      <c r="F116" s="12"/>
      <c r="G116" s="12"/>
      <c r="H116" s="49"/>
    </row>
    <row r="117" spans="1:8" ht="14.1" customHeight="1" x14ac:dyDescent="0.2">
      <c r="A117" s="1"/>
      <c r="B117" s="1"/>
      <c r="C117" s="2" t="s">
        <v>130</v>
      </c>
      <c r="D117" s="1"/>
      <c r="E117" s="1" t="s">
        <v>131</v>
      </c>
      <c r="F117" s="13">
        <v>0</v>
      </c>
      <c r="G117" s="14">
        <v>0</v>
      </c>
      <c r="H117" s="49"/>
    </row>
    <row r="118" spans="1:8" ht="14.1" customHeight="1" x14ac:dyDescent="0.2">
      <c r="A118" s="1"/>
      <c r="B118" s="1"/>
      <c r="C118" s="11"/>
      <c r="D118" s="1"/>
      <c r="E118" s="1"/>
      <c r="F118" s="12"/>
      <c r="G118" s="12"/>
      <c r="H118" s="49"/>
    </row>
    <row r="119" spans="1:8" ht="14.1" customHeight="1" x14ac:dyDescent="0.2">
      <c r="A119" s="1"/>
      <c r="B119" s="4"/>
      <c r="C119" s="4"/>
      <c r="D119" s="2"/>
      <c r="E119" s="1"/>
      <c r="F119" s="4"/>
      <c r="G119" s="8"/>
      <c r="H119" s="49"/>
    </row>
    <row r="120" spans="1:8" ht="18" customHeight="1" x14ac:dyDescent="0.2">
      <c r="A120" s="8"/>
      <c r="B120" s="4"/>
      <c r="C120" s="4" t="s">
        <v>155</v>
      </c>
      <c r="D120" s="4"/>
      <c r="E120" s="8"/>
      <c r="F120" s="6">
        <v>0.79998659999999999</v>
      </c>
      <c r="G120" s="7">
        <v>2.37481E-4</v>
      </c>
      <c r="H120" s="49"/>
    </row>
    <row r="121" spans="1:8" ht="14.1" customHeight="1" x14ac:dyDescent="0.2">
      <c r="A121" s="11"/>
      <c r="B121" s="11"/>
      <c r="C121" s="2" t="s">
        <v>156</v>
      </c>
      <c r="D121" s="15"/>
      <c r="E121" s="15"/>
      <c r="F121" s="9">
        <v>3368.6343999000001</v>
      </c>
      <c r="G121" s="10">
        <v>0.99999999900000003</v>
      </c>
      <c r="H121" s="49"/>
    </row>
    <row r="122" spans="1:8" ht="14.1" customHeight="1" x14ac:dyDescent="0.2">
      <c r="A122" s="16"/>
      <c r="B122" s="16"/>
      <c r="C122" s="16"/>
      <c r="D122" s="17"/>
      <c r="E122" s="17"/>
      <c r="F122" s="17"/>
      <c r="G122" s="17"/>
    </row>
    <row r="123" spans="1:8" ht="14.1" customHeight="1" x14ac:dyDescent="0.2">
      <c r="A123" s="18"/>
      <c r="B123" s="18"/>
      <c r="C123" s="18"/>
      <c r="D123" s="20"/>
      <c r="E123" s="20"/>
      <c r="F123" s="20"/>
      <c r="G123" s="20"/>
    </row>
    <row r="124" spans="1:8" ht="14.1" customHeight="1" x14ac:dyDescent="0.2">
      <c r="A124" s="18"/>
      <c r="B124" s="319" t="s">
        <v>158</v>
      </c>
      <c r="C124" s="320"/>
      <c r="D124" s="12" t="s">
        <v>131</v>
      </c>
      <c r="E124" s="21"/>
      <c r="F124" s="20"/>
      <c r="G124" s="20"/>
    </row>
    <row r="125" spans="1:8" ht="29.1" customHeight="1" x14ac:dyDescent="0.2">
      <c r="A125" s="18"/>
      <c r="B125" s="323" t="s">
        <v>159</v>
      </c>
      <c r="C125" s="324"/>
      <c r="D125" s="2" t="s">
        <v>160</v>
      </c>
      <c r="E125" s="21"/>
      <c r="F125" s="20"/>
      <c r="G125" s="20"/>
    </row>
    <row r="126" spans="1:8" ht="17.100000000000001" customHeight="1" x14ac:dyDescent="0.2">
      <c r="A126" s="18"/>
      <c r="B126" s="323" t="s">
        <v>161</v>
      </c>
      <c r="C126" s="324"/>
      <c r="D126" s="2" t="s">
        <v>160</v>
      </c>
      <c r="E126" s="21"/>
      <c r="F126" s="20"/>
      <c r="G126" s="20"/>
    </row>
    <row r="127" spans="1:8" ht="17.100000000000001" customHeight="1" x14ac:dyDescent="0.2">
      <c r="A127" s="18"/>
      <c r="B127" s="323" t="s">
        <v>162</v>
      </c>
      <c r="C127" s="324"/>
      <c r="D127" s="12" t="s">
        <v>131</v>
      </c>
      <c r="E127" s="21"/>
      <c r="F127" s="20"/>
      <c r="G127" s="20"/>
    </row>
    <row r="128" spans="1:8" ht="24" customHeight="1" x14ac:dyDescent="0.2">
      <c r="A128" s="22"/>
      <c r="B128" s="23" t="s">
        <v>131</v>
      </c>
      <c r="C128" s="23" t="s">
        <v>163</v>
      </c>
      <c r="D128" s="23" t="s">
        <v>164</v>
      </c>
      <c r="E128" s="22"/>
      <c r="F128" s="22"/>
      <c r="G128" s="22"/>
    </row>
    <row r="129" spans="1:7" ht="18" customHeight="1" x14ac:dyDescent="0.2">
      <c r="A129" s="22"/>
      <c r="B129" s="23" t="s">
        <v>165</v>
      </c>
      <c r="C129" s="23" t="s">
        <v>166</v>
      </c>
      <c r="D129" s="23" t="s">
        <v>167</v>
      </c>
      <c r="E129" s="22"/>
      <c r="F129" s="22"/>
      <c r="G129" s="22"/>
    </row>
    <row r="130" spans="1:7" ht="17.100000000000001" customHeight="1" x14ac:dyDescent="0.2">
      <c r="A130" s="22"/>
      <c r="B130" s="4" t="s">
        <v>168</v>
      </c>
      <c r="C130" s="24">
        <v>17.744700000000002</v>
      </c>
      <c r="D130" s="24">
        <v>17.796099999999999</v>
      </c>
      <c r="E130" s="22"/>
      <c r="F130" s="19"/>
      <c r="G130" s="25"/>
    </row>
    <row r="131" spans="1:7" ht="17.100000000000001" customHeight="1" x14ac:dyDescent="0.2">
      <c r="A131" s="22"/>
      <c r="B131" s="4" t="s">
        <v>1021</v>
      </c>
      <c r="C131" s="24">
        <v>17.744700000000002</v>
      </c>
      <c r="D131" s="24">
        <v>17.796099999999999</v>
      </c>
      <c r="E131" s="22"/>
      <c r="F131" s="19"/>
      <c r="G131" s="25"/>
    </row>
    <row r="132" spans="1:7" ht="17.100000000000001" customHeight="1" x14ac:dyDescent="0.2">
      <c r="A132" s="22"/>
      <c r="B132" s="4" t="s">
        <v>169</v>
      </c>
      <c r="C132" s="24">
        <v>17.4068</v>
      </c>
      <c r="D132" s="24">
        <v>17.4557</v>
      </c>
      <c r="E132" s="22"/>
      <c r="F132" s="19"/>
      <c r="G132" s="25"/>
    </row>
    <row r="133" spans="1:7" ht="17.100000000000001" customHeight="1" x14ac:dyDescent="0.2">
      <c r="A133" s="22"/>
      <c r="B133" s="4" t="s">
        <v>1022</v>
      </c>
      <c r="C133" s="24">
        <v>17.406600000000001</v>
      </c>
      <c r="D133" s="24">
        <v>17.455500000000001</v>
      </c>
      <c r="E133" s="22"/>
      <c r="F133" s="19"/>
      <c r="G133" s="25"/>
    </row>
    <row r="134" spans="1:7" ht="14.1" customHeight="1" x14ac:dyDescent="0.2">
      <c r="A134" s="22"/>
      <c r="B134" s="22"/>
      <c r="C134" s="22"/>
      <c r="D134" s="22"/>
      <c r="E134" s="22"/>
      <c r="F134" s="22"/>
      <c r="G134" s="22"/>
    </row>
    <row r="135" spans="1:7" ht="17.100000000000001" customHeight="1" x14ac:dyDescent="0.2">
      <c r="A135" s="22"/>
      <c r="B135" s="323" t="s">
        <v>1023</v>
      </c>
      <c r="C135" s="324"/>
      <c r="D135" s="57" t="s">
        <v>160</v>
      </c>
      <c r="E135" s="22"/>
      <c r="F135" s="22"/>
      <c r="G135" s="22"/>
    </row>
    <row r="136" spans="1:7" ht="18" customHeight="1" x14ac:dyDescent="0.2">
      <c r="A136" s="22"/>
      <c r="B136" s="28"/>
      <c r="C136" s="28"/>
      <c r="D136" s="26"/>
      <c r="E136" s="22"/>
      <c r="F136" s="22"/>
      <c r="G136" s="22"/>
    </row>
    <row r="137" spans="1:7" ht="29.1" customHeight="1" x14ac:dyDescent="0.2">
      <c r="A137" s="22"/>
      <c r="B137" s="323" t="s">
        <v>170</v>
      </c>
      <c r="C137" s="324"/>
      <c r="D137" s="2" t="s">
        <v>160</v>
      </c>
      <c r="E137" s="22"/>
      <c r="F137" s="22"/>
      <c r="G137" s="22"/>
    </row>
    <row r="138" spans="1:7" ht="29.1" customHeight="1" x14ac:dyDescent="0.2">
      <c r="A138" s="22"/>
      <c r="B138" s="323" t="s">
        <v>171</v>
      </c>
      <c r="C138" s="324"/>
      <c r="D138" s="2" t="s">
        <v>160</v>
      </c>
      <c r="E138" s="22"/>
      <c r="F138" s="22"/>
      <c r="G138" s="22"/>
    </row>
    <row r="139" spans="1:7" ht="17.100000000000001" customHeight="1" x14ac:dyDescent="0.2">
      <c r="A139" s="22"/>
      <c r="B139" s="323" t="s">
        <v>172</v>
      </c>
      <c r="C139" s="324"/>
      <c r="D139" s="27">
        <v>0.10121264769823721</v>
      </c>
      <c r="E139" s="22"/>
      <c r="F139" s="19"/>
      <c r="G139" s="25"/>
    </row>
    <row r="140" spans="1:7" ht="17.100000000000001" customHeight="1" x14ac:dyDescent="0.2">
      <c r="A140" s="22"/>
      <c r="B140" s="323" t="s">
        <v>173</v>
      </c>
      <c r="C140" s="324"/>
      <c r="D140" s="2" t="s">
        <v>160</v>
      </c>
      <c r="E140" s="22"/>
      <c r="F140" s="22"/>
      <c r="G140" s="22"/>
    </row>
    <row r="155" spans="10:14" x14ac:dyDescent="0.2">
      <c r="J155" s="218"/>
      <c r="K155" s="218"/>
      <c r="L155" s="218"/>
      <c r="M155" s="218"/>
      <c r="N155" s="218"/>
    </row>
  </sheetData>
  <mergeCells count="13">
    <mergeCell ref="J2:N2"/>
    <mergeCell ref="B140:C140"/>
    <mergeCell ref="B125:C125"/>
    <mergeCell ref="B126:C126"/>
    <mergeCell ref="B127:C127"/>
    <mergeCell ref="B135:C135"/>
    <mergeCell ref="B137:C137"/>
    <mergeCell ref="B138:C138"/>
    <mergeCell ref="A1:H1"/>
    <mergeCell ref="A2:H2"/>
    <mergeCell ref="A3:H3"/>
    <mergeCell ref="B124:C124"/>
    <mergeCell ref="B139:C139"/>
  </mergeCells>
  <hyperlinks>
    <hyperlink ref="I1" location="Index!B19" display="Index" xr:uid="{0D3FCAC9-701E-4E1C-B52D-B51A1194D65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O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493</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389</v>
      </c>
      <c r="C7" s="4" t="s">
        <v>390</v>
      </c>
      <c r="D7" s="4" t="s">
        <v>103</v>
      </c>
      <c r="E7" s="5">
        <v>96084</v>
      </c>
      <c r="F7" s="6">
        <v>114.724296</v>
      </c>
      <c r="G7" s="7">
        <v>3.8209160999999998E-2</v>
      </c>
      <c r="H7" s="49"/>
    </row>
    <row r="8" spans="1:15" ht="17.100000000000001" customHeight="1" x14ac:dyDescent="0.2">
      <c r="A8" s="3">
        <v>2</v>
      </c>
      <c r="B8" s="4" t="s">
        <v>300</v>
      </c>
      <c r="C8" s="4" t="s">
        <v>301</v>
      </c>
      <c r="D8" s="4" t="s">
        <v>230</v>
      </c>
      <c r="E8" s="5">
        <v>19524</v>
      </c>
      <c r="F8" s="6">
        <v>105.33198</v>
      </c>
      <c r="G8" s="7">
        <v>3.5081030999999999E-2</v>
      </c>
      <c r="H8" s="49"/>
    </row>
    <row r="9" spans="1:15" ht="17.100000000000001" customHeight="1" x14ac:dyDescent="0.2">
      <c r="A9" s="3">
        <v>3</v>
      </c>
      <c r="B9" s="4" t="s">
        <v>106</v>
      </c>
      <c r="C9" s="4" t="s">
        <v>107</v>
      </c>
      <c r="D9" s="4" t="s">
        <v>108</v>
      </c>
      <c r="E9" s="5">
        <v>26570</v>
      </c>
      <c r="F9" s="6">
        <v>102.732905</v>
      </c>
      <c r="G9" s="7">
        <v>3.4215403999999998E-2</v>
      </c>
      <c r="H9" s="49"/>
    </row>
    <row r="10" spans="1:15" ht="17.100000000000001" customHeight="1" x14ac:dyDescent="0.2">
      <c r="A10" s="3">
        <v>4</v>
      </c>
      <c r="B10" s="4" t="s">
        <v>315</v>
      </c>
      <c r="C10" s="4" t="s">
        <v>316</v>
      </c>
      <c r="D10" s="4" t="s">
        <v>317</v>
      </c>
      <c r="E10" s="5">
        <v>6432</v>
      </c>
      <c r="F10" s="6">
        <v>102.72868800000001</v>
      </c>
      <c r="G10" s="7">
        <v>3.4213999000000002E-2</v>
      </c>
      <c r="H10" s="49"/>
    </row>
    <row r="11" spans="1:15" ht="17.100000000000001" customHeight="1" x14ac:dyDescent="0.2">
      <c r="A11" s="3">
        <v>5</v>
      </c>
      <c r="B11" s="4" t="s">
        <v>29</v>
      </c>
      <c r="C11" s="4" t="s">
        <v>30</v>
      </c>
      <c r="D11" s="4" t="s">
        <v>31</v>
      </c>
      <c r="E11" s="5">
        <v>5066</v>
      </c>
      <c r="F11" s="6">
        <v>102.55103800000001</v>
      </c>
      <c r="G11" s="7">
        <v>3.4154833000000002E-2</v>
      </c>
      <c r="H11" s="49"/>
    </row>
    <row r="12" spans="1:15" ht="17.100000000000001" customHeight="1" x14ac:dyDescent="0.2">
      <c r="A12" s="3">
        <v>6</v>
      </c>
      <c r="B12" s="4" t="s">
        <v>83</v>
      </c>
      <c r="C12" s="4" t="s">
        <v>84</v>
      </c>
      <c r="D12" s="4" t="s">
        <v>31</v>
      </c>
      <c r="E12" s="5">
        <v>5898</v>
      </c>
      <c r="F12" s="6">
        <v>90.080153999999993</v>
      </c>
      <c r="G12" s="7">
        <v>3.0001379000000002E-2</v>
      </c>
      <c r="H12" s="49"/>
    </row>
    <row r="13" spans="1:15" ht="17.100000000000001" customHeight="1" x14ac:dyDescent="0.2">
      <c r="A13" s="3">
        <v>7</v>
      </c>
      <c r="B13" s="4" t="s">
        <v>398</v>
      </c>
      <c r="C13" s="4" t="s">
        <v>399</v>
      </c>
      <c r="D13" s="4" t="s">
        <v>108</v>
      </c>
      <c r="E13" s="5">
        <v>5377</v>
      </c>
      <c r="F13" s="6">
        <v>87.75264</v>
      </c>
      <c r="G13" s="7">
        <v>2.9226195999999999E-2</v>
      </c>
      <c r="H13" s="49"/>
    </row>
    <row r="14" spans="1:15" ht="17.100000000000001" customHeight="1" x14ac:dyDescent="0.2">
      <c r="A14" s="3">
        <v>8</v>
      </c>
      <c r="B14" s="4" t="s">
        <v>417</v>
      </c>
      <c r="C14" s="4" t="s">
        <v>418</v>
      </c>
      <c r="D14" s="4" t="s">
        <v>974</v>
      </c>
      <c r="E14" s="5">
        <v>12073</v>
      </c>
      <c r="F14" s="6">
        <v>86.303840500000007</v>
      </c>
      <c r="G14" s="7">
        <v>2.8743669999999999E-2</v>
      </c>
      <c r="H14" s="49"/>
      <c r="J14" s="217" t="s">
        <v>1080</v>
      </c>
    </row>
    <row r="15" spans="1:15" ht="29.1" customHeight="1" x14ac:dyDescent="0.2">
      <c r="A15" s="3">
        <v>9</v>
      </c>
      <c r="B15" s="4" t="s">
        <v>189</v>
      </c>
      <c r="C15" s="4" t="s">
        <v>190</v>
      </c>
      <c r="D15" s="4" t="s">
        <v>108</v>
      </c>
      <c r="E15" s="5">
        <v>22574</v>
      </c>
      <c r="F15" s="6">
        <v>81.909758999999994</v>
      </c>
      <c r="G15" s="7">
        <v>2.7280212000000002E-2</v>
      </c>
      <c r="H15" s="49"/>
    </row>
    <row r="16" spans="1:15" ht="17.100000000000001" customHeight="1" x14ac:dyDescent="0.2">
      <c r="A16" s="3">
        <v>10</v>
      </c>
      <c r="B16" s="4" t="s">
        <v>98</v>
      </c>
      <c r="C16" s="4" t="s">
        <v>99</v>
      </c>
      <c r="D16" s="4" t="s">
        <v>100</v>
      </c>
      <c r="E16" s="5">
        <v>16682</v>
      </c>
      <c r="F16" s="6">
        <v>81.116225</v>
      </c>
      <c r="G16" s="7">
        <v>2.7015924E-2</v>
      </c>
      <c r="H16" s="49"/>
    </row>
    <row r="17" spans="1:8" ht="29.1" customHeight="1" x14ac:dyDescent="0.2">
      <c r="A17" s="3">
        <v>11</v>
      </c>
      <c r="B17" s="4" t="s">
        <v>197</v>
      </c>
      <c r="C17" s="4" t="s">
        <v>198</v>
      </c>
      <c r="D17" s="4" t="s">
        <v>193</v>
      </c>
      <c r="E17" s="5">
        <v>1852</v>
      </c>
      <c r="F17" s="6">
        <v>80.422173999999998</v>
      </c>
      <c r="G17" s="7">
        <v>2.6784769E-2</v>
      </c>
      <c r="H17" s="49"/>
    </row>
    <row r="18" spans="1:8" ht="17.100000000000001" customHeight="1" x14ac:dyDescent="0.2">
      <c r="A18" s="3">
        <v>12</v>
      </c>
      <c r="B18" s="4" t="s">
        <v>370</v>
      </c>
      <c r="C18" s="4" t="s">
        <v>371</v>
      </c>
      <c r="D18" s="4" t="s">
        <v>108</v>
      </c>
      <c r="E18" s="5">
        <v>14444</v>
      </c>
      <c r="F18" s="6">
        <v>78.344256000000001</v>
      </c>
      <c r="G18" s="7">
        <v>2.6092713999999999E-2</v>
      </c>
      <c r="H18" s="49"/>
    </row>
    <row r="19" spans="1:8" ht="17.100000000000001" customHeight="1" x14ac:dyDescent="0.2">
      <c r="A19" s="3">
        <v>13</v>
      </c>
      <c r="B19" s="4" t="s">
        <v>318</v>
      </c>
      <c r="C19" s="4" t="s">
        <v>319</v>
      </c>
      <c r="D19" s="4" t="s">
        <v>233</v>
      </c>
      <c r="E19" s="5">
        <v>5601</v>
      </c>
      <c r="F19" s="6">
        <v>75.613500000000002</v>
      </c>
      <c r="G19" s="7">
        <v>2.5183231E-2</v>
      </c>
      <c r="H19" s="49"/>
    </row>
    <row r="20" spans="1:8" ht="17.100000000000001" customHeight="1" x14ac:dyDescent="0.2">
      <c r="A20" s="3">
        <v>14</v>
      </c>
      <c r="B20" s="4" t="s">
        <v>469</v>
      </c>
      <c r="C20" s="4" t="s">
        <v>470</v>
      </c>
      <c r="D20" s="4" t="s">
        <v>233</v>
      </c>
      <c r="E20" s="5">
        <v>33431</v>
      </c>
      <c r="F20" s="6">
        <v>74.617992000000001</v>
      </c>
      <c r="G20" s="7">
        <v>2.4851675E-2</v>
      </c>
      <c r="H20" s="49"/>
    </row>
    <row r="21" spans="1:8" ht="17.100000000000001" customHeight="1" x14ac:dyDescent="0.2">
      <c r="A21" s="3">
        <v>15</v>
      </c>
      <c r="B21" s="4" t="s">
        <v>419</v>
      </c>
      <c r="C21" s="4" t="s">
        <v>420</v>
      </c>
      <c r="D21" s="4" t="s">
        <v>227</v>
      </c>
      <c r="E21" s="5">
        <v>24965</v>
      </c>
      <c r="F21" s="6">
        <v>73.858952500000001</v>
      </c>
      <c r="G21" s="7">
        <v>2.4598874999999999E-2</v>
      </c>
      <c r="H21" s="49"/>
    </row>
    <row r="22" spans="1:8" ht="29.1" customHeight="1" x14ac:dyDescent="0.2">
      <c r="A22" s="3">
        <v>16</v>
      </c>
      <c r="B22" s="4" t="s">
        <v>421</v>
      </c>
      <c r="C22" s="4" t="s">
        <v>422</v>
      </c>
      <c r="D22" s="4" t="s">
        <v>215</v>
      </c>
      <c r="E22" s="5">
        <v>17579</v>
      </c>
      <c r="F22" s="6">
        <v>69.902893500000005</v>
      </c>
      <c r="G22" s="7">
        <v>2.3281301000000001E-2</v>
      </c>
      <c r="H22" s="49"/>
    </row>
    <row r="23" spans="1:8" ht="17.100000000000001" customHeight="1" x14ac:dyDescent="0.2">
      <c r="A23" s="3">
        <v>17</v>
      </c>
      <c r="B23" s="4" t="s">
        <v>372</v>
      </c>
      <c r="C23" s="4" t="s">
        <v>373</v>
      </c>
      <c r="D23" s="4" t="s">
        <v>103</v>
      </c>
      <c r="E23" s="5">
        <v>12229</v>
      </c>
      <c r="F23" s="6">
        <v>67.632484500000004</v>
      </c>
      <c r="G23" s="7">
        <v>2.2525137000000001E-2</v>
      </c>
      <c r="H23" s="49"/>
    </row>
    <row r="24" spans="1:8" ht="17.100000000000001" customHeight="1" x14ac:dyDescent="0.2">
      <c r="A24" s="3">
        <v>18</v>
      </c>
      <c r="B24" s="4" t="s">
        <v>203</v>
      </c>
      <c r="C24" s="4" t="s">
        <v>204</v>
      </c>
      <c r="D24" s="4" t="s">
        <v>974</v>
      </c>
      <c r="E24" s="5">
        <v>1624</v>
      </c>
      <c r="F24" s="6">
        <v>67.472328000000005</v>
      </c>
      <c r="G24" s="7">
        <v>2.2471797000000002E-2</v>
      </c>
      <c r="H24" s="49"/>
    </row>
    <row r="25" spans="1:8" ht="17.100000000000001" customHeight="1" x14ac:dyDescent="0.2">
      <c r="A25" s="3">
        <v>19</v>
      </c>
      <c r="B25" s="4" t="s">
        <v>404</v>
      </c>
      <c r="C25" s="4" t="s">
        <v>405</v>
      </c>
      <c r="D25" s="4" t="s">
        <v>317</v>
      </c>
      <c r="E25" s="5">
        <v>4116</v>
      </c>
      <c r="F25" s="6">
        <v>64.306325999999999</v>
      </c>
      <c r="G25" s="7">
        <v>2.1417353E-2</v>
      </c>
      <c r="H25" s="49"/>
    </row>
    <row r="26" spans="1:8" ht="29.1" customHeight="1" x14ac:dyDescent="0.2">
      <c r="A26" s="3">
        <v>20</v>
      </c>
      <c r="B26" s="4" t="s">
        <v>213</v>
      </c>
      <c r="C26" s="4" t="s">
        <v>214</v>
      </c>
      <c r="D26" s="4" t="s">
        <v>215</v>
      </c>
      <c r="E26" s="5">
        <v>15078</v>
      </c>
      <c r="F26" s="6">
        <v>62.943111000000002</v>
      </c>
      <c r="G26" s="7">
        <v>2.0963332000000001E-2</v>
      </c>
      <c r="H26" s="49"/>
    </row>
    <row r="27" spans="1:8" ht="29.1" customHeight="1" x14ac:dyDescent="0.2">
      <c r="A27" s="3">
        <v>21</v>
      </c>
      <c r="B27" s="4" t="s">
        <v>425</v>
      </c>
      <c r="C27" s="4" t="s">
        <v>426</v>
      </c>
      <c r="D27" s="4" t="s">
        <v>48</v>
      </c>
      <c r="E27" s="5">
        <v>2217</v>
      </c>
      <c r="F27" s="6">
        <v>60.845565000000001</v>
      </c>
      <c r="G27" s="7">
        <v>2.026474E-2</v>
      </c>
      <c r="H27" s="49"/>
    </row>
    <row r="28" spans="1:8" ht="17.100000000000001" customHeight="1" x14ac:dyDescent="0.2">
      <c r="A28" s="3">
        <v>22</v>
      </c>
      <c r="B28" s="4" t="s">
        <v>423</v>
      </c>
      <c r="C28" s="4" t="s">
        <v>424</v>
      </c>
      <c r="D28" s="4" t="s">
        <v>233</v>
      </c>
      <c r="E28" s="5">
        <v>8090</v>
      </c>
      <c r="F28" s="6">
        <v>58.644410000000001</v>
      </c>
      <c r="G28" s="7">
        <v>1.9531639999999999E-2</v>
      </c>
      <c r="H28" s="49"/>
    </row>
    <row r="29" spans="1:8" ht="17.100000000000001" customHeight="1" x14ac:dyDescent="0.2">
      <c r="A29" s="3">
        <v>23</v>
      </c>
      <c r="B29" s="4" t="s">
        <v>34</v>
      </c>
      <c r="C29" s="4" t="s">
        <v>35</v>
      </c>
      <c r="D29" s="4" t="s">
        <v>31</v>
      </c>
      <c r="E29" s="5">
        <v>3026</v>
      </c>
      <c r="F29" s="6">
        <v>58.081043999999999</v>
      </c>
      <c r="G29" s="7">
        <v>1.9344009999999998E-2</v>
      </c>
      <c r="H29" s="49"/>
    </row>
    <row r="30" spans="1:8" ht="17.100000000000001" customHeight="1" x14ac:dyDescent="0.2">
      <c r="A30" s="3">
        <v>24</v>
      </c>
      <c r="B30" s="4" t="s">
        <v>376</v>
      </c>
      <c r="C30" s="4" t="s">
        <v>377</v>
      </c>
      <c r="D30" s="4" t="s">
        <v>108</v>
      </c>
      <c r="E30" s="5">
        <v>9015</v>
      </c>
      <c r="F30" s="6">
        <v>54.928395000000002</v>
      </c>
      <c r="G30" s="7">
        <v>1.8294014000000001E-2</v>
      </c>
      <c r="H30" s="49"/>
    </row>
    <row r="31" spans="1:8" ht="17.100000000000001" customHeight="1" x14ac:dyDescent="0.2">
      <c r="A31" s="3">
        <v>25</v>
      </c>
      <c r="B31" s="4" t="s">
        <v>449</v>
      </c>
      <c r="C31" s="4" t="s">
        <v>450</v>
      </c>
      <c r="D31" s="4" t="s">
        <v>1042</v>
      </c>
      <c r="E31" s="5">
        <v>6046</v>
      </c>
      <c r="F31" s="6">
        <v>50.623157999999997</v>
      </c>
      <c r="G31" s="7">
        <v>1.6860145999999999E-2</v>
      </c>
      <c r="H31" s="49"/>
    </row>
    <row r="32" spans="1:8" ht="17.100000000000001" customHeight="1" x14ac:dyDescent="0.2">
      <c r="A32" s="3">
        <v>26</v>
      </c>
      <c r="B32" s="4" t="s">
        <v>412</v>
      </c>
      <c r="C32" s="4" t="s">
        <v>413</v>
      </c>
      <c r="D32" s="4" t="s">
        <v>267</v>
      </c>
      <c r="E32" s="5">
        <v>15525</v>
      </c>
      <c r="F32" s="6">
        <v>49.470412500000002</v>
      </c>
      <c r="G32" s="7">
        <v>1.6476221999999999E-2</v>
      </c>
      <c r="H32" s="49"/>
    </row>
    <row r="33" spans="1:8" ht="29.1" customHeight="1" x14ac:dyDescent="0.2">
      <c r="A33" s="3">
        <v>27</v>
      </c>
      <c r="B33" s="4" t="s">
        <v>429</v>
      </c>
      <c r="C33" s="4" t="s">
        <v>430</v>
      </c>
      <c r="D33" s="4" t="s">
        <v>431</v>
      </c>
      <c r="E33" s="5">
        <v>39159</v>
      </c>
      <c r="F33" s="6">
        <v>49.4382375</v>
      </c>
      <c r="G33" s="7">
        <v>1.6465506000000001E-2</v>
      </c>
      <c r="H33" s="49"/>
    </row>
    <row r="34" spans="1:8" ht="29.1" customHeight="1" x14ac:dyDescent="0.2">
      <c r="A34" s="3">
        <v>28</v>
      </c>
      <c r="B34" s="4" t="s">
        <v>385</v>
      </c>
      <c r="C34" s="4" t="s">
        <v>386</v>
      </c>
      <c r="D34" s="4" t="s">
        <v>69</v>
      </c>
      <c r="E34" s="5">
        <v>3057</v>
      </c>
      <c r="F34" s="6">
        <v>48.503890499999997</v>
      </c>
      <c r="G34" s="7">
        <v>1.615432E-2</v>
      </c>
      <c r="H34" s="49"/>
    </row>
    <row r="35" spans="1:8" ht="29.1" customHeight="1" x14ac:dyDescent="0.2">
      <c r="A35" s="3">
        <v>29</v>
      </c>
      <c r="B35" s="4" t="s">
        <v>61</v>
      </c>
      <c r="C35" s="4" t="s">
        <v>62</v>
      </c>
      <c r="D35" s="4" t="s">
        <v>25</v>
      </c>
      <c r="E35" s="5">
        <v>1574</v>
      </c>
      <c r="F35" s="6">
        <v>48.474477999999998</v>
      </c>
      <c r="G35" s="7">
        <v>1.6144524E-2</v>
      </c>
      <c r="H35" s="49"/>
    </row>
    <row r="36" spans="1:8" ht="17.100000000000001" customHeight="1" x14ac:dyDescent="0.2">
      <c r="A36" s="3">
        <v>30</v>
      </c>
      <c r="B36" s="4" t="s">
        <v>457</v>
      </c>
      <c r="C36" s="4" t="s">
        <v>458</v>
      </c>
      <c r="D36" s="4" t="s">
        <v>13</v>
      </c>
      <c r="E36" s="5">
        <v>8951</v>
      </c>
      <c r="F36" s="6">
        <v>45.394996499999998</v>
      </c>
      <c r="G36" s="7">
        <v>1.5118896E-2</v>
      </c>
      <c r="H36" s="49"/>
    </row>
    <row r="37" spans="1:8" ht="17.100000000000001" customHeight="1" x14ac:dyDescent="0.2">
      <c r="A37" s="3">
        <v>31</v>
      </c>
      <c r="B37" s="4" t="s">
        <v>374</v>
      </c>
      <c r="C37" s="4" t="s">
        <v>375</v>
      </c>
      <c r="D37" s="4" t="s">
        <v>103</v>
      </c>
      <c r="E37" s="5">
        <v>6095</v>
      </c>
      <c r="F37" s="6">
        <v>44.719014999999999</v>
      </c>
      <c r="G37" s="7">
        <v>1.4893758999999999E-2</v>
      </c>
      <c r="H37" s="49"/>
    </row>
    <row r="38" spans="1:8" ht="17.100000000000001" customHeight="1" x14ac:dyDescent="0.2">
      <c r="A38" s="3">
        <v>32</v>
      </c>
      <c r="B38" s="4" t="s">
        <v>400</v>
      </c>
      <c r="C38" s="4" t="s">
        <v>401</v>
      </c>
      <c r="D38" s="4" t="s">
        <v>1042</v>
      </c>
      <c r="E38" s="5">
        <v>3490</v>
      </c>
      <c r="F38" s="6">
        <v>43.768090000000001</v>
      </c>
      <c r="G38" s="7">
        <v>1.4577052E-2</v>
      </c>
      <c r="H38" s="49"/>
    </row>
    <row r="39" spans="1:8" ht="17.100000000000001" customHeight="1" x14ac:dyDescent="0.2">
      <c r="A39" s="3">
        <v>33</v>
      </c>
      <c r="B39" s="4" t="s">
        <v>427</v>
      </c>
      <c r="C39" s="4" t="s">
        <v>428</v>
      </c>
      <c r="D39" s="4" t="s">
        <v>13</v>
      </c>
      <c r="E39" s="5">
        <v>51989</v>
      </c>
      <c r="F39" s="6">
        <v>41.253271499999997</v>
      </c>
      <c r="G39" s="7">
        <v>1.3739486E-2</v>
      </c>
      <c r="H39" s="49"/>
    </row>
    <row r="40" spans="1:8" ht="29.1" customHeight="1" x14ac:dyDescent="0.2">
      <c r="A40" s="3">
        <v>34</v>
      </c>
      <c r="B40" s="4" t="s">
        <v>378</v>
      </c>
      <c r="C40" s="4" t="s">
        <v>379</v>
      </c>
      <c r="D40" s="4" t="s">
        <v>380</v>
      </c>
      <c r="E40" s="5">
        <v>9641</v>
      </c>
      <c r="F40" s="6">
        <v>38.318154499999999</v>
      </c>
      <c r="G40" s="7">
        <v>1.2761939999999999E-2</v>
      </c>
      <c r="H40" s="49"/>
    </row>
    <row r="41" spans="1:8" ht="29.1" customHeight="1" x14ac:dyDescent="0.2">
      <c r="A41" s="3">
        <v>35</v>
      </c>
      <c r="B41" s="4" t="s">
        <v>283</v>
      </c>
      <c r="C41" s="4" t="s">
        <v>284</v>
      </c>
      <c r="D41" s="4" t="s">
        <v>193</v>
      </c>
      <c r="E41" s="5">
        <v>4967</v>
      </c>
      <c r="F41" s="6">
        <v>35.715213499999997</v>
      </c>
      <c r="G41" s="7">
        <v>1.1895025E-2</v>
      </c>
      <c r="H41" s="49"/>
    </row>
    <row r="42" spans="1:8" ht="29.1" customHeight="1" x14ac:dyDescent="0.2">
      <c r="A42" s="3">
        <v>36</v>
      </c>
      <c r="B42" s="4" t="s">
        <v>459</v>
      </c>
      <c r="C42" s="4" t="s">
        <v>460</v>
      </c>
      <c r="D42" s="4" t="s">
        <v>380</v>
      </c>
      <c r="E42" s="5">
        <v>7853</v>
      </c>
      <c r="F42" s="6">
        <v>34.364727999999999</v>
      </c>
      <c r="G42" s="7">
        <v>1.1445243000000001E-2</v>
      </c>
      <c r="H42" s="49"/>
    </row>
    <row r="43" spans="1:8" ht="17.100000000000001" customHeight="1" x14ac:dyDescent="0.2">
      <c r="A43" s="3">
        <v>37</v>
      </c>
      <c r="B43" s="4" t="s">
        <v>391</v>
      </c>
      <c r="C43" s="4" t="s">
        <v>392</v>
      </c>
      <c r="D43" s="4" t="s">
        <v>196</v>
      </c>
      <c r="E43" s="5">
        <v>4552</v>
      </c>
      <c r="F43" s="6">
        <v>34.160483999999997</v>
      </c>
      <c r="G43" s="7">
        <v>1.1377218999999999E-2</v>
      </c>
      <c r="H43" s="49"/>
    </row>
    <row r="44" spans="1:8" ht="29.1" customHeight="1" x14ac:dyDescent="0.2">
      <c r="A44" s="3">
        <v>38</v>
      </c>
      <c r="B44" s="4" t="s">
        <v>451</v>
      </c>
      <c r="C44" s="4" t="s">
        <v>452</v>
      </c>
      <c r="D44" s="4" t="s">
        <v>364</v>
      </c>
      <c r="E44" s="5">
        <v>6151</v>
      </c>
      <c r="F44" s="6">
        <v>33.590611000000003</v>
      </c>
      <c r="G44" s="7">
        <v>1.1187422000000001E-2</v>
      </c>
      <c r="H44" s="49"/>
    </row>
    <row r="45" spans="1:8" ht="17.100000000000001" customHeight="1" x14ac:dyDescent="0.2">
      <c r="A45" s="3">
        <v>39</v>
      </c>
      <c r="B45" s="4" t="s">
        <v>432</v>
      </c>
      <c r="C45" s="4" t="s">
        <v>433</v>
      </c>
      <c r="D45" s="4" t="s">
        <v>103</v>
      </c>
      <c r="E45" s="5">
        <v>38726</v>
      </c>
      <c r="F45" s="6">
        <v>31.735956999999999</v>
      </c>
      <c r="G45" s="7">
        <v>1.0569725E-2</v>
      </c>
      <c r="H45" s="49"/>
    </row>
    <row r="46" spans="1:8" ht="29.1" customHeight="1" x14ac:dyDescent="0.2">
      <c r="A46" s="3">
        <v>40</v>
      </c>
      <c r="B46" s="4" t="s">
        <v>436</v>
      </c>
      <c r="C46" s="4" t="s">
        <v>437</v>
      </c>
      <c r="D46" s="4" t="s">
        <v>215</v>
      </c>
      <c r="E46" s="5">
        <v>1489</v>
      </c>
      <c r="F46" s="6">
        <v>30.050998</v>
      </c>
      <c r="G46" s="7">
        <v>1.0008546E-2</v>
      </c>
      <c r="H46" s="49"/>
    </row>
    <row r="47" spans="1:8" ht="29.1" customHeight="1" x14ac:dyDescent="0.2">
      <c r="A47" s="3">
        <v>41</v>
      </c>
      <c r="B47" s="4" t="s">
        <v>466</v>
      </c>
      <c r="C47" s="4" t="s">
        <v>467</v>
      </c>
      <c r="D47" s="4" t="s">
        <v>468</v>
      </c>
      <c r="E47" s="5">
        <v>6786</v>
      </c>
      <c r="F47" s="6">
        <v>28.928718</v>
      </c>
      <c r="G47" s="7">
        <v>9.6347689999999996E-3</v>
      </c>
      <c r="H47" s="49"/>
    </row>
    <row r="48" spans="1:8" ht="29.1" customHeight="1" x14ac:dyDescent="0.2">
      <c r="A48" s="3">
        <v>42</v>
      </c>
      <c r="B48" s="4" t="s">
        <v>406</v>
      </c>
      <c r="C48" s="4" t="s">
        <v>407</v>
      </c>
      <c r="D48" s="4" t="s">
        <v>108</v>
      </c>
      <c r="E48" s="5">
        <v>2262</v>
      </c>
      <c r="F48" s="6">
        <v>26.620346999999999</v>
      </c>
      <c r="G48" s="7">
        <v>8.8659610000000003E-3</v>
      </c>
      <c r="H48" s="49"/>
    </row>
    <row r="49" spans="1:8" ht="17.100000000000001" customHeight="1" x14ac:dyDescent="0.2">
      <c r="A49" s="3">
        <v>43</v>
      </c>
      <c r="B49" s="4" t="s">
        <v>410</v>
      </c>
      <c r="C49" s="4" t="s">
        <v>411</v>
      </c>
      <c r="D49" s="4" t="s">
        <v>89</v>
      </c>
      <c r="E49" s="5">
        <v>3898</v>
      </c>
      <c r="F49" s="6">
        <v>25.566981999999999</v>
      </c>
      <c r="G49" s="7">
        <v>8.5151359999999995E-3</v>
      </c>
      <c r="H49" s="49"/>
    </row>
    <row r="50" spans="1:8" ht="29.1" customHeight="1" x14ac:dyDescent="0.2">
      <c r="A50" s="3">
        <v>44</v>
      </c>
      <c r="B50" s="4" t="s">
        <v>387</v>
      </c>
      <c r="C50" s="4" t="s">
        <v>388</v>
      </c>
      <c r="D50" s="4" t="s">
        <v>215</v>
      </c>
      <c r="E50" s="5">
        <v>536</v>
      </c>
      <c r="F50" s="6">
        <v>22.319040000000001</v>
      </c>
      <c r="G50" s="7">
        <v>7.4334020000000004E-3</v>
      </c>
      <c r="H50" s="49"/>
    </row>
    <row r="51" spans="1:8" ht="17.100000000000001" customHeight="1" x14ac:dyDescent="0.2">
      <c r="A51" s="3">
        <v>45</v>
      </c>
      <c r="B51" s="4" t="s">
        <v>393</v>
      </c>
      <c r="C51" s="4" t="s">
        <v>394</v>
      </c>
      <c r="D51" s="4" t="s">
        <v>16</v>
      </c>
      <c r="E51" s="5">
        <v>8871</v>
      </c>
      <c r="F51" s="6">
        <v>19.365393000000001</v>
      </c>
      <c r="G51" s="7">
        <v>6.4496839999999998E-3</v>
      </c>
      <c r="H51" s="49"/>
    </row>
    <row r="52" spans="1:8" ht="17.100000000000001" customHeight="1" x14ac:dyDescent="0.2">
      <c r="A52" s="3">
        <v>46</v>
      </c>
      <c r="B52" s="4" t="s">
        <v>408</v>
      </c>
      <c r="C52" s="4" t="s">
        <v>409</v>
      </c>
      <c r="D52" s="4" t="s">
        <v>108</v>
      </c>
      <c r="E52" s="5">
        <v>7251</v>
      </c>
      <c r="F52" s="6">
        <v>19.36017</v>
      </c>
      <c r="G52" s="7">
        <v>6.4479439999999997E-3</v>
      </c>
      <c r="H52" s="49"/>
    </row>
    <row r="53" spans="1:8" ht="17.100000000000001" customHeight="1" x14ac:dyDescent="0.2">
      <c r="A53" s="3">
        <v>47</v>
      </c>
      <c r="B53" s="4" t="s">
        <v>434</v>
      </c>
      <c r="C53" s="4" t="s">
        <v>435</v>
      </c>
      <c r="D53" s="4" t="s">
        <v>218</v>
      </c>
      <c r="E53" s="5">
        <v>2470</v>
      </c>
      <c r="F53" s="6">
        <v>18.897970000000001</v>
      </c>
      <c r="G53" s="7">
        <v>6.2940069999999999E-3</v>
      </c>
      <c r="H53" s="49"/>
    </row>
    <row r="54" spans="1:8" ht="17.100000000000001" customHeight="1" x14ac:dyDescent="0.2">
      <c r="A54" s="3">
        <v>48</v>
      </c>
      <c r="B54" s="4" t="s">
        <v>438</v>
      </c>
      <c r="C54" s="4" t="s">
        <v>439</v>
      </c>
      <c r="D54" s="4" t="s">
        <v>31</v>
      </c>
      <c r="E54" s="5">
        <v>2121</v>
      </c>
      <c r="F54" s="6">
        <v>18.715703999999999</v>
      </c>
      <c r="G54" s="7">
        <v>6.2333029999999999E-3</v>
      </c>
      <c r="H54" s="49"/>
    </row>
    <row r="55" spans="1:8" ht="17.100000000000001" customHeight="1" x14ac:dyDescent="0.2">
      <c r="A55" s="3">
        <v>49</v>
      </c>
      <c r="B55" s="4" t="s">
        <v>121</v>
      </c>
      <c r="C55" s="4" t="s">
        <v>122</v>
      </c>
      <c r="D55" s="4" t="s">
        <v>108</v>
      </c>
      <c r="E55" s="5">
        <v>928</v>
      </c>
      <c r="F55" s="6">
        <v>17.857040000000001</v>
      </c>
      <c r="G55" s="7">
        <v>5.9473240000000004E-3</v>
      </c>
      <c r="H55" s="49"/>
    </row>
    <row r="56" spans="1:8" ht="17.100000000000001" customHeight="1" x14ac:dyDescent="0.2">
      <c r="A56" s="3">
        <v>50</v>
      </c>
      <c r="B56" s="4" t="s">
        <v>330</v>
      </c>
      <c r="C56" s="4" t="s">
        <v>331</v>
      </c>
      <c r="D56" s="4" t="s">
        <v>100</v>
      </c>
      <c r="E56" s="5">
        <v>21625</v>
      </c>
      <c r="F56" s="6">
        <v>17.029687500000001</v>
      </c>
      <c r="G56" s="7">
        <v>5.6717720000000003E-3</v>
      </c>
      <c r="H56" s="49"/>
    </row>
    <row r="57" spans="1:8" ht="53.1" customHeight="1" x14ac:dyDescent="0.2">
      <c r="A57" s="3">
        <v>51</v>
      </c>
      <c r="B57" s="4" t="s">
        <v>336</v>
      </c>
      <c r="C57" s="4" t="s">
        <v>1043</v>
      </c>
      <c r="D57" s="4" t="s">
        <v>51</v>
      </c>
      <c r="E57" s="5">
        <v>4894</v>
      </c>
      <c r="F57" s="6">
        <v>16.600448</v>
      </c>
      <c r="G57" s="7">
        <v>5.5288129999999996E-3</v>
      </c>
      <c r="H57" s="49"/>
    </row>
    <row r="58" spans="1:8" ht="29.1" customHeight="1" x14ac:dyDescent="0.2">
      <c r="A58" s="3">
        <v>52</v>
      </c>
      <c r="B58" s="4" t="s">
        <v>442</v>
      </c>
      <c r="C58" s="4" t="s">
        <v>443</v>
      </c>
      <c r="D58" s="4" t="s">
        <v>364</v>
      </c>
      <c r="E58" s="5">
        <v>2505</v>
      </c>
      <c r="F58" s="6">
        <v>15.090120000000001</v>
      </c>
      <c r="G58" s="7">
        <v>5.0257949999999996E-3</v>
      </c>
      <c r="H58" s="49"/>
    </row>
    <row r="59" spans="1:8" ht="29.1" customHeight="1" x14ac:dyDescent="0.2">
      <c r="A59" s="3">
        <v>53</v>
      </c>
      <c r="B59" s="4" t="s">
        <v>444</v>
      </c>
      <c r="C59" s="4" t="s">
        <v>445</v>
      </c>
      <c r="D59" s="4" t="s">
        <v>193</v>
      </c>
      <c r="E59" s="5">
        <v>1926</v>
      </c>
      <c r="F59" s="6">
        <v>12.414033</v>
      </c>
      <c r="G59" s="7">
        <v>4.1345189999999997E-3</v>
      </c>
      <c r="H59" s="49"/>
    </row>
    <row r="60" spans="1:8" ht="29.1" customHeight="1" x14ac:dyDescent="0.2">
      <c r="A60" s="3">
        <v>54</v>
      </c>
      <c r="B60" s="4" t="s">
        <v>440</v>
      </c>
      <c r="C60" s="4" t="s">
        <v>441</v>
      </c>
      <c r="D60" s="4" t="s">
        <v>215</v>
      </c>
      <c r="E60" s="5">
        <v>1748</v>
      </c>
      <c r="F60" s="6">
        <v>4.611224</v>
      </c>
      <c r="G60" s="7">
        <v>1.535778E-3</v>
      </c>
      <c r="H60" s="49"/>
    </row>
    <row r="61" spans="1:8" ht="14.1" customHeight="1" x14ac:dyDescent="0.2">
      <c r="A61" s="1"/>
      <c r="B61" s="1"/>
      <c r="C61" s="2" t="s">
        <v>130</v>
      </c>
      <c r="D61" s="1"/>
      <c r="E61" s="1" t="s">
        <v>131</v>
      </c>
      <c r="F61" s="9">
        <v>2825.8035289999998</v>
      </c>
      <c r="G61" s="10">
        <v>0.94113963499999997</v>
      </c>
      <c r="H61" s="49"/>
    </row>
    <row r="62" spans="1:8" ht="14.1" customHeight="1" x14ac:dyDescent="0.2">
      <c r="A62" s="1"/>
      <c r="B62" s="1"/>
      <c r="C62" s="11"/>
      <c r="D62" s="1"/>
      <c r="E62" s="1"/>
      <c r="F62" s="12"/>
      <c r="G62" s="12"/>
      <c r="H62" s="49"/>
    </row>
    <row r="63" spans="1:8" ht="14.1" customHeight="1" x14ac:dyDescent="0.2">
      <c r="A63" s="1"/>
      <c r="B63" s="1"/>
      <c r="C63" s="2" t="s">
        <v>132</v>
      </c>
      <c r="D63" s="1"/>
      <c r="E63" s="1"/>
      <c r="F63" s="1"/>
      <c r="G63" s="1"/>
      <c r="H63" s="49"/>
    </row>
    <row r="64" spans="1:8" ht="14.1" customHeight="1" x14ac:dyDescent="0.2">
      <c r="A64" s="1"/>
      <c r="B64" s="1"/>
      <c r="C64" s="2" t="s">
        <v>130</v>
      </c>
      <c r="D64" s="1"/>
      <c r="E64" s="1" t="s">
        <v>131</v>
      </c>
      <c r="F64" s="13">
        <v>0</v>
      </c>
      <c r="G64" s="14">
        <v>0</v>
      </c>
      <c r="H64" s="49"/>
    </row>
    <row r="65" spans="1:8" ht="14.1" customHeight="1" x14ac:dyDescent="0.2">
      <c r="A65" s="1"/>
      <c r="B65" s="1"/>
      <c r="C65" s="11"/>
      <c r="D65" s="1"/>
      <c r="E65" s="1"/>
      <c r="F65" s="12"/>
      <c r="G65" s="12"/>
      <c r="H65" s="49"/>
    </row>
    <row r="66" spans="1:8" ht="14.1" customHeight="1" x14ac:dyDescent="0.2">
      <c r="A66" s="1"/>
      <c r="B66" s="1"/>
      <c r="C66" s="2" t="s">
        <v>133</v>
      </c>
      <c r="D66" s="1"/>
      <c r="E66" s="1"/>
      <c r="F66" s="1"/>
      <c r="G66" s="1"/>
      <c r="H66" s="49"/>
    </row>
    <row r="67" spans="1:8" ht="14.1" customHeight="1" x14ac:dyDescent="0.2">
      <c r="A67" s="1"/>
      <c r="B67" s="1"/>
      <c r="C67" s="2" t="s">
        <v>130</v>
      </c>
      <c r="D67" s="1"/>
      <c r="E67" s="1" t="s">
        <v>131</v>
      </c>
      <c r="F67" s="13">
        <v>0</v>
      </c>
      <c r="G67" s="14">
        <v>0</v>
      </c>
      <c r="H67" s="49"/>
    </row>
    <row r="68" spans="1:8" ht="14.1" customHeight="1" x14ac:dyDescent="0.2">
      <c r="A68" s="1"/>
      <c r="B68" s="1"/>
      <c r="C68" s="11"/>
      <c r="D68" s="1"/>
      <c r="E68" s="1"/>
      <c r="F68" s="12"/>
      <c r="G68" s="12"/>
      <c r="H68" s="49"/>
    </row>
    <row r="69" spans="1:8" ht="14.1" customHeight="1" x14ac:dyDescent="0.2">
      <c r="A69" s="1"/>
      <c r="B69" s="1"/>
      <c r="C69" s="2" t="s">
        <v>134</v>
      </c>
      <c r="D69" s="1"/>
      <c r="E69" s="1"/>
      <c r="F69" s="1"/>
      <c r="G69" s="1"/>
      <c r="H69" s="49"/>
    </row>
    <row r="70" spans="1:8" ht="14.1" customHeight="1" x14ac:dyDescent="0.2">
      <c r="A70" s="1"/>
      <c r="B70" s="1"/>
      <c r="C70" s="2" t="s">
        <v>130</v>
      </c>
      <c r="D70" s="1"/>
      <c r="E70" s="1" t="s">
        <v>131</v>
      </c>
      <c r="F70" s="13">
        <v>0</v>
      </c>
      <c r="G70" s="14">
        <v>0</v>
      </c>
      <c r="H70" s="49"/>
    </row>
    <row r="71" spans="1:8" ht="14.1" customHeight="1" x14ac:dyDescent="0.2">
      <c r="A71" s="1"/>
      <c r="B71" s="1"/>
      <c r="C71" s="11"/>
      <c r="D71" s="1"/>
      <c r="E71" s="1"/>
      <c r="F71" s="12"/>
      <c r="G71" s="12"/>
      <c r="H71" s="49"/>
    </row>
    <row r="72" spans="1:8" ht="14.1" customHeight="1" x14ac:dyDescent="0.2">
      <c r="A72" s="1"/>
      <c r="B72" s="1"/>
      <c r="C72" s="2" t="s">
        <v>135</v>
      </c>
      <c r="D72" s="1"/>
      <c r="E72" s="1"/>
      <c r="F72" s="12"/>
      <c r="G72" s="12"/>
      <c r="H72" s="49"/>
    </row>
    <row r="73" spans="1:8" ht="14.1" customHeight="1" x14ac:dyDescent="0.2">
      <c r="A73" s="1"/>
      <c r="B73" s="1"/>
      <c r="C73" s="2" t="s">
        <v>130</v>
      </c>
      <c r="D73" s="1"/>
      <c r="E73" s="1" t="s">
        <v>131</v>
      </c>
      <c r="F73" s="13">
        <v>0</v>
      </c>
      <c r="G73" s="14">
        <v>0</v>
      </c>
      <c r="H73" s="49"/>
    </row>
    <row r="74" spans="1:8" ht="14.1" customHeight="1" x14ac:dyDescent="0.2">
      <c r="A74" s="1"/>
      <c r="B74" s="1"/>
      <c r="C74" s="11"/>
      <c r="D74" s="1"/>
      <c r="E74" s="1"/>
      <c r="F74" s="12"/>
      <c r="G74" s="12"/>
      <c r="H74" s="49"/>
    </row>
    <row r="75" spans="1:8" ht="14.1" customHeight="1" x14ac:dyDescent="0.2">
      <c r="A75" s="1"/>
      <c r="B75" s="1"/>
      <c r="C75" s="2" t="s">
        <v>136</v>
      </c>
      <c r="D75" s="1"/>
      <c r="E75" s="1"/>
      <c r="F75" s="12"/>
      <c r="G75" s="12"/>
      <c r="H75" s="49"/>
    </row>
    <row r="76" spans="1:8" ht="14.1" customHeight="1" x14ac:dyDescent="0.2">
      <c r="A76" s="1"/>
      <c r="B76" s="1"/>
      <c r="C76" s="2" t="s">
        <v>130</v>
      </c>
      <c r="D76" s="1"/>
      <c r="E76" s="1" t="s">
        <v>131</v>
      </c>
      <c r="F76" s="13">
        <v>0</v>
      </c>
      <c r="G76" s="14">
        <v>0</v>
      </c>
      <c r="H76" s="49"/>
    </row>
    <row r="77" spans="1:8" ht="14.1" customHeight="1" x14ac:dyDescent="0.2">
      <c r="A77" s="1"/>
      <c r="B77" s="1"/>
      <c r="C77" s="11"/>
      <c r="D77" s="1"/>
      <c r="E77" s="1"/>
      <c r="F77" s="12"/>
      <c r="G77" s="12"/>
      <c r="H77" s="49"/>
    </row>
    <row r="78" spans="1:8" ht="18" customHeight="1" x14ac:dyDescent="0.2">
      <c r="A78" s="1"/>
      <c r="B78" s="1"/>
      <c r="C78" s="2" t="s">
        <v>137</v>
      </c>
      <c r="D78" s="1"/>
      <c r="E78" s="1"/>
      <c r="F78" s="9">
        <v>2825.8035289999998</v>
      </c>
      <c r="G78" s="10">
        <v>0.94113963499999997</v>
      </c>
      <c r="H78" s="49"/>
    </row>
    <row r="79" spans="1:8" ht="14.1" customHeight="1" x14ac:dyDescent="0.2">
      <c r="A79" s="1"/>
      <c r="B79" s="1"/>
      <c r="C79" s="11"/>
      <c r="D79" s="1"/>
      <c r="E79" s="1"/>
      <c r="F79" s="12"/>
      <c r="G79" s="12"/>
      <c r="H79" s="49"/>
    </row>
    <row r="80" spans="1:8" ht="14.1" customHeight="1" x14ac:dyDescent="0.2">
      <c r="A80" s="1"/>
      <c r="B80" s="1"/>
      <c r="C80" s="2" t="s">
        <v>138</v>
      </c>
      <c r="D80" s="1"/>
      <c r="E80" s="1"/>
      <c r="F80" s="12"/>
      <c r="G80" s="12"/>
      <c r="H80" s="49"/>
    </row>
    <row r="81" spans="1:8" ht="24" customHeight="1" x14ac:dyDescent="0.2">
      <c r="A81" s="1"/>
      <c r="B81" s="1"/>
      <c r="C81" s="2" t="s">
        <v>10</v>
      </c>
      <c r="D81" s="1"/>
      <c r="E81" s="1"/>
      <c r="F81" s="12"/>
      <c r="G81" s="12"/>
      <c r="H81" s="49"/>
    </row>
    <row r="82" spans="1:8" ht="14.1" customHeight="1" x14ac:dyDescent="0.2">
      <c r="A82" s="1"/>
      <c r="B82" s="1"/>
      <c r="C82" s="2" t="s">
        <v>130</v>
      </c>
      <c r="D82" s="1"/>
      <c r="E82" s="1" t="s">
        <v>131</v>
      </c>
      <c r="F82" s="13">
        <v>0</v>
      </c>
      <c r="G82" s="14">
        <v>0</v>
      </c>
      <c r="H82" s="49"/>
    </row>
    <row r="83" spans="1:8" ht="14.1" customHeight="1" x14ac:dyDescent="0.2">
      <c r="A83" s="1"/>
      <c r="B83" s="1"/>
      <c r="C83" s="11"/>
      <c r="D83" s="1"/>
      <c r="E83" s="1"/>
      <c r="F83" s="12"/>
      <c r="G83" s="12"/>
      <c r="H83" s="49"/>
    </row>
    <row r="84" spans="1:8" ht="14.1" customHeight="1" x14ac:dyDescent="0.2">
      <c r="A84" s="1"/>
      <c r="B84" s="1"/>
      <c r="C84" s="2" t="s">
        <v>139</v>
      </c>
      <c r="D84" s="1"/>
      <c r="E84" s="1"/>
      <c r="F84" s="1"/>
      <c r="G84" s="1"/>
      <c r="H84" s="49"/>
    </row>
    <row r="85" spans="1:8" ht="14.1" customHeight="1" x14ac:dyDescent="0.2">
      <c r="A85" s="1"/>
      <c r="B85" s="1"/>
      <c r="C85" s="2" t="s">
        <v>130</v>
      </c>
      <c r="D85" s="1"/>
      <c r="E85" s="1" t="s">
        <v>131</v>
      </c>
      <c r="F85" s="13">
        <v>0</v>
      </c>
      <c r="G85" s="14">
        <v>0</v>
      </c>
      <c r="H85" s="49"/>
    </row>
    <row r="86" spans="1:8" ht="14.1" customHeight="1" x14ac:dyDescent="0.2">
      <c r="A86" s="1"/>
      <c r="B86" s="1"/>
      <c r="C86" s="11"/>
      <c r="D86" s="1"/>
      <c r="E86" s="1"/>
      <c r="F86" s="12"/>
      <c r="G86" s="12"/>
      <c r="H86" s="49"/>
    </row>
    <row r="87" spans="1:8" ht="14.1" customHeight="1" x14ac:dyDescent="0.2">
      <c r="A87" s="1"/>
      <c r="B87" s="1"/>
      <c r="C87" s="2" t="s">
        <v>140</v>
      </c>
      <c r="D87" s="1"/>
      <c r="E87" s="1"/>
      <c r="F87" s="1"/>
      <c r="G87" s="1"/>
      <c r="H87" s="49"/>
    </row>
    <row r="88" spans="1:8" ht="14.1" customHeight="1" x14ac:dyDescent="0.2">
      <c r="A88" s="1"/>
      <c r="B88" s="1"/>
      <c r="C88" s="2" t="s">
        <v>130</v>
      </c>
      <c r="D88" s="1"/>
      <c r="E88" s="1" t="s">
        <v>131</v>
      </c>
      <c r="F88" s="13">
        <v>0</v>
      </c>
      <c r="G88" s="14">
        <v>0</v>
      </c>
      <c r="H88" s="49"/>
    </row>
    <row r="89" spans="1:8" ht="14.1" customHeight="1" x14ac:dyDescent="0.2">
      <c r="A89" s="1"/>
      <c r="B89" s="1"/>
      <c r="C89" s="11"/>
      <c r="D89" s="1"/>
      <c r="E89" s="1"/>
      <c r="F89" s="12"/>
      <c r="G89" s="12"/>
      <c r="H89" s="49"/>
    </row>
    <row r="90" spans="1:8" ht="14.1" customHeight="1" x14ac:dyDescent="0.2">
      <c r="A90" s="1"/>
      <c r="B90" s="1"/>
      <c r="C90" s="2" t="s">
        <v>141</v>
      </c>
      <c r="D90" s="1"/>
      <c r="E90" s="1"/>
      <c r="F90" s="12"/>
      <c r="G90" s="12"/>
      <c r="H90" s="49"/>
    </row>
    <row r="91" spans="1:8" ht="14.1" customHeight="1" x14ac:dyDescent="0.2">
      <c r="A91" s="1"/>
      <c r="B91" s="1"/>
      <c r="C91" s="2" t="s">
        <v>130</v>
      </c>
      <c r="D91" s="1"/>
      <c r="E91" s="1" t="s">
        <v>131</v>
      </c>
      <c r="F91" s="13">
        <v>0</v>
      </c>
      <c r="G91" s="14">
        <v>0</v>
      </c>
      <c r="H91" s="49"/>
    </row>
    <row r="92" spans="1:8" ht="14.1" customHeight="1" x14ac:dyDescent="0.2">
      <c r="A92" s="1"/>
      <c r="B92" s="1"/>
      <c r="C92" s="11"/>
      <c r="D92" s="1"/>
      <c r="E92" s="1"/>
      <c r="F92" s="12"/>
      <c r="G92" s="12"/>
      <c r="H92" s="49"/>
    </row>
    <row r="93" spans="1:8" ht="14.1" customHeight="1" x14ac:dyDescent="0.2">
      <c r="A93" s="1"/>
      <c r="B93" s="1"/>
      <c r="C93" s="2" t="s">
        <v>142</v>
      </c>
      <c r="D93" s="1"/>
      <c r="E93" s="1"/>
      <c r="F93" s="9">
        <v>0</v>
      </c>
      <c r="G93" s="10">
        <v>0</v>
      </c>
      <c r="H93" s="49"/>
    </row>
    <row r="94" spans="1:8" ht="14.1" customHeight="1" x14ac:dyDescent="0.2">
      <c r="A94" s="1"/>
      <c r="B94" s="1"/>
      <c r="C94" s="11"/>
      <c r="D94" s="1"/>
      <c r="E94" s="1"/>
      <c r="F94" s="12"/>
      <c r="G94" s="12"/>
      <c r="H94" s="49"/>
    </row>
    <row r="95" spans="1:8" ht="14.1" customHeight="1" x14ac:dyDescent="0.2">
      <c r="A95" s="1"/>
      <c r="B95" s="1"/>
      <c r="C95" s="2" t="s">
        <v>143</v>
      </c>
      <c r="D95" s="1"/>
      <c r="E95" s="1"/>
      <c r="F95" s="12"/>
      <c r="G95" s="12"/>
      <c r="H95" s="49"/>
    </row>
    <row r="96" spans="1:8" ht="14.1" customHeight="1" x14ac:dyDescent="0.2">
      <c r="A96" s="1"/>
      <c r="B96" s="1"/>
      <c r="C96" s="2" t="s">
        <v>144</v>
      </c>
      <c r="D96" s="1"/>
      <c r="E96" s="1"/>
      <c r="F96" s="12"/>
      <c r="G96" s="12"/>
      <c r="H96" s="49"/>
    </row>
    <row r="97" spans="1:8" ht="14.1" customHeight="1" x14ac:dyDescent="0.2">
      <c r="A97" s="1"/>
      <c r="B97" s="1"/>
      <c r="C97" s="2" t="s">
        <v>130</v>
      </c>
      <c r="D97" s="1"/>
      <c r="E97" s="1" t="s">
        <v>131</v>
      </c>
      <c r="F97" s="13">
        <v>0</v>
      </c>
      <c r="G97" s="14">
        <v>0</v>
      </c>
      <c r="H97" s="49"/>
    </row>
    <row r="98" spans="1:8" ht="14.1" customHeight="1" x14ac:dyDescent="0.2">
      <c r="A98" s="1"/>
      <c r="B98" s="1"/>
      <c r="C98" s="11"/>
      <c r="D98" s="1"/>
      <c r="E98" s="1"/>
      <c r="F98" s="12"/>
      <c r="G98" s="12"/>
      <c r="H98" s="49"/>
    </row>
    <row r="99" spans="1:8" ht="14.1" customHeight="1" x14ac:dyDescent="0.2">
      <c r="A99" s="1"/>
      <c r="B99" s="1"/>
      <c r="C99" s="2" t="s">
        <v>145</v>
      </c>
      <c r="D99" s="1"/>
      <c r="E99" s="1"/>
      <c r="F99" s="12"/>
      <c r="G99" s="12"/>
      <c r="H99" s="49"/>
    </row>
    <row r="100" spans="1:8" ht="14.1" customHeight="1" x14ac:dyDescent="0.2">
      <c r="A100" s="1"/>
      <c r="B100" s="1"/>
      <c r="C100" s="2" t="s">
        <v>130</v>
      </c>
      <c r="D100" s="1"/>
      <c r="E100" s="1" t="s">
        <v>131</v>
      </c>
      <c r="F100" s="13">
        <v>0</v>
      </c>
      <c r="G100" s="14">
        <v>0</v>
      </c>
      <c r="H100" s="49"/>
    </row>
    <row r="101" spans="1:8" ht="14.1" customHeight="1" x14ac:dyDescent="0.2">
      <c r="A101" s="1"/>
      <c r="B101" s="1"/>
      <c r="C101" s="11"/>
      <c r="D101" s="1"/>
      <c r="E101" s="1"/>
      <c r="F101" s="12"/>
      <c r="G101" s="12"/>
      <c r="H101" s="49"/>
    </row>
    <row r="102" spans="1:8" ht="14.1" customHeight="1" x14ac:dyDescent="0.2">
      <c r="A102" s="1"/>
      <c r="B102" s="1"/>
      <c r="C102" s="2" t="s">
        <v>146</v>
      </c>
      <c r="D102" s="1"/>
      <c r="E102" s="1"/>
      <c r="F102" s="12"/>
      <c r="G102" s="12"/>
      <c r="H102" s="49"/>
    </row>
    <row r="103" spans="1:8" ht="14.1" customHeight="1" x14ac:dyDescent="0.2">
      <c r="A103" s="1"/>
      <c r="B103" s="1"/>
      <c r="C103" s="2" t="s">
        <v>130</v>
      </c>
      <c r="D103" s="1"/>
      <c r="E103" s="1" t="s">
        <v>131</v>
      </c>
      <c r="F103" s="13">
        <v>0</v>
      </c>
      <c r="G103" s="14">
        <v>0</v>
      </c>
      <c r="H103" s="49"/>
    </row>
    <row r="104" spans="1:8" ht="14.1" customHeight="1" x14ac:dyDescent="0.2">
      <c r="A104" s="1"/>
      <c r="B104" s="1"/>
      <c r="C104" s="11"/>
      <c r="D104" s="1"/>
      <c r="E104" s="1"/>
      <c r="F104" s="12"/>
      <c r="G104" s="12"/>
      <c r="H104" s="49"/>
    </row>
    <row r="105" spans="1:8" ht="14.1" customHeight="1" x14ac:dyDescent="0.2">
      <c r="A105" s="1"/>
      <c r="B105" s="1"/>
      <c r="C105" s="2" t="s">
        <v>147</v>
      </c>
      <c r="D105" s="1"/>
      <c r="E105" s="1"/>
      <c r="F105" s="12"/>
      <c r="G105" s="12"/>
      <c r="H105" s="49"/>
    </row>
    <row r="106" spans="1:8" ht="17.100000000000001" customHeight="1" x14ac:dyDescent="0.2">
      <c r="A106" s="3">
        <v>1</v>
      </c>
      <c r="B106" s="4"/>
      <c r="C106" s="4" t="s">
        <v>148</v>
      </c>
      <c r="D106" s="4"/>
      <c r="E106" s="8"/>
      <c r="F106" s="6">
        <v>176.6559196</v>
      </c>
      <c r="G106" s="7">
        <v>5.8835615000000001E-2</v>
      </c>
      <c r="H106" s="49">
        <v>5.6572293145372496</v>
      </c>
    </row>
    <row r="107" spans="1:8" ht="14.1" customHeight="1" x14ac:dyDescent="0.2">
      <c r="A107" s="1"/>
      <c r="B107" s="1"/>
      <c r="C107" s="2" t="s">
        <v>130</v>
      </c>
      <c r="D107" s="1"/>
      <c r="E107" s="1" t="s">
        <v>131</v>
      </c>
      <c r="F107" s="9">
        <v>176.6559196</v>
      </c>
      <c r="G107" s="10">
        <v>5.8835615000000001E-2</v>
      </c>
      <c r="H107" s="49"/>
    </row>
    <row r="108" spans="1:8" ht="14.1" customHeight="1" x14ac:dyDescent="0.2">
      <c r="A108" s="1"/>
      <c r="B108" s="1"/>
      <c r="C108" s="11"/>
      <c r="D108" s="1"/>
      <c r="E108" s="1"/>
      <c r="F108" s="12"/>
      <c r="G108" s="12"/>
      <c r="H108" s="49"/>
    </row>
    <row r="109" spans="1:8" ht="14.1" customHeight="1" x14ac:dyDescent="0.2">
      <c r="A109" s="1"/>
      <c r="B109" s="1"/>
      <c r="C109" s="2" t="s">
        <v>149</v>
      </c>
      <c r="D109" s="1"/>
      <c r="E109" s="1"/>
      <c r="F109" s="9">
        <v>176.6559196</v>
      </c>
      <c r="G109" s="10">
        <v>5.8835615000000001E-2</v>
      </c>
      <c r="H109" s="49"/>
    </row>
    <row r="110" spans="1:8" ht="14.1" customHeight="1" x14ac:dyDescent="0.2">
      <c r="A110" s="1"/>
      <c r="B110" s="1"/>
      <c r="C110" s="12"/>
      <c r="D110" s="1"/>
      <c r="E110" s="1"/>
      <c r="F110" s="1"/>
      <c r="G110" s="1"/>
      <c r="H110" s="49"/>
    </row>
    <row r="111" spans="1:8" ht="14.1" customHeight="1" x14ac:dyDescent="0.2">
      <c r="A111" s="1"/>
      <c r="B111" s="1"/>
      <c r="C111" s="2" t="s">
        <v>150</v>
      </c>
      <c r="D111" s="1"/>
      <c r="E111" s="1"/>
      <c r="F111" s="1"/>
      <c r="G111" s="1"/>
      <c r="H111" s="49"/>
    </row>
    <row r="112" spans="1:8" ht="14.1" customHeight="1" x14ac:dyDescent="0.2">
      <c r="A112" s="1"/>
      <c r="B112" s="1"/>
      <c r="C112" s="2" t="s">
        <v>151</v>
      </c>
      <c r="D112" s="1"/>
      <c r="E112" s="1"/>
      <c r="F112" s="1"/>
      <c r="G112" s="1"/>
      <c r="H112" s="49"/>
    </row>
    <row r="113" spans="1:8" ht="14.1" customHeight="1" x14ac:dyDescent="0.2">
      <c r="A113" s="1"/>
      <c r="B113" s="1"/>
      <c r="C113" s="2" t="s">
        <v>130</v>
      </c>
      <c r="D113" s="1"/>
      <c r="E113" s="1" t="s">
        <v>131</v>
      </c>
      <c r="F113" s="13">
        <v>0</v>
      </c>
      <c r="G113" s="14">
        <v>0</v>
      </c>
      <c r="H113" s="49"/>
    </row>
    <row r="114" spans="1:8" ht="14.1" customHeight="1" x14ac:dyDescent="0.2">
      <c r="A114" s="1"/>
      <c r="B114" s="1"/>
      <c r="C114" s="11"/>
      <c r="D114" s="1"/>
      <c r="E114" s="1"/>
      <c r="F114" s="12"/>
      <c r="G114" s="12"/>
      <c r="H114" s="49"/>
    </row>
    <row r="115" spans="1:8" ht="14.1" customHeight="1" x14ac:dyDescent="0.2">
      <c r="A115" s="1"/>
      <c r="B115" s="1"/>
      <c r="C115" s="2" t="s">
        <v>152</v>
      </c>
      <c r="D115" s="1"/>
      <c r="E115" s="1"/>
      <c r="F115" s="1"/>
      <c r="G115" s="1"/>
      <c r="H115" s="49"/>
    </row>
    <row r="116" spans="1:8" ht="14.1" customHeight="1" x14ac:dyDescent="0.2">
      <c r="A116" s="1"/>
      <c r="B116" s="1"/>
      <c r="C116" s="2" t="s">
        <v>153</v>
      </c>
      <c r="D116" s="1"/>
      <c r="E116" s="1"/>
      <c r="F116" s="1"/>
      <c r="G116" s="1"/>
      <c r="H116" s="49"/>
    </row>
    <row r="117" spans="1:8" ht="14.1" customHeight="1" x14ac:dyDescent="0.2">
      <c r="A117" s="1"/>
      <c r="B117" s="1"/>
      <c r="C117" s="2" t="s">
        <v>130</v>
      </c>
      <c r="D117" s="1"/>
      <c r="E117" s="1" t="s">
        <v>131</v>
      </c>
      <c r="F117" s="13">
        <v>0</v>
      </c>
      <c r="G117" s="14">
        <v>0</v>
      </c>
      <c r="H117" s="49"/>
    </row>
    <row r="118" spans="1:8" ht="14.1" customHeight="1" x14ac:dyDescent="0.2">
      <c r="A118" s="1"/>
      <c r="B118" s="1"/>
      <c r="C118" s="11"/>
      <c r="D118" s="1"/>
      <c r="E118" s="1"/>
      <c r="F118" s="12"/>
      <c r="G118" s="12"/>
      <c r="H118" s="49"/>
    </row>
    <row r="119" spans="1:8" ht="14.1" customHeight="1" x14ac:dyDescent="0.2">
      <c r="A119" s="1"/>
      <c r="B119" s="1"/>
      <c r="C119" s="11"/>
      <c r="D119" s="1"/>
      <c r="E119" s="1"/>
      <c r="F119" s="12"/>
      <c r="G119" s="12"/>
      <c r="H119" s="49"/>
    </row>
    <row r="120" spans="1:8" ht="24" customHeight="1" x14ac:dyDescent="0.2">
      <c r="A120" s="1"/>
      <c r="B120" s="1"/>
      <c r="C120" s="2" t="s">
        <v>154</v>
      </c>
      <c r="D120" s="1"/>
      <c r="E120" s="1"/>
      <c r="F120" s="12"/>
      <c r="G120" s="12"/>
      <c r="H120" s="49"/>
    </row>
    <row r="121" spans="1:8" ht="14.1" customHeight="1" x14ac:dyDescent="0.2">
      <c r="A121" s="1"/>
      <c r="B121" s="1"/>
      <c r="C121" s="2" t="s">
        <v>130</v>
      </c>
      <c r="D121" s="1"/>
      <c r="E121" s="1" t="s">
        <v>131</v>
      </c>
      <c r="F121" s="13">
        <v>0</v>
      </c>
      <c r="G121" s="14">
        <v>0</v>
      </c>
      <c r="H121" s="49"/>
    </row>
    <row r="122" spans="1:8" ht="14.1" customHeight="1" x14ac:dyDescent="0.2">
      <c r="A122" s="1"/>
      <c r="B122" s="1"/>
      <c r="C122" s="11"/>
      <c r="D122" s="1"/>
      <c r="E122" s="1"/>
      <c r="F122" s="12"/>
      <c r="G122" s="12"/>
      <c r="H122" s="49"/>
    </row>
    <row r="123" spans="1:8" ht="14.1" customHeight="1" x14ac:dyDescent="0.2">
      <c r="A123" s="1"/>
      <c r="B123" s="4"/>
      <c r="C123" s="4"/>
      <c r="D123" s="2"/>
      <c r="E123" s="1"/>
      <c r="F123" s="4"/>
      <c r="G123" s="8"/>
      <c r="H123" s="49"/>
    </row>
    <row r="124" spans="1:8" ht="18" customHeight="1" x14ac:dyDescent="0.2">
      <c r="A124" s="8"/>
      <c r="B124" s="4"/>
      <c r="C124" s="4" t="s">
        <v>155</v>
      </c>
      <c r="D124" s="4"/>
      <c r="E124" s="8"/>
      <c r="F124" s="6">
        <v>7.4313480000000001E-2</v>
      </c>
      <c r="G124" s="7">
        <v>2.4749999999999999E-5</v>
      </c>
      <c r="H124" s="49"/>
    </row>
    <row r="125" spans="1:8" ht="14.1" customHeight="1" x14ac:dyDescent="0.2">
      <c r="A125" s="11"/>
      <c r="B125" s="11"/>
      <c r="C125" s="2" t="s">
        <v>156</v>
      </c>
      <c r="D125" s="15"/>
      <c r="E125" s="15"/>
      <c r="F125" s="9">
        <v>3002.5337620800001</v>
      </c>
      <c r="G125" s="10">
        <v>1</v>
      </c>
      <c r="H125" s="49"/>
    </row>
    <row r="126" spans="1:8" ht="14.1" customHeight="1" x14ac:dyDescent="0.2">
      <c r="A126" s="16"/>
      <c r="B126" s="16"/>
      <c r="C126" s="16"/>
      <c r="D126" s="17"/>
      <c r="E126" s="17"/>
      <c r="F126" s="17"/>
      <c r="G126" s="17"/>
    </row>
    <row r="127" spans="1:8" ht="14.1" customHeight="1" x14ac:dyDescent="0.2">
      <c r="A127" s="18"/>
      <c r="B127" s="18"/>
      <c r="C127" s="18"/>
      <c r="D127" s="20"/>
      <c r="E127" s="20"/>
      <c r="F127" s="20"/>
      <c r="G127" s="20"/>
    </row>
    <row r="128" spans="1:8" ht="14.1" customHeight="1" x14ac:dyDescent="0.2">
      <c r="A128" s="18"/>
      <c r="B128" s="319" t="s">
        <v>158</v>
      </c>
      <c r="C128" s="320"/>
      <c r="D128" s="12" t="s">
        <v>131</v>
      </c>
      <c r="E128" s="21"/>
      <c r="F128" s="20"/>
      <c r="G128" s="20"/>
    </row>
    <row r="129" spans="1:7" ht="29.1" customHeight="1" x14ac:dyDescent="0.2">
      <c r="A129" s="18"/>
      <c r="B129" s="323" t="s">
        <v>159</v>
      </c>
      <c r="C129" s="324"/>
      <c r="D129" s="2" t="s">
        <v>160</v>
      </c>
      <c r="E129" s="21"/>
      <c r="F129" s="20"/>
      <c r="G129" s="20"/>
    </row>
    <row r="130" spans="1:7" ht="17.100000000000001" customHeight="1" x14ac:dyDescent="0.2">
      <c r="A130" s="18"/>
      <c r="B130" s="323" t="s">
        <v>161</v>
      </c>
      <c r="C130" s="324"/>
      <c r="D130" s="2" t="s">
        <v>160</v>
      </c>
      <c r="E130" s="21"/>
      <c r="F130" s="20"/>
      <c r="G130" s="20"/>
    </row>
    <row r="131" spans="1:7" ht="17.100000000000001" customHeight="1" x14ac:dyDescent="0.2">
      <c r="A131" s="18"/>
      <c r="B131" s="323" t="s">
        <v>162</v>
      </c>
      <c r="C131" s="324"/>
      <c r="D131" s="12" t="s">
        <v>131</v>
      </c>
      <c r="E131" s="21"/>
      <c r="F131" s="20"/>
      <c r="G131" s="20"/>
    </row>
    <row r="132" spans="1:7" ht="24" customHeight="1" x14ac:dyDescent="0.2">
      <c r="A132" s="22"/>
      <c r="B132" s="23" t="s">
        <v>131</v>
      </c>
      <c r="C132" s="23" t="s">
        <v>163</v>
      </c>
      <c r="D132" s="23" t="s">
        <v>164</v>
      </c>
      <c r="E132" s="22"/>
      <c r="F132" s="22"/>
      <c r="G132" s="22"/>
    </row>
    <row r="133" spans="1:7" ht="18" customHeight="1" x14ac:dyDescent="0.2">
      <c r="A133" s="22"/>
      <c r="B133" s="23" t="s">
        <v>165</v>
      </c>
      <c r="C133" s="23" t="s">
        <v>166</v>
      </c>
      <c r="D133" s="23" t="s">
        <v>167</v>
      </c>
      <c r="E133" s="22"/>
      <c r="F133" s="22"/>
      <c r="G133" s="22"/>
    </row>
    <row r="134" spans="1:7" ht="17.100000000000001" customHeight="1" x14ac:dyDescent="0.2">
      <c r="A134" s="22"/>
      <c r="B134" s="4" t="s">
        <v>168</v>
      </c>
      <c r="C134" s="24">
        <v>17.3066</v>
      </c>
      <c r="D134" s="24">
        <v>17.433399999999999</v>
      </c>
      <c r="E134" s="22"/>
      <c r="F134" s="19"/>
      <c r="G134" s="25"/>
    </row>
    <row r="135" spans="1:7" ht="17.100000000000001" customHeight="1" x14ac:dyDescent="0.2">
      <c r="A135" s="22"/>
      <c r="B135" s="4" t="s">
        <v>1021</v>
      </c>
      <c r="C135" s="24">
        <v>17.3066</v>
      </c>
      <c r="D135" s="24">
        <v>17.433399999999999</v>
      </c>
      <c r="E135" s="22"/>
      <c r="F135" s="19"/>
      <c r="G135" s="25"/>
    </row>
    <row r="136" spans="1:7" ht="17.100000000000001" customHeight="1" x14ac:dyDescent="0.2">
      <c r="A136" s="22"/>
      <c r="B136" s="4" t="s">
        <v>169</v>
      </c>
      <c r="C136" s="24">
        <v>16.932600000000001</v>
      </c>
      <c r="D136" s="24">
        <v>17.053899999999999</v>
      </c>
      <c r="E136" s="22"/>
      <c r="F136" s="19"/>
      <c r="G136" s="25"/>
    </row>
    <row r="137" spans="1:7" ht="17.100000000000001" customHeight="1" x14ac:dyDescent="0.2">
      <c r="A137" s="22"/>
      <c r="B137" s="4" t="s">
        <v>1022</v>
      </c>
      <c r="C137" s="24">
        <v>16.932600000000001</v>
      </c>
      <c r="D137" s="24">
        <v>17.053899999999999</v>
      </c>
      <c r="E137" s="22"/>
      <c r="F137" s="19"/>
      <c r="G137" s="25"/>
    </row>
    <row r="138" spans="1:7" ht="14.1" customHeight="1" x14ac:dyDescent="0.2">
      <c r="A138" s="22"/>
      <c r="B138" s="22"/>
      <c r="C138" s="22"/>
      <c r="D138" s="22"/>
      <c r="E138" s="22"/>
      <c r="F138" s="22"/>
      <c r="G138" s="22"/>
    </row>
    <row r="139" spans="1:7" ht="17.100000000000001" customHeight="1" x14ac:dyDescent="0.2">
      <c r="A139" s="22"/>
      <c r="B139" s="323" t="s">
        <v>1023</v>
      </c>
      <c r="C139" s="324"/>
      <c r="D139" s="57" t="s">
        <v>160</v>
      </c>
      <c r="E139" s="22"/>
      <c r="F139" s="22"/>
      <c r="G139" s="22"/>
    </row>
    <row r="140" spans="1:7" ht="18" customHeight="1" x14ac:dyDescent="0.2">
      <c r="A140" s="22"/>
      <c r="B140" s="28"/>
      <c r="C140" s="28"/>
      <c r="D140" s="26"/>
      <c r="E140" s="22"/>
      <c r="F140" s="22"/>
      <c r="G140" s="22"/>
    </row>
    <row r="141" spans="1:7" ht="29.1" customHeight="1" x14ac:dyDescent="0.2">
      <c r="A141" s="22"/>
      <c r="B141" s="323" t="s">
        <v>170</v>
      </c>
      <c r="C141" s="324"/>
      <c r="D141" s="2" t="s">
        <v>160</v>
      </c>
      <c r="E141" s="22"/>
      <c r="F141" s="22"/>
      <c r="G141" s="22"/>
    </row>
    <row r="142" spans="1:7" ht="29.1" customHeight="1" x14ac:dyDescent="0.2">
      <c r="A142" s="22"/>
      <c r="B142" s="323" t="s">
        <v>171</v>
      </c>
      <c r="C142" s="324"/>
      <c r="D142" s="2" t="s">
        <v>160</v>
      </c>
      <c r="E142" s="22"/>
      <c r="F142" s="22"/>
      <c r="G142" s="22"/>
    </row>
    <row r="143" spans="1:7" ht="17.100000000000001" customHeight="1" x14ac:dyDescent="0.2">
      <c r="A143" s="22"/>
      <c r="B143" s="323" t="s">
        <v>172</v>
      </c>
      <c r="C143" s="324"/>
      <c r="D143" s="27">
        <v>0.12291159525788468</v>
      </c>
      <c r="E143" s="22"/>
      <c r="F143" s="19"/>
      <c r="G143" s="25"/>
    </row>
    <row r="144" spans="1:7" ht="17.100000000000001" customHeight="1" x14ac:dyDescent="0.2">
      <c r="A144" s="22"/>
      <c r="B144" s="323" t="s">
        <v>173</v>
      </c>
      <c r="C144" s="324"/>
      <c r="D144" s="2" t="s">
        <v>160</v>
      </c>
      <c r="E144" s="22"/>
      <c r="F144" s="22"/>
      <c r="G144" s="22"/>
    </row>
    <row r="154" spans="10:14" x14ac:dyDescent="0.2">
      <c r="J154" s="218"/>
      <c r="K154" s="218"/>
      <c r="L154" s="218"/>
      <c r="M154" s="218"/>
      <c r="N154" s="218"/>
    </row>
  </sheetData>
  <mergeCells count="13">
    <mergeCell ref="J2:N2"/>
    <mergeCell ref="B144:C144"/>
    <mergeCell ref="B129:C129"/>
    <mergeCell ref="B130:C130"/>
    <mergeCell ref="B131:C131"/>
    <mergeCell ref="B139:C139"/>
    <mergeCell ref="B141:C141"/>
    <mergeCell ref="B142:C142"/>
    <mergeCell ref="A1:H1"/>
    <mergeCell ref="A2:H2"/>
    <mergeCell ref="A3:H3"/>
    <mergeCell ref="B128:C128"/>
    <mergeCell ref="B143:C143"/>
  </mergeCells>
  <hyperlinks>
    <hyperlink ref="I1" location="Index!B20" display="Index" xr:uid="{3F83C66D-6279-485C-94D1-F565C7F996A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494</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83</v>
      </c>
      <c r="C7" s="4" t="s">
        <v>84</v>
      </c>
      <c r="D7" s="4" t="s">
        <v>31</v>
      </c>
      <c r="E7" s="5">
        <v>7968</v>
      </c>
      <c r="F7" s="6">
        <v>121.69526399999999</v>
      </c>
      <c r="G7" s="7">
        <v>3.5329626000000003E-2</v>
      </c>
      <c r="H7" s="49"/>
    </row>
    <row r="8" spans="1:15" ht="17.100000000000001" customHeight="1" x14ac:dyDescent="0.2">
      <c r="A8" s="3">
        <v>2</v>
      </c>
      <c r="B8" s="4" t="s">
        <v>29</v>
      </c>
      <c r="C8" s="4" t="s">
        <v>30</v>
      </c>
      <c r="D8" s="4" t="s">
        <v>31</v>
      </c>
      <c r="E8" s="5">
        <v>5959</v>
      </c>
      <c r="F8" s="6">
        <v>120.62803700000001</v>
      </c>
      <c r="G8" s="7">
        <v>3.5019796999999998E-2</v>
      </c>
      <c r="H8" s="49"/>
    </row>
    <row r="9" spans="1:15" ht="17.100000000000001" customHeight="1" x14ac:dyDescent="0.2">
      <c r="A9" s="3">
        <v>3</v>
      </c>
      <c r="B9" s="4" t="s">
        <v>389</v>
      </c>
      <c r="C9" s="4" t="s">
        <v>390</v>
      </c>
      <c r="D9" s="4" t="s">
        <v>103</v>
      </c>
      <c r="E9" s="5">
        <v>94613</v>
      </c>
      <c r="F9" s="6">
        <v>112.967922</v>
      </c>
      <c r="G9" s="7">
        <v>3.2795971E-2</v>
      </c>
      <c r="H9" s="49"/>
    </row>
    <row r="10" spans="1:15" ht="17.100000000000001" customHeight="1" x14ac:dyDescent="0.2">
      <c r="A10" s="3">
        <v>4</v>
      </c>
      <c r="B10" s="4" t="s">
        <v>106</v>
      </c>
      <c r="C10" s="4" t="s">
        <v>107</v>
      </c>
      <c r="D10" s="4" t="s">
        <v>108</v>
      </c>
      <c r="E10" s="5">
        <v>27826</v>
      </c>
      <c r="F10" s="6">
        <v>107.589229</v>
      </c>
      <c r="G10" s="7">
        <v>3.1234471E-2</v>
      </c>
      <c r="H10" s="49"/>
    </row>
    <row r="11" spans="1:15" ht="17.100000000000001" customHeight="1" x14ac:dyDescent="0.2">
      <c r="A11" s="3">
        <v>5</v>
      </c>
      <c r="B11" s="4" t="s">
        <v>417</v>
      </c>
      <c r="C11" s="4" t="s">
        <v>418</v>
      </c>
      <c r="D11" s="4" t="s">
        <v>974</v>
      </c>
      <c r="E11" s="5">
        <v>14987</v>
      </c>
      <c r="F11" s="6">
        <v>107.1345695</v>
      </c>
      <c r="G11" s="7">
        <v>3.1102477999999999E-2</v>
      </c>
      <c r="H11" s="49"/>
    </row>
    <row r="12" spans="1:15" ht="17.100000000000001" customHeight="1" x14ac:dyDescent="0.2">
      <c r="A12" s="3">
        <v>6</v>
      </c>
      <c r="B12" s="4" t="s">
        <v>300</v>
      </c>
      <c r="C12" s="4" t="s">
        <v>301</v>
      </c>
      <c r="D12" s="4" t="s">
        <v>230</v>
      </c>
      <c r="E12" s="5">
        <v>19759</v>
      </c>
      <c r="F12" s="6">
        <v>106.599805</v>
      </c>
      <c r="G12" s="7">
        <v>3.0947229E-2</v>
      </c>
      <c r="H12" s="49"/>
    </row>
    <row r="13" spans="1:15" ht="17.100000000000001" customHeight="1" x14ac:dyDescent="0.2">
      <c r="A13" s="3">
        <v>7</v>
      </c>
      <c r="B13" s="4" t="s">
        <v>315</v>
      </c>
      <c r="C13" s="4" t="s">
        <v>316</v>
      </c>
      <c r="D13" s="4" t="s">
        <v>317</v>
      </c>
      <c r="E13" s="5">
        <v>6199</v>
      </c>
      <c r="F13" s="6">
        <v>99.0073285</v>
      </c>
      <c r="G13" s="7">
        <v>2.8743040000000001E-2</v>
      </c>
      <c r="H13" s="49"/>
    </row>
    <row r="14" spans="1:15" ht="17.100000000000001" customHeight="1" x14ac:dyDescent="0.2">
      <c r="A14" s="3">
        <v>8</v>
      </c>
      <c r="B14" s="4" t="s">
        <v>203</v>
      </c>
      <c r="C14" s="4" t="s">
        <v>204</v>
      </c>
      <c r="D14" s="4" t="s">
        <v>974</v>
      </c>
      <c r="E14" s="5">
        <v>2353</v>
      </c>
      <c r="F14" s="6">
        <v>97.760091000000003</v>
      </c>
      <c r="G14" s="7">
        <v>2.8380952000000001E-2</v>
      </c>
      <c r="H14" s="49"/>
      <c r="J14" s="217" t="s">
        <v>1080</v>
      </c>
    </row>
    <row r="15" spans="1:15" ht="17.100000000000001" customHeight="1" x14ac:dyDescent="0.2">
      <c r="A15" s="3">
        <v>9</v>
      </c>
      <c r="B15" s="4" t="s">
        <v>419</v>
      </c>
      <c r="C15" s="4" t="s">
        <v>420</v>
      </c>
      <c r="D15" s="4" t="s">
        <v>227</v>
      </c>
      <c r="E15" s="5">
        <v>32339</v>
      </c>
      <c r="F15" s="6">
        <v>95.6749315</v>
      </c>
      <c r="G15" s="7">
        <v>2.7775603999999999E-2</v>
      </c>
      <c r="H15" s="49"/>
    </row>
    <row r="16" spans="1:15" ht="29.1" customHeight="1" x14ac:dyDescent="0.2">
      <c r="A16" s="3">
        <v>10</v>
      </c>
      <c r="B16" s="4" t="s">
        <v>197</v>
      </c>
      <c r="C16" s="4" t="s">
        <v>198</v>
      </c>
      <c r="D16" s="4" t="s">
        <v>193</v>
      </c>
      <c r="E16" s="5">
        <v>2136</v>
      </c>
      <c r="F16" s="6">
        <v>92.754732000000004</v>
      </c>
      <c r="G16" s="7">
        <v>2.6927835000000001E-2</v>
      </c>
      <c r="H16" s="49"/>
    </row>
    <row r="17" spans="1:8" ht="17.100000000000001" customHeight="1" x14ac:dyDescent="0.2">
      <c r="A17" s="3">
        <v>11</v>
      </c>
      <c r="B17" s="4" t="s">
        <v>370</v>
      </c>
      <c r="C17" s="4" t="s">
        <v>371</v>
      </c>
      <c r="D17" s="4" t="s">
        <v>108</v>
      </c>
      <c r="E17" s="5">
        <v>16978</v>
      </c>
      <c r="F17" s="6">
        <v>92.088672000000003</v>
      </c>
      <c r="G17" s="7">
        <v>2.6734469E-2</v>
      </c>
      <c r="H17" s="49"/>
    </row>
    <row r="18" spans="1:8" ht="17.100000000000001" customHeight="1" x14ac:dyDescent="0.2">
      <c r="A18" s="3">
        <v>12</v>
      </c>
      <c r="B18" s="4" t="s">
        <v>398</v>
      </c>
      <c r="C18" s="4" t="s">
        <v>399</v>
      </c>
      <c r="D18" s="4" t="s">
        <v>108</v>
      </c>
      <c r="E18" s="5">
        <v>5611</v>
      </c>
      <c r="F18" s="6">
        <v>91.571520000000007</v>
      </c>
      <c r="G18" s="7">
        <v>2.6584334000000001E-2</v>
      </c>
      <c r="H18" s="49"/>
    </row>
    <row r="19" spans="1:8" ht="17.100000000000001" customHeight="1" x14ac:dyDescent="0.2">
      <c r="A19" s="3">
        <v>13</v>
      </c>
      <c r="B19" s="4" t="s">
        <v>318</v>
      </c>
      <c r="C19" s="4" t="s">
        <v>319</v>
      </c>
      <c r="D19" s="4" t="s">
        <v>233</v>
      </c>
      <c r="E19" s="5">
        <v>6371</v>
      </c>
      <c r="F19" s="6">
        <v>86.008499999999998</v>
      </c>
      <c r="G19" s="7">
        <v>2.4969320999999999E-2</v>
      </c>
      <c r="H19" s="49"/>
    </row>
    <row r="20" spans="1:8" ht="29.1" customHeight="1" x14ac:dyDescent="0.2">
      <c r="A20" s="3">
        <v>14</v>
      </c>
      <c r="B20" s="4" t="s">
        <v>189</v>
      </c>
      <c r="C20" s="4" t="s">
        <v>190</v>
      </c>
      <c r="D20" s="4" t="s">
        <v>108</v>
      </c>
      <c r="E20" s="5">
        <v>23570</v>
      </c>
      <c r="F20" s="6">
        <v>85.523745000000005</v>
      </c>
      <c r="G20" s="7">
        <v>2.4828591000000001E-2</v>
      </c>
      <c r="H20" s="49"/>
    </row>
    <row r="21" spans="1:8" ht="17.100000000000001" customHeight="1" x14ac:dyDescent="0.2">
      <c r="A21" s="3">
        <v>15</v>
      </c>
      <c r="B21" s="4" t="s">
        <v>98</v>
      </c>
      <c r="C21" s="4" t="s">
        <v>99</v>
      </c>
      <c r="D21" s="4" t="s">
        <v>100</v>
      </c>
      <c r="E21" s="5">
        <v>17357</v>
      </c>
      <c r="F21" s="6">
        <v>84.398412500000006</v>
      </c>
      <c r="G21" s="7">
        <v>2.4501893E-2</v>
      </c>
      <c r="H21" s="49"/>
    </row>
    <row r="22" spans="1:8" ht="17.100000000000001" customHeight="1" x14ac:dyDescent="0.2">
      <c r="A22" s="3">
        <v>16</v>
      </c>
      <c r="B22" s="4" t="s">
        <v>457</v>
      </c>
      <c r="C22" s="4" t="s">
        <v>458</v>
      </c>
      <c r="D22" s="4" t="s">
        <v>13</v>
      </c>
      <c r="E22" s="5">
        <v>16334</v>
      </c>
      <c r="F22" s="6">
        <v>82.837880999999996</v>
      </c>
      <c r="G22" s="7">
        <v>2.4048851E-2</v>
      </c>
      <c r="H22" s="49"/>
    </row>
    <row r="23" spans="1:8" ht="29.1" customHeight="1" x14ac:dyDescent="0.2">
      <c r="A23" s="3">
        <v>17</v>
      </c>
      <c r="B23" s="4" t="s">
        <v>425</v>
      </c>
      <c r="C23" s="4" t="s">
        <v>426</v>
      </c>
      <c r="D23" s="4" t="s">
        <v>48</v>
      </c>
      <c r="E23" s="5">
        <v>2903</v>
      </c>
      <c r="F23" s="6">
        <v>79.672835000000006</v>
      </c>
      <c r="G23" s="7">
        <v>2.3130000000000001E-2</v>
      </c>
      <c r="H23" s="49"/>
    </row>
    <row r="24" spans="1:8" ht="17.100000000000001" customHeight="1" x14ac:dyDescent="0.2">
      <c r="A24" s="3">
        <v>18</v>
      </c>
      <c r="B24" s="4" t="s">
        <v>396</v>
      </c>
      <c r="C24" s="4" t="s">
        <v>397</v>
      </c>
      <c r="D24" s="4" t="s">
        <v>31</v>
      </c>
      <c r="E24" s="5">
        <v>9335</v>
      </c>
      <c r="F24" s="6">
        <v>77.723209999999995</v>
      </c>
      <c r="G24" s="7">
        <v>2.2564000000000001E-2</v>
      </c>
      <c r="H24" s="49"/>
    </row>
    <row r="25" spans="1:8" ht="17.100000000000001" customHeight="1" x14ac:dyDescent="0.2">
      <c r="A25" s="3">
        <v>19</v>
      </c>
      <c r="B25" s="4" t="s">
        <v>469</v>
      </c>
      <c r="C25" s="4" t="s">
        <v>470</v>
      </c>
      <c r="D25" s="4" t="s">
        <v>233</v>
      </c>
      <c r="E25" s="5">
        <v>32152</v>
      </c>
      <c r="F25" s="6">
        <v>71.763264000000007</v>
      </c>
      <c r="G25" s="7">
        <v>2.0833754999999999E-2</v>
      </c>
      <c r="H25" s="49"/>
    </row>
    <row r="26" spans="1:8" ht="29.1" customHeight="1" x14ac:dyDescent="0.2">
      <c r="A26" s="3">
        <v>20</v>
      </c>
      <c r="B26" s="4" t="s">
        <v>421</v>
      </c>
      <c r="C26" s="4" t="s">
        <v>422</v>
      </c>
      <c r="D26" s="4" t="s">
        <v>215</v>
      </c>
      <c r="E26" s="5">
        <v>17769</v>
      </c>
      <c r="F26" s="6">
        <v>70.658428499999999</v>
      </c>
      <c r="G26" s="7">
        <v>2.0513007E-2</v>
      </c>
      <c r="H26" s="49"/>
    </row>
    <row r="27" spans="1:8" ht="29.1" customHeight="1" x14ac:dyDescent="0.2">
      <c r="A27" s="3">
        <v>21</v>
      </c>
      <c r="B27" s="4" t="s">
        <v>61</v>
      </c>
      <c r="C27" s="4" t="s">
        <v>62</v>
      </c>
      <c r="D27" s="4" t="s">
        <v>25</v>
      </c>
      <c r="E27" s="5">
        <v>2267</v>
      </c>
      <c r="F27" s="6">
        <v>69.816799000000003</v>
      </c>
      <c r="G27" s="7">
        <v>2.0268672000000001E-2</v>
      </c>
      <c r="H27" s="49"/>
    </row>
    <row r="28" spans="1:8" ht="17.100000000000001" customHeight="1" x14ac:dyDescent="0.2">
      <c r="A28" s="3">
        <v>22</v>
      </c>
      <c r="B28" s="4" t="s">
        <v>423</v>
      </c>
      <c r="C28" s="4" t="s">
        <v>424</v>
      </c>
      <c r="D28" s="4" t="s">
        <v>233</v>
      </c>
      <c r="E28" s="5">
        <v>9506</v>
      </c>
      <c r="F28" s="6">
        <v>68.908994000000007</v>
      </c>
      <c r="G28" s="7">
        <v>2.0005124999999999E-2</v>
      </c>
      <c r="H28" s="49"/>
    </row>
    <row r="29" spans="1:8" ht="17.100000000000001" customHeight="1" x14ac:dyDescent="0.2">
      <c r="A29" s="3">
        <v>23</v>
      </c>
      <c r="B29" s="4" t="s">
        <v>376</v>
      </c>
      <c r="C29" s="4" t="s">
        <v>377</v>
      </c>
      <c r="D29" s="4" t="s">
        <v>108</v>
      </c>
      <c r="E29" s="5">
        <v>11129</v>
      </c>
      <c r="F29" s="6">
        <v>67.808997000000005</v>
      </c>
      <c r="G29" s="7">
        <v>1.9685781999999999E-2</v>
      </c>
      <c r="H29" s="49"/>
    </row>
    <row r="30" spans="1:8" ht="17.100000000000001" customHeight="1" x14ac:dyDescent="0.2">
      <c r="A30" s="3">
        <v>24</v>
      </c>
      <c r="B30" s="4" t="s">
        <v>404</v>
      </c>
      <c r="C30" s="4" t="s">
        <v>405</v>
      </c>
      <c r="D30" s="4" t="s">
        <v>317</v>
      </c>
      <c r="E30" s="5">
        <v>4288</v>
      </c>
      <c r="F30" s="6">
        <v>66.993567999999996</v>
      </c>
      <c r="G30" s="7">
        <v>1.9449053000000001E-2</v>
      </c>
      <c r="H30" s="49"/>
    </row>
    <row r="31" spans="1:8" ht="29.1" customHeight="1" x14ac:dyDescent="0.2">
      <c r="A31" s="3">
        <v>25</v>
      </c>
      <c r="B31" s="4" t="s">
        <v>213</v>
      </c>
      <c r="C31" s="4" t="s">
        <v>214</v>
      </c>
      <c r="D31" s="4" t="s">
        <v>215</v>
      </c>
      <c r="E31" s="5">
        <v>14944</v>
      </c>
      <c r="F31" s="6">
        <v>62.383727999999998</v>
      </c>
      <c r="G31" s="7">
        <v>1.811076E-2</v>
      </c>
      <c r="H31" s="49"/>
    </row>
    <row r="32" spans="1:8" ht="17.100000000000001" customHeight="1" x14ac:dyDescent="0.2">
      <c r="A32" s="3">
        <v>26</v>
      </c>
      <c r="B32" s="4" t="s">
        <v>372</v>
      </c>
      <c r="C32" s="4" t="s">
        <v>373</v>
      </c>
      <c r="D32" s="4" t="s">
        <v>103</v>
      </c>
      <c r="E32" s="5">
        <v>11039</v>
      </c>
      <c r="F32" s="6">
        <v>61.0511895</v>
      </c>
      <c r="G32" s="7">
        <v>1.7723908E-2</v>
      </c>
      <c r="H32" s="49"/>
    </row>
    <row r="33" spans="1:8" ht="17.100000000000001" customHeight="1" x14ac:dyDescent="0.2">
      <c r="A33" s="3">
        <v>27</v>
      </c>
      <c r="B33" s="4" t="s">
        <v>412</v>
      </c>
      <c r="C33" s="4" t="s">
        <v>413</v>
      </c>
      <c r="D33" s="4" t="s">
        <v>267</v>
      </c>
      <c r="E33" s="5">
        <v>18670</v>
      </c>
      <c r="F33" s="6">
        <v>59.491954999999997</v>
      </c>
      <c r="G33" s="7">
        <v>1.7271242999999999E-2</v>
      </c>
      <c r="H33" s="49"/>
    </row>
    <row r="34" spans="1:8" ht="53.1" customHeight="1" x14ac:dyDescent="0.2">
      <c r="A34" s="3">
        <v>28</v>
      </c>
      <c r="B34" s="4" t="s">
        <v>336</v>
      </c>
      <c r="C34" s="4" t="s">
        <v>1043</v>
      </c>
      <c r="D34" s="4" t="s">
        <v>51</v>
      </c>
      <c r="E34" s="5">
        <v>17050</v>
      </c>
      <c r="F34" s="6">
        <v>57.833599999999997</v>
      </c>
      <c r="G34" s="7">
        <v>1.6789802E-2</v>
      </c>
      <c r="H34" s="49"/>
    </row>
    <row r="35" spans="1:8" ht="17.100000000000001" customHeight="1" x14ac:dyDescent="0.2">
      <c r="A35" s="3">
        <v>29</v>
      </c>
      <c r="B35" s="4" t="s">
        <v>449</v>
      </c>
      <c r="C35" s="4" t="s">
        <v>450</v>
      </c>
      <c r="D35" s="4" t="s">
        <v>1042</v>
      </c>
      <c r="E35" s="5">
        <v>6153</v>
      </c>
      <c r="F35" s="6">
        <v>51.519069000000002</v>
      </c>
      <c r="G35" s="7">
        <v>1.4956617E-2</v>
      </c>
      <c r="H35" s="49"/>
    </row>
    <row r="36" spans="1:8" ht="17.100000000000001" customHeight="1" x14ac:dyDescent="0.2">
      <c r="A36" s="3">
        <v>30</v>
      </c>
      <c r="B36" s="4" t="s">
        <v>432</v>
      </c>
      <c r="C36" s="4" t="s">
        <v>433</v>
      </c>
      <c r="D36" s="4" t="s">
        <v>103</v>
      </c>
      <c r="E36" s="5">
        <v>62770</v>
      </c>
      <c r="F36" s="6">
        <v>51.440015000000002</v>
      </c>
      <c r="G36" s="7">
        <v>1.4933666E-2</v>
      </c>
      <c r="H36" s="49"/>
    </row>
    <row r="37" spans="1:8" ht="29.1" customHeight="1" x14ac:dyDescent="0.2">
      <c r="A37" s="3">
        <v>31</v>
      </c>
      <c r="B37" s="4" t="s">
        <v>385</v>
      </c>
      <c r="C37" s="4" t="s">
        <v>386</v>
      </c>
      <c r="D37" s="4" t="s">
        <v>69</v>
      </c>
      <c r="E37" s="5">
        <v>3200</v>
      </c>
      <c r="F37" s="6">
        <v>50.772799999999997</v>
      </c>
      <c r="G37" s="7">
        <v>1.4739966E-2</v>
      </c>
      <c r="H37" s="49"/>
    </row>
    <row r="38" spans="1:8" ht="29.1" customHeight="1" x14ac:dyDescent="0.2">
      <c r="A38" s="3">
        <v>32</v>
      </c>
      <c r="B38" s="4" t="s">
        <v>451</v>
      </c>
      <c r="C38" s="4" t="s">
        <v>452</v>
      </c>
      <c r="D38" s="4" t="s">
        <v>364</v>
      </c>
      <c r="E38" s="5">
        <v>9296</v>
      </c>
      <c r="F38" s="6">
        <v>50.765456</v>
      </c>
      <c r="G38" s="7">
        <v>1.4737834E-2</v>
      </c>
      <c r="H38" s="49"/>
    </row>
    <row r="39" spans="1:8" ht="29.1" customHeight="1" x14ac:dyDescent="0.2">
      <c r="A39" s="3">
        <v>33</v>
      </c>
      <c r="B39" s="4" t="s">
        <v>429</v>
      </c>
      <c r="C39" s="4" t="s">
        <v>430</v>
      </c>
      <c r="D39" s="4" t="s">
        <v>431</v>
      </c>
      <c r="E39" s="5">
        <v>39723</v>
      </c>
      <c r="F39" s="6">
        <v>50.150287499999997</v>
      </c>
      <c r="G39" s="7">
        <v>1.4559242999999999E-2</v>
      </c>
      <c r="H39" s="49"/>
    </row>
    <row r="40" spans="1:8" ht="17.100000000000001" customHeight="1" x14ac:dyDescent="0.2">
      <c r="A40" s="3">
        <v>34</v>
      </c>
      <c r="B40" s="4" t="s">
        <v>374</v>
      </c>
      <c r="C40" s="4" t="s">
        <v>375</v>
      </c>
      <c r="D40" s="4" t="s">
        <v>103</v>
      </c>
      <c r="E40" s="5">
        <v>6413</v>
      </c>
      <c r="F40" s="6">
        <v>47.052180999999997</v>
      </c>
      <c r="G40" s="7">
        <v>1.3659823999999999E-2</v>
      </c>
      <c r="H40" s="49"/>
    </row>
    <row r="41" spans="1:8" ht="17.100000000000001" customHeight="1" x14ac:dyDescent="0.2">
      <c r="A41" s="3">
        <v>35</v>
      </c>
      <c r="B41" s="4" t="s">
        <v>400</v>
      </c>
      <c r="C41" s="4" t="s">
        <v>401</v>
      </c>
      <c r="D41" s="4" t="s">
        <v>1042</v>
      </c>
      <c r="E41" s="5">
        <v>3655</v>
      </c>
      <c r="F41" s="6">
        <v>45.837355000000002</v>
      </c>
      <c r="G41" s="7">
        <v>1.3307146000000001E-2</v>
      </c>
      <c r="H41" s="49"/>
    </row>
    <row r="42" spans="1:8" ht="29.1" customHeight="1" x14ac:dyDescent="0.2">
      <c r="A42" s="3">
        <v>36</v>
      </c>
      <c r="B42" s="4" t="s">
        <v>378</v>
      </c>
      <c r="C42" s="4" t="s">
        <v>379</v>
      </c>
      <c r="D42" s="4" t="s">
        <v>380</v>
      </c>
      <c r="E42" s="5">
        <v>9760</v>
      </c>
      <c r="F42" s="6">
        <v>38.791119999999999</v>
      </c>
      <c r="G42" s="7">
        <v>1.1261537E-2</v>
      </c>
      <c r="H42" s="49"/>
    </row>
    <row r="43" spans="1:8" ht="17.100000000000001" customHeight="1" x14ac:dyDescent="0.2">
      <c r="A43" s="3">
        <v>37</v>
      </c>
      <c r="B43" s="4" t="s">
        <v>427</v>
      </c>
      <c r="C43" s="4" t="s">
        <v>428</v>
      </c>
      <c r="D43" s="4" t="s">
        <v>13</v>
      </c>
      <c r="E43" s="5">
        <v>48779</v>
      </c>
      <c r="F43" s="6">
        <v>38.7061365</v>
      </c>
      <c r="G43" s="7">
        <v>1.1236866E-2</v>
      </c>
      <c r="H43" s="49"/>
    </row>
    <row r="44" spans="1:8" ht="17.100000000000001" customHeight="1" x14ac:dyDescent="0.2">
      <c r="A44" s="3">
        <v>38</v>
      </c>
      <c r="B44" s="4" t="s">
        <v>410</v>
      </c>
      <c r="C44" s="4" t="s">
        <v>411</v>
      </c>
      <c r="D44" s="4" t="s">
        <v>89</v>
      </c>
      <c r="E44" s="5">
        <v>5781</v>
      </c>
      <c r="F44" s="6">
        <v>37.917579000000003</v>
      </c>
      <c r="G44" s="7">
        <v>1.1007938E-2</v>
      </c>
      <c r="H44" s="49"/>
    </row>
    <row r="45" spans="1:8" ht="29.1" customHeight="1" x14ac:dyDescent="0.2">
      <c r="A45" s="3">
        <v>39</v>
      </c>
      <c r="B45" s="4" t="s">
        <v>283</v>
      </c>
      <c r="C45" s="4" t="s">
        <v>284</v>
      </c>
      <c r="D45" s="4" t="s">
        <v>193</v>
      </c>
      <c r="E45" s="5">
        <v>5263</v>
      </c>
      <c r="F45" s="6">
        <v>37.843601499999998</v>
      </c>
      <c r="G45" s="7">
        <v>1.0986460999999999E-2</v>
      </c>
      <c r="H45" s="49"/>
    </row>
    <row r="46" spans="1:8" ht="29.1" customHeight="1" x14ac:dyDescent="0.2">
      <c r="A46" s="3">
        <v>40</v>
      </c>
      <c r="B46" s="4" t="s">
        <v>436</v>
      </c>
      <c r="C46" s="4" t="s">
        <v>437</v>
      </c>
      <c r="D46" s="4" t="s">
        <v>215</v>
      </c>
      <c r="E46" s="5">
        <v>1825</v>
      </c>
      <c r="F46" s="6">
        <v>36.832149999999999</v>
      </c>
      <c r="G46" s="7">
        <v>1.0692824E-2</v>
      </c>
      <c r="H46" s="49"/>
    </row>
    <row r="47" spans="1:8" ht="29.1" customHeight="1" x14ac:dyDescent="0.2">
      <c r="A47" s="3">
        <v>41</v>
      </c>
      <c r="B47" s="4" t="s">
        <v>490</v>
      </c>
      <c r="C47" s="4" t="s">
        <v>491</v>
      </c>
      <c r="D47" s="4" t="s">
        <v>69</v>
      </c>
      <c r="E47" s="5">
        <v>11833</v>
      </c>
      <c r="F47" s="6">
        <v>36.599468999999999</v>
      </c>
      <c r="G47" s="7">
        <v>1.0625274000000001E-2</v>
      </c>
      <c r="H47" s="49"/>
    </row>
    <row r="48" spans="1:8" ht="29.1" customHeight="1" x14ac:dyDescent="0.2">
      <c r="A48" s="3">
        <v>42</v>
      </c>
      <c r="B48" s="4" t="s">
        <v>459</v>
      </c>
      <c r="C48" s="4" t="s">
        <v>460</v>
      </c>
      <c r="D48" s="4" t="s">
        <v>380</v>
      </c>
      <c r="E48" s="5">
        <v>8218</v>
      </c>
      <c r="F48" s="6">
        <v>35.961967999999999</v>
      </c>
      <c r="G48" s="7">
        <v>1.04402E-2</v>
      </c>
      <c r="H48" s="49"/>
    </row>
    <row r="49" spans="1:8" ht="29.1" customHeight="1" x14ac:dyDescent="0.2">
      <c r="A49" s="3">
        <v>43</v>
      </c>
      <c r="B49" s="4" t="s">
        <v>442</v>
      </c>
      <c r="C49" s="4" t="s">
        <v>443</v>
      </c>
      <c r="D49" s="4" t="s">
        <v>364</v>
      </c>
      <c r="E49" s="5">
        <v>5842</v>
      </c>
      <c r="F49" s="6">
        <v>35.192208000000001</v>
      </c>
      <c r="G49" s="7">
        <v>1.0216729000000001E-2</v>
      </c>
      <c r="H49" s="49"/>
    </row>
    <row r="50" spans="1:8" ht="17.100000000000001" customHeight="1" x14ac:dyDescent="0.2">
      <c r="A50" s="3">
        <v>44</v>
      </c>
      <c r="B50" s="4" t="s">
        <v>408</v>
      </c>
      <c r="C50" s="4" t="s">
        <v>409</v>
      </c>
      <c r="D50" s="4" t="s">
        <v>108</v>
      </c>
      <c r="E50" s="5">
        <v>12795</v>
      </c>
      <c r="F50" s="6">
        <v>34.162649999999999</v>
      </c>
      <c r="G50" s="7">
        <v>9.9178359999999993E-3</v>
      </c>
      <c r="H50" s="49"/>
    </row>
    <row r="51" spans="1:8" ht="29.1" customHeight="1" x14ac:dyDescent="0.2">
      <c r="A51" s="3">
        <v>45</v>
      </c>
      <c r="B51" s="4" t="s">
        <v>466</v>
      </c>
      <c r="C51" s="4" t="s">
        <v>467</v>
      </c>
      <c r="D51" s="4" t="s">
        <v>468</v>
      </c>
      <c r="E51" s="5">
        <v>7328</v>
      </c>
      <c r="F51" s="6">
        <v>31.239263999999999</v>
      </c>
      <c r="G51" s="7">
        <v>9.0691409999999993E-3</v>
      </c>
      <c r="H51" s="49"/>
    </row>
    <row r="52" spans="1:8" ht="29.1" customHeight="1" x14ac:dyDescent="0.2">
      <c r="A52" s="3">
        <v>46</v>
      </c>
      <c r="B52" s="4" t="s">
        <v>406</v>
      </c>
      <c r="C52" s="4" t="s">
        <v>407</v>
      </c>
      <c r="D52" s="4" t="s">
        <v>108</v>
      </c>
      <c r="E52" s="5">
        <v>2285</v>
      </c>
      <c r="F52" s="6">
        <v>26.891022499999998</v>
      </c>
      <c r="G52" s="7">
        <v>7.8067930000000002E-3</v>
      </c>
      <c r="H52" s="49"/>
    </row>
    <row r="53" spans="1:8" ht="29.1" customHeight="1" x14ac:dyDescent="0.2">
      <c r="A53" s="3">
        <v>47</v>
      </c>
      <c r="B53" s="4" t="s">
        <v>387</v>
      </c>
      <c r="C53" s="4" t="s">
        <v>388</v>
      </c>
      <c r="D53" s="4" t="s">
        <v>215</v>
      </c>
      <c r="E53" s="5">
        <v>546</v>
      </c>
      <c r="F53" s="6">
        <v>22.735440000000001</v>
      </c>
      <c r="G53" s="7">
        <v>6.6003770000000002E-3</v>
      </c>
      <c r="H53" s="49"/>
    </row>
    <row r="54" spans="1:8" ht="17.100000000000001" customHeight="1" x14ac:dyDescent="0.2">
      <c r="A54" s="3">
        <v>48</v>
      </c>
      <c r="B54" s="4" t="s">
        <v>393</v>
      </c>
      <c r="C54" s="4" t="s">
        <v>394</v>
      </c>
      <c r="D54" s="4" t="s">
        <v>16</v>
      </c>
      <c r="E54" s="5">
        <v>9321</v>
      </c>
      <c r="F54" s="6">
        <v>20.347743000000001</v>
      </c>
      <c r="G54" s="7">
        <v>5.9071990000000001E-3</v>
      </c>
      <c r="H54" s="49"/>
    </row>
    <row r="55" spans="1:8" ht="17.100000000000001" customHeight="1" x14ac:dyDescent="0.2">
      <c r="A55" s="3">
        <v>49</v>
      </c>
      <c r="B55" s="4" t="s">
        <v>438</v>
      </c>
      <c r="C55" s="4" t="s">
        <v>439</v>
      </c>
      <c r="D55" s="4" t="s">
        <v>31</v>
      </c>
      <c r="E55" s="5">
        <v>2302</v>
      </c>
      <c r="F55" s="6">
        <v>20.312847999999999</v>
      </c>
      <c r="G55" s="7">
        <v>5.8970689999999996E-3</v>
      </c>
      <c r="H55" s="49"/>
    </row>
    <row r="56" spans="1:8" ht="17.100000000000001" customHeight="1" x14ac:dyDescent="0.2">
      <c r="A56" s="3">
        <v>50</v>
      </c>
      <c r="B56" s="4" t="s">
        <v>121</v>
      </c>
      <c r="C56" s="4" t="s">
        <v>122</v>
      </c>
      <c r="D56" s="4" t="s">
        <v>108</v>
      </c>
      <c r="E56" s="5">
        <v>975</v>
      </c>
      <c r="F56" s="6">
        <v>18.7614375</v>
      </c>
      <c r="G56" s="7">
        <v>5.4466749999999998E-3</v>
      </c>
      <c r="H56" s="49"/>
    </row>
    <row r="57" spans="1:8" ht="17.100000000000001" customHeight="1" x14ac:dyDescent="0.2">
      <c r="A57" s="3">
        <v>51</v>
      </c>
      <c r="B57" s="4" t="s">
        <v>330</v>
      </c>
      <c r="C57" s="4" t="s">
        <v>331</v>
      </c>
      <c r="D57" s="4" t="s">
        <v>100</v>
      </c>
      <c r="E57" s="5">
        <v>22625</v>
      </c>
      <c r="F57" s="6">
        <v>17.817187499999999</v>
      </c>
      <c r="G57" s="7">
        <v>5.1725479999999999E-3</v>
      </c>
      <c r="H57" s="49"/>
    </row>
    <row r="58" spans="1:8" ht="29.1" customHeight="1" x14ac:dyDescent="0.2">
      <c r="A58" s="3">
        <v>52</v>
      </c>
      <c r="B58" s="4" t="s">
        <v>444</v>
      </c>
      <c r="C58" s="4" t="s">
        <v>445</v>
      </c>
      <c r="D58" s="4" t="s">
        <v>193</v>
      </c>
      <c r="E58" s="5">
        <v>1792</v>
      </c>
      <c r="F58" s="6">
        <v>11.550336</v>
      </c>
      <c r="G58" s="7">
        <v>3.3532039999999998E-3</v>
      </c>
      <c r="H58" s="49"/>
    </row>
    <row r="59" spans="1:8" ht="29.1" customHeight="1" x14ac:dyDescent="0.2">
      <c r="A59" s="3">
        <v>53</v>
      </c>
      <c r="B59" s="4" t="s">
        <v>440</v>
      </c>
      <c r="C59" s="4" t="s">
        <v>441</v>
      </c>
      <c r="D59" s="4" t="s">
        <v>215</v>
      </c>
      <c r="E59" s="5">
        <v>1809</v>
      </c>
      <c r="F59" s="6">
        <v>4.7721419999999997</v>
      </c>
      <c r="G59" s="7">
        <v>1.385411E-3</v>
      </c>
      <c r="H59" s="49"/>
    </row>
    <row r="60" spans="1:8" ht="14.1" customHeight="1" x14ac:dyDescent="0.2">
      <c r="A60" s="1"/>
      <c r="B60" s="1"/>
      <c r="C60" s="2" t="s">
        <v>130</v>
      </c>
      <c r="D60" s="1"/>
      <c r="E60" s="1" t="s">
        <v>131</v>
      </c>
      <c r="F60" s="9">
        <v>3252.3186740000001</v>
      </c>
      <c r="G60" s="10">
        <v>0.94418794699999997</v>
      </c>
      <c r="H60" s="49"/>
    </row>
    <row r="61" spans="1:8" ht="14.1" customHeight="1" x14ac:dyDescent="0.2">
      <c r="A61" s="1"/>
      <c r="B61" s="1"/>
      <c r="C61" s="11"/>
      <c r="D61" s="1"/>
      <c r="E61" s="1"/>
      <c r="F61" s="12"/>
      <c r="G61" s="12"/>
      <c r="H61" s="49"/>
    </row>
    <row r="62" spans="1:8" ht="14.1" customHeight="1" x14ac:dyDescent="0.2">
      <c r="A62" s="1"/>
      <c r="B62" s="1"/>
      <c r="C62" s="2" t="s">
        <v>132</v>
      </c>
      <c r="D62" s="1"/>
      <c r="E62" s="1"/>
      <c r="F62" s="1"/>
      <c r="G62" s="1"/>
      <c r="H62" s="49"/>
    </row>
    <row r="63" spans="1:8" ht="14.1" customHeight="1" x14ac:dyDescent="0.2">
      <c r="A63" s="1"/>
      <c r="B63" s="1"/>
      <c r="C63" s="2" t="s">
        <v>130</v>
      </c>
      <c r="D63" s="1"/>
      <c r="E63" s="1" t="s">
        <v>131</v>
      </c>
      <c r="F63" s="13">
        <v>0</v>
      </c>
      <c r="G63" s="14">
        <v>0</v>
      </c>
      <c r="H63" s="49"/>
    </row>
    <row r="64" spans="1:8" ht="14.1" customHeight="1" x14ac:dyDescent="0.2">
      <c r="A64" s="1"/>
      <c r="B64" s="1"/>
      <c r="C64" s="11"/>
      <c r="D64" s="1"/>
      <c r="E64" s="1"/>
      <c r="F64" s="12"/>
      <c r="G64" s="12"/>
      <c r="H64" s="49"/>
    </row>
    <row r="65" spans="1:8" ht="14.1" customHeight="1" x14ac:dyDescent="0.2">
      <c r="A65" s="1"/>
      <c r="B65" s="1"/>
      <c r="C65" s="2" t="s">
        <v>133</v>
      </c>
      <c r="D65" s="1"/>
      <c r="E65" s="1"/>
      <c r="F65" s="1"/>
      <c r="G65" s="1"/>
      <c r="H65" s="49"/>
    </row>
    <row r="66" spans="1:8" ht="14.1" customHeight="1" x14ac:dyDescent="0.2">
      <c r="A66" s="1"/>
      <c r="B66" s="1"/>
      <c r="C66" s="2" t="s">
        <v>130</v>
      </c>
      <c r="D66" s="1"/>
      <c r="E66" s="1" t="s">
        <v>131</v>
      </c>
      <c r="F66" s="13">
        <v>0</v>
      </c>
      <c r="G66" s="14">
        <v>0</v>
      </c>
      <c r="H66" s="49"/>
    </row>
    <row r="67" spans="1:8" ht="14.1" customHeight="1" x14ac:dyDescent="0.2">
      <c r="A67" s="1"/>
      <c r="B67" s="1"/>
      <c r="C67" s="11"/>
      <c r="D67" s="1"/>
      <c r="E67" s="1"/>
      <c r="F67" s="12"/>
      <c r="G67" s="12"/>
      <c r="H67" s="49"/>
    </row>
    <row r="68" spans="1:8" ht="14.1" customHeight="1" x14ac:dyDescent="0.2">
      <c r="A68" s="1"/>
      <c r="B68" s="1"/>
      <c r="C68" s="2" t="s">
        <v>134</v>
      </c>
      <c r="D68" s="1"/>
      <c r="E68" s="1"/>
      <c r="F68" s="1"/>
      <c r="G68" s="1"/>
      <c r="H68" s="49"/>
    </row>
    <row r="69" spans="1:8" ht="14.1" customHeight="1" x14ac:dyDescent="0.2">
      <c r="A69" s="1"/>
      <c r="B69" s="1"/>
      <c r="C69" s="2" t="s">
        <v>130</v>
      </c>
      <c r="D69" s="1"/>
      <c r="E69" s="1" t="s">
        <v>131</v>
      </c>
      <c r="F69" s="13">
        <v>0</v>
      </c>
      <c r="G69" s="14">
        <v>0</v>
      </c>
      <c r="H69" s="49"/>
    </row>
    <row r="70" spans="1:8" ht="14.1" customHeight="1" x14ac:dyDescent="0.2">
      <c r="A70" s="1"/>
      <c r="B70" s="1"/>
      <c r="C70" s="11"/>
      <c r="D70" s="1"/>
      <c r="E70" s="1"/>
      <c r="F70" s="12"/>
      <c r="G70" s="12"/>
      <c r="H70" s="49"/>
    </row>
    <row r="71" spans="1:8" ht="14.1" customHeight="1" x14ac:dyDescent="0.2">
      <c r="A71" s="1"/>
      <c r="B71" s="1"/>
      <c r="C71" s="2" t="s">
        <v>135</v>
      </c>
      <c r="D71" s="1"/>
      <c r="E71" s="1"/>
      <c r="F71" s="12"/>
      <c r="G71" s="12"/>
      <c r="H71" s="49"/>
    </row>
    <row r="72" spans="1:8" ht="14.1" customHeight="1" x14ac:dyDescent="0.2">
      <c r="A72" s="1"/>
      <c r="B72" s="1"/>
      <c r="C72" s="2" t="s">
        <v>130</v>
      </c>
      <c r="D72" s="1"/>
      <c r="E72" s="1" t="s">
        <v>131</v>
      </c>
      <c r="F72" s="13">
        <v>0</v>
      </c>
      <c r="G72" s="14">
        <v>0</v>
      </c>
      <c r="H72" s="49"/>
    </row>
    <row r="73" spans="1:8" ht="14.1" customHeight="1" x14ac:dyDescent="0.2">
      <c r="A73" s="1"/>
      <c r="B73" s="1"/>
      <c r="C73" s="11"/>
      <c r="D73" s="1"/>
      <c r="E73" s="1"/>
      <c r="F73" s="12"/>
      <c r="G73" s="12"/>
      <c r="H73" s="49"/>
    </row>
    <row r="74" spans="1:8" ht="14.1" customHeight="1" x14ac:dyDescent="0.2">
      <c r="A74" s="1"/>
      <c r="B74" s="1"/>
      <c r="C74" s="2" t="s">
        <v>136</v>
      </c>
      <c r="D74" s="1"/>
      <c r="E74" s="1"/>
      <c r="F74" s="12"/>
      <c r="G74" s="12"/>
      <c r="H74" s="49"/>
    </row>
    <row r="75" spans="1:8" ht="14.1" customHeight="1" x14ac:dyDescent="0.2">
      <c r="A75" s="1"/>
      <c r="B75" s="1"/>
      <c r="C75" s="2" t="s">
        <v>130</v>
      </c>
      <c r="D75" s="1"/>
      <c r="E75" s="1" t="s">
        <v>131</v>
      </c>
      <c r="F75" s="13">
        <v>0</v>
      </c>
      <c r="G75" s="14">
        <v>0</v>
      </c>
      <c r="H75" s="49"/>
    </row>
    <row r="76" spans="1:8" ht="14.1" customHeight="1" x14ac:dyDescent="0.2">
      <c r="A76" s="1"/>
      <c r="B76" s="1"/>
      <c r="C76" s="11"/>
      <c r="D76" s="1"/>
      <c r="E76" s="1"/>
      <c r="F76" s="12"/>
      <c r="G76" s="12"/>
      <c r="H76" s="49"/>
    </row>
    <row r="77" spans="1:8" ht="18" customHeight="1" x14ac:dyDescent="0.2">
      <c r="A77" s="1"/>
      <c r="B77" s="1"/>
      <c r="C77" s="2" t="s">
        <v>137</v>
      </c>
      <c r="D77" s="1"/>
      <c r="E77" s="1"/>
      <c r="F77" s="9">
        <v>3252.3186740000001</v>
      </c>
      <c r="G77" s="10">
        <v>0.94418794699999997</v>
      </c>
      <c r="H77" s="49"/>
    </row>
    <row r="78" spans="1:8" ht="14.1" customHeight="1" x14ac:dyDescent="0.2">
      <c r="A78" s="1"/>
      <c r="B78" s="1"/>
      <c r="C78" s="11"/>
      <c r="D78" s="1"/>
      <c r="E78" s="1"/>
      <c r="F78" s="12"/>
      <c r="G78" s="12"/>
      <c r="H78" s="49"/>
    </row>
    <row r="79" spans="1:8" ht="14.1" customHeight="1" x14ac:dyDescent="0.2">
      <c r="A79" s="1"/>
      <c r="B79" s="1"/>
      <c r="C79" s="2" t="s">
        <v>138</v>
      </c>
      <c r="D79" s="1"/>
      <c r="E79" s="1"/>
      <c r="F79" s="12"/>
      <c r="G79" s="12"/>
      <c r="H79" s="49"/>
    </row>
    <row r="80" spans="1:8" ht="24" customHeight="1" x14ac:dyDescent="0.2">
      <c r="A80" s="1"/>
      <c r="B80" s="1"/>
      <c r="C80" s="2" t="s">
        <v>10</v>
      </c>
      <c r="D80" s="1"/>
      <c r="E80" s="1"/>
      <c r="F80" s="12"/>
      <c r="G80" s="12"/>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139</v>
      </c>
      <c r="D83" s="1"/>
      <c r="E83" s="1"/>
      <c r="F83" s="1"/>
      <c r="G83" s="1"/>
      <c r="H83" s="49"/>
    </row>
    <row r="84" spans="1:8" ht="14.1" customHeight="1" x14ac:dyDescent="0.2">
      <c r="A84" s="1"/>
      <c r="B84" s="1"/>
      <c r="C84" s="2" t="s">
        <v>130</v>
      </c>
      <c r="D84" s="1"/>
      <c r="E84" s="1" t="s">
        <v>131</v>
      </c>
      <c r="F84" s="13">
        <v>0</v>
      </c>
      <c r="G84" s="14">
        <v>0</v>
      </c>
      <c r="H84" s="49"/>
    </row>
    <row r="85" spans="1:8" ht="14.1" customHeight="1" x14ac:dyDescent="0.2">
      <c r="A85" s="1"/>
      <c r="B85" s="1"/>
      <c r="C85" s="11"/>
      <c r="D85" s="1"/>
      <c r="E85" s="1"/>
      <c r="F85" s="12"/>
      <c r="G85" s="12"/>
      <c r="H85" s="49"/>
    </row>
    <row r="86" spans="1:8" ht="14.1" customHeight="1" x14ac:dyDescent="0.2">
      <c r="A86" s="1"/>
      <c r="B86" s="1"/>
      <c r="C86" s="2" t="s">
        <v>140</v>
      </c>
      <c r="D86" s="1"/>
      <c r="E86" s="1"/>
      <c r="F86" s="1"/>
      <c r="G86" s="1"/>
      <c r="H86" s="49"/>
    </row>
    <row r="87" spans="1:8" ht="14.1" customHeight="1" x14ac:dyDescent="0.2">
      <c r="A87" s="1"/>
      <c r="B87" s="1"/>
      <c r="C87" s="2" t="s">
        <v>130</v>
      </c>
      <c r="D87" s="1"/>
      <c r="E87" s="1" t="s">
        <v>131</v>
      </c>
      <c r="F87" s="13">
        <v>0</v>
      </c>
      <c r="G87" s="14">
        <v>0</v>
      </c>
      <c r="H87" s="49"/>
    </row>
    <row r="88" spans="1:8" ht="14.1" customHeight="1" x14ac:dyDescent="0.2">
      <c r="A88" s="1"/>
      <c r="B88" s="1"/>
      <c r="C88" s="11"/>
      <c r="D88" s="1"/>
      <c r="E88" s="1"/>
      <c r="F88" s="12"/>
      <c r="G88" s="12"/>
      <c r="H88" s="49"/>
    </row>
    <row r="89" spans="1:8" ht="14.1" customHeight="1" x14ac:dyDescent="0.2">
      <c r="A89" s="1"/>
      <c r="B89" s="1"/>
      <c r="C89" s="2" t="s">
        <v>141</v>
      </c>
      <c r="D89" s="1"/>
      <c r="E89" s="1"/>
      <c r="F89" s="12"/>
      <c r="G89" s="12"/>
      <c r="H89" s="49"/>
    </row>
    <row r="90" spans="1:8" ht="14.1" customHeight="1" x14ac:dyDescent="0.2">
      <c r="A90" s="1"/>
      <c r="B90" s="1"/>
      <c r="C90" s="2" t="s">
        <v>130</v>
      </c>
      <c r="D90" s="1"/>
      <c r="E90" s="1" t="s">
        <v>131</v>
      </c>
      <c r="F90" s="13">
        <v>0</v>
      </c>
      <c r="G90" s="14">
        <v>0</v>
      </c>
      <c r="H90" s="49"/>
    </row>
    <row r="91" spans="1:8" ht="14.1" customHeight="1" x14ac:dyDescent="0.2">
      <c r="A91" s="1"/>
      <c r="B91" s="1"/>
      <c r="C91" s="11"/>
      <c r="D91" s="1"/>
      <c r="E91" s="1"/>
      <c r="F91" s="12"/>
      <c r="G91" s="12"/>
      <c r="H91" s="49"/>
    </row>
    <row r="92" spans="1:8" ht="14.1" customHeight="1" x14ac:dyDescent="0.2">
      <c r="A92" s="1"/>
      <c r="B92" s="1"/>
      <c r="C92" s="2" t="s">
        <v>142</v>
      </c>
      <c r="D92" s="1"/>
      <c r="E92" s="1"/>
      <c r="F92" s="9">
        <v>0</v>
      </c>
      <c r="G92" s="10">
        <v>0</v>
      </c>
      <c r="H92" s="49"/>
    </row>
    <row r="93" spans="1:8" ht="14.1" customHeight="1" x14ac:dyDescent="0.2">
      <c r="A93" s="1"/>
      <c r="B93" s="1"/>
      <c r="C93" s="11"/>
      <c r="D93" s="1"/>
      <c r="E93" s="1"/>
      <c r="F93" s="12"/>
      <c r="G93" s="12"/>
      <c r="H93" s="49"/>
    </row>
    <row r="94" spans="1:8" ht="14.1" customHeight="1" x14ac:dyDescent="0.2">
      <c r="A94" s="1"/>
      <c r="B94" s="1"/>
      <c r="C94" s="2" t="s">
        <v>143</v>
      </c>
      <c r="D94" s="1"/>
      <c r="E94" s="1"/>
      <c r="F94" s="12"/>
      <c r="G94" s="12"/>
      <c r="H94" s="49"/>
    </row>
    <row r="95" spans="1:8" ht="14.1" customHeight="1" x14ac:dyDescent="0.2">
      <c r="A95" s="1"/>
      <c r="B95" s="1"/>
      <c r="C95" s="2" t="s">
        <v>144</v>
      </c>
      <c r="D95" s="1"/>
      <c r="E95" s="1"/>
      <c r="F95" s="12"/>
      <c r="G95" s="12"/>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145</v>
      </c>
      <c r="D98" s="1"/>
      <c r="E98" s="1"/>
      <c r="F98" s="12"/>
      <c r="G98" s="12"/>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2" t="s">
        <v>146</v>
      </c>
      <c r="D101" s="1"/>
      <c r="E101" s="1"/>
      <c r="F101" s="12"/>
      <c r="G101" s="12"/>
      <c r="H101" s="49"/>
    </row>
    <row r="102" spans="1:8" ht="14.1" customHeight="1" x14ac:dyDescent="0.2">
      <c r="A102" s="1"/>
      <c r="B102" s="1"/>
      <c r="C102" s="2" t="s">
        <v>130</v>
      </c>
      <c r="D102" s="1"/>
      <c r="E102" s="1" t="s">
        <v>131</v>
      </c>
      <c r="F102" s="13">
        <v>0</v>
      </c>
      <c r="G102" s="14">
        <v>0</v>
      </c>
      <c r="H102" s="49"/>
    </row>
    <row r="103" spans="1:8" ht="14.1" customHeight="1" x14ac:dyDescent="0.2">
      <c r="A103" s="1"/>
      <c r="B103" s="1"/>
      <c r="C103" s="11"/>
      <c r="D103" s="1"/>
      <c r="E103" s="1"/>
      <c r="F103" s="12"/>
      <c r="G103" s="12"/>
      <c r="H103" s="49"/>
    </row>
    <row r="104" spans="1:8" ht="14.1" customHeight="1" x14ac:dyDescent="0.2">
      <c r="A104" s="1"/>
      <c r="B104" s="1"/>
      <c r="C104" s="2" t="s">
        <v>147</v>
      </c>
      <c r="D104" s="1"/>
      <c r="E104" s="1"/>
      <c r="F104" s="12"/>
      <c r="G104" s="12"/>
      <c r="H104" s="49"/>
    </row>
    <row r="105" spans="1:8" ht="17.100000000000001" customHeight="1" x14ac:dyDescent="0.2">
      <c r="A105" s="3">
        <v>1</v>
      </c>
      <c r="B105" s="4"/>
      <c r="C105" s="4" t="s">
        <v>148</v>
      </c>
      <c r="D105" s="4"/>
      <c r="E105" s="8"/>
      <c r="F105" s="6">
        <v>192.7674227</v>
      </c>
      <c r="G105" s="7">
        <v>5.5962744000000002E-2</v>
      </c>
      <c r="H105" s="49">
        <v>5.6572293145372496</v>
      </c>
    </row>
    <row r="106" spans="1:8" ht="14.1" customHeight="1" x14ac:dyDescent="0.2">
      <c r="A106" s="1"/>
      <c r="B106" s="1"/>
      <c r="C106" s="2" t="s">
        <v>130</v>
      </c>
      <c r="D106" s="1"/>
      <c r="E106" s="1" t="s">
        <v>131</v>
      </c>
      <c r="F106" s="9">
        <v>192.7674227</v>
      </c>
      <c r="G106" s="10">
        <v>5.5962744000000002E-2</v>
      </c>
      <c r="H106" s="49"/>
    </row>
    <row r="107" spans="1:8" ht="14.1" customHeight="1" x14ac:dyDescent="0.2">
      <c r="A107" s="1"/>
      <c r="B107" s="1"/>
      <c r="C107" s="11"/>
      <c r="D107" s="1"/>
      <c r="E107" s="1"/>
      <c r="F107" s="12"/>
      <c r="G107" s="12"/>
      <c r="H107" s="49"/>
    </row>
    <row r="108" spans="1:8" ht="14.1" customHeight="1" x14ac:dyDescent="0.2">
      <c r="A108" s="1"/>
      <c r="B108" s="1"/>
      <c r="C108" s="2" t="s">
        <v>149</v>
      </c>
      <c r="D108" s="1"/>
      <c r="E108" s="1"/>
      <c r="F108" s="9">
        <v>192.7674227</v>
      </c>
      <c r="G108" s="10">
        <v>5.5962744000000002E-2</v>
      </c>
      <c r="H108" s="49"/>
    </row>
    <row r="109" spans="1:8" ht="14.1" customHeight="1" x14ac:dyDescent="0.2">
      <c r="A109" s="1"/>
      <c r="B109" s="1"/>
      <c r="C109" s="12"/>
      <c r="D109" s="1"/>
      <c r="E109" s="1"/>
      <c r="F109" s="1"/>
      <c r="G109" s="1"/>
      <c r="H109" s="49"/>
    </row>
    <row r="110" spans="1:8" ht="14.1" customHeight="1" x14ac:dyDescent="0.2">
      <c r="A110" s="1"/>
      <c r="B110" s="1"/>
      <c r="C110" s="2" t="s">
        <v>150</v>
      </c>
      <c r="D110" s="1"/>
      <c r="E110" s="1"/>
      <c r="F110" s="1"/>
      <c r="G110" s="1"/>
      <c r="H110" s="49"/>
    </row>
    <row r="111" spans="1:8" ht="14.1" customHeight="1" x14ac:dyDescent="0.2">
      <c r="A111" s="1"/>
      <c r="B111" s="1"/>
      <c r="C111" s="2" t="s">
        <v>151</v>
      </c>
      <c r="D111" s="1"/>
      <c r="E111" s="1"/>
      <c r="F111" s="1"/>
      <c r="G111" s="1"/>
      <c r="H111" s="49"/>
    </row>
    <row r="112" spans="1:8" ht="14.1" customHeight="1" x14ac:dyDescent="0.2">
      <c r="A112" s="1"/>
      <c r="B112" s="1"/>
      <c r="C112" s="2" t="s">
        <v>130</v>
      </c>
      <c r="D112" s="1"/>
      <c r="E112" s="1" t="s">
        <v>131</v>
      </c>
      <c r="F112" s="13">
        <v>0</v>
      </c>
      <c r="G112" s="14">
        <v>0</v>
      </c>
      <c r="H112" s="49"/>
    </row>
    <row r="113" spans="1:8" ht="14.1" customHeight="1" x14ac:dyDescent="0.2">
      <c r="A113" s="1"/>
      <c r="B113" s="1"/>
      <c r="C113" s="11"/>
      <c r="D113" s="1"/>
      <c r="E113" s="1"/>
      <c r="F113" s="12"/>
      <c r="G113" s="12"/>
      <c r="H113" s="49"/>
    </row>
    <row r="114" spans="1:8" ht="14.1" customHeight="1" x14ac:dyDescent="0.2">
      <c r="A114" s="1"/>
      <c r="B114" s="1"/>
      <c r="C114" s="2" t="s">
        <v>152</v>
      </c>
      <c r="D114" s="1"/>
      <c r="E114" s="1"/>
      <c r="F114" s="1"/>
      <c r="G114" s="1"/>
      <c r="H114" s="49"/>
    </row>
    <row r="115" spans="1:8" ht="14.1" customHeight="1" x14ac:dyDescent="0.2">
      <c r="A115" s="1"/>
      <c r="B115" s="1"/>
      <c r="C115" s="2" t="s">
        <v>153</v>
      </c>
      <c r="D115" s="1"/>
      <c r="E115" s="1"/>
      <c r="F115" s="1"/>
      <c r="G115" s="1"/>
      <c r="H115" s="49"/>
    </row>
    <row r="116" spans="1:8" ht="14.1" customHeight="1" x14ac:dyDescent="0.2">
      <c r="A116" s="1"/>
      <c r="B116" s="1"/>
      <c r="C116" s="2" t="s">
        <v>130</v>
      </c>
      <c r="D116" s="1"/>
      <c r="E116" s="1" t="s">
        <v>131</v>
      </c>
      <c r="F116" s="13">
        <v>0</v>
      </c>
      <c r="G116" s="14">
        <v>0</v>
      </c>
      <c r="H116" s="49"/>
    </row>
    <row r="117" spans="1:8" ht="14.1" customHeight="1" x14ac:dyDescent="0.2">
      <c r="A117" s="1"/>
      <c r="B117" s="1"/>
      <c r="C117" s="11"/>
      <c r="D117" s="1"/>
      <c r="E117" s="1"/>
      <c r="F117" s="12"/>
      <c r="G117" s="12"/>
      <c r="H117" s="49"/>
    </row>
    <row r="118" spans="1:8" ht="14.1" customHeight="1" x14ac:dyDescent="0.2">
      <c r="A118" s="1"/>
      <c r="B118" s="1"/>
      <c r="C118" s="11"/>
      <c r="D118" s="1"/>
      <c r="E118" s="1"/>
      <c r="F118" s="12"/>
      <c r="G118" s="12"/>
      <c r="H118" s="49"/>
    </row>
    <row r="119" spans="1:8" ht="24" customHeight="1" x14ac:dyDescent="0.2">
      <c r="A119" s="1"/>
      <c r="B119" s="1"/>
      <c r="C119" s="2" t="s">
        <v>154</v>
      </c>
      <c r="D119" s="1"/>
      <c r="E119" s="1"/>
      <c r="F119" s="12"/>
      <c r="G119" s="12"/>
      <c r="H119" s="49"/>
    </row>
    <row r="120" spans="1:8" ht="14.1" customHeight="1" x14ac:dyDescent="0.2">
      <c r="A120" s="1"/>
      <c r="B120" s="1"/>
      <c r="C120" s="2" t="s">
        <v>130</v>
      </c>
      <c r="D120" s="1"/>
      <c r="E120" s="1" t="s">
        <v>131</v>
      </c>
      <c r="F120" s="13">
        <v>0</v>
      </c>
      <c r="G120" s="14">
        <v>0</v>
      </c>
      <c r="H120" s="49"/>
    </row>
    <row r="121" spans="1:8" ht="14.1" customHeight="1" x14ac:dyDescent="0.2">
      <c r="A121" s="1"/>
      <c r="B121" s="1"/>
      <c r="C121" s="11"/>
      <c r="D121" s="1"/>
      <c r="E121" s="1"/>
      <c r="F121" s="12"/>
      <c r="G121" s="12"/>
      <c r="H121" s="49"/>
    </row>
    <row r="122" spans="1:8" ht="14.1" customHeight="1" x14ac:dyDescent="0.2">
      <c r="A122" s="1"/>
      <c r="B122" s="4"/>
      <c r="C122" s="4"/>
      <c r="D122" s="2"/>
      <c r="E122" s="1"/>
      <c r="F122" s="4"/>
      <c r="G122" s="8"/>
      <c r="H122" s="49"/>
    </row>
    <row r="123" spans="1:8" ht="18" customHeight="1" x14ac:dyDescent="0.2">
      <c r="A123" s="8"/>
      <c r="B123" s="4"/>
      <c r="C123" s="4" t="s">
        <v>155</v>
      </c>
      <c r="D123" s="4"/>
      <c r="E123" s="8"/>
      <c r="F123" s="6">
        <v>-0.5190652</v>
      </c>
      <c r="G123" s="7">
        <v>-1.50691E-4</v>
      </c>
      <c r="H123" s="49"/>
    </row>
    <row r="124" spans="1:8" ht="14.1" customHeight="1" x14ac:dyDescent="0.2">
      <c r="A124" s="11"/>
      <c r="B124" s="11"/>
      <c r="C124" s="2" t="s">
        <v>156</v>
      </c>
      <c r="D124" s="15"/>
      <c r="E124" s="15"/>
      <c r="F124" s="9">
        <v>3444.5670315000002</v>
      </c>
      <c r="G124" s="10">
        <v>1</v>
      </c>
      <c r="H124" s="49"/>
    </row>
    <row r="125" spans="1:8" ht="14.1" customHeight="1" x14ac:dyDescent="0.2">
      <c r="A125" s="16"/>
      <c r="B125" s="16"/>
      <c r="C125" s="16"/>
      <c r="D125" s="17"/>
      <c r="E125" s="17"/>
      <c r="F125" s="17"/>
      <c r="G125" s="17"/>
    </row>
    <row r="126" spans="1:8" ht="14.1" customHeight="1" x14ac:dyDescent="0.2">
      <c r="A126" s="18"/>
      <c r="B126" s="18"/>
      <c r="C126" s="18"/>
      <c r="D126" s="20"/>
      <c r="E126" s="20"/>
      <c r="F126" s="20"/>
      <c r="G126" s="20"/>
    </row>
    <row r="127" spans="1:8" ht="14.1" customHeight="1" x14ac:dyDescent="0.2">
      <c r="A127" s="18"/>
      <c r="B127" s="319" t="s">
        <v>158</v>
      </c>
      <c r="C127" s="320"/>
      <c r="D127" s="12" t="s">
        <v>131</v>
      </c>
      <c r="E127" s="21"/>
      <c r="F127" s="20"/>
      <c r="G127" s="20"/>
    </row>
    <row r="128" spans="1:8" ht="29.1" customHeight="1" x14ac:dyDescent="0.2">
      <c r="A128" s="18"/>
      <c r="B128" s="323" t="s">
        <v>159</v>
      </c>
      <c r="C128" s="324"/>
      <c r="D128" s="2" t="s">
        <v>160</v>
      </c>
      <c r="E128" s="21"/>
      <c r="F128" s="20"/>
      <c r="G128" s="20"/>
    </row>
    <row r="129" spans="1:7" ht="17.100000000000001" customHeight="1" x14ac:dyDescent="0.2">
      <c r="A129" s="18"/>
      <c r="B129" s="323" t="s">
        <v>161</v>
      </c>
      <c r="C129" s="324"/>
      <c r="D129" s="2" t="s">
        <v>160</v>
      </c>
      <c r="E129" s="21"/>
      <c r="F129" s="20"/>
      <c r="G129" s="20"/>
    </row>
    <row r="130" spans="1:7" ht="17.100000000000001" customHeight="1" x14ac:dyDescent="0.2">
      <c r="A130" s="18"/>
      <c r="B130" s="323" t="s">
        <v>162</v>
      </c>
      <c r="C130" s="324"/>
      <c r="D130" s="12" t="s">
        <v>131</v>
      </c>
      <c r="E130" s="21"/>
      <c r="F130" s="20"/>
      <c r="G130" s="20"/>
    </row>
    <row r="131" spans="1:7" ht="24" customHeight="1" x14ac:dyDescent="0.2">
      <c r="A131" s="22"/>
      <c r="B131" s="23" t="s">
        <v>131</v>
      </c>
      <c r="C131" s="23" t="s">
        <v>163</v>
      </c>
      <c r="D131" s="23" t="s">
        <v>164</v>
      </c>
      <c r="E131" s="22"/>
      <c r="F131" s="22"/>
      <c r="G131" s="22"/>
    </row>
    <row r="132" spans="1:7" ht="18" customHeight="1" x14ac:dyDescent="0.2">
      <c r="A132" s="22"/>
      <c r="B132" s="23" t="s">
        <v>165</v>
      </c>
      <c r="C132" s="23" t="s">
        <v>166</v>
      </c>
      <c r="D132" s="23" t="s">
        <v>167</v>
      </c>
      <c r="E132" s="22"/>
      <c r="F132" s="22"/>
      <c r="G132" s="22"/>
    </row>
    <row r="133" spans="1:7" ht="17.100000000000001" customHeight="1" x14ac:dyDescent="0.2">
      <c r="A133" s="22"/>
      <c r="B133" s="4" t="s">
        <v>168</v>
      </c>
      <c r="C133" s="24">
        <v>16.637899999999998</v>
      </c>
      <c r="D133" s="24">
        <v>16.785699999999999</v>
      </c>
      <c r="E133" s="22"/>
      <c r="F133" s="19"/>
      <c r="G133" s="25"/>
    </row>
    <row r="134" spans="1:7" ht="17.100000000000001" customHeight="1" x14ac:dyDescent="0.2">
      <c r="A134" s="22"/>
      <c r="B134" s="4" t="s">
        <v>1021</v>
      </c>
      <c r="C134" s="24">
        <v>16.637899999999998</v>
      </c>
      <c r="D134" s="24">
        <v>16.785599999999999</v>
      </c>
      <c r="E134" s="22"/>
      <c r="F134" s="19"/>
      <c r="G134" s="25"/>
    </row>
    <row r="135" spans="1:7" ht="17.100000000000001" customHeight="1" x14ac:dyDescent="0.2">
      <c r="A135" s="22"/>
      <c r="B135" s="4" t="s">
        <v>169</v>
      </c>
      <c r="C135" s="24">
        <v>15.9815</v>
      </c>
      <c r="D135" s="24">
        <v>16.121099999999998</v>
      </c>
      <c r="E135" s="22"/>
      <c r="F135" s="19"/>
      <c r="G135" s="25"/>
    </row>
    <row r="136" spans="1:7" ht="17.100000000000001" customHeight="1" x14ac:dyDescent="0.2">
      <c r="A136" s="22"/>
      <c r="B136" s="4" t="s">
        <v>1022</v>
      </c>
      <c r="C136" s="24">
        <v>15.9815</v>
      </c>
      <c r="D136" s="24">
        <v>16.120999999999999</v>
      </c>
      <c r="E136" s="22"/>
      <c r="F136" s="19"/>
      <c r="G136" s="25"/>
    </row>
    <row r="137" spans="1:7" ht="14.1" customHeight="1" x14ac:dyDescent="0.2">
      <c r="A137" s="22"/>
      <c r="B137" s="22"/>
      <c r="C137" s="22"/>
      <c r="D137" s="22"/>
      <c r="E137" s="22"/>
      <c r="F137" s="22"/>
      <c r="G137" s="22"/>
    </row>
    <row r="138" spans="1:7" ht="17.100000000000001" customHeight="1" x14ac:dyDescent="0.2">
      <c r="A138" s="22"/>
      <c r="B138" s="323" t="s">
        <v>1023</v>
      </c>
      <c r="C138" s="324"/>
      <c r="D138" s="57" t="s">
        <v>160</v>
      </c>
      <c r="E138" s="22"/>
      <c r="F138" s="22"/>
      <c r="G138" s="22"/>
    </row>
    <row r="139" spans="1:7" ht="18" customHeight="1" x14ac:dyDescent="0.2">
      <c r="A139" s="22"/>
      <c r="B139" s="28"/>
      <c r="C139" s="28"/>
      <c r="D139" s="26"/>
      <c r="E139" s="22"/>
      <c r="F139" s="22"/>
      <c r="G139" s="22"/>
    </row>
    <row r="140" spans="1:7" ht="29.1" customHeight="1" x14ac:dyDescent="0.2">
      <c r="A140" s="22"/>
      <c r="B140" s="323" t="s">
        <v>170</v>
      </c>
      <c r="C140" s="324"/>
      <c r="D140" s="2" t="s">
        <v>160</v>
      </c>
      <c r="E140" s="22"/>
      <c r="F140" s="22"/>
      <c r="G140" s="22"/>
    </row>
    <row r="141" spans="1:7" ht="29.1" customHeight="1" x14ac:dyDescent="0.2">
      <c r="A141" s="22"/>
      <c r="B141" s="323" t="s">
        <v>171</v>
      </c>
      <c r="C141" s="324"/>
      <c r="D141" s="2" t="s">
        <v>160</v>
      </c>
      <c r="E141" s="22"/>
      <c r="F141" s="22"/>
      <c r="G141" s="22"/>
    </row>
    <row r="142" spans="1:7" ht="17.100000000000001" customHeight="1" x14ac:dyDescent="0.2">
      <c r="A142" s="22"/>
      <c r="B142" s="323" t="s">
        <v>172</v>
      </c>
      <c r="C142" s="324"/>
      <c r="D142" s="27">
        <v>0.12440779719121789</v>
      </c>
      <c r="E142" s="22"/>
      <c r="F142" s="19"/>
      <c r="G142" s="25"/>
    </row>
    <row r="143" spans="1:7" ht="17.100000000000001" customHeight="1" x14ac:dyDescent="0.2">
      <c r="A143" s="22"/>
      <c r="B143" s="323" t="s">
        <v>173</v>
      </c>
      <c r="C143" s="324"/>
      <c r="D143" s="2" t="s">
        <v>160</v>
      </c>
      <c r="E143" s="22"/>
      <c r="F143" s="22"/>
      <c r="G143" s="22"/>
    </row>
    <row r="158" spans="10:14" x14ac:dyDescent="0.2">
      <c r="J158" s="218"/>
      <c r="K158" s="218"/>
      <c r="L158" s="218"/>
      <c r="M158" s="218"/>
      <c r="N158" s="218"/>
    </row>
  </sheetData>
  <mergeCells count="13">
    <mergeCell ref="J2:N2"/>
    <mergeCell ref="B143:C143"/>
    <mergeCell ref="B128:C128"/>
    <mergeCell ref="B129:C129"/>
    <mergeCell ref="B130:C130"/>
    <mergeCell ref="B138:C138"/>
    <mergeCell ref="B140:C140"/>
    <mergeCell ref="B141:C141"/>
    <mergeCell ref="A1:H1"/>
    <mergeCell ref="A2:H2"/>
    <mergeCell ref="A3:H3"/>
    <mergeCell ref="B127:C127"/>
    <mergeCell ref="B142:C142"/>
  </mergeCells>
  <hyperlinks>
    <hyperlink ref="I1" location="Index!B21" display="Index" xr:uid="{923A3435-9E6E-4070-8505-9A800317812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O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495</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29</v>
      </c>
      <c r="C7" s="4" t="s">
        <v>30</v>
      </c>
      <c r="D7" s="4" t="s">
        <v>31</v>
      </c>
      <c r="E7" s="5">
        <v>362000</v>
      </c>
      <c r="F7" s="6">
        <v>7327.9660000000003</v>
      </c>
      <c r="G7" s="7">
        <v>3.5376018000000002E-2</v>
      </c>
      <c r="H7" s="49"/>
    </row>
    <row r="8" spans="1:15" ht="17.100000000000001" customHeight="1" x14ac:dyDescent="0.2">
      <c r="A8" s="3">
        <v>2</v>
      </c>
      <c r="B8" s="4" t="s">
        <v>417</v>
      </c>
      <c r="C8" s="4" t="s">
        <v>418</v>
      </c>
      <c r="D8" s="4" t="s">
        <v>974</v>
      </c>
      <c r="E8" s="5">
        <v>1013693</v>
      </c>
      <c r="F8" s="6">
        <v>7246.3844104999998</v>
      </c>
      <c r="G8" s="7">
        <v>3.4982180000000002E-2</v>
      </c>
      <c r="H8" s="49"/>
    </row>
    <row r="9" spans="1:15" ht="17.100000000000001" customHeight="1" x14ac:dyDescent="0.2">
      <c r="A9" s="3">
        <v>3</v>
      </c>
      <c r="B9" s="4" t="s">
        <v>372</v>
      </c>
      <c r="C9" s="4" t="s">
        <v>373</v>
      </c>
      <c r="D9" s="4" t="s">
        <v>103</v>
      </c>
      <c r="E9" s="5">
        <v>1087000</v>
      </c>
      <c r="F9" s="6">
        <v>6011.6535000000003</v>
      </c>
      <c r="G9" s="7">
        <v>2.9021472E-2</v>
      </c>
      <c r="H9" s="49"/>
    </row>
    <row r="10" spans="1:15" ht="17.100000000000001" customHeight="1" x14ac:dyDescent="0.2">
      <c r="A10" s="3">
        <v>4</v>
      </c>
      <c r="B10" s="4" t="s">
        <v>423</v>
      </c>
      <c r="C10" s="4" t="s">
        <v>424</v>
      </c>
      <c r="D10" s="4" t="s">
        <v>233</v>
      </c>
      <c r="E10" s="5">
        <v>824354</v>
      </c>
      <c r="F10" s="6">
        <v>5975.7421459999996</v>
      </c>
      <c r="G10" s="7">
        <v>2.8848109E-2</v>
      </c>
      <c r="H10" s="49"/>
    </row>
    <row r="11" spans="1:15" ht="53.1" customHeight="1" x14ac:dyDescent="0.2">
      <c r="A11" s="3">
        <v>5</v>
      </c>
      <c r="B11" s="4" t="s">
        <v>49</v>
      </c>
      <c r="C11" s="4" t="s">
        <v>50</v>
      </c>
      <c r="D11" s="4" t="s">
        <v>51</v>
      </c>
      <c r="E11" s="5">
        <v>3440000</v>
      </c>
      <c r="F11" s="6">
        <v>5118.72</v>
      </c>
      <c r="G11" s="7">
        <v>2.4710803999999999E-2</v>
      </c>
      <c r="H11" s="49"/>
    </row>
    <row r="12" spans="1:15" ht="17.100000000000001" customHeight="1" x14ac:dyDescent="0.2">
      <c r="A12" s="3">
        <v>6</v>
      </c>
      <c r="B12" s="4" t="s">
        <v>496</v>
      </c>
      <c r="C12" s="4" t="s">
        <v>497</v>
      </c>
      <c r="D12" s="4" t="s">
        <v>179</v>
      </c>
      <c r="E12" s="5">
        <v>475000</v>
      </c>
      <c r="F12" s="6">
        <v>5031.9125000000004</v>
      </c>
      <c r="G12" s="7">
        <v>2.4291737000000001E-2</v>
      </c>
      <c r="H12" s="49"/>
      <c r="J12" s="217" t="s">
        <v>1081</v>
      </c>
    </row>
    <row r="13" spans="1:15" ht="17.100000000000001" customHeight="1" x14ac:dyDescent="0.2">
      <c r="A13" s="3">
        <v>7</v>
      </c>
      <c r="B13" s="4" t="s">
        <v>83</v>
      </c>
      <c r="C13" s="4" t="s">
        <v>84</v>
      </c>
      <c r="D13" s="4" t="s">
        <v>31</v>
      </c>
      <c r="E13" s="5">
        <v>327000</v>
      </c>
      <c r="F13" s="6">
        <v>4994.2709999999997</v>
      </c>
      <c r="G13" s="7">
        <v>2.4110021999999998E-2</v>
      </c>
      <c r="H13" s="49"/>
    </row>
    <row r="14" spans="1:15" ht="17.100000000000001" customHeight="1" x14ac:dyDescent="0.2">
      <c r="A14" s="3">
        <v>8</v>
      </c>
      <c r="B14" s="4" t="s">
        <v>340</v>
      </c>
      <c r="C14" s="4" t="s">
        <v>341</v>
      </c>
      <c r="D14" s="4" t="s">
        <v>16</v>
      </c>
      <c r="E14" s="5">
        <v>1508000</v>
      </c>
      <c r="F14" s="6">
        <v>4745.6760000000004</v>
      </c>
      <c r="G14" s="7">
        <v>2.290992E-2</v>
      </c>
      <c r="H14" s="49"/>
    </row>
    <row r="15" spans="1:15" ht="17.100000000000001" customHeight="1" x14ac:dyDescent="0.2">
      <c r="A15" s="3">
        <v>9</v>
      </c>
      <c r="B15" s="4" t="s">
        <v>14</v>
      </c>
      <c r="C15" s="4" t="s">
        <v>15</v>
      </c>
      <c r="D15" s="4" t="s">
        <v>16</v>
      </c>
      <c r="E15" s="5">
        <v>464000</v>
      </c>
      <c r="F15" s="6">
        <v>4421.4560000000001</v>
      </c>
      <c r="G15" s="7">
        <v>2.1344736999999999E-2</v>
      </c>
      <c r="H15" s="49"/>
    </row>
    <row r="16" spans="1:15" ht="17.100000000000001" customHeight="1" x14ac:dyDescent="0.2">
      <c r="A16" s="3">
        <v>10</v>
      </c>
      <c r="B16" s="4" t="s">
        <v>498</v>
      </c>
      <c r="C16" s="4" t="s">
        <v>499</v>
      </c>
      <c r="D16" s="4" t="s">
        <v>317</v>
      </c>
      <c r="E16" s="5">
        <v>90000</v>
      </c>
      <c r="F16" s="6">
        <v>3964.8150000000001</v>
      </c>
      <c r="G16" s="7">
        <v>1.9140285999999999E-2</v>
      </c>
      <c r="H16" s="49"/>
    </row>
    <row r="17" spans="1:10" ht="17.100000000000001" customHeight="1" x14ac:dyDescent="0.2">
      <c r="A17" s="3">
        <v>11</v>
      </c>
      <c r="B17" s="4" t="s">
        <v>404</v>
      </c>
      <c r="C17" s="4" t="s">
        <v>405</v>
      </c>
      <c r="D17" s="4" t="s">
        <v>317</v>
      </c>
      <c r="E17" s="5">
        <v>249000</v>
      </c>
      <c r="F17" s="6">
        <v>3890.2514999999999</v>
      </c>
      <c r="G17" s="7">
        <v>1.8780327999999999E-2</v>
      </c>
      <c r="H17" s="49"/>
    </row>
    <row r="18" spans="1:10" ht="17.100000000000001" customHeight="1" x14ac:dyDescent="0.2">
      <c r="A18" s="3">
        <v>12</v>
      </c>
      <c r="B18" s="4" t="s">
        <v>500</v>
      </c>
      <c r="C18" s="4" t="s">
        <v>501</v>
      </c>
      <c r="D18" s="4" t="s">
        <v>31</v>
      </c>
      <c r="E18" s="5">
        <v>511000</v>
      </c>
      <c r="F18" s="6">
        <v>3858.05</v>
      </c>
      <c r="G18" s="7">
        <v>1.8624874E-2</v>
      </c>
      <c r="H18" s="49"/>
    </row>
    <row r="19" spans="1:10" ht="17.100000000000001" customHeight="1" x14ac:dyDescent="0.2">
      <c r="A19" s="3">
        <v>13</v>
      </c>
      <c r="B19" s="4" t="s">
        <v>39</v>
      </c>
      <c r="C19" s="4" t="s">
        <v>40</v>
      </c>
      <c r="D19" s="4" t="s">
        <v>16</v>
      </c>
      <c r="E19" s="5">
        <v>618000</v>
      </c>
      <c r="F19" s="6">
        <v>3723.1410000000001</v>
      </c>
      <c r="G19" s="7">
        <v>1.7973596000000001E-2</v>
      </c>
      <c r="H19" s="49"/>
    </row>
    <row r="20" spans="1:10" ht="17.100000000000001" customHeight="1" x14ac:dyDescent="0.2">
      <c r="A20" s="3">
        <v>14</v>
      </c>
      <c r="B20" s="4" t="s">
        <v>502</v>
      </c>
      <c r="C20" s="4" t="s">
        <v>503</v>
      </c>
      <c r="D20" s="4" t="s">
        <v>317</v>
      </c>
      <c r="E20" s="5">
        <v>160000</v>
      </c>
      <c r="F20" s="6">
        <v>3678</v>
      </c>
      <c r="G20" s="7">
        <v>1.7755676000000001E-2</v>
      </c>
      <c r="H20" s="49"/>
    </row>
    <row r="21" spans="1:10" ht="17.100000000000001" customHeight="1" x14ac:dyDescent="0.2">
      <c r="A21" s="3">
        <v>15</v>
      </c>
      <c r="B21" s="4" t="s">
        <v>106</v>
      </c>
      <c r="C21" s="4" t="s">
        <v>107</v>
      </c>
      <c r="D21" s="4" t="s">
        <v>108</v>
      </c>
      <c r="E21" s="5">
        <v>950000</v>
      </c>
      <c r="F21" s="6">
        <v>3673.1750000000002</v>
      </c>
      <c r="G21" s="7">
        <v>1.7732384E-2</v>
      </c>
      <c r="H21" s="49"/>
    </row>
    <row r="22" spans="1:10" ht="29.1" customHeight="1" x14ac:dyDescent="0.2">
      <c r="A22" s="3">
        <v>16</v>
      </c>
      <c r="B22" s="4" t="s">
        <v>504</v>
      </c>
      <c r="C22" s="4" t="s">
        <v>505</v>
      </c>
      <c r="D22" s="4" t="s">
        <v>215</v>
      </c>
      <c r="E22" s="5">
        <v>504084</v>
      </c>
      <c r="F22" s="6">
        <v>3572.4433079999999</v>
      </c>
      <c r="G22" s="7">
        <v>1.7246098000000001E-2</v>
      </c>
      <c r="H22" s="49"/>
      <c r="J22" s="217" t="s">
        <v>1082</v>
      </c>
    </row>
    <row r="23" spans="1:10" ht="17.100000000000001" customHeight="1" x14ac:dyDescent="0.2">
      <c r="A23" s="3">
        <v>17</v>
      </c>
      <c r="B23" s="4" t="s">
        <v>98</v>
      </c>
      <c r="C23" s="4" t="s">
        <v>99</v>
      </c>
      <c r="D23" s="4" t="s">
        <v>100</v>
      </c>
      <c r="E23" s="5">
        <v>698780</v>
      </c>
      <c r="F23" s="6">
        <v>3397.8177500000002</v>
      </c>
      <c r="G23" s="7">
        <v>1.6403087E-2</v>
      </c>
      <c r="H23" s="49"/>
    </row>
    <row r="24" spans="1:10" ht="29.1" customHeight="1" x14ac:dyDescent="0.2">
      <c r="A24" s="3">
        <v>18</v>
      </c>
      <c r="B24" s="4" t="s">
        <v>506</v>
      </c>
      <c r="C24" s="4" t="s">
        <v>507</v>
      </c>
      <c r="D24" s="4" t="s">
        <v>193</v>
      </c>
      <c r="E24" s="5">
        <v>265529</v>
      </c>
      <c r="F24" s="6">
        <v>3394.7882650000001</v>
      </c>
      <c r="G24" s="7">
        <v>1.6388461999999999E-2</v>
      </c>
      <c r="H24" s="49"/>
    </row>
    <row r="25" spans="1:10" ht="17.100000000000001" customHeight="1" x14ac:dyDescent="0.2">
      <c r="A25" s="3">
        <v>19</v>
      </c>
      <c r="B25" s="4" t="s">
        <v>201</v>
      </c>
      <c r="C25" s="4" t="s">
        <v>202</v>
      </c>
      <c r="D25" s="4" t="s">
        <v>89</v>
      </c>
      <c r="E25" s="5">
        <v>120763</v>
      </c>
      <c r="F25" s="6">
        <v>3346.7654004999999</v>
      </c>
      <c r="G25" s="7">
        <v>1.6156630000000002E-2</v>
      </c>
      <c r="H25" s="49"/>
    </row>
    <row r="26" spans="1:10" ht="17.100000000000001" customHeight="1" x14ac:dyDescent="0.2">
      <c r="A26" s="3">
        <v>20</v>
      </c>
      <c r="B26" s="4" t="s">
        <v>398</v>
      </c>
      <c r="C26" s="4" t="s">
        <v>399</v>
      </c>
      <c r="D26" s="4" t="s">
        <v>108</v>
      </c>
      <c r="E26" s="5">
        <v>201924</v>
      </c>
      <c r="F26" s="6">
        <v>3295.39968</v>
      </c>
      <c r="G26" s="7">
        <v>1.5908660000000002E-2</v>
      </c>
      <c r="H26" s="49"/>
    </row>
    <row r="27" spans="1:10" ht="17.100000000000001" customHeight="1" x14ac:dyDescent="0.2">
      <c r="A27" s="3">
        <v>21</v>
      </c>
      <c r="B27" s="4" t="s">
        <v>508</v>
      </c>
      <c r="C27" s="4" t="s">
        <v>509</v>
      </c>
      <c r="D27" s="4" t="s">
        <v>317</v>
      </c>
      <c r="E27" s="5">
        <v>415235</v>
      </c>
      <c r="F27" s="6">
        <v>3243.6082025000001</v>
      </c>
      <c r="G27" s="7">
        <v>1.5658634000000001E-2</v>
      </c>
      <c r="H27" s="49"/>
    </row>
    <row r="28" spans="1:10" ht="17.100000000000001" customHeight="1" x14ac:dyDescent="0.2">
      <c r="A28" s="3">
        <v>22</v>
      </c>
      <c r="B28" s="4" t="s">
        <v>263</v>
      </c>
      <c r="C28" s="4" t="s">
        <v>264</v>
      </c>
      <c r="D28" s="4" t="s">
        <v>16</v>
      </c>
      <c r="E28" s="5">
        <v>200014</v>
      </c>
      <c r="F28" s="6">
        <v>3217.1251830000001</v>
      </c>
      <c r="G28" s="7">
        <v>1.5530787000000001E-2</v>
      </c>
      <c r="H28" s="49"/>
    </row>
    <row r="29" spans="1:10" ht="29.1" customHeight="1" x14ac:dyDescent="0.2">
      <c r="A29" s="3">
        <v>23</v>
      </c>
      <c r="B29" s="4" t="s">
        <v>436</v>
      </c>
      <c r="C29" s="4" t="s">
        <v>437</v>
      </c>
      <c r="D29" s="4" t="s">
        <v>215</v>
      </c>
      <c r="E29" s="5">
        <v>157039</v>
      </c>
      <c r="F29" s="6">
        <v>3169.3610979999999</v>
      </c>
      <c r="G29" s="7">
        <v>1.5300204E-2</v>
      </c>
      <c r="H29" s="49"/>
    </row>
    <row r="30" spans="1:10" ht="17.100000000000001" customHeight="1" x14ac:dyDescent="0.2">
      <c r="A30" s="3">
        <v>24</v>
      </c>
      <c r="B30" s="4" t="s">
        <v>449</v>
      </c>
      <c r="C30" s="4" t="s">
        <v>450</v>
      </c>
      <c r="D30" s="4" t="s">
        <v>1042</v>
      </c>
      <c r="E30" s="5">
        <v>372000</v>
      </c>
      <c r="F30" s="6">
        <v>3114.7559999999999</v>
      </c>
      <c r="G30" s="7">
        <v>1.5036595999999999E-2</v>
      </c>
      <c r="H30" s="49"/>
    </row>
    <row r="31" spans="1:10" ht="17.100000000000001" customHeight="1" x14ac:dyDescent="0.2">
      <c r="A31" s="3">
        <v>25</v>
      </c>
      <c r="B31" s="4" t="s">
        <v>383</v>
      </c>
      <c r="C31" s="4" t="s">
        <v>384</v>
      </c>
      <c r="D31" s="4" t="s">
        <v>31</v>
      </c>
      <c r="E31" s="5">
        <v>365000</v>
      </c>
      <c r="F31" s="6">
        <v>3114.18</v>
      </c>
      <c r="G31" s="7">
        <v>1.5033815000000001E-2</v>
      </c>
      <c r="H31" s="49"/>
    </row>
    <row r="32" spans="1:10" ht="53.1" customHeight="1" x14ac:dyDescent="0.2">
      <c r="A32" s="3">
        <v>26</v>
      </c>
      <c r="B32" s="4" t="s">
        <v>94</v>
      </c>
      <c r="C32" s="4" t="s">
        <v>95</v>
      </c>
      <c r="D32" s="4" t="s">
        <v>51</v>
      </c>
      <c r="E32" s="5">
        <v>208000</v>
      </c>
      <c r="F32" s="6">
        <v>3054.3760000000002</v>
      </c>
      <c r="G32" s="7">
        <v>1.4745108999999999E-2</v>
      </c>
      <c r="H32" s="49"/>
    </row>
    <row r="33" spans="1:8" ht="17.100000000000001" customHeight="1" x14ac:dyDescent="0.2">
      <c r="A33" s="3">
        <v>27</v>
      </c>
      <c r="B33" s="4" t="s">
        <v>73</v>
      </c>
      <c r="C33" s="4" t="s">
        <v>74</v>
      </c>
      <c r="D33" s="4" t="s">
        <v>38</v>
      </c>
      <c r="E33" s="5">
        <v>1058667</v>
      </c>
      <c r="F33" s="6">
        <v>3037.8449565000001</v>
      </c>
      <c r="G33" s="7">
        <v>1.4665305E-2</v>
      </c>
      <c r="H33" s="49"/>
    </row>
    <row r="34" spans="1:8" ht="17.100000000000001" customHeight="1" x14ac:dyDescent="0.2">
      <c r="A34" s="3">
        <v>28</v>
      </c>
      <c r="B34" s="4" t="s">
        <v>289</v>
      </c>
      <c r="C34" s="4" t="s">
        <v>290</v>
      </c>
      <c r="D34" s="4" t="s">
        <v>108</v>
      </c>
      <c r="E34" s="5">
        <v>70000</v>
      </c>
      <c r="F34" s="6">
        <v>2976.33</v>
      </c>
      <c r="G34" s="7">
        <v>1.4368339000000001E-2</v>
      </c>
      <c r="H34" s="49"/>
    </row>
    <row r="35" spans="1:8" ht="29.1" customHeight="1" x14ac:dyDescent="0.2">
      <c r="A35" s="3">
        <v>29</v>
      </c>
      <c r="B35" s="4" t="s">
        <v>197</v>
      </c>
      <c r="C35" s="4" t="s">
        <v>198</v>
      </c>
      <c r="D35" s="4" t="s">
        <v>193</v>
      </c>
      <c r="E35" s="5">
        <v>65000</v>
      </c>
      <c r="F35" s="6">
        <v>2822.5925000000002</v>
      </c>
      <c r="G35" s="7">
        <v>1.3626166E-2</v>
      </c>
      <c r="H35" s="49"/>
    </row>
    <row r="36" spans="1:8" ht="17.100000000000001" customHeight="1" x14ac:dyDescent="0.2">
      <c r="A36" s="3">
        <v>30</v>
      </c>
      <c r="B36" s="4" t="s">
        <v>510</v>
      </c>
      <c r="C36" s="4" t="s">
        <v>511</v>
      </c>
      <c r="D36" s="4" t="s">
        <v>974</v>
      </c>
      <c r="E36" s="5">
        <v>882816</v>
      </c>
      <c r="F36" s="6">
        <v>2694.7958400000002</v>
      </c>
      <c r="G36" s="7">
        <v>1.3009223E-2</v>
      </c>
      <c r="H36" s="49"/>
    </row>
    <row r="37" spans="1:8" ht="17.100000000000001" customHeight="1" x14ac:dyDescent="0.2">
      <c r="A37" s="3">
        <v>31</v>
      </c>
      <c r="B37" s="4" t="s">
        <v>512</v>
      </c>
      <c r="C37" s="39" t="s">
        <v>982</v>
      </c>
      <c r="D37" s="4" t="s">
        <v>72</v>
      </c>
      <c r="E37" s="5">
        <v>1138715</v>
      </c>
      <c r="F37" s="6">
        <v>2677.6883225000001</v>
      </c>
      <c r="G37" s="7">
        <v>1.2926636E-2</v>
      </c>
      <c r="H37" s="49"/>
    </row>
    <row r="38" spans="1:8" ht="17.100000000000001" customHeight="1" x14ac:dyDescent="0.2">
      <c r="A38" s="3">
        <v>32</v>
      </c>
      <c r="B38" s="4" t="s">
        <v>261</v>
      </c>
      <c r="C38" s="4" t="s">
        <v>262</v>
      </c>
      <c r="D38" s="4" t="s">
        <v>108</v>
      </c>
      <c r="E38" s="5">
        <v>314377</v>
      </c>
      <c r="F38" s="6">
        <v>2614.5163204999999</v>
      </c>
      <c r="G38" s="7">
        <v>1.2621670999999999E-2</v>
      </c>
      <c r="H38" s="49"/>
    </row>
    <row r="39" spans="1:8" ht="29.1" customHeight="1" x14ac:dyDescent="0.2">
      <c r="A39" s="3">
        <v>33</v>
      </c>
      <c r="B39" s="4" t="s">
        <v>513</v>
      </c>
      <c r="C39" s="4" t="s">
        <v>514</v>
      </c>
      <c r="D39" s="4" t="s">
        <v>215</v>
      </c>
      <c r="E39" s="5">
        <v>550000</v>
      </c>
      <c r="F39" s="6">
        <v>2556.6750000000002</v>
      </c>
      <c r="G39" s="7">
        <v>1.234244E-2</v>
      </c>
      <c r="H39" s="49"/>
    </row>
    <row r="40" spans="1:8" ht="17.100000000000001" customHeight="1" x14ac:dyDescent="0.2">
      <c r="A40" s="3">
        <v>34</v>
      </c>
      <c r="B40" s="4" t="s">
        <v>400</v>
      </c>
      <c r="C40" s="4" t="s">
        <v>401</v>
      </c>
      <c r="D40" s="4" t="s">
        <v>1042</v>
      </c>
      <c r="E40" s="5">
        <v>199000</v>
      </c>
      <c r="F40" s="6">
        <v>2495.6590000000001</v>
      </c>
      <c r="G40" s="7">
        <v>1.2047883000000001E-2</v>
      </c>
      <c r="H40" s="49"/>
    </row>
    <row r="41" spans="1:8" ht="17.100000000000001" customHeight="1" x14ac:dyDescent="0.2">
      <c r="A41" s="3">
        <v>35</v>
      </c>
      <c r="B41" s="4" t="s">
        <v>515</v>
      </c>
      <c r="C41" s="4" t="s">
        <v>516</v>
      </c>
      <c r="D41" s="4" t="s">
        <v>974</v>
      </c>
      <c r="E41" s="5">
        <v>206000</v>
      </c>
      <c r="F41" s="6">
        <v>2492.4969999999998</v>
      </c>
      <c r="G41" s="7">
        <v>1.2032618E-2</v>
      </c>
      <c r="H41" s="49"/>
    </row>
    <row r="42" spans="1:8" ht="17.100000000000001" customHeight="1" x14ac:dyDescent="0.2">
      <c r="A42" s="3">
        <v>36</v>
      </c>
      <c r="B42" s="4" t="s">
        <v>517</v>
      </c>
      <c r="C42" s="4" t="s">
        <v>518</v>
      </c>
      <c r="D42" s="4" t="s">
        <v>108</v>
      </c>
      <c r="E42" s="5">
        <v>884000</v>
      </c>
      <c r="F42" s="6">
        <v>2491.9960000000001</v>
      </c>
      <c r="G42" s="7">
        <v>1.20302E-2</v>
      </c>
      <c r="H42" s="49"/>
    </row>
    <row r="43" spans="1:8" ht="17.100000000000001" customHeight="1" x14ac:dyDescent="0.2">
      <c r="A43" s="3">
        <v>37</v>
      </c>
      <c r="B43" s="4" t="s">
        <v>519</v>
      </c>
      <c r="C43" s="4" t="s">
        <v>520</v>
      </c>
      <c r="D43" s="4" t="s">
        <v>72</v>
      </c>
      <c r="E43" s="5">
        <v>158521</v>
      </c>
      <c r="F43" s="6">
        <v>2473.2446420000001</v>
      </c>
      <c r="G43" s="7">
        <v>1.1939676999999999E-2</v>
      </c>
      <c r="H43" s="49"/>
    </row>
    <row r="44" spans="1:8" ht="17.100000000000001" customHeight="1" x14ac:dyDescent="0.2">
      <c r="A44" s="3">
        <v>38</v>
      </c>
      <c r="B44" s="4" t="s">
        <v>180</v>
      </c>
      <c r="C44" s="4" t="s">
        <v>181</v>
      </c>
      <c r="D44" s="4" t="s">
        <v>16</v>
      </c>
      <c r="E44" s="5">
        <v>258000</v>
      </c>
      <c r="F44" s="6">
        <v>2325.2249999999999</v>
      </c>
      <c r="G44" s="7">
        <v>1.1225107E-2</v>
      </c>
      <c r="H44" s="49"/>
    </row>
    <row r="45" spans="1:8" ht="29.1" customHeight="1" x14ac:dyDescent="0.2">
      <c r="A45" s="3">
        <v>39</v>
      </c>
      <c r="B45" s="4" t="s">
        <v>61</v>
      </c>
      <c r="C45" s="4" t="s">
        <v>62</v>
      </c>
      <c r="D45" s="4" t="s">
        <v>25</v>
      </c>
      <c r="E45" s="5">
        <v>74011</v>
      </c>
      <c r="F45" s="6">
        <v>2279.3167669999998</v>
      </c>
      <c r="G45" s="7">
        <v>1.1003483E-2</v>
      </c>
      <c r="H45" s="49"/>
    </row>
    <row r="46" spans="1:8" ht="17.100000000000001" customHeight="1" x14ac:dyDescent="0.2">
      <c r="A46" s="3">
        <v>40</v>
      </c>
      <c r="B46" s="4" t="s">
        <v>393</v>
      </c>
      <c r="C46" s="4" t="s">
        <v>394</v>
      </c>
      <c r="D46" s="4" t="s">
        <v>16</v>
      </c>
      <c r="E46" s="5">
        <v>1016082</v>
      </c>
      <c r="F46" s="6">
        <v>2218.1070060000002</v>
      </c>
      <c r="G46" s="7">
        <v>1.0707991E-2</v>
      </c>
      <c r="H46" s="49"/>
    </row>
    <row r="47" spans="1:8" ht="29.1" customHeight="1" x14ac:dyDescent="0.2">
      <c r="A47" s="3">
        <v>41</v>
      </c>
      <c r="B47" s="4" t="s">
        <v>486</v>
      </c>
      <c r="C47" s="4" t="s">
        <v>487</v>
      </c>
      <c r="D47" s="4" t="s">
        <v>25</v>
      </c>
      <c r="E47" s="5">
        <v>231114</v>
      </c>
      <c r="F47" s="6">
        <v>2194.6585439999999</v>
      </c>
      <c r="G47" s="7">
        <v>1.0594793E-2</v>
      </c>
      <c r="H47" s="49"/>
    </row>
    <row r="48" spans="1:8" ht="17.100000000000001" customHeight="1" x14ac:dyDescent="0.2">
      <c r="A48" s="3">
        <v>42</v>
      </c>
      <c r="B48" s="4" t="s">
        <v>231</v>
      </c>
      <c r="C48" s="4" t="s">
        <v>232</v>
      </c>
      <c r="D48" s="4" t="s">
        <v>233</v>
      </c>
      <c r="E48" s="5">
        <v>400000</v>
      </c>
      <c r="F48" s="6">
        <v>2187.4</v>
      </c>
      <c r="G48" s="7">
        <v>1.0559752E-2</v>
      </c>
      <c r="H48" s="49"/>
    </row>
    <row r="49" spans="1:8" ht="29.1" customHeight="1" x14ac:dyDescent="0.2">
      <c r="A49" s="3">
        <v>43</v>
      </c>
      <c r="B49" s="4" t="s">
        <v>296</v>
      </c>
      <c r="C49" s="4" t="s">
        <v>297</v>
      </c>
      <c r="D49" s="4" t="s">
        <v>103</v>
      </c>
      <c r="E49" s="5">
        <v>78090</v>
      </c>
      <c r="F49" s="6">
        <v>2102.6122949999999</v>
      </c>
      <c r="G49" s="7">
        <v>1.0150436000000001E-2</v>
      </c>
      <c r="H49" s="49"/>
    </row>
    <row r="50" spans="1:8" ht="17.100000000000001" customHeight="1" x14ac:dyDescent="0.2">
      <c r="A50" s="3">
        <v>44</v>
      </c>
      <c r="B50" s="4" t="s">
        <v>521</v>
      </c>
      <c r="C50" s="4" t="s">
        <v>522</v>
      </c>
      <c r="D50" s="4" t="s">
        <v>108</v>
      </c>
      <c r="E50" s="5">
        <v>130000</v>
      </c>
      <c r="F50" s="6">
        <v>2087.9299999999998</v>
      </c>
      <c r="G50" s="7">
        <v>1.0079556999999999E-2</v>
      </c>
      <c r="H50" s="49"/>
    </row>
    <row r="51" spans="1:8" ht="17.100000000000001" customHeight="1" x14ac:dyDescent="0.2">
      <c r="A51" s="3">
        <v>45</v>
      </c>
      <c r="B51" s="4" t="s">
        <v>247</v>
      </c>
      <c r="C51" s="4" t="s">
        <v>248</v>
      </c>
      <c r="D51" s="4" t="s">
        <v>103</v>
      </c>
      <c r="E51" s="5">
        <v>346749</v>
      </c>
      <c r="F51" s="6">
        <v>2047.5528449999999</v>
      </c>
      <c r="G51" s="7">
        <v>9.8846349999999993E-3</v>
      </c>
      <c r="H51" s="49"/>
    </row>
    <row r="52" spans="1:8" ht="17.100000000000001" customHeight="1" x14ac:dyDescent="0.2">
      <c r="A52" s="3">
        <v>46</v>
      </c>
      <c r="B52" s="4" t="s">
        <v>109</v>
      </c>
      <c r="C52" s="4" t="s">
        <v>110</v>
      </c>
      <c r="D52" s="4" t="s">
        <v>89</v>
      </c>
      <c r="E52" s="5">
        <v>440335</v>
      </c>
      <c r="F52" s="6">
        <v>2001.1024075</v>
      </c>
      <c r="G52" s="7">
        <v>9.6603929999999998E-3</v>
      </c>
      <c r="H52" s="49"/>
    </row>
    <row r="53" spans="1:8" ht="17.100000000000001" customHeight="1" x14ac:dyDescent="0.2">
      <c r="A53" s="3">
        <v>47</v>
      </c>
      <c r="B53" s="4" t="s">
        <v>523</v>
      </c>
      <c r="C53" s="4" t="s">
        <v>524</v>
      </c>
      <c r="D53" s="4" t="s">
        <v>317</v>
      </c>
      <c r="E53" s="5">
        <v>160942</v>
      </c>
      <c r="F53" s="6">
        <v>1992.4619600000001</v>
      </c>
      <c r="G53" s="7">
        <v>9.6186810000000005E-3</v>
      </c>
      <c r="H53" s="49"/>
    </row>
    <row r="54" spans="1:8" ht="17.100000000000001" customHeight="1" x14ac:dyDescent="0.2">
      <c r="A54" s="3">
        <v>48</v>
      </c>
      <c r="B54" s="4" t="s">
        <v>344</v>
      </c>
      <c r="C54" s="4" t="s">
        <v>345</v>
      </c>
      <c r="D54" s="4" t="s">
        <v>103</v>
      </c>
      <c r="E54" s="5">
        <v>28000</v>
      </c>
      <c r="F54" s="6">
        <v>1881.866</v>
      </c>
      <c r="G54" s="7">
        <v>9.0847749999999998E-3</v>
      </c>
      <c r="H54" s="49"/>
    </row>
    <row r="55" spans="1:8" ht="17.100000000000001" customHeight="1" x14ac:dyDescent="0.2">
      <c r="A55" s="3">
        <v>49</v>
      </c>
      <c r="B55" s="4" t="s">
        <v>342</v>
      </c>
      <c r="C55" s="4" t="s">
        <v>343</v>
      </c>
      <c r="D55" s="4" t="s">
        <v>31</v>
      </c>
      <c r="E55" s="5">
        <v>205000</v>
      </c>
      <c r="F55" s="6">
        <v>1865.2950000000001</v>
      </c>
      <c r="G55" s="7">
        <v>9.0047779999999997E-3</v>
      </c>
      <c r="H55" s="49"/>
    </row>
    <row r="56" spans="1:8" ht="17.100000000000001" customHeight="1" x14ac:dyDescent="0.2">
      <c r="A56" s="3">
        <v>50</v>
      </c>
      <c r="B56" s="4" t="s">
        <v>525</v>
      </c>
      <c r="C56" s="4" t="s">
        <v>526</v>
      </c>
      <c r="D56" s="4" t="s">
        <v>317</v>
      </c>
      <c r="E56" s="5">
        <v>209888</v>
      </c>
      <c r="F56" s="6">
        <v>1862.860944</v>
      </c>
      <c r="G56" s="7">
        <v>8.9930280000000001E-3</v>
      </c>
      <c r="H56" s="49"/>
    </row>
    <row r="57" spans="1:8" ht="29.1" customHeight="1" x14ac:dyDescent="0.2">
      <c r="A57" s="3">
        <v>51</v>
      </c>
      <c r="B57" s="4" t="s">
        <v>527</v>
      </c>
      <c r="C57" s="4" t="s">
        <v>528</v>
      </c>
      <c r="D57" s="4" t="s">
        <v>364</v>
      </c>
      <c r="E57" s="5">
        <v>450000</v>
      </c>
      <c r="F57" s="6">
        <v>1729.35</v>
      </c>
      <c r="G57" s="7">
        <v>8.3484990000000005E-3</v>
      </c>
      <c r="H57" s="49"/>
    </row>
    <row r="58" spans="1:8" ht="17.100000000000001" customHeight="1" x14ac:dyDescent="0.2">
      <c r="A58" s="3">
        <v>52</v>
      </c>
      <c r="B58" s="4" t="s">
        <v>370</v>
      </c>
      <c r="C58" s="4" t="s">
        <v>371</v>
      </c>
      <c r="D58" s="4" t="s">
        <v>108</v>
      </c>
      <c r="E58" s="5">
        <v>312601</v>
      </c>
      <c r="F58" s="6">
        <v>1695.547824</v>
      </c>
      <c r="G58" s="7">
        <v>8.1853180000000005E-3</v>
      </c>
      <c r="H58" s="49"/>
    </row>
    <row r="59" spans="1:8" ht="17.100000000000001" customHeight="1" x14ac:dyDescent="0.2">
      <c r="A59" s="3">
        <v>53</v>
      </c>
      <c r="B59" s="4" t="s">
        <v>529</v>
      </c>
      <c r="C59" s="4" t="s">
        <v>530</v>
      </c>
      <c r="D59" s="4" t="s">
        <v>227</v>
      </c>
      <c r="E59" s="5">
        <v>94501</v>
      </c>
      <c r="F59" s="6">
        <v>1683.0628099999999</v>
      </c>
      <c r="G59" s="7">
        <v>8.1250460000000004E-3</v>
      </c>
      <c r="H59" s="49"/>
    </row>
    <row r="60" spans="1:8" ht="29.1" customHeight="1" x14ac:dyDescent="0.2">
      <c r="A60" s="3">
        <v>54</v>
      </c>
      <c r="B60" s="4" t="s">
        <v>387</v>
      </c>
      <c r="C60" s="4" t="s">
        <v>388</v>
      </c>
      <c r="D60" s="4" t="s">
        <v>215</v>
      </c>
      <c r="E60" s="5">
        <v>40215</v>
      </c>
      <c r="F60" s="6">
        <v>1674.5526</v>
      </c>
      <c r="G60" s="7">
        <v>8.0839620000000001E-3</v>
      </c>
      <c r="H60" s="49"/>
    </row>
    <row r="61" spans="1:8" ht="17.100000000000001" customHeight="1" x14ac:dyDescent="0.2">
      <c r="A61" s="3">
        <v>55</v>
      </c>
      <c r="B61" s="4" t="s">
        <v>56</v>
      </c>
      <c r="C61" s="4" t="s">
        <v>57</v>
      </c>
      <c r="D61" s="4" t="s">
        <v>13</v>
      </c>
      <c r="E61" s="5">
        <v>607033</v>
      </c>
      <c r="F61" s="6">
        <v>1672.0723985</v>
      </c>
      <c r="G61" s="7">
        <v>8.0719889999999999E-3</v>
      </c>
      <c r="H61" s="49"/>
    </row>
    <row r="62" spans="1:8" ht="17.100000000000001" customHeight="1" x14ac:dyDescent="0.2">
      <c r="A62" s="3">
        <v>56</v>
      </c>
      <c r="B62" s="4" t="s">
        <v>85</v>
      </c>
      <c r="C62" s="4" t="s">
        <v>86</v>
      </c>
      <c r="D62" s="4" t="s">
        <v>13</v>
      </c>
      <c r="E62" s="5">
        <v>634000</v>
      </c>
      <c r="F62" s="6">
        <v>1659.4949999999999</v>
      </c>
      <c r="G62" s="7">
        <v>8.0112710000000004E-3</v>
      </c>
      <c r="H62" s="49"/>
    </row>
    <row r="63" spans="1:8" ht="17.100000000000001" customHeight="1" x14ac:dyDescent="0.2">
      <c r="A63" s="3">
        <v>57</v>
      </c>
      <c r="B63" s="4" t="s">
        <v>121</v>
      </c>
      <c r="C63" s="4" t="s">
        <v>122</v>
      </c>
      <c r="D63" s="4" t="s">
        <v>108</v>
      </c>
      <c r="E63" s="5">
        <v>84991</v>
      </c>
      <c r="F63" s="6">
        <v>1635.4393175</v>
      </c>
      <c r="G63" s="7">
        <v>7.8951420000000008E-3</v>
      </c>
      <c r="H63" s="49"/>
    </row>
    <row r="64" spans="1:8" ht="17.100000000000001" customHeight="1" x14ac:dyDescent="0.2">
      <c r="A64" s="3">
        <v>58</v>
      </c>
      <c r="B64" s="4" t="s">
        <v>531</v>
      </c>
      <c r="C64" s="4" t="s">
        <v>532</v>
      </c>
      <c r="D64" s="4" t="s">
        <v>89</v>
      </c>
      <c r="E64" s="5">
        <v>553006</v>
      </c>
      <c r="F64" s="6">
        <v>1628.60267</v>
      </c>
      <c r="G64" s="7">
        <v>7.8621379999999994E-3</v>
      </c>
      <c r="H64" s="49"/>
    </row>
    <row r="65" spans="1:8" ht="17.100000000000001" customHeight="1" x14ac:dyDescent="0.2">
      <c r="A65" s="3">
        <v>59</v>
      </c>
      <c r="B65" s="4" t="s">
        <v>533</v>
      </c>
      <c r="C65" s="4" t="s">
        <v>534</v>
      </c>
      <c r="D65" s="4" t="s">
        <v>108</v>
      </c>
      <c r="E65" s="5">
        <v>30000</v>
      </c>
      <c r="F65" s="6">
        <v>1605.93</v>
      </c>
      <c r="G65" s="7">
        <v>7.7526840000000001E-3</v>
      </c>
      <c r="H65" s="49"/>
    </row>
    <row r="66" spans="1:8" ht="17.100000000000001" customHeight="1" x14ac:dyDescent="0.2">
      <c r="A66" s="3">
        <v>60</v>
      </c>
      <c r="B66" s="4" t="s">
        <v>438</v>
      </c>
      <c r="C66" s="4" t="s">
        <v>439</v>
      </c>
      <c r="D66" s="4" t="s">
        <v>31</v>
      </c>
      <c r="E66" s="5">
        <v>174450</v>
      </c>
      <c r="F66" s="6">
        <v>1539.3468</v>
      </c>
      <c r="G66" s="7">
        <v>7.4312520000000002E-3</v>
      </c>
      <c r="H66" s="49"/>
    </row>
    <row r="67" spans="1:8" ht="17.100000000000001" customHeight="1" x14ac:dyDescent="0.2">
      <c r="A67" s="3">
        <v>61</v>
      </c>
      <c r="B67" s="4" t="s">
        <v>535</v>
      </c>
      <c r="C67" s="4" t="s">
        <v>536</v>
      </c>
      <c r="D67" s="4" t="s">
        <v>188</v>
      </c>
      <c r="E67" s="5">
        <v>120000</v>
      </c>
      <c r="F67" s="6">
        <v>1467.12</v>
      </c>
      <c r="G67" s="7">
        <v>7.0825740000000003E-3</v>
      </c>
      <c r="H67" s="49"/>
    </row>
    <row r="68" spans="1:8" ht="17.100000000000001" customHeight="1" x14ac:dyDescent="0.2">
      <c r="A68" s="3">
        <v>62</v>
      </c>
      <c r="B68" s="4" t="s">
        <v>537</v>
      </c>
      <c r="C68" s="4" t="s">
        <v>538</v>
      </c>
      <c r="D68" s="4" t="s">
        <v>108</v>
      </c>
      <c r="E68" s="5">
        <v>192900</v>
      </c>
      <c r="F68" s="6">
        <v>1389.9409499999999</v>
      </c>
      <c r="G68" s="7">
        <v>6.7099899999999999E-3</v>
      </c>
      <c r="H68" s="49"/>
    </row>
    <row r="69" spans="1:8" ht="17.100000000000001" customHeight="1" x14ac:dyDescent="0.2">
      <c r="A69" s="3">
        <v>63</v>
      </c>
      <c r="B69" s="4" t="s">
        <v>539</v>
      </c>
      <c r="C69" s="4" t="s">
        <v>540</v>
      </c>
      <c r="D69" s="4" t="s">
        <v>196</v>
      </c>
      <c r="E69" s="5">
        <v>200000</v>
      </c>
      <c r="F69" s="6">
        <v>1114.2</v>
      </c>
      <c r="G69" s="7">
        <v>5.3788400000000002E-3</v>
      </c>
      <c r="H69" s="49"/>
    </row>
    <row r="70" spans="1:8" ht="17.100000000000001" customHeight="1" x14ac:dyDescent="0.2">
      <c r="A70" s="3">
        <v>64</v>
      </c>
      <c r="B70" s="4" t="s">
        <v>300</v>
      </c>
      <c r="C70" s="4" t="s">
        <v>301</v>
      </c>
      <c r="D70" s="4" t="s">
        <v>230</v>
      </c>
      <c r="E70" s="5">
        <v>205194</v>
      </c>
      <c r="F70" s="6">
        <v>1107.02163</v>
      </c>
      <c r="G70" s="7">
        <v>5.3441859999999999E-3</v>
      </c>
      <c r="H70" s="49"/>
    </row>
    <row r="71" spans="1:8" ht="17.100000000000001" customHeight="1" x14ac:dyDescent="0.2">
      <c r="A71" s="3">
        <v>65</v>
      </c>
      <c r="B71" s="4" t="s">
        <v>350</v>
      </c>
      <c r="C71" s="4" t="s">
        <v>351</v>
      </c>
      <c r="D71" s="4" t="s">
        <v>43</v>
      </c>
      <c r="E71" s="5">
        <v>58528</v>
      </c>
      <c r="F71" s="6">
        <v>1089.908416</v>
      </c>
      <c r="G71" s="7">
        <v>5.261572E-3</v>
      </c>
      <c r="H71" s="49"/>
    </row>
    <row r="72" spans="1:8" ht="17.100000000000001" customHeight="1" x14ac:dyDescent="0.2">
      <c r="A72" s="3">
        <v>66</v>
      </c>
      <c r="B72" s="4" t="s">
        <v>236</v>
      </c>
      <c r="C72" s="4" t="s">
        <v>237</v>
      </c>
      <c r="D72" s="4" t="s">
        <v>238</v>
      </c>
      <c r="E72" s="5">
        <v>144524</v>
      </c>
      <c r="F72" s="6">
        <v>1019.761344</v>
      </c>
      <c r="G72" s="7">
        <v>4.9229340000000003E-3</v>
      </c>
      <c r="H72" s="49"/>
    </row>
    <row r="73" spans="1:8" ht="29.1" customHeight="1" x14ac:dyDescent="0.2">
      <c r="A73" s="3">
        <v>67</v>
      </c>
      <c r="B73" s="4" t="s">
        <v>283</v>
      </c>
      <c r="C73" s="4" t="s">
        <v>284</v>
      </c>
      <c r="D73" s="4" t="s">
        <v>193</v>
      </c>
      <c r="E73" s="5">
        <v>133565</v>
      </c>
      <c r="F73" s="6">
        <v>960.39913249999995</v>
      </c>
      <c r="G73" s="7">
        <v>4.6363610000000003E-3</v>
      </c>
      <c r="H73" s="49"/>
    </row>
    <row r="74" spans="1:8" ht="17.100000000000001" customHeight="1" x14ac:dyDescent="0.2">
      <c r="A74" s="3">
        <v>68</v>
      </c>
      <c r="B74" s="4" t="s">
        <v>203</v>
      </c>
      <c r="C74" s="4" t="s">
        <v>204</v>
      </c>
      <c r="D74" s="4" t="s">
        <v>974</v>
      </c>
      <c r="E74" s="5">
        <v>22000</v>
      </c>
      <c r="F74" s="6">
        <v>914.03399999999999</v>
      </c>
      <c r="G74" s="7">
        <v>4.4125320000000003E-3</v>
      </c>
      <c r="H74" s="49"/>
    </row>
    <row r="75" spans="1:8" ht="17.100000000000001" customHeight="1" x14ac:dyDescent="0.2">
      <c r="A75" s="3">
        <v>69</v>
      </c>
      <c r="B75" s="4" t="s">
        <v>125</v>
      </c>
      <c r="C75" s="4" t="s">
        <v>126</v>
      </c>
      <c r="D75" s="4"/>
      <c r="E75" s="5">
        <v>208000</v>
      </c>
      <c r="F75" s="6">
        <v>627.64</v>
      </c>
      <c r="G75" s="7">
        <v>3.029955E-3</v>
      </c>
      <c r="H75" s="49"/>
    </row>
    <row r="76" spans="1:8" ht="17.100000000000001" customHeight="1" x14ac:dyDescent="0.2">
      <c r="A76" s="3">
        <v>70</v>
      </c>
      <c r="B76" s="4" t="s">
        <v>541</v>
      </c>
      <c r="C76" s="4" t="s">
        <v>542</v>
      </c>
      <c r="D76" s="4" t="s">
        <v>188</v>
      </c>
      <c r="E76" s="5">
        <v>43906</v>
      </c>
      <c r="F76" s="6">
        <v>600.72189200000003</v>
      </c>
      <c r="G76" s="7">
        <v>2.9000060000000001E-3</v>
      </c>
      <c r="H76" s="49"/>
    </row>
    <row r="77" spans="1:8" ht="17.100000000000001" customHeight="1" x14ac:dyDescent="0.2">
      <c r="A77" s="3">
        <v>71</v>
      </c>
      <c r="B77" s="4" t="s">
        <v>389</v>
      </c>
      <c r="C77" s="4" t="s">
        <v>390</v>
      </c>
      <c r="D77" s="4" t="s">
        <v>103</v>
      </c>
      <c r="E77" s="5">
        <v>67628</v>
      </c>
      <c r="F77" s="6">
        <v>80.747832000000002</v>
      </c>
      <c r="G77" s="7">
        <v>3.8981299999999998E-4</v>
      </c>
      <c r="H77" s="49"/>
    </row>
    <row r="78" spans="1:8" ht="14.1" customHeight="1" x14ac:dyDescent="0.2">
      <c r="A78" s="1"/>
      <c r="B78" s="1"/>
      <c r="C78" s="2" t="s">
        <v>130</v>
      </c>
      <c r="D78" s="1"/>
      <c r="E78" s="1" t="s">
        <v>131</v>
      </c>
      <c r="F78" s="9">
        <v>192856.95791000003</v>
      </c>
      <c r="G78" s="10">
        <v>0.93102385599999971</v>
      </c>
      <c r="H78" s="49"/>
    </row>
    <row r="79" spans="1:8" ht="14.1" customHeight="1" x14ac:dyDescent="0.2">
      <c r="A79" s="1"/>
      <c r="B79" s="1"/>
      <c r="C79" s="11"/>
      <c r="D79" s="1"/>
      <c r="E79" s="1"/>
      <c r="F79" s="12"/>
      <c r="G79" s="12"/>
      <c r="H79" s="49"/>
    </row>
    <row r="80" spans="1:8" ht="14.1" customHeight="1" x14ac:dyDescent="0.2">
      <c r="A80" s="1"/>
      <c r="B80" s="1"/>
      <c r="C80" s="2" t="s">
        <v>132</v>
      </c>
      <c r="D80" s="1"/>
      <c r="E80" s="1"/>
      <c r="F80" s="1"/>
      <c r="G80" s="1"/>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133</v>
      </c>
      <c r="D83" s="1"/>
      <c r="E83" s="1"/>
      <c r="F83" s="1"/>
      <c r="G83" s="1"/>
      <c r="H83" s="49"/>
    </row>
    <row r="84" spans="1:8" ht="17.100000000000001" customHeight="1" x14ac:dyDescent="0.2">
      <c r="A84" s="3">
        <v>1</v>
      </c>
      <c r="B84" s="4" t="s">
        <v>127</v>
      </c>
      <c r="C84" s="39" t="s">
        <v>953</v>
      </c>
      <c r="D84" s="4" t="s">
        <v>128</v>
      </c>
      <c r="E84" s="5">
        <v>375961</v>
      </c>
      <c r="F84" s="6">
        <v>7.5190000000000003E-6</v>
      </c>
      <c r="G84" s="8" t="s">
        <v>129</v>
      </c>
      <c r="H84" s="49"/>
    </row>
    <row r="85" spans="1:8" ht="14.1" customHeight="1" x14ac:dyDescent="0.2">
      <c r="A85" s="1"/>
      <c r="B85" s="1"/>
      <c r="C85" s="2" t="s">
        <v>130</v>
      </c>
      <c r="D85" s="1"/>
      <c r="E85" s="1" t="s">
        <v>131</v>
      </c>
      <c r="F85" s="13">
        <v>7.5190000000000003E-6</v>
      </c>
      <c r="G85" s="14">
        <v>0</v>
      </c>
      <c r="H85" s="49"/>
    </row>
    <row r="86" spans="1:8" ht="14.1" customHeight="1" x14ac:dyDescent="0.2">
      <c r="A86" s="1"/>
      <c r="B86" s="1"/>
      <c r="C86" s="11"/>
      <c r="D86" s="1"/>
      <c r="E86" s="1"/>
      <c r="F86" s="12"/>
      <c r="G86" s="12"/>
      <c r="H86" s="49"/>
    </row>
    <row r="87" spans="1:8" ht="14.1" customHeight="1" x14ac:dyDescent="0.2">
      <c r="A87" s="1"/>
      <c r="B87" s="1"/>
      <c r="C87" s="2" t="s">
        <v>134</v>
      </c>
      <c r="D87" s="1"/>
      <c r="E87" s="1"/>
      <c r="F87" s="1"/>
      <c r="G87" s="1"/>
      <c r="H87" s="49"/>
    </row>
    <row r="88" spans="1:8" ht="14.1" customHeight="1" x14ac:dyDescent="0.2">
      <c r="A88" s="1"/>
      <c r="B88" s="1"/>
      <c r="C88" s="2" t="s">
        <v>130</v>
      </c>
      <c r="D88" s="1"/>
      <c r="E88" s="1" t="s">
        <v>131</v>
      </c>
      <c r="F88" s="13">
        <v>0</v>
      </c>
      <c r="G88" s="14">
        <v>0</v>
      </c>
      <c r="H88" s="49"/>
    </row>
    <row r="89" spans="1:8" ht="14.1" customHeight="1" x14ac:dyDescent="0.2">
      <c r="A89" s="1"/>
      <c r="B89" s="1"/>
      <c r="C89" s="11"/>
      <c r="D89" s="1"/>
      <c r="E89" s="1"/>
      <c r="F89" s="12"/>
      <c r="G89" s="12"/>
      <c r="H89" s="49"/>
    </row>
    <row r="90" spans="1:8" ht="14.1" customHeight="1" x14ac:dyDescent="0.2">
      <c r="A90" s="1"/>
      <c r="B90" s="1"/>
      <c r="C90" s="2" t="s">
        <v>135</v>
      </c>
      <c r="D90" s="1"/>
      <c r="E90" s="1"/>
      <c r="F90" s="12"/>
      <c r="G90" s="12"/>
      <c r="H90" s="49"/>
    </row>
    <row r="91" spans="1:8" ht="14.1" customHeight="1" x14ac:dyDescent="0.2">
      <c r="A91" s="1"/>
      <c r="B91" s="1"/>
      <c r="C91" s="2" t="s">
        <v>130</v>
      </c>
      <c r="D91" s="1"/>
      <c r="E91" s="1" t="s">
        <v>131</v>
      </c>
      <c r="F91" s="13">
        <v>0</v>
      </c>
      <c r="G91" s="14">
        <v>0</v>
      </c>
      <c r="H91" s="49"/>
    </row>
    <row r="92" spans="1:8" ht="14.1" customHeight="1" x14ac:dyDescent="0.2">
      <c r="A92" s="1"/>
      <c r="B92" s="1"/>
      <c r="C92" s="11"/>
      <c r="D92" s="1"/>
      <c r="E92" s="1"/>
      <c r="F92" s="12"/>
      <c r="G92" s="12"/>
      <c r="H92" s="49"/>
    </row>
    <row r="93" spans="1:8" ht="14.1" customHeight="1" x14ac:dyDescent="0.2">
      <c r="A93" s="1"/>
      <c r="B93" s="1"/>
      <c r="C93" s="2" t="s">
        <v>136</v>
      </c>
      <c r="D93" s="1"/>
      <c r="E93" s="1"/>
      <c r="F93" s="12"/>
      <c r="G93" s="12"/>
      <c r="H93" s="49"/>
    </row>
    <row r="94" spans="1:8" ht="14.1" customHeight="1" x14ac:dyDescent="0.2">
      <c r="A94" s="1"/>
      <c r="B94" s="1"/>
      <c r="C94" s="2" t="s">
        <v>130</v>
      </c>
      <c r="D94" s="1"/>
      <c r="E94" s="1" t="s">
        <v>131</v>
      </c>
      <c r="F94" s="13">
        <v>0</v>
      </c>
      <c r="G94" s="14">
        <v>0</v>
      </c>
      <c r="H94" s="49"/>
    </row>
    <row r="95" spans="1:8" ht="14.1" customHeight="1" x14ac:dyDescent="0.2">
      <c r="A95" s="1"/>
      <c r="B95" s="1"/>
      <c r="C95" s="11"/>
      <c r="D95" s="1"/>
      <c r="E95" s="1"/>
      <c r="F95" s="12"/>
      <c r="G95" s="12"/>
      <c r="H95" s="49"/>
    </row>
    <row r="96" spans="1:8" ht="18" customHeight="1" x14ac:dyDescent="0.2">
      <c r="A96" s="1"/>
      <c r="B96" s="1"/>
      <c r="C96" s="2" t="s">
        <v>137</v>
      </c>
      <c r="D96" s="1"/>
      <c r="E96" s="1"/>
      <c r="F96" s="9">
        <v>192856.957917519</v>
      </c>
      <c r="G96" s="10">
        <v>0.93102385600000004</v>
      </c>
      <c r="H96" s="49"/>
    </row>
    <row r="97" spans="1:8" ht="14.1" customHeight="1" x14ac:dyDescent="0.2">
      <c r="A97" s="1"/>
      <c r="B97" s="1"/>
      <c r="C97" s="11"/>
      <c r="D97" s="1"/>
      <c r="E97" s="1"/>
      <c r="F97" s="12"/>
      <c r="G97" s="12"/>
      <c r="H97" s="49"/>
    </row>
    <row r="98" spans="1:8" ht="14.1" customHeight="1" x14ac:dyDescent="0.2">
      <c r="A98" s="1"/>
      <c r="B98" s="1"/>
      <c r="C98" s="2" t="s">
        <v>138</v>
      </c>
      <c r="D98" s="1"/>
      <c r="E98" s="1"/>
      <c r="F98" s="12"/>
      <c r="G98" s="12"/>
      <c r="H98" s="49"/>
    </row>
    <row r="99" spans="1:8" ht="24" customHeight="1" x14ac:dyDescent="0.2">
      <c r="A99" s="1"/>
      <c r="B99" s="1"/>
      <c r="C99" s="2" t="s">
        <v>10</v>
      </c>
      <c r="D99" s="1"/>
      <c r="E99" s="1"/>
      <c r="F99" s="12"/>
      <c r="G99" s="12"/>
      <c r="H99" s="49"/>
    </row>
    <row r="100" spans="1:8" ht="14.1" customHeight="1" x14ac:dyDescent="0.2">
      <c r="A100" s="1"/>
      <c r="B100" s="1"/>
      <c r="C100" s="2" t="s">
        <v>130</v>
      </c>
      <c r="D100" s="1"/>
      <c r="E100" s="1" t="s">
        <v>131</v>
      </c>
      <c r="F100" s="13">
        <v>0</v>
      </c>
      <c r="G100" s="14">
        <v>0</v>
      </c>
      <c r="H100" s="49"/>
    </row>
    <row r="101" spans="1:8" ht="14.1" customHeight="1" x14ac:dyDescent="0.2">
      <c r="A101" s="1"/>
      <c r="B101" s="1"/>
      <c r="C101" s="11"/>
      <c r="D101" s="1"/>
      <c r="E101" s="1"/>
      <c r="F101" s="12"/>
      <c r="G101" s="12"/>
      <c r="H101" s="49"/>
    </row>
    <row r="102" spans="1:8" ht="14.1" customHeight="1" x14ac:dyDescent="0.2">
      <c r="A102" s="1"/>
      <c r="B102" s="1"/>
      <c r="C102" s="2" t="s">
        <v>139</v>
      </c>
      <c r="D102" s="1"/>
      <c r="E102" s="1"/>
      <c r="F102" s="1"/>
      <c r="G102" s="1"/>
      <c r="H102" s="49"/>
    </row>
    <row r="103" spans="1:8" ht="14.1" customHeight="1" x14ac:dyDescent="0.2">
      <c r="A103" s="1"/>
      <c r="B103" s="1"/>
      <c r="C103" s="2" t="s">
        <v>130</v>
      </c>
      <c r="D103" s="1"/>
      <c r="E103" s="1" t="s">
        <v>131</v>
      </c>
      <c r="F103" s="13">
        <v>0</v>
      </c>
      <c r="G103" s="14">
        <v>0</v>
      </c>
      <c r="H103" s="49"/>
    </row>
    <row r="104" spans="1:8" ht="14.1" customHeight="1" x14ac:dyDescent="0.2">
      <c r="A104" s="1"/>
      <c r="B104" s="1"/>
      <c r="C104" s="11"/>
      <c r="D104" s="1"/>
      <c r="E104" s="1"/>
      <c r="F104" s="12"/>
      <c r="G104" s="12"/>
      <c r="H104" s="49"/>
    </row>
    <row r="105" spans="1:8" ht="14.1" customHeight="1" x14ac:dyDescent="0.2">
      <c r="A105" s="1"/>
      <c r="B105" s="1"/>
      <c r="C105" s="2" t="s">
        <v>140</v>
      </c>
      <c r="D105" s="1"/>
      <c r="E105" s="1"/>
      <c r="F105" s="1"/>
      <c r="G105" s="1"/>
      <c r="H105" s="49"/>
    </row>
    <row r="106" spans="1:8" ht="14.1" customHeight="1" x14ac:dyDescent="0.2">
      <c r="A106" s="1"/>
      <c r="B106" s="1"/>
      <c r="C106" s="2" t="s">
        <v>130</v>
      </c>
      <c r="D106" s="1"/>
      <c r="E106" s="1" t="s">
        <v>131</v>
      </c>
      <c r="F106" s="13">
        <v>0</v>
      </c>
      <c r="G106" s="14">
        <v>0</v>
      </c>
      <c r="H106" s="49"/>
    </row>
    <row r="107" spans="1:8" ht="14.1" customHeight="1" x14ac:dyDescent="0.2">
      <c r="A107" s="1"/>
      <c r="B107" s="1"/>
      <c r="C107" s="11"/>
      <c r="D107" s="1"/>
      <c r="E107" s="1"/>
      <c r="F107" s="12"/>
      <c r="G107" s="12"/>
      <c r="H107" s="49"/>
    </row>
    <row r="108" spans="1:8" ht="14.1" customHeight="1" x14ac:dyDescent="0.2">
      <c r="A108" s="1"/>
      <c r="B108" s="1"/>
      <c r="C108" s="2" t="s">
        <v>141</v>
      </c>
      <c r="D108" s="1"/>
      <c r="E108" s="1"/>
      <c r="F108" s="12"/>
      <c r="G108" s="12"/>
      <c r="H108" s="49"/>
    </row>
    <row r="109" spans="1:8" ht="14.1" customHeight="1" x14ac:dyDescent="0.2">
      <c r="A109" s="1"/>
      <c r="B109" s="1"/>
      <c r="C109" s="2" t="s">
        <v>130</v>
      </c>
      <c r="D109" s="1"/>
      <c r="E109" s="1" t="s">
        <v>131</v>
      </c>
      <c r="F109" s="13">
        <v>0</v>
      </c>
      <c r="G109" s="14">
        <v>0</v>
      </c>
      <c r="H109" s="49"/>
    </row>
    <row r="110" spans="1:8" ht="14.1" customHeight="1" x14ac:dyDescent="0.2">
      <c r="A110" s="1"/>
      <c r="B110" s="1"/>
      <c r="C110" s="11"/>
      <c r="D110" s="1"/>
      <c r="E110" s="1"/>
      <c r="F110" s="12"/>
      <c r="G110" s="12"/>
      <c r="H110" s="49"/>
    </row>
    <row r="111" spans="1:8" ht="14.1" customHeight="1" x14ac:dyDescent="0.2">
      <c r="A111" s="1"/>
      <c r="B111" s="1"/>
      <c r="C111" s="2" t="s">
        <v>142</v>
      </c>
      <c r="D111" s="1"/>
      <c r="E111" s="1"/>
      <c r="F111" s="9">
        <v>0</v>
      </c>
      <c r="G111" s="10">
        <v>0</v>
      </c>
      <c r="H111" s="49"/>
    </row>
    <row r="112" spans="1:8" ht="14.1" customHeight="1" x14ac:dyDescent="0.2">
      <c r="A112" s="1"/>
      <c r="B112" s="1"/>
      <c r="C112" s="11"/>
      <c r="D112" s="1"/>
      <c r="E112" s="1"/>
      <c r="F112" s="12"/>
      <c r="G112" s="12"/>
      <c r="H112" s="49"/>
    </row>
    <row r="113" spans="1:8" ht="14.1" customHeight="1" x14ac:dyDescent="0.2">
      <c r="A113" s="1"/>
      <c r="B113" s="1"/>
      <c r="C113" s="2" t="s">
        <v>143</v>
      </c>
      <c r="D113" s="1"/>
      <c r="E113" s="1"/>
      <c r="F113" s="12"/>
      <c r="G113" s="12"/>
      <c r="H113" s="49"/>
    </row>
    <row r="114" spans="1:8" ht="14.1" customHeight="1" x14ac:dyDescent="0.2">
      <c r="A114" s="1"/>
      <c r="B114" s="1"/>
      <c r="C114" s="2" t="s">
        <v>144</v>
      </c>
      <c r="D114" s="1"/>
      <c r="E114" s="1"/>
      <c r="F114" s="12"/>
      <c r="G114" s="12"/>
      <c r="H114" s="49"/>
    </row>
    <row r="115" spans="1:8" ht="14.1" customHeight="1" x14ac:dyDescent="0.2">
      <c r="A115" s="1"/>
      <c r="B115" s="1"/>
      <c r="C115" s="2" t="s">
        <v>130</v>
      </c>
      <c r="D115" s="1"/>
      <c r="E115" s="1" t="s">
        <v>131</v>
      </c>
      <c r="F115" s="13">
        <v>0</v>
      </c>
      <c r="G115" s="14">
        <v>0</v>
      </c>
      <c r="H115" s="49"/>
    </row>
    <row r="116" spans="1:8" ht="14.1" customHeight="1" x14ac:dyDescent="0.2">
      <c r="A116" s="1"/>
      <c r="B116" s="1"/>
      <c r="C116" s="11"/>
      <c r="D116" s="1"/>
      <c r="E116" s="1"/>
      <c r="F116" s="12"/>
      <c r="G116" s="12"/>
      <c r="H116" s="49"/>
    </row>
    <row r="117" spans="1:8" ht="14.1" customHeight="1" x14ac:dyDescent="0.2">
      <c r="A117" s="1"/>
      <c r="B117" s="1"/>
      <c r="C117" s="2" t="s">
        <v>145</v>
      </c>
      <c r="D117" s="1"/>
      <c r="E117" s="1"/>
      <c r="F117" s="12"/>
      <c r="G117" s="12"/>
      <c r="H117" s="49"/>
    </row>
    <row r="118" spans="1:8" ht="14.1" customHeight="1" x14ac:dyDescent="0.2">
      <c r="A118" s="1"/>
      <c r="B118" s="1"/>
      <c r="C118" s="2" t="s">
        <v>130</v>
      </c>
      <c r="D118" s="1"/>
      <c r="E118" s="1" t="s">
        <v>131</v>
      </c>
      <c r="F118" s="13">
        <v>0</v>
      </c>
      <c r="G118" s="14">
        <v>0</v>
      </c>
      <c r="H118" s="49"/>
    </row>
    <row r="119" spans="1:8" ht="14.1" customHeight="1" x14ac:dyDescent="0.2">
      <c r="A119" s="1"/>
      <c r="B119" s="1"/>
      <c r="C119" s="11"/>
      <c r="D119" s="1"/>
      <c r="E119" s="1"/>
      <c r="F119" s="12"/>
      <c r="G119" s="12"/>
      <c r="H119" s="49"/>
    </row>
    <row r="120" spans="1:8" ht="14.1" customHeight="1" x14ac:dyDescent="0.2">
      <c r="A120" s="1"/>
      <c r="B120" s="1"/>
      <c r="C120" s="2" t="s">
        <v>146</v>
      </c>
      <c r="D120" s="1"/>
      <c r="E120" s="1"/>
      <c r="F120" s="12"/>
      <c r="G120" s="12"/>
      <c r="H120" s="49"/>
    </row>
    <row r="121" spans="1:8" ht="14.1" customHeight="1" x14ac:dyDescent="0.2">
      <c r="A121" s="1"/>
      <c r="B121" s="1"/>
      <c r="C121" s="2" t="s">
        <v>130</v>
      </c>
      <c r="D121" s="1"/>
      <c r="E121" s="1" t="s">
        <v>131</v>
      </c>
      <c r="F121" s="13">
        <v>0</v>
      </c>
      <c r="G121" s="14">
        <v>0</v>
      </c>
      <c r="H121" s="49"/>
    </row>
    <row r="122" spans="1:8" ht="14.1" customHeight="1" x14ac:dyDescent="0.2">
      <c r="A122" s="1"/>
      <c r="B122" s="1"/>
      <c r="C122" s="11"/>
      <c r="D122" s="1"/>
      <c r="E122" s="1"/>
      <c r="F122" s="12"/>
      <c r="G122" s="12"/>
      <c r="H122" s="49"/>
    </row>
    <row r="123" spans="1:8" ht="14.1" customHeight="1" x14ac:dyDescent="0.2">
      <c r="A123" s="1"/>
      <c r="B123" s="1"/>
      <c r="C123" s="2" t="s">
        <v>147</v>
      </c>
      <c r="D123" s="1"/>
      <c r="E123" s="1"/>
      <c r="F123" s="12"/>
      <c r="G123" s="12"/>
      <c r="H123" s="49"/>
    </row>
    <row r="124" spans="1:8" ht="17.100000000000001" customHeight="1" x14ac:dyDescent="0.2">
      <c r="A124" s="3">
        <v>1</v>
      </c>
      <c r="B124" s="4"/>
      <c r="C124" s="4" t="s">
        <v>148</v>
      </c>
      <c r="D124" s="4"/>
      <c r="E124" s="8"/>
      <c r="F124" s="6">
        <v>14084.199653</v>
      </c>
      <c r="G124" s="7">
        <v>6.7991976999999995E-2</v>
      </c>
      <c r="H124" s="49">
        <v>5.6572293145372496</v>
      </c>
    </row>
    <row r="125" spans="1:8" ht="14.1" customHeight="1" x14ac:dyDescent="0.2">
      <c r="A125" s="1"/>
      <c r="B125" s="1"/>
      <c r="C125" s="2" t="s">
        <v>130</v>
      </c>
      <c r="D125" s="1"/>
      <c r="E125" s="1" t="s">
        <v>131</v>
      </c>
      <c r="F125" s="9">
        <v>14084.199653</v>
      </c>
      <c r="G125" s="10">
        <v>6.7991976999999995E-2</v>
      </c>
      <c r="H125" s="49"/>
    </row>
    <row r="126" spans="1:8" ht="14.1" customHeight="1" x14ac:dyDescent="0.2">
      <c r="A126" s="1"/>
      <c r="B126" s="1"/>
      <c r="C126" s="11"/>
      <c r="D126" s="1"/>
      <c r="E126" s="1"/>
      <c r="F126" s="12"/>
      <c r="G126" s="12"/>
      <c r="H126" s="49"/>
    </row>
    <row r="127" spans="1:8" ht="14.1" customHeight="1" x14ac:dyDescent="0.2">
      <c r="A127" s="1"/>
      <c r="B127" s="1"/>
      <c r="C127" s="2" t="s">
        <v>149</v>
      </c>
      <c r="D127" s="1"/>
      <c r="E127" s="1"/>
      <c r="F127" s="9">
        <v>14084.199653</v>
      </c>
      <c r="G127" s="10">
        <v>6.7991976999999995E-2</v>
      </c>
      <c r="H127" s="49"/>
    </row>
    <row r="128" spans="1:8" ht="14.1" customHeight="1" x14ac:dyDescent="0.2">
      <c r="A128" s="1"/>
      <c r="B128" s="1"/>
      <c r="C128" s="12"/>
      <c r="D128" s="1"/>
      <c r="E128" s="1"/>
      <c r="F128" s="1"/>
      <c r="G128" s="1"/>
      <c r="H128" s="49"/>
    </row>
    <row r="129" spans="1:8" ht="14.1" customHeight="1" x14ac:dyDescent="0.2">
      <c r="A129" s="1"/>
      <c r="B129" s="1"/>
      <c r="C129" s="2" t="s">
        <v>150</v>
      </c>
      <c r="D129" s="1"/>
      <c r="E129" s="1"/>
      <c r="F129" s="1"/>
      <c r="G129" s="1"/>
      <c r="H129" s="49"/>
    </row>
    <row r="130" spans="1:8" ht="14.1" customHeight="1" x14ac:dyDescent="0.2">
      <c r="A130" s="1"/>
      <c r="B130" s="1"/>
      <c r="C130" s="2" t="s">
        <v>151</v>
      </c>
      <c r="D130" s="1"/>
      <c r="E130" s="1"/>
      <c r="F130" s="1"/>
      <c r="G130" s="1"/>
      <c r="H130" s="49"/>
    </row>
    <row r="131" spans="1:8" ht="14.1" customHeight="1" x14ac:dyDescent="0.2">
      <c r="A131" s="1"/>
      <c r="B131" s="1"/>
      <c r="C131" s="2" t="s">
        <v>130</v>
      </c>
      <c r="D131" s="1"/>
      <c r="E131" s="1" t="s">
        <v>131</v>
      </c>
      <c r="F131" s="13">
        <v>0</v>
      </c>
      <c r="G131" s="14">
        <v>0</v>
      </c>
      <c r="H131" s="49"/>
    </row>
    <row r="132" spans="1:8" ht="14.1" customHeight="1" x14ac:dyDescent="0.2">
      <c r="A132" s="1"/>
      <c r="B132" s="1"/>
      <c r="C132" s="11"/>
      <c r="D132" s="1"/>
      <c r="E132" s="1"/>
      <c r="F132" s="12"/>
      <c r="G132" s="12"/>
      <c r="H132" s="49"/>
    </row>
    <row r="133" spans="1:8" ht="14.1" customHeight="1" x14ac:dyDescent="0.2">
      <c r="A133" s="1"/>
      <c r="B133" s="1"/>
      <c r="C133" s="2" t="s">
        <v>152</v>
      </c>
      <c r="D133" s="1"/>
      <c r="E133" s="1"/>
      <c r="F133" s="1"/>
      <c r="G133" s="1"/>
      <c r="H133" s="49"/>
    </row>
    <row r="134" spans="1:8" ht="14.1" customHeight="1" x14ac:dyDescent="0.2">
      <c r="A134" s="1"/>
      <c r="B134" s="1"/>
      <c r="C134" s="2" t="s">
        <v>153</v>
      </c>
      <c r="D134" s="1"/>
      <c r="E134" s="1"/>
      <c r="F134" s="1"/>
      <c r="G134" s="1"/>
      <c r="H134" s="49"/>
    </row>
    <row r="135" spans="1:8" ht="14.1" customHeight="1" x14ac:dyDescent="0.2">
      <c r="A135" s="1"/>
      <c r="B135" s="1"/>
      <c r="C135" s="2" t="s">
        <v>130</v>
      </c>
      <c r="D135" s="1"/>
      <c r="E135" s="1" t="s">
        <v>131</v>
      </c>
      <c r="F135" s="13">
        <v>0</v>
      </c>
      <c r="G135" s="14">
        <v>0</v>
      </c>
      <c r="H135" s="49"/>
    </row>
    <row r="136" spans="1:8" ht="14.1" customHeight="1" x14ac:dyDescent="0.2">
      <c r="A136" s="1"/>
      <c r="B136" s="1"/>
      <c r="C136" s="11"/>
      <c r="D136" s="1"/>
      <c r="E136" s="1"/>
      <c r="F136" s="12"/>
      <c r="G136" s="12"/>
      <c r="H136" s="49"/>
    </row>
    <row r="137" spans="1:8" ht="14.1" customHeight="1" x14ac:dyDescent="0.2">
      <c r="A137" s="1"/>
      <c r="B137" s="1"/>
      <c r="C137" s="11"/>
      <c r="D137" s="1"/>
      <c r="E137" s="1"/>
      <c r="F137" s="12"/>
      <c r="G137" s="12"/>
      <c r="H137" s="49"/>
    </row>
    <row r="138" spans="1:8" ht="24" customHeight="1" x14ac:dyDescent="0.2">
      <c r="A138" s="1"/>
      <c r="B138" s="1"/>
      <c r="C138" s="2" t="s">
        <v>154</v>
      </c>
      <c r="D138" s="1"/>
      <c r="E138" s="1"/>
      <c r="F138" s="12"/>
      <c r="G138" s="12"/>
      <c r="H138" s="49"/>
    </row>
    <row r="139" spans="1:8" ht="14.1" customHeight="1" x14ac:dyDescent="0.2">
      <c r="A139" s="1"/>
      <c r="B139" s="1"/>
      <c r="C139" s="2" t="s">
        <v>130</v>
      </c>
      <c r="D139" s="1"/>
      <c r="E139" s="1" t="s">
        <v>131</v>
      </c>
      <c r="F139" s="13">
        <v>0</v>
      </c>
      <c r="G139" s="14">
        <v>0</v>
      </c>
      <c r="H139" s="49"/>
    </row>
    <row r="140" spans="1:8" ht="14.1" customHeight="1" x14ac:dyDescent="0.2">
      <c r="A140" s="1"/>
      <c r="B140" s="1"/>
      <c r="C140" s="11"/>
      <c r="D140" s="1"/>
      <c r="E140" s="1"/>
      <c r="F140" s="12"/>
      <c r="G140" s="12"/>
      <c r="H140" s="49"/>
    </row>
    <row r="141" spans="1:8" ht="14.1" customHeight="1" x14ac:dyDescent="0.2">
      <c r="A141" s="1"/>
      <c r="B141" s="4"/>
      <c r="C141" s="4"/>
      <c r="D141" s="2"/>
      <c r="E141" s="1"/>
      <c r="F141" s="4"/>
      <c r="G141" s="8"/>
      <c r="H141" s="49"/>
    </row>
    <row r="142" spans="1:8" ht="18" customHeight="1" x14ac:dyDescent="0.2">
      <c r="A142" s="8"/>
      <c r="B142" s="4"/>
      <c r="C142" s="4" t="s">
        <v>155</v>
      </c>
      <c r="D142" s="4"/>
      <c r="E142" s="8"/>
      <c r="F142" s="6">
        <v>203.86576428000001</v>
      </c>
      <c r="G142" s="7">
        <v>9.8416900000000002E-4</v>
      </c>
      <c r="H142" s="49"/>
    </row>
    <row r="143" spans="1:8" ht="14.1" customHeight="1" x14ac:dyDescent="0.2">
      <c r="A143" s="11"/>
      <c r="B143" s="11"/>
      <c r="C143" s="2" t="s">
        <v>156</v>
      </c>
      <c r="D143" s="15"/>
      <c r="E143" s="15"/>
      <c r="F143" s="9">
        <v>207145.02333479901</v>
      </c>
      <c r="G143" s="10">
        <v>1.0000000019999999</v>
      </c>
      <c r="H143" s="49"/>
    </row>
    <row r="144" spans="1:8" ht="14.1" customHeight="1" x14ac:dyDescent="0.2">
      <c r="A144" s="16"/>
      <c r="B144" s="16"/>
      <c r="C144" s="16"/>
      <c r="D144" s="17"/>
      <c r="E144" s="17"/>
      <c r="F144" s="17"/>
      <c r="G144" s="17"/>
    </row>
    <row r="145" spans="1:14" ht="17.100000000000001" customHeight="1" x14ac:dyDescent="0.2">
      <c r="A145" s="18"/>
      <c r="B145" s="327" t="s">
        <v>157</v>
      </c>
      <c r="C145" s="327"/>
      <c r="D145" s="327"/>
      <c r="E145" s="327"/>
      <c r="F145" s="327"/>
      <c r="G145" s="20"/>
    </row>
    <row r="146" spans="1:14" ht="14.1" customHeight="1" x14ac:dyDescent="0.2">
      <c r="A146" s="18"/>
      <c r="B146" s="18"/>
      <c r="C146" s="18"/>
      <c r="D146" s="20"/>
      <c r="E146" s="20"/>
      <c r="F146" s="20"/>
      <c r="G146" s="20"/>
    </row>
    <row r="147" spans="1:14" ht="14.1" customHeight="1" x14ac:dyDescent="0.2">
      <c r="A147" s="18"/>
      <c r="B147" s="319" t="s">
        <v>158</v>
      </c>
      <c r="C147" s="320"/>
      <c r="D147" s="12" t="s">
        <v>131</v>
      </c>
      <c r="E147" s="21"/>
      <c r="F147" s="20"/>
      <c r="G147" s="20"/>
    </row>
    <row r="148" spans="1:14" ht="29.1" customHeight="1" x14ac:dyDescent="0.2">
      <c r="A148" s="18"/>
      <c r="B148" s="323" t="s">
        <v>159</v>
      </c>
      <c r="C148" s="324"/>
      <c r="D148" s="2" t="s">
        <v>160</v>
      </c>
      <c r="E148" s="21"/>
      <c r="F148" s="20"/>
      <c r="G148" s="20"/>
    </row>
    <row r="149" spans="1:14" ht="17.100000000000001" customHeight="1" x14ac:dyDescent="0.2">
      <c r="A149" s="18"/>
      <c r="B149" s="325" t="s">
        <v>954</v>
      </c>
      <c r="C149" s="326"/>
      <c r="D149" s="57" t="s">
        <v>955</v>
      </c>
      <c r="E149" s="21"/>
      <c r="F149" s="20"/>
      <c r="G149" s="20"/>
    </row>
    <row r="150" spans="1:14" ht="17.100000000000001" customHeight="1" x14ac:dyDescent="0.2">
      <c r="A150" s="18"/>
      <c r="B150" s="323" t="s">
        <v>162</v>
      </c>
      <c r="C150" s="324"/>
      <c r="D150" s="12" t="s">
        <v>131</v>
      </c>
      <c r="E150" s="21"/>
      <c r="F150" s="20"/>
      <c r="G150" s="20"/>
    </row>
    <row r="151" spans="1:14" ht="24" customHeight="1" x14ac:dyDescent="0.2">
      <c r="A151" s="22"/>
      <c r="B151" s="23" t="s">
        <v>131</v>
      </c>
      <c r="C151" s="23" t="s">
        <v>163</v>
      </c>
      <c r="D151" s="23" t="s">
        <v>164</v>
      </c>
      <c r="E151" s="22"/>
      <c r="F151" s="22"/>
      <c r="G151" s="22"/>
    </row>
    <row r="152" spans="1:14" ht="18" customHeight="1" x14ac:dyDescent="0.2">
      <c r="A152" s="22"/>
      <c r="B152" s="23" t="s">
        <v>165</v>
      </c>
      <c r="C152" s="23" t="s">
        <v>166</v>
      </c>
      <c r="D152" s="23" t="s">
        <v>167</v>
      </c>
      <c r="E152" s="22"/>
      <c r="F152" s="22"/>
      <c r="G152" s="22"/>
    </row>
    <row r="153" spans="1:14" ht="17.100000000000001" customHeight="1" x14ac:dyDescent="0.2">
      <c r="A153" s="22"/>
      <c r="B153" s="4" t="s">
        <v>168</v>
      </c>
      <c r="C153" s="24">
        <v>162.67840000000001</v>
      </c>
      <c r="D153" s="24">
        <v>163.89259999999999</v>
      </c>
      <c r="E153" s="22"/>
      <c r="F153" s="19"/>
      <c r="G153" s="25"/>
    </row>
    <row r="154" spans="1:14" ht="17.100000000000001" customHeight="1" x14ac:dyDescent="0.2">
      <c r="A154" s="22"/>
      <c r="B154" s="4" t="s">
        <v>1021</v>
      </c>
      <c r="C154" s="24">
        <v>28.508800000000001</v>
      </c>
      <c r="D154" s="24">
        <v>26.7334</v>
      </c>
      <c r="E154" s="22"/>
      <c r="F154" s="19"/>
      <c r="G154" s="25"/>
    </row>
    <row r="155" spans="1:14" ht="17.100000000000001" customHeight="1" x14ac:dyDescent="0.2">
      <c r="A155" s="22"/>
      <c r="B155" s="4" t="s">
        <v>169</v>
      </c>
      <c r="C155" s="24">
        <v>151.41380000000001</v>
      </c>
      <c r="D155" s="24">
        <v>152.3937</v>
      </c>
      <c r="E155" s="22"/>
      <c r="F155" s="19"/>
      <c r="G155" s="25"/>
    </row>
    <row r="156" spans="1:14" ht="17.100000000000001" customHeight="1" x14ac:dyDescent="0.2">
      <c r="A156" s="22"/>
      <c r="B156" s="4" t="s">
        <v>1022</v>
      </c>
      <c r="C156" s="24">
        <v>25.825600000000001</v>
      </c>
      <c r="D156" s="24">
        <v>24.192</v>
      </c>
      <c r="E156" s="22"/>
      <c r="F156" s="19"/>
      <c r="G156" s="25"/>
    </row>
    <row r="157" spans="1:14" ht="14.1" customHeight="1" x14ac:dyDescent="0.2">
      <c r="A157" s="22"/>
      <c r="B157" s="22"/>
      <c r="C157" s="22"/>
      <c r="D157" s="22"/>
      <c r="E157" s="22"/>
      <c r="F157" s="22"/>
      <c r="G157" s="22"/>
      <c r="J157" s="218"/>
      <c r="K157" s="218"/>
      <c r="L157" s="218"/>
      <c r="M157" s="218"/>
      <c r="N157" s="218"/>
    </row>
    <row r="158" spans="1:14" ht="17.100000000000001" customHeight="1" x14ac:dyDescent="0.2">
      <c r="A158" s="61"/>
      <c r="B158" s="325" t="s">
        <v>1023</v>
      </c>
      <c r="C158" s="326"/>
      <c r="D158" s="57"/>
      <c r="E158" s="61"/>
      <c r="F158" s="61"/>
      <c r="G158" s="61"/>
    </row>
    <row r="159" spans="1:14" ht="18" customHeight="1" x14ac:dyDescent="0.2">
      <c r="A159" s="61"/>
      <c r="B159" s="62" t="s">
        <v>165</v>
      </c>
      <c r="C159" s="63" t="s">
        <v>820</v>
      </c>
      <c r="D159" s="63" t="s">
        <v>821</v>
      </c>
      <c r="E159" s="61"/>
      <c r="F159" s="61"/>
      <c r="G159" s="61"/>
    </row>
    <row r="160" spans="1:14" ht="29.1" customHeight="1" x14ac:dyDescent="0.2">
      <c r="A160" s="61"/>
      <c r="B160" s="39" t="s">
        <v>1021</v>
      </c>
      <c r="C160" s="64">
        <v>1.9510000000000001</v>
      </c>
      <c r="D160" s="59" t="s">
        <v>975</v>
      </c>
      <c r="E160" s="61"/>
      <c r="F160" s="56"/>
      <c r="G160" s="65"/>
    </row>
    <row r="161" spans="1:7" ht="29.1" customHeight="1" x14ac:dyDescent="0.2">
      <c r="A161" s="61"/>
      <c r="B161" s="39" t="s">
        <v>1022</v>
      </c>
      <c r="C161" s="64">
        <v>1.768</v>
      </c>
      <c r="D161" s="64">
        <v>1.768</v>
      </c>
      <c r="E161" s="61"/>
      <c r="F161" s="56"/>
      <c r="G161" s="65"/>
    </row>
    <row r="162" spans="1:7" ht="14.1" customHeight="1" x14ac:dyDescent="0.2">
      <c r="A162" s="22"/>
      <c r="B162" s="19"/>
      <c r="C162" s="19"/>
      <c r="D162" s="22"/>
      <c r="E162" s="22"/>
      <c r="F162" s="22"/>
      <c r="G162" s="22"/>
    </row>
    <row r="163" spans="1:7" ht="29.1" customHeight="1" x14ac:dyDescent="0.2">
      <c r="A163" s="22"/>
      <c r="B163" s="323" t="s">
        <v>170</v>
      </c>
      <c r="C163" s="324"/>
      <c r="D163" s="2" t="s">
        <v>160</v>
      </c>
      <c r="E163" s="22"/>
      <c r="F163" s="22"/>
      <c r="G163" s="22"/>
    </row>
    <row r="164" spans="1:7" ht="29.1" customHeight="1" x14ac:dyDescent="0.2">
      <c r="A164" s="22"/>
      <c r="B164" s="323" t="s">
        <v>171</v>
      </c>
      <c r="C164" s="324"/>
      <c r="D164" s="2" t="s">
        <v>160</v>
      </c>
      <c r="E164" s="22"/>
      <c r="F164" s="22"/>
      <c r="G164" s="22"/>
    </row>
    <row r="165" spans="1:7" ht="17.100000000000001" customHeight="1" x14ac:dyDescent="0.2">
      <c r="A165" s="22"/>
      <c r="B165" s="323" t="s">
        <v>172</v>
      </c>
      <c r="C165" s="324"/>
      <c r="D165" s="27">
        <v>0.46060734224128785</v>
      </c>
      <c r="E165" s="22"/>
      <c r="F165" s="19"/>
      <c r="G165" s="25"/>
    </row>
    <row r="166" spans="1:7" ht="17.100000000000001" customHeight="1" x14ac:dyDescent="0.2">
      <c r="A166" s="22"/>
      <c r="B166" s="323" t="s">
        <v>173</v>
      </c>
      <c r="C166" s="324"/>
      <c r="D166" s="2" t="s">
        <v>160</v>
      </c>
      <c r="E166" s="22"/>
      <c r="F166" s="22"/>
      <c r="G166" s="22"/>
    </row>
  </sheetData>
  <mergeCells count="14">
    <mergeCell ref="B165:C165"/>
    <mergeCell ref="B166:C166"/>
    <mergeCell ref="B148:C148"/>
    <mergeCell ref="B149:C149"/>
    <mergeCell ref="B150:C150"/>
    <mergeCell ref="B158:C158"/>
    <mergeCell ref="B163:C163"/>
    <mergeCell ref="B164:C164"/>
    <mergeCell ref="A1:H1"/>
    <mergeCell ref="A2:H2"/>
    <mergeCell ref="A3:H3"/>
    <mergeCell ref="B147:C147"/>
    <mergeCell ref="J2:N2"/>
    <mergeCell ref="B145:F145"/>
  </mergeCells>
  <hyperlinks>
    <hyperlink ref="I1" location="Index!B22" display="Index" xr:uid="{27502A07-2647-48C0-90ED-9F443E35D5A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P217"/>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85546875" customWidth="1"/>
    <col min="9" max="9" width="10.28515625" customWidth="1"/>
    <col min="10" max="10" width="11.5703125" bestFit="1" customWidth="1"/>
    <col min="11" max="11" width="16.7109375" bestFit="1" customWidth="1"/>
    <col min="16" max="16" width="9.140625" style="42"/>
  </cols>
  <sheetData>
    <row r="1" spans="1:16" ht="18" customHeight="1" x14ac:dyDescent="0.2">
      <c r="A1" s="340" t="s">
        <v>0</v>
      </c>
      <c r="B1" s="340"/>
      <c r="C1" s="340"/>
      <c r="D1" s="340"/>
      <c r="E1" s="340"/>
      <c r="F1" s="340"/>
      <c r="G1" s="340"/>
      <c r="H1" s="340"/>
      <c r="I1" s="340"/>
      <c r="J1" s="219" t="s">
        <v>1069</v>
      </c>
      <c r="K1" s="50"/>
      <c r="L1" s="50"/>
      <c r="M1" s="50"/>
      <c r="N1" s="50"/>
      <c r="O1" s="50"/>
    </row>
    <row r="2" spans="1:16" ht="17.100000000000001" customHeight="1" x14ac:dyDescent="0.2">
      <c r="A2" s="340" t="s">
        <v>1032</v>
      </c>
      <c r="B2" s="341"/>
      <c r="C2" s="341"/>
      <c r="D2" s="341"/>
      <c r="E2" s="341"/>
      <c r="F2" s="341"/>
      <c r="G2" s="341"/>
      <c r="H2" s="341"/>
      <c r="I2" s="341"/>
      <c r="K2" s="321" t="s">
        <v>1070</v>
      </c>
      <c r="L2" s="321"/>
      <c r="M2" s="321"/>
      <c r="N2" s="321"/>
      <c r="O2" s="321"/>
    </row>
    <row r="3" spans="1:16" ht="21" customHeight="1" x14ac:dyDescent="0.2">
      <c r="A3" s="340" t="s">
        <v>1031</v>
      </c>
      <c r="B3" s="340"/>
      <c r="C3" s="340"/>
      <c r="D3" s="340"/>
      <c r="E3" s="340"/>
      <c r="F3" s="340"/>
      <c r="G3" s="340"/>
      <c r="H3" s="340"/>
      <c r="I3" s="340"/>
      <c r="K3" s="50"/>
      <c r="L3" s="50"/>
      <c r="M3" s="50"/>
      <c r="N3" s="50"/>
      <c r="O3" s="50"/>
    </row>
    <row r="4" spans="1:16" s="85" customFormat="1" ht="45" x14ac:dyDescent="0.2">
      <c r="A4" s="87" t="s">
        <v>2</v>
      </c>
      <c r="B4" s="87" t="s">
        <v>3</v>
      </c>
      <c r="C4" s="87" t="s">
        <v>4</v>
      </c>
      <c r="D4" s="87" t="s">
        <v>5</v>
      </c>
      <c r="E4" s="87" t="s">
        <v>6</v>
      </c>
      <c r="F4" s="87" t="s">
        <v>7</v>
      </c>
      <c r="G4" s="87" t="s">
        <v>8</v>
      </c>
      <c r="H4" s="66" t="s">
        <v>989</v>
      </c>
      <c r="I4" s="88" t="s">
        <v>1020</v>
      </c>
      <c r="J4" s="216"/>
      <c r="K4" s="220"/>
      <c r="L4" s="220"/>
      <c r="M4" s="220"/>
      <c r="N4" s="220"/>
      <c r="O4" s="220"/>
      <c r="P4" s="216"/>
    </row>
    <row r="5" spans="1:16" ht="14.1" customHeight="1" x14ac:dyDescent="0.2">
      <c r="A5" s="89"/>
      <c r="B5" s="89"/>
      <c r="C5" s="90" t="s">
        <v>9</v>
      </c>
      <c r="D5" s="89"/>
      <c r="E5" s="89"/>
      <c r="F5" s="89"/>
      <c r="G5" s="89"/>
      <c r="H5" s="47"/>
      <c r="I5" s="47"/>
      <c r="K5" s="50"/>
      <c r="L5" s="50"/>
      <c r="M5" s="50"/>
      <c r="N5" s="50"/>
      <c r="O5" s="50"/>
    </row>
    <row r="6" spans="1:16" ht="24" customHeight="1" x14ac:dyDescent="0.2">
      <c r="A6" s="89"/>
      <c r="B6" s="89"/>
      <c r="C6" s="90" t="s">
        <v>10</v>
      </c>
      <c r="D6" s="89"/>
      <c r="E6" s="89"/>
      <c r="F6" s="89"/>
      <c r="G6" s="89"/>
      <c r="H6" s="47"/>
      <c r="I6" s="47"/>
      <c r="K6" s="50"/>
      <c r="L6" s="50"/>
      <c r="M6" s="50"/>
      <c r="N6" s="50"/>
      <c r="O6" s="50"/>
    </row>
    <row r="7" spans="1:16" ht="17.100000000000001" customHeight="1" x14ac:dyDescent="0.2">
      <c r="A7" s="91">
        <v>1</v>
      </c>
      <c r="B7" s="92" t="s">
        <v>14</v>
      </c>
      <c r="C7" s="92" t="s">
        <v>15</v>
      </c>
      <c r="D7" s="92" t="s">
        <v>16</v>
      </c>
      <c r="E7" s="93">
        <v>2250000</v>
      </c>
      <c r="F7" s="94">
        <v>21440.25</v>
      </c>
      <c r="G7" s="95">
        <v>6.7366885000000001E-2</v>
      </c>
      <c r="H7" s="47"/>
      <c r="I7" s="47"/>
      <c r="K7" s="50"/>
      <c r="L7" s="50"/>
      <c r="M7" s="50"/>
      <c r="N7" s="50"/>
      <c r="O7" s="50"/>
    </row>
    <row r="8" spans="1:16" ht="17.100000000000001" customHeight="1" x14ac:dyDescent="0.2">
      <c r="A8" s="91">
        <v>2</v>
      </c>
      <c r="B8" s="92" t="s">
        <v>263</v>
      </c>
      <c r="C8" s="92" t="s">
        <v>264</v>
      </c>
      <c r="D8" s="92" t="s">
        <v>16</v>
      </c>
      <c r="E8" s="93">
        <v>1100000</v>
      </c>
      <c r="F8" s="94">
        <v>17692.95</v>
      </c>
      <c r="G8" s="95">
        <v>5.5592585E-2</v>
      </c>
      <c r="H8" s="47"/>
      <c r="I8" s="47"/>
      <c r="K8" s="50"/>
      <c r="L8" s="50"/>
      <c r="M8" s="50"/>
      <c r="N8" s="50"/>
      <c r="O8" s="50"/>
    </row>
    <row r="9" spans="1:16" ht="17.100000000000001" customHeight="1" x14ac:dyDescent="0.2">
      <c r="A9" s="91">
        <v>3</v>
      </c>
      <c r="B9" s="92" t="s">
        <v>20</v>
      </c>
      <c r="C9" s="92" t="s">
        <v>21</v>
      </c>
      <c r="D9" s="92" t="s">
        <v>22</v>
      </c>
      <c r="E9" s="93">
        <v>640000</v>
      </c>
      <c r="F9" s="94">
        <v>17480.64</v>
      </c>
      <c r="G9" s="95">
        <v>5.4925491E-2</v>
      </c>
      <c r="H9" s="47"/>
      <c r="I9" s="47"/>
      <c r="K9" s="50"/>
      <c r="L9" s="50"/>
      <c r="M9" s="50"/>
      <c r="N9" s="50"/>
      <c r="O9" s="50"/>
    </row>
    <row r="10" spans="1:16" ht="17.100000000000001" customHeight="1" x14ac:dyDescent="0.2">
      <c r="A10" s="91">
        <v>4</v>
      </c>
      <c r="B10" s="92" t="s">
        <v>294</v>
      </c>
      <c r="C10" s="92" t="s">
        <v>295</v>
      </c>
      <c r="D10" s="92" t="s">
        <v>974</v>
      </c>
      <c r="E10" s="93">
        <v>1050000</v>
      </c>
      <c r="F10" s="94">
        <v>17166.974999999999</v>
      </c>
      <c r="G10" s="95">
        <v>5.3939932000000003E-2</v>
      </c>
      <c r="H10" s="47"/>
      <c r="I10" s="47"/>
      <c r="K10" s="50"/>
      <c r="L10" s="50"/>
      <c r="M10" s="50"/>
      <c r="N10" s="50"/>
      <c r="O10" s="50"/>
    </row>
    <row r="11" spans="1:16" ht="29.1" customHeight="1" x14ac:dyDescent="0.2">
      <c r="A11" s="91">
        <v>5</v>
      </c>
      <c r="B11" s="92" t="s">
        <v>296</v>
      </c>
      <c r="C11" s="92" t="s">
        <v>297</v>
      </c>
      <c r="D11" s="92" t="s">
        <v>103</v>
      </c>
      <c r="E11" s="93">
        <v>412159</v>
      </c>
      <c r="F11" s="94">
        <v>11097.587154500001</v>
      </c>
      <c r="G11" s="95">
        <v>3.4869457E-2</v>
      </c>
      <c r="H11" s="47"/>
      <c r="I11" s="47"/>
      <c r="K11" s="50"/>
      <c r="L11" s="50"/>
      <c r="M11" s="50"/>
      <c r="N11" s="50"/>
      <c r="O11" s="50"/>
    </row>
    <row r="12" spans="1:16" ht="29.1" customHeight="1" x14ac:dyDescent="0.2">
      <c r="A12" s="91">
        <v>6</v>
      </c>
      <c r="B12" s="92" t="s">
        <v>304</v>
      </c>
      <c r="C12" s="92" t="s">
        <v>305</v>
      </c>
      <c r="D12" s="92" t="s">
        <v>215</v>
      </c>
      <c r="E12" s="93">
        <v>1050000</v>
      </c>
      <c r="F12" s="94">
        <v>10983.525</v>
      </c>
      <c r="G12" s="95">
        <v>3.4511065E-2</v>
      </c>
      <c r="H12" s="47"/>
      <c r="I12" s="47"/>
      <c r="K12" s="217" t="s">
        <v>1083</v>
      </c>
      <c r="L12" s="50"/>
      <c r="M12" s="50"/>
      <c r="N12" s="50"/>
      <c r="O12" s="50"/>
    </row>
    <row r="13" spans="1:16" ht="17.100000000000001" customHeight="1" x14ac:dyDescent="0.2">
      <c r="A13" s="91">
        <v>7</v>
      </c>
      <c r="B13" s="92" t="s">
        <v>17</v>
      </c>
      <c r="C13" s="92" t="s">
        <v>18</v>
      </c>
      <c r="D13" s="92" t="s">
        <v>19</v>
      </c>
      <c r="E13" s="93">
        <v>1250000</v>
      </c>
      <c r="F13" s="94">
        <v>10609.375</v>
      </c>
      <c r="G13" s="95">
        <v>3.3335457999999998E-2</v>
      </c>
      <c r="H13" s="47"/>
      <c r="I13" s="47"/>
      <c r="K13" s="50"/>
      <c r="L13" s="50"/>
      <c r="M13" s="50"/>
      <c r="N13" s="50"/>
      <c r="O13" s="50"/>
    </row>
    <row r="14" spans="1:16" ht="17.100000000000001" customHeight="1" x14ac:dyDescent="0.2">
      <c r="A14" s="91">
        <v>8</v>
      </c>
      <c r="B14" s="92" t="s">
        <v>39</v>
      </c>
      <c r="C14" s="92" t="s">
        <v>40</v>
      </c>
      <c r="D14" s="92" t="s">
        <v>16</v>
      </c>
      <c r="E14" s="93">
        <v>1675000</v>
      </c>
      <c r="F14" s="94">
        <v>10091.0375</v>
      </c>
      <c r="G14" s="95">
        <v>3.1706801999999999E-2</v>
      </c>
      <c r="H14" s="47"/>
      <c r="I14" s="47"/>
      <c r="K14" s="50"/>
      <c r="L14" s="50"/>
      <c r="M14" s="50"/>
      <c r="N14" s="50"/>
      <c r="O14" s="50"/>
    </row>
    <row r="15" spans="1:16" ht="17.100000000000001" customHeight="1" x14ac:dyDescent="0.2">
      <c r="A15" s="91">
        <v>9</v>
      </c>
      <c r="B15" s="92" t="s">
        <v>11</v>
      </c>
      <c r="C15" s="92" t="s">
        <v>12</v>
      </c>
      <c r="D15" s="92" t="s">
        <v>13</v>
      </c>
      <c r="E15" s="93">
        <v>425000</v>
      </c>
      <c r="F15" s="94">
        <v>8818.1124999999993</v>
      </c>
      <c r="G15" s="95">
        <v>2.7707176E-2</v>
      </c>
      <c r="H15" s="47"/>
      <c r="I15" s="47"/>
      <c r="K15" s="50"/>
      <c r="L15" s="50"/>
      <c r="M15" s="50"/>
      <c r="N15" s="50"/>
      <c r="O15" s="50"/>
    </row>
    <row r="16" spans="1:16" ht="17.100000000000001" customHeight="1" x14ac:dyDescent="0.2">
      <c r="A16" s="91">
        <v>10</v>
      </c>
      <c r="B16" s="92" t="s">
        <v>177</v>
      </c>
      <c r="C16" s="92" t="s">
        <v>178</v>
      </c>
      <c r="D16" s="92" t="s">
        <v>179</v>
      </c>
      <c r="E16" s="93">
        <v>627471</v>
      </c>
      <c r="F16" s="94">
        <v>7841.8188225000004</v>
      </c>
      <c r="G16" s="95">
        <v>2.4639587000000001E-2</v>
      </c>
      <c r="H16" s="47"/>
      <c r="I16" s="47"/>
      <c r="K16" s="50"/>
      <c r="L16" s="50"/>
      <c r="M16" s="50"/>
      <c r="N16" s="50"/>
      <c r="O16" s="50"/>
    </row>
    <row r="17" spans="1:15" ht="17.100000000000001" customHeight="1" x14ac:dyDescent="0.2">
      <c r="A17" s="91">
        <v>11</v>
      </c>
      <c r="B17" s="92" t="s">
        <v>180</v>
      </c>
      <c r="C17" s="92" t="s">
        <v>181</v>
      </c>
      <c r="D17" s="92" t="s">
        <v>16</v>
      </c>
      <c r="E17" s="93">
        <v>840000</v>
      </c>
      <c r="F17" s="94">
        <v>7570.5</v>
      </c>
      <c r="G17" s="95">
        <v>2.3787083000000001E-2</v>
      </c>
      <c r="H17" s="47"/>
      <c r="I17" s="47"/>
      <c r="K17" s="50"/>
      <c r="L17" s="50"/>
      <c r="M17" s="50"/>
      <c r="N17" s="50"/>
      <c r="O17" s="50"/>
    </row>
    <row r="18" spans="1:15" ht="17.100000000000001" customHeight="1" x14ac:dyDescent="0.2">
      <c r="A18" s="91">
        <v>12</v>
      </c>
      <c r="B18" s="92" t="s">
        <v>298</v>
      </c>
      <c r="C18" s="92" t="s">
        <v>299</v>
      </c>
      <c r="D18" s="92" t="s">
        <v>238</v>
      </c>
      <c r="E18" s="93">
        <v>543096</v>
      </c>
      <c r="F18" s="94">
        <v>6967.378584</v>
      </c>
      <c r="G18" s="95">
        <v>2.189203E-2</v>
      </c>
      <c r="H18" s="47"/>
      <c r="I18" s="47"/>
      <c r="K18" s="50"/>
      <c r="L18" s="50"/>
      <c r="M18" s="50"/>
      <c r="N18" s="50"/>
      <c r="O18" s="50"/>
    </row>
    <row r="19" spans="1:15" ht="17.100000000000001" customHeight="1" x14ac:dyDescent="0.2">
      <c r="A19" s="91">
        <v>13</v>
      </c>
      <c r="B19" s="92" t="s">
        <v>588</v>
      </c>
      <c r="C19" s="92" t="s">
        <v>589</v>
      </c>
      <c r="D19" s="92" t="s">
        <v>179</v>
      </c>
      <c r="E19" s="93">
        <v>641000</v>
      </c>
      <c r="F19" s="94">
        <v>5976.0429999999997</v>
      </c>
      <c r="G19" s="95">
        <v>1.8777177999999999E-2</v>
      </c>
      <c r="H19" s="47"/>
      <c r="I19" s="47"/>
      <c r="K19" s="50"/>
      <c r="L19" s="50"/>
      <c r="M19" s="50"/>
      <c r="N19" s="50"/>
      <c r="O19" s="50"/>
    </row>
    <row r="20" spans="1:15" ht="29.1" customHeight="1" x14ac:dyDescent="0.2">
      <c r="A20" s="91">
        <v>14</v>
      </c>
      <c r="B20" s="92" t="s">
        <v>484</v>
      </c>
      <c r="C20" s="92" t="s">
        <v>485</v>
      </c>
      <c r="D20" s="92" t="s">
        <v>215</v>
      </c>
      <c r="E20" s="93">
        <v>471000</v>
      </c>
      <c r="F20" s="94">
        <v>5367.7515000000003</v>
      </c>
      <c r="G20" s="95">
        <v>1.6865880999999999E-2</v>
      </c>
      <c r="H20" s="47"/>
      <c r="I20" s="47"/>
      <c r="K20" s="50"/>
      <c r="L20" s="50"/>
      <c r="M20" s="50"/>
      <c r="N20" s="50"/>
      <c r="O20" s="50"/>
    </row>
    <row r="21" spans="1:15" ht="17.100000000000001" customHeight="1" x14ac:dyDescent="0.2">
      <c r="A21" s="91">
        <v>15</v>
      </c>
      <c r="B21" s="92" t="s">
        <v>259</v>
      </c>
      <c r="C21" s="92" t="s">
        <v>260</v>
      </c>
      <c r="D21" s="92" t="s">
        <v>103</v>
      </c>
      <c r="E21" s="93">
        <v>262500</v>
      </c>
      <c r="F21" s="94">
        <v>4269.5625</v>
      </c>
      <c r="G21" s="95">
        <v>1.3415287999999999E-2</v>
      </c>
      <c r="H21" s="47"/>
      <c r="I21" s="47"/>
      <c r="K21" s="50"/>
      <c r="L21" s="50"/>
      <c r="M21" s="50"/>
      <c r="N21" s="50"/>
      <c r="O21" s="50"/>
    </row>
    <row r="22" spans="1:15" ht="17.100000000000001" customHeight="1" x14ac:dyDescent="0.2">
      <c r="A22" s="91">
        <v>16</v>
      </c>
      <c r="B22" s="92" t="s">
        <v>423</v>
      </c>
      <c r="C22" s="92" t="s">
        <v>424</v>
      </c>
      <c r="D22" s="92" t="s">
        <v>233</v>
      </c>
      <c r="E22" s="93">
        <v>525000</v>
      </c>
      <c r="F22" s="94">
        <v>3805.7249999999999</v>
      </c>
      <c r="G22" s="95">
        <v>1.1957875E-2</v>
      </c>
      <c r="H22" s="47"/>
      <c r="I22" s="47"/>
      <c r="K22" s="50"/>
      <c r="L22" s="50"/>
      <c r="M22" s="50"/>
      <c r="N22" s="50"/>
      <c r="O22" s="50"/>
    </row>
    <row r="23" spans="1:15" ht="17.100000000000001" customHeight="1" x14ac:dyDescent="0.2">
      <c r="A23" s="91">
        <v>17</v>
      </c>
      <c r="B23" s="92" t="s">
        <v>70</v>
      </c>
      <c r="C23" s="92" t="s">
        <v>71</v>
      </c>
      <c r="D23" s="92" t="s">
        <v>72</v>
      </c>
      <c r="E23" s="93">
        <v>42000</v>
      </c>
      <c r="F23" s="94">
        <v>3769.143</v>
      </c>
      <c r="G23" s="95">
        <v>1.1842932E-2</v>
      </c>
      <c r="H23" s="47"/>
      <c r="I23" s="47"/>
      <c r="K23" s="50"/>
      <c r="L23" s="50"/>
      <c r="M23" s="50"/>
      <c r="N23" s="50"/>
      <c r="O23" s="50"/>
    </row>
    <row r="24" spans="1:15" ht="17.100000000000001" customHeight="1" x14ac:dyDescent="0.2">
      <c r="A24" s="91">
        <v>18</v>
      </c>
      <c r="B24" s="92" t="s">
        <v>374</v>
      </c>
      <c r="C24" s="92" t="s">
        <v>375</v>
      </c>
      <c r="D24" s="92" t="s">
        <v>103</v>
      </c>
      <c r="E24" s="93">
        <v>500363</v>
      </c>
      <c r="F24" s="94">
        <v>3671.1633310000002</v>
      </c>
      <c r="G24" s="95">
        <v>1.1535072E-2</v>
      </c>
      <c r="H24" s="47"/>
      <c r="I24" s="47"/>
      <c r="K24" s="50"/>
      <c r="L24" s="50"/>
      <c r="M24" s="50"/>
      <c r="N24" s="50"/>
      <c r="O24" s="50"/>
    </row>
    <row r="25" spans="1:15" ht="17.100000000000001" customHeight="1" x14ac:dyDescent="0.2">
      <c r="A25" s="91">
        <v>19</v>
      </c>
      <c r="B25" s="92" t="s">
        <v>567</v>
      </c>
      <c r="C25" s="92" t="s">
        <v>568</v>
      </c>
      <c r="D25" s="92" t="s">
        <v>72</v>
      </c>
      <c r="E25" s="93">
        <v>100802</v>
      </c>
      <c r="F25" s="94">
        <v>3512.44569</v>
      </c>
      <c r="G25" s="95">
        <v>1.103637E-2</v>
      </c>
      <c r="H25" s="47"/>
      <c r="I25" s="47"/>
      <c r="K25" s="50"/>
      <c r="L25" s="50"/>
      <c r="M25" s="50"/>
      <c r="N25" s="50"/>
      <c r="O25" s="50"/>
    </row>
    <row r="26" spans="1:15" ht="53.1" customHeight="1" x14ac:dyDescent="0.2">
      <c r="A26" s="91">
        <v>20</v>
      </c>
      <c r="B26" s="92" t="s">
        <v>49</v>
      </c>
      <c r="C26" s="92" t="s">
        <v>50</v>
      </c>
      <c r="D26" s="92" t="s">
        <v>51</v>
      </c>
      <c r="E26" s="93">
        <v>2300000</v>
      </c>
      <c r="F26" s="94">
        <v>3422.4</v>
      </c>
      <c r="G26" s="95">
        <v>1.0753439E-2</v>
      </c>
      <c r="H26" s="47"/>
      <c r="I26" s="47"/>
      <c r="K26" s="50"/>
      <c r="L26" s="50"/>
      <c r="M26" s="50"/>
      <c r="N26" s="50"/>
      <c r="O26" s="50"/>
    </row>
    <row r="27" spans="1:15" ht="17.100000000000001" customHeight="1" x14ac:dyDescent="0.2">
      <c r="A27" s="91">
        <v>21</v>
      </c>
      <c r="B27" s="92" t="s">
        <v>334</v>
      </c>
      <c r="C27" s="92" t="s">
        <v>335</v>
      </c>
      <c r="D27" s="92" t="s">
        <v>16</v>
      </c>
      <c r="E27" s="93">
        <v>290005</v>
      </c>
      <c r="F27" s="94">
        <v>3386.67839</v>
      </c>
      <c r="G27" s="95">
        <v>1.0641199E-2</v>
      </c>
      <c r="H27" s="47"/>
      <c r="I27" s="47"/>
      <c r="K27" s="50"/>
      <c r="L27" s="50"/>
      <c r="M27" s="50"/>
      <c r="N27" s="50"/>
      <c r="O27" s="50"/>
    </row>
    <row r="28" spans="1:15" ht="17.100000000000001" customHeight="1" x14ac:dyDescent="0.2">
      <c r="A28" s="91">
        <v>22</v>
      </c>
      <c r="B28" s="92" t="s">
        <v>87</v>
      </c>
      <c r="C28" s="92" t="s">
        <v>88</v>
      </c>
      <c r="D28" s="92" t="s">
        <v>89</v>
      </c>
      <c r="E28" s="93">
        <v>125000</v>
      </c>
      <c r="F28" s="94">
        <v>3344.1875</v>
      </c>
      <c r="G28" s="95">
        <v>1.050769E-2</v>
      </c>
      <c r="H28" s="47"/>
      <c r="I28" s="47"/>
      <c r="K28" s="50"/>
      <c r="L28" s="50"/>
      <c r="M28" s="50"/>
      <c r="N28" s="50"/>
      <c r="O28" s="50"/>
    </row>
    <row r="29" spans="1:15" ht="17.100000000000001" customHeight="1" x14ac:dyDescent="0.2">
      <c r="A29" s="91">
        <v>23</v>
      </c>
      <c r="B29" s="92" t="s">
        <v>245</v>
      </c>
      <c r="C29" s="92" t="s">
        <v>246</v>
      </c>
      <c r="D29" s="92" t="s">
        <v>31</v>
      </c>
      <c r="E29" s="93">
        <v>165000</v>
      </c>
      <c r="F29" s="94">
        <v>3109.6725000000001</v>
      </c>
      <c r="G29" s="95">
        <v>9.7708259999999998E-3</v>
      </c>
      <c r="H29" s="47"/>
      <c r="I29" s="47"/>
    </row>
    <row r="30" spans="1:15" ht="29.1" customHeight="1" x14ac:dyDescent="0.2">
      <c r="A30" s="91">
        <v>24</v>
      </c>
      <c r="B30" s="92" t="s">
        <v>189</v>
      </c>
      <c r="C30" s="92" t="s">
        <v>190</v>
      </c>
      <c r="D30" s="92" t="s">
        <v>108</v>
      </c>
      <c r="E30" s="93">
        <v>840000</v>
      </c>
      <c r="F30" s="94">
        <v>3047.94</v>
      </c>
      <c r="G30" s="95">
        <v>9.5768580000000006E-3</v>
      </c>
      <c r="H30" s="47"/>
      <c r="I30" s="47"/>
    </row>
    <row r="31" spans="1:15" ht="17.100000000000001" customHeight="1" x14ac:dyDescent="0.2">
      <c r="A31" s="91">
        <v>25</v>
      </c>
      <c r="B31" s="92" t="s">
        <v>221</v>
      </c>
      <c r="C31" s="92" t="s">
        <v>222</v>
      </c>
      <c r="D31" s="92" t="s">
        <v>179</v>
      </c>
      <c r="E31" s="93">
        <v>176400</v>
      </c>
      <c r="F31" s="94">
        <v>2974.2804000000001</v>
      </c>
      <c r="G31" s="95">
        <v>9.3454139999999998E-3</v>
      </c>
      <c r="H31" s="47"/>
      <c r="I31" s="47"/>
    </row>
    <row r="32" spans="1:15" ht="29.1" customHeight="1" x14ac:dyDescent="0.2">
      <c r="A32" s="91">
        <v>26</v>
      </c>
      <c r="B32" s="92" t="s">
        <v>208</v>
      </c>
      <c r="C32" s="92" t="s">
        <v>209</v>
      </c>
      <c r="D32" s="92" t="s">
        <v>207</v>
      </c>
      <c r="E32" s="93">
        <v>85000</v>
      </c>
      <c r="F32" s="94">
        <v>2969.0075000000002</v>
      </c>
      <c r="G32" s="95">
        <v>9.328846E-3</v>
      </c>
      <c r="H32" s="47"/>
      <c r="I32" s="47"/>
    </row>
    <row r="33" spans="1:9" ht="29.1" customHeight="1" x14ac:dyDescent="0.2">
      <c r="A33" s="91">
        <v>27</v>
      </c>
      <c r="B33" s="92" t="s">
        <v>75</v>
      </c>
      <c r="C33" s="92" t="s">
        <v>76</v>
      </c>
      <c r="D33" s="92" t="s">
        <v>25</v>
      </c>
      <c r="E33" s="93">
        <v>500000</v>
      </c>
      <c r="F33" s="94">
        <v>2853.75</v>
      </c>
      <c r="G33" s="95">
        <v>8.9666980000000004E-3</v>
      </c>
      <c r="H33" s="47"/>
      <c r="I33" s="47"/>
    </row>
    <row r="34" spans="1:9" ht="17.100000000000001" customHeight="1" x14ac:dyDescent="0.2">
      <c r="A34" s="91">
        <v>28</v>
      </c>
      <c r="B34" s="92" t="s">
        <v>690</v>
      </c>
      <c r="C34" s="92" t="s">
        <v>691</v>
      </c>
      <c r="D34" s="92" t="s">
        <v>278</v>
      </c>
      <c r="E34" s="93">
        <v>320000</v>
      </c>
      <c r="F34" s="94">
        <v>2820.64</v>
      </c>
      <c r="G34" s="95">
        <v>8.8626639999999993E-3</v>
      </c>
      <c r="H34" s="47"/>
      <c r="I34" s="47"/>
    </row>
    <row r="35" spans="1:9" ht="29.1" customHeight="1" x14ac:dyDescent="0.2">
      <c r="A35" s="91">
        <v>29</v>
      </c>
      <c r="B35" s="92" t="s">
        <v>251</v>
      </c>
      <c r="C35" s="92" t="s">
        <v>252</v>
      </c>
      <c r="D35" s="92" t="s">
        <v>215</v>
      </c>
      <c r="E35" s="93">
        <v>151887</v>
      </c>
      <c r="F35" s="94">
        <v>2703.0569955000001</v>
      </c>
      <c r="G35" s="95">
        <v>8.4932089999999998E-3</v>
      </c>
      <c r="H35" s="47"/>
      <c r="I35" s="47"/>
    </row>
    <row r="36" spans="1:9" ht="17.100000000000001" customHeight="1" x14ac:dyDescent="0.2">
      <c r="A36" s="91">
        <v>30</v>
      </c>
      <c r="B36" s="92" t="s">
        <v>302</v>
      </c>
      <c r="C36" s="92" t="s">
        <v>303</v>
      </c>
      <c r="D36" s="92" t="s">
        <v>974</v>
      </c>
      <c r="E36" s="93">
        <v>75601</v>
      </c>
      <c r="F36" s="94">
        <v>2563.4787080000001</v>
      </c>
      <c r="G36" s="95">
        <v>8.0546439999999997E-3</v>
      </c>
      <c r="H36" s="47"/>
      <c r="I36" s="47"/>
    </row>
    <row r="37" spans="1:9" ht="29.1" customHeight="1" x14ac:dyDescent="0.2">
      <c r="A37" s="91">
        <v>31</v>
      </c>
      <c r="B37" s="92" t="s">
        <v>696</v>
      </c>
      <c r="C37" s="92" t="s">
        <v>697</v>
      </c>
      <c r="D37" s="92" t="s">
        <v>278</v>
      </c>
      <c r="E37" s="93">
        <v>17000</v>
      </c>
      <c r="F37" s="94">
        <v>2411.9005000000002</v>
      </c>
      <c r="G37" s="95">
        <v>7.5783739999999997E-3</v>
      </c>
      <c r="H37" s="47"/>
      <c r="I37" s="47"/>
    </row>
    <row r="38" spans="1:9" ht="17.100000000000001" customHeight="1" x14ac:dyDescent="0.2">
      <c r="A38" s="91">
        <v>32</v>
      </c>
      <c r="B38" s="92" t="s">
        <v>309</v>
      </c>
      <c r="C38" s="92" t="s">
        <v>310</v>
      </c>
      <c r="D38" s="92" t="s">
        <v>72</v>
      </c>
      <c r="E38" s="93">
        <v>175000</v>
      </c>
      <c r="F38" s="94">
        <v>2284.8000000000002</v>
      </c>
      <c r="G38" s="95">
        <v>7.1790140000000001E-3</v>
      </c>
      <c r="H38" s="47"/>
      <c r="I38" s="47"/>
    </row>
    <row r="39" spans="1:9" ht="17.100000000000001" customHeight="1" x14ac:dyDescent="0.2">
      <c r="A39" s="91">
        <v>33</v>
      </c>
      <c r="B39" s="92" t="s">
        <v>194</v>
      </c>
      <c r="C39" s="92" t="s">
        <v>195</v>
      </c>
      <c r="D39" s="92" t="s">
        <v>196</v>
      </c>
      <c r="E39" s="93">
        <v>4800</v>
      </c>
      <c r="F39" s="94">
        <v>2275.9992000000002</v>
      </c>
      <c r="G39" s="95">
        <v>7.1513610000000002E-3</v>
      </c>
      <c r="H39" s="47"/>
      <c r="I39" s="47"/>
    </row>
    <row r="40" spans="1:9" ht="29.1" customHeight="1" x14ac:dyDescent="0.2">
      <c r="A40" s="91">
        <v>34</v>
      </c>
      <c r="B40" s="92" t="s">
        <v>101</v>
      </c>
      <c r="C40" s="92" t="s">
        <v>102</v>
      </c>
      <c r="D40" s="92" t="s">
        <v>103</v>
      </c>
      <c r="E40" s="93">
        <v>268716</v>
      </c>
      <c r="F40" s="94">
        <v>1920.916326</v>
      </c>
      <c r="G40" s="95">
        <v>6.0356639999999996E-3</v>
      </c>
      <c r="H40" s="47"/>
      <c r="I40" s="47"/>
    </row>
    <row r="41" spans="1:9" ht="17.100000000000001" customHeight="1" x14ac:dyDescent="0.2">
      <c r="A41" s="91">
        <v>35</v>
      </c>
      <c r="B41" s="92" t="s">
        <v>320</v>
      </c>
      <c r="C41" s="92" t="s">
        <v>321</v>
      </c>
      <c r="D41" s="92" t="s">
        <v>974</v>
      </c>
      <c r="E41" s="93">
        <v>455339</v>
      </c>
      <c r="F41" s="94">
        <v>1852.7743909999999</v>
      </c>
      <c r="G41" s="95">
        <v>5.8215569999999998E-3</v>
      </c>
      <c r="H41" s="47"/>
      <c r="I41" s="47"/>
    </row>
    <row r="42" spans="1:9" ht="29.1" customHeight="1" x14ac:dyDescent="0.2">
      <c r="A42" s="91">
        <v>36</v>
      </c>
      <c r="B42" s="92" t="s">
        <v>362</v>
      </c>
      <c r="C42" s="92" t="s">
        <v>363</v>
      </c>
      <c r="D42" s="92" t="s">
        <v>364</v>
      </c>
      <c r="E42" s="93">
        <v>225000</v>
      </c>
      <c r="F42" s="94">
        <v>1840.6125</v>
      </c>
      <c r="G42" s="95">
        <v>5.7833429999999998E-3</v>
      </c>
      <c r="H42" s="47"/>
      <c r="I42" s="47"/>
    </row>
    <row r="43" spans="1:9" ht="17.100000000000001" customHeight="1" x14ac:dyDescent="0.2">
      <c r="A43" s="91">
        <v>37</v>
      </c>
      <c r="B43" s="92" t="s">
        <v>184</v>
      </c>
      <c r="C43" s="92" t="s">
        <v>185</v>
      </c>
      <c r="D43" s="92" t="s">
        <v>103</v>
      </c>
      <c r="E43" s="93">
        <v>125175</v>
      </c>
      <c r="F43" s="94">
        <v>1689.8625</v>
      </c>
      <c r="G43" s="95">
        <v>5.3096760000000002E-3</v>
      </c>
      <c r="H43" s="47"/>
      <c r="I43" s="47"/>
    </row>
    <row r="44" spans="1:9" ht="17.100000000000001" customHeight="1" x14ac:dyDescent="0.2">
      <c r="A44" s="91">
        <v>38</v>
      </c>
      <c r="B44" s="92" t="s">
        <v>340</v>
      </c>
      <c r="C44" s="92" t="s">
        <v>341</v>
      </c>
      <c r="D44" s="92" t="s">
        <v>16</v>
      </c>
      <c r="E44" s="93">
        <v>530000</v>
      </c>
      <c r="F44" s="94">
        <v>1667.91</v>
      </c>
      <c r="G44" s="95">
        <v>5.2406989999999997E-3</v>
      </c>
      <c r="H44" s="47"/>
      <c r="I44" s="47"/>
    </row>
    <row r="45" spans="1:9" ht="17.100000000000001" customHeight="1" x14ac:dyDescent="0.2">
      <c r="A45" s="91">
        <v>39</v>
      </c>
      <c r="B45" s="92" t="s">
        <v>111</v>
      </c>
      <c r="C45" s="92" t="s">
        <v>112</v>
      </c>
      <c r="D45" s="92" t="s">
        <v>113</v>
      </c>
      <c r="E45" s="93">
        <v>370000</v>
      </c>
      <c r="F45" s="94">
        <v>1667.59</v>
      </c>
      <c r="G45" s="95">
        <v>5.2396939999999996E-3</v>
      </c>
      <c r="H45" s="47"/>
      <c r="I45" s="47"/>
    </row>
    <row r="46" spans="1:9" ht="29.1" customHeight="1" x14ac:dyDescent="0.2">
      <c r="A46" s="91">
        <v>40</v>
      </c>
      <c r="B46" s="92" t="s">
        <v>205</v>
      </c>
      <c r="C46" s="92" t="s">
        <v>206</v>
      </c>
      <c r="D46" s="92" t="s">
        <v>207</v>
      </c>
      <c r="E46" s="93">
        <v>175000</v>
      </c>
      <c r="F46" s="94">
        <v>1627.0625</v>
      </c>
      <c r="G46" s="95">
        <v>5.112353E-3</v>
      </c>
      <c r="H46" s="47"/>
      <c r="I46" s="47"/>
    </row>
    <row r="47" spans="1:9" ht="17.100000000000001" customHeight="1" x14ac:dyDescent="0.2">
      <c r="A47" s="91">
        <v>41</v>
      </c>
      <c r="B47" s="92" t="s">
        <v>26</v>
      </c>
      <c r="C47" s="92" t="s">
        <v>27</v>
      </c>
      <c r="D47" s="92" t="s">
        <v>28</v>
      </c>
      <c r="E47" s="93">
        <v>900000</v>
      </c>
      <c r="F47" s="94">
        <v>1549.8</v>
      </c>
      <c r="G47" s="95">
        <v>4.8695889999999997E-3</v>
      </c>
      <c r="H47" s="47"/>
      <c r="I47" s="47"/>
    </row>
    <row r="48" spans="1:9" ht="29.1" customHeight="1" x14ac:dyDescent="0.2">
      <c r="A48" s="91">
        <v>42</v>
      </c>
      <c r="B48" s="92" t="s">
        <v>23</v>
      </c>
      <c r="C48" s="92" t="s">
        <v>24</v>
      </c>
      <c r="D48" s="92" t="s">
        <v>25</v>
      </c>
      <c r="E48" s="93">
        <v>21379</v>
      </c>
      <c r="F48" s="94">
        <v>1512.9918299999999</v>
      </c>
      <c r="G48" s="95">
        <v>4.7539349999999999E-3</v>
      </c>
      <c r="H48" s="47"/>
      <c r="I48" s="47"/>
    </row>
    <row r="49" spans="1:9" ht="17.100000000000001" customHeight="1" x14ac:dyDescent="0.2">
      <c r="A49" s="91">
        <v>43</v>
      </c>
      <c r="B49" s="92" t="s">
        <v>36</v>
      </c>
      <c r="C49" s="92" t="s">
        <v>37</v>
      </c>
      <c r="D49" s="92" t="s">
        <v>38</v>
      </c>
      <c r="E49" s="93">
        <v>50000</v>
      </c>
      <c r="F49" s="94">
        <v>1500.35</v>
      </c>
      <c r="G49" s="95">
        <v>4.7142130000000001E-3</v>
      </c>
      <c r="H49" s="47"/>
      <c r="I49" s="47"/>
    </row>
    <row r="50" spans="1:9" ht="17.100000000000001" customHeight="1" x14ac:dyDescent="0.2">
      <c r="A50" s="91">
        <v>44</v>
      </c>
      <c r="B50" s="92" t="s">
        <v>265</v>
      </c>
      <c r="C50" s="92" t="s">
        <v>266</v>
      </c>
      <c r="D50" s="92" t="s">
        <v>267</v>
      </c>
      <c r="E50" s="93">
        <v>166000</v>
      </c>
      <c r="F50" s="94">
        <v>1473.4159999999999</v>
      </c>
      <c r="G50" s="95">
        <v>4.629584E-3</v>
      </c>
      <c r="H50" s="47"/>
      <c r="I50" s="47"/>
    </row>
    <row r="51" spans="1:9" ht="17.100000000000001" customHeight="1" x14ac:dyDescent="0.2">
      <c r="A51" s="91">
        <v>45</v>
      </c>
      <c r="B51" s="92" t="s">
        <v>247</v>
      </c>
      <c r="C51" s="92" t="s">
        <v>248</v>
      </c>
      <c r="D51" s="92" t="s">
        <v>103</v>
      </c>
      <c r="E51" s="93">
        <v>207500</v>
      </c>
      <c r="F51" s="94">
        <v>1225.2874999999999</v>
      </c>
      <c r="G51" s="95">
        <v>3.8499459999999999E-3</v>
      </c>
      <c r="H51" s="47"/>
      <c r="I51" s="47"/>
    </row>
    <row r="52" spans="1:9" ht="17.100000000000001" customHeight="1" x14ac:dyDescent="0.2">
      <c r="A52" s="91">
        <v>46</v>
      </c>
      <c r="B52" s="92" t="s">
        <v>228</v>
      </c>
      <c r="C52" s="92" t="s">
        <v>229</v>
      </c>
      <c r="D52" s="92" t="s">
        <v>230</v>
      </c>
      <c r="E52" s="93">
        <v>452752</v>
      </c>
      <c r="F52" s="94">
        <v>1197.981792</v>
      </c>
      <c r="G52" s="95">
        <v>3.7641490000000001E-3</v>
      </c>
      <c r="H52" s="47"/>
      <c r="I52" s="47"/>
    </row>
    <row r="53" spans="1:9" ht="53.1" customHeight="1" x14ac:dyDescent="0.2">
      <c r="A53" s="91">
        <v>47</v>
      </c>
      <c r="B53" s="92" t="s">
        <v>94</v>
      </c>
      <c r="C53" s="92" t="s">
        <v>95</v>
      </c>
      <c r="D53" s="92" t="s">
        <v>51</v>
      </c>
      <c r="E53" s="93">
        <v>80000</v>
      </c>
      <c r="F53" s="94">
        <v>1174.76</v>
      </c>
      <c r="G53" s="95">
        <v>3.691185E-3</v>
      </c>
      <c r="H53" s="47"/>
      <c r="I53" s="47"/>
    </row>
    <row r="54" spans="1:9" ht="17.100000000000001" customHeight="1" x14ac:dyDescent="0.2">
      <c r="A54" s="91">
        <v>48</v>
      </c>
      <c r="B54" s="92" t="s">
        <v>328</v>
      </c>
      <c r="C54" s="92" t="s">
        <v>329</v>
      </c>
      <c r="D54" s="92" t="s">
        <v>16</v>
      </c>
      <c r="E54" s="93">
        <v>60010</v>
      </c>
      <c r="F54" s="94">
        <v>1168.4247049999999</v>
      </c>
      <c r="G54" s="95">
        <v>3.6712789999999999E-3</v>
      </c>
      <c r="H54" s="47"/>
      <c r="I54" s="47"/>
    </row>
    <row r="55" spans="1:9" ht="17.100000000000001" customHeight="1" x14ac:dyDescent="0.2">
      <c r="A55" s="91">
        <v>49</v>
      </c>
      <c r="B55" s="92" t="s">
        <v>344</v>
      </c>
      <c r="C55" s="92" t="s">
        <v>345</v>
      </c>
      <c r="D55" s="92" t="s">
        <v>103</v>
      </c>
      <c r="E55" s="93">
        <v>15000</v>
      </c>
      <c r="F55" s="94">
        <v>1008.1425</v>
      </c>
      <c r="G55" s="95">
        <v>3.1676600000000001E-3</v>
      </c>
      <c r="H55" s="47"/>
      <c r="I55" s="47"/>
    </row>
    <row r="56" spans="1:9" ht="17.100000000000001" customHeight="1" x14ac:dyDescent="0.2">
      <c r="A56" s="91">
        <v>50</v>
      </c>
      <c r="B56" s="92" t="s">
        <v>175</v>
      </c>
      <c r="C56" s="92" t="s">
        <v>176</v>
      </c>
      <c r="D56" s="92" t="s">
        <v>16</v>
      </c>
      <c r="E56" s="93">
        <v>750000</v>
      </c>
      <c r="F56" s="94">
        <v>985.875</v>
      </c>
      <c r="G56" s="95">
        <v>3.0976939999999998E-3</v>
      </c>
      <c r="H56" s="47"/>
      <c r="I56" s="47"/>
    </row>
    <row r="57" spans="1:9" ht="17.100000000000001" customHeight="1" x14ac:dyDescent="0.2">
      <c r="A57" s="91">
        <v>51</v>
      </c>
      <c r="B57" s="92" t="s">
        <v>268</v>
      </c>
      <c r="C57" s="92" t="s">
        <v>269</v>
      </c>
      <c r="D57" s="92" t="s">
        <v>89</v>
      </c>
      <c r="E57" s="93">
        <v>160000</v>
      </c>
      <c r="F57" s="94">
        <v>880.24</v>
      </c>
      <c r="G57" s="95">
        <v>2.7657810000000001E-3</v>
      </c>
      <c r="H57" s="47"/>
      <c r="I57" s="47"/>
    </row>
    <row r="58" spans="1:9" ht="29.1" customHeight="1" x14ac:dyDescent="0.2">
      <c r="A58" s="91">
        <v>52</v>
      </c>
      <c r="B58" s="92" t="s">
        <v>58</v>
      </c>
      <c r="C58" s="92" t="s">
        <v>59</v>
      </c>
      <c r="D58" s="92" t="s">
        <v>60</v>
      </c>
      <c r="E58" s="93">
        <v>97208</v>
      </c>
      <c r="F58" s="94">
        <v>856.40247999999997</v>
      </c>
      <c r="G58" s="95">
        <v>2.690881E-3</v>
      </c>
      <c r="H58" s="47"/>
      <c r="I58" s="47"/>
    </row>
    <row r="59" spans="1:9" ht="17.100000000000001" customHeight="1" x14ac:dyDescent="0.2">
      <c r="A59" s="91">
        <v>53</v>
      </c>
      <c r="B59" s="92" t="s">
        <v>311</v>
      </c>
      <c r="C59" s="92" t="s">
        <v>312</v>
      </c>
      <c r="D59" s="92" t="s">
        <v>974</v>
      </c>
      <c r="E59" s="93">
        <v>74693</v>
      </c>
      <c r="F59" s="94">
        <v>837.15914399999997</v>
      </c>
      <c r="G59" s="95">
        <v>2.6304169999999999E-3</v>
      </c>
      <c r="H59" s="47"/>
      <c r="I59" s="47"/>
    </row>
    <row r="60" spans="1:9" ht="29.1" customHeight="1" x14ac:dyDescent="0.2">
      <c r="A60" s="91">
        <v>54</v>
      </c>
      <c r="B60" s="92" t="s">
        <v>257</v>
      </c>
      <c r="C60" s="92" t="s">
        <v>258</v>
      </c>
      <c r="D60" s="92" t="s">
        <v>215</v>
      </c>
      <c r="E60" s="93">
        <v>75000</v>
      </c>
      <c r="F60" s="94">
        <v>307.42500000000001</v>
      </c>
      <c r="G60" s="95">
        <v>9.6595299999999997E-4</v>
      </c>
      <c r="H60" s="47"/>
      <c r="I60" s="47"/>
    </row>
    <row r="61" spans="1:9" ht="17.100000000000001" customHeight="1" x14ac:dyDescent="0.2">
      <c r="A61" s="91">
        <v>55</v>
      </c>
      <c r="B61" s="92" t="s">
        <v>125</v>
      </c>
      <c r="C61" s="92" t="s">
        <v>126</v>
      </c>
      <c r="D61" s="92"/>
      <c r="E61" s="93">
        <v>80000</v>
      </c>
      <c r="F61" s="94">
        <v>241.4</v>
      </c>
      <c r="G61" s="95">
        <v>7.5849700000000001E-4</v>
      </c>
      <c r="H61" s="47"/>
      <c r="I61" s="47"/>
    </row>
    <row r="62" spans="1:9" ht="14.1" customHeight="1" x14ac:dyDescent="0.2">
      <c r="A62" s="89"/>
      <c r="B62" s="89"/>
      <c r="C62" s="90" t="s">
        <v>130</v>
      </c>
      <c r="D62" s="89"/>
      <c r="E62" s="89" t="s">
        <v>131</v>
      </c>
      <c r="F62" s="96">
        <v>246486.15944349996</v>
      </c>
      <c r="G62" s="97">
        <v>0.77448312799999997</v>
      </c>
      <c r="H62" s="47"/>
      <c r="I62" s="47"/>
    </row>
    <row r="63" spans="1:9" ht="14.1" customHeight="1" x14ac:dyDescent="0.2">
      <c r="A63" s="89"/>
      <c r="B63" s="89"/>
      <c r="C63" s="98"/>
      <c r="D63" s="89"/>
      <c r="E63" s="89"/>
      <c r="F63" s="99"/>
      <c r="G63" s="99"/>
      <c r="H63" s="47"/>
      <c r="I63" s="47"/>
    </row>
    <row r="64" spans="1:9" ht="14.1" customHeight="1" x14ac:dyDescent="0.2">
      <c r="A64" s="89"/>
      <c r="B64" s="89"/>
      <c r="C64" s="90" t="s">
        <v>132</v>
      </c>
      <c r="D64" s="89"/>
      <c r="E64" s="89"/>
      <c r="F64" s="89"/>
      <c r="G64" s="89"/>
      <c r="H64" s="47"/>
      <c r="I64" s="47"/>
    </row>
    <row r="65" spans="1:9" ht="14.1" customHeight="1" x14ac:dyDescent="0.2">
      <c r="A65" s="89"/>
      <c r="B65" s="89"/>
      <c r="C65" s="90" t="s">
        <v>130</v>
      </c>
      <c r="D65" s="89"/>
      <c r="E65" s="89" t="s">
        <v>131</v>
      </c>
      <c r="F65" s="100">
        <v>0</v>
      </c>
      <c r="G65" s="101">
        <v>0</v>
      </c>
      <c r="H65" s="47"/>
      <c r="I65" s="47"/>
    </row>
    <row r="66" spans="1:9" ht="14.1" customHeight="1" x14ac:dyDescent="0.2">
      <c r="A66" s="89"/>
      <c r="B66" s="89"/>
      <c r="C66" s="98"/>
      <c r="D66" s="89"/>
      <c r="E66" s="89"/>
      <c r="F66" s="99"/>
      <c r="G66" s="99"/>
      <c r="H66" s="47"/>
      <c r="I66" s="47"/>
    </row>
    <row r="67" spans="1:9" ht="14.1" customHeight="1" x14ac:dyDescent="0.2">
      <c r="A67" s="89"/>
      <c r="B67" s="89"/>
      <c r="C67" s="90" t="s">
        <v>133</v>
      </c>
      <c r="D67" s="89"/>
      <c r="E67" s="89"/>
      <c r="F67" s="89"/>
      <c r="G67" s="89"/>
      <c r="H67" s="47"/>
      <c r="I67" s="47"/>
    </row>
    <row r="68" spans="1:9" ht="29.1" customHeight="1" x14ac:dyDescent="0.2">
      <c r="A68" s="91">
        <v>1</v>
      </c>
      <c r="B68" s="92" t="s">
        <v>626</v>
      </c>
      <c r="C68" s="45" t="s">
        <v>956</v>
      </c>
      <c r="D68" s="92" t="s">
        <v>627</v>
      </c>
      <c r="E68" s="93">
        <v>30579</v>
      </c>
      <c r="F68" s="94">
        <v>1.5901080000000001</v>
      </c>
      <c r="G68" s="102" t="s">
        <v>129</v>
      </c>
      <c r="H68" s="47"/>
      <c r="I68" s="47"/>
    </row>
    <row r="69" spans="1:9" ht="14.1" customHeight="1" x14ac:dyDescent="0.2">
      <c r="A69" s="89"/>
      <c r="B69" s="89"/>
      <c r="C69" s="90" t="s">
        <v>130</v>
      </c>
      <c r="D69" s="89"/>
      <c r="E69" s="89" t="s">
        <v>131</v>
      </c>
      <c r="F69" s="100">
        <v>1.5901080000000001</v>
      </c>
      <c r="G69" s="101">
        <v>0</v>
      </c>
      <c r="H69" s="47"/>
      <c r="I69" s="47"/>
    </row>
    <row r="70" spans="1:9" ht="14.1" customHeight="1" x14ac:dyDescent="0.2">
      <c r="A70" s="89"/>
      <c r="B70" s="89"/>
      <c r="C70" s="98"/>
      <c r="D70" s="89"/>
      <c r="E70" s="89"/>
      <c r="F70" s="99"/>
      <c r="G70" s="99"/>
      <c r="H70" s="47"/>
      <c r="I70" s="47"/>
    </row>
    <row r="71" spans="1:9" ht="14.1" customHeight="1" x14ac:dyDescent="0.2">
      <c r="A71" s="89"/>
      <c r="B71" s="89"/>
      <c r="C71" s="90" t="s">
        <v>134</v>
      </c>
      <c r="D71" s="89"/>
      <c r="E71" s="89"/>
      <c r="F71" s="89"/>
      <c r="G71" s="89"/>
      <c r="H71" s="47"/>
      <c r="I71" s="47"/>
    </row>
    <row r="72" spans="1:9" ht="14.1" customHeight="1" x14ac:dyDescent="0.2">
      <c r="A72" s="89"/>
      <c r="B72" s="89"/>
      <c r="C72" s="90" t="s">
        <v>130</v>
      </c>
      <c r="D72" s="89"/>
      <c r="E72" s="89" t="s">
        <v>131</v>
      </c>
      <c r="F72" s="100">
        <v>0</v>
      </c>
      <c r="G72" s="101">
        <v>0</v>
      </c>
      <c r="H72" s="47"/>
      <c r="I72" s="47"/>
    </row>
    <row r="73" spans="1:9" ht="14.1" customHeight="1" x14ac:dyDescent="0.2">
      <c r="A73" s="89"/>
      <c r="B73" s="89"/>
      <c r="C73" s="98"/>
      <c r="D73" s="89"/>
      <c r="E73" s="89"/>
      <c r="F73" s="99"/>
      <c r="G73" s="99"/>
      <c r="H73" s="47"/>
      <c r="I73" s="47"/>
    </row>
    <row r="74" spans="1:9" ht="14.1" customHeight="1" x14ac:dyDescent="0.2">
      <c r="A74" s="89"/>
      <c r="B74" s="89"/>
      <c r="C74" s="90" t="s">
        <v>135</v>
      </c>
      <c r="D74" s="89"/>
      <c r="E74" s="89"/>
      <c r="F74" s="99"/>
      <c r="G74" s="99"/>
      <c r="H74" s="47"/>
      <c r="I74" s="47"/>
    </row>
    <row r="75" spans="1:9" ht="14.1" customHeight="1" x14ac:dyDescent="0.2">
      <c r="A75" s="89"/>
      <c r="B75" s="89"/>
      <c r="C75" s="90" t="s">
        <v>130</v>
      </c>
      <c r="D75" s="89"/>
      <c r="E75" s="89" t="s">
        <v>131</v>
      </c>
      <c r="F75" s="100">
        <v>0</v>
      </c>
      <c r="G75" s="101">
        <v>0</v>
      </c>
      <c r="H75" s="47"/>
      <c r="I75" s="47"/>
    </row>
    <row r="76" spans="1:9" ht="14.1" customHeight="1" x14ac:dyDescent="0.2">
      <c r="A76" s="89"/>
      <c r="B76" s="89"/>
      <c r="C76" s="98"/>
      <c r="D76" s="89"/>
      <c r="E76" s="89"/>
      <c r="F76" s="99"/>
      <c r="G76" s="99"/>
      <c r="H76" s="47"/>
      <c r="I76" s="47"/>
    </row>
    <row r="77" spans="1:9" ht="14.1" customHeight="1" x14ac:dyDescent="0.2">
      <c r="A77" s="89"/>
      <c r="B77" s="89"/>
      <c r="C77" s="90" t="s">
        <v>136</v>
      </c>
      <c r="D77" s="89"/>
      <c r="E77" s="89"/>
      <c r="F77" s="99"/>
      <c r="G77" s="99"/>
      <c r="H77" s="47"/>
      <c r="I77" s="47"/>
    </row>
    <row r="78" spans="1:9" ht="33" customHeight="1" x14ac:dyDescent="0.2">
      <c r="A78" s="91">
        <v>1</v>
      </c>
      <c r="B78" s="92"/>
      <c r="C78" s="92" t="s">
        <v>900</v>
      </c>
      <c r="D78" s="92" t="s">
        <v>551</v>
      </c>
      <c r="E78" s="93">
        <v>96000</v>
      </c>
      <c r="F78" s="94">
        <v>1230.72</v>
      </c>
      <c r="G78" s="95">
        <v>3.8670150000000001E-3</v>
      </c>
      <c r="H78" s="47"/>
      <c r="I78" s="47"/>
    </row>
    <row r="79" spans="1:9" ht="14.1" customHeight="1" x14ac:dyDescent="0.2">
      <c r="A79" s="89"/>
      <c r="B79" s="89"/>
      <c r="C79" s="90" t="s">
        <v>130</v>
      </c>
      <c r="D79" s="89"/>
      <c r="E79" s="89" t="s">
        <v>131</v>
      </c>
      <c r="F79" s="96">
        <v>1230.72</v>
      </c>
      <c r="G79" s="97">
        <v>3.8670150000000001E-3</v>
      </c>
      <c r="H79" s="47"/>
      <c r="I79" s="47"/>
    </row>
    <row r="80" spans="1:9" ht="14.1" customHeight="1" x14ac:dyDescent="0.2">
      <c r="A80" s="89"/>
      <c r="B80" s="89"/>
      <c r="C80" s="98"/>
      <c r="D80" s="89"/>
      <c r="E80" s="89"/>
      <c r="F80" s="99"/>
      <c r="G80" s="99"/>
      <c r="H80" s="47"/>
      <c r="I80" s="47"/>
    </row>
    <row r="81" spans="1:10" ht="18" customHeight="1" x14ac:dyDescent="0.2">
      <c r="A81" s="89"/>
      <c r="B81" s="89"/>
      <c r="C81" s="90" t="s">
        <v>137</v>
      </c>
      <c r="D81" s="89"/>
      <c r="E81" s="89"/>
      <c r="F81" s="96">
        <v>247718.46955149999</v>
      </c>
      <c r="G81" s="97">
        <v>0.77835014300000005</v>
      </c>
      <c r="H81" s="47"/>
      <c r="I81" s="47"/>
    </row>
    <row r="82" spans="1:10" ht="14.1" customHeight="1" x14ac:dyDescent="0.2">
      <c r="A82" s="89"/>
      <c r="B82" s="89"/>
      <c r="C82" s="98"/>
      <c r="D82" s="89"/>
      <c r="E82" s="89"/>
      <c r="F82" s="99"/>
      <c r="G82" s="99"/>
      <c r="H82" s="47"/>
      <c r="I82" s="47"/>
    </row>
    <row r="83" spans="1:10" ht="14.1" customHeight="1" x14ac:dyDescent="0.2">
      <c r="A83" s="89"/>
      <c r="B83" s="89"/>
      <c r="C83" s="90" t="s">
        <v>138</v>
      </c>
      <c r="D83" s="89"/>
      <c r="E83" s="89"/>
      <c r="F83" s="99"/>
      <c r="G83" s="99"/>
      <c r="H83" s="47"/>
      <c r="I83" s="47"/>
    </row>
    <row r="84" spans="1:10" ht="24" customHeight="1" x14ac:dyDescent="0.2">
      <c r="A84" s="89"/>
      <c r="B84" s="89"/>
      <c r="C84" s="90" t="s">
        <v>10</v>
      </c>
      <c r="D84" s="89"/>
      <c r="E84" s="89"/>
      <c r="F84" s="99"/>
      <c r="G84" s="99"/>
      <c r="H84" s="47"/>
      <c r="I84" s="47"/>
    </row>
    <row r="85" spans="1:10" ht="29.1" customHeight="1" x14ac:dyDescent="0.2">
      <c r="A85" s="91">
        <v>1</v>
      </c>
      <c r="B85" s="92" t="s">
        <v>743</v>
      </c>
      <c r="C85" s="92" t="s">
        <v>744</v>
      </c>
      <c r="D85" s="92" t="s">
        <v>581</v>
      </c>
      <c r="E85" s="93">
        <v>250</v>
      </c>
      <c r="F85" s="94">
        <v>2493.7950000000001</v>
      </c>
      <c r="G85" s="95">
        <v>7.835692E-3</v>
      </c>
      <c r="H85" s="47">
        <v>7.18</v>
      </c>
      <c r="I85" s="47"/>
    </row>
    <row r="86" spans="1:10" ht="17.100000000000001" customHeight="1" x14ac:dyDescent="0.2">
      <c r="A86" s="91">
        <v>2</v>
      </c>
      <c r="B86" s="92" t="s">
        <v>745</v>
      </c>
      <c r="C86" s="92" t="s">
        <v>746</v>
      </c>
      <c r="D86" s="92" t="s">
        <v>581</v>
      </c>
      <c r="E86" s="93">
        <v>250</v>
      </c>
      <c r="F86" s="94">
        <v>2438.0475000000001</v>
      </c>
      <c r="G86" s="95">
        <v>7.6605290000000001E-3</v>
      </c>
      <c r="H86" s="47">
        <v>7.4550000000000001</v>
      </c>
      <c r="I86" s="47"/>
    </row>
    <row r="87" spans="1:10" ht="28.5" customHeight="1" x14ac:dyDescent="0.2">
      <c r="A87" s="103">
        <v>3</v>
      </c>
      <c r="B87" s="45" t="s">
        <v>747</v>
      </c>
      <c r="C87" s="45" t="s">
        <v>1019</v>
      </c>
      <c r="D87" s="45" t="s">
        <v>748</v>
      </c>
      <c r="E87" s="46">
        <v>150</v>
      </c>
      <c r="F87" s="47">
        <v>1512.588</v>
      </c>
      <c r="G87" s="48">
        <v>4.752666E-3</v>
      </c>
      <c r="H87" s="47">
        <v>8.3591999999999995</v>
      </c>
      <c r="I87" s="47">
        <v>7.746975334</v>
      </c>
    </row>
    <row r="88" spans="1:10" ht="29.1" customHeight="1" x14ac:dyDescent="0.2">
      <c r="A88" s="91">
        <v>4</v>
      </c>
      <c r="B88" s="92" t="s">
        <v>749</v>
      </c>
      <c r="C88" s="92" t="s">
        <v>750</v>
      </c>
      <c r="D88" s="92" t="s">
        <v>581</v>
      </c>
      <c r="E88" s="93">
        <v>150</v>
      </c>
      <c r="F88" s="94">
        <v>1490.7360000000001</v>
      </c>
      <c r="G88" s="95">
        <v>4.6840049999999998E-3</v>
      </c>
      <c r="H88" s="47">
        <v>7.38</v>
      </c>
      <c r="I88" s="47"/>
      <c r="J88" s="58"/>
    </row>
    <row r="89" spans="1:10" ht="29.1" customHeight="1" x14ac:dyDescent="0.2">
      <c r="A89" s="91">
        <v>5</v>
      </c>
      <c r="B89" s="92" t="s">
        <v>751</v>
      </c>
      <c r="C89" s="92" t="s">
        <v>752</v>
      </c>
      <c r="D89" s="92" t="s">
        <v>581</v>
      </c>
      <c r="E89" s="93">
        <v>150</v>
      </c>
      <c r="F89" s="94">
        <v>1489.1115</v>
      </c>
      <c r="G89" s="95">
        <v>4.6789010000000001E-3</v>
      </c>
      <c r="H89" s="47">
        <v>7.7</v>
      </c>
      <c r="I89" s="47"/>
    </row>
    <row r="90" spans="1:10" ht="29.1" customHeight="1" x14ac:dyDescent="0.2">
      <c r="A90" s="91">
        <v>6</v>
      </c>
      <c r="B90" s="92" t="s">
        <v>753</v>
      </c>
      <c r="C90" s="92" t="s">
        <v>754</v>
      </c>
      <c r="D90" s="92" t="s">
        <v>581</v>
      </c>
      <c r="E90" s="93">
        <v>100</v>
      </c>
      <c r="F90" s="94">
        <v>1008.087</v>
      </c>
      <c r="G90" s="95">
        <v>3.1674849999999998E-3</v>
      </c>
      <c r="H90" s="47">
        <v>7.46</v>
      </c>
      <c r="I90" s="47"/>
    </row>
    <row r="91" spans="1:10" ht="29.1" customHeight="1" x14ac:dyDescent="0.2">
      <c r="A91" s="91">
        <v>7</v>
      </c>
      <c r="B91" s="92" t="s">
        <v>755</v>
      </c>
      <c r="C91" s="92" t="s">
        <v>756</v>
      </c>
      <c r="D91" s="92" t="s">
        <v>581</v>
      </c>
      <c r="E91" s="93">
        <v>100</v>
      </c>
      <c r="F91" s="94">
        <v>1002.65</v>
      </c>
      <c r="G91" s="95">
        <v>3.1504020000000001E-3</v>
      </c>
      <c r="H91" s="47">
        <v>7.4450000000000003</v>
      </c>
      <c r="I91" s="47"/>
      <c r="J91" s="58"/>
    </row>
    <row r="92" spans="1:10" ht="29.1" customHeight="1" x14ac:dyDescent="0.2">
      <c r="A92" s="91">
        <v>8</v>
      </c>
      <c r="B92" s="92" t="s">
        <v>757</v>
      </c>
      <c r="C92" s="92" t="s">
        <v>758</v>
      </c>
      <c r="D92" s="92" t="s">
        <v>581</v>
      </c>
      <c r="E92" s="93">
        <v>100</v>
      </c>
      <c r="F92" s="94">
        <v>1001.896</v>
      </c>
      <c r="G92" s="95">
        <v>3.1480330000000002E-3</v>
      </c>
      <c r="H92" s="47">
        <v>7.5789</v>
      </c>
      <c r="I92" s="47"/>
    </row>
    <row r="93" spans="1:10" ht="29.1" customHeight="1" x14ac:dyDescent="0.2">
      <c r="A93" s="91">
        <v>9</v>
      </c>
      <c r="B93" s="92" t="s">
        <v>759</v>
      </c>
      <c r="C93" s="92" t="s">
        <v>760</v>
      </c>
      <c r="D93" s="92" t="s">
        <v>581</v>
      </c>
      <c r="E93" s="93">
        <v>100</v>
      </c>
      <c r="F93" s="94">
        <v>1000.207</v>
      </c>
      <c r="G93" s="95">
        <v>3.1427260000000002E-3</v>
      </c>
      <c r="H93" s="47">
        <v>6.82</v>
      </c>
      <c r="I93" s="47"/>
    </row>
    <row r="94" spans="1:10" ht="29.1" customHeight="1" x14ac:dyDescent="0.2">
      <c r="A94" s="91">
        <v>10</v>
      </c>
      <c r="B94" s="92" t="s">
        <v>761</v>
      </c>
      <c r="C94" s="92" t="s">
        <v>762</v>
      </c>
      <c r="D94" s="92" t="s">
        <v>603</v>
      </c>
      <c r="E94" s="93">
        <v>100</v>
      </c>
      <c r="F94" s="94">
        <v>994.05799999999999</v>
      </c>
      <c r="G94" s="95">
        <v>3.1234050000000001E-3</v>
      </c>
      <c r="H94" s="47">
        <v>7.1150000000000002</v>
      </c>
      <c r="I94" s="47"/>
    </row>
    <row r="95" spans="1:10" ht="29.1" customHeight="1" x14ac:dyDescent="0.2">
      <c r="A95" s="91">
        <v>11</v>
      </c>
      <c r="B95" s="92" t="s">
        <v>763</v>
      </c>
      <c r="C95" s="92" t="s">
        <v>764</v>
      </c>
      <c r="D95" s="92" t="s">
        <v>581</v>
      </c>
      <c r="E95" s="93">
        <v>100</v>
      </c>
      <c r="F95" s="94">
        <v>956.86</v>
      </c>
      <c r="G95" s="95">
        <v>3.0065259999999998E-3</v>
      </c>
      <c r="H95" s="47">
        <v>7.4450000000000003</v>
      </c>
      <c r="I95" s="47"/>
    </row>
    <row r="96" spans="1:10" ht="17.100000000000001" customHeight="1" x14ac:dyDescent="0.2">
      <c r="A96" s="91">
        <v>12</v>
      </c>
      <c r="B96" s="92" t="s">
        <v>610</v>
      </c>
      <c r="C96" s="92" t="s">
        <v>611</v>
      </c>
      <c r="D96" s="92" t="s">
        <v>581</v>
      </c>
      <c r="E96" s="93">
        <v>55</v>
      </c>
      <c r="F96" s="94">
        <v>550.0308</v>
      </c>
      <c r="G96" s="95">
        <v>1.728238E-3</v>
      </c>
      <c r="H96" s="47">
        <v>6.7249999999999996</v>
      </c>
      <c r="I96" s="47"/>
    </row>
    <row r="97" spans="1:9" ht="17.100000000000001" customHeight="1" x14ac:dyDescent="0.2">
      <c r="A97" s="91">
        <v>13</v>
      </c>
      <c r="B97" s="92" t="s">
        <v>765</v>
      </c>
      <c r="C97" s="92" t="s">
        <v>766</v>
      </c>
      <c r="D97" s="92" t="s">
        <v>767</v>
      </c>
      <c r="E97" s="93">
        <v>50</v>
      </c>
      <c r="F97" s="94">
        <v>499.59249999999997</v>
      </c>
      <c r="G97" s="95">
        <v>1.569757E-3</v>
      </c>
      <c r="H97" s="47">
        <v>7.6150000000000002</v>
      </c>
      <c r="I97" s="47"/>
    </row>
    <row r="98" spans="1:9" ht="29.1" customHeight="1" x14ac:dyDescent="0.2">
      <c r="A98" s="91">
        <v>14</v>
      </c>
      <c r="B98" s="92" t="s">
        <v>601</v>
      </c>
      <c r="C98" s="92" t="s">
        <v>602</v>
      </c>
      <c r="D98" s="92" t="s">
        <v>603</v>
      </c>
      <c r="E98" s="93">
        <v>50</v>
      </c>
      <c r="F98" s="94">
        <v>492.24299999999999</v>
      </c>
      <c r="G98" s="95">
        <v>1.546665E-3</v>
      </c>
      <c r="H98" s="47">
        <v>7.5774999999999997</v>
      </c>
      <c r="I98" s="47"/>
    </row>
    <row r="99" spans="1:9" ht="29.1" customHeight="1" x14ac:dyDescent="0.2">
      <c r="A99" s="91">
        <v>15</v>
      </c>
      <c r="B99" s="92" t="s">
        <v>768</v>
      </c>
      <c r="C99" s="92" t="s">
        <v>769</v>
      </c>
      <c r="D99" s="92" t="s">
        <v>581</v>
      </c>
      <c r="E99" s="93">
        <v>40</v>
      </c>
      <c r="F99" s="94">
        <v>400.82679999999999</v>
      </c>
      <c r="G99" s="95">
        <v>1.2594279999999999E-3</v>
      </c>
      <c r="H99" s="47">
        <v>6.77</v>
      </c>
      <c r="I99" s="47"/>
    </row>
    <row r="100" spans="1:9" ht="29.1" customHeight="1" x14ac:dyDescent="0.2">
      <c r="A100" s="91">
        <v>16</v>
      </c>
      <c r="B100" s="92" t="s">
        <v>770</v>
      </c>
      <c r="C100" s="92" t="s">
        <v>771</v>
      </c>
      <c r="D100" s="92" t="s">
        <v>581</v>
      </c>
      <c r="E100" s="93">
        <v>20</v>
      </c>
      <c r="F100" s="94">
        <v>199.34180000000001</v>
      </c>
      <c r="G100" s="95">
        <v>6.2634699999999997E-4</v>
      </c>
      <c r="H100" s="47">
        <v>7.1550000000000002</v>
      </c>
      <c r="I100" s="47"/>
    </row>
    <row r="101" spans="1:9" ht="29.1" customHeight="1" x14ac:dyDescent="0.2">
      <c r="A101" s="91">
        <v>17</v>
      </c>
      <c r="B101" s="92" t="s">
        <v>772</v>
      </c>
      <c r="C101" s="92" t="s">
        <v>773</v>
      </c>
      <c r="D101" s="92" t="s">
        <v>581</v>
      </c>
      <c r="E101" s="93">
        <v>20</v>
      </c>
      <c r="F101" s="94">
        <v>193.41800000000001</v>
      </c>
      <c r="G101" s="95">
        <v>6.0773399999999997E-4</v>
      </c>
      <c r="H101" s="47">
        <v>7.4450000000000003</v>
      </c>
      <c r="I101" s="47"/>
    </row>
    <row r="102" spans="1:9" ht="14.1" customHeight="1" x14ac:dyDescent="0.2">
      <c r="A102" s="89"/>
      <c r="B102" s="89"/>
      <c r="C102" s="90" t="s">
        <v>130</v>
      </c>
      <c r="D102" s="89"/>
      <c r="E102" s="89" t="s">
        <v>131</v>
      </c>
      <c r="F102" s="96">
        <v>17723.4889</v>
      </c>
      <c r="G102" s="97">
        <v>5.5688539000000002E-2</v>
      </c>
      <c r="H102" s="47"/>
      <c r="I102" s="47"/>
    </row>
    <row r="103" spans="1:9" ht="14.1" customHeight="1" x14ac:dyDescent="0.2">
      <c r="A103" s="89"/>
      <c r="B103" s="89"/>
      <c r="C103" s="98"/>
      <c r="D103" s="89"/>
      <c r="E103" s="89"/>
      <c r="F103" s="99"/>
      <c r="G103" s="99"/>
      <c r="H103" s="47"/>
      <c r="I103" s="47"/>
    </row>
    <row r="104" spans="1:9" ht="14.1" customHeight="1" x14ac:dyDescent="0.2">
      <c r="A104" s="89"/>
      <c r="B104" s="89"/>
      <c r="C104" s="90" t="s">
        <v>139</v>
      </c>
      <c r="D104" s="89"/>
      <c r="E104" s="89"/>
      <c r="F104" s="89"/>
      <c r="G104" s="89"/>
      <c r="H104" s="47"/>
      <c r="I104" s="47"/>
    </row>
    <row r="105" spans="1:9" ht="17.100000000000001" customHeight="1" x14ac:dyDescent="0.2">
      <c r="A105" s="91">
        <v>1</v>
      </c>
      <c r="B105" s="92" t="s">
        <v>774</v>
      </c>
      <c r="C105" s="92" t="s">
        <v>775</v>
      </c>
      <c r="D105" s="92" t="s">
        <v>767</v>
      </c>
      <c r="E105" s="93">
        <v>50</v>
      </c>
      <c r="F105" s="94">
        <v>505.62450000000001</v>
      </c>
      <c r="G105" s="95">
        <v>1.5887099999999999E-3</v>
      </c>
      <c r="H105" s="47">
        <v>8.4849999999999994</v>
      </c>
      <c r="I105" s="47"/>
    </row>
    <row r="106" spans="1:9" ht="14.1" customHeight="1" x14ac:dyDescent="0.2">
      <c r="A106" s="89"/>
      <c r="B106" s="89"/>
      <c r="C106" s="90" t="s">
        <v>130</v>
      </c>
      <c r="D106" s="89"/>
      <c r="E106" s="89" t="s">
        <v>131</v>
      </c>
      <c r="F106" s="96">
        <v>505.62450000000001</v>
      </c>
      <c r="G106" s="97">
        <v>1.5887099999999999E-3</v>
      </c>
      <c r="H106" s="47"/>
      <c r="I106" s="47"/>
    </row>
    <row r="107" spans="1:9" ht="14.1" customHeight="1" x14ac:dyDescent="0.2">
      <c r="A107" s="89"/>
      <c r="B107" s="89"/>
      <c r="C107" s="98"/>
      <c r="D107" s="89"/>
      <c r="E107" s="89"/>
      <c r="F107" s="99"/>
      <c r="G107" s="99"/>
      <c r="H107" s="47"/>
      <c r="I107" s="47"/>
    </row>
    <row r="108" spans="1:9" ht="14.1" customHeight="1" x14ac:dyDescent="0.2">
      <c r="A108" s="89"/>
      <c r="B108" s="89"/>
      <c r="C108" s="90" t="s">
        <v>140</v>
      </c>
      <c r="D108" s="89"/>
      <c r="E108" s="89"/>
      <c r="F108" s="89"/>
      <c r="G108" s="89"/>
      <c r="H108" s="47"/>
      <c r="I108" s="47"/>
    </row>
    <row r="109" spans="1:9" ht="29.1" customHeight="1" x14ac:dyDescent="0.2">
      <c r="A109" s="91">
        <v>1</v>
      </c>
      <c r="B109" s="92" t="s">
        <v>776</v>
      </c>
      <c r="C109" s="92" t="s">
        <v>777</v>
      </c>
      <c r="D109" s="92" t="s">
        <v>553</v>
      </c>
      <c r="E109" s="93">
        <v>7500000</v>
      </c>
      <c r="F109" s="94">
        <v>7479.6374999999998</v>
      </c>
      <c r="G109" s="95">
        <v>2.3501586000000001E-2</v>
      </c>
      <c r="H109" s="47">
        <v>6.8704000000000001</v>
      </c>
      <c r="I109" s="47"/>
    </row>
    <row r="110" spans="1:9" ht="29.1" customHeight="1" x14ac:dyDescent="0.2">
      <c r="A110" s="91">
        <v>2</v>
      </c>
      <c r="B110" s="92" t="s">
        <v>778</v>
      </c>
      <c r="C110" s="92" t="s">
        <v>779</v>
      </c>
      <c r="D110" s="92" t="s">
        <v>553</v>
      </c>
      <c r="E110" s="93">
        <v>2500000</v>
      </c>
      <c r="F110" s="94">
        <v>2495.52</v>
      </c>
      <c r="G110" s="95">
        <v>7.8411120000000008E-3</v>
      </c>
      <c r="H110" s="47">
        <v>7.2836999999999996</v>
      </c>
      <c r="I110" s="47"/>
    </row>
    <row r="111" spans="1:9" ht="29.1" customHeight="1" x14ac:dyDescent="0.2">
      <c r="A111" s="91">
        <v>3</v>
      </c>
      <c r="B111" s="92" t="s">
        <v>780</v>
      </c>
      <c r="C111" s="92" t="s">
        <v>781</v>
      </c>
      <c r="D111" s="92" t="s">
        <v>553</v>
      </c>
      <c r="E111" s="93">
        <v>2000000</v>
      </c>
      <c r="F111" s="94">
        <v>1907.396</v>
      </c>
      <c r="G111" s="95">
        <v>5.9931819999999997E-3</v>
      </c>
      <c r="H111" s="47">
        <v>7.1020000000000003</v>
      </c>
      <c r="I111" s="47"/>
    </row>
    <row r="112" spans="1:9" ht="39" customHeight="1" x14ac:dyDescent="0.2">
      <c r="A112" s="91">
        <v>4</v>
      </c>
      <c r="B112" s="92" t="s">
        <v>782</v>
      </c>
      <c r="C112" s="45" t="s">
        <v>898</v>
      </c>
      <c r="D112" s="92" t="s">
        <v>553</v>
      </c>
      <c r="E112" s="93">
        <v>1500000</v>
      </c>
      <c r="F112" s="94">
        <v>1479.057</v>
      </c>
      <c r="G112" s="95">
        <v>4.6473089999999996E-3</v>
      </c>
      <c r="H112" s="47">
        <v>7.0301260792772906</v>
      </c>
      <c r="I112" s="47"/>
    </row>
    <row r="113" spans="1:9" ht="29.1" customHeight="1" x14ac:dyDescent="0.2">
      <c r="A113" s="91">
        <v>5</v>
      </c>
      <c r="B113" s="92" t="s">
        <v>783</v>
      </c>
      <c r="C113" s="92" t="s">
        <v>784</v>
      </c>
      <c r="D113" s="92" t="s">
        <v>553</v>
      </c>
      <c r="E113" s="93">
        <v>1500000</v>
      </c>
      <c r="F113" s="94">
        <v>1422.4245000000001</v>
      </c>
      <c r="G113" s="95">
        <v>4.4693650000000003E-3</v>
      </c>
      <c r="H113" s="47">
        <v>7.3251999999999997</v>
      </c>
      <c r="I113" s="47"/>
    </row>
    <row r="114" spans="1:9" ht="29.1" customHeight="1" x14ac:dyDescent="0.2">
      <c r="A114" s="91">
        <v>6</v>
      </c>
      <c r="B114" s="92" t="s">
        <v>785</v>
      </c>
      <c r="C114" s="92" t="s">
        <v>786</v>
      </c>
      <c r="D114" s="92" t="s">
        <v>553</v>
      </c>
      <c r="E114" s="93">
        <v>1000000</v>
      </c>
      <c r="F114" s="94">
        <v>1009.1950000000001</v>
      </c>
      <c r="G114" s="95">
        <v>3.1709669999999998E-3</v>
      </c>
      <c r="H114" s="47">
        <v>7.1383000000000001</v>
      </c>
      <c r="I114" s="47"/>
    </row>
    <row r="115" spans="1:9" ht="29.1" customHeight="1" x14ac:dyDescent="0.2">
      <c r="A115" s="91">
        <v>7</v>
      </c>
      <c r="B115" s="92" t="s">
        <v>787</v>
      </c>
      <c r="C115" s="92" t="s">
        <v>788</v>
      </c>
      <c r="D115" s="92" t="s">
        <v>553</v>
      </c>
      <c r="E115" s="93">
        <v>1000000</v>
      </c>
      <c r="F115" s="94">
        <v>1002.175</v>
      </c>
      <c r="G115" s="95">
        <v>3.14891E-3</v>
      </c>
      <c r="H115" s="47">
        <v>6.7203999999999997</v>
      </c>
      <c r="I115" s="47"/>
    </row>
    <row r="116" spans="1:9" ht="29.1" customHeight="1" x14ac:dyDescent="0.2">
      <c r="A116" s="91">
        <v>8</v>
      </c>
      <c r="B116" s="92" t="s">
        <v>612</v>
      </c>
      <c r="C116" s="92" t="s">
        <v>613</v>
      </c>
      <c r="D116" s="92" t="s">
        <v>553</v>
      </c>
      <c r="E116" s="93">
        <v>1000000</v>
      </c>
      <c r="F116" s="94">
        <v>960.1</v>
      </c>
      <c r="G116" s="95">
        <v>3.016707E-3</v>
      </c>
      <c r="H116" s="47">
        <v>6.9602000000000004</v>
      </c>
      <c r="I116" s="47"/>
    </row>
    <row r="117" spans="1:9" ht="29.1" customHeight="1" x14ac:dyDescent="0.2">
      <c r="A117" s="91">
        <v>9</v>
      </c>
      <c r="B117" s="92" t="s">
        <v>618</v>
      </c>
      <c r="C117" s="92" t="s">
        <v>619</v>
      </c>
      <c r="D117" s="92" t="s">
        <v>553</v>
      </c>
      <c r="E117" s="93">
        <v>950000</v>
      </c>
      <c r="F117" s="94">
        <v>938.19910000000004</v>
      </c>
      <c r="G117" s="95">
        <v>2.9478920000000001E-3</v>
      </c>
      <c r="H117" s="47">
        <v>6.8762999999999996</v>
      </c>
      <c r="I117" s="47"/>
    </row>
    <row r="118" spans="1:9" ht="29.1" customHeight="1" x14ac:dyDescent="0.2">
      <c r="A118" s="91">
        <v>10</v>
      </c>
      <c r="B118" s="92" t="s">
        <v>789</v>
      </c>
      <c r="C118" s="92" t="s">
        <v>790</v>
      </c>
      <c r="D118" s="92" t="s">
        <v>553</v>
      </c>
      <c r="E118" s="93">
        <v>650000</v>
      </c>
      <c r="F118" s="94">
        <v>650.17875000000004</v>
      </c>
      <c r="G118" s="95">
        <v>2.0429110000000001E-3</v>
      </c>
      <c r="H118" s="47">
        <v>6.1852999999999998</v>
      </c>
      <c r="I118" s="47"/>
    </row>
    <row r="119" spans="1:9" ht="29.1" customHeight="1" x14ac:dyDescent="0.2">
      <c r="A119" s="91">
        <v>11</v>
      </c>
      <c r="B119" s="92" t="s">
        <v>791</v>
      </c>
      <c r="C119" s="92" t="s">
        <v>792</v>
      </c>
      <c r="D119" s="92" t="s">
        <v>553</v>
      </c>
      <c r="E119" s="93">
        <v>400000</v>
      </c>
      <c r="F119" s="94">
        <v>408.83479999999997</v>
      </c>
      <c r="G119" s="95">
        <v>1.28459E-3</v>
      </c>
      <c r="H119" s="47">
        <v>7.2751999999999999</v>
      </c>
      <c r="I119" s="47"/>
    </row>
    <row r="120" spans="1:9" ht="29.1" customHeight="1" x14ac:dyDescent="0.2">
      <c r="A120" s="91">
        <v>12</v>
      </c>
      <c r="B120" s="92" t="s">
        <v>793</v>
      </c>
      <c r="C120" s="92" t="s">
        <v>794</v>
      </c>
      <c r="D120" s="92" t="s">
        <v>553</v>
      </c>
      <c r="E120" s="93">
        <v>400000</v>
      </c>
      <c r="F120" s="94">
        <v>406.70159999999998</v>
      </c>
      <c r="G120" s="95">
        <v>1.2778869999999999E-3</v>
      </c>
      <c r="H120" s="47">
        <v>7.2602000000000002</v>
      </c>
      <c r="I120" s="47"/>
    </row>
    <row r="121" spans="1:9" ht="29.1" customHeight="1" x14ac:dyDescent="0.2">
      <c r="A121" s="91">
        <v>13</v>
      </c>
      <c r="B121" s="92" t="s">
        <v>795</v>
      </c>
      <c r="C121" s="92" t="s">
        <v>796</v>
      </c>
      <c r="D121" s="92" t="s">
        <v>553</v>
      </c>
      <c r="E121" s="93">
        <v>400000</v>
      </c>
      <c r="F121" s="94">
        <v>406.4</v>
      </c>
      <c r="G121" s="95">
        <v>1.2769389999999999E-3</v>
      </c>
      <c r="H121" s="47">
        <v>7.2496999999999998</v>
      </c>
      <c r="I121" s="47"/>
    </row>
    <row r="122" spans="1:9" ht="14.1" customHeight="1" x14ac:dyDescent="0.2">
      <c r="A122" s="89"/>
      <c r="B122" s="89"/>
      <c r="C122" s="90" t="s">
        <v>130</v>
      </c>
      <c r="D122" s="89"/>
      <c r="E122" s="89" t="s">
        <v>131</v>
      </c>
      <c r="F122" s="96">
        <v>20565.81925</v>
      </c>
      <c r="G122" s="97">
        <v>6.4619357000000002E-2</v>
      </c>
      <c r="H122" s="47"/>
      <c r="I122" s="47"/>
    </row>
    <row r="123" spans="1:9" ht="14.1" customHeight="1" x14ac:dyDescent="0.2">
      <c r="A123" s="89"/>
      <c r="B123" s="89"/>
      <c r="C123" s="98"/>
      <c r="D123" s="89"/>
      <c r="E123" s="89"/>
      <c r="F123" s="99"/>
      <c r="G123" s="99"/>
      <c r="H123" s="47"/>
      <c r="I123" s="47"/>
    </row>
    <row r="124" spans="1:9" ht="14.1" customHeight="1" x14ac:dyDescent="0.2">
      <c r="A124" s="89"/>
      <c r="B124" s="89"/>
      <c r="C124" s="90" t="s">
        <v>141</v>
      </c>
      <c r="D124" s="89"/>
      <c r="E124" s="89"/>
      <c r="F124" s="99"/>
      <c r="G124" s="99"/>
      <c r="H124" s="47"/>
      <c r="I124" s="47"/>
    </row>
    <row r="125" spans="1:9" ht="14.1" customHeight="1" x14ac:dyDescent="0.2">
      <c r="A125" s="89"/>
      <c r="B125" s="89"/>
      <c r="C125" s="90" t="s">
        <v>130</v>
      </c>
      <c r="D125" s="89"/>
      <c r="E125" s="89" t="s">
        <v>131</v>
      </c>
      <c r="F125" s="100">
        <v>0</v>
      </c>
      <c r="G125" s="101">
        <v>0</v>
      </c>
      <c r="H125" s="47"/>
      <c r="I125" s="47"/>
    </row>
    <row r="126" spans="1:9" ht="14.1" customHeight="1" x14ac:dyDescent="0.2">
      <c r="A126" s="89"/>
      <c r="B126" s="89"/>
      <c r="C126" s="98"/>
      <c r="D126" s="89"/>
      <c r="E126" s="89"/>
      <c r="F126" s="99"/>
      <c r="G126" s="99"/>
      <c r="H126" s="47"/>
      <c r="I126" s="47"/>
    </row>
    <row r="127" spans="1:9" ht="14.1" customHeight="1" x14ac:dyDescent="0.2">
      <c r="A127" s="89"/>
      <c r="B127" s="89"/>
      <c r="C127" s="90" t="s">
        <v>142</v>
      </c>
      <c r="D127" s="89"/>
      <c r="E127" s="89"/>
      <c r="F127" s="96">
        <v>38794.932650000002</v>
      </c>
      <c r="G127" s="97">
        <v>0.121896606</v>
      </c>
      <c r="H127" s="47"/>
      <c r="I127" s="47"/>
    </row>
    <row r="128" spans="1:9" ht="14.1" customHeight="1" x14ac:dyDescent="0.2">
      <c r="A128" s="89"/>
      <c r="B128" s="89"/>
      <c r="C128" s="98"/>
      <c r="D128" s="89"/>
      <c r="E128" s="89"/>
      <c r="F128" s="99"/>
      <c r="G128" s="99"/>
      <c r="H128" s="47"/>
      <c r="I128" s="47"/>
    </row>
    <row r="129" spans="1:9" ht="14.1" customHeight="1" x14ac:dyDescent="0.2">
      <c r="A129" s="89"/>
      <c r="B129" s="89"/>
      <c r="C129" s="90" t="s">
        <v>143</v>
      </c>
      <c r="D129" s="89"/>
      <c r="E129" s="89"/>
      <c r="F129" s="99"/>
      <c r="G129" s="99"/>
      <c r="H129" s="47"/>
      <c r="I129" s="47"/>
    </row>
    <row r="130" spans="1:9" ht="14.1" customHeight="1" x14ac:dyDescent="0.2">
      <c r="A130" s="89"/>
      <c r="B130" s="89"/>
      <c r="C130" s="90" t="s">
        <v>144</v>
      </c>
      <c r="D130" s="89"/>
      <c r="E130" s="89"/>
      <c r="F130" s="99"/>
      <c r="G130" s="99"/>
      <c r="H130" s="47"/>
      <c r="I130" s="47"/>
    </row>
    <row r="131" spans="1:9" ht="17.100000000000001" customHeight="1" x14ac:dyDescent="0.2">
      <c r="A131" s="91">
        <v>1</v>
      </c>
      <c r="B131" s="92" t="s">
        <v>797</v>
      </c>
      <c r="C131" s="92" t="s">
        <v>798</v>
      </c>
      <c r="D131" s="92" t="s">
        <v>799</v>
      </c>
      <c r="E131" s="93">
        <v>500</v>
      </c>
      <c r="F131" s="94">
        <v>2478.9124999999999</v>
      </c>
      <c r="G131" s="95">
        <v>7.7889300000000003E-3</v>
      </c>
      <c r="H131" s="47">
        <v>6.7500999999999998</v>
      </c>
      <c r="I131" s="47"/>
    </row>
    <row r="132" spans="1:9" ht="17.100000000000001" customHeight="1" x14ac:dyDescent="0.2">
      <c r="A132" s="91">
        <v>2</v>
      </c>
      <c r="B132" s="92" t="s">
        <v>800</v>
      </c>
      <c r="C132" s="92" t="s">
        <v>801</v>
      </c>
      <c r="D132" s="92" t="s">
        <v>799</v>
      </c>
      <c r="E132" s="93">
        <v>500</v>
      </c>
      <c r="F132" s="94">
        <v>2465.85</v>
      </c>
      <c r="G132" s="95">
        <v>7.7478870000000002E-3</v>
      </c>
      <c r="H132" s="47">
        <v>6.74</v>
      </c>
      <c r="I132" s="47"/>
    </row>
    <row r="133" spans="1:9" ht="17.100000000000001" customHeight="1" x14ac:dyDescent="0.2">
      <c r="A133" s="91">
        <v>3</v>
      </c>
      <c r="B133" s="92" t="s">
        <v>802</v>
      </c>
      <c r="C133" s="92" t="s">
        <v>803</v>
      </c>
      <c r="D133" s="92" t="s">
        <v>799</v>
      </c>
      <c r="E133" s="93">
        <v>500</v>
      </c>
      <c r="F133" s="94">
        <v>2425.73</v>
      </c>
      <c r="G133" s="95">
        <v>7.6218270000000003E-3</v>
      </c>
      <c r="H133" s="47">
        <v>7.21</v>
      </c>
      <c r="I133" s="47"/>
    </row>
    <row r="134" spans="1:9" ht="17.100000000000001" customHeight="1" x14ac:dyDescent="0.2">
      <c r="A134" s="91">
        <v>4</v>
      </c>
      <c r="B134" s="92" t="s">
        <v>804</v>
      </c>
      <c r="C134" s="92" t="s">
        <v>805</v>
      </c>
      <c r="D134" s="92" t="s">
        <v>799</v>
      </c>
      <c r="E134" s="93">
        <v>500</v>
      </c>
      <c r="F134" s="94">
        <v>2375.7950000000001</v>
      </c>
      <c r="G134" s="95">
        <v>7.4649269999999997E-3</v>
      </c>
      <c r="H134" s="47">
        <v>7.3676000000000004</v>
      </c>
      <c r="I134" s="47"/>
    </row>
    <row r="135" spans="1:9" ht="17.100000000000001" customHeight="1" x14ac:dyDescent="0.2">
      <c r="A135" s="91">
        <v>5</v>
      </c>
      <c r="B135" s="92" t="s">
        <v>806</v>
      </c>
      <c r="C135" s="92" t="s">
        <v>807</v>
      </c>
      <c r="D135" s="92" t="s">
        <v>808</v>
      </c>
      <c r="E135" s="93">
        <v>500</v>
      </c>
      <c r="F135" s="94">
        <v>2375.14</v>
      </c>
      <c r="G135" s="95">
        <v>7.4628689999999996E-3</v>
      </c>
      <c r="H135" s="47">
        <v>7.38</v>
      </c>
      <c r="I135" s="47"/>
    </row>
    <row r="136" spans="1:9" ht="29.1" customHeight="1" x14ac:dyDescent="0.2">
      <c r="A136" s="91">
        <v>6</v>
      </c>
      <c r="B136" s="92" t="s">
        <v>809</v>
      </c>
      <c r="C136" s="92" t="s">
        <v>810</v>
      </c>
      <c r="D136" s="92" t="s">
        <v>808</v>
      </c>
      <c r="E136" s="93">
        <v>500</v>
      </c>
      <c r="F136" s="94">
        <v>2367.2125000000001</v>
      </c>
      <c r="G136" s="95">
        <v>7.4379600000000004E-3</v>
      </c>
      <c r="H136" s="47">
        <v>7.4725000000000001</v>
      </c>
      <c r="I136" s="47"/>
    </row>
    <row r="137" spans="1:9" ht="17.100000000000001" customHeight="1" x14ac:dyDescent="0.2">
      <c r="A137" s="91">
        <v>7</v>
      </c>
      <c r="B137" s="92" t="s">
        <v>811</v>
      </c>
      <c r="C137" s="92" t="s">
        <v>812</v>
      </c>
      <c r="D137" s="92" t="s">
        <v>799</v>
      </c>
      <c r="E137" s="93">
        <v>500</v>
      </c>
      <c r="F137" s="94">
        <v>2365.0100000000002</v>
      </c>
      <c r="G137" s="95">
        <v>7.4310399999999999E-3</v>
      </c>
      <c r="H137" s="47">
        <v>7.31</v>
      </c>
      <c r="I137" s="47"/>
    </row>
    <row r="138" spans="1:9" ht="14.1" customHeight="1" x14ac:dyDescent="0.2">
      <c r="A138" s="89"/>
      <c r="B138" s="89"/>
      <c r="C138" s="90" t="s">
        <v>130</v>
      </c>
      <c r="D138" s="89"/>
      <c r="E138" s="89" t="s">
        <v>131</v>
      </c>
      <c r="F138" s="96">
        <v>16853.650000000001</v>
      </c>
      <c r="G138" s="97">
        <v>5.2955439999999999E-2</v>
      </c>
      <c r="H138" s="47"/>
      <c r="I138" s="47"/>
    </row>
    <row r="139" spans="1:9" ht="14.1" customHeight="1" x14ac:dyDescent="0.2">
      <c r="A139" s="89"/>
      <c r="B139" s="89"/>
      <c r="C139" s="98"/>
      <c r="D139" s="89"/>
      <c r="E139" s="89"/>
      <c r="F139" s="99"/>
      <c r="G139" s="99"/>
      <c r="H139" s="47"/>
      <c r="I139" s="47"/>
    </row>
    <row r="140" spans="1:9" ht="14.1" customHeight="1" x14ac:dyDescent="0.2">
      <c r="A140" s="89"/>
      <c r="B140" s="89"/>
      <c r="C140" s="90" t="s">
        <v>145</v>
      </c>
      <c r="D140" s="89"/>
      <c r="E140" s="89"/>
      <c r="F140" s="99"/>
      <c r="G140" s="99"/>
      <c r="H140" s="47"/>
      <c r="I140" s="47"/>
    </row>
    <row r="141" spans="1:9" ht="29.1" customHeight="1" x14ac:dyDescent="0.2">
      <c r="A141" s="91">
        <v>1</v>
      </c>
      <c r="B141" s="92" t="s">
        <v>813</v>
      </c>
      <c r="C141" s="92" t="s">
        <v>814</v>
      </c>
      <c r="D141" s="92" t="s">
        <v>808</v>
      </c>
      <c r="E141" s="93">
        <v>500</v>
      </c>
      <c r="F141" s="94">
        <v>2416.7399999999998</v>
      </c>
      <c r="G141" s="95">
        <v>7.5935799999999999E-3</v>
      </c>
      <c r="H141" s="47">
        <v>7.53</v>
      </c>
      <c r="I141" s="47"/>
    </row>
    <row r="142" spans="1:9" ht="14.1" customHeight="1" x14ac:dyDescent="0.2">
      <c r="A142" s="89"/>
      <c r="B142" s="89"/>
      <c r="C142" s="90" t="s">
        <v>130</v>
      </c>
      <c r="D142" s="89"/>
      <c r="E142" s="89" t="s">
        <v>131</v>
      </c>
      <c r="F142" s="96">
        <v>2416.7399999999998</v>
      </c>
      <c r="G142" s="97">
        <v>7.5935799999999999E-3</v>
      </c>
      <c r="H142" s="47"/>
      <c r="I142" s="47"/>
    </row>
    <row r="143" spans="1:9" ht="14.1" customHeight="1" x14ac:dyDescent="0.2">
      <c r="A143" s="89"/>
      <c r="B143" s="89"/>
      <c r="C143" s="98"/>
      <c r="D143" s="89"/>
      <c r="E143" s="89"/>
      <c r="F143" s="99"/>
      <c r="G143" s="99"/>
      <c r="H143" s="47"/>
      <c r="I143" s="47"/>
    </row>
    <row r="144" spans="1:9" ht="14.1" customHeight="1" x14ac:dyDescent="0.2">
      <c r="A144" s="89"/>
      <c r="B144" s="89"/>
      <c r="C144" s="90" t="s">
        <v>146</v>
      </c>
      <c r="D144" s="89"/>
      <c r="E144" s="89"/>
      <c r="F144" s="99"/>
      <c r="G144" s="99"/>
      <c r="H144" s="47"/>
      <c r="I144" s="47"/>
    </row>
    <row r="145" spans="1:9" ht="17.100000000000001" customHeight="1" x14ac:dyDescent="0.2">
      <c r="A145" s="91">
        <v>1</v>
      </c>
      <c r="B145" s="92" t="s">
        <v>815</v>
      </c>
      <c r="C145" s="92" t="s">
        <v>1044</v>
      </c>
      <c r="D145" s="92" t="s">
        <v>553</v>
      </c>
      <c r="E145" s="93">
        <v>2500000</v>
      </c>
      <c r="F145" s="94">
        <v>2485.2950000000001</v>
      </c>
      <c r="G145" s="95">
        <v>7.8089850000000001E-3</v>
      </c>
      <c r="H145" s="47">
        <v>6.17</v>
      </c>
      <c r="I145" s="47"/>
    </row>
    <row r="146" spans="1:9" ht="17.100000000000001" customHeight="1" x14ac:dyDescent="0.2">
      <c r="A146" s="91">
        <v>2</v>
      </c>
      <c r="B146" s="92" t="s">
        <v>816</v>
      </c>
      <c r="C146" s="92" t="s">
        <v>817</v>
      </c>
      <c r="D146" s="92" t="s">
        <v>553</v>
      </c>
      <c r="E146" s="93">
        <v>500000</v>
      </c>
      <c r="F146" s="94">
        <v>500</v>
      </c>
      <c r="G146" s="95">
        <v>1.5710380000000001E-3</v>
      </c>
      <c r="H146" s="47">
        <v>5.8158000000000003</v>
      </c>
      <c r="I146" s="47"/>
    </row>
    <row r="147" spans="1:9" ht="14.1" customHeight="1" x14ac:dyDescent="0.2">
      <c r="A147" s="89"/>
      <c r="B147" s="89"/>
      <c r="C147" s="90" t="s">
        <v>130</v>
      </c>
      <c r="D147" s="89"/>
      <c r="E147" s="89" t="s">
        <v>131</v>
      </c>
      <c r="F147" s="96">
        <v>2985.2950000000001</v>
      </c>
      <c r="G147" s="97">
        <v>9.3800229999999995E-3</v>
      </c>
      <c r="H147" s="47"/>
      <c r="I147" s="47"/>
    </row>
    <row r="148" spans="1:9" ht="14.1" customHeight="1" x14ac:dyDescent="0.2">
      <c r="A148" s="89"/>
      <c r="B148" s="89"/>
      <c r="C148" s="98"/>
      <c r="D148" s="89"/>
      <c r="E148" s="89"/>
      <c r="F148" s="99"/>
      <c r="G148" s="99"/>
      <c r="H148" s="47"/>
      <c r="I148" s="47"/>
    </row>
    <row r="149" spans="1:9" ht="14.1" customHeight="1" x14ac:dyDescent="0.2">
      <c r="A149" s="89"/>
      <c r="B149" s="89"/>
      <c r="C149" s="90" t="s">
        <v>147</v>
      </c>
      <c r="D149" s="89"/>
      <c r="E149" s="89"/>
      <c r="F149" s="99"/>
      <c r="G149" s="99"/>
      <c r="H149" s="47"/>
      <c r="I149" s="47"/>
    </row>
    <row r="150" spans="1:9" ht="17.100000000000001" customHeight="1" x14ac:dyDescent="0.2">
      <c r="A150" s="91">
        <v>1</v>
      </c>
      <c r="B150" s="92"/>
      <c r="C150" s="92" t="s">
        <v>148</v>
      </c>
      <c r="D150" s="92"/>
      <c r="E150" s="102"/>
      <c r="F150" s="94">
        <v>6595.1399020999997</v>
      </c>
      <c r="G150" s="95">
        <v>2.0722428000000001E-2</v>
      </c>
      <c r="H150" s="47">
        <v>5.6572293145372496</v>
      </c>
      <c r="I150" s="47"/>
    </row>
    <row r="151" spans="1:9" ht="14.1" customHeight="1" x14ac:dyDescent="0.2">
      <c r="A151" s="89"/>
      <c r="B151" s="89"/>
      <c r="C151" s="90" t="s">
        <v>130</v>
      </c>
      <c r="D151" s="89"/>
      <c r="E151" s="89" t="s">
        <v>131</v>
      </c>
      <c r="F151" s="96">
        <v>6595.1399020999997</v>
      </c>
      <c r="G151" s="97">
        <v>2.0722428000000001E-2</v>
      </c>
      <c r="H151" s="47"/>
      <c r="I151" s="47"/>
    </row>
    <row r="152" spans="1:9" ht="14.1" customHeight="1" x14ac:dyDescent="0.2">
      <c r="A152" s="89"/>
      <c r="B152" s="89"/>
      <c r="C152" s="98"/>
      <c r="D152" s="89"/>
      <c r="E152" s="89"/>
      <c r="F152" s="99"/>
      <c r="G152" s="99"/>
      <c r="H152" s="47"/>
      <c r="I152" s="47"/>
    </row>
    <row r="153" spans="1:9" ht="14.1" customHeight="1" x14ac:dyDescent="0.2">
      <c r="A153" s="89"/>
      <c r="B153" s="89"/>
      <c r="C153" s="90" t="s">
        <v>149</v>
      </c>
      <c r="D153" s="89"/>
      <c r="E153" s="89"/>
      <c r="F153" s="96">
        <v>28850.824902100001</v>
      </c>
      <c r="G153" s="97">
        <v>9.0651470999999997E-2</v>
      </c>
      <c r="H153" s="47"/>
      <c r="I153" s="47"/>
    </row>
    <row r="154" spans="1:9" ht="14.1" customHeight="1" x14ac:dyDescent="0.2">
      <c r="A154" s="89"/>
      <c r="B154" s="89"/>
      <c r="C154" s="99"/>
      <c r="D154" s="89"/>
      <c r="E154" s="89"/>
      <c r="F154" s="89"/>
      <c r="G154" s="89"/>
      <c r="H154" s="47"/>
      <c r="I154" s="47"/>
    </row>
    <row r="155" spans="1:9" ht="14.1" customHeight="1" x14ac:dyDescent="0.2">
      <c r="A155" s="89"/>
      <c r="B155" s="89"/>
      <c r="C155" s="90" t="s">
        <v>150</v>
      </c>
      <c r="D155" s="89"/>
      <c r="E155" s="89"/>
      <c r="F155" s="89"/>
      <c r="G155" s="89"/>
      <c r="H155" s="47"/>
      <c r="I155" s="47"/>
    </row>
    <row r="156" spans="1:9" ht="14.1" customHeight="1" x14ac:dyDescent="0.2">
      <c r="A156" s="89"/>
      <c r="B156" s="89"/>
      <c r="C156" s="90" t="s">
        <v>151</v>
      </c>
      <c r="D156" s="89"/>
      <c r="E156" s="89"/>
      <c r="F156" s="89"/>
      <c r="G156" s="89"/>
      <c r="H156" s="47"/>
      <c r="I156" s="47"/>
    </row>
    <row r="157" spans="1:9" ht="14.1" customHeight="1" x14ac:dyDescent="0.2">
      <c r="A157" s="89"/>
      <c r="B157" s="89"/>
      <c r="C157" s="90" t="s">
        <v>130</v>
      </c>
      <c r="D157" s="89"/>
      <c r="E157" s="89" t="s">
        <v>131</v>
      </c>
      <c r="F157" s="100">
        <v>0</v>
      </c>
      <c r="G157" s="101">
        <v>0</v>
      </c>
      <c r="H157" s="47"/>
      <c r="I157" s="47"/>
    </row>
    <row r="158" spans="1:9" ht="14.1" customHeight="1" x14ac:dyDescent="0.2">
      <c r="A158" s="89"/>
      <c r="B158" s="89"/>
      <c r="C158" s="98"/>
      <c r="D158" s="89"/>
      <c r="E158" s="89"/>
      <c r="F158" s="99"/>
      <c r="G158" s="99"/>
      <c r="H158" s="47"/>
      <c r="I158" s="47"/>
    </row>
    <row r="159" spans="1:9" ht="14.1" customHeight="1" x14ac:dyDescent="0.2">
      <c r="A159" s="89"/>
      <c r="B159" s="89"/>
      <c r="C159" s="90" t="s">
        <v>152</v>
      </c>
      <c r="D159" s="89"/>
      <c r="E159" s="89"/>
      <c r="F159" s="89"/>
      <c r="G159" s="89"/>
      <c r="H159" s="47"/>
      <c r="I159" s="47"/>
    </row>
    <row r="160" spans="1:9" ht="14.1" customHeight="1" x14ac:dyDescent="0.2">
      <c r="A160" s="89"/>
      <c r="B160" s="89"/>
      <c r="C160" s="90" t="s">
        <v>153</v>
      </c>
      <c r="D160" s="89"/>
      <c r="E160" s="89"/>
      <c r="F160" s="89"/>
      <c r="G160" s="89"/>
      <c r="H160" s="47"/>
      <c r="I160" s="47"/>
    </row>
    <row r="161" spans="1:16" ht="14.1" customHeight="1" x14ac:dyDescent="0.2">
      <c r="A161" s="89"/>
      <c r="B161" s="89"/>
      <c r="C161" s="90" t="s">
        <v>130</v>
      </c>
      <c r="D161" s="89"/>
      <c r="E161" s="89" t="s">
        <v>131</v>
      </c>
      <c r="F161" s="100">
        <v>0</v>
      </c>
      <c r="G161" s="101">
        <v>0</v>
      </c>
      <c r="H161" s="47"/>
      <c r="I161" s="47"/>
    </row>
    <row r="162" spans="1:16" ht="14.1" customHeight="1" x14ac:dyDescent="0.2">
      <c r="A162" s="89"/>
      <c r="B162" s="89"/>
      <c r="C162" s="98"/>
      <c r="D162" s="89"/>
      <c r="E162" s="89"/>
      <c r="F162" s="99"/>
      <c r="G162" s="99"/>
      <c r="H162" s="47"/>
      <c r="I162" s="47"/>
    </row>
    <row r="163" spans="1:16" ht="24" customHeight="1" x14ac:dyDescent="0.2">
      <c r="A163" s="89"/>
      <c r="B163" s="89"/>
      <c r="C163" s="90" t="s">
        <v>154</v>
      </c>
      <c r="D163" s="89"/>
      <c r="E163" s="89"/>
      <c r="F163" s="99"/>
      <c r="G163" s="99"/>
      <c r="H163" s="47"/>
      <c r="I163" s="47"/>
    </row>
    <row r="164" spans="1:16" ht="14.1" customHeight="1" x14ac:dyDescent="0.2">
      <c r="A164" s="89"/>
      <c r="B164" s="89"/>
      <c r="C164" s="90" t="s">
        <v>130</v>
      </c>
      <c r="D164" s="89"/>
      <c r="E164" s="89" t="s">
        <v>131</v>
      </c>
      <c r="F164" s="100">
        <v>0</v>
      </c>
      <c r="G164" s="101">
        <v>0</v>
      </c>
      <c r="H164" s="47"/>
      <c r="I164" s="47"/>
    </row>
    <row r="165" spans="1:16" ht="14.1" customHeight="1" x14ac:dyDescent="0.2">
      <c r="A165" s="89"/>
      <c r="B165" s="89"/>
      <c r="C165" s="98"/>
      <c r="D165" s="89"/>
      <c r="E165" s="89"/>
      <c r="F165" s="99"/>
      <c r="G165" s="99"/>
      <c r="H165" s="47"/>
      <c r="I165" s="47"/>
    </row>
    <row r="166" spans="1:16" ht="18" customHeight="1" x14ac:dyDescent="0.2">
      <c r="A166" s="102"/>
      <c r="B166" s="92"/>
      <c r="C166" s="92" t="s">
        <v>556</v>
      </c>
      <c r="D166" s="92"/>
      <c r="E166" s="102"/>
      <c r="F166" s="94">
        <v>2998.5419435000003</v>
      </c>
      <c r="G166" s="95">
        <v>9.421645269890519E-3</v>
      </c>
      <c r="H166" s="47"/>
      <c r="I166" s="47"/>
    </row>
    <row r="167" spans="1:16" ht="18" customHeight="1" x14ac:dyDescent="0.2">
      <c r="A167" s="102"/>
      <c r="B167" s="92"/>
      <c r="C167" s="92" t="s">
        <v>818</v>
      </c>
      <c r="D167" s="92"/>
      <c r="E167" s="102"/>
      <c r="F167" s="94">
        <f>1128.91892657999-F78</f>
        <v>-101.80107342000997</v>
      </c>
      <c r="G167" s="95">
        <f>0.354714853589382%-G79</f>
        <v>-3.1986646410618038E-4</v>
      </c>
      <c r="H167" s="47"/>
      <c r="I167" s="47"/>
    </row>
    <row r="168" spans="1:16" ht="14.1" customHeight="1" x14ac:dyDescent="0.2">
      <c r="A168" s="98"/>
      <c r="B168" s="98"/>
      <c r="C168" s="90" t="s">
        <v>156</v>
      </c>
      <c r="D168" s="99"/>
      <c r="E168" s="99"/>
      <c r="F168" s="96">
        <f>F167+F166+F153+F127+F81</f>
        <v>318260.96797368</v>
      </c>
      <c r="G168" s="101">
        <f>G167+G166+G153+G127+G81</f>
        <v>0.99999999880578438</v>
      </c>
      <c r="H168" s="47"/>
      <c r="I168" s="47"/>
    </row>
    <row r="169" spans="1:16" ht="14.1" customHeight="1" x14ac:dyDescent="0.2">
      <c r="A169" s="104"/>
      <c r="B169" s="104"/>
      <c r="C169" s="104"/>
      <c r="D169" s="105"/>
      <c r="E169" s="105"/>
      <c r="F169" s="105"/>
      <c r="G169" s="106"/>
    </row>
    <row r="170" spans="1:16" ht="17.100000000000001" customHeight="1" x14ac:dyDescent="0.2">
      <c r="A170" s="107"/>
      <c r="B170" s="332" t="s">
        <v>582</v>
      </c>
      <c r="C170" s="332"/>
      <c r="D170" s="332"/>
      <c r="E170" s="332"/>
      <c r="F170" s="332"/>
      <c r="G170" s="108"/>
    </row>
    <row r="171" spans="1:16" ht="17.100000000000001" customHeight="1" x14ac:dyDescent="0.2">
      <c r="A171" s="107"/>
      <c r="B171" s="332" t="s">
        <v>819</v>
      </c>
      <c r="C171" s="332"/>
      <c r="D171" s="332"/>
      <c r="E171" s="332"/>
      <c r="F171" s="332"/>
      <c r="G171" s="108"/>
    </row>
    <row r="172" spans="1:16" ht="17.100000000000001" customHeight="1" x14ac:dyDescent="0.2">
      <c r="A172" s="107"/>
      <c r="B172" s="332" t="s">
        <v>157</v>
      </c>
      <c r="C172" s="332"/>
      <c r="D172" s="332"/>
      <c r="E172" s="332"/>
      <c r="F172" s="332"/>
      <c r="G172" s="108"/>
    </row>
    <row r="173" spans="1:16" s="43" customFormat="1" ht="69.75" customHeight="1" x14ac:dyDescent="0.25">
      <c r="A173" s="109"/>
      <c r="B173" s="333" t="s">
        <v>899</v>
      </c>
      <c r="C173" s="333"/>
      <c r="D173" s="333"/>
      <c r="E173" s="333"/>
      <c r="F173" s="333"/>
      <c r="G173" s="110"/>
      <c r="H173"/>
      <c r="I173"/>
      <c r="J173"/>
      <c r="K173"/>
      <c r="L173"/>
      <c r="M173"/>
      <c r="N173"/>
      <c r="O173"/>
      <c r="P173" s="42"/>
    </row>
    <row r="174" spans="1:16" ht="14.1" customHeight="1" x14ac:dyDescent="0.2">
      <c r="A174" s="107"/>
      <c r="B174" s="107"/>
      <c r="C174" s="107"/>
      <c r="D174" s="108"/>
      <c r="E174" s="108"/>
      <c r="F174" s="108"/>
      <c r="G174" s="108"/>
    </row>
    <row r="175" spans="1:16" ht="14.1" customHeight="1" x14ac:dyDescent="0.2">
      <c r="A175" s="107"/>
      <c r="B175" s="334" t="s">
        <v>158</v>
      </c>
      <c r="C175" s="335"/>
      <c r="D175" s="336"/>
      <c r="E175" s="111"/>
      <c r="F175" s="108"/>
      <c r="G175" s="108"/>
    </row>
    <row r="176" spans="1:16" ht="29.1" customHeight="1" x14ac:dyDescent="0.2">
      <c r="A176" s="107"/>
      <c r="B176" s="330" t="s">
        <v>159</v>
      </c>
      <c r="C176" s="331"/>
      <c r="D176" s="112" t="s">
        <v>1010</v>
      </c>
      <c r="E176" s="111"/>
      <c r="F176" s="108"/>
      <c r="G176" s="108"/>
    </row>
    <row r="177" spans="1:16" ht="17.100000000000001" customHeight="1" x14ac:dyDescent="0.2">
      <c r="A177" s="107"/>
      <c r="B177" s="328" t="s">
        <v>954</v>
      </c>
      <c r="C177" s="329"/>
      <c r="D177" s="112" t="s">
        <v>957</v>
      </c>
      <c r="E177" s="111"/>
      <c r="F177" s="108"/>
      <c r="G177" s="108"/>
    </row>
    <row r="178" spans="1:16" ht="17.100000000000001" customHeight="1" x14ac:dyDescent="0.2">
      <c r="A178" s="107"/>
      <c r="B178" s="330" t="s">
        <v>162</v>
      </c>
      <c r="C178" s="331"/>
      <c r="D178" s="99" t="s">
        <v>131</v>
      </c>
      <c r="E178" s="111"/>
      <c r="F178" s="108"/>
      <c r="G178" s="108"/>
      <c r="P178" s="50"/>
    </row>
    <row r="179" spans="1:16" ht="24" customHeight="1" x14ac:dyDescent="0.2">
      <c r="A179" s="113"/>
      <c r="B179" s="114" t="s">
        <v>131</v>
      </c>
      <c r="C179" s="114" t="s">
        <v>163</v>
      </c>
      <c r="D179" s="114" t="s">
        <v>164</v>
      </c>
      <c r="E179" s="113"/>
      <c r="F179" s="113"/>
      <c r="G179" s="113"/>
    </row>
    <row r="180" spans="1:16" ht="18" customHeight="1" x14ac:dyDescent="0.2">
      <c r="A180" s="113"/>
      <c r="B180" s="115" t="s">
        <v>165</v>
      </c>
      <c r="C180" s="114" t="s">
        <v>166</v>
      </c>
      <c r="D180" s="114" t="s">
        <v>167</v>
      </c>
      <c r="E180" s="113"/>
      <c r="F180" s="113"/>
      <c r="G180" s="113"/>
    </row>
    <row r="181" spans="1:16" ht="17.100000000000001" customHeight="1" x14ac:dyDescent="0.2">
      <c r="A181" s="113"/>
      <c r="B181" s="92" t="s">
        <v>168</v>
      </c>
      <c r="C181" s="116">
        <v>127.9198</v>
      </c>
      <c r="D181" s="116">
        <v>131.29499999999999</v>
      </c>
      <c r="E181" s="113"/>
      <c r="F181" s="117"/>
      <c r="G181" s="118"/>
    </row>
    <row r="182" spans="1:16" ht="29.1" customHeight="1" x14ac:dyDescent="0.2">
      <c r="A182" s="113"/>
      <c r="B182" s="92" t="s">
        <v>1026</v>
      </c>
      <c r="C182" s="116">
        <v>39.334899999999998</v>
      </c>
      <c r="D182" s="116">
        <v>40.016199999999998</v>
      </c>
      <c r="E182" s="113"/>
      <c r="F182" s="117"/>
      <c r="G182" s="118"/>
    </row>
    <row r="183" spans="1:16" ht="17.100000000000001" customHeight="1" x14ac:dyDescent="0.2">
      <c r="A183" s="113"/>
      <c r="B183" s="92" t="s">
        <v>169</v>
      </c>
      <c r="C183" s="116">
        <v>115.17700000000001</v>
      </c>
      <c r="D183" s="116">
        <v>118.09610000000001</v>
      </c>
      <c r="E183" s="113"/>
      <c r="F183" s="117"/>
      <c r="G183" s="118"/>
    </row>
    <row r="184" spans="1:16" ht="29.1" customHeight="1" x14ac:dyDescent="0.2">
      <c r="A184" s="113"/>
      <c r="B184" s="92" t="s">
        <v>1028</v>
      </c>
      <c r="C184" s="116">
        <v>26.908899999999999</v>
      </c>
      <c r="D184" s="116">
        <v>27.336300000000001</v>
      </c>
      <c r="E184" s="113"/>
      <c r="F184" s="117"/>
      <c r="G184" s="118"/>
    </row>
    <row r="185" spans="1:16" ht="14.1" customHeight="1" x14ac:dyDescent="0.2">
      <c r="A185" s="113"/>
      <c r="B185" s="113"/>
      <c r="C185" s="113"/>
      <c r="D185" s="113"/>
      <c r="E185" s="113"/>
      <c r="F185" s="113"/>
      <c r="G185" s="113"/>
    </row>
    <row r="186" spans="1:16" ht="17.100000000000001" customHeight="1" x14ac:dyDescent="0.2">
      <c r="A186" s="113"/>
      <c r="B186" s="330" t="s">
        <v>1023</v>
      </c>
      <c r="C186" s="331"/>
      <c r="D186" s="90" t="s">
        <v>131</v>
      </c>
      <c r="E186" s="113"/>
      <c r="F186" s="113"/>
      <c r="G186" s="113"/>
    </row>
    <row r="187" spans="1:16" ht="18" customHeight="1" x14ac:dyDescent="0.2">
      <c r="A187" s="113"/>
      <c r="B187" s="119" t="s">
        <v>165</v>
      </c>
      <c r="C187" s="120" t="s">
        <v>820</v>
      </c>
      <c r="D187" s="120" t="s">
        <v>821</v>
      </c>
      <c r="E187" s="113"/>
      <c r="F187" s="113"/>
      <c r="G187" s="113"/>
    </row>
    <row r="188" spans="1:16" ht="29.1" customHeight="1" x14ac:dyDescent="0.2">
      <c r="A188" s="113"/>
      <c r="B188" s="92" t="s">
        <v>1026</v>
      </c>
      <c r="C188" s="121">
        <v>0.35</v>
      </c>
      <c r="D188" s="121">
        <v>0.35</v>
      </c>
      <c r="E188" s="113"/>
      <c r="F188" s="117"/>
      <c r="G188" s="118"/>
    </row>
    <row r="189" spans="1:16" ht="29.1" customHeight="1" x14ac:dyDescent="0.2">
      <c r="A189" s="113"/>
      <c r="B189" s="92" t="s">
        <v>1028</v>
      </c>
      <c r="C189" s="121">
        <v>0.25</v>
      </c>
      <c r="D189" s="121">
        <v>0.25</v>
      </c>
      <c r="E189" s="113"/>
      <c r="F189" s="117"/>
      <c r="G189" s="118"/>
    </row>
    <row r="190" spans="1:16" ht="14.1" customHeight="1" x14ac:dyDescent="0.2">
      <c r="A190" s="113"/>
      <c r="B190" s="122"/>
      <c r="C190" s="122"/>
      <c r="D190" s="123"/>
      <c r="E190" s="113"/>
      <c r="F190" s="117"/>
      <c r="G190" s="118"/>
    </row>
    <row r="191" spans="1:16" ht="14.1" customHeight="1" x14ac:dyDescent="0.2">
      <c r="A191" s="113"/>
      <c r="B191" s="117"/>
      <c r="C191" s="117"/>
      <c r="D191" s="113"/>
      <c r="E191" s="113"/>
      <c r="F191" s="113"/>
      <c r="G191" s="113"/>
    </row>
    <row r="192" spans="1:16" ht="29.1" customHeight="1" x14ac:dyDescent="0.2">
      <c r="A192" s="113"/>
      <c r="B192" s="330" t="s">
        <v>170</v>
      </c>
      <c r="C192" s="331"/>
      <c r="D192" s="112" t="s">
        <v>976</v>
      </c>
      <c r="E192" s="124"/>
      <c r="F192" s="113"/>
      <c r="G192" s="113"/>
    </row>
    <row r="193" spans="1:15" ht="29.1" customHeight="1" x14ac:dyDescent="0.2">
      <c r="A193" s="113"/>
      <c r="B193" s="330" t="s">
        <v>171</v>
      </c>
      <c r="C193" s="331"/>
      <c r="D193" s="90" t="s">
        <v>160</v>
      </c>
      <c r="E193" s="124"/>
      <c r="F193" s="113"/>
      <c r="G193" s="113"/>
    </row>
    <row r="194" spans="1:15" ht="17.100000000000001" customHeight="1" x14ac:dyDescent="0.2">
      <c r="A194" s="113"/>
      <c r="B194" s="328" t="s">
        <v>978</v>
      </c>
      <c r="C194" s="329"/>
      <c r="D194" s="125">
        <v>1.7309252828522104</v>
      </c>
      <c r="E194" s="124"/>
      <c r="F194" s="113"/>
      <c r="G194" s="113"/>
    </row>
    <row r="195" spans="1:15" ht="17.100000000000001" customHeight="1" x14ac:dyDescent="0.2">
      <c r="A195" s="113"/>
      <c r="B195" s="328" t="s">
        <v>979</v>
      </c>
      <c r="C195" s="329"/>
      <c r="D195" s="125">
        <v>1.3635832266234109</v>
      </c>
      <c r="E195" s="124"/>
      <c r="F195" s="113"/>
      <c r="G195" s="113"/>
    </row>
    <row r="196" spans="1:15" ht="17.100000000000001" customHeight="1" x14ac:dyDescent="0.2">
      <c r="A196" s="113"/>
      <c r="B196" s="328" t="s">
        <v>980</v>
      </c>
      <c r="C196" s="329"/>
      <c r="D196" s="126">
        <v>0.74067511848428025</v>
      </c>
      <c r="E196" s="113"/>
      <c r="F196" s="117"/>
      <c r="G196" s="118"/>
    </row>
    <row r="197" spans="1:15" ht="17.100000000000001" customHeight="1" x14ac:dyDescent="0.2">
      <c r="A197" s="113"/>
      <c r="B197" s="328" t="s">
        <v>981</v>
      </c>
      <c r="C197" s="329"/>
      <c r="D197" s="90" t="s">
        <v>160</v>
      </c>
      <c r="E197" s="124"/>
      <c r="F197" s="113"/>
      <c r="G197" s="113"/>
    </row>
    <row r="198" spans="1:15" ht="11.1" customHeight="1" x14ac:dyDescent="0.2">
      <c r="A198" s="127"/>
      <c r="B198" s="127"/>
      <c r="C198" s="127"/>
      <c r="D198" s="127"/>
      <c r="E198" s="127"/>
      <c r="F198" s="127"/>
      <c r="G198" s="127"/>
    </row>
    <row r="199" spans="1:15" s="42" customFormat="1" x14ac:dyDescent="0.2">
      <c r="B199" s="128" t="s">
        <v>1017</v>
      </c>
      <c r="J199"/>
      <c r="K199"/>
      <c r="L199"/>
      <c r="M199"/>
      <c r="N199"/>
      <c r="O199"/>
    </row>
    <row r="200" spans="1:15" s="42" customFormat="1" ht="38.25" x14ac:dyDescent="0.2">
      <c r="B200" s="67" t="s">
        <v>990</v>
      </c>
      <c r="C200" s="67" t="s">
        <v>991</v>
      </c>
      <c r="D200" s="67" t="s">
        <v>992</v>
      </c>
      <c r="E200" s="67" t="s">
        <v>993</v>
      </c>
      <c r="F200" s="67" t="s">
        <v>994</v>
      </c>
      <c r="J200"/>
      <c r="K200"/>
      <c r="L200"/>
      <c r="M200"/>
      <c r="N200"/>
      <c r="O200"/>
    </row>
    <row r="201" spans="1:15" s="42" customFormat="1" ht="25.5" x14ac:dyDescent="0.2">
      <c r="B201" s="129" t="s">
        <v>995</v>
      </c>
      <c r="C201" s="130" t="s">
        <v>996</v>
      </c>
      <c r="D201" s="131">
        <v>0</v>
      </c>
      <c r="E201" s="132">
        <v>0</v>
      </c>
      <c r="F201" s="133">
        <v>1000</v>
      </c>
      <c r="J201"/>
      <c r="K201"/>
      <c r="L201"/>
      <c r="M201"/>
      <c r="N201"/>
      <c r="O201"/>
    </row>
    <row r="202" spans="1:15" s="42" customFormat="1" x14ac:dyDescent="0.2">
      <c r="B202" s="128"/>
      <c r="J202"/>
      <c r="K202"/>
      <c r="L202"/>
      <c r="M202"/>
      <c r="N202"/>
      <c r="O202"/>
    </row>
    <row r="203" spans="1:15" s="42" customFormat="1" ht="29.25" customHeight="1" x14ac:dyDescent="0.2">
      <c r="B203" s="134" t="s">
        <v>997</v>
      </c>
      <c r="C203" s="134" t="s">
        <v>998</v>
      </c>
      <c r="D203" s="348" t="s">
        <v>999</v>
      </c>
      <c r="E203" s="349"/>
      <c r="F203" s="347" t="s">
        <v>1000</v>
      </c>
      <c r="G203" s="347"/>
      <c r="H203" s="135"/>
      <c r="I203" s="136"/>
      <c r="J203"/>
      <c r="K203"/>
      <c r="L203"/>
      <c r="M203"/>
      <c r="N203"/>
      <c r="O203"/>
    </row>
    <row r="204" spans="1:15" s="42" customFormat="1" ht="25.5" x14ac:dyDescent="0.2">
      <c r="B204" s="137" t="s">
        <v>1001</v>
      </c>
      <c r="C204" s="138" t="s">
        <v>1002</v>
      </c>
      <c r="D204" s="342">
        <v>0</v>
      </c>
      <c r="E204" s="343"/>
      <c r="F204" s="342">
        <v>0</v>
      </c>
      <c r="G204" s="343"/>
      <c r="H204" s="139"/>
      <c r="I204" s="136"/>
      <c r="J204"/>
      <c r="K204"/>
      <c r="L204"/>
      <c r="M204"/>
      <c r="N204"/>
      <c r="O204"/>
    </row>
    <row r="205" spans="1:15" s="42" customFormat="1" x14ac:dyDescent="0.2">
      <c r="B205" s="344" t="s">
        <v>1003</v>
      </c>
      <c r="C205" s="345"/>
      <c r="D205" s="345"/>
      <c r="E205" s="345"/>
      <c r="F205" s="345"/>
      <c r="G205" s="346"/>
      <c r="H205" s="135"/>
      <c r="I205" s="136"/>
      <c r="J205" s="50"/>
      <c r="K205"/>
      <c r="L205"/>
      <c r="M205"/>
      <c r="N205"/>
      <c r="O205"/>
    </row>
    <row r="206" spans="1:15" s="42" customFormat="1" x14ac:dyDescent="0.2">
      <c r="B206" s="347" t="s">
        <v>997</v>
      </c>
      <c r="C206" s="347" t="s">
        <v>998</v>
      </c>
      <c r="D206" s="344" t="s">
        <v>1004</v>
      </c>
      <c r="E206" s="345"/>
      <c r="F206" s="346"/>
      <c r="G206" s="137"/>
      <c r="H206" s="135"/>
      <c r="I206" s="136"/>
      <c r="J206" s="50"/>
      <c r="K206"/>
      <c r="L206"/>
      <c r="M206"/>
      <c r="N206"/>
      <c r="O206"/>
    </row>
    <row r="207" spans="1:15" s="42" customFormat="1" ht="38.25" x14ac:dyDescent="0.2">
      <c r="B207" s="347"/>
      <c r="C207" s="347"/>
      <c r="D207" s="140" t="s">
        <v>1005</v>
      </c>
      <c r="E207" s="140" t="s">
        <v>1006</v>
      </c>
      <c r="F207" s="140" t="s">
        <v>1007</v>
      </c>
      <c r="G207" s="140" t="s">
        <v>1009</v>
      </c>
      <c r="H207" s="135"/>
      <c r="I207" s="136"/>
      <c r="J207" s="50"/>
      <c r="K207"/>
      <c r="L207"/>
      <c r="M207"/>
      <c r="N207"/>
      <c r="O207"/>
    </row>
    <row r="208" spans="1:15" s="42" customFormat="1" ht="25.5" x14ac:dyDescent="0.2">
      <c r="B208" s="141" t="s">
        <v>1001</v>
      </c>
      <c r="C208" s="138" t="s">
        <v>1002</v>
      </c>
      <c r="D208" s="142">
        <v>700</v>
      </c>
      <c r="E208" s="142">
        <v>24.098357999999998</v>
      </c>
      <c r="F208" s="143">
        <v>724.09835799999996</v>
      </c>
      <c r="G208" s="68">
        <v>2.27517173283996E-3</v>
      </c>
      <c r="H208" s="135"/>
      <c r="I208" s="136"/>
      <c r="J208" s="50"/>
      <c r="K208"/>
      <c r="L208"/>
      <c r="M208"/>
      <c r="N208"/>
      <c r="O208"/>
    </row>
    <row r="209" spans="2:15" s="42" customFormat="1" ht="27.75" customHeight="1" x14ac:dyDescent="0.2">
      <c r="B209" s="337" t="s">
        <v>1008</v>
      </c>
      <c r="C209" s="338"/>
      <c r="D209" s="338"/>
      <c r="E209" s="338"/>
      <c r="F209" s="338"/>
      <c r="G209" s="339"/>
      <c r="H209" s="135"/>
      <c r="I209" s="136"/>
      <c r="J209" s="50"/>
      <c r="K209"/>
      <c r="L209"/>
      <c r="M209"/>
      <c r="N209"/>
      <c r="O209"/>
    </row>
    <row r="210" spans="2:15" x14ac:dyDescent="0.2">
      <c r="J210" s="50"/>
    </row>
    <row r="211" spans="2:15" x14ac:dyDescent="0.2">
      <c r="J211" s="50"/>
    </row>
    <row r="212" spans="2:15" x14ac:dyDescent="0.2">
      <c r="J212" s="50"/>
    </row>
    <row r="213" spans="2:15" x14ac:dyDescent="0.2">
      <c r="J213" s="50"/>
    </row>
    <row r="214" spans="2:15" x14ac:dyDescent="0.2">
      <c r="J214" s="50"/>
    </row>
    <row r="215" spans="2:15" ht="15" x14ac:dyDescent="0.2">
      <c r="J215" s="221"/>
    </row>
    <row r="216" spans="2:15" ht="15" x14ac:dyDescent="0.25">
      <c r="J216" s="222"/>
    </row>
    <row r="217" spans="2:15" x14ac:dyDescent="0.2">
      <c r="J217" s="50"/>
    </row>
  </sheetData>
  <mergeCells count="28">
    <mergeCell ref="K2:O2"/>
    <mergeCell ref="B209:G209"/>
    <mergeCell ref="A1:I1"/>
    <mergeCell ref="A2:I2"/>
    <mergeCell ref="A3:I3"/>
    <mergeCell ref="D204:E204"/>
    <mergeCell ref="F204:G204"/>
    <mergeCell ref="B205:G205"/>
    <mergeCell ref="B206:B207"/>
    <mergeCell ref="C206:C207"/>
    <mergeCell ref="D206:F206"/>
    <mergeCell ref="D203:E203"/>
    <mergeCell ref="F203:G203"/>
    <mergeCell ref="B193:C193"/>
    <mergeCell ref="B194:C194"/>
    <mergeCell ref="B195:C195"/>
    <mergeCell ref="B197:C197"/>
    <mergeCell ref="B196:C196"/>
    <mergeCell ref="B192:C192"/>
    <mergeCell ref="B170:F170"/>
    <mergeCell ref="B171:F171"/>
    <mergeCell ref="B172:F172"/>
    <mergeCell ref="B173:F173"/>
    <mergeCell ref="B175:D175"/>
    <mergeCell ref="B176:C176"/>
    <mergeCell ref="B177:C177"/>
    <mergeCell ref="B178:C178"/>
    <mergeCell ref="B186:C186"/>
  </mergeCells>
  <hyperlinks>
    <hyperlink ref="J1" location="Index!B23" display="Index" xr:uid="{03E445C4-5830-461B-A054-FA7464F34AD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O148"/>
  <sheetViews>
    <sheetView showGridLines="0" workbookViewId="0">
      <selection sqref="A1:H1"/>
    </sheetView>
  </sheetViews>
  <sheetFormatPr defaultRowHeight="12.75" x14ac:dyDescent="0.2"/>
  <cols>
    <col min="1" max="1" width="6.85546875" customWidth="1"/>
    <col min="2" max="2" width="20.5703125" customWidth="1"/>
    <col min="3" max="3" width="35.5703125" customWidth="1"/>
    <col min="4" max="4" width="17.85546875" customWidth="1"/>
    <col min="5" max="6" width="19.140625" customWidth="1"/>
    <col min="7" max="7" width="16.42578125" customWidth="1"/>
    <col min="8" max="8" width="12.140625" bestFit="1" customWidth="1"/>
  </cols>
  <sheetData>
    <row r="1" spans="1:15" ht="18" customHeight="1" x14ac:dyDescent="0.2">
      <c r="A1" s="340" t="s">
        <v>0</v>
      </c>
      <c r="B1" s="340"/>
      <c r="C1" s="340"/>
      <c r="D1" s="340"/>
      <c r="E1" s="340"/>
      <c r="F1" s="340"/>
      <c r="G1" s="340"/>
      <c r="H1" s="340"/>
      <c r="I1" s="219" t="s">
        <v>1069</v>
      </c>
    </row>
    <row r="2" spans="1:15" ht="17.100000000000001" customHeight="1" x14ac:dyDescent="0.2">
      <c r="A2" s="350" t="s">
        <v>1033</v>
      </c>
      <c r="B2" s="351"/>
      <c r="C2" s="351"/>
      <c r="D2" s="351"/>
      <c r="E2" s="351"/>
      <c r="F2" s="351"/>
      <c r="G2" s="351"/>
      <c r="H2" s="352"/>
      <c r="J2" s="321" t="s">
        <v>1070</v>
      </c>
      <c r="K2" s="321"/>
      <c r="L2" s="321"/>
      <c r="M2" s="321"/>
      <c r="N2" s="321"/>
    </row>
    <row r="3" spans="1:15" ht="21" customHeight="1" x14ac:dyDescent="0.2">
      <c r="A3" s="340" t="s">
        <v>1031</v>
      </c>
      <c r="B3" s="340"/>
      <c r="C3" s="340"/>
      <c r="D3" s="340"/>
      <c r="E3" s="340"/>
      <c r="F3" s="340"/>
      <c r="G3" s="340"/>
      <c r="H3" s="340"/>
    </row>
    <row r="4" spans="1:15" s="85" customFormat="1" ht="30" x14ac:dyDescent="0.2">
      <c r="A4" s="144" t="s">
        <v>2</v>
      </c>
      <c r="B4" s="144" t="s">
        <v>3</v>
      </c>
      <c r="C4" s="144" t="s">
        <v>4</v>
      </c>
      <c r="D4" s="144" t="s">
        <v>5</v>
      </c>
      <c r="E4" s="144" t="s">
        <v>6</v>
      </c>
      <c r="F4" s="144" t="s">
        <v>7</v>
      </c>
      <c r="G4" s="144" t="s">
        <v>8</v>
      </c>
      <c r="H4" s="66" t="s">
        <v>989</v>
      </c>
      <c r="I4" s="216"/>
      <c r="J4" s="216"/>
      <c r="K4" s="216"/>
      <c r="L4" s="216"/>
      <c r="M4" s="216"/>
      <c r="N4" s="216"/>
      <c r="O4" s="216"/>
    </row>
    <row r="5" spans="1:15" ht="14.1" customHeight="1" x14ac:dyDescent="0.2">
      <c r="A5" s="89"/>
      <c r="B5" s="89"/>
      <c r="C5" s="90" t="s">
        <v>9</v>
      </c>
      <c r="D5" s="89"/>
      <c r="E5" s="89"/>
      <c r="F5" s="89"/>
      <c r="G5" s="89"/>
      <c r="H5" s="47"/>
    </row>
    <row r="6" spans="1:15" ht="24" customHeight="1" x14ac:dyDescent="0.2">
      <c r="A6" s="89"/>
      <c r="B6" s="89"/>
      <c r="C6" s="90" t="s">
        <v>10</v>
      </c>
      <c r="D6" s="89"/>
      <c r="E6" s="89"/>
      <c r="F6" s="89"/>
      <c r="G6" s="89"/>
      <c r="H6" s="47"/>
    </row>
    <row r="7" spans="1:15" ht="17.100000000000001" customHeight="1" x14ac:dyDescent="0.2">
      <c r="A7" s="91">
        <v>1</v>
      </c>
      <c r="B7" s="92" t="s">
        <v>263</v>
      </c>
      <c r="C7" s="92" t="s">
        <v>264</v>
      </c>
      <c r="D7" s="92" t="s">
        <v>16</v>
      </c>
      <c r="E7" s="93">
        <v>31900</v>
      </c>
      <c r="F7" s="94">
        <v>513.09555</v>
      </c>
      <c r="G7" s="95">
        <v>8.8360479000000006E-2</v>
      </c>
      <c r="H7" s="47"/>
    </row>
    <row r="8" spans="1:15" ht="17.100000000000001" customHeight="1" x14ac:dyDescent="0.2">
      <c r="A8" s="91">
        <v>2</v>
      </c>
      <c r="B8" s="92" t="s">
        <v>228</v>
      </c>
      <c r="C8" s="92" t="s">
        <v>229</v>
      </c>
      <c r="D8" s="92" t="s">
        <v>230</v>
      </c>
      <c r="E8" s="93">
        <v>180000</v>
      </c>
      <c r="F8" s="94">
        <v>476.28</v>
      </c>
      <c r="G8" s="95">
        <v>8.2020451999999994E-2</v>
      </c>
      <c r="H8" s="47"/>
    </row>
    <row r="9" spans="1:15" ht="29.1" customHeight="1" x14ac:dyDescent="0.2">
      <c r="A9" s="91">
        <v>3</v>
      </c>
      <c r="B9" s="92" t="s">
        <v>58</v>
      </c>
      <c r="C9" s="92" t="s">
        <v>59</v>
      </c>
      <c r="D9" s="92" t="s">
        <v>60</v>
      </c>
      <c r="E9" s="93">
        <v>50000</v>
      </c>
      <c r="F9" s="94">
        <v>440.5</v>
      </c>
      <c r="G9" s="95">
        <v>7.5858756999999999E-2</v>
      </c>
      <c r="H9" s="47"/>
    </row>
    <row r="10" spans="1:15" ht="17.100000000000001" customHeight="1" x14ac:dyDescent="0.2">
      <c r="A10" s="91">
        <v>4</v>
      </c>
      <c r="B10" s="92" t="s">
        <v>344</v>
      </c>
      <c r="C10" s="92" t="s">
        <v>345</v>
      </c>
      <c r="D10" s="92" t="s">
        <v>103</v>
      </c>
      <c r="E10" s="93">
        <v>6250</v>
      </c>
      <c r="F10" s="94">
        <v>420.05937499999999</v>
      </c>
      <c r="G10" s="95">
        <v>7.2338665999999996E-2</v>
      </c>
      <c r="H10" s="47"/>
    </row>
    <row r="11" spans="1:15" ht="17.100000000000001" customHeight="1" x14ac:dyDescent="0.2">
      <c r="A11" s="91">
        <v>5</v>
      </c>
      <c r="B11" s="92" t="s">
        <v>180</v>
      </c>
      <c r="C11" s="92" t="s">
        <v>181</v>
      </c>
      <c r="D11" s="92" t="s">
        <v>16</v>
      </c>
      <c r="E11" s="93">
        <v>37200</v>
      </c>
      <c r="F11" s="94">
        <v>335.26499999999999</v>
      </c>
      <c r="G11" s="95">
        <v>5.7736177999999999E-2</v>
      </c>
      <c r="H11" s="47"/>
    </row>
    <row r="12" spans="1:15" ht="17.100000000000001" customHeight="1" x14ac:dyDescent="0.2">
      <c r="A12" s="91">
        <v>6</v>
      </c>
      <c r="B12" s="92" t="s">
        <v>11</v>
      </c>
      <c r="C12" s="92" t="s">
        <v>12</v>
      </c>
      <c r="D12" s="92" t="s">
        <v>13</v>
      </c>
      <c r="E12" s="93">
        <v>13800</v>
      </c>
      <c r="F12" s="94">
        <v>286.32929999999999</v>
      </c>
      <c r="G12" s="95">
        <v>4.9308932999999999E-2</v>
      </c>
      <c r="H12" s="47"/>
      <c r="J12" s="217"/>
    </row>
    <row r="13" spans="1:15" ht="17.100000000000001" customHeight="1" x14ac:dyDescent="0.2">
      <c r="A13" s="91">
        <v>7</v>
      </c>
      <c r="B13" s="92" t="s">
        <v>14</v>
      </c>
      <c r="C13" s="92" t="s">
        <v>15</v>
      </c>
      <c r="D13" s="92" t="s">
        <v>16</v>
      </c>
      <c r="E13" s="93">
        <v>24750</v>
      </c>
      <c r="F13" s="94">
        <v>235.84275</v>
      </c>
      <c r="G13" s="95">
        <v>4.0614615E-2</v>
      </c>
      <c r="H13" s="47"/>
    </row>
    <row r="14" spans="1:15" ht="17.100000000000001" customHeight="1" x14ac:dyDescent="0.2">
      <c r="A14" s="91">
        <v>8</v>
      </c>
      <c r="B14" s="92" t="s">
        <v>70</v>
      </c>
      <c r="C14" s="92" t="s">
        <v>71</v>
      </c>
      <c r="D14" s="92" t="s">
        <v>72</v>
      </c>
      <c r="E14" s="93">
        <v>2500</v>
      </c>
      <c r="F14" s="94">
        <v>224.35374999999999</v>
      </c>
      <c r="G14" s="95">
        <v>3.8636087999999999E-2</v>
      </c>
      <c r="H14" s="47"/>
      <c r="J14" s="217" t="s">
        <v>1084</v>
      </c>
    </row>
    <row r="15" spans="1:15" ht="17.100000000000001" customHeight="1" x14ac:dyDescent="0.2">
      <c r="A15" s="91">
        <v>9</v>
      </c>
      <c r="B15" s="92" t="s">
        <v>543</v>
      </c>
      <c r="C15" s="92" t="s">
        <v>544</v>
      </c>
      <c r="D15" s="92" t="s">
        <v>108</v>
      </c>
      <c r="E15" s="93">
        <v>7000</v>
      </c>
      <c r="F15" s="94">
        <v>222.26050000000001</v>
      </c>
      <c r="G15" s="95">
        <v>3.8275608000000003E-2</v>
      </c>
      <c r="H15" s="47"/>
    </row>
    <row r="16" spans="1:15" ht="17.100000000000001" customHeight="1" x14ac:dyDescent="0.2">
      <c r="A16" s="91">
        <v>10</v>
      </c>
      <c r="B16" s="92" t="s">
        <v>328</v>
      </c>
      <c r="C16" s="92" t="s">
        <v>329</v>
      </c>
      <c r="D16" s="92" t="s">
        <v>16</v>
      </c>
      <c r="E16" s="93">
        <v>9200</v>
      </c>
      <c r="F16" s="94">
        <v>179.12860000000001</v>
      </c>
      <c r="G16" s="95">
        <v>3.0847838999999998E-2</v>
      </c>
      <c r="H16" s="47"/>
    </row>
    <row r="17" spans="1:8" ht="29.1" customHeight="1" x14ac:dyDescent="0.2">
      <c r="A17" s="91">
        <v>11</v>
      </c>
      <c r="B17" s="92" t="s">
        <v>75</v>
      </c>
      <c r="C17" s="92" t="s">
        <v>76</v>
      </c>
      <c r="D17" s="92" t="s">
        <v>25</v>
      </c>
      <c r="E17" s="93">
        <v>28800</v>
      </c>
      <c r="F17" s="94">
        <v>164.376</v>
      </c>
      <c r="G17" s="95">
        <v>2.8307285000000001E-2</v>
      </c>
      <c r="H17" s="47"/>
    </row>
    <row r="18" spans="1:8" ht="29.1" customHeight="1" x14ac:dyDescent="0.2">
      <c r="A18" s="91">
        <v>12</v>
      </c>
      <c r="B18" s="92" t="s">
        <v>304</v>
      </c>
      <c r="C18" s="92" t="s">
        <v>305</v>
      </c>
      <c r="D18" s="92" t="s">
        <v>215</v>
      </c>
      <c r="E18" s="93">
        <v>14700</v>
      </c>
      <c r="F18" s="94">
        <v>153.76935</v>
      </c>
      <c r="G18" s="95">
        <v>2.6480707999999999E-2</v>
      </c>
      <c r="H18" s="47"/>
    </row>
    <row r="19" spans="1:8" ht="17.100000000000001" customHeight="1" x14ac:dyDescent="0.2">
      <c r="A19" s="91">
        <v>13</v>
      </c>
      <c r="B19" s="92" t="s">
        <v>545</v>
      </c>
      <c r="C19" s="92" t="s">
        <v>546</v>
      </c>
      <c r="D19" s="92" t="s">
        <v>100</v>
      </c>
      <c r="E19" s="93">
        <v>26400</v>
      </c>
      <c r="F19" s="94">
        <v>106.2996</v>
      </c>
      <c r="G19" s="95">
        <v>1.8305914999999999E-2</v>
      </c>
      <c r="H19" s="47"/>
    </row>
    <row r="20" spans="1:8" ht="17.100000000000001" customHeight="1" x14ac:dyDescent="0.2">
      <c r="A20" s="91">
        <v>14</v>
      </c>
      <c r="B20" s="92" t="s">
        <v>79</v>
      </c>
      <c r="C20" s="92" t="s">
        <v>80</v>
      </c>
      <c r="D20" s="92" t="s">
        <v>38</v>
      </c>
      <c r="E20" s="93">
        <v>3575</v>
      </c>
      <c r="F20" s="94">
        <v>99.204462500000005</v>
      </c>
      <c r="G20" s="95">
        <v>1.7084057E-2</v>
      </c>
      <c r="H20" s="47"/>
    </row>
    <row r="21" spans="1:8" ht="17.100000000000001" customHeight="1" x14ac:dyDescent="0.2">
      <c r="A21" s="91">
        <v>15</v>
      </c>
      <c r="B21" s="92" t="s">
        <v>320</v>
      </c>
      <c r="C21" s="92" t="s">
        <v>321</v>
      </c>
      <c r="D21" s="92" t="s">
        <v>974</v>
      </c>
      <c r="E21" s="93">
        <v>13000</v>
      </c>
      <c r="F21" s="94">
        <v>52.896999999999998</v>
      </c>
      <c r="G21" s="95">
        <v>9.1094230000000002E-3</v>
      </c>
      <c r="H21" s="47"/>
    </row>
    <row r="22" spans="1:8" ht="29.1" customHeight="1" x14ac:dyDescent="0.2">
      <c r="A22" s="91">
        <v>16</v>
      </c>
      <c r="B22" s="92" t="s">
        <v>547</v>
      </c>
      <c r="C22" s="92" t="s">
        <v>548</v>
      </c>
      <c r="D22" s="92" t="s">
        <v>215</v>
      </c>
      <c r="E22" s="93">
        <v>11000</v>
      </c>
      <c r="F22" s="94">
        <v>51.408499999999997</v>
      </c>
      <c r="G22" s="95">
        <v>8.8530870000000008E-3</v>
      </c>
      <c r="H22" s="47"/>
    </row>
    <row r="23" spans="1:8" ht="29.1" customHeight="1" x14ac:dyDescent="0.2">
      <c r="A23" s="91">
        <v>17</v>
      </c>
      <c r="B23" s="92" t="s">
        <v>257</v>
      </c>
      <c r="C23" s="92" t="s">
        <v>258</v>
      </c>
      <c r="D23" s="92" t="s">
        <v>215</v>
      </c>
      <c r="E23" s="93">
        <v>10800</v>
      </c>
      <c r="F23" s="94">
        <v>44.269199999999998</v>
      </c>
      <c r="G23" s="95">
        <v>7.6236239999999999E-3</v>
      </c>
      <c r="H23" s="47"/>
    </row>
    <row r="24" spans="1:8" ht="17.100000000000001" customHeight="1" x14ac:dyDescent="0.2">
      <c r="A24" s="91">
        <v>18</v>
      </c>
      <c r="B24" s="92" t="s">
        <v>549</v>
      </c>
      <c r="C24" s="92" t="s">
        <v>550</v>
      </c>
      <c r="D24" s="92" t="s">
        <v>103</v>
      </c>
      <c r="E24" s="93">
        <v>8924</v>
      </c>
      <c r="F24" s="94">
        <v>7.7638800000000003</v>
      </c>
      <c r="G24" s="95">
        <v>1.337022E-3</v>
      </c>
      <c r="H24" s="47"/>
    </row>
    <row r="25" spans="1:8" ht="14.1" customHeight="1" x14ac:dyDescent="0.2">
      <c r="A25" s="89"/>
      <c r="B25" s="89"/>
      <c r="C25" s="90" t="s">
        <v>130</v>
      </c>
      <c r="D25" s="89"/>
      <c r="E25" s="89" t="s">
        <v>131</v>
      </c>
      <c r="F25" s="96">
        <f>SUM(F7:F24)</f>
        <v>4013.1028174999992</v>
      </c>
      <c r="G25" s="97">
        <f>SUM(G7:G24)</f>
        <v>0.69109873599999994</v>
      </c>
      <c r="H25" s="47"/>
    </row>
    <row r="26" spans="1:8" ht="14.1" customHeight="1" x14ac:dyDescent="0.2">
      <c r="A26" s="89"/>
      <c r="B26" s="89"/>
      <c r="C26" s="98"/>
      <c r="D26" s="89"/>
      <c r="E26" s="89"/>
      <c r="F26" s="99"/>
      <c r="G26" s="99"/>
      <c r="H26" s="47"/>
    </row>
    <row r="27" spans="1:8" ht="14.1" customHeight="1" x14ac:dyDescent="0.2">
      <c r="A27" s="89"/>
      <c r="B27" s="89"/>
      <c r="C27" s="90" t="s">
        <v>132</v>
      </c>
      <c r="D27" s="89"/>
      <c r="E27" s="89"/>
      <c r="F27" s="89"/>
      <c r="G27" s="89"/>
      <c r="H27" s="47"/>
    </row>
    <row r="28" spans="1:8" ht="14.1" customHeight="1" x14ac:dyDescent="0.2">
      <c r="A28" s="89"/>
      <c r="B28" s="89"/>
      <c r="C28" s="90" t="s">
        <v>130</v>
      </c>
      <c r="D28" s="89"/>
      <c r="E28" s="89" t="s">
        <v>131</v>
      </c>
      <c r="F28" s="100">
        <v>0</v>
      </c>
      <c r="G28" s="101">
        <v>0</v>
      </c>
      <c r="H28" s="47"/>
    </row>
    <row r="29" spans="1:8" ht="14.1" customHeight="1" x14ac:dyDescent="0.2">
      <c r="A29" s="89"/>
      <c r="B29" s="89"/>
      <c r="C29" s="98"/>
      <c r="D29" s="89"/>
      <c r="E29" s="89"/>
      <c r="F29" s="99"/>
      <c r="G29" s="99"/>
      <c r="H29" s="47"/>
    </row>
    <row r="30" spans="1:8" ht="14.1" customHeight="1" x14ac:dyDescent="0.2">
      <c r="A30" s="89"/>
      <c r="B30" s="89"/>
      <c r="C30" s="90" t="s">
        <v>133</v>
      </c>
      <c r="D30" s="89"/>
      <c r="E30" s="89"/>
      <c r="F30" s="89"/>
      <c r="G30" s="89"/>
      <c r="H30" s="47"/>
    </row>
    <row r="31" spans="1:8" ht="14.1" customHeight="1" x14ac:dyDescent="0.2">
      <c r="A31" s="89"/>
      <c r="B31" s="89"/>
      <c r="C31" s="90" t="s">
        <v>130</v>
      </c>
      <c r="D31" s="89"/>
      <c r="E31" s="89" t="s">
        <v>131</v>
      </c>
      <c r="F31" s="100">
        <v>0</v>
      </c>
      <c r="G31" s="101">
        <v>0</v>
      </c>
      <c r="H31" s="47"/>
    </row>
    <row r="32" spans="1:8" ht="14.1" customHeight="1" x14ac:dyDescent="0.2">
      <c r="A32" s="89"/>
      <c r="B32" s="89"/>
      <c r="C32" s="98"/>
      <c r="D32" s="89"/>
      <c r="E32" s="89"/>
      <c r="F32" s="99"/>
      <c r="G32" s="99"/>
      <c r="H32" s="47"/>
    </row>
    <row r="33" spans="1:8" ht="14.1" customHeight="1" x14ac:dyDescent="0.2">
      <c r="A33" s="89"/>
      <c r="B33" s="89"/>
      <c r="C33" s="90" t="s">
        <v>134</v>
      </c>
      <c r="D33" s="89"/>
      <c r="E33" s="89"/>
      <c r="F33" s="89"/>
      <c r="G33" s="89"/>
      <c r="H33" s="47"/>
    </row>
    <row r="34" spans="1:8" ht="14.1" customHeight="1" x14ac:dyDescent="0.2">
      <c r="A34" s="89"/>
      <c r="B34" s="89"/>
      <c r="C34" s="90" t="s">
        <v>130</v>
      </c>
      <c r="D34" s="89"/>
      <c r="E34" s="89" t="s">
        <v>131</v>
      </c>
      <c r="F34" s="100">
        <v>0</v>
      </c>
      <c r="G34" s="101">
        <v>0</v>
      </c>
      <c r="H34" s="47"/>
    </row>
    <row r="35" spans="1:8" ht="14.1" customHeight="1" x14ac:dyDescent="0.2">
      <c r="A35" s="89"/>
      <c r="B35" s="89"/>
      <c r="C35" s="98"/>
      <c r="D35" s="89"/>
      <c r="E35" s="89"/>
      <c r="F35" s="99"/>
      <c r="G35" s="99"/>
      <c r="H35" s="47"/>
    </row>
    <row r="36" spans="1:8" ht="14.1" customHeight="1" x14ac:dyDescent="0.2">
      <c r="A36" s="89"/>
      <c r="B36" s="89"/>
      <c r="C36" s="90" t="s">
        <v>135</v>
      </c>
      <c r="D36" s="89"/>
      <c r="E36" s="89"/>
      <c r="F36" s="99"/>
      <c r="G36" s="99"/>
      <c r="H36" s="47"/>
    </row>
    <row r="37" spans="1:8" ht="14.1" customHeight="1" x14ac:dyDescent="0.2">
      <c r="A37" s="89"/>
      <c r="B37" s="89"/>
      <c r="C37" s="90" t="s">
        <v>130</v>
      </c>
      <c r="D37" s="89"/>
      <c r="E37" s="89" t="s">
        <v>131</v>
      </c>
      <c r="F37" s="100">
        <v>0</v>
      </c>
      <c r="G37" s="101">
        <v>0</v>
      </c>
      <c r="H37" s="47"/>
    </row>
    <row r="38" spans="1:8" ht="14.1" customHeight="1" x14ac:dyDescent="0.2">
      <c r="A38" s="89"/>
      <c r="B38" s="89"/>
      <c r="C38" s="98"/>
      <c r="D38" s="89"/>
      <c r="E38" s="89"/>
      <c r="F38" s="99"/>
      <c r="G38" s="99"/>
      <c r="H38" s="47"/>
    </row>
    <row r="39" spans="1:8" ht="14.1" customHeight="1" x14ac:dyDescent="0.2">
      <c r="A39" s="89"/>
      <c r="B39" s="89"/>
      <c r="C39" s="90" t="s">
        <v>136</v>
      </c>
      <c r="D39" s="89"/>
      <c r="E39" s="89"/>
      <c r="F39" s="99"/>
      <c r="G39" s="99"/>
      <c r="H39" s="47"/>
    </row>
    <row r="40" spans="1:8" ht="25.5" x14ac:dyDescent="0.2">
      <c r="A40" s="91">
        <v>1</v>
      </c>
      <c r="B40" s="92"/>
      <c r="C40" s="92" t="s">
        <v>937</v>
      </c>
      <c r="D40" s="92" t="s">
        <v>551</v>
      </c>
      <c r="E40" s="93">
        <v>-8924</v>
      </c>
      <c r="F40" s="94">
        <v>-7.8308099999999996</v>
      </c>
      <c r="G40" s="95">
        <v>-1.34855E-3</v>
      </c>
      <c r="H40" s="47"/>
    </row>
    <row r="41" spans="1:8" x14ac:dyDescent="0.2">
      <c r="A41" s="91">
        <v>2</v>
      </c>
      <c r="B41" s="92"/>
      <c r="C41" s="92" t="s">
        <v>938</v>
      </c>
      <c r="D41" s="92" t="s">
        <v>551</v>
      </c>
      <c r="E41" s="93">
        <v>-10800</v>
      </c>
      <c r="F41" s="94">
        <v>-44.5122</v>
      </c>
      <c r="G41" s="95">
        <v>-7.6654699999999997E-3</v>
      </c>
      <c r="H41" s="47"/>
    </row>
    <row r="42" spans="1:8" x14ac:dyDescent="0.2">
      <c r="A42" s="91">
        <v>3</v>
      </c>
      <c r="B42" s="92"/>
      <c r="C42" s="92" t="s">
        <v>939</v>
      </c>
      <c r="D42" s="92" t="s">
        <v>551</v>
      </c>
      <c r="E42" s="93">
        <v>-11000</v>
      </c>
      <c r="F42" s="94">
        <v>-51.771500000000003</v>
      </c>
      <c r="G42" s="95">
        <v>-8.915600000000001E-3</v>
      </c>
      <c r="H42" s="47"/>
    </row>
    <row r="43" spans="1:8" x14ac:dyDescent="0.2">
      <c r="A43" s="91">
        <v>4</v>
      </c>
      <c r="B43" s="92"/>
      <c r="C43" s="92" t="s">
        <v>940</v>
      </c>
      <c r="D43" s="92" t="s">
        <v>551</v>
      </c>
      <c r="E43" s="93">
        <v>-13000</v>
      </c>
      <c r="F43" s="94">
        <v>-53.183</v>
      </c>
      <c r="G43" s="95">
        <v>-9.1586700000000007E-3</v>
      </c>
      <c r="H43" s="47"/>
    </row>
    <row r="44" spans="1:8" x14ac:dyDescent="0.2">
      <c r="A44" s="91">
        <v>5</v>
      </c>
      <c r="B44" s="92"/>
      <c r="C44" s="92" t="s">
        <v>941</v>
      </c>
      <c r="D44" s="92" t="s">
        <v>551</v>
      </c>
      <c r="E44" s="93">
        <v>-3575</v>
      </c>
      <c r="F44" s="94">
        <v>-100.0016875</v>
      </c>
      <c r="G44" s="95">
        <v>-1.722135E-2</v>
      </c>
      <c r="H44" s="47"/>
    </row>
    <row r="45" spans="1:8" x14ac:dyDescent="0.2">
      <c r="A45" s="91">
        <v>6</v>
      </c>
      <c r="B45" s="92"/>
      <c r="C45" s="92" t="s">
        <v>929</v>
      </c>
      <c r="D45" s="92" t="s">
        <v>551</v>
      </c>
      <c r="E45" s="93">
        <v>-26400</v>
      </c>
      <c r="F45" s="94">
        <v>-107.0124</v>
      </c>
      <c r="G45" s="95">
        <v>-1.8428670000000001E-2</v>
      </c>
      <c r="H45" s="47"/>
    </row>
    <row r="46" spans="1:8" ht="25.5" x14ac:dyDescent="0.2">
      <c r="A46" s="91">
        <v>7</v>
      </c>
      <c r="B46" s="92"/>
      <c r="C46" s="92" t="s">
        <v>926</v>
      </c>
      <c r="D46" s="92" t="s">
        <v>551</v>
      </c>
      <c r="E46" s="93">
        <v>-14700</v>
      </c>
      <c r="F46" s="94">
        <v>-154.6146</v>
      </c>
      <c r="G46" s="95">
        <v>-2.662627E-2</v>
      </c>
      <c r="H46" s="47"/>
    </row>
    <row r="47" spans="1:8" x14ac:dyDescent="0.2">
      <c r="A47" s="91">
        <v>8</v>
      </c>
      <c r="B47" s="92"/>
      <c r="C47" s="92" t="s">
        <v>902</v>
      </c>
      <c r="D47" s="92" t="s">
        <v>551</v>
      </c>
      <c r="E47" s="93">
        <v>-28800</v>
      </c>
      <c r="F47" s="94">
        <v>-165.80160000000001</v>
      </c>
      <c r="G47" s="95">
        <v>-2.8552789999999998E-2</v>
      </c>
      <c r="H47" s="47"/>
    </row>
    <row r="48" spans="1:8" ht="25.5" x14ac:dyDescent="0.2">
      <c r="A48" s="91">
        <v>9</v>
      </c>
      <c r="B48" s="92"/>
      <c r="C48" s="92" t="s">
        <v>942</v>
      </c>
      <c r="D48" s="92" t="s">
        <v>551</v>
      </c>
      <c r="E48" s="93">
        <v>-9200</v>
      </c>
      <c r="F48" s="94">
        <v>-180.1636</v>
      </c>
      <c r="G48" s="95">
        <v>-3.1026080000000001E-2</v>
      </c>
      <c r="H48" s="47"/>
    </row>
    <row r="49" spans="1:8" x14ac:dyDescent="0.2">
      <c r="A49" s="91">
        <v>10</v>
      </c>
      <c r="B49" s="92"/>
      <c r="C49" s="92" t="s">
        <v>908</v>
      </c>
      <c r="D49" s="92" t="s">
        <v>551</v>
      </c>
      <c r="E49" s="93">
        <v>-7000</v>
      </c>
      <c r="F49" s="94">
        <v>-223.9195</v>
      </c>
      <c r="G49" s="95">
        <v>-3.8561310000000001E-2</v>
      </c>
      <c r="H49" s="47"/>
    </row>
    <row r="50" spans="1:8" ht="25.5" x14ac:dyDescent="0.2">
      <c r="A50" s="91">
        <v>11</v>
      </c>
      <c r="B50" s="92"/>
      <c r="C50" s="92" t="s">
        <v>943</v>
      </c>
      <c r="D50" s="92" t="s">
        <v>551</v>
      </c>
      <c r="E50" s="93">
        <v>-2500</v>
      </c>
      <c r="F50" s="94">
        <v>-225.83</v>
      </c>
      <c r="G50" s="95">
        <v>-3.8890310000000004E-2</v>
      </c>
      <c r="H50" s="47"/>
    </row>
    <row r="51" spans="1:8" x14ac:dyDescent="0.2">
      <c r="A51" s="91">
        <v>12</v>
      </c>
      <c r="B51" s="92"/>
      <c r="C51" s="92" t="s">
        <v>922</v>
      </c>
      <c r="D51" s="92" t="s">
        <v>551</v>
      </c>
      <c r="E51" s="93">
        <v>-24750</v>
      </c>
      <c r="F51" s="94">
        <v>-237.10499999999999</v>
      </c>
      <c r="G51" s="95">
        <v>-4.0831989999999999E-2</v>
      </c>
      <c r="H51" s="47"/>
    </row>
    <row r="52" spans="1:8" x14ac:dyDescent="0.2">
      <c r="A52" s="91">
        <v>13</v>
      </c>
      <c r="B52" s="92"/>
      <c r="C52" s="92" t="s">
        <v>944</v>
      </c>
      <c r="D52" s="92" t="s">
        <v>551</v>
      </c>
      <c r="E52" s="93">
        <v>-13800</v>
      </c>
      <c r="F52" s="94">
        <v>-288.65460000000002</v>
      </c>
      <c r="G52" s="95">
        <v>-4.9709370000000003E-2</v>
      </c>
      <c r="H52" s="47"/>
    </row>
    <row r="53" spans="1:8" x14ac:dyDescent="0.2">
      <c r="A53" s="91">
        <v>14</v>
      </c>
      <c r="B53" s="92"/>
      <c r="C53" s="92" t="s">
        <v>913</v>
      </c>
      <c r="D53" s="92" t="s">
        <v>551</v>
      </c>
      <c r="E53" s="93">
        <v>-37200</v>
      </c>
      <c r="F53" s="94">
        <v>-336.88319999999999</v>
      </c>
      <c r="G53" s="95">
        <v>-5.8014849999999993E-2</v>
      </c>
      <c r="H53" s="47"/>
    </row>
    <row r="54" spans="1:8" x14ac:dyDescent="0.2">
      <c r="A54" s="91">
        <v>15</v>
      </c>
      <c r="B54" s="92"/>
      <c r="C54" s="92" t="s">
        <v>918</v>
      </c>
      <c r="D54" s="92" t="s">
        <v>551</v>
      </c>
      <c r="E54" s="93">
        <v>-6250</v>
      </c>
      <c r="F54" s="94">
        <v>-423.78437500000001</v>
      </c>
      <c r="G54" s="95">
        <v>-7.2980150000000008E-2</v>
      </c>
      <c r="H54" s="47"/>
    </row>
    <row r="55" spans="1:8" x14ac:dyDescent="0.2">
      <c r="A55" s="91">
        <v>16</v>
      </c>
      <c r="B55" s="92"/>
      <c r="C55" s="92" t="s">
        <v>934</v>
      </c>
      <c r="D55" s="92" t="s">
        <v>551</v>
      </c>
      <c r="E55" s="93">
        <v>-50000</v>
      </c>
      <c r="F55" s="94">
        <v>-443.625</v>
      </c>
      <c r="G55" s="95">
        <v>-7.6396920000000007E-2</v>
      </c>
      <c r="H55" s="47"/>
    </row>
    <row r="56" spans="1:8" ht="25.5" x14ac:dyDescent="0.2">
      <c r="A56" s="91">
        <v>17</v>
      </c>
      <c r="B56" s="92"/>
      <c r="C56" s="92" t="s">
        <v>930</v>
      </c>
      <c r="D56" s="92" t="s">
        <v>551</v>
      </c>
      <c r="E56" s="93">
        <v>-180000</v>
      </c>
      <c r="F56" s="94">
        <v>-480.51</v>
      </c>
      <c r="G56" s="95">
        <v>-8.2748899999999986E-2</v>
      </c>
      <c r="H56" s="47"/>
    </row>
    <row r="57" spans="1:8" x14ac:dyDescent="0.2">
      <c r="A57" s="91">
        <v>18</v>
      </c>
      <c r="B57" s="92"/>
      <c r="C57" s="92" t="s">
        <v>923</v>
      </c>
      <c r="D57" s="92" t="s">
        <v>551</v>
      </c>
      <c r="E57" s="93">
        <v>-31900</v>
      </c>
      <c r="F57" s="94">
        <v>-517.44989999999996</v>
      </c>
      <c r="G57" s="95">
        <v>-8.911034000000001E-2</v>
      </c>
      <c r="H57" s="47"/>
    </row>
    <row r="58" spans="1:8" ht="14.1" customHeight="1" x14ac:dyDescent="0.2">
      <c r="A58" s="89"/>
      <c r="B58" s="89"/>
      <c r="C58" s="90" t="s">
        <v>130</v>
      </c>
      <c r="D58" s="89"/>
      <c r="E58" s="89" t="s">
        <v>131</v>
      </c>
      <c r="F58" s="96">
        <v>-4042.6529725</v>
      </c>
      <c r="G58" s="97">
        <v>-0.69618759000000008</v>
      </c>
      <c r="H58" s="47"/>
    </row>
    <row r="59" spans="1:8" ht="14.1" customHeight="1" x14ac:dyDescent="0.2">
      <c r="A59" s="89"/>
      <c r="B59" s="89"/>
      <c r="C59" s="98"/>
      <c r="D59" s="89"/>
      <c r="E59" s="89"/>
      <c r="F59" s="99"/>
      <c r="G59" s="99"/>
      <c r="H59" s="47"/>
    </row>
    <row r="60" spans="1:8" ht="18" customHeight="1" x14ac:dyDescent="0.2">
      <c r="A60" s="89"/>
      <c r="B60" s="89"/>
      <c r="C60" s="90" t="s">
        <v>137</v>
      </c>
      <c r="D60" s="89"/>
      <c r="E60" s="89"/>
      <c r="F60" s="96">
        <v>4013.1028174999992</v>
      </c>
      <c r="G60" s="97">
        <v>0.69109873599999994</v>
      </c>
      <c r="H60" s="47"/>
    </row>
    <row r="61" spans="1:8" ht="14.1" customHeight="1" x14ac:dyDescent="0.2">
      <c r="A61" s="89"/>
      <c r="B61" s="89"/>
      <c r="C61" s="98"/>
      <c r="D61" s="89"/>
      <c r="E61" s="89"/>
      <c r="F61" s="99"/>
      <c r="G61" s="99"/>
      <c r="H61" s="47"/>
    </row>
    <row r="62" spans="1:8" ht="14.1" customHeight="1" x14ac:dyDescent="0.2">
      <c r="A62" s="89"/>
      <c r="B62" s="89"/>
      <c r="C62" s="90" t="s">
        <v>138</v>
      </c>
      <c r="D62" s="89"/>
      <c r="E62" s="89"/>
      <c r="F62" s="99"/>
      <c r="G62" s="99"/>
      <c r="H62" s="47"/>
    </row>
    <row r="63" spans="1:8" ht="24" customHeight="1" x14ac:dyDescent="0.2">
      <c r="A63" s="89"/>
      <c r="B63" s="89"/>
      <c r="C63" s="90" t="s">
        <v>10</v>
      </c>
      <c r="D63" s="89"/>
      <c r="E63" s="89"/>
      <c r="F63" s="99"/>
      <c r="G63" s="99"/>
      <c r="H63" s="47"/>
    </row>
    <row r="64" spans="1:8" ht="14.1" customHeight="1" x14ac:dyDescent="0.2">
      <c r="A64" s="89"/>
      <c r="B64" s="89"/>
      <c r="C64" s="90" t="s">
        <v>130</v>
      </c>
      <c r="D64" s="89"/>
      <c r="E64" s="89" t="s">
        <v>131</v>
      </c>
      <c r="F64" s="100">
        <v>0</v>
      </c>
      <c r="G64" s="101">
        <v>0</v>
      </c>
      <c r="H64" s="47"/>
    </row>
    <row r="65" spans="1:8" ht="14.1" customHeight="1" x14ac:dyDescent="0.2">
      <c r="A65" s="89"/>
      <c r="B65" s="89"/>
      <c r="C65" s="98"/>
      <c r="D65" s="89"/>
      <c r="E65" s="89"/>
      <c r="F65" s="99"/>
      <c r="G65" s="99"/>
      <c r="H65" s="47"/>
    </row>
    <row r="66" spans="1:8" ht="14.1" customHeight="1" x14ac:dyDescent="0.2">
      <c r="A66" s="89"/>
      <c r="B66" s="89"/>
      <c r="C66" s="90" t="s">
        <v>139</v>
      </c>
      <c r="D66" s="89"/>
      <c r="E66" s="89"/>
      <c r="F66" s="89"/>
      <c r="G66" s="89"/>
      <c r="H66" s="47"/>
    </row>
    <row r="67" spans="1:8" ht="14.1" customHeight="1" x14ac:dyDescent="0.2">
      <c r="A67" s="89"/>
      <c r="B67" s="89"/>
      <c r="C67" s="90" t="s">
        <v>130</v>
      </c>
      <c r="D67" s="89"/>
      <c r="E67" s="89" t="s">
        <v>131</v>
      </c>
      <c r="F67" s="100">
        <v>0</v>
      </c>
      <c r="G67" s="101">
        <v>0</v>
      </c>
      <c r="H67" s="47"/>
    </row>
    <row r="68" spans="1:8" ht="14.1" customHeight="1" x14ac:dyDescent="0.2">
      <c r="A68" s="89"/>
      <c r="B68" s="89"/>
      <c r="C68" s="98"/>
      <c r="D68" s="89"/>
      <c r="E68" s="89"/>
      <c r="F68" s="99"/>
      <c r="G68" s="99"/>
      <c r="H68" s="47"/>
    </row>
    <row r="69" spans="1:8" ht="14.1" customHeight="1" x14ac:dyDescent="0.2">
      <c r="A69" s="89"/>
      <c r="B69" s="89"/>
      <c r="C69" s="90" t="s">
        <v>140</v>
      </c>
      <c r="D69" s="89"/>
      <c r="E69" s="89"/>
      <c r="F69" s="89"/>
      <c r="G69" s="89"/>
      <c r="H69" s="47"/>
    </row>
    <row r="70" spans="1:8" ht="14.1" customHeight="1" x14ac:dyDescent="0.2">
      <c r="A70" s="89"/>
      <c r="B70" s="89"/>
      <c r="C70" s="90" t="s">
        <v>130</v>
      </c>
      <c r="D70" s="89"/>
      <c r="E70" s="89" t="s">
        <v>131</v>
      </c>
      <c r="F70" s="100">
        <v>0</v>
      </c>
      <c r="G70" s="101">
        <v>0</v>
      </c>
      <c r="H70" s="47"/>
    </row>
    <row r="71" spans="1:8" ht="14.1" customHeight="1" x14ac:dyDescent="0.2">
      <c r="A71" s="89"/>
      <c r="B71" s="89"/>
      <c r="C71" s="98"/>
      <c r="D71" s="89"/>
      <c r="E71" s="89"/>
      <c r="F71" s="99"/>
      <c r="G71" s="99"/>
      <c r="H71" s="47"/>
    </row>
    <row r="72" spans="1:8" ht="14.1" customHeight="1" x14ac:dyDescent="0.2">
      <c r="A72" s="89"/>
      <c r="B72" s="89"/>
      <c r="C72" s="90" t="s">
        <v>141</v>
      </c>
      <c r="D72" s="89"/>
      <c r="E72" s="89"/>
      <c r="F72" s="99"/>
      <c r="G72" s="99"/>
      <c r="H72" s="47"/>
    </row>
    <row r="73" spans="1:8" ht="14.1" customHeight="1" x14ac:dyDescent="0.2">
      <c r="A73" s="89"/>
      <c r="B73" s="89"/>
      <c r="C73" s="90" t="s">
        <v>130</v>
      </c>
      <c r="D73" s="89"/>
      <c r="E73" s="89" t="s">
        <v>131</v>
      </c>
      <c r="F73" s="100">
        <v>0</v>
      </c>
      <c r="G73" s="101">
        <v>0</v>
      </c>
      <c r="H73" s="47"/>
    </row>
    <row r="74" spans="1:8" ht="14.1" customHeight="1" x14ac:dyDescent="0.2">
      <c r="A74" s="89"/>
      <c r="B74" s="89"/>
      <c r="C74" s="98"/>
      <c r="D74" s="89"/>
      <c r="E74" s="89"/>
      <c r="F74" s="99"/>
      <c r="G74" s="99"/>
      <c r="H74" s="47"/>
    </row>
    <row r="75" spans="1:8" ht="14.1" customHeight="1" x14ac:dyDescent="0.2">
      <c r="A75" s="89"/>
      <c r="B75" s="89"/>
      <c r="C75" s="90" t="s">
        <v>142</v>
      </c>
      <c r="D75" s="89"/>
      <c r="E75" s="89"/>
      <c r="F75" s="96">
        <v>0</v>
      </c>
      <c r="G75" s="97">
        <v>0</v>
      </c>
      <c r="H75" s="47"/>
    </row>
    <row r="76" spans="1:8" ht="14.1" customHeight="1" x14ac:dyDescent="0.2">
      <c r="A76" s="89"/>
      <c r="B76" s="89"/>
      <c r="C76" s="98"/>
      <c r="D76" s="89"/>
      <c r="E76" s="89"/>
      <c r="F76" s="99"/>
      <c r="G76" s="99"/>
      <c r="H76" s="47"/>
    </row>
    <row r="77" spans="1:8" ht="14.1" customHeight="1" x14ac:dyDescent="0.2">
      <c r="A77" s="89"/>
      <c r="B77" s="89"/>
      <c r="C77" s="90" t="s">
        <v>143</v>
      </c>
      <c r="D77" s="89"/>
      <c r="E77" s="89"/>
      <c r="F77" s="99"/>
      <c r="G77" s="99"/>
      <c r="H77" s="47"/>
    </row>
    <row r="78" spans="1:8" ht="14.1" customHeight="1" x14ac:dyDescent="0.2">
      <c r="A78" s="89"/>
      <c r="B78" s="89"/>
      <c r="C78" s="90" t="s">
        <v>144</v>
      </c>
      <c r="D78" s="89"/>
      <c r="E78" s="89"/>
      <c r="F78" s="99"/>
      <c r="G78" s="99"/>
      <c r="H78" s="47"/>
    </row>
    <row r="79" spans="1:8" ht="14.1" customHeight="1" x14ac:dyDescent="0.2">
      <c r="A79" s="89"/>
      <c r="B79" s="89"/>
      <c r="C79" s="90" t="s">
        <v>130</v>
      </c>
      <c r="D79" s="89"/>
      <c r="E79" s="89" t="s">
        <v>131</v>
      </c>
      <c r="F79" s="100">
        <v>0</v>
      </c>
      <c r="G79" s="101">
        <v>0</v>
      </c>
      <c r="H79" s="47"/>
    </row>
    <row r="80" spans="1:8" ht="14.1" customHeight="1" x14ac:dyDescent="0.2">
      <c r="A80" s="89"/>
      <c r="B80" s="89"/>
      <c r="C80" s="98"/>
      <c r="D80" s="89"/>
      <c r="E80" s="89"/>
      <c r="F80" s="99"/>
      <c r="G80" s="99"/>
      <c r="H80" s="47"/>
    </row>
    <row r="81" spans="1:8" ht="14.1" customHeight="1" x14ac:dyDescent="0.2">
      <c r="A81" s="89"/>
      <c r="B81" s="89"/>
      <c r="C81" s="90" t="s">
        <v>145</v>
      </c>
      <c r="D81" s="89"/>
      <c r="E81" s="89"/>
      <c r="F81" s="99"/>
      <c r="G81" s="99"/>
      <c r="H81" s="47"/>
    </row>
    <row r="82" spans="1:8" ht="14.1" customHeight="1" x14ac:dyDescent="0.2">
      <c r="A82" s="89"/>
      <c r="B82" s="89"/>
      <c r="C82" s="90" t="s">
        <v>130</v>
      </c>
      <c r="D82" s="89"/>
      <c r="E82" s="89" t="s">
        <v>131</v>
      </c>
      <c r="F82" s="100">
        <v>0</v>
      </c>
      <c r="G82" s="101">
        <v>0</v>
      </c>
      <c r="H82" s="47"/>
    </row>
    <row r="83" spans="1:8" ht="14.1" customHeight="1" x14ac:dyDescent="0.2">
      <c r="A83" s="89"/>
      <c r="B83" s="89"/>
      <c r="C83" s="98"/>
      <c r="D83" s="89"/>
      <c r="E83" s="89"/>
      <c r="F83" s="99"/>
      <c r="G83" s="99"/>
      <c r="H83" s="47"/>
    </row>
    <row r="84" spans="1:8" ht="14.1" customHeight="1" x14ac:dyDescent="0.2">
      <c r="A84" s="89"/>
      <c r="B84" s="89"/>
      <c r="C84" s="90" t="s">
        <v>146</v>
      </c>
      <c r="D84" s="89"/>
      <c r="E84" s="89"/>
      <c r="F84" s="99"/>
      <c r="G84" s="99"/>
      <c r="H84" s="47"/>
    </row>
    <row r="85" spans="1:8" ht="17.100000000000001" customHeight="1" x14ac:dyDescent="0.2">
      <c r="A85" s="91">
        <v>1</v>
      </c>
      <c r="B85" s="92" t="s">
        <v>552</v>
      </c>
      <c r="C85" s="92" t="s">
        <v>983</v>
      </c>
      <c r="D85" s="92" t="s">
        <v>553</v>
      </c>
      <c r="E85" s="93">
        <v>500000</v>
      </c>
      <c r="F85" s="94">
        <v>496.47550000000001</v>
      </c>
      <c r="G85" s="95">
        <v>8.5498329999999997E-2</v>
      </c>
      <c r="H85" s="47">
        <v>6.17</v>
      </c>
    </row>
    <row r="86" spans="1:8" ht="17.100000000000001" customHeight="1" x14ac:dyDescent="0.2">
      <c r="A86" s="91">
        <v>2</v>
      </c>
      <c r="B86" s="92" t="s">
        <v>554</v>
      </c>
      <c r="C86" s="92" t="s">
        <v>984</v>
      </c>
      <c r="D86" s="92" t="s">
        <v>553</v>
      </c>
      <c r="E86" s="93">
        <v>500000</v>
      </c>
      <c r="F86" s="94">
        <v>483.82400000000001</v>
      </c>
      <c r="G86" s="95">
        <v>8.3319608000000003E-2</v>
      </c>
      <c r="H86" s="47">
        <v>6.7050000000000001</v>
      </c>
    </row>
    <row r="87" spans="1:8" ht="14.1" customHeight="1" x14ac:dyDescent="0.2">
      <c r="A87" s="89"/>
      <c r="B87" s="89"/>
      <c r="C87" s="90" t="s">
        <v>130</v>
      </c>
      <c r="D87" s="89"/>
      <c r="E87" s="89" t="s">
        <v>131</v>
      </c>
      <c r="F87" s="96">
        <v>980.29949999999997</v>
      </c>
      <c r="G87" s="97">
        <v>0.168817938</v>
      </c>
      <c r="H87" s="47"/>
    </row>
    <row r="88" spans="1:8" ht="14.1" customHeight="1" x14ac:dyDescent="0.2">
      <c r="A88" s="89"/>
      <c r="B88" s="89"/>
      <c r="C88" s="98"/>
      <c r="D88" s="89"/>
      <c r="E88" s="89"/>
      <c r="F88" s="99"/>
      <c r="G88" s="99"/>
      <c r="H88" s="47"/>
    </row>
    <row r="89" spans="1:8" ht="14.1" customHeight="1" x14ac:dyDescent="0.2">
      <c r="A89" s="89"/>
      <c r="B89" s="89"/>
      <c r="C89" s="90" t="s">
        <v>147</v>
      </c>
      <c r="D89" s="89"/>
      <c r="E89" s="89"/>
      <c r="F89" s="99"/>
      <c r="G89" s="99"/>
      <c r="H89" s="47"/>
    </row>
    <row r="90" spans="1:8" ht="17.100000000000001" customHeight="1" x14ac:dyDescent="0.2">
      <c r="A90" s="91">
        <v>1</v>
      </c>
      <c r="B90" s="92"/>
      <c r="C90" s="92" t="s">
        <v>148</v>
      </c>
      <c r="D90" s="92"/>
      <c r="E90" s="102"/>
      <c r="F90" s="94">
        <v>187.21998249999999</v>
      </c>
      <c r="G90" s="95">
        <v>3.2241260000000001E-2</v>
      </c>
      <c r="H90" s="47">
        <v>5.6572293145372496</v>
      </c>
    </row>
    <row r="91" spans="1:8" ht="14.1" customHeight="1" x14ac:dyDescent="0.2">
      <c r="A91" s="89"/>
      <c r="B91" s="89"/>
      <c r="C91" s="90" t="s">
        <v>130</v>
      </c>
      <c r="D91" s="89"/>
      <c r="E91" s="89" t="s">
        <v>131</v>
      </c>
      <c r="F91" s="96">
        <v>187.21998249999999</v>
      </c>
      <c r="G91" s="97">
        <v>3.2241260000000001E-2</v>
      </c>
      <c r="H91" s="47"/>
    </row>
    <row r="92" spans="1:8" ht="14.1" customHeight="1" x14ac:dyDescent="0.2">
      <c r="A92" s="89"/>
      <c r="B92" s="89"/>
      <c r="C92" s="98"/>
      <c r="D92" s="89"/>
      <c r="E92" s="89"/>
      <c r="F92" s="99"/>
      <c r="G92" s="99"/>
      <c r="H92" s="47"/>
    </row>
    <row r="93" spans="1:8" ht="14.1" customHeight="1" x14ac:dyDescent="0.2">
      <c r="A93" s="89"/>
      <c r="B93" s="89"/>
      <c r="C93" s="90" t="s">
        <v>149</v>
      </c>
      <c r="D93" s="89"/>
      <c r="E93" s="89"/>
      <c r="F93" s="96">
        <v>1167.5194825000001</v>
      </c>
      <c r="G93" s="97">
        <v>0.20105919799999999</v>
      </c>
      <c r="H93" s="47"/>
    </row>
    <row r="94" spans="1:8" ht="14.1" customHeight="1" x14ac:dyDescent="0.2">
      <c r="A94" s="89"/>
      <c r="B94" s="89"/>
      <c r="C94" s="99"/>
      <c r="D94" s="89"/>
      <c r="E94" s="89"/>
      <c r="F94" s="89"/>
      <c r="G94" s="89"/>
      <c r="H94" s="47"/>
    </row>
    <row r="95" spans="1:8" ht="14.1" customHeight="1" x14ac:dyDescent="0.2">
      <c r="A95" s="89"/>
      <c r="B95" s="89"/>
      <c r="C95" s="90" t="s">
        <v>150</v>
      </c>
      <c r="D95" s="89"/>
      <c r="E95" s="89"/>
      <c r="F95" s="89"/>
      <c r="G95" s="89"/>
      <c r="H95" s="47"/>
    </row>
    <row r="96" spans="1:8" ht="14.1" customHeight="1" x14ac:dyDescent="0.2">
      <c r="A96" s="89"/>
      <c r="B96" s="89"/>
      <c r="C96" s="90" t="s">
        <v>151</v>
      </c>
      <c r="D96" s="89"/>
      <c r="E96" s="89"/>
      <c r="F96" s="89"/>
      <c r="G96" s="89"/>
      <c r="H96" s="47"/>
    </row>
    <row r="97" spans="1:8" ht="17.100000000000001" customHeight="1" x14ac:dyDescent="0.2">
      <c r="A97" s="91">
        <v>1</v>
      </c>
      <c r="B97" s="92" t="s">
        <v>555</v>
      </c>
      <c r="C97" s="45" t="s">
        <v>951</v>
      </c>
      <c r="D97" s="92"/>
      <c r="E97" s="93">
        <v>31859.646000000001</v>
      </c>
      <c r="F97" s="94">
        <v>619.20477271100003</v>
      </c>
      <c r="G97" s="95">
        <v>0.106633609</v>
      </c>
      <c r="H97" s="47"/>
    </row>
    <row r="98" spans="1:8" ht="14.1" customHeight="1" x14ac:dyDescent="0.2">
      <c r="A98" s="89"/>
      <c r="B98" s="89"/>
      <c r="C98" s="90" t="s">
        <v>130</v>
      </c>
      <c r="D98" s="89"/>
      <c r="E98" s="89" t="s">
        <v>131</v>
      </c>
      <c r="F98" s="96">
        <v>619.20477271100003</v>
      </c>
      <c r="G98" s="97">
        <v>0.106633609</v>
      </c>
      <c r="H98" s="47"/>
    </row>
    <row r="99" spans="1:8" ht="14.1" customHeight="1" x14ac:dyDescent="0.2">
      <c r="A99" s="89"/>
      <c r="B99" s="89"/>
      <c r="C99" s="98"/>
      <c r="D99" s="89"/>
      <c r="E99" s="89"/>
      <c r="F99" s="99"/>
      <c r="G99" s="99"/>
      <c r="H99" s="47"/>
    </row>
    <row r="100" spans="1:8" ht="14.1" customHeight="1" x14ac:dyDescent="0.2">
      <c r="A100" s="89"/>
      <c r="B100" s="89"/>
      <c r="C100" s="90" t="s">
        <v>152</v>
      </c>
      <c r="D100" s="89"/>
      <c r="E100" s="89"/>
      <c r="F100" s="89"/>
      <c r="G100" s="89"/>
      <c r="H100" s="47"/>
    </row>
    <row r="101" spans="1:8" ht="14.1" customHeight="1" x14ac:dyDescent="0.2">
      <c r="A101" s="89"/>
      <c r="B101" s="89"/>
      <c r="C101" s="90" t="s">
        <v>153</v>
      </c>
      <c r="D101" s="89"/>
      <c r="E101" s="89"/>
      <c r="F101" s="89"/>
      <c r="G101" s="89"/>
      <c r="H101" s="47"/>
    </row>
    <row r="102" spans="1:8" ht="14.1" customHeight="1" x14ac:dyDescent="0.2">
      <c r="A102" s="89"/>
      <c r="B102" s="89"/>
      <c r="C102" s="90" t="s">
        <v>130</v>
      </c>
      <c r="D102" s="89"/>
      <c r="E102" s="89" t="s">
        <v>131</v>
      </c>
      <c r="F102" s="100">
        <v>0</v>
      </c>
      <c r="G102" s="101">
        <v>0</v>
      </c>
      <c r="H102" s="47"/>
    </row>
    <row r="103" spans="1:8" ht="14.1" customHeight="1" x14ac:dyDescent="0.2">
      <c r="A103" s="89"/>
      <c r="B103" s="89"/>
      <c r="C103" s="98"/>
      <c r="D103" s="89"/>
      <c r="E103" s="89"/>
      <c r="F103" s="99"/>
      <c r="G103" s="99"/>
      <c r="H103" s="47"/>
    </row>
    <row r="104" spans="1:8" ht="14.1" customHeight="1" x14ac:dyDescent="0.2">
      <c r="A104" s="89"/>
      <c r="B104" s="89"/>
      <c r="C104" s="98"/>
      <c r="D104" s="89"/>
      <c r="E104" s="89"/>
      <c r="F104" s="99"/>
      <c r="G104" s="99"/>
      <c r="H104" s="47"/>
    </row>
    <row r="105" spans="1:8" ht="24" customHeight="1" x14ac:dyDescent="0.2">
      <c r="A105" s="89"/>
      <c r="B105" s="89"/>
      <c r="C105" s="90" t="s">
        <v>154</v>
      </c>
      <c r="D105" s="89"/>
      <c r="E105" s="89"/>
      <c r="F105" s="99"/>
      <c r="G105" s="99"/>
      <c r="H105" s="47"/>
    </row>
    <row r="106" spans="1:8" ht="14.1" customHeight="1" x14ac:dyDescent="0.2">
      <c r="A106" s="89"/>
      <c r="B106" s="89"/>
      <c r="C106" s="90" t="s">
        <v>130</v>
      </c>
      <c r="D106" s="89"/>
      <c r="E106" s="89" t="s">
        <v>131</v>
      </c>
      <c r="F106" s="100">
        <v>0</v>
      </c>
      <c r="G106" s="101">
        <v>0</v>
      </c>
      <c r="H106" s="47"/>
    </row>
    <row r="107" spans="1:8" ht="14.1" customHeight="1" x14ac:dyDescent="0.2">
      <c r="A107" s="89"/>
      <c r="B107" s="89"/>
      <c r="C107" s="98"/>
      <c r="D107" s="89"/>
      <c r="E107" s="89"/>
      <c r="F107" s="99"/>
      <c r="G107" s="99"/>
      <c r="H107" s="47"/>
    </row>
    <row r="108" spans="1:8" ht="18" customHeight="1" x14ac:dyDescent="0.2">
      <c r="A108" s="102"/>
      <c r="B108" s="92"/>
      <c r="C108" s="92" t="s">
        <v>556</v>
      </c>
      <c r="D108" s="92"/>
      <c r="E108" s="102"/>
      <c r="F108" s="94">
        <v>45.593112400000003</v>
      </c>
      <c r="G108" s="95">
        <v>7.8516160200654949E-3</v>
      </c>
      <c r="H108" s="47"/>
    </row>
    <row r="109" spans="1:8" ht="18" customHeight="1" x14ac:dyDescent="0.2">
      <c r="A109" s="102"/>
      <c r="B109" s="92"/>
      <c r="C109" s="92" t="s">
        <v>818</v>
      </c>
      <c r="D109" s="92"/>
      <c r="E109" s="102"/>
      <c r="F109" s="94">
        <v>-38.57580002099985</v>
      </c>
      <c r="G109" s="95">
        <v>-6.643160633002217E-3</v>
      </c>
      <c r="H109" s="47"/>
    </row>
    <row r="110" spans="1:8" ht="14.1" customHeight="1" x14ac:dyDescent="0.2">
      <c r="A110" s="98"/>
      <c r="B110" s="98"/>
      <c r="C110" s="90" t="s">
        <v>156</v>
      </c>
      <c r="D110" s="145"/>
      <c r="E110" s="145"/>
      <c r="F110" s="96">
        <f>+F98+F93+F25+F109+F108</f>
        <v>5806.8443850899994</v>
      </c>
      <c r="G110" s="97">
        <f>+G98+G93+G25+G109+G108</f>
        <v>0.99999999838706322</v>
      </c>
      <c r="H110" s="47"/>
    </row>
    <row r="111" spans="1:8" ht="14.1" customHeight="1" x14ac:dyDescent="0.2">
      <c r="A111" s="104"/>
      <c r="B111" s="104"/>
      <c r="C111" s="104"/>
      <c r="D111" s="105"/>
      <c r="E111" s="105"/>
      <c r="F111" s="105"/>
      <c r="G111" s="106"/>
    </row>
    <row r="112" spans="1:8" ht="17.100000000000001" customHeight="1" x14ac:dyDescent="0.2">
      <c r="A112" s="107"/>
      <c r="B112" s="332" t="s">
        <v>819</v>
      </c>
      <c r="C112" s="332"/>
      <c r="D112" s="332"/>
      <c r="E112" s="332"/>
      <c r="F112" s="332"/>
      <c r="G112" s="108"/>
    </row>
    <row r="113" spans="1:15" ht="14.1" customHeight="1" x14ac:dyDescent="0.2">
      <c r="A113" s="146"/>
      <c r="B113" s="333" t="s">
        <v>952</v>
      </c>
      <c r="C113" s="333"/>
      <c r="D113" s="333"/>
      <c r="E113" s="333"/>
      <c r="F113" s="333"/>
      <c r="G113" s="147"/>
    </row>
    <row r="114" spans="1:15" s="50" customFormat="1" x14ac:dyDescent="0.2">
      <c r="A114" s="148"/>
      <c r="B114" s="353" t="s">
        <v>985</v>
      </c>
      <c r="C114" s="353"/>
      <c r="D114" s="353"/>
      <c r="E114" s="353"/>
      <c r="F114" s="353"/>
      <c r="G114" s="149"/>
      <c r="H114"/>
      <c r="I114"/>
      <c r="J114"/>
      <c r="K114"/>
      <c r="L114"/>
      <c r="M114"/>
      <c r="N114"/>
      <c r="O114"/>
    </row>
    <row r="115" spans="1:15" ht="14.1" customHeight="1" x14ac:dyDescent="0.2">
      <c r="A115" s="107"/>
      <c r="B115" s="107"/>
      <c r="C115" s="107"/>
      <c r="D115" s="108"/>
      <c r="E115" s="108"/>
      <c r="F115" s="108"/>
      <c r="G115" s="108"/>
    </row>
    <row r="116" spans="1:15" ht="14.1" customHeight="1" x14ac:dyDescent="0.2">
      <c r="A116" s="107"/>
      <c r="B116" s="334" t="s">
        <v>158</v>
      </c>
      <c r="C116" s="336"/>
      <c r="D116" s="99" t="s">
        <v>131</v>
      </c>
      <c r="E116" s="111"/>
      <c r="F116" s="108"/>
      <c r="G116" s="108"/>
      <c r="J116" s="50"/>
      <c r="K116" s="50"/>
      <c r="L116" s="50"/>
      <c r="M116" s="50"/>
      <c r="N116" s="50"/>
    </row>
    <row r="117" spans="1:15" ht="29.1" customHeight="1" x14ac:dyDescent="0.2">
      <c r="A117" s="107"/>
      <c r="B117" s="330" t="s">
        <v>159</v>
      </c>
      <c r="C117" s="331"/>
      <c r="D117" s="112" t="s">
        <v>1010</v>
      </c>
      <c r="E117" s="111"/>
      <c r="F117" s="108"/>
      <c r="G117" s="108"/>
      <c r="J117" s="223"/>
      <c r="K117" s="223"/>
      <c r="L117" s="223"/>
      <c r="M117" s="223"/>
      <c r="N117" s="223"/>
    </row>
    <row r="118" spans="1:15" ht="17.100000000000001" customHeight="1" x14ac:dyDescent="0.2">
      <c r="A118" s="107"/>
      <c r="B118" s="330" t="s">
        <v>161</v>
      </c>
      <c r="C118" s="331"/>
      <c r="D118" s="90" t="s">
        <v>160</v>
      </c>
      <c r="E118" s="111"/>
      <c r="F118" s="108"/>
      <c r="G118" s="108"/>
    </row>
    <row r="119" spans="1:15" ht="17.100000000000001" customHeight="1" x14ac:dyDescent="0.2">
      <c r="A119" s="107"/>
      <c r="B119" s="330" t="s">
        <v>162</v>
      </c>
      <c r="C119" s="331"/>
      <c r="D119" s="99" t="s">
        <v>131</v>
      </c>
      <c r="E119" s="111"/>
      <c r="F119" s="108"/>
      <c r="G119" s="108"/>
    </row>
    <row r="120" spans="1:15" ht="24" customHeight="1" x14ac:dyDescent="0.2">
      <c r="A120" s="113"/>
      <c r="B120" s="114" t="s">
        <v>131</v>
      </c>
      <c r="C120" s="114" t="s">
        <v>163</v>
      </c>
      <c r="D120" s="114" t="s">
        <v>164</v>
      </c>
      <c r="E120" s="113"/>
      <c r="F120" s="113"/>
      <c r="G120" s="113"/>
    </row>
    <row r="121" spans="1:15" ht="18" customHeight="1" x14ac:dyDescent="0.2">
      <c r="A121" s="113"/>
      <c r="B121" s="114" t="s">
        <v>165</v>
      </c>
      <c r="C121" s="114" t="s">
        <v>166</v>
      </c>
      <c r="D121" s="114" t="s">
        <v>167</v>
      </c>
      <c r="E121" s="113"/>
      <c r="F121" s="113"/>
      <c r="G121" s="113"/>
    </row>
    <row r="122" spans="1:15" ht="17.100000000000001" customHeight="1" x14ac:dyDescent="0.2">
      <c r="A122" s="113"/>
      <c r="B122" s="92" t="s">
        <v>168</v>
      </c>
      <c r="C122" s="150">
        <v>12.5375</v>
      </c>
      <c r="D122" s="150">
        <v>12.579599999999999</v>
      </c>
      <c r="E122" s="113"/>
      <c r="F122" s="117"/>
      <c r="G122" s="118"/>
      <c r="I122" s="50"/>
    </row>
    <row r="123" spans="1:15" ht="22.5" customHeight="1" x14ac:dyDescent="0.2">
      <c r="A123" s="113"/>
      <c r="B123" s="92" t="s">
        <v>1026</v>
      </c>
      <c r="C123" s="150">
        <v>10.841699999999999</v>
      </c>
      <c r="D123" s="150">
        <v>10.8782</v>
      </c>
      <c r="E123" s="113"/>
      <c r="F123" s="117"/>
      <c r="G123" s="118"/>
      <c r="I123" s="223"/>
    </row>
    <row r="124" spans="1:15" ht="17.100000000000001" customHeight="1" x14ac:dyDescent="0.2">
      <c r="A124" s="113"/>
      <c r="B124" s="92" t="s">
        <v>169</v>
      </c>
      <c r="C124" s="150">
        <v>12.0962</v>
      </c>
      <c r="D124" s="150">
        <v>12.130599999999999</v>
      </c>
      <c r="E124" s="113"/>
      <c r="F124" s="117"/>
      <c r="G124" s="118"/>
      <c r="I124" s="50"/>
    </row>
    <row r="125" spans="1:15" ht="23.25" customHeight="1" x14ac:dyDescent="0.2">
      <c r="A125" s="113"/>
      <c r="B125" s="92" t="s">
        <v>1028</v>
      </c>
      <c r="C125" s="150">
        <v>10.635300000000001</v>
      </c>
      <c r="D125" s="150">
        <v>10.6655</v>
      </c>
      <c r="E125" s="113"/>
      <c r="F125" s="117"/>
      <c r="G125" s="118"/>
    </row>
    <row r="126" spans="1:15" ht="14.1" customHeight="1" x14ac:dyDescent="0.2">
      <c r="A126" s="113"/>
      <c r="B126" s="113"/>
      <c r="C126" s="113"/>
      <c r="D126" s="113"/>
      <c r="E126" s="113"/>
      <c r="F126" s="113"/>
      <c r="G126" s="113"/>
    </row>
    <row r="127" spans="1:15" ht="17.100000000000001" customHeight="1" x14ac:dyDescent="0.2">
      <c r="A127" s="113"/>
      <c r="B127" s="330" t="s">
        <v>1023</v>
      </c>
      <c r="C127" s="331"/>
      <c r="D127" s="90" t="s">
        <v>160</v>
      </c>
      <c r="E127" s="113"/>
      <c r="F127" s="113"/>
      <c r="G127" s="113"/>
    </row>
    <row r="128" spans="1:15" ht="18" customHeight="1" x14ac:dyDescent="0.2">
      <c r="A128" s="113"/>
      <c r="B128" s="127"/>
      <c r="C128" s="127"/>
      <c r="D128" s="151"/>
      <c r="E128" s="113"/>
      <c r="F128" s="113"/>
      <c r="G128" s="113"/>
    </row>
    <row r="129" spans="1:15" ht="29.1" customHeight="1" x14ac:dyDescent="0.2">
      <c r="A129" s="113"/>
      <c r="B129" s="328" t="s">
        <v>170</v>
      </c>
      <c r="C129" s="329"/>
      <c r="D129" s="112" t="s">
        <v>976</v>
      </c>
      <c r="E129" s="113"/>
      <c r="F129" s="113"/>
      <c r="G129" s="113"/>
    </row>
    <row r="130" spans="1:15" ht="29.1" customHeight="1" x14ac:dyDescent="0.2">
      <c r="A130" s="113"/>
      <c r="B130" s="328" t="s">
        <v>171</v>
      </c>
      <c r="C130" s="329"/>
      <c r="D130" s="90" t="s">
        <v>160</v>
      </c>
      <c r="E130" s="113"/>
      <c r="F130" s="113"/>
      <c r="G130" s="113"/>
    </row>
    <row r="131" spans="1:15" ht="17.100000000000001" customHeight="1" x14ac:dyDescent="0.2">
      <c r="A131" s="113"/>
      <c r="B131" s="354" t="s">
        <v>978</v>
      </c>
      <c r="C131" s="355"/>
      <c r="D131" s="125">
        <v>0.16807831487307726</v>
      </c>
      <c r="E131" s="113"/>
      <c r="F131" s="117"/>
      <c r="G131" s="118"/>
    </row>
    <row r="132" spans="1:15" ht="17.100000000000001" customHeight="1" x14ac:dyDescent="0.2">
      <c r="A132" s="113"/>
      <c r="B132" s="354" t="s">
        <v>979</v>
      </c>
      <c r="C132" s="355"/>
      <c r="D132" s="125">
        <v>0.16779447967117511</v>
      </c>
      <c r="E132" s="113"/>
      <c r="F132" s="117"/>
      <c r="G132" s="118"/>
    </row>
    <row r="133" spans="1:15" ht="17.100000000000001" customHeight="1" x14ac:dyDescent="0.2">
      <c r="A133" s="113"/>
      <c r="B133" s="328" t="s">
        <v>980</v>
      </c>
      <c r="C133" s="329"/>
      <c r="D133" s="126">
        <v>10.583901127394476</v>
      </c>
      <c r="E133" s="113"/>
      <c r="F133" s="117"/>
      <c r="G133" s="118"/>
    </row>
    <row r="134" spans="1:15" ht="17.100000000000001" customHeight="1" x14ac:dyDescent="0.2">
      <c r="A134" s="113"/>
      <c r="B134" s="328" t="s">
        <v>981</v>
      </c>
      <c r="C134" s="329"/>
      <c r="D134" s="90" t="s">
        <v>160</v>
      </c>
      <c r="E134" s="113"/>
      <c r="F134" s="113"/>
      <c r="G134" s="113"/>
    </row>
    <row r="136" spans="1:15" x14ac:dyDescent="0.2">
      <c r="B136" s="69" t="s">
        <v>1017</v>
      </c>
      <c r="C136" s="69"/>
      <c r="D136" s="69"/>
      <c r="E136" s="152"/>
      <c r="F136" s="153"/>
    </row>
    <row r="137" spans="1:15" ht="38.25" x14ac:dyDescent="0.2">
      <c r="B137" s="67" t="s">
        <v>990</v>
      </c>
      <c r="C137" s="67" t="s">
        <v>991</v>
      </c>
      <c r="D137" s="67" t="s">
        <v>992</v>
      </c>
      <c r="E137" s="67" t="s">
        <v>993</v>
      </c>
      <c r="F137" s="67" t="s">
        <v>994</v>
      </c>
    </row>
    <row r="138" spans="1:15" s="42" customFormat="1" ht="25.5" x14ac:dyDescent="0.2">
      <c r="B138" s="129" t="s">
        <v>995</v>
      </c>
      <c r="C138" s="130" t="s">
        <v>996</v>
      </c>
      <c r="D138" s="131">
        <v>0</v>
      </c>
      <c r="E138" s="132">
        <v>0</v>
      </c>
      <c r="F138" s="133">
        <v>50</v>
      </c>
      <c r="I138"/>
      <c r="J138"/>
      <c r="K138"/>
      <c r="L138"/>
      <c r="M138"/>
      <c r="N138"/>
      <c r="O138"/>
    </row>
    <row r="140" spans="1:15" x14ac:dyDescent="0.2">
      <c r="J140" s="42"/>
      <c r="K140" s="42"/>
      <c r="L140" s="42"/>
      <c r="M140" s="42"/>
      <c r="N140" s="42"/>
    </row>
    <row r="148" spans="9:9" x14ac:dyDescent="0.2">
      <c r="I148" s="42"/>
    </row>
  </sheetData>
  <mergeCells count="18">
    <mergeCell ref="B116:C116"/>
    <mergeCell ref="B133:C133"/>
    <mergeCell ref="B134:C134"/>
    <mergeCell ref="B117:C117"/>
    <mergeCell ref="B118:C118"/>
    <mergeCell ref="B119:C119"/>
    <mergeCell ref="B127:C127"/>
    <mergeCell ref="B129:C129"/>
    <mergeCell ref="B130:C130"/>
    <mergeCell ref="B131:C131"/>
    <mergeCell ref="B132:C132"/>
    <mergeCell ref="A1:H1"/>
    <mergeCell ref="A2:H2"/>
    <mergeCell ref="A3:H3"/>
    <mergeCell ref="J2:N2"/>
    <mergeCell ref="B114:F114"/>
    <mergeCell ref="B113:F113"/>
    <mergeCell ref="B112:F112"/>
  </mergeCells>
  <hyperlinks>
    <hyperlink ref="I1" location="Index!B24" display="Index" xr:uid="{DEDA0A67-6305-4FED-AC21-A37BD131EA4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O21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2.140625" bestFit="1" customWidth="1"/>
  </cols>
  <sheetData>
    <row r="1" spans="1:15" ht="18" customHeight="1" x14ac:dyDescent="0.2">
      <c r="A1" s="315" t="s">
        <v>0</v>
      </c>
      <c r="B1" s="315"/>
      <c r="C1" s="315"/>
      <c r="D1" s="315"/>
      <c r="E1" s="315"/>
      <c r="F1" s="315"/>
      <c r="G1" s="315"/>
      <c r="H1" s="315"/>
      <c r="I1" s="219" t="s">
        <v>1069</v>
      </c>
      <c r="J1" s="50"/>
      <c r="K1" s="50"/>
      <c r="L1" s="50"/>
      <c r="M1" s="50"/>
      <c r="N1" s="50"/>
    </row>
    <row r="2" spans="1:15" ht="17.100000000000001" customHeight="1" x14ac:dyDescent="0.2">
      <c r="A2" s="316" t="s">
        <v>1034</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c r="J3" s="50"/>
      <c r="K3" s="50"/>
      <c r="L3" s="50"/>
      <c r="M3" s="50"/>
      <c r="N3" s="50"/>
    </row>
    <row r="4" spans="1:15" s="85" customFormat="1" ht="30" x14ac:dyDescent="0.2">
      <c r="A4" s="86" t="s">
        <v>2</v>
      </c>
      <c r="B4" s="86" t="s">
        <v>3</v>
      </c>
      <c r="C4" s="86" t="s">
        <v>4</v>
      </c>
      <c r="D4" s="86" t="s">
        <v>5</v>
      </c>
      <c r="E4" s="86" t="s">
        <v>6</v>
      </c>
      <c r="F4" s="86" t="s">
        <v>7</v>
      </c>
      <c r="G4" s="86" t="s">
        <v>8</v>
      </c>
      <c r="H4" s="66" t="s">
        <v>989</v>
      </c>
      <c r="I4" s="216"/>
      <c r="J4" s="220"/>
      <c r="K4" s="220"/>
      <c r="L4" s="220"/>
      <c r="M4" s="220"/>
      <c r="N4" s="220"/>
      <c r="O4" s="216"/>
    </row>
    <row r="5" spans="1:15" ht="14.1" customHeight="1" x14ac:dyDescent="0.2">
      <c r="A5" s="1"/>
      <c r="B5" s="1"/>
      <c r="C5" s="2" t="s">
        <v>9</v>
      </c>
      <c r="D5" s="1"/>
      <c r="E5" s="1"/>
      <c r="F5" s="1"/>
      <c r="G5" s="1"/>
      <c r="H5" s="49"/>
      <c r="J5" s="50"/>
      <c r="K5" s="50"/>
      <c r="L5" s="50"/>
      <c r="M5" s="50"/>
      <c r="N5" s="50"/>
    </row>
    <row r="6" spans="1:15" ht="24" customHeight="1" x14ac:dyDescent="0.2">
      <c r="A6" s="1"/>
      <c r="B6" s="1"/>
      <c r="C6" s="2" t="s">
        <v>10</v>
      </c>
      <c r="D6" s="1"/>
      <c r="E6" s="1"/>
      <c r="F6" s="1"/>
      <c r="G6" s="1"/>
      <c r="H6" s="49"/>
      <c r="J6" s="50"/>
      <c r="K6" s="50"/>
      <c r="L6" s="50"/>
      <c r="M6" s="50"/>
      <c r="N6" s="50"/>
    </row>
    <row r="7" spans="1:15" ht="17.100000000000001" customHeight="1" x14ac:dyDescent="0.2">
      <c r="A7" s="3">
        <v>1</v>
      </c>
      <c r="B7" s="4" t="s">
        <v>263</v>
      </c>
      <c r="C7" s="4" t="s">
        <v>264</v>
      </c>
      <c r="D7" s="4" t="s">
        <v>16</v>
      </c>
      <c r="E7" s="5">
        <v>817200</v>
      </c>
      <c r="F7" s="6">
        <v>13144.2534</v>
      </c>
      <c r="G7" s="7">
        <v>8.1198022999999994E-2</v>
      </c>
      <c r="H7" s="49"/>
      <c r="J7" s="50"/>
      <c r="K7" s="50"/>
      <c r="L7" s="50"/>
      <c r="M7" s="50"/>
      <c r="N7" s="50"/>
    </row>
    <row r="8" spans="1:15" ht="17.100000000000001" customHeight="1" x14ac:dyDescent="0.2">
      <c r="A8" s="3">
        <v>2</v>
      </c>
      <c r="B8" s="4" t="s">
        <v>14</v>
      </c>
      <c r="C8" s="4" t="s">
        <v>15</v>
      </c>
      <c r="D8" s="4" t="s">
        <v>16</v>
      </c>
      <c r="E8" s="5">
        <v>1137500</v>
      </c>
      <c r="F8" s="6">
        <v>10839.237499999999</v>
      </c>
      <c r="G8" s="7">
        <v>6.6958893000000005E-2</v>
      </c>
      <c r="H8" s="49"/>
      <c r="J8" s="50"/>
      <c r="K8" s="50"/>
      <c r="L8" s="50"/>
      <c r="M8" s="50"/>
      <c r="N8" s="50"/>
    </row>
    <row r="9" spans="1:15" ht="17.100000000000001" customHeight="1" x14ac:dyDescent="0.2">
      <c r="A9" s="3">
        <v>3</v>
      </c>
      <c r="B9" s="4" t="s">
        <v>294</v>
      </c>
      <c r="C9" s="4" t="s">
        <v>295</v>
      </c>
      <c r="D9" s="4" t="s">
        <v>974</v>
      </c>
      <c r="E9" s="5">
        <v>543600</v>
      </c>
      <c r="F9" s="6">
        <v>8887.5882000000001</v>
      </c>
      <c r="G9" s="7">
        <v>5.4902669000000001E-2</v>
      </c>
      <c r="H9" s="49"/>
      <c r="J9" s="50"/>
      <c r="K9" s="50"/>
      <c r="L9" s="50"/>
      <c r="M9" s="50"/>
      <c r="N9" s="50"/>
    </row>
    <row r="10" spans="1:15" ht="17.100000000000001" customHeight="1" x14ac:dyDescent="0.2">
      <c r="A10" s="3">
        <v>4</v>
      </c>
      <c r="B10" s="4" t="s">
        <v>20</v>
      </c>
      <c r="C10" s="4" t="s">
        <v>21</v>
      </c>
      <c r="D10" s="4" t="s">
        <v>22</v>
      </c>
      <c r="E10" s="5">
        <v>300000</v>
      </c>
      <c r="F10" s="6">
        <v>8194.0499999999993</v>
      </c>
      <c r="G10" s="7">
        <v>5.0618367999999997E-2</v>
      </c>
      <c r="H10" s="49"/>
      <c r="J10" s="50"/>
      <c r="K10" s="50"/>
      <c r="L10" s="50"/>
      <c r="M10" s="50"/>
      <c r="N10" s="50"/>
    </row>
    <row r="11" spans="1:15" ht="29.1" customHeight="1" x14ac:dyDescent="0.2">
      <c r="A11" s="3">
        <v>5</v>
      </c>
      <c r="B11" s="4" t="s">
        <v>296</v>
      </c>
      <c r="C11" s="4" t="s">
        <v>297</v>
      </c>
      <c r="D11" s="4" t="s">
        <v>103</v>
      </c>
      <c r="E11" s="5">
        <v>215100</v>
      </c>
      <c r="F11" s="6">
        <v>5791.6750499999998</v>
      </c>
      <c r="G11" s="7">
        <v>3.5777807000000002E-2</v>
      </c>
      <c r="H11" s="49"/>
      <c r="J11" s="58"/>
      <c r="K11" s="58"/>
      <c r="L11" s="58"/>
      <c r="M11" s="58"/>
      <c r="N11" s="58"/>
    </row>
    <row r="12" spans="1:15" ht="17.100000000000001" customHeight="1" x14ac:dyDescent="0.2">
      <c r="A12" s="3">
        <v>6</v>
      </c>
      <c r="B12" s="4" t="s">
        <v>39</v>
      </c>
      <c r="C12" s="4" t="s">
        <v>40</v>
      </c>
      <c r="D12" s="4" t="s">
        <v>16</v>
      </c>
      <c r="E12" s="5">
        <v>740000</v>
      </c>
      <c r="F12" s="6">
        <v>4458.13</v>
      </c>
      <c r="G12" s="7">
        <v>2.7539893999999999E-2</v>
      </c>
      <c r="H12" s="49"/>
      <c r="J12" s="217" t="s">
        <v>1085</v>
      </c>
      <c r="K12" s="50"/>
      <c r="L12" s="50"/>
      <c r="M12" s="50"/>
      <c r="N12" s="50"/>
    </row>
    <row r="13" spans="1:15" ht="29.1" customHeight="1" x14ac:dyDescent="0.2">
      <c r="A13" s="3">
        <v>7</v>
      </c>
      <c r="B13" s="45" t="s">
        <v>947</v>
      </c>
      <c r="C13" s="45" t="s">
        <v>948</v>
      </c>
      <c r="D13" s="45" t="s">
        <v>100</v>
      </c>
      <c r="E13" s="46">
        <v>1200000</v>
      </c>
      <c r="F13" s="47">
        <v>4114.92</v>
      </c>
      <c r="G13" s="48">
        <v>2.5419730000000001E-2</v>
      </c>
      <c r="H13" s="49"/>
      <c r="J13" s="50"/>
      <c r="K13" s="50"/>
      <c r="L13" s="50"/>
      <c r="M13" s="50"/>
      <c r="N13" s="50"/>
    </row>
    <row r="14" spans="1:15" ht="17.100000000000001" customHeight="1" x14ac:dyDescent="0.2">
      <c r="A14" s="3">
        <v>8</v>
      </c>
      <c r="B14" s="4" t="s">
        <v>180</v>
      </c>
      <c r="C14" s="4" t="s">
        <v>181</v>
      </c>
      <c r="D14" s="4" t="s">
        <v>16</v>
      </c>
      <c r="E14" s="5">
        <v>399800</v>
      </c>
      <c r="F14" s="6">
        <v>3603.1975000000002</v>
      </c>
      <c r="G14" s="7">
        <v>2.2258587E-2</v>
      </c>
      <c r="H14" s="49"/>
      <c r="J14" s="50"/>
      <c r="K14" s="50"/>
      <c r="L14" s="50"/>
      <c r="M14" s="50"/>
      <c r="N14" s="50"/>
    </row>
    <row r="15" spans="1:15" ht="17.100000000000001" customHeight="1" x14ac:dyDescent="0.2">
      <c r="A15" s="3">
        <v>9</v>
      </c>
      <c r="B15" s="4" t="s">
        <v>182</v>
      </c>
      <c r="C15" s="4" t="s">
        <v>183</v>
      </c>
      <c r="D15" s="4" t="s">
        <v>16</v>
      </c>
      <c r="E15" s="5">
        <v>1800000</v>
      </c>
      <c r="F15" s="6">
        <v>2992.5</v>
      </c>
      <c r="G15" s="7">
        <v>1.8486031999999999E-2</v>
      </c>
      <c r="H15" s="49"/>
      <c r="J15" s="50"/>
      <c r="K15" s="50"/>
      <c r="L15" s="50"/>
      <c r="M15" s="50"/>
      <c r="N15" s="50"/>
    </row>
    <row r="16" spans="1:15" ht="17.100000000000001" customHeight="1" x14ac:dyDescent="0.2">
      <c r="A16" s="3">
        <v>10</v>
      </c>
      <c r="B16" s="4" t="s">
        <v>177</v>
      </c>
      <c r="C16" s="4" t="s">
        <v>178</v>
      </c>
      <c r="D16" s="4" t="s">
        <v>179</v>
      </c>
      <c r="E16" s="5">
        <v>225000</v>
      </c>
      <c r="F16" s="6">
        <v>2811.9375</v>
      </c>
      <c r="G16" s="7">
        <v>1.7370614999999999E-2</v>
      </c>
      <c r="H16" s="49"/>
      <c r="J16" s="58"/>
      <c r="K16" s="58"/>
      <c r="L16" s="58"/>
      <c r="M16" s="58"/>
      <c r="N16" s="58"/>
    </row>
    <row r="17" spans="1:14" ht="17.100000000000001" customHeight="1" x14ac:dyDescent="0.2">
      <c r="A17" s="3">
        <v>11</v>
      </c>
      <c r="B17" s="4" t="s">
        <v>298</v>
      </c>
      <c r="C17" s="4" t="s">
        <v>299</v>
      </c>
      <c r="D17" s="4" t="s">
        <v>238</v>
      </c>
      <c r="E17" s="5">
        <v>212870</v>
      </c>
      <c r="F17" s="6">
        <v>2730.9092300000002</v>
      </c>
      <c r="G17" s="7">
        <v>1.6870066999999999E-2</v>
      </c>
      <c r="H17" s="49"/>
      <c r="J17" s="50"/>
      <c r="K17" s="50"/>
      <c r="L17" s="50"/>
      <c r="M17" s="50"/>
      <c r="N17" s="50"/>
    </row>
    <row r="18" spans="1:14" ht="17.100000000000001" customHeight="1" x14ac:dyDescent="0.2">
      <c r="A18" s="3">
        <v>12</v>
      </c>
      <c r="B18" s="4" t="s">
        <v>111</v>
      </c>
      <c r="C18" s="4" t="s">
        <v>112</v>
      </c>
      <c r="D18" s="4" t="s">
        <v>113</v>
      </c>
      <c r="E18" s="5">
        <v>593450</v>
      </c>
      <c r="F18" s="6">
        <v>2674.6791499999999</v>
      </c>
      <c r="G18" s="7">
        <v>1.6522708000000001E-2</v>
      </c>
      <c r="H18" s="49"/>
      <c r="J18" s="50"/>
      <c r="K18" s="50"/>
      <c r="L18" s="50"/>
      <c r="M18" s="50"/>
      <c r="N18" s="50"/>
    </row>
    <row r="19" spans="1:14" ht="17.100000000000001" customHeight="1" x14ac:dyDescent="0.2">
      <c r="A19" s="3">
        <v>13</v>
      </c>
      <c r="B19" s="4" t="s">
        <v>201</v>
      </c>
      <c r="C19" s="4" t="s">
        <v>202</v>
      </c>
      <c r="D19" s="4" t="s">
        <v>89</v>
      </c>
      <c r="E19" s="5">
        <v>95000</v>
      </c>
      <c r="F19" s="6">
        <v>2632.7824999999998</v>
      </c>
      <c r="G19" s="7">
        <v>1.6263893000000001E-2</v>
      </c>
      <c r="H19" s="49"/>
      <c r="J19" s="50"/>
      <c r="K19" s="50"/>
      <c r="L19" s="50"/>
      <c r="M19" s="50"/>
      <c r="N19" s="50"/>
    </row>
    <row r="20" spans="1:14" ht="17.100000000000001" customHeight="1" x14ac:dyDescent="0.2">
      <c r="A20" s="3">
        <v>14</v>
      </c>
      <c r="B20" s="4" t="s">
        <v>87</v>
      </c>
      <c r="C20" s="4" t="s">
        <v>88</v>
      </c>
      <c r="D20" s="4" t="s">
        <v>89</v>
      </c>
      <c r="E20" s="5">
        <v>95000</v>
      </c>
      <c r="F20" s="6">
        <v>2541.5825</v>
      </c>
      <c r="G20" s="7">
        <v>1.5700509000000001E-2</v>
      </c>
      <c r="H20" s="49"/>
      <c r="J20" s="50"/>
      <c r="K20" s="50"/>
      <c r="L20" s="50"/>
      <c r="M20" s="50"/>
      <c r="N20" s="50"/>
    </row>
    <row r="21" spans="1:14" ht="17.100000000000001" customHeight="1" x14ac:dyDescent="0.2">
      <c r="A21" s="3">
        <v>15</v>
      </c>
      <c r="B21" s="4" t="s">
        <v>17</v>
      </c>
      <c r="C21" s="4" t="s">
        <v>18</v>
      </c>
      <c r="D21" s="4" t="s">
        <v>19</v>
      </c>
      <c r="E21" s="5">
        <v>275205</v>
      </c>
      <c r="F21" s="6">
        <v>2335.8024375</v>
      </c>
      <c r="G21" s="7">
        <v>1.4429312999999999E-2</v>
      </c>
      <c r="H21" s="49"/>
      <c r="J21" s="50"/>
      <c r="K21" s="50"/>
      <c r="L21" s="50"/>
      <c r="M21" s="50"/>
      <c r="N21" s="50"/>
    </row>
    <row r="22" spans="1:14" ht="17.100000000000001" customHeight="1" x14ac:dyDescent="0.2">
      <c r="A22" s="3">
        <v>16</v>
      </c>
      <c r="B22" s="4" t="s">
        <v>302</v>
      </c>
      <c r="C22" s="4" t="s">
        <v>303</v>
      </c>
      <c r="D22" s="4" t="s">
        <v>974</v>
      </c>
      <c r="E22" s="5">
        <v>68060</v>
      </c>
      <c r="F22" s="6">
        <v>2307.7784799999999</v>
      </c>
      <c r="G22" s="7">
        <v>1.4256196E-2</v>
      </c>
      <c r="H22" s="49"/>
    </row>
    <row r="23" spans="1:14" ht="17.100000000000001" customHeight="1" x14ac:dyDescent="0.2">
      <c r="A23" s="3">
        <v>17</v>
      </c>
      <c r="B23" s="4" t="s">
        <v>11</v>
      </c>
      <c r="C23" s="4" t="s">
        <v>12</v>
      </c>
      <c r="D23" s="4" t="s">
        <v>13</v>
      </c>
      <c r="E23" s="5">
        <v>106900</v>
      </c>
      <c r="F23" s="6">
        <v>2218.0146500000001</v>
      </c>
      <c r="G23" s="7">
        <v>1.3701684E-2</v>
      </c>
      <c r="H23" s="49"/>
    </row>
    <row r="24" spans="1:14" ht="17.100000000000001" customHeight="1" x14ac:dyDescent="0.2">
      <c r="A24" s="3">
        <v>18</v>
      </c>
      <c r="B24" s="4" t="s">
        <v>259</v>
      </c>
      <c r="C24" s="4" t="s">
        <v>260</v>
      </c>
      <c r="D24" s="4" t="s">
        <v>103</v>
      </c>
      <c r="E24" s="5">
        <v>135000</v>
      </c>
      <c r="F24" s="6">
        <v>2195.7750000000001</v>
      </c>
      <c r="G24" s="7">
        <v>1.3564299E-2</v>
      </c>
      <c r="H24" s="49"/>
      <c r="J24" s="50"/>
      <c r="K24" s="50"/>
      <c r="L24" s="50"/>
      <c r="M24" s="50"/>
      <c r="N24" s="50"/>
    </row>
    <row r="25" spans="1:14" ht="29.1" customHeight="1" x14ac:dyDescent="0.2">
      <c r="A25" s="3">
        <v>19</v>
      </c>
      <c r="B25" s="4" t="s">
        <v>75</v>
      </c>
      <c r="C25" s="4" t="s">
        <v>76</v>
      </c>
      <c r="D25" s="4" t="s">
        <v>25</v>
      </c>
      <c r="E25" s="5">
        <v>376500</v>
      </c>
      <c r="F25" s="6">
        <v>2148.8737500000002</v>
      </c>
      <c r="G25" s="7">
        <v>1.3274569E-2</v>
      </c>
      <c r="H25" s="49"/>
      <c r="J25" s="50"/>
      <c r="K25" s="50"/>
      <c r="L25" s="50"/>
      <c r="M25" s="50"/>
      <c r="N25" s="50"/>
    </row>
    <row r="26" spans="1:14" ht="17.100000000000001" customHeight="1" x14ac:dyDescent="0.2">
      <c r="A26" s="3">
        <v>20</v>
      </c>
      <c r="B26" s="4" t="s">
        <v>588</v>
      </c>
      <c r="C26" s="4" t="s">
        <v>589</v>
      </c>
      <c r="D26" s="4" t="s">
        <v>179</v>
      </c>
      <c r="E26" s="5">
        <v>215000</v>
      </c>
      <c r="F26" s="6">
        <v>2004.4449999999999</v>
      </c>
      <c r="G26" s="7">
        <v>1.2382367E-2</v>
      </c>
      <c r="H26" s="49"/>
      <c r="J26" s="50"/>
      <c r="K26" s="50"/>
      <c r="L26" s="50"/>
      <c r="M26" s="50"/>
      <c r="N26" s="50"/>
    </row>
    <row r="27" spans="1:14" ht="24.75" customHeight="1" x14ac:dyDescent="0.2">
      <c r="A27" s="3">
        <v>21</v>
      </c>
      <c r="B27" s="45" t="s">
        <v>945</v>
      </c>
      <c r="C27" s="45" t="s">
        <v>946</v>
      </c>
      <c r="D27" s="45" t="s">
        <v>28</v>
      </c>
      <c r="E27" s="46">
        <v>1440000</v>
      </c>
      <c r="F27" s="47">
        <v>1861.1999999999998</v>
      </c>
      <c r="G27" s="48">
        <v>1.1497479999999999E-2</v>
      </c>
      <c r="H27" s="49"/>
      <c r="J27" s="50"/>
      <c r="K27" s="50"/>
      <c r="L27" s="50"/>
      <c r="M27" s="50"/>
      <c r="N27" s="50"/>
    </row>
    <row r="28" spans="1:14" ht="17.100000000000001" customHeight="1" x14ac:dyDescent="0.2">
      <c r="A28" s="3">
        <v>22</v>
      </c>
      <c r="B28" s="4" t="s">
        <v>34</v>
      </c>
      <c r="C28" s="4" t="s">
        <v>35</v>
      </c>
      <c r="D28" s="4" t="s">
        <v>31</v>
      </c>
      <c r="E28" s="5">
        <v>95000</v>
      </c>
      <c r="F28" s="6">
        <v>1823.43</v>
      </c>
      <c r="G28" s="7">
        <v>1.1264155E-2</v>
      </c>
      <c r="H28" s="49"/>
      <c r="J28" s="50"/>
      <c r="K28" s="50"/>
      <c r="L28" s="50"/>
      <c r="M28" s="50"/>
      <c r="N28" s="50"/>
    </row>
    <row r="29" spans="1:14" ht="29.1" customHeight="1" x14ac:dyDescent="0.2">
      <c r="A29" s="3">
        <v>23</v>
      </c>
      <c r="B29" s="4" t="s">
        <v>304</v>
      </c>
      <c r="C29" s="4" t="s">
        <v>305</v>
      </c>
      <c r="D29" s="4" t="s">
        <v>215</v>
      </c>
      <c r="E29" s="5">
        <v>169100</v>
      </c>
      <c r="F29" s="6">
        <v>1768.8705500000001</v>
      </c>
      <c r="G29" s="7">
        <v>1.0927117E-2</v>
      </c>
      <c r="H29" s="49"/>
      <c r="J29" s="50"/>
      <c r="K29" s="50"/>
      <c r="L29" s="50"/>
      <c r="M29" s="50"/>
      <c r="N29" s="50"/>
    </row>
    <row r="30" spans="1:14" ht="29.1" customHeight="1" x14ac:dyDescent="0.2">
      <c r="A30" s="3">
        <v>24</v>
      </c>
      <c r="B30" s="4" t="s">
        <v>484</v>
      </c>
      <c r="C30" s="4" t="s">
        <v>485</v>
      </c>
      <c r="D30" s="4" t="s">
        <v>215</v>
      </c>
      <c r="E30" s="5">
        <v>150000</v>
      </c>
      <c r="F30" s="6">
        <v>1709.4749999999999</v>
      </c>
      <c r="G30" s="7">
        <v>1.0560203000000001E-2</v>
      </c>
      <c r="H30" s="49"/>
      <c r="J30" s="50"/>
      <c r="K30" s="50"/>
      <c r="L30" s="50"/>
      <c r="M30" s="50"/>
      <c r="N30" s="50"/>
    </row>
    <row r="31" spans="1:14" ht="17.100000000000001" customHeight="1" x14ac:dyDescent="0.2">
      <c r="A31" s="3">
        <v>25</v>
      </c>
      <c r="B31" s="4" t="s">
        <v>306</v>
      </c>
      <c r="C31" s="4" t="s">
        <v>307</v>
      </c>
      <c r="D31" s="4" t="s">
        <v>308</v>
      </c>
      <c r="E31" s="5">
        <v>60600</v>
      </c>
      <c r="F31" s="6">
        <v>1626.7161000000001</v>
      </c>
      <c r="G31" s="7">
        <v>1.0048964000000001E-2</v>
      </c>
      <c r="H31" s="49"/>
      <c r="J31" s="50"/>
      <c r="K31" s="50"/>
      <c r="L31" s="50"/>
      <c r="M31" s="50"/>
      <c r="N31" s="50"/>
    </row>
    <row r="32" spans="1:14" ht="17.100000000000001" customHeight="1" x14ac:dyDescent="0.2">
      <c r="A32" s="3">
        <v>26</v>
      </c>
      <c r="B32" s="4" t="s">
        <v>567</v>
      </c>
      <c r="C32" s="4" t="s">
        <v>568</v>
      </c>
      <c r="D32" s="4" t="s">
        <v>72</v>
      </c>
      <c r="E32" s="5">
        <v>46000</v>
      </c>
      <c r="F32" s="6">
        <v>1602.87</v>
      </c>
      <c r="G32" s="7">
        <v>9.901656E-3</v>
      </c>
      <c r="H32" s="49"/>
      <c r="J32" s="50"/>
      <c r="K32" s="50"/>
      <c r="L32" s="50"/>
      <c r="M32" s="50"/>
      <c r="N32" s="50"/>
    </row>
    <row r="33" spans="1:14" ht="29.1" customHeight="1" x14ac:dyDescent="0.2">
      <c r="A33" s="3">
        <v>27</v>
      </c>
      <c r="B33" s="4" t="s">
        <v>58</v>
      </c>
      <c r="C33" s="4" t="s">
        <v>59</v>
      </c>
      <c r="D33" s="4" t="s">
        <v>60</v>
      </c>
      <c r="E33" s="5">
        <v>181250</v>
      </c>
      <c r="F33" s="6">
        <v>1596.8125</v>
      </c>
      <c r="G33" s="7">
        <v>9.8642360000000002E-3</v>
      </c>
      <c r="H33" s="49"/>
      <c r="J33" s="50"/>
      <c r="K33" s="50"/>
      <c r="L33" s="50"/>
      <c r="M33" s="50"/>
      <c r="N33" s="50"/>
    </row>
    <row r="34" spans="1:14" ht="17.100000000000001" customHeight="1" x14ac:dyDescent="0.2">
      <c r="A34" s="3">
        <v>28</v>
      </c>
      <c r="B34" s="4" t="s">
        <v>70</v>
      </c>
      <c r="C34" s="4" t="s">
        <v>71</v>
      </c>
      <c r="D34" s="4" t="s">
        <v>72</v>
      </c>
      <c r="E34" s="5">
        <v>16000</v>
      </c>
      <c r="F34" s="6">
        <v>1435.864</v>
      </c>
      <c r="G34" s="7">
        <v>8.8699839999999992E-3</v>
      </c>
      <c r="H34" s="49"/>
      <c r="J34" s="50"/>
      <c r="K34" s="50"/>
      <c r="L34" s="50"/>
      <c r="M34" s="50"/>
      <c r="N34" s="50"/>
    </row>
    <row r="35" spans="1:14" ht="29.1" customHeight="1" x14ac:dyDescent="0.2">
      <c r="A35" s="3">
        <v>29</v>
      </c>
      <c r="B35" s="4" t="s">
        <v>23</v>
      </c>
      <c r="C35" s="4" t="s">
        <v>24</v>
      </c>
      <c r="D35" s="4" t="s">
        <v>25</v>
      </c>
      <c r="E35" s="5">
        <v>18100</v>
      </c>
      <c r="F35" s="6">
        <v>1280.9369999999999</v>
      </c>
      <c r="G35" s="7">
        <v>7.9129300000000003E-3</v>
      </c>
      <c r="H35" s="49"/>
    </row>
    <row r="36" spans="1:14" ht="17.100000000000001" customHeight="1" x14ac:dyDescent="0.2">
      <c r="A36" s="3">
        <v>30</v>
      </c>
      <c r="B36" s="4" t="s">
        <v>690</v>
      </c>
      <c r="C36" s="4" t="s">
        <v>691</v>
      </c>
      <c r="D36" s="4" t="s">
        <v>278</v>
      </c>
      <c r="E36" s="5">
        <v>135000</v>
      </c>
      <c r="F36" s="6">
        <v>1189.9575</v>
      </c>
      <c r="G36" s="7">
        <v>7.3509079999999997E-3</v>
      </c>
      <c r="H36" s="49"/>
    </row>
    <row r="37" spans="1:14" ht="17.100000000000001" customHeight="1" x14ac:dyDescent="0.2">
      <c r="A37" s="3">
        <v>31</v>
      </c>
      <c r="B37" s="4" t="s">
        <v>221</v>
      </c>
      <c r="C37" s="4" t="s">
        <v>222</v>
      </c>
      <c r="D37" s="4" t="s">
        <v>179</v>
      </c>
      <c r="E37" s="5">
        <v>70000</v>
      </c>
      <c r="F37" s="6">
        <v>1180.27</v>
      </c>
      <c r="G37" s="7">
        <v>7.2910639999999999E-3</v>
      </c>
      <c r="H37" s="49"/>
    </row>
    <row r="38" spans="1:14" ht="17.100000000000001" customHeight="1" x14ac:dyDescent="0.2">
      <c r="A38" s="3">
        <v>32</v>
      </c>
      <c r="B38" s="4" t="s">
        <v>313</v>
      </c>
      <c r="C38" s="4" t="s">
        <v>314</v>
      </c>
      <c r="D38" s="4" t="s">
        <v>308</v>
      </c>
      <c r="E38" s="5">
        <v>345400</v>
      </c>
      <c r="F38" s="6">
        <v>1174.3599999999999</v>
      </c>
      <c r="G38" s="7">
        <v>7.2545550000000002E-3</v>
      </c>
      <c r="H38" s="49"/>
    </row>
    <row r="39" spans="1:14" ht="29.1" customHeight="1" x14ac:dyDescent="0.2">
      <c r="A39" s="3">
        <v>33</v>
      </c>
      <c r="B39" s="4" t="s">
        <v>208</v>
      </c>
      <c r="C39" s="4" t="s">
        <v>209</v>
      </c>
      <c r="D39" s="4" t="s">
        <v>207</v>
      </c>
      <c r="E39" s="5">
        <v>33000</v>
      </c>
      <c r="F39" s="6">
        <v>1152.6735000000001</v>
      </c>
      <c r="G39" s="7">
        <v>7.1205879999999997E-3</v>
      </c>
      <c r="H39" s="49"/>
    </row>
    <row r="40" spans="1:14" ht="29.1" customHeight="1" x14ac:dyDescent="0.2">
      <c r="A40" s="3">
        <v>34</v>
      </c>
      <c r="B40" s="4" t="s">
        <v>205</v>
      </c>
      <c r="C40" s="4" t="s">
        <v>206</v>
      </c>
      <c r="D40" s="4" t="s">
        <v>207</v>
      </c>
      <c r="E40" s="5">
        <v>120000</v>
      </c>
      <c r="F40" s="6">
        <v>1115.7</v>
      </c>
      <c r="G40" s="7">
        <v>6.8921859999999998E-3</v>
      </c>
      <c r="H40" s="49"/>
    </row>
    <row r="41" spans="1:14" ht="17.100000000000001" customHeight="1" x14ac:dyDescent="0.2">
      <c r="A41" s="3">
        <v>35</v>
      </c>
      <c r="B41" s="4" t="s">
        <v>326</v>
      </c>
      <c r="C41" s="4" t="s">
        <v>327</v>
      </c>
      <c r="D41" s="4" t="s">
        <v>974</v>
      </c>
      <c r="E41" s="5">
        <v>102050</v>
      </c>
      <c r="F41" s="6">
        <v>1099.0785000000001</v>
      </c>
      <c r="G41" s="7">
        <v>6.7895070000000002E-3</v>
      </c>
      <c r="H41" s="49"/>
    </row>
    <row r="42" spans="1:14" ht="17.100000000000001" customHeight="1" x14ac:dyDescent="0.2">
      <c r="A42" s="3">
        <v>36</v>
      </c>
      <c r="B42" s="4" t="s">
        <v>234</v>
      </c>
      <c r="C42" s="4" t="s">
        <v>235</v>
      </c>
      <c r="D42" s="4" t="s">
        <v>108</v>
      </c>
      <c r="E42" s="5">
        <v>1000000</v>
      </c>
      <c r="F42" s="6">
        <v>1059</v>
      </c>
      <c r="G42" s="7">
        <v>6.5419240000000002E-3</v>
      </c>
      <c r="H42" s="49"/>
    </row>
    <row r="43" spans="1:14" ht="29.1" customHeight="1" x14ac:dyDescent="0.2">
      <c r="A43" s="3">
        <v>37</v>
      </c>
      <c r="B43" s="4" t="s">
        <v>189</v>
      </c>
      <c r="C43" s="4" t="s">
        <v>190</v>
      </c>
      <c r="D43" s="4" t="s">
        <v>108</v>
      </c>
      <c r="E43" s="5">
        <v>287123</v>
      </c>
      <c r="F43" s="6">
        <v>1041.8258054999999</v>
      </c>
      <c r="G43" s="7">
        <v>6.4358310000000004E-3</v>
      </c>
      <c r="H43" s="49"/>
    </row>
    <row r="44" spans="1:14" ht="17.100000000000001" customHeight="1" x14ac:dyDescent="0.2">
      <c r="A44" s="3">
        <v>38</v>
      </c>
      <c r="B44" s="4" t="s">
        <v>216</v>
      </c>
      <c r="C44" s="4" t="s">
        <v>217</v>
      </c>
      <c r="D44" s="4" t="s">
        <v>218</v>
      </c>
      <c r="E44" s="5">
        <v>191250</v>
      </c>
      <c r="F44" s="6">
        <v>1024.621875</v>
      </c>
      <c r="G44" s="7">
        <v>6.3295549999999997E-3</v>
      </c>
      <c r="H44" s="49"/>
    </row>
    <row r="45" spans="1:14" ht="29.1" customHeight="1" x14ac:dyDescent="0.2">
      <c r="A45" s="3">
        <v>39</v>
      </c>
      <c r="B45" s="4" t="s">
        <v>197</v>
      </c>
      <c r="C45" s="4" t="s">
        <v>198</v>
      </c>
      <c r="D45" s="4" t="s">
        <v>193</v>
      </c>
      <c r="E45" s="5">
        <v>22500</v>
      </c>
      <c r="F45" s="6">
        <v>977.05124999999998</v>
      </c>
      <c r="G45" s="7">
        <v>6.0356890000000003E-3</v>
      </c>
      <c r="H45" s="49"/>
    </row>
    <row r="46" spans="1:14" ht="17.100000000000001" customHeight="1" x14ac:dyDescent="0.2">
      <c r="A46" s="3">
        <v>40</v>
      </c>
      <c r="B46" s="4" t="s">
        <v>543</v>
      </c>
      <c r="C46" s="4" t="s">
        <v>544</v>
      </c>
      <c r="D46" s="4" t="s">
        <v>108</v>
      </c>
      <c r="E46" s="5">
        <v>30600</v>
      </c>
      <c r="F46" s="6">
        <v>971.59590000000003</v>
      </c>
      <c r="G46" s="7">
        <v>6.0019890000000001E-3</v>
      </c>
      <c r="H46" s="49"/>
    </row>
    <row r="47" spans="1:14" ht="17.100000000000001" customHeight="1" x14ac:dyDescent="0.2">
      <c r="A47" s="3">
        <v>41</v>
      </c>
      <c r="B47" s="4" t="s">
        <v>328</v>
      </c>
      <c r="C47" s="4" t="s">
        <v>329</v>
      </c>
      <c r="D47" s="4" t="s">
        <v>16</v>
      </c>
      <c r="E47" s="5">
        <v>48500</v>
      </c>
      <c r="F47" s="6">
        <v>944.31925000000001</v>
      </c>
      <c r="G47" s="7">
        <v>5.8334889999999999E-3</v>
      </c>
      <c r="H47" s="49"/>
    </row>
    <row r="48" spans="1:14" ht="17.100000000000001" customHeight="1" x14ac:dyDescent="0.2">
      <c r="A48" s="3">
        <v>42</v>
      </c>
      <c r="B48" s="4" t="s">
        <v>194</v>
      </c>
      <c r="C48" s="4" t="s">
        <v>195</v>
      </c>
      <c r="D48" s="4" t="s">
        <v>196</v>
      </c>
      <c r="E48" s="5">
        <v>1950</v>
      </c>
      <c r="F48" s="6">
        <v>924.62467500000002</v>
      </c>
      <c r="G48" s="7">
        <v>5.711827E-3</v>
      </c>
      <c r="H48" s="49"/>
    </row>
    <row r="49" spans="1:8" ht="29.1" customHeight="1" x14ac:dyDescent="0.2">
      <c r="A49" s="3">
        <v>43</v>
      </c>
      <c r="B49" s="4" t="s">
        <v>322</v>
      </c>
      <c r="C49" s="4" t="s">
        <v>323</v>
      </c>
      <c r="D49" s="4" t="s">
        <v>193</v>
      </c>
      <c r="E49" s="5">
        <v>230000</v>
      </c>
      <c r="F49" s="6">
        <v>893.20500000000004</v>
      </c>
      <c r="G49" s="7">
        <v>5.5177330000000004E-3</v>
      </c>
      <c r="H49" s="49"/>
    </row>
    <row r="50" spans="1:8" ht="17.100000000000001" customHeight="1" x14ac:dyDescent="0.2">
      <c r="A50" s="3">
        <v>44</v>
      </c>
      <c r="B50" s="4" t="s">
        <v>344</v>
      </c>
      <c r="C50" s="4" t="s">
        <v>345</v>
      </c>
      <c r="D50" s="4" t="s">
        <v>103</v>
      </c>
      <c r="E50" s="5">
        <v>12250</v>
      </c>
      <c r="F50" s="6">
        <v>823.31637499999999</v>
      </c>
      <c r="G50" s="7">
        <v>5.0859989999999999E-3</v>
      </c>
      <c r="H50" s="49"/>
    </row>
    <row r="51" spans="1:8" ht="17.100000000000001" customHeight="1" x14ac:dyDescent="0.2">
      <c r="A51" s="3">
        <v>45</v>
      </c>
      <c r="B51" s="4" t="s">
        <v>247</v>
      </c>
      <c r="C51" s="4" t="s">
        <v>248</v>
      </c>
      <c r="D51" s="4" t="s">
        <v>103</v>
      </c>
      <c r="E51" s="5">
        <v>137000</v>
      </c>
      <c r="F51" s="6">
        <v>808.98500000000001</v>
      </c>
      <c r="G51" s="7">
        <v>4.9974679999999997E-3</v>
      </c>
      <c r="H51" s="49"/>
    </row>
    <row r="52" spans="1:8" ht="17.100000000000001" customHeight="1" x14ac:dyDescent="0.2">
      <c r="A52" s="3">
        <v>46</v>
      </c>
      <c r="B52" s="4" t="s">
        <v>309</v>
      </c>
      <c r="C52" s="4" t="s">
        <v>310</v>
      </c>
      <c r="D52" s="4" t="s">
        <v>72</v>
      </c>
      <c r="E52" s="5">
        <v>61700</v>
      </c>
      <c r="F52" s="6">
        <v>805.55520000000001</v>
      </c>
      <c r="G52" s="7">
        <v>4.9762799999999996E-3</v>
      </c>
      <c r="H52" s="49"/>
    </row>
    <row r="53" spans="1:8" ht="17.100000000000001" customHeight="1" x14ac:dyDescent="0.2">
      <c r="A53" s="3">
        <v>47</v>
      </c>
      <c r="B53" s="4" t="s">
        <v>261</v>
      </c>
      <c r="C53" s="4" t="s">
        <v>262</v>
      </c>
      <c r="D53" s="4" t="s">
        <v>108</v>
      </c>
      <c r="E53" s="5">
        <v>95000</v>
      </c>
      <c r="F53" s="6">
        <v>790.0675</v>
      </c>
      <c r="G53" s="7">
        <v>4.880606E-3</v>
      </c>
      <c r="H53" s="49"/>
    </row>
    <row r="54" spans="1:8" ht="17.100000000000001" customHeight="1" x14ac:dyDescent="0.2">
      <c r="A54" s="3">
        <v>48</v>
      </c>
      <c r="B54" s="4" t="s">
        <v>330</v>
      </c>
      <c r="C54" s="4" t="s">
        <v>331</v>
      </c>
      <c r="D54" s="4" t="s">
        <v>100</v>
      </c>
      <c r="E54" s="5">
        <v>989100</v>
      </c>
      <c r="F54" s="6">
        <v>778.91624999999999</v>
      </c>
      <c r="G54" s="7">
        <v>4.8117189999999999E-3</v>
      </c>
      <c r="H54" s="49"/>
    </row>
    <row r="55" spans="1:8" ht="17.100000000000001" customHeight="1" x14ac:dyDescent="0.2">
      <c r="A55" s="3">
        <v>49</v>
      </c>
      <c r="B55" s="4" t="s">
        <v>599</v>
      </c>
      <c r="C55" s="4" t="s">
        <v>600</v>
      </c>
      <c r="D55" s="4" t="s">
        <v>238</v>
      </c>
      <c r="E55" s="5">
        <v>128700</v>
      </c>
      <c r="F55" s="6">
        <v>760.10220000000004</v>
      </c>
      <c r="G55" s="7">
        <v>4.6954969999999999E-3</v>
      </c>
      <c r="H55" s="49"/>
    </row>
    <row r="56" spans="1:8" ht="29.1" customHeight="1" x14ac:dyDescent="0.2">
      <c r="A56" s="3">
        <v>50</v>
      </c>
      <c r="B56" s="4" t="s">
        <v>251</v>
      </c>
      <c r="C56" s="4" t="s">
        <v>252</v>
      </c>
      <c r="D56" s="4" t="s">
        <v>215</v>
      </c>
      <c r="E56" s="5">
        <v>42500</v>
      </c>
      <c r="F56" s="6">
        <v>756.35125000000005</v>
      </c>
      <c r="G56" s="7">
        <v>4.6723249999999997E-3</v>
      </c>
      <c r="H56" s="49"/>
    </row>
    <row r="57" spans="1:8" ht="29.1" customHeight="1" x14ac:dyDescent="0.2">
      <c r="A57" s="3">
        <v>51</v>
      </c>
      <c r="B57" s="4" t="s">
        <v>362</v>
      </c>
      <c r="C57" s="4" t="s">
        <v>363</v>
      </c>
      <c r="D57" s="4" t="s">
        <v>364</v>
      </c>
      <c r="E57" s="5">
        <v>86000</v>
      </c>
      <c r="F57" s="6">
        <v>703.52300000000002</v>
      </c>
      <c r="G57" s="7">
        <v>4.3459809999999996E-3</v>
      </c>
      <c r="H57" s="49"/>
    </row>
    <row r="58" spans="1:8" ht="17.100000000000001" customHeight="1" x14ac:dyDescent="0.2">
      <c r="A58" s="3">
        <v>52</v>
      </c>
      <c r="B58" s="4" t="s">
        <v>184</v>
      </c>
      <c r="C58" s="4" t="s">
        <v>185</v>
      </c>
      <c r="D58" s="4" t="s">
        <v>103</v>
      </c>
      <c r="E58" s="5">
        <v>51150</v>
      </c>
      <c r="F58" s="6">
        <v>690.52499999999998</v>
      </c>
      <c r="G58" s="7">
        <v>4.2656869999999998E-3</v>
      </c>
      <c r="H58" s="49"/>
    </row>
    <row r="59" spans="1:8" ht="17.100000000000001" customHeight="1" x14ac:dyDescent="0.2">
      <c r="A59" s="3">
        <v>53</v>
      </c>
      <c r="B59" s="4" t="s">
        <v>265</v>
      </c>
      <c r="C59" s="4" t="s">
        <v>266</v>
      </c>
      <c r="D59" s="4" t="s">
        <v>267</v>
      </c>
      <c r="E59" s="5">
        <v>63000</v>
      </c>
      <c r="F59" s="6">
        <v>559.18799999999999</v>
      </c>
      <c r="G59" s="7">
        <v>3.4543579999999998E-3</v>
      </c>
      <c r="H59" s="49"/>
    </row>
    <row r="60" spans="1:8" ht="29.1" customHeight="1" x14ac:dyDescent="0.2">
      <c r="A60" s="3">
        <v>54</v>
      </c>
      <c r="B60" s="4" t="s">
        <v>257</v>
      </c>
      <c r="C60" s="4" t="s">
        <v>258</v>
      </c>
      <c r="D60" s="4" t="s">
        <v>215</v>
      </c>
      <c r="E60" s="5">
        <v>125000</v>
      </c>
      <c r="F60" s="6">
        <v>512.375</v>
      </c>
      <c r="G60" s="7">
        <v>3.1651729999999999E-3</v>
      </c>
      <c r="H60" s="49"/>
    </row>
    <row r="61" spans="1:8" ht="17.100000000000001" customHeight="1" x14ac:dyDescent="0.2">
      <c r="A61" s="3">
        <v>55</v>
      </c>
      <c r="B61" s="4" t="s">
        <v>823</v>
      </c>
      <c r="C61" s="4" t="s">
        <v>824</v>
      </c>
      <c r="D61" s="4" t="s">
        <v>103</v>
      </c>
      <c r="E61" s="5">
        <v>296000</v>
      </c>
      <c r="F61" s="6">
        <v>420.91199999999998</v>
      </c>
      <c r="G61" s="7">
        <v>2.6001650000000002E-3</v>
      </c>
      <c r="H61" s="49"/>
    </row>
    <row r="62" spans="1:8" ht="17.100000000000001" customHeight="1" x14ac:dyDescent="0.2">
      <c r="A62" s="3">
        <v>56</v>
      </c>
      <c r="B62" s="4" t="s">
        <v>228</v>
      </c>
      <c r="C62" s="4" t="s">
        <v>229</v>
      </c>
      <c r="D62" s="4" t="s">
        <v>230</v>
      </c>
      <c r="E62" s="5">
        <v>144000</v>
      </c>
      <c r="F62" s="6">
        <v>381.024</v>
      </c>
      <c r="G62" s="7">
        <v>2.3537580000000001E-3</v>
      </c>
      <c r="H62" s="49"/>
    </row>
    <row r="63" spans="1:8" ht="53.1" customHeight="1" x14ac:dyDescent="0.2">
      <c r="A63" s="3">
        <v>57</v>
      </c>
      <c r="B63" s="4" t="s">
        <v>49</v>
      </c>
      <c r="C63" s="4" t="s">
        <v>50</v>
      </c>
      <c r="D63" s="4" t="s">
        <v>51</v>
      </c>
      <c r="E63" s="5">
        <v>225000</v>
      </c>
      <c r="F63" s="6">
        <v>334.8</v>
      </c>
      <c r="G63" s="7">
        <v>2.0682119999999998E-3</v>
      </c>
      <c r="H63" s="49"/>
    </row>
    <row r="64" spans="1:8" ht="17.100000000000001" customHeight="1" x14ac:dyDescent="0.2">
      <c r="A64" s="3">
        <v>58</v>
      </c>
      <c r="B64" s="4" t="s">
        <v>545</v>
      </c>
      <c r="C64" s="4" t="s">
        <v>546</v>
      </c>
      <c r="D64" s="4" t="s">
        <v>100</v>
      </c>
      <c r="E64" s="5">
        <v>77550</v>
      </c>
      <c r="F64" s="6">
        <v>312.25507499999998</v>
      </c>
      <c r="G64" s="7">
        <v>1.928941E-3</v>
      </c>
      <c r="H64" s="49"/>
    </row>
    <row r="65" spans="1:8" ht="53.1" customHeight="1" x14ac:dyDescent="0.2">
      <c r="A65" s="3">
        <v>59</v>
      </c>
      <c r="B65" s="4" t="s">
        <v>94</v>
      </c>
      <c r="C65" s="4" t="s">
        <v>95</v>
      </c>
      <c r="D65" s="4" t="s">
        <v>51</v>
      </c>
      <c r="E65" s="5">
        <v>20670</v>
      </c>
      <c r="F65" s="6">
        <v>303.528615</v>
      </c>
      <c r="G65" s="7">
        <v>1.875034E-3</v>
      </c>
      <c r="H65" s="49"/>
    </row>
    <row r="66" spans="1:8" ht="17.100000000000001" customHeight="1" x14ac:dyDescent="0.2">
      <c r="A66" s="3">
        <v>60</v>
      </c>
      <c r="B66" s="4" t="s">
        <v>352</v>
      </c>
      <c r="C66" s="4" t="s">
        <v>353</v>
      </c>
      <c r="D66" s="4" t="s">
        <v>72</v>
      </c>
      <c r="E66" s="5">
        <v>57000</v>
      </c>
      <c r="F66" s="6">
        <v>250.458</v>
      </c>
      <c r="G66" s="7">
        <v>1.5471930000000001E-3</v>
      </c>
      <c r="H66" s="49"/>
    </row>
    <row r="67" spans="1:8" ht="17.100000000000001" customHeight="1" x14ac:dyDescent="0.2">
      <c r="A67" s="3">
        <v>61</v>
      </c>
      <c r="B67" s="4" t="s">
        <v>825</v>
      </c>
      <c r="C67" s="4" t="s">
        <v>826</v>
      </c>
      <c r="D67" s="4" t="s">
        <v>89</v>
      </c>
      <c r="E67" s="5">
        <v>122400</v>
      </c>
      <c r="F67" s="6">
        <v>231.1524</v>
      </c>
      <c r="G67" s="7">
        <v>1.4279329999999999E-3</v>
      </c>
      <c r="H67" s="49"/>
    </row>
    <row r="68" spans="1:8" ht="17.100000000000001" customHeight="1" x14ac:dyDescent="0.2">
      <c r="A68" s="3">
        <v>62</v>
      </c>
      <c r="B68" s="4" t="s">
        <v>210</v>
      </c>
      <c r="C68" s="4" t="s">
        <v>211</v>
      </c>
      <c r="D68" s="4" t="s">
        <v>212</v>
      </c>
      <c r="E68" s="5">
        <v>50000</v>
      </c>
      <c r="F68" s="6">
        <v>134.75</v>
      </c>
      <c r="G68" s="7">
        <v>8.3241200000000004E-4</v>
      </c>
      <c r="H68" s="49"/>
    </row>
    <row r="69" spans="1:8" ht="17.100000000000001" customHeight="1" x14ac:dyDescent="0.2">
      <c r="A69" s="3">
        <v>63</v>
      </c>
      <c r="B69" s="4" t="s">
        <v>175</v>
      </c>
      <c r="C69" s="4" t="s">
        <v>176</v>
      </c>
      <c r="D69" s="4" t="s">
        <v>16</v>
      </c>
      <c r="E69" s="5">
        <v>100000</v>
      </c>
      <c r="F69" s="6">
        <v>131.44999999999999</v>
      </c>
      <c r="G69" s="7">
        <v>8.1202599999999998E-4</v>
      </c>
      <c r="H69" s="49"/>
    </row>
    <row r="70" spans="1:8" ht="17.100000000000001" customHeight="1" x14ac:dyDescent="0.2">
      <c r="A70" s="3">
        <v>64</v>
      </c>
      <c r="B70" s="4" t="s">
        <v>52</v>
      </c>
      <c r="C70" s="4" t="s">
        <v>53</v>
      </c>
      <c r="D70" s="4" t="s">
        <v>28</v>
      </c>
      <c r="E70" s="5">
        <v>47250</v>
      </c>
      <c r="F70" s="6">
        <v>106.218</v>
      </c>
      <c r="G70" s="7">
        <v>6.5615699999999999E-4</v>
      </c>
      <c r="H70" s="49"/>
    </row>
    <row r="71" spans="1:8" ht="17.100000000000001" customHeight="1" x14ac:dyDescent="0.2">
      <c r="A71" s="3">
        <v>65</v>
      </c>
      <c r="B71" s="4" t="s">
        <v>592</v>
      </c>
      <c r="C71" s="4" t="s">
        <v>593</v>
      </c>
      <c r="D71" s="4" t="s">
        <v>594</v>
      </c>
      <c r="E71" s="5">
        <v>34100</v>
      </c>
      <c r="F71" s="6">
        <v>103.78335</v>
      </c>
      <c r="G71" s="7">
        <v>6.4111699999999997E-4</v>
      </c>
      <c r="H71" s="49"/>
    </row>
    <row r="72" spans="1:8" ht="17.100000000000001" customHeight="1" x14ac:dyDescent="0.2">
      <c r="A72" s="3">
        <v>66</v>
      </c>
      <c r="B72" s="4" t="s">
        <v>125</v>
      </c>
      <c r="C72" s="4" t="s">
        <v>126</v>
      </c>
      <c r="D72" s="4"/>
      <c r="E72" s="5">
        <v>20670</v>
      </c>
      <c r="F72" s="6">
        <v>62.371724999999998</v>
      </c>
      <c r="G72" s="7">
        <v>3.8529800000000001E-4</v>
      </c>
      <c r="H72" s="49"/>
    </row>
    <row r="73" spans="1:8" ht="14.1" customHeight="1" x14ac:dyDescent="0.2">
      <c r="A73" s="1"/>
      <c r="B73" s="1"/>
      <c r="C73" s="2" t="s">
        <v>130</v>
      </c>
      <c r="D73" s="1"/>
      <c r="E73" s="1" t="s">
        <v>131</v>
      </c>
      <c r="F73" s="9">
        <v>128844.19819299999</v>
      </c>
      <c r="G73" s="10">
        <v>0.79592913200000004</v>
      </c>
      <c r="H73" s="49"/>
    </row>
    <row r="74" spans="1:8" ht="14.1" customHeight="1" x14ac:dyDescent="0.2">
      <c r="A74" s="1"/>
      <c r="B74" s="1"/>
      <c r="C74" s="11"/>
      <c r="D74" s="1"/>
      <c r="E74" s="1"/>
      <c r="F74" s="12"/>
      <c r="G74" s="12"/>
      <c r="H74" s="49"/>
    </row>
    <row r="75" spans="1:8" ht="14.1" customHeight="1" x14ac:dyDescent="0.2">
      <c r="A75" s="1"/>
      <c r="B75" s="1"/>
      <c r="C75" s="2" t="s">
        <v>132</v>
      </c>
      <c r="D75" s="1"/>
      <c r="E75" s="1"/>
      <c r="F75" s="1"/>
      <c r="G75" s="1"/>
      <c r="H75" s="49"/>
    </row>
    <row r="76" spans="1:8" ht="14.1" customHeight="1" x14ac:dyDescent="0.2">
      <c r="A76" s="1"/>
      <c r="B76" s="1"/>
      <c r="C76" s="2" t="s">
        <v>130</v>
      </c>
      <c r="D76" s="1"/>
      <c r="E76" s="1" t="s">
        <v>131</v>
      </c>
      <c r="F76" s="13">
        <v>0</v>
      </c>
      <c r="G76" s="14">
        <v>0</v>
      </c>
      <c r="H76" s="49"/>
    </row>
    <row r="77" spans="1:8" ht="14.1" customHeight="1" x14ac:dyDescent="0.2">
      <c r="A77" s="1"/>
      <c r="B77" s="1"/>
      <c r="C77" s="11"/>
      <c r="D77" s="1"/>
      <c r="E77" s="1"/>
      <c r="F77" s="12"/>
      <c r="G77" s="12"/>
      <c r="H77" s="49"/>
    </row>
    <row r="78" spans="1:8" ht="14.1" customHeight="1" x14ac:dyDescent="0.2">
      <c r="A78" s="1"/>
      <c r="B78" s="1"/>
      <c r="C78" s="2" t="s">
        <v>133</v>
      </c>
      <c r="D78" s="1"/>
      <c r="E78" s="1"/>
      <c r="F78" s="1"/>
      <c r="G78" s="1"/>
      <c r="H78" s="49"/>
    </row>
    <row r="79" spans="1:8" ht="14.1" customHeight="1" x14ac:dyDescent="0.2">
      <c r="A79" s="1"/>
      <c r="B79" s="1"/>
      <c r="C79" s="2" t="s">
        <v>130</v>
      </c>
      <c r="D79" s="1"/>
      <c r="E79" s="1" t="s">
        <v>131</v>
      </c>
      <c r="F79" s="13">
        <v>0</v>
      </c>
      <c r="G79" s="14">
        <v>0</v>
      </c>
      <c r="H79" s="49"/>
    </row>
    <row r="80" spans="1:8" ht="14.1" customHeight="1" x14ac:dyDescent="0.2">
      <c r="A80" s="1"/>
      <c r="B80" s="1"/>
      <c r="C80" s="11"/>
      <c r="D80" s="1"/>
      <c r="E80" s="1"/>
      <c r="F80" s="12"/>
      <c r="G80" s="12"/>
      <c r="H80" s="49"/>
    </row>
    <row r="81" spans="1:8" ht="14.1" customHeight="1" x14ac:dyDescent="0.2">
      <c r="A81" s="1"/>
      <c r="B81" s="1"/>
      <c r="C81" s="2" t="s">
        <v>134</v>
      </c>
      <c r="D81" s="1"/>
      <c r="E81" s="1"/>
      <c r="F81" s="1"/>
      <c r="G81" s="1"/>
      <c r="H81" s="49"/>
    </row>
    <row r="82" spans="1:8" ht="14.1" customHeight="1" x14ac:dyDescent="0.2">
      <c r="A82" s="1"/>
      <c r="B82" s="1"/>
      <c r="C82" s="2" t="s">
        <v>130</v>
      </c>
      <c r="D82" s="1"/>
      <c r="E82" s="1" t="s">
        <v>131</v>
      </c>
      <c r="F82" s="13">
        <v>0</v>
      </c>
      <c r="G82" s="14">
        <v>0</v>
      </c>
      <c r="H82" s="49"/>
    </row>
    <row r="83" spans="1:8" ht="14.1" customHeight="1" x14ac:dyDescent="0.2">
      <c r="A83" s="1"/>
      <c r="B83" s="1"/>
      <c r="C83" s="11"/>
      <c r="D83" s="1"/>
      <c r="E83" s="1"/>
      <c r="F83" s="12"/>
      <c r="G83" s="12"/>
      <c r="H83" s="49"/>
    </row>
    <row r="84" spans="1:8" ht="14.1" customHeight="1" x14ac:dyDescent="0.2">
      <c r="A84" s="1"/>
      <c r="B84" s="1"/>
      <c r="C84" s="2" t="s">
        <v>135</v>
      </c>
      <c r="D84" s="1"/>
      <c r="E84" s="1"/>
      <c r="F84" s="12"/>
      <c r="G84" s="12"/>
      <c r="H84" s="49"/>
    </row>
    <row r="85" spans="1:8" ht="14.1" customHeight="1" x14ac:dyDescent="0.2">
      <c r="A85" s="1"/>
      <c r="B85" s="1"/>
      <c r="C85" s="2" t="s">
        <v>130</v>
      </c>
      <c r="D85" s="1"/>
      <c r="E85" s="1" t="s">
        <v>131</v>
      </c>
      <c r="F85" s="13">
        <v>0</v>
      </c>
      <c r="G85" s="14">
        <v>0</v>
      </c>
      <c r="H85" s="49"/>
    </row>
    <row r="86" spans="1:8" ht="14.1" customHeight="1" x14ac:dyDescent="0.2">
      <c r="A86" s="1"/>
      <c r="B86" s="1"/>
      <c r="C86" s="11"/>
      <c r="D86" s="1"/>
      <c r="E86" s="1"/>
      <c r="F86" s="12"/>
      <c r="G86" s="12"/>
      <c r="H86" s="49"/>
    </row>
    <row r="87" spans="1:8" ht="14.1" customHeight="1" x14ac:dyDescent="0.2">
      <c r="A87" s="1"/>
      <c r="B87" s="1"/>
      <c r="C87" s="2" t="s">
        <v>136</v>
      </c>
      <c r="D87" s="1"/>
      <c r="E87" s="1"/>
      <c r="F87" s="12"/>
      <c r="G87" s="12"/>
      <c r="H87" s="49"/>
    </row>
    <row r="88" spans="1:8" ht="25.5" x14ac:dyDescent="0.2">
      <c r="A88" s="3">
        <v>1</v>
      </c>
      <c r="B88" s="4"/>
      <c r="C88" s="4" t="s">
        <v>900</v>
      </c>
      <c r="D88" s="4" t="s">
        <v>551</v>
      </c>
      <c r="E88" s="5">
        <v>60000</v>
      </c>
      <c r="F88" s="6">
        <v>769.2</v>
      </c>
      <c r="G88" s="7">
        <v>4.7516980000000004E-3</v>
      </c>
      <c r="H88" s="49"/>
    </row>
    <row r="89" spans="1:8" x14ac:dyDescent="0.2">
      <c r="A89" s="3">
        <v>2</v>
      </c>
      <c r="B89" s="4"/>
      <c r="C89" s="4" t="s">
        <v>912</v>
      </c>
      <c r="D89" s="4" t="s">
        <v>551</v>
      </c>
      <c r="E89" s="5">
        <v>-34100</v>
      </c>
      <c r="F89" s="6">
        <v>-104.6529</v>
      </c>
      <c r="G89" s="7">
        <v>-6.4648799999999997E-4</v>
      </c>
      <c r="H89" s="49"/>
    </row>
    <row r="90" spans="1:8" ht="25.5" x14ac:dyDescent="0.2">
      <c r="A90" s="3">
        <v>3</v>
      </c>
      <c r="B90" s="4"/>
      <c r="C90" s="4" t="s">
        <v>924</v>
      </c>
      <c r="D90" s="4" t="s">
        <v>551</v>
      </c>
      <c r="E90" s="5">
        <v>-47250</v>
      </c>
      <c r="F90" s="6">
        <v>-106.903125</v>
      </c>
      <c r="G90" s="7">
        <v>-6.6038900000000005E-4</v>
      </c>
      <c r="H90" s="49"/>
    </row>
    <row r="91" spans="1:8" ht="25.5" x14ac:dyDescent="0.2">
      <c r="A91" s="3">
        <v>4</v>
      </c>
      <c r="B91" s="4"/>
      <c r="C91" s="4" t="s">
        <v>925</v>
      </c>
      <c r="D91" s="4" t="s">
        <v>551</v>
      </c>
      <c r="E91" s="5">
        <v>-31250</v>
      </c>
      <c r="F91" s="6">
        <v>-168.421875</v>
      </c>
      <c r="G91" s="7">
        <v>-1.040418E-3</v>
      </c>
      <c r="H91" s="49"/>
    </row>
    <row r="92" spans="1:8" ht="25.5" x14ac:dyDescent="0.2">
      <c r="A92" s="3">
        <v>5</v>
      </c>
      <c r="B92" s="4"/>
      <c r="C92" s="4" t="s">
        <v>926</v>
      </c>
      <c r="D92" s="4" t="s">
        <v>551</v>
      </c>
      <c r="E92" s="5">
        <v>-21000</v>
      </c>
      <c r="F92" s="6">
        <v>-220.87799999999999</v>
      </c>
      <c r="G92" s="7">
        <v>-1.3644639999999999E-3</v>
      </c>
      <c r="H92" s="49"/>
    </row>
    <row r="93" spans="1:8" x14ac:dyDescent="0.2">
      <c r="A93" s="3">
        <v>6</v>
      </c>
      <c r="B93" s="4"/>
      <c r="C93" s="4" t="s">
        <v>927</v>
      </c>
      <c r="D93" s="4" t="s">
        <v>551</v>
      </c>
      <c r="E93" s="5">
        <v>-122400</v>
      </c>
      <c r="F93" s="6">
        <v>-232.9272</v>
      </c>
      <c r="G93" s="7">
        <v>-1.438897E-3</v>
      </c>
      <c r="H93" s="49"/>
    </row>
    <row r="94" spans="1:8" x14ac:dyDescent="0.2">
      <c r="A94" s="3">
        <v>7</v>
      </c>
      <c r="B94" s="4"/>
      <c r="C94" s="4" t="s">
        <v>928</v>
      </c>
      <c r="D94" s="4" t="s">
        <v>551</v>
      </c>
      <c r="E94" s="5">
        <v>-57000</v>
      </c>
      <c r="F94" s="6">
        <v>-252.5385</v>
      </c>
      <c r="G94" s="7">
        <v>-1.5600449999999999E-3</v>
      </c>
      <c r="H94" s="49"/>
    </row>
    <row r="95" spans="1:8" x14ac:dyDescent="0.2">
      <c r="A95" s="3">
        <v>8</v>
      </c>
      <c r="B95" s="4"/>
      <c r="C95" s="4" t="s">
        <v>929</v>
      </c>
      <c r="D95" s="4" t="s">
        <v>551</v>
      </c>
      <c r="E95" s="5">
        <v>-77550</v>
      </c>
      <c r="F95" s="6">
        <v>-314.34892500000001</v>
      </c>
      <c r="G95" s="7">
        <v>-1.9418759999999999E-3</v>
      </c>
      <c r="H95" s="49"/>
    </row>
    <row r="96" spans="1:8" x14ac:dyDescent="0.2">
      <c r="A96" s="3">
        <v>9</v>
      </c>
      <c r="B96" s="4"/>
      <c r="C96" s="4" t="s">
        <v>913</v>
      </c>
      <c r="D96" s="4" t="s">
        <v>551</v>
      </c>
      <c r="E96" s="5">
        <v>-34800</v>
      </c>
      <c r="F96" s="6">
        <v>-315.14879999999999</v>
      </c>
      <c r="G96" s="7">
        <v>-1.946817E-3</v>
      </c>
      <c r="H96" s="49"/>
    </row>
    <row r="97" spans="1:8" ht="25.5" x14ac:dyDescent="0.2">
      <c r="A97" s="3">
        <v>10</v>
      </c>
      <c r="B97" s="4"/>
      <c r="C97" s="4" t="s">
        <v>930</v>
      </c>
      <c r="D97" s="4" t="s">
        <v>551</v>
      </c>
      <c r="E97" s="5">
        <v>-144000</v>
      </c>
      <c r="F97" s="6">
        <v>-384.40800000000002</v>
      </c>
      <c r="G97" s="7">
        <v>-2.3746629999999999E-3</v>
      </c>
      <c r="H97" s="49"/>
    </row>
    <row r="98" spans="1:8" ht="25.5" x14ac:dyDescent="0.2">
      <c r="A98" s="3">
        <v>11</v>
      </c>
      <c r="B98" s="4"/>
      <c r="C98" s="4" t="s">
        <v>931</v>
      </c>
      <c r="D98" s="4" t="s">
        <v>551</v>
      </c>
      <c r="E98" s="5">
        <v>-296000</v>
      </c>
      <c r="F98" s="6">
        <v>-424.61200000000002</v>
      </c>
      <c r="G98" s="7">
        <v>-2.6230210000000001E-3</v>
      </c>
      <c r="H98" s="49"/>
    </row>
    <row r="99" spans="1:8" ht="25.5" x14ac:dyDescent="0.2">
      <c r="A99" s="3">
        <v>12</v>
      </c>
      <c r="B99" s="4"/>
      <c r="C99" s="4" t="s">
        <v>920</v>
      </c>
      <c r="D99" s="4" t="s">
        <v>551</v>
      </c>
      <c r="E99" s="5">
        <v>-17100</v>
      </c>
      <c r="F99" s="6">
        <v>-461.33235000000002</v>
      </c>
      <c r="G99" s="7">
        <v>-2.8498590000000002E-3</v>
      </c>
      <c r="H99" s="49"/>
    </row>
    <row r="100" spans="1:8" x14ac:dyDescent="0.2">
      <c r="A100" s="3">
        <v>13</v>
      </c>
      <c r="B100" s="4"/>
      <c r="C100" s="4" t="s">
        <v>932</v>
      </c>
      <c r="D100" s="4" t="s">
        <v>551</v>
      </c>
      <c r="E100" s="5">
        <v>-7100</v>
      </c>
      <c r="F100" s="6">
        <v>-506.62405000000001</v>
      </c>
      <c r="G100" s="7">
        <v>-3.1296470000000002E-3</v>
      </c>
      <c r="H100" s="49"/>
    </row>
    <row r="101" spans="1:8" x14ac:dyDescent="0.2">
      <c r="A101" s="3">
        <v>14</v>
      </c>
      <c r="B101" s="4"/>
      <c r="C101" s="4" t="s">
        <v>915</v>
      </c>
      <c r="D101" s="4" t="s">
        <v>551</v>
      </c>
      <c r="E101" s="5">
        <v>-68750</v>
      </c>
      <c r="F101" s="6">
        <v>-644.80624999999998</v>
      </c>
      <c r="G101" s="7">
        <v>-3.9832610000000001E-3</v>
      </c>
      <c r="H101" s="49"/>
    </row>
    <row r="102" spans="1:8" ht="25.5" x14ac:dyDescent="0.2">
      <c r="A102" s="3">
        <v>15</v>
      </c>
      <c r="B102" s="4"/>
      <c r="C102" s="4" t="s">
        <v>905</v>
      </c>
      <c r="D102" s="4" t="s">
        <v>551</v>
      </c>
      <c r="E102" s="5">
        <v>-128700</v>
      </c>
      <c r="F102" s="6">
        <v>-763.51274999999998</v>
      </c>
      <c r="G102" s="7">
        <v>-4.7165649999999998E-3</v>
      </c>
      <c r="H102" s="49"/>
    </row>
    <row r="103" spans="1:8" x14ac:dyDescent="0.2">
      <c r="A103" s="3">
        <v>16</v>
      </c>
      <c r="B103" s="4"/>
      <c r="C103" s="4" t="s">
        <v>918</v>
      </c>
      <c r="D103" s="4" t="s">
        <v>551</v>
      </c>
      <c r="E103" s="5">
        <v>-12250</v>
      </c>
      <c r="F103" s="6">
        <v>-830.61737500000004</v>
      </c>
      <c r="G103" s="7">
        <v>-5.1311009999999999E-3</v>
      </c>
      <c r="H103" s="49"/>
    </row>
    <row r="104" spans="1:8" x14ac:dyDescent="0.2">
      <c r="A104" s="3">
        <v>17</v>
      </c>
      <c r="B104" s="4"/>
      <c r="C104" s="4" t="s">
        <v>908</v>
      </c>
      <c r="D104" s="4" t="s">
        <v>551</v>
      </c>
      <c r="E104" s="5">
        <v>-30600</v>
      </c>
      <c r="F104" s="6">
        <v>-978.84810000000004</v>
      </c>
      <c r="G104" s="7">
        <v>-6.0467890000000003E-3</v>
      </c>
      <c r="H104" s="49"/>
    </row>
    <row r="105" spans="1:8" ht="25.5" x14ac:dyDescent="0.2">
      <c r="A105" s="3">
        <v>18</v>
      </c>
      <c r="B105" s="4"/>
      <c r="C105" s="4" t="s">
        <v>933</v>
      </c>
      <c r="D105" s="4" t="s">
        <v>551</v>
      </c>
      <c r="E105" s="5">
        <v>-22500</v>
      </c>
      <c r="F105" s="6">
        <v>-983.3175</v>
      </c>
      <c r="G105" s="7">
        <v>-6.0743990000000003E-3</v>
      </c>
      <c r="H105" s="49"/>
    </row>
    <row r="106" spans="1:8" x14ac:dyDescent="0.2">
      <c r="A106" s="3">
        <v>19</v>
      </c>
      <c r="B106" s="4"/>
      <c r="C106" s="4" t="s">
        <v>922</v>
      </c>
      <c r="D106" s="4" t="s">
        <v>551</v>
      </c>
      <c r="E106" s="5">
        <v>-137500</v>
      </c>
      <c r="F106" s="6">
        <v>-1317.25</v>
      </c>
      <c r="G106" s="7">
        <v>-8.1372519999999993E-3</v>
      </c>
      <c r="H106" s="49"/>
    </row>
    <row r="107" spans="1:8" ht="25.5" x14ac:dyDescent="0.2">
      <c r="A107" s="3">
        <v>20</v>
      </c>
      <c r="B107" s="4"/>
      <c r="C107" s="4" t="s">
        <v>934</v>
      </c>
      <c r="D107" s="4" t="s">
        <v>551</v>
      </c>
      <c r="E107" s="5">
        <v>-150000</v>
      </c>
      <c r="F107" s="6">
        <v>-1330.875</v>
      </c>
      <c r="G107" s="7">
        <v>-8.2214190000000006E-3</v>
      </c>
      <c r="H107" s="49"/>
    </row>
    <row r="108" spans="1:8" ht="25.5" x14ac:dyDescent="0.2">
      <c r="A108" s="3">
        <v>21</v>
      </c>
      <c r="B108" s="4"/>
      <c r="C108" s="4" t="s">
        <v>916</v>
      </c>
      <c r="D108" s="4" t="s">
        <v>551</v>
      </c>
      <c r="E108" s="5">
        <v>-65100</v>
      </c>
      <c r="F108" s="6">
        <v>-1761.9965999999999</v>
      </c>
      <c r="G108" s="7">
        <v>-1.0884652999999999E-2</v>
      </c>
      <c r="H108" s="49"/>
    </row>
    <row r="109" spans="1:8" ht="25.5" x14ac:dyDescent="0.2">
      <c r="A109" s="3">
        <v>22</v>
      </c>
      <c r="B109" s="4"/>
      <c r="C109" s="4" t="s">
        <v>935</v>
      </c>
      <c r="D109" s="4" t="s">
        <v>551</v>
      </c>
      <c r="E109" s="5">
        <v>-393450</v>
      </c>
      <c r="F109" s="6">
        <v>-1783.1153999999999</v>
      </c>
      <c r="G109" s="7">
        <v>-1.1015113999999999E-2</v>
      </c>
      <c r="H109" s="49"/>
    </row>
    <row r="110" spans="1:8" x14ac:dyDescent="0.2">
      <c r="A110" s="3">
        <v>23</v>
      </c>
      <c r="B110" s="4"/>
      <c r="C110" s="4" t="s">
        <v>919</v>
      </c>
      <c r="D110" s="4" t="s">
        <v>551</v>
      </c>
      <c r="E110" s="5">
        <v>-213600</v>
      </c>
      <c r="F110" s="6">
        <v>-3515.6424000000002</v>
      </c>
      <c r="G110" s="7">
        <v>-2.1717719999999999E-2</v>
      </c>
      <c r="H110" s="49"/>
    </row>
    <row r="111" spans="1:8" x14ac:dyDescent="0.2">
      <c r="A111" s="3">
        <v>24</v>
      </c>
      <c r="B111" s="4"/>
      <c r="C111" s="4" t="s">
        <v>923</v>
      </c>
      <c r="D111" s="4" t="s">
        <v>551</v>
      </c>
      <c r="E111" s="5">
        <v>-267300</v>
      </c>
      <c r="F111" s="6">
        <v>-4335.8733000000002</v>
      </c>
      <c r="G111" s="7">
        <v>-2.6784658999999999E-2</v>
      </c>
      <c r="H111" s="49"/>
    </row>
    <row r="112" spans="1:8" x14ac:dyDescent="0.2">
      <c r="A112" s="3">
        <v>25</v>
      </c>
      <c r="B112" s="4"/>
      <c r="C112" s="4" t="s">
        <v>936</v>
      </c>
      <c r="D112" s="4" t="s">
        <v>827</v>
      </c>
      <c r="E112" s="5">
        <v>-40000</v>
      </c>
      <c r="F112" s="6">
        <v>-7549.8</v>
      </c>
      <c r="G112" s="7">
        <v>-4.6638543999999997E-2</v>
      </c>
      <c r="H112" s="49"/>
    </row>
    <row r="113" spans="1:8" ht="14.1" customHeight="1" x14ac:dyDescent="0.2">
      <c r="A113" s="1"/>
      <c r="B113" s="1"/>
      <c r="C113" s="2" t="s">
        <v>130</v>
      </c>
      <c r="D113" s="1"/>
      <c r="E113" s="1" t="s">
        <v>131</v>
      </c>
      <c r="F113" s="9">
        <v>-28519.250400000001</v>
      </c>
      <c r="G113" s="10">
        <v>-0.17617636199999998</v>
      </c>
      <c r="H113" s="49"/>
    </row>
    <row r="114" spans="1:8" ht="14.1" customHeight="1" x14ac:dyDescent="0.2">
      <c r="A114" s="1"/>
      <c r="B114" s="1"/>
      <c r="C114" s="11"/>
      <c r="D114" s="1"/>
      <c r="E114" s="1"/>
      <c r="F114" s="12"/>
      <c r="G114" s="12"/>
      <c r="H114" s="49"/>
    </row>
    <row r="115" spans="1:8" ht="18" customHeight="1" x14ac:dyDescent="0.2">
      <c r="A115" s="1"/>
      <c r="B115" s="1"/>
      <c r="C115" s="2" t="s">
        <v>137</v>
      </c>
      <c r="D115" s="1"/>
      <c r="E115" s="1"/>
      <c r="F115" s="9">
        <f>128844.198193+F88</f>
        <v>129613.398193</v>
      </c>
      <c r="G115" s="10">
        <f>79.5929132%+G88</f>
        <v>0.8006808299999999</v>
      </c>
      <c r="H115" s="49"/>
    </row>
    <row r="116" spans="1:8" ht="14.1" customHeight="1" x14ac:dyDescent="0.2">
      <c r="A116" s="1"/>
      <c r="B116" s="1"/>
      <c r="C116" s="11"/>
      <c r="D116" s="1"/>
      <c r="E116" s="1"/>
      <c r="F116" s="12"/>
      <c r="G116" s="12"/>
      <c r="H116" s="49"/>
    </row>
    <row r="117" spans="1:8" ht="14.1" customHeight="1" x14ac:dyDescent="0.2">
      <c r="A117" s="1"/>
      <c r="B117" s="1"/>
      <c r="C117" s="2" t="s">
        <v>138</v>
      </c>
      <c r="D117" s="1"/>
      <c r="E117" s="1"/>
      <c r="F117" s="12"/>
      <c r="G117" s="12"/>
      <c r="H117" s="49"/>
    </row>
    <row r="118" spans="1:8" ht="24" customHeight="1" x14ac:dyDescent="0.2">
      <c r="A118" s="1"/>
      <c r="B118" s="1"/>
      <c r="C118" s="2" t="s">
        <v>10</v>
      </c>
      <c r="D118" s="1"/>
      <c r="E118" s="1"/>
      <c r="F118" s="12"/>
      <c r="G118" s="12"/>
      <c r="H118" s="49"/>
    </row>
    <row r="119" spans="1:8" ht="29.1" customHeight="1" x14ac:dyDescent="0.2">
      <c r="A119" s="3">
        <v>1</v>
      </c>
      <c r="B119" s="4" t="s">
        <v>828</v>
      </c>
      <c r="C119" s="4" t="s">
        <v>829</v>
      </c>
      <c r="D119" s="4" t="s">
        <v>581</v>
      </c>
      <c r="E119" s="5">
        <v>250</v>
      </c>
      <c r="F119" s="6">
        <v>2444.5425</v>
      </c>
      <c r="G119" s="7">
        <v>1.5101049E-2</v>
      </c>
      <c r="H119" s="49">
        <v>7.4</v>
      </c>
    </row>
    <row r="120" spans="1:8" ht="29.1" customHeight="1" x14ac:dyDescent="0.2">
      <c r="A120" s="3">
        <v>2</v>
      </c>
      <c r="B120" s="4" t="s">
        <v>830</v>
      </c>
      <c r="C120" s="4" t="s">
        <v>831</v>
      </c>
      <c r="D120" s="4" t="s">
        <v>581</v>
      </c>
      <c r="E120" s="5">
        <v>100</v>
      </c>
      <c r="F120" s="6">
        <v>999.904</v>
      </c>
      <c r="G120" s="7">
        <v>6.1768609999999996E-3</v>
      </c>
      <c r="H120" s="49">
        <v>7.7</v>
      </c>
    </row>
    <row r="121" spans="1:8" ht="29.1" customHeight="1" x14ac:dyDescent="0.2">
      <c r="A121" s="3">
        <v>3</v>
      </c>
      <c r="B121" s="4" t="s">
        <v>832</v>
      </c>
      <c r="C121" s="4" t="s">
        <v>833</v>
      </c>
      <c r="D121" s="4" t="s">
        <v>581</v>
      </c>
      <c r="E121" s="5">
        <v>100</v>
      </c>
      <c r="F121" s="6">
        <v>999.30600000000004</v>
      </c>
      <c r="G121" s="7">
        <v>6.1731670000000002E-3</v>
      </c>
      <c r="H121" s="49">
        <v>6.95</v>
      </c>
    </row>
    <row r="122" spans="1:8" ht="17.100000000000001" customHeight="1" x14ac:dyDescent="0.2">
      <c r="A122" s="3">
        <v>4</v>
      </c>
      <c r="B122" s="4" t="s">
        <v>834</v>
      </c>
      <c r="C122" s="4" t="s">
        <v>835</v>
      </c>
      <c r="D122" s="4" t="s">
        <v>581</v>
      </c>
      <c r="E122" s="5">
        <v>100</v>
      </c>
      <c r="F122" s="6">
        <v>997.65899999999999</v>
      </c>
      <c r="G122" s="7">
        <v>6.1629930000000003E-3</v>
      </c>
      <c r="H122" s="49">
        <v>7.24</v>
      </c>
    </row>
    <row r="123" spans="1:8" ht="29.1" customHeight="1" x14ac:dyDescent="0.2">
      <c r="A123" s="3">
        <v>5</v>
      </c>
      <c r="B123" s="4" t="s">
        <v>836</v>
      </c>
      <c r="C123" s="4" t="s">
        <v>837</v>
      </c>
      <c r="D123" s="4" t="s">
        <v>767</v>
      </c>
      <c r="E123" s="5">
        <v>100</v>
      </c>
      <c r="F123" s="6">
        <v>997.03899999999999</v>
      </c>
      <c r="G123" s="7">
        <v>6.1591629999999996E-3</v>
      </c>
      <c r="H123" s="49">
        <v>7.24</v>
      </c>
    </row>
    <row r="124" spans="1:8" ht="17.100000000000001" customHeight="1" x14ac:dyDescent="0.2">
      <c r="A124" s="3">
        <v>6</v>
      </c>
      <c r="B124" s="4" t="s">
        <v>838</v>
      </c>
      <c r="C124" s="4" t="s">
        <v>839</v>
      </c>
      <c r="D124" s="4" t="s">
        <v>581</v>
      </c>
      <c r="E124" s="5">
        <v>100</v>
      </c>
      <c r="F124" s="6">
        <v>985.91099999999994</v>
      </c>
      <c r="G124" s="7">
        <v>6.09042E-3</v>
      </c>
      <c r="H124" s="49">
        <v>7.42</v>
      </c>
    </row>
    <row r="125" spans="1:8" ht="29.1" customHeight="1" x14ac:dyDescent="0.2">
      <c r="A125" s="3">
        <v>7</v>
      </c>
      <c r="B125" s="4" t="s">
        <v>601</v>
      </c>
      <c r="C125" s="4" t="s">
        <v>602</v>
      </c>
      <c r="D125" s="4" t="s">
        <v>603</v>
      </c>
      <c r="E125" s="5">
        <v>100</v>
      </c>
      <c r="F125" s="6">
        <v>984.48599999999999</v>
      </c>
      <c r="G125" s="7">
        <v>6.0816170000000001E-3</v>
      </c>
      <c r="H125" s="49">
        <v>7.5774999999999997</v>
      </c>
    </row>
    <row r="126" spans="1:8" ht="29.1" customHeight="1" x14ac:dyDescent="0.2">
      <c r="A126" s="3">
        <v>8</v>
      </c>
      <c r="B126" s="4" t="s">
        <v>840</v>
      </c>
      <c r="C126" s="4" t="s">
        <v>841</v>
      </c>
      <c r="D126" s="4" t="s">
        <v>581</v>
      </c>
      <c r="E126" s="5">
        <v>50</v>
      </c>
      <c r="F126" s="6">
        <v>499.87349999999998</v>
      </c>
      <c r="G126" s="7">
        <v>3.0879459999999998E-3</v>
      </c>
      <c r="H126" s="49">
        <v>7.18</v>
      </c>
    </row>
    <row r="127" spans="1:8" ht="29.1" customHeight="1" x14ac:dyDescent="0.2">
      <c r="A127" s="3">
        <v>9</v>
      </c>
      <c r="B127" s="4" t="s">
        <v>842</v>
      </c>
      <c r="C127" s="4" t="s">
        <v>843</v>
      </c>
      <c r="D127" s="4" t="s">
        <v>581</v>
      </c>
      <c r="E127" s="5">
        <v>50</v>
      </c>
      <c r="F127" s="6">
        <v>498.78199999999998</v>
      </c>
      <c r="G127" s="7">
        <v>3.0812029999999998E-3</v>
      </c>
      <c r="H127" s="49">
        <v>7.21</v>
      </c>
    </row>
    <row r="128" spans="1:8" ht="29.1" customHeight="1" x14ac:dyDescent="0.2">
      <c r="A128" s="3">
        <v>10</v>
      </c>
      <c r="B128" s="4" t="s">
        <v>844</v>
      </c>
      <c r="C128" s="4" t="s">
        <v>845</v>
      </c>
      <c r="D128" s="4" t="s">
        <v>767</v>
      </c>
      <c r="E128" s="5">
        <v>50</v>
      </c>
      <c r="F128" s="6">
        <v>496.35199999999998</v>
      </c>
      <c r="G128" s="7">
        <v>3.0661920000000001E-3</v>
      </c>
      <c r="H128" s="49">
        <v>7.3949999999999996</v>
      </c>
    </row>
    <row r="129" spans="1:8" ht="29.1" customHeight="1" x14ac:dyDescent="0.2">
      <c r="A129" s="3">
        <v>11</v>
      </c>
      <c r="B129" s="4" t="s">
        <v>772</v>
      </c>
      <c r="C129" s="4" t="s">
        <v>773</v>
      </c>
      <c r="D129" s="4" t="s">
        <v>581</v>
      </c>
      <c r="E129" s="5">
        <v>30</v>
      </c>
      <c r="F129" s="6">
        <v>290.12700000000001</v>
      </c>
      <c r="G129" s="7">
        <v>1.7922459999999999E-3</v>
      </c>
      <c r="H129" s="49">
        <v>7.4450000000000003</v>
      </c>
    </row>
    <row r="130" spans="1:8" ht="29.1" customHeight="1" x14ac:dyDescent="0.2">
      <c r="A130" s="3">
        <v>12</v>
      </c>
      <c r="B130" s="4" t="s">
        <v>606</v>
      </c>
      <c r="C130" s="4" t="s">
        <v>607</v>
      </c>
      <c r="D130" s="4" t="s">
        <v>581</v>
      </c>
      <c r="E130" s="5">
        <v>10</v>
      </c>
      <c r="F130" s="6">
        <v>100.9945</v>
      </c>
      <c r="G130" s="7">
        <v>6.2388899999999998E-4</v>
      </c>
      <c r="H130" s="49">
        <v>7.41</v>
      </c>
    </row>
    <row r="131" spans="1:8" ht="17.100000000000001" customHeight="1" x14ac:dyDescent="0.2">
      <c r="A131" s="3">
        <v>13</v>
      </c>
      <c r="B131" s="4" t="s">
        <v>608</v>
      </c>
      <c r="C131" s="4" t="s">
        <v>609</v>
      </c>
      <c r="D131" s="4" t="s">
        <v>581</v>
      </c>
      <c r="E131" s="5">
        <v>10</v>
      </c>
      <c r="F131" s="6">
        <v>100.3954</v>
      </c>
      <c r="G131" s="7">
        <v>6.2018800000000003E-4</v>
      </c>
      <c r="H131" s="49">
        <v>7.19</v>
      </c>
    </row>
    <row r="132" spans="1:8" ht="14.1" customHeight="1" x14ac:dyDescent="0.2">
      <c r="A132" s="1"/>
      <c r="B132" s="1"/>
      <c r="C132" s="2" t="s">
        <v>130</v>
      </c>
      <c r="D132" s="1"/>
      <c r="E132" s="1" t="s">
        <v>131</v>
      </c>
      <c r="F132" s="9">
        <v>10395.3719</v>
      </c>
      <c r="G132" s="10">
        <v>6.4216934000000003E-2</v>
      </c>
      <c r="H132" s="49"/>
    </row>
    <row r="133" spans="1:8" ht="14.1" customHeight="1" x14ac:dyDescent="0.2">
      <c r="A133" s="1"/>
      <c r="B133" s="1"/>
      <c r="C133" s="11"/>
      <c r="D133" s="1"/>
      <c r="E133" s="1"/>
      <c r="F133" s="12"/>
      <c r="G133" s="12"/>
      <c r="H133" s="49"/>
    </row>
    <row r="134" spans="1:8" ht="14.1" customHeight="1" x14ac:dyDescent="0.2">
      <c r="A134" s="1"/>
      <c r="B134" s="1"/>
      <c r="C134" s="2" t="s">
        <v>139</v>
      </c>
      <c r="D134" s="1"/>
      <c r="E134" s="1"/>
      <c r="F134" s="1"/>
      <c r="G134" s="1"/>
      <c r="H134" s="49"/>
    </row>
    <row r="135" spans="1:8" ht="14.1" customHeight="1" x14ac:dyDescent="0.2">
      <c r="A135" s="1"/>
      <c r="B135" s="1"/>
      <c r="C135" s="2" t="s">
        <v>130</v>
      </c>
      <c r="D135" s="1"/>
      <c r="E135" s="1" t="s">
        <v>131</v>
      </c>
      <c r="F135" s="13">
        <v>0</v>
      </c>
      <c r="G135" s="14">
        <v>0</v>
      </c>
      <c r="H135" s="49"/>
    </row>
    <row r="136" spans="1:8" ht="14.1" customHeight="1" x14ac:dyDescent="0.2">
      <c r="A136" s="1"/>
      <c r="B136" s="1"/>
      <c r="C136" s="11"/>
      <c r="D136" s="1"/>
      <c r="E136" s="1"/>
      <c r="F136" s="12"/>
      <c r="G136" s="12"/>
      <c r="H136" s="49"/>
    </row>
    <row r="137" spans="1:8" ht="14.1" customHeight="1" x14ac:dyDescent="0.2">
      <c r="A137" s="1"/>
      <c r="B137" s="1"/>
      <c r="C137" s="2" t="s">
        <v>140</v>
      </c>
      <c r="D137" s="1"/>
      <c r="E137" s="1"/>
      <c r="F137" s="1"/>
      <c r="G137" s="1"/>
      <c r="H137" s="49"/>
    </row>
    <row r="138" spans="1:8" ht="29.1" customHeight="1" x14ac:dyDescent="0.2">
      <c r="A138" s="3">
        <v>1</v>
      </c>
      <c r="B138" s="4" t="s">
        <v>612</v>
      </c>
      <c r="C138" s="4" t="s">
        <v>613</v>
      </c>
      <c r="D138" s="4" t="s">
        <v>553</v>
      </c>
      <c r="E138" s="5">
        <v>2500000</v>
      </c>
      <c r="F138" s="6">
        <v>2400.25</v>
      </c>
      <c r="G138" s="7">
        <v>1.4827434E-2</v>
      </c>
      <c r="H138" s="49">
        <v>6.9602000000000004</v>
      </c>
    </row>
    <row r="139" spans="1:8" ht="29.1" customHeight="1" x14ac:dyDescent="0.2">
      <c r="A139" s="3">
        <v>2</v>
      </c>
      <c r="B139" s="4" t="s">
        <v>776</v>
      </c>
      <c r="C139" s="4" t="s">
        <v>777</v>
      </c>
      <c r="D139" s="4" t="s">
        <v>553</v>
      </c>
      <c r="E139" s="5">
        <v>2000000</v>
      </c>
      <c r="F139" s="6">
        <v>1994.57</v>
      </c>
      <c r="G139" s="7">
        <v>1.2321365000000001E-2</v>
      </c>
      <c r="H139" s="49">
        <v>6.8704000000000001</v>
      </c>
    </row>
    <row r="140" spans="1:8" ht="29.1" customHeight="1" x14ac:dyDescent="0.2">
      <c r="A140" s="3">
        <v>3</v>
      </c>
      <c r="B140" s="4" t="s">
        <v>785</v>
      </c>
      <c r="C140" s="4" t="s">
        <v>786</v>
      </c>
      <c r="D140" s="4" t="s">
        <v>553</v>
      </c>
      <c r="E140" s="5">
        <v>1500000</v>
      </c>
      <c r="F140" s="6">
        <v>1513.7925</v>
      </c>
      <c r="G140" s="7">
        <v>9.3513840000000008E-3</v>
      </c>
      <c r="H140" s="49">
        <v>7.1383000000000001</v>
      </c>
    </row>
    <row r="141" spans="1:8" ht="29.1" customHeight="1" x14ac:dyDescent="0.2">
      <c r="A141" s="3">
        <v>4</v>
      </c>
      <c r="B141" s="4" t="s">
        <v>780</v>
      </c>
      <c r="C141" s="4" t="s">
        <v>781</v>
      </c>
      <c r="D141" s="4" t="s">
        <v>553</v>
      </c>
      <c r="E141" s="5">
        <v>1000000</v>
      </c>
      <c r="F141" s="6">
        <v>953.69799999999998</v>
      </c>
      <c r="G141" s="7">
        <v>5.891426E-3</v>
      </c>
      <c r="H141" s="49">
        <v>7.1020000000000003</v>
      </c>
    </row>
    <row r="142" spans="1:8" ht="29.1" customHeight="1" x14ac:dyDescent="0.2">
      <c r="A142" s="3">
        <v>5</v>
      </c>
      <c r="B142" s="4" t="s">
        <v>846</v>
      </c>
      <c r="C142" s="4" t="s">
        <v>847</v>
      </c>
      <c r="D142" s="4" t="s">
        <v>553</v>
      </c>
      <c r="E142" s="5">
        <v>500000</v>
      </c>
      <c r="F142" s="6">
        <v>494.55099999999999</v>
      </c>
      <c r="G142" s="7">
        <v>3.0550659999999999E-3</v>
      </c>
      <c r="H142" s="49">
        <v>6.7375999999999996</v>
      </c>
    </row>
    <row r="143" spans="1:8" ht="39" customHeight="1" x14ac:dyDescent="0.2">
      <c r="A143" s="3">
        <v>6</v>
      </c>
      <c r="B143" s="4" t="s">
        <v>782</v>
      </c>
      <c r="C143" s="39" t="s">
        <v>898</v>
      </c>
      <c r="D143" s="4" t="s">
        <v>553</v>
      </c>
      <c r="E143" s="5">
        <v>500000</v>
      </c>
      <c r="F143" s="6">
        <v>493.01900000000001</v>
      </c>
      <c r="G143" s="7">
        <v>3.0456020000000001E-3</v>
      </c>
      <c r="H143" s="49">
        <v>7.0301260792772906</v>
      </c>
    </row>
    <row r="144" spans="1:8" ht="29.1" customHeight="1" x14ac:dyDescent="0.2">
      <c r="A144" s="3">
        <v>7</v>
      </c>
      <c r="B144" s="4" t="s">
        <v>789</v>
      </c>
      <c r="C144" s="4" t="s">
        <v>790</v>
      </c>
      <c r="D144" s="4" t="s">
        <v>553</v>
      </c>
      <c r="E144" s="5">
        <v>200000</v>
      </c>
      <c r="F144" s="6">
        <v>200.05500000000001</v>
      </c>
      <c r="G144" s="7">
        <v>1.235831E-3</v>
      </c>
      <c r="H144" s="49">
        <v>6.1852999999999998</v>
      </c>
    </row>
    <row r="145" spans="1:8" ht="29.1" customHeight="1" x14ac:dyDescent="0.2">
      <c r="A145" s="3">
        <v>8</v>
      </c>
      <c r="B145" s="4" t="s">
        <v>791</v>
      </c>
      <c r="C145" s="4" t="s">
        <v>792</v>
      </c>
      <c r="D145" s="4" t="s">
        <v>553</v>
      </c>
      <c r="E145" s="5">
        <v>100000</v>
      </c>
      <c r="F145" s="6">
        <v>102.20869999999999</v>
      </c>
      <c r="G145" s="7">
        <v>6.3139000000000001E-4</v>
      </c>
      <c r="H145" s="49">
        <v>7.2751999999999999</v>
      </c>
    </row>
    <row r="146" spans="1:8" ht="29.1" customHeight="1" x14ac:dyDescent="0.2">
      <c r="A146" s="3">
        <v>9</v>
      </c>
      <c r="B146" s="4" t="s">
        <v>793</v>
      </c>
      <c r="C146" s="4" t="s">
        <v>794</v>
      </c>
      <c r="D146" s="4" t="s">
        <v>553</v>
      </c>
      <c r="E146" s="5">
        <v>100000</v>
      </c>
      <c r="F146" s="6">
        <v>101.6754</v>
      </c>
      <c r="G146" s="7">
        <v>6.2809499999999996E-4</v>
      </c>
      <c r="H146" s="49">
        <v>7.2602000000000002</v>
      </c>
    </row>
    <row r="147" spans="1:8" ht="29.1" customHeight="1" x14ac:dyDescent="0.2">
      <c r="A147" s="3">
        <v>10</v>
      </c>
      <c r="B147" s="4" t="s">
        <v>795</v>
      </c>
      <c r="C147" s="4" t="s">
        <v>796</v>
      </c>
      <c r="D147" s="4" t="s">
        <v>553</v>
      </c>
      <c r="E147" s="5">
        <v>100000</v>
      </c>
      <c r="F147" s="6">
        <v>101.6</v>
      </c>
      <c r="G147" s="7">
        <v>6.2762899999999999E-4</v>
      </c>
      <c r="H147" s="49">
        <v>7.2496999999999998</v>
      </c>
    </row>
    <row r="148" spans="1:8" ht="14.1" customHeight="1" x14ac:dyDescent="0.2">
      <c r="A148" s="1"/>
      <c r="B148" s="1"/>
      <c r="C148" s="2" t="s">
        <v>130</v>
      </c>
      <c r="D148" s="1"/>
      <c r="E148" s="1" t="s">
        <v>131</v>
      </c>
      <c r="F148" s="9">
        <v>8355.4195999999993</v>
      </c>
      <c r="G148" s="10">
        <v>5.1615222000000002E-2</v>
      </c>
      <c r="H148" s="49"/>
    </row>
    <row r="149" spans="1:8" ht="14.1" customHeight="1" x14ac:dyDescent="0.2">
      <c r="A149" s="1"/>
      <c r="B149" s="1"/>
      <c r="C149" s="11"/>
      <c r="D149" s="1"/>
      <c r="E149" s="1"/>
      <c r="F149" s="12"/>
      <c r="G149" s="12"/>
      <c r="H149" s="49"/>
    </row>
    <row r="150" spans="1:8" ht="14.1" customHeight="1" x14ac:dyDescent="0.2">
      <c r="A150" s="1"/>
      <c r="B150" s="1"/>
      <c r="C150" s="2" t="s">
        <v>141</v>
      </c>
      <c r="D150" s="1"/>
      <c r="E150" s="1"/>
      <c r="F150" s="12"/>
      <c r="G150" s="12"/>
      <c r="H150" s="49"/>
    </row>
    <row r="151" spans="1:8" ht="14.1" customHeight="1" x14ac:dyDescent="0.2">
      <c r="A151" s="1"/>
      <c r="B151" s="1"/>
      <c r="C151" s="2" t="s">
        <v>130</v>
      </c>
      <c r="D151" s="1"/>
      <c r="E151" s="1" t="s">
        <v>131</v>
      </c>
      <c r="F151" s="13">
        <v>0</v>
      </c>
      <c r="G151" s="14">
        <v>0</v>
      </c>
      <c r="H151" s="49"/>
    </row>
    <row r="152" spans="1:8" ht="14.1" customHeight="1" x14ac:dyDescent="0.2">
      <c r="A152" s="1"/>
      <c r="B152" s="1"/>
      <c r="C152" s="11"/>
      <c r="D152" s="1"/>
      <c r="E152" s="1"/>
      <c r="F152" s="12"/>
      <c r="G152" s="12"/>
      <c r="H152" s="49"/>
    </row>
    <row r="153" spans="1:8" ht="14.1" customHeight="1" x14ac:dyDescent="0.2">
      <c r="A153" s="1"/>
      <c r="B153" s="1"/>
      <c r="C153" s="2" t="s">
        <v>142</v>
      </c>
      <c r="D153" s="1"/>
      <c r="E153" s="1"/>
      <c r="F153" s="9">
        <v>18750.791499999999</v>
      </c>
      <c r="G153" s="10">
        <v>0.11583215600000001</v>
      </c>
      <c r="H153" s="49"/>
    </row>
    <row r="154" spans="1:8" ht="14.1" customHeight="1" x14ac:dyDescent="0.2">
      <c r="A154" s="1"/>
      <c r="B154" s="1"/>
      <c r="C154" s="11"/>
      <c r="D154" s="1"/>
      <c r="E154" s="1"/>
      <c r="F154" s="12"/>
      <c r="G154" s="12"/>
      <c r="H154" s="49"/>
    </row>
    <row r="155" spans="1:8" ht="14.1" customHeight="1" x14ac:dyDescent="0.2">
      <c r="A155" s="1"/>
      <c r="B155" s="1"/>
      <c r="C155" s="2" t="s">
        <v>143</v>
      </c>
      <c r="D155" s="1"/>
      <c r="E155" s="1"/>
      <c r="F155" s="12"/>
      <c r="G155" s="12"/>
      <c r="H155" s="49"/>
    </row>
    <row r="156" spans="1:8" ht="14.1" customHeight="1" x14ac:dyDescent="0.2">
      <c r="A156" s="1"/>
      <c r="B156" s="1"/>
      <c r="C156" s="2" t="s">
        <v>144</v>
      </c>
      <c r="D156" s="1"/>
      <c r="E156" s="1"/>
      <c r="F156" s="12"/>
      <c r="G156" s="12"/>
      <c r="H156" s="49"/>
    </row>
    <row r="157" spans="1:8" ht="17.100000000000001" customHeight="1" x14ac:dyDescent="0.2">
      <c r="A157" s="3">
        <v>1</v>
      </c>
      <c r="B157" s="4" t="s">
        <v>848</v>
      </c>
      <c r="C157" s="4" t="s">
        <v>849</v>
      </c>
      <c r="D157" s="4" t="s">
        <v>799</v>
      </c>
      <c r="E157" s="5">
        <v>500</v>
      </c>
      <c r="F157" s="6">
        <v>2435.8724999999999</v>
      </c>
      <c r="G157" s="7">
        <v>1.5047491E-2</v>
      </c>
      <c r="H157" s="49">
        <v>7.2249999999999996</v>
      </c>
    </row>
    <row r="158" spans="1:8" ht="14.1" customHeight="1" x14ac:dyDescent="0.2">
      <c r="A158" s="1"/>
      <c r="B158" s="1"/>
      <c r="C158" s="2" t="s">
        <v>130</v>
      </c>
      <c r="D158" s="1"/>
      <c r="E158" s="1" t="s">
        <v>131</v>
      </c>
      <c r="F158" s="9">
        <v>2435.8724999999999</v>
      </c>
      <c r="G158" s="10">
        <v>1.5047491E-2</v>
      </c>
      <c r="H158" s="49"/>
    </row>
    <row r="159" spans="1:8" ht="14.1" customHeight="1" x14ac:dyDescent="0.2">
      <c r="A159" s="1"/>
      <c r="B159" s="1"/>
      <c r="C159" s="11"/>
      <c r="D159" s="1"/>
      <c r="E159" s="1"/>
      <c r="F159" s="12"/>
      <c r="G159" s="12"/>
      <c r="H159" s="49"/>
    </row>
    <row r="160" spans="1:8" ht="14.1" customHeight="1" x14ac:dyDescent="0.2">
      <c r="A160" s="1"/>
      <c r="B160" s="1"/>
      <c r="C160" s="2" t="s">
        <v>145</v>
      </c>
      <c r="D160" s="1"/>
      <c r="E160" s="1"/>
      <c r="F160" s="12"/>
      <c r="G160" s="12"/>
      <c r="H160" s="49"/>
    </row>
    <row r="161" spans="1:8" ht="14.1" customHeight="1" x14ac:dyDescent="0.2">
      <c r="A161" s="1"/>
      <c r="B161" s="1"/>
      <c r="C161" s="2" t="s">
        <v>130</v>
      </c>
      <c r="D161" s="1"/>
      <c r="E161" s="1" t="s">
        <v>131</v>
      </c>
      <c r="F161" s="13">
        <v>0</v>
      </c>
      <c r="G161" s="14">
        <v>0</v>
      </c>
      <c r="H161" s="49"/>
    </row>
    <row r="162" spans="1:8" ht="14.1" customHeight="1" x14ac:dyDescent="0.2">
      <c r="A162" s="1"/>
      <c r="B162" s="1"/>
      <c r="C162" s="11"/>
      <c r="D162" s="1"/>
      <c r="E162" s="1"/>
      <c r="F162" s="12"/>
      <c r="G162" s="12"/>
      <c r="H162" s="49"/>
    </row>
    <row r="163" spans="1:8" ht="14.1" customHeight="1" x14ac:dyDescent="0.2">
      <c r="A163" s="1"/>
      <c r="B163" s="1"/>
      <c r="C163" s="2" t="s">
        <v>146</v>
      </c>
      <c r="D163" s="1"/>
      <c r="E163" s="1"/>
      <c r="F163" s="12"/>
      <c r="G163" s="12"/>
      <c r="H163" s="49"/>
    </row>
    <row r="164" spans="1:8" ht="17.100000000000001" customHeight="1" x14ac:dyDescent="0.2">
      <c r="A164" s="3">
        <v>1</v>
      </c>
      <c r="B164" s="4" t="s">
        <v>815</v>
      </c>
      <c r="C164" s="4" t="s">
        <v>986</v>
      </c>
      <c r="D164" s="4" t="s">
        <v>553</v>
      </c>
      <c r="E164" s="5">
        <v>5000000</v>
      </c>
      <c r="F164" s="6">
        <v>4970.59</v>
      </c>
      <c r="G164" s="7">
        <v>3.0705592E-2</v>
      </c>
      <c r="H164" s="49">
        <v>6.17</v>
      </c>
    </row>
    <row r="165" spans="1:8" ht="14.1" customHeight="1" x14ac:dyDescent="0.2">
      <c r="A165" s="1"/>
      <c r="B165" s="1"/>
      <c r="C165" s="2" t="s">
        <v>130</v>
      </c>
      <c r="D165" s="1"/>
      <c r="E165" s="1" t="s">
        <v>131</v>
      </c>
      <c r="F165" s="9">
        <v>4970.59</v>
      </c>
      <c r="G165" s="10">
        <v>3.0705592E-2</v>
      </c>
      <c r="H165" s="49"/>
    </row>
    <row r="166" spans="1:8" ht="14.1" customHeight="1" x14ac:dyDescent="0.2">
      <c r="A166" s="1"/>
      <c r="B166" s="1"/>
      <c r="C166" s="11"/>
      <c r="D166" s="1"/>
      <c r="E166" s="1"/>
      <c r="F166" s="12"/>
      <c r="G166" s="12"/>
      <c r="H166" s="49"/>
    </row>
    <row r="167" spans="1:8" ht="14.1" customHeight="1" x14ac:dyDescent="0.2">
      <c r="A167" s="1"/>
      <c r="B167" s="1"/>
      <c r="C167" s="2" t="s">
        <v>147</v>
      </c>
      <c r="D167" s="1"/>
      <c r="E167" s="1"/>
      <c r="F167" s="12"/>
      <c r="G167" s="12"/>
      <c r="H167" s="49"/>
    </row>
    <row r="168" spans="1:8" ht="17.100000000000001" customHeight="1" x14ac:dyDescent="0.2">
      <c r="A168" s="3">
        <v>1</v>
      </c>
      <c r="B168" s="4"/>
      <c r="C168" s="4" t="s">
        <v>148</v>
      </c>
      <c r="D168" s="4"/>
      <c r="E168" s="8"/>
      <c r="F168" s="6">
        <v>3455.8022762999999</v>
      </c>
      <c r="G168" s="7">
        <v>2.1348059999999999E-2</v>
      </c>
      <c r="H168" s="49">
        <v>5.6572293145372496</v>
      </c>
    </row>
    <row r="169" spans="1:8" ht="14.1" customHeight="1" x14ac:dyDescent="0.2">
      <c r="A169" s="1"/>
      <c r="B169" s="1"/>
      <c r="C169" s="2" t="s">
        <v>130</v>
      </c>
      <c r="D169" s="1"/>
      <c r="E169" s="1" t="s">
        <v>131</v>
      </c>
      <c r="F169" s="9">
        <v>3455.8022762999999</v>
      </c>
      <c r="G169" s="10">
        <v>2.1348059999999999E-2</v>
      </c>
      <c r="H169" s="49"/>
    </row>
    <row r="170" spans="1:8" ht="14.1" customHeight="1" x14ac:dyDescent="0.2">
      <c r="A170" s="1"/>
      <c r="B170" s="1"/>
      <c r="C170" s="11"/>
      <c r="D170" s="1"/>
      <c r="E170" s="1"/>
      <c r="F170" s="12"/>
      <c r="G170" s="12"/>
      <c r="H170" s="49"/>
    </row>
    <row r="171" spans="1:8" ht="14.1" customHeight="1" x14ac:dyDescent="0.2">
      <c r="A171" s="1"/>
      <c r="B171" s="1"/>
      <c r="C171" s="2" t="s">
        <v>149</v>
      </c>
      <c r="D171" s="1"/>
      <c r="E171" s="1"/>
      <c r="F171" s="9">
        <v>10862.2647763</v>
      </c>
      <c r="G171" s="10">
        <v>6.7101143000000002E-2</v>
      </c>
      <c r="H171" s="49"/>
    </row>
    <row r="172" spans="1:8" ht="14.1" customHeight="1" x14ac:dyDescent="0.2">
      <c r="A172" s="1"/>
      <c r="B172" s="1"/>
      <c r="C172" s="12"/>
      <c r="D172" s="1"/>
      <c r="E172" s="1"/>
      <c r="F172" s="1"/>
      <c r="G172" s="1"/>
      <c r="H172" s="49"/>
    </row>
    <row r="173" spans="1:8" ht="14.1" customHeight="1" x14ac:dyDescent="0.2">
      <c r="A173" s="1"/>
      <c r="B173" s="1"/>
      <c r="C173" s="2" t="s">
        <v>150</v>
      </c>
      <c r="D173" s="1"/>
      <c r="E173" s="1"/>
      <c r="F173" s="1"/>
      <c r="G173" s="1"/>
      <c r="H173" s="49"/>
    </row>
    <row r="174" spans="1:8" ht="14.1" customHeight="1" x14ac:dyDescent="0.2">
      <c r="A174" s="1"/>
      <c r="B174" s="1"/>
      <c r="C174" s="2" t="s">
        <v>151</v>
      </c>
      <c r="D174" s="1"/>
      <c r="E174" s="1"/>
      <c r="F174" s="1"/>
      <c r="G174" s="1"/>
      <c r="H174" s="49"/>
    </row>
    <row r="175" spans="1:8" ht="14.1" customHeight="1" x14ac:dyDescent="0.2">
      <c r="A175" s="1"/>
      <c r="B175" s="1"/>
      <c r="C175" s="2" t="s">
        <v>130</v>
      </c>
      <c r="D175" s="1"/>
      <c r="E175" s="1" t="s">
        <v>131</v>
      </c>
      <c r="F175" s="13">
        <v>0</v>
      </c>
      <c r="G175" s="14">
        <v>0</v>
      </c>
      <c r="H175" s="49"/>
    </row>
    <row r="176" spans="1:8" ht="14.1" customHeight="1" x14ac:dyDescent="0.2">
      <c r="A176" s="1"/>
      <c r="B176" s="1"/>
      <c r="C176" s="11"/>
      <c r="D176" s="1"/>
      <c r="E176" s="1"/>
      <c r="F176" s="12"/>
      <c r="G176" s="12"/>
      <c r="H176" s="49"/>
    </row>
    <row r="177" spans="1:15" ht="14.1" customHeight="1" x14ac:dyDescent="0.2">
      <c r="A177" s="1"/>
      <c r="B177" s="1"/>
      <c r="C177" s="2" t="s">
        <v>152</v>
      </c>
      <c r="D177" s="1"/>
      <c r="E177" s="1"/>
      <c r="F177" s="1"/>
      <c r="G177" s="1"/>
      <c r="H177" s="49"/>
    </row>
    <row r="178" spans="1:15" ht="14.1" customHeight="1" x14ac:dyDescent="0.2">
      <c r="A178" s="1"/>
      <c r="B178" s="1"/>
      <c r="C178" s="2" t="s">
        <v>153</v>
      </c>
      <c r="D178" s="1"/>
      <c r="E178" s="1"/>
      <c r="F178" s="1"/>
      <c r="G178" s="1"/>
      <c r="H178" s="49"/>
    </row>
    <row r="179" spans="1:15" ht="14.1" customHeight="1" x14ac:dyDescent="0.2">
      <c r="A179" s="1"/>
      <c r="B179" s="1"/>
      <c r="C179" s="2" t="s">
        <v>130</v>
      </c>
      <c r="D179" s="1"/>
      <c r="E179" s="1" t="s">
        <v>131</v>
      </c>
      <c r="F179" s="13">
        <v>0</v>
      </c>
      <c r="G179" s="14">
        <v>0</v>
      </c>
      <c r="H179" s="49"/>
    </row>
    <row r="180" spans="1:15" ht="14.1" customHeight="1" x14ac:dyDescent="0.2">
      <c r="A180" s="1"/>
      <c r="B180" s="1"/>
      <c r="C180" s="11"/>
      <c r="D180" s="1"/>
      <c r="E180" s="1"/>
      <c r="F180" s="12"/>
      <c r="G180" s="12"/>
      <c r="H180" s="49"/>
    </row>
    <row r="181" spans="1:15" ht="24" customHeight="1" x14ac:dyDescent="0.2">
      <c r="A181" s="1"/>
      <c r="B181" s="1"/>
      <c r="C181" s="2" t="s">
        <v>154</v>
      </c>
      <c r="D181" s="1"/>
      <c r="E181" s="1"/>
      <c r="F181" s="12"/>
      <c r="G181" s="12"/>
      <c r="H181" s="49"/>
    </row>
    <row r="182" spans="1:15" ht="14.1" customHeight="1" x14ac:dyDescent="0.2">
      <c r="A182" s="1"/>
      <c r="B182" s="1"/>
      <c r="C182" s="2" t="s">
        <v>130</v>
      </c>
      <c r="D182" s="1"/>
      <c r="E182" s="1" t="s">
        <v>131</v>
      </c>
      <c r="F182" s="13">
        <v>0</v>
      </c>
      <c r="G182" s="14">
        <v>0</v>
      </c>
      <c r="H182" s="49"/>
    </row>
    <row r="183" spans="1:15" ht="14.1" customHeight="1" x14ac:dyDescent="0.2">
      <c r="A183" s="1"/>
      <c r="B183" s="1"/>
      <c r="C183" s="11"/>
      <c r="D183" s="1"/>
      <c r="E183" s="1"/>
      <c r="F183" s="12"/>
      <c r="G183" s="12"/>
      <c r="H183" s="49"/>
    </row>
    <row r="184" spans="1:15" ht="18" customHeight="1" x14ac:dyDescent="0.2">
      <c r="A184" s="8"/>
      <c r="B184" s="4"/>
      <c r="C184" s="4" t="s">
        <v>556</v>
      </c>
      <c r="D184" s="4"/>
      <c r="E184" s="8"/>
      <c r="F184" s="6">
        <v>3722.4033148000003</v>
      </c>
      <c r="G184" s="7">
        <v>2.2994975931506758E-2</v>
      </c>
      <c r="H184" s="49"/>
    </row>
    <row r="185" spans="1:15" ht="18" customHeight="1" x14ac:dyDescent="0.2">
      <c r="A185" s="8"/>
      <c r="B185" s="4"/>
      <c r="C185" s="4" t="s">
        <v>818</v>
      </c>
      <c r="D185" s="4"/>
      <c r="E185" s="8"/>
      <c r="F185" s="6">
        <v>-1069.874918989942</v>
      </c>
      <c r="G185" s="7">
        <v>-6.6091032946595891E-3</v>
      </c>
      <c r="H185" s="49"/>
    </row>
    <row r="186" spans="1:15" ht="14.1" customHeight="1" x14ac:dyDescent="0.2">
      <c r="A186" s="11"/>
      <c r="B186" s="11"/>
      <c r="C186" s="2" t="s">
        <v>156</v>
      </c>
      <c r="D186" s="12"/>
      <c r="E186" s="12"/>
      <c r="F186" s="212">
        <v>161878.98286511007</v>
      </c>
      <c r="G186" s="214">
        <v>1.0000000016368471</v>
      </c>
      <c r="H186" s="49"/>
    </row>
    <row r="187" spans="1:15" ht="14.1" customHeight="1" x14ac:dyDescent="0.2">
      <c r="A187" s="16"/>
      <c r="B187" s="16"/>
      <c r="C187" s="16"/>
      <c r="D187" s="17"/>
      <c r="E187" s="17"/>
      <c r="F187" s="17"/>
      <c r="G187" s="55"/>
    </row>
    <row r="188" spans="1:15" ht="17.100000000000001" customHeight="1" x14ac:dyDescent="0.2">
      <c r="A188" s="18"/>
      <c r="B188" s="327" t="s">
        <v>582</v>
      </c>
      <c r="C188" s="327"/>
      <c r="D188" s="327"/>
      <c r="E188" s="327"/>
      <c r="F188" s="327"/>
      <c r="G188" s="20"/>
    </row>
    <row r="189" spans="1:15" ht="17.100000000000001" customHeight="1" x14ac:dyDescent="0.2">
      <c r="A189" s="18"/>
      <c r="B189" s="327" t="s">
        <v>819</v>
      </c>
      <c r="C189" s="327"/>
      <c r="D189" s="327"/>
      <c r="E189" s="327"/>
      <c r="F189" s="327"/>
      <c r="G189" s="20"/>
    </row>
    <row r="190" spans="1:15" ht="17.100000000000001" customHeight="1" x14ac:dyDescent="0.2">
      <c r="A190" s="18"/>
      <c r="B190" s="356" t="s">
        <v>985</v>
      </c>
      <c r="C190" s="356"/>
      <c r="D190" s="356"/>
      <c r="E190" s="356"/>
      <c r="F190" s="356"/>
      <c r="G190" s="20"/>
    </row>
    <row r="191" spans="1:15" s="43" customFormat="1" ht="69.75" customHeight="1" x14ac:dyDescent="0.25">
      <c r="A191" s="40"/>
      <c r="B191" s="322" t="s">
        <v>899</v>
      </c>
      <c r="C191" s="322"/>
      <c r="D191" s="322"/>
      <c r="E191" s="322"/>
      <c r="F191" s="322"/>
      <c r="G191" s="41"/>
      <c r="H191"/>
      <c r="I191"/>
      <c r="J191"/>
      <c r="K191"/>
      <c r="L191"/>
      <c r="M191"/>
      <c r="N191"/>
      <c r="O191"/>
    </row>
    <row r="192" spans="1:15" ht="14.1" customHeight="1" x14ac:dyDescent="0.2">
      <c r="A192" s="18"/>
      <c r="B192" s="18"/>
      <c r="C192" s="18"/>
      <c r="D192" s="20"/>
      <c r="E192" s="20"/>
      <c r="F192" s="20"/>
      <c r="G192" s="20"/>
    </row>
    <row r="193" spans="1:9" ht="14.1" customHeight="1" x14ac:dyDescent="0.2">
      <c r="A193" s="18"/>
      <c r="B193" s="319" t="s">
        <v>158</v>
      </c>
      <c r="C193" s="357"/>
      <c r="D193" s="320"/>
      <c r="E193" s="21"/>
      <c r="F193" s="20"/>
      <c r="G193" s="20"/>
    </row>
    <row r="194" spans="1:9" ht="29.1" customHeight="1" x14ac:dyDescent="0.2">
      <c r="A194" s="18"/>
      <c r="B194" s="323" t="s">
        <v>159</v>
      </c>
      <c r="C194" s="324"/>
      <c r="D194" s="2" t="s">
        <v>160</v>
      </c>
      <c r="E194" s="21"/>
      <c r="F194" s="20"/>
      <c r="G194" s="20"/>
    </row>
    <row r="195" spans="1:9" ht="17.100000000000001" customHeight="1" x14ac:dyDescent="0.2">
      <c r="A195" s="18"/>
      <c r="B195" s="323" t="s">
        <v>161</v>
      </c>
      <c r="C195" s="324"/>
      <c r="D195" s="2" t="s">
        <v>160</v>
      </c>
      <c r="E195" s="21"/>
      <c r="F195" s="20"/>
      <c r="G195" s="20"/>
    </row>
    <row r="196" spans="1:9" ht="17.100000000000001" customHeight="1" x14ac:dyDescent="0.2">
      <c r="A196" s="18"/>
      <c r="B196" s="323" t="s">
        <v>162</v>
      </c>
      <c r="C196" s="324"/>
      <c r="D196" s="12" t="s">
        <v>131</v>
      </c>
      <c r="E196" s="21"/>
      <c r="F196" s="20"/>
      <c r="G196" s="20"/>
    </row>
    <row r="197" spans="1:9" ht="24" customHeight="1" x14ac:dyDescent="0.2">
      <c r="A197" s="22"/>
      <c r="B197" s="23" t="s">
        <v>131</v>
      </c>
      <c r="C197" s="23" t="s">
        <v>163</v>
      </c>
      <c r="D197" s="23" t="s">
        <v>164</v>
      </c>
      <c r="E197" s="22"/>
      <c r="F197" s="22"/>
      <c r="G197" s="22"/>
    </row>
    <row r="198" spans="1:9" ht="18" customHeight="1" x14ac:dyDescent="0.2">
      <c r="A198" s="22"/>
      <c r="B198" s="29" t="s">
        <v>165</v>
      </c>
      <c r="C198" s="23" t="s">
        <v>166</v>
      </c>
      <c r="D198" s="23" t="s">
        <v>167</v>
      </c>
      <c r="E198" s="22"/>
      <c r="F198" s="22"/>
      <c r="G198" s="22"/>
    </row>
    <row r="199" spans="1:9" ht="17.100000000000001" customHeight="1" x14ac:dyDescent="0.2">
      <c r="A199" s="22"/>
      <c r="B199" s="4" t="s">
        <v>168</v>
      </c>
      <c r="C199" s="30">
        <v>29.731200000000001</v>
      </c>
      <c r="D199" s="30">
        <v>30.3904</v>
      </c>
      <c r="E199" s="22"/>
      <c r="F199" s="19"/>
      <c r="G199" s="25"/>
    </row>
    <row r="200" spans="1:9" ht="29.1" customHeight="1" x14ac:dyDescent="0.2">
      <c r="A200" s="22"/>
      <c r="B200" s="4" t="s">
        <v>1026</v>
      </c>
      <c r="C200" s="30">
        <v>16.877800000000001</v>
      </c>
      <c r="D200" s="30">
        <v>17.251899999999999</v>
      </c>
      <c r="E200" s="22"/>
      <c r="F200" s="19"/>
      <c r="G200" s="25"/>
    </row>
    <row r="201" spans="1:9" ht="17.100000000000001" customHeight="1" x14ac:dyDescent="0.2">
      <c r="A201" s="22"/>
      <c r="B201" s="4" t="s">
        <v>169</v>
      </c>
      <c r="C201" s="30">
        <v>26.367799999999999</v>
      </c>
      <c r="D201" s="30">
        <v>26.917899999999999</v>
      </c>
      <c r="E201" s="22"/>
      <c r="F201" s="19"/>
      <c r="G201" s="25"/>
    </row>
    <row r="202" spans="1:9" ht="29.1" customHeight="1" x14ac:dyDescent="0.2">
      <c r="A202" s="22"/>
      <c r="B202" s="4" t="s">
        <v>1028</v>
      </c>
      <c r="C202" s="30">
        <v>14.361599999999999</v>
      </c>
      <c r="D202" s="30">
        <v>14.661199999999999</v>
      </c>
      <c r="E202" s="22"/>
      <c r="F202" s="19"/>
      <c r="G202" s="25"/>
    </row>
    <row r="203" spans="1:9" ht="14.1" customHeight="1" x14ac:dyDescent="0.2">
      <c r="A203" s="22"/>
      <c r="B203" s="22"/>
      <c r="C203" s="22"/>
      <c r="D203" s="22"/>
      <c r="E203" s="22"/>
      <c r="F203" s="22"/>
      <c r="G203" s="22"/>
    </row>
    <row r="204" spans="1:9" ht="17.100000000000001" customHeight="1" x14ac:dyDescent="0.2">
      <c r="A204" s="22"/>
      <c r="B204" s="323" t="s">
        <v>1023</v>
      </c>
      <c r="C204" s="324"/>
      <c r="D204" s="2" t="s">
        <v>160</v>
      </c>
      <c r="E204" s="22"/>
      <c r="F204" s="22"/>
      <c r="G204" s="22"/>
    </row>
    <row r="205" spans="1:9" ht="18" customHeight="1" x14ac:dyDescent="0.2">
      <c r="A205" s="22"/>
      <c r="B205" s="28"/>
      <c r="C205" s="28"/>
      <c r="D205" s="28"/>
      <c r="E205" s="22"/>
      <c r="F205" s="22"/>
      <c r="G205" s="22"/>
    </row>
    <row r="206" spans="1:9" ht="29.1" customHeight="1" x14ac:dyDescent="0.2">
      <c r="A206" s="22"/>
      <c r="B206" s="328" t="s">
        <v>170</v>
      </c>
      <c r="C206" s="329"/>
      <c r="D206" s="57" t="s">
        <v>976</v>
      </c>
      <c r="E206" s="31"/>
      <c r="F206" s="22"/>
      <c r="G206" s="22"/>
      <c r="I206" s="50"/>
    </row>
    <row r="207" spans="1:9" ht="29.1" customHeight="1" x14ac:dyDescent="0.2">
      <c r="A207" s="22"/>
      <c r="B207" s="328" t="s">
        <v>171</v>
      </c>
      <c r="C207" s="329"/>
      <c r="D207" s="2" t="s">
        <v>160</v>
      </c>
      <c r="E207" s="31"/>
      <c r="F207" s="22"/>
      <c r="G207" s="22"/>
    </row>
    <row r="208" spans="1:9" ht="17.100000000000001" customHeight="1" x14ac:dyDescent="0.2">
      <c r="A208" s="22"/>
      <c r="B208" s="354" t="s">
        <v>978</v>
      </c>
      <c r="C208" s="355"/>
      <c r="D208" s="32">
        <v>1.0603171236273212</v>
      </c>
      <c r="E208" s="31"/>
      <c r="F208" s="22"/>
      <c r="G208" s="22"/>
    </row>
    <row r="209" spans="1:7" ht="17.100000000000001" customHeight="1" x14ac:dyDescent="0.2">
      <c r="A209" s="22"/>
      <c r="B209" s="354" t="s">
        <v>979</v>
      </c>
      <c r="C209" s="355"/>
      <c r="D209" s="32">
        <v>0.89396709964765364</v>
      </c>
      <c r="E209" s="31"/>
      <c r="F209" s="22"/>
      <c r="G209" s="22"/>
    </row>
    <row r="210" spans="1:7" ht="17.100000000000001" customHeight="1" x14ac:dyDescent="0.2">
      <c r="A210" s="22"/>
      <c r="B210" s="328" t="s">
        <v>980</v>
      </c>
      <c r="C210" s="329"/>
      <c r="D210" s="27">
        <v>2.9800175973064094</v>
      </c>
      <c r="E210" s="22"/>
      <c r="F210" s="19"/>
      <c r="G210" s="25"/>
    </row>
    <row r="211" spans="1:7" ht="17.100000000000001" customHeight="1" x14ac:dyDescent="0.2">
      <c r="A211" s="22"/>
      <c r="B211" s="328" t="s">
        <v>981</v>
      </c>
      <c r="C211" s="329"/>
      <c r="D211" s="2" t="s">
        <v>160</v>
      </c>
      <c r="E211" s="31"/>
      <c r="F211" s="22"/>
      <c r="G211" s="22"/>
    </row>
    <row r="212" spans="1:7" ht="11.1" customHeight="1" x14ac:dyDescent="0.2">
      <c r="A212" s="28"/>
      <c r="B212" s="28"/>
      <c r="C212" s="28"/>
      <c r="D212" s="28"/>
      <c r="E212" s="28"/>
      <c r="F212" s="28"/>
      <c r="G212" s="28"/>
    </row>
  </sheetData>
  <mergeCells count="19">
    <mergeCell ref="J2:N2"/>
    <mergeCell ref="A1:H1"/>
    <mergeCell ref="A2:H2"/>
    <mergeCell ref="A3:H3"/>
    <mergeCell ref="B206:C206"/>
    <mergeCell ref="B188:F188"/>
    <mergeCell ref="B190:F190"/>
    <mergeCell ref="B191:F191"/>
    <mergeCell ref="B193:D193"/>
    <mergeCell ref="B194:C194"/>
    <mergeCell ref="B195:C195"/>
    <mergeCell ref="B196:C196"/>
    <mergeCell ref="B204:C204"/>
    <mergeCell ref="B189:F189"/>
    <mergeCell ref="B207:C207"/>
    <mergeCell ref="B208:C208"/>
    <mergeCell ref="B209:C209"/>
    <mergeCell ref="B211:C211"/>
    <mergeCell ref="B210:C210"/>
  </mergeCells>
  <hyperlinks>
    <hyperlink ref="I1" location="Index!B25" display="Index" xr:uid="{A9D623BA-8494-4FED-A83F-8BB5FA8F4CD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O15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1035</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294</v>
      </c>
      <c r="C7" s="4" t="s">
        <v>295</v>
      </c>
      <c r="D7" s="4" t="s">
        <v>974</v>
      </c>
      <c r="E7" s="5">
        <v>142161</v>
      </c>
      <c r="F7" s="6">
        <v>2324.2612694999998</v>
      </c>
      <c r="G7" s="7">
        <v>6.4775314000000001E-2</v>
      </c>
      <c r="H7" s="49"/>
    </row>
    <row r="8" spans="1:15" ht="17.100000000000001" customHeight="1" x14ac:dyDescent="0.2">
      <c r="A8" s="3">
        <v>2</v>
      </c>
      <c r="B8" s="4" t="s">
        <v>263</v>
      </c>
      <c r="C8" s="4" t="s">
        <v>264</v>
      </c>
      <c r="D8" s="4" t="s">
        <v>16</v>
      </c>
      <c r="E8" s="5">
        <v>119350</v>
      </c>
      <c r="F8" s="6">
        <v>1919.6850750000001</v>
      </c>
      <c r="G8" s="7">
        <v>5.3500097000000003E-2</v>
      </c>
      <c r="H8" s="49"/>
    </row>
    <row r="9" spans="1:15" ht="17.100000000000001" customHeight="1" x14ac:dyDescent="0.2">
      <c r="A9" s="3">
        <v>3</v>
      </c>
      <c r="B9" s="4" t="s">
        <v>14</v>
      </c>
      <c r="C9" s="4" t="s">
        <v>15</v>
      </c>
      <c r="D9" s="4" t="s">
        <v>16</v>
      </c>
      <c r="E9" s="5">
        <v>188000</v>
      </c>
      <c r="F9" s="6">
        <v>1791.452</v>
      </c>
      <c r="G9" s="7">
        <v>4.9926342999999998E-2</v>
      </c>
      <c r="H9" s="49"/>
    </row>
    <row r="10" spans="1:15" ht="17.100000000000001" customHeight="1" x14ac:dyDescent="0.2">
      <c r="A10" s="3">
        <v>4</v>
      </c>
      <c r="B10" s="4" t="s">
        <v>26</v>
      </c>
      <c r="C10" s="4" t="s">
        <v>27</v>
      </c>
      <c r="D10" s="4" t="s">
        <v>28</v>
      </c>
      <c r="E10" s="5">
        <v>972000</v>
      </c>
      <c r="F10" s="6">
        <v>1673.7840000000001</v>
      </c>
      <c r="G10" s="7">
        <v>4.6647029999999999E-2</v>
      </c>
      <c r="H10" s="49"/>
    </row>
    <row r="11" spans="1:15" ht="17.100000000000001" customHeight="1" x14ac:dyDescent="0.2">
      <c r="A11" s="3">
        <v>5</v>
      </c>
      <c r="B11" s="4" t="s">
        <v>306</v>
      </c>
      <c r="C11" s="4" t="s">
        <v>307</v>
      </c>
      <c r="D11" s="4" t="s">
        <v>308</v>
      </c>
      <c r="E11" s="5">
        <v>58279</v>
      </c>
      <c r="F11" s="6">
        <v>1564.4123365</v>
      </c>
      <c r="G11" s="7">
        <v>4.3598928000000002E-2</v>
      </c>
      <c r="H11" s="49"/>
    </row>
    <row r="12" spans="1:15" ht="17.100000000000001" customHeight="1" x14ac:dyDescent="0.2">
      <c r="A12" s="3">
        <v>6</v>
      </c>
      <c r="B12" s="4" t="s">
        <v>313</v>
      </c>
      <c r="C12" s="4" t="s">
        <v>314</v>
      </c>
      <c r="D12" s="4" t="s">
        <v>308</v>
      </c>
      <c r="E12" s="5">
        <v>397734</v>
      </c>
      <c r="F12" s="6">
        <v>1352.2955999999999</v>
      </c>
      <c r="G12" s="7">
        <v>3.7687404000000001E-2</v>
      </c>
      <c r="H12" s="49"/>
    </row>
    <row r="13" spans="1:15" ht="17.100000000000001" customHeight="1" x14ac:dyDescent="0.2">
      <c r="A13" s="3">
        <v>7</v>
      </c>
      <c r="B13" s="4" t="s">
        <v>302</v>
      </c>
      <c r="C13" s="4" t="s">
        <v>303</v>
      </c>
      <c r="D13" s="4" t="s">
        <v>974</v>
      </c>
      <c r="E13" s="5">
        <v>38621</v>
      </c>
      <c r="F13" s="6">
        <v>1309.560868</v>
      </c>
      <c r="G13" s="7">
        <v>3.6496421000000001E-2</v>
      </c>
      <c r="H13" s="49"/>
    </row>
    <row r="14" spans="1:15" ht="17.100000000000001" customHeight="1" x14ac:dyDescent="0.2">
      <c r="A14" s="3">
        <v>8</v>
      </c>
      <c r="B14" s="4" t="s">
        <v>20</v>
      </c>
      <c r="C14" s="4" t="s">
        <v>21</v>
      </c>
      <c r="D14" s="4" t="s">
        <v>22</v>
      </c>
      <c r="E14" s="5">
        <v>45754</v>
      </c>
      <c r="F14" s="6">
        <v>1249.701879</v>
      </c>
      <c r="G14" s="7">
        <v>3.4828197999999998E-2</v>
      </c>
      <c r="H14" s="49"/>
      <c r="J14" s="224" t="s">
        <v>1086</v>
      </c>
    </row>
    <row r="15" spans="1:15" ht="17.100000000000001" customHeight="1" x14ac:dyDescent="0.2">
      <c r="A15" s="3">
        <v>9</v>
      </c>
      <c r="B15" s="4" t="s">
        <v>311</v>
      </c>
      <c r="C15" s="4" t="s">
        <v>312</v>
      </c>
      <c r="D15" s="4" t="s">
        <v>974</v>
      </c>
      <c r="E15" s="5">
        <v>107029</v>
      </c>
      <c r="F15" s="6">
        <v>1199.5810320000001</v>
      </c>
      <c r="G15" s="7">
        <v>3.3431370000000002E-2</v>
      </c>
      <c r="H15" s="49"/>
    </row>
    <row r="16" spans="1:15" ht="17.100000000000001" customHeight="1" x14ac:dyDescent="0.2">
      <c r="A16" s="3">
        <v>10</v>
      </c>
      <c r="B16" s="4" t="s">
        <v>39</v>
      </c>
      <c r="C16" s="4" t="s">
        <v>40</v>
      </c>
      <c r="D16" s="4" t="s">
        <v>16</v>
      </c>
      <c r="E16" s="5">
        <v>175968</v>
      </c>
      <c r="F16" s="6">
        <v>1060.1192160000001</v>
      </c>
      <c r="G16" s="7">
        <v>2.954468E-2</v>
      </c>
      <c r="H16" s="49"/>
    </row>
    <row r="17" spans="1:10" ht="29.1" customHeight="1" x14ac:dyDescent="0.2">
      <c r="A17" s="3">
        <v>11</v>
      </c>
      <c r="B17" s="4" t="s">
        <v>23</v>
      </c>
      <c r="C17" s="4" t="s">
        <v>24</v>
      </c>
      <c r="D17" s="4" t="s">
        <v>25</v>
      </c>
      <c r="E17" s="5">
        <v>12700</v>
      </c>
      <c r="F17" s="6">
        <v>898.779</v>
      </c>
      <c r="G17" s="7">
        <v>2.5048256000000001E-2</v>
      </c>
      <c r="H17" s="49"/>
    </row>
    <row r="18" spans="1:10" ht="17.100000000000001" customHeight="1" x14ac:dyDescent="0.2">
      <c r="A18" s="3">
        <v>12</v>
      </c>
      <c r="B18" s="4" t="s">
        <v>11</v>
      </c>
      <c r="C18" s="4" t="s">
        <v>12</v>
      </c>
      <c r="D18" s="4" t="s">
        <v>13</v>
      </c>
      <c r="E18" s="5">
        <v>36880</v>
      </c>
      <c r="F18" s="6">
        <v>765.20468000000005</v>
      </c>
      <c r="G18" s="7">
        <v>2.1325646E-2</v>
      </c>
      <c r="H18" s="49"/>
    </row>
    <row r="19" spans="1:10" ht="17.100000000000001" customHeight="1" x14ac:dyDescent="0.2">
      <c r="A19" s="3">
        <v>13</v>
      </c>
      <c r="B19" s="4" t="s">
        <v>340</v>
      </c>
      <c r="C19" s="4" t="s">
        <v>341</v>
      </c>
      <c r="D19" s="4" t="s">
        <v>16</v>
      </c>
      <c r="E19" s="5">
        <v>235822</v>
      </c>
      <c r="F19" s="6">
        <v>742.13183400000003</v>
      </c>
      <c r="G19" s="7">
        <v>2.0682624E-2</v>
      </c>
      <c r="H19" s="49"/>
    </row>
    <row r="20" spans="1:10" ht="29.1" customHeight="1" x14ac:dyDescent="0.2">
      <c r="A20" s="3">
        <v>14</v>
      </c>
      <c r="B20" s="4" t="s">
        <v>67</v>
      </c>
      <c r="C20" s="4" t="s">
        <v>68</v>
      </c>
      <c r="D20" s="4" t="s">
        <v>69</v>
      </c>
      <c r="E20" s="5">
        <v>646646</v>
      </c>
      <c r="F20" s="6">
        <v>679.62494600000002</v>
      </c>
      <c r="G20" s="7">
        <v>1.8940607000000002E-2</v>
      </c>
      <c r="H20" s="49"/>
    </row>
    <row r="21" spans="1:10" ht="17.100000000000001" customHeight="1" x14ac:dyDescent="0.2">
      <c r="A21" s="3">
        <v>15</v>
      </c>
      <c r="B21" s="4" t="s">
        <v>298</v>
      </c>
      <c r="C21" s="4" t="s">
        <v>299</v>
      </c>
      <c r="D21" s="4" t="s">
        <v>238</v>
      </c>
      <c r="E21" s="5">
        <v>51000</v>
      </c>
      <c r="F21" s="6">
        <v>654.279</v>
      </c>
      <c r="G21" s="7">
        <v>1.8234236000000001E-2</v>
      </c>
      <c r="H21" s="49"/>
    </row>
    <row r="22" spans="1:10" ht="53.1" customHeight="1" x14ac:dyDescent="0.2">
      <c r="A22" s="3">
        <v>16</v>
      </c>
      <c r="B22" s="4" t="s">
        <v>49</v>
      </c>
      <c r="C22" s="4" t="s">
        <v>50</v>
      </c>
      <c r="D22" s="4" t="s">
        <v>51</v>
      </c>
      <c r="E22" s="5">
        <v>438939</v>
      </c>
      <c r="F22" s="6">
        <v>653.14123199999995</v>
      </c>
      <c r="G22" s="7">
        <v>1.8202527E-2</v>
      </c>
      <c r="H22" s="49"/>
      <c r="J22" s="217" t="s">
        <v>1087</v>
      </c>
    </row>
    <row r="23" spans="1:10" ht="17.100000000000001" customHeight="1" x14ac:dyDescent="0.2">
      <c r="A23" s="3">
        <v>17</v>
      </c>
      <c r="B23" s="4" t="s">
        <v>17</v>
      </c>
      <c r="C23" s="4" t="s">
        <v>18</v>
      </c>
      <c r="D23" s="4" t="s">
        <v>19</v>
      </c>
      <c r="E23" s="5">
        <v>74309</v>
      </c>
      <c r="F23" s="6">
        <v>630.69763750000004</v>
      </c>
      <c r="G23" s="7">
        <v>1.7577042000000001E-2</v>
      </c>
      <c r="H23" s="49"/>
    </row>
    <row r="24" spans="1:10" ht="17.100000000000001" customHeight="1" x14ac:dyDescent="0.2">
      <c r="A24" s="3">
        <v>18</v>
      </c>
      <c r="B24" s="4" t="s">
        <v>63</v>
      </c>
      <c r="C24" s="4" t="s">
        <v>64</v>
      </c>
      <c r="D24" s="4" t="s">
        <v>28</v>
      </c>
      <c r="E24" s="5">
        <v>271748</v>
      </c>
      <c r="F24" s="6">
        <v>608.71551999999997</v>
      </c>
      <c r="G24" s="7">
        <v>1.6964417999999998E-2</v>
      </c>
      <c r="H24" s="49"/>
    </row>
    <row r="25" spans="1:10" ht="17.100000000000001" customHeight="1" x14ac:dyDescent="0.2">
      <c r="A25" s="3">
        <v>19</v>
      </c>
      <c r="B25" s="4" t="s">
        <v>70</v>
      </c>
      <c r="C25" s="4" t="s">
        <v>71</v>
      </c>
      <c r="D25" s="4" t="s">
        <v>72</v>
      </c>
      <c r="E25" s="5">
        <v>6650</v>
      </c>
      <c r="F25" s="6">
        <v>596.78097500000001</v>
      </c>
      <c r="G25" s="7">
        <v>1.6631811E-2</v>
      </c>
      <c r="H25" s="49"/>
    </row>
    <row r="26" spans="1:10" ht="17.100000000000001" customHeight="1" x14ac:dyDescent="0.2">
      <c r="A26" s="3">
        <v>20</v>
      </c>
      <c r="B26" s="4" t="s">
        <v>334</v>
      </c>
      <c r="C26" s="4" t="s">
        <v>335</v>
      </c>
      <c r="D26" s="4" t="s">
        <v>16</v>
      </c>
      <c r="E26" s="5">
        <v>51000</v>
      </c>
      <c r="F26" s="6">
        <v>595.57799999999997</v>
      </c>
      <c r="G26" s="7">
        <v>1.6598285000000001E-2</v>
      </c>
      <c r="H26" s="49"/>
    </row>
    <row r="27" spans="1:10" ht="17.100000000000001" customHeight="1" x14ac:dyDescent="0.2">
      <c r="A27" s="3">
        <v>21</v>
      </c>
      <c r="B27" s="4" t="s">
        <v>521</v>
      </c>
      <c r="C27" s="4" t="s">
        <v>522</v>
      </c>
      <c r="D27" s="4" t="s">
        <v>108</v>
      </c>
      <c r="E27" s="5">
        <v>36483</v>
      </c>
      <c r="F27" s="6">
        <v>585.95346300000006</v>
      </c>
      <c r="G27" s="7">
        <v>1.6330056999999999E-2</v>
      </c>
      <c r="H27" s="49"/>
    </row>
    <row r="28" spans="1:10" ht="17.100000000000001" customHeight="1" x14ac:dyDescent="0.2">
      <c r="A28" s="3">
        <v>22</v>
      </c>
      <c r="B28" s="4" t="s">
        <v>332</v>
      </c>
      <c r="C28" s="4" t="s">
        <v>333</v>
      </c>
      <c r="D28" s="4" t="s">
        <v>218</v>
      </c>
      <c r="E28" s="5">
        <v>526970</v>
      </c>
      <c r="F28" s="6">
        <v>567.28320499999995</v>
      </c>
      <c r="G28" s="7">
        <v>1.5809732E-2</v>
      </c>
      <c r="H28" s="49"/>
    </row>
    <row r="29" spans="1:10" ht="17.100000000000001" customHeight="1" x14ac:dyDescent="0.2">
      <c r="A29" s="3">
        <v>23</v>
      </c>
      <c r="B29" s="4" t="s">
        <v>90</v>
      </c>
      <c r="C29" s="4" t="s">
        <v>91</v>
      </c>
      <c r="D29" s="4" t="s">
        <v>31</v>
      </c>
      <c r="E29" s="5">
        <v>39500</v>
      </c>
      <c r="F29" s="6">
        <v>558.33249999999998</v>
      </c>
      <c r="G29" s="7">
        <v>1.5560282999999999E-2</v>
      </c>
      <c r="H29" s="49"/>
    </row>
    <row r="30" spans="1:10" ht="17.100000000000001" customHeight="1" x14ac:dyDescent="0.2">
      <c r="A30" s="3">
        <v>24</v>
      </c>
      <c r="B30" s="4" t="s">
        <v>558</v>
      </c>
      <c r="C30" s="4" t="s">
        <v>559</v>
      </c>
      <c r="D30" s="4" t="s">
        <v>31</v>
      </c>
      <c r="E30" s="5">
        <v>20500</v>
      </c>
      <c r="F30" s="6">
        <v>553.52049999999997</v>
      </c>
      <c r="G30" s="7">
        <v>1.5426176E-2</v>
      </c>
      <c r="H30" s="49"/>
    </row>
    <row r="31" spans="1:10" ht="29.1" customHeight="1" x14ac:dyDescent="0.2">
      <c r="A31" s="3">
        <v>25</v>
      </c>
      <c r="B31" s="4" t="s">
        <v>197</v>
      </c>
      <c r="C31" s="4" t="s">
        <v>198</v>
      </c>
      <c r="D31" s="4" t="s">
        <v>193</v>
      </c>
      <c r="E31" s="5">
        <v>12675</v>
      </c>
      <c r="F31" s="6">
        <v>550.40553750000004</v>
      </c>
      <c r="G31" s="7">
        <v>1.5339365000000001E-2</v>
      </c>
      <c r="H31" s="49"/>
    </row>
    <row r="32" spans="1:10" ht="29.1" customHeight="1" x14ac:dyDescent="0.2">
      <c r="A32" s="3">
        <v>26</v>
      </c>
      <c r="B32" s="4" t="s">
        <v>304</v>
      </c>
      <c r="C32" s="4" t="s">
        <v>305</v>
      </c>
      <c r="D32" s="4" t="s">
        <v>215</v>
      </c>
      <c r="E32" s="5">
        <v>51000</v>
      </c>
      <c r="F32" s="6">
        <v>533.4855</v>
      </c>
      <c r="G32" s="7">
        <v>1.4867817E-2</v>
      </c>
      <c r="H32" s="49"/>
    </row>
    <row r="33" spans="1:8" ht="17.100000000000001" customHeight="1" x14ac:dyDescent="0.2">
      <c r="A33" s="3">
        <v>27</v>
      </c>
      <c r="B33" s="4" t="s">
        <v>404</v>
      </c>
      <c r="C33" s="4" t="s">
        <v>405</v>
      </c>
      <c r="D33" s="4" t="s">
        <v>317</v>
      </c>
      <c r="E33" s="5">
        <v>33957</v>
      </c>
      <c r="F33" s="6">
        <v>530.52718949999996</v>
      </c>
      <c r="G33" s="7">
        <v>1.4785371E-2</v>
      </c>
      <c r="H33" s="49"/>
    </row>
    <row r="34" spans="1:8" ht="29.1" customHeight="1" x14ac:dyDescent="0.2">
      <c r="A34" s="3">
        <v>28</v>
      </c>
      <c r="B34" s="4" t="s">
        <v>189</v>
      </c>
      <c r="C34" s="4" t="s">
        <v>190</v>
      </c>
      <c r="D34" s="4" t="s">
        <v>108</v>
      </c>
      <c r="E34" s="5">
        <v>145445</v>
      </c>
      <c r="F34" s="6">
        <v>527.74718250000001</v>
      </c>
      <c r="G34" s="7">
        <v>1.4707895E-2</v>
      </c>
      <c r="H34" s="49"/>
    </row>
    <row r="35" spans="1:8" ht="17.100000000000001" customHeight="1" x14ac:dyDescent="0.2">
      <c r="A35" s="3">
        <v>29</v>
      </c>
      <c r="B35" s="4" t="s">
        <v>326</v>
      </c>
      <c r="C35" s="4" t="s">
        <v>327</v>
      </c>
      <c r="D35" s="4" t="s">
        <v>974</v>
      </c>
      <c r="E35" s="5">
        <v>47842</v>
      </c>
      <c r="F35" s="6">
        <v>515.25833999999998</v>
      </c>
      <c r="G35" s="7">
        <v>1.435984E-2</v>
      </c>
      <c r="H35" s="49"/>
    </row>
    <row r="36" spans="1:8" ht="17.100000000000001" customHeight="1" x14ac:dyDescent="0.2">
      <c r="A36" s="3">
        <v>30</v>
      </c>
      <c r="B36" s="4" t="s">
        <v>259</v>
      </c>
      <c r="C36" s="4" t="s">
        <v>260</v>
      </c>
      <c r="D36" s="4" t="s">
        <v>103</v>
      </c>
      <c r="E36" s="5">
        <v>30000</v>
      </c>
      <c r="F36" s="6">
        <v>487.95</v>
      </c>
      <c r="G36" s="7">
        <v>1.3598779E-2</v>
      </c>
      <c r="H36" s="49"/>
    </row>
    <row r="37" spans="1:8" ht="17.100000000000001" customHeight="1" x14ac:dyDescent="0.2">
      <c r="A37" s="3">
        <v>31</v>
      </c>
      <c r="B37" s="4" t="s">
        <v>41</v>
      </c>
      <c r="C37" s="4" t="s">
        <v>42</v>
      </c>
      <c r="D37" s="4" t="s">
        <v>43</v>
      </c>
      <c r="E37" s="5">
        <v>62282</v>
      </c>
      <c r="F37" s="6">
        <v>480.78589899999997</v>
      </c>
      <c r="G37" s="7">
        <v>1.3399121E-2</v>
      </c>
      <c r="H37" s="49"/>
    </row>
    <row r="38" spans="1:8" ht="29.1" customHeight="1" x14ac:dyDescent="0.2">
      <c r="A38" s="3">
        <v>32</v>
      </c>
      <c r="B38" s="4" t="s">
        <v>191</v>
      </c>
      <c r="C38" s="4" t="s">
        <v>192</v>
      </c>
      <c r="D38" s="4" t="s">
        <v>193</v>
      </c>
      <c r="E38" s="5">
        <v>19372</v>
      </c>
      <c r="F38" s="6">
        <v>458.28340400000002</v>
      </c>
      <c r="G38" s="7">
        <v>1.2771994E-2</v>
      </c>
      <c r="H38" s="49"/>
    </row>
    <row r="39" spans="1:8" ht="17.100000000000001" customHeight="1" x14ac:dyDescent="0.2">
      <c r="A39" s="3">
        <v>33</v>
      </c>
      <c r="B39" s="4" t="s">
        <v>560</v>
      </c>
      <c r="C39" s="4" t="s">
        <v>561</v>
      </c>
      <c r="D39" s="4" t="s">
        <v>72</v>
      </c>
      <c r="E39" s="5">
        <v>12160</v>
      </c>
      <c r="F39" s="6">
        <v>456.08512000000002</v>
      </c>
      <c r="G39" s="7">
        <v>1.271073E-2</v>
      </c>
      <c r="H39" s="49"/>
    </row>
    <row r="40" spans="1:8" ht="17.100000000000001" customHeight="1" x14ac:dyDescent="0.2">
      <c r="A40" s="3">
        <v>34</v>
      </c>
      <c r="B40" s="4" t="s">
        <v>562</v>
      </c>
      <c r="C40" s="4" t="s">
        <v>563</v>
      </c>
      <c r="D40" s="4" t="s">
        <v>267</v>
      </c>
      <c r="E40" s="5">
        <v>9850</v>
      </c>
      <c r="F40" s="6">
        <v>429.68655000000001</v>
      </c>
      <c r="G40" s="7">
        <v>1.1975023E-2</v>
      </c>
      <c r="H40" s="49"/>
    </row>
    <row r="41" spans="1:8" ht="17.100000000000001" customHeight="1" x14ac:dyDescent="0.2">
      <c r="A41" s="3">
        <v>35</v>
      </c>
      <c r="B41" s="4" t="s">
        <v>203</v>
      </c>
      <c r="C41" s="4" t="s">
        <v>204</v>
      </c>
      <c r="D41" s="4" t="s">
        <v>974</v>
      </c>
      <c r="E41" s="5">
        <v>9100</v>
      </c>
      <c r="F41" s="6">
        <v>378.07769999999999</v>
      </c>
      <c r="G41" s="7">
        <v>1.0536725E-2</v>
      </c>
      <c r="H41" s="49"/>
    </row>
    <row r="42" spans="1:8" ht="29.1" customHeight="1" x14ac:dyDescent="0.2">
      <c r="A42" s="3">
        <v>36</v>
      </c>
      <c r="B42" s="4" t="s">
        <v>564</v>
      </c>
      <c r="C42" s="4" t="s">
        <v>565</v>
      </c>
      <c r="D42" s="4" t="s">
        <v>566</v>
      </c>
      <c r="E42" s="5">
        <v>10800</v>
      </c>
      <c r="F42" s="6">
        <v>374.5872</v>
      </c>
      <c r="G42" s="7">
        <v>1.0439448E-2</v>
      </c>
      <c r="H42" s="49"/>
    </row>
    <row r="43" spans="1:8" ht="17.100000000000001" customHeight="1" x14ac:dyDescent="0.2">
      <c r="A43" s="3">
        <v>37</v>
      </c>
      <c r="B43" s="4" t="s">
        <v>241</v>
      </c>
      <c r="C43" s="4" t="s">
        <v>242</v>
      </c>
      <c r="D43" s="4" t="s">
        <v>108</v>
      </c>
      <c r="E43" s="5">
        <v>43000</v>
      </c>
      <c r="F43" s="6">
        <v>352.38499999999999</v>
      </c>
      <c r="G43" s="7">
        <v>9.82069E-3</v>
      </c>
      <c r="H43" s="49"/>
    </row>
    <row r="44" spans="1:8" ht="17.100000000000001" customHeight="1" x14ac:dyDescent="0.2">
      <c r="A44" s="3">
        <v>38</v>
      </c>
      <c r="B44" s="4" t="s">
        <v>567</v>
      </c>
      <c r="C44" s="4" t="s">
        <v>568</v>
      </c>
      <c r="D44" s="4" t="s">
        <v>72</v>
      </c>
      <c r="E44" s="5">
        <v>10029</v>
      </c>
      <c r="F44" s="6">
        <v>349.46050500000001</v>
      </c>
      <c r="G44" s="7">
        <v>9.7391869999999998E-3</v>
      </c>
      <c r="H44" s="49"/>
    </row>
    <row r="45" spans="1:8" ht="17.100000000000001" customHeight="1" x14ac:dyDescent="0.2">
      <c r="A45" s="3">
        <v>39</v>
      </c>
      <c r="B45" s="4" t="s">
        <v>569</v>
      </c>
      <c r="C45" s="4" t="s">
        <v>570</v>
      </c>
      <c r="D45" s="4" t="s">
        <v>108</v>
      </c>
      <c r="E45" s="5">
        <v>13500</v>
      </c>
      <c r="F45" s="6">
        <v>348.35399999999998</v>
      </c>
      <c r="G45" s="7">
        <v>9.7083489999999998E-3</v>
      </c>
      <c r="H45" s="49"/>
    </row>
    <row r="46" spans="1:8" ht="17.100000000000001" customHeight="1" x14ac:dyDescent="0.2">
      <c r="A46" s="3">
        <v>40</v>
      </c>
      <c r="B46" s="4" t="s">
        <v>571</v>
      </c>
      <c r="C46" s="4" t="s">
        <v>572</v>
      </c>
      <c r="D46" s="4" t="s">
        <v>113</v>
      </c>
      <c r="E46" s="5">
        <v>111500</v>
      </c>
      <c r="F46" s="6">
        <v>342.58375000000001</v>
      </c>
      <c r="G46" s="7">
        <v>9.547537E-3</v>
      </c>
      <c r="H46" s="49"/>
    </row>
    <row r="47" spans="1:8" ht="17.100000000000001" customHeight="1" x14ac:dyDescent="0.2">
      <c r="A47" s="3">
        <v>41</v>
      </c>
      <c r="B47" s="4" t="s">
        <v>285</v>
      </c>
      <c r="C47" s="4" t="s">
        <v>286</v>
      </c>
      <c r="D47" s="4" t="s">
        <v>22</v>
      </c>
      <c r="E47" s="5">
        <v>136848</v>
      </c>
      <c r="F47" s="6">
        <v>327.20356800000002</v>
      </c>
      <c r="G47" s="7">
        <v>9.1189029999999994E-3</v>
      </c>
      <c r="H47" s="49"/>
    </row>
    <row r="48" spans="1:8" ht="17.100000000000001" customHeight="1" x14ac:dyDescent="0.2">
      <c r="A48" s="3">
        <v>42</v>
      </c>
      <c r="B48" s="4" t="s">
        <v>116</v>
      </c>
      <c r="C48" s="4" t="s">
        <v>117</v>
      </c>
      <c r="D48" s="4" t="s">
        <v>118</v>
      </c>
      <c r="E48" s="5">
        <v>228490</v>
      </c>
      <c r="F48" s="6">
        <v>322.39938999999998</v>
      </c>
      <c r="G48" s="7">
        <v>8.9850150000000007E-3</v>
      </c>
      <c r="H48" s="49"/>
    </row>
    <row r="49" spans="1:8" ht="29.1" customHeight="1" x14ac:dyDescent="0.2">
      <c r="A49" s="3">
        <v>43</v>
      </c>
      <c r="B49" s="4" t="s">
        <v>471</v>
      </c>
      <c r="C49" s="4" t="s">
        <v>472</v>
      </c>
      <c r="D49" s="4" t="s">
        <v>215</v>
      </c>
      <c r="E49" s="5">
        <v>5548</v>
      </c>
      <c r="F49" s="6">
        <v>316.88234199999999</v>
      </c>
      <c r="G49" s="7">
        <v>8.8312589999999993E-3</v>
      </c>
      <c r="H49" s="49"/>
    </row>
    <row r="50" spans="1:8" ht="17.100000000000001" customHeight="1" x14ac:dyDescent="0.2">
      <c r="A50" s="3">
        <v>44</v>
      </c>
      <c r="B50" s="4" t="s">
        <v>449</v>
      </c>
      <c r="C50" s="4" t="s">
        <v>450</v>
      </c>
      <c r="D50" s="4" t="s">
        <v>1042</v>
      </c>
      <c r="E50" s="5">
        <v>33000</v>
      </c>
      <c r="F50" s="6">
        <v>276.30900000000003</v>
      </c>
      <c r="G50" s="7">
        <v>7.7005119999999996E-3</v>
      </c>
      <c r="H50" s="49"/>
    </row>
    <row r="51" spans="1:8" ht="17.100000000000001" customHeight="1" x14ac:dyDescent="0.2">
      <c r="A51" s="3">
        <v>45</v>
      </c>
      <c r="B51" s="4" t="s">
        <v>223</v>
      </c>
      <c r="C51" s="4" t="s">
        <v>224</v>
      </c>
      <c r="D51" s="4" t="s">
        <v>89</v>
      </c>
      <c r="E51" s="5">
        <v>4242</v>
      </c>
      <c r="F51" s="6">
        <v>230.730864</v>
      </c>
      <c r="G51" s="7">
        <v>6.4302860000000003E-3</v>
      </c>
      <c r="H51" s="49"/>
    </row>
    <row r="52" spans="1:8" ht="17.100000000000001" customHeight="1" x14ac:dyDescent="0.2">
      <c r="A52" s="3">
        <v>46</v>
      </c>
      <c r="B52" s="4" t="s">
        <v>324</v>
      </c>
      <c r="C52" s="4" t="s">
        <v>325</v>
      </c>
      <c r="D52" s="4" t="s">
        <v>317</v>
      </c>
      <c r="E52" s="5">
        <v>30973</v>
      </c>
      <c r="F52" s="6">
        <v>163.36708849999999</v>
      </c>
      <c r="G52" s="7">
        <v>4.5529109999999998E-3</v>
      </c>
      <c r="H52" s="49"/>
    </row>
    <row r="53" spans="1:8" ht="17.100000000000001" customHeight="1" x14ac:dyDescent="0.2">
      <c r="A53" s="3">
        <v>47</v>
      </c>
      <c r="B53" s="4" t="s">
        <v>352</v>
      </c>
      <c r="C53" s="4" t="s">
        <v>353</v>
      </c>
      <c r="D53" s="4" t="s">
        <v>72</v>
      </c>
      <c r="E53" s="5">
        <v>35292</v>
      </c>
      <c r="F53" s="6">
        <v>155.073048</v>
      </c>
      <c r="G53" s="7">
        <v>4.3217630000000002E-3</v>
      </c>
      <c r="H53" s="49"/>
    </row>
    <row r="54" spans="1:8" ht="17.100000000000001" customHeight="1" x14ac:dyDescent="0.2">
      <c r="A54" s="3">
        <v>48</v>
      </c>
      <c r="B54" s="4" t="s">
        <v>573</v>
      </c>
      <c r="C54" s="4" t="s">
        <v>574</v>
      </c>
      <c r="D54" s="4" t="s">
        <v>89</v>
      </c>
      <c r="E54" s="5">
        <v>7625</v>
      </c>
      <c r="F54" s="6">
        <v>143.56731250000001</v>
      </c>
      <c r="G54" s="7">
        <v>4.0011070000000003E-3</v>
      </c>
      <c r="H54" s="49"/>
    </row>
    <row r="55" spans="1:8" ht="29.1" customHeight="1" x14ac:dyDescent="0.2">
      <c r="A55" s="3">
        <v>49</v>
      </c>
      <c r="B55" s="4" t="s">
        <v>442</v>
      </c>
      <c r="C55" s="4" t="s">
        <v>443</v>
      </c>
      <c r="D55" s="4" t="s">
        <v>364</v>
      </c>
      <c r="E55" s="5">
        <v>17324</v>
      </c>
      <c r="F55" s="6">
        <v>104.359776</v>
      </c>
      <c r="G55" s="7">
        <v>2.9084240000000002E-3</v>
      </c>
      <c r="H55" s="49"/>
    </row>
    <row r="56" spans="1:8" ht="14.1" customHeight="1" x14ac:dyDescent="0.2">
      <c r="A56" s="1"/>
      <c r="B56" s="1"/>
      <c r="C56" s="2" t="s">
        <v>130</v>
      </c>
      <c r="D56" s="1"/>
      <c r="E56" s="1" t="s">
        <v>131</v>
      </c>
      <c r="F56" s="9">
        <v>33690.431035000001</v>
      </c>
      <c r="G56" s="10">
        <v>0.93892553599999962</v>
      </c>
      <c r="H56" s="49"/>
    </row>
    <row r="57" spans="1:8" ht="14.1" customHeight="1" x14ac:dyDescent="0.2">
      <c r="A57" s="1"/>
      <c r="B57" s="1"/>
      <c r="C57" s="11"/>
      <c r="D57" s="1"/>
      <c r="E57" s="1"/>
      <c r="F57" s="12"/>
      <c r="G57" s="12"/>
      <c r="H57" s="49"/>
    </row>
    <row r="58" spans="1:8" ht="14.1" customHeight="1" x14ac:dyDescent="0.2">
      <c r="A58" s="1"/>
      <c r="B58" s="1"/>
      <c r="C58" s="2" t="s">
        <v>132</v>
      </c>
      <c r="D58" s="1"/>
      <c r="E58" s="1"/>
      <c r="F58" s="1"/>
      <c r="G58" s="1"/>
      <c r="H58" s="49"/>
    </row>
    <row r="59" spans="1:8" ht="14.1" customHeight="1" x14ac:dyDescent="0.2">
      <c r="A59" s="1"/>
      <c r="B59" s="1"/>
      <c r="C59" s="2" t="s">
        <v>130</v>
      </c>
      <c r="D59" s="1"/>
      <c r="E59" s="1" t="s">
        <v>131</v>
      </c>
      <c r="F59" s="13">
        <v>0</v>
      </c>
      <c r="G59" s="14">
        <v>0</v>
      </c>
      <c r="H59" s="49"/>
    </row>
    <row r="60" spans="1:8" ht="14.1" customHeight="1" x14ac:dyDescent="0.2">
      <c r="A60" s="1"/>
      <c r="B60" s="1"/>
      <c r="C60" s="11"/>
      <c r="D60" s="1"/>
      <c r="E60" s="1"/>
      <c r="F60" s="12"/>
      <c r="G60" s="12"/>
      <c r="H60" s="49"/>
    </row>
    <row r="61" spans="1:8" ht="14.1" customHeight="1" x14ac:dyDescent="0.2">
      <c r="A61" s="1"/>
      <c r="B61" s="1"/>
      <c r="C61" s="2" t="s">
        <v>133</v>
      </c>
      <c r="D61" s="1"/>
      <c r="E61" s="1"/>
      <c r="F61" s="1"/>
      <c r="G61" s="1"/>
      <c r="H61" s="49"/>
    </row>
    <row r="62" spans="1:8" ht="17.100000000000001" customHeight="1" x14ac:dyDescent="0.2">
      <c r="A62" s="44">
        <v>1</v>
      </c>
      <c r="B62" s="4" t="s">
        <v>575</v>
      </c>
      <c r="C62" s="39" t="s">
        <v>958</v>
      </c>
      <c r="D62" s="4"/>
      <c r="E62" s="5">
        <v>50000</v>
      </c>
      <c r="F62" s="6">
        <v>5.46</v>
      </c>
      <c r="G62" s="7">
        <v>1.5216599999999999E-4</v>
      </c>
      <c r="H62" s="49"/>
    </row>
    <row r="63" spans="1:8" ht="17.100000000000001" customHeight="1" x14ac:dyDescent="0.2">
      <c r="A63" s="44">
        <v>2</v>
      </c>
      <c r="B63" s="4" t="s">
        <v>577</v>
      </c>
      <c r="C63" s="39" t="s">
        <v>959</v>
      </c>
      <c r="D63" s="4"/>
      <c r="E63" s="5">
        <v>50000</v>
      </c>
      <c r="F63" s="6">
        <v>4.9999999999999998E-7</v>
      </c>
      <c r="G63" s="8" t="s">
        <v>129</v>
      </c>
      <c r="H63" s="49"/>
    </row>
    <row r="64" spans="1:8" ht="17.100000000000001" customHeight="1" x14ac:dyDescent="0.2">
      <c r="A64" s="44">
        <v>3</v>
      </c>
      <c r="B64" s="4" t="s">
        <v>576</v>
      </c>
      <c r="C64" s="39" t="s">
        <v>960</v>
      </c>
      <c r="D64" s="4"/>
      <c r="E64" s="5">
        <v>200000</v>
      </c>
      <c r="F64" s="6">
        <v>1.9999999999999999E-6</v>
      </c>
      <c r="G64" s="8" t="s">
        <v>129</v>
      </c>
      <c r="H64" s="49"/>
    </row>
    <row r="65" spans="1:8" ht="17.100000000000001" customHeight="1" x14ac:dyDescent="0.2">
      <c r="A65" s="44">
        <v>4</v>
      </c>
      <c r="B65" s="4" t="s">
        <v>578</v>
      </c>
      <c r="C65" s="39" t="s">
        <v>961</v>
      </c>
      <c r="D65" s="4"/>
      <c r="E65" s="5">
        <v>20</v>
      </c>
      <c r="F65" s="6">
        <v>0</v>
      </c>
      <c r="G65" s="8" t="s">
        <v>129</v>
      </c>
      <c r="H65" s="49"/>
    </row>
    <row r="66" spans="1:8" ht="14.1" customHeight="1" x14ac:dyDescent="0.2">
      <c r="A66" s="1"/>
      <c r="B66" s="1"/>
      <c r="C66" s="2" t="s">
        <v>130</v>
      </c>
      <c r="D66" s="1"/>
      <c r="E66" s="1" t="s">
        <v>131</v>
      </c>
      <c r="F66" s="13">
        <v>5.4600024999999999</v>
      </c>
      <c r="G66" s="14">
        <v>1.5216599999999999E-4</v>
      </c>
      <c r="H66" s="49"/>
    </row>
    <row r="67" spans="1:8" ht="14.1" customHeight="1" x14ac:dyDescent="0.2">
      <c r="A67" s="1"/>
      <c r="B67" s="1"/>
      <c r="C67" s="11"/>
      <c r="D67" s="1"/>
      <c r="E67" s="1"/>
      <c r="F67" s="12"/>
      <c r="G67" s="12"/>
      <c r="H67" s="49"/>
    </row>
    <row r="68" spans="1:8" ht="14.1" customHeight="1" x14ac:dyDescent="0.2">
      <c r="A68" s="1"/>
      <c r="B68" s="1"/>
      <c r="C68" s="2" t="s">
        <v>134</v>
      </c>
      <c r="D68" s="1"/>
      <c r="E68" s="1"/>
      <c r="F68" s="1"/>
      <c r="G68" s="1"/>
      <c r="H68" s="49"/>
    </row>
    <row r="69" spans="1:8" ht="14.1" customHeight="1" x14ac:dyDescent="0.2">
      <c r="A69" s="1"/>
      <c r="B69" s="1"/>
      <c r="C69" s="2" t="s">
        <v>130</v>
      </c>
      <c r="D69" s="1"/>
      <c r="E69" s="1" t="s">
        <v>131</v>
      </c>
      <c r="F69" s="13">
        <v>0</v>
      </c>
      <c r="G69" s="14">
        <v>0</v>
      </c>
      <c r="H69" s="49"/>
    </row>
    <row r="70" spans="1:8" ht="14.1" customHeight="1" x14ac:dyDescent="0.2">
      <c r="A70" s="1"/>
      <c r="B70" s="1"/>
      <c r="C70" s="11"/>
      <c r="D70" s="1"/>
      <c r="E70" s="1"/>
      <c r="F70" s="12"/>
      <c r="G70" s="12"/>
      <c r="H70" s="49"/>
    </row>
    <row r="71" spans="1:8" ht="14.1" customHeight="1" x14ac:dyDescent="0.2">
      <c r="A71" s="1"/>
      <c r="B71" s="1"/>
      <c r="C71" s="2" t="s">
        <v>135</v>
      </c>
      <c r="D71" s="1"/>
      <c r="E71" s="1"/>
      <c r="F71" s="12"/>
      <c r="G71" s="12"/>
      <c r="H71" s="49"/>
    </row>
    <row r="72" spans="1:8" ht="14.1" customHeight="1" x14ac:dyDescent="0.2">
      <c r="A72" s="1"/>
      <c r="B72" s="1"/>
      <c r="C72" s="2" t="s">
        <v>130</v>
      </c>
      <c r="D72" s="1"/>
      <c r="E72" s="1" t="s">
        <v>131</v>
      </c>
      <c r="F72" s="13">
        <v>0</v>
      </c>
      <c r="G72" s="14">
        <v>0</v>
      </c>
      <c r="H72" s="49"/>
    </row>
    <row r="73" spans="1:8" ht="14.1" customHeight="1" x14ac:dyDescent="0.2">
      <c r="A73" s="1"/>
      <c r="B73" s="1"/>
      <c r="C73" s="11"/>
      <c r="D73" s="1"/>
      <c r="E73" s="1"/>
      <c r="F73" s="12"/>
      <c r="G73" s="12"/>
      <c r="H73" s="49"/>
    </row>
    <row r="74" spans="1:8" ht="14.1" customHeight="1" x14ac:dyDescent="0.2">
      <c r="A74" s="1"/>
      <c r="B74" s="1"/>
      <c r="C74" s="2" t="s">
        <v>136</v>
      </c>
      <c r="D74" s="1"/>
      <c r="E74" s="1"/>
      <c r="F74" s="12"/>
      <c r="G74" s="12"/>
      <c r="H74" s="49"/>
    </row>
    <row r="75" spans="1:8" ht="14.1" customHeight="1" x14ac:dyDescent="0.2">
      <c r="A75" s="1"/>
      <c r="B75" s="1"/>
      <c r="C75" s="2" t="s">
        <v>130</v>
      </c>
      <c r="D75" s="1"/>
      <c r="E75" s="1" t="s">
        <v>131</v>
      </c>
      <c r="F75" s="13">
        <v>0</v>
      </c>
      <c r="G75" s="14">
        <v>0</v>
      </c>
      <c r="H75" s="49"/>
    </row>
    <row r="76" spans="1:8" ht="14.1" customHeight="1" x14ac:dyDescent="0.2">
      <c r="A76" s="1"/>
      <c r="B76" s="1"/>
      <c r="C76" s="11"/>
      <c r="D76" s="1"/>
      <c r="E76" s="1"/>
      <c r="F76" s="12"/>
      <c r="G76" s="12"/>
      <c r="H76" s="49"/>
    </row>
    <row r="77" spans="1:8" ht="18" customHeight="1" x14ac:dyDescent="0.2">
      <c r="A77" s="1"/>
      <c r="B77" s="1"/>
      <c r="C77" s="2" t="s">
        <v>137</v>
      </c>
      <c r="D77" s="1"/>
      <c r="E77" s="1"/>
      <c r="F77" s="9">
        <v>33695.891037499998</v>
      </c>
      <c r="G77" s="10">
        <v>0.93907770199999996</v>
      </c>
      <c r="H77" s="49"/>
    </row>
    <row r="78" spans="1:8" ht="14.1" customHeight="1" x14ac:dyDescent="0.2">
      <c r="A78" s="1"/>
      <c r="B78" s="1"/>
      <c r="C78" s="11"/>
      <c r="D78" s="1"/>
      <c r="E78" s="1"/>
      <c r="F78" s="12"/>
      <c r="G78" s="12"/>
      <c r="H78" s="49"/>
    </row>
    <row r="79" spans="1:8" ht="14.1" customHeight="1" x14ac:dyDescent="0.2">
      <c r="A79" s="1"/>
      <c r="B79" s="1"/>
      <c r="C79" s="2" t="s">
        <v>138</v>
      </c>
      <c r="D79" s="1"/>
      <c r="E79" s="1"/>
      <c r="F79" s="12"/>
      <c r="G79" s="12"/>
      <c r="H79" s="49"/>
    </row>
    <row r="80" spans="1:8" ht="24" customHeight="1" x14ac:dyDescent="0.2">
      <c r="A80" s="1"/>
      <c r="B80" s="1"/>
      <c r="C80" s="2" t="s">
        <v>10</v>
      </c>
      <c r="D80" s="1"/>
      <c r="E80" s="1"/>
      <c r="F80" s="12"/>
      <c r="G80" s="12"/>
      <c r="H80" s="49"/>
    </row>
    <row r="81" spans="1:8" ht="29.1" customHeight="1" x14ac:dyDescent="0.2">
      <c r="A81" s="3">
        <v>1</v>
      </c>
      <c r="B81" s="4" t="s">
        <v>579</v>
      </c>
      <c r="C81" s="4" t="s">
        <v>580</v>
      </c>
      <c r="D81" s="4" t="s">
        <v>581</v>
      </c>
      <c r="E81" s="5">
        <v>4200</v>
      </c>
      <c r="F81" s="6">
        <v>1.1826863999999999</v>
      </c>
      <c r="G81" s="8" t="s">
        <v>129</v>
      </c>
      <c r="H81" s="49">
        <v>7.5750000000000002</v>
      </c>
    </row>
    <row r="82" spans="1:8" ht="14.1" customHeight="1" x14ac:dyDescent="0.2">
      <c r="A82" s="1"/>
      <c r="B82" s="1"/>
      <c r="C82" s="2" t="s">
        <v>130</v>
      </c>
      <c r="D82" s="1"/>
      <c r="E82" s="1" t="s">
        <v>131</v>
      </c>
      <c r="F82" s="9">
        <v>1.1826863999999999</v>
      </c>
      <c r="G82" s="10">
        <v>3.2960999999999998E-5</v>
      </c>
      <c r="H82" s="49"/>
    </row>
    <row r="83" spans="1:8" ht="14.1" customHeight="1" x14ac:dyDescent="0.2">
      <c r="A83" s="1"/>
      <c r="B83" s="1"/>
      <c r="C83" s="11"/>
      <c r="D83" s="1"/>
      <c r="E83" s="1"/>
      <c r="F83" s="12"/>
      <c r="G83" s="12"/>
      <c r="H83" s="49"/>
    </row>
    <row r="84" spans="1:8" ht="14.1" customHeight="1" x14ac:dyDescent="0.2">
      <c r="A84" s="1"/>
      <c r="B84" s="1"/>
      <c r="C84" s="2" t="s">
        <v>139</v>
      </c>
      <c r="D84" s="1"/>
      <c r="E84" s="1"/>
      <c r="F84" s="1"/>
      <c r="G84" s="1"/>
      <c r="H84" s="49"/>
    </row>
    <row r="85" spans="1:8" ht="14.1" customHeight="1" x14ac:dyDescent="0.2">
      <c r="A85" s="1"/>
      <c r="B85" s="1"/>
      <c r="C85" s="2" t="s">
        <v>130</v>
      </c>
      <c r="D85" s="1"/>
      <c r="E85" s="1" t="s">
        <v>131</v>
      </c>
      <c r="F85" s="13">
        <v>0</v>
      </c>
      <c r="G85" s="14">
        <v>0</v>
      </c>
      <c r="H85" s="49"/>
    </row>
    <row r="86" spans="1:8" ht="14.1" customHeight="1" x14ac:dyDescent="0.2">
      <c r="A86" s="1"/>
      <c r="B86" s="1"/>
      <c r="C86" s="11"/>
      <c r="D86" s="1"/>
      <c r="E86" s="1"/>
      <c r="F86" s="12"/>
      <c r="G86" s="12"/>
      <c r="H86" s="49"/>
    </row>
    <row r="87" spans="1:8" ht="14.1" customHeight="1" x14ac:dyDescent="0.2">
      <c r="A87" s="1"/>
      <c r="B87" s="1"/>
      <c r="C87" s="2" t="s">
        <v>140</v>
      </c>
      <c r="D87" s="1"/>
      <c r="E87" s="1"/>
      <c r="F87" s="1"/>
      <c r="G87" s="1"/>
      <c r="H87" s="49"/>
    </row>
    <row r="88" spans="1:8" ht="14.1" customHeight="1" x14ac:dyDescent="0.2">
      <c r="A88" s="1"/>
      <c r="B88" s="1"/>
      <c r="C88" s="2" t="s">
        <v>130</v>
      </c>
      <c r="D88" s="1"/>
      <c r="E88" s="1" t="s">
        <v>131</v>
      </c>
      <c r="F88" s="13">
        <v>0</v>
      </c>
      <c r="G88" s="14">
        <v>0</v>
      </c>
      <c r="H88" s="49"/>
    </row>
    <row r="89" spans="1:8" ht="14.1" customHeight="1" x14ac:dyDescent="0.2">
      <c r="A89" s="1"/>
      <c r="B89" s="1"/>
      <c r="C89" s="11"/>
      <c r="D89" s="1"/>
      <c r="E89" s="1"/>
      <c r="F89" s="12"/>
      <c r="G89" s="12"/>
      <c r="H89" s="49"/>
    </row>
    <row r="90" spans="1:8" ht="14.1" customHeight="1" x14ac:dyDescent="0.2">
      <c r="A90" s="1"/>
      <c r="B90" s="1"/>
      <c r="C90" s="2" t="s">
        <v>141</v>
      </c>
      <c r="D90" s="1"/>
      <c r="E90" s="1"/>
      <c r="F90" s="12"/>
      <c r="G90" s="12"/>
      <c r="H90" s="49"/>
    </row>
    <row r="91" spans="1:8" ht="14.1" customHeight="1" x14ac:dyDescent="0.2">
      <c r="A91" s="1"/>
      <c r="B91" s="1"/>
      <c r="C91" s="2" t="s">
        <v>130</v>
      </c>
      <c r="D91" s="1"/>
      <c r="E91" s="1" t="s">
        <v>131</v>
      </c>
      <c r="F91" s="13">
        <v>0</v>
      </c>
      <c r="G91" s="14">
        <v>0</v>
      </c>
      <c r="H91" s="49"/>
    </row>
    <row r="92" spans="1:8" ht="14.1" customHeight="1" x14ac:dyDescent="0.2">
      <c r="A92" s="1"/>
      <c r="B92" s="1"/>
      <c r="C92" s="11"/>
      <c r="D92" s="1"/>
      <c r="E92" s="1"/>
      <c r="F92" s="12"/>
      <c r="G92" s="12"/>
      <c r="H92" s="49"/>
    </row>
    <row r="93" spans="1:8" ht="14.1" customHeight="1" x14ac:dyDescent="0.2">
      <c r="A93" s="1"/>
      <c r="B93" s="1"/>
      <c r="C93" s="2" t="s">
        <v>142</v>
      </c>
      <c r="D93" s="1"/>
      <c r="E93" s="1"/>
      <c r="F93" s="9">
        <v>1.1826863999999999</v>
      </c>
      <c r="G93" s="10">
        <v>3.2960999999999998E-5</v>
      </c>
      <c r="H93" s="49"/>
    </row>
    <row r="94" spans="1:8" ht="14.1" customHeight="1" x14ac:dyDescent="0.2">
      <c r="A94" s="1"/>
      <c r="B94" s="1"/>
      <c r="C94" s="11"/>
      <c r="D94" s="1"/>
      <c r="E94" s="1"/>
      <c r="F94" s="12"/>
      <c r="G94" s="12"/>
      <c r="H94" s="49"/>
    </row>
    <row r="95" spans="1:8" ht="14.1" customHeight="1" x14ac:dyDescent="0.2">
      <c r="A95" s="1"/>
      <c r="B95" s="1"/>
      <c r="C95" s="2" t="s">
        <v>143</v>
      </c>
      <c r="D95" s="1"/>
      <c r="E95" s="1"/>
      <c r="F95" s="12"/>
      <c r="G95" s="12"/>
      <c r="H95" s="49"/>
    </row>
    <row r="96" spans="1:8" ht="14.1" customHeight="1" x14ac:dyDescent="0.2">
      <c r="A96" s="1"/>
      <c r="B96" s="1"/>
      <c r="C96" s="2" t="s">
        <v>144</v>
      </c>
      <c r="D96" s="1"/>
      <c r="E96" s="1"/>
      <c r="F96" s="12"/>
      <c r="G96" s="12"/>
      <c r="H96" s="49"/>
    </row>
    <row r="97" spans="1:8" ht="14.1" customHeight="1" x14ac:dyDescent="0.2">
      <c r="A97" s="1"/>
      <c r="B97" s="1"/>
      <c r="C97" s="2" t="s">
        <v>130</v>
      </c>
      <c r="D97" s="1"/>
      <c r="E97" s="1" t="s">
        <v>131</v>
      </c>
      <c r="F97" s="13">
        <v>0</v>
      </c>
      <c r="G97" s="14">
        <v>0</v>
      </c>
      <c r="H97" s="49"/>
    </row>
    <row r="98" spans="1:8" ht="14.1" customHeight="1" x14ac:dyDescent="0.2">
      <c r="A98" s="1"/>
      <c r="B98" s="1"/>
      <c r="C98" s="11"/>
      <c r="D98" s="1"/>
      <c r="E98" s="1"/>
      <c r="F98" s="12"/>
      <c r="G98" s="12"/>
      <c r="H98" s="49"/>
    </row>
    <row r="99" spans="1:8" ht="14.1" customHeight="1" x14ac:dyDescent="0.2">
      <c r="A99" s="1"/>
      <c r="B99" s="1"/>
      <c r="C99" s="2" t="s">
        <v>145</v>
      </c>
      <c r="D99" s="1"/>
      <c r="E99" s="1"/>
      <c r="F99" s="12"/>
      <c r="G99" s="12"/>
      <c r="H99" s="49"/>
    </row>
    <row r="100" spans="1:8" ht="14.1" customHeight="1" x14ac:dyDescent="0.2">
      <c r="A100" s="1"/>
      <c r="B100" s="1"/>
      <c r="C100" s="2" t="s">
        <v>130</v>
      </c>
      <c r="D100" s="1"/>
      <c r="E100" s="1" t="s">
        <v>131</v>
      </c>
      <c r="F100" s="13">
        <v>0</v>
      </c>
      <c r="G100" s="14">
        <v>0</v>
      </c>
      <c r="H100" s="49"/>
    </row>
    <row r="101" spans="1:8" ht="14.1" customHeight="1" x14ac:dyDescent="0.2">
      <c r="A101" s="1"/>
      <c r="B101" s="1"/>
      <c r="C101" s="11"/>
      <c r="D101" s="1"/>
      <c r="E101" s="1"/>
      <c r="F101" s="12"/>
      <c r="G101" s="12"/>
      <c r="H101" s="49"/>
    </row>
    <row r="102" spans="1:8" ht="14.1" customHeight="1" x14ac:dyDescent="0.2">
      <c r="A102" s="1"/>
      <c r="B102" s="1"/>
      <c r="C102" s="2" t="s">
        <v>146</v>
      </c>
      <c r="D102" s="1"/>
      <c r="E102" s="1"/>
      <c r="F102" s="12"/>
      <c r="G102" s="12"/>
      <c r="H102" s="49"/>
    </row>
    <row r="103" spans="1:8" ht="14.1" customHeight="1" x14ac:dyDescent="0.2">
      <c r="A103" s="1"/>
      <c r="B103" s="1"/>
      <c r="C103" s="2" t="s">
        <v>130</v>
      </c>
      <c r="D103" s="1"/>
      <c r="E103" s="1" t="s">
        <v>131</v>
      </c>
      <c r="F103" s="13">
        <v>0</v>
      </c>
      <c r="G103" s="14">
        <v>0</v>
      </c>
      <c r="H103" s="49"/>
    </row>
    <row r="104" spans="1:8" ht="14.1" customHeight="1" x14ac:dyDescent="0.2">
      <c r="A104" s="1"/>
      <c r="B104" s="1"/>
      <c r="C104" s="11"/>
      <c r="D104" s="1"/>
      <c r="E104" s="1"/>
      <c r="F104" s="12"/>
      <c r="G104" s="12"/>
      <c r="H104" s="49"/>
    </row>
    <row r="105" spans="1:8" ht="14.1" customHeight="1" x14ac:dyDescent="0.2">
      <c r="A105" s="1"/>
      <c r="B105" s="1"/>
      <c r="C105" s="2" t="s">
        <v>147</v>
      </c>
      <c r="D105" s="1"/>
      <c r="E105" s="1"/>
      <c r="F105" s="12"/>
      <c r="G105" s="12"/>
      <c r="H105" s="49"/>
    </row>
    <row r="106" spans="1:8" ht="17.100000000000001" customHeight="1" x14ac:dyDescent="0.2">
      <c r="A106" s="3">
        <v>1</v>
      </c>
      <c r="B106" s="4"/>
      <c r="C106" s="4" t="s">
        <v>148</v>
      </c>
      <c r="D106" s="4"/>
      <c r="E106" s="8"/>
      <c r="F106" s="6">
        <v>2250.3826073</v>
      </c>
      <c r="G106" s="7">
        <v>6.2716375000000005E-2</v>
      </c>
      <c r="H106" s="49">
        <v>5.6572293145372496</v>
      </c>
    </row>
    <row r="107" spans="1:8" ht="14.1" customHeight="1" x14ac:dyDescent="0.2">
      <c r="A107" s="1"/>
      <c r="B107" s="1"/>
      <c r="C107" s="2" t="s">
        <v>130</v>
      </c>
      <c r="D107" s="1"/>
      <c r="E107" s="1" t="s">
        <v>131</v>
      </c>
      <c r="F107" s="9">
        <v>2250.3826073</v>
      </c>
      <c r="G107" s="10">
        <v>6.2716375000000005E-2</v>
      </c>
      <c r="H107" s="49"/>
    </row>
    <row r="108" spans="1:8" ht="14.1" customHeight="1" x14ac:dyDescent="0.2">
      <c r="A108" s="1"/>
      <c r="B108" s="1"/>
      <c r="C108" s="11"/>
      <c r="D108" s="1"/>
      <c r="E108" s="1"/>
      <c r="F108" s="12"/>
      <c r="G108" s="12"/>
      <c r="H108" s="49"/>
    </row>
    <row r="109" spans="1:8" ht="14.1" customHeight="1" x14ac:dyDescent="0.2">
      <c r="A109" s="1"/>
      <c r="B109" s="1"/>
      <c r="C109" s="2" t="s">
        <v>149</v>
      </c>
      <c r="D109" s="1"/>
      <c r="E109" s="1"/>
      <c r="F109" s="9">
        <v>2250.3826073</v>
      </c>
      <c r="G109" s="10">
        <v>6.2716375000000005E-2</v>
      </c>
      <c r="H109" s="49"/>
    </row>
    <row r="110" spans="1:8" ht="14.1" customHeight="1" x14ac:dyDescent="0.2">
      <c r="A110" s="1"/>
      <c r="B110" s="1"/>
      <c r="C110" s="12"/>
      <c r="D110" s="1"/>
      <c r="E110" s="1"/>
      <c r="F110" s="1"/>
      <c r="G110" s="1"/>
      <c r="H110" s="49"/>
    </row>
    <row r="111" spans="1:8" ht="14.1" customHeight="1" x14ac:dyDescent="0.2">
      <c r="A111" s="1"/>
      <c r="B111" s="1"/>
      <c r="C111" s="2" t="s">
        <v>150</v>
      </c>
      <c r="D111" s="1"/>
      <c r="E111" s="1"/>
      <c r="F111" s="1"/>
      <c r="G111" s="1"/>
      <c r="H111" s="49"/>
    </row>
    <row r="112" spans="1:8" ht="14.1" customHeight="1" x14ac:dyDescent="0.2">
      <c r="A112" s="1"/>
      <c r="B112" s="1"/>
      <c r="C112" s="2" t="s">
        <v>151</v>
      </c>
      <c r="D112" s="1"/>
      <c r="E112" s="1"/>
      <c r="F112" s="1"/>
      <c r="G112" s="1"/>
      <c r="H112" s="49"/>
    </row>
    <row r="113" spans="1:14" ht="14.1" customHeight="1" x14ac:dyDescent="0.2">
      <c r="A113" s="1"/>
      <c r="B113" s="1"/>
      <c r="C113" s="2" t="s">
        <v>130</v>
      </c>
      <c r="D113" s="1"/>
      <c r="E113" s="1" t="s">
        <v>131</v>
      </c>
      <c r="F113" s="13">
        <v>0</v>
      </c>
      <c r="G113" s="14">
        <v>0</v>
      </c>
      <c r="H113" s="49"/>
    </row>
    <row r="114" spans="1:14" ht="14.1" customHeight="1" x14ac:dyDescent="0.2">
      <c r="A114" s="1"/>
      <c r="B114" s="1"/>
      <c r="C114" s="11"/>
      <c r="D114" s="1"/>
      <c r="E114" s="1"/>
      <c r="F114" s="12"/>
      <c r="G114" s="12"/>
      <c r="H114" s="49"/>
    </row>
    <row r="115" spans="1:14" ht="14.1" customHeight="1" x14ac:dyDescent="0.2">
      <c r="A115" s="1"/>
      <c r="B115" s="1"/>
      <c r="C115" s="2" t="s">
        <v>152</v>
      </c>
      <c r="D115" s="1"/>
      <c r="E115" s="1"/>
      <c r="F115" s="1"/>
      <c r="G115" s="1"/>
      <c r="H115" s="49"/>
    </row>
    <row r="116" spans="1:14" ht="14.1" customHeight="1" x14ac:dyDescent="0.2">
      <c r="A116" s="1"/>
      <c r="B116" s="1"/>
      <c r="C116" s="2" t="s">
        <v>153</v>
      </c>
      <c r="D116" s="1"/>
      <c r="E116" s="1"/>
      <c r="F116" s="1"/>
      <c r="G116" s="1"/>
      <c r="H116" s="49"/>
    </row>
    <row r="117" spans="1:14" ht="14.1" customHeight="1" x14ac:dyDescent="0.2">
      <c r="A117" s="1"/>
      <c r="B117" s="1"/>
      <c r="C117" s="2" t="s">
        <v>130</v>
      </c>
      <c r="D117" s="1"/>
      <c r="E117" s="1" t="s">
        <v>131</v>
      </c>
      <c r="F117" s="13">
        <v>0</v>
      </c>
      <c r="G117" s="14">
        <v>0</v>
      </c>
      <c r="H117" s="49"/>
    </row>
    <row r="118" spans="1:14" ht="14.1" customHeight="1" x14ac:dyDescent="0.2">
      <c r="A118" s="1"/>
      <c r="B118" s="1"/>
      <c r="C118" s="11"/>
      <c r="D118" s="1"/>
      <c r="E118" s="1"/>
      <c r="F118" s="12"/>
      <c r="G118" s="12"/>
      <c r="H118" s="49"/>
    </row>
    <row r="119" spans="1:14" ht="14.1" customHeight="1" x14ac:dyDescent="0.2">
      <c r="A119" s="1"/>
      <c r="B119" s="1"/>
      <c r="C119" s="11"/>
      <c r="D119" s="1"/>
      <c r="E119" s="1"/>
      <c r="F119" s="12"/>
      <c r="G119" s="12"/>
      <c r="H119" s="49"/>
    </row>
    <row r="120" spans="1:14" ht="24" customHeight="1" x14ac:dyDescent="0.2">
      <c r="A120" s="1"/>
      <c r="B120" s="1"/>
      <c r="C120" s="2" t="s">
        <v>154</v>
      </c>
      <c r="D120" s="1"/>
      <c r="E120" s="1"/>
      <c r="F120" s="12"/>
      <c r="G120" s="12"/>
      <c r="H120" s="49"/>
    </row>
    <row r="121" spans="1:14" ht="14.1" customHeight="1" x14ac:dyDescent="0.2">
      <c r="A121" s="1"/>
      <c r="B121" s="1"/>
      <c r="C121" s="2" t="s">
        <v>130</v>
      </c>
      <c r="D121" s="1"/>
      <c r="E121" s="1" t="s">
        <v>131</v>
      </c>
      <c r="F121" s="13">
        <v>0</v>
      </c>
      <c r="G121" s="14">
        <v>0</v>
      </c>
      <c r="H121" s="49"/>
      <c r="J121" s="50"/>
      <c r="K121" s="50"/>
      <c r="L121" s="50"/>
      <c r="M121" s="50"/>
      <c r="N121" s="50"/>
    </row>
    <row r="122" spans="1:14" ht="14.1" customHeight="1" x14ac:dyDescent="0.2">
      <c r="A122" s="1"/>
      <c r="B122" s="1"/>
      <c r="C122" s="11"/>
      <c r="D122" s="1"/>
      <c r="E122" s="1"/>
      <c r="F122" s="12"/>
      <c r="G122" s="12"/>
      <c r="H122" s="49"/>
    </row>
    <row r="123" spans="1:14" ht="14.1" customHeight="1" x14ac:dyDescent="0.2">
      <c r="A123" s="1"/>
      <c r="B123" s="4"/>
      <c r="C123" s="4"/>
      <c r="D123" s="2"/>
      <c r="E123" s="1"/>
      <c r="F123" s="4"/>
      <c r="G123" s="8"/>
      <c r="H123" s="49"/>
    </row>
    <row r="124" spans="1:14" ht="18" customHeight="1" x14ac:dyDescent="0.2">
      <c r="A124" s="8"/>
      <c r="B124" s="4"/>
      <c r="C124" s="4" t="s">
        <v>818</v>
      </c>
      <c r="D124" s="4"/>
      <c r="E124" s="8"/>
      <c r="F124" s="6">
        <v>-65.557550190000001</v>
      </c>
      <c r="G124" s="7">
        <v>-1.8270370000000001E-3</v>
      </c>
      <c r="H124" s="49"/>
    </row>
    <row r="125" spans="1:14" ht="14.1" customHeight="1" x14ac:dyDescent="0.2">
      <c r="A125" s="11"/>
      <c r="B125" s="11"/>
      <c r="C125" s="2" t="s">
        <v>156</v>
      </c>
      <c r="D125" s="15"/>
      <c r="E125" s="15"/>
      <c r="F125" s="9">
        <v>35881.898781010001</v>
      </c>
      <c r="G125" s="10">
        <v>1.0000000010000001</v>
      </c>
      <c r="H125" s="49"/>
    </row>
    <row r="126" spans="1:14" ht="14.1" customHeight="1" x14ac:dyDescent="0.2">
      <c r="A126" s="16"/>
      <c r="B126" s="16"/>
      <c r="C126" s="16"/>
      <c r="D126" s="17"/>
      <c r="E126" s="17"/>
      <c r="F126" s="17"/>
      <c r="G126" s="17"/>
      <c r="I126" s="50"/>
    </row>
    <row r="127" spans="1:14" ht="17.100000000000001" customHeight="1" x14ac:dyDescent="0.2">
      <c r="A127" s="18"/>
      <c r="B127" s="332" t="s">
        <v>582</v>
      </c>
      <c r="C127" s="332"/>
      <c r="D127" s="332"/>
      <c r="E127" s="332"/>
      <c r="F127" s="332"/>
      <c r="G127" s="20"/>
    </row>
    <row r="128" spans="1:14" ht="17.100000000000001" customHeight="1" x14ac:dyDescent="0.2">
      <c r="A128" s="18"/>
      <c r="B128" s="327" t="s">
        <v>819</v>
      </c>
      <c r="C128" s="327"/>
      <c r="D128" s="327"/>
      <c r="E128" s="327"/>
      <c r="F128" s="327"/>
      <c r="G128" s="20"/>
    </row>
    <row r="129" spans="1:7" ht="17.100000000000001" customHeight="1" x14ac:dyDescent="0.2">
      <c r="A129" s="18"/>
      <c r="B129" s="327" t="s">
        <v>157</v>
      </c>
      <c r="C129" s="327"/>
      <c r="D129" s="327"/>
      <c r="E129" s="327"/>
      <c r="F129" s="327"/>
      <c r="G129" s="20"/>
    </row>
    <row r="130" spans="1:7" ht="14.1" customHeight="1" x14ac:dyDescent="0.2">
      <c r="A130" s="18"/>
      <c r="B130" s="18"/>
      <c r="C130" s="18"/>
      <c r="D130" s="20"/>
      <c r="E130" s="20"/>
      <c r="F130" s="20"/>
      <c r="G130" s="20"/>
    </row>
    <row r="131" spans="1:7" ht="14.1" customHeight="1" x14ac:dyDescent="0.2">
      <c r="A131" s="18"/>
      <c r="B131" s="319" t="s">
        <v>158</v>
      </c>
      <c r="C131" s="320"/>
      <c r="D131" s="12" t="s">
        <v>131</v>
      </c>
      <c r="E131" s="21"/>
      <c r="F131" s="20"/>
      <c r="G131" s="20"/>
    </row>
    <row r="132" spans="1:7" ht="29.1" customHeight="1" x14ac:dyDescent="0.2">
      <c r="A132" s="18"/>
      <c r="B132" s="323" t="s">
        <v>159</v>
      </c>
      <c r="C132" s="324"/>
      <c r="D132" s="57" t="s">
        <v>1014</v>
      </c>
      <c r="E132" s="21"/>
      <c r="F132" s="20"/>
      <c r="G132" s="20"/>
    </row>
    <row r="133" spans="1:7" ht="17.100000000000001" customHeight="1" x14ac:dyDescent="0.2">
      <c r="A133" s="18"/>
      <c r="B133" s="325" t="s">
        <v>954</v>
      </c>
      <c r="C133" s="326"/>
      <c r="D133" s="57" t="s">
        <v>962</v>
      </c>
      <c r="E133" s="21"/>
      <c r="F133" s="20"/>
      <c r="G133" s="20"/>
    </row>
    <row r="134" spans="1:7" ht="17.100000000000001" customHeight="1" x14ac:dyDescent="0.2">
      <c r="A134" s="18"/>
      <c r="B134" s="323" t="s">
        <v>162</v>
      </c>
      <c r="C134" s="324"/>
      <c r="D134" s="12" t="s">
        <v>131</v>
      </c>
      <c r="E134" s="21"/>
      <c r="F134" s="20"/>
      <c r="G134" s="20"/>
    </row>
    <row r="135" spans="1:7" ht="24" customHeight="1" x14ac:dyDescent="0.2">
      <c r="A135" s="22"/>
      <c r="B135" s="23" t="s">
        <v>131</v>
      </c>
      <c r="C135" s="23" t="s">
        <v>163</v>
      </c>
      <c r="D135" s="23" t="s">
        <v>164</v>
      </c>
      <c r="E135" s="22"/>
      <c r="F135" s="22"/>
      <c r="G135" s="22"/>
    </row>
    <row r="136" spans="1:7" ht="18" customHeight="1" x14ac:dyDescent="0.2">
      <c r="A136" s="22"/>
      <c r="B136" s="23" t="s">
        <v>165</v>
      </c>
      <c r="C136" s="23" t="s">
        <v>166</v>
      </c>
      <c r="D136" s="23" t="s">
        <v>167</v>
      </c>
      <c r="E136" s="22"/>
      <c r="F136" s="22"/>
      <c r="G136" s="22"/>
    </row>
    <row r="137" spans="1:7" ht="17.100000000000001" customHeight="1" x14ac:dyDescent="0.2">
      <c r="A137" s="22"/>
      <c r="B137" s="4" t="s">
        <v>168</v>
      </c>
      <c r="C137" s="24">
        <v>92.637699999999995</v>
      </c>
      <c r="D137" s="24">
        <v>95.164299999999997</v>
      </c>
      <c r="E137" s="22"/>
      <c r="F137" s="19"/>
      <c r="G137" s="25"/>
    </row>
    <row r="138" spans="1:7" ht="29.1" customHeight="1" x14ac:dyDescent="0.2">
      <c r="A138" s="22"/>
      <c r="B138" s="4" t="s">
        <v>1024</v>
      </c>
      <c r="C138" s="24">
        <v>49.466900000000003</v>
      </c>
      <c r="D138" s="24">
        <v>50.810400000000001</v>
      </c>
      <c r="E138" s="22"/>
      <c r="F138" s="19"/>
      <c r="G138" s="25"/>
    </row>
    <row r="139" spans="1:7" ht="17.100000000000001" customHeight="1" x14ac:dyDescent="0.2">
      <c r="A139" s="22"/>
      <c r="B139" s="4" t="s">
        <v>169</v>
      </c>
      <c r="C139" s="24">
        <v>87.830699999999993</v>
      </c>
      <c r="D139" s="24">
        <v>90.159000000000006</v>
      </c>
      <c r="E139" s="22"/>
      <c r="F139" s="19"/>
      <c r="G139" s="25"/>
    </row>
    <row r="140" spans="1:7" ht="29.1" customHeight="1" x14ac:dyDescent="0.2">
      <c r="A140" s="22"/>
      <c r="B140" s="4" t="s">
        <v>1025</v>
      </c>
      <c r="C140" s="24">
        <v>30.575399999999998</v>
      </c>
      <c r="D140" s="24">
        <v>31.3858</v>
      </c>
      <c r="E140" s="22"/>
      <c r="F140" s="19"/>
      <c r="G140" s="25"/>
    </row>
    <row r="141" spans="1:7" ht="14.1" customHeight="1" x14ac:dyDescent="0.2">
      <c r="A141" s="22"/>
      <c r="B141" s="22"/>
      <c r="C141" s="22"/>
      <c r="D141" s="22"/>
      <c r="E141" s="22"/>
      <c r="F141" s="22"/>
      <c r="G141" s="22"/>
    </row>
    <row r="142" spans="1:7" ht="17.100000000000001" customHeight="1" x14ac:dyDescent="0.2">
      <c r="A142" s="22"/>
      <c r="B142" s="323" t="s">
        <v>1023</v>
      </c>
      <c r="C142" s="324"/>
      <c r="D142" s="2" t="s">
        <v>160</v>
      </c>
      <c r="E142" s="22"/>
      <c r="F142" s="22"/>
      <c r="G142" s="22"/>
    </row>
    <row r="143" spans="1:7" ht="18" customHeight="1" x14ac:dyDescent="0.2">
      <c r="A143" s="22"/>
      <c r="B143" s="28"/>
      <c r="C143" s="28"/>
      <c r="D143" s="26"/>
      <c r="E143" s="22"/>
      <c r="F143" s="22"/>
      <c r="G143" s="22"/>
    </row>
    <row r="144" spans="1:7" ht="29.1" customHeight="1" x14ac:dyDescent="0.2">
      <c r="A144" s="22"/>
      <c r="B144" s="323" t="s">
        <v>170</v>
      </c>
      <c r="C144" s="324"/>
      <c r="D144" s="2" t="s">
        <v>160</v>
      </c>
      <c r="E144" s="22"/>
      <c r="F144" s="22"/>
      <c r="G144" s="22"/>
    </row>
    <row r="145" spans="1:7" ht="29.1" customHeight="1" x14ac:dyDescent="0.2">
      <c r="A145" s="22"/>
      <c r="B145" s="323" t="s">
        <v>171</v>
      </c>
      <c r="C145" s="324"/>
      <c r="D145" s="2" t="s">
        <v>160</v>
      </c>
      <c r="E145" s="22"/>
      <c r="F145" s="22"/>
      <c r="G145" s="22"/>
    </row>
    <row r="146" spans="1:7" ht="17.100000000000001" customHeight="1" x14ac:dyDescent="0.2">
      <c r="A146" s="22"/>
      <c r="B146" s="323" t="s">
        <v>172</v>
      </c>
      <c r="C146" s="324"/>
      <c r="D146" s="27">
        <v>0.30444504696274827</v>
      </c>
      <c r="E146" s="22"/>
      <c r="F146" s="19"/>
      <c r="G146" s="25"/>
    </row>
    <row r="147" spans="1:7" ht="17.100000000000001" customHeight="1" x14ac:dyDescent="0.2">
      <c r="A147" s="22"/>
      <c r="B147" s="323" t="s">
        <v>173</v>
      </c>
      <c r="C147" s="324"/>
      <c r="D147" s="2" t="s">
        <v>160</v>
      </c>
      <c r="E147" s="22"/>
      <c r="F147" s="22"/>
      <c r="G147" s="22"/>
    </row>
    <row r="149" spans="1:7" x14ac:dyDescent="0.2">
      <c r="B149" s="69" t="s">
        <v>1018</v>
      </c>
      <c r="C149" s="69"/>
      <c r="D149" s="69"/>
      <c r="E149" s="70"/>
      <c r="F149" s="71"/>
    </row>
    <row r="150" spans="1:7" ht="38.25" x14ac:dyDescent="0.2">
      <c r="B150" s="72" t="s">
        <v>990</v>
      </c>
      <c r="C150" s="73" t="s">
        <v>991</v>
      </c>
      <c r="D150" s="73" t="s">
        <v>992</v>
      </c>
      <c r="E150" s="73" t="s">
        <v>993</v>
      </c>
      <c r="F150" s="73" t="s">
        <v>994</v>
      </c>
    </row>
    <row r="151" spans="1:7" ht="25.5" x14ac:dyDescent="0.2">
      <c r="B151" s="74" t="s">
        <v>1011</v>
      </c>
      <c r="C151" s="75" t="s">
        <v>1012</v>
      </c>
      <c r="D151" s="76">
        <v>0</v>
      </c>
      <c r="E151" s="77">
        <v>0</v>
      </c>
      <c r="F151" s="78">
        <v>241.97234</v>
      </c>
    </row>
    <row r="152" spans="1:7" ht="25.5" x14ac:dyDescent="0.2">
      <c r="B152" s="74" t="s">
        <v>1013</v>
      </c>
      <c r="C152" s="75" t="s">
        <v>1012</v>
      </c>
      <c r="D152" s="76">
        <v>0</v>
      </c>
      <c r="E152" s="77">
        <v>0</v>
      </c>
      <c r="F152" s="78">
        <v>23.186299999999999</v>
      </c>
    </row>
  </sheetData>
  <mergeCells count="16">
    <mergeCell ref="B146:C146"/>
    <mergeCell ref="B147:C147"/>
    <mergeCell ref="B132:C132"/>
    <mergeCell ref="B133:C133"/>
    <mergeCell ref="B134:C134"/>
    <mergeCell ref="B142:C142"/>
    <mergeCell ref="B144:C144"/>
    <mergeCell ref="B145:C145"/>
    <mergeCell ref="A1:H1"/>
    <mergeCell ref="A2:H2"/>
    <mergeCell ref="A3:H3"/>
    <mergeCell ref="J2:N2"/>
    <mergeCell ref="B131:C131"/>
    <mergeCell ref="B127:F127"/>
    <mergeCell ref="B129:F129"/>
    <mergeCell ref="B128:F128"/>
  </mergeCells>
  <hyperlinks>
    <hyperlink ref="I1" location="Index!B26" display="Index" xr:uid="{D5651F61-B348-4A7D-A888-22F796F784B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O19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5703125" bestFit="1" customWidth="1"/>
  </cols>
  <sheetData>
    <row r="1" spans="1:15" ht="18" customHeight="1" x14ac:dyDescent="0.2">
      <c r="A1" s="340" t="s">
        <v>0</v>
      </c>
      <c r="B1" s="340"/>
      <c r="C1" s="340"/>
      <c r="D1" s="340"/>
      <c r="E1" s="340"/>
      <c r="F1" s="340"/>
      <c r="G1" s="340"/>
      <c r="H1" s="340"/>
      <c r="I1" s="219" t="s">
        <v>1069</v>
      </c>
    </row>
    <row r="2" spans="1:15" ht="17.100000000000001" customHeight="1" x14ac:dyDescent="0.2">
      <c r="A2" s="350" t="s">
        <v>1036</v>
      </c>
      <c r="B2" s="351"/>
      <c r="C2" s="351"/>
      <c r="D2" s="351"/>
      <c r="E2" s="351"/>
      <c r="F2" s="351"/>
      <c r="G2" s="351"/>
      <c r="H2" s="352"/>
      <c r="J2" s="321" t="s">
        <v>1070</v>
      </c>
      <c r="K2" s="321"/>
      <c r="L2" s="321"/>
      <c r="M2" s="321"/>
      <c r="N2" s="321"/>
    </row>
    <row r="3" spans="1:15" ht="21" customHeight="1" x14ac:dyDescent="0.2">
      <c r="A3" s="340" t="s">
        <v>1031</v>
      </c>
      <c r="B3" s="340"/>
      <c r="C3" s="340"/>
      <c r="D3" s="340"/>
      <c r="E3" s="340"/>
      <c r="F3" s="340"/>
      <c r="G3" s="340"/>
      <c r="H3" s="340"/>
    </row>
    <row r="4" spans="1:15" s="85" customFormat="1" ht="30" x14ac:dyDescent="0.2">
      <c r="A4" s="144" t="s">
        <v>2</v>
      </c>
      <c r="B4" s="144" t="s">
        <v>3</v>
      </c>
      <c r="C4" s="144" t="s">
        <v>4</v>
      </c>
      <c r="D4" s="144" t="s">
        <v>5</v>
      </c>
      <c r="E4" s="144" t="s">
        <v>6</v>
      </c>
      <c r="F4" s="144" t="s">
        <v>7</v>
      </c>
      <c r="G4" s="144" t="s">
        <v>8</v>
      </c>
      <c r="H4" s="66" t="s">
        <v>989</v>
      </c>
      <c r="I4" s="216"/>
      <c r="J4" s="216"/>
      <c r="K4" s="216"/>
      <c r="L4" s="216"/>
      <c r="M4" s="216"/>
      <c r="N4" s="216"/>
      <c r="O4" s="216"/>
    </row>
    <row r="5" spans="1:15" ht="14.1" customHeight="1" x14ac:dyDescent="0.2">
      <c r="A5" s="89"/>
      <c r="B5" s="89"/>
      <c r="C5" s="90" t="s">
        <v>9</v>
      </c>
      <c r="D5" s="89"/>
      <c r="E5" s="89"/>
      <c r="F5" s="89"/>
      <c r="G5" s="89"/>
      <c r="H5" s="47"/>
    </row>
    <row r="6" spans="1:15" ht="24" customHeight="1" x14ac:dyDescent="0.2">
      <c r="A6" s="89"/>
      <c r="B6" s="89"/>
      <c r="C6" s="90" t="s">
        <v>10</v>
      </c>
      <c r="D6" s="89"/>
      <c r="E6" s="89"/>
      <c r="F6" s="89"/>
      <c r="G6" s="89"/>
      <c r="H6" s="47"/>
    </row>
    <row r="7" spans="1:15" ht="17.100000000000001" customHeight="1" x14ac:dyDescent="0.2">
      <c r="A7" s="91">
        <v>1</v>
      </c>
      <c r="B7" s="92" t="s">
        <v>263</v>
      </c>
      <c r="C7" s="92" t="s">
        <v>264</v>
      </c>
      <c r="D7" s="92" t="s">
        <v>16</v>
      </c>
      <c r="E7" s="93">
        <v>208423</v>
      </c>
      <c r="F7" s="94">
        <v>3352.3797435000001</v>
      </c>
      <c r="G7" s="95">
        <v>7.9998062999999994E-2</v>
      </c>
      <c r="H7" s="47"/>
    </row>
    <row r="8" spans="1:15" ht="17.100000000000001" customHeight="1" x14ac:dyDescent="0.2">
      <c r="A8" s="91">
        <v>2</v>
      </c>
      <c r="B8" s="92" t="s">
        <v>14</v>
      </c>
      <c r="C8" s="92" t="s">
        <v>15</v>
      </c>
      <c r="D8" s="92" t="s">
        <v>16</v>
      </c>
      <c r="E8" s="93">
        <v>313625</v>
      </c>
      <c r="F8" s="94">
        <v>2988.5326249999998</v>
      </c>
      <c r="G8" s="95">
        <v>7.1315555000000003E-2</v>
      </c>
      <c r="H8" s="47"/>
    </row>
    <row r="9" spans="1:15" ht="17.100000000000001" customHeight="1" x14ac:dyDescent="0.2">
      <c r="A9" s="91">
        <v>3</v>
      </c>
      <c r="B9" s="92" t="s">
        <v>294</v>
      </c>
      <c r="C9" s="92" t="s">
        <v>295</v>
      </c>
      <c r="D9" s="92" t="s">
        <v>974</v>
      </c>
      <c r="E9" s="93">
        <v>116000</v>
      </c>
      <c r="F9" s="94">
        <v>1896.5419999999999</v>
      </c>
      <c r="G9" s="95">
        <v>4.5257309000000003E-2</v>
      </c>
      <c r="H9" s="47"/>
    </row>
    <row r="10" spans="1:15" ht="17.100000000000001" customHeight="1" x14ac:dyDescent="0.2">
      <c r="A10" s="91">
        <v>4</v>
      </c>
      <c r="B10" s="92" t="s">
        <v>326</v>
      </c>
      <c r="C10" s="92" t="s">
        <v>327</v>
      </c>
      <c r="D10" s="92" t="s">
        <v>974</v>
      </c>
      <c r="E10" s="93">
        <v>132600</v>
      </c>
      <c r="F10" s="94">
        <v>1428.1020000000001</v>
      </c>
      <c r="G10" s="95">
        <v>3.4078893999999998E-2</v>
      </c>
      <c r="H10" s="47"/>
    </row>
    <row r="11" spans="1:15" ht="53.1" customHeight="1" x14ac:dyDescent="0.2">
      <c r="A11" s="91">
        <v>5</v>
      </c>
      <c r="B11" s="92" t="s">
        <v>49</v>
      </c>
      <c r="C11" s="92" t="s">
        <v>50</v>
      </c>
      <c r="D11" s="92" t="s">
        <v>51</v>
      </c>
      <c r="E11" s="93">
        <v>918500</v>
      </c>
      <c r="F11" s="94">
        <v>1366.7280000000001</v>
      </c>
      <c r="G11" s="95">
        <v>3.2614322000000001E-2</v>
      </c>
      <c r="H11" s="47"/>
      <c r="J11" s="217" t="s">
        <v>1088</v>
      </c>
      <c r="K11" s="225"/>
      <c r="L11" s="225"/>
      <c r="M11" s="225"/>
      <c r="N11" s="225"/>
    </row>
    <row r="12" spans="1:15" ht="17.100000000000001" customHeight="1" x14ac:dyDescent="0.2">
      <c r="A12" s="91">
        <v>6</v>
      </c>
      <c r="B12" s="92" t="s">
        <v>306</v>
      </c>
      <c r="C12" s="92" t="s">
        <v>307</v>
      </c>
      <c r="D12" s="92" t="s">
        <v>308</v>
      </c>
      <c r="E12" s="93">
        <v>48458</v>
      </c>
      <c r="F12" s="94">
        <v>1300.7823229999999</v>
      </c>
      <c r="G12" s="95">
        <v>3.1040656E-2</v>
      </c>
      <c r="H12" s="47"/>
    </row>
    <row r="13" spans="1:15" ht="29.1" customHeight="1" x14ac:dyDescent="0.2">
      <c r="A13" s="91">
        <v>7</v>
      </c>
      <c r="B13" s="92" t="s">
        <v>296</v>
      </c>
      <c r="C13" s="92" t="s">
        <v>297</v>
      </c>
      <c r="D13" s="92" t="s">
        <v>103</v>
      </c>
      <c r="E13" s="93">
        <v>47100</v>
      </c>
      <c r="F13" s="94">
        <v>1268.1910499999999</v>
      </c>
      <c r="G13" s="95">
        <v>3.0262928000000001E-2</v>
      </c>
      <c r="H13" s="47"/>
    </row>
    <row r="14" spans="1:15" ht="17.100000000000001" customHeight="1" x14ac:dyDescent="0.2">
      <c r="A14" s="91">
        <v>8</v>
      </c>
      <c r="B14" s="92" t="s">
        <v>39</v>
      </c>
      <c r="C14" s="92" t="s">
        <v>40</v>
      </c>
      <c r="D14" s="92" t="s">
        <v>16</v>
      </c>
      <c r="E14" s="93">
        <v>186812</v>
      </c>
      <c r="F14" s="94">
        <v>1125.4488940000001</v>
      </c>
      <c r="G14" s="95">
        <v>2.6856662E-2</v>
      </c>
      <c r="H14" s="47"/>
    </row>
    <row r="15" spans="1:15" ht="17.100000000000001" customHeight="1" x14ac:dyDescent="0.2">
      <c r="A15" s="91">
        <v>9</v>
      </c>
      <c r="B15" s="92" t="s">
        <v>180</v>
      </c>
      <c r="C15" s="92" t="s">
        <v>181</v>
      </c>
      <c r="D15" s="92" t="s">
        <v>16</v>
      </c>
      <c r="E15" s="93">
        <v>121365</v>
      </c>
      <c r="F15" s="94">
        <v>1093.8020624999999</v>
      </c>
      <c r="G15" s="95">
        <v>2.6101472000000001E-2</v>
      </c>
      <c r="H15" s="47"/>
    </row>
    <row r="16" spans="1:15" ht="17.100000000000001" customHeight="1" x14ac:dyDescent="0.2">
      <c r="A16" s="91">
        <v>10</v>
      </c>
      <c r="B16" s="92" t="s">
        <v>70</v>
      </c>
      <c r="C16" s="92" t="s">
        <v>71</v>
      </c>
      <c r="D16" s="92" t="s">
        <v>72</v>
      </c>
      <c r="E16" s="93">
        <v>10000</v>
      </c>
      <c r="F16" s="94">
        <v>897.41499999999996</v>
      </c>
      <c r="G16" s="95">
        <v>2.1415073999999999E-2</v>
      </c>
      <c r="H16" s="47"/>
    </row>
    <row r="17" spans="1:14" ht="17.100000000000001" customHeight="1" x14ac:dyDescent="0.2">
      <c r="A17" s="91">
        <v>11</v>
      </c>
      <c r="B17" s="92" t="s">
        <v>344</v>
      </c>
      <c r="C17" s="92" t="s">
        <v>345</v>
      </c>
      <c r="D17" s="92" t="s">
        <v>103</v>
      </c>
      <c r="E17" s="93">
        <v>13125</v>
      </c>
      <c r="F17" s="94">
        <v>882.12468750000005</v>
      </c>
      <c r="G17" s="95">
        <v>2.1050201000000001E-2</v>
      </c>
      <c r="H17" s="47"/>
    </row>
    <row r="18" spans="1:14" ht="17.100000000000001" customHeight="1" x14ac:dyDescent="0.2">
      <c r="A18" s="91">
        <v>12</v>
      </c>
      <c r="B18" s="92" t="s">
        <v>584</v>
      </c>
      <c r="C18" s="92" t="s">
        <v>585</v>
      </c>
      <c r="D18" s="92" t="s">
        <v>188</v>
      </c>
      <c r="E18" s="93">
        <v>880552</v>
      </c>
      <c r="F18" s="94">
        <v>756.83444399999996</v>
      </c>
      <c r="G18" s="95">
        <v>1.8060390999999999E-2</v>
      </c>
      <c r="H18" s="47"/>
    </row>
    <row r="19" spans="1:14" ht="17.100000000000001" customHeight="1" x14ac:dyDescent="0.2">
      <c r="A19" s="91">
        <v>13</v>
      </c>
      <c r="B19" s="92" t="s">
        <v>498</v>
      </c>
      <c r="C19" s="92" t="s">
        <v>499</v>
      </c>
      <c r="D19" s="92" t="s">
        <v>317</v>
      </c>
      <c r="E19" s="93">
        <v>15000</v>
      </c>
      <c r="F19" s="94">
        <v>660.80250000000001</v>
      </c>
      <c r="G19" s="95">
        <v>1.5768773999999999E-2</v>
      </c>
      <c r="H19" s="47"/>
    </row>
    <row r="20" spans="1:14" ht="17.100000000000001" customHeight="1" x14ac:dyDescent="0.2">
      <c r="A20" s="91">
        <v>14</v>
      </c>
      <c r="B20" s="92" t="s">
        <v>73</v>
      </c>
      <c r="C20" s="92" t="s">
        <v>74</v>
      </c>
      <c r="D20" s="92" t="s">
        <v>38</v>
      </c>
      <c r="E20" s="93">
        <v>220555</v>
      </c>
      <c r="F20" s="94">
        <v>632.88257250000004</v>
      </c>
      <c r="G20" s="95">
        <v>1.5102519E-2</v>
      </c>
      <c r="H20" s="47"/>
    </row>
    <row r="21" spans="1:14" ht="17.100000000000001" customHeight="1" x14ac:dyDescent="0.2">
      <c r="A21" s="91">
        <v>15</v>
      </c>
      <c r="B21" s="92" t="s">
        <v>512</v>
      </c>
      <c r="C21" s="45" t="s">
        <v>982</v>
      </c>
      <c r="D21" s="92" t="s">
        <v>72</v>
      </c>
      <c r="E21" s="93">
        <v>260000</v>
      </c>
      <c r="F21" s="94">
        <v>611.39</v>
      </c>
      <c r="G21" s="95">
        <v>1.4589641E-2</v>
      </c>
      <c r="H21" s="47"/>
    </row>
    <row r="22" spans="1:14" ht="17.100000000000001" customHeight="1" x14ac:dyDescent="0.2">
      <c r="A22" s="91">
        <v>16</v>
      </c>
      <c r="B22" s="92" t="s">
        <v>340</v>
      </c>
      <c r="C22" s="92" t="s">
        <v>341</v>
      </c>
      <c r="D22" s="92" t="s">
        <v>16</v>
      </c>
      <c r="E22" s="93">
        <v>191000</v>
      </c>
      <c r="F22" s="94">
        <v>601.077</v>
      </c>
      <c r="G22" s="95">
        <v>1.4343541E-2</v>
      </c>
      <c r="H22" s="47"/>
    </row>
    <row r="23" spans="1:14" ht="17.100000000000001" customHeight="1" x14ac:dyDescent="0.2">
      <c r="A23" s="91">
        <v>17</v>
      </c>
      <c r="B23" s="92" t="s">
        <v>586</v>
      </c>
      <c r="C23" s="92" t="s">
        <v>587</v>
      </c>
      <c r="D23" s="92" t="s">
        <v>43</v>
      </c>
      <c r="E23" s="93">
        <v>30000</v>
      </c>
      <c r="F23" s="94">
        <v>581.23500000000001</v>
      </c>
      <c r="G23" s="95">
        <v>1.387005E-2</v>
      </c>
      <c r="H23" s="47"/>
    </row>
    <row r="24" spans="1:14" ht="17.100000000000001" customHeight="1" x14ac:dyDescent="0.2">
      <c r="A24" s="91">
        <v>18</v>
      </c>
      <c r="B24" s="92" t="s">
        <v>44</v>
      </c>
      <c r="C24" s="92" t="s">
        <v>45</v>
      </c>
      <c r="D24" s="92" t="s">
        <v>31</v>
      </c>
      <c r="E24" s="93">
        <v>22000</v>
      </c>
      <c r="F24" s="94">
        <v>564.29999999999995</v>
      </c>
      <c r="G24" s="95">
        <v>1.3465929E-2</v>
      </c>
      <c r="H24" s="47"/>
    </row>
    <row r="25" spans="1:14" ht="17.100000000000001" customHeight="1" x14ac:dyDescent="0.2">
      <c r="A25" s="91">
        <v>19</v>
      </c>
      <c r="B25" s="92" t="s">
        <v>175</v>
      </c>
      <c r="C25" s="92" t="s">
        <v>176</v>
      </c>
      <c r="D25" s="92" t="s">
        <v>16</v>
      </c>
      <c r="E25" s="93">
        <v>400000</v>
      </c>
      <c r="F25" s="94">
        <v>525.79999999999995</v>
      </c>
      <c r="G25" s="95">
        <v>1.2547200999999999E-2</v>
      </c>
      <c r="H25" s="47"/>
    </row>
    <row r="26" spans="1:14" ht="17.100000000000001" customHeight="1" x14ac:dyDescent="0.2">
      <c r="A26" s="91">
        <v>20</v>
      </c>
      <c r="B26" s="92" t="s">
        <v>20</v>
      </c>
      <c r="C26" s="92" t="s">
        <v>21</v>
      </c>
      <c r="D26" s="92" t="s">
        <v>22</v>
      </c>
      <c r="E26" s="93">
        <v>19000</v>
      </c>
      <c r="F26" s="94">
        <v>518.95650000000001</v>
      </c>
      <c r="G26" s="95">
        <v>1.2383893999999999E-2</v>
      </c>
      <c r="H26" s="47"/>
    </row>
    <row r="27" spans="1:14" ht="29.1" customHeight="1" x14ac:dyDescent="0.2">
      <c r="A27" s="91">
        <v>21</v>
      </c>
      <c r="B27" s="92" t="s">
        <v>101</v>
      </c>
      <c r="C27" s="92" t="s">
        <v>102</v>
      </c>
      <c r="D27" s="92" t="s">
        <v>103</v>
      </c>
      <c r="E27" s="93">
        <v>67000</v>
      </c>
      <c r="F27" s="94">
        <v>478.9495</v>
      </c>
      <c r="G27" s="95">
        <v>1.1429204E-2</v>
      </c>
      <c r="H27" s="47"/>
    </row>
    <row r="28" spans="1:14" ht="17.100000000000001" customHeight="1" x14ac:dyDescent="0.2">
      <c r="A28" s="91">
        <v>22</v>
      </c>
      <c r="B28" s="92" t="s">
        <v>302</v>
      </c>
      <c r="C28" s="92" t="s">
        <v>303</v>
      </c>
      <c r="D28" s="92" t="s">
        <v>974</v>
      </c>
      <c r="E28" s="93">
        <v>13950</v>
      </c>
      <c r="F28" s="94">
        <v>473.01659999999998</v>
      </c>
      <c r="G28" s="95">
        <v>1.1287627E-2</v>
      </c>
      <c r="H28" s="47"/>
    </row>
    <row r="29" spans="1:14" ht="17.100000000000001" customHeight="1" x14ac:dyDescent="0.2">
      <c r="A29" s="91">
        <v>23</v>
      </c>
      <c r="B29" s="92" t="s">
        <v>104</v>
      </c>
      <c r="C29" s="92" t="s">
        <v>105</v>
      </c>
      <c r="D29" s="92" t="s">
        <v>100</v>
      </c>
      <c r="E29" s="93">
        <v>48000</v>
      </c>
      <c r="F29" s="94">
        <v>443.47199999999998</v>
      </c>
      <c r="G29" s="95">
        <v>1.0582602E-2</v>
      </c>
      <c r="H29" s="47"/>
    </row>
    <row r="30" spans="1:14" ht="17.100000000000001" customHeight="1" x14ac:dyDescent="0.2">
      <c r="A30" s="91">
        <v>24</v>
      </c>
      <c r="B30" s="92" t="s">
        <v>332</v>
      </c>
      <c r="C30" s="92" t="s">
        <v>333</v>
      </c>
      <c r="D30" s="92" t="s">
        <v>218</v>
      </c>
      <c r="E30" s="93">
        <v>399500</v>
      </c>
      <c r="F30" s="94">
        <v>430.06175000000002</v>
      </c>
      <c r="G30" s="95">
        <v>1.0262591999999999E-2</v>
      </c>
      <c r="H30" s="47"/>
    </row>
    <row r="31" spans="1:14" ht="53.1" customHeight="1" x14ac:dyDescent="0.2">
      <c r="A31" s="91">
        <v>25</v>
      </c>
      <c r="B31" s="92" t="s">
        <v>94</v>
      </c>
      <c r="C31" s="92" t="s">
        <v>95</v>
      </c>
      <c r="D31" s="92" t="s">
        <v>51</v>
      </c>
      <c r="E31" s="93">
        <v>26000</v>
      </c>
      <c r="F31" s="94">
        <v>381.79700000000003</v>
      </c>
      <c r="G31" s="95">
        <v>9.110847E-3</v>
      </c>
      <c r="H31" s="47"/>
      <c r="J31" s="225"/>
      <c r="K31" s="225"/>
      <c r="L31" s="225"/>
      <c r="M31" s="225"/>
      <c r="N31" s="225"/>
    </row>
    <row r="32" spans="1:14" ht="17.100000000000001" customHeight="1" x14ac:dyDescent="0.2">
      <c r="A32" s="91">
        <v>26</v>
      </c>
      <c r="B32" s="92" t="s">
        <v>236</v>
      </c>
      <c r="C32" s="92" t="s">
        <v>237</v>
      </c>
      <c r="D32" s="92" t="s">
        <v>238</v>
      </c>
      <c r="E32" s="93">
        <v>53000</v>
      </c>
      <c r="F32" s="94">
        <v>373.96800000000002</v>
      </c>
      <c r="G32" s="95">
        <v>8.9240229999999997E-3</v>
      </c>
      <c r="H32" s="47"/>
    </row>
    <row r="33" spans="1:8" ht="17.100000000000001" customHeight="1" x14ac:dyDescent="0.2">
      <c r="A33" s="91">
        <v>27</v>
      </c>
      <c r="B33" s="92" t="s">
        <v>588</v>
      </c>
      <c r="C33" s="92" t="s">
        <v>589</v>
      </c>
      <c r="D33" s="92" t="s">
        <v>179</v>
      </c>
      <c r="E33" s="93">
        <v>40000</v>
      </c>
      <c r="F33" s="94">
        <v>372.92</v>
      </c>
      <c r="G33" s="95">
        <v>8.8990149999999997E-3</v>
      </c>
      <c r="H33" s="47"/>
    </row>
    <row r="34" spans="1:8" ht="29.1" customHeight="1" x14ac:dyDescent="0.2">
      <c r="A34" s="91">
        <v>28</v>
      </c>
      <c r="B34" s="92" t="s">
        <v>23</v>
      </c>
      <c r="C34" s="92" t="s">
        <v>24</v>
      </c>
      <c r="D34" s="92" t="s">
        <v>25</v>
      </c>
      <c r="E34" s="93">
        <v>5000</v>
      </c>
      <c r="F34" s="94">
        <v>353.85</v>
      </c>
      <c r="G34" s="95">
        <v>8.4439460000000008E-3</v>
      </c>
      <c r="H34" s="47"/>
    </row>
    <row r="35" spans="1:8" ht="17.100000000000001" customHeight="1" x14ac:dyDescent="0.2">
      <c r="A35" s="91">
        <v>29</v>
      </c>
      <c r="B35" s="92" t="s">
        <v>243</v>
      </c>
      <c r="C35" s="92" t="s">
        <v>244</v>
      </c>
      <c r="D35" s="92" t="s">
        <v>227</v>
      </c>
      <c r="E35" s="93">
        <v>120000</v>
      </c>
      <c r="F35" s="94">
        <v>348.12</v>
      </c>
      <c r="G35" s="95">
        <v>8.3072110000000001E-3</v>
      </c>
      <c r="H35" s="47"/>
    </row>
    <row r="36" spans="1:8" ht="29.1" customHeight="1" x14ac:dyDescent="0.2">
      <c r="A36" s="91">
        <v>30</v>
      </c>
      <c r="B36" s="92" t="s">
        <v>189</v>
      </c>
      <c r="C36" s="92" t="s">
        <v>190</v>
      </c>
      <c r="D36" s="92" t="s">
        <v>108</v>
      </c>
      <c r="E36" s="93">
        <v>93000</v>
      </c>
      <c r="F36" s="94">
        <v>337.45049999999998</v>
      </c>
      <c r="G36" s="95">
        <v>8.0526039999999997E-3</v>
      </c>
      <c r="H36" s="47"/>
    </row>
    <row r="37" spans="1:8" ht="17.100000000000001" customHeight="1" x14ac:dyDescent="0.2">
      <c r="A37" s="91">
        <v>31</v>
      </c>
      <c r="B37" s="92" t="s">
        <v>231</v>
      </c>
      <c r="C37" s="92" t="s">
        <v>232</v>
      </c>
      <c r="D37" s="92" t="s">
        <v>233</v>
      </c>
      <c r="E37" s="93">
        <v>55785</v>
      </c>
      <c r="F37" s="94">
        <v>305.0602725</v>
      </c>
      <c r="G37" s="95">
        <v>7.2796739999999999E-3</v>
      </c>
      <c r="H37" s="47"/>
    </row>
    <row r="38" spans="1:8" ht="29.1" customHeight="1" x14ac:dyDescent="0.2">
      <c r="A38" s="91">
        <v>32</v>
      </c>
      <c r="B38" s="92" t="s">
        <v>590</v>
      </c>
      <c r="C38" s="92" t="s">
        <v>591</v>
      </c>
      <c r="D38" s="92" t="s">
        <v>193</v>
      </c>
      <c r="E38" s="93">
        <v>20000</v>
      </c>
      <c r="F38" s="94">
        <v>299.26</v>
      </c>
      <c r="G38" s="95">
        <v>7.1412610000000003E-3</v>
      </c>
      <c r="H38" s="47"/>
    </row>
    <row r="39" spans="1:8" ht="17.100000000000001" customHeight="1" x14ac:dyDescent="0.2">
      <c r="A39" s="91">
        <v>33</v>
      </c>
      <c r="B39" s="92" t="s">
        <v>109</v>
      </c>
      <c r="C39" s="92" t="s">
        <v>110</v>
      </c>
      <c r="D39" s="92" t="s">
        <v>89</v>
      </c>
      <c r="E39" s="93">
        <v>64809</v>
      </c>
      <c r="F39" s="94">
        <v>294.52450049999999</v>
      </c>
      <c r="G39" s="95">
        <v>7.0282579999999999E-3</v>
      </c>
      <c r="H39" s="47"/>
    </row>
    <row r="40" spans="1:8" ht="17.100000000000001" customHeight="1" x14ac:dyDescent="0.2">
      <c r="A40" s="91">
        <v>34</v>
      </c>
      <c r="B40" s="92" t="s">
        <v>515</v>
      </c>
      <c r="C40" s="92" t="s">
        <v>516</v>
      </c>
      <c r="D40" s="92" t="s">
        <v>974</v>
      </c>
      <c r="E40" s="93">
        <v>24014</v>
      </c>
      <c r="F40" s="94">
        <v>290.55739299999999</v>
      </c>
      <c r="G40" s="95">
        <v>6.9335910000000002E-3</v>
      </c>
      <c r="H40" s="47"/>
    </row>
    <row r="41" spans="1:8" ht="17.100000000000001" customHeight="1" x14ac:dyDescent="0.2">
      <c r="A41" s="91">
        <v>35</v>
      </c>
      <c r="B41" s="92" t="s">
        <v>11</v>
      </c>
      <c r="C41" s="92" t="s">
        <v>12</v>
      </c>
      <c r="D41" s="92" t="s">
        <v>13</v>
      </c>
      <c r="E41" s="93">
        <v>13950</v>
      </c>
      <c r="F41" s="94">
        <v>289.441575</v>
      </c>
      <c r="G41" s="95">
        <v>6.9069639999999998E-3</v>
      </c>
      <c r="H41" s="47"/>
    </row>
    <row r="42" spans="1:8" ht="17.100000000000001" customHeight="1" x14ac:dyDescent="0.2">
      <c r="A42" s="91">
        <v>36</v>
      </c>
      <c r="B42" s="92" t="s">
        <v>592</v>
      </c>
      <c r="C42" s="92" t="s">
        <v>593</v>
      </c>
      <c r="D42" s="92" t="s">
        <v>594</v>
      </c>
      <c r="E42" s="93">
        <v>94550</v>
      </c>
      <c r="F42" s="94">
        <v>287.762925</v>
      </c>
      <c r="G42" s="95">
        <v>6.8669059999999999E-3</v>
      </c>
      <c r="H42" s="47"/>
    </row>
    <row r="43" spans="1:8" ht="29.1" customHeight="1" x14ac:dyDescent="0.2">
      <c r="A43" s="91">
        <v>37</v>
      </c>
      <c r="B43" s="92" t="s">
        <v>304</v>
      </c>
      <c r="C43" s="92" t="s">
        <v>305</v>
      </c>
      <c r="D43" s="92" t="s">
        <v>215</v>
      </c>
      <c r="E43" s="93">
        <v>23742</v>
      </c>
      <c r="F43" s="94">
        <v>248.35319100000001</v>
      </c>
      <c r="G43" s="95">
        <v>5.9264690000000002E-3</v>
      </c>
      <c r="H43" s="47"/>
    </row>
    <row r="44" spans="1:8" ht="17.100000000000001" customHeight="1" x14ac:dyDescent="0.2">
      <c r="A44" s="91">
        <v>38</v>
      </c>
      <c r="B44" s="92" t="s">
        <v>519</v>
      </c>
      <c r="C44" s="92" t="s">
        <v>520</v>
      </c>
      <c r="D44" s="92" t="s">
        <v>72</v>
      </c>
      <c r="E44" s="93">
        <v>14930</v>
      </c>
      <c r="F44" s="94">
        <v>232.93786</v>
      </c>
      <c r="G44" s="95">
        <v>5.5586120000000001E-3</v>
      </c>
      <c r="H44" s="47"/>
    </row>
    <row r="45" spans="1:8" ht="17.100000000000001" customHeight="1" x14ac:dyDescent="0.2">
      <c r="A45" s="91">
        <v>39</v>
      </c>
      <c r="B45" s="92" t="s">
        <v>182</v>
      </c>
      <c r="C45" s="92" t="s">
        <v>183</v>
      </c>
      <c r="D45" s="92" t="s">
        <v>16</v>
      </c>
      <c r="E45" s="93">
        <v>128700</v>
      </c>
      <c r="F45" s="94">
        <v>213.96375</v>
      </c>
      <c r="G45" s="95">
        <v>5.1058309999999999E-3</v>
      </c>
      <c r="H45" s="47"/>
    </row>
    <row r="46" spans="1:8" ht="17.100000000000001" customHeight="1" x14ac:dyDescent="0.2">
      <c r="A46" s="91">
        <v>40</v>
      </c>
      <c r="B46" s="92" t="s">
        <v>259</v>
      </c>
      <c r="C46" s="92" t="s">
        <v>260</v>
      </c>
      <c r="D46" s="92" t="s">
        <v>103</v>
      </c>
      <c r="E46" s="93">
        <v>13000</v>
      </c>
      <c r="F46" s="94">
        <v>211.44499999999999</v>
      </c>
      <c r="G46" s="95">
        <v>5.0457260000000004E-3</v>
      </c>
      <c r="H46" s="47"/>
    </row>
    <row r="47" spans="1:8" ht="17.100000000000001" customHeight="1" x14ac:dyDescent="0.2">
      <c r="A47" s="91">
        <v>41</v>
      </c>
      <c r="B47" s="92" t="s">
        <v>543</v>
      </c>
      <c r="C47" s="92" t="s">
        <v>544</v>
      </c>
      <c r="D47" s="92" t="s">
        <v>108</v>
      </c>
      <c r="E47" s="93">
        <v>6600</v>
      </c>
      <c r="F47" s="94">
        <v>209.5599</v>
      </c>
      <c r="G47" s="95">
        <v>5.0007419999999999E-3</v>
      </c>
      <c r="H47" s="47"/>
    </row>
    <row r="48" spans="1:8" ht="17.100000000000001" customHeight="1" x14ac:dyDescent="0.2">
      <c r="A48" s="91">
        <v>42</v>
      </c>
      <c r="B48" s="92" t="s">
        <v>531</v>
      </c>
      <c r="C48" s="92" t="s">
        <v>532</v>
      </c>
      <c r="D48" s="92" t="s">
        <v>89</v>
      </c>
      <c r="E48" s="93">
        <v>70000</v>
      </c>
      <c r="F48" s="94">
        <v>206.15</v>
      </c>
      <c r="G48" s="95">
        <v>4.9193709999999996E-3</v>
      </c>
      <c r="H48" s="47"/>
    </row>
    <row r="49" spans="1:8" ht="17.100000000000001" customHeight="1" x14ac:dyDescent="0.2">
      <c r="A49" s="91">
        <v>43</v>
      </c>
      <c r="B49" s="92" t="s">
        <v>595</v>
      </c>
      <c r="C49" s="92" t="s">
        <v>596</v>
      </c>
      <c r="D49" s="92" t="s">
        <v>267</v>
      </c>
      <c r="E49" s="93">
        <v>12505</v>
      </c>
      <c r="F49" s="94">
        <v>201.71190250000001</v>
      </c>
      <c r="G49" s="95">
        <v>4.8134650000000003E-3</v>
      </c>
      <c r="H49" s="47"/>
    </row>
    <row r="50" spans="1:8" ht="17.100000000000001" customHeight="1" x14ac:dyDescent="0.2">
      <c r="A50" s="91">
        <v>44</v>
      </c>
      <c r="B50" s="92" t="s">
        <v>365</v>
      </c>
      <c r="C50" s="92" t="s">
        <v>366</v>
      </c>
      <c r="D50" s="92" t="s">
        <v>108</v>
      </c>
      <c r="E50" s="93">
        <v>7125</v>
      </c>
      <c r="F50" s="94">
        <v>189.02625</v>
      </c>
      <c r="G50" s="95">
        <v>4.5107460000000004E-3</v>
      </c>
      <c r="H50" s="47"/>
    </row>
    <row r="51" spans="1:8" ht="29.1" customHeight="1" x14ac:dyDescent="0.2">
      <c r="A51" s="91">
        <v>45</v>
      </c>
      <c r="B51" s="92" t="s">
        <v>597</v>
      </c>
      <c r="C51" s="92" t="s">
        <v>598</v>
      </c>
      <c r="D51" s="92" t="s">
        <v>238</v>
      </c>
      <c r="E51" s="93">
        <v>15000</v>
      </c>
      <c r="F51" s="94">
        <v>181.67250000000001</v>
      </c>
      <c r="G51" s="95">
        <v>4.3352629999999998E-3</v>
      </c>
      <c r="H51" s="47"/>
    </row>
    <row r="52" spans="1:8" ht="17.100000000000001" customHeight="1" x14ac:dyDescent="0.2">
      <c r="A52" s="91">
        <v>46</v>
      </c>
      <c r="B52" s="92" t="s">
        <v>261</v>
      </c>
      <c r="C52" s="92" t="s">
        <v>262</v>
      </c>
      <c r="D52" s="92" t="s">
        <v>108</v>
      </c>
      <c r="E52" s="93">
        <v>21793</v>
      </c>
      <c r="F52" s="94">
        <v>181.24148450000001</v>
      </c>
      <c r="G52" s="95">
        <v>4.3249780000000002E-3</v>
      </c>
      <c r="H52" s="47"/>
    </row>
    <row r="53" spans="1:8" ht="29.1" customHeight="1" x14ac:dyDescent="0.2">
      <c r="A53" s="91">
        <v>47</v>
      </c>
      <c r="B53" s="92" t="s">
        <v>362</v>
      </c>
      <c r="C53" s="92" t="s">
        <v>363</v>
      </c>
      <c r="D53" s="92" t="s">
        <v>364</v>
      </c>
      <c r="E53" s="93">
        <v>21600</v>
      </c>
      <c r="F53" s="94">
        <v>176.69880000000001</v>
      </c>
      <c r="G53" s="95">
        <v>4.2165750000000002E-3</v>
      </c>
      <c r="H53" s="47"/>
    </row>
    <row r="54" spans="1:8" ht="17.100000000000001" customHeight="1" x14ac:dyDescent="0.2">
      <c r="A54" s="91">
        <v>48</v>
      </c>
      <c r="B54" s="92" t="s">
        <v>334</v>
      </c>
      <c r="C54" s="92" t="s">
        <v>335</v>
      </c>
      <c r="D54" s="92" t="s">
        <v>16</v>
      </c>
      <c r="E54" s="93">
        <v>15000</v>
      </c>
      <c r="F54" s="94">
        <v>175.17</v>
      </c>
      <c r="G54" s="95">
        <v>4.1800930000000002E-3</v>
      </c>
      <c r="H54" s="47"/>
    </row>
    <row r="55" spans="1:8" ht="17.100000000000001" customHeight="1" x14ac:dyDescent="0.2">
      <c r="A55" s="91">
        <v>49</v>
      </c>
      <c r="B55" s="92" t="s">
        <v>36</v>
      </c>
      <c r="C55" s="92" t="s">
        <v>37</v>
      </c>
      <c r="D55" s="92" t="s">
        <v>38</v>
      </c>
      <c r="E55" s="93">
        <v>5785</v>
      </c>
      <c r="F55" s="94">
        <v>173.590495</v>
      </c>
      <c r="G55" s="95">
        <v>4.1424019999999999E-3</v>
      </c>
      <c r="H55" s="47"/>
    </row>
    <row r="56" spans="1:8" ht="17.100000000000001" customHeight="1" x14ac:dyDescent="0.2">
      <c r="A56" s="91">
        <v>50</v>
      </c>
      <c r="B56" s="92" t="s">
        <v>599</v>
      </c>
      <c r="C56" s="92" t="s">
        <v>600</v>
      </c>
      <c r="D56" s="92" t="s">
        <v>238</v>
      </c>
      <c r="E56" s="93">
        <v>26400</v>
      </c>
      <c r="F56" s="94">
        <v>155.91839999999999</v>
      </c>
      <c r="G56" s="95">
        <v>3.7206909999999999E-3</v>
      </c>
      <c r="H56" s="47"/>
    </row>
    <row r="57" spans="1:8" ht="17.100000000000001" customHeight="1" x14ac:dyDescent="0.2">
      <c r="A57" s="91">
        <v>51</v>
      </c>
      <c r="B57" s="92" t="s">
        <v>194</v>
      </c>
      <c r="C57" s="92" t="s">
        <v>195</v>
      </c>
      <c r="D57" s="92" t="s">
        <v>196</v>
      </c>
      <c r="E57" s="93">
        <v>325</v>
      </c>
      <c r="F57" s="94">
        <v>154.10411250000001</v>
      </c>
      <c r="G57" s="95">
        <v>3.6773969999999998E-3</v>
      </c>
      <c r="H57" s="47"/>
    </row>
    <row r="58" spans="1:8" ht="17.100000000000001" customHeight="1" x14ac:dyDescent="0.2">
      <c r="A58" s="91">
        <v>52</v>
      </c>
      <c r="B58" s="92" t="s">
        <v>541</v>
      </c>
      <c r="C58" s="92" t="s">
        <v>542</v>
      </c>
      <c r="D58" s="92" t="s">
        <v>188</v>
      </c>
      <c r="E58" s="93">
        <v>9417</v>
      </c>
      <c r="F58" s="94">
        <v>128.84339399999999</v>
      </c>
      <c r="G58" s="95">
        <v>3.0745989999999999E-3</v>
      </c>
      <c r="H58" s="47"/>
    </row>
    <row r="59" spans="1:8" ht="17.100000000000001" customHeight="1" x14ac:dyDescent="0.2">
      <c r="A59" s="91">
        <v>53</v>
      </c>
      <c r="B59" s="92" t="s">
        <v>268</v>
      </c>
      <c r="C59" s="92" t="s">
        <v>269</v>
      </c>
      <c r="D59" s="92" t="s">
        <v>89</v>
      </c>
      <c r="E59" s="93">
        <v>21946</v>
      </c>
      <c r="F59" s="94">
        <v>120.735919</v>
      </c>
      <c r="G59" s="95">
        <v>2.8811290000000001E-3</v>
      </c>
      <c r="H59" s="47"/>
    </row>
    <row r="60" spans="1:8" ht="17.100000000000001" customHeight="1" x14ac:dyDescent="0.2">
      <c r="A60" s="91">
        <v>54</v>
      </c>
      <c r="B60" s="92" t="s">
        <v>309</v>
      </c>
      <c r="C60" s="92" t="s">
        <v>310</v>
      </c>
      <c r="D60" s="92" t="s">
        <v>72</v>
      </c>
      <c r="E60" s="93">
        <v>8400</v>
      </c>
      <c r="F60" s="94">
        <v>109.6704</v>
      </c>
      <c r="G60" s="95">
        <v>2.6170719999999998E-3</v>
      </c>
      <c r="H60" s="47"/>
    </row>
    <row r="61" spans="1:8" ht="17.100000000000001" customHeight="1" x14ac:dyDescent="0.2">
      <c r="A61" s="91">
        <v>55</v>
      </c>
      <c r="B61" s="92" t="s">
        <v>125</v>
      </c>
      <c r="C61" s="92" t="s">
        <v>126</v>
      </c>
      <c r="D61" s="92"/>
      <c r="E61" s="93">
        <v>26000</v>
      </c>
      <c r="F61" s="94">
        <v>78.454999999999998</v>
      </c>
      <c r="G61" s="95">
        <v>1.872177E-3</v>
      </c>
      <c r="H61" s="47"/>
    </row>
    <row r="62" spans="1:8" ht="29.1" customHeight="1" x14ac:dyDescent="0.2">
      <c r="A62" s="91">
        <v>56</v>
      </c>
      <c r="B62" s="92" t="s">
        <v>348</v>
      </c>
      <c r="C62" s="92" t="s">
        <v>349</v>
      </c>
      <c r="D62" s="92" t="s">
        <v>215</v>
      </c>
      <c r="E62" s="93">
        <v>1650</v>
      </c>
      <c r="F62" s="94">
        <v>56.177549999999997</v>
      </c>
      <c r="G62" s="95">
        <v>1.340569E-3</v>
      </c>
      <c r="H62" s="47"/>
    </row>
    <row r="63" spans="1:8" ht="29.1" customHeight="1" x14ac:dyDescent="0.2">
      <c r="A63" s="91">
        <v>57</v>
      </c>
      <c r="B63" s="92" t="s">
        <v>75</v>
      </c>
      <c r="C63" s="92" t="s">
        <v>76</v>
      </c>
      <c r="D63" s="92" t="s">
        <v>25</v>
      </c>
      <c r="E63" s="93">
        <v>9000</v>
      </c>
      <c r="F63" s="94">
        <v>51.3675</v>
      </c>
      <c r="G63" s="95">
        <v>1.225786E-3</v>
      </c>
      <c r="H63" s="47"/>
    </row>
    <row r="64" spans="1:8" ht="17.100000000000001" customHeight="1" x14ac:dyDescent="0.2">
      <c r="A64" s="91">
        <v>58</v>
      </c>
      <c r="B64" s="92" t="s">
        <v>285</v>
      </c>
      <c r="C64" s="92" t="s">
        <v>286</v>
      </c>
      <c r="D64" s="92" t="s">
        <v>22</v>
      </c>
      <c r="E64" s="93">
        <v>10800</v>
      </c>
      <c r="F64" s="94">
        <v>25.822800000000001</v>
      </c>
      <c r="G64" s="95">
        <v>6.1621099999999997E-4</v>
      </c>
      <c r="H64" s="47"/>
    </row>
    <row r="65" spans="1:8" ht="14.1" customHeight="1" x14ac:dyDescent="0.2">
      <c r="A65" s="89"/>
      <c r="B65" s="89"/>
      <c r="C65" s="90" t="s">
        <v>130</v>
      </c>
      <c r="D65" s="89"/>
      <c r="E65" s="89" t="s">
        <v>131</v>
      </c>
      <c r="F65" s="96">
        <v>32296.154626499985</v>
      </c>
      <c r="G65" s="97">
        <v>0.77068530499999977</v>
      </c>
      <c r="H65" s="47"/>
    </row>
    <row r="66" spans="1:8" ht="14.1" customHeight="1" x14ac:dyDescent="0.2">
      <c r="A66" s="89"/>
      <c r="B66" s="89"/>
      <c r="C66" s="98"/>
      <c r="D66" s="89"/>
      <c r="E66" s="89"/>
      <c r="F66" s="99"/>
      <c r="G66" s="99"/>
      <c r="H66" s="47"/>
    </row>
    <row r="67" spans="1:8" ht="14.1" customHeight="1" x14ac:dyDescent="0.2">
      <c r="A67" s="89"/>
      <c r="B67" s="89"/>
      <c r="C67" s="90" t="s">
        <v>132</v>
      </c>
      <c r="D67" s="89"/>
      <c r="E67" s="89"/>
      <c r="F67" s="89"/>
      <c r="G67" s="89"/>
      <c r="H67" s="47"/>
    </row>
    <row r="68" spans="1:8" ht="14.1" customHeight="1" x14ac:dyDescent="0.2">
      <c r="A68" s="89"/>
      <c r="B68" s="89"/>
      <c r="C68" s="90" t="s">
        <v>130</v>
      </c>
      <c r="D68" s="89"/>
      <c r="E68" s="89" t="s">
        <v>131</v>
      </c>
      <c r="F68" s="100">
        <v>0</v>
      </c>
      <c r="G68" s="101">
        <v>0</v>
      </c>
      <c r="H68" s="47"/>
    </row>
    <row r="69" spans="1:8" ht="14.1" customHeight="1" x14ac:dyDescent="0.2">
      <c r="A69" s="89"/>
      <c r="B69" s="89"/>
      <c r="C69" s="98"/>
      <c r="D69" s="89"/>
      <c r="E69" s="89"/>
      <c r="F69" s="99"/>
      <c r="G69" s="99"/>
      <c r="H69" s="47"/>
    </row>
    <row r="70" spans="1:8" ht="14.1" customHeight="1" x14ac:dyDescent="0.2">
      <c r="A70" s="89"/>
      <c r="B70" s="89"/>
      <c r="C70" s="90" t="s">
        <v>133</v>
      </c>
      <c r="D70" s="89"/>
      <c r="E70" s="89"/>
      <c r="F70" s="89"/>
      <c r="G70" s="89"/>
      <c r="H70" s="47"/>
    </row>
    <row r="71" spans="1:8" ht="14.1" customHeight="1" x14ac:dyDescent="0.2">
      <c r="A71" s="89"/>
      <c r="B71" s="89"/>
      <c r="C71" s="90" t="s">
        <v>130</v>
      </c>
      <c r="D71" s="89"/>
      <c r="E71" s="89" t="s">
        <v>131</v>
      </c>
      <c r="F71" s="100">
        <v>0</v>
      </c>
      <c r="G71" s="101">
        <v>0</v>
      </c>
      <c r="H71" s="47"/>
    </row>
    <row r="72" spans="1:8" ht="14.1" customHeight="1" x14ac:dyDescent="0.2">
      <c r="A72" s="89"/>
      <c r="B72" s="89"/>
      <c r="C72" s="98"/>
      <c r="D72" s="89"/>
      <c r="E72" s="89"/>
      <c r="F72" s="99"/>
      <c r="G72" s="99"/>
      <c r="H72" s="47"/>
    </row>
    <row r="73" spans="1:8" ht="14.1" customHeight="1" x14ac:dyDescent="0.2">
      <c r="A73" s="89"/>
      <c r="B73" s="89"/>
      <c r="C73" s="90" t="s">
        <v>134</v>
      </c>
      <c r="D73" s="89"/>
      <c r="E73" s="89"/>
      <c r="F73" s="89"/>
      <c r="G73" s="89"/>
      <c r="H73" s="47"/>
    </row>
    <row r="74" spans="1:8" ht="14.1" customHeight="1" x14ac:dyDescent="0.2">
      <c r="A74" s="89"/>
      <c r="B74" s="89"/>
      <c r="C74" s="90" t="s">
        <v>130</v>
      </c>
      <c r="D74" s="89"/>
      <c r="E74" s="89" t="s">
        <v>131</v>
      </c>
      <c r="F74" s="100">
        <v>0</v>
      </c>
      <c r="G74" s="101">
        <v>0</v>
      </c>
      <c r="H74" s="47"/>
    </row>
    <row r="75" spans="1:8" ht="14.1" customHeight="1" x14ac:dyDescent="0.2">
      <c r="A75" s="89"/>
      <c r="B75" s="89"/>
      <c r="C75" s="98"/>
      <c r="D75" s="89"/>
      <c r="E75" s="89"/>
      <c r="F75" s="99"/>
      <c r="G75" s="99"/>
      <c r="H75" s="47"/>
    </row>
    <row r="76" spans="1:8" ht="14.1" customHeight="1" x14ac:dyDescent="0.2">
      <c r="A76" s="89"/>
      <c r="B76" s="89"/>
      <c r="C76" s="90" t="s">
        <v>135</v>
      </c>
      <c r="D76" s="89"/>
      <c r="E76" s="89"/>
      <c r="F76" s="99"/>
      <c r="G76" s="99"/>
      <c r="H76" s="47"/>
    </row>
    <row r="77" spans="1:8" ht="14.1" customHeight="1" x14ac:dyDescent="0.2">
      <c r="A77" s="89"/>
      <c r="B77" s="89"/>
      <c r="C77" s="90" t="s">
        <v>130</v>
      </c>
      <c r="D77" s="89"/>
      <c r="E77" s="89" t="s">
        <v>131</v>
      </c>
      <c r="F77" s="100">
        <v>0</v>
      </c>
      <c r="G77" s="101">
        <v>0</v>
      </c>
      <c r="H77" s="47"/>
    </row>
    <row r="78" spans="1:8" ht="14.1" customHeight="1" x14ac:dyDescent="0.2">
      <c r="A78" s="89"/>
      <c r="B78" s="89"/>
      <c r="C78" s="98"/>
      <c r="D78" s="89"/>
      <c r="E78" s="89"/>
      <c r="F78" s="99"/>
      <c r="G78" s="99"/>
      <c r="H78" s="47"/>
    </row>
    <row r="79" spans="1:8" ht="14.1" customHeight="1" x14ac:dyDescent="0.2">
      <c r="A79" s="89"/>
      <c r="B79" s="89"/>
      <c r="C79" s="90" t="s">
        <v>136</v>
      </c>
      <c r="D79" s="89"/>
      <c r="E79" s="89"/>
      <c r="F79" s="99"/>
      <c r="G79" s="99"/>
      <c r="H79" s="47"/>
    </row>
    <row r="80" spans="1:8" ht="25.5" x14ac:dyDescent="0.2">
      <c r="A80" s="91">
        <v>1</v>
      </c>
      <c r="B80" s="92"/>
      <c r="C80" s="92" t="s">
        <v>901</v>
      </c>
      <c r="D80" s="92" t="s">
        <v>551</v>
      </c>
      <c r="E80" s="93">
        <v>-10800</v>
      </c>
      <c r="F80" s="94">
        <v>-26.022600000000001</v>
      </c>
      <c r="G80" s="95">
        <v>-6.2098000000000003E-4</v>
      </c>
      <c r="H80" s="47"/>
    </row>
    <row r="81" spans="1:8" x14ac:dyDescent="0.2">
      <c r="A81" s="91">
        <v>2</v>
      </c>
      <c r="B81" s="92"/>
      <c r="C81" s="92" t="s">
        <v>902</v>
      </c>
      <c r="D81" s="92" t="s">
        <v>551</v>
      </c>
      <c r="E81" s="93">
        <v>-9000</v>
      </c>
      <c r="F81" s="94">
        <v>-51.813000000000002</v>
      </c>
      <c r="G81" s="95">
        <v>-1.23642E-3</v>
      </c>
      <c r="H81" s="47"/>
    </row>
    <row r="82" spans="1:8" ht="25.5" x14ac:dyDescent="0.2">
      <c r="A82" s="91">
        <v>3</v>
      </c>
      <c r="B82" s="92"/>
      <c r="C82" s="92" t="s">
        <v>903</v>
      </c>
      <c r="D82" s="92" t="s">
        <v>551</v>
      </c>
      <c r="E82" s="93">
        <v>-1650</v>
      </c>
      <c r="F82" s="94">
        <v>-56.377200000000002</v>
      </c>
      <c r="G82" s="95">
        <v>-1.3453300000000001E-3</v>
      </c>
      <c r="H82" s="47"/>
    </row>
    <row r="83" spans="1:8" ht="25.5" x14ac:dyDescent="0.2">
      <c r="A83" s="91">
        <v>4</v>
      </c>
      <c r="B83" s="92"/>
      <c r="C83" s="92" t="s">
        <v>904</v>
      </c>
      <c r="D83" s="92" t="s">
        <v>551</v>
      </c>
      <c r="E83" s="93">
        <v>-8400</v>
      </c>
      <c r="F83" s="94">
        <v>-110.1576</v>
      </c>
      <c r="G83" s="95">
        <v>-2.6286999999999999E-3</v>
      </c>
      <c r="H83" s="47"/>
    </row>
    <row r="84" spans="1:8" ht="25.5" x14ac:dyDescent="0.2">
      <c r="A84" s="91">
        <v>5</v>
      </c>
      <c r="B84" s="92"/>
      <c r="C84" s="92" t="s">
        <v>905</v>
      </c>
      <c r="D84" s="92" t="s">
        <v>551</v>
      </c>
      <c r="E84" s="93">
        <v>-26400</v>
      </c>
      <c r="F84" s="94">
        <v>-156.61799999999999</v>
      </c>
      <c r="G84" s="95">
        <v>-3.7373899999999997E-3</v>
      </c>
      <c r="H84" s="47"/>
    </row>
    <row r="85" spans="1:8" ht="25.5" x14ac:dyDescent="0.2">
      <c r="A85" s="91">
        <v>6</v>
      </c>
      <c r="B85" s="92"/>
      <c r="C85" s="92" t="s">
        <v>906</v>
      </c>
      <c r="D85" s="92" t="s">
        <v>551</v>
      </c>
      <c r="E85" s="93">
        <v>-21600</v>
      </c>
      <c r="F85" s="94">
        <v>-177.56280000000001</v>
      </c>
      <c r="G85" s="95">
        <v>-4.2371900000000001E-3</v>
      </c>
      <c r="H85" s="47"/>
    </row>
    <row r="86" spans="1:8" x14ac:dyDescent="0.2">
      <c r="A86" s="91">
        <v>7</v>
      </c>
      <c r="B86" s="92"/>
      <c r="C86" s="92" t="s">
        <v>907</v>
      </c>
      <c r="D86" s="92" t="s">
        <v>551</v>
      </c>
      <c r="E86" s="93">
        <v>-7125</v>
      </c>
      <c r="F86" s="94">
        <v>-190.0629375</v>
      </c>
      <c r="G86" s="95">
        <v>-4.5354799999999997E-3</v>
      </c>
      <c r="H86" s="47"/>
    </row>
    <row r="87" spans="1:8" x14ac:dyDescent="0.2">
      <c r="A87" s="91">
        <v>8</v>
      </c>
      <c r="B87" s="92"/>
      <c r="C87" s="92" t="s">
        <v>908</v>
      </c>
      <c r="D87" s="92" t="s">
        <v>551</v>
      </c>
      <c r="E87" s="93">
        <v>-6600</v>
      </c>
      <c r="F87" s="94">
        <v>-211.1241</v>
      </c>
      <c r="G87" s="95">
        <v>-5.0380700000000004E-3</v>
      </c>
      <c r="H87" s="47"/>
    </row>
    <row r="88" spans="1:8" x14ac:dyDescent="0.2">
      <c r="A88" s="91">
        <v>9</v>
      </c>
      <c r="B88" s="92"/>
      <c r="C88" s="92" t="s">
        <v>909</v>
      </c>
      <c r="D88" s="92" t="s">
        <v>551</v>
      </c>
      <c r="E88" s="93">
        <v>-128700</v>
      </c>
      <c r="F88" s="94">
        <v>-215.7012</v>
      </c>
      <c r="G88" s="95">
        <v>-5.1472899999999997E-3</v>
      </c>
      <c r="H88" s="47"/>
    </row>
    <row r="89" spans="1:8" x14ac:dyDescent="0.2">
      <c r="A89" s="91">
        <v>10</v>
      </c>
      <c r="B89" s="92"/>
      <c r="C89" s="92" t="s">
        <v>910</v>
      </c>
      <c r="D89" s="92" t="s">
        <v>551</v>
      </c>
      <c r="E89" s="93">
        <v>-37500</v>
      </c>
      <c r="F89" s="94">
        <v>-226.89375000000001</v>
      </c>
      <c r="G89" s="95">
        <v>-5.4143799999999999E-3</v>
      </c>
      <c r="H89" s="47"/>
    </row>
    <row r="90" spans="1:8" ht="25.5" x14ac:dyDescent="0.2">
      <c r="A90" s="91">
        <v>11</v>
      </c>
      <c r="B90" s="92"/>
      <c r="C90" s="92" t="s">
        <v>911</v>
      </c>
      <c r="D90" s="92" t="s">
        <v>551</v>
      </c>
      <c r="E90" s="93">
        <v>-7950</v>
      </c>
      <c r="F90" s="94">
        <v>-271.67534999999998</v>
      </c>
      <c r="G90" s="95">
        <v>-6.48301E-3</v>
      </c>
      <c r="H90" s="47"/>
    </row>
    <row r="91" spans="1:8" x14ac:dyDescent="0.2">
      <c r="A91" s="91">
        <v>12</v>
      </c>
      <c r="B91" s="92"/>
      <c r="C91" s="92" t="s">
        <v>912</v>
      </c>
      <c r="D91" s="92" t="s">
        <v>551</v>
      </c>
      <c r="E91" s="93">
        <v>-94550</v>
      </c>
      <c r="F91" s="94">
        <v>-290.17394999999999</v>
      </c>
      <c r="G91" s="95">
        <v>-6.9244399999999996E-3</v>
      </c>
      <c r="H91" s="47"/>
    </row>
    <row r="92" spans="1:8" x14ac:dyDescent="0.2">
      <c r="A92" s="91">
        <v>13</v>
      </c>
      <c r="B92" s="92"/>
      <c r="C92" s="92" t="s">
        <v>913</v>
      </c>
      <c r="D92" s="92" t="s">
        <v>551</v>
      </c>
      <c r="E92" s="93">
        <v>-34800</v>
      </c>
      <c r="F92" s="94">
        <v>-315.14879999999999</v>
      </c>
      <c r="G92" s="95">
        <v>-7.5204199999999999E-3</v>
      </c>
      <c r="H92" s="47"/>
    </row>
    <row r="93" spans="1:8" x14ac:dyDescent="0.2">
      <c r="A93" s="91">
        <v>14</v>
      </c>
      <c r="B93" s="92"/>
      <c r="C93" s="92" t="s">
        <v>914</v>
      </c>
      <c r="D93" s="92" t="s">
        <v>551</v>
      </c>
      <c r="E93" s="93">
        <v>-220000</v>
      </c>
      <c r="F93" s="94">
        <v>-330.33</v>
      </c>
      <c r="G93" s="95">
        <v>-7.8826899999999995E-3</v>
      </c>
      <c r="H93" s="47"/>
    </row>
    <row r="94" spans="1:8" x14ac:dyDescent="0.2">
      <c r="A94" s="91">
        <v>15</v>
      </c>
      <c r="B94" s="92"/>
      <c r="C94" s="92" t="s">
        <v>915</v>
      </c>
      <c r="D94" s="92" t="s">
        <v>551</v>
      </c>
      <c r="E94" s="93">
        <v>-40000</v>
      </c>
      <c r="F94" s="94">
        <v>-375.16</v>
      </c>
      <c r="G94" s="95">
        <v>-8.9524700000000006E-3</v>
      </c>
      <c r="H94" s="47"/>
    </row>
    <row r="95" spans="1:8" ht="25.5" x14ac:dyDescent="0.2">
      <c r="A95" s="91">
        <v>16</v>
      </c>
      <c r="B95" s="92"/>
      <c r="C95" s="92" t="s">
        <v>916</v>
      </c>
      <c r="D95" s="92" t="s">
        <v>551</v>
      </c>
      <c r="E95" s="93">
        <v>-14100</v>
      </c>
      <c r="F95" s="94">
        <v>-381.63060000000002</v>
      </c>
      <c r="G95" s="95">
        <v>-9.1068800000000012E-3</v>
      </c>
      <c r="H95" s="47"/>
    </row>
    <row r="96" spans="1:8" x14ac:dyDescent="0.2">
      <c r="A96" s="91">
        <v>17</v>
      </c>
      <c r="B96" s="92"/>
      <c r="C96" s="92" t="s">
        <v>917</v>
      </c>
      <c r="D96" s="92" t="s">
        <v>551</v>
      </c>
      <c r="E96" s="93">
        <v>-399500</v>
      </c>
      <c r="F96" s="94">
        <v>-433.45749999999998</v>
      </c>
      <c r="G96" s="95">
        <v>-1.0343629999999999E-2</v>
      </c>
      <c r="H96" s="47"/>
    </row>
    <row r="97" spans="1:8" x14ac:dyDescent="0.2">
      <c r="A97" s="91">
        <v>18</v>
      </c>
      <c r="B97" s="92"/>
      <c r="C97" s="92" t="s">
        <v>918</v>
      </c>
      <c r="D97" s="92" t="s">
        <v>551</v>
      </c>
      <c r="E97" s="93">
        <v>-13125</v>
      </c>
      <c r="F97" s="94">
        <v>-889.94718750000004</v>
      </c>
      <c r="G97" s="95">
        <v>-2.1236869999999998E-2</v>
      </c>
      <c r="H97" s="47"/>
    </row>
    <row r="98" spans="1:8" x14ac:dyDescent="0.2">
      <c r="A98" s="91">
        <v>19</v>
      </c>
      <c r="B98" s="92"/>
      <c r="C98" s="92" t="s">
        <v>919</v>
      </c>
      <c r="D98" s="92" t="s">
        <v>551</v>
      </c>
      <c r="E98" s="93">
        <v>-65100</v>
      </c>
      <c r="F98" s="94">
        <v>-1071.4809</v>
      </c>
      <c r="G98" s="95">
        <v>-2.5568819999999999E-2</v>
      </c>
      <c r="H98" s="47"/>
    </row>
    <row r="99" spans="1:8" ht="25.5" x14ac:dyDescent="0.2">
      <c r="A99" s="91">
        <v>20</v>
      </c>
      <c r="B99" s="92"/>
      <c r="C99" s="92" t="s">
        <v>920</v>
      </c>
      <c r="D99" s="92" t="s">
        <v>551</v>
      </c>
      <c r="E99" s="93">
        <v>-42600</v>
      </c>
      <c r="F99" s="94">
        <v>-1149.2841000000001</v>
      </c>
      <c r="G99" s="95">
        <v>-2.7425440000000002E-2</v>
      </c>
      <c r="H99" s="47"/>
    </row>
    <row r="100" spans="1:8" x14ac:dyDescent="0.2">
      <c r="A100" s="91">
        <v>21</v>
      </c>
      <c r="B100" s="92"/>
      <c r="C100" s="92" t="s">
        <v>921</v>
      </c>
      <c r="D100" s="92" t="s">
        <v>551</v>
      </c>
      <c r="E100" s="93">
        <v>-132600</v>
      </c>
      <c r="F100" s="94">
        <v>-1439.7708</v>
      </c>
      <c r="G100" s="95">
        <v>-3.4357350000000002E-2</v>
      </c>
      <c r="H100" s="47"/>
    </row>
    <row r="101" spans="1:8" x14ac:dyDescent="0.2">
      <c r="A101" s="91">
        <v>22</v>
      </c>
      <c r="B101" s="92"/>
      <c r="C101" s="92" t="s">
        <v>922</v>
      </c>
      <c r="D101" s="92" t="s">
        <v>551</v>
      </c>
      <c r="E101" s="93">
        <v>-196625</v>
      </c>
      <c r="F101" s="94">
        <v>-1883.6675</v>
      </c>
      <c r="G101" s="95">
        <v>-4.4950080000000003E-2</v>
      </c>
      <c r="H101" s="47"/>
    </row>
    <row r="102" spans="1:8" x14ac:dyDescent="0.2">
      <c r="A102" s="91">
        <v>23</v>
      </c>
      <c r="B102" s="92"/>
      <c r="C102" s="92" t="s">
        <v>923</v>
      </c>
      <c r="D102" s="92" t="s">
        <v>551</v>
      </c>
      <c r="E102" s="93">
        <v>-156200</v>
      </c>
      <c r="F102" s="94">
        <v>-2533.7202000000002</v>
      </c>
      <c r="G102" s="95">
        <v>-6.0462340000000003E-2</v>
      </c>
      <c r="H102" s="47"/>
    </row>
    <row r="103" spans="1:8" ht="14.1" customHeight="1" x14ac:dyDescent="0.2">
      <c r="A103" s="89"/>
      <c r="B103" s="89"/>
      <c r="C103" s="90" t="s">
        <v>130</v>
      </c>
      <c r="D103" s="89"/>
      <c r="E103" s="89" t="s">
        <v>131</v>
      </c>
      <c r="F103" s="96">
        <v>-12787.780075000001</v>
      </c>
      <c r="G103" s="97">
        <f>SUM(G80:G102)</f>
        <v>-0.30515566999999999</v>
      </c>
      <c r="H103" s="47"/>
    </row>
    <row r="104" spans="1:8" ht="14.1" customHeight="1" x14ac:dyDescent="0.2">
      <c r="A104" s="89"/>
      <c r="B104" s="89"/>
      <c r="C104" s="98"/>
      <c r="D104" s="89"/>
      <c r="E104" s="89"/>
      <c r="F104" s="99"/>
      <c r="G104" s="99"/>
      <c r="H104" s="47"/>
    </row>
    <row r="105" spans="1:8" ht="18" customHeight="1" x14ac:dyDescent="0.2">
      <c r="A105" s="89"/>
      <c r="B105" s="89"/>
      <c r="C105" s="90" t="s">
        <v>137</v>
      </c>
      <c r="D105" s="89"/>
      <c r="E105" s="89"/>
      <c r="F105" s="96">
        <v>32296.154626499985</v>
      </c>
      <c r="G105" s="97">
        <v>0.77068530499999977</v>
      </c>
      <c r="H105" s="47"/>
    </row>
    <row r="106" spans="1:8" ht="14.1" customHeight="1" x14ac:dyDescent="0.2">
      <c r="A106" s="89"/>
      <c r="B106" s="89"/>
      <c r="C106" s="98"/>
      <c r="D106" s="89"/>
      <c r="E106" s="89"/>
      <c r="F106" s="99"/>
      <c r="G106" s="99"/>
      <c r="H106" s="47"/>
    </row>
    <row r="107" spans="1:8" ht="14.1" customHeight="1" x14ac:dyDescent="0.2">
      <c r="A107" s="89"/>
      <c r="B107" s="89"/>
      <c r="C107" s="90" t="s">
        <v>138</v>
      </c>
      <c r="D107" s="89"/>
      <c r="E107" s="89"/>
      <c r="F107" s="99"/>
      <c r="G107" s="99"/>
      <c r="H107" s="47"/>
    </row>
    <row r="108" spans="1:8" ht="24" customHeight="1" x14ac:dyDescent="0.2">
      <c r="A108" s="89"/>
      <c r="B108" s="89"/>
      <c r="C108" s="90" t="s">
        <v>10</v>
      </c>
      <c r="D108" s="89"/>
      <c r="E108" s="89"/>
      <c r="F108" s="99"/>
      <c r="G108" s="99"/>
      <c r="H108" s="47"/>
    </row>
    <row r="109" spans="1:8" ht="29.1" customHeight="1" x14ac:dyDescent="0.2">
      <c r="A109" s="91">
        <v>1</v>
      </c>
      <c r="B109" s="92" t="s">
        <v>601</v>
      </c>
      <c r="C109" s="92" t="s">
        <v>602</v>
      </c>
      <c r="D109" s="92" t="s">
        <v>603</v>
      </c>
      <c r="E109" s="93">
        <v>50</v>
      </c>
      <c r="F109" s="94">
        <v>492.24299999999999</v>
      </c>
      <c r="G109" s="95">
        <v>1.1746428E-2</v>
      </c>
      <c r="H109" s="47">
        <v>7.5774999999999997</v>
      </c>
    </row>
    <row r="110" spans="1:8" ht="17.100000000000001" customHeight="1" x14ac:dyDescent="0.2">
      <c r="A110" s="91">
        <v>2</v>
      </c>
      <c r="B110" s="92" t="s">
        <v>604</v>
      </c>
      <c r="C110" s="92" t="s">
        <v>605</v>
      </c>
      <c r="D110" s="92" t="s">
        <v>581</v>
      </c>
      <c r="E110" s="93">
        <v>20</v>
      </c>
      <c r="F110" s="94">
        <v>200.345</v>
      </c>
      <c r="G110" s="95">
        <v>4.7808460000000001E-3</v>
      </c>
      <c r="H110" s="47">
        <v>6.81</v>
      </c>
    </row>
    <row r="111" spans="1:8" ht="29.1" customHeight="1" x14ac:dyDescent="0.2">
      <c r="A111" s="91">
        <v>3</v>
      </c>
      <c r="B111" s="92" t="s">
        <v>606</v>
      </c>
      <c r="C111" s="92" t="s">
        <v>607</v>
      </c>
      <c r="D111" s="92" t="s">
        <v>581</v>
      </c>
      <c r="E111" s="93">
        <v>5</v>
      </c>
      <c r="F111" s="94">
        <v>50.497250000000001</v>
      </c>
      <c r="G111" s="95">
        <v>1.2050190000000001E-3</v>
      </c>
      <c r="H111" s="47">
        <v>7.41</v>
      </c>
    </row>
    <row r="112" spans="1:8" ht="17.100000000000001" customHeight="1" x14ac:dyDescent="0.2">
      <c r="A112" s="91">
        <v>4</v>
      </c>
      <c r="B112" s="92" t="s">
        <v>608</v>
      </c>
      <c r="C112" s="92" t="s">
        <v>609</v>
      </c>
      <c r="D112" s="92" t="s">
        <v>581</v>
      </c>
      <c r="E112" s="93">
        <v>5</v>
      </c>
      <c r="F112" s="94">
        <v>50.197699999999998</v>
      </c>
      <c r="G112" s="95">
        <v>1.1978710000000001E-3</v>
      </c>
      <c r="H112" s="47">
        <v>7.19</v>
      </c>
    </row>
    <row r="113" spans="1:8" ht="17.100000000000001" customHeight="1" x14ac:dyDescent="0.2">
      <c r="A113" s="91">
        <v>5</v>
      </c>
      <c r="B113" s="92" t="s">
        <v>610</v>
      </c>
      <c r="C113" s="92" t="s">
        <v>611</v>
      </c>
      <c r="D113" s="92" t="s">
        <v>581</v>
      </c>
      <c r="E113" s="93">
        <v>5</v>
      </c>
      <c r="F113" s="94">
        <v>50.002800000000001</v>
      </c>
      <c r="G113" s="95">
        <v>1.19322E-3</v>
      </c>
      <c r="H113" s="47">
        <v>6.7249999999999996</v>
      </c>
    </row>
    <row r="114" spans="1:8" ht="29.1" customHeight="1" x14ac:dyDescent="0.2">
      <c r="A114" s="91">
        <v>6</v>
      </c>
      <c r="B114" s="92" t="s">
        <v>579</v>
      </c>
      <c r="C114" s="92" t="s">
        <v>580</v>
      </c>
      <c r="D114" s="92" t="s">
        <v>581</v>
      </c>
      <c r="E114" s="93">
        <v>1640</v>
      </c>
      <c r="F114" s="94">
        <v>0.46181087999999998</v>
      </c>
      <c r="G114" s="102" t="s">
        <v>129</v>
      </c>
      <c r="H114" s="47">
        <v>7.5750000000000002</v>
      </c>
    </row>
    <row r="115" spans="1:8" ht="14.1" customHeight="1" x14ac:dyDescent="0.2">
      <c r="A115" s="89"/>
      <c r="B115" s="89"/>
      <c r="C115" s="90" t="s">
        <v>130</v>
      </c>
      <c r="D115" s="89"/>
      <c r="E115" s="89" t="s">
        <v>131</v>
      </c>
      <c r="F115" s="96">
        <v>843.74756088000004</v>
      </c>
      <c r="G115" s="97">
        <v>2.0123384000000001E-2</v>
      </c>
      <c r="H115" s="47"/>
    </row>
    <row r="116" spans="1:8" ht="14.1" customHeight="1" x14ac:dyDescent="0.2">
      <c r="A116" s="89"/>
      <c r="B116" s="89"/>
      <c r="C116" s="98"/>
      <c r="D116" s="89"/>
      <c r="E116" s="89"/>
      <c r="F116" s="99"/>
      <c r="G116" s="99"/>
      <c r="H116" s="47"/>
    </row>
    <row r="117" spans="1:8" ht="14.1" customHeight="1" x14ac:dyDescent="0.2">
      <c r="A117" s="89"/>
      <c r="B117" s="89"/>
      <c r="C117" s="90" t="s">
        <v>139</v>
      </c>
      <c r="D117" s="89"/>
      <c r="E117" s="89"/>
      <c r="F117" s="89"/>
      <c r="G117" s="89"/>
      <c r="H117" s="47"/>
    </row>
    <row r="118" spans="1:8" ht="14.1" customHeight="1" x14ac:dyDescent="0.2">
      <c r="A118" s="89"/>
      <c r="B118" s="89"/>
      <c r="C118" s="90" t="s">
        <v>130</v>
      </c>
      <c r="D118" s="89"/>
      <c r="E118" s="89" t="s">
        <v>131</v>
      </c>
      <c r="F118" s="100">
        <v>0</v>
      </c>
      <c r="G118" s="101">
        <v>0</v>
      </c>
      <c r="H118" s="47"/>
    </row>
    <row r="119" spans="1:8" ht="14.1" customHeight="1" x14ac:dyDescent="0.2">
      <c r="A119" s="89"/>
      <c r="B119" s="89"/>
      <c r="C119" s="98"/>
      <c r="D119" s="89"/>
      <c r="E119" s="89"/>
      <c r="F119" s="99"/>
      <c r="G119" s="99"/>
      <c r="H119" s="47"/>
    </row>
    <row r="120" spans="1:8" ht="14.1" customHeight="1" x14ac:dyDescent="0.2">
      <c r="A120" s="89"/>
      <c r="B120" s="89"/>
      <c r="C120" s="90" t="s">
        <v>140</v>
      </c>
      <c r="D120" s="89"/>
      <c r="E120" s="89"/>
      <c r="F120" s="89"/>
      <c r="G120" s="89"/>
      <c r="H120" s="47"/>
    </row>
    <row r="121" spans="1:8" ht="29.1" customHeight="1" x14ac:dyDescent="0.2">
      <c r="A121" s="91">
        <v>1</v>
      </c>
      <c r="B121" s="92" t="s">
        <v>612</v>
      </c>
      <c r="C121" s="92" t="s">
        <v>613</v>
      </c>
      <c r="D121" s="92" t="s">
        <v>553</v>
      </c>
      <c r="E121" s="93">
        <v>1500000</v>
      </c>
      <c r="F121" s="94">
        <v>1440.15</v>
      </c>
      <c r="G121" s="95">
        <v>3.4366396E-2</v>
      </c>
      <c r="H121" s="47">
        <v>6.9602000000000004</v>
      </c>
    </row>
    <row r="122" spans="1:8" ht="29.1" customHeight="1" x14ac:dyDescent="0.2">
      <c r="A122" s="91">
        <v>2</v>
      </c>
      <c r="B122" s="92" t="s">
        <v>614</v>
      </c>
      <c r="C122" s="92" t="s">
        <v>615</v>
      </c>
      <c r="D122" s="92" t="s">
        <v>553</v>
      </c>
      <c r="E122" s="93">
        <v>500000</v>
      </c>
      <c r="F122" s="94">
        <v>475.988</v>
      </c>
      <c r="G122" s="95">
        <v>1.1358534E-2</v>
      </c>
      <c r="H122" s="47">
        <v>6.984</v>
      </c>
    </row>
    <row r="123" spans="1:8" ht="29.1" customHeight="1" x14ac:dyDescent="0.2">
      <c r="A123" s="91">
        <v>3</v>
      </c>
      <c r="B123" s="92" t="s">
        <v>616</v>
      </c>
      <c r="C123" s="92" t="s">
        <v>617</v>
      </c>
      <c r="D123" s="92" t="s">
        <v>553</v>
      </c>
      <c r="E123" s="93">
        <v>100000</v>
      </c>
      <c r="F123" s="94">
        <v>101.9354</v>
      </c>
      <c r="G123" s="95">
        <v>2.4324910000000002E-3</v>
      </c>
      <c r="H123" s="47">
        <v>7.2751999999999999</v>
      </c>
    </row>
    <row r="124" spans="1:8" ht="29.1" customHeight="1" x14ac:dyDescent="0.2">
      <c r="A124" s="91">
        <v>4</v>
      </c>
      <c r="B124" s="92" t="s">
        <v>618</v>
      </c>
      <c r="C124" s="92" t="s">
        <v>619</v>
      </c>
      <c r="D124" s="92" t="s">
        <v>553</v>
      </c>
      <c r="E124" s="93">
        <v>50000</v>
      </c>
      <c r="F124" s="94">
        <v>49.378900000000002</v>
      </c>
      <c r="G124" s="95">
        <v>1.178332E-3</v>
      </c>
      <c r="H124" s="47">
        <v>6.8762999999999996</v>
      </c>
    </row>
    <row r="125" spans="1:8" ht="14.1" customHeight="1" x14ac:dyDescent="0.2">
      <c r="A125" s="89"/>
      <c r="B125" s="89"/>
      <c r="C125" s="90" t="s">
        <v>130</v>
      </c>
      <c r="D125" s="89"/>
      <c r="E125" s="89" t="s">
        <v>131</v>
      </c>
      <c r="F125" s="96">
        <v>2067.4522999999999</v>
      </c>
      <c r="G125" s="97">
        <v>4.9335753000000003E-2</v>
      </c>
      <c r="H125" s="47"/>
    </row>
    <row r="126" spans="1:8" ht="14.1" customHeight="1" x14ac:dyDescent="0.2">
      <c r="A126" s="89"/>
      <c r="B126" s="89"/>
      <c r="C126" s="98"/>
      <c r="D126" s="89"/>
      <c r="E126" s="89"/>
      <c r="F126" s="99"/>
      <c r="G126" s="99"/>
      <c r="H126" s="47"/>
    </row>
    <row r="127" spans="1:8" ht="14.1" customHeight="1" x14ac:dyDescent="0.2">
      <c r="A127" s="89"/>
      <c r="B127" s="89"/>
      <c r="C127" s="90" t="s">
        <v>141</v>
      </c>
      <c r="D127" s="89"/>
      <c r="E127" s="89"/>
      <c r="F127" s="99"/>
      <c r="G127" s="99"/>
      <c r="H127" s="47"/>
    </row>
    <row r="128" spans="1:8" ht="14.1" customHeight="1" x14ac:dyDescent="0.2">
      <c r="A128" s="89"/>
      <c r="B128" s="89"/>
      <c r="C128" s="90" t="s">
        <v>130</v>
      </c>
      <c r="D128" s="89"/>
      <c r="E128" s="89" t="s">
        <v>131</v>
      </c>
      <c r="F128" s="100">
        <v>0</v>
      </c>
      <c r="G128" s="101">
        <v>0</v>
      </c>
      <c r="H128" s="47"/>
    </row>
    <row r="129" spans="1:8" ht="14.1" customHeight="1" x14ac:dyDescent="0.2">
      <c r="A129" s="89"/>
      <c r="B129" s="89"/>
      <c r="C129" s="98"/>
      <c r="D129" s="89"/>
      <c r="E129" s="89"/>
      <c r="F129" s="99"/>
      <c r="G129" s="99"/>
      <c r="H129" s="47"/>
    </row>
    <row r="130" spans="1:8" ht="14.1" customHeight="1" x14ac:dyDescent="0.2">
      <c r="A130" s="89"/>
      <c r="B130" s="89"/>
      <c r="C130" s="90" t="s">
        <v>142</v>
      </c>
      <c r="D130" s="89"/>
      <c r="E130" s="89"/>
      <c r="F130" s="96">
        <v>2911.19986088</v>
      </c>
      <c r="G130" s="97">
        <v>6.9470157000000005E-2</v>
      </c>
      <c r="H130" s="47"/>
    </row>
    <row r="131" spans="1:8" ht="14.1" customHeight="1" x14ac:dyDescent="0.2">
      <c r="A131" s="89"/>
      <c r="B131" s="89"/>
      <c r="C131" s="98"/>
      <c r="D131" s="89"/>
      <c r="E131" s="89"/>
      <c r="F131" s="99"/>
      <c r="G131" s="99"/>
      <c r="H131" s="47"/>
    </row>
    <row r="132" spans="1:8" ht="14.1" customHeight="1" x14ac:dyDescent="0.2">
      <c r="A132" s="89"/>
      <c r="B132" s="89"/>
      <c r="C132" s="90" t="s">
        <v>143</v>
      </c>
      <c r="D132" s="89"/>
      <c r="E132" s="89"/>
      <c r="F132" s="99"/>
      <c r="G132" s="99"/>
      <c r="H132" s="47"/>
    </row>
    <row r="133" spans="1:8" ht="14.1" customHeight="1" x14ac:dyDescent="0.2">
      <c r="A133" s="89"/>
      <c r="B133" s="89"/>
      <c r="C133" s="90" t="s">
        <v>144</v>
      </c>
      <c r="D133" s="89"/>
      <c r="E133" s="89"/>
      <c r="F133" s="99"/>
      <c r="G133" s="99"/>
      <c r="H133" s="47"/>
    </row>
    <row r="134" spans="1:8" ht="14.1" customHeight="1" x14ac:dyDescent="0.2">
      <c r="A134" s="89"/>
      <c r="B134" s="89"/>
      <c r="C134" s="90" t="s">
        <v>130</v>
      </c>
      <c r="D134" s="89"/>
      <c r="E134" s="89" t="s">
        <v>131</v>
      </c>
      <c r="F134" s="100">
        <v>0</v>
      </c>
      <c r="G134" s="101">
        <v>0</v>
      </c>
      <c r="H134" s="47"/>
    </row>
    <row r="135" spans="1:8" ht="14.1" customHeight="1" x14ac:dyDescent="0.2">
      <c r="A135" s="89"/>
      <c r="B135" s="89"/>
      <c r="C135" s="98"/>
      <c r="D135" s="89"/>
      <c r="E135" s="89"/>
      <c r="F135" s="99"/>
      <c r="G135" s="99"/>
      <c r="H135" s="47"/>
    </row>
    <row r="136" spans="1:8" ht="14.1" customHeight="1" x14ac:dyDescent="0.2">
      <c r="A136" s="89"/>
      <c r="B136" s="89"/>
      <c r="C136" s="90" t="s">
        <v>145</v>
      </c>
      <c r="D136" s="89"/>
      <c r="E136" s="89"/>
      <c r="F136" s="99"/>
      <c r="G136" s="99"/>
      <c r="H136" s="47"/>
    </row>
    <row r="137" spans="1:8" ht="14.1" customHeight="1" x14ac:dyDescent="0.2">
      <c r="A137" s="89"/>
      <c r="B137" s="89"/>
      <c r="C137" s="90" t="s">
        <v>130</v>
      </c>
      <c r="D137" s="89"/>
      <c r="E137" s="89" t="s">
        <v>131</v>
      </c>
      <c r="F137" s="100">
        <v>0</v>
      </c>
      <c r="G137" s="101">
        <v>0</v>
      </c>
      <c r="H137" s="47"/>
    </row>
    <row r="138" spans="1:8" ht="14.1" customHeight="1" x14ac:dyDescent="0.2">
      <c r="A138" s="89"/>
      <c r="B138" s="89"/>
      <c r="C138" s="98"/>
      <c r="D138" s="89"/>
      <c r="E138" s="89"/>
      <c r="F138" s="99"/>
      <c r="G138" s="99"/>
      <c r="H138" s="47"/>
    </row>
    <row r="139" spans="1:8" ht="14.1" customHeight="1" x14ac:dyDescent="0.2">
      <c r="A139" s="89"/>
      <c r="B139" s="89"/>
      <c r="C139" s="90" t="s">
        <v>146</v>
      </c>
      <c r="D139" s="89"/>
      <c r="E139" s="89"/>
      <c r="F139" s="99"/>
      <c r="G139" s="99"/>
      <c r="H139" s="47"/>
    </row>
    <row r="140" spans="1:8" ht="17.100000000000001" customHeight="1" x14ac:dyDescent="0.2">
      <c r="A140" s="91">
        <v>1</v>
      </c>
      <c r="B140" s="92" t="s">
        <v>620</v>
      </c>
      <c r="C140" s="92" t="s">
        <v>988</v>
      </c>
      <c r="D140" s="92" t="s">
        <v>553</v>
      </c>
      <c r="E140" s="93">
        <v>2000000</v>
      </c>
      <c r="F140" s="94">
        <v>1983.5239999999999</v>
      </c>
      <c r="G140" s="95">
        <v>4.7332965999999997E-2</v>
      </c>
      <c r="H140" s="47">
        <v>6.1875</v>
      </c>
    </row>
    <row r="141" spans="1:8" ht="17.100000000000001" customHeight="1" x14ac:dyDescent="0.2">
      <c r="A141" s="91">
        <v>2</v>
      </c>
      <c r="B141" s="92" t="s">
        <v>621</v>
      </c>
      <c r="C141" s="92" t="s">
        <v>987</v>
      </c>
      <c r="D141" s="92" t="s">
        <v>553</v>
      </c>
      <c r="E141" s="93">
        <v>1000000</v>
      </c>
      <c r="F141" s="94">
        <v>997.755</v>
      </c>
      <c r="G141" s="95">
        <v>2.3809495E-2</v>
      </c>
      <c r="H141" s="47">
        <v>5.8658000000000001</v>
      </c>
    </row>
    <row r="142" spans="1:8" ht="14.1" customHeight="1" x14ac:dyDescent="0.2">
      <c r="A142" s="89"/>
      <c r="B142" s="89"/>
      <c r="C142" s="90" t="s">
        <v>130</v>
      </c>
      <c r="D142" s="89"/>
      <c r="E142" s="89" t="s">
        <v>131</v>
      </c>
      <c r="F142" s="96">
        <v>2981.279</v>
      </c>
      <c r="G142" s="97">
        <v>7.1142461000000004E-2</v>
      </c>
      <c r="H142" s="47"/>
    </row>
    <row r="143" spans="1:8" ht="14.1" customHeight="1" x14ac:dyDescent="0.2">
      <c r="A143" s="89"/>
      <c r="B143" s="89"/>
      <c r="C143" s="98"/>
      <c r="D143" s="89"/>
      <c r="E143" s="89"/>
      <c r="F143" s="99"/>
      <c r="G143" s="99"/>
      <c r="H143" s="47"/>
    </row>
    <row r="144" spans="1:8" ht="14.1" customHeight="1" x14ac:dyDescent="0.2">
      <c r="A144" s="89"/>
      <c r="B144" s="89"/>
      <c r="C144" s="90" t="s">
        <v>147</v>
      </c>
      <c r="D144" s="89"/>
      <c r="E144" s="89"/>
      <c r="F144" s="99"/>
      <c r="G144" s="99"/>
      <c r="H144" s="47"/>
    </row>
    <row r="145" spans="1:8" ht="17.100000000000001" customHeight="1" x14ac:dyDescent="0.2">
      <c r="A145" s="91">
        <v>1</v>
      </c>
      <c r="B145" s="92"/>
      <c r="C145" s="92" t="s">
        <v>148</v>
      </c>
      <c r="D145" s="92"/>
      <c r="E145" s="102"/>
      <c r="F145" s="94">
        <v>2490.6282710999999</v>
      </c>
      <c r="G145" s="95">
        <v>5.9434029999999999E-2</v>
      </c>
      <c r="H145" s="47">
        <v>5.6572293145372496</v>
      </c>
    </row>
    <row r="146" spans="1:8" ht="14.1" customHeight="1" x14ac:dyDescent="0.2">
      <c r="A146" s="89"/>
      <c r="B146" s="89"/>
      <c r="C146" s="90" t="s">
        <v>130</v>
      </c>
      <c r="D146" s="89"/>
      <c r="E146" s="89" t="s">
        <v>131</v>
      </c>
      <c r="F146" s="96">
        <v>2490.6282710999999</v>
      </c>
      <c r="G146" s="97">
        <v>5.9434029999999999E-2</v>
      </c>
      <c r="H146" s="47"/>
    </row>
    <row r="147" spans="1:8" ht="14.1" customHeight="1" x14ac:dyDescent="0.2">
      <c r="A147" s="89"/>
      <c r="B147" s="89"/>
      <c r="C147" s="98"/>
      <c r="D147" s="89"/>
      <c r="E147" s="89"/>
      <c r="F147" s="99"/>
      <c r="G147" s="99"/>
      <c r="H147" s="47"/>
    </row>
    <row r="148" spans="1:8" ht="14.1" customHeight="1" x14ac:dyDescent="0.2">
      <c r="A148" s="89"/>
      <c r="B148" s="89"/>
      <c r="C148" s="90" t="s">
        <v>149</v>
      </c>
      <c r="D148" s="89"/>
      <c r="E148" s="89"/>
      <c r="F148" s="96">
        <v>5471.9072710999999</v>
      </c>
      <c r="G148" s="97">
        <v>0.13057649099999999</v>
      </c>
      <c r="H148" s="47"/>
    </row>
    <row r="149" spans="1:8" ht="14.1" customHeight="1" x14ac:dyDescent="0.2">
      <c r="A149" s="89"/>
      <c r="B149" s="89"/>
      <c r="C149" s="99"/>
      <c r="D149" s="89"/>
      <c r="E149" s="89"/>
      <c r="F149" s="89"/>
      <c r="G149" s="89"/>
      <c r="H149" s="47"/>
    </row>
    <row r="150" spans="1:8" ht="14.1" customHeight="1" x14ac:dyDescent="0.2">
      <c r="A150" s="89"/>
      <c r="B150" s="89"/>
      <c r="C150" s="90" t="s">
        <v>150</v>
      </c>
      <c r="D150" s="89"/>
      <c r="E150" s="89"/>
      <c r="F150" s="89"/>
      <c r="G150" s="89"/>
      <c r="H150" s="47"/>
    </row>
    <row r="151" spans="1:8" ht="14.1" customHeight="1" x14ac:dyDescent="0.2">
      <c r="A151" s="89"/>
      <c r="B151" s="89"/>
      <c r="C151" s="90" t="s">
        <v>151</v>
      </c>
      <c r="D151" s="89"/>
      <c r="E151" s="89"/>
      <c r="F151" s="89"/>
      <c r="G151" s="89"/>
      <c r="H151" s="47"/>
    </row>
    <row r="152" spans="1:8" ht="14.1" customHeight="1" x14ac:dyDescent="0.2">
      <c r="A152" s="89"/>
      <c r="B152" s="89"/>
      <c r="C152" s="90" t="s">
        <v>130</v>
      </c>
      <c r="D152" s="89"/>
      <c r="E152" s="89" t="s">
        <v>131</v>
      </c>
      <c r="F152" s="100">
        <v>0</v>
      </c>
      <c r="G152" s="101">
        <v>0</v>
      </c>
      <c r="H152" s="47"/>
    </row>
    <row r="153" spans="1:8" ht="14.1" customHeight="1" x14ac:dyDescent="0.2">
      <c r="A153" s="89"/>
      <c r="B153" s="89"/>
      <c r="C153" s="98"/>
      <c r="D153" s="89"/>
      <c r="E153" s="89"/>
      <c r="F153" s="99"/>
      <c r="G153" s="99"/>
      <c r="H153" s="47"/>
    </row>
    <row r="154" spans="1:8" ht="14.1" customHeight="1" x14ac:dyDescent="0.2">
      <c r="A154" s="89"/>
      <c r="B154" s="89"/>
      <c r="C154" s="90" t="s">
        <v>152</v>
      </c>
      <c r="D154" s="89"/>
      <c r="E154" s="89"/>
      <c r="F154" s="89"/>
      <c r="G154" s="89"/>
      <c r="H154" s="47"/>
    </row>
    <row r="155" spans="1:8" ht="14.1" customHeight="1" x14ac:dyDescent="0.2">
      <c r="A155" s="89"/>
      <c r="B155" s="89"/>
      <c r="C155" s="90" t="s">
        <v>153</v>
      </c>
      <c r="D155" s="89"/>
      <c r="E155" s="89"/>
      <c r="F155" s="89"/>
      <c r="G155" s="89"/>
      <c r="H155" s="47"/>
    </row>
    <row r="156" spans="1:8" ht="14.1" customHeight="1" x14ac:dyDescent="0.2">
      <c r="A156" s="89"/>
      <c r="B156" s="89"/>
      <c r="C156" s="90" t="s">
        <v>130</v>
      </c>
      <c r="D156" s="89"/>
      <c r="E156" s="89" t="s">
        <v>131</v>
      </c>
      <c r="F156" s="100">
        <v>0</v>
      </c>
      <c r="G156" s="101">
        <v>0</v>
      </c>
      <c r="H156" s="47"/>
    </row>
    <row r="157" spans="1:8" ht="14.1" customHeight="1" x14ac:dyDescent="0.2">
      <c r="A157" s="89"/>
      <c r="B157" s="89"/>
      <c r="C157" s="98"/>
      <c r="D157" s="89"/>
      <c r="E157" s="89"/>
      <c r="F157" s="99"/>
      <c r="G157" s="99"/>
      <c r="H157" s="47"/>
    </row>
    <row r="158" spans="1:8" ht="14.1" customHeight="1" x14ac:dyDescent="0.2">
      <c r="A158" s="89"/>
      <c r="B158" s="89"/>
      <c r="C158" s="98"/>
      <c r="D158" s="89"/>
      <c r="E158" s="89"/>
      <c r="F158" s="99"/>
      <c r="G158" s="99"/>
      <c r="H158" s="47"/>
    </row>
    <row r="159" spans="1:8" ht="24" customHeight="1" x14ac:dyDescent="0.2">
      <c r="A159" s="89"/>
      <c r="B159" s="89"/>
      <c r="C159" s="90" t="s">
        <v>154</v>
      </c>
      <c r="D159" s="89"/>
      <c r="E159" s="89"/>
      <c r="F159" s="99"/>
      <c r="G159" s="99"/>
      <c r="H159" s="47"/>
    </row>
    <row r="160" spans="1:8" ht="14.1" customHeight="1" x14ac:dyDescent="0.2">
      <c r="A160" s="89"/>
      <c r="B160" s="89"/>
      <c r="C160" s="90" t="s">
        <v>130</v>
      </c>
      <c r="D160" s="89"/>
      <c r="E160" s="89" t="s">
        <v>131</v>
      </c>
      <c r="F160" s="100">
        <v>0</v>
      </c>
      <c r="G160" s="101">
        <v>0</v>
      </c>
      <c r="H160" s="47"/>
    </row>
    <row r="161" spans="1:15" ht="14.1" customHeight="1" x14ac:dyDescent="0.2">
      <c r="A161" s="89"/>
      <c r="B161" s="89"/>
      <c r="C161" s="98"/>
      <c r="D161" s="89"/>
      <c r="E161" s="89"/>
      <c r="F161" s="99"/>
      <c r="G161" s="99"/>
      <c r="H161" s="47"/>
    </row>
    <row r="162" spans="1:15" ht="18" customHeight="1" x14ac:dyDescent="0.2">
      <c r="A162" s="102"/>
      <c r="B162" s="92"/>
      <c r="C162" s="92" t="s">
        <v>556</v>
      </c>
      <c r="D162" s="92"/>
      <c r="E162" s="102"/>
      <c r="F162" s="94">
        <v>1404.2709471999999</v>
      </c>
      <c r="G162" s="95">
        <v>3.3510211859539514E-2</v>
      </c>
      <c r="H162" s="47"/>
    </row>
    <row r="163" spans="1:15" ht="18" customHeight="1" x14ac:dyDescent="0.2">
      <c r="A163" s="102"/>
      <c r="B163" s="92"/>
      <c r="C163" s="92" t="s">
        <v>818</v>
      </c>
      <c r="D163" s="92"/>
      <c r="E163" s="102"/>
      <c r="F163" s="94">
        <v>-177.77116987998306</v>
      </c>
      <c r="G163" s="95">
        <v>-4.2421653578139503E-3</v>
      </c>
      <c r="H163" s="47"/>
    </row>
    <row r="164" spans="1:15" ht="14.1" customHeight="1" x14ac:dyDescent="0.2">
      <c r="A164" s="98"/>
      <c r="B164" s="98"/>
      <c r="C164" s="90" t="s">
        <v>156</v>
      </c>
      <c r="D164" s="145"/>
      <c r="E164" s="145"/>
      <c r="F164" s="212">
        <v>41905.761535800004</v>
      </c>
      <c r="G164" s="213">
        <v>0.99999999950172536</v>
      </c>
      <c r="H164" s="47"/>
    </row>
    <row r="165" spans="1:15" ht="14.1" customHeight="1" x14ac:dyDescent="0.2">
      <c r="A165" s="104"/>
      <c r="B165" s="104"/>
      <c r="C165" s="104"/>
      <c r="D165" s="105"/>
      <c r="E165" s="105"/>
      <c r="F165" s="105"/>
      <c r="G165" s="106"/>
    </row>
    <row r="166" spans="1:15" ht="17.100000000000001" customHeight="1" x14ac:dyDescent="0.2">
      <c r="A166" s="107"/>
      <c r="B166" s="332" t="s">
        <v>582</v>
      </c>
      <c r="C166" s="332"/>
      <c r="D166" s="332"/>
      <c r="E166" s="332"/>
      <c r="F166" s="332"/>
      <c r="G166" s="108"/>
    </row>
    <row r="167" spans="1:15" ht="17.100000000000001" customHeight="1" x14ac:dyDescent="0.2">
      <c r="A167" s="107"/>
      <c r="B167" s="332" t="s">
        <v>819</v>
      </c>
      <c r="C167" s="332"/>
      <c r="D167" s="332"/>
      <c r="E167" s="332"/>
      <c r="F167" s="332"/>
      <c r="G167" s="108"/>
    </row>
    <row r="168" spans="1:15" ht="17.100000000000001" customHeight="1" x14ac:dyDescent="0.2">
      <c r="A168" s="107"/>
      <c r="B168" s="332" t="s">
        <v>157</v>
      </c>
      <c r="C168" s="332"/>
      <c r="D168" s="332"/>
      <c r="E168" s="332"/>
      <c r="F168" s="332"/>
      <c r="G168" s="108"/>
    </row>
    <row r="169" spans="1:15" ht="17.100000000000001" customHeight="1" x14ac:dyDescent="0.2">
      <c r="A169" s="107"/>
      <c r="B169" s="332" t="s">
        <v>985</v>
      </c>
      <c r="C169" s="332"/>
      <c r="D169" s="332"/>
      <c r="E169" s="332"/>
      <c r="F169" s="332"/>
      <c r="G169" s="108"/>
    </row>
    <row r="170" spans="1:15" ht="14.1" customHeight="1" x14ac:dyDescent="0.2">
      <c r="A170" s="107"/>
      <c r="B170" s="107"/>
      <c r="C170" s="107"/>
      <c r="D170" s="108"/>
      <c r="E170" s="108"/>
      <c r="F170" s="108"/>
      <c r="G170" s="108"/>
    </row>
    <row r="171" spans="1:15" ht="14.1" customHeight="1" x14ac:dyDescent="0.2">
      <c r="A171" s="107"/>
      <c r="B171" s="334" t="s">
        <v>158</v>
      </c>
      <c r="C171" s="336"/>
      <c r="D171" s="99" t="s">
        <v>131</v>
      </c>
      <c r="E171" s="111"/>
      <c r="F171" s="108"/>
      <c r="G171" s="108"/>
    </row>
    <row r="172" spans="1:15" ht="29.1" customHeight="1" x14ac:dyDescent="0.2">
      <c r="A172" s="107"/>
      <c r="B172" s="330" t="s">
        <v>159</v>
      </c>
      <c r="C172" s="331"/>
      <c r="D172" s="90" t="s">
        <v>160</v>
      </c>
      <c r="E172" s="111"/>
      <c r="F172" s="108"/>
      <c r="G172" s="108"/>
    </row>
    <row r="173" spans="1:15" ht="17.100000000000001" customHeight="1" x14ac:dyDescent="0.2">
      <c r="A173" s="107"/>
      <c r="B173" s="330" t="s">
        <v>161</v>
      </c>
      <c r="C173" s="331"/>
      <c r="D173" s="90" t="s">
        <v>160</v>
      </c>
      <c r="E173" s="111"/>
      <c r="F173" s="108"/>
      <c r="G173" s="108"/>
    </row>
    <row r="174" spans="1:15" ht="17.100000000000001" customHeight="1" x14ac:dyDescent="0.2">
      <c r="A174" s="107"/>
      <c r="B174" s="330" t="s">
        <v>162</v>
      </c>
      <c r="C174" s="331"/>
      <c r="D174" s="99" t="s">
        <v>131</v>
      </c>
      <c r="E174" s="111"/>
      <c r="F174" s="108"/>
      <c r="G174" s="108"/>
      <c r="O174" s="50"/>
    </row>
    <row r="175" spans="1:15" ht="24" customHeight="1" x14ac:dyDescent="0.2">
      <c r="A175" s="113"/>
      <c r="B175" s="114" t="s">
        <v>131</v>
      </c>
      <c r="C175" s="114" t="s">
        <v>163</v>
      </c>
      <c r="D175" s="114" t="s">
        <v>164</v>
      </c>
      <c r="E175" s="113"/>
      <c r="F175" s="113"/>
      <c r="G175" s="113"/>
    </row>
    <row r="176" spans="1:15" ht="18" customHeight="1" x14ac:dyDescent="0.2">
      <c r="A176" s="113"/>
      <c r="B176" s="114" t="s">
        <v>165</v>
      </c>
      <c r="C176" s="114" t="s">
        <v>166</v>
      </c>
      <c r="D176" s="114" t="s">
        <v>167</v>
      </c>
      <c r="E176" s="113"/>
      <c r="F176" s="113"/>
      <c r="G176" s="113"/>
      <c r="I176" s="50"/>
    </row>
    <row r="177" spans="1:14" ht="17.100000000000001" customHeight="1" x14ac:dyDescent="0.2">
      <c r="A177" s="113"/>
      <c r="B177" s="92" t="s">
        <v>168</v>
      </c>
      <c r="C177" s="150">
        <v>58.225000000000001</v>
      </c>
      <c r="D177" s="150">
        <v>58.645000000000003</v>
      </c>
      <c r="E177" s="113"/>
      <c r="F177" s="117"/>
      <c r="G177" s="118"/>
    </row>
    <row r="178" spans="1:14" ht="29.1" customHeight="1" x14ac:dyDescent="0.2">
      <c r="A178" s="113"/>
      <c r="B178" s="92" t="s">
        <v>1024</v>
      </c>
      <c r="C178" s="150">
        <v>14.364800000000001</v>
      </c>
      <c r="D178" s="150">
        <v>14.468299999999999</v>
      </c>
      <c r="E178" s="113"/>
      <c r="F178" s="117"/>
      <c r="G178" s="118"/>
      <c r="I178" s="50"/>
      <c r="J178" s="50"/>
      <c r="K178" s="50"/>
      <c r="L178" s="50"/>
      <c r="M178" s="50"/>
      <c r="N178" s="50"/>
    </row>
    <row r="179" spans="1:14" ht="29.1" customHeight="1" x14ac:dyDescent="0.2">
      <c r="A179" s="113"/>
      <c r="B179" s="92" t="s">
        <v>1027</v>
      </c>
      <c r="C179" s="150">
        <v>21.315799999999999</v>
      </c>
      <c r="D179" s="150">
        <v>21.4694</v>
      </c>
      <c r="E179" s="113"/>
      <c r="F179" s="117"/>
      <c r="G179" s="118"/>
    </row>
    <row r="180" spans="1:14" ht="17.100000000000001" customHeight="1" x14ac:dyDescent="0.2">
      <c r="A180" s="113"/>
      <c r="B180" s="92" t="s">
        <v>169</v>
      </c>
      <c r="C180" s="150">
        <v>52.442599999999999</v>
      </c>
      <c r="D180" s="150">
        <v>52.746200000000002</v>
      </c>
      <c r="E180" s="113"/>
      <c r="F180" s="117"/>
      <c r="G180" s="118"/>
    </row>
    <row r="181" spans="1:14" ht="29.1" customHeight="1" x14ac:dyDescent="0.2">
      <c r="A181" s="113"/>
      <c r="B181" s="92" t="s">
        <v>1205</v>
      </c>
      <c r="C181" s="150">
        <v>14.0016</v>
      </c>
      <c r="D181" s="150">
        <v>14.082700000000001</v>
      </c>
      <c r="E181" s="113"/>
      <c r="F181" s="117"/>
      <c r="G181" s="118"/>
    </row>
    <row r="182" spans="1:14" ht="29.1" customHeight="1" x14ac:dyDescent="0.2">
      <c r="A182" s="113"/>
      <c r="B182" s="92" t="s">
        <v>1029</v>
      </c>
      <c r="C182" s="150">
        <v>15.3484</v>
      </c>
      <c r="D182" s="150">
        <v>15.4373</v>
      </c>
      <c r="E182" s="113"/>
      <c r="F182" s="117"/>
      <c r="G182" s="118"/>
    </row>
    <row r="183" spans="1:14" ht="14.1" customHeight="1" x14ac:dyDescent="0.2">
      <c r="A183" s="113"/>
      <c r="B183" s="113"/>
      <c r="C183" s="113"/>
      <c r="D183" s="113"/>
      <c r="E183" s="113"/>
      <c r="F183" s="113"/>
      <c r="G183" s="113"/>
    </row>
    <row r="184" spans="1:14" ht="17.100000000000001" customHeight="1" x14ac:dyDescent="0.2">
      <c r="A184" s="113"/>
      <c r="B184" s="330" t="s">
        <v>1023</v>
      </c>
      <c r="C184" s="331"/>
      <c r="D184" s="90" t="s">
        <v>160</v>
      </c>
      <c r="E184" s="113"/>
      <c r="F184" s="113"/>
      <c r="G184" s="113"/>
    </row>
    <row r="185" spans="1:14" ht="18" customHeight="1" x14ac:dyDescent="0.2">
      <c r="A185" s="113"/>
      <c r="B185" s="127"/>
      <c r="C185" s="127"/>
      <c r="D185" s="151"/>
      <c r="E185" s="113"/>
      <c r="F185" s="113"/>
      <c r="G185" s="113"/>
    </row>
    <row r="186" spans="1:14" ht="29.1" customHeight="1" x14ac:dyDescent="0.2">
      <c r="A186" s="113"/>
      <c r="B186" s="328" t="s">
        <v>170</v>
      </c>
      <c r="C186" s="329"/>
      <c r="D186" s="112" t="s">
        <v>976</v>
      </c>
      <c r="E186" s="113"/>
      <c r="F186" s="113"/>
      <c r="G186" s="113"/>
    </row>
    <row r="187" spans="1:14" ht="29.1" customHeight="1" x14ac:dyDescent="0.2">
      <c r="A187" s="113"/>
      <c r="B187" s="328" t="s">
        <v>171</v>
      </c>
      <c r="C187" s="329"/>
      <c r="D187" s="90" t="s">
        <v>160</v>
      </c>
      <c r="E187" s="113"/>
      <c r="F187" s="113"/>
      <c r="G187" s="113"/>
    </row>
    <row r="188" spans="1:14" ht="17.100000000000001" customHeight="1" x14ac:dyDescent="0.2">
      <c r="A188" s="113"/>
      <c r="B188" s="354" t="s">
        <v>978</v>
      </c>
      <c r="C188" s="355"/>
      <c r="D188" s="154">
        <v>0.65833095178935175</v>
      </c>
      <c r="E188" s="113"/>
      <c r="F188" s="117"/>
      <c r="G188" s="118"/>
    </row>
    <row r="189" spans="1:14" ht="17.100000000000001" customHeight="1" x14ac:dyDescent="0.2">
      <c r="A189" s="113"/>
      <c r="B189" s="354" t="s">
        <v>979</v>
      </c>
      <c r="C189" s="355"/>
      <c r="D189" s="154">
        <v>0.61604496347683912</v>
      </c>
      <c r="E189" s="113"/>
      <c r="F189" s="117"/>
      <c r="G189" s="118"/>
    </row>
    <row r="190" spans="1:14" ht="17.100000000000001" customHeight="1" x14ac:dyDescent="0.2">
      <c r="A190" s="113"/>
      <c r="B190" s="328" t="s">
        <v>980</v>
      </c>
      <c r="C190" s="329"/>
      <c r="D190" s="126">
        <v>4.2713103401579602</v>
      </c>
      <c r="E190" s="113"/>
      <c r="F190" s="117"/>
      <c r="G190" s="118"/>
    </row>
    <row r="191" spans="1:14" ht="17.100000000000001" customHeight="1" x14ac:dyDescent="0.2">
      <c r="A191" s="113"/>
      <c r="B191" s="328" t="s">
        <v>981</v>
      </c>
      <c r="C191" s="329"/>
      <c r="D191" s="90" t="s">
        <v>160</v>
      </c>
      <c r="E191" s="113"/>
      <c r="F191" s="113"/>
      <c r="G191" s="113"/>
    </row>
  </sheetData>
  <mergeCells count="19">
    <mergeCell ref="B190:C190"/>
    <mergeCell ref="B191:C191"/>
    <mergeCell ref="B172:C172"/>
    <mergeCell ref="B173:C173"/>
    <mergeCell ref="B174:C174"/>
    <mergeCell ref="B184:C184"/>
    <mergeCell ref="B186:C186"/>
    <mergeCell ref="B187:C187"/>
    <mergeCell ref="B189:C189"/>
    <mergeCell ref="B188:C188"/>
    <mergeCell ref="A1:H1"/>
    <mergeCell ref="A2:H2"/>
    <mergeCell ref="A3:H3"/>
    <mergeCell ref="J2:N2"/>
    <mergeCell ref="B171:C171"/>
    <mergeCell ref="B166:F166"/>
    <mergeCell ref="B169:F169"/>
    <mergeCell ref="B167:F167"/>
    <mergeCell ref="B168:F168"/>
  </mergeCells>
  <hyperlinks>
    <hyperlink ref="I1" location="Index!B27" display="Index" xr:uid="{543A57A3-A570-4152-8283-74D6FA4212C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O12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1037</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14</v>
      </c>
      <c r="C7" s="4" t="s">
        <v>15</v>
      </c>
      <c r="D7" s="4" t="s">
        <v>16</v>
      </c>
      <c r="E7" s="5">
        <v>713000</v>
      </c>
      <c r="F7" s="6">
        <v>6794.1769999999997</v>
      </c>
      <c r="G7" s="7">
        <v>8.3999756999999994E-2</v>
      </c>
      <c r="H7" s="49"/>
    </row>
    <row r="8" spans="1:15" ht="17.100000000000001" customHeight="1" x14ac:dyDescent="0.2">
      <c r="A8" s="3">
        <v>2</v>
      </c>
      <c r="B8" s="4" t="s">
        <v>20</v>
      </c>
      <c r="C8" s="4" t="s">
        <v>21</v>
      </c>
      <c r="D8" s="4" t="s">
        <v>22</v>
      </c>
      <c r="E8" s="5">
        <v>215000</v>
      </c>
      <c r="F8" s="6">
        <v>5872.4025000000001</v>
      </c>
      <c r="G8" s="7">
        <v>7.2603404999999996E-2</v>
      </c>
      <c r="H8" s="49"/>
    </row>
    <row r="9" spans="1:15" ht="29.1" customHeight="1" x14ac:dyDescent="0.2">
      <c r="A9" s="3">
        <v>3</v>
      </c>
      <c r="B9" s="4" t="s">
        <v>296</v>
      </c>
      <c r="C9" s="4" t="s">
        <v>297</v>
      </c>
      <c r="D9" s="4" t="s">
        <v>103</v>
      </c>
      <c r="E9" s="5">
        <v>206000</v>
      </c>
      <c r="F9" s="6">
        <v>5546.6530000000002</v>
      </c>
      <c r="G9" s="7">
        <v>6.8576002999999996E-2</v>
      </c>
      <c r="H9" s="49"/>
    </row>
    <row r="10" spans="1:15" ht="17.100000000000001" customHeight="1" x14ac:dyDescent="0.2">
      <c r="A10" s="3">
        <v>4</v>
      </c>
      <c r="B10" s="4" t="s">
        <v>294</v>
      </c>
      <c r="C10" s="4" t="s">
        <v>295</v>
      </c>
      <c r="D10" s="4" t="s">
        <v>974</v>
      </c>
      <c r="E10" s="5">
        <v>288000</v>
      </c>
      <c r="F10" s="6">
        <v>4708.6559999999999</v>
      </c>
      <c r="G10" s="7">
        <v>5.8215434000000003E-2</v>
      </c>
      <c r="H10" s="49"/>
    </row>
    <row r="11" spans="1:15" ht="17.100000000000001" customHeight="1" x14ac:dyDescent="0.2">
      <c r="A11" s="3">
        <v>5</v>
      </c>
      <c r="B11" s="4" t="s">
        <v>340</v>
      </c>
      <c r="C11" s="4" t="s">
        <v>341</v>
      </c>
      <c r="D11" s="4" t="s">
        <v>16</v>
      </c>
      <c r="E11" s="5">
        <v>1248000</v>
      </c>
      <c r="F11" s="6">
        <v>3927.4560000000001</v>
      </c>
      <c r="G11" s="7">
        <v>4.8557072999999999E-2</v>
      </c>
      <c r="H11" s="49"/>
    </row>
    <row r="12" spans="1:15" ht="17.100000000000001" customHeight="1" x14ac:dyDescent="0.2">
      <c r="A12" s="3">
        <v>6</v>
      </c>
      <c r="B12" s="4" t="s">
        <v>11</v>
      </c>
      <c r="C12" s="4" t="s">
        <v>12</v>
      </c>
      <c r="D12" s="4" t="s">
        <v>13</v>
      </c>
      <c r="E12" s="5">
        <v>156000</v>
      </c>
      <c r="F12" s="6">
        <v>3236.7660000000001</v>
      </c>
      <c r="G12" s="7">
        <v>4.0017733E-2</v>
      </c>
      <c r="H12" s="49"/>
    </row>
    <row r="13" spans="1:15" ht="17.100000000000001" customHeight="1" x14ac:dyDescent="0.2">
      <c r="A13" s="3">
        <v>7</v>
      </c>
      <c r="B13" s="4" t="s">
        <v>39</v>
      </c>
      <c r="C13" s="4" t="s">
        <v>40</v>
      </c>
      <c r="D13" s="4" t="s">
        <v>16</v>
      </c>
      <c r="E13" s="5">
        <v>525000</v>
      </c>
      <c r="F13" s="6">
        <v>3162.8625000000002</v>
      </c>
      <c r="G13" s="7">
        <v>3.9104027E-2</v>
      </c>
      <c r="H13" s="49"/>
    </row>
    <row r="14" spans="1:15" ht="17.100000000000001" customHeight="1" x14ac:dyDescent="0.2">
      <c r="A14" s="3">
        <v>8</v>
      </c>
      <c r="B14" s="4" t="s">
        <v>337</v>
      </c>
      <c r="C14" s="4" t="s">
        <v>1204</v>
      </c>
      <c r="D14" s="4" t="s">
        <v>19</v>
      </c>
      <c r="E14" s="5">
        <v>581000</v>
      </c>
      <c r="F14" s="6">
        <v>2699.6165000000001</v>
      </c>
      <c r="G14" s="7">
        <v>3.3376689000000001E-2</v>
      </c>
      <c r="H14" s="49"/>
      <c r="J14" s="217" t="s">
        <v>1089</v>
      </c>
    </row>
    <row r="15" spans="1:15" ht="17.100000000000001" customHeight="1" x14ac:dyDescent="0.2">
      <c r="A15" s="3">
        <v>9</v>
      </c>
      <c r="B15" s="4" t="s">
        <v>354</v>
      </c>
      <c r="C15" s="4" t="s">
        <v>355</v>
      </c>
      <c r="D15" s="4" t="s">
        <v>188</v>
      </c>
      <c r="E15" s="5">
        <v>64955</v>
      </c>
      <c r="F15" s="6">
        <v>2614.7635249999998</v>
      </c>
      <c r="G15" s="7">
        <v>3.232761E-2</v>
      </c>
      <c r="H15" s="49"/>
    </row>
    <row r="16" spans="1:15" ht="17.100000000000001" customHeight="1" x14ac:dyDescent="0.2">
      <c r="A16" s="3">
        <v>10</v>
      </c>
      <c r="B16" s="4" t="s">
        <v>259</v>
      </c>
      <c r="C16" s="4" t="s">
        <v>260</v>
      </c>
      <c r="D16" s="4" t="s">
        <v>103</v>
      </c>
      <c r="E16" s="5">
        <v>149000</v>
      </c>
      <c r="F16" s="6">
        <v>2423.4850000000001</v>
      </c>
      <c r="G16" s="7">
        <v>2.9962738999999999E-2</v>
      </c>
      <c r="H16" s="49"/>
    </row>
    <row r="17" spans="1:10" ht="53.1" customHeight="1" x14ac:dyDescent="0.2">
      <c r="A17" s="3">
        <v>11</v>
      </c>
      <c r="B17" s="4" t="s">
        <v>49</v>
      </c>
      <c r="C17" s="4" t="s">
        <v>50</v>
      </c>
      <c r="D17" s="4" t="s">
        <v>51</v>
      </c>
      <c r="E17" s="5">
        <v>1625000</v>
      </c>
      <c r="F17" s="6">
        <v>2418</v>
      </c>
      <c r="G17" s="7">
        <v>2.9894924999999999E-2</v>
      </c>
      <c r="H17" s="49"/>
    </row>
    <row r="18" spans="1:10" ht="17.100000000000001" customHeight="1" x14ac:dyDescent="0.2">
      <c r="A18" s="3">
        <v>12</v>
      </c>
      <c r="B18" s="4" t="s">
        <v>70</v>
      </c>
      <c r="C18" s="4" t="s">
        <v>71</v>
      </c>
      <c r="D18" s="4" t="s">
        <v>72</v>
      </c>
      <c r="E18" s="5">
        <v>25000</v>
      </c>
      <c r="F18" s="6">
        <v>2243.5374999999999</v>
      </c>
      <c r="G18" s="7">
        <v>2.7737959E-2</v>
      </c>
      <c r="H18" s="49"/>
    </row>
    <row r="19" spans="1:10" ht="29.1" customHeight="1" x14ac:dyDescent="0.2">
      <c r="A19" s="3">
        <v>13</v>
      </c>
      <c r="B19" s="4" t="s">
        <v>67</v>
      </c>
      <c r="C19" s="4" t="s">
        <v>68</v>
      </c>
      <c r="D19" s="4" t="s">
        <v>69</v>
      </c>
      <c r="E19" s="5">
        <v>2100000</v>
      </c>
      <c r="F19" s="6">
        <v>2207.1</v>
      </c>
      <c r="G19" s="7">
        <v>2.7287465E-2</v>
      </c>
      <c r="H19" s="49"/>
    </row>
    <row r="20" spans="1:10" ht="53.1" customHeight="1" x14ac:dyDescent="0.2">
      <c r="A20" s="3">
        <v>14</v>
      </c>
      <c r="B20" s="4" t="s">
        <v>94</v>
      </c>
      <c r="C20" s="4" t="s">
        <v>95</v>
      </c>
      <c r="D20" s="4" t="s">
        <v>51</v>
      </c>
      <c r="E20" s="5">
        <v>143000</v>
      </c>
      <c r="F20" s="6">
        <v>2099.8834999999999</v>
      </c>
      <c r="G20" s="7">
        <v>2.5961893999999999E-2</v>
      </c>
      <c r="H20" s="49"/>
    </row>
    <row r="21" spans="1:10" ht="17.100000000000001" customHeight="1" x14ac:dyDescent="0.2">
      <c r="A21" s="3">
        <v>15</v>
      </c>
      <c r="B21" s="4" t="s">
        <v>498</v>
      </c>
      <c r="C21" s="4" t="s">
        <v>499</v>
      </c>
      <c r="D21" s="4" t="s">
        <v>317</v>
      </c>
      <c r="E21" s="5">
        <v>45000</v>
      </c>
      <c r="F21" s="6">
        <v>1982.4075</v>
      </c>
      <c r="G21" s="7">
        <v>2.450948E-2</v>
      </c>
      <c r="H21" s="49"/>
      <c r="J21" s="217" t="s">
        <v>1090</v>
      </c>
    </row>
    <row r="22" spans="1:10" ht="29.1" customHeight="1" x14ac:dyDescent="0.2">
      <c r="A22" s="3">
        <v>16</v>
      </c>
      <c r="B22" s="4" t="s">
        <v>101</v>
      </c>
      <c r="C22" s="4" t="s">
        <v>102</v>
      </c>
      <c r="D22" s="4" t="s">
        <v>103</v>
      </c>
      <c r="E22" s="5">
        <v>273000</v>
      </c>
      <c r="F22" s="6">
        <v>1951.5405000000001</v>
      </c>
      <c r="G22" s="7">
        <v>2.4127856999999999E-2</v>
      </c>
      <c r="H22" s="49"/>
    </row>
    <row r="23" spans="1:10" ht="29.1" customHeight="1" x14ac:dyDescent="0.2">
      <c r="A23" s="3">
        <v>17</v>
      </c>
      <c r="B23" s="4" t="s">
        <v>81</v>
      </c>
      <c r="C23" s="4" t="s">
        <v>82</v>
      </c>
      <c r="D23" s="4" t="s">
        <v>25</v>
      </c>
      <c r="E23" s="5">
        <v>8000</v>
      </c>
      <c r="F23" s="6">
        <v>1910.38</v>
      </c>
      <c r="G23" s="7">
        <v>2.3618969E-2</v>
      </c>
      <c r="H23" s="49"/>
    </row>
    <row r="24" spans="1:10" ht="17.100000000000001" customHeight="1" x14ac:dyDescent="0.2">
      <c r="A24" s="3">
        <v>18</v>
      </c>
      <c r="B24" s="4" t="s">
        <v>73</v>
      </c>
      <c r="C24" s="4" t="s">
        <v>74</v>
      </c>
      <c r="D24" s="4" t="s">
        <v>38</v>
      </c>
      <c r="E24" s="5">
        <v>661667</v>
      </c>
      <c r="F24" s="6">
        <v>1898.6534564999999</v>
      </c>
      <c r="G24" s="7">
        <v>2.3473988000000001E-2</v>
      </c>
      <c r="H24" s="49"/>
    </row>
    <row r="25" spans="1:10" ht="17.100000000000001" customHeight="1" x14ac:dyDescent="0.2">
      <c r="A25" s="3">
        <v>19</v>
      </c>
      <c r="B25" s="4" t="s">
        <v>104</v>
      </c>
      <c r="C25" s="4" t="s">
        <v>105</v>
      </c>
      <c r="D25" s="4" t="s">
        <v>100</v>
      </c>
      <c r="E25" s="5">
        <v>193000</v>
      </c>
      <c r="F25" s="6">
        <v>1783.127</v>
      </c>
      <c r="G25" s="7">
        <v>2.2045677E-2</v>
      </c>
      <c r="H25" s="49"/>
    </row>
    <row r="26" spans="1:10" ht="29.1" customHeight="1" x14ac:dyDescent="0.2">
      <c r="A26" s="3">
        <v>20</v>
      </c>
      <c r="B26" s="4" t="s">
        <v>197</v>
      </c>
      <c r="C26" s="4" t="s">
        <v>198</v>
      </c>
      <c r="D26" s="4" t="s">
        <v>193</v>
      </c>
      <c r="E26" s="5">
        <v>40584</v>
      </c>
      <c r="F26" s="6">
        <v>1762.3399079999999</v>
      </c>
      <c r="G26" s="7">
        <v>2.1788676E-2</v>
      </c>
      <c r="H26" s="49"/>
    </row>
    <row r="27" spans="1:10" ht="17.100000000000001" customHeight="1" x14ac:dyDescent="0.2">
      <c r="A27" s="3">
        <v>21</v>
      </c>
      <c r="B27" s="4" t="s">
        <v>221</v>
      </c>
      <c r="C27" s="4" t="s">
        <v>222</v>
      </c>
      <c r="D27" s="4" t="s">
        <v>179</v>
      </c>
      <c r="E27" s="5">
        <v>96000</v>
      </c>
      <c r="F27" s="6">
        <v>1618.6559999999999</v>
      </c>
      <c r="G27" s="7">
        <v>2.0012241E-2</v>
      </c>
      <c r="H27" s="49"/>
    </row>
    <row r="28" spans="1:10" ht="17.100000000000001" customHeight="1" x14ac:dyDescent="0.2">
      <c r="A28" s="3">
        <v>22</v>
      </c>
      <c r="B28" s="4" t="s">
        <v>243</v>
      </c>
      <c r="C28" s="4" t="s">
        <v>244</v>
      </c>
      <c r="D28" s="4" t="s">
        <v>227</v>
      </c>
      <c r="E28" s="5">
        <v>549355</v>
      </c>
      <c r="F28" s="6">
        <v>1593.6788550000001</v>
      </c>
      <c r="G28" s="7">
        <v>1.9703437000000001E-2</v>
      </c>
      <c r="H28" s="49"/>
    </row>
    <row r="29" spans="1:10" ht="17.100000000000001" customHeight="1" x14ac:dyDescent="0.2">
      <c r="A29" s="3">
        <v>23</v>
      </c>
      <c r="B29" s="4" t="s">
        <v>352</v>
      </c>
      <c r="C29" s="4" t="s">
        <v>353</v>
      </c>
      <c r="D29" s="4" t="s">
        <v>72</v>
      </c>
      <c r="E29" s="5">
        <v>362330</v>
      </c>
      <c r="F29" s="6">
        <v>1592.0780199999999</v>
      </c>
      <c r="G29" s="7">
        <v>1.9683645E-2</v>
      </c>
      <c r="H29" s="49"/>
    </row>
    <row r="30" spans="1:10" ht="17.100000000000001" customHeight="1" x14ac:dyDescent="0.2">
      <c r="A30" s="3">
        <v>24</v>
      </c>
      <c r="B30" s="4" t="s">
        <v>52</v>
      </c>
      <c r="C30" s="4" t="s">
        <v>53</v>
      </c>
      <c r="D30" s="4" t="s">
        <v>28</v>
      </c>
      <c r="E30" s="5">
        <v>657694</v>
      </c>
      <c r="F30" s="6">
        <v>1478.496112</v>
      </c>
      <c r="G30" s="7">
        <v>1.8279376E-2</v>
      </c>
      <c r="H30" s="49"/>
    </row>
    <row r="31" spans="1:10" ht="17.100000000000001" customHeight="1" x14ac:dyDescent="0.2">
      <c r="A31" s="3">
        <v>25</v>
      </c>
      <c r="B31" s="4" t="s">
        <v>289</v>
      </c>
      <c r="C31" s="4" t="s">
        <v>290</v>
      </c>
      <c r="D31" s="4" t="s">
        <v>108</v>
      </c>
      <c r="E31" s="5">
        <v>32217</v>
      </c>
      <c r="F31" s="6">
        <v>1369.834623</v>
      </c>
      <c r="G31" s="7">
        <v>1.693594E-2</v>
      </c>
      <c r="H31" s="49"/>
    </row>
    <row r="32" spans="1:10" ht="17.100000000000001" customHeight="1" x14ac:dyDescent="0.2">
      <c r="A32" s="3">
        <v>26</v>
      </c>
      <c r="B32" s="4" t="s">
        <v>109</v>
      </c>
      <c r="C32" s="4" t="s">
        <v>110</v>
      </c>
      <c r="D32" s="4" t="s">
        <v>89</v>
      </c>
      <c r="E32" s="5">
        <v>271788</v>
      </c>
      <c r="F32" s="6">
        <v>1235.140566</v>
      </c>
      <c r="G32" s="7">
        <v>1.5270651E-2</v>
      </c>
      <c r="H32" s="49"/>
    </row>
    <row r="33" spans="1:8" ht="17.100000000000001" customHeight="1" x14ac:dyDescent="0.2">
      <c r="A33" s="3">
        <v>27</v>
      </c>
      <c r="B33" s="4" t="s">
        <v>36</v>
      </c>
      <c r="C33" s="4" t="s">
        <v>37</v>
      </c>
      <c r="D33" s="4" t="s">
        <v>38</v>
      </c>
      <c r="E33" s="5">
        <v>41000</v>
      </c>
      <c r="F33" s="6">
        <v>1230.287</v>
      </c>
      <c r="G33" s="7">
        <v>1.5210644000000001E-2</v>
      </c>
      <c r="H33" s="49"/>
    </row>
    <row r="34" spans="1:8" ht="17.100000000000001" customHeight="1" x14ac:dyDescent="0.2">
      <c r="A34" s="3">
        <v>28</v>
      </c>
      <c r="B34" s="4" t="s">
        <v>346</v>
      </c>
      <c r="C34" s="4" t="s">
        <v>347</v>
      </c>
      <c r="D34" s="4" t="s">
        <v>233</v>
      </c>
      <c r="E34" s="5">
        <v>260000</v>
      </c>
      <c r="F34" s="6">
        <v>836.29</v>
      </c>
      <c r="G34" s="7">
        <v>1.0339465000000001E-2</v>
      </c>
      <c r="H34" s="49"/>
    </row>
    <row r="35" spans="1:8" ht="17.100000000000001" customHeight="1" x14ac:dyDescent="0.2">
      <c r="A35" s="3">
        <v>29</v>
      </c>
      <c r="B35" s="4" t="s">
        <v>358</v>
      </c>
      <c r="C35" s="4" t="s">
        <v>359</v>
      </c>
      <c r="D35" s="4" t="s">
        <v>108</v>
      </c>
      <c r="E35" s="5">
        <v>86708</v>
      </c>
      <c r="F35" s="6">
        <v>819.95420200000001</v>
      </c>
      <c r="G35" s="7">
        <v>1.0137498E-2</v>
      </c>
      <c r="H35" s="49"/>
    </row>
    <row r="36" spans="1:8" ht="17.100000000000001" customHeight="1" x14ac:dyDescent="0.2">
      <c r="A36" s="3">
        <v>30</v>
      </c>
      <c r="B36" s="4" t="s">
        <v>125</v>
      </c>
      <c r="C36" s="4" t="s">
        <v>126</v>
      </c>
      <c r="D36" s="4"/>
      <c r="E36" s="5">
        <v>143000</v>
      </c>
      <c r="F36" s="6">
        <v>431.5025</v>
      </c>
      <c r="G36" s="7">
        <v>5.3348780000000004E-3</v>
      </c>
      <c r="H36" s="49"/>
    </row>
    <row r="37" spans="1:8" ht="14.1" customHeight="1" x14ac:dyDescent="0.2">
      <c r="A37" s="1"/>
      <c r="B37" s="1"/>
      <c r="C37" s="2" t="s">
        <v>130</v>
      </c>
      <c r="D37" s="1"/>
      <c r="E37" s="1" t="s">
        <v>131</v>
      </c>
      <c r="F37" s="9">
        <v>73449.725267499976</v>
      </c>
      <c r="G37" s="10">
        <v>0.90809513500000005</v>
      </c>
      <c r="H37" s="49"/>
    </row>
    <row r="38" spans="1:8" ht="14.1" customHeight="1" x14ac:dyDescent="0.2">
      <c r="A38" s="1"/>
      <c r="B38" s="1"/>
      <c r="C38" s="11"/>
      <c r="D38" s="1"/>
      <c r="E38" s="1"/>
      <c r="F38" s="12"/>
      <c r="G38" s="12"/>
      <c r="H38" s="49"/>
    </row>
    <row r="39" spans="1:8" ht="14.1" customHeight="1" x14ac:dyDescent="0.2">
      <c r="A39" s="1"/>
      <c r="B39" s="1"/>
      <c r="C39" s="2" t="s">
        <v>132</v>
      </c>
      <c r="D39" s="1"/>
      <c r="E39" s="1"/>
      <c r="F39" s="1"/>
      <c r="G39" s="1"/>
      <c r="H39" s="49"/>
    </row>
    <row r="40" spans="1:8" ht="14.1" customHeight="1" x14ac:dyDescent="0.2">
      <c r="A40" s="1"/>
      <c r="B40" s="1"/>
      <c r="C40" s="2" t="s">
        <v>130</v>
      </c>
      <c r="D40" s="1"/>
      <c r="E40" s="1" t="s">
        <v>131</v>
      </c>
      <c r="F40" s="13">
        <v>0</v>
      </c>
      <c r="G40" s="14">
        <v>0</v>
      </c>
      <c r="H40" s="49"/>
    </row>
    <row r="41" spans="1:8" ht="14.1" customHeight="1" x14ac:dyDescent="0.2">
      <c r="A41" s="1"/>
      <c r="B41" s="1"/>
      <c r="C41" s="11"/>
      <c r="D41" s="1"/>
      <c r="E41" s="1"/>
      <c r="F41" s="12"/>
      <c r="G41" s="12"/>
      <c r="H41" s="49"/>
    </row>
    <row r="42" spans="1:8" ht="14.1" customHeight="1" x14ac:dyDescent="0.2">
      <c r="A42" s="1"/>
      <c r="B42" s="1"/>
      <c r="C42" s="2" t="s">
        <v>133</v>
      </c>
      <c r="D42" s="1"/>
      <c r="E42" s="1"/>
      <c r="F42" s="1"/>
      <c r="G42" s="1"/>
      <c r="H42" s="49"/>
    </row>
    <row r="43" spans="1:8" ht="14.1" customHeight="1" x14ac:dyDescent="0.2">
      <c r="A43" s="1"/>
      <c r="B43" s="1"/>
      <c r="C43" s="2" t="s">
        <v>130</v>
      </c>
      <c r="D43" s="1"/>
      <c r="E43" s="1" t="s">
        <v>131</v>
      </c>
      <c r="F43" s="13">
        <v>0</v>
      </c>
      <c r="G43" s="14">
        <v>0</v>
      </c>
      <c r="H43" s="49"/>
    </row>
    <row r="44" spans="1:8" ht="14.1" customHeight="1" x14ac:dyDescent="0.2">
      <c r="A44" s="1"/>
      <c r="B44" s="1"/>
      <c r="C44" s="11"/>
      <c r="D44" s="1"/>
      <c r="E44" s="1"/>
      <c r="F44" s="12"/>
      <c r="G44" s="12"/>
      <c r="H44" s="49"/>
    </row>
    <row r="45" spans="1:8" ht="14.1" customHeight="1" x14ac:dyDescent="0.2">
      <c r="A45" s="1"/>
      <c r="B45" s="1"/>
      <c r="C45" s="2" t="s">
        <v>134</v>
      </c>
      <c r="D45" s="1"/>
      <c r="E45" s="1"/>
      <c r="F45" s="1"/>
      <c r="G45" s="1"/>
      <c r="H45" s="49"/>
    </row>
    <row r="46" spans="1:8" ht="14.1" customHeight="1" x14ac:dyDescent="0.2">
      <c r="A46" s="1"/>
      <c r="B46" s="1"/>
      <c r="C46" s="2" t="s">
        <v>130</v>
      </c>
      <c r="D46" s="1"/>
      <c r="E46" s="1" t="s">
        <v>131</v>
      </c>
      <c r="F46" s="9">
        <v>0</v>
      </c>
      <c r="G46" s="10">
        <v>0</v>
      </c>
      <c r="H46" s="49"/>
    </row>
    <row r="47" spans="1:8" ht="14.1" customHeight="1" x14ac:dyDescent="0.2">
      <c r="A47" s="1"/>
      <c r="B47" s="1"/>
      <c r="C47" s="11"/>
      <c r="D47" s="1"/>
      <c r="E47" s="1"/>
      <c r="F47" s="12"/>
      <c r="G47" s="12"/>
      <c r="H47" s="49"/>
    </row>
    <row r="48" spans="1:8" ht="14.1" customHeight="1" x14ac:dyDescent="0.2">
      <c r="A48" s="1"/>
      <c r="B48" s="1"/>
      <c r="C48" s="2" t="s">
        <v>135</v>
      </c>
      <c r="D48" s="1"/>
      <c r="E48" s="1"/>
      <c r="F48" s="12"/>
      <c r="G48" s="12"/>
      <c r="H48" s="49"/>
    </row>
    <row r="49" spans="1:8" ht="14.1" customHeight="1" x14ac:dyDescent="0.2">
      <c r="A49" s="1"/>
      <c r="B49" s="1"/>
      <c r="C49" s="2" t="s">
        <v>130</v>
      </c>
      <c r="D49" s="1"/>
      <c r="E49" s="1" t="s">
        <v>131</v>
      </c>
      <c r="F49" s="13">
        <v>0</v>
      </c>
      <c r="G49" s="14">
        <v>0</v>
      </c>
      <c r="H49" s="49"/>
    </row>
    <row r="50" spans="1:8" ht="14.1" customHeight="1" x14ac:dyDescent="0.2">
      <c r="A50" s="1"/>
      <c r="B50" s="1"/>
      <c r="C50" s="11"/>
      <c r="D50" s="1"/>
      <c r="E50" s="1"/>
      <c r="F50" s="12"/>
      <c r="G50" s="12"/>
      <c r="H50" s="49"/>
    </row>
    <row r="51" spans="1:8" ht="14.1" customHeight="1" x14ac:dyDescent="0.2">
      <c r="A51" s="1"/>
      <c r="B51" s="1"/>
      <c r="C51" s="2" t="s">
        <v>136</v>
      </c>
      <c r="D51" s="1"/>
      <c r="E51" s="1"/>
      <c r="F51" s="12"/>
      <c r="G51" s="12"/>
      <c r="H51" s="49"/>
    </row>
    <row r="52" spans="1:8" ht="14.1" customHeight="1" x14ac:dyDescent="0.2">
      <c r="A52" s="1"/>
      <c r="B52" s="1"/>
      <c r="C52" s="2" t="s">
        <v>130</v>
      </c>
      <c r="D52" s="1"/>
      <c r="E52" s="1" t="s">
        <v>131</v>
      </c>
      <c r="F52" s="13">
        <v>0</v>
      </c>
      <c r="G52" s="14">
        <v>0</v>
      </c>
      <c r="H52" s="49"/>
    </row>
    <row r="53" spans="1:8" ht="14.1" customHeight="1" x14ac:dyDescent="0.2">
      <c r="A53" s="1"/>
      <c r="B53" s="1"/>
      <c r="C53" s="11"/>
      <c r="D53" s="1"/>
      <c r="E53" s="1"/>
      <c r="F53" s="12"/>
      <c r="G53" s="12"/>
      <c r="H53" s="49"/>
    </row>
    <row r="54" spans="1:8" ht="18" customHeight="1" x14ac:dyDescent="0.2">
      <c r="A54" s="1"/>
      <c r="B54" s="1"/>
      <c r="C54" s="2" t="s">
        <v>137</v>
      </c>
      <c r="D54" s="1"/>
      <c r="E54" s="1"/>
      <c r="F54" s="9">
        <v>73449.725267500005</v>
      </c>
      <c r="G54" s="10">
        <v>0.90809513500000005</v>
      </c>
      <c r="H54" s="49"/>
    </row>
    <row r="55" spans="1:8" ht="14.1" customHeight="1" x14ac:dyDescent="0.2">
      <c r="A55" s="1"/>
      <c r="B55" s="1"/>
      <c r="C55" s="11"/>
      <c r="D55" s="1"/>
      <c r="E55" s="1"/>
      <c r="F55" s="12"/>
      <c r="G55" s="12"/>
      <c r="H55" s="49"/>
    </row>
    <row r="56" spans="1:8" ht="14.1" customHeight="1" x14ac:dyDescent="0.2">
      <c r="A56" s="1"/>
      <c r="B56" s="1"/>
      <c r="C56" s="2" t="s">
        <v>138</v>
      </c>
      <c r="D56" s="1"/>
      <c r="E56" s="1"/>
      <c r="F56" s="12"/>
      <c r="G56" s="12"/>
      <c r="H56" s="49"/>
    </row>
    <row r="57" spans="1:8" ht="24" customHeight="1" x14ac:dyDescent="0.2">
      <c r="A57" s="1"/>
      <c r="B57" s="1"/>
      <c r="C57" s="2" t="s">
        <v>10</v>
      </c>
      <c r="D57" s="1"/>
      <c r="E57" s="1"/>
      <c r="F57" s="12"/>
      <c r="G57" s="12"/>
      <c r="H57" s="49"/>
    </row>
    <row r="58" spans="1:8" ht="14.1" customHeight="1" x14ac:dyDescent="0.2">
      <c r="A58" s="1"/>
      <c r="B58" s="1"/>
      <c r="C58" s="2" t="s">
        <v>130</v>
      </c>
      <c r="D58" s="1"/>
      <c r="E58" s="1" t="s">
        <v>131</v>
      </c>
      <c r="F58" s="13">
        <v>0</v>
      </c>
      <c r="G58" s="14">
        <v>0</v>
      </c>
      <c r="H58" s="49"/>
    </row>
    <row r="59" spans="1:8" ht="14.1" customHeight="1" x14ac:dyDescent="0.2">
      <c r="A59" s="1"/>
      <c r="B59" s="1"/>
      <c r="C59" s="11"/>
      <c r="D59" s="1"/>
      <c r="E59" s="1"/>
      <c r="F59" s="12"/>
      <c r="G59" s="12"/>
      <c r="H59" s="49"/>
    </row>
    <row r="60" spans="1:8" ht="14.1" customHeight="1" x14ac:dyDescent="0.2">
      <c r="A60" s="1"/>
      <c r="B60" s="1"/>
      <c r="C60" s="2" t="s">
        <v>139</v>
      </c>
      <c r="D60" s="1"/>
      <c r="E60" s="1"/>
      <c r="F60" s="1"/>
      <c r="G60" s="1"/>
      <c r="H60" s="49"/>
    </row>
    <row r="61" spans="1:8" ht="14.1" customHeight="1" x14ac:dyDescent="0.2">
      <c r="A61" s="1"/>
      <c r="B61" s="1"/>
      <c r="C61" s="2" t="s">
        <v>130</v>
      </c>
      <c r="D61" s="1"/>
      <c r="E61" s="1" t="s">
        <v>131</v>
      </c>
      <c r="F61" s="13">
        <v>0</v>
      </c>
      <c r="G61" s="14">
        <v>0</v>
      </c>
      <c r="H61" s="49"/>
    </row>
    <row r="62" spans="1:8" ht="14.1" customHeight="1" x14ac:dyDescent="0.2">
      <c r="A62" s="1"/>
      <c r="B62" s="1"/>
      <c r="C62" s="11"/>
      <c r="D62" s="1"/>
      <c r="E62" s="1"/>
      <c r="F62" s="12"/>
      <c r="G62" s="12"/>
      <c r="H62" s="49"/>
    </row>
    <row r="63" spans="1:8" ht="14.1" customHeight="1" x14ac:dyDescent="0.2">
      <c r="A63" s="1"/>
      <c r="B63" s="1"/>
      <c r="C63" s="2" t="s">
        <v>140</v>
      </c>
      <c r="D63" s="1"/>
      <c r="E63" s="1"/>
      <c r="F63" s="1"/>
      <c r="G63" s="1"/>
      <c r="H63" s="49"/>
    </row>
    <row r="64" spans="1:8" ht="14.1" customHeight="1" x14ac:dyDescent="0.2">
      <c r="A64" s="1"/>
      <c r="B64" s="1"/>
      <c r="C64" s="2" t="s">
        <v>130</v>
      </c>
      <c r="D64" s="1"/>
      <c r="E64" s="1" t="s">
        <v>131</v>
      </c>
      <c r="F64" s="13">
        <v>0</v>
      </c>
      <c r="G64" s="14">
        <v>0</v>
      </c>
      <c r="H64" s="49"/>
    </row>
    <row r="65" spans="1:8" ht="14.1" customHeight="1" x14ac:dyDescent="0.2">
      <c r="A65" s="1"/>
      <c r="B65" s="1"/>
      <c r="C65" s="11"/>
      <c r="D65" s="1"/>
      <c r="E65" s="1"/>
      <c r="F65" s="12"/>
      <c r="G65" s="12"/>
      <c r="H65" s="49"/>
    </row>
    <row r="66" spans="1:8" ht="14.1" customHeight="1" x14ac:dyDescent="0.2">
      <c r="A66" s="1"/>
      <c r="B66" s="1"/>
      <c r="C66" s="2" t="s">
        <v>141</v>
      </c>
      <c r="D66" s="1"/>
      <c r="E66" s="1"/>
      <c r="F66" s="12"/>
      <c r="G66" s="12"/>
      <c r="H66" s="49"/>
    </row>
    <row r="67" spans="1:8" ht="14.1" customHeight="1" x14ac:dyDescent="0.2">
      <c r="A67" s="1"/>
      <c r="B67" s="1"/>
      <c r="C67" s="2" t="s">
        <v>130</v>
      </c>
      <c r="D67" s="1"/>
      <c r="E67" s="1" t="s">
        <v>131</v>
      </c>
      <c r="F67" s="13">
        <v>0</v>
      </c>
      <c r="G67" s="14">
        <v>0</v>
      </c>
      <c r="H67" s="49"/>
    </row>
    <row r="68" spans="1:8" ht="14.1" customHeight="1" x14ac:dyDescent="0.2">
      <c r="A68" s="1"/>
      <c r="B68" s="1"/>
      <c r="C68" s="11"/>
      <c r="D68" s="1"/>
      <c r="E68" s="1"/>
      <c r="F68" s="12"/>
      <c r="G68" s="12"/>
      <c r="H68" s="49"/>
    </row>
    <row r="69" spans="1:8" ht="14.1" customHeight="1" x14ac:dyDescent="0.2">
      <c r="A69" s="1"/>
      <c r="B69" s="1"/>
      <c r="C69" s="2" t="s">
        <v>142</v>
      </c>
      <c r="D69" s="1"/>
      <c r="E69" s="1"/>
      <c r="F69" s="9">
        <v>0</v>
      </c>
      <c r="G69" s="10">
        <v>0</v>
      </c>
      <c r="H69" s="49"/>
    </row>
    <row r="70" spans="1:8" ht="14.1" customHeight="1" x14ac:dyDescent="0.2">
      <c r="A70" s="1"/>
      <c r="B70" s="1"/>
      <c r="C70" s="11"/>
      <c r="D70" s="1"/>
      <c r="E70" s="1"/>
      <c r="F70" s="12"/>
      <c r="G70" s="12"/>
      <c r="H70" s="49"/>
    </row>
    <row r="71" spans="1:8" ht="14.1" customHeight="1" x14ac:dyDescent="0.2">
      <c r="A71" s="1"/>
      <c r="B71" s="1"/>
      <c r="C71" s="2" t="s">
        <v>143</v>
      </c>
      <c r="D71" s="1"/>
      <c r="E71" s="1"/>
      <c r="F71" s="12"/>
      <c r="G71" s="12"/>
      <c r="H71" s="49"/>
    </row>
    <row r="72" spans="1:8" ht="14.1" customHeight="1" x14ac:dyDescent="0.2">
      <c r="A72" s="1"/>
      <c r="B72" s="1"/>
      <c r="C72" s="2" t="s">
        <v>144</v>
      </c>
      <c r="D72" s="1"/>
      <c r="E72" s="1"/>
      <c r="F72" s="12"/>
      <c r="G72" s="12"/>
      <c r="H72" s="49"/>
    </row>
    <row r="73" spans="1:8" ht="14.1" customHeight="1" x14ac:dyDescent="0.2">
      <c r="A73" s="1"/>
      <c r="B73" s="1"/>
      <c r="C73" s="2" t="s">
        <v>130</v>
      </c>
      <c r="D73" s="1"/>
      <c r="E73" s="1" t="s">
        <v>131</v>
      </c>
      <c r="F73" s="13">
        <v>0</v>
      </c>
      <c r="G73" s="14">
        <v>0</v>
      </c>
      <c r="H73" s="49"/>
    </row>
    <row r="74" spans="1:8" ht="14.1" customHeight="1" x14ac:dyDescent="0.2">
      <c r="A74" s="1"/>
      <c r="B74" s="1"/>
      <c r="C74" s="11"/>
      <c r="D74" s="1"/>
      <c r="E74" s="1"/>
      <c r="F74" s="12"/>
      <c r="G74" s="12"/>
      <c r="H74" s="49"/>
    </row>
    <row r="75" spans="1:8" ht="14.1" customHeight="1" x14ac:dyDescent="0.2">
      <c r="A75" s="1"/>
      <c r="B75" s="1"/>
      <c r="C75" s="2" t="s">
        <v>145</v>
      </c>
      <c r="D75" s="1"/>
      <c r="E75" s="1"/>
      <c r="F75" s="12"/>
      <c r="G75" s="12"/>
      <c r="H75" s="49"/>
    </row>
    <row r="76" spans="1:8" ht="14.1" customHeight="1" x14ac:dyDescent="0.2">
      <c r="A76" s="1"/>
      <c r="B76" s="1"/>
      <c r="C76" s="2" t="s">
        <v>130</v>
      </c>
      <c r="D76" s="1"/>
      <c r="E76" s="1" t="s">
        <v>131</v>
      </c>
      <c r="F76" s="13">
        <v>0</v>
      </c>
      <c r="G76" s="14">
        <v>0</v>
      </c>
      <c r="H76" s="49"/>
    </row>
    <row r="77" spans="1:8" ht="14.1" customHeight="1" x14ac:dyDescent="0.2">
      <c r="A77" s="1"/>
      <c r="B77" s="1"/>
      <c r="C77" s="11"/>
      <c r="D77" s="1"/>
      <c r="E77" s="1"/>
      <c r="F77" s="12"/>
      <c r="G77" s="12"/>
      <c r="H77" s="49"/>
    </row>
    <row r="78" spans="1:8" ht="14.1" customHeight="1" x14ac:dyDescent="0.2">
      <c r="A78" s="1"/>
      <c r="B78" s="1"/>
      <c r="C78" s="2" t="s">
        <v>146</v>
      </c>
      <c r="D78" s="1"/>
      <c r="E78" s="1"/>
      <c r="F78" s="12"/>
      <c r="G78" s="12"/>
      <c r="H78" s="49"/>
    </row>
    <row r="79" spans="1:8" ht="14.1" customHeight="1" x14ac:dyDescent="0.2">
      <c r="A79" s="1"/>
      <c r="B79" s="1"/>
      <c r="C79" s="2" t="s">
        <v>130</v>
      </c>
      <c r="D79" s="1"/>
      <c r="E79" s="1" t="s">
        <v>131</v>
      </c>
      <c r="F79" s="13">
        <v>0</v>
      </c>
      <c r="G79" s="14">
        <v>0</v>
      </c>
      <c r="H79" s="49"/>
    </row>
    <row r="80" spans="1:8" ht="14.1" customHeight="1" x14ac:dyDescent="0.2">
      <c r="A80" s="1"/>
      <c r="B80" s="1"/>
      <c r="C80" s="11"/>
      <c r="D80" s="1"/>
      <c r="E80" s="1"/>
      <c r="F80" s="12"/>
      <c r="G80" s="12"/>
      <c r="H80" s="49"/>
    </row>
    <row r="81" spans="1:8" ht="14.1" customHeight="1" x14ac:dyDescent="0.2">
      <c r="A81" s="1"/>
      <c r="B81" s="1"/>
      <c r="C81" s="2" t="s">
        <v>147</v>
      </c>
      <c r="D81" s="1"/>
      <c r="E81" s="1"/>
      <c r="F81" s="12"/>
      <c r="G81" s="12"/>
      <c r="H81" s="49"/>
    </row>
    <row r="82" spans="1:8" ht="17.100000000000001" customHeight="1" x14ac:dyDescent="0.2">
      <c r="A82" s="3">
        <v>1</v>
      </c>
      <c r="B82" s="4"/>
      <c r="C82" s="4" t="s">
        <v>148</v>
      </c>
      <c r="D82" s="4"/>
      <c r="E82" s="8"/>
      <c r="F82" s="6">
        <v>7867.2719311000001</v>
      </c>
      <c r="G82" s="7">
        <v>9.7266958000000001E-2</v>
      </c>
      <c r="H82" s="49">
        <v>5.6572293145372496</v>
      </c>
    </row>
    <row r="83" spans="1:8" ht="14.1" customHeight="1" x14ac:dyDescent="0.2">
      <c r="A83" s="1"/>
      <c r="B83" s="1"/>
      <c r="C83" s="2" t="s">
        <v>130</v>
      </c>
      <c r="D83" s="1"/>
      <c r="E83" s="1" t="s">
        <v>131</v>
      </c>
      <c r="F83" s="9">
        <v>7867.2719311000001</v>
      </c>
      <c r="G83" s="10">
        <v>9.7266958000000001E-2</v>
      </c>
      <c r="H83" s="49"/>
    </row>
    <row r="84" spans="1:8" ht="14.1" customHeight="1" x14ac:dyDescent="0.2">
      <c r="A84" s="1"/>
      <c r="B84" s="1"/>
      <c r="C84" s="11"/>
      <c r="D84" s="1"/>
      <c r="E84" s="1"/>
      <c r="F84" s="12"/>
      <c r="G84" s="12"/>
      <c r="H84" s="49"/>
    </row>
    <row r="85" spans="1:8" ht="14.1" customHeight="1" x14ac:dyDescent="0.2">
      <c r="A85" s="1"/>
      <c r="B85" s="1"/>
      <c r="C85" s="2" t="s">
        <v>149</v>
      </c>
      <c r="D85" s="1"/>
      <c r="E85" s="1"/>
      <c r="F85" s="9">
        <v>7867.2719311000001</v>
      </c>
      <c r="G85" s="10">
        <v>9.7266958000000001E-2</v>
      </c>
      <c r="H85" s="49"/>
    </row>
    <row r="86" spans="1:8" ht="14.1" customHeight="1" x14ac:dyDescent="0.2">
      <c r="A86" s="1"/>
      <c r="B86" s="1"/>
      <c r="C86" s="12"/>
      <c r="D86" s="1"/>
      <c r="E86" s="1"/>
      <c r="F86" s="1"/>
      <c r="G86" s="1"/>
      <c r="H86" s="49"/>
    </row>
    <row r="87" spans="1:8" ht="14.1" customHeight="1" x14ac:dyDescent="0.2">
      <c r="A87" s="1"/>
      <c r="B87" s="1"/>
      <c r="C87" s="2" t="s">
        <v>150</v>
      </c>
      <c r="D87" s="1"/>
      <c r="E87" s="1"/>
      <c r="F87" s="1"/>
      <c r="G87" s="1"/>
      <c r="H87" s="49"/>
    </row>
    <row r="88" spans="1:8" ht="14.1" customHeight="1" x14ac:dyDescent="0.2">
      <c r="A88" s="1"/>
      <c r="B88" s="1"/>
      <c r="C88" s="2" t="s">
        <v>151</v>
      </c>
      <c r="D88" s="1"/>
      <c r="E88" s="1"/>
      <c r="F88" s="1"/>
      <c r="G88" s="1"/>
      <c r="H88" s="49"/>
    </row>
    <row r="89" spans="1:8" ht="14.1" customHeight="1" x14ac:dyDescent="0.2">
      <c r="A89" s="1"/>
      <c r="B89" s="1"/>
      <c r="C89" s="2" t="s">
        <v>130</v>
      </c>
      <c r="D89" s="1"/>
      <c r="E89" s="1" t="s">
        <v>131</v>
      </c>
      <c r="F89" s="13">
        <v>0</v>
      </c>
      <c r="G89" s="14">
        <v>0</v>
      </c>
      <c r="H89" s="49"/>
    </row>
    <row r="90" spans="1:8" ht="14.1" customHeight="1" x14ac:dyDescent="0.2">
      <c r="A90" s="1"/>
      <c r="B90" s="1"/>
      <c r="C90" s="11"/>
      <c r="D90" s="1"/>
      <c r="E90" s="1"/>
      <c r="F90" s="12"/>
      <c r="G90" s="12"/>
      <c r="H90" s="49"/>
    </row>
    <row r="91" spans="1:8" ht="14.1" customHeight="1" x14ac:dyDescent="0.2">
      <c r="A91" s="1"/>
      <c r="B91" s="1"/>
      <c r="C91" s="2" t="s">
        <v>152</v>
      </c>
      <c r="D91" s="1"/>
      <c r="E91" s="1"/>
      <c r="F91" s="1"/>
      <c r="G91" s="1"/>
      <c r="H91" s="49"/>
    </row>
    <row r="92" spans="1:8" ht="14.1" customHeight="1" x14ac:dyDescent="0.2">
      <c r="A92" s="1"/>
      <c r="B92" s="1"/>
      <c r="C92" s="2" t="s">
        <v>153</v>
      </c>
      <c r="D92" s="1"/>
      <c r="E92" s="1"/>
      <c r="F92" s="1"/>
      <c r="G92" s="1"/>
      <c r="H92" s="49"/>
    </row>
    <row r="93" spans="1:8" ht="14.1" customHeight="1" x14ac:dyDescent="0.2">
      <c r="A93" s="1"/>
      <c r="B93" s="1"/>
      <c r="C93" s="2" t="s">
        <v>130</v>
      </c>
      <c r="D93" s="1"/>
      <c r="E93" s="1" t="s">
        <v>131</v>
      </c>
      <c r="F93" s="13">
        <v>0</v>
      </c>
      <c r="G93" s="14">
        <v>0</v>
      </c>
      <c r="H93" s="49"/>
    </row>
    <row r="94" spans="1:8" ht="14.1" customHeight="1" x14ac:dyDescent="0.2">
      <c r="A94" s="1"/>
      <c r="B94" s="1"/>
      <c r="C94" s="11"/>
      <c r="D94" s="1"/>
      <c r="E94" s="1"/>
      <c r="F94" s="12"/>
      <c r="G94" s="12"/>
      <c r="H94" s="49"/>
    </row>
    <row r="95" spans="1:8" ht="14.1" customHeight="1" x14ac:dyDescent="0.2">
      <c r="A95" s="1"/>
      <c r="B95" s="1"/>
      <c r="C95" s="11"/>
      <c r="D95" s="1"/>
      <c r="E95" s="1"/>
      <c r="F95" s="12"/>
      <c r="G95" s="12"/>
      <c r="H95" s="49"/>
    </row>
    <row r="96" spans="1:8" ht="24" customHeight="1" x14ac:dyDescent="0.2">
      <c r="A96" s="1"/>
      <c r="B96" s="1"/>
      <c r="C96" s="2" t="s">
        <v>154</v>
      </c>
      <c r="D96" s="1"/>
      <c r="E96" s="1"/>
      <c r="F96" s="12"/>
      <c r="G96" s="12"/>
      <c r="H96" s="49"/>
    </row>
    <row r="97" spans="1:8" ht="14.1" customHeight="1" x14ac:dyDescent="0.2">
      <c r="A97" s="1"/>
      <c r="B97" s="1"/>
      <c r="C97" s="2" t="s">
        <v>130</v>
      </c>
      <c r="D97" s="1"/>
      <c r="E97" s="1" t="s">
        <v>131</v>
      </c>
      <c r="F97" s="13">
        <v>0</v>
      </c>
      <c r="G97" s="14">
        <v>0</v>
      </c>
      <c r="H97" s="49"/>
    </row>
    <row r="98" spans="1:8" ht="14.1" customHeight="1" x14ac:dyDescent="0.2">
      <c r="A98" s="1"/>
      <c r="B98" s="1"/>
      <c r="C98" s="11"/>
      <c r="D98" s="1"/>
      <c r="E98" s="1"/>
      <c r="F98" s="12"/>
      <c r="G98" s="12"/>
      <c r="H98" s="49"/>
    </row>
    <row r="99" spans="1:8" ht="14.1" customHeight="1" x14ac:dyDescent="0.2">
      <c r="A99" s="1"/>
      <c r="B99" s="4"/>
      <c r="C99" s="4"/>
      <c r="D99" s="2"/>
      <c r="E99" s="1"/>
      <c r="F99" s="4"/>
      <c r="G99" s="8"/>
      <c r="H99" s="49"/>
    </row>
    <row r="100" spans="1:8" ht="18" customHeight="1" x14ac:dyDescent="0.2">
      <c r="A100" s="8"/>
      <c r="B100" s="4"/>
      <c r="C100" s="4" t="s">
        <v>155</v>
      </c>
      <c r="D100" s="4"/>
      <c r="E100" s="8"/>
      <c r="F100" s="6">
        <v>-433.70381309999999</v>
      </c>
      <c r="G100" s="7">
        <v>-5.3620940000000004E-3</v>
      </c>
      <c r="H100" s="49"/>
    </row>
    <row r="101" spans="1:8" ht="14.1" customHeight="1" x14ac:dyDescent="0.2">
      <c r="A101" s="11"/>
      <c r="B101" s="11"/>
      <c r="C101" s="2" t="s">
        <v>156</v>
      </c>
      <c r="D101" s="15"/>
      <c r="E101" s="15"/>
      <c r="F101" s="9">
        <v>80883.293385500001</v>
      </c>
      <c r="G101" s="10">
        <v>0.99999999900000003</v>
      </c>
      <c r="H101" s="49"/>
    </row>
    <row r="102" spans="1:8" ht="14.1" customHeight="1" x14ac:dyDescent="0.2">
      <c r="A102" s="16"/>
      <c r="B102" s="16"/>
      <c r="C102" s="16"/>
      <c r="D102" s="17"/>
      <c r="E102" s="17"/>
      <c r="F102" s="17"/>
      <c r="G102" s="17"/>
    </row>
    <row r="103" spans="1:8" ht="14.1" customHeight="1" x14ac:dyDescent="0.2">
      <c r="A103" s="18"/>
      <c r="B103" s="18"/>
      <c r="C103" s="18"/>
      <c r="D103" s="20"/>
      <c r="E103" s="20"/>
      <c r="F103" s="20"/>
      <c r="G103" s="20"/>
    </row>
    <row r="104" spans="1:8" ht="14.1" customHeight="1" x14ac:dyDescent="0.2">
      <c r="A104" s="18"/>
      <c r="B104" s="319" t="s">
        <v>158</v>
      </c>
      <c r="C104" s="320"/>
      <c r="D104" s="12" t="s">
        <v>131</v>
      </c>
      <c r="E104" s="21"/>
      <c r="F104" s="20"/>
      <c r="G104" s="20"/>
    </row>
    <row r="105" spans="1:8" ht="29.1" customHeight="1" x14ac:dyDescent="0.2">
      <c r="A105" s="18"/>
      <c r="B105" s="323" t="s">
        <v>159</v>
      </c>
      <c r="C105" s="324"/>
      <c r="D105" s="2" t="s">
        <v>160</v>
      </c>
      <c r="E105" s="21"/>
      <c r="F105" s="20"/>
      <c r="G105" s="20"/>
    </row>
    <row r="106" spans="1:8" ht="17.100000000000001" customHeight="1" x14ac:dyDescent="0.2">
      <c r="A106" s="18"/>
      <c r="B106" s="323" t="s">
        <v>161</v>
      </c>
      <c r="C106" s="324"/>
      <c r="D106" s="2" t="s">
        <v>160</v>
      </c>
      <c r="E106" s="21"/>
      <c r="F106" s="20"/>
      <c r="G106" s="20"/>
    </row>
    <row r="107" spans="1:8" ht="17.100000000000001" customHeight="1" x14ac:dyDescent="0.2">
      <c r="A107" s="18"/>
      <c r="B107" s="323" t="s">
        <v>162</v>
      </c>
      <c r="C107" s="324"/>
      <c r="D107" s="12" t="s">
        <v>131</v>
      </c>
      <c r="E107" s="21"/>
      <c r="F107" s="20"/>
      <c r="G107" s="20"/>
    </row>
    <row r="108" spans="1:8" ht="24" customHeight="1" x14ac:dyDescent="0.2">
      <c r="A108" s="22"/>
      <c r="B108" s="23" t="s">
        <v>131</v>
      </c>
      <c r="C108" s="23" t="s">
        <v>163</v>
      </c>
      <c r="D108" s="23" t="s">
        <v>164</v>
      </c>
      <c r="E108" s="22"/>
      <c r="F108" s="22"/>
      <c r="G108" s="22"/>
    </row>
    <row r="109" spans="1:8" ht="18" customHeight="1" x14ac:dyDescent="0.2">
      <c r="A109" s="22"/>
      <c r="B109" s="23" t="s">
        <v>165</v>
      </c>
      <c r="C109" s="23" t="s">
        <v>166</v>
      </c>
      <c r="D109" s="23" t="s">
        <v>167</v>
      </c>
      <c r="E109" s="22"/>
      <c r="F109" s="22"/>
      <c r="G109" s="22"/>
    </row>
    <row r="110" spans="1:8" ht="17.100000000000001" customHeight="1" x14ac:dyDescent="0.2">
      <c r="A110" s="22"/>
      <c r="B110" s="4" t="s">
        <v>168</v>
      </c>
      <c r="C110" s="24">
        <v>120.4799</v>
      </c>
      <c r="D110" s="24">
        <v>122.8918</v>
      </c>
      <c r="E110" s="22"/>
      <c r="F110" s="19"/>
      <c r="G110" s="25"/>
    </row>
    <row r="111" spans="1:8" ht="29.1" customHeight="1" x14ac:dyDescent="0.2">
      <c r="A111" s="22"/>
      <c r="B111" s="4" t="s">
        <v>1024</v>
      </c>
      <c r="C111" s="24">
        <v>36.756</v>
      </c>
      <c r="D111" s="24">
        <v>37.491799999999998</v>
      </c>
      <c r="E111" s="22"/>
      <c r="F111" s="19"/>
      <c r="G111" s="25"/>
    </row>
    <row r="112" spans="1:8" ht="17.100000000000001" customHeight="1" x14ac:dyDescent="0.2">
      <c r="A112" s="22"/>
      <c r="B112" s="4" t="s">
        <v>169</v>
      </c>
      <c r="C112" s="24">
        <v>111.90300000000001</v>
      </c>
      <c r="D112" s="24">
        <v>114.0454</v>
      </c>
      <c r="E112" s="22"/>
      <c r="F112" s="19"/>
      <c r="G112" s="25"/>
    </row>
    <row r="113" spans="1:7" ht="29.1" customHeight="1" x14ac:dyDescent="0.2">
      <c r="A113" s="22"/>
      <c r="B113" s="4" t="s">
        <v>1025</v>
      </c>
      <c r="C113" s="24">
        <v>34.771799999999999</v>
      </c>
      <c r="D113" s="24">
        <v>35.4375</v>
      </c>
      <c r="E113" s="22"/>
      <c r="F113" s="19"/>
      <c r="G113" s="25"/>
    </row>
    <row r="114" spans="1:7" ht="14.1" customHeight="1" x14ac:dyDescent="0.2">
      <c r="A114" s="22"/>
      <c r="B114" s="22"/>
      <c r="C114" s="22"/>
      <c r="D114" s="22"/>
      <c r="E114" s="22"/>
      <c r="F114" s="22"/>
      <c r="G114" s="22"/>
    </row>
    <row r="115" spans="1:7" ht="17.100000000000001" customHeight="1" x14ac:dyDescent="0.2">
      <c r="A115" s="22"/>
      <c r="B115" s="323" t="s">
        <v>1023</v>
      </c>
      <c r="C115" s="324"/>
      <c r="D115" s="2" t="s">
        <v>160</v>
      </c>
      <c r="E115" s="22"/>
      <c r="F115" s="22"/>
      <c r="G115" s="22"/>
    </row>
    <row r="116" spans="1:7" ht="18" customHeight="1" x14ac:dyDescent="0.2">
      <c r="A116" s="22"/>
      <c r="B116" s="28"/>
      <c r="C116" s="28"/>
      <c r="D116" s="26"/>
      <c r="E116" s="22"/>
      <c r="F116" s="22"/>
      <c r="G116" s="22"/>
    </row>
    <row r="117" spans="1:7" ht="29.1" customHeight="1" x14ac:dyDescent="0.2">
      <c r="A117" s="22"/>
      <c r="B117" s="323" t="s">
        <v>170</v>
      </c>
      <c r="C117" s="324"/>
      <c r="D117" s="2" t="s">
        <v>160</v>
      </c>
      <c r="E117" s="22"/>
      <c r="F117" s="22"/>
      <c r="G117" s="22"/>
    </row>
    <row r="118" spans="1:7" ht="29.1" customHeight="1" x14ac:dyDescent="0.2">
      <c r="A118" s="22"/>
      <c r="B118" s="323" t="s">
        <v>171</v>
      </c>
      <c r="C118" s="324"/>
      <c r="D118" s="2" t="s">
        <v>160</v>
      </c>
      <c r="E118" s="22"/>
      <c r="F118" s="22"/>
      <c r="G118" s="22"/>
    </row>
    <row r="119" spans="1:7" ht="17.100000000000001" customHeight="1" x14ac:dyDescent="0.2">
      <c r="A119" s="22"/>
      <c r="B119" s="323" t="s">
        <v>172</v>
      </c>
      <c r="C119" s="324"/>
      <c r="D119" s="27">
        <v>0.25054802709423951</v>
      </c>
      <c r="E119" s="22"/>
      <c r="F119" s="19"/>
      <c r="G119" s="25"/>
    </row>
    <row r="120" spans="1:7" ht="17.100000000000001" customHeight="1" x14ac:dyDescent="0.2">
      <c r="A120" s="22"/>
      <c r="B120" s="323" t="s">
        <v>173</v>
      </c>
      <c r="C120" s="324"/>
      <c r="D120" s="2" t="s">
        <v>160</v>
      </c>
      <c r="E120" s="22"/>
      <c r="F120" s="22"/>
      <c r="G120" s="22"/>
    </row>
  </sheetData>
  <mergeCells count="13">
    <mergeCell ref="J2:N2"/>
    <mergeCell ref="B120:C120"/>
    <mergeCell ref="B105:C105"/>
    <mergeCell ref="B106:C106"/>
    <mergeCell ref="B107:C107"/>
    <mergeCell ref="B115:C115"/>
    <mergeCell ref="B117:C117"/>
    <mergeCell ref="B118:C118"/>
    <mergeCell ref="A1:H1"/>
    <mergeCell ref="A2:H2"/>
    <mergeCell ref="A3:H3"/>
    <mergeCell ref="B104:C104"/>
    <mergeCell ref="B119:C119"/>
  </mergeCells>
  <hyperlinks>
    <hyperlink ref="I1" location="Index!B28" display="Index" xr:uid="{B1D4CE7C-EE32-4A52-A593-6BB9BAF018E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O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1038</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20</v>
      </c>
      <c r="C7" s="4" t="s">
        <v>21</v>
      </c>
      <c r="D7" s="4" t="s">
        <v>22</v>
      </c>
      <c r="E7" s="5">
        <v>422955</v>
      </c>
      <c r="F7" s="6">
        <v>11552.381392499999</v>
      </c>
      <c r="G7" s="7">
        <v>6.0224925999999998E-2</v>
      </c>
      <c r="H7" s="49"/>
    </row>
    <row r="8" spans="1:15" ht="17.100000000000001" customHeight="1" x14ac:dyDescent="0.2">
      <c r="A8" s="3">
        <v>2</v>
      </c>
      <c r="B8" s="4" t="s">
        <v>14</v>
      </c>
      <c r="C8" s="4" t="s">
        <v>15</v>
      </c>
      <c r="D8" s="4" t="s">
        <v>16</v>
      </c>
      <c r="E8" s="5">
        <v>1012161</v>
      </c>
      <c r="F8" s="6">
        <v>9644.8821690000004</v>
      </c>
      <c r="G8" s="7">
        <v>5.0280743000000003E-2</v>
      </c>
      <c r="H8" s="49"/>
    </row>
    <row r="9" spans="1:15" ht="17.100000000000001" customHeight="1" x14ac:dyDescent="0.2">
      <c r="A9" s="3">
        <v>3</v>
      </c>
      <c r="B9" s="4" t="s">
        <v>39</v>
      </c>
      <c r="C9" s="4" t="s">
        <v>40</v>
      </c>
      <c r="D9" s="4" t="s">
        <v>16</v>
      </c>
      <c r="E9" s="5">
        <v>1580122</v>
      </c>
      <c r="F9" s="6">
        <v>9519.4449889999996</v>
      </c>
      <c r="G9" s="7">
        <v>4.9626812999999999E-2</v>
      </c>
      <c r="H9" s="49"/>
    </row>
    <row r="10" spans="1:15" ht="17.100000000000001" customHeight="1" x14ac:dyDescent="0.2">
      <c r="A10" s="3">
        <v>4</v>
      </c>
      <c r="B10" s="4" t="s">
        <v>263</v>
      </c>
      <c r="C10" s="4" t="s">
        <v>264</v>
      </c>
      <c r="D10" s="4" t="s">
        <v>16</v>
      </c>
      <c r="E10" s="5">
        <v>530246</v>
      </c>
      <c r="F10" s="6">
        <v>8528.7417870000008</v>
      </c>
      <c r="G10" s="7">
        <v>4.4462074999999997E-2</v>
      </c>
      <c r="H10" s="49"/>
    </row>
    <row r="11" spans="1:15" ht="17.100000000000001" customHeight="1" x14ac:dyDescent="0.2">
      <c r="A11" s="3">
        <v>5</v>
      </c>
      <c r="B11" s="4" t="s">
        <v>294</v>
      </c>
      <c r="C11" s="4" t="s">
        <v>295</v>
      </c>
      <c r="D11" s="4" t="s">
        <v>974</v>
      </c>
      <c r="E11" s="5">
        <v>462087</v>
      </c>
      <c r="F11" s="6">
        <v>7554.8914064999999</v>
      </c>
      <c r="G11" s="7">
        <v>3.9385193999999998E-2</v>
      </c>
      <c r="H11" s="49"/>
    </row>
    <row r="12" spans="1:15" ht="17.100000000000001" customHeight="1" x14ac:dyDescent="0.2">
      <c r="A12" s="3">
        <v>6</v>
      </c>
      <c r="B12" s="4" t="s">
        <v>180</v>
      </c>
      <c r="C12" s="4" t="s">
        <v>181</v>
      </c>
      <c r="D12" s="4" t="s">
        <v>16</v>
      </c>
      <c r="E12" s="5">
        <v>801235</v>
      </c>
      <c r="F12" s="6">
        <v>7221.1304375</v>
      </c>
      <c r="G12" s="7">
        <v>3.7645229000000002E-2</v>
      </c>
      <c r="H12" s="49"/>
    </row>
    <row r="13" spans="1:15" ht="17.100000000000001" customHeight="1" x14ac:dyDescent="0.2">
      <c r="A13" s="3">
        <v>7</v>
      </c>
      <c r="B13" s="4" t="s">
        <v>306</v>
      </c>
      <c r="C13" s="4" t="s">
        <v>307</v>
      </c>
      <c r="D13" s="4" t="s">
        <v>308</v>
      </c>
      <c r="E13" s="5">
        <v>228570</v>
      </c>
      <c r="F13" s="6">
        <v>6135.6187950000003</v>
      </c>
      <c r="G13" s="7">
        <v>3.1986235000000002E-2</v>
      </c>
      <c r="H13" s="49"/>
    </row>
    <row r="14" spans="1:15" ht="17.100000000000001" customHeight="1" x14ac:dyDescent="0.2">
      <c r="A14" s="3">
        <v>8</v>
      </c>
      <c r="B14" s="4" t="s">
        <v>623</v>
      </c>
      <c r="C14" s="4" t="s">
        <v>624</v>
      </c>
      <c r="D14" s="4" t="s">
        <v>625</v>
      </c>
      <c r="E14" s="5">
        <v>20262</v>
      </c>
      <c r="F14" s="6">
        <v>4731.8861699999998</v>
      </c>
      <c r="G14" s="7">
        <v>2.4668289999999999E-2</v>
      </c>
      <c r="H14" s="49"/>
      <c r="J14" s="217" t="s">
        <v>1091</v>
      </c>
    </row>
    <row r="15" spans="1:15" ht="17.100000000000001" customHeight="1" x14ac:dyDescent="0.2">
      <c r="A15" s="3">
        <v>9</v>
      </c>
      <c r="B15" s="4" t="s">
        <v>498</v>
      </c>
      <c r="C15" s="4" t="s">
        <v>499</v>
      </c>
      <c r="D15" s="4" t="s">
        <v>317</v>
      </c>
      <c r="E15" s="5">
        <v>102643</v>
      </c>
      <c r="F15" s="6">
        <v>4521.7834005000004</v>
      </c>
      <c r="G15" s="7">
        <v>2.3572981E-2</v>
      </c>
      <c r="H15" s="49"/>
    </row>
    <row r="16" spans="1:15" ht="29.1" customHeight="1" x14ac:dyDescent="0.2">
      <c r="A16" s="3">
        <v>10</v>
      </c>
      <c r="B16" s="4" t="s">
        <v>189</v>
      </c>
      <c r="C16" s="4" t="s">
        <v>190</v>
      </c>
      <c r="D16" s="4" t="s">
        <v>108</v>
      </c>
      <c r="E16" s="5">
        <v>1234611</v>
      </c>
      <c r="F16" s="6">
        <v>4479.7860135000001</v>
      </c>
      <c r="G16" s="7">
        <v>2.335404E-2</v>
      </c>
      <c r="H16" s="49"/>
    </row>
    <row r="17" spans="1:10" ht="29.1" customHeight="1" x14ac:dyDescent="0.2">
      <c r="A17" s="3">
        <v>11</v>
      </c>
      <c r="B17" s="4" t="s">
        <v>208</v>
      </c>
      <c r="C17" s="4" t="s">
        <v>209</v>
      </c>
      <c r="D17" s="4" t="s">
        <v>207</v>
      </c>
      <c r="E17" s="5">
        <v>124507</v>
      </c>
      <c r="F17" s="6">
        <v>4348.9672565000001</v>
      </c>
      <c r="G17" s="7">
        <v>2.2672055999999999E-2</v>
      </c>
      <c r="H17" s="49"/>
    </row>
    <row r="18" spans="1:10" ht="17.100000000000001" customHeight="1" x14ac:dyDescent="0.2">
      <c r="A18" s="3">
        <v>12</v>
      </c>
      <c r="B18" s="4" t="s">
        <v>17</v>
      </c>
      <c r="C18" s="4" t="s">
        <v>18</v>
      </c>
      <c r="D18" s="4" t="s">
        <v>19</v>
      </c>
      <c r="E18" s="5">
        <v>503797</v>
      </c>
      <c r="F18" s="6">
        <v>4275.9770374999998</v>
      </c>
      <c r="G18" s="7">
        <v>2.2291543E-2</v>
      </c>
      <c r="H18" s="49"/>
    </row>
    <row r="19" spans="1:10" ht="17.100000000000001" customHeight="1" x14ac:dyDescent="0.2">
      <c r="A19" s="3">
        <v>13</v>
      </c>
      <c r="B19" s="4" t="s">
        <v>372</v>
      </c>
      <c r="C19" s="4" t="s">
        <v>373</v>
      </c>
      <c r="D19" s="4" t="s">
        <v>103</v>
      </c>
      <c r="E19" s="5">
        <v>747589</v>
      </c>
      <c r="F19" s="6">
        <v>4134.5409645</v>
      </c>
      <c r="G19" s="7">
        <v>2.1554206999999999E-2</v>
      </c>
      <c r="H19" s="49"/>
    </row>
    <row r="20" spans="1:10" ht="29.1" customHeight="1" x14ac:dyDescent="0.2">
      <c r="A20" s="3">
        <v>14</v>
      </c>
      <c r="B20" s="4" t="s">
        <v>513</v>
      </c>
      <c r="C20" s="4" t="s">
        <v>514</v>
      </c>
      <c r="D20" s="4" t="s">
        <v>215</v>
      </c>
      <c r="E20" s="5">
        <v>878213</v>
      </c>
      <c r="F20" s="6">
        <v>4082.3731305000001</v>
      </c>
      <c r="G20" s="7">
        <v>2.1282246000000001E-2</v>
      </c>
      <c r="H20" s="49"/>
    </row>
    <row r="21" spans="1:10" ht="29.1" customHeight="1" x14ac:dyDescent="0.2">
      <c r="A21" s="3">
        <v>15</v>
      </c>
      <c r="B21" s="4" t="s">
        <v>191</v>
      </c>
      <c r="C21" s="4" t="s">
        <v>192</v>
      </c>
      <c r="D21" s="4" t="s">
        <v>193</v>
      </c>
      <c r="E21" s="5">
        <v>172468</v>
      </c>
      <c r="F21" s="6">
        <v>4080.075476</v>
      </c>
      <c r="G21" s="7">
        <v>2.1270267999999998E-2</v>
      </c>
      <c r="H21" s="49"/>
    </row>
    <row r="22" spans="1:10" ht="17.100000000000001" customHeight="1" x14ac:dyDescent="0.2">
      <c r="A22" s="3">
        <v>16</v>
      </c>
      <c r="B22" s="4" t="s">
        <v>29</v>
      </c>
      <c r="C22" s="4" t="s">
        <v>30</v>
      </c>
      <c r="D22" s="4" t="s">
        <v>31</v>
      </c>
      <c r="E22" s="5">
        <v>190743</v>
      </c>
      <c r="F22" s="6">
        <v>3861.2105489999999</v>
      </c>
      <c r="G22" s="7">
        <v>2.0129279999999999E-2</v>
      </c>
      <c r="H22" s="49"/>
      <c r="J22" s="217" t="s">
        <v>1092</v>
      </c>
    </row>
    <row r="23" spans="1:10" ht="53.1" customHeight="1" x14ac:dyDescent="0.2">
      <c r="A23" s="3">
        <v>17</v>
      </c>
      <c r="B23" s="4" t="s">
        <v>49</v>
      </c>
      <c r="C23" s="4" t="s">
        <v>50</v>
      </c>
      <c r="D23" s="4" t="s">
        <v>51</v>
      </c>
      <c r="E23" s="5">
        <v>2538355</v>
      </c>
      <c r="F23" s="6">
        <v>3777.07224</v>
      </c>
      <c r="G23" s="7">
        <v>1.9690650000000001E-2</v>
      </c>
      <c r="H23" s="49"/>
    </row>
    <row r="24" spans="1:10" ht="17.100000000000001" customHeight="1" x14ac:dyDescent="0.2">
      <c r="A24" s="3">
        <v>18</v>
      </c>
      <c r="B24" s="4" t="s">
        <v>98</v>
      </c>
      <c r="C24" s="4" t="s">
        <v>99</v>
      </c>
      <c r="D24" s="4" t="s">
        <v>100</v>
      </c>
      <c r="E24" s="5">
        <v>744527</v>
      </c>
      <c r="F24" s="6">
        <v>3620.2625374999998</v>
      </c>
      <c r="G24" s="7">
        <v>1.8873168999999999E-2</v>
      </c>
      <c r="H24" s="49"/>
    </row>
    <row r="25" spans="1:10" ht="17.100000000000001" customHeight="1" x14ac:dyDescent="0.2">
      <c r="A25" s="3">
        <v>19</v>
      </c>
      <c r="B25" s="4" t="s">
        <v>340</v>
      </c>
      <c r="C25" s="4" t="s">
        <v>341</v>
      </c>
      <c r="D25" s="4" t="s">
        <v>16</v>
      </c>
      <c r="E25" s="5">
        <v>1113121</v>
      </c>
      <c r="F25" s="6">
        <v>3502.9917869999999</v>
      </c>
      <c r="G25" s="7">
        <v>1.8261811999999999E-2</v>
      </c>
      <c r="H25" s="49"/>
    </row>
    <row r="26" spans="1:10" ht="17.100000000000001" customHeight="1" x14ac:dyDescent="0.2">
      <c r="A26" s="3">
        <v>20</v>
      </c>
      <c r="B26" s="4" t="s">
        <v>194</v>
      </c>
      <c r="C26" s="4" t="s">
        <v>195</v>
      </c>
      <c r="D26" s="4" t="s">
        <v>196</v>
      </c>
      <c r="E26" s="5">
        <v>7223</v>
      </c>
      <c r="F26" s="6">
        <v>3424.9046294999998</v>
      </c>
      <c r="G26" s="7">
        <v>1.7854728E-2</v>
      </c>
      <c r="H26" s="49"/>
    </row>
    <row r="27" spans="1:10" ht="17.100000000000001" customHeight="1" x14ac:dyDescent="0.2">
      <c r="A27" s="3">
        <v>21</v>
      </c>
      <c r="B27" s="4" t="s">
        <v>70</v>
      </c>
      <c r="C27" s="4" t="s">
        <v>71</v>
      </c>
      <c r="D27" s="4" t="s">
        <v>72</v>
      </c>
      <c r="E27" s="5">
        <v>37000</v>
      </c>
      <c r="F27" s="6">
        <v>3320.4355</v>
      </c>
      <c r="G27" s="7">
        <v>1.7310109000000001E-2</v>
      </c>
      <c r="H27" s="49"/>
    </row>
    <row r="28" spans="1:10" ht="17.100000000000001" customHeight="1" x14ac:dyDescent="0.2">
      <c r="A28" s="3">
        <v>22</v>
      </c>
      <c r="B28" s="4" t="s">
        <v>87</v>
      </c>
      <c r="C28" s="4" t="s">
        <v>88</v>
      </c>
      <c r="D28" s="4" t="s">
        <v>89</v>
      </c>
      <c r="E28" s="5">
        <v>118943</v>
      </c>
      <c r="F28" s="6">
        <v>3182.1415505</v>
      </c>
      <c r="G28" s="7">
        <v>1.6589155000000001E-2</v>
      </c>
      <c r="H28" s="49"/>
    </row>
    <row r="29" spans="1:10" ht="17.100000000000001" customHeight="1" x14ac:dyDescent="0.2">
      <c r="A29" s="3">
        <v>23</v>
      </c>
      <c r="B29" s="4" t="s">
        <v>83</v>
      </c>
      <c r="C29" s="4" t="s">
        <v>84</v>
      </c>
      <c r="D29" s="4" t="s">
        <v>31</v>
      </c>
      <c r="E29" s="5">
        <v>205288</v>
      </c>
      <c r="F29" s="6">
        <v>3135.3636240000001</v>
      </c>
      <c r="G29" s="7">
        <v>1.6345292000000001E-2</v>
      </c>
      <c r="H29" s="49"/>
    </row>
    <row r="30" spans="1:10" ht="17.100000000000001" customHeight="1" x14ac:dyDescent="0.2">
      <c r="A30" s="3">
        <v>24</v>
      </c>
      <c r="B30" s="4" t="s">
        <v>302</v>
      </c>
      <c r="C30" s="4" t="s">
        <v>303</v>
      </c>
      <c r="D30" s="4" t="s">
        <v>974</v>
      </c>
      <c r="E30" s="5">
        <v>92000</v>
      </c>
      <c r="F30" s="6">
        <v>3119.5360000000001</v>
      </c>
      <c r="G30" s="7">
        <v>1.6262779000000002E-2</v>
      </c>
      <c r="H30" s="49"/>
    </row>
    <row r="31" spans="1:10" ht="17.100000000000001" customHeight="1" x14ac:dyDescent="0.2">
      <c r="A31" s="3">
        <v>25</v>
      </c>
      <c r="B31" s="4" t="s">
        <v>221</v>
      </c>
      <c r="C31" s="4" t="s">
        <v>222</v>
      </c>
      <c r="D31" s="4" t="s">
        <v>179</v>
      </c>
      <c r="E31" s="5">
        <v>168859</v>
      </c>
      <c r="F31" s="6">
        <v>2847.1315989999998</v>
      </c>
      <c r="G31" s="7">
        <v>1.4842678999999999E-2</v>
      </c>
      <c r="H31" s="49"/>
    </row>
    <row r="32" spans="1:10" ht="29.1" customHeight="1" x14ac:dyDescent="0.2">
      <c r="A32" s="3">
        <v>26</v>
      </c>
      <c r="B32" s="4" t="s">
        <v>101</v>
      </c>
      <c r="C32" s="4" t="s">
        <v>102</v>
      </c>
      <c r="D32" s="4" t="s">
        <v>103</v>
      </c>
      <c r="E32" s="5">
        <v>388492</v>
      </c>
      <c r="F32" s="6">
        <v>2777.1350619999998</v>
      </c>
      <c r="G32" s="7">
        <v>1.4477772999999999E-2</v>
      </c>
      <c r="H32" s="49"/>
    </row>
    <row r="33" spans="1:8" ht="17.100000000000001" customHeight="1" x14ac:dyDescent="0.2">
      <c r="A33" s="3">
        <v>27</v>
      </c>
      <c r="B33" s="4" t="s">
        <v>44</v>
      </c>
      <c r="C33" s="4" t="s">
        <v>45</v>
      </c>
      <c r="D33" s="4" t="s">
        <v>31</v>
      </c>
      <c r="E33" s="5">
        <v>107282</v>
      </c>
      <c r="F33" s="6">
        <v>2751.7833000000001</v>
      </c>
      <c r="G33" s="7">
        <v>1.4345609E-2</v>
      </c>
      <c r="H33" s="49"/>
    </row>
    <row r="34" spans="1:8" ht="29.1" customHeight="1" x14ac:dyDescent="0.2">
      <c r="A34" s="3">
        <v>28</v>
      </c>
      <c r="B34" s="4" t="s">
        <v>251</v>
      </c>
      <c r="C34" s="4" t="s">
        <v>252</v>
      </c>
      <c r="D34" s="4" t="s">
        <v>215</v>
      </c>
      <c r="E34" s="5">
        <v>148360</v>
      </c>
      <c r="F34" s="6">
        <v>2640.28874</v>
      </c>
      <c r="G34" s="7">
        <v>1.3764365000000001E-2</v>
      </c>
      <c r="H34" s="49"/>
    </row>
    <row r="35" spans="1:8" ht="17.100000000000001" customHeight="1" x14ac:dyDescent="0.2">
      <c r="A35" s="3">
        <v>29</v>
      </c>
      <c r="B35" s="4" t="s">
        <v>261</v>
      </c>
      <c r="C35" s="4" t="s">
        <v>262</v>
      </c>
      <c r="D35" s="4" t="s">
        <v>108</v>
      </c>
      <c r="E35" s="5">
        <v>314277</v>
      </c>
      <c r="F35" s="6">
        <v>2613.6846704999998</v>
      </c>
      <c r="G35" s="7">
        <v>1.3625673E-2</v>
      </c>
      <c r="H35" s="49"/>
    </row>
    <row r="36" spans="1:8" ht="17.100000000000001" customHeight="1" x14ac:dyDescent="0.2">
      <c r="A36" s="3">
        <v>30</v>
      </c>
      <c r="B36" s="4" t="s">
        <v>106</v>
      </c>
      <c r="C36" s="4" t="s">
        <v>107</v>
      </c>
      <c r="D36" s="4" t="s">
        <v>108</v>
      </c>
      <c r="E36" s="5">
        <v>674234</v>
      </c>
      <c r="F36" s="6">
        <v>2606.925761</v>
      </c>
      <c r="G36" s="7">
        <v>1.3590437E-2</v>
      </c>
      <c r="H36" s="49"/>
    </row>
    <row r="37" spans="1:8" ht="17.100000000000001" customHeight="1" x14ac:dyDescent="0.2">
      <c r="A37" s="3">
        <v>31</v>
      </c>
      <c r="B37" s="4" t="s">
        <v>502</v>
      </c>
      <c r="C37" s="4" t="s">
        <v>503</v>
      </c>
      <c r="D37" s="4" t="s">
        <v>317</v>
      </c>
      <c r="E37" s="5">
        <v>108144</v>
      </c>
      <c r="F37" s="6">
        <v>2485.9602</v>
      </c>
      <c r="G37" s="7">
        <v>1.2959818999999999E-2</v>
      </c>
      <c r="H37" s="49"/>
    </row>
    <row r="38" spans="1:8" ht="17.100000000000001" customHeight="1" x14ac:dyDescent="0.2">
      <c r="A38" s="3">
        <v>32</v>
      </c>
      <c r="B38" s="4" t="s">
        <v>56</v>
      </c>
      <c r="C38" s="4" t="s">
        <v>57</v>
      </c>
      <c r="D38" s="4" t="s">
        <v>13</v>
      </c>
      <c r="E38" s="5">
        <v>882388</v>
      </c>
      <c r="F38" s="6">
        <v>2430.537746</v>
      </c>
      <c r="G38" s="7">
        <v>1.2670890000000001E-2</v>
      </c>
      <c r="H38" s="49"/>
    </row>
    <row r="39" spans="1:8" ht="17.100000000000001" customHeight="1" x14ac:dyDescent="0.2">
      <c r="A39" s="3">
        <v>33</v>
      </c>
      <c r="B39" s="4" t="s">
        <v>259</v>
      </c>
      <c r="C39" s="4" t="s">
        <v>260</v>
      </c>
      <c r="D39" s="4" t="s">
        <v>103</v>
      </c>
      <c r="E39" s="5">
        <v>143021</v>
      </c>
      <c r="F39" s="6">
        <v>2326.2365650000002</v>
      </c>
      <c r="G39" s="7">
        <v>1.2127147E-2</v>
      </c>
      <c r="H39" s="49"/>
    </row>
    <row r="40" spans="1:8" ht="53.1" customHeight="1" x14ac:dyDescent="0.2">
      <c r="A40" s="3">
        <v>34</v>
      </c>
      <c r="B40" s="4" t="s">
        <v>94</v>
      </c>
      <c r="C40" s="4" t="s">
        <v>95</v>
      </c>
      <c r="D40" s="4" t="s">
        <v>51</v>
      </c>
      <c r="E40" s="5">
        <v>157873</v>
      </c>
      <c r="F40" s="6">
        <v>2318.2860685000001</v>
      </c>
      <c r="G40" s="7">
        <v>1.2085699E-2</v>
      </c>
      <c r="H40" s="49"/>
    </row>
    <row r="41" spans="1:8" ht="17.100000000000001" customHeight="1" x14ac:dyDescent="0.2">
      <c r="A41" s="3">
        <v>35</v>
      </c>
      <c r="B41" s="4" t="s">
        <v>109</v>
      </c>
      <c r="C41" s="4" t="s">
        <v>110</v>
      </c>
      <c r="D41" s="4" t="s">
        <v>89</v>
      </c>
      <c r="E41" s="5">
        <v>504467</v>
      </c>
      <c r="F41" s="6">
        <v>2292.5502815</v>
      </c>
      <c r="G41" s="7">
        <v>1.1951533E-2</v>
      </c>
      <c r="H41" s="49"/>
    </row>
    <row r="42" spans="1:8" ht="17.100000000000001" customHeight="1" x14ac:dyDescent="0.2">
      <c r="A42" s="3">
        <v>36</v>
      </c>
      <c r="B42" s="4" t="s">
        <v>350</v>
      </c>
      <c r="C42" s="4" t="s">
        <v>351</v>
      </c>
      <c r="D42" s="4" t="s">
        <v>43</v>
      </c>
      <c r="E42" s="5">
        <v>121184</v>
      </c>
      <c r="F42" s="6">
        <v>2256.6884479999999</v>
      </c>
      <c r="G42" s="7">
        <v>1.1764577999999999E-2</v>
      </c>
      <c r="H42" s="49"/>
    </row>
    <row r="43" spans="1:8" ht="17.100000000000001" customHeight="1" x14ac:dyDescent="0.2">
      <c r="A43" s="3">
        <v>37</v>
      </c>
      <c r="B43" s="4" t="s">
        <v>243</v>
      </c>
      <c r="C43" s="4" t="s">
        <v>244</v>
      </c>
      <c r="D43" s="4" t="s">
        <v>227</v>
      </c>
      <c r="E43" s="5">
        <v>734154</v>
      </c>
      <c r="F43" s="6">
        <v>2129.7807539999999</v>
      </c>
      <c r="G43" s="7">
        <v>1.1102983E-2</v>
      </c>
      <c r="H43" s="49"/>
    </row>
    <row r="44" spans="1:8" ht="29.1" customHeight="1" x14ac:dyDescent="0.2">
      <c r="A44" s="3">
        <v>38</v>
      </c>
      <c r="B44" s="4" t="s">
        <v>197</v>
      </c>
      <c r="C44" s="4" t="s">
        <v>198</v>
      </c>
      <c r="D44" s="4" t="s">
        <v>193</v>
      </c>
      <c r="E44" s="5">
        <v>48337</v>
      </c>
      <c r="F44" s="6">
        <v>2099.0100564999998</v>
      </c>
      <c r="G44" s="7">
        <v>1.0942568999999999E-2</v>
      </c>
      <c r="H44" s="49"/>
    </row>
    <row r="45" spans="1:8" ht="17.100000000000001" customHeight="1" x14ac:dyDescent="0.2">
      <c r="A45" s="3">
        <v>39</v>
      </c>
      <c r="B45" s="4" t="s">
        <v>34</v>
      </c>
      <c r="C45" s="4" t="s">
        <v>35</v>
      </c>
      <c r="D45" s="4" t="s">
        <v>31</v>
      </c>
      <c r="E45" s="5">
        <v>100996</v>
      </c>
      <c r="F45" s="6">
        <v>1938.5172239999999</v>
      </c>
      <c r="G45" s="7">
        <v>1.0105886999999999E-2</v>
      </c>
      <c r="H45" s="49"/>
    </row>
    <row r="46" spans="1:8" ht="17.100000000000001" customHeight="1" x14ac:dyDescent="0.2">
      <c r="A46" s="3">
        <v>40</v>
      </c>
      <c r="B46" s="4" t="s">
        <v>272</v>
      </c>
      <c r="C46" s="4" t="s">
        <v>273</v>
      </c>
      <c r="D46" s="4" t="s">
        <v>108</v>
      </c>
      <c r="E46" s="5">
        <v>167824</v>
      </c>
      <c r="F46" s="6">
        <v>1932.1577119999999</v>
      </c>
      <c r="G46" s="7">
        <v>1.0072733E-2</v>
      </c>
      <c r="H46" s="49"/>
    </row>
    <row r="47" spans="1:8" ht="17.100000000000001" customHeight="1" x14ac:dyDescent="0.2">
      <c r="A47" s="3">
        <v>41</v>
      </c>
      <c r="B47" s="4" t="s">
        <v>455</v>
      </c>
      <c r="C47" s="4" t="s">
        <v>456</v>
      </c>
      <c r="D47" s="4" t="s">
        <v>108</v>
      </c>
      <c r="E47" s="5">
        <v>156000</v>
      </c>
      <c r="F47" s="6">
        <v>1911.8579999999999</v>
      </c>
      <c r="G47" s="7">
        <v>9.9669070000000005E-3</v>
      </c>
      <c r="H47" s="49"/>
    </row>
    <row r="48" spans="1:8" ht="29.1" customHeight="1" x14ac:dyDescent="0.2">
      <c r="A48" s="3">
        <v>42</v>
      </c>
      <c r="B48" s="4" t="s">
        <v>255</v>
      </c>
      <c r="C48" s="4" t="s">
        <v>256</v>
      </c>
      <c r="D48" s="4" t="s">
        <v>89</v>
      </c>
      <c r="E48" s="5">
        <v>19525</v>
      </c>
      <c r="F48" s="6">
        <v>1901.07115</v>
      </c>
      <c r="G48" s="7">
        <v>9.9106730000000001E-3</v>
      </c>
      <c r="H48" s="49"/>
    </row>
    <row r="49" spans="1:8" ht="17.100000000000001" customHeight="1" x14ac:dyDescent="0.2">
      <c r="A49" s="3">
        <v>43</v>
      </c>
      <c r="B49" s="4" t="s">
        <v>344</v>
      </c>
      <c r="C49" s="4" t="s">
        <v>345</v>
      </c>
      <c r="D49" s="4" t="s">
        <v>103</v>
      </c>
      <c r="E49" s="5">
        <v>28144</v>
      </c>
      <c r="F49" s="6">
        <v>1891.5441679999999</v>
      </c>
      <c r="G49" s="7">
        <v>9.8610069999999998E-3</v>
      </c>
      <c r="H49" s="49"/>
    </row>
    <row r="50" spans="1:8" ht="17.100000000000001" customHeight="1" x14ac:dyDescent="0.2">
      <c r="A50" s="3">
        <v>44</v>
      </c>
      <c r="B50" s="4" t="s">
        <v>354</v>
      </c>
      <c r="C50" s="4" t="s">
        <v>355</v>
      </c>
      <c r="D50" s="4" t="s">
        <v>188</v>
      </c>
      <c r="E50" s="5">
        <v>45000</v>
      </c>
      <c r="F50" s="6">
        <v>1811.4749999999999</v>
      </c>
      <c r="G50" s="7">
        <v>9.44359E-3</v>
      </c>
      <c r="H50" s="49"/>
    </row>
    <row r="51" spans="1:8" ht="17.100000000000001" customHeight="1" x14ac:dyDescent="0.2">
      <c r="A51" s="3">
        <v>45</v>
      </c>
      <c r="B51" s="4" t="s">
        <v>104</v>
      </c>
      <c r="C51" s="4" t="s">
        <v>105</v>
      </c>
      <c r="D51" s="4" t="s">
        <v>100</v>
      </c>
      <c r="E51" s="5">
        <v>187235</v>
      </c>
      <c r="F51" s="6">
        <v>1729.864165</v>
      </c>
      <c r="G51" s="7">
        <v>9.0181359999999995E-3</v>
      </c>
      <c r="H51" s="49"/>
    </row>
    <row r="52" spans="1:8" ht="17.100000000000001" customHeight="1" x14ac:dyDescent="0.2">
      <c r="A52" s="3">
        <v>46</v>
      </c>
      <c r="B52" s="4" t="s">
        <v>203</v>
      </c>
      <c r="C52" s="4" t="s">
        <v>204</v>
      </c>
      <c r="D52" s="4" t="s">
        <v>974</v>
      </c>
      <c r="E52" s="5">
        <v>40184</v>
      </c>
      <c r="F52" s="6">
        <v>1669.5246480000001</v>
      </c>
      <c r="G52" s="7">
        <v>8.7035729999999992E-3</v>
      </c>
      <c r="H52" s="49"/>
    </row>
    <row r="53" spans="1:8" ht="17.100000000000001" customHeight="1" x14ac:dyDescent="0.2">
      <c r="A53" s="3">
        <v>47</v>
      </c>
      <c r="B53" s="4" t="s">
        <v>247</v>
      </c>
      <c r="C53" s="4" t="s">
        <v>248</v>
      </c>
      <c r="D53" s="4" t="s">
        <v>103</v>
      </c>
      <c r="E53" s="5">
        <v>265000</v>
      </c>
      <c r="F53" s="6">
        <v>1564.825</v>
      </c>
      <c r="G53" s="7">
        <v>8.1577530000000002E-3</v>
      </c>
      <c r="H53" s="49"/>
    </row>
    <row r="54" spans="1:8" ht="17.100000000000001" customHeight="1" x14ac:dyDescent="0.2">
      <c r="A54" s="3">
        <v>48</v>
      </c>
      <c r="B54" s="4" t="s">
        <v>121</v>
      </c>
      <c r="C54" s="4" t="s">
        <v>122</v>
      </c>
      <c r="D54" s="4" t="s">
        <v>108</v>
      </c>
      <c r="E54" s="5">
        <v>80984</v>
      </c>
      <c r="F54" s="6">
        <v>1558.3346200000001</v>
      </c>
      <c r="G54" s="7">
        <v>8.1239169999999996E-3</v>
      </c>
      <c r="H54" s="49"/>
    </row>
    <row r="55" spans="1:8" ht="29.1" customHeight="1" x14ac:dyDescent="0.2">
      <c r="A55" s="3">
        <v>49</v>
      </c>
      <c r="B55" s="4" t="s">
        <v>61</v>
      </c>
      <c r="C55" s="4" t="s">
        <v>62</v>
      </c>
      <c r="D55" s="4" t="s">
        <v>25</v>
      </c>
      <c r="E55" s="5">
        <v>46179</v>
      </c>
      <c r="F55" s="6">
        <v>1422.174663</v>
      </c>
      <c r="G55" s="7">
        <v>7.4140869999999998E-3</v>
      </c>
      <c r="H55" s="49"/>
    </row>
    <row r="56" spans="1:8" ht="29.1" customHeight="1" x14ac:dyDescent="0.2">
      <c r="A56" s="3">
        <v>50</v>
      </c>
      <c r="B56" s="4" t="s">
        <v>283</v>
      </c>
      <c r="C56" s="4" t="s">
        <v>284</v>
      </c>
      <c r="D56" s="4" t="s">
        <v>193</v>
      </c>
      <c r="E56" s="5">
        <v>186962</v>
      </c>
      <c r="F56" s="6">
        <v>1344.350261</v>
      </c>
      <c r="G56" s="7">
        <v>7.008373E-3</v>
      </c>
      <c r="H56" s="49"/>
    </row>
    <row r="57" spans="1:8" ht="29.1" customHeight="1" x14ac:dyDescent="0.2">
      <c r="A57" s="3">
        <v>51</v>
      </c>
      <c r="B57" s="4" t="s">
        <v>436</v>
      </c>
      <c r="C57" s="4" t="s">
        <v>437</v>
      </c>
      <c r="D57" s="4" t="s">
        <v>215</v>
      </c>
      <c r="E57" s="5">
        <v>59985</v>
      </c>
      <c r="F57" s="6">
        <v>1210.61727</v>
      </c>
      <c r="G57" s="7">
        <v>6.3111950000000003E-3</v>
      </c>
      <c r="H57" s="49"/>
    </row>
    <row r="58" spans="1:8" ht="17.100000000000001" customHeight="1" x14ac:dyDescent="0.2">
      <c r="A58" s="3">
        <v>52</v>
      </c>
      <c r="B58" s="4" t="s">
        <v>449</v>
      </c>
      <c r="C58" s="4" t="s">
        <v>450</v>
      </c>
      <c r="D58" s="4" t="s">
        <v>1042</v>
      </c>
      <c r="E58" s="5">
        <v>125665</v>
      </c>
      <c r="F58" s="6">
        <v>1052.193045</v>
      </c>
      <c r="G58" s="7">
        <v>5.4852970000000001E-3</v>
      </c>
      <c r="H58" s="49"/>
    </row>
    <row r="59" spans="1:8" ht="17.100000000000001" customHeight="1" x14ac:dyDescent="0.2">
      <c r="A59" s="3">
        <v>53</v>
      </c>
      <c r="B59" s="4" t="s">
        <v>77</v>
      </c>
      <c r="C59" s="4" t="s">
        <v>78</v>
      </c>
      <c r="D59" s="4" t="s">
        <v>31</v>
      </c>
      <c r="E59" s="5">
        <v>85238</v>
      </c>
      <c r="F59" s="6">
        <v>955.049171</v>
      </c>
      <c r="G59" s="7">
        <v>4.9788669999999997E-3</v>
      </c>
      <c r="H59" s="49"/>
    </row>
    <row r="60" spans="1:8" ht="17.100000000000001" customHeight="1" x14ac:dyDescent="0.2">
      <c r="A60" s="3">
        <v>54</v>
      </c>
      <c r="B60" s="4" t="s">
        <v>265</v>
      </c>
      <c r="C60" s="4" t="s">
        <v>266</v>
      </c>
      <c r="D60" s="4" t="s">
        <v>267</v>
      </c>
      <c r="E60" s="5">
        <v>103000</v>
      </c>
      <c r="F60" s="6">
        <v>914.22799999999995</v>
      </c>
      <c r="G60" s="7">
        <v>4.7660569999999998E-3</v>
      </c>
      <c r="H60" s="49"/>
    </row>
    <row r="61" spans="1:8" ht="17.100000000000001" customHeight="1" x14ac:dyDescent="0.2">
      <c r="A61" s="3">
        <v>55</v>
      </c>
      <c r="B61" s="4" t="s">
        <v>515</v>
      </c>
      <c r="C61" s="4" t="s">
        <v>516</v>
      </c>
      <c r="D61" s="4" t="s">
        <v>974</v>
      </c>
      <c r="E61" s="5">
        <v>55715</v>
      </c>
      <c r="F61" s="6">
        <v>674.12364249999996</v>
      </c>
      <c r="G61" s="7">
        <v>3.514344E-3</v>
      </c>
      <c r="H61" s="49"/>
    </row>
    <row r="62" spans="1:8" ht="17.100000000000001" customHeight="1" x14ac:dyDescent="0.2">
      <c r="A62" s="3">
        <v>56</v>
      </c>
      <c r="B62" s="4" t="s">
        <v>298</v>
      </c>
      <c r="C62" s="4" t="s">
        <v>299</v>
      </c>
      <c r="D62" s="4" t="s">
        <v>238</v>
      </c>
      <c r="E62" s="5">
        <v>50000</v>
      </c>
      <c r="F62" s="6">
        <v>641.45000000000005</v>
      </c>
      <c r="G62" s="7">
        <v>3.3440100000000001E-3</v>
      </c>
      <c r="H62" s="49"/>
    </row>
    <row r="63" spans="1:8" ht="17.100000000000001" customHeight="1" x14ac:dyDescent="0.2">
      <c r="A63" s="3">
        <v>57</v>
      </c>
      <c r="B63" s="4" t="s">
        <v>400</v>
      </c>
      <c r="C63" s="4" t="s">
        <v>401</v>
      </c>
      <c r="D63" s="4" t="s">
        <v>1042</v>
      </c>
      <c r="E63" s="5">
        <v>50981</v>
      </c>
      <c r="F63" s="6">
        <v>639.35272099999997</v>
      </c>
      <c r="G63" s="7">
        <v>3.3330759999999999E-3</v>
      </c>
      <c r="H63" s="49"/>
    </row>
    <row r="64" spans="1:8" ht="17.100000000000001" customHeight="1" x14ac:dyDescent="0.2">
      <c r="A64" s="3">
        <v>58</v>
      </c>
      <c r="B64" s="4" t="s">
        <v>300</v>
      </c>
      <c r="C64" s="4" t="s">
        <v>301</v>
      </c>
      <c r="D64" s="4" t="s">
        <v>230</v>
      </c>
      <c r="E64" s="5">
        <v>114737</v>
      </c>
      <c r="F64" s="6">
        <v>619.00611500000002</v>
      </c>
      <c r="G64" s="7">
        <v>3.2270049999999998E-3</v>
      </c>
      <c r="H64" s="49"/>
    </row>
    <row r="65" spans="1:15" ht="17.100000000000001" customHeight="1" x14ac:dyDescent="0.2">
      <c r="A65" s="3">
        <v>59</v>
      </c>
      <c r="B65" s="4" t="s">
        <v>125</v>
      </c>
      <c r="C65" s="4" t="s">
        <v>126</v>
      </c>
      <c r="D65" s="4"/>
      <c r="E65" s="5">
        <v>177729</v>
      </c>
      <c r="F65" s="6">
        <v>536.2972575</v>
      </c>
      <c r="G65" s="7">
        <v>2.7958269999999999E-3</v>
      </c>
      <c r="H65" s="49"/>
    </row>
    <row r="66" spans="1:15" ht="29.1" customHeight="1" x14ac:dyDescent="0.2">
      <c r="A66" s="3">
        <v>60</v>
      </c>
      <c r="B66" s="4" t="s">
        <v>506</v>
      </c>
      <c r="C66" s="4" t="s">
        <v>507</v>
      </c>
      <c r="D66" s="4" t="s">
        <v>193</v>
      </c>
      <c r="E66" s="5">
        <v>30432</v>
      </c>
      <c r="F66" s="6">
        <v>389.07312000000002</v>
      </c>
      <c r="G66" s="7">
        <v>2.0283179999999999E-3</v>
      </c>
      <c r="H66" s="49"/>
    </row>
    <row r="67" spans="1:15" ht="17.100000000000001" customHeight="1" x14ac:dyDescent="0.2">
      <c r="A67" s="3">
        <v>61</v>
      </c>
      <c r="B67" s="4" t="s">
        <v>245</v>
      </c>
      <c r="C67" s="4" t="s">
        <v>246</v>
      </c>
      <c r="D67" s="4" t="s">
        <v>31</v>
      </c>
      <c r="E67" s="5">
        <v>15955</v>
      </c>
      <c r="F67" s="6">
        <v>300.69590749999998</v>
      </c>
      <c r="G67" s="7">
        <v>1.5675890000000001E-3</v>
      </c>
      <c r="H67" s="49"/>
    </row>
    <row r="68" spans="1:15" ht="14.1" customHeight="1" x14ac:dyDescent="0.2">
      <c r="A68" s="1"/>
      <c r="B68" s="1"/>
      <c r="C68" s="2" t="s">
        <v>130</v>
      </c>
      <c r="D68" s="1"/>
      <c r="E68" s="1" t="s">
        <v>131</v>
      </c>
      <c r="F68" s="9">
        <v>188940.18095549999</v>
      </c>
      <c r="G68" s="10">
        <v>0.98498379499999988</v>
      </c>
      <c r="H68" s="49"/>
    </row>
    <row r="69" spans="1:15" ht="14.1" customHeight="1" x14ac:dyDescent="0.2">
      <c r="A69" s="1"/>
      <c r="B69" s="1"/>
      <c r="C69" s="11"/>
      <c r="D69" s="1"/>
      <c r="E69" s="1"/>
      <c r="F69" s="12"/>
      <c r="G69" s="12"/>
      <c r="H69" s="49"/>
    </row>
    <row r="70" spans="1:15" ht="14.1" customHeight="1" x14ac:dyDescent="0.2">
      <c r="A70" s="1"/>
      <c r="B70" s="1"/>
      <c r="C70" s="2" t="s">
        <v>132</v>
      </c>
      <c r="D70" s="1"/>
      <c r="E70" s="1"/>
      <c r="F70" s="1"/>
      <c r="G70" s="1"/>
      <c r="H70" s="49"/>
    </row>
    <row r="71" spans="1:15" ht="14.1" customHeight="1" x14ac:dyDescent="0.2">
      <c r="A71" s="1"/>
      <c r="B71" s="1"/>
      <c r="C71" s="2" t="s">
        <v>130</v>
      </c>
      <c r="D71" s="1"/>
      <c r="E71" s="1" t="s">
        <v>131</v>
      </c>
      <c r="F71" s="13">
        <v>0</v>
      </c>
      <c r="G71" s="14">
        <v>0</v>
      </c>
      <c r="H71" s="49"/>
    </row>
    <row r="72" spans="1:15" ht="14.1" customHeight="1" x14ac:dyDescent="0.2">
      <c r="A72" s="1"/>
      <c r="B72" s="1"/>
      <c r="C72" s="11"/>
      <c r="D72" s="1"/>
      <c r="E72" s="1"/>
      <c r="F72" s="12"/>
      <c r="G72" s="12"/>
      <c r="H72" s="49"/>
    </row>
    <row r="73" spans="1:15" ht="14.1" customHeight="1" x14ac:dyDescent="0.2">
      <c r="A73" s="1"/>
      <c r="B73" s="1"/>
      <c r="C73" s="2" t="s">
        <v>133</v>
      </c>
      <c r="D73" s="1"/>
      <c r="E73" s="1"/>
      <c r="F73" s="1"/>
      <c r="G73" s="1"/>
      <c r="H73" s="49"/>
    </row>
    <row r="74" spans="1:15" s="58" customFormat="1" ht="29.1" customHeight="1" x14ac:dyDescent="0.2">
      <c r="A74" s="44">
        <v>1</v>
      </c>
      <c r="B74" s="39" t="s">
        <v>626</v>
      </c>
      <c r="C74" s="39" t="s">
        <v>956</v>
      </c>
      <c r="D74" s="39" t="s">
        <v>627</v>
      </c>
      <c r="E74" s="51">
        <v>511578</v>
      </c>
      <c r="F74" s="49">
        <v>26.602056000000001</v>
      </c>
      <c r="G74" s="52">
        <v>1.38682E-4</v>
      </c>
      <c r="H74" s="49"/>
      <c r="I74"/>
      <c r="J74"/>
      <c r="K74"/>
      <c r="L74"/>
      <c r="M74"/>
      <c r="N74"/>
      <c r="O74"/>
    </row>
    <row r="75" spans="1:15" s="58" customFormat="1" ht="17.100000000000001" customHeight="1" x14ac:dyDescent="0.2">
      <c r="A75" s="44">
        <v>2</v>
      </c>
      <c r="B75" s="39" t="s">
        <v>628</v>
      </c>
      <c r="C75" s="39" t="s">
        <v>963</v>
      </c>
      <c r="D75" s="39" t="s">
        <v>317</v>
      </c>
      <c r="E75" s="51">
        <v>39500</v>
      </c>
      <c r="F75" s="49">
        <v>26.1569</v>
      </c>
      <c r="G75" s="52">
        <v>1.3636099999999999E-4</v>
      </c>
      <c r="H75" s="49"/>
      <c r="I75"/>
      <c r="J75"/>
      <c r="K75"/>
      <c r="L75"/>
      <c r="M75"/>
      <c r="N75"/>
      <c r="O75"/>
    </row>
    <row r="76" spans="1:15" s="58" customFormat="1" ht="17.100000000000001" customHeight="1" x14ac:dyDescent="0.2">
      <c r="A76" s="44">
        <v>3</v>
      </c>
      <c r="B76" s="39" t="s">
        <v>629</v>
      </c>
      <c r="C76" s="39" t="s">
        <v>964</v>
      </c>
      <c r="D76" s="39"/>
      <c r="E76" s="51">
        <v>176305</v>
      </c>
      <c r="F76" s="49">
        <v>1.7630000000000001E-6</v>
      </c>
      <c r="G76" s="59" t="s">
        <v>129</v>
      </c>
      <c r="H76" s="49"/>
      <c r="J76"/>
      <c r="K76"/>
      <c r="L76"/>
      <c r="M76"/>
      <c r="N76"/>
      <c r="O76"/>
    </row>
    <row r="77" spans="1:15" s="58" customFormat="1" ht="17.100000000000001" customHeight="1" x14ac:dyDescent="0.2">
      <c r="A77" s="44">
        <v>4</v>
      </c>
      <c r="B77" s="39" t="s">
        <v>630</v>
      </c>
      <c r="C77" s="39" t="s">
        <v>965</v>
      </c>
      <c r="D77" s="39"/>
      <c r="E77" s="51">
        <v>200</v>
      </c>
      <c r="F77" s="49">
        <v>2.0000000000000001E-9</v>
      </c>
      <c r="G77" s="59" t="s">
        <v>129</v>
      </c>
      <c r="H77" s="49"/>
      <c r="J77"/>
      <c r="K77"/>
      <c r="L77"/>
      <c r="M77"/>
      <c r="N77"/>
      <c r="O77"/>
    </row>
    <row r="78" spans="1:15" s="58" customFormat="1" ht="17.100000000000001" customHeight="1" x14ac:dyDescent="0.2">
      <c r="A78" s="44">
        <v>5</v>
      </c>
      <c r="B78" s="39" t="s">
        <v>631</v>
      </c>
      <c r="C78" s="39" t="s">
        <v>966</v>
      </c>
      <c r="D78" s="39"/>
      <c r="E78" s="51">
        <v>93200</v>
      </c>
      <c r="F78" s="49">
        <v>9.3200000000000003E-7</v>
      </c>
      <c r="G78" s="59" t="s">
        <v>129</v>
      </c>
      <c r="H78" s="49"/>
      <c r="J78"/>
      <c r="K78"/>
      <c r="L78"/>
      <c r="M78"/>
      <c r="N78"/>
      <c r="O78"/>
    </row>
    <row r="79" spans="1:15" s="58" customFormat="1" ht="29.1" customHeight="1" x14ac:dyDescent="0.2">
      <c r="A79" s="44">
        <v>6</v>
      </c>
      <c r="B79" s="39" t="s">
        <v>632</v>
      </c>
      <c r="C79" s="39" t="s">
        <v>967</v>
      </c>
      <c r="D79" s="39" t="s">
        <v>43</v>
      </c>
      <c r="E79" s="51">
        <v>54000</v>
      </c>
      <c r="F79" s="49">
        <v>5.4000000000000002E-7</v>
      </c>
      <c r="G79" s="59" t="s">
        <v>129</v>
      </c>
      <c r="H79" s="49"/>
      <c r="J79"/>
      <c r="K79"/>
      <c r="L79"/>
      <c r="M79"/>
      <c r="N79"/>
      <c r="O79"/>
    </row>
    <row r="80" spans="1:15" s="58" customFormat="1" ht="41.1" customHeight="1" x14ac:dyDescent="0.2">
      <c r="A80" s="44">
        <v>7</v>
      </c>
      <c r="B80" s="39" t="s">
        <v>633</v>
      </c>
      <c r="C80" s="39" t="s">
        <v>968</v>
      </c>
      <c r="D80" s="39" t="s">
        <v>634</v>
      </c>
      <c r="E80" s="51">
        <v>200000</v>
      </c>
      <c r="F80" s="49">
        <v>1.9999999999999999E-6</v>
      </c>
      <c r="G80" s="59" t="s">
        <v>129</v>
      </c>
      <c r="H80" s="49"/>
      <c r="J80"/>
      <c r="K80"/>
      <c r="L80"/>
      <c r="M80"/>
      <c r="N80"/>
      <c r="O80"/>
    </row>
    <row r="81" spans="1:15" s="58" customFormat="1" ht="29.1" customHeight="1" x14ac:dyDescent="0.2">
      <c r="A81" s="44">
        <v>8</v>
      </c>
      <c r="B81" s="39" t="s">
        <v>635</v>
      </c>
      <c r="C81" s="39" t="s">
        <v>969</v>
      </c>
      <c r="D81" s="39" t="s">
        <v>468</v>
      </c>
      <c r="E81" s="51">
        <v>50800</v>
      </c>
      <c r="F81" s="49">
        <v>5.0800000000000005E-7</v>
      </c>
      <c r="G81" s="59" t="s">
        <v>129</v>
      </c>
      <c r="H81" s="49"/>
      <c r="J81"/>
      <c r="K81"/>
      <c r="L81"/>
      <c r="M81"/>
      <c r="N81"/>
      <c r="O81"/>
    </row>
    <row r="82" spans="1:15" ht="14.1" customHeight="1" x14ac:dyDescent="0.2">
      <c r="A82" s="1"/>
      <c r="B82" s="1"/>
      <c r="C82" s="2" t="s">
        <v>130</v>
      </c>
      <c r="D82" s="1"/>
      <c r="E82" s="1" t="s">
        <v>131</v>
      </c>
      <c r="F82" s="13">
        <v>52.758961745000001</v>
      </c>
      <c r="G82" s="14">
        <v>2.7504299999999999E-4</v>
      </c>
      <c r="H82" s="49"/>
      <c r="I82" s="58"/>
    </row>
    <row r="83" spans="1:15" ht="14.1" customHeight="1" x14ac:dyDescent="0.2">
      <c r="A83" s="1"/>
      <c r="B83" s="1"/>
      <c r="C83" s="11"/>
      <c r="D83" s="1"/>
      <c r="E83" s="1"/>
      <c r="F83" s="12"/>
      <c r="G83" s="12"/>
      <c r="H83" s="49"/>
      <c r="I83" s="58"/>
    </row>
    <row r="84" spans="1:15" ht="14.1" customHeight="1" x14ac:dyDescent="0.2">
      <c r="A84" s="1"/>
      <c r="B84" s="1"/>
      <c r="C84" s="2" t="s">
        <v>134</v>
      </c>
      <c r="D84" s="1"/>
      <c r="E84" s="1"/>
      <c r="F84" s="1"/>
      <c r="G84" s="1"/>
      <c r="H84" s="49"/>
    </row>
    <row r="85" spans="1:15" ht="14.1" customHeight="1" x14ac:dyDescent="0.2">
      <c r="A85" s="1"/>
      <c r="B85" s="1"/>
      <c r="C85" s="2" t="s">
        <v>130</v>
      </c>
      <c r="D85" s="1"/>
      <c r="E85" s="1" t="s">
        <v>131</v>
      </c>
      <c r="F85" s="13">
        <v>0</v>
      </c>
      <c r="G85" s="14">
        <v>0</v>
      </c>
      <c r="H85" s="49"/>
    </row>
    <row r="86" spans="1:15" ht="14.1" customHeight="1" x14ac:dyDescent="0.2">
      <c r="A86" s="1"/>
      <c r="B86" s="1"/>
      <c r="C86" s="11"/>
      <c r="D86" s="1"/>
      <c r="E86" s="1"/>
      <c r="F86" s="12"/>
      <c r="G86" s="12"/>
      <c r="H86" s="49"/>
    </row>
    <row r="87" spans="1:15" ht="14.1" customHeight="1" x14ac:dyDescent="0.2">
      <c r="A87" s="1"/>
      <c r="B87" s="1"/>
      <c r="C87" s="2" t="s">
        <v>135</v>
      </c>
      <c r="D87" s="1"/>
      <c r="E87" s="1"/>
      <c r="F87" s="12"/>
      <c r="G87" s="12"/>
      <c r="H87" s="49"/>
    </row>
    <row r="88" spans="1:15" ht="14.1" customHeight="1" x14ac:dyDescent="0.2">
      <c r="A88" s="1"/>
      <c r="B88" s="1"/>
      <c r="C88" s="2" t="s">
        <v>130</v>
      </c>
      <c r="D88" s="1"/>
      <c r="E88" s="1" t="s">
        <v>131</v>
      </c>
      <c r="F88" s="13">
        <v>0</v>
      </c>
      <c r="G88" s="14">
        <v>0</v>
      </c>
      <c r="H88" s="49"/>
    </row>
    <row r="89" spans="1:15" ht="14.1" customHeight="1" x14ac:dyDescent="0.2">
      <c r="A89" s="1"/>
      <c r="B89" s="1"/>
      <c r="C89" s="11"/>
      <c r="D89" s="1"/>
      <c r="E89" s="1"/>
      <c r="F89" s="12"/>
      <c r="G89" s="12"/>
      <c r="H89" s="49"/>
    </row>
    <row r="90" spans="1:15" ht="14.1" customHeight="1" x14ac:dyDescent="0.2">
      <c r="A90" s="1"/>
      <c r="B90" s="1"/>
      <c r="C90" s="2" t="s">
        <v>136</v>
      </c>
      <c r="D90" s="1"/>
      <c r="E90" s="1"/>
      <c r="F90" s="12"/>
      <c r="G90" s="12"/>
      <c r="H90" s="49"/>
    </row>
    <row r="91" spans="1:15" ht="14.1" customHeight="1" x14ac:dyDescent="0.2">
      <c r="A91" s="1"/>
      <c r="B91" s="1"/>
      <c r="C91" s="2" t="s">
        <v>130</v>
      </c>
      <c r="D91" s="1"/>
      <c r="E91" s="1" t="s">
        <v>131</v>
      </c>
      <c r="F91" s="13">
        <v>0</v>
      </c>
      <c r="G91" s="14">
        <v>0</v>
      </c>
      <c r="H91" s="49"/>
    </row>
    <row r="92" spans="1:15" ht="14.1" customHeight="1" x14ac:dyDescent="0.2">
      <c r="A92" s="1"/>
      <c r="B92" s="1"/>
      <c r="C92" s="11"/>
      <c r="D92" s="1"/>
      <c r="E92" s="1"/>
      <c r="F92" s="12"/>
      <c r="G92" s="12"/>
      <c r="H92" s="49"/>
    </row>
    <row r="93" spans="1:15" ht="18" customHeight="1" x14ac:dyDescent="0.2">
      <c r="A93" s="1"/>
      <c r="B93" s="1"/>
      <c r="C93" s="2" t="s">
        <v>137</v>
      </c>
      <c r="D93" s="1"/>
      <c r="E93" s="1"/>
      <c r="F93" s="9">
        <v>188992.93991724501</v>
      </c>
      <c r="G93" s="10">
        <v>0.98525883800000003</v>
      </c>
      <c r="H93" s="49"/>
    </row>
    <row r="94" spans="1:15" ht="14.1" customHeight="1" x14ac:dyDescent="0.2">
      <c r="A94" s="1"/>
      <c r="B94" s="1"/>
      <c r="C94" s="11"/>
      <c r="D94" s="1"/>
      <c r="E94" s="1"/>
      <c r="F94" s="12"/>
      <c r="G94" s="12"/>
      <c r="H94" s="49"/>
    </row>
    <row r="95" spans="1:15" ht="14.1" customHeight="1" x14ac:dyDescent="0.2">
      <c r="A95" s="1"/>
      <c r="B95" s="1"/>
      <c r="C95" s="2" t="s">
        <v>138</v>
      </c>
      <c r="D95" s="1"/>
      <c r="E95" s="1"/>
      <c r="F95" s="12"/>
      <c r="G95" s="12"/>
      <c r="H95" s="49"/>
    </row>
    <row r="96" spans="1:15" ht="24" customHeight="1" x14ac:dyDescent="0.2">
      <c r="A96" s="1"/>
      <c r="B96" s="1"/>
      <c r="C96" s="2" t="s">
        <v>10</v>
      </c>
      <c r="D96" s="1"/>
      <c r="E96" s="1"/>
      <c r="F96" s="12"/>
      <c r="G96" s="12"/>
      <c r="H96" s="49"/>
    </row>
    <row r="97" spans="1:8" ht="14.1" customHeight="1" x14ac:dyDescent="0.2">
      <c r="A97" s="1"/>
      <c r="B97" s="1"/>
      <c r="C97" s="2" t="s">
        <v>130</v>
      </c>
      <c r="D97" s="1"/>
      <c r="E97" s="1" t="s">
        <v>131</v>
      </c>
      <c r="F97" s="13">
        <v>0</v>
      </c>
      <c r="G97" s="14">
        <v>0</v>
      </c>
      <c r="H97" s="49"/>
    </row>
    <row r="98" spans="1:8" ht="14.1" customHeight="1" x14ac:dyDescent="0.2">
      <c r="A98" s="1"/>
      <c r="B98" s="1"/>
      <c r="C98" s="11"/>
      <c r="D98" s="1"/>
      <c r="E98" s="1"/>
      <c r="F98" s="12"/>
      <c r="G98" s="12"/>
      <c r="H98" s="49"/>
    </row>
    <row r="99" spans="1:8" ht="14.1" customHeight="1" x14ac:dyDescent="0.2">
      <c r="A99" s="1"/>
      <c r="B99" s="1"/>
      <c r="C99" s="2" t="s">
        <v>139</v>
      </c>
      <c r="D99" s="1"/>
      <c r="E99" s="1"/>
      <c r="F99" s="1"/>
      <c r="G99" s="1"/>
      <c r="H99" s="49"/>
    </row>
    <row r="100" spans="1:8" ht="14.1" customHeight="1" x14ac:dyDescent="0.2">
      <c r="A100" s="1"/>
      <c r="B100" s="1"/>
      <c r="C100" s="2" t="s">
        <v>130</v>
      </c>
      <c r="D100" s="1"/>
      <c r="E100" s="1" t="s">
        <v>131</v>
      </c>
      <c r="F100" s="13">
        <v>0</v>
      </c>
      <c r="G100" s="14">
        <v>0</v>
      </c>
      <c r="H100" s="49"/>
    </row>
    <row r="101" spans="1:8" ht="14.1" customHeight="1" x14ac:dyDescent="0.2">
      <c r="A101" s="1"/>
      <c r="B101" s="1"/>
      <c r="C101" s="11"/>
      <c r="D101" s="1"/>
      <c r="E101" s="1"/>
      <c r="F101" s="12"/>
      <c r="G101" s="12"/>
      <c r="H101" s="49"/>
    </row>
    <row r="102" spans="1:8" ht="14.1" customHeight="1" x14ac:dyDescent="0.2">
      <c r="A102" s="1"/>
      <c r="B102" s="1"/>
      <c r="C102" s="2" t="s">
        <v>140</v>
      </c>
      <c r="D102" s="1"/>
      <c r="E102" s="1"/>
      <c r="F102" s="1"/>
      <c r="G102" s="1"/>
      <c r="H102" s="49"/>
    </row>
    <row r="103" spans="1:8" ht="14.1" customHeight="1" x14ac:dyDescent="0.2">
      <c r="A103" s="1"/>
      <c r="B103" s="1"/>
      <c r="C103" s="2" t="s">
        <v>130</v>
      </c>
      <c r="D103" s="1"/>
      <c r="E103" s="1" t="s">
        <v>131</v>
      </c>
      <c r="F103" s="13">
        <v>0</v>
      </c>
      <c r="G103" s="14">
        <v>0</v>
      </c>
      <c r="H103" s="49"/>
    </row>
    <row r="104" spans="1:8" ht="14.1" customHeight="1" x14ac:dyDescent="0.2">
      <c r="A104" s="1"/>
      <c r="B104" s="1"/>
      <c r="C104" s="11"/>
      <c r="D104" s="1"/>
      <c r="E104" s="1"/>
      <c r="F104" s="12"/>
      <c r="G104" s="12"/>
      <c r="H104" s="49"/>
    </row>
    <row r="105" spans="1:8" ht="14.1" customHeight="1" x14ac:dyDescent="0.2">
      <c r="A105" s="1"/>
      <c r="B105" s="1"/>
      <c r="C105" s="2" t="s">
        <v>141</v>
      </c>
      <c r="D105" s="1"/>
      <c r="E105" s="1"/>
      <c r="F105" s="12"/>
      <c r="G105" s="12"/>
      <c r="H105" s="49"/>
    </row>
    <row r="106" spans="1:8" ht="14.1" customHeight="1" x14ac:dyDescent="0.2">
      <c r="A106" s="1"/>
      <c r="B106" s="1"/>
      <c r="C106" s="2" t="s">
        <v>130</v>
      </c>
      <c r="D106" s="1"/>
      <c r="E106" s="1" t="s">
        <v>131</v>
      </c>
      <c r="F106" s="13">
        <v>0</v>
      </c>
      <c r="G106" s="14">
        <v>0</v>
      </c>
      <c r="H106" s="49"/>
    </row>
    <row r="107" spans="1:8" ht="14.1" customHeight="1" x14ac:dyDescent="0.2">
      <c r="A107" s="1"/>
      <c r="B107" s="1"/>
      <c r="C107" s="11"/>
      <c r="D107" s="1"/>
      <c r="E107" s="1"/>
      <c r="F107" s="12"/>
      <c r="G107" s="12"/>
      <c r="H107" s="49"/>
    </row>
    <row r="108" spans="1:8" ht="14.1" customHeight="1" x14ac:dyDescent="0.2">
      <c r="A108" s="1"/>
      <c r="B108" s="1"/>
      <c r="C108" s="2" t="s">
        <v>142</v>
      </c>
      <c r="D108" s="1"/>
      <c r="E108" s="1"/>
      <c r="F108" s="9">
        <v>0</v>
      </c>
      <c r="G108" s="10">
        <v>0</v>
      </c>
      <c r="H108" s="49"/>
    </row>
    <row r="109" spans="1:8" ht="14.1" customHeight="1" x14ac:dyDescent="0.2">
      <c r="A109" s="1"/>
      <c r="B109" s="1"/>
      <c r="C109" s="11"/>
      <c r="D109" s="1"/>
      <c r="E109" s="1"/>
      <c r="F109" s="12"/>
      <c r="G109" s="12"/>
      <c r="H109" s="49"/>
    </row>
    <row r="110" spans="1:8" ht="14.1" customHeight="1" x14ac:dyDescent="0.2">
      <c r="A110" s="1"/>
      <c r="B110" s="1"/>
      <c r="C110" s="2" t="s">
        <v>143</v>
      </c>
      <c r="D110" s="1"/>
      <c r="E110" s="1"/>
      <c r="F110" s="12"/>
      <c r="G110" s="12"/>
      <c r="H110" s="49"/>
    </row>
    <row r="111" spans="1:8" ht="14.1" customHeight="1" x14ac:dyDescent="0.2">
      <c r="A111" s="1"/>
      <c r="B111" s="1"/>
      <c r="C111" s="2" t="s">
        <v>144</v>
      </c>
      <c r="D111" s="1"/>
      <c r="E111" s="1"/>
      <c r="F111" s="12"/>
      <c r="G111" s="12"/>
      <c r="H111" s="49"/>
    </row>
    <row r="112" spans="1:8" ht="14.1" customHeight="1" x14ac:dyDescent="0.2">
      <c r="A112" s="1"/>
      <c r="B112" s="1"/>
      <c r="C112" s="2" t="s">
        <v>130</v>
      </c>
      <c r="D112" s="1"/>
      <c r="E112" s="1" t="s">
        <v>131</v>
      </c>
      <c r="F112" s="13">
        <v>0</v>
      </c>
      <c r="G112" s="14">
        <v>0</v>
      </c>
      <c r="H112" s="49"/>
    </row>
    <row r="113" spans="1:8" ht="14.1" customHeight="1" x14ac:dyDescent="0.2">
      <c r="A113" s="1"/>
      <c r="B113" s="1"/>
      <c r="C113" s="11"/>
      <c r="D113" s="1"/>
      <c r="E113" s="1"/>
      <c r="F113" s="12"/>
      <c r="G113" s="12"/>
      <c r="H113" s="49"/>
    </row>
    <row r="114" spans="1:8" ht="14.1" customHeight="1" x14ac:dyDescent="0.2">
      <c r="A114" s="1"/>
      <c r="B114" s="1"/>
      <c r="C114" s="2" t="s">
        <v>145</v>
      </c>
      <c r="D114" s="1"/>
      <c r="E114" s="1"/>
      <c r="F114" s="12"/>
      <c r="G114" s="12"/>
      <c r="H114" s="49"/>
    </row>
    <row r="115" spans="1:8" ht="14.1" customHeight="1" x14ac:dyDescent="0.2">
      <c r="A115" s="1"/>
      <c r="B115" s="1"/>
      <c r="C115" s="2" t="s">
        <v>130</v>
      </c>
      <c r="D115" s="1"/>
      <c r="E115" s="1" t="s">
        <v>131</v>
      </c>
      <c r="F115" s="13">
        <v>0</v>
      </c>
      <c r="G115" s="14">
        <v>0</v>
      </c>
      <c r="H115" s="49"/>
    </row>
    <row r="116" spans="1:8" ht="14.1" customHeight="1" x14ac:dyDescent="0.2">
      <c r="A116" s="1"/>
      <c r="B116" s="1"/>
      <c r="C116" s="11"/>
      <c r="D116" s="1"/>
      <c r="E116" s="1"/>
      <c r="F116" s="12"/>
      <c r="G116" s="12"/>
      <c r="H116" s="49"/>
    </row>
    <row r="117" spans="1:8" ht="14.1" customHeight="1" x14ac:dyDescent="0.2">
      <c r="A117" s="1"/>
      <c r="B117" s="1"/>
      <c r="C117" s="2" t="s">
        <v>146</v>
      </c>
      <c r="D117" s="1"/>
      <c r="E117" s="1"/>
      <c r="F117" s="12"/>
      <c r="G117" s="12"/>
      <c r="H117" s="49"/>
    </row>
    <row r="118" spans="1:8" ht="14.1" customHeight="1" x14ac:dyDescent="0.2">
      <c r="A118" s="1"/>
      <c r="B118" s="1"/>
      <c r="C118" s="2" t="s">
        <v>130</v>
      </c>
      <c r="D118" s="1"/>
      <c r="E118" s="1" t="s">
        <v>131</v>
      </c>
      <c r="F118" s="13">
        <v>0</v>
      </c>
      <c r="G118" s="14">
        <v>0</v>
      </c>
      <c r="H118" s="49"/>
    </row>
    <row r="119" spans="1:8" ht="14.1" customHeight="1" x14ac:dyDescent="0.2">
      <c r="A119" s="1"/>
      <c r="B119" s="1"/>
      <c r="C119" s="11"/>
      <c r="D119" s="1"/>
      <c r="E119" s="1"/>
      <c r="F119" s="12"/>
      <c r="G119" s="12"/>
      <c r="H119" s="49"/>
    </row>
    <row r="120" spans="1:8" ht="14.1" customHeight="1" x14ac:dyDescent="0.2">
      <c r="A120" s="1"/>
      <c r="B120" s="1"/>
      <c r="C120" s="2" t="s">
        <v>147</v>
      </c>
      <c r="D120" s="1"/>
      <c r="E120" s="1"/>
      <c r="F120" s="12"/>
      <c r="G120" s="12"/>
      <c r="H120" s="49"/>
    </row>
    <row r="121" spans="1:8" ht="17.100000000000001" customHeight="1" x14ac:dyDescent="0.2">
      <c r="A121" s="3">
        <v>1</v>
      </c>
      <c r="B121" s="4"/>
      <c r="C121" s="4" t="s">
        <v>148</v>
      </c>
      <c r="D121" s="4"/>
      <c r="E121" s="8"/>
      <c r="F121" s="6">
        <v>3109.3817684999999</v>
      </c>
      <c r="G121" s="7">
        <v>1.6209843000000002E-2</v>
      </c>
      <c r="H121" s="49">
        <v>5.6572293145372496</v>
      </c>
    </row>
    <row r="122" spans="1:8" ht="14.1" customHeight="1" x14ac:dyDescent="0.2">
      <c r="A122" s="1"/>
      <c r="B122" s="1"/>
      <c r="C122" s="2" t="s">
        <v>130</v>
      </c>
      <c r="D122" s="1"/>
      <c r="E122" s="1" t="s">
        <v>131</v>
      </c>
      <c r="F122" s="9">
        <v>3109.3817684999999</v>
      </c>
      <c r="G122" s="10">
        <v>1.6209843000000002E-2</v>
      </c>
      <c r="H122" s="49"/>
    </row>
    <row r="123" spans="1:8" ht="14.1" customHeight="1" x14ac:dyDescent="0.2">
      <c r="A123" s="1"/>
      <c r="B123" s="1"/>
      <c r="C123" s="11"/>
      <c r="D123" s="1"/>
      <c r="E123" s="1"/>
      <c r="F123" s="12"/>
      <c r="G123" s="12"/>
      <c r="H123" s="49"/>
    </row>
    <row r="124" spans="1:8" ht="14.1" customHeight="1" x14ac:dyDescent="0.2">
      <c r="A124" s="1"/>
      <c r="B124" s="1"/>
      <c r="C124" s="2" t="s">
        <v>149</v>
      </c>
      <c r="D124" s="1"/>
      <c r="E124" s="1"/>
      <c r="F124" s="9">
        <v>3109.3817684999999</v>
      </c>
      <c r="G124" s="10">
        <v>1.6209843000000002E-2</v>
      </c>
      <c r="H124" s="49"/>
    </row>
    <row r="125" spans="1:8" ht="14.1" customHeight="1" x14ac:dyDescent="0.2">
      <c r="A125" s="1"/>
      <c r="B125" s="1"/>
      <c r="C125" s="12"/>
      <c r="D125" s="1"/>
      <c r="E125" s="1"/>
      <c r="F125" s="1"/>
      <c r="G125" s="1"/>
      <c r="H125" s="49"/>
    </row>
    <row r="126" spans="1:8" ht="14.1" customHeight="1" x14ac:dyDescent="0.2">
      <c r="A126" s="1"/>
      <c r="B126" s="1"/>
      <c r="C126" s="2" t="s">
        <v>150</v>
      </c>
      <c r="D126" s="1"/>
      <c r="E126" s="1"/>
      <c r="F126" s="1"/>
      <c r="G126" s="1"/>
      <c r="H126" s="49"/>
    </row>
    <row r="127" spans="1:8" ht="14.1" customHeight="1" x14ac:dyDescent="0.2">
      <c r="A127" s="1"/>
      <c r="B127" s="1"/>
      <c r="C127" s="2" t="s">
        <v>151</v>
      </c>
      <c r="D127" s="1"/>
      <c r="E127" s="1"/>
      <c r="F127" s="1"/>
      <c r="G127" s="1"/>
      <c r="H127" s="49"/>
    </row>
    <row r="128" spans="1:8" ht="14.1" customHeight="1" x14ac:dyDescent="0.2">
      <c r="A128" s="1"/>
      <c r="B128" s="1"/>
      <c r="C128" s="2" t="s">
        <v>130</v>
      </c>
      <c r="D128" s="1"/>
      <c r="E128" s="1" t="s">
        <v>131</v>
      </c>
      <c r="F128" s="13">
        <v>0</v>
      </c>
      <c r="G128" s="14">
        <v>0</v>
      </c>
      <c r="H128" s="49"/>
    </row>
    <row r="129" spans="1:8" ht="14.1" customHeight="1" x14ac:dyDescent="0.2">
      <c r="A129" s="1"/>
      <c r="B129" s="1"/>
      <c r="C129" s="11"/>
      <c r="D129" s="1"/>
      <c r="E129" s="1"/>
      <c r="F129" s="12"/>
      <c r="G129" s="12"/>
      <c r="H129" s="49"/>
    </row>
    <row r="130" spans="1:8" ht="14.1" customHeight="1" x14ac:dyDescent="0.2">
      <c r="A130" s="1"/>
      <c r="B130" s="1"/>
      <c r="C130" s="2" t="s">
        <v>152</v>
      </c>
      <c r="D130" s="1"/>
      <c r="E130" s="1"/>
      <c r="F130" s="1"/>
      <c r="G130" s="1"/>
      <c r="H130" s="49"/>
    </row>
    <row r="131" spans="1:8" ht="14.1" customHeight="1" x14ac:dyDescent="0.2">
      <c r="A131" s="1"/>
      <c r="B131" s="1"/>
      <c r="C131" s="2" t="s">
        <v>153</v>
      </c>
      <c r="D131" s="1"/>
      <c r="E131" s="1"/>
      <c r="F131" s="1"/>
      <c r="G131" s="1"/>
      <c r="H131" s="49"/>
    </row>
    <row r="132" spans="1:8" ht="14.1" customHeight="1" x14ac:dyDescent="0.2">
      <c r="A132" s="1"/>
      <c r="B132" s="1"/>
      <c r="C132" s="2" t="s">
        <v>130</v>
      </c>
      <c r="D132" s="1"/>
      <c r="E132" s="1" t="s">
        <v>131</v>
      </c>
      <c r="F132" s="13">
        <v>0</v>
      </c>
      <c r="G132" s="14">
        <v>0</v>
      </c>
      <c r="H132" s="49"/>
    </row>
    <row r="133" spans="1:8" ht="14.1" customHeight="1" x14ac:dyDescent="0.2">
      <c r="A133" s="1"/>
      <c r="B133" s="1"/>
      <c r="C133" s="11"/>
      <c r="D133" s="1"/>
      <c r="E133" s="1"/>
      <c r="F133" s="12"/>
      <c r="G133" s="12"/>
      <c r="H133" s="49"/>
    </row>
    <row r="134" spans="1:8" ht="14.1" customHeight="1" x14ac:dyDescent="0.2">
      <c r="A134" s="1"/>
      <c r="B134" s="1"/>
      <c r="C134" s="11"/>
      <c r="D134" s="1"/>
      <c r="E134" s="1"/>
      <c r="F134" s="12"/>
      <c r="G134" s="12"/>
      <c r="H134" s="49"/>
    </row>
    <row r="135" spans="1:8" ht="24" customHeight="1" x14ac:dyDescent="0.2">
      <c r="A135" s="1"/>
      <c r="B135" s="1"/>
      <c r="C135" s="2" t="s">
        <v>154</v>
      </c>
      <c r="D135" s="1"/>
      <c r="E135" s="1"/>
      <c r="F135" s="12"/>
      <c r="G135" s="12"/>
      <c r="H135" s="49"/>
    </row>
    <row r="136" spans="1:8" ht="14.1" customHeight="1" x14ac:dyDescent="0.2">
      <c r="A136" s="1"/>
      <c r="B136" s="1"/>
      <c r="C136" s="2" t="s">
        <v>130</v>
      </c>
      <c r="D136" s="1"/>
      <c r="E136" s="1" t="s">
        <v>131</v>
      </c>
      <c r="F136" s="13">
        <v>0</v>
      </c>
      <c r="G136" s="14">
        <v>0</v>
      </c>
      <c r="H136" s="49"/>
    </row>
    <row r="137" spans="1:8" ht="14.1" customHeight="1" x14ac:dyDescent="0.2">
      <c r="A137" s="1"/>
      <c r="B137" s="1"/>
      <c r="C137" s="11"/>
      <c r="D137" s="1"/>
      <c r="E137" s="1"/>
      <c r="F137" s="12"/>
      <c r="G137" s="12"/>
      <c r="H137" s="49"/>
    </row>
    <row r="138" spans="1:8" ht="14.1" customHeight="1" x14ac:dyDescent="0.2">
      <c r="A138" s="1"/>
      <c r="B138" s="4"/>
      <c r="C138" s="4"/>
      <c r="D138" s="2"/>
      <c r="E138" s="1"/>
      <c r="F138" s="4"/>
      <c r="G138" s="8"/>
      <c r="H138" s="49"/>
    </row>
    <row r="139" spans="1:8" ht="18" customHeight="1" x14ac:dyDescent="0.2">
      <c r="A139" s="8"/>
      <c r="B139" s="4"/>
      <c r="C139" s="4" t="s">
        <v>155</v>
      </c>
      <c r="D139" s="4"/>
      <c r="E139" s="8"/>
      <c r="F139" s="6">
        <v>-281.72359678999999</v>
      </c>
      <c r="G139" s="7">
        <v>-1.4686829999999999E-3</v>
      </c>
      <c r="H139" s="49"/>
    </row>
    <row r="140" spans="1:8" ht="14.1" customHeight="1" x14ac:dyDescent="0.2">
      <c r="A140" s="11"/>
      <c r="B140" s="11"/>
      <c r="C140" s="2" t="s">
        <v>156</v>
      </c>
      <c r="D140" s="15"/>
      <c r="E140" s="15"/>
      <c r="F140" s="9">
        <v>191820.59808895501</v>
      </c>
      <c r="G140" s="10">
        <v>0.99999999800000006</v>
      </c>
      <c r="H140" s="49"/>
    </row>
    <row r="141" spans="1:8" ht="14.1" customHeight="1" x14ac:dyDescent="0.2">
      <c r="A141" s="16"/>
      <c r="B141" s="16"/>
      <c r="C141" s="16"/>
      <c r="D141" s="17"/>
      <c r="E141" s="17"/>
      <c r="F141" s="17"/>
      <c r="G141" s="17"/>
    </row>
    <row r="142" spans="1:8" ht="17.100000000000001" customHeight="1" x14ac:dyDescent="0.2">
      <c r="A142" s="18"/>
      <c r="B142" s="327" t="s">
        <v>157</v>
      </c>
      <c r="C142" s="327"/>
      <c r="D142" s="327"/>
      <c r="E142" s="327"/>
      <c r="F142" s="327"/>
      <c r="G142" s="20"/>
    </row>
    <row r="143" spans="1:8" ht="14.1" customHeight="1" x14ac:dyDescent="0.2">
      <c r="A143" s="18"/>
      <c r="B143" s="18"/>
      <c r="C143" s="18"/>
      <c r="D143" s="20"/>
      <c r="E143" s="20"/>
      <c r="F143" s="20"/>
      <c r="G143" s="20"/>
    </row>
    <row r="144" spans="1:8" ht="14.1" customHeight="1" x14ac:dyDescent="0.2">
      <c r="A144" s="18"/>
      <c r="B144" s="319" t="s">
        <v>158</v>
      </c>
      <c r="C144" s="320"/>
      <c r="D144" s="12" t="s">
        <v>131</v>
      </c>
      <c r="E144" s="21"/>
      <c r="F144" s="20"/>
      <c r="G144" s="20"/>
    </row>
    <row r="145" spans="1:7" ht="29.1" customHeight="1" x14ac:dyDescent="0.2">
      <c r="A145" s="18"/>
      <c r="B145" s="323" t="s">
        <v>159</v>
      </c>
      <c r="C145" s="324"/>
      <c r="D145" s="57" t="s">
        <v>1014</v>
      </c>
      <c r="E145" s="21"/>
      <c r="F145" s="20"/>
      <c r="G145" s="20"/>
    </row>
    <row r="146" spans="1:7" ht="17.100000000000001" customHeight="1" x14ac:dyDescent="0.2">
      <c r="A146" s="18"/>
      <c r="B146" s="325" t="s">
        <v>954</v>
      </c>
      <c r="C146" s="326"/>
      <c r="D146" s="57" t="s">
        <v>970</v>
      </c>
      <c r="E146" s="21"/>
      <c r="F146" s="20"/>
      <c r="G146" s="20"/>
    </row>
    <row r="147" spans="1:7" ht="17.100000000000001" customHeight="1" x14ac:dyDescent="0.2">
      <c r="A147" s="18"/>
      <c r="B147" s="323" t="s">
        <v>162</v>
      </c>
      <c r="C147" s="324"/>
      <c r="D147" s="12" t="s">
        <v>131</v>
      </c>
      <c r="E147" s="21"/>
      <c r="F147" s="20"/>
      <c r="G147" s="20"/>
    </row>
    <row r="148" spans="1:7" ht="24" customHeight="1" x14ac:dyDescent="0.2">
      <c r="A148" s="22"/>
      <c r="B148" s="23" t="s">
        <v>131</v>
      </c>
      <c r="C148" s="23" t="s">
        <v>163</v>
      </c>
      <c r="D148" s="23" t="s">
        <v>164</v>
      </c>
      <c r="E148" s="22"/>
      <c r="F148" s="22"/>
      <c r="G148" s="22"/>
    </row>
    <row r="149" spans="1:7" ht="18" customHeight="1" x14ac:dyDescent="0.2">
      <c r="A149" s="22"/>
      <c r="B149" s="23" t="s">
        <v>165</v>
      </c>
      <c r="C149" s="23" t="s">
        <v>166</v>
      </c>
      <c r="D149" s="23" t="s">
        <v>167</v>
      </c>
      <c r="E149" s="22"/>
      <c r="F149" s="22"/>
      <c r="G149" s="22"/>
    </row>
    <row r="150" spans="1:7" ht="17.100000000000001" customHeight="1" x14ac:dyDescent="0.2">
      <c r="A150" s="22"/>
      <c r="B150" s="4" t="s">
        <v>168</v>
      </c>
      <c r="C150" s="24">
        <v>262.42599999999999</v>
      </c>
      <c r="D150" s="24">
        <v>266.1798</v>
      </c>
      <c r="E150" s="22"/>
      <c r="F150" s="19"/>
      <c r="G150" s="25"/>
    </row>
    <row r="151" spans="1:7" ht="29.1" customHeight="1" x14ac:dyDescent="0.2">
      <c r="A151" s="22"/>
      <c r="B151" s="4" t="s">
        <v>1024</v>
      </c>
      <c r="C151" s="24">
        <v>67.218800000000002</v>
      </c>
      <c r="D151" s="24">
        <v>68.179900000000004</v>
      </c>
      <c r="E151" s="22"/>
      <c r="F151" s="19"/>
      <c r="G151" s="25"/>
    </row>
    <row r="152" spans="1:7" ht="17.100000000000001" customHeight="1" x14ac:dyDescent="0.2">
      <c r="A152" s="22"/>
      <c r="B152" s="4" t="s">
        <v>169</v>
      </c>
      <c r="C152" s="24">
        <v>242.88300000000001</v>
      </c>
      <c r="D152" s="24">
        <v>246.12459999999999</v>
      </c>
      <c r="E152" s="22"/>
      <c r="F152" s="19"/>
      <c r="G152" s="25"/>
    </row>
    <row r="153" spans="1:7" ht="29.1" customHeight="1" x14ac:dyDescent="0.2">
      <c r="A153" s="22"/>
      <c r="B153" s="4" t="s">
        <v>1025</v>
      </c>
      <c r="C153" s="24">
        <v>51.3628</v>
      </c>
      <c r="D153" s="24">
        <v>52.048200000000001</v>
      </c>
      <c r="E153" s="22"/>
      <c r="F153" s="19"/>
      <c r="G153" s="25"/>
    </row>
    <row r="154" spans="1:7" ht="14.1" customHeight="1" x14ac:dyDescent="0.2">
      <c r="A154" s="22"/>
      <c r="B154" s="22"/>
      <c r="C154" s="22"/>
      <c r="D154" s="22"/>
      <c r="E154" s="22"/>
      <c r="F154" s="22"/>
      <c r="G154" s="22"/>
    </row>
    <row r="155" spans="1:7" ht="17.100000000000001" customHeight="1" x14ac:dyDescent="0.2">
      <c r="A155" s="22"/>
      <c r="B155" s="323" t="s">
        <v>1023</v>
      </c>
      <c r="C155" s="324"/>
      <c r="D155" s="2" t="s">
        <v>160</v>
      </c>
      <c r="E155" s="22"/>
      <c r="F155" s="22"/>
      <c r="G155" s="22"/>
    </row>
    <row r="156" spans="1:7" ht="18" customHeight="1" x14ac:dyDescent="0.2">
      <c r="A156" s="22"/>
      <c r="B156" s="28"/>
      <c r="C156" s="28"/>
      <c r="D156" s="26"/>
      <c r="E156" s="22"/>
      <c r="F156" s="22"/>
      <c r="G156" s="22"/>
    </row>
    <row r="157" spans="1:7" ht="29.1" customHeight="1" x14ac:dyDescent="0.2">
      <c r="A157" s="22"/>
      <c r="B157" s="323" t="s">
        <v>170</v>
      </c>
      <c r="C157" s="324"/>
      <c r="D157" s="2" t="s">
        <v>160</v>
      </c>
      <c r="E157" s="22"/>
      <c r="F157" s="22"/>
      <c r="G157" s="22"/>
    </row>
    <row r="158" spans="1:7" ht="29.1" customHeight="1" x14ac:dyDescent="0.2">
      <c r="A158" s="22"/>
      <c r="B158" s="323" t="s">
        <v>171</v>
      </c>
      <c r="C158" s="324"/>
      <c r="D158" s="2" t="s">
        <v>160</v>
      </c>
      <c r="E158" s="22"/>
      <c r="F158" s="22"/>
      <c r="G158" s="22"/>
    </row>
    <row r="159" spans="1:7" ht="17.100000000000001" customHeight="1" x14ac:dyDescent="0.2">
      <c r="A159" s="22"/>
      <c r="B159" s="323" t="s">
        <v>172</v>
      </c>
      <c r="C159" s="324"/>
      <c r="D159" s="27">
        <v>0.72198465889468055</v>
      </c>
      <c r="E159" s="22"/>
      <c r="F159" s="19"/>
      <c r="G159" s="25"/>
    </row>
    <row r="160" spans="1:7" ht="17.100000000000001" customHeight="1" x14ac:dyDescent="0.2">
      <c r="A160" s="22"/>
      <c r="B160" s="323" t="s">
        <v>173</v>
      </c>
      <c r="C160" s="324"/>
      <c r="D160" s="2" t="s">
        <v>160</v>
      </c>
      <c r="E160" s="22"/>
      <c r="F160" s="22"/>
      <c r="G160" s="22"/>
    </row>
    <row r="162" spans="2:6" x14ac:dyDescent="0.2">
      <c r="B162" s="79" t="s">
        <v>1018</v>
      </c>
    </row>
    <row r="163" spans="2:6" ht="38.25" x14ac:dyDescent="0.2">
      <c r="B163" s="67" t="s">
        <v>990</v>
      </c>
      <c r="C163" s="67" t="s">
        <v>991</v>
      </c>
      <c r="D163" s="67" t="s">
        <v>992</v>
      </c>
      <c r="E163" s="67" t="s">
        <v>993</v>
      </c>
      <c r="F163" s="67" t="s">
        <v>994</v>
      </c>
    </row>
    <row r="164" spans="2:6" x14ac:dyDescent="0.2">
      <c r="B164" s="80" t="s">
        <v>1015</v>
      </c>
      <c r="C164" s="75" t="s">
        <v>1012</v>
      </c>
      <c r="D164" s="76">
        <v>0</v>
      </c>
      <c r="E164" s="77">
        <v>0</v>
      </c>
      <c r="F164" s="78">
        <v>29.407129999999999</v>
      </c>
    </row>
  </sheetData>
  <mergeCells count="14">
    <mergeCell ref="B159:C159"/>
    <mergeCell ref="B160:C160"/>
    <mergeCell ref="B145:C145"/>
    <mergeCell ref="B146:C146"/>
    <mergeCell ref="B147:C147"/>
    <mergeCell ref="B155:C155"/>
    <mergeCell ref="B157:C157"/>
    <mergeCell ref="B158:C158"/>
    <mergeCell ref="A1:H1"/>
    <mergeCell ref="A2:H2"/>
    <mergeCell ref="A3:H3"/>
    <mergeCell ref="B144:C144"/>
    <mergeCell ref="J2:N2"/>
    <mergeCell ref="B142:F142"/>
  </mergeCells>
  <hyperlinks>
    <hyperlink ref="I1" location="Index!B29" display="Index" xr:uid="{49C943EE-6BBB-4C4C-BB5B-B68AF699EEED}"/>
  </hyperlinks>
  <pageMargins left="5.000000074505806E-2" right="5.000000074505806E-2" top="0.30000001192092896" bottom="0.20000000298023224" header="0" footer="0"/>
  <pageSetup paperSize="9"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O19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58" t="s">
        <v>1203</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182</v>
      </c>
      <c r="C7" s="4" t="s">
        <v>183</v>
      </c>
      <c r="D7" s="4" t="s">
        <v>16</v>
      </c>
      <c r="E7" s="5">
        <v>42119</v>
      </c>
      <c r="F7" s="6">
        <v>70.022837499999994</v>
      </c>
      <c r="G7" s="7">
        <v>1.2200512E-2</v>
      </c>
      <c r="H7" s="49"/>
    </row>
    <row r="8" spans="1:15" ht="17.100000000000001" customHeight="1" x14ac:dyDescent="0.2">
      <c r="A8" s="3">
        <v>2</v>
      </c>
      <c r="B8" s="4" t="s">
        <v>311</v>
      </c>
      <c r="C8" s="4" t="s">
        <v>312</v>
      </c>
      <c r="D8" s="4" t="s">
        <v>974</v>
      </c>
      <c r="E8" s="5">
        <v>5821</v>
      </c>
      <c r="F8" s="6">
        <v>65.241767999999993</v>
      </c>
      <c r="G8" s="7">
        <v>1.1367476E-2</v>
      </c>
      <c r="H8" s="49"/>
    </row>
    <row r="9" spans="1:15" ht="17.100000000000001" customHeight="1" x14ac:dyDescent="0.2">
      <c r="A9" s="3">
        <v>3</v>
      </c>
      <c r="B9" s="4" t="s">
        <v>180</v>
      </c>
      <c r="C9" s="4" t="s">
        <v>181</v>
      </c>
      <c r="D9" s="4" t="s">
        <v>16</v>
      </c>
      <c r="E9" s="5">
        <v>7236</v>
      </c>
      <c r="F9" s="6">
        <v>65.214449999999999</v>
      </c>
      <c r="G9" s="7">
        <v>1.1362716E-2</v>
      </c>
      <c r="H9" s="49"/>
    </row>
    <row r="10" spans="1:15" ht="17.100000000000001" customHeight="1" x14ac:dyDescent="0.2">
      <c r="A10" s="3">
        <v>4</v>
      </c>
      <c r="B10" s="4" t="s">
        <v>111</v>
      </c>
      <c r="C10" s="4" t="s">
        <v>112</v>
      </c>
      <c r="D10" s="4" t="s">
        <v>113</v>
      </c>
      <c r="E10" s="5">
        <v>14400</v>
      </c>
      <c r="F10" s="6">
        <v>64.900800000000004</v>
      </c>
      <c r="G10" s="7">
        <v>1.1308067E-2</v>
      </c>
      <c r="H10" s="49"/>
    </row>
    <row r="11" spans="1:15" ht="29.1" customHeight="1" x14ac:dyDescent="0.2">
      <c r="A11" s="3">
        <v>5</v>
      </c>
      <c r="B11" s="4" t="s">
        <v>636</v>
      </c>
      <c r="C11" s="4" t="s">
        <v>637</v>
      </c>
      <c r="D11" s="4" t="s">
        <v>69</v>
      </c>
      <c r="E11" s="5">
        <v>2342</v>
      </c>
      <c r="F11" s="6">
        <v>64.499851000000007</v>
      </c>
      <c r="G11" s="7">
        <v>1.1238207E-2</v>
      </c>
      <c r="H11" s="49"/>
    </row>
    <row r="12" spans="1:15" ht="17.100000000000001" customHeight="1" x14ac:dyDescent="0.2">
      <c r="A12" s="3">
        <v>6</v>
      </c>
      <c r="B12" s="4" t="s">
        <v>638</v>
      </c>
      <c r="C12" s="4" t="s">
        <v>639</v>
      </c>
      <c r="D12" s="4" t="s">
        <v>317</v>
      </c>
      <c r="E12" s="5">
        <v>2882</v>
      </c>
      <c r="F12" s="6">
        <v>63.032221999999997</v>
      </c>
      <c r="G12" s="7">
        <v>1.0982492999999999E-2</v>
      </c>
      <c r="H12" s="49"/>
    </row>
    <row r="13" spans="1:15" ht="17.100000000000001" customHeight="1" x14ac:dyDescent="0.2">
      <c r="A13" s="3">
        <v>7</v>
      </c>
      <c r="B13" s="4" t="s">
        <v>294</v>
      </c>
      <c r="C13" s="4" t="s">
        <v>295</v>
      </c>
      <c r="D13" s="4" t="s">
        <v>974</v>
      </c>
      <c r="E13" s="5">
        <v>3853</v>
      </c>
      <c r="F13" s="6">
        <v>62.994623500000003</v>
      </c>
      <c r="G13" s="7">
        <v>1.0975942000000001E-2</v>
      </c>
      <c r="H13" s="49"/>
      <c r="J13" s="217" t="s">
        <v>1093</v>
      </c>
    </row>
    <row r="14" spans="1:15" ht="29.1" customHeight="1" x14ac:dyDescent="0.2">
      <c r="A14" s="3">
        <v>8</v>
      </c>
      <c r="B14" s="4" t="s">
        <v>296</v>
      </c>
      <c r="C14" s="4" t="s">
        <v>297</v>
      </c>
      <c r="D14" s="4" t="s">
        <v>103</v>
      </c>
      <c r="E14" s="5">
        <v>2339</v>
      </c>
      <c r="F14" s="6">
        <v>62.978744499999998</v>
      </c>
      <c r="G14" s="7">
        <v>1.0973175999999999E-2</v>
      </c>
      <c r="H14" s="49"/>
    </row>
    <row r="15" spans="1:15" ht="29.1" customHeight="1" x14ac:dyDescent="0.2">
      <c r="A15" s="3">
        <v>9</v>
      </c>
      <c r="B15" s="4" t="s">
        <v>75</v>
      </c>
      <c r="C15" s="4" t="s">
        <v>76</v>
      </c>
      <c r="D15" s="4" t="s">
        <v>25</v>
      </c>
      <c r="E15" s="5">
        <v>11002</v>
      </c>
      <c r="F15" s="6">
        <v>62.793914999999998</v>
      </c>
      <c r="G15" s="7">
        <v>1.0940972E-2</v>
      </c>
      <c r="H15" s="49"/>
    </row>
    <row r="16" spans="1:15" ht="29.1" customHeight="1" x14ac:dyDescent="0.2">
      <c r="A16" s="3">
        <v>10</v>
      </c>
      <c r="B16" s="4" t="s">
        <v>304</v>
      </c>
      <c r="C16" s="4" t="s">
        <v>305</v>
      </c>
      <c r="D16" s="4" t="s">
        <v>215</v>
      </c>
      <c r="E16" s="5">
        <v>5996</v>
      </c>
      <c r="F16" s="6">
        <v>62.721158000000003</v>
      </c>
      <c r="G16" s="7">
        <v>1.0928294999999999E-2</v>
      </c>
      <c r="H16" s="49"/>
    </row>
    <row r="17" spans="1:8" ht="17.100000000000001" customHeight="1" x14ac:dyDescent="0.2">
      <c r="A17" s="3">
        <v>11</v>
      </c>
      <c r="B17" s="4" t="s">
        <v>640</v>
      </c>
      <c r="C17" s="4" t="s">
        <v>641</v>
      </c>
      <c r="D17" s="4" t="s">
        <v>218</v>
      </c>
      <c r="E17" s="5">
        <v>8431</v>
      </c>
      <c r="F17" s="6">
        <v>62.676054000000001</v>
      </c>
      <c r="G17" s="7">
        <v>1.0920436E-2</v>
      </c>
      <c r="H17" s="49"/>
    </row>
    <row r="18" spans="1:8" ht="29.1" customHeight="1" x14ac:dyDescent="0.2">
      <c r="A18" s="3">
        <v>12</v>
      </c>
      <c r="B18" s="4" t="s">
        <v>642</v>
      </c>
      <c r="C18" s="4" t="s">
        <v>643</v>
      </c>
      <c r="D18" s="4" t="s">
        <v>207</v>
      </c>
      <c r="E18" s="5">
        <v>7932</v>
      </c>
      <c r="F18" s="6">
        <v>62.639004</v>
      </c>
      <c r="G18" s="7">
        <v>1.0913981E-2</v>
      </c>
      <c r="H18" s="49"/>
    </row>
    <row r="19" spans="1:8" ht="17.100000000000001" customHeight="1" x14ac:dyDescent="0.2">
      <c r="A19" s="3">
        <v>13</v>
      </c>
      <c r="B19" s="4" t="s">
        <v>592</v>
      </c>
      <c r="C19" s="4" t="s">
        <v>593</v>
      </c>
      <c r="D19" s="4" t="s">
        <v>594</v>
      </c>
      <c r="E19" s="5">
        <v>20492</v>
      </c>
      <c r="F19" s="6">
        <v>62.367401999999998</v>
      </c>
      <c r="G19" s="7">
        <v>1.0866658E-2</v>
      </c>
      <c r="H19" s="49"/>
    </row>
    <row r="20" spans="1:8" ht="29.1" customHeight="1" x14ac:dyDescent="0.2">
      <c r="A20" s="3">
        <v>14</v>
      </c>
      <c r="B20" s="4" t="s">
        <v>208</v>
      </c>
      <c r="C20" s="4" t="s">
        <v>209</v>
      </c>
      <c r="D20" s="4" t="s">
        <v>207</v>
      </c>
      <c r="E20" s="5">
        <v>1782</v>
      </c>
      <c r="F20" s="6">
        <v>62.244368999999999</v>
      </c>
      <c r="G20" s="7">
        <v>1.0845221E-2</v>
      </c>
      <c r="H20" s="49"/>
    </row>
    <row r="21" spans="1:8" ht="17.100000000000001" customHeight="1" x14ac:dyDescent="0.2">
      <c r="A21" s="3">
        <v>15</v>
      </c>
      <c r="B21" s="4" t="s">
        <v>545</v>
      </c>
      <c r="C21" s="4" t="s">
        <v>546</v>
      </c>
      <c r="D21" s="4" t="s">
        <v>100</v>
      </c>
      <c r="E21" s="5">
        <v>15374</v>
      </c>
      <c r="F21" s="6">
        <v>61.903410999999998</v>
      </c>
      <c r="G21" s="7">
        <v>1.0785813999999999E-2</v>
      </c>
      <c r="H21" s="49"/>
    </row>
    <row r="22" spans="1:8" ht="29.1" customHeight="1" x14ac:dyDescent="0.2">
      <c r="A22" s="3">
        <v>16</v>
      </c>
      <c r="B22" s="4" t="s">
        <v>23</v>
      </c>
      <c r="C22" s="4" t="s">
        <v>24</v>
      </c>
      <c r="D22" s="4" t="s">
        <v>25</v>
      </c>
      <c r="E22" s="5">
        <v>872</v>
      </c>
      <c r="F22" s="6">
        <v>61.711440000000003</v>
      </c>
      <c r="G22" s="7">
        <v>1.0752365E-2</v>
      </c>
      <c r="H22" s="49"/>
    </row>
    <row r="23" spans="1:8" ht="17.100000000000001" customHeight="1" x14ac:dyDescent="0.2">
      <c r="A23" s="3">
        <v>17</v>
      </c>
      <c r="B23" s="4" t="s">
        <v>644</v>
      </c>
      <c r="C23" s="4" t="s">
        <v>645</v>
      </c>
      <c r="D23" s="4" t="s">
        <v>22</v>
      </c>
      <c r="E23" s="5">
        <v>80414</v>
      </c>
      <c r="F23" s="6">
        <v>61.637331000000003</v>
      </c>
      <c r="G23" s="7">
        <v>1.0739452999999999E-2</v>
      </c>
      <c r="H23" s="49"/>
    </row>
    <row r="24" spans="1:8" ht="17.100000000000001" customHeight="1" x14ac:dyDescent="0.2">
      <c r="A24" s="3">
        <v>18</v>
      </c>
      <c r="B24" s="4" t="s">
        <v>20</v>
      </c>
      <c r="C24" s="4" t="s">
        <v>21</v>
      </c>
      <c r="D24" s="4" t="s">
        <v>22</v>
      </c>
      <c r="E24" s="5">
        <v>2240</v>
      </c>
      <c r="F24" s="6">
        <v>61.18224</v>
      </c>
      <c r="G24" s="7">
        <v>1.066016E-2</v>
      </c>
      <c r="H24" s="49"/>
    </row>
    <row r="25" spans="1:8" ht="17.100000000000001" customHeight="1" x14ac:dyDescent="0.2">
      <c r="A25" s="3">
        <v>19</v>
      </c>
      <c r="B25" s="4" t="s">
        <v>562</v>
      </c>
      <c r="C25" s="4" t="s">
        <v>563</v>
      </c>
      <c r="D25" s="4" t="s">
        <v>267</v>
      </c>
      <c r="E25" s="5">
        <v>1401</v>
      </c>
      <c r="F25" s="6">
        <v>61.115822999999999</v>
      </c>
      <c r="G25" s="7">
        <v>1.0648586999999999E-2</v>
      </c>
      <c r="H25" s="49"/>
    </row>
    <row r="26" spans="1:8" ht="29.1" customHeight="1" x14ac:dyDescent="0.2">
      <c r="A26" s="3">
        <v>20</v>
      </c>
      <c r="B26" s="4" t="s">
        <v>646</v>
      </c>
      <c r="C26" s="4" t="s">
        <v>647</v>
      </c>
      <c r="D26" s="4" t="s">
        <v>648</v>
      </c>
      <c r="E26" s="5">
        <v>1555</v>
      </c>
      <c r="F26" s="6">
        <v>60.923344999999998</v>
      </c>
      <c r="G26" s="7">
        <v>1.0615051E-2</v>
      </c>
      <c r="H26" s="49"/>
    </row>
    <row r="27" spans="1:8" ht="17.100000000000001" customHeight="1" x14ac:dyDescent="0.2">
      <c r="A27" s="3">
        <v>21</v>
      </c>
      <c r="B27" s="4" t="s">
        <v>263</v>
      </c>
      <c r="C27" s="4" t="s">
        <v>264</v>
      </c>
      <c r="D27" s="4" t="s">
        <v>16</v>
      </c>
      <c r="E27" s="5">
        <v>3783</v>
      </c>
      <c r="F27" s="6">
        <v>60.847663500000003</v>
      </c>
      <c r="G27" s="7">
        <v>1.0601864000000001E-2</v>
      </c>
      <c r="H27" s="49"/>
    </row>
    <row r="28" spans="1:8" ht="17.100000000000001" customHeight="1" x14ac:dyDescent="0.2">
      <c r="A28" s="3">
        <v>22</v>
      </c>
      <c r="B28" s="4" t="s">
        <v>599</v>
      </c>
      <c r="C28" s="4" t="s">
        <v>600</v>
      </c>
      <c r="D28" s="4" t="s">
        <v>238</v>
      </c>
      <c r="E28" s="5">
        <v>10276</v>
      </c>
      <c r="F28" s="6">
        <v>60.690055999999998</v>
      </c>
      <c r="G28" s="7">
        <v>1.0574403E-2</v>
      </c>
      <c r="H28" s="49"/>
    </row>
    <row r="29" spans="1:8" ht="29.1" customHeight="1" x14ac:dyDescent="0.2">
      <c r="A29" s="3">
        <v>23</v>
      </c>
      <c r="B29" s="4" t="s">
        <v>81</v>
      </c>
      <c r="C29" s="4" t="s">
        <v>82</v>
      </c>
      <c r="D29" s="4" t="s">
        <v>25</v>
      </c>
      <c r="E29" s="5">
        <v>254</v>
      </c>
      <c r="F29" s="6">
        <v>60.654564999999998</v>
      </c>
      <c r="G29" s="7">
        <v>1.056822E-2</v>
      </c>
      <c r="H29" s="49"/>
    </row>
    <row r="30" spans="1:8" ht="17.100000000000001" customHeight="1" x14ac:dyDescent="0.2">
      <c r="A30" s="3">
        <v>24</v>
      </c>
      <c r="B30" s="4" t="s">
        <v>11</v>
      </c>
      <c r="C30" s="4" t="s">
        <v>12</v>
      </c>
      <c r="D30" s="4" t="s">
        <v>13</v>
      </c>
      <c r="E30" s="5">
        <v>2916</v>
      </c>
      <c r="F30" s="6">
        <v>60.502625999999999</v>
      </c>
      <c r="G30" s="7">
        <v>1.0541745999999999E-2</v>
      </c>
      <c r="H30" s="49"/>
    </row>
    <row r="31" spans="1:8" ht="17.100000000000001" customHeight="1" x14ac:dyDescent="0.2">
      <c r="A31" s="3">
        <v>25</v>
      </c>
      <c r="B31" s="4" t="s">
        <v>116</v>
      </c>
      <c r="C31" s="4" t="s">
        <v>117</v>
      </c>
      <c r="D31" s="4" t="s">
        <v>118</v>
      </c>
      <c r="E31" s="5">
        <v>42842</v>
      </c>
      <c r="F31" s="6">
        <v>60.450062000000003</v>
      </c>
      <c r="G31" s="7">
        <v>1.0532588000000001E-2</v>
      </c>
      <c r="H31" s="49"/>
    </row>
    <row r="32" spans="1:8" ht="17.100000000000001" customHeight="1" x14ac:dyDescent="0.2">
      <c r="A32" s="3">
        <v>26</v>
      </c>
      <c r="B32" s="4" t="s">
        <v>302</v>
      </c>
      <c r="C32" s="4" t="s">
        <v>303</v>
      </c>
      <c r="D32" s="4" t="s">
        <v>974</v>
      </c>
      <c r="E32" s="5">
        <v>1782</v>
      </c>
      <c r="F32" s="6">
        <v>60.424056</v>
      </c>
      <c r="G32" s="7">
        <v>1.0528057E-2</v>
      </c>
      <c r="H32" s="49"/>
    </row>
    <row r="33" spans="1:8" ht="17.100000000000001" customHeight="1" x14ac:dyDescent="0.2">
      <c r="A33" s="3">
        <v>27</v>
      </c>
      <c r="B33" s="4" t="s">
        <v>39</v>
      </c>
      <c r="C33" s="4" t="s">
        <v>40</v>
      </c>
      <c r="D33" s="4" t="s">
        <v>16</v>
      </c>
      <c r="E33" s="5">
        <v>10007</v>
      </c>
      <c r="F33" s="6">
        <v>60.287171499999999</v>
      </c>
      <c r="G33" s="7">
        <v>1.0504206E-2</v>
      </c>
      <c r="H33" s="49"/>
    </row>
    <row r="34" spans="1:8" ht="17.100000000000001" customHeight="1" x14ac:dyDescent="0.2">
      <c r="A34" s="3">
        <v>28</v>
      </c>
      <c r="B34" s="4" t="s">
        <v>17</v>
      </c>
      <c r="C34" s="4" t="s">
        <v>18</v>
      </c>
      <c r="D34" s="4" t="s">
        <v>19</v>
      </c>
      <c r="E34" s="5">
        <v>7070</v>
      </c>
      <c r="F34" s="6">
        <v>60.006625</v>
      </c>
      <c r="G34" s="7">
        <v>1.0455325E-2</v>
      </c>
      <c r="H34" s="49"/>
    </row>
    <row r="35" spans="1:8" ht="17.100000000000001" customHeight="1" x14ac:dyDescent="0.2">
      <c r="A35" s="3">
        <v>29</v>
      </c>
      <c r="B35" s="4" t="s">
        <v>225</v>
      </c>
      <c r="C35" s="4" t="s">
        <v>226</v>
      </c>
      <c r="D35" s="4" t="s">
        <v>227</v>
      </c>
      <c r="E35" s="5">
        <v>1265</v>
      </c>
      <c r="F35" s="6">
        <v>59.788960000000003</v>
      </c>
      <c r="G35" s="7">
        <v>1.04174E-2</v>
      </c>
      <c r="H35" s="49"/>
    </row>
    <row r="36" spans="1:8" ht="17.100000000000001" customHeight="1" x14ac:dyDescent="0.2">
      <c r="A36" s="3">
        <v>30</v>
      </c>
      <c r="B36" s="4" t="s">
        <v>14</v>
      </c>
      <c r="C36" s="4" t="s">
        <v>15</v>
      </c>
      <c r="D36" s="4" t="s">
        <v>16</v>
      </c>
      <c r="E36" s="5">
        <v>6263</v>
      </c>
      <c r="F36" s="6">
        <v>59.680126999999999</v>
      </c>
      <c r="G36" s="7">
        <v>1.0398437E-2</v>
      </c>
      <c r="H36" s="49"/>
    </row>
    <row r="37" spans="1:8" ht="17.100000000000001" customHeight="1" x14ac:dyDescent="0.2">
      <c r="A37" s="3">
        <v>31</v>
      </c>
      <c r="B37" s="4" t="s">
        <v>649</v>
      </c>
      <c r="C37" s="4" t="s">
        <v>650</v>
      </c>
      <c r="D37" s="4" t="s">
        <v>188</v>
      </c>
      <c r="E37" s="5">
        <v>91240</v>
      </c>
      <c r="F37" s="6">
        <v>59.534100000000002</v>
      </c>
      <c r="G37" s="7">
        <v>1.0372994E-2</v>
      </c>
      <c r="H37" s="49"/>
    </row>
    <row r="38" spans="1:8" ht="17.100000000000001" customHeight="1" x14ac:dyDescent="0.2">
      <c r="A38" s="3">
        <v>32</v>
      </c>
      <c r="B38" s="4" t="s">
        <v>332</v>
      </c>
      <c r="C38" s="4" t="s">
        <v>333</v>
      </c>
      <c r="D38" s="4" t="s">
        <v>218</v>
      </c>
      <c r="E38" s="5">
        <v>55031</v>
      </c>
      <c r="F38" s="6">
        <v>59.240871499999997</v>
      </c>
      <c r="G38" s="7">
        <v>1.0321903E-2</v>
      </c>
      <c r="H38" s="49"/>
    </row>
    <row r="39" spans="1:8" ht="17.100000000000001" customHeight="1" x14ac:dyDescent="0.2">
      <c r="A39" s="3">
        <v>33</v>
      </c>
      <c r="B39" s="4" t="s">
        <v>352</v>
      </c>
      <c r="C39" s="4" t="s">
        <v>353</v>
      </c>
      <c r="D39" s="4" t="s">
        <v>72</v>
      </c>
      <c r="E39" s="5">
        <v>13469</v>
      </c>
      <c r="F39" s="6">
        <v>59.182786</v>
      </c>
      <c r="G39" s="7">
        <v>1.0311782E-2</v>
      </c>
      <c r="H39" s="49"/>
    </row>
    <row r="40" spans="1:8" ht="29.1" customHeight="1" x14ac:dyDescent="0.2">
      <c r="A40" s="3">
        <v>34</v>
      </c>
      <c r="B40" s="4" t="s">
        <v>651</v>
      </c>
      <c r="C40" s="4" t="s">
        <v>652</v>
      </c>
      <c r="D40" s="4" t="s">
        <v>25</v>
      </c>
      <c r="E40" s="5">
        <v>2303</v>
      </c>
      <c r="F40" s="6">
        <v>59.031647499999998</v>
      </c>
      <c r="G40" s="7">
        <v>1.0285449E-2</v>
      </c>
      <c r="H40" s="49"/>
    </row>
    <row r="41" spans="1:8" ht="17.100000000000001" customHeight="1" x14ac:dyDescent="0.2">
      <c r="A41" s="3">
        <v>35</v>
      </c>
      <c r="B41" s="4" t="s">
        <v>92</v>
      </c>
      <c r="C41" s="4" t="s">
        <v>93</v>
      </c>
      <c r="D41" s="4" t="s">
        <v>22</v>
      </c>
      <c r="E41" s="5">
        <v>17208</v>
      </c>
      <c r="F41" s="6">
        <v>58.705092</v>
      </c>
      <c r="G41" s="7">
        <v>1.0228551000000001E-2</v>
      </c>
      <c r="H41" s="49"/>
    </row>
    <row r="42" spans="1:8" ht="17.100000000000001" customHeight="1" x14ac:dyDescent="0.2">
      <c r="A42" s="3">
        <v>36</v>
      </c>
      <c r="B42" s="4" t="s">
        <v>653</v>
      </c>
      <c r="C42" s="4" t="s">
        <v>654</v>
      </c>
      <c r="D42" s="4" t="s">
        <v>212</v>
      </c>
      <c r="E42" s="5">
        <v>61957</v>
      </c>
      <c r="F42" s="6">
        <v>58.704257499999997</v>
      </c>
      <c r="G42" s="7">
        <v>1.0228404999999999E-2</v>
      </c>
      <c r="H42" s="49"/>
    </row>
    <row r="43" spans="1:8" ht="17.100000000000001" customHeight="1" x14ac:dyDescent="0.2">
      <c r="A43" s="3">
        <v>37</v>
      </c>
      <c r="B43" s="4" t="s">
        <v>63</v>
      </c>
      <c r="C43" s="4" t="s">
        <v>64</v>
      </c>
      <c r="D43" s="4" t="s">
        <v>28</v>
      </c>
      <c r="E43" s="5">
        <v>26124</v>
      </c>
      <c r="F43" s="6">
        <v>58.517760000000003</v>
      </c>
      <c r="G43" s="7">
        <v>1.0195911E-2</v>
      </c>
      <c r="H43" s="49"/>
    </row>
    <row r="44" spans="1:8" ht="17.100000000000001" customHeight="1" x14ac:dyDescent="0.2">
      <c r="A44" s="3">
        <v>38</v>
      </c>
      <c r="B44" s="4" t="s">
        <v>655</v>
      </c>
      <c r="C44" s="4" t="s">
        <v>656</v>
      </c>
      <c r="D44" s="4" t="s">
        <v>72</v>
      </c>
      <c r="E44" s="5">
        <v>2045</v>
      </c>
      <c r="F44" s="6">
        <v>58.321354999999997</v>
      </c>
      <c r="G44" s="7">
        <v>1.0161689999999999E-2</v>
      </c>
      <c r="H44" s="49"/>
    </row>
    <row r="45" spans="1:8" ht="17.100000000000001" customHeight="1" x14ac:dyDescent="0.2">
      <c r="A45" s="3">
        <v>39</v>
      </c>
      <c r="B45" s="4" t="s">
        <v>588</v>
      </c>
      <c r="C45" s="4" t="s">
        <v>589</v>
      </c>
      <c r="D45" s="4" t="s">
        <v>179</v>
      </c>
      <c r="E45" s="5">
        <v>6253</v>
      </c>
      <c r="F45" s="6">
        <v>58.296719000000003</v>
      </c>
      <c r="G45" s="7">
        <v>1.0157397E-2</v>
      </c>
      <c r="H45" s="49"/>
    </row>
    <row r="46" spans="1:8" ht="17.100000000000001" customHeight="1" x14ac:dyDescent="0.2">
      <c r="A46" s="3">
        <v>40</v>
      </c>
      <c r="B46" s="4" t="s">
        <v>26</v>
      </c>
      <c r="C46" s="4" t="s">
        <v>27</v>
      </c>
      <c r="D46" s="4" t="s">
        <v>28</v>
      </c>
      <c r="E46" s="5">
        <v>33797</v>
      </c>
      <c r="F46" s="6">
        <v>58.198433999999999</v>
      </c>
      <c r="G46" s="7">
        <v>1.0140273E-2</v>
      </c>
      <c r="H46" s="49"/>
    </row>
    <row r="47" spans="1:8" ht="29.1" customHeight="1" x14ac:dyDescent="0.2">
      <c r="A47" s="3">
        <v>41</v>
      </c>
      <c r="B47" s="4" t="s">
        <v>657</v>
      </c>
      <c r="C47" s="4" t="s">
        <v>658</v>
      </c>
      <c r="D47" s="4" t="s">
        <v>233</v>
      </c>
      <c r="E47" s="5">
        <v>7897</v>
      </c>
      <c r="F47" s="6">
        <v>58.137714000000003</v>
      </c>
      <c r="G47" s="7">
        <v>1.0129693E-2</v>
      </c>
      <c r="H47" s="49"/>
    </row>
    <row r="48" spans="1:8" ht="17.100000000000001" customHeight="1" x14ac:dyDescent="0.2">
      <c r="A48" s="3">
        <v>42</v>
      </c>
      <c r="B48" s="4" t="s">
        <v>659</v>
      </c>
      <c r="C48" s="4" t="s">
        <v>660</v>
      </c>
      <c r="D48" s="4" t="s">
        <v>267</v>
      </c>
      <c r="E48" s="5">
        <v>288</v>
      </c>
      <c r="F48" s="6">
        <v>58.129488000000002</v>
      </c>
      <c r="G48" s="7">
        <v>1.012826E-2</v>
      </c>
      <c r="H48" s="49"/>
    </row>
    <row r="49" spans="1:8" ht="29.1" customHeight="1" x14ac:dyDescent="0.2">
      <c r="A49" s="3">
        <v>43</v>
      </c>
      <c r="B49" s="4" t="s">
        <v>661</v>
      </c>
      <c r="C49" s="4" t="s">
        <v>662</v>
      </c>
      <c r="D49" s="4" t="s">
        <v>215</v>
      </c>
      <c r="E49" s="5">
        <v>3494</v>
      </c>
      <c r="F49" s="6">
        <v>57.996906000000003</v>
      </c>
      <c r="G49" s="7">
        <v>1.0105159000000001E-2</v>
      </c>
      <c r="H49" s="49"/>
    </row>
    <row r="50" spans="1:8" ht="17.100000000000001" customHeight="1" x14ac:dyDescent="0.2">
      <c r="A50" s="3">
        <v>44</v>
      </c>
      <c r="B50" s="4" t="s">
        <v>663</v>
      </c>
      <c r="C50" s="4" t="s">
        <v>664</v>
      </c>
      <c r="D50" s="4" t="s">
        <v>89</v>
      </c>
      <c r="E50" s="5">
        <v>341</v>
      </c>
      <c r="F50" s="6">
        <v>57.985004000000004</v>
      </c>
      <c r="G50" s="7">
        <v>1.0103084999999999E-2</v>
      </c>
      <c r="H50" s="49"/>
    </row>
    <row r="51" spans="1:8" ht="17.100000000000001" customHeight="1" x14ac:dyDescent="0.2">
      <c r="A51" s="3">
        <v>45</v>
      </c>
      <c r="B51" s="4" t="s">
        <v>328</v>
      </c>
      <c r="C51" s="4" t="s">
        <v>329</v>
      </c>
      <c r="D51" s="4" t="s">
        <v>16</v>
      </c>
      <c r="E51" s="5">
        <v>2973</v>
      </c>
      <c r="F51" s="6">
        <v>57.885796499999998</v>
      </c>
      <c r="G51" s="7">
        <v>1.0085800000000001E-2</v>
      </c>
      <c r="H51" s="49"/>
    </row>
    <row r="52" spans="1:8" ht="17.100000000000001" customHeight="1" x14ac:dyDescent="0.2">
      <c r="A52" s="3">
        <v>46</v>
      </c>
      <c r="B52" s="4" t="s">
        <v>219</v>
      </c>
      <c r="C52" s="4" t="s">
        <v>220</v>
      </c>
      <c r="D52" s="4" t="s">
        <v>974</v>
      </c>
      <c r="E52" s="5">
        <v>1194</v>
      </c>
      <c r="F52" s="6">
        <v>57.772286999999999</v>
      </c>
      <c r="G52" s="7">
        <v>1.0066022000000001E-2</v>
      </c>
      <c r="H52" s="49"/>
    </row>
    <row r="53" spans="1:8" ht="17.100000000000001" customHeight="1" x14ac:dyDescent="0.2">
      <c r="A53" s="3">
        <v>47</v>
      </c>
      <c r="B53" s="4" t="s">
        <v>665</v>
      </c>
      <c r="C53" s="4" t="s">
        <v>666</v>
      </c>
      <c r="D53" s="4" t="s">
        <v>212</v>
      </c>
      <c r="E53" s="5">
        <v>1582</v>
      </c>
      <c r="F53" s="6">
        <v>57.470104999999997</v>
      </c>
      <c r="G53" s="7">
        <v>1.0013371E-2</v>
      </c>
      <c r="H53" s="49"/>
    </row>
    <row r="54" spans="1:8" ht="29.1" customHeight="1" x14ac:dyDescent="0.2">
      <c r="A54" s="3">
        <v>48</v>
      </c>
      <c r="B54" s="4" t="s">
        <v>667</v>
      </c>
      <c r="C54" s="4" t="s">
        <v>668</v>
      </c>
      <c r="D54" s="4" t="s">
        <v>215</v>
      </c>
      <c r="E54" s="5">
        <v>1280</v>
      </c>
      <c r="F54" s="6">
        <v>57.435519999999997</v>
      </c>
      <c r="G54" s="7">
        <v>1.0007345000000001E-2</v>
      </c>
      <c r="H54" s="49"/>
    </row>
    <row r="55" spans="1:8" ht="17.100000000000001" customHeight="1" x14ac:dyDescent="0.2">
      <c r="A55" s="3">
        <v>49</v>
      </c>
      <c r="B55" s="4" t="s">
        <v>309</v>
      </c>
      <c r="C55" s="4" t="s">
        <v>310</v>
      </c>
      <c r="D55" s="4" t="s">
        <v>72</v>
      </c>
      <c r="E55" s="5">
        <v>4379</v>
      </c>
      <c r="F55" s="6">
        <v>57.172224</v>
      </c>
      <c r="G55" s="7">
        <v>9.96147E-3</v>
      </c>
      <c r="H55" s="49"/>
    </row>
    <row r="56" spans="1:8" ht="17.100000000000001" customHeight="1" x14ac:dyDescent="0.2">
      <c r="A56" s="3">
        <v>50</v>
      </c>
      <c r="B56" s="4" t="s">
        <v>669</v>
      </c>
      <c r="C56" s="4" t="s">
        <v>670</v>
      </c>
      <c r="D56" s="4" t="s">
        <v>671</v>
      </c>
      <c r="E56" s="5">
        <v>25111</v>
      </c>
      <c r="F56" s="6">
        <v>57.064747500000003</v>
      </c>
      <c r="G56" s="7">
        <v>9.9427430000000004E-3</v>
      </c>
      <c r="H56" s="49"/>
    </row>
    <row r="57" spans="1:8" ht="29.1" customHeight="1" x14ac:dyDescent="0.2">
      <c r="A57" s="3">
        <v>51</v>
      </c>
      <c r="B57" s="4" t="s">
        <v>58</v>
      </c>
      <c r="C57" s="4" t="s">
        <v>59</v>
      </c>
      <c r="D57" s="4" t="s">
        <v>60</v>
      </c>
      <c r="E57" s="5">
        <v>6474</v>
      </c>
      <c r="F57" s="6">
        <v>57.035939999999997</v>
      </c>
      <c r="G57" s="7">
        <v>9.9377240000000002E-3</v>
      </c>
      <c r="H57" s="49"/>
    </row>
    <row r="58" spans="1:8" ht="17.100000000000001" customHeight="1" x14ac:dyDescent="0.2">
      <c r="A58" s="3">
        <v>52</v>
      </c>
      <c r="B58" s="4" t="s">
        <v>672</v>
      </c>
      <c r="C58" s="4" t="s">
        <v>673</v>
      </c>
      <c r="D58" s="4" t="s">
        <v>103</v>
      </c>
      <c r="E58" s="5">
        <v>5268</v>
      </c>
      <c r="F58" s="6">
        <v>56.933909999999997</v>
      </c>
      <c r="G58" s="7">
        <v>9.9199470000000001E-3</v>
      </c>
      <c r="H58" s="49"/>
    </row>
    <row r="59" spans="1:8" ht="17.100000000000001" customHeight="1" x14ac:dyDescent="0.2">
      <c r="A59" s="3">
        <v>53</v>
      </c>
      <c r="B59" s="4" t="s">
        <v>674</v>
      </c>
      <c r="C59" s="4" t="s">
        <v>675</v>
      </c>
      <c r="D59" s="4" t="s">
        <v>19</v>
      </c>
      <c r="E59" s="5">
        <v>28316</v>
      </c>
      <c r="F59" s="6">
        <v>56.745263999999999</v>
      </c>
      <c r="G59" s="7">
        <v>9.8870780000000005E-3</v>
      </c>
      <c r="H59" s="49"/>
    </row>
    <row r="60" spans="1:8" ht="17.100000000000001" customHeight="1" x14ac:dyDescent="0.2">
      <c r="A60" s="3">
        <v>54</v>
      </c>
      <c r="B60" s="4" t="s">
        <v>560</v>
      </c>
      <c r="C60" s="4" t="s">
        <v>561</v>
      </c>
      <c r="D60" s="4" t="s">
        <v>72</v>
      </c>
      <c r="E60" s="5">
        <v>1509</v>
      </c>
      <c r="F60" s="6">
        <v>56.598063000000003</v>
      </c>
      <c r="G60" s="7">
        <v>9.8614299999999992E-3</v>
      </c>
      <c r="H60" s="49"/>
    </row>
    <row r="61" spans="1:8" ht="17.100000000000001" customHeight="1" x14ac:dyDescent="0.2">
      <c r="A61" s="3">
        <v>55</v>
      </c>
      <c r="B61" s="4" t="s">
        <v>326</v>
      </c>
      <c r="C61" s="4" t="s">
        <v>327</v>
      </c>
      <c r="D61" s="4" t="s">
        <v>974</v>
      </c>
      <c r="E61" s="5">
        <v>5251</v>
      </c>
      <c r="F61" s="6">
        <v>56.553269999999998</v>
      </c>
      <c r="G61" s="7">
        <v>9.8536260000000007E-3</v>
      </c>
      <c r="H61" s="49"/>
    </row>
    <row r="62" spans="1:8" ht="29.1" customHeight="1" x14ac:dyDescent="0.2">
      <c r="A62" s="3">
        <v>56</v>
      </c>
      <c r="B62" s="4" t="s">
        <v>676</v>
      </c>
      <c r="C62" s="4" t="s">
        <v>677</v>
      </c>
      <c r="D62" s="4" t="s">
        <v>25</v>
      </c>
      <c r="E62" s="5">
        <v>3212</v>
      </c>
      <c r="F62" s="6">
        <v>56.52317</v>
      </c>
      <c r="G62" s="7">
        <v>9.8483809999999998E-3</v>
      </c>
      <c r="H62" s="49"/>
    </row>
    <row r="63" spans="1:8" ht="17.100000000000001" customHeight="1" x14ac:dyDescent="0.2">
      <c r="A63" s="3">
        <v>57</v>
      </c>
      <c r="B63" s="4" t="s">
        <v>678</v>
      </c>
      <c r="C63" s="4" t="s">
        <v>679</v>
      </c>
      <c r="D63" s="4" t="s">
        <v>278</v>
      </c>
      <c r="E63" s="5">
        <v>9606</v>
      </c>
      <c r="F63" s="6">
        <v>56.516900999999997</v>
      </c>
      <c r="G63" s="7">
        <v>9.8472890000000004E-3</v>
      </c>
      <c r="H63" s="49"/>
    </row>
    <row r="64" spans="1:8" ht="17.100000000000001" customHeight="1" x14ac:dyDescent="0.2">
      <c r="A64" s="3">
        <v>58</v>
      </c>
      <c r="B64" s="4" t="s">
        <v>586</v>
      </c>
      <c r="C64" s="4" t="s">
        <v>587</v>
      </c>
      <c r="D64" s="4" t="s">
        <v>43</v>
      </c>
      <c r="E64" s="5">
        <v>2915</v>
      </c>
      <c r="F64" s="6">
        <v>56.476667499999998</v>
      </c>
      <c r="G64" s="7">
        <v>9.8402790000000004E-3</v>
      </c>
      <c r="H64" s="49"/>
    </row>
    <row r="65" spans="1:8" ht="29.1" customHeight="1" x14ac:dyDescent="0.2">
      <c r="A65" s="3">
        <v>59</v>
      </c>
      <c r="B65" s="4" t="s">
        <v>67</v>
      </c>
      <c r="C65" s="4" t="s">
        <v>68</v>
      </c>
      <c r="D65" s="4" t="s">
        <v>69</v>
      </c>
      <c r="E65" s="5">
        <v>53572</v>
      </c>
      <c r="F65" s="6">
        <v>56.304172000000001</v>
      </c>
      <c r="G65" s="7">
        <v>9.8102239999999993E-3</v>
      </c>
      <c r="H65" s="49"/>
    </row>
    <row r="66" spans="1:8" ht="29.1" customHeight="1" x14ac:dyDescent="0.2">
      <c r="A66" s="3">
        <v>60</v>
      </c>
      <c r="B66" s="4" t="s">
        <v>597</v>
      </c>
      <c r="C66" s="4" t="s">
        <v>598</v>
      </c>
      <c r="D66" s="4" t="s">
        <v>238</v>
      </c>
      <c r="E66" s="5">
        <v>4648</v>
      </c>
      <c r="F66" s="6">
        <v>56.294252</v>
      </c>
      <c r="G66" s="7">
        <v>9.8084950000000004E-3</v>
      </c>
      <c r="H66" s="49"/>
    </row>
    <row r="67" spans="1:8" ht="29.1" customHeight="1" x14ac:dyDescent="0.2">
      <c r="A67" s="3">
        <v>61</v>
      </c>
      <c r="B67" s="4" t="s">
        <v>484</v>
      </c>
      <c r="C67" s="4" t="s">
        <v>485</v>
      </c>
      <c r="D67" s="4" t="s">
        <v>215</v>
      </c>
      <c r="E67" s="5">
        <v>4882</v>
      </c>
      <c r="F67" s="6">
        <v>55.637712999999998</v>
      </c>
      <c r="G67" s="7">
        <v>9.6941019999999996E-3</v>
      </c>
      <c r="H67" s="49"/>
    </row>
    <row r="68" spans="1:8" ht="17.100000000000001" customHeight="1" x14ac:dyDescent="0.2">
      <c r="A68" s="3">
        <v>62</v>
      </c>
      <c r="B68" s="4" t="s">
        <v>680</v>
      </c>
      <c r="C68" s="4" t="s">
        <v>681</v>
      </c>
      <c r="D68" s="4" t="s">
        <v>278</v>
      </c>
      <c r="E68" s="5">
        <v>3405</v>
      </c>
      <c r="F68" s="6">
        <v>55.574707500000002</v>
      </c>
      <c r="G68" s="7">
        <v>9.6831250000000008E-3</v>
      </c>
      <c r="H68" s="49"/>
    </row>
    <row r="69" spans="1:8" ht="17.100000000000001" customHeight="1" x14ac:dyDescent="0.2">
      <c r="A69" s="3">
        <v>63</v>
      </c>
      <c r="B69" s="4" t="s">
        <v>298</v>
      </c>
      <c r="C69" s="4" t="s">
        <v>299</v>
      </c>
      <c r="D69" s="4" t="s">
        <v>238</v>
      </c>
      <c r="E69" s="5">
        <v>4328</v>
      </c>
      <c r="F69" s="6">
        <v>55.523912000000003</v>
      </c>
      <c r="G69" s="7">
        <v>9.6742740000000001E-3</v>
      </c>
      <c r="H69" s="49"/>
    </row>
    <row r="70" spans="1:8" ht="17.100000000000001" customHeight="1" x14ac:dyDescent="0.2">
      <c r="A70" s="3">
        <v>64</v>
      </c>
      <c r="B70" s="4" t="s">
        <v>682</v>
      </c>
      <c r="C70" s="4" t="s">
        <v>683</v>
      </c>
      <c r="D70" s="4" t="s">
        <v>188</v>
      </c>
      <c r="E70" s="5">
        <v>1385</v>
      </c>
      <c r="F70" s="6">
        <v>55.311360000000001</v>
      </c>
      <c r="G70" s="7">
        <v>9.63724E-3</v>
      </c>
      <c r="H70" s="49"/>
    </row>
    <row r="71" spans="1:8" ht="17.100000000000001" customHeight="1" x14ac:dyDescent="0.2">
      <c r="A71" s="3">
        <v>65</v>
      </c>
      <c r="B71" s="4" t="s">
        <v>52</v>
      </c>
      <c r="C71" s="4" t="s">
        <v>53</v>
      </c>
      <c r="D71" s="4" t="s">
        <v>28</v>
      </c>
      <c r="E71" s="5">
        <v>24569</v>
      </c>
      <c r="F71" s="6">
        <v>55.231112000000003</v>
      </c>
      <c r="G71" s="7">
        <v>9.6232580000000009E-3</v>
      </c>
      <c r="H71" s="49"/>
    </row>
    <row r="72" spans="1:8" ht="29.1" customHeight="1" x14ac:dyDescent="0.2">
      <c r="A72" s="3">
        <v>66</v>
      </c>
      <c r="B72" s="4" t="s">
        <v>362</v>
      </c>
      <c r="C72" s="4" t="s">
        <v>363</v>
      </c>
      <c r="D72" s="4" t="s">
        <v>364</v>
      </c>
      <c r="E72" s="5">
        <v>6743</v>
      </c>
      <c r="F72" s="6">
        <v>55.161111499999997</v>
      </c>
      <c r="G72" s="7">
        <v>9.6110610000000006E-3</v>
      </c>
      <c r="H72" s="49"/>
    </row>
    <row r="73" spans="1:8" ht="17.100000000000001" customHeight="1" x14ac:dyDescent="0.2">
      <c r="A73" s="3">
        <v>67</v>
      </c>
      <c r="B73" s="4" t="s">
        <v>70</v>
      </c>
      <c r="C73" s="4" t="s">
        <v>71</v>
      </c>
      <c r="D73" s="4" t="s">
        <v>72</v>
      </c>
      <c r="E73" s="5">
        <v>614</v>
      </c>
      <c r="F73" s="6">
        <v>55.101281</v>
      </c>
      <c r="G73" s="7">
        <v>9.6006370000000004E-3</v>
      </c>
      <c r="H73" s="49"/>
    </row>
    <row r="74" spans="1:8" ht="17.100000000000001" customHeight="1" x14ac:dyDescent="0.2">
      <c r="A74" s="3">
        <v>68</v>
      </c>
      <c r="B74" s="4" t="s">
        <v>365</v>
      </c>
      <c r="C74" s="4" t="s">
        <v>366</v>
      </c>
      <c r="D74" s="4" t="s">
        <v>108</v>
      </c>
      <c r="E74" s="5">
        <v>2074</v>
      </c>
      <c r="F74" s="6">
        <v>55.023220000000002</v>
      </c>
      <c r="G74" s="7">
        <v>9.5870360000000002E-3</v>
      </c>
      <c r="H74" s="49"/>
    </row>
    <row r="75" spans="1:8" ht="17.100000000000001" customHeight="1" x14ac:dyDescent="0.2">
      <c r="A75" s="3">
        <v>69</v>
      </c>
      <c r="B75" s="4" t="s">
        <v>320</v>
      </c>
      <c r="C75" s="4" t="s">
        <v>321</v>
      </c>
      <c r="D75" s="4" t="s">
        <v>974</v>
      </c>
      <c r="E75" s="5">
        <v>13487</v>
      </c>
      <c r="F75" s="6">
        <v>54.878602999999998</v>
      </c>
      <c r="G75" s="7">
        <v>9.5618379999999996E-3</v>
      </c>
      <c r="H75" s="49"/>
    </row>
    <row r="76" spans="1:8" ht="17.100000000000001" customHeight="1" x14ac:dyDescent="0.2">
      <c r="A76" s="3">
        <v>70</v>
      </c>
      <c r="B76" s="4" t="s">
        <v>313</v>
      </c>
      <c r="C76" s="4" t="s">
        <v>314</v>
      </c>
      <c r="D76" s="4" t="s">
        <v>308</v>
      </c>
      <c r="E76" s="5">
        <v>16115</v>
      </c>
      <c r="F76" s="6">
        <v>54.790999999999997</v>
      </c>
      <c r="G76" s="7">
        <v>9.5465740000000004E-3</v>
      </c>
      <c r="H76" s="49"/>
    </row>
    <row r="77" spans="1:8" ht="17.100000000000001" customHeight="1" x14ac:dyDescent="0.2">
      <c r="A77" s="3">
        <v>71</v>
      </c>
      <c r="B77" s="4" t="s">
        <v>79</v>
      </c>
      <c r="C77" s="4" t="s">
        <v>80</v>
      </c>
      <c r="D77" s="4" t="s">
        <v>38</v>
      </c>
      <c r="E77" s="5">
        <v>1974</v>
      </c>
      <c r="F77" s="6">
        <v>54.777512999999999</v>
      </c>
      <c r="G77" s="7">
        <v>9.5442240000000005E-3</v>
      </c>
      <c r="H77" s="49"/>
    </row>
    <row r="78" spans="1:8" ht="17.100000000000001" customHeight="1" x14ac:dyDescent="0.2">
      <c r="A78" s="3">
        <v>72</v>
      </c>
      <c r="B78" s="4" t="s">
        <v>684</v>
      </c>
      <c r="C78" s="4" t="s">
        <v>685</v>
      </c>
      <c r="D78" s="4" t="s">
        <v>238</v>
      </c>
      <c r="E78" s="5">
        <v>8498</v>
      </c>
      <c r="F78" s="6">
        <v>54.072774000000003</v>
      </c>
      <c r="G78" s="7">
        <v>9.4214329999999999E-3</v>
      </c>
      <c r="H78" s="49"/>
    </row>
    <row r="79" spans="1:8" ht="17.100000000000001" customHeight="1" x14ac:dyDescent="0.2">
      <c r="A79" s="3">
        <v>73</v>
      </c>
      <c r="B79" s="4" t="s">
        <v>686</v>
      </c>
      <c r="C79" s="4" t="s">
        <v>687</v>
      </c>
      <c r="D79" s="4" t="s">
        <v>28</v>
      </c>
      <c r="E79" s="5">
        <v>2554</v>
      </c>
      <c r="F79" s="6">
        <v>54.055410000000002</v>
      </c>
      <c r="G79" s="7">
        <v>9.4184079999999996E-3</v>
      </c>
      <c r="H79" s="49"/>
    </row>
    <row r="80" spans="1:8" ht="29.1" customHeight="1" x14ac:dyDescent="0.2">
      <c r="A80" s="3">
        <v>74</v>
      </c>
      <c r="B80" s="4" t="s">
        <v>688</v>
      </c>
      <c r="C80" s="4" t="s">
        <v>689</v>
      </c>
      <c r="D80" s="4" t="s">
        <v>215</v>
      </c>
      <c r="E80" s="5">
        <v>19088</v>
      </c>
      <c r="F80" s="6">
        <v>53.990408000000002</v>
      </c>
      <c r="G80" s="7">
        <v>9.4070820000000006E-3</v>
      </c>
      <c r="H80" s="49"/>
    </row>
    <row r="81" spans="1:8" ht="17.100000000000001" customHeight="1" x14ac:dyDescent="0.2">
      <c r="A81" s="3">
        <v>75</v>
      </c>
      <c r="B81" s="4" t="s">
        <v>690</v>
      </c>
      <c r="C81" s="4" t="s">
        <v>691</v>
      </c>
      <c r="D81" s="4" t="s">
        <v>278</v>
      </c>
      <c r="E81" s="5">
        <v>6116</v>
      </c>
      <c r="F81" s="6">
        <v>53.909481999999997</v>
      </c>
      <c r="G81" s="7">
        <v>9.3929819999999994E-3</v>
      </c>
      <c r="H81" s="49"/>
    </row>
    <row r="82" spans="1:8" ht="17.100000000000001" customHeight="1" x14ac:dyDescent="0.2">
      <c r="A82" s="3">
        <v>76</v>
      </c>
      <c r="B82" s="4" t="s">
        <v>306</v>
      </c>
      <c r="C82" s="4" t="s">
        <v>307</v>
      </c>
      <c r="D82" s="4" t="s">
        <v>308</v>
      </c>
      <c r="E82" s="5">
        <v>2005</v>
      </c>
      <c r="F82" s="6">
        <v>53.821217500000003</v>
      </c>
      <c r="G82" s="7">
        <v>9.377603E-3</v>
      </c>
      <c r="H82" s="49"/>
    </row>
    <row r="83" spans="1:8" ht="17.100000000000001" customHeight="1" x14ac:dyDescent="0.2">
      <c r="A83" s="3">
        <v>77</v>
      </c>
      <c r="B83" s="4" t="s">
        <v>334</v>
      </c>
      <c r="C83" s="4" t="s">
        <v>335</v>
      </c>
      <c r="D83" s="4" t="s">
        <v>16</v>
      </c>
      <c r="E83" s="5">
        <v>4602</v>
      </c>
      <c r="F83" s="6">
        <v>53.742156000000001</v>
      </c>
      <c r="G83" s="7">
        <v>9.3638279999999994E-3</v>
      </c>
      <c r="H83" s="49"/>
    </row>
    <row r="84" spans="1:8" ht="17.100000000000001" customHeight="1" x14ac:dyDescent="0.2">
      <c r="A84" s="3">
        <v>78</v>
      </c>
      <c r="B84" s="4" t="s">
        <v>692</v>
      </c>
      <c r="C84" s="4" t="s">
        <v>693</v>
      </c>
      <c r="D84" s="4" t="s">
        <v>89</v>
      </c>
      <c r="E84" s="5">
        <v>71761</v>
      </c>
      <c r="F84" s="6">
        <v>53.641347500000002</v>
      </c>
      <c r="G84" s="7">
        <v>9.3462630000000005E-3</v>
      </c>
      <c r="H84" s="49"/>
    </row>
    <row r="85" spans="1:8" ht="29.1" customHeight="1" x14ac:dyDescent="0.2">
      <c r="A85" s="3">
        <v>79</v>
      </c>
      <c r="B85" s="4" t="s">
        <v>101</v>
      </c>
      <c r="C85" s="4" t="s">
        <v>102</v>
      </c>
      <c r="D85" s="4" t="s">
        <v>103</v>
      </c>
      <c r="E85" s="5">
        <v>7486</v>
      </c>
      <c r="F85" s="6">
        <v>53.513671000000002</v>
      </c>
      <c r="G85" s="7">
        <v>9.3240170000000004E-3</v>
      </c>
      <c r="H85" s="49"/>
    </row>
    <row r="86" spans="1:8" ht="17.100000000000001" customHeight="1" x14ac:dyDescent="0.2">
      <c r="A86" s="3">
        <v>80</v>
      </c>
      <c r="B86" s="4" t="s">
        <v>694</v>
      </c>
      <c r="C86" s="4" t="s">
        <v>695</v>
      </c>
      <c r="D86" s="4" t="s">
        <v>108</v>
      </c>
      <c r="E86" s="5">
        <v>8581</v>
      </c>
      <c r="F86" s="6">
        <v>53.408144</v>
      </c>
      <c r="G86" s="7">
        <v>9.305631E-3</v>
      </c>
      <c r="H86" s="49"/>
    </row>
    <row r="87" spans="1:8" ht="29.1" customHeight="1" x14ac:dyDescent="0.2">
      <c r="A87" s="3">
        <v>81</v>
      </c>
      <c r="B87" s="4" t="s">
        <v>696</v>
      </c>
      <c r="C87" s="4" t="s">
        <v>697</v>
      </c>
      <c r="D87" s="4" t="s">
        <v>278</v>
      </c>
      <c r="E87" s="5">
        <v>372</v>
      </c>
      <c r="F87" s="6">
        <v>52.778058000000001</v>
      </c>
      <c r="G87" s="7">
        <v>9.195847E-3</v>
      </c>
      <c r="H87" s="49"/>
    </row>
    <row r="88" spans="1:8" ht="29.1" customHeight="1" x14ac:dyDescent="0.2">
      <c r="A88" s="3">
        <v>82</v>
      </c>
      <c r="B88" s="4" t="s">
        <v>698</v>
      </c>
      <c r="C88" s="4" t="s">
        <v>699</v>
      </c>
      <c r="D88" s="4" t="s">
        <v>193</v>
      </c>
      <c r="E88" s="5">
        <v>1920</v>
      </c>
      <c r="F88" s="6">
        <v>52.775039999999997</v>
      </c>
      <c r="G88" s="7">
        <v>9.1953209999999994E-3</v>
      </c>
      <c r="H88" s="49"/>
    </row>
    <row r="89" spans="1:8" ht="17.100000000000001" customHeight="1" x14ac:dyDescent="0.2">
      <c r="A89" s="3">
        <v>83</v>
      </c>
      <c r="B89" s="4" t="s">
        <v>270</v>
      </c>
      <c r="C89" s="4" t="s">
        <v>271</v>
      </c>
      <c r="D89" s="4" t="s">
        <v>974</v>
      </c>
      <c r="E89" s="5">
        <v>2603</v>
      </c>
      <c r="F89" s="6">
        <v>52.509017499999999</v>
      </c>
      <c r="G89" s="7">
        <v>9.1489699999999993E-3</v>
      </c>
      <c r="H89" s="49"/>
    </row>
    <row r="90" spans="1:8" ht="17.100000000000001" customHeight="1" x14ac:dyDescent="0.2">
      <c r="A90" s="3">
        <v>84</v>
      </c>
      <c r="B90" s="4" t="s">
        <v>567</v>
      </c>
      <c r="C90" s="4" t="s">
        <v>568</v>
      </c>
      <c r="D90" s="4" t="s">
        <v>72</v>
      </c>
      <c r="E90" s="5">
        <v>1504</v>
      </c>
      <c r="F90" s="6">
        <v>52.406880000000001</v>
      </c>
      <c r="G90" s="7">
        <v>9.1311740000000006E-3</v>
      </c>
      <c r="H90" s="49"/>
    </row>
    <row r="91" spans="1:8" ht="17.100000000000001" customHeight="1" x14ac:dyDescent="0.2">
      <c r="A91" s="3">
        <v>85</v>
      </c>
      <c r="B91" s="4" t="s">
        <v>259</v>
      </c>
      <c r="C91" s="4" t="s">
        <v>260</v>
      </c>
      <c r="D91" s="4" t="s">
        <v>103</v>
      </c>
      <c r="E91" s="5">
        <v>3208</v>
      </c>
      <c r="F91" s="6">
        <v>52.17812</v>
      </c>
      <c r="G91" s="7">
        <v>9.0913160000000003E-3</v>
      </c>
      <c r="H91" s="49"/>
    </row>
    <row r="92" spans="1:8" ht="17.100000000000001" customHeight="1" x14ac:dyDescent="0.2">
      <c r="A92" s="3">
        <v>86</v>
      </c>
      <c r="B92" s="4" t="s">
        <v>700</v>
      </c>
      <c r="C92" s="4" t="s">
        <v>701</v>
      </c>
      <c r="D92" s="4" t="s">
        <v>108</v>
      </c>
      <c r="E92" s="5">
        <v>4104</v>
      </c>
      <c r="F92" s="6">
        <v>51.445692000000001</v>
      </c>
      <c r="G92" s="7">
        <v>8.9637009999999993E-3</v>
      </c>
      <c r="H92" s="49"/>
    </row>
    <row r="93" spans="1:8" ht="29.1" customHeight="1" x14ac:dyDescent="0.2">
      <c r="A93" s="3">
        <v>87</v>
      </c>
      <c r="B93" s="4" t="s">
        <v>191</v>
      </c>
      <c r="C93" s="4" t="s">
        <v>192</v>
      </c>
      <c r="D93" s="4" t="s">
        <v>193</v>
      </c>
      <c r="E93" s="5">
        <v>2171</v>
      </c>
      <c r="F93" s="6">
        <v>51.359347</v>
      </c>
      <c r="G93" s="7">
        <v>8.9486559999999993E-3</v>
      </c>
      <c r="H93" s="49"/>
    </row>
    <row r="94" spans="1:8" ht="17.100000000000001" customHeight="1" x14ac:dyDescent="0.2">
      <c r="A94" s="3">
        <v>88</v>
      </c>
      <c r="B94" s="4" t="s">
        <v>702</v>
      </c>
      <c r="C94" s="4" t="s">
        <v>703</v>
      </c>
      <c r="D94" s="4" t="s">
        <v>103</v>
      </c>
      <c r="E94" s="5">
        <v>805</v>
      </c>
      <c r="F94" s="6">
        <v>50.674347500000003</v>
      </c>
      <c r="G94" s="7">
        <v>8.8293050000000008E-3</v>
      </c>
      <c r="H94" s="49"/>
    </row>
    <row r="95" spans="1:8" ht="17.100000000000001" customHeight="1" x14ac:dyDescent="0.2">
      <c r="A95" s="3">
        <v>89</v>
      </c>
      <c r="B95" s="4" t="s">
        <v>704</v>
      </c>
      <c r="C95" s="4" t="s">
        <v>705</v>
      </c>
      <c r="D95" s="4" t="s">
        <v>278</v>
      </c>
      <c r="E95" s="5">
        <v>9967</v>
      </c>
      <c r="F95" s="6">
        <v>50.567574499999999</v>
      </c>
      <c r="G95" s="7">
        <v>8.8107010000000006E-3</v>
      </c>
      <c r="H95" s="49"/>
    </row>
    <row r="96" spans="1:8" ht="17.100000000000001" customHeight="1" x14ac:dyDescent="0.2">
      <c r="A96" s="3">
        <v>90</v>
      </c>
      <c r="B96" s="4" t="s">
        <v>354</v>
      </c>
      <c r="C96" s="4" t="s">
        <v>355</v>
      </c>
      <c r="D96" s="4" t="s">
        <v>188</v>
      </c>
      <c r="E96" s="5">
        <v>1245</v>
      </c>
      <c r="F96" s="6">
        <v>50.117474999999999</v>
      </c>
      <c r="G96" s="7">
        <v>8.7322770000000001E-3</v>
      </c>
      <c r="H96" s="49"/>
    </row>
    <row r="97" spans="1:8" ht="17.100000000000001" customHeight="1" x14ac:dyDescent="0.2">
      <c r="A97" s="3">
        <v>91</v>
      </c>
      <c r="B97" s="4" t="s">
        <v>344</v>
      </c>
      <c r="C97" s="4" t="s">
        <v>345</v>
      </c>
      <c r="D97" s="4" t="s">
        <v>103</v>
      </c>
      <c r="E97" s="5">
        <v>745</v>
      </c>
      <c r="F97" s="6">
        <v>50.071077500000001</v>
      </c>
      <c r="G97" s="7">
        <v>8.7241929999999999E-3</v>
      </c>
      <c r="H97" s="49"/>
    </row>
    <row r="98" spans="1:8" ht="29.1" customHeight="1" x14ac:dyDescent="0.2">
      <c r="A98" s="3">
        <v>92</v>
      </c>
      <c r="B98" s="4" t="s">
        <v>348</v>
      </c>
      <c r="C98" s="4" t="s">
        <v>349</v>
      </c>
      <c r="D98" s="4" t="s">
        <v>215</v>
      </c>
      <c r="E98" s="5">
        <v>1463</v>
      </c>
      <c r="F98" s="6">
        <v>49.810760999999999</v>
      </c>
      <c r="G98" s="7">
        <v>8.678837E-3</v>
      </c>
      <c r="H98" s="49"/>
    </row>
    <row r="99" spans="1:8" ht="17.100000000000001" customHeight="1" x14ac:dyDescent="0.2">
      <c r="A99" s="3">
        <v>93</v>
      </c>
      <c r="B99" s="4" t="s">
        <v>543</v>
      </c>
      <c r="C99" s="4" t="s">
        <v>544</v>
      </c>
      <c r="D99" s="4" t="s">
        <v>108</v>
      </c>
      <c r="E99" s="5">
        <v>1549</v>
      </c>
      <c r="F99" s="6">
        <v>49.183073499999999</v>
      </c>
      <c r="G99" s="7">
        <v>8.5694710000000004E-3</v>
      </c>
      <c r="H99" s="49"/>
    </row>
    <row r="100" spans="1:8" ht="17.100000000000001" customHeight="1" x14ac:dyDescent="0.2">
      <c r="A100" s="3">
        <v>94</v>
      </c>
      <c r="B100" s="4" t="s">
        <v>706</v>
      </c>
      <c r="C100" s="4" t="s">
        <v>707</v>
      </c>
      <c r="D100" s="4" t="s">
        <v>103</v>
      </c>
      <c r="E100" s="5">
        <v>5947</v>
      </c>
      <c r="F100" s="6">
        <v>49.018147499999998</v>
      </c>
      <c r="G100" s="7">
        <v>8.5407350000000007E-3</v>
      </c>
      <c r="H100" s="49"/>
    </row>
    <row r="101" spans="1:8" ht="17.100000000000001" customHeight="1" x14ac:dyDescent="0.2">
      <c r="A101" s="3">
        <v>95</v>
      </c>
      <c r="B101" s="4" t="s">
        <v>708</v>
      </c>
      <c r="C101" s="4" t="s">
        <v>709</v>
      </c>
      <c r="D101" s="4" t="s">
        <v>16</v>
      </c>
      <c r="E101" s="5">
        <v>20461</v>
      </c>
      <c r="F101" s="6">
        <v>48.779024</v>
      </c>
      <c r="G101" s="7">
        <v>8.4990710000000004E-3</v>
      </c>
      <c r="H101" s="49"/>
    </row>
    <row r="102" spans="1:8" ht="29.1" customHeight="1" x14ac:dyDescent="0.2">
      <c r="A102" s="3">
        <v>96</v>
      </c>
      <c r="B102" s="4" t="s">
        <v>710</v>
      </c>
      <c r="C102" s="4" t="s">
        <v>711</v>
      </c>
      <c r="D102" s="4" t="s">
        <v>238</v>
      </c>
      <c r="E102" s="5">
        <v>10090</v>
      </c>
      <c r="F102" s="6">
        <v>48.048580000000001</v>
      </c>
      <c r="G102" s="7">
        <v>8.3718009999999999E-3</v>
      </c>
      <c r="H102" s="49"/>
    </row>
    <row r="103" spans="1:8" ht="29.1" customHeight="1" x14ac:dyDescent="0.2">
      <c r="A103" s="3">
        <v>97</v>
      </c>
      <c r="B103" s="4" t="s">
        <v>251</v>
      </c>
      <c r="C103" s="4" t="s">
        <v>252</v>
      </c>
      <c r="D103" s="4" t="s">
        <v>215</v>
      </c>
      <c r="E103" s="5">
        <v>2605</v>
      </c>
      <c r="F103" s="6">
        <v>46.359882499999998</v>
      </c>
      <c r="G103" s="7">
        <v>8.0775689999999997E-3</v>
      </c>
      <c r="H103" s="49"/>
    </row>
    <row r="104" spans="1:8" ht="17.100000000000001" customHeight="1" x14ac:dyDescent="0.2">
      <c r="A104" s="3">
        <v>98</v>
      </c>
      <c r="B104" s="4" t="s">
        <v>712</v>
      </c>
      <c r="C104" s="4" t="s">
        <v>713</v>
      </c>
      <c r="D104" s="4" t="s">
        <v>28</v>
      </c>
      <c r="E104" s="5">
        <v>1544</v>
      </c>
      <c r="F104" s="6">
        <v>44.907240000000002</v>
      </c>
      <c r="G104" s="7">
        <v>7.8244660000000004E-3</v>
      </c>
      <c r="H104" s="49"/>
    </row>
    <row r="105" spans="1:8" ht="17.100000000000001" customHeight="1" x14ac:dyDescent="0.2">
      <c r="A105" s="3">
        <v>99</v>
      </c>
      <c r="B105" s="4" t="s">
        <v>367</v>
      </c>
      <c r="C105" s="4" t="s">
        <v>368</v>
      </c>
      <c r="D105" s="4" t="s">
        <v>188</v>
      </c>
      <c r="E105" s="5">
        <v>25458</v>
      </c>
      <c r="F105" s="6">
        <v>43.864134</v>
      </c>
      <c r="G105" s="7">
        <v>7.6427190000000001E-3</v>
      </c>
      <c r="H105" s="49"/>
    </row>
    <row r="106" spans="1:8" ht="29.1" customHeight="1" x14ac:dyDescent="0.2">
      <c r="A106" s="3">
        <v>100</v>
      </c>
      <c r="B106" s="4" t="s">
        <v>714</v>
      </c>
      <c r="C106" s="4" t="s">
        <v>715</v>
      </c>
      <c r="D106" s="4" t="s">
        <v>716</v>
      </c>
      <c r="E106" s="5">
        <v>8117</v>
      </c>
      <c r="F106" s="6">
        <v>39.099589000000002</v>
      </c>
      <c r="G106" s="7">
        <v>6.8125629999999998E-3</v>
      </c>
      <c r="H106" s="49"/>
    </row>
    <row r="107" spans="1:8" ht="14.1" customHeight="1" x14ac:dyDescent="0.2">
      <c r="A107" s="1"/>
      <c r="B107" s="1"/>
      <c r="C107" s="2" t="s">
        <v>130</v>
      </c>
      <c r="D107" s="1"/>
      <c r="E107" s="1" t="s">
        <v>131</v>
      </c>
      <c r="F107" s="9">
        <v>5674.0163279999997</v>
      </c>
      <c r="G107" s="10">
        <v>0.98861891300000004</v>
      </c>
      <c r="H107" s="49"/>
    </row>
    <row r="108" spans="1:8" ht="14.1" customHeight="1" x14ac:dyDescent="0.2">
      <c r="A108" s="1"/>
      <c r="B108" s="1"/>
      <c r="C108" s="11"/>
      <c r="D108" s="1"/>
      <c r="E108" s="1"/>
      <c r="F108" s="12"/>
      <c r="G108" s="12"/>
      <c r="H108" s="49"/>
    </row>
    <row r="109" spans="1:8" ht="14.1" customHeight="1" x14ac:dyDescent="0.2">
      <c r="A109" s="1"/>
      <c r="B109" s="1"/>
      <c r="C109" s="2" t="s">
        <v>132</v>
      </c>
      <c r="D109" s="1"/>
      <c r="E109" s="1"/>
      <c r="F109" s="1"/>
      <c r="G109" s="1"/>
      <c r="H109" s="49"/>
    </row>
    <row r="110" spans="1:8" ht="14.1" customHeight="1" x14ac:dyDescent="0.2">
      <c r="A110" s="1"/>
      <c r="B110" s="1"/>
      <c r="C110" s="2" t="s">
        <v>130</v>
      </c>
      <c r="D110" s="1"/>
      <c r="E110" s="1" t="s">
        <v>131</v>
      </c>
      <c r="F110" s="13">
        <v>0</v>
      </c>
      <c r="G110" s="14">
        <v>0</v>
      </c>
      <c r="H110" s="49"/>
    </row>
    <row r="111" spans="1:8" ht="14.1" customHeight="1" x14ac:dyDescent="0.2">
      <c r="A111" s="1"/>
      <c r="B111" s="1"/>
      <c r="C111" s="11"/>
      <c r="D111" s="1"/>
      <c r="E111" s="1"/>
      <c r="F111" s="12"/>
      <c r="G111" s="12"/>
      <c r="H111" s="49"/>
    </row>
    <row r="112" spans="1:8" ht="14.1" customHeight="1" x14ac:dyDescent="0.2">
      <c r="A112" s="1"/>
      <c r="B112" s="1"/>
      <c r="C112" s="2" t="s">
        <v>133</v>
      </c>
      <c r="D112" s="1"/>
      <c r="E112" s="1"/>
      <c r="F112" s="1"/>
      <c r="G112" s="1"/>
      <c r="H112" s="49"/>
    </row>
    <row r="113" spans="1:8" ht="17.100000000000001" customHeight="1" x14ac:dyDescent="0.2">
      <c r="A113" s="3">
        <v>1</v>
      </c>
      <c r="B113" s="4" t="s">
        <v>717</v>
      </c>
      <c r="C113" s="45" t="s">
        <v>971</v>
      </c>
      <c r="D113" s="4"/>
      <c r="E113" s="5">
        <v>26586</v>
      </c>
      <c r="F113" s="6">
        <v>2.6600000000000003E-7</v>
      </c>
      <c r="G113" s="8" t="s">
        <v>129</v>
      </c>
      <c r="H113" s="49"/>
    </row>
    <row r="114" spans="1:8" ht="14.1" customHeight="1" x14ac:dyDescent="0.2">
      <c r="A114" s="1"/>
      <c r="B114" s="1"/>
      <c r="C114" s="2" t="s">
        <v>130</v>
      </c>
      <c r="D114" s="1"/>
      <c r="E114" s="1" t="s">
        <v>131</v>
      </c>
      <c r="F114" s="9">
        <v>2.6600000000000003E-7</v>
      </c>
      <c r="G114" s="10">
        <v>0</v>
      </c>
      <c r="H114" s="49"/>
    </row>
    <row r="115" spans="1:8" ht="14.1" customHeight="1" x14ac:dyDescent="0.2">
      <c r="A115" s="1"/>
      <c r="B115" s="1"/>
      <c r="C115" s="11"/>
      <c r="D115" s="1"/>
      <c r="E115" s="1"/>
      <c r="F115" s="12"/>
      <c r="G115" s="12"/>
      <c r="H115" s="49"/>
    </row>
    <row r="116" spans="1:8" ht="14.1" customHeight="1" x14ac:dyDescent="0.2">
      <c r="A116" s="1"/>
      <c r="B116" s="1"/>
      <c r="C116" s="2" t="s">
        <v>134</v>
      </c>
      <c r="D116" s="1"/>
      <c r="E116" s="1"/>
      <c r="F116" s="1"/>
      <c r="G116" s="1"/>
      <c r="H116" s="49"/>
    </row>
    <row r="117" spans="1:8" ht="14.1" customHeight="1" x14ac:dyDescent="0.2">
      <c r="A117" s="1"/>
      <c r="B117" s="1"/>
      <c r="C117" s="2" t="s">
        <v>130</v>
      </c>
      <c r="D117" s="1"/>
      <c r="E117" s="1" t="s">
        <v>131</v>
      </c>
      <c r="F117" s="13">
        <v>0</v>
      </c>
      <c r="G117" s="14">
        <v>0</v>
      </c>
      <c r="H117" s="49"/>
    </row>
    <row r="118" spans="1:8" ht="14.1" customHeight="1" x14ac:dyDescent="0.2">
      <c r="A118" s="1"/>
      <c r="B118" s="1"/>
      <c r="C118" s="11"/>
      <c r="D118" s="1"/>
      <c r="E118" s="1"/>
      <c r="F118" s="12"/>
      <c r="G118" s="12"/>
      <c r="H118" s="49"/>
    </row>
    <row r="119" spans="1:8" ht="14.1" customHeight="1" x14ac:dyDescent="0.2">
      <c r="A119" s="1"/>
      <c r="B119" s="1"/>
      <c r="C119" s="2" t="s">
        <v>135</v>
      </c>
      <c r="D119" s="1"/>
      <c r="E119" s="1"/>
      <c r="F119" s="12"/>
      <c r="G119" s="12"/>
      <c r="H119" s="49"/>
    </row>
    <row r="120" spans="1:8" ht="14.1" customHeight="1" x14ac:dyDescent="0.2">
      <c r="A120" s="1"/>
      <c r="B120" s="1"/>
      <c r="C120" s="2" t="s">
        <v>130</v>
      </c>
      <c r="D120" s="1"/>
      <c r="E120" s="1" t="s">
        <v>131</v>
      </c>
      <c r="F120" s="13">
        <v>0</v>
      </c>
      <c r="G120" s="14">
        <v>0</v>
      </c>
      <c r="H120" s="49"/>
    </row>
    <row r="121" spans="1:8" ht="14.1" customHeight="1" x14ac:dyDescent="0.2">
      <c r="A121" s="1"/>
      <c r="B121" s="1"/>
      <c r="C121" s="11"/>
      <c r="D121" s="1"/>
      <c r="E121" s="1"/>
      <c r="F121" s="12"/>
      <c r="G121" s="12"/>
      <c r="H121" s="49"/>
    </row>
    <row r="122" spans="1:8" ht="14.1" customHeight="1" x14ac:dyDescent="0.2">
      <c r="A122" s="1"/>
      <c r="B122" s="1"/>
      <c r="C122" s="2" t="s">
        <v>136</v>
      </c>
      <c r="D122" s="1"/>
      <c r="E122" s="1"/>
      <c r="F122" s="12"/>
      <c r="G122" s="12"/>
      <c r="H122" s="49"/>
    </row>
    <row r="123" spans="1:8" ht="14.1" customHeight="1" x14ac:dyDescent="0.2">
      <c r="A123" s="1"/>
      <c r="B123" s="1"/>
      <c r="C123" s="2" t="s">
        <v>130</v>
      </c>
      <c r="D123" s="1"/>
      <c r="E123" s="1" t="s">
        <v>131</v>
      </c>
      <c r="F123" s="13">
        <v>0</v>
      </c>
      <c r="G123" s="14">
        <v>0</v>
      </c>
      <c r="H123" s="49"/>
    </row>
    <row r="124" spans="1:8" ht="14.1" customHeight="1" x14ac:dyDescent="0.2">
      <c r="A124" s="1"/>
      <c r="B124" s="1"/>
      <c r="C124" s="11"/>
      <c r="D124" s="1"/>
      <c r="E124" s="1"/>
      <c r="F124" s="12"/>
      <c r="G124" s="12"/>
      <c r="H124" s="49"/>
    </row>
    <row r="125" spans="1:8" ht="18" customHeight="1" x14ac:dyDescent="0.2">
      <c r="A125" s="1"/>
      <c r="B125" s="1"/>
      <c r="C125" s="2" t="s">
        <v>137</v>
      </c>
      <c r="D125" s="1"/>
      <c r="E125" s="1"/>
      <c r="F125" s="9">
        <v>5674.0163282659996</v>
      </c>
      <c r="G125" s="10">
        <v>0.98861891300000004</v>
      </c>
      <c r="H125" s="49"/>
    </row>
    <row r="126" spans="1:8" ht="14.1" customHeight="1" x14ac:dyDescent="0.2">
      <c r="A126" s="1"/>
      <c r="B126" s="1"/>
      <c r="C126" s="11"/>
      <c r="D126" s="1"/>
      <c r="E126" s="1"/>
      <c r="F126" s="12"/>
      <c r="G126" s="12"/>
      <c r="H126" s="49"/>
    </row>
    <row r="127" spans="1:8" ht="14.1" customHeight="1" x14ac:dyDescent="0.2">
      <c r="A127" s="1"/>
      <c r="B127" s="1"/>
      <c r="C127" s="2" t="s">
        <v>138</v>
      </c>
      <c r="D127" s="1"/>
      <c r="E127" s="1"/>
      <c r="F127" s="12"/>
      <c r="G127" s="12"/>
      <c r="H127" s="49"/>
    </row>
    <row r="128" spans="1:8" ht="24" customHeight="1" x14ac:dyDescent="0.2">
      <c r="A128" s="1"/>
      <c r="B128" s="1"/>
      <c r="C128" s="2" t="s">
        <v>10</v>
      </c>
      <c r="D128" s="1"/>
      <c r="E128" s="1"/>
      <c r="F128" s="12"/>
      <c r="G128" s="12"/>
      <c r="H128" s="49"/>
    </row>
    <row r="129" spans="1:8" ht="29.1" customHeight="1" x14ac:dyDescent="0.2">
      <c r="A129" s="3">
        <v>1</v>
      </c>
      <c r="B129" s="4" t="s">
        <v>579</v>
      </c>
      <c r="C129" s="4" t="s">
        <v>580</v>
      </c>
      <c r="D129" s="4" t="s">
        <v>581</v>
      </c>
      <c r="E129" s="5">
        <v>828</v>
      </c>
      <c r="F129" s="6">
        <v>0.23315817599999999</v>
      </c>
      <c r="G129" s="8" t="s">
        <v>129</v>
      </c>
      <c r="H129" s="49">
        <v>7.5750000000000002</v>
      </c>
    </row>
    <row r="130" spans="1:8" ht="14.1" customHeight="1" x14ac:dyDescent="0.2">
      <c r="A130" s="1"/>
      <c r="B130" s="1"/>
      <c r="C130" s="2" t="s">
        <v>130</v>
      </c>
      <c r="D130" s="1"/>
      <c r="E130" s="1" t="s">
        <v>131</v>
      </c>
      <c r="F130" s="9">
        <v>0.23315817599999999</v>
      </c>
      <c r="G130" s="10">
        <v>4.0624999999999998E-5</v>
      </c>
      <c r="H130" s="49"/>
    </row>
    <row r="131" spans="1:8" ht="14.1" customHeight="1" x14ac:dyDescent="0.2">
      <c r="A131" s="1"/>
      <c r="B131" s="1"/>
      <c r="C131" s="11"/>
      <c r="D131" s="1"/>
      <c r="E131" s="1"/>
      <c r="F131" s="12"/>
      <c r="G131" s="12"/>
      <c r="H131" s="49"/>
    </row>
    <row r="132" spans="1:8" ht="14.1" customHeight="1" x14ac:dyDescent="0.2">
      <c r="A132" s="1"/>
      <c r="B132" s="1"/>
      <c r="C132" s="2" t="s">
        <v>139</v>
      </c>
      <c r="D132" s="1"/>
      <c r="E132" s="1"/>
      <c r="F132" s="1"/>
      <c r="G132" s="1"/>
      <c r="H132" s="49"/>
    </row>
    <row r="133" spans="1:8" ht="14.1" customHeight="1" x14ac:dyDescent="0.2">
      <c r="A133" s="1"/>
      <c r="B133" s="1"/>
      <c r="C133" s="2" t="s">
        <v>130</v>
      </c>
      <c r="D133" s="1"/>
      <c r="E133" s="1" t="s">
        <v>131</v>
      </c>
      <c r="F133" s="13">
        <v>0</v>
      </c>
      <c r="G133" s="14">
        <v>0</v>
      </c>
      <c r="H133" s="49"/>
    </row>
    <row r="134" spans="1:8" ht="14.1" customHeight="1" x14ac:dyDescent="0.2">
      <c r="A134" s="1"/>
      <c r="B134" s="1"/>
      <c r="C134" s="11"/>
      <c r="D134" s="1"/>
      <c r="E134" s="1"/>
      <c r="F134" s="12"/>
      <c r="G134" s="12"/>
      <c r="H134" s="49"/>
    </row>
    <row r="135" spans="1:8" ht="14.1" customHeight="1" x14ac:dyDescent="0.2">
      <c r="A135" s="1"/>
      <c r="B135" s="1"/>
      <c r="C135" s="2" t="s">
        <v>140</v>
      </c>
      <c r="D135" s="1"/>
      <c r="E135" s="1"/>
      <c r="F135" s="1"/>
      <c r="G135" s="1"/>
      <c r="H135" s="49"/>
    </row>
    <row r="136" spans="1:8" ht="14.1" customHeight="1" x14ac:dyDescent="0.2">
      <c r="A136" s="1"/>
      <c r="B136" s="1"/>
      <c r="C136" s="2" t="s">
        <v>130</v>
      </c>
      <c r="D136" s="1"/>
      <c r="E136" s="1" t="s">
        <v>131</v>
      </c>
      <c r="F136" s="13">
        <v>0</v>
      </c>
      <c r="G136" s="14">
        <v>0</v>
      </c>
      <c r="H136" s="49"/>
    </row>
    <row r="137" spans="1:8" ht="14.1" customHeight="1" x14ac:dyDescent="0.2">
      <c r="A137" s="1"/>
      <c r="B137" s="1"/>
      <c r="C137" s="11"/>
      <c r="D137" s="1"/>
      <c r="E137" s="1"/>
      <c r="F137" s="12"/>
      <c r="G137" s="12"/>
      <c r="H137" s="49"/>
    </row>
    <row r="138" spans="1:8" ht="14.1" customHeight="1" x14ac:dyDescent="0.2">
      <c r="A138" s="1"/>
      <c r="B138" s="1"/>
      <c r="C138" s="2" t="s">
        <v>141</v>
      </c>
      <c r="D138" s="1"/>
      <c r="E138" s="1"/>
      <c r="F138" s="12"/>
      <c r="G138" s="12"/>
      <c r="H138" s="49"/>
    </row>
    <row r="139" spans="1:8" ht="14.1" customHeight="1" x14ac:dyDescent="0.2">
      <c r="A139" s="1"/>
      <c r="B139" s="1"/>
      <c r="C139" s="2" t="s">
        <v>130</v>
      </c>
      <c r="D139" s="1"/>
      <c r="E139" s="1" t="s">
        <v>131</v>
      </c>
      <c r="F139" s="13">
        <v>0</v>
      </c>
      <c r="G139" s="14">
        <v>0</v>
      </c>
      <c r="H139" s="49"/>
    </row>
    <row r="140" spans="1:8" ht="14.1" customHeight="1" x14ac:dyDescent="0.2">
      <c r="A140" s="1"/>
      <c r="B140" s="1"/>
      <c r="C140" s="11"/>
      <c r="D140" s="1"/>
      <c r="E140" s="1"/>
      <c r="F140" s="12"/>
      <c r="G140" s="12"/>
      <c r="H140" s="49"/>
    </row>
    <row r="141" spans="1:8" ht="14.1" customHeight="1" x14ac:dyDescent="0.2">
      <c r="A141" s="1"/>
      <c r="B141" s="1"/>
      <c r="C141" s="2" t="s">
        <v>142</v>
      </c>
      <c r="D141" s="1"/>
      <c r="E141" s="1"/>
      <c r="F141" s="9">
        <v>0.23315817599999999</v>
      </c>
      <c r="G141" s="10">
        <v>4.0624999999999998E-5</v>
      </c>
      <c r="H141" s="49"/>
    </row>
    <row r="142" spans="1:8" ht="14.1" customHeight="1" x14ac:dyDescent="0.2">
      <c r="A142" s="1"/>
      <c r="B142" s="1"/>
      <c r="C142" s="11"/>
      <c r="D142" s="1"/>
      <c r="E142" s="1"/>
      <c r="F142" s="12"/>
      <c r="G142" s="12"/>
      <c r="H142" s="49"/>
    </row>
    <row r="143" spans="1:8" ht="14.1" customHeight="1" x14ac:dyDescent="0.2">
      <c r="A143" s="1"/>
      <c r="B143" s="1"/>
      <c r="C143" s="2" t="s">
        <v>143</v>
      </c>
      <c r="D143" s="1"/>
      <c r="E143" s="1"/>
      <c r="F143" s="12"/>
      <c r="G143" s="12"/>
      <c r="H143" s="49"/>
    </row>
    <row r="144" spans="1:8" ht="14.1" customHeight="1" x14ac:dyDescent="0.2">
      <c r="A144" s="1"/>
      <c r="B144" s="1"/>
      <c r="C144" s="2" t="s">
        <v>144</v>
      </c>
      <c r="D144" s="1"/>
      <c r="E144" s="1"/>
      <c r="F144" s="12"/>
      <c r="G144" s="12"/>
      <c r="H144" s="49"/>
    </row>
    <row r="145" spans="1:8" ht="14.1" customHeight="1" x14ac:dyDescent="0.2">
      <c r="A145" s="1"/>
      <c r="B145" s="1"/>
      <c r="C145" s="2" t="s">
        <v>130</v>
      </c>
      <c r="D145" s="1"/>
      <c r="E145" s="1" t="s">
        <v>131</v>
      </c>
      <c r="F145" s="13">
        <v>0</v>
      </c>
      <c r="G145" s="14">
        <v>0</v>
      </c>
      <c r="H145" s="49"/>
    </row>
    <row r="146" spans="1:8" ht="14.1" customHeight="1" x14ac:dyDescent="0.2">
      <c r="A146" s="1"/>
      <c r="B146" s="1"/>
      <c r="C146" s="11"/>
      <c r="D146" s="1"/>
      <c r="E146" s="1"/>
      <c r="F146" s="12"/>
      <c r="G146" s="12"/>
      <c r="H146" s="49"/>
    </row>
    <row r="147" spans="1:8" ht="14.1" customHeight="1" x14ac:dyDescent="0.2">
      <c r="A147" s="1"/>
      <c r="B147" s="1"/>
      <c r="C147" s="2" t="s">
        <v>145</v>
      </c>
      <c r="D147" s="1"/>
      <c r="E147" s="1"/>
      <c r="F147" s="12"/>
      <c r="G147" s="12"/>
      <c r="H147" s="49"/>
    </row>
    <row r="148" spans="1:8" ht="14.1" customHeight="1" x14ac:dyDescent="0.2">
      <c r="A148" s="1"/>
      <c r="B148" s="1"/>
      <c r="C148" s="2" t="s">
        <v>130</v>
      </c>
      <c r="D148" s="1"/>
      <c r="E148" s="1" t="s">
        <v>131</v>
      </c>
      <c r="F148" s="13">
        <v>0</v>
      </c>
      <c r="G148" s="14">
        <v>0</v>
      </c>
      <c r="H148" s="49"/>
    </row>
    <row r="149" spans="1:8" ht="14.1" customHeight="1" x14ac:dyDescent="0.2">
      <c r="A149" s="1"/>
      <c r="B149" s="1"/>
      <c r="C149" s="11"/>
      <c r="D149" s="1"/>
      <c r="E149" s="1"/>
      <c r="F149" s="12"/>
      <c r="G149" s="12"/>
      <c r="H149" s="49"/>
    </row>
    <row r="150" spans="1:8" ht="14.1" customHeight="1" x14ac:dyDescent="0.2">
      <c r="A150" s="1"/>
      <c r="B150" s="1"/>
      <c r="C150" s="2" t="s">
        <v>146</v>
      </c>
      <c r="D150" s="1"/>
      <c r="E150" s="1"/>
      <c r="F150" s="12"/>
      <c r="G150" s="12"/>
      <c r="H150" s="49"/>
    </row>
    <row r="151" spans="1:8" ht="14.1" customHeight="1" x14ac:dyDescent="0.2">
      <c r="A151" s="1"/>
      <c r="B151" s="1"/>
      <c r="C151" s="2" t="s">
        <v>130</v>
      </c>
      <c r="D151" s="1"/>
      <c r="E151" s="1" t="s">
        <v>131</v>
      </c>
      <c r="F151" s="13">
        <v>0</v>
      </c>
      <c r="G151" s="14">
        <v>0</v>
      </c>
      <c r="H151" s="49"/>
    </row>
    <row r="152" spans="1:8" ht="14.1" customHeight="1" x14ac:dyDescent="0.2">
      <c r="A152" s="1"/>
      <c r="B152" s="1"/>
      <c r="C152" s="11"/>
      <c r="D152" s="1"/>
      <c r="E152" s="1"/>
      <c r="F152" s="12"/>
      <c r="G152" s="12"/>
      <c r="H152" s="49"/>
    </row>
    <row r="153" spans="1:8" ht="14.1" customHeight="1" x14ac:dyDescent="0.2">
      <c r="A153" s="1"/>
      <c r="B153" s="1"/>
      <c r="C153" s="2" t="s">
        <v>147</v>
      </c>
      <c r="D153" s="1"/>
      <c r="E153" s="1"/>
      <c r="F153" s="12"/>
      <c r="G153" s="12"/>
      <c r="H153" s="49"/>
    </row>
    <row r="154" spans="1:8" ht="17.100000000000001" customHeight="1" x14ac:dyDescent="0.2">
      <c r="A154" s="3">
        <v>1</v>
      </c>
      <c r="B154" s="4"/>
      <c r="C154" s="4" t="s">
        <v>148</v>
      </c>
      <c r="D154" s="4"/>
      <c r="E154" s="8"/>
      <c r="F154" s="6">
        <v>80.306653100000005</v>
      </c>
      <c r="G154" s="7">
        <v>1.3992324E-2</v>
      </c>
      <c r="H154" s="49">
        <v>5.6572293145372496</v>
      </c>
    </row>
    <row r="155" spans="1:8" ht="14.1" customHeight="1" x14ac:dyDescent="0.2">
      <c r="A155" s="1"/>
      <c r="B155" s="1"/>
      <c r="C155" s="2" t="s">
        <v>130</v>
      </c>
      <c r="D155" s="1"/>
      <c r="E155" s="1" t="s">
        <v>131</v>
      </c>
      <c r="F155" s="9">
        <v>80.306653100000005</v>
      </c>
      <c r="G155" s="10">
        <v>1.3992324E-2</v>
      </c>
      <c r="H155" s="49"/>
    </row>
    <row r="156" spans="1:8" ht="14.1" customHeight="1" x14ac:dyDescent="0.2">
      <c r="A156" s="1"/>
      <c r="B156" s="1"/>
      <c r="C156" s="11"/>
      <c r="D156" s="1"/>
      <c r="E156" s="1"/>
      <c r="F156" s="12"/>
      <c r="G156" s="12"/>
      <c r="H156" s="49"/>
    </row>
    <row r="157" spans="1:8" ht="14.1" customHeight="1" x14ac:dyDescent="0.2">
      <c r="A157" s="1"/>
      <c r="B157" s="1"/>
      <c r="C157" s="2" t="s">
        <v>149</v>
      </c>
      <c r="D157" s="1"/>
      <c r="E157" s="1"/>
      <c r="F157" s="9">
        <v>80.306653100000005</v>
      </c>
      <c r="G157" s="10">
        <v>1.3992324E-2</v>
      </c>
      <c r="H157" s="49"/>
    </row>
    <row r="158" spans="1:8" ht="14.1" customHeight="1" x14ac:dyDescent="0.2">
      <c r="A158" s="1"/>
      <c r="B158" s="1"/>
      <c r="C158" s="12"/>
      <c r="D158" s="1"/>
      <c r="E158" s="1"/>
      <c r="F158" s="1"/>
      <c r="G158" s="1"/>
      <c r="H158" s="49"/>
    </row>
    <row r="159" spans="1:8" ht="14.1" customHeight="1" x14ac:dyDescent="0.2">
      <c r="A159" s="1"/>
      <c r="B159" s="1"/>
      <c r="C159" s="2" t="s">
        <v>150</v>
      </c>
      <c r="D159" s="1"/>
      <c r="E159" s="1"/>
      <c r="F159" s="1"/>
      <c r="G159" s="1"/>
      <c r="H159" s="49"/>
    </row>
    <row r="160" spans="1:8" ht="14.1" customHeight="1" x14ac:dyDescent="0.2">
      <c r="A160" s="1"/>
      <c r="B160" s="1"/>
      <c r="C160" s="2" t="s">
        <v>151</v>
      </c>
      <c r="D160" s="1"/>
      <c r="E160" s="1"/>
      <c r="F160" s="1"/>
      <c r="G160" s="1"/>
      <c r="H160" s="49"/>
    </row>
    <row r="161" spans="1:14" ht="14.1" customHeight="1" x14ac:dyDescent="0.2">
      <c r="A161" s="1"/>
      <c r="B161" s="1"/>
      <c r="C161" s="2" t="s">
        <v>130</v>
      </c>
      <c r="D161" s="1"/>
      <c r="E161" s="1" t="s">
        <v>131</v>
      </c>
      <c r="F161" s="13">
        <v>0</v>
      </c>
      <c r="G161" s="14">
        <v>0</v>
      </c>
      <c r="H161" s="49"/>
    </row>
    <row r="162" spans="1:14" ht="14.1" customHeight="1" x14ac:dyDescent="0.2">
      <c r="A162" s="1"/>
      <c r="B162" s="1"/>
      <c r="C162" s="11"/>
      <c r="D162" s="1"/>
      <c r="E162" s="1"/>
      <c r="F162" s="12"/>
      <c r="G162" s="12"/>
      <c r="H162" s="49"/>
    </row>
    <row r="163" spans="1:14" ht="14.1" customHeight="1" x14ac:dyDescent="0.2">
      <c r="A163" s="1"/>
      <c r="B163" s="1"/>
      <c r="C163" s="2" t="s">
        <v>152</v>
      </c>
      <c r="D163" s="1"/>
      <c r="E163" s="1"/>
      <c r="F163" s="1"/>
      <c r="G163" s="1"/>
      <c r="H163" s="49"/>
    </row>
    <row r="164" spans="1:14" ht="14.1" customHeight="1" x14ac:dyDescent="0.2">
      <c r="A164" s="1"/>
      <c r="B164" s="1"/>
      <c r="C164" s="2" t="s">
        <v>153</v>
      </c>
      <c r="D164" s="1"/>
      <c r="E164" s="1"/>
      <c r="F164" s="1"/>
      <c r="G164" s="1"/>
      <c r="H164" s="49"/>
    </row>
    <row r="165" spans="1:14" ht="14.1" customHeight="1" x14ac:dyDescent="0.2">
      <c r="A165" s="1"/>
      <c r="B165" s="1"/>
      <c r="C165" s="2" t="s">
        <v>130</v>
      </c>
      <c r="D165" s="1"/>
      <c r="E165" s="1" t="s">
        <v>131</v>
      </c>
      <c r="F165" s="13">
        <v>0</v>
      </c>
      <c r="G165" s="14">
        <v>0</v>
      </c>
      <c r="H165" s="49"/>
    </row>
    <row r="166" spans="1:14" ht="14.1" customHeight="1" x14ac:dyDescent="0.2">
      <c r="A166" s="1"/>
      <c r="B166" s="1"/>
      <c r="C166" s="11"/>
      <c r="D166" s="1"/>
      <c r="E166" s="1"/>
      <c r="F166" s="12"/>
      <c r="G166" s="12"/>
      <c r="H166" s="49"/>
    </row>
    <row r="167" spans="1:14" ht="14.1" customHeight="1" x14ac:dyDescent="0.2">
      <c r="A167" s="1"/>
      <c r="B167" s="1"/>
      <c r="C167" s="11"/>
      <c r="D167" s="1"/>
      <c r="E167" s="1"/>
      <c r="F167" s="12"/>
      <c r="G167" s="12"/>
      <c r="H167" s="49"/>
    </row>
    <row r="168" spans="1:14" ht="24" customHeight="1" x14ac:dyDescent="0.2">
      <c r="A168" s="1"/>
      <c r="B168" s="1"/>
      <c r="C168" s="2" t="s">
        <v>154</v>
      </c>
      <c r="D168" s="1"/>
      <c r="E168" s="1"/>
      <c r="F168" s="12"/>
      <c r="G168" s="12"/>
      <c r="H168" s="49"/>
    </row>
    <row r="169" spans="1:14" ht="14.1" customHeight="1" x14ac:dyDescent="0.2">
      <c r="A169" s="1"/>
      <c r="B169" s="1"/>
      <c r="C169" s="2" t="s">
        <v>130</v>
      </c>
      <c r="D169" s="1"/>
      <c r="E169" s="1" t="s">
        <v>131</v>
      </c>
      <c r="F169" s="13">
        <v>0</v>
      </c>
      <c r="G169" s="14">
        <v>0</v>
      </c>
      <c r="H169" s="49"/>
    </row>
    <row r="170" spans="1:14" ht="14.1" customHeight="1" x14ac:dyDescent="0.2">
      <c r="A170" s="1"/>
      <c r="B170" s="1"/>
      <c r="C170" s="11"/>
      <c r="D170" s="1"/>
      <c r="E170" s="1"/>
      <c r="F170" s="12"/>
      <c r="G170" s="12"/>
      <c r="H170" s="49"/>
    </row>
    <row r="171" spans="1:14" ht="14.1" customHeight="1" x14ac:dyDescent="0.2">
      <c r="A171" s="1"/>
      <c r="B171" s="4"/>
      <c r="C171" s="4"/>
      <c r="D171" s="2"/>
      <c r="E171" s="1"/>
      <c r="F171" s="4"/>
      <c r="G171" s="8"/>
      <c r="H171" s="49"/>
    </row>
    <row r="172" spans="1:14" ht="18" customHeight="1" x14ac:dyDescent="0.2">
      <c r="A172" s="8"/>
      <c r="B172" s="4"/>
      <c r="C172" s="39" t="s">
        <v>818</v>
      </c>
      <c r="D172" s="4"/>
      <c r="E172" s="8"/>
      <c r="F172" s="6">
        <v>-15.219931600000001</v>
      </c>
      <c r="G172" s="7">
        <v>-2.651863E-3</v>
      </c>
      <c r="H172" s="49"/>
    </row>
    <row r="173" spans="1:14" ht="14.1" customHeight="1" x14ac:dyDescent="0.2">
      <c r="A173" s="11"/>
      <c r="B173" s="11"/>
      <c r="C173" s="2" t="s">
        <v>156</v>
      </c>
      <c r="D173" s="15"/>
      <c r="E173" s="15"/>
      <c r="F173" s="9">
        <v>5739.3362079420003</v>
      </c>
      <c r="G173" s="10">
        <v>0.99999999900000003</v>
      </c>
      <c r="H173" s="49"/>
    </row>
    <row r="174" spans="1:14" ht="14.1" customHeight="1" x14ac:dyDescent="0.2">
      <c r="A174" s="16"/>
      <c r="B174" s="16"/>
      <c r="C174" s="16"/>
      <c r="D174" s="17"/>
      <c r="E174" s="17"/>
      <c r="F174" s="17"/>
      <c r="G174" s="17"/>
    </row>
    <row r="175" spans="1:14" ht="17.100000000000001" customHeight="1" x14ac:dyDescent="0.2">
      <c r="A175" s="18"/>
      <c r="B175" s="327" t="s">
        <v>582</v>
      </c>
      <c r="C175" s="327"/>
      <c r="D175" s="327"/>
      <c r="E175" s="327"/>
      <c r="F175" s="327"/>
      <c r="G175" s="20"/>
    </row>
    <row r="176" spans="1:14" ht="17.100000000000001" customHeight="1" x14ac:dyDescent="0.2">
      <c r="A176" s="53"/>
      <c r="B176" s="322" t="s">
        <v>819</v>
      </c>
      <c r="C176" s="322"/>
      <c r="D176" s="322"/>
      <c r="E176" s="322"/>
      <c r="F176" s="322"/>
      <c r="G176" s="54"/>
      <c r="I176" s="50"/>
      <c r="J176" s="50"/>
      <c r="K176" s="50"/>
      <c r="L176" s="50"/>
      <c r="M176" s="50"/>
      <c r="N176" s="50"/>
    </row>
    <row r="177" spans="1:7" ht="17.100000000000001" customHeight="1" x14ac:dyDescent="0.2">
      <c r="A177" s="18"/>
      <c r="B177" s="327" t="s">
        <v>157</v>
      </c>
      <c r="C177" s="327"/>
      <c r="D177" s="327"/>
      <c r="E177" s="327"/>
      <c r="F177" s="327"/>
      <c r="G177" s="20"/>
    </row>
    <row r="178" spans="1:7" ht="14.1" customHeight="1" x14ac:dyDescent="0.2">
      <c r="A178" s="53"/>
      <c r="B178" s="60" t="s">
        <v>972</v>
      </c>
      <c r="C178" s="53"/>
      <c r="D178" s="54"/>
      <c r="E178" s="54"/>
      <c r="F178" s="54"/>
      <c r="G178" s="54"/>
    </row>
    <row r="179" spans="1:7" ht="14.1" customHeight="1" x14ac:dyDescent="0.2">
      <c r="A179" s="18"/>
      <c r="B179" s="18"/>
      <c r="C179" s="18"/>
      <c r="D179" s="20"/>
      <c r="E179" s="20"/>
      <c r="F179" s="20"/>
      <c r="G179" s="20"/>
    </row>
    <row r="180" spans="1:7" ht="14.1" customHeight="1" x14ac:dyDescent="0.2">
      <c r="A180" s="18"/>
      <c r="B180" s="319" t="s">
        <v>158</v>
      </c>
      <c r="C180" s="320"/>
      <c r="D180" s="12" t="s">
        <v>131</v>
      </c>
      <c r="E180" s="21"/>
      <c r="F180" s="20"/>
      <c r="G180" s="20"/>
    </row>
    <row r="181" spans="1:7" ht="29.1" customHeight="1" x14ac:dyDescent="0.2">
      <c r="A181" s="18"/>
      <c r="B181" s="323" t="s">
        <v>159</v>
      </c>
      <c r="C181" s="324"/>
      <c r="D181" s="2" t="s">
        <v>160</v>
      </c>
      <c r="E181" s="21"/>
      <c r="F181" s="20"/>
      <c r="G181" s="20"/>
    </row>
    <row r="182" spans="1:7" ht="17.100000000000001" customHeight="1" x14ac:dyDescent="0.2">
      <c r="A182" s="18"/>
      <c r="B182" s="323" t="s">
        <v>161</v>
      </c>
      <c r="C182" s="324"/>
      <c r="D182" s="2" t="s">
        <v>160</v>
      </c>
      <c r="E182" s="21"/>
      <c r="F182" s="20"/>
      <c r="G182" s="20"/>
    </row>
    <row r="183" spans="1:7" ht="17.100000000000001" customHeight="1" x14ac:dyDescent="0.2">
      <c r="A183" s="18"/>
      <c r="B183" s="323" t="s">
        <v>162</v>
      </c>
      <c r="C183" s="324"/>
      <c r="D183" s="12" t="s">
        <v>131</v>
      </c>
      <c r="E183" s="21"/>
      <c r="F183" s="20"/>
      <c r="G183" s="20"/>
    </row>
    <row r="184" spans="1:7" ht="24" customHeight="1" x14ac:dyDescent="0.2">
      <c r="A184" s="22"/>
      <c r="B184" s="23" t="s">
        <v>131</v>
      </c>
      <c r="C184" s="23" t="s">
        <v>163</v>
      </c>
      <c r="D184" s="23" t="s">
        <v>164</v>
      </c>
      <c r="E184" s="22"/>
      <c r="F184" s="22"/>
      <c r="G184" s="22"/>
    </row>
    <row r="185" spans="1:7" ht="18" customHeight="1" x14ac:dyDescent="0.2">
      <c r="A185" s="22"/>
      <c r="B185" s="23" t="s">
        <v>165</v>
      </c>
      <c r="C185" s="23" t="s">
        <v>166</v>
      </c>
      <c r="D185" s="23" t="s">
        <v>167</v>
      </c>
      <c r="E185" s="22"/>
      <c r="F185" s="22"/>
      <c r="G185" s="22"/>
    </row>
    <row r="186" spans="1:7" ht="17.100000000000001" customHeight="1" x14ac:dyDescent="0.2">
      <c r="A186" s="22"/>
      <c r="B186" s="4" t="s">
        <v>168</v>
      </c>
      <c r="C186" s="24">
        <v>115.8304</v>
      </c>
      <c r="D186" s="24">
        <v>119.0491</v>
      </c>
      <c r="E186" s="22"/>
      <c r="F186" s="19"/>
      <c r="G186" s="25"/>
    </row>
    <row r="187" spans="1:7" ht="17.100000000000001" customHeight="1" x14ac:dyDescent="0.2">
      <c r="A187" s="22"/>
      <c r="B187" s="4" t="s">
        <v>1021</v>
      </c>
      <c r="C187" s="24">
        <v>68.071799999999996</v>
      </c>
      <c r="D187" s="24">
        <v>65.043800000000005</v>
      </c>
      <c r="E187" s="22"/>
      <c r="F187" s="19"/>
      <c r="G187" s="25"/>
    </row>
    <row r="188" spans="1:7" ht="17.100000000000001" customHeight="1" x14ac:dyDescent="0.2">
      <c r="A188" s="22"/>
      <c r="B188" s="4" t="s">
        <v>169</v>
      </c>
      <c r="C188" s="24">
        <v>111.40219999999999</v>
      </c>
      <c r="D188" s="24">
        <v>114.45699999999999</v>
      </c>
      <c r="E188" s="22"/>
      <c r="F188" s="19"/>
      <c r="G188" s="25"/>
    </row>
    <row r="189" spans="1:7" ht="17.100000000000001" customHeight="1" x14ac:dyDescent="0.2">
      <c r="A189" s="22"/>
      <c r="B189" s="4" t="s">
        <v>1022</v>
      </c>
      <c r="C189" s="24">
        <v>65.473299999999995</v>
      </c>
      <c r="D189" s="24">
        <v>62.5381</v>
      </c>
      <c r="E189" s="22"/>
      <c r="F189" s="19"/>
      <c r="G189" s="25"/>
    </row>
    <row r="190" spans="1:7" ht="14.1" customHeight="1" x14ac:dyDescent="0.2">
      <c r="A190" s="22"/>
      <c r="B190" s="22"/>
      <c r="C190" s="22"/>
      <c r="D190" s="22"/>
      <c r="E190" s="22"/>
      <c r="F190" s="22"/>
      <c r="G190" s="22"/>
    </row>
    <row r="191" spans="1:7" ht="17.100000000000001" customHeight="1" x14ac:dyDescent="0.2">
      <c r="A191" s="61"/>
      <c r="B191" s="325" t="s">
        <v>1023</v>
      </c>
      <c r="C191" s="326"/>
      <c r="D191" s="57" t="s">
        <v>131</v>
      </c>
      <c r="E191" s="61"/>
      <c r="F191" s="61"/>
      <c r="G191" s="61"/>
    </row>
    <row r="192" spans="1:7" ht="18" customHeight="1" x14ac:dyDescent="0.2">
      <c r="A192" s="61"/>
      <c r="B192" s="62" t="s">
        <v>165</v>
      </c>
      <c r="C192" s="63" t="s">
        <v>820</v>
      </c>
      <c r="D192" s="63" t="s">
        <v>821</v>
      </c>
      <c r="E192" s="61"/>
      <c r="F192" s="61"/>
      <c r="G192" s="61"/>
    </row>
    <row r="193" spans="1:7" ht="29.1" customHeight="1" x14ac:dyDescent="0.2">
      <c r="A193" s="61"/>
      <c r="B193" s="39" t="s">
        <v>1021</v>
      </c>
      <c r="C193" s="64">
        <v>4.798</v>
      </c>
      <c r="D193" s="59" t="s">
        <v>975</v>
      </c>
      <c r="E193" s="61"/>
      <c r="F193" s="56"/>
      <c r="G193" s="65"/>
    </row>
    <row r="194" spans="1:7" ht="29.1" customHeight="1" x14ac:dyDescent="0.2">
      <c r="A194" s="61"/>
      <c r="B194" s="39" t="s">
        <v>1022</v>
      </c>
      <c r="C194" s="64">
        <v>4.6150000000000002</v>
      </c>
      <c r="D194" s="64">
        <v>4.6150000000000002</v>
      </c>
      <c r="E194" s="61"/>
      <c r="F194" s="56"/>
      <c r="G194" s="65"/>
    </row>
    <row r="195" spans="1:7" ht="14.1" customHeight="1" x14ac:dyDescent="0.2">
      <c r="A195" s="22"/>
      <c r="B195" s="19"/>
      <c r="C195" s="19"/>
      <c r="D195" s="22"/>
      <c r="E195" s="22"/>
      <c r="F195" s="22"/>
      <c r="G195" s="22"/>
    </row>
    <row r="196" spans="1:7" ht="29.1" customHeight="1" x14ac:dyDescent="0.2">
      <c r="A196" s="22"/>
      <c r="B196" s="323" t="s">
        <v>170</v>
      </c>
      <c r="C196" s="324"/>
      <c r="D196" s="2" t="s">
        <v>160</v>
      </c>
      <c r="E196" s="22"/>
      <c r="F196" s="22"/>
      <c r="G196" s="22"/>
    </row>
    <row r="197" spans="1:7" ht="29.1" customHeight="1" x14ac:dyDescent="0.2">
      <c r="A197" s="22"/>
      <c r="B197" s="323" t="s">
        <v>171</v>
      </c>
      <c r="C197" s="324"/>
      <c r="D197" s="2" t="s">
        <v>160</v>
      </c>
      <c r="E197" s="22"/>
      <c r="F197" s="22"/>
      <c r="G197" s="22"/>
    </row>
    <row r="198" spans="1:7" ht="17.100000000000001" customHeight="1" x14ac:dyDescent="0.2">
      <c r="A198" s="22"/>
      <c r="B198" s="323" t="s">
        <v>172</v>
      </c>
      <c r="C198" s="324"/>
      <c r="D198" s="27">
        <v>0.46637497666586131</v>
      </c>
      <c r="E198" s="22"/>
      <c r="F198" s="19"/>
      <c r="G198" s="25"/>
    </row>
    <row r="199" spans="1:7" ht="17.100000000000001" customHeight="1" x14ac:dyDescent="0.2">
      <c r="A199" s="22"/>
      <c r="B199" s="323" t="s">
        <v>173</v>
      </c>
      <c r="C199" s="324"/>
      <c r="D199" s="2" t="s">
        <v>160</v>
      </c>
      <c r="E199" s="22"/>
      <c r="F199" s="22"/>
      <c r="G199" s="22"/>
    </row>
  </sheetData>
  <mergeCells count="16">
    <mergeCell ref="B198:C198"/>
    <mergeCell ref="B199:C199"/>
    <mergeCell ref="B181:C181"/>
    <mergeCell ref="B182:C182"/>
    <mergeCell ref="B183:C183"/>
    <mergeCell ref="B191:C191"/>
    <mergeCell ref="B196:C196"/>
    <mergeCell ref="B197:C197"/>
    <mergeCell ref="A1:H1"/>
    <mergeCell ref="A2:H2"/>
    <mergeCell ref="A3:H3"/>
    <mergeCell ref="J2:N2"/>
    <mergeCell ref="B180:C180"/>
    <mergeCell ref="B175:F175"/>
    <mergeCell ref="B177:F177"/>
    <mergeCell ref="B176:F176"/>
  </mergeCells>
  <hyperlinks>
    <hyperlink ref="I1" location="Index!B30" display="Index" xr:uid="{D4A8395B-DD73-40A2-B898-2CFC3507317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O15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1039</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14</v>
      </c>
      <c r="C7" s="4" t="s">
        <v>15</v>
      </c>
      <c r="D7" s="4" t="s">
        <v>16</v>
      </c>
      <c r="E7" s="5">
        <v>935000</v>
      </c>
      <c r="F7" s="6">
        <v>8909.6149999999998</v>
      </c>
      <c r="G7" s="7">
        <v>8.9320049999999998E-2</v>
      </c>
      <c r="H7" s="49"/>
    </row>
    <row r="8" spans="1:15" ht="17.100000000000001" customHeight="1" x14ac:dyDescent="0.2">
      <c r="A8" s="3">
        <v>2</v>
      </c>
      <c r="B8" s="4" t="s">
        <v>263</v>
      </c>
      <c r="C8" s="4" t="s">
        <v>264</v>
      </c>
      <c r="D8" s="4" t="s">
        <v>16</v>
      </c>
      <c r="E8" s="5">
        <v>335117</v>
      </c>
      <c r="F8" s="6">
        <v>5390.1893865000002</v>
      </c>
      <c r="G8" s="7">
        <v>5.4037349999999998E-2</v>
      </c>
      <c r="H8" s="49"/>
    </row>
    <row r="9" spans="1:15" ht="17.100000000000001" customHeight="1" x14ac:dyDescent="0.2">
      <c r="A9" s="3">
        <v>3</v>
      </c>
      <c r="B9" s="4" t="s">
        <v>20</v>
      </c>
      <c r="C9" s="4" t="s">
        <v>21</v>
      </c>
      <c r="D9" s="4" t="s">
        <v>22</v>
      </c>
      <c r="E9" s="5">
        <v>175000</v>
      </c>
      <c r="F9" s="6">
        <v>4779.8625000000002</v>
      </c>
      <c r="G9" s="7">
        <v>4.7918743E-2</v>
      </c>
      <c r="H9" s="49"/>
    </row>
    <row r="10" spans="1:15" ht="17.100000000000001" customHeight="1" x14ac:dyDescent="0.2">
      <c r="A10" s="3">
        <v>4</v>
      </c>
      <c r="B10" s="4" t="s">
        <v>294</v>
      </c>
      <c r="C10" s="4" t="s">
        <v>295</v>
      </c>
      <c r="D10" s="4" t="s">
        <v>974</v>
      </c>
      <c r="E10" s="5">
        <v>288000</v>
      </c>
      <c r="F10" s="6">
        <v>4708.6559999999999</v>
      </c>
      <c r="G10" s="7">
        <v>4.7204889E-2</v>
      </c>
      <c r="H10" s="49"/>
    </row>
    <row r="11" spans="1:15" ht="17.100000000000001" customHeight="1" x14ac:dyDescent="0.2">
      <c r="A11" s="3">
        <v>5</v>
      </c>
      <c r="B11" s="4" t="s">
        <v>39</v>
      </c>
      <c r="C11" s="4" t="s">
        <v>40</v>
      </c>
      <c r="D11" s="4" t="s">
        <v>16</v>
      </c>
      <c r="E11" s="5">
        <v>770000</v>
      </c>
      <c r="F11" s="6">
        <v>4638.8649999999998</v>
      </c>
      <c r="G11" s="7">
        <v>4.6505224999999997E-2</v>
      </c>
      <c r="H11" s="49"/>
    </row>
    <row r="12" spans="1:15" ht="29.1" customHeight="1" x14ac:dyDescent="0.2">
      <c r="A12" s="3">
        <v>6</v>
      </c>
      <c r="B12" s="4" t="s">
        <v>296</v>
      </c>
      <c r="C12" s="4" t="s">
        <v>297</v>
      </c>
      <c r="D12" s="4" t="s">
        <v>103</v>
      </c>
      <c r="E12" s="5">
        <v>157000</v>
      </c>
      <c r="F12" s="6">
        <v>4227.3035</v>
      </c>
      <c r="G12" s="7">
        <v>4.2379267999999998E-2</v>
      </c>
      <c r="H12" s="49"/>
    </row>
    <row r="13" spans="1:15" ht="17.100000000000001" customHeight="1" x14ac:dyDescent="0.2">
      <c r="A13" s="3">
        <v>7</v>
      </c>
      <c r="B13" s="4" t="s">
        <v>180</v>
      </c>
      <c r="C13" s="4" t="s">
        <v>181</v>
      </c>
      <c r="D13" s="4" t="s">
        <v>16</v>
      </c>
      <c r="E13" s="5">
        <v>410005</v>
      </c>
      <c r="F13" s="6">
        <v>3695.1700624999999</v>
      </c>
      <c r="G13" s="7">
        <v>3.7044560999999997E-2</v>
      </c>
      <c r="H13" s="49"/>
      <c r="J13" s="217" t="s">
        <v>1086</v>
      </c>
    </row>
    <row r="14" spans="1:15" ht="53.1" customHeight="1" x14ac:dyDescent="0.2">
      <c r="A14" s="3">
        <v>8</v>
      </c>
      <c r="B14" s="4" t="s">
        <v>49</v>
      </c>
      <c r="C14" s="4" t="s">
        <v>50</v>
      </c>
      <c r="D14" s="4" t="s">
        <v>51</v>
      </c>
      <c r="E14" s="5">
        <v>2405310</v>
      </c>
      <c r="F14" s="6">
        <v>3579.1012799999999</v>
      </c>
      <c r="G14" s="7">
        <v>3.5880955999999999E-2</v>
      </c>
      <c r="H14" s="49"/>
    </row>
    <row r="15" spans="1:15" ht="17.100000000000001" customHeight="1" x14ac:dyDescent="0.2">
      <c r="A15" s="3">
        <v>9</v>
      </c>
      <c r="B15" s="4" t="s">
        <v>44</v>
      </c>
      <c r="C15" s="4" t="s">
        <v>45</v>
      </c>
      <c r="D15" s="4" t="s">
        <v>31</v>
      </c>
      <c r="E15" s="5">
        <v>116000</v>
      </c>
      <c r="F15" s="6">
        <v>2975.4</v>
      </c>
      <c r="G15" s="7">
        <v>2.9828772E-2</v>
      </c>
      <c r="H15" s="49"/>
    </row>
    <row r="16" spans="1:15" ht="17.100000000000001" customHeight="1" x14ac:dyDescent="0.2">
      <c r="A16" s="3">
        <v>10</v>
      </c>
      <c r="B16" s="4" t="s">
        <v>70</v>
      </c>
      <c r="C16" s="4" t="s">
        <v>71</v>
      </c>
      <c r="D16" s="4" t="s">
        <v>72</v>
      </c>
      <c r="E16" s="5">
        <v>32000</v>
      </c>
      <c r="F16" s="6">
        <v>2871.7280000000001</v>
      </c>
      <c r="G16" s="7">
        <v>2.8789446999999999E-2</v>
      </c>
      <c r="H16" s="49"/>
    </row>
    <row r="17" spans="1:10" ht="17.100000000000001" customHeight="1" x14ac:dyDescent="0.2">
      <c r="A17" s="3">
        <v>11</v>
      </c>
      <c r="B17" s="4" t="s">
        <v>302</v>
      </c>
      <c r="C17" s="4" t="s">
        <v>303</v>
      </c>
      <c r="D17" s="4" t="s">
        <v>974</v>
      </c>
      <c r="E17" s="5">
        <v>78000</v>
      </c>
      <c r="F17" s="6">
        <v>2644.8240000000001</v>
      </c>
      <c r="G17" s="7">
        <v>2.6514705E-2</v>
      </c>
      <c r="H17" s="49"/>
    </row>
    <row r="18" spans="1:10" ht="17.100000000000001" customHeight="1" x14ac:dyDescent="0.2">
      <c r="A18" s="3">
        <v>12</v>
      </c>
      <c r="B18" s="4" t="s">
        <v>337</v>
      </c>
      <c r="C18" s="4" t="s">
        <v>1204</v>
      </c>
      <c r="D18" s="4" t="s">
        <v>19</v>
      </c>
      <c r="E18" s="5">
        <v>443000</v>
      </c>
      <c r="F18" s="6">
        <v>2058.3995</v>
      </c>
      <c r="G18" s="7">
        <v>2.0635723000000002E-2</v>
      </c>
      <c r="H18" s="49"/>
    </row>
    <row r="19" spans="1:10" ht="17.100000000000001" customHeight="1" x14ac:dyDescent="0.2">
      <c r="A19" s="3">
        <v>13</v>
      </c>
      <c r="B19" s="4" t="s">
        <v>231</v>
      </c>
      <c r="C19" s="4" t="s">
        <v>232</v>
      </c>
      <c r="D19" s="4" t="s">
        <v>233</v>
      </c>
      <c r="E19" s="5">
        <v>361925</v>
      </c>
      <c r="F19" s="6">
        <v>1979.1868625</v>
      </c>
      <c r="G19" s="7">
        <v>1.9841606000000001E-2</v>
      </c>
      <c r="H19" s="49"/>
    </row>
    <row r="20" spans="1:10" ht="29.1" customHeight="1" x14ac:dyDescent="0.2">
      <c r="A20" s="3">
        <v>14</v>
      </c>
      <c r="B20" s="4" t="s">
        <v>304</v>
      </c>
      <c r="C20" s="4" t="s">
        <v>305</v>
      </c>
      <c r="D20" s="4" t="s">
        <v>215</v>
      </c>
      <c r="E20" s="5">
        <v>176000</v>
      </c>
      <c r="F20" s="6">
        <v>1841.048</v>
      </c>
      <c r="G20" s="7">
        <v>1.8456746E-2</v>
      </c>
      <c r="H20" s="49"/>
    </row>
    <row r="21" spans="1:10" ht="17.100000000000001" customHeight="1" x14ac:dyDescent="0.2">
      <c r="A21" s="3">
        <v>15</v>
      </c>
      <c r="B21" s="4" t="s">
        <v>306</v>
      </c>
      <c r="C21" s="4" t="s">
        <v>307</v>
      </c>
      <c r="D21" s="4" t="s">
        <v>308</v>
      </c>
      <c r="E21" s="5">
        <v>68396</v>
      </c>
      <c r="F21" s="6">
        <v>1835.988026</v>
      </c>
      <c r="G21" s="7">
        <v>1.8406018999999999E-2</v>
      </c>
      <c r="H21" s="49"/>
    </row>
    <row r="22" spans="1:10" ht="17.100000000000001" customHeight="1" x14ac:dyDescent="0.2">
      <c r="A22" s="3">
        <v>16</v>
      </c>
      <c r="B22" s="4" t="s">
        <v>36</v>
      </c>
      <c r="C22" s="4" t="s">
        <v>37</v>
      </c>
      <c r="D22" s="4" t="s">
        <v>38</v>
      </c>
      <c r="E22" s="5">
        <v>60212</v>
      </c>
      <c r="F22" s="6">
        <v>1806.7814840000001</v>
      </c>
      <c r="G22" s="7">
        <v>1.8113219E-2</v>
      </c>
      <c r="H22" s="49"/>
      <c r="J22" s="217" t="s">
        <v>1094</v>
      </c>
    </row>
    <row r="23" spans="1:10" ht="17.100000000000001" customHeight="1" x14ac:dyDescent="0.2">
      <c r="A23" s="3">
        <v>17</v>
      </c>
      <c r="B23" s="4" t="s">
        <v>182</v>
      </c>
      <c r="C23" s="4" t="s">
        <v>183</v>
      </c>
      <c r="D23" s="4" t="s">
        <v>16</v>
      </c>
      <c r="E23" s="5">
        <v>1077030</v>
      </c>
      <c r="F23" s="6">
        <v>1790.562375</v>
      </c>
      <c r="G23" s="7">
        <v>1.7950621E-2</v>
      </c>
      <c r="H23" s="49"/>
    </row>
    <row r="24" spans="1:10" ht="17.100000000000001" customHeight="1" x14ac:dyDescent="0.2">
      <c r="A24" s="3">
        <v>18</v>
      </c>
      <c r="B24" s="4" t="s">
        <v>352</v>
      </c>
      <c r="C24" s="4" t="s">
        <v>353</v>
      </c>
      <c r="D24" s="4" t="s">
        <v>72</v>
      </c>
      <c r="E24" s="5">
        <v>403269</v>
      </c>
      <c r="F24" s="6">
        <v>1771.963986</v>
      </c>
      <c r="G24" s="7">
        <v>1.7764169999999999E-2</v>
      </c>
      <c r="H24" s="49"/>
    </row>
    <row r="25" spans="1:10" ht="17.100000000000001" customHeight="1" x14ac:dyDescent="0.2">
      <c r="A25" s="3">
        <v>19</v>
      </c>
      <c r="B25" s="4" t="s">
        <v>175</v>
      </c>
      <c r="C25" s="4" t="s">
        <v>176</v>
      </c>
      <c r="D25" s="4" t="s">
        <v>16</v>
      </c>
      <c r="E25" s="5">
        <v>1292000</v>
      </c>
      <c r="F25" s="6">
        <v>1698.3340000000001</v>
      </c>
      <c r="G25" s="7">
        <v>1.7026019E-2</v>
      </c>
      <c r="H25" s="49"/>
    </row>
    <row r="26" spans="1:10" ht="17.100000000000001" customHeight="1" x14ac:dyDescent="0.2">
      <c r="A26" s="3">
        <v>20</v>
      </c>
      <c r="B26" s="4" t="s">
        <v>340</v>
      </c>
      <c r="C26" s="4" t="s">
        <v>341</v>
      </c>
      <c r="D26" s="4" t="s">
        <v>16</v>
      </c>
      <c r="E26" s="5">
        <v>489000</v>
      </c>
      <c r="F26" s="6">
        <v>1538.883</v>
      </c>
      <c r="G26" s="7">
        <v>1.5427501999999999E-2</v>
      </c>
      <c r="H26" s="49"/>
    </row>
    <row r="27" spans="1:10" ht="17.100000000000001" customHeight="1" x14ac:dyDescent="0.2">
      <c r="A27" s="3">
        <v>21</v>
      </c>
      <c r="B27" s="4" t="s">
        <v>11</v>
      </c>
      <c r="C27" s="4" t="s">
        <v>12</v>
      </c>
      <c r="D27" s="4" t="s">
        <v>13</v>
      </c>
      <c r="E27" s="5">
        <v>70588</v>
      </c>
      <c r="F27" s="6">
        <v>1464.595118</v>
      </c>
      <c r="G27" s="7">
        <v>1.4682756999999999E-2</v>
      </c>
      <c r="H27" s="49"/>
    </row>
    <row r="28" spans="1:10" ht="17.100000000000001" customHeight="1" x14ac:dyDescent="0.2">
      <c r="A28" s="3">
        <v>22</v>
      </c>
      <c r="B28" s="4" t="s">
        <v>498</v>
      </c>
      <c r="C28" s="4" t="s">
        <v>499</v>
      </c>
      <c r="D28" s="4" t="s">
        <v>317</v>
      </c>
      <c r="E28" s="5">
        <v>33000</v>
      </c>
      <c r="F28" s="6">
        <v>1453.7655</v>
      </c>
      <c r="G28" s="7">
        <v>1.4574188E-2</v>
      </c>
      <c r="H28" s="49"/>
    </row>
    <row r="29" spans="1:10" ht="53.1" customHeight="1" x14ac:dyDescent="0.2">
      <c r="A29" s="3">
        <v>23</v>
      </c>
      <c r="B29" s="4" t="s">
        <v>94</v>
      </c>
      <c r="C29" s="4" t="s">
        <v>95</v>
      </c>
      <c r="D29" s="4" t="s">
        <v>51</v>
      </c>
      <c r="E29" s="5">
        <v>98510</v>
      </c>
      <c r="F29" s="6">
        <v>1446.570095</v>
      </c>
      <c r="G29" s="7">
        <v>1.4502053000000001E-2</v>
      </c>
      <c r="H29" s="49"/>
    </row>
    <row r="30" spans="1:10" ht="29.1" customHeight="1" x14ac:dyDescent="0.2">
      <c r="A30" s="3">
        <v>24</v>
      </c>
      <c r="B30" s="4" t="s">
        <v>189</v>
      </c>
      <c r="C30" s="4" t="s">
        <v>190</v>
      </c>
      <c r="D30" s="4" t="s">
        <v>108</v>
      </c>
      <c r="E30" s="5">
        <v>394000</v>
      </c>
      <c r="F30" s="6">
        <v>1429.6289999999999</v>
      </c>
      <c r="G30" s="7">
        <v>1.4332217E-2</v>
      </c>
      <c r="H30" s="49"/>
    </row>
    <row r="31" spans="1:10" ht="29.1" customHeight="1" x14ac:dyDescent="0.2">
      <c r="A31" s="3">
        <v>25</v>
      </c>
      <c r="B31" s="4" t="s">
        <v>101</v>
      </c>
      <c r="C31" s="4" t="s">
        <v>102</v>
      </c>
      <c r="D31" s="4" t="s">
        <v>103</v>
      </c>
      <c r="E31" s="5">
        <v>197572</v>
      </c>
      <c r="F31" s="6">
        <v>1412.3434420000001</v>
      </c>
      <c r="G31" s="7">
        <v>1.4158927E-2</v>
      </c>
      <c r="H31" s="49"/>
    </row>
    <row r="32" spans="1:10" ht="17.100000000000001" customHeight="1" x14ac:dyDescent="0.2">
      <c r="A32" s="3">
        <v>26</v>
      </c>
      <c r="B32" s="4" t="s">
        <v>259</v>
      </c>
      <c r="C32" s="4" t="s">
        <v>260</v>
      </c>
      <c r="D32" s="4" t="s">
        <v>103</v>
      </c>
      <c r="E32" s="5">
        <v>80000</v>
      </c>
      <c r="F32" s="6">
        <v>1301.2</v>
      </c>
      <c r="G32" s="7">
        <v>1.3044699E-2</v>
      </c>
      <c r="H32" s="49"/>
    </row>
    <row r="33" spans="1:8" ht="17.100000000000001" customHeight="1" x14ac:dyDescent="0.2">
      <c r="A33" s="3">
        <v>27</v>
      </c>
      <c r="B33" s="4" t="s">
        <v>236</v>
      </c>
      <c r="C33" s="4" t="s">
        <v>237</v>
      </c>
      <c r="D33" s="4" t="s">
        <v>238</v>
      </c>
      <c r="E33" s="5">
        <v>175000</v>
      </c>
      <c r="F33" s="6">
        <v>1234.8</v>
      </c>
      <c r="G33" s="7">
        <v>1.2379031E-2</v>
      </c>
      <c r="H33" s="49"/>
    </row>
    <row r="34" spans="1:8" ht="17.100000000000001" customHeight="1" x14ac:dyDescent="0.2">
      <c r="A34" s="3">
        <v>28</v>
      </c>
      <c r="B34" s="4" t="s">
        <v>537</v>
      </c>
      <c r="C34" s="4" t="s">
        <v>538</v>
      </c>
      <c r="D34" s="4" t="s">
        <v>108</v>
      </c>
      <c r="E34" s="5">
        <v>165000</v>
      </c>
      <c r="F34" s="6">
        <v>1188.9075</v>
      </c>
      <c r="G34" s="7">
        <v>1.1918952E-2</v>
      </c>
      <c r="H34" s="49"/>
    </row>
    <row r="35" spans="1:8" ht="29.1" customHeight="1" x14ac:dyDescent="0.2">
      <c r="A35" s="3">
        <v>29</v>
      </c>
      <c r="B35" s="4" t="s">
        <v>197</v>
      </c>
      <c r="C35" s="4" t="s">
        <v>198</v>
      </c>
      <c r="D35" s="4" t="s">
        <v>193</v>
      </c>
      <c r="E35" s="5">
        <v>26290</v>
      </c>
      <c r="F35" s="6">
        <v>1141.630105</v>
      </c>
      <c r="G35" s="7">
        <v>1.144499E-2</v>
      </c>
      <c r="H35" s="49"/>
    </row>
    <row r="36" spans="1:8" ht="29.1" customHeight="1" x14ac:dyDescent="0.2">
      <c r="A36" s="3">
        <v>30</v>
      </c>
      <c r="B36" s="4" t="s">
        <v>23</v>
      </c>
      <c r="C36" s="4" t="s">
        <v>24</v>
      </c>
      <c r="D36" s="4" t="s">
        <v>25</v>
      </c>
      <c r="E36" s="5">
        <v>16000</v>
      </c>
      <c r="F36" s="6">
        <v>1132.32</v>
      </c>
      <c r="G36" s="7">
        <v>1.1351655E-2</v>
      </c>
      <c r="H36" s="49"/>
    </row>
    <row r="37" spans="1:8" ht="17.100000000000001" customHeight="1" x14ac:dyDescent="0.2">
      <c r="A37" s="3">
        <v>31</v>
      </c>
      <c r="B37" s="4" t="s">
        <v>104</v>
      </c>
      <c r="C37" s="4" t="s">
        <v>105</v>
      </c>
      <c r="D37" s="4" t="s">
        <v>100</v>
      </c>
      <c r="E37" s="5">
        <v>116000</v>
      </c>
      <c r="F37" s="6">
        <v>1071.7239999999999</v>
      </c>
      <c r="G37" s="7">
        <v>1.0744172999999999E-2</v>
      </c>
      <c r="H37" s="49"/>
    </row>
    <row r="38" spans="1:8" ht="17.100000000000001" customHeight="1" x14ac:dyDescent="0.2">
      <c r="A38" s="3">
        <v>32</v>
      </c>
      <c r="B38" s="4" t="s">
        <v>519</v>
      </c>
      <c r="C38" s="4" t="s">
        <v>520</v>
      </c>
      <c r="D38" s="4" t="s">
        <v>72</v>
      </c>
      <c r="E38" s="5">
        <v>68000</v>
      </c>
      <c r="F38" s="6">
        <v>1060.9359999999999</v>
      </c>
      <c r="G38" s="7">
        <v>1.0636021000000001E-2</v>
      </c>
      <c r="H38" s="49"/>
    </row>
    <row r="39" spans="1:8" ht="17.100000000000001" customHeight="1" x14ac:dyDescent="0.2">
      <c r="A39" s="3">
        <v>33</v>
      </c>
      <c r="B39" s="4" t="s">
        <v>354</v>
      </c>
      <c r="C39" s="4" t="s">
        <v>355</v>
      </c>
      <c r="D39" s="4" t="s">
        <v>188</v>
      </c>
      <c r="E39" s="5">
        <v>26000</v>
      </c>
      <c r="F39" s="6">
        <v>1046.6300000000001</v>
      </c>
      <c r="G39" s="7">
        <v>1.0492602E-2</v>
      </c>
      <c r="H39" s="49"/>
    </row>
    <row r="40" spans="1:8" ht="17.100000000000001" customHeight="1" x14ac:dyDescent="0.2">
      <c r="A40" s="3">
        <v>34</v>
      </c>
      <c r="B40" s="4" t="s">
        <v>109</v>
      </c>
      <c r="C40" s="4" t="s">
        <v>110</v>
      </c>
      <c r="D40" s="4" t="s">
        <v>89</v>
      </c>
      <c r="E40" s="5">
        <v>211755</v>
      </c>
      <c r="F40" s="6">
        <v>962.32059749999996</v>
      </c>
      <c r="G40" s="7">
        <v>9.6473889999999993E-3</v>
      </c>
      <c r="H40" s="49"/>
    </row>
    <row r="41" spans="1:8" ht="17.100000000000001" customHeight="1" x14ac:dyDescent="0.2">
      <c r="A41" s="3">
        <v>35</v>
      </c>
      <c r="B41" s="4" t="s">
        <v>194</v>
      </c>
      <c r="C41" s="4" t="s">
        <v>195</v>
      </c>
      <c r="D41" s="4" t="s">
        <v>196</v>
      </c>
      <c r="E41" s="5">
        <v>2000</v>
      </c>
      <c r="F41" s="6">
        <v>948.33299999999997</v>
      </c>
      <c r="G41" s="7">
        <v>9.5071619999999996E-3</v>
      </c>
      <c r="H41" s="49"/>
    </row>
    <row r="42" spans="1:8" ht="17.100000000000001" customHeight="1" x14ac:dyDescent="0.2">
      <c r="A42" s="3">
        <v>36</v>
      </c>
      <c r="B42" s="4" t="s">
        <v>586</v>
      </c>
      <c r="C42" s="4" t="s">
        <v>587</v>
      </c>
      <c r="D42" s="4" t="s">
        <v>43</v>
      </c>
      <c r="E42" s="5">
        <v>48000</v>
      </c>
      <c r="F42" s="6">
        <v>929.976</v>
      </c>
      <c r="G42" s="7">
        <v>9.3231300000000007E-3</v>
      </c>
      <c r="H42" s="49"/>
    </row>
    <row r="43" spans="1:8" ht="17.100000000000001" customHeight="1" x14ac:dyDescent="0.2">
      <c r="A43" s="3">
        <v>37</v>
      </c>
      <c r="B43" s="4" t="s">
        <v>595</v>
      </c>
      <c r="C43" s="4" t="s">
        <v>596</v>
      </c>
      <c r="D43" s="4" t="s">
        <v>267</v>
      </c>
      <c r="E43" s="5">
        <v>56776</v>
      </c>
      <c r="F43" s="6">
        <v>915.82526800000005</v>
      </c>
      <c r="G43" s="7">
        <v>9.1812669999999999E-3</v>
      </c>
      <c r="H43" s="49"/>
    </row>
    <row r="44" spans="1:8" ht="17.100000000000001" customHeight="1" x14ac:dyDescent="0.2">
      <c r="A44" s="3">
        <v>38</v>
      </c>
      <c r="B44" s="4" t="s">
        <v>502</v>
      </c>
      <c r="C44" s="4" t="s">
        <v>503</v>
      </c>
      <c r="D44" s="4" t="s">
        <v>317</v>
      </c>
      <c r="E44" s="5">
        <v>36000</v>
      </c>
      <c r="F44" s="6">
        <v>827.55</v>
      </c>
      <c r="G44" s="7">
        <v>8.2962959999999999E-3</v>
      </c>
      <c r="H44" s="49"/>
    </row>
    <row r="45" spans="1:8" ht="17.100000000000001" customHeight="1" x14ac:dyDescent="0.2">
      <c r="A45" s="3">
        <v>39</v>
      </c>
      <c r="B45" s="4" t="s">
        <v>531</v>
      </c>
      <c r="C45" s="4" t="s">
        <v>532</v>
      </c>
      <c r="D45" s="4" t="s">
        <v>89</v>
      </c>
      <c r="E45" s="5">
        <v>278622</v>
      </c>
      <c r="F45" s="6">
        <v>820.54178999999999</v>
      </c>
      <c r="G45" s="7">
        <v>8.2260379999999998E-3</v>
      </c>
      <c r="H45" s="49"/>
    </row>
    <row r="46" spans="1:8" ht="29.1" customHeight="1" x14ac:dyDescent="0.2">
      <c r="A46" s="3">
        <v>40</v>
      </c>
      <c r="B46" s="4" t="s">
        <v>590</v>
      </c>
      <c r="C46" s="4" t="s">
        <v>591</v>
      </c>
      <c r="D46" s="4" t="s">
        <v>193</v>
      </c>
      <c r="E46" s="5">
        <v>50000</v>
      </c>
      <c r="F46" s="6">
        <v>748.15</v>
      </c>
      <c r="G46" s="7">
        <v>7.500301E-3</v>
      </c>
      <c r="H46" s="49"/>
    </row>
    <row r="47" spans="1:8" ht="17.100000000000001" customHeight="1" x14ac:dyDescent="0.2">
      <c r="A47" s="3">
        <v>41</v>
      </c>
      <c r="B47" s="4" t="s">
        <v>298</v>
      </c>
      <c r="C47" s="4" t="s">
        <v>299</v>
      </c>
      <c r="D47" s="4" t="s">
        <v>238</v>
      </c>
      <c r="E47" s="5">
        <v>58000</v>
      </c>
      <c r="F47" s="6">
        <v>744.08199999999999</v>
      </c>
      <c r="G47" s="7">
        <v>7.4595190000000004E-3</v>
      </c>
      <c r="H47" s="49"/>
    </row>
    <row r="48" spans="1:8" ht="29.1" customHeight="1" x14ac:dyDescent="0.2">
      <c r="A48" s="3">
        <v>42</v>
      </c>
      <c r="B48" s="4" t="s">
        <v>597</v>
      </c>
      <c r="C48" s="4" t="s">
        <v>598</v>
      </c>
      <c r="D48" s="4" t="s">
        <v>238</v>
      </c>
      <c r="E48" s="5">
        <v>61375</v>
      </c>
      <c r="F48" s="6">
        <v>743.34331250000002</v>
      </c>
      <c r="G48" s="7">
        <v>7.4521129999999998E-3</v>
      </c>
      <c r="H48" s="49"/>
    </row>
    <row r="49" spans="1:8" ht="17.100000000000001" customHeight="1" x14ac:dyDescent="0.2">
      <c r="A49" s="3">
        <v>43</v>
      </c>
      <c r="B49" s="4" t="s">
        <v>588</v>
      </c>
      <c r="C49" s="4" t="s">
        <v>589</v>
      </c>
      <c r="D49" s="4" t="s">
        <v>179</v>
      </c>
      <c r="E49" s="5">
        <v>77000</v>
      </c>
      <c r="F49" s="6">
        <v>717.87099999999998</v>
      </c>
      <c r="G49" s="7">
        <v>7.19675E-3</v>
      </c>
      <c r="H49" s="49"/>
    </row>
    <row r="50" spans="1:8" ht="29.1" customHeight="1" x14ac:dyDescent="0.2">
      <c r="A50" s="3">
        <v>44</v>
      </c>
      <c r="B50" s="4" t="s">
        <v>249</v>
      </c>
      <c r="C50" s="4" t="s">
        <v>250</v>
      </c>
      <c r="D50" s="4" t="s">
        <v>215</v>
      </c>
      <c r="E50" s="5">
        <v>79880</v>
      </c>
      <c r="F50" s="6">
        <v>693.35839999999996</v>
      </c>
      <c r="G50" s="7">
        <v>6.9510079999999998E-3</v>
      </c>
      <c r="H50" s="49"/>
    </row>
    <row r="51" spans="1:8" ht="17.100000000000001" customHeight="1" x14ac:dyDescent="0.2">
      <c r="A51" s="3">
        <v>45</v>
      </c>
      <c r="B51" s="4" t="s">
        <v>719</v>
      </c>
      <c r="C51" s="4" t="s">
        <v>720</v>
      </c>
      <c r="D51" s="4" t="s">
        <v>974</v>
      </c>
      <c r="E51" s="5">
        <v>17000</v>
      </c>
      <c r="F51" s="6">
        <v>686.17100000000005</v>
      </c>
      <c r="G51" s="7">
        <v>6.8789539999999996E-3</v>
      </c>
      <c r="H51" s="49"/>
    </row>
    <row r="52" spans="1:8" ht="17.100000000000001" customHeight="1" x14ac:dyDescent="0.2">
      <c r="A52" s="3">
        <v>46</v>
      </c>
      <c r="B52" s="4" t="s">
        <v>87</v>
      </c>
      <c r="C52" s="4" t="s">
        <v>88</v>
      </c>
      <c r="D52" s="4" t="s">
        <v>89</v>
      </c>
      <c r="E52" s="5">
        <v>24000</v>
      </c>
      <c r="F52" s="6">
        <v>642.08399999999995</v>
      </c>
      <c r="G52" s="7">
        <v>6.4369759999999996E-3</v>
      </c>
      <c r="H52" s="49"/>
    </row>
    <row r="53" spans="1:8" ht="17.100000000000001" customHeight="1" x14ac:dyDescent="0.2">
      <c r="A53" s="3">
        <v>47</v>
      </c>
      <c r="B53" s="4" t="s">
        <v>515</v>
      </c>
      <c r="C53" s="4" t="s">
        <v>516</v>
      </c>
      <c r="D53" s="4" t="s">
        <v>974</v>
      </c>
      <c r="E53" s="5">
        <v>50504</v>
      </c>
      <c r="F53" s="6">
        <v>611.07314799999995</v>
      </c>
      <c r="G53" s="7">
        <v>6.126088E-3</v>
      </c>
      <c r="H53" s="49"/>
    </row>
    <row r="54" spans="1:8" ht="17.100000000000001" customHeight="1" x14ac:dyDescent="0.2">
      <c r="A54" s="3">
        <v>48</v>
      </c>
      <c r="B54" s="4" t="s">
        <v>243</v>
      </c>
      <c r="C54" s="4" t="s">
        <v>244</v>
      </c>
      <c r="D54" s="4" t="s">
        <v>227</v>
      </c>
      <c r="E54" s="5">
        <v>200000</v>
      </c>
      <c r="F54" s="6">
        <v>580.20000000000005</v>
      </c>
      <c r="G54" s="7">
        <v>5.81658E-3</v>
      </c>
      <c r="H54" s="49"/>
    </row>
    <row r="55" spans="1:8" ht="29.1" customHeight="1" x14ac:dyDescent="0.2">
      <c r="A55" s="3">
        <v>49</v>
      </c>
      <c r="B55" s="4" t="s">
        <v>348</v>
      </c>
      <c r="C55" s="4" t="s">
        <v>349</v>
      </c>
      <c r="D55" s="4" t="s">
        <v>215</v>
      </c>
      <c r="E55" s="5">
        <v>14839</v>
      </c>
      <c r="F55" s="6">
        <v>505.223433</v>
      </c>
      <c r="G55" s="7">
        <v>5.0649309999999999E-3</v>
      </c>
      <c r="H55" s="49"/>
    </row>
    <row r="56" spans="1:8" ht="29.1" customHeight="1" x14ac:dyDescent="0.2">
      <c r="A56" s="3">
        <v>50</v>
      </c>
      <c r="B56" s="4" t="s">
        <v>251</v>
      </c>
      <c r="C56" s="4" t="s">
        <v>252</v>
      </c>
      <c r="D56" s="4" t="s">
        <v>215</v>
      </c>
      <c r="E56" s="5">
        <v>27000</v>
      </c>
      <c r="F56" s="6">
        <v>480.50549999999998</v>
      </c>
      <c r="G56" s="7">
        <v>4.8171300000000002E-3</v>
      </c>
      <c r="H56" s="49"/>
    </row>
    <row r="57" spans="1:8" ht="17.100000000000001" customHeight="1" x14ac:dyDescent="0.2">
      <c r="A57" s="3">
        <v>51</v>
      </c>
      <c r="B57" s="4" t="s">
        <v>332</v>
      </c>
      <c r="C57" s="4" t="s">
        <v>333</v>
      </c>
      <c r="D57" s="4" t="s">
        <v>218</v>
      </c>
      <c r="E57" s="5">
        <v>427730</v>
      </c>
      <c r="F57" s="6">
        <v>460.451345</v>
      </c>
      <c r="G57" s="7">
        <v>4.6160849999999998E-3</v>
      </c>
      <c r="H57" s="49"/>
    </row>
    <row r="58" spans="1:8" ht="17.100000000000001" customHeight="1" x14ac:dyDescent="0.2">
      <c r="A58" s="3">
        <v>52</v>
      </c>
      <c r="B58" s="4" t="s">
        <v>318</v>
      </c>
      <c r="C58" s="4" t="s">
        <v>319</v>
      </c>
      <c r="D58" s="4" t="s">
        <v>233</v>
      </c>
      <c r="E58" s="5">
        <v>34000</v>
      </c>
      <c r="F58" s="6">
        <v>459</v>
      </c>
      <c r="G58" s="7">
        <v>4.6015350000000003E-3</v>
      </c>
      <c r="H58" s="49"/>
    </row>
    <row r="59" spans="1:8" ht="17.100000000000001" customHeight="1" x14ac:dyDescent="0.2">
      <c r="A59" s="3">
        <v>53</v>
      </c>
      <c r="B59" s="4" t="s">
        <v>372</v>
      </c>
      <c r="C59" s="4" t="s">
        <v>373</v>
      </c>
      <c r="D59" s="4" t="s">
        <v>103</v>
      </c>
      <c r="E59" s="5">
        <v>80000</v>
      </c>
      <c r="F59" s="6">
        <v>442.44</v>
      </c>
      <c r="G59" s="7">
        <v>4.4355189999999997E-3</v>
      </c>
      <c r="H59" s="49"/>
    </row>
    <row r="60" spans="1:8" ht="17.100000000000001" customHeight="1" x14ac:dyDescent="0.2">
      <c r="A60" s="3">
        <v>54</v>
      </c>
      <c r="B60" s="4" t="s">
        <v>268</v>
      </c>
      <c r="C60" s="4" t="s">
        <v>269</v>
      </c>
      <c r="D60" s="4" t="s">
        <v>89</v>
      </c>
      <c r="E60" s="5">
        <v>80000</v>
      </c>
      <c r="F60" s="6">
        <v>440.12</v>
      </c>
      <c r="G60" s="7">
        <v>4.4122600000000003E-3</v>
      </c>
      <c r="H60" s="49"/>
    </row>
    <row r="61" spans="1:8" ht="29.1" customHeight="1" x14ac:dyDescent="0.2">
      <c r="A61" s="3">
        <v>55</v>
      </c>
      <c r="B61" s="4" t="s">
        <v>484</v>
      </c>
      <c r="C61" s="4" t="s">
        <v>485</v>
      </c>
      <c r="D61" s="92" t="s">
        <v>215</v>
      </c>
      <c r="E61" s="93">
        <v>37000</v>
      </c>
      <c r="F61" s="94">
        <v>421.6705</v>
      </c>
      <c r="G61" s="95">
        <v>4.2273019999999996E-3</v>
      </c>
      <c r="H61" s="47"/>
    </row>
    <row r="62" spans="1:8" ht="17.100000000000001" customHeight="1" x14ac:dyDescent="0.2">
      <c r="A62" s="3">
        <v>56</v>
      </c>
      <c r="B62" s="4" t="s">
        <v>320</v>
      </c>
      <c r="C62" s="4" t="s">
        <v>321</v>
      </c>
      <c r="D62" s="92" t="s">
        <v>974</v>
      </c>
      <c r="E62" s="93">
        <v>91000</v>
      </c>
      <c r="F62" s="94">
        <v>370.279</v>
      </c>
      <c r="G62" s="95">
        <v>3.7120949999999999E-3</v>
      </c>
      <c r="H62" s="47"/>
    </row>
    <row r="63" spans="1:8" ht="17.100000000000001" customHeight="1" x14ac:dyDescent="0.2">
      <c r="A63" s="3">
        <v>57</v>
      </c>
      <c r="B63" s="4" t="s">
        <v>241</v>
      </c>
      <c r="C63" s="4" t="s">
        <v>242</v>
      </c>
      <c r="D63" s="92" t="s">
        <v>108</v>
      </c>
      <c r="E63" s="93">
        <v>44000</v>
      </c>
      <c r="F63" s="94">
        <v>360.58</v>
      </c>
      <c r="G63" s="95">
        <v>3.614861E-3</v>
      </c>
      <c r="H63" s="47"/>
    </row>
    <row r="64" spans="1:8" ht="17.100000000000001" customHeight="1" x14ac:dyDescent="0.2">
      <c r="A64" s="3">
        <v>58</v>
      </c>
      <c r="B64" s="4" t="s">
        <v>125</v>
      </c>
      <c r="C64" s="4" t="s">
        <v>126</v>
      </c>
      <c r="D64" s="92"/>
      <c r="E64" s="93">
        <v>98510</v>
      </c>
      <c r="F64" s="94">
        <v>297.25392499999998</v>
      </c>
      <c r="G64" s="95">
        <v>2.980009E-3</v>
      </c>
      <c r="H64" s="47"/>
    </row>
    <row r="65" spans="1:8" ht="17.100000000000001" customHeight="1" x14ac:dyDescent="0.2">
      <c r="A65" s="3">
        <v>59</v>
      </c>
      <c r="B65" s="4" t="s">
        <v>649</v>
      </c>
      <c r="C65" s="4" t="s">
        <v>650</v>
      </c>
      <c r="D65" s="92" t="s">
        <v>188</v>
      </c>
      <c r="E65" s="93">
        <v>370890</v>
      </c>
      <c r="F65" s="94">
        <v>242.00572500000001</v>
      </c>
      <c r="G65" s="95">
        <v>2.4261389999999999E-3</v>
      </c>
      <c r="H65" s="47"/>
    </row>
    <row r="66" spans="1:8" ht="17.100000000000001" customHeight="1" x14ac:dyDescent="0.2">
      <c r="A66" s="3">
        <v>60</v>
      </c>
      <c r="B66" s="4" t="s">
        <v>541</v>
      </c>
      <c r="C66" s="4" t="s">
        <v>542</v>
      </c>
      <c r="D66" s="92" t="s">
        <v>188</v>
      </c>
      <c r="E66" s="93">
        <v>8126</v>
      </c>
      <c r="F66" s="94">
        <v>111.17993199999999</v>
      </c>
      <c r="G66" s="95">
        <v>1.1145930000000001E-3</v>
      </c>
      <c r="H66" s="47"/>
    </row>
    <row r="67" spans="1:8" ht="14.1" customHeight="1" x14ac:dyDescent="0.2">
      <c r="A67" s="1"/>
      <c r="B67" s="1"/>
      <c r="C67" s="2" t="s">
        <v>130</v>
      </c>
      <c r="D67" s="89"/>
      <c r="E67" s="89" t="s">
        <v>131</v>
      </c>
      <c r="F67" s="96">
        <v>97288.501598499992</v>
      </c>
      <c r="G67" s="97">
        <v>0.97532988600000015</v>
      </c>
      <c r="H67" s="47"/>
    </row>
    <row r="68" spans="1:8" ht="14.1" customHeight="1" x14ac:dyDescent="0.2">
      <c r="A68" s="1"/>
      <c r="B68" s="1"/>
      <c r="C68" s="11"/>
      <c r="D68" s="89"/>
      <c r="E68" s="89"/>
      <c r="F68" s="99"/>
      <c r="G68" s="99"/>
      <c r="H68" s="47"/>
    </row>
    <row r="69" spans="1:8" ht="14.1" customHeight="1" x14ac:dyDescent="0.2">
      <c r="A69" s="1"/>
      <c r="B69" s="1"/>
      <c r="C69" s="2" t="s">
        <v>132</v>
      </c>
      <c r="D69" s="89"/>
      <c r="E69" s="89"/>
      <c r="F69" s="89"/>
      <c r="G69" s="89"/>
      <c r="H69" s="47"/>
    </row>
    <row r="70" spans="1:8" ht="14.1" customHeight="1" x14ac:dyDescent="0.2">
      <c r="A70" s="1"/>
      <c r="B70" s="1"/>
      <c r="C70" s="2" t="s">
        <v>130</v>
      </c>
      <c r="D70" s="89"/>
      <c r="E70" s="89" t="s">
        <v>131</v>
      </c>
      <c r="F70" s="100">
        <v>0</v>
      </c>
      <c r="G70" s="101">
        <v>0</v>
      </c>
      <c r="H70" s="47"/>
    </row>
    <row r="71" spans="1:8" ht="14.1" customHeight="1" x14ac:dyDescent="0.2">
      <c r="A71" s="1"/>
      <c r="B71" s="1"/>
      <c r="C71" s="11"/>
      <c r="D71" s="89"/>
      <c r="E71" s="89"/>
      <c r="F71" s="99"/>
      <c r="G71" s="99"/>
      <c r="H71" s="47"/>
    </row>
    <row r="72" spans="1:8" ht="14.1" customHeight="1" x14ac:dyDescent="0.2">
      <c r="A72" s="1"/>
      <c r="B72" s="1"/>
      <c r="C72" s="2" t="s">
        <v>133</v>
      </c>
      <c r="D72" s="1"/>
      <c r="E72" s="1"/>
      <c r="F72" s="1"/>
      <c r="G72" s="1"/>
      <c r="H72" s="49"/>
    </row>
    <row r="73" spans="1:8" ht="29.1" customHeight="1" x14ac:dyDescent="0.2">
      <c r="A73" s="44">
        <v>1</v>
      </c>
      <c r="B73" s="4" t="s">
        <v>626</v>
      </c>
      <c r="C73" s="39" t="s">
        <v>956</v>
      </c>
      <c r="D73" s="4" t="s">
        <v>627</v>
      </c>
      <c r="E73" s="5">
        <v>374002</v>
      </c>
      <c r="F73" s="6">
        <v>19.448104000000001</v>
      </c>
      <c r="G73" s="7">
        <v>1.9497000000000001E-4</v>
      </c>
      <c r="H73" s="49"/>
    </row>
    <row r="74" spans="1:8" ht="17.100000000000001" customHeight="1" x14ac:dyDescent="0.2">
      <c r="A74" s="44">
        <v>2</v>
      </c>
      <c r="B74" s="4" t="s">
        <v>629</v>
      </c>
      <c r="C74" s="39" t="s">
        <v>964</v>
      </c>
      <c r="D74" s="4"/>
      <c r="E74" s="5">
        <v>200000</v>
      </c>
      <c r="F74" s="6">
        <v>1.9999999999999999E-6</v>
      </c>
      <c r="G74" s="8" t="s">
        <v>129</v>
      </c>
      <c r="H74" s="49"/>
    </row>
    <row r="75" spans="1:8" ht="14.1" customHeight="1" x14ac:dyDescent="0.2">
      <c r="A75" s="1"/>
      <c r="B75" s="1"/>
      <c r="C75" s="2" t="s">
        <v>130</v>
      </c>
      <c r="D75" s="1"/>
      <c r="E75" s="1" t="s">
        <v>131</v>
      </c>
      <c r="F75" s="13">
        <v>19.448105999999999</v>
      </c>
      <c r="G75" s="14">
        <v>1.9497000000000001E-4</v>
      </c>
      <c r="H75" s="49"/>
    </row>
    <row r="76" spans="1:8" ht="14.1" customHeight="1" x14ac:dyDescent="0.2">
      <c r="A76" s="1"/>
      <c r="B76" s="1"/>
      <c r="C76" s="11"/>
      <c r="D76" s="1"/>
      <c r="E76" s="1"/>
      <c r="F76" s="12"/>
      <c r="G76" s="12"/>
      <c r="H76" s="49"/>
    </row>
    <row r="77" spans="1:8" ht="14.1" customHeight="1" x14ac:dyDescent="0.2">
      <c r="A77" s="1"/>
      <c r="B77" s="1"/>
      <c r="C77" s="2" t="s">
        <v>134</v>
      </c>
      <c r="D77" s="1"/>
      <c r="E77" s="1"/>
      <c r="F77" s="1"/>
      <c r="G77" s="1"/>
      <c r="H77" s="49"/>
    </row>
    <row r="78" spans="1:8" ht="14.1" customHeight="1" x14ac:dyDescent="0.2">
      <c r="A78" s="1"/>
      <c r="B78" s="1"/>
      <c r="C78" s="2" t="s">
        <v>130</v>
      </c>
      <c r="D78" s="1"/>
      <c r="E78" s="1" t="s">
        <v>131</v>
      </c>
      <c r="F78" s="9">
        <v>0</v>
      </c>
      <c r="G78" s="10">
        <v>0</v>
      </c>
      <c r="H78" s="49"/>
    </row>
    <row r="79" spans="1:8" ht="14.1" customHeight="1" x14ac:dyDescent="0.2">
      <c r="A79" s="1"/>
      <c r="B79" s="1"/>
      <c r="C79" s="11"/>
      <c r="D79" s="1"/>
      <c r="E79" s="1"/>
      <c r="F79" s="12"/>
      <c r="G79" s="12"/>
      <c r="H79" s="49"/>
    </row>
    <row r="80" spans="1:8" ht="14.1" customHeight="1" x14ac:dyDescent="0.2">
      <c r="A80" s="1"/>
      <c r="B80" s="1"/>
      <c r="C80" s="2" t="s">
        <v>135</v>
      </c>
      <c r="D80" s="1"/>
      <c r="E80" s="1"/>
      <c r="F80" s="12"/>
      <c r="G80" s="12"/>
      <c r="H80" s="49"/>
    </row>
    <row r="81" spans="1:8" ht="14.1" customHeight="1" x14ac:dyDescent="0.2">
      <c r="A81" s="1"/>
      <c r="B81" s="1"/>
      <c r="C81" s="2" t="s">
        <v>130</v>
      </c>
      <c r="D81" s="1"/>
      <c r="E81" s="1" t="s">
        <v>131</v>
      </c>
      <c r="F81" s="13">
        <v>0</v>
      </c>
      <c r="G81" s="14">
        <v>0</v>
      </c>
      <c r="H81" s="49"/>
    </row>
    <row r="82" spans="1:8" ht="14.1" customHeight="1" x14ac:dyDescent="0.2">
      <c r="A82" s="1"/>
      <c r="B82" s="1"/>
      <c r="C82" s="11"/>
      <c r="D82" s="1"/>
      <c r="E82" s="1"/>
      <c r="F82" s="12"/>
      <c r="G82" s="12"/>
      <c r="H82" s="49"/>
    </row>
    <row r="83" spans="1:8" ht="14.1" customHeight="1" x14ac:dyDescent="0.2">
      <c r="A83" s="1"/>
      <c r="B83" s="1"/>
      <c r="C83" s="2" t="s">
        <v>136</v>
      </c>
      <c r="D83" s="1"/>
      <c r="E83" s="1"/>
      <c r="F83" s="12"/>
      <c r="G83" s="12"/>
      <c r="H83" s="49"/>
    </row>
    <row r="84" spans="1:8" ht="14.1" customHeight="1" x14ac:dyDescent="0.2">
      <c r="A84" s="1"/>
      <c r="B84" s="1"/>
      <c r="C84" s="2" t="s">
        <v>130</v>
      </c>
      <c r="D84" s="1"/>
      <c r="E84" s="1" t="s">
        <v>131</v>
      </c>
      <c r="F84" s="13">
        <v>0</v>
      </c>
      <c r="G84" s="14">
        <v>0</v>
      </c>
      <c r="H84" s="49"/>
    </row>
    <row r="85" spans="1:8" ht="14.1" customHeight="1" x14ac:dyDescent="0.2">
      <c r="A85" s="1"/>
      <c r="B85" s="1"/>
      <c r="C85" s="11"/>
      <c r="D85" s="1"/>
      <c r="E85" s="1"/>
      <c r="F85" s="12"/>
      <c r="G85" s="12"/>
      <c r="H85" s="49"/>
    </row>
    <row r="86" spans="1:8" ht="18" customHeight="1" x14ac:dyDescent="0.2">
      <c r="A86" s="1"/>
      <c r="B86" s="1"/>
      <c r="C86" s="2" t="s">
        <v>137</v>
      </c>
      <c r="D86" s="1"/>
      <c r="E86" s="1"/>
      <c r="F86" s="9">
        <v>97307.949704500003</v>
      </c>
      <c r="G86" s="10">
        <v>0.97552485600000005</v>
      </c>
      <c r="H86" s="49"/>
    </row>
    <row r="87" spans="1:8" ht="14.1" customHeight="1" x14ac:dyDescent="0.2">
      <c r="A87" s="1"/>
      <c r="B87" s="1"/>
      <c r="C87" s="11"/>
      <c r="D87" s="1"/>
      <c r="E87" s="1"/>
      <c r="F87" s="12"/>
      <c r="G87" s="12"/>
      <c r="H87" s="49"/>
    </row>
    <row r="88" spans="1:8" ht="14.1" customHeight="1" x14ac:dyDescent="0.2">
      <c r="A88" s="1"/>
      <c r="B88" s="1"/>
      <c r="C88" s="2" t="s">
        <v>138</v>
      </c>
      <c r="D88" s="1"/>
      <c r="E88" s="1"/>
      <c r="F88" s="12"/>
      <c r="G88" s="12"/>
      <c r="H88" s="49"/>
    </row>
    <row r="89" spans="1:8" ht="24" customHeight="1" x14ac:dyDescent="0.2">
      <c r="A89" s="1"/>
      <c r="B89" s="1"/>
      <c r="C89" s="2" t="s">
        <v>10</v>
      </c>
      <c r="D89" s="1"/>
      <c r="E89" s="1"/>
      <c r="F89" s="12"/>
      <c r="G89" s="12"/>
      <c r="H89" s="49"/>
    </row>
    <row r="90" spans="1:8" ht="14.1" customHeight="1" x14ac:dyDescent="0.2">
      <c r="A90" s="1"/>
      <c r="B90" s="1"/>
      <c r="C90" s="2" t="s">
        <v>130</v>
      </c>
      <c r="D90" s="1"/>
      <c r="E90" s="1" t="s">
        <v>131</v>
      </c>
      <c r="F90" s="13">
        <v>0</v>
      </c>
      <c r="G90" s="14">
        <v>0</v>
      </c>
      <c r="H90" s="49"/>
    </row>
    <row r="91" spans="1:8" ht="14.1" customHeight="1" x14ac:dyDescent="0.2">
      <c r="A91" s="1"/>
      <c r="B91" s="1"/>
      <c r="C91" s="11"/>
      <c r="D91" s="1"/>
      <c r="E91" s="1"/>
      <c r="F91" s="12"/>
      <c r="G91" s="12"/>
      <c r="H91" s="49"/>
    </row>
    <row r="92" spans="1:8" ht="14.1" customHeight="1" x14ac:dyDescent="0.2">
      <c r="A92" s="1"/>
      <c r="B92" s="1"/>
      <c r="C92" s="2" t="s">
        <v>139</v>
      </c>
      <c r="D92" s="1"/>
      <c r="E92" s="1"/>
      <c r="F92" s="1"/>
      <c r="G92" s="1"/>
      <c r="H92" s="49"/>
    </row>
    <row r="93" spans="1:8" ht="14.1" customHeight="1" x14ac:dyDescent="0.2">
      <c r="A93" s="1"/>
      <c r="B93" s="1"/>
      <c r="C93" s="2" t="s">
        <v>130</v>
      </c>
      <c r="D93" s="1"/>
      <c r="E93" s="1" t="s">
        <v>131</v>
      </c>
      <c r="F93" s="13">
        <v>0</v>
      </c>
      <c r="G93" s="14">
        <v>0</v>
      </c>
      <c r="H93" s="49"/>
    </row>
    <row r="94" spans="1:8" ht="14.1" customHeight="1" x14ac:dyDescent="0.2">
      <c r="A94" s="1"/>
      <c r="B94" s="1"/>
      <c r="C94" s="11"/>
      <c r="D94" s="1"/>
      <c r="E94" s="1"/>
      <c r="F94" s="12"/>
      <c r="G94" s="12"/>
      <c r="H94" s="49"/>
    </row>
    <row r="95" spans="1:8" ht="14.1" customHeight="1" x14ac:dyDescent="0.2">
      <c r="A95" s="1"/>
      <c r="B95" s="1"/>
      <c r="C95" s="2" t="s">
        <v>140</v>
      </c>
      <c r="D95" s="1"/>
      <c r="E95" s="1"/>
      <c r="F95" s="1"/>
      <c r="G95" s="1"/>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141</v>
      </c>
      <c r="D98" s="1"/>
      <c r="E98" s="1"/>
      <c r="F98" s="12"/>
      <c r="G98" s="12"/>
      <c r="H98" s="49"/>
    </row>
    <row r="99" spans="1:8" ht="14.1" customHeight="1" x14ac:dyDescent="0.2">
      <c r="A99" s="1"/>
      <c r="B99" s="1"/>
      <c r="C99" s="2" t="s">
        <v>130</v>
      </c>
      <c r="D99" s="1"/>
      <c r="E99" s="1" t="s">
        <v>131</v>
      </c>
      <c r="F99" s="13">
        <v>0</v>
      </c>
      <c r="G99" s="14">
        <v>0</v>
      </c>
      <c r="H99" s="49"/>
    </row>
    <row r="100" spans="1:8" ht="14.1" customHeight="1" x14ac:dyDescent="0.2">
      <c r="A100" s="1"/>
      <c r="B100" s="1"/>
      <c r="C100" s="11"/>
      <c r="D100" s="1"/>
      <c r="E100" s="1"/>
      <c r="F100" s="12"/>
      <c r="G100" s="12"/>
      <c r="H100" s="49"/>
    </row>
    <row r="101" spans="1:8" ht="14.1" customHeight="1" x14ac:dyDescent="0.2">
      <c r="A101" s="1"/>
      <c r="B101" s="1"/>
      <c r="C101" s="2" t="s">
        <v>142</v>
      </c>
      <c r="D101" s="1"/>
      <c r="E101" s="1"/>
      <c r="F101" s="9">
        <v>0</v>
      </c>
      <c r="G101" s="10">
        <v>0</v>
      </c>
      <c r="H101" s="49"/>
    </row>
    <row r="102" spans="1:8" ht="14.1" customHeight="1" x14ac:dyDescent="0.2">
      <c r="A102" s="1"/>
      <c r="B102" s="1"/>
      <c r="C102" s="11"/>
      <c r="D102" s="1"/>
      <c r="E102" s="1"/>
      <c r="F102" s="12"/>
      <c r="G102" s="12"/>
      <c r="H102" s="49"/>
    </row>
    <row r="103" spans="1:8" ht="14.1" customHeight="1" x14ac:dyDescent="0.2">
      <c r="A103" s="1"/>
      <c r="B103" s="1"/>
      <c r="C103" s="2" t="s">
        <v>143</v>
      </c>
      <c r="D103" s="1"/>
      <c r="E103" s="1"/>
      <c r="F103" s="12"/>
      <c r="G103" s="12"/>
      <c r="H103" s="49"/>
    </row>
    <row r="104" spans="1:8" ht="14.1" customHeight="1" x14ac:dyDescent="0.2">
      <c r="A104" s="1"/>
      <c r="B104" s="1"/>
      <c r="C104" s="2" t="s">
        <v>144</v>
      </c>
      <c r="D104" s="1"/>
      <c r="E104" s="1"/>
      <c r="F104" s="12"/>
      <c r="G104" s="12"/>
      <c r="H104" s="49"/>
    </row>
    <row r="105" spans="1:8" ht="14.1" customHeight="1" x14ac:dyDescent="0.2">
      <c r="A105" s="1"/>
      <c r="B105" s="1"/>
      <c r="C105" s="2" t="s">
        <v>130</v>
      </c>
      <c r="D105" s="1"/>
      <c r="E105" s="1" t="s">
        <v>131</v>
      </c>
      <c r="F105" s="13">
        <v>0</v>
      </c>
      <c r="G105" s="14">
        <v>0</v>
      </c>
      <c r="H105" s="49"/>
    </row>
    <row r="106" spans="1:8" ht="14.1" customHeight="1" x14ac:dyDescent="0.2">
      <c r="A106" s="1"/>
      <c r="B106" s="1"/>
      <c r="C106" s="11"/>
      <c r="D106" s="1"/>
      <c r="E106" s="1"/>
      <c r="F106" s="12"/>
      <c r="G106" s="12"/>
      <c r="H106" s="49"/>
    </row>
    <row r="107" spans="1:8" ht="14.1" customHeight="1" x14ac:dyDescent="0.2">
      <c r="A107" s="1"/>
      <c r="B107" s="1"/>
      <c r="C107" s="2" t="s">
        <v>145</v>
      </c>
      <c r="D107" s="1"/>
      <c r="E107" s="1"/>
      <c r="F107" s="12"/>
      <c r="G107" s="12"/>
      <c r="H107" s="49"/>
    </row>
    <row r="108" spans="1:8" ht="14.1" customHeight="1" x14ac:dyDescent="0.2">
      <c r="A108" s="1"/>
      <c r="B108" s="1"/>
      <c r="C108" s="2" t="s">
        <v>130</v>
      </c>
      <c r="D108" s="1"/>
      <c r="E108" s="1" t="s">
        <v>131</v>
      </c>
      <c r="F108" s="13">
        <v>0</v>
      </c>
      <c r="G108" s="14">
        <v>0</v>
      </c>
      <c r="H108" s="49"/>
    </row>
    <row r="109" spans="1:8" ht="14.1" customHeight="1" x14ac:dyDescent="0.2">
      <c r="A109" s="1"/>
      <c r="B109" s="1"/>
      <c r="C109" s="11"/>
      <c r="D109" s="1"/>
      <c r="E109" s="1"/>
      <c r="F109" s="12"/>
      <c r="G109" s="12"/>
      <c r="H109" s="49"/>
    </row>
    <row r="110" spans="1:8" ht="14.1" customHeight="1" x14ac:dyDescent="0.2">
      <c r="A110" s="1"/>
      <c r="B110" s="1"/>
      <c r="C110" s="2" t="s">
        <v>146</v>
      </c>
      <c r="D110" s="1"/>
      <c r="E110" s="1"/>
      <c r="F110" s="12"/>
      <c r="G110" s="12"/>
      <c r="H110" s="49"/>
    </row>
    <row r="111" spans="1:8" ht="14.1" customHeight="1" x14ac:dyDescent="0.2">
      <c r="A111" s="1"/>
      <c r="B111" s="1"/>
      <c r="C111" s="2" t="s">
        <v>130</v>
      </c>
      <c r="D111" s="1"/>
      <c r="E111" s="1" t="s">
        <v>131</v>
      </c>
      <c r="F111" s="13">
        <v>0</v>
      </c>
      <c r="G111" s="14">
        <v>0</v>
      </c>
      <c r="H111" s="49"/>
    </row>
    <row r="112" spans="1:8" ht="14.1" customHeight="1" x14ac:dyDescent="0.2">
      <c r="A112" s="1"/>
      <c r="B112" s="1"/>
      <c r="C112" s="11"/>
      <c r="D112" s="1"/>
      <c r="E112" s="1"/>
      <c r="F112" s="12"/>
      <c r="G112" s="12"/>
      <c r="H112" s="49"/>
    </row>
    <row r="113" spans="1:8" ht="14.1" customHeight="1" x14ac:dyDescent="0.2">
      <c r="A113" s="1"/>
      <c r="B113" s="1"/>
      <c r="C113" s="2" t="s">
        <v>147</v>
      </c>
      <c r="D113" s="1"/>
      <c r="E113" s="1"/>
      <c r="F113" s="12"/>
      <c r="G113" s="12"/>
      <c r="H113" s="49"/>
    </row>
    <row r="114" spans="1:8" ht="17.100000000000001" customHeight="1" x14ac:dyDescent="0.2">
      <c r="A114" s="3">
        <v>1</v>
      </c>
      <c r="B114" s="4"/>
      <c r="C114" s="4" t="s">
        <v>148</v>
      </c>
      <c r="D114" s="4"/>
      <c r="E114" s="8"/>
      <c r="F114" s="6">
        <v>2743.1714286000001</v>
      </c>
      <c r="G114" s="7">
        <v>2.7500650000000001E-2</v>
      </c>
      <c r="H114" s="49">
        <v>5.6572293145372496</v>
      </c>
    </row>
    <row r="115" spans="1:8" ht="14.1" customHeight="1" x14ac:dyDescent="0.2">
      <c r="A115" s="1"/>
      <c r="B115" s="1"/>
      <c r="C115" s="2" t="s">
        <v>130</v>
      </c>
      <c r="D115" s="1"/>
      <c r="E115" s="1" t="s">
        <v>131</v>
      </c>
      <c r="F115" s="9">
        <v>2743.1714286000001</v>
      </c>
      <c r="G115" s="10">
        <v>2.7500650000000001E-2</v>
      </c>
      <c r="H115" s="49"/>
    </row>
    <row r="116" spans="1:8" ht="14.1" customHeight="1" x14ac:dyDescent="0.2">
      <c r="A116" s="1"/>
      <c r="B116" s="1"/>
      <c r="C116" s="11"/>
      <c r="D116" s="1"/>
      <c r="E116" s="1"/>
      <c r="F116" s="12"/>
      <c r="G116" s="12"/>
      <c r="H116" s="49"/>
    </row>
    <row r="117" spans="1:8" ht="14.1" customHeight="1" x14ac:dyDescent="0.2">
      <c r="A117" s="1"/>
      <c r="B117" s="1"/>
      <c r="C117" s="2" t="s">
        <v>149</v>
      </c>
      <c r="D117" s="1"/>
      <c r="E117" s="1"/>
      <c r="F117" s="9">
        <v>2743.1714286000001</v>
      </c>
      <c r="G117" s="10">
        <v>2.7500650000000001E-2</v>
      </c>
      <c r="H117" s="49"/>
    </row>
    <row r="118" spans="1:8" ht="14.1" customHeight="1" x14ac:dyDescent="0.2">
      <c r="A118" s="1"/>
      <c r="B118" s="1"/>
      <c r="C118" s="12"/>
      <c r="D118" s="1"/>
      <c r="E118" s="1"/>
      <c r="F118" s="1"/>
      <c r="G118" s="1"/>
      <c r="H118" s="49"/>
    </row>
    <row r="119" spans="1:8" ht="14.1" customHeight="1" x14ac:dyDescent="0.2">
      <c r="A119" s="1"/>
      <c r="B119" s="1"/>
      <c r="C119" s="2" t="s">
        <v>150</v>
      </c>
      <c r="D119" s="1"/>
      <c r="E119" s="1"/>
      <c r="F119" s="1"/>
      <c r="G119" s="1"/>
      <c r="H119" s="49"/>
    </row>
    <row r="120" spans="1:8" ht="14.1" customHeight="1" x14ac:dyDescent="0.2">
      <c r="A120" s="1"/>
      <c r="B120" s="1"/>
      <c r="C120" s="2" t="s">
        <v>151</v>
      </c>
      <c r="D120" s="1"/>
      <c r="E120" s="1"/>
      <c r="F120" s="1"/>
      <c r="G120" s="1"/>
      <c r="H120" s="49"/>
    </row>
    <row r="121" spans="1:8" ht="14.1" customHeight="1" x14ac:dyDescent="0.2">
      <c r="A121" s="1"/>
      <c r="B121" s="1"/>
      <c r="C121" s="2" t="s">
        <v>130</v>
      </c>
      <c r="D121" s="1"/>
      <c r="E121" s="1" t="s">
        <v>131</v>
      </c>
      <c r="F121" s="13">
        <v>0</v>
      </c>
      <c r="G121" s="14">
        <v>0</v>
      </c>
      <c r="H121" s="49"/>
    </row>
    <row r="122" spans="1:8" ht="14.1" customHeight="1" x14ac:dyDescent="0.2">
      <c r="A122" s="1"/>
      <c r="B122" s="1"/>
      <c r="C122" s="11"/>
      <c r="D122" s="1"/>
      <c r="E122" s="1"/>
      <c r="F122" s="12"/>
      <c r="G122" s="12"/>
      <c r="H122" s="49"/>
    </row>
    <row r="123" spans="1:8" ht="14.1" customHeight="1" x14ac:dyDescent="0.2">
      <c r="A123" s="1"/>
      <c r="B123" s="1"/>
      <c r="C123" s="2" t="s">
        <v>152</v>
      </c>
      <c r="D123" s="1"/>
      <c r="E123" s="1"/>
      <c r="F123" s="1"/>
      <c r="G123" s="1"/>
      <c r="H123" s="49"/>
    </row>
    <row r="124" spans="1:8" ht="14.1" customHeight="1" x14ac:dyDescent="0.2">
      <c r="A124" s="1"/>
      <c r="B124" s="1"/>
      <c r="C124" s="2" t="s">
        <v>153</v>
      </c>
      <c r="D124" s="1"/>
      <c r="E124" s="1"/>
      <c r="F124" s="1"/>
      <c r="G124" s="1"/>
      <c r="H124" s="49"/>
    </row>
    <row r="125" spans="1:8" ht="14.1" customHeight="1" x14ac:dyDescent="0.2">
      <c r="A125" s="1"/>
      <c r="B125" s="1"/>
      <c r="C125" s="2" t="s">
        <v>130</v>
      </c>
      <c r="D125" s="1"/>
      <c r="E125" s="1" t="s">
        <v>131</v>
      </c>
      <c r="F125" s="13">
        <v>0</v>
      </c>
      <c r="G125" s="14">
        <v>0</v>
      </c>
      <c r="H125" s="49"/>
    </row>
    <row r="126" spans="1:8" ht="14.1" customHeight="1" x14ac:dyDescent="0.2">
      <c r="A126" s="1"/>
      <c r="B126" s="1"/>
      <c r="C126" s="11"/>
      <c r="D126" s="1"/>
      <c r="E126" s="1"/>
      <c r="F126" s="12"/>
      <c r="G126" s="12"/>
      <c r="H126" s="49"/>
    </row>
    <row r="127" spans="1:8" ht="14.1" customHeight="1" x14ac:dyDescent="0.2">
      <c r="A127" s="1"/>
      <c r="B127" s="1"/>
      <c r="C127" s="11"/>
      <c r="D127" s="1"/>
      <c r="E127" s="1"/>
      <c r="F127" s="12"/>
      <c r="G127" s="12"/>
      <c r="H127" s="49"/>
    </row>
    <row r="128" spans="1:8" ht="24" customHeight="1" x14ac:dyDescent="0.2">
      <c r="A128" s="1"/>
      <c r="B128" s="1"/>
      <c r="C128" s="2" t="s">
        <v>154</v>
      </c>
      <c r="D128" s="1"/>
      <c r="E128" s="1"/>
      <c r="F128" s="12"/>
      <c r="G128" s="12"/>
      <c r="H128" s="49"/>
    </row>
    <row r="129" spans="1:8" ht="14.1" customHeight="1" x14ac:dyDescent="0.2">
      <c r="A129" s="1"/>
      <c r="B129" s="1"/>
      <c r="C129" s="2" t="s">
        <v>130</v>
      </c>
      <c r="D129" s="1"/>
      <c r="E129" s="1" t="s">
        <v>131</v>
      </c>
      <c r="F129" s="13">
        <v>0</v>
      </c>
      <c r="G129" s="14">
        <v>0</v>
      </c>
      <c r="H129" s="49"/>
    </row>
    <row r="130" spans="1:8" ht="14.1" customHeight="1" x14ac:dyDescent="0.2">
      <c r="A130" s="1"/>
      <c r="B130" s="1"/>
      <c r="C130" s="11"/>
      <c r="D130" s="1"/>
      <c r="E130" s="1"/>
      <c r="F130" s="12"/>
      <c r="G130" s="12"/>
      <c r="H130" s="49"/>
    </row>
    <row r="131" spans="1:8" ht="14.1" customHeight="1" x14ac:dyDescent="0.2">
      <c r="A131" s="1"/>
      <c r="B131" s="4"/>
      <c r="C131" s="4"/>
      <c r="D131" s="2"/>
      <c r="E131" s="1"/>
      <c r="F131" s="4"/>
      <c r="G131" s="8"/>
      <c r="H131" s="49"/>
    </row>
    <row r="132" spans="1:8" ht="18" customHeight="1" x14ac:dyDescent="0.2">
      <c r="A132" s="8"/>
      <c r="B132" s="4"/>
      <c r="C132" s="4" t="s">
        <v>155</v>
      </c>
      <c r="D132" s="4"/>
      <c r="E132" s="8"/>
      <c r="F132" s="6">
        <v>-301.79223848999999</v>
      </c>
      <c r="G132" s="7">
        <v>-3.0255059999999999E-3</v>
      </c>
      <c r="H132" s="49"/>
    </row>
    <row r="133" spans="1:8" ht="14.1" customHeight="1" x14ac:dyDescent="0.2">
      <c r="A133" s="11"/>
      <c r="B133" s="11"/>
      <c r="C133" s="2" t="s">
        <v>156</v>
      </c>
      <c r="D133" s="15"/>
      <c r="E133" s="15"/>
      <c r="F133" s="9">
        <v>99749.328894609993</v>
      </c>
      <c r="G133" s="10">
        <v>1</v>
      </c>
      <c r="H133" s="49"/>
    </row>
    <row r="134" spans="1:8" ht="14.1" customHeight="1" x14ac:dyDescent="0.2">
      <c r="A134" s="16"/>
      <c r="B134" s="16"/>
      <c r="C134" s="16"/>
      <c r="D134" s="17"/>
      <c r="E134" s="17"/>
      <c r="F134" s="17"/>
      <c r="G134" s="17"/>
    </row>
    <row r="135" spans="1:8" ht="17.100000000000001" customHeight="1" x14ac:dyDescent="0.2">
      <c r="A135" s="18"/>
      <c r="B135" s="327" t="s">
        <v>157</v>
      </c>
      <c r="C135" s="327"/>
      <c r="D135" s="327"/>
      <c r="E135" s="327"/>
      <c r="F135" s="327"/>
      <c r="G135" s="20"/>
    </row>
    <row r="136" spans="1:8" ht="14.1" customHeight="1" x14ac:dyDescent="0.2">
      <c r="A136" s="18"/>
      <c r="B136" s="18"/>
      <c r="C136" s="18"/>
      <c r="D136" s="20"/>
      <c r="E136" s="20"/>
      <c r="F136" s="20"/>
      <c r="G136" s="20"/>
    </row>
    <row r="137" spans="1:8" ht="14.1" customHeight="1" x14ac:dyDescent="0.2">
      <c r="A137" s="18"/>
      <c r="B137" s="319" t="s">
        <v>158</v>
      </c>
      <c r="C137" s="320"/>
      <c r="D137" s="12" t="s">
        <v>131</v>
      </c>
      <c r="E137" s="21"/>
      <c r="F137" s="20"/>
      <c r="G137" s="20"/>
    </row>
    <row r="138" spans="1:8" ht="29.1" customHeight="1" x14ac:dyDescent="0.2">
      <c r="A138" s="18"/>
      <c r="B138" s="323" t="s">
        <v>159</v>
      </c>
      <c r="C138" s="324"/>
      <c r="D138" s="57" t="s">
        <v>1014</v>
      </c>
      <c r="E138" s="21"/>
      <c r="F138" s="20"/>
      <c r="G138" s="20"/>
    </row>
    <row r="139" spans="1:8" ht="17.100000000000001" customHeight="1" x14ac:dyDescent="0.2">
      <c r="A139" s="18"/>
      <c r="B139" s="325" t="s">
        <v>954</v>
      </c>
      <c r="C139" s="326"/>
      <c r="D139" s="57" t="s">
        <v>973</v>
      </c>
      <c r="E139" s="21"/>
      <c r="F139" s="20"/>
      <c r="G139" s="20"/>
    </row>
    <row r="140" spans="1:8" ht="17.100000000000001" customHeight="1" x14ac:dyDescent="0.2">
      <c r="A140" s="18"/>
      <c r="B140" s="323" t="s">
        <v>162</v>
      </c>
      <c r="C140" s="324"/>
      <c r="D140" s="12" t="s">
        <v>131</v>
      </c>
      <c r="E140" s="21"/>
      <c r="F140" s="20"/>
      <c r="G140" s="20"/>
    </row>
    <row r="141" spans="1:8" ht="24" customHeight="1" x14ac:dyDescent="0.2">
      <c r="A141" s="22"/>
      <c r="B141" s="23" t="s">
        <v>131</v>
      </c>
      <c r="C141" s="23" t="s">
        <v>163</v>
      </c>
      <c r="D141" s="23" t="s">
        <v>164</v>
      </c>
      <c r="E141" s="22"/>
      <c r="F141" s="22"/>
      <c r="G141" s="22"/>
    </row>
    <row r="142" spans="1:8" ht="18" customHeight="1" x14ac:dyDescent="0.2">
      <c r="A142" s="22"/>
      <c r="B142" s="23" t="s">
        <v>165</v>
      </c>
      <c r="C142" s="23" t="s">
        <v>166</v>
      </c>
      <c r="D142" s="23" t="s">
        <v>167</v>
      </c>
      <c r="E142" s="22"/>
      <c r="F142" s="22"/>
      <c r="G142" s="22"/>
    </row>
    <row r="143" spans="1:8" ht="17.100000000000001" customHeight="1" x14ac:dyDescent="0.2">
      <c r="A143" s="22"/>
      <c r="B143" s="4" t="s">
        <v>168</v>
      </c>
      <c r="C143" s="24">
        <v>364.30900000000003</v>
      </c>
      <c r="D143" s="24">
        <v>370.18349999999998</v>
      </c>
      <c r="E143" s="22"/>
      <c r="F143" s="19"/>
      <c r="G143" s="25"/>
    </row>
    <row r="144" spans="1:8" ht="29.1" customHeight="1" x14ac:dyDescent="0.2">
      <c r="A144" s="22"/>
      <c r="B144" s="4" t="s">
        <v>1024</v>
      </c>
      <c r="C144" s="24">
        <v>364.05540000000002</v>
      </c>
      <c r="D144" s="24">
        <v>369.90809999999999</v>
      </c>
      <c r="E144" s="22"/>
      <c r="F144" s="19"/>
      <c r="G144" s="25"/>
    </row>
    <row r="145" spans="1:7" ht="17.100000000000001" customHeight="1" x14ac:dyDescent="0.2">
      <c r="A145" s="22"/>
      <c r="B145" s="4" t="s">
        <v>169</v>
      </c>
      <c r="C145" s="24">
        <v>345.9101</v>
      </c>
      <c r="D145" s="24">
        <v>351.31479999999999</v>
      </c>
      <c r="E145" s="22"/>
      <c r="F145" s="19"/>
      <c r="G145" s="25"/>
    </row>
    <row r="146" spans="1:7" ht="29.1" customHeight="1" x14ac:dyDescent="0.2">
      <c r="A146" s="22"/>
      <c r="B146" s="4" t="s">
        <v>1025</v>
      </c>
      <c r="C146" s="24">
        <v>333.20569999999998</v>
      </c>
      <c r="D146" s="24">
        <v>338.41090000000003</v>
      </c>
      <c r="E146" s="22"/>
      <c r="F146" s="19"/>
      <c r="G146" s="25"/>
    </row>
    <row r="147" spans="1:7" ht="14.1" customHeight="1" x14ac:dyDescent="0.2">
      <c r="A147" s="22"/>
      <c r="B147" s="22"/>
      <c r="C147" s="22"/>
      <c r="D147" s="22"/>
      <c r="E147" s="22"/>
      <c r="F147" s="22"/>
      <c r="G147" s="22"/>
    </row>
    <row r="148" spans="1:7" ht="17.100000000000001" customHeight="1" x14ac:dyDescent="0.2">
      <c r="A148" s="22"/>
      <c r="B148" s="323" t="s">
        <v>1023</v>
      </c>
      <c r="C148" s="324"/>
      <c r="D148" s="2" t="s">
        <v>160</v>
      </c>
      <c r="E148" s="22"/>
      <c r="F148" s="22"/>
      <c r="G148" s="22"/>
    </row>
    <row r="149" spans="1:7" ht="18" customHeight="1" x14ac:dyDescent="0.2">
      <c r="A149" s="22"/>
      <c r="B149" s="28"/>
      <c r="C149" s="28"/>
      <c r="D149" s="26"/>
      <c r="E149" s="22"/>
      <c r="F149" s="22"/>
      <c r="G149" s="22"/>
    </row>
    <row r="150" spans="1:7" ht="29.1" customHeight="1" x14ac:dyDescent="0.2">
      <c r="A150" s="22"/>
      <c r="B150" s="323" t="s">
        <v>170</v>
      </c>
      <c r="C150" s="324"/>
      <c r="D150" s="2" t="s">
        <v>160</v>
      </c>
      <c r="E150" s="22"/>
      <c r="F150" s="22"/>
      <c r="G150" s="22"/>
    </row>
    <row r="151" spans="1:7" ht="29.1" customHeight="1" x14ac:dyDescent="0.2">
      <c r="A151" s="22"/>
      <c r="B151" s="323" t="s">
        <v>171</v>
      </c>
      <c r="C151" s="324"/>
      <c r="D151" s="2" t="s">
        <v>160</v>
      </c>
      <c r="E151" s="22"/>
      <c r="F151" s="22"/>
      <c r="G151" s="22"/>
    </row>
    <row r="152" spans="1:7" ht="17.100000000000001" customHeight="1" x14ac:dyDescent="0.2">
      <c r="A152" s="22"/>
      <c r="B152" s="323" t="s">
        <v>172</v>
      </c>
      <c r="C152" s="324"/>
      <c r="D152" s="27">
        <v>0.28337921194698135</v>
      </c>
      <c r="E152" s="22"/>
      <c r="F152" s="19"/>
      <c r="G152" s="25"/>
    </row>
    <row r="153" spans="1:7" ht="17.100000000000001" customHeight="1" x14ac:dyDescent="0.2">
      <c r="A153" s="22"/>
      <c r="B153" s="323" t="s">
        <v>173</v>
      </c>
      <c r="C153" s="324"/>
      <c r="D153" s="2" t="s">
        <v>160</v>
      </c>
      <c r="E153" s="22"/>
      <c r="F153" s="22"/>
      <c r="G153" s="22"/>
    </row>
    <row r="155" spans="1:7" x14ac:dyDescent="0.2">
      <c r="B155" s="69" t="s">
        <v>1018</v>
      </c>
      <c r="C155" s="69"/>
      <c r="D155" s="69"/>
      <c r="E155" s="70"/>
      <c r="F155" s="71"/>
    </row>
    <row r="156" spans="1:7" ht="38.25" x14ac:dyDescent="0.2">
      <c r="B156" s="73" t="s">
        <v>990</v>
      </c>
      <c r="C156" s="73" t="s">
        <v>991</v>
      </c>
      <c r="D156" s="73" t="s">
        <v>992</v>
      </c>
      <c r="E156" s="73" t="s">
        <v>993</v>
      </c>
      <c r="F156" s="73" t="s">
        <v>994</v>
      </c>
    </row>
    <row r="157" spans="1:7" x14ac:dyDescent="0.2">
      <c r="B157" s="80" t="s">
        <v>1016</v>
      </c>
      <c r="C157" s="75" t="s">
        <v>1012</v>
      </c>
      <c r="D157" s="81">
        <v>0</v>
      </c>
      <c r="E157" s="82">
        <v>0</v>
      </c>
      <c r="F157" s="83">
        <v>0.54925000000000002</v>
      </c>
    </row>
  </sheetData>
  <mergeCells count="14">
    <mergeCell ref="B152:C152"/>
    <mergeCell ref="B153:C153"/>
    <mergeCell ref="B138:C138"/>
    <mergeCell ref="B139:C139"/>
    <mergeCell ref="B140:C140"/>
    <mergeCell ref="B148:C148"/>
    <mergeCell ref="B150:C150"/>
    <mergeCell ref="B151:C151"/>
    <mergeCell ref="A1:H1"/>
    <mergeCell ref="A2:H2"/>
    <mergeCell ref="A3:H3"/>
    <mergeCell ref="B137:C137"/>
    <mergeCell ref="J2:N2"/>
    <mergeCell ref="B135:F135"/>
  </mergeCells>
  <hyperlinks>
    <hyperlink ref="I1" location="Index!B31" display="Index" xr:uid="{7C663021-DE4F-4034-95EC-8F976AA5680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1040</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306</v>
      </c>
      <c r="C7" s="4" t="s">
        <v>307</v>
      </c>
      <c r="D7" s="4" t="s">
        <v>308</v>
      </c>
      <c r="E7" s="5">
        <v>453308</v>
      </c>
      <c r="F7" s="6">
        <v>12168.373298</v>
      </c>
      <c r="G7" s="7">
        <v>9.9081253999999994E-2</v>
      </c>
      <c r="H7" s="49"/>
    </row>
    <row r="8" spans="1:15" ht="17.100000000000001" customHeight="1" x14ac:dyDescent="0.2">
      <c r="A8" s="3">
        <v>2</v>
      </c>
      <c r="B8" s="4" t="s">
        <v>365</v>
      </c>
      <c r="C8" s="4" t="s">
        <v>366</v>
      </c>
      <c r="D8" s="4" t="s">
        <v>108</v>
      </c>
      <c r="E8" s="5">
        <v>293714</v>
      </c>
      <c r="F8" s="6">
        <v>7792.2324200000003</v>
      </c>
      <c r="G8" s="7">
        <v>6.3448428000000001E-2</v>
      </c>
      <c r="H8" s="49"/>
    </row>
    <row r="9" spans="1:15" ht="17.100000000000001" customHeight="1" x14ac:dyDescent="0.2">
      <c r="A9" s="3">
        <v>3</v>
      </c>
      <c r="B9" s="4" t="s">
        <v>313</v>
      </c>
      <c r="C9" s="4" t="s">
        <v>314</v>
      </c>
      <c r="D9" s="4" t="s">
        <v>308</v>
      </c>
      <c r="E9" s="5">
        <v>1820266</v>
      </c>
      <c r="F9" s="6">
        <v>6188.9044000000004</v>
      </c>
      <c r="G9" s="7">
        <v>5.0393293999999998E-2</v>
      </c>
      <c r="H9" s="49"/>
    </row>
    <row r="10" spans="1:15" ht="17.100000000000001" customHeight="1" x14ac:dyDescent="0.2">
      <c r="A10" s="3">
        <v>4</v>
      </c>
      <c r="B10" s="4" t="s">
        <v>70</v>
      </c>
      <c r="C10" s="4" t="s">
        <v>71</v>
      </c>
      <c r="D10" s="4" t="s">
        <v>72</v>
      </c>
      <c r="E10" s="5">
        <v>67791</v>
      </c>
      <c r="F10" s="6">
        <v>6083.6660265</v>
      </c>
      <c r="G10" s="7">
        <v>4.9536388000000001E-2</v>
      </c>
      <c r="H10" s="49"/>
    </row>
    <row r="11" spans="1:15" ht="29.1" customHeight="1" x14ac:dyDescent="0.2">
      <c r="A11" s="3">
        <v>5</v>
      </c>
      <c r="B11" s="4" t="s">
        <v>189</v>
      </c>
      <c r="C11" s="4" t="s">
        <v>190</v>
      </c>
      <c r="D11" s="4" t="s">
        <v>108</v>
      </c>
      <c r="E11" s="5">
        <v>1475453</v>
      </c>
      <c r="F11" s="6">
        <v>5353.6812104999999</v>
      </c>
      <c r="G11" s="7">
        <v>4.3592470000000001E-2</v>
      </c>
      <c r="H11" s="49"/>
    </row>
    <row r="12" spans="1:15" ht="17.100000000000001" customHeight="1" x14ac:dyDescent="0.2">
      <c r="A12" s="3">
        <v>6</v>
      </c>
      <c r="B12" s="4" t="s">
        <v>17</v>
      </c>
      <c r="C12" s="4" t="s">
        <v>18</v>
      </c>
      <c r="D12" s="4" t="s">
        <v>19</v>
      </c>
      <c r="E12" s="5">
        <v>616013</v>
      </c>
      <c r="F12" s="6">
        <v>5228.4103375000004</v>
      </c>
      <c r="G12" s="7">
        <v>4.2572448999999998E-2</v>
      </c>
      <c r="H12" s="49"/>
      <c r="J12" s="217"/>
    </row>
    <row r="13" spans="1:15" ht="17.100000000000001" customHeight="1" x14ac:dyDescent="0.2">
      <c r="A13" s="3">
        <v>7</v>
      </c>
      <c r="B13" s="4" t="s">
        <v>177</v>
      </c>
      <c r="C13" s="4" t="s">
        <v>178</v>
      </c>
      <c r="D13" s="4" t="s">
        <v>179</v>
      </c>
      <c r="E13" s="5">
        <v>418083</v>
      </c>
      <c r="F13" s="6">
        <v>5224.9922925000001</v>
      </c>
      <c r="G13" s="7">
        <v>4.2544617999999999E-2</v>
      </c>
      <c r="H13" s="49"/>
    </row>
    <row r="14" spans="1:15" ht="17.100000000000001" customHeight="1" x14ac:dyDescent="0.2">
      <c r="A14" s="3">
        <v>8</v>
      </c>
      <c r="B14" s="4" t="s">
        <v>14</v>
      </c>
      <c r="C14" s="4" t="s">
        <v>15</v>
      </c>
      <c r="D14" s="4" t="s">
        <v>16</v>
      </c>
      <c r="E14" s="5">
        <v>515550</v>
      </c>
      <c r="F14" s="6">
        <v>4912.6759499999998</v>
      </c>
      <c r="G14" s="7">
        <v>4.0001574999999998E-2</v>
      </c>
      <c r="H14" s="49"/>
      <c r="J14" s="217" t="s">
        <v>1095</v>
      </c>
    </row>
    <row r="15" spans="1:15" ht="17.100000000000001" customHeight="1" x14ac:dyDescent="0.2">
      <c r="A15" s="3">
        <v>9</v>
      </c>
      <c r="B15" s="4" t="s">
        <v>588</v>
      </c>
      <c r="C15" s="4" t="s">
        <v>589</v>
      </c>
      <c r="D15" s="4" t="s">
        <v>179</v>
      </c>
      <c r="E15" s="5">
        <v>477274</v>
      </c>
      <c r="F15" s="6">
        <v>4449.6255019999999</v>
      </c>
      <c r="G15" s="7">
        <v>3.6231175999999997E-2</v>
      </c>
      <c r="H15" s="49"/>
    </row>
    <row r="16" spans="1:15" ht="17.100000000000001" customHeight="1" x14ac:dyDescent="0.2">
      <c r="A16" s="3">
        <v>10</v>
      </c>
      <c r="B16" s="4" t="s">
        <v>194</v>
      </c>
      <c r="C16" s="4" t="s">
        <v>195</v>
      </c>
      <c r="D16" s="4" t="s">
        <v>196</v>
      </c>
      <c r="E16" s="5">
        <v>9138</v>
      </c>
      <c r="F16" s="6">
        <v>4332.9334769999996</v>
      </c>
      <c r="G16" s="7">
        <v>3.5281009000000002E-2</v>
      </c>
      <c r="H16" s="49"/>
    </row>
    <row r="17" spans="1:8" ht="17.100000000000001" customHeight="1" x14ac:dyDescent="0.2">
      <c r="A17" s="3">
        <v>11</v>
      </c>
      <c r="B17" s="4" t="s">
        <v>567</v>
      </c>
      <c r="C17" s="4" t="s">
        <v>568</v>
      </c>
      <c r="D17" s="4" t="s">
        <v>72</v>
      </c>
      <c r="E17" s="5">
        <v>91552</v>
      </c>
      <c r="F17" s="6">
        <v>3190.1294400000002</v>
      </c>
      <c r="G17" s="7">
        <v>2.5975701E-2</v>
      </c>
      <c r="H17" s="49"/>
    </row>
    <row r="18" spans="1:8" ht="17.100000000000001" customHeight="1" x14ac:dyDescent="0.2">
      <c r="A18" s="3">
        <v>12</v>
      </c>
      <c r="B18" s="4" t="s">
        <v>309</v>
      </c>
      <c r="C18" s="4" t="s">
        <v>310</v>
      </c>
      <c r="D18" s="4" t="s">
        <v>72</v>
      </c>
      <c r="E18" s="5">
        <v>239842</v>
      </c>
      <c r="F18" s="6">
        <v>3131.377152</v>
      </c>
      <c r="G18" s="7">
        <v>2.5497308999999999E-2</v>
      </c>
      <c r="H18" s="49"/>
    </row>
    <row r="19" spans="1:8" ht="17.100000000000001" customHeight="1" x14ac:dyDescent="0.2">
      <c r="A19" s="3">
        <v>13</v>
      </c>
      <c r="B19" s="4" t="s">
        <v>398</v>
      </c>
      <c r="C19" s="4" t="s">
        <v>399</v>
      </c>
      <c r="D19" s="4" t="s">
        <v>108</v>
      </c>
      <c r="E19" s="5">
        <v>180150</v>
      </c>
      <c r="F19" s="6">
        <v>2940.0479999999998</v>
      </c>
      <c r="G19" s="7">
        <v>2.3939406999999999E-2</v>
      </c>
      <c r="H19" s="49"/>
    </row>
    <row r="20" spans="1:8" ht="17.100000000000001" customHeight="1" x14ac:dyDescent="0.2">
      <c r="A20" s="3">
        <v>14</v>
      </c>
      <c r="B20" s="4" t="s">
        <v>225</v>
      </c>
      <c r="C20" s="4" t="s">
        <v>226</v>
      </c>
      <c r="D20" s="4" t="s">
        <v>227</v>
      </c>
      <c r="E20" s="5">
        <v>60999</v>
      </c>
      <c r="F20" s="6">
        <v>2883.056736</v>
      </c>
      <c r="G20" s="7">
        <v>2.3475355E-2</v>
      </c>
      <c r="H20" s="49"/>
    </row>
    <row r="21" spans="1:8" ht="17.100000000000001" customHeight="1" x14ac:dyDescent="0.2">
      <c r="A21" s="3">
        <v>15</v>
      </c>
      <c r="B21" s="4" t="s">
        <v>659</v>
      </c>
      <c r="C21" s="4" t="s">
        <v>660</v>
      </c>
      <c r="D21" s="4" t="s">
        <v>267</v>
      </c>
      <c r="E21" s="5">
        <v>14197</v>
      </c>
      <c r="F21" s="6">
        <v>2865.5011844999999</v>
      </c>
      <c r="G21" s="7">
        <v>2.3332407999999999E-2</v>
      </c>
      <c r="H21" s="49"/>
    </row>
    <row r="22" spans="1:8" ht="17.100000000000001" customHeight="1" x14ac:dyDescent="0.2">
      <c r="A22" s="3">
        <v>16</v>
      </c>
      <c r="B22" s="4" t="s">
        <v>367</v>
      </c>
      <c r="C22" s="4" t="s">
        <v>368</v>
      </c>
      <c r="D22" s="4" t="s">
        <v>188</v>
      </c>
      <c r="E22" s="5">
        <v>1540962</v>
      </c>
      <c r="F22" s="6">
        <v>2655.077526</v>
      </c>
      <c r="G22" s="7">
        <v>2.1619029000000001E-2</v>
      </c>
      <c r="H22" s="49"/>
    </row>
    <row r="23" spans="1:8" ht="17.100000000000001" customHeight="1" x14ac:dyDescent="0.2">
      <c r="A23" s="3">
        <v>17</v>
      </c>
      <c r="B23" s="4" t="s">
        <v>543</v>
      </c>
      <c r="C23" s="4" t="s">
        <v>544</v>
      </c>
      <c r="D23" s="4" t="s">
        <v>108</v>
      </c>
      <c r="E23" s="5">
        <v>79430</v>
      </c>
      <c r="F23" s="6">
        <v>2522.0216449999998</v>
      </c>
      <c r="G23" s="7">
        <v>2.0535617999999999E-2</v>
      </c>
      <c r="H23" s="49"/>
    </row>
    <row r="24" spans="1:8" ht="17.100000000000001" customHeight="1" x14ac:dyDescent="0.2">
      <c r="A24" s="3">
        <v>18</v>
      </c>
      <c r="B24" s="4" t="s">
        <v>39</v>
      </c>
      <c r="C24" s="4" t="s">
        <v>40</v>
      </c>
      <c r="D24" s="4" t="s">
        <v>16</v>
      </c>
      <c r="E24" s="5">
        <v>405889</v>
      </c>
      <c r="F24" s="6">
        <v>2445.2782805000002</v>
      </c>
      <c r="G24" s="7">
        <v>1.9910733999999999E-2</v>
      </c>
      <c r="H24" s="49"/>
    </row>
    <row r="25" spans="1:8" ht="17.100000000000001" customHeight="1" x14ac:dyDescent="0.2">
      <c r="A25" s="3">
        <v>19</v>
      </c>
      <c r="B25" s="4" t="s">
        <v>98</v>
      </c>
      <c r="C25" s="4" t="s">
        <v>99</v>
      </c>
      <c r="D25" s="4" t="s">
        <v>100</v>
      </c>
      <c r="E25" s="5">
        <v>453358</v>
      </c>
      <c r="F25" s="6">
        <v>2204.4532749999998</v>
      </c>
      <c r="G25" s="7">
        <v>1.7949811E-2</v>
      </c>
      <c r="H25" s="49"/>
    </row>
    <row r="26" spans="1:8" ht="17.100000000000001" customHeight="1" x14ac:dyDescent="0.2">
      <c r="A26" s="3">
        <v>20</v>
      </c>
      <c r="B26" s="4" t="s">
        <v>234</v>
      </c>
      <c r="C26" s="4" t="s">
        <v>235</v>
      </c>
      <c r="D26" s="4" t="s">
        <v>108</v>
      </c>
      <c r="E26" s="5">
        <v>2067557</v>
      </c>
      <c r="F26" s="6">
        <v>2189.5428630000001</v>
      </c>
      <c r="G26" s="7">
        <v>1.7828402E-2</v>
      </c>
      <c r="H26" s="49"/>
    </row>
    <row r="27" spans="1:8" ht="17.100000000000001" customHeight="1" x14ac:dyDescent="0.2">
      <c r="A27" s="3">
        <v>21</v>
      </c>
      <c r="B27" s="4" t="s">
        <v>423</v>
      </c>
      <c r="C27" s="4" t="s">
        <v>424</v>
      </c>
      <c r="D27" s="4" t="s">
        <v>233</v>
      </c>
      <c r="E27" s="5">
        <v>295409</v>
      </c>
      <c r="F27" s="6">
        <v>2141.4198409999999</v>
      </c>
      <c r="G27" s="7">
        <v>1.7436559000000001E-2</v>
      </c>
      <c r="H27" s="49"/>
    </row>
    <row r="28" spans="1:8" ht="17.100000000000001" customHeight="1" x14ac:dyDescent="0.2">
      <c r="A28" s="3">
        <v>22</v>
      </c>
      <c r="B28" s="4" t="s">
        <v>562</v>
      </c>
      <c r="C28" s="4" t="s">
        <v>563</v>
      </c>
      <c r="D28" s="4" t="s">
        <v>267</v>
      </c>
      <c r="E28" s="5">
        <v>47367</v>
      </c>
      <c r="F28" s="6">
        <v>2066.2906410000001</v>
      </c>
      <c r="G28" s="7">
        <v>1.6824817999999998E-2</v>
      </c>
      <c r="H28" s="49"/>
    </row>
    <row r="29" spans="1:8" ht="17.100000000000001" customHeight="1" x14ac:dyDescent="0.2">
      <c r="A29" s="3">
        <v>23</v>
      </c>
      <c r="B29" s="4" t="s">
        <v>690</v>
      </c>
      <c r="C29" s="4" t="s">
        <v>691</v>
      </c>
      <c r="D29" s="4" t="s">
        <v>278</v>
      </c>
      <c r="E29" s="5">
        <v>228978</v>
      </c>
      <c r="F29" s="6">
        <v>2018.326581</v>
      </c>
      <c r="G29" s="7">
        <v>1.6434270000000001E-2</v>
      </c>
      <c r="H29" s="49"/>
    </row>
    <row r="30" spans="1:8" ht="17.100000000000001" customHeight="1" x14ac:dyDescent="0.2">
      <c r="A30" s="3">
        <v>24</v>
      </c>
      <c r="B30" s="4" t="s">
        <v>228</v>
      </c>
      <c r="C30" s="4" t="s">
        <v>229</v>
      </c>
      <c r="D30" s="4" t="s">
        <v>230</v>
      </c>
      <c r="E30" s="5">
        <v>750000</v>
      </c>
      <c r="F30" s="6">
        <v>1984.5</v>
      </c>
      <c r="G30" s="7">
        <v>1.6158835999999999E-2</v>
      </c>
      <c r="H30" s="49"/>
    </row>
    <row r="31" spans="1:8" ht="17.100000000000001" customHeight="1" x14ac:dyDescent="0.2">
      <c r="A31" s="3">
        <v>25</v>
      </c>
      <c r="B31" s="4" t="s">
        <v>221</v>
      </c>
      <c r="C31" s="4" t="s">
        <v>222</v>
      </c>
      <c r="D31" s="4" t="s">
        <v>179</v>
      </c>
      <c r="E31" s="5">
        <v>114437</v>
      </c>
      <c r="F31" s="6">
        <v>1929.5222570000001</v>
      </c>
      <c r="G31" s="7">
        <v>1.5711178999999999E-2</v>
      </c>
      <c r="H31" s="49"/>
    </row>
    <row r="32" spans="1:8" ht="17.100000000000001" customHeight="1" x14ac:dyDescent="0.2">
      <c r="A32" s="3">
        <v>26</v>
      </c>
      <c r="B32" s="4" t="s">
        <v>354</v>
      </c>
      <c r="C32" s="4" t="s">
        <v>355</v>
      </c>
      <c r="D32" s="4" t="s">
        <v>188</v>
      </c>
      <c r="E32" s="5">
        <v>45680</v>
      </c>
      <c r="F32" s="6">
        <v>1838.8484000000001</v>
      </c>
      <c r="G32" s="7">
        <v>1.4972865E-2</v>
      </c>
      <c r="H32" s="49"/>
    </row>
    <row r="33" spans="1:8" ht="17.100000000000001" customHeight="1" x14ac:dyDescent="0.2">
      <c r="A33" s="3">
        <v>27</v>
      </c>
      <c r="B33" s="4" t="s">
        <v>722</v>
      </c>
      <c r="C33" s="4" t="s">
        <v>723</v>
      </c>
      <c r="D33" s="4" t="s">
        <v>233</v>
      </c>
      <c r="E33" s="5">
        <v>972899</v>
      </c>
      <c r="F33" s="6">
        <v>1833.4281655</v>
      </c>
      <c r="G33" s="7">
        <v>1.4928729999999999E-2</v>
      </c>
      <c r="H33" s="49"/>
    </row>
    <row r="34" spans="1:8" ht="17.100000000000001" customHeight="1" x14ac:dyDescent="0.2">
      <c r="A34" s="3">
        <v>28</v>
      </c>
      <c r="B34" s="4" t="s">
        <v>300</v>
      </c>
      <c r="C34" s="4" t="s">
        <v>301</v>
      </c>
      <c r="D34" s="4" t="s">
        <v>230</v>
      </c>
      <c r="E34" s="5">
        <v>309216</v>
      </c>
      <c r="F34" s="6">
        <v>1668.2203199999999</v>
      </c>
      <c r="G34" s="7">
        <v>1.3583522000000001E-2</v>
      </c>
      <c r="H34" s="49"/>
    </row>
    <row r="35" spans="1:8" ht="17.100000000000001" customHeight="1" x14ac:dyDescent="0.2">
      <c r="A35" s="3">
        <v>29</v>
      </c>
      <c r="B35" s="4" t="s">
        <v>682</v>
      </c>
      <c r="C35" s="4" t="s">
        <v>683</v>
      </c>
      <c r="D35" s="4" t="s">
        <v>188</v>
      </c>
      <c r="E35" s="5">
        <v>34028</v>
      </c>
      <c r="F35" s="6">
        <v>1358.9422079999999</v>
      </c>
      <c r="G35" s="7">
        <v>1.1065218E-2</v>
      </c>
      <c r="H35" s="49"/>
    </row>
    <row r="36" spans="1:8" ht="17.100000000000001" customHeight="1" x14ac:dyDescent="0.2">
      <c r="A36" s="3">
        <v>30</v>
      </c>
      <c r="B36" s="4" t="s">
        <v>521</v>
      </c>
      <c r="C36" s="4" t="s">
        <v>522</v>
      </c>
      <c r="D36" s="4" t="s">
        <v>108</v>
      </c>
      <c r="E36" s="5">
        <v>75151</v>
      </c>
      <c r="F36" s="6">
        <v>1207.000211</v>
      </c>
      <c r="G36" s="7">
        <v>9.8280260000000001E-3</v>
      </c>
      <c r="H36" s="49"/>
    </row>
    <row r="37" spans="1:8" ht="17.100000000000001" customHeight="1" x14ac:dyDescent="0.2">
      <c r="A37" s="3">
        <v>31</v>
      </c>
      <c r="B37" s="4" t="s">
        <v>265</v>
      </c>
      <c r="C37" s="4" t="s">
        <v>266</v>
      </c>
      <c r="D37" s="4" t="s">
        <v>267</v>
      </c>
      <c r="E37" s="5">
        <v>131276</v>
      </c>
      <c r="F37" s="6">
        <v>1165.205776</v>
      </c>
      <c r="G37" s="7">
        <v>9.4877139999999995E-3</v>
      </c>
      <c r="H37" s="49"/>
    </row>
    <row r="38" spans="1:8" ht="17.100000000000001" customHeight="1" x14ac:dyDescent="0.2">
      <c r="A38" s="3">
        <v>32</v>
      </c>
      <c r="B38" s="4" t="s">
        <v>241</v>
      </c>
      <c r="C38" s="4" t="s">
        <v>242</v>
      </c>
      <c r="D38" s="4" t="s">
        <v>108</v>
      </c>
      <c r="E38" s="5">
        <v>136508</v>
      </c>
      <c r="F38" s="6">
        <v>1118.6830600000001</v>
      </c>
      <c r="G38" s="7">
        <v>9.1089020000000003E-3</v>
      </c>
      <c r="H38" s="49"/>
    </row>
    <row r="39" spans="1:8" ht="17.100000000000001" customHeight="1" x14ac:dyDescent="0.2">
      <c r="A39" s="3">
        <v>33</v>
      </c>
      <c r="B39" s="4" t="s">
        <v>724</v>
      </c>
      <c r="C39" s="4" t="s">
        <v>725</v>
      </c>
      <c r="D39" s="4" t="s">
        <v>108</v>
      </c>
      <c r="E39" s="5">
        <v>198491</v>
      </c>
      <c r="F39" s="6">
        <v>998.50897550000002</v>
      </c>
      <c r="G39" s="7">
        <v>8.1303820000000002E-3</v>
      </c>
      <c r="H39" s="49"/>
    </row>
    <row r="40" spans="1:8" ht="29.1" customHeight="1" x14ac:dyDescent="0.2">
      <c r="A40" s="3">
        <v>34</v>
      </c>
      <c r="B40" s="4" t="s">
        <v>406</v>
      </c>
      <c r="C40" s="4" t="s">
        <v>407</v>
      </c>
      <c r="D40" s="4" t="s">
        <v>108</v>
      </c>
      <c r="E40" s="5">
        <v>73829</v>
      </c>
      <c r="F40" s="6">
        <v>868.85658650000005</v>
      </c>
      <c r="G40" s="7">
        <v>7.0746840000000004E-3</v>
      </c>
      <c r="H40" s="49"/>
    </row>
    <row r="41" spans="1:8" ht="17.100000000000001" customHeight="1" x14ac:dyDescent="0.2">
      <c r="A41" s="3">
        <v>35</v>
      </c>
      <c r="B41" s="4" t="s">
        <v>584</v>
      </c>
      <c r="C41" s="4" t="s">
        <v>585</v>
      </c>
      <c r="D41" s="4" t="s">
        <v>188</v>
      </c>
      <c r="E41" s="5">
        <v>896775</v>
      </c>
      <c r="F41" s="6">
        <v>770.77811250000002</v>
      </c>
      <c r="G41" s="7">
        <v>6.276078E-3</v>
      </c>
      <c r="H41" s="49"/>
    </row>
    <row r="42" spans="1:8" ht="17.100000000000001" customHeight="1" x14ac:dyDescent="0.2">
      <c r="A42" s="3">
        <v>36</v>
      </c>
      <c r="B42" s="4" t="s">
        <v>106</v>
      </c>
      <c r="C42" s="4" t="s">
        <v>107</v>
      </c>
      <c r="D42" s="4" t="s">
        <v>108</v>
      </c>
      <c r="E42" s="5">
        <v>49000</v>
      </c>
      <c r="F42" s="6">
        <v>189.45849999999999</v>
      </c>
      <c r="G42" s="7">
        <v>1.5426699999999999E-3</v>
      </c>
      <c r="H42" s="49"/>
    </row>
    <row r="43" spans="1:8" ht="17.100000000000001" customHeight="1" x14ac:dyDescent="0.2">
      <c r="A43" s="3">
        <v>37</v>
      </c>
      <c r="B43" s="4" t="s">
        <v>525</v>
      </c>
      <c r="C43" s="4" t="s">
        <v>526</v>
      </c>
      <c r="D43" s="4" t="s">
        <v>317</v>
      </c>
      <c r="E43" s="5">
        <v>15279</v>
      </c>
      <c r="F43" s="6">
        <v>135.60876450000001</v>
      </c>
      <c r="G43" s="7">
        <v>1.1041969999999999E-3</v>
      </c>
      <c r="H43" s="49"/>
    </row>
    <row r="44" spans="1:8" ht="14.1" customHeight="1" x14ac:dyDescent="0.2">
      <c r="A44" s="1"/>
      <c r="B44" s="1"/>
      <c r="C44" s="2" t="s">
        <v>130</v>
      </c>
      <c r="D44" s="1"/>
      <c r="E44" s="1" t="s">
        <v>131</v>
      </c>
      <c r="F44" s="9">
        <v>112055.5794155</v>
      </c>
      <c r="G44" s="10">
        <v>0.91241508500000001</v>
      </c>
      <c r="H44" s="49"/>
    </row>
    <row r="45" spans="1:8" ht="14.1" customHeight="1" x14ac:dyDescent="0.2">
      <c r="A45" s="1"/>
      <c r="B45" s="1"/>
      <c r="C45" s="11"/>
      <c r="D45" s="1"/>
      <c r="E45" s="1"/>
      <c r="F45" s="12"/>
      <c r="G45" s="12"/>
      <c r="H45" s="49"/>
    </row>
    <row r="46" spans="1:8" ht="14.1" customHeight="1" x14ac:dyDescent="0.2">
      <c r="A46" s="1"/>
      <c r="B46" s="1"/>
      <c r="C46" s="2" t="s">
        <v>132</v>
      </c>
      <c r="D46" s="1"/>
      <c r="E46" s="1"/>
      <c r="F46" s="1"/>
      <c r="G46" s="1"/>
      <c r="H46" s="49"/>
    </row>
    <row r="47" spans="1:8" ht="14.1" customHeight="1" x14ac:dyDescent="0.2">
      <c r="A47" s="1"/>
      <c r="B47" s="1"/>
      <c r="C47" s="2" t="s">
        <v>130</v>
      </c>
      <c r="D47" s="1"/>
      <c r="E47" s="1" t="s">
        <v>131</v>
      </c>
      <c r="F47" s="13">
        <v>0</v>
      </c>
      <c r="G47" s="14">
        <v>0</v>
      </c>
      <c r="H47" s="49"/>
    </row>
    <row r="48" spans="1:8" ht="14.1" customHeight="1" x14ac:dyDescent="0.2">
      <c r="A48" s="1"/>
      <c r="B48" s="1"/>
      <c r="C48" s="11"/>
      <c r="D48" s="1"/>
      <c r="E48" s="1"/>
      <c r="F48" s="12"/>
      <c r="G48" s="12"/>
      <c r="H48" s="49"/>
    </row>
    <row r="49" spans="1:8" ht="14.1" customHeight="1" x14ac:dyDescent="0.2">
      <c r="A49" s="1"/>
      <c r="B49" s="1"/>
      <c r="C49" s="2" t="s">
        <v>133</v>
      </c>
      <c r="D49" s="1"/>
      <c r="E49" s="1"/>
      <c r="F49" s="1"/>
      <c r="G49" s="1"/>
      <c r="H49" s="49"/>
    </row>
    <row r="50" spans="1:8" ht="14.1" customHeight="1" x14ac:dyDescent="0.2">
      <c r="A50" s="1"/>
      <c r="B50" s="1"/>
      <c r="C50" s="2" t="s">
        <v>130</v>
      </c>
      <c r="D50" s="1"/>
      <c r="E50" s="1" t="s">
        <v>131</v>
      </c>
      <c r="F50" s="13">
        <v>0</v>
      </c>
      <c r="G50" s="14">
        <v>0</v>
      </c>
      <c r="H50" s="49"/>
    </row>
    <row r="51" spans="1:8" ht="14.1" customHeight="1" x14ac:dyDescent="0.2">
      <c r="A51" s="1"/>
      <c r="B51" s="1"/>
      <c r="C51" s="11"/>
      <c r="D51" s="1"/>
      <c r="E51" s="1"/>
      <c r="F51" s="12"/>
      <c r="G51" s="12"/>
      <c r="H51" s="49"/>
    </row>
    <row r="52" spans="1:8" ht="14.1" customHeight="1" x14ac:dyDescent="0.2">
      <c r="A52" s="1"/>
      <c r="B52" s="1"/>
      <c r="C52" s="2" t="s">
        <v>134</v>
      </c>
      <c r="D52" s="1"/>
      <c r="E52" s="1"/>
      <c r="F52" s="1"/>
      <c r="G52" s="1"/>
      <c r="H52" s="49"/>
    </row>
    <row r="53" spans="1:8" ht="14.1" customHeight="1" x14ac:dyDescent="0.2">
      <c r="A53" s="1"/>
      <c r="B53" s="1"/>
      <c r="C53" s="2" t="s">
        <v>130</v>
      </c>
      <c r="D53" s="1"/>
      <c r="E53" s="1" t="s">
        <v>131</v>
      </c>
      <c r="F53" s="13">
        <v>0</v>
      </c>
      <c r="G53" s="14">
        <v>0</v>
      </c>
      <c r="H53" s="49"/>
    </row>
    <row r="54" spans="1:8" ht="14.1" customHeight="1" x14ac:dyDescent="0.2">
      <c r="A54" s="1"/>
      <c r="B54" s="1"/>
      <c r="C54" s="11"/>
      <c r="D54" s="1"/>
      <c r="E54" s="1"/>
      <c r="F54" s="12"/>
      <c r="G54" s="12"/>
      <c r="H54" s="49"/>
    </row>
    <row r="55" spans="1:8" ht="14.1" customHeight="1" x14ac:dyDescent="0.2">
      <c r="A55" s="1"/>
      <c r="B55" s="1"/>
      <c r="C55" s="2" t="s">
        <v>135</v>
      </c>
      <c r="D55" s="1"/>
      <c r="E55" s="1"/>
      <c r="F55" s="12"/>
      <c r="G55" s="12"/>
      <c r="H55" s="49"/>
    </row>
    <row r="56" spans="1:8" ht="14.1" customHeight="1" x14ac:dyDescent="0.2">
      <c r="A56" s="1"/>
      <c r="B56" s="1"/>
      <c r="C56" s="2" t="s">
        <v>130</v>
      </c>
      <c r="D56" s="1"/>
      <c r="E56" s="1" t="s">
        <v>131</v>
      </c>
      <c r="F56" s="13">
        <v>0</v>
      </c>
      <c r="G56" s="14">
        <v>0</v>
      </c>
      <c r="H56" s="49"/>
    </row>
    <row r="57" spans="1:8" ht="14.1" customHeight="1" x14ac:dyDescent="0.2">
      <c r="A57" s="1"/>
      <c r="B57" s="1"/>
      <c r="C57" s="11"/>
      <c r="D57" s="1"/>
      <c r="E57" s="1"/>
      <c r="F57" s="12"/>
      <c r="G57" s="12"/>
      <c r="H57" s="49"/>
    </row>
    <row r="58" spans="1:8" ht="14.1" customHeight="1" x14ac:dyDescent="0.2">
      <c r="A58" s="1"/>
      <c r="B58" s="1"/>
      <c r="C58" s="2" t="s">
        <v>136</v>
      </c>
      <c r="D58" s="1"/>
      <c r="E58" s="1"/>
      <c r="F58" s="12"/>
      <c r="G58" s="12"/>
      <c r="H58" s="49"/>
    </row>
    <row r="59" spans="1:8" ht="14.1" customHeight="1" x14ac:dyDescent="0.2">
      <c r="A59" s="1"/>
      <c r="B59" s="1"/>
      <c r="C59" s="2" t="s">
        <v>130</v>
      </c>
      <c r="D59" s="1"/>
      <c r="E59" s="1" t="s">
        <v>131</v>
      </c>
      <c r="F59" s="13">
        <v>0</v>
      </c>
      <c r="G59" s="14">
        <v>0</v>
      </c>
      <c r="H59" s="49"/>
    </row>
    <row r="60" spans="1:8" ht="14.1" customHeight="1" x14ac:dyDescent="0.2">
      <c r="A60" s="1"/>
      <c r="B60" s="1"/>
      <c r="C60" s="11"/>
      <c r="D60" s="1"/>
      <c r="E60" s="1"/>
      <c r="F60" s="12"/>
      <c r="G60" s="12"/>
      <c r="H60" s="49"/>
    </row>
    <row r="61" spans="1:8" ht="18" customHeight="1" x14ac:dyDescent="0.2">
      <c r="A61" s="1"/>
      <c r="B61" s="1"/>
      <c r="C61" s="2" t="s">
        <v>137</v>
      </c>
      <c r="D61" s="1"/>
      <c r="E61" s="1"/>
      <c r="F61" s="9">
        <v>112055.5794155</v>
      </c>
      <c r="G61" s="10">
        <v>0.91241508500000001</v>
      </c>
      <c r="H61" s="49"/>
    </row>
    <row r="62" spans="1:8" ht="14.1" customHeight="1" x14ac:dyDescent="0.2">
      <c r="A62" s="1"/>
      <c r="B62" s="1"/>
      <c r="C62" s="11"/>
      <c r="D62" s="1"/>
      <c r="E62" s="1"/>
      <c r="F62" s="12"/>
      <c r="G62" s="12"/>
      <c r="H62" s="49"/>
    </row>
    <row r="63" spans="1:8" ht="14.1" customHeight="1" x14ac:dyDescent="0.2">
      <c r="A63" s="1"/>
      <c r="B63" s="1"/>
      <c r="C63" s="2" t="s">
        <v>138</v>
      </c>
      <c r="D63" s="1"/>
      <c r="E63" s="1"/>
      <c r="F63" s="12"/>
      <c r="G63" s="12"/>
      <c r="H63" s="49"/>
    </row>
    <row r="64" spans="1:8" ht="24" customHeight="1" x14ac:dyDescent="0.2">
      <c r="A64" s="1"/>
      <c r="B64" s="1"/>
      <c r="C64" s="2" t="s">
        <v>10</v>
      </c>
      <c r="D64" s="1"/>
      <c r="E64" s="1"/>
      <c r="F64" s="12"/>
      <c r="G64" s="12"/>
      <c r="H64" s="49"/>
    </row>
    <row r="65" spans="1:8" ht="14.1" customHeight="1" x14ac:dyDescent="0.2">
      <c r="A65" s="1"/>
      <c r="B65" s="1"/>
      <c r="C65" s="2" t="s">
        <v>130</v>
      </c>
      <c r="D65" s="1"/>
      <c r="E65" s="1" t="s">
        <v>131</v>
      </c>
      <c r="F65" s="13">
        <v>0</v>
      </c>
      <c r="G65" s="14">
        <v>0</v>
      </c>
      <c r="H65" s="49"/>
    </row>
    <row r="66" spans="1:8" ht="14.1" customHeight="1" x14ac:dyDescent="0.2">
      <c r="A66" s="1"/>
      <c r="B66" s="1"/>
      <c r="C66" s="11"/>
      <c r="D66" s="1"/>
      <c r="E66" s="1"/>
      <c r="F66" s="12"/>
      <c r="G66" s="12"/>
      <c r="H66" s="49"/>
    </row>
    <row r="67" spans="1:8" ht="14.1" customHeight="1" x14ac:dyDescent="0.2">
      <c r="A67" s="1"/>
      <c r="B67" s="1"/>
      <c r="C67" s="2" t="s">
        <v>139</v>
      </c>
      <c r="D67" s="1"/>
      <c r="E67" s="1"/>
      <c r="F67" s="1"/>
      <c r="G67" s="1"/>
      <c r="H67" s="49"/>
    </row>
    <row r="68" spans="1:8" ht="14.1" customHeight="1" x14ac:dyDescent="0.2">
      <c r="A68" s="1"/>
      <c r="B68" s="1"/>
      <c r="C68" s="2" t="s">
        <v>130</v>
      </c>
      <c r="D68" s="1"/>
      <c r="E68" s="1" t="s">
        <v>131</v>
      </c>
      <c r="F68" s="13">
        <v>0</v>
      </c>
      <c r="G68" s="14">
        <v>0</v>
      </c>
      <c r="H68" s="49"/>
    </row>
    <row r="69" spans="1:8" ht="14.1" customHeight="1" x14ac:dyDescent="0.2">
      <c r="A69" s="1"/>
      <c r="B69" s="1"/>
      <c r="C69" s="11"/>
      <c r="D69" s="1"/>
      <c r="E69" s="1"/>
      <c r="F69" s="12"/>
      <c r="G69" s="12"/>
      <c r="H69" s="49"/>
    </row>
    <row r="70" spans="1:8" ht="14.1" customHeight="1" x14ac:dyDescent="0.2">
      <c r="A70" s="1"/>
      <c r="B70" s="1"/>
      <c r="C70" s="2" t="s">
        <v>140</v>
      </c>
      <c r="D70" s="1"/>
      <c r="E70" s="1"/>
      <c r="F70" s="1"/>
      <c r="G70" s="1"/>
      <c r="H70" s="49"/>
    </row>
    <row r="71" spans="1:8" ht="14.1" customHeight="1" x14ac:dyDescent="0.2">
      <c r="A71" s="1"/>
      <c r="B71" s="1"/>
      <c r="C71" s="2" t="s">
        <v>130</v>
      </c>
      <c r="D71" s="1"/>
      <c r="E71" s="1" t="s">
        <v>131</v>
      </c>
      <c r="F71" s="13">
        <v>0</v>
      </c>
      <c r="G71" s="14">
        <v>0</v>
      </c>
      <c r="H71" s="49"/>
    </row>
    <row r="72" spans="1:8" ht="14.1" customHeight="1" x14ac:dyDescent="0.2">
      <c r="A72" s="1"/>
      <c r="B72" s="1"/>
      <c r="C72" s="11"/>
      <c r="D72" s="1"/>
      <c r="E72" s="1"/>
      <c r="F72" s="12"/>
      <c r="G72" s="12"/>
      <c r="H72" s="49"/>
    </row>
    <row r="73" spans="1:8" ht="14.1" customHeight="1" x14ac:dyDescent="0.2">
      <c r="A73" s="1"/>
      <c r="B73" s="1"/>
      <c r="C73" s="2" t="s">
        <v>141</v>
      </c>
      <c r="D73" s="1"/>
      <c r="E73" s="1"/>
      <c r="F73" s="12"/>
      <c r="G73" s="12"/>
      <c r="H73" s="49"/>
    </row>
    <row r="74" spans="1:8" ht="14.1" customHeight="1" x14ac:dyDescent="0.2">
      <c r="A74" s="1"/>
      <c r="B74" s="1"/>
      <c r="C74" s="2" t="s">
        <v>130</v>
      </c>
      <c r="D74" s="1"/>
      <c r="E74" s="1" t="s">
        <v>131</v>
      </c>
      <c r="F74" s="13">
        <v>0</v>
      </c>
      <c r="G74" s="14">
        <v>0</v>
      </c>
      <c r="H74" s="49"/>
    </row>
    <row r="75" spans="1:8" ht="14.1" customHeight="1" x14ac:dyDescent="0.2">
      <c r="A75" s="1"/>
      <c r="B75" s="1"/>
      <c r="C75" s="11"/>
      <c r="D75" s="1"/>
      <c r="E75" s="1"/>
      <c r="F75" s="12"/>
      <c r="G75" s="12"/>
      <c r="H75" s="49"/>
    </row>
    <row r="76" spans="1:8" ht="14.1" customHeight="1" x14ac:dyDescent="0.2">
      <c r="A76" s="1"/>
      <c r="B76" s="1"/>
      <c r="C76" s="2" t="s">
        <v>142</v>
      </c>
      <c r="D76" s="1"/>
      <c r="E76" s="1"/>
      <c r="F76" s="9">
        <v>0</v>
      </c>
      <c r="G76" s="10">
        <v>0</v>
      </c>
      <c r="H76" s="49"/>
    </row>
    <row r="77" spans="1:8" ht="14.1" customHeight="1" x14ac:dyDescent="0.2">
      <c r="A77" s="1"/>
      <c r="B77" s="1"/>
      <c r="C77" s="11"/>
      <c r="D77" s="1"/>
      <c r="E77" s="1"/>
      <c r="F77" s="12"/>
      <c r="G77" s="12"/>
      <c r="H77" s="49"/>
    </row>
    <row r="78" spans="1:8" ht="14.1" customHeight="1" x14ac:dyDescent="0.2">
      <c r="A78" s="1"/>
      <c r="B78" s="1"/>
      <c r="C78" s="2" t="s">
        <v>143</v>
      </c>
      <c r="D78" s="1"/>
      <c r="E78" s="1"/>
      <c r="F78" s="12"/>
      <c r="G78" s="12"/>
      <c r="H78" s="49"/>
    </row>
    <row r="79" spans="1:8" ht="14.1" customHeight="1" x14ac:dyDescent="0.2">
      <c r="A79" s="1"/>
      <c r="B79" s="1"/>
      <c r="C79" s="2" t="s">
        <v>144</v>
      </c>
      <c r="D79" s="1"/>
      <c r="E79" s="1"/>
      <c r="F79" s="12"/>
      <c r="G79" s="12"/>
      <c r="H79" s="49"/>
    </row>
    <row r="80" spans="1:8" ht="14.1" customHeight="1" x14ac:dyDescent="0.2">
      <c r="A80" s="1"/>
      <c r="B80" s="1"/>
      <c r="C80" s="2" t="s">
        <v>130</v>
      </c>
      <c r="D80" s="1"/>
      <c r="E80" s="1" t="s">
        <v>131</v>
      </c>
      <c r="F80" s="13">
        <v>0</v>
      </c>
      <c r="G80" s="14">
        <v>0</v>
      </c>
      <c r="H80" s="49"/>
    </row>
    <row r="81" spans="1:8" ht="14.1" customHeight="1" x14ac:dyDescent="0.2">
      <c r="A81" s="1"/>
      <c r="B81" s="1"/>
      <c r="C81" s="11"/>
      <c r="D81" s="1"/>
      <c r="E81" s="1"/>
      <c r="F81" s="12"/>
      <c r="G81" s="12"/>
      <c r="H81" s="49"/>
    </row>
    <row r="82" spans="1:8" ht="14.1" customHeight="1" x14ac:dyDescent="0.2">
      <c r="A82" s="1"/>
      <c r="B82" s="1"/>
      <c r="C82" s="2" t="s">
        <v>145</v>
      </c>
      <c r="D82" s="1"/>
      <c r="E82" s="1"/>
      <c r="F82" s="12"/>
      <c r="G82" s="12"/>
      <c r="H82" s="49"/>
    </row>
    <row r="83" spans="1:8" ht="14.1" customHeight="1" x14ac:dyDescent="0.2">
      <c r="A83" s="1"/>
      <c r="B83" s="1"/>
      <c r="C83" s="2" t="s">
        <v>130</v>
      </c>
      <c r="D83" s="1"/>
      <c r="E83" s="1" t="s">
        <v>131</v>
      </c>
      <c r="F83" s="13">
        <v>0</v>
      </c>
      <c r="G83" s="14">
        <v>0</v>
      </c>
      <c r="H83" s="49"/>
    </row>
    <row r="84" spans="1:8" ht="14.1" customHeight="1" x14ac:dyDescent="0.2">
      <c r="A84" s="1"/>
      <c r="B84" s="1"/>
      <c r="C84" s="11"/>
      <c r="D84" s="1"/>
      <c r="E84" s="1"/>
      <c r="F84" s="12"/>
      <c r="G84" s="12"/>
      <c r="H84" s="49"/>
    </row>
    <row r="85" spans="1:8" ht="14.1" customHeight="1" x14ac:dyDescent="0.2">
      <c r="A85" s="1"/>
      <c r="B85" s="1"/>
      <c r="C85" s="2" t="s">
        <v>146</v>
      </c>
      <c r="D85" s="1"/>
      <c r="E85" s="1"/>
      <c r="F85" s="12"/>
      <c r="G85" s="12"/>
      <c r="H85" s="49"/>
    </row>
    <row r="86" spans="1:8" ht="14.1" customHeight="1" x14ac:dyDescent="0.2">
      <c r="A86" s="1"/>
      <c r="B86" s="1"/>
      <c r="C86" s="2" t="s">
        <v>130</v>
      </c>
      <c r="D86" s="1"/>
      <c r="E86" s="1" t="s">
        <v>131</v>
      </c>
      <c r="F86" s="13">
        <v>0</v>
      </c>
      <c r="G86" s="14">
        <v>0</v>
      </c>
      <c r="H86" s="49"/>
    </row>
    <row r="87" spans="1:8" ht="14.1" customHeight="1" x14ac:dyDescent="0.2">
      <c r="A87" s="1"/>
      <c r="B87" s="1"/>
      <c r="C87" s="11"/>
      <c r="D87" s="1"/>
      <c r="E87" s="1"/>
      <c r="F87" s="12"/>
      <c r="G87" s="12"/>
      <c r="H87" s="49"/>
    </row>
    <row r="88" spans="1:8" ht="14.1" customHeight="1" x14ac:dyDescent="0.2">
      <c r="A88" s="1"/>
      <c r="B88" s="1"/>
      <c r="C88" s="2" t="s">
        <v>147</v>
      </c>
      <c r="D88" s="1"/>
      <c r="E88" s="1"/>
      <c r="F88" s="12"/>
      <c r="G88" s="12"/>
      <c r="H88" s="49"/>
    </row>
    <row r="89" spans="1:8" ht="17.100000000000001" customHeight="1" x14ac:dyDescent="0.2">
      <c r="A89" s="3">
        <v>1</v>
      </c>
      <c r="B89" s="4"/>
      <c r="C89" s="4" t="s">
        <v>148</v>
      </c>
      <c r="D89" s="4"/>
      <c r="E89" s="8"/>
      <c r="F89" s="6">
        <v>7958.2791254000003</v>
      </c>
      <c r="G89" s="7">
        <v>6.4800468E-2</v>
      </c>
      <c r="H89" s="49">
        <v>5.6572293145372496</v>
      </c>
    </row>
    <row r="90" spans="1:8" ht="14.1" customHeight="1" x14ac:dyDescent="0.2">
      <c r="A90" s="1"/>
      <c r="B90" s="1"/>
      <c r="C90" s="2" t="s">
        <v>130</v>
      </c>
      <c r="D90" s="1"/>
      <c r="E90" s="1" t="s">
        <v>131</v>
      </c>
      <c r="F90" s="9">
        <v>7958.2791254000003</v>
      </c>
      <c r="G90" s="10">
        <v>6.4800468E-2</v>
      </c>
      <c r="H90" s="49"/>
    </row>
    <row r="91" spans="1:8" ht="14.1" customHeight="1" x14ac:dyDescent="0.2">
      <c r="A91" s="1"/>
      <c r="B91" s="1"/>
      <c r="C91" s="11"/>
      <c r="D91" s="1"/>
      <c r="E91" s="1"/>
      <c r="F91" s="12"/>
      <c r="G91" s="12"/>
      <c r="H91" s="49"/>
    </row>
    <row r="92" spans="1:8" ht="14.1" customHeight="1" x14ac:dyDescent="0.2">
      <c r="A92" s="1"/>
      <c r="B92" s="1"/>
      <c r="C92" s="2" t="s">
        <v>149</v>
      </c>
      <c r="D92" s="1"/>
      <c r="E92" s="1"/>
      <c r="F92" s="9">
        <v>7958.2791254000003</v>
      </c>
      <c r="G92" s="10">
        <v>6.4800468E-2</v>
      </c>
      <c r="H92" s="49"/>
    </row>
    <row r="93" spans="1:8" ht="14.1" customHeight="1" x14ac:dyDescent="0.2">
      <c r="A93" s="1"/>
      <c r="B93" s="1"/>
      <c r="C93" s="12"/>
      <c r="D93" s="1"/>
      <c r="E93" s="1"/>
      <c r="F93" s="1"/>
      <c r="G93" s="1"/>
      <c r="H93" s="49"/>
    </row>
    <row r="94" spans="1:8" ht="14.1" customHeight="1" x14ac:dyDescent="0.2">
      <c r="A94" s="1"/>
      <c r="B94" s="1"/>
      <c r="C94" s="2" t="s">
        <v>150</v>
      </c>
      <c r="D94" s="1"/>
      <c r="E94" s="1"/>
      <c r="F94" s="1"/>
      <c r="G94" s="1"/>
      <c r="H94" s="49"/>
    </row>
    <row r="95" spans="1:8" ht="14.1" customHeight="1" x14ac:dyDescent="0.2">
      <c r="A95" s="1"/>
      <c r="B95" s="1"/>
      <c r="C95" s="2" t="s">
        <v>151</v>
      </c>
      <c r="D95" s="1"/>
      <c r="E95" s="1"/>
      <c r="F95" s="1"/>
      <c r="G95" s="1"/>
      <c r="H95" s="49"/>
    </row>
    <row r="96" spans="1:8"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152</v>
      </c>
      <c r="D98" s="1"/>
      <c r="E98" s="1"/>
      <c r="F98" s="1"/>
      <c r="G98" s="1"/>
      <c r="H98" s="49"/>
    </row>
    <row r="99" spans="1:8" ht="14.1" customHeight="1" x14ac:dyDescent="0.2">
      <c r="A99" s="1"/>
      <c r="B99" s="1"/>
      <c r="C99" s="2" t="s">
        <v>153</v>
      </c>
      <c r="D99" s="1"/>
      <c r="E99" s="1"/>
      <c r="F99" s="1"/>
      <c r="G99" s="1"/>
      <c r="H99" s="49"/>
    </row>
    <row r="100" spans="1:8" ht="14.1" customHeight="1" x14ac:dyDescent="0.2">
      <c r="A100" s="1"/>
      <c r="B100" s="1"/>
      <c r="C100" s="2" t="s">
        <v>130</v>
      </c>
      <c r="D100" s="1"/>
      <c r="E100" s="1" t="s">
        <v>131</v>
      </c>
      <c r="F100" s="13">
        <v>0</v>
      </c>
      <c r="G100" s="14">
        <v>0</v>
      </c>
      <c r="H100" s="49"/>
    </row>
    <row r="101" spans="1:8" ht="14.1" customHeight="1" x14ac:dyDescent="0.2">
      <c r="A101" s="1"/>
      <c r="B101" s="1"/>
      <c r="C101" s="11"/>
      <c r="D101" s="1"/>
      <c r="E101" s="1"/>
      <c r="F101" s="12"/>
      <c r="G101" s="12"/>
      <c r="H101" s="49"/>
    </row>
    <row r="102" spans="1:8" ht="14.1" customHeight="1" x14ac:dyDescent="0.2">
      <c r="A102" s="1"/>
      <c r="B102" s="1"/>
      <c r="C102" s="11"/>
      <c r="D102" s="1"/>
      <c r="E102" s="1"/>
      <c r="F102" s="12"/>
      <c r="G102" s="12"/>
      <c r="H102" s="49"/>
    </row>
    <row r="103" spans="1:8" ht="24" customHeight="1" x14ac:dyDescent="0.2">
      <c r="A103" s="1"/>
      <c r="B103" s="1"/>
      <c r="C103" s="2" t="s">
        <v>154</v>
      </c>
      <c r="D103" s="1"/>
      <c r="E103" s="1"/>
      <c r="F103" s="12"/>
      <c r="G103" s="12"/>
      <c r="H103" s="49"/>
    </row>
    <row r="104" spans="1:8" ht="14.1" customHeight="1" x14ac:dyDescent="0.2">
      <c r="A104" s="1"/>
      <c r="B104" s="1"/>
      <c r="C104" s="2" t="s">
        <v>130</v>
      </c>
      <c r="D104" s="1"/>
      <c r="E104" s="1" t="s">
        <v>131</v>
      </c>
      <c r="F104" s="13">
        <v>0</v>
      </c>
      <c r="G104" s="14">
        <v>0</v>
      </c>
      <c r="H104" s="49"/>
    </row>
    <row r="105" spans="1:8" ht="14.1" customHeight="1" x14ac:dyDescent="0.2">
      <c r="A105" s="1"/>
      <c r="B105" s="1"/>
      <c r="C105" s="11"/>
      <c r="D105" s="1"/>
      <c r="E105" s="1"/>
      <c r="F105" s="12"/>
      <c r="G105" s="12"/>
      <c r="H105" s="49"/>
    </row>
    <row r="106" spans="1:8" ht="14.1" customHeight="1" x14ac:dyDescent="0.2">
      <c r="A106" s="1"/>
      <c r="B106" s="4"/>
      <c r="C106" s="4"/>
      <c r="D106" s="2"/>
      <c r="E106" s="1"/>
      <c r="F106" s="4"/>
      <c r="G106" s="8"/>
      <c r="H106" s="49"/>
    </row>
    <row r="107" spans="1:8" ht="18" customHeight="1" x14ac:dyDescent="0.2">
      <c r="A107" s="8"/>
      <c r="B107" s="4"/>
      <c r="C107" s="4" t="s">
        <v>155</v>
      </c>
      <c r="D107" s="4"/>
      <c r="E107" s="8"/>
      <c r="F107" s="6">
        <v>2798.2048429900001</v>
      </c>
      <c r="G107" s="7">
        <v>2.2784446E-2</v>
      </c>
      <c r="H107" s="49"/>
    </row>
    <row r="108" spans="1:8" ht="14.1" customHeight="1" x14ac:dyDescent="0.2">
      <c r="A108" s="11"/>
      <c r="B108" s="11"/>
      <c r="C108" s="2" t="s">
        <v>156</v>
      </c>
      <c r="D108" s="15"/>
      <c r="E108" s="15"/>
      <c r="F108" s="9">
        <v>122812.06338389001</v>
      </c>
      <c r="G108" s="10">
        <v>0.99999999900000003</v>
      </c>
      <c r="H108" s="49"/>
    </row>
    <row r="109" spans="1:8" ht="14.1" customHeight="1" x14ac:dyDescent="0.2">
      <c r="A109" s="16"/>
      <c r="B109" s="16"/>
      <c r="C109" s="16"/>
      <c r="D109" s="17"/>
      <c r="E109" s="17"/>
      <c r="F109" s="17"/>
      <c r="G109" s="17"/>
    </row>
    <row r="110" spans="1:8" ht="14.1" customHeight="1" x14ac:dyDescent="0.2">
      <c r="A110" s="18"/>
      <c r="B110" s="18"/>
      <c r="C110" s="18"/>
      <c r="D110" s="20"/>
      <c r="E110" s="20"/>
      <c r="F110" s="20"/>
      <c r="G110" s="20"/>
    </row>
    <row r="111" spans="1:8" ht="14.1" customHeight="1" x14ac:dyDescent="0.2">
      <c r="A111" s="18"/>
      <c r="B111" s="319" t="s">
        <v>158</v>
      </c>
      <c r="C111" s="320"/>
      <c r="D111" s="12" t="s">
        <v>131</v>
      </c>
      <c r="E111" s="21"/>
      <c r="F111" s="20"/>
      <c r="G111" s="20"/>
    </row>
    <row r="112" spans="1:8" ht="29.1" customHeight="1" x14ac:dyDescent="0.2">
      <c r="A112" s="18"/>
      <c r="B112" s="323" t="s">
        <v>159</v>
      </c>
      <c r="C112" s="324"/>
      <c r="D112" s="2" t="s">
        <v>160</v>
      </c>
      <c r="E112" s="21"/>
      <c r="F112" s="20"/>
      <c r="G112" s="20"/>
    </row>
    <row r="113" spans="1:7" ht="17.100000000000001" customHeight="1" x14ac:dyDescent="0.2">
      <c r="A113" s="18"/>
      <c r="B113" s="323" t="s">
        <v>161</v>
      </c>
      <c r="C113" s="324"/>
      <c r="D113" s="2" t="s">
        <v>160</v>
      </c>
      <c r="E113" s="21"/>
      <c r="F113" s="20"/>
      <c r="G113" s="20"/>
    </row>
    <row r="114" spans="1:7" ht="17.100000000000001" customHeight="1" x14ac:dyDescent="0.2">
      <c r="A114" s="18"/>
      <c r="B114" s="323" t="s">
        <v>162</v>
      </c>
      <c r="C114" s="324"/>
      <c r="D114" s="12" t="s">
        <v>131</v>
      </c>
      <c r="E114" s="21"/>
      <c r="F114" s="20"/>
      <c r="G114" s="20"/>
    </row>
    <row r="115" spans="1:7" ht="24" customHeight="1" x14ac:dyDescent="0.2">
      <c r="A115" s="22"/>
      <c r="B115" s="23" t="s">
        <v>131</v>
      </c>
      <c r="C115" s="23" t="s">
        <v>163</v>
      </c>
      <c r="D115" s="23" t="s">
        <v>164</v>
      </c>
      <c r="E115" s="22"/>
      <c r="F115" s="22"/>
      <c r="G115" s="22"/>
    </row>
    <row r="116" spans="1:7" ht="18" customHeight="1" x14ac:dyDescent="0.2">
      <c r="A116" s="22"/>
      <c r="B116" s="23" t="s">
        <v>165</v>
      </c>
      <c r="C116" s="23" t="s">
        <v>166</v>
      </c>
      <c r="D116" s="23" t="s">
        <v>167</v>
      </c>
      <c r="E116" s="22"/>
      <c r="F116" s="22"/>
      <c r="G116" s="22"/>
    </row>
    <row r="117" spans="1:7" ht="17.100000000000001" customHeight="1" x14ac:dyDescent="0.2">
      <c r="A117" s="22"/>
      <c r="B117" s="4" t="s">
        <v>168</v>
      </c>
      <c r="C117" s="24">
        <v>69.029399999999995</v>
      </c>
      <c r="D117" s="24">
        <v>69.121899999999997</v>
      </c>
      <c r="E117" s="22"/>
      <c r="F117" s="19"/>
      <c r="G117" s="25"/>
    </row>
    <row r="118" spans="1:7" ht="17.100000000000001" customHeight="1" x14ac:dyDescent="0.2">
      <c r="A118" s="22"/>
      <c r="B118" s="4" t="s">
        <v>1021</v>
      </c>
      <c r="C118" s="24">
        <v>26.587800000000001</v>
      </c>
      <c r="D118" s="24">
        <v>24.746200000000002</v>
      </c>
      <c r="E118" s="22"/>
      <c r="F118" s="19"/>
      <c r="G118" s="25"/>
    </row>
    <row r="119" spans="1:7" ht="17.100000000000001" customHeight="1" x14ac:dyDescent="0.2">
      <c r="A119" s="22"/>
      <c r="B119" s="4" t="s">
        <v>169</v>
      </c>
      <c r="C119" s="24">
        <v>64.465199999999996</v>
      </c>
      <c r="D119" s="24">
        <v>64.501000000000005</v>
      </c>
      <c r="E119" s="22"/>
      <c r="F119" s="19"/>
      <c r="G119" s="25"/>
    </row>
    <row r="120" spans="1:7" ht="17.100000000000001" customHeight="1" x14ac:dyDescent="0.2">
      <c r="A120" s="22"/>
      <c r="B120" s="4" t="s">
        <v>1022</v>
      </c>
      <c r="C120" s="24">
        <v>24.420500000000001</v>
      </c>
      <c r="D120" s="24">
        <v>22.7103</v>
      </c>
      <c r="E120" s="22"/>
      <c r="F120" s="19"/>
      <c r="G120" s="25"/>
    </row>
    <row r="121" spans="1:7" ht="14.1" customHeight="1" x14ac:dyDescent="0.2">
      <c r="A121" s="22"/>
      <c r="B121" s="22"/>
      <c r="C121" s="22"/>
      <c r="D121" s="22"/>
      <c r="E121" s="22"/>
      <c r="F121" s="22"/>
      <c r="G121" s="22"/>
    </row>
    <row r="122" spans="1:7" ht="17.100000000000001" customHeight="1" x14ac:dyDescent="0.2">
      <c r="A122" s="61"/>
      <c r="B122" s="325" t="s">
        <v>1023</v>
      </c>
      <c r="C122" s="326"/>
      <c r="D122" s="57" t="s">
        <v>131</v>
      </c>
      <c r="E122" s="61"/>
      <c r="F122" s="61"/>
      <c r="G122" s="61"/>
    </row>
    <row r="123" spans="1:7" ht="18" customHeight="1" x14ac:dyDescent="0.2">
      <c r="A123" s="61"/>
      <c r="B123" s="62" t="s">
        <v>165</v>
      </c>
      <c r="C123" s="63" t="s">
        <v>820</v>
      </c>
      <c r="D123" s="63" t="s">
        <v>821</v>
      </c>
      <c r="E123" s="61"/>
      <c r="F123" s="61"/>
      <c r="G123" s="61"/>
    </row>
    <row r="124" spans="1:7" ht="29.1" customHeight="1" x14ac:dyDescent="0.2">
      <c r="A124" s="61"/>
      <c r="B124" s="39" t="s">
        <v>1021</v>
      </c>
      <c r="C124" s="64">
        <v>1.859</v>
      </c>
      <c r="D124" s="64">
        <v>1.859</v>
      </c>
      <c r="E124" s="61"/>
      <c r="F124" s="56"/>
      <c r="G124" s="65"/>
    </row>
    <row r="125" spans="1:7" ht="29.1" customHeight="1" x14ac:dyDescent="0.2">
      <c r="A125" s="61"/>
      <c r="B125" s="39" t="s">
        <v>1022</v>
      </c>
      <c r="C125" s="64">
        <v>1.708</v>
      </c>
      <c r="D125" s="64">
        <v>1.708</v>
      </c>
      <c r="E125" s="61"/>
      <c r="F125" s="56"/>
      <c r="G125" s="65"/>
    </row>
    <row r="126" spans="1:7" ht="14.1" customHeight="1" x14ac:dyDescent="0.2">
      <c r="A126" s="22"/>
      <c r="B126" s="19"/>
      <c r="C126" s="19"/>
      <c r="D126" s="22"/>
      <c r="E126" s="22"/>
      <c r="F126" s="22"/>
      <c r="G126" s="22"/>
    </row>
    <row r="127" spans="1:7" ht="29.1" customHeight="1" x14ac:dyDescent="0.2">
      <c r="A127" s="22"/>
      <c r="B127" s="323" t="s">
        <v>170</v>
      </c>
      <c r="C127" s="324"/>
      <c r="D127" s="2" t="s">
        <v>160</v>
      </c>
      <c r="E127" s="22"/>
      <c r="F127" s="22"/>
      <c r="G127" s="22"/>
    </row>
    <row r="128" spans="1:7" ht="29.1" customHeight="1" x14ac:dyDescent="0.2">
      <c r="A128" s="22"/>
      <c r="B128" s="323" t="s">
        <v>171</v>
      </c>
      <c r="C128" s="324"/>
      <c r="D128" s="2" t="s">
        <v>160</v>
      </c>
      <c r="E128" s="22"/>
      <c r="F128" s="22"/>
      <c r="G128" s="22"/>
    </row>
    <row r="129" spans="1:7" ht="17.100000000000001" customHeight="1" x14ac:dyDescent="0.2">
      <c r="A129" s="22"/>
      <c r="B129" s="323" t="s">
        <v>172</v>
      </c>
      <c r="C129" s="324"/>
      <c r="D129" s="27">
        <v>0.65582131521856157</v>
      </c>
      <c r="E129" s="22"/>
      <c r="F129" s="19"/>
      <c r="G129" s="25"/>
    </row>
    <row r="130" spans="1:7" ht="17.100000000000001" customHeight="1" x14ac:dyDescent="0.2">
      <c r="A130" s="22"/>
      <c r="B130" s="323" t="s">
        <v>173</v>
      </c>
      <c r="C130" s="324"/>
      <c r="D130" s="2" t="s">
        <v>160</v>
      </c>
      <c r="E130" s="22"/>
      <c r="F130" s="22"/>
      <c r="G130" s="22"/>
    </row>
  </sheetData>
  <mergeCells count="13">
    <mergeCell ref="J2:N2"/>
    <mergeCell ref="B130:C130"/>
    <mergeCell ref="B112:C112"/>
    <mergeCell ref="B113:C113"/>
    <mergeCell ref="B114:C114"/>
    <mergeCell ref="B122:C122"/>
    <mergeCell ref="B127:C127"/>
    <mergeCell ref="B128:C128"/>
    <mergeCell ref="A1:H1"/>
    <mergeCell ref="A2:H2"/>
    <mergeCell ref="A3:H3"/>
    <mergeCell ref="B111:C111"/>
    <mergeCell ref="B129:C129"/>
  </mergeCells>
  <hyperlinks>
    <hyperlink ref="I1" location="Index!B32" display="Index" xr:uid="{3F492AD0-748B-42C1-A9D0-8163FB6F176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O13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726</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14</v>
      </c>
      <c r="C7" s="4" t="s">
        <v>15</v>
      </c>
      <c r="D7" s="4" t="s">
        <v>16</v>
      </c>
      <c r="E7" s="5">
        <v>2504934</v>
      </c>
      <c r="F7" s="6">
        <v>23869.516086</v>
      </c>
      <c r="G7" s="7">
        <v>9.8861717000000002E-2</v>
      </c>
      <c r="H7" s="49"/>
    </row>
    <row r="8" spans="1:15" ht="17.100000000000001" customHeight="1" x14ac:dyDescent="0.2">
      <c r="A8" s="3">
        <v>2</v>
      </c>
      <c r="B8" s="4" t="s">
        <v>263</v>
      </c>
      <c r="C8" s="4" t="s">
        <v>264</v>
      </c>
      <c r="D8" s="4" t="s">
        <v>16</v>
      </c>
      <c r="E8" s="5">
        <v>1362909</v>
      </c>
      <c r="F8" s="6">
        <v>21921.7098105</v>
      </c>
      <c r="G8" s="7">
        <v>9.0794377999999995E-2</v>
      </c>
      <c r="H8" s="49"/>
    </row>
    <row r="9" spans="1:15" ht="17.100000000000001" customHeight="1" x14ac:dyDescent="0.2">
      <c r="A9" s="3">
        <v>3</v>
      </c>
      <c r="B9" s="4" t="s">
        <v>17</v>
      </c>
      <c r="C9" s="4" t="s">
        <v>18</v>
      </c>
      <c r="D9" s="4" t="s">
        <v>19</v>
      </c>
      <c r="E9" s="5">
        <v>2087172</v>
      </c>
      <c r="F9" s="6">
        <v>17714.872350000001</v>
      </c>
      <c r="G9" s="7">
        <v>7.3370683000000006E-2</v>
      </c>
      <c r="H9" s="49"/>
    </row>
    <row r="10" spans="1:15" ht="29.1" customHeight="1" x14ac:dyDescent="0.2">
      <c r="A10" s="3">
        <v>4</v>
      </c>
      <c r="B10" s="4" t="s">
        <v>296</v>
      </c>
      <c r="C10" s="4" t="s">
        <v>297</v>
      </c>
      <c r="D10" s="4" t="s">
        <v>103</v>
      </c>
      <c r="E10" s="5">
        <v>531593</v>
      </c>
      <c r="F10" s="6">
        <v>14313.407321500001</v>
      </c>
      <c r="G10" s="7">
        <v>5.9282644000000002E-2</v>
      </c>
      <c r="H10" s="49"/>
    </row>
    <row r="11" spans="1:15" ht="17.100000000000001" customHeight="1" x14ac:dyDescent="0.2">
      <c r="A11" s="3">
        <v>5</v>
      </c>
      <c r="B11" s="4" t="s">
        <v>20</v>
      </c>
      <c r="C11" s="4" t="s">
        <v>21</v>
      </c>
      <c r="D11" s="4" t="s">
        <v>22</v>
      </c>
      <c r="E11" s="5">
        <v>523988</v>
      </c>
      <c r="F11" s="6">
        <v>14311.946238</v>
      </c>
      <c r="G11" s="7">
        <v>5.9276593000000002E-2</v>
      </c>
      <c r="H11" s="49"/>
    </row>
    <row r="12" spans="1:15" ht="17.100000000000001" customHeight="1" x14ac:dyDescent="0.2">
      <c r="A12" s="3">
        <v>6</v>
      </c>
      <c r="B12" s="4" t="s">
        <v>180</v>
      </c>
      <c r="C12" s="4" t="s">
        <v>181</v>
      </c>
      <c r="D12" s="4" t="s">
        <v>16</v>
      </c>
      <c r="E12" s="5">
        <v>995397</v>
      </c>
      <c r="F12" s="6">
        <v>8971.0154624999996</v>
      </c>
      <c r="G12" s="7">
        <v>3.7155758999999997E-2</v>
      </c>
      <c r="H12" s="49"/>
    </row>
    <row r="13" spans="1:15" ht="17.100000000000001" customHeight="1" x14ac:dyDescent="0.2">
      <c r="A13" s="3">
        <v>7</v>
      </c>
      <c r="B13" s="4" t="s">
        <v>225</v>
      </c>
      <c r="C13" s="4" t="s">
        <v>226</v>
      </c>
      <c r="D13" s="4" t="s">
        <v>227</v>
      </c>
      <c r="E13" s="5">
        <v>159237</v>
      </c>
      <c r="F13" s="6">
        <v>7526.1775680000001</v>
      </c>
      <c r="G13" s="7">
        <v>3.1171593000000001E-2</v>
      </c>
      <c r="H13" s="49"/>
      <c r="J13" s="217" t="s">
        <v>1096</v>
      </c>
    </row>
    <row r="14" spans="1:15" ht="17.100000000000001" customHeight="1" x14ac:dyDescent="0.2">
      <c r="A14" s="3">
        <v>8</v>
      </c>
      <c r="B14" s="4" t="s">
        <v>298</v>
      </c>
      <c r="C14" s="4" t="s">
        <v>299</v>
      </c>
      <c r="D14" s="4" t="s">
        <v>238</v>
      </c>
      <c r="E14" s="5">
        <v>531396</v>
      </c>
      <c r="F14" s="6">
        <v>6817.2792840000002</v>
      </c>
      <c r="G14" s="7">
        <v>2.8235508999999999E-2</v>
      </c>
      <c r="H14" s="49"/>
    </row>
    <row r="15" spans="1:15" ht="17.100000000000001" customHeight="1" x14ac:dyDescent="0.2">
      <c r="A15" s="3">
        <v>9</v>
      </c>
      <c r="B15" s="4" t="s">
        <v>365</v>
      </c>
      <c r="C15" s="4" t="s">
        <v>366</v>
      </c>
      <c r="D15" s="4" t="s">
        <v>108</v>
      </c>
      <c r="E15" s="5">
        <v>254041</v>
      </c>
      <c r="F15" s="6">
        <v>6739.7077300000001</v>
      </c>
      <c r="G15" s="7">
        <v>2.7914226E-2</v>
      </c>
      <c r="H15" s="49"/>
    </row>
    <row r="16" spans="1:15" ht="17.100000000000001" customHeight="1" x14ac:dyDescent="0.2">
      <c r="A16" s="3">
        <v>10</v>
      </c>
      <c r="B16" s="4" t="s">
        <v>219</v>
      </c>
      <c r="C16" s="4" t="s">
        <v>220</v>
      </c>
      <c r="D16" s="4" t="s">
        <v>974</v>
      </c>
      <c r="E16" s="5">
        <v>136226</v>
      </c>
      <c r="F16" s="6">
        <v>6591.3631230000001</v>
      </c>
      <c r="G16" s="7">
        <v>2.7299818999999999E-2</v>
      </c>
      <c r="H16" s="49"/>
    </row>
    <row r="17" spans="1:10" ht="17.100000000000001" customHeight="1" x14ac:dyDescent="0.2">
      <c r="A17" s="3">
        <v>11</v>
      </c>
      <c r="B17" s="4" t="s">
        <v>228</v>
      </c>
      <c r="C17" s="4" t="s">
        <v>229</v>
      </c>
      <c r="D17" s="4" t="s">
        <v>230</v>
      </c>
      <c r="E17" s="5">
        <v>2283765</v>
      </c>
      <c r="F17" s="6">
        <v>6042.8421900000003</v>
      </c>
      <c r="G17" s="7">
        <v>2.5027978999999999E-2</v>
      </c>
      <c r="H17" s="49"/>
    </row>
    <row r="18" spans="1:10" ht="17.100000000000001" customHeight="1" x14ac:dyDescent="0.2">
      <c r="A18" s="3">
        <v>12</v>
      </c>
      <c r="B18" s="4" t="s">
        <v>447</v>
      </c>
      <c r="C18" s="4" t="s">
        <v>448</v>
      </c>
      <c r="D18" s="4" t="s">
        <v>100</v>
      </c>
      <c r="E18" s="5">
        <v>400823</v>
      </c>
      <c r="F18" s="6">
        <v>5845.8030435000001</v>
      </c>
      <c r="G18" s="7">
        <v>2.4211890999999999E-2</v>
      </c>
      <c r="H18" s="49"/>
    </row>
    <row r="19" spans="1:10" ht="17.100000000000001" customHeight="1" x14ac:dyDescent="0.2">
      <c r="A19" s="3">
        <v>13</v>
      </c>
      <c r="B19" s="4" t="s">
        <v>279</v>
      </c>
      <c r="C19" s="4" t="s">
        <v>280</v>
      </c>
      <c r="D19" s="4" t="s">
        <v>212</v>
      </c>
      <c r="E19" s="5">
        <v>1151772</v>
      </c>
      <c r="F19" s="6">
        <v>5097.7428719999998</v>
      </c>
      <c r="G19" s="7">
        <v>2.1113607999999999E-2</v>
      </c>
      <c r="H19" s="49"/>
    </row>
    <row r="20" spans="1:10" ht="17.100000000000001" customHeight="1" x14ac:dyDescent="0.2">
      <c r="A20" s="3">
        <v>14</v>
      </c>
      <c r="B20" s="4" t="s">
        <v>423</v>
      </c>
      <c r="C20" s="4" t="s">
        <v>424</v>
      </c>
      <c r="D20" s="4" t="s">
        <v>233</v>
      </c>
      <c r="E20" s="5">
        <v>667345</v>
      </c>
      <c r="F20" s="6">
        <v>4837.5839050000004</v>
      </c>
      <c r="G20" s="7">
        <v>2.0036093000000001E-2</v>
      </c>
      <c r="H20" s="49"/>
    </row>
    <row r="21" spans="1:10" ht="17.100000000000001" customHeight="1" x14ac:dyDescent="0.2">
      <c r="A21" s="3">
        <v>15</v>
      </c>
      <c r="B21" s="4" t="s">
        <v>41</v>
      </c>
      <c r="C21" s="4" t="s">
        <v>42</v>
      </c>
      <c r="D21" s="4" t="s">
        <v>43</v>
      </c>
      <c r="E21" s="5">
        <v>615445</v>
      </c>
      <c r="F21" s="6">
        <v>4750.9276774999998</v>
      </c>
      <c r="G21" s="7">
        <v>1.9677184E-2</v>
      </c>
      <c r="H21" s="49"/>
    </row>
    <row r="22" spans="1:10" ht="17.100000000000001" customHeight="1" x14ac:dyDescent="0.2">
      <c r="A22" s="3">
        <v>16</v>
      </c>
      <c r="B22" s="4" t="s">
        <v>194</v>
      </c>
      <c r="C22" s="4" t="s">
        <v>195</v>
      </c>
      <c r="D22" s="4" t="s">
        <v>196</v>
      </c>
      <c r="E22" s="5">
        <v>8958</v>
      </c>
      <c r="F22" s="6">
        <v>4247.5835070000003</v>
      </c>
      <c r="G22" s="7">
        <v>1.7592455E-2</v>
      </c>
      <c r="H22" s="49"/>
    </row>
    <row r="23" spans="1:10" ht="17.100000000000001" customHeight="1" x14ac:dyDescent="0.2">
      <c r="A23" s="3">
        <v>17</v>
      </c>
      <c r="B23" s="4" t="s">
        <v>300</v>
      </c>
      <c r="C23" s="4" t="s">
        <v>301</v>
      </c>
      <c r="D23" s="4" t="s">
        <v>230</v>
      </c>
      <c r="E23" s="5">
        <v>717396</v>
      </c>
      <c r="F23" s="6">
        <v>3870.35142</v>
      </c>
      <c r="G23" s="7">
        <v>1.6030051999999999E-2</v>
      </c>
      <c r="H23" s="49"/>
    </row>
    <row r="24" spans="1:10" ht="17.100000000000001" customHeight="1" x14ac:dyDescent="0.2">
      <c r="A24" s="3">
        <v>18</v>
      </c>
      <c r="B24" s="4" t="s">
        <v>203</v>
      </c>
      <c r="C24" s="4" t="s">
        <v>204</v>
      </c>
      <c r="D24" s="4" t="s">
        <v>974</v>
      </c>
      <c r="E24" s="5">
        <v>86867</v>
      </c>
      <c r="F24" s="6">
        <v>3609.0632489999998</v>
      </c>
      <c r="G24" s="7">
        <v>1.494786E-2</v>
      </c>
      <c r="H24" s="49"/>
    </row>
    <row r="25" spans="1:10" ht="17.100000000000001" customHeight="1" x14ac:dyDescent="0.2">
      <c r="A25" s="3">
        <v>19</v>
      </c>
      <c r="B25" s="4" t="s">
        <v>400</v>
      </c>
      <c r="C25" s="4" t="s">
        <v>401</v>
      </c>
      <c r="D25" s="4" t="s">
        <v>1042</v>
      </c>
      <c r="E25" s="5">
        <v>281609</v>
      </c>
      <c r="F25" s="6">
        <v>3531.658469</v>
      </c>
      <c r="G25" s="7">
        <v>1.4627268000000001E-2</v>
      </c>
      <c r="H25" s="49"/>
      <c r="J25" s="217" t="s">
        <v>1097</v>
      </c>
    </row>
    <row r="26" spans="1:10" ht="17.100000000000001" customHeight="1" x14ac:dyDescent="0.2">
      <c r="A26" s="3">
        <v>20</v>
      </c>
      <c r="B26" s="4" t="s">
        <v>404</v>
      </c>
      <c r="C26" s="4" t="s">
        <v>405</v>
      </c>
      <c r="D26" s="4" t="s">
        <v>317</v>
      </c>
      <c r="E26" s="5">
        <v>224451</v>
      </c>
      <c r="F26" s="6">
        <v>3506.7101984999999</v>
      </c>
      <c r="G26" s="7">
        <v>1.4523939E-2</v>
      </c>
      <c r="H26" s="49"/>
    </row>
    <row r="27" spans="1:10" ht="17.100000000000001" customHeight="1" x14ac:dyDescent="0.2">
      <c r="A27" s="3">
        <v>21</v>
      </c>
      <c r="B27" s="4" t="s">
        <v>243</v>
      </c>
      <c r="C27" s="4" t="s">
        <v>244</v>
      </c>
      <c r="D27" s="4" t="s">
        <v>227</v>
      </c>
      <c r="E27" s="5">
        <v>1201373</v>
      </c>
      <c r="F27" s="6">
        <v>3485.1830730000001</v>
      </c>
      <c r="G27" s="7">
        <v>1.4434779E-2</v>
      </c>
      <c r="H27" s="49"/>
    </row>
    <row r="28" spans="1:10" ht="17.100000000000001" customHeight="1" x14ac:dyDescent="0.2">
      <c r="A28" s="3">
        <v>22</v>
      </c>
      <c r="B28" s="4" t="s">
        <v>247</v>
      </c>
      <c r="C28" s="4" t="s">
        <v>248</v>
      </c>
      <c r="D28" s="4" t="s">
        <v>103</v>
      </c>
      <c r="E28" s="5">
        <v>588000</v>
      </c>
      <c r="F28" s="6">
        <v>3472.14</v>
      </c>
      <c r="G28" s="7">
        <v>1.4380756999999999E-2</v>
      </c>
      <c r="H28" s="49"/>
    </row>
    <row r="29" spans="1:10" ht="17.100000000000001" customHeight="1" x14ac:dyDescent="0.2">
      <c r="A29" s="3">
        <v>23</v>
      </c>
      <c r="B29" s="4" t="s">
        <v>318</v>
      </c>
      <c r="C29" s="4" t="s">
        <v>319</v>
      </c>
      <c r="D29" s="4" t="s">
        <v>233</v>
      </c>
      <c r="E29" s="5">
        <v>253695</v>
      </c>
      <c r="F29" s="6">
        <v>3424.8825000000002</v>
      </c>
      <c r="G29" s="7">
        <v>1.4185028000000001E-2</v>
      </c>
      <c r="H29" s="49"/>
    </row>
    <row r="30" spans="1:10" ht="17.100000000000001" customHeight="1" x14ac:dyDescent="0.2">
      <c r="A30" s="3">
        <v>24</v>
      </c>
      <c r="B30" s="4" t="s">
        <v>374</v>
      </c>
      <c r="C30" s="4" t="s">
        <v>375</v>
      </c>
      <c r="D30" s="4" t="s">
        <v>103</v>
      </c>
      <c r="E30" s="5">
        <v>434221</v>
      </c>
      <c r="F30" s="6">
        <v>3185.879477</v>
      </c>
      <c r="G30" s="7">
        <v>1.3195136E-2</v>
      </c>
      <c r="H30" s="49"/>
    </row>
    <row r="31" spans="1:10" ht="17.100000000000001" customHeight="1" x14ac:dyDescent="0.2">
      <c r="A31" s="3">
        <v>25</v>
      </c>
      <c r="B31" s="4" t="s">
        <v>315</v>
      </c>
      <c r="C31" s="4" t="s">
        <v>316</v>
      </c>
      <c r="D31" s="4" t="s">
        <v>317</v>
      </c>
      <c r="E31" s="5">
        <v>186511</v>
      </c>
      <c r="F31" s="6">
        <v>2978.8604365000001</v>
      </c>
      <c r="G31" s="7">
        <v>1.2337714E-2</v>
      </c>
      <c r="H31" s="49"/>
    </row>
    <row r="32" spans="1:10" ht="17.100000000000001" customHeight="1" x14ac:dyDescent="0.2">
      <c r="A32" s="3">
        <v>26</v>
      </c>
      <c r="B32" s="4" t="s">
        <v>389</v>
      </c>
      <c r="C32" s="4" t="s">
        <v>390</v>
      </c>
      <c r="D32" s="4" t="s">
        <v>103</v>
      </c>
      <c r="E32" s="5">
        <v>2258920</v>
      </c>
      <c r="F32" s="6">
        <v>2697.1504799999998</v>
      </c>
      <c r="G32" s="7">
        <v>1.1170940000000001E-2</v>
      </c>
      <c r="H32" s="49"/>
    </row>
    <row r="33" spans="1:8" ht="29.1" customHeight="1" x14ac:dyDescent="0.2">
      <c r="A33" s="3">
        <v>27</v>
      </c>
      <c r="B33" s="4" t="s">
        <v>414</v>
      </c>
      <c r="C33" s="4" t="s">
        <v>415</v>
      </c>
      <c r="D33" s="4" t="s">
        <v>60</v>
      </c>
      <c r="E33" s="5">
        <v>651257</v>
      </c>
      <c r="F33" s="6">
        <v>2395.3232459999999</v>
      </c>
      <c r="G33" s="7">
        <v>9.9208449999999993E-3</v>
      </c>
      <c r="H33" s="49"/>
    </row>
    <row r="34" spans="1:8" ht="29.1" customHeight="1" x14ac:dyDescent="0.2">
      <c r="A34" s="3">
        <v>28</v>
      </c>
      <c r="B34" s="4" t="s">
        <v>597</v>
      </c>
      <c r="C34" s="4" t="s">
        <v>598</v>
      </c>
      <c r="D34" s="4" t="s">
        <v>238</v>
      </c>
      <c r="E34" s="5">
        <v>191985</v>
      </c>
      <c r="F34" s="6">
        <v>2325.2263275</v>
      </c>
      <c r="G34" s="7">
        <v>9.6305209999999995E-3</v>
      </c>
      <c r="H34" s="49"/>
    </row>
    <row r="35" spans="1:8" ht="29.1" customHeight="1" x14ac:dyDescent="0.2">
      <c r="A35" s="3">
        <v>29</v>
      </c>
      <c r="B35" s="4" t="s">
        <v>101</v>
      </c>
      <c r="C35" s="4" t="s">
        <v>102</v>
      </c>
      <c r="D35" s="4" t="s">
        <v>103</v>
      </c>
      <c r="E35" s="5">
        <v>304341</v>
      </c>
      <c r="F35" s="6">
        <v>2175.5816384999998</v>
      </c>
      <c r="G35" s="7">
        <v>9.0107290000000003E-3</v>
      </c>
      <c r="H35" s="49"/>
    </row>
    <row r="36" spans="1:8" ht="17.100000000000001" customHeight="1" x14ac:dyDescent="0.2">
      <c r="A36" s="3">
        <v>30</v>
      </c>
      <c r="B36" s="4" t="s">
        <v>682</v>
      </c>
      <c r="C36" s="4" t="s">
        <v>683</v>
      </c>
      <c r="D36" s="4" t="s">
        <v>188</v>
      </c>
      <c r="E36" s="5">
        <v>53896</v>
      </c>
      <c r="F36" s="6">
        <v>2152.390656</v>
      </c>
      <c r="G36" s="7">
        <v>8.9146769999999993E-3</v>
      </c>
      <c r="H36" s="49"/>
    </row>
    <row r="37" spans="1:8" ht="17.100000000000001" customHeight="1" x14ac:dyDescent="0.2">
      <c r="A37" s="3">
        <v>31</v>
      </c>
      <c r="B37" s="4" t="s">
        <v>727</v>
      </c>
      <c r="C37" s="4" t="s">
        <v>728</v>
      </c>
      <c r="D37" s="4" t="s">
        <v>230</v>
      </c>
      <c r="E37" s="5">
        <v>114424</v>
      </c>
      <c r="F37" s="6">
        <v>2116.1574559999999</v>
      </c>
      <c r="G37" s="7">
        <v>8.7646080000000001E-3</v>
      </c>
      <c r="H37" s="49"/>
    </row>
    <row r="38" spans="1:8" ht="17.100000000000001" customHeight="1" x14ac:dyDescent="0.2">
      <c r="A38" s="3">
        <v>32</v>
      </c>
      <c r="B38" s="4" t="s">
        <v>461</v>
      </c>
      <c r="C38" s="4" t="s">
        <v>462</v>
      </c>
      <c r="D38" s="4" t="s">
        <v>43</v>
      </c>
      <c r="E38" s="5">
        <v>302329</v>
      </c>
      <c r="F38" s="6">
        <v>2092.8725024999999</v>
      </c>
      <c r="G38" s="7">
        <v>8.6681680000000004E-3</v>
      </c>
      <c r="H38" s="49"/>
    </row>
    <row r="39" spans="1:8" ht="17.100000000000001" customHeight="1" x14ac:dyDescent="0.2">
      <c r="A39" s="3">
        <v>33</v>
      </c>
      <c r="B39" s="4" t="s">
        <v>508</v>
      </c>
      <c r="C39" s="4" t="s">
        <v>509</v>
      </c>
      <c r="D39" s="4" t="s">
        <v>317</v>
      </c>
      <c r="E39" s="5">
        <v>264699</v>
      </c>
      <c r="F39" s="6">
        <v>2067.6962385000002</v>
      </c>
      <c r="G39" s="7">
        <v>8.5638940000000007E-3</v>
      </c>
      <c r="H39" s="49"/>
    </row>
    <row r="40" spans="1:8" ht="17.100000000000001" customHeight="1" x14ac:dyDescent="0.2">
      <c r="A40" s="3">
        <v>34</v>
      </c>
      <c r="B40" s="4" t="s">
        <v>599</v>
      </c>
      <c r="C40" s="4" t="s">
        <v>600</v>
      </c>
      <c r="D40" s="4" t="s">
        <v>238</v>
      </c>
      <c r="E40" s="5">
        <v>345111</v>
      </c>
      <c r="F40" s="6">
        <v>2038.2255660000001</v>
      </c>
      <c r="G40" s="7">
        <v>8.4418329999999993E-3</v>
      </c>
      <c r="H40" s="49"/>
    </row>
    <row r="41" spans="1:8" ht="17.100000000000001" customHeight="1" x14ac:dyDescent="0.2">
      <c r="A41" s="3">
        <v>35</v>
      </c>
      <c r="B41" s="4" t="s">
        <v>199</v>
      </c>
      <c r="C41" s="4" t="s">
        <v>200</v>
      </c>
      <c r="D41" s="4" t="s">
        <v>16</v>
      </c>
      <c r="E41" s="5">
        <v>289455</v>
      </c>
      <c r="F41" s="6">
        <v>1850.485815</v>
      </c>
      <c r="G41" s="7">
        <v>7.6642610000000003E-3</v>
      </c>
      <c r="H41" s="49"/>
    </row>
    <row r="42" spans="1:8" ht="17.100000000000001" customHeight="1" x14ac:dyDescent="0.2">
      <c r="A42" s="3">
        <v>36</v>
      </c>
      <c r="B42" s="4" t="s">
        <v>515</v>
      </c>
      <c r="C42" s="4" t="s">
        <v>516</v>
      </c>
      <c r="D42" s="4" t="s">
        <v>974</v>
      </c>
      <c r="E42" s="5">
        <v>146534</v>
      </c>
      <c r="F42" s="6">
        <v>1772.9881330000001</v>
      </c>
      <c r="G42" s="7">
        <v>7.3432849999999997E-3</v>
      </c>
      <c r="H42" s="49"/>
    </row>
    <row r="43" spans="1:8" ht="17.100000000000001" customHeight="1" x14ac:dyDescent="0.2">
      <c r="A43" s="3">
        <v>37</v>
      </c>
      <c r="B43" s="4" t="s">
        <v>393</v>
      </c>
      <c r="C43" s="4" t="s">
        <v>394</v>
      </c>
      <c r="D43" s="4" t="s">
        <v>16</v>
      </c>
      <c r="E43" s="5">
        <v>732421</v>
      </c>
      <c r="F43" s="6">
        <v>1598.875043</v>
      </c>
      <c r="G43" s="7">
        <v>6.6221509999999997E-3</v>
      </c>
      <c r="H43" s="49"/>
    </row>
    <row r="44" spans="1:8" ht="17.100000000000001" customHeight="1" x14ac:dyDescent="0.2">
      <c r="A44" s="3">
        <v>38</v>
      </c>
      <c r="B44" s="4" t="s">
        <v>328</v>
      </c>
      <c r="C44" s="4" t="s">
        <v>329</v>
      </c>
      <c r="D44" s="4" t="s">
        <v>16</v>
      </c>
      <c r="E44" s="5">
        <v>81043</v>
      </c>
      <c r="F44" s="6">
        <v>1577.9477314999999</v>
      </c>
      <c r="G44" s="7">
        <v>6.5354749999999998E-3</v>
      </c>
      <c r="H44" s="49"/>
    </row>
    <row r="45" spans="1:8" ht="17.100000000000001" customHeight="1" x14ac:dyDescent="0.2">
      <c r="A45" s="3">
        <v>39</v>
      </c>
      <c r="B45" s="4" t="s">
        <v>729</v>
      </c>
      <c r="C45" s="4" t="s">
        <v>730</v>
      </c>
      <c r="D45" s="4" t="s">
        <v>227</v>
      </c>
      <c r="E45" s="5">
        <v>339666</v>
      </c>
      <c r="F45" s="6">
        <v>1570.1060849999999</v>
      </c>
      <c r="G45" s="7">
        <v>6.5029969999999999E-3</v>
      </c>
      <c r="H45" s="49"/>
    </row>
    <row r="46" spans="1:8" ht="29.1" customHeight="1" x14ac:dyDescent="0.2">
      <c r="A46" s="3">
        <v>40</v>
      </c>
      <c r="B46" s="4" t="s">
        <v>378</v>
      </c>
      <c r="C46" s="4" t="s">
        <v>379</v>
      </c>
      <c r="D46" s="4" t="s">
        <v>380</v>
      </c>
      <c r="E46" s="5">
        <v>372545</v>
      </c>
      <c r="F46" s="6">
        <v>1480.6801025</v>
      </c>
      <c r="G46" s="7">
        <v>6.1326159999999996E-3</v>
      </c>
      <c r="H46" s="49"/>
    </row>
    <row r="47" spans="1:8" ht="17.100000000000001" customHeight="1" x14ac:dyDescent="0.2">
      <c r="A47" s="3">
        <v>41</v>
      </c>
      <c r="B47" s="4" t="s">
        <v>731</v>
      </c>
      <c r="C47" s="4" t="s">
        <v>732</v>
      </c>
      <c r="D47" s="4" t="s">
        <v>227</v>
      </c>
      <c r="E47" s="5">
        <v>81716</v>
      </c>
      <c r="F47" s="6">
        <v>1199.754312</v>
      </c>
      <c r="G47" s="7">
        <v>4.9690899999999998E-3</v>
      </c>
      <c r="H47" s="49"/>
    </row>
    <row r="48" spans="1:8" ht="29.1" customHeight="1" x14ac:dyDescent="0.2">
      <c r="A48" s="3">
        <v>42</v>
      </c>
      <c r="B48" s="4" t="s">
        <v>459</v>
      </c>
      <c r="C48" s="4" t="s">
        <v>460</v>
      </c>
      <c r="D48" s="4" t="s">
        <v>380</v>
      </c>
      <c r="E48" s="5">
        <v>200000</v>
      </c>
      <c r="F48" s="6">
        <v>875.2</v>
      </c>
      <c r="G48" s="7">
        <v>3.6248650000000001E-3</v>
      </c>
      <c r="H48" s="49"/>
    </row>
    <row r="49" spans="1:8" ht="17.100000000000001" customHeight="1" x14ac:dyDescent="0.2">
      <c r="A49" s="3">
        <v>43</v>
      </c>
      <c r="B49" s="4" t="s">
        <v>344</v>
      </c>
      <c r="C49" s="4" t="s">
        <v>345</v>
      </c>
      <c r="D49" s="4" t="s">
        <v>103</v>
      </c>
      <c r="E49" s="5">
        <v>10721</v>
      </c>
      <c r="F49" s="6">
        <v>720.55304950000004</v>
      </c>
      <c r="G49" s="7">
        <v>2.9843550000000002E-3</v>
      </c>
      <c r="H49" s="49"/>
    </row>
    <row r="50" spans="1:8" ht="17.100000000000001" customHeight="1" x14ac:dyDescent="0.2">
      <c r="A50" s="3">
        <v>44</v>
      </c>
      <c r="B50" s="4" t="s">
        <v>259</v>
      </c>
      <c r="C50" s="4" t="s">
        <v>260</v>
      </c>
      <c r="D50" s="4" t="s">
        <v>103</v>
      </c>
      <c r="E50" s="5">
        <v>33973</v>
      </c>
      <c r="F50" s="6">
        <v>552.57084499999996</v>
      </c>
      <c r="G50" s="7">
        <v>2.288614E-3</v>
      </c>
      <c r="H50" s="49"/>
    </row>
    <row r="51" spans="1:8" ht="17.100000000000001" customHeight="1" x14ac:dyDescent="0.2">
      <c r="A51" s="3">
        <v>45</v>
      </c>
      <c r="B51" s="4" t="s">
        <v>337</v>
      </c>
      <c r="C51" s="4" t="s">
        <v>1204</v>
      </c>
      <c r="D51" s="4" t="s">
        <v>19</v>
      </c>
      <c r="E51" s="5">
        <v>92315</v>
      </c>
      <c r="F51" s="6">
        <v>428.94164749999999</v>
      </c>
      <c r="G51" s="7">
        <v>1.7765719999999999E-3</v>
      </c>
      <c r="H51" s="49"/>
    </row>
    <row r="52" spans="1:8" ht="14.1" customHeight="1" x14ac:dyDescent="0.2">
      <c r="A52" s="1"/>
      <c r="B52" s="1"/>
      <c r="C52" s="2" t="s">
        <v>130</v>
      </c>
      <c r="D52" s="1"/>
      <c r="E52" s="1" t="s">
        <v>131</v>
      </c>
      <c r="F52" s="9">
        <v>224352.93386650001</v>
      </c>
      <c r="G52" s="10">
        <v>0.92921516000000004</v>
      </c>
      <c r="H52" s="49"/>
    </row>
    <row r="53" spans="1:8" ht="14.1" customHeight="1" x14ac:dyDescent="0.2">
      <c r="A53" s="1"/>
      <c r="B53" s="1"/>
      <c r="C53" s="11"/>
      <c r="D53" s="1"/>
      <c r="E53" s="1"/>
      <c r="F53" s="12"/>
      <c r="G53" s="12"/>
      <c r="H53" s="49"/>
    </row>
    <row r="54" spans="1:8" ht="14.1" customHeight="1" x14ac:dyDescent="0.2">
      <c r="A54" s="1"/>
      <c r="B54" s="1"/>
      <c r="C54" s="2" t="s">
        <v>132</v>
      </c>
      <c r="D54" s="1"/>
      <c r="E54" s="1"/>
      <c r="F54" s="1"/>
      <c r="G54" s="1"/>
      <c r="H54" s="49"/>
    </row>
    <row r="55" spans="1:8" ht="17.100000000000001" customHeight="1" x14ac:dyDescent="0.2">
      <c r="A55" s="3">
        <v>1</v>
      </c>
      <c r="B55" s="4" t="s">
        <v>733</v>
      </c>
      <c r="C55" s="4" t="s">
        <v>734</v>
      </c>
      <c r="D55" s="4" t="s">
        <v>233</v>
      </c>
      <c r="E55" s="5">
        <v>37829</v>
      </c>
      <c r="F55" s="6">
        <v>916.45100187000003</v>
      </c>
      <c r="G55" s="7">
        <v>3.7957170000000001E-3</v>
      </c>
      <c r="H55" s="49"/>
    </row>
    <row r="56" spans="1:8" ht="14.1" customHeight="1" x14ac:dyDescent="0.2">
      <c r="A56" s="1"/>
      <c r="B56" s="1"/>
      <c r="C56" s="2" t="s">
        <v>130</v>
      </c>
      <c r="D56" s="1"/>
      <c r="E56" s="1" t="s">
        <v>131</v>
      </c>
      <c r="F56" s="9">
        <v>916.45100187000003</v>
      </c>
      <c r="G56" s="10">
        <v>3.7957170000000001E-3</v>
      </c>
      <c r="H56" s="49"/>
    </row>
    <row r="57" spans="1:8" ht="14.1" customHeight="1" x14ac:dyDescent="0.2">
      <c r="A57" s="1"/>
      <c r="B57" s="1"/>
      <c r="C57" s="11"/>
      <c r="D57" s="1"/>
      <c r="E57" s="1"/>
      <c r="F57" s="12"/>
      <c r="G57" s="12"/>
      <c r="H57" s="49"/>
    </row>
    <row r="58" spans="1:8" ht="14.1" customHeight="1" x14ac:dyDescent="0.2">
      <c r="A58" s="1"/>
      <c r="B58" s="1"/>
      <c r="C58" s="2" t="s">
        <v>133</v>
      </c>
      <c r="D58" s="1"/>
      <c r="E58" s="1"/>
      <c r="F58" s="1"/>
      <c r="G58" s="1"/>
      <c r="H58" s="49"/>
    </row>
    <row r="59" spans="1:8" ht="14.1" customHeight="1" x14ac:dyDescent="0.2">
      <c r="A59" s="1"/>
      <c r="B59" s="1"/>
      <c r="C59" s="2" t="s">
        <v>130</v>
      </c>
      <c r="D59" s="1"/>
      <c r="E59" s="1" t="s">
        <v>131</v>
      </c>
      <c r="F59" s="13">
        <v>0</v>
      </c>
      <c r="G59" s="14">
        <v>0</v>
      </c>
      <c r="H59" s="49"/>
    </row>
    <row r="60" spans="1:8" ht="14.1" customHeight="1" x14ac:dyDescent="0.2">
      <c r="A60" s="1"/>
      <c r="B60" s="1"/>
      <c r="C60" s="11"/>
      <c r="D60" s="1"/>
      <c r="E60" s="1"/>
      <c r="F60" s="12"/>
      <c r="G60" s="12"/>
      <c r="H60" s="49"/>
    </row>
    <row r="61" spans="1:8" ht="14.1" customHeight="1" x14ac:dyDescent="0.2">
      <c r="A61" s="1"/>
      <c r="B61" s="1"/>
      <c r="C61" s="2" t="s">
        <v>134</v>
      </c>
      <c r="D61" s="1"/>
      <c r="E61" s="1"/>
      <c r="F61" s="1"/>
      <c r="G61" s="1"/>
      <c r="H61" s="49"/>
    </row>
    <row r="62" spans="1:8" ht="14.1" customHeight="1" x14ac:dyDescent="0.2">
      <c r="A62" s="1"/>
      <c r="B62" s="1"/>
      <c r="C62" s="2" t="s">
        <v>130</v>
      </c>
      <c r="D62" s="1"/>
      <c r="E62" s="1" t="s">
        <v>131</v>
      </c>
      <c r="F62" s="9">
        <v>0</v>
      </c>
      <c r="G62" s="10">
        <v>0</v>
      </c>
      <c r="H62" s="49"/>
    </row>
    <row r="63" spans="1:8" ht="14.1" customHeight="1" x14ac:dyDescent="0.2">
      <c r="A63" s="1"/>
      <c r="B63" s="1"/>
      <c r="C63" s="11"/>
      <c r="D63" s="1"/>
      <c r="E63" s="1"/>
      <c r="F63" s="12"/>
      <c r="G63" s="12"/>
      <c r="H63" s="49"/>
    </row>
    <row r="64" spans="1:8" ht="14.1" customHeight="1" x14ac:dyDescent="0.2">
      <c r="A64" s="1"/>
      <c r="B64" s="1"/>
      <c r="C64" s="2" t="s">
        <v>135</v>
      </c>
      <c r="D64" s="1"/>
      <c r="E64" s="1"/>
      <c r="F64" s="12"/>
      <c r="G64" s="12"/>
      <c r="H64" s="49"/>
    </row>
    <row r="65" spans="1:8" ht="14.1" customHeight="1" x14ac:dyDescent="0.2">
      <c r="A65" s="1"/>
      <c r="B65" s="1"/>
      <c r="C65" s="2" t="s">
        <v>130</v>
      </c>
      <c r="D65" s="1"/>
      <c r="E65" s="1" t="s">
        <v>131</v>
      </c>
      <c r="F65" s="13">
        <v>0</v>
      </c>
      <c r="G65" s="14">
        <v>0</v>
      </c>
      <c r="H65" s="49"/>
    </row>
    <row r="66" spans="1:8" ht="14.1" customHeight="1" x14ac:dyDescent="0.2">
      <c r="A66" s="1"/>
      <c r="B66" s="1"/>
      <c r="C66" s="11"/>
      <c r="D66" s="1"/>
      <c r="E66" s="1"/>
      <c r="F66" s="12"/>
      <c r="G66" s="12"/>
      <c r="H66" s="49"/>
    </row>
    <row r="67" spans="1:8" ht="14.1" customHeight="1" x14ac:dyDescent="0.2">
      <c r="A67" s="1"/>
      <c r="B67" s="1"/>
      <c r="C67" s="2" t="s">
        <v>136</v>
      </c>
      <c r="D67" s="1"/>
      <c r="E67" s="1"/>
      <c r="F67" s="12"/>
      <c r="G67" s="12"/>
      <c r="H67" s="49"/>
    </row>
    <row r="68" spans="1:8" ht="14.1" customHeight="1" x14ac:dyDescent="0.2">
      <c r="A68" s="1"/>
      <c r="B68" s="1"/>
      <c r="C68" s="2" t="s">
        <v>130</v>
      </c>
      <c r="D68" s="1"/>
      <c r="E68" s="1" t="s">
        <v>131</v>
      </c>
      <c r="F68" s="13">
        <v>0</v>
      </c>
      <c r="G68" s="14">
        <v>0</v>
      </c>
      <c r="H68" s="49"/>
    </row>
    <row r="69" spans="1:8" ht="14.1" customHeight="1" x14ac:dyDescent="0.2">
      <c r="A69" s="1"/>
      <c r="B69" s="1"/>
      <c r="C69" s="11"/>
      <c r="D69" s="1"/>
      <c r="E69" s="1"/>
      <c r="F69" s="12"/>
      <c r="G69" s="12"/>
      <c r="H69" s="49"/>
    </row>
    <row r="70" spans="1:8" ht="18" customHeight="1" x14ac:dyDescent="0.2">
      <c r="A70" s="1"/>
      <c r="B70" s="1"/>
      <c r="C70" s="2" t="s">
        <v>137</v>
      </c>
      <c r="D70" s="1"/>
      <c r="E70" s="1"/>
      <c r="F70" s="9">
        <v>225269.38486836999</v>
      </c>
      <c r="G70" s="10">
        <v>0.93301087699999996</v>
      </c>
      <c r="H70" s="49"/>
    </row>
    <row r="71" spans="1:8" ht="14.1" customHeight="1" x14ac:dyDescent="0.2">
      <c r="A71" s="1"/>
      <c r="B71" s="1"/>
      <c r="C71" s="11"/>
      <c r="D71" s="1"/>
      <c r="E71" s="1"/>
      <c r="F71" s="12"/>
      <c r="G71" s="12"/>
      <c r="H71" s="49"/>
    </row>
    <row r="72" spans="1:8" ht="14.1" customHeight="1" x14ac:dyDescent="0.2">
      <c r="A72" s="1"/>
      <c r="B72" s="1"/>
      <c r="C72" s="2" t="s">
        <v>138</v>
      </c>
      <c r="D72" s="1"/>
      <c r="E72" s="1"/>
      <c r="F72" s="12"/>
      <c r="G72" s="12"/>
      <c r="H72" s="49"/>
    </row>
    <row r="73" spans="1:8" ht="24" customHeight="1" x14ac:dyDescent="0.2">
      <c r="A73" s="1"/>
      <c r="B73" s="1"/>
      <c r="C73" s="2" t="s">
        <v>10</v>
      </c>
      <c r="D73" s="1"/>
      <c r="E73" s="1"/>
      <c r="F73" s="12"/>
      <c r="G73" s="12"/>
      <c r="H73" s="49"/>
    </row>
    <row r="74" spans="1:8" ht="14.1" customHeight="1" x14ac:dyDescent="0.2">
      <c r="A74" s="1"/>
      <c r="B74" s="1"/>
      <c r="C74" s="2" t="s">
        <v>130</v>
      </c>
      <c r="D74" s="1"/>
      <c r="E74" s="1" t="s">
        <v>131</v>
      </c>
      <c r="F74" s="13">
        <v>0</v>
      </c>
      <c r="G74" s="14">
        <v>0</v>
      </c>
      <c r="H74" s="49"/>
    </row>
    <row r="75" spans="1:8" ht="14.1" customHeight="1" x14ac:dyDescent="0.2">
      <c r="A75" s="1"/>
      <c r="B75" s="1"/>
      <c r="C75" s="11"/>
      <c r="D75" s="1"/>
      <c r="E75" s="1"/>
      <c r="F75" s="12"/>
      <c r="G75" s="12"/>
      <c r="H75" s="49"/>
    </row>
    <row r="76" spans="1:8" ht="14.1" customHeight="1" x14ac:dyDescent="0.2">
      <c r="A76" s="1"/>
      <c r="B76" s="1"/>
      <c r="C76" s="2" t="s">
        <v>139</v>
      </c>
      <c r="D76" s="1"/>
      <c r="E76" s="1"/>
      <c r="F76" s="1"/>
      <c r="G76" s="1"/>
      <c r="H76" s="49"/>
    </row>
    <row r="77" spans="1:8" ht="14.1" customHeight="1" x14ac:dyDescent="0.2">
      <c r="A77" s="1"/>
      <c r="B77" s="1"/>
      <c r="C77" s="2" t="s">
        <v>130</v>
      </c>
      <c r="D77" s="1"/>
      <c r="E77" s="1" t="s">
        <v>131</v>
      </c>
      <c r="F77" s="13">
        <v>0</v>
      </c>
      <c r="G77" s="14">
        <v>0</v>
      </c>
      <c r="H77" s="49"/>
    </row>
    <row r="78" spans="1:8" ht="14.1" customHeight="1" x14ac:dyDescent="0.2">
      <c r="A78" s="1"/>
      <c r="B78" s="1"/>
      <c r="C78" s="11"/>
      <c r="D78" s="1"/>
      <c r="E78" s="1"/>
      <c r="F78" s="12"/>
      <c r="G78" s="12"/>
      <c r="H78" s="49"/>
    </row>
    <row r="79" spans="1:8" ht="14.1" customHeight="1" x14ac:dyDescent="0.2">
      <c r="A79" s="1"/>
      <c r="B79" s="1"/>
      <c r="C79" s="2" t="s">
        <v>140</v>
      </c>
      <c r="D79" s="1"/>
      <c r="E79" s="1"/>
      <c r="F79" s="1"/>
      <c r="G79" s="1"/>
      <c r="H79" s="49"/>
    </row>
    <row r="80" spans="1:8" ht="14.1" customHeight="1" x14ac:dyDescent="0.2">
      <c r="A80" s="1"/>
      <c r="B80" s="1"/>
      <c r="C80" s="2" t="s">
        <v>130</v>
      </c>
      <c r="D80" s="1"/>
      <c r="E80" s="1" t="s">
        <v>131</v>
      </c>
      <c r="F80" s="13">
        <v>0</v>
      </c>
      <c r="G80" s="14">
        <v>0</v>
      </c>
      <c r="H80" s="49"/>
    </row>
    <row r="81" spans="1:8" ht="14.1" customHeight="1" x14ac:dyDescent="0.2">
      <c r="A81" s="1"/>
      <c r="B81" s="1"/>
      <c r="C81" s="11"/>
      <c r="D81" s="1"/>
      <c r="E81" s="1"/>
      <c r="F81" s="12"/>
      <c r="G81" s="12"/>
      <c r="H81" s="49"/>
    </row>
    <row r="82" spans="1:8" ht="14.1" customHeight="1" x14ac:dyDescent="0.2">
      <c r="A82" s="1"/>
      <c r="B82" s="1"/>
      <c r="C82" s="2" t="s">
        <v>141</v>
      </c>
      <c r="D82" s="1"/>
      <c r="E82" s="1"/>
      <c r="F82" s="12"/>
      <c r="G82" s="12"/>
      <c r="H82" s="49"/>
    </row>
    <row r="83" spans="1:8" ht="14.1" customHeight="1" x14ac:dyDescent="0.2">
      <c r="A83" s="1"/>
      <c r="B83" s="1"/>
      <c r="C83" s="2" t="s">
        <v>130</v>
      </c>
      <c r="D83" s="1"/>
      <c r="E83" s="1" t="s">
        <v>131</v>
      </c>
      <c r="F83" s="13">
        <v>0</v>
      </c>
      <c r="G83" s="14">
        <v>0</v>
      </c>
      <c r="H83" s="49"/>
    </row>
    <row r="84" spans="1:8" ht="14.1" customHeight="1" x14ac:dyDescent="0.2">
      <c r="A84" s="1"/>
      <c r="B84" s="1"/>
      <c r="C84" s="11"/>
      <c r="D84" s="1"/>
      <c r="E84" s="1"/>
      <c r="F84" s="12"/>
      <c r="G84" s="12"/>
      <c r="H84" s="49"/>
    </row>
    <row r="85" spans="1:8" ht="14.1" customHeight="1" x14ac:dyDescent="0.2">
      <c r="A85" s="1"/>
      <c r="B85" s="1"/>
      <c r="C85" s="2" t="s">
        <v>142</v>
      </c>
      <c r="D85" s="1"/>
      <c r="E85" s="1"/>
      <c r="F85" s="9">
        <v>0</v>
      </c>
      <c r="G85" s="10">
        <v>0</v>
      </c>
      <c r="H85" s="49"/>
    </row>
    <row r="86" spans="1:8" ht="14.1" customHeight="1" x14ac:dyDescent="0.2">
      <c r="A86" s="1"/>
      <c r="B86" s="1"/>
      <c r="C86" s="11"/>
      <c r="D86" s="1"/>
      <c r="E86" s="1"/>
      <c r="F86" s="12"/>
      <c r="G86" s="12"/>
      <c r="H86" s="49"/>
    </row>
    <row r="87" spans="1:8" ht="14.1" customHeight="1" x14ac:dyDescent="0.2">
      <c r="A87" s="1"/>
      <c r="B87" s="1"/>
      <c r="C87" s="2" t="s">
        <v>143</v>
      </c>
      <c r="D87" s="1"/>
      <c r="E87" s="1"/>
      <c r="F87" s="12"/>
      <c r="G87" s="12"/>
      <c r="H87" s="49"/>
    </row>
    <row r="88" spans="1:8" ht="14.1" customHeight="1" x14ac:dyDescent="0.2">
      <c r="A88" s="1"/>
      <c r="B88" s="1"/>
      <c r="C88" s="2" t="s">
        <v>144</v>
      </c>
      <c r="D88" s="1"/>
      <c r="E88" s="1"/>
      <c r="F88" s="12"/>
      <c r="G88" s="12"/>
      <c r="H88" s="49"/>
    </row>
    <row r="89" spans="1:8" ht="14.1" customHeight="1" x14ac:dyDescent="0.2">
      <c r="A89" s="1"/>
      <c r="B89" s="1"/>
      <c r="C89" s="2" t="s">
        <v>130</v>
      </c>
      <c r="D89" s="1"/>
      <c r="E89" s="1" t="s">
        <v>131</v>
      </c>
      <c r="F89" s="13">
        <v>0</v>
      </c>
      <c r="G89" s="14">
        <v>0</v>
      </c>
      <c r="H89" s="49"/>
    </row>
    <row r="90" spans="1:8" ht="14.1" customHeight="1" x14ac:dyDescent="0.2">
      <c r="A90" s="1"/>
      <c r="B90" s="1"/>
      <c r="C90" s="11"/>
      <c r="D90" s="1"/>
      <c r="E90" s="1"/>
      <c r="F90" s="12"/>
      <c r="G90" s="12"/>
      <c r="H90" s="49"/>
    </row>
    <row r="91" spans="1:8" ht="14.1" customHeight="1" x14ac:dyDescent="0.2">
      <c r="A91" s="1"/>
      <c r="B91" s="1"/>
      <c r="C91" s="2" t="s">
        <v>145</v>
      </c>
      <c r="D91" s="1"/>
      <c r="E91" s="1"/>
      <c r="F91" s="12"/>
      <c r="G91" s="12"/>
      <c r="H91" s="49"/>
    </row>
    <row r="92" spans="1:8" ht="14.1" customHeight="1" x14ac:dyDescent="0.2">
      <c r="A92" s="1"/>
      <c r="B92" s="1"/>
      <c r="C92" s="2" t="s">
        <v>130</v>
      </c>
      <c r="D92" s="1"/>
      <c r="E92" s="1" t="s">
        <v>131</v>
      </c>
      <c r="F92" s="13">
        <v>0</v>
      </c>
      <c r="G92" s="14">
        <v>0</v>
      </c>
      <c r="H92" s="49"/>
    </row>
    <row r="93" spans="1:8" ht="14.1" customHeight="1" x14ac:dyDescent="0.2">
      <c r="A93" s="1"/>
      <c r="B93" s="1"/>
      <c r="C93" s="11"/>
      <c r="D93" s="1"/>
      <c r="E93" s="1"/>
      <c r="F93" s="12"/>
      <c r="G93" s="12"/>
      <c r="H93" s="49"/>
    </row>
    <row r="94" spans="1:8" ht="14.1" customHeight="1" x14ac:dyDescent="0.2">
      <c r="A94" s="1"/>
      <c r="B94" s="1"/>
      <c r="C94" s="2" t="s">
        <v>146</v>
      </c>
      <c r="D94" s="1"/>
      <c r="E94" s="1"/>
      <c r="F94" s="12"/>
      <c r="G94" s="12"/>
      <c r="H94" s="49"/>
    </row>
    <row r="95" spans="1:8" ht="14.1" customHeight="1" x14ac:dyDescent="0.2">
      <c r="A95" s="1"/>
      <c r="B95" s="1"/>
      <c r="C95" s="2" t="s">
        <v>130</v>
      </c>
      <c r="D95" s="1"/>
      <c r="E95" s="1" t="s">
        <v>131</v>
      </c>
      <c r="F95" s="13">
        <v>0</v>
      </c>
      <c r="G95" s="14">
        <v>0</v>
      </c>
      <c r="H95" s="49"/>
    </row>
    <row r="96" spans="1:8" ht="14.1" customHeight="1" x14ac:dyDescent="0.2">
      <c r="A96" s="1"/>
      <c r="B96" s="1"/>
      <c r="C96" s="11"/>
      <c r="D96" s="1"/>
      <c r="E96" s="1"/>
      <c r="F96" s="12"/>
      <c r="G96" s="12"/>
      <c r="H96" s="49"/>
    </row>
    <row r="97" spans="1:8" ht="14.1" customHeight="1" x14ac:dyDescent="0.2">
      <c r="A97" s="1"/>
      <c r="B97" s="1"/>
      <c r="C97" s="2" t="s">
        <v>147</v>
      </c>
      <c r="D97" s="1"/>
      <c r="E97" s="1"/>
      <c r="F97" s="12"/>
      <c r="G97" s="12"/>
      <c r="H97" s="49"/>
    </row>
    <row r="98" spans="1:8" ht="17.100000000000001" customHeight="1" x14ac:dyDescent="0.2">
      <c r="A98" s="3">
        <v>1</v>
      </c>
      <c r="B98" s="4"/>
      <c r="C98" s="4" t="s">
        <v>148</v>
      </c>
      <c r="D98" s="4"/>
      <c r="E98" s="8"/>
      <c r="F98" s="6">
        <v>15432.0264499</v>
      </c>
      <c r="G98" s="7">
        <v>6.3915691999999996E-2</v>
      </c>
      <c r="H98" s="49">
        <v>5.6572293145372496</v>
      </c>
    </row>
    <row r="99" spans="1:8" ht="14.1" customHeight="1" x14ac:dyDescent="0.2">
      <c r="A99" s="1"/>
      <c r="B99" s="1"/>
      <c r="C99" s="2" t="s">
        <v>130</v>
      </c>
      <c r="D99" s="1"/>
      <c r="E99" s="1" t="s">
        <v>131</v>
      </c>
      <c r="F99" s="9">
        <v>15432.0264499</v>
      </c>
      <c r="G99" s="10">
        <v>6.3915691999999996E-2</v>
      </c>
      <c r="H99" s="49"/>
    </row>
    <row r="100" spans="1:8" ht="14.1" customHeight="1" x14ac:dyDescent="0.2">
      <c r="A100" s="1"/>
      <c r="B100" s="1"/>
      <c r="C100" s="11"/>
      <c r="D100" s="1"/>
      <c r="E100" s="1"/>
      <c r="F100" s="12"/>
      <c r="G100" s="12"/>
      <c r="H100" s="49"/>
    </row>
    <row r="101" spans="1:8" ht="14.1" customHeight="1" x14ac:dyDescent="0.2">
      <c r="A101" s="1"/>
      <c r="B101" s="1"/>
      <c r="C101" s="2" t="s">
        <v>149</v>
      </c>
      <c r="D101" s="1"/>
      <c r="E101" s="1"/>
      <c r="F101" s="9">
        <v>15432.0264499</v>
      </c>
      <c r="G101" s="10">
        <v>6.3915691999999996E-2</v>
      </c>
      <c r="H101" s="49"/>
    </row>
    <row r="102" spans="1:8" ht="14.1" customHeight="1" x14ac:dyDescent="0.2">
      <c r="A102" s="1"/>
      <c r="B102" s="1"/>
      <c r="C102" s="12"/>
      <c r="D102" s="1"/>
      <c r="E102" s="1"/>
      <c r="F102" s="1"/>
      <c r="G102" s="1"/>
      <c r="H102" s="49"/>
    </row>
    <row r="103" spans="1:8" ht="14.1" customHeight="1" x14ac:dyDescent="0.2">
      <c r="A103" s="1"/>
      <c r="B103" s="1"/>
      <c r="C103" s="2" t="s">
        <v>150</v>
      </c>
      <c r="D103" s="1"/>
      <c r="E103" s="1"/>
      <c r="F103" s="1"/>
      <c r="G103" s="1"/>
      <c r="H103" s="49"/>
    </row>
    <row r="104" spans="1:8" ht="14.1" customHeight="1" x14ac:dyDescent="0.2">
      <c r="A104" s="1"/>
      <c r="B104" s="1"/>
      <c r="C104" s="2" t="s">
        <v>151</v>
      </c>
      <c r="D104" s="1"/>
      <c r="E104" s="1"/>
      <c r="F104" s="1"/>
      <c r="G104" s="1"/>
      <c r="H104" s="49"/>
    </row>
    <row r="105" spans="1:8" ht="14.1" customHeight="1" x14ac:dyDescent="0.2">
      <c r="A105" s="1"/>
      <c r="B105" s="1"/>
      <c r="C105" s="2" t="s">
        <v>130</v>
      </c>
      <c r="D105" s="1"/>
      <c r="E105" s="1" t="s">
        <v>131</v>
      </c>
      <c r="F105" s="13">
        <v>0</v>
      </c>
      <c r="G105" s="14">
        <v>0</v>
      </c>
      <c r="H105" s="49"/>
    </row>
    <row r="106" spans="1:8" ht="14.1" customHeight="1" x14ac:dyDescent="0.2">
      <c r="A106" s="1"/>
      <c r="B106" s="1"/>
      <c r="C106" s="11"/>
      <c r="D106" s="1"/>
      <c r="E106" s="1"/>
      <c r="F106" s="12"/>
      <c r="G106" s="12"/>
      <c r="H106" s="49"/>
    </row>
    <row r="107" spans="1:8" ht="14.1" customHeight="1" x14ac:dyDescent="0.2">
      <c r="A107" s="1"/>
      <c r="B107" s="1"/>
      <c r="C107" s="2" t="s">
        <v>152</v>
      </c>
      <c r="D107" s="1"/>
      <c r="E107" s="1"/>
      <c r="F107" s="1"/>
      <c r="G107" s="1"/>
      <c r="H107" s="49"/>
    </row>
    <row r="108" spans="1:8" ht="14.1" customHeight="1" x14ac:dyDescent="0.2">
      <c r="A108" s="1"/>
      <c r="B108" s="1"/>
      <c r="C108" s="2" t="s">
        <v>153</v>
      </c>
      <c r="D108" s="1"/>
      <c r="E108" s="1"/>
      <c r="F108" s="1"/>
      <c r="G108" s="1"/>
      <c r="H108" s="49"/>
    </row>
    <row r="109" spans="1:8" ht="14.1" customHeight="1" x14ac:dyDescent="0.2">
      <c r="A109" s="1"/>
      <c r="B109" s="1"/>
      <c r="C109" s="2" t="s">
        <v>130</v>
      </c>
      <c r="D109" s="1"/>
      <c r="E109" s="1" t="s">
        <v>131</v>
      </c>
      <c r="F109" s="13">
        <v>0</v>
      </c>
      <c r="G109" s="14">
        <v>0</v>
      </c>
      <c r="H109" s="49"/>
    </row>
    <row r="110" spans="1:8" ht="14.1" customHeight="1" x14ac:dyDescent="0.2">
      <c r="A110" s="1"/>
      <c r="B110" s="1"/>
      <c r="C110" s="11"/>
      <c r="D110" s="1"/>
      <c r="E110" s="1"/>
      <c r="F110" s="12"/>
      <c r="G110" s="12"/>
      <c r="H110" s="49"/>
    </row>
    <row r="111" spans="1:8" ht="14.1" customHeight="1" x14ac:dyDescent="0.2">
      <c r="A111" s="1"/>
      <c r="B111" s="1"/>
      <c r="C111" s="11"/>
      <c r="D111" s="1"/>
      <c r="E111" s="1"/>
      <c r="F111" s="12"/>
      <c r="G111" s="12"/>
      <c r="H111" s="49"/>
    </row>
    <row r="112" spans="1:8" ht="24" customHeight="1" x14ac:dyDescent="0.2">
      <c r="A112" s="1"/>
      <c r="B112" s="1"/>
      <c r="C112" s="2" t="s">
        <v>154</v>
      </c>
      <c r="D112" s="1"/>
      <c r="E112" s="1"/>
      <c r="F112" s="12"/>
      <c r="G112" s="12"/>
      <c r="H112" s="49"/>
    </row>
    <row r="113" spans="1:8" ht="14.1" customHeight="1" x14ac:dyDescent="0.2">
      <c r="A113" s="1"/>
      <c r="B113" s="1"/>
      <c r="C113" s="2" t="s">
        <v>130</v>
      </c>
      <c r="D113" s="1"/>
      <c r="E113" s="1" t="s">
        <v>131</v>
      </c>
      <c r="F113" s="13">
        <v>0</v>
      </c>
      <c r="G113" s="14">
        <v>0</v>
      </c>
      <c r="H113" s="49"/>
    </row>
    <row r="114" spans="1:8" ht="14.1" customHeight="1" x14ac:dyDescent="0.2">
      <c r="A114" s="1"/>
      <c r="B114" s="1"/>
      <c r="C114" s="11"/>
      <c r="D114" s="1"/>
      <c r="E114" s="1"/>
      <c r="F114" s="12"/>
      <c r="G114" s="12"/>
      <c r="H114" s="49"/>
    </row>
    <row r="115" spans="1:8" ht="14.1" customHeight="1" x14ac:dyDescent="0.2">
      <c r="A115" s="1"/>
      <c r="B115" s="4"/>
      <c r="C115" s="4"/>
      <c r="D115" s="2"/>
      <c r="E115" s="1"/>
      <c r="F115" s="4"/>
      <c r="G115" s="8"/>
      <c r="H115" s="49"/>
    </row>
    <row r="116" spans="1:8" ht="18" customHeight="1" x14ac:dyDescent="0.2">
      <c r="A116" s="8"/>
      <c r="B116" s="4"/>
      <c r="C116" s="4" t="s">
        <v>155</v>
      </c>
      <c r="D116" s="4"/>
      <c r="E116" s="8"/>
      <c r="F116" s="6">
        <v>742.05945352000003</v>
      </c>
      <c r="G116" s="7">
        <v>3.0734289999999999E-3</v>
      </c>
      <c r="H116" s="49"/>
    </row>
    <row r="117" spans="1:8" ht="14.1" customHeight="1" x14ac:dyDescent="0.2">
      <c r="A117" s="11"/>
      <c r="B117" s="11"/>
      <c r="C117" s="2" t="s">
        <v>156</v>
      </c>
      <c r="D117" s="15"/>
      <c r="E117" s="15"/>
      <c r="F117" s="9">
        <v>241443.47077178999</v>
      </c>
      <c r="G117" s="14">
        <v>0.99999999799999995</v>
      </c>
      <c r="H117" s="49"/>
    </row>
    <row r="118" spans="1:8" ht="14.1" customHeight="1" x14ac:dyDescent="0.2">
      <c r="A118" s="16"/>
      <c r="B118" s="16"/>
      <c r="C118" s="16"/>
      <c r="D118" s="17"/>
      <c r="E118" s="17"/>
      <c r="F118" s="17"/>
      <c r="G118" s="17"/>
    </row>
    <row r="119" spans="1:8" ht="14.1" customHeight="1" x14ac:dyDescent="0.2">
      <c r="A119" s="18"/>
      <c r="B119" s="18"/>
      <c r="C119" s="18"/>
      <c r="D119" s="20"/>
      <c r="E119" s="20"/>
      <c r="F119" s="20"/>
      <c r="G119" s="20"/>
    </row>
    <row r="120" spans="1:8" ht="14.1" customHeight="1" x14ac:dyDescent="0.2">
      <c r="A120" s="18"/>
      <c r="B120" s="319" t="s">
        <v>158</v>
      </c>
      <c r="C120" s="320"/>
      <c r="D120" s="12" t="s">
        <v>131</v>
      </c>
      <c r="E120" s="21"/>
      <c r="F120" s="20"/>
      <c r="G120" s="20"/>
    </row>
    <row r="121" spans="1:8" ht="29.1" customHeight="1" x14ac:dyDescent="0.2">
      <c r="A121" s="18"/>
      <c r="B121" s="323" t="s">
        <v>159</v>
      </c>
      <c r="C121" s="324"/>
      <c r="D121" s="2" t="s">
        <v>160</v>
      </c>
      <c r="E121" s="21"/>
      <c r="F121" s="20"/>
      <c r="G121" s="20"/>
    </row>
    <row r="122" spans="1:8" ht="17.100000000000001" customHeight="1" x14ac:dyDescent="0.2">
      <c r="A122" s="18"/>
      <c r="B122" s="323" t="s">
        <v>161</v>
      </c>
      <c r="C122" s="324"/>
      <c r="D122" s="2" t="s">
        <v>160</v>
      </c>
      <c r="E122" s="21"/>
      <c r="F122" s="20"/>
      <c r="G122" s="20"/>
    </row>
    <row r="123" spans="1:8" ht="17.100000000000001" customHeight="1" x14ac:dyDescent="0.2">
      <c r="A123" s="18"/>
      <c r="B123" s="323" t="s">
        <v>162</v>
      </c>
      <c r="C123" s="324"/>
      <c r="D123" s="12" t="s">
        <v>131</v>
      </c>
      <c r="E123" s="21"/>
      <c r="F123" s="20"/>
      <c r="G123" s="20"/>
    </row>
    <row r="124" spans="1:8" ht="24" customHeight="1" x14ac:dyDescent="0.2">
      <c r="A124" s="22"/>
      <c r="B124" s="23" t="s">
        <v>131</v>
      </c>
      <c r="C124" s="23" t="s">
        <v>163</v>
      </c>
      <c r="D124" s="23" t="s">
        <v>164</v>
      </c>
      <c r="E124" s="22"/>
      <c r="F124" s="22"/>
      <c r="G124" s="22"/>
    </row>
    <row r="125" spans="1:8" ht="18" customHeight="1" x14ac:dyDescent="0.2">
      <c r="A125" s="22"/>
      <c r="B125" s="23" t="s">
        <v>165</v>
      </c>
      <c r="C125" s="23" t="s">
        <v>166</v>
      </c>
      <c r="D125" s="23" t="s">
        <v>167</v>
      </c>
      <c r="E125" s="22"/>
      <c r="F125" s="22"/>
      <c r="G125" s="22"/>
    </row>
    <row r="126" spans="1:8" ht="17.100000000000001" customHeight="1" x14ac:dyDescent="0.2">
      <c r="A126" s="22"/>
      <c r="B126" s="4" t="s">
        <v>168</v>
      </c>
      <c r="C126" s="24">
        <v>22.934100000000001</v>
      </c>
      <c r="D126" s="24">
        <v>23.563300000000002</v>
      </c>
      <c r="E126" s="22"/>
      <c r="F126" s="19"/>
      <c r="G126" s="25"/>
    </row>
    <row r="127" spans="1:8" ht="17.100000000000001" customHeight="1" x14ac:dyDescent="0.2">
      <c r="A127" s="22"/>
      <c r="B127" s="4" t="s">
        <v>1021</v>
      </c>
      <c r="C127" s="24">
        <v>19.545000000000002</v>
      </c>
      <c r="D127" s="24">
        <v>18.742699999999999</v>
      </c>
      <c r="E127" s="22"/>
      <c r="F127" s="19"/>
      <c r="G127" s="25"/>
    </row>
    <row r="128" spans="1:8" ht="17.100000000000001" customHeight="1" x14ac:dyDescent="0.2">
      <c r="A128" s="22"/>
      <c r="B128" s="4" t="s">
        <v>169</v>
      </c>
      <c r="C128" s="24">
        <v>21.8705</v>
      </c>
      <c r="D128" s="24">
        <v>22.4452</v>
      </c>
      <c r="E128" s="22"/>
      <c r="F128" s="19"/>
      <c r="G128" s="25"/>
    </row>
    <row r="129" spans="1:7" ht="17.100000000000001" customHeight="1" x14ac:dyDescent="0.2">
      <c r="A129" s="22"/>
      <c r="B129" s="4" t="s">
        <v>1022</v>
      </c>
      <c r="C129" s="24">
        <v>18.621700000000001</v>
      </c>
      <c r="D129" s="24">
        <v>17.8354</v>
      </c>
      <c r="E129" s="22"/>
      <c r="F129" s="19"/>
      <c r="G129" s="25"/>
    </row>
    <row r="130" spans="1:7" ht="14.1" customHeight="1" x14ac:dyDescent="0.2">
      <c r="A130" s="22"/>
      <c r="B130" s="22"/>
      <c r="C130" s="22"/>
      <c r="D130" s="22"/>
      <c r="E130" s="22"/>
      <c r="F130" s="22"/>
      <c r="G130" s="22"/>
    </row>
    <row r="131" spans="1:7" ht="17.100000000000001" customHeight="1" x14ac:dyDescent="0.2">
      <c r="A131" s="61"/>
      <c r="B131" s="325" t="s">
        <v>1023</v>
      </c>
      <c r="C131" s="326"/>
      <c r="D131" s="57" t="s">
        <v>131</v>
      </c>
      <c r="E131" s="61"/>
      <c r="F131" s="61"/>
      <c r="G131" s="61"/>
    </row>
    <row r="132" spans="1:7" ht="18" customHeight="1" x14ac:dyDescent="0.2">
      <c r="A132" s="61"/>
      <c r="B132" s="62" t="s">
        <v>165</v>
      </c>
      <c r="C132" s="63" t="s">
        <v>820</v>
      </c>
      <c r="D132" s="63" t="s">
        <v>821</v>
      </c>
      <c r="E132" s="61"/>
      <c r="F132" s="61"/>
      <c r="G132" s="61"/>
    </row>
    <row r="133" spans="1:7" ht="29.1" customHeight="1" x14ac:dyDescent="0.2">
      <c r="A133" s="61"/>
      <c r="B133" s="39" t="s">
        <v>1021</v>
      </c>
      <c r="C133" s="64">
        <v>1.3169999999999999</v>
      </c>
      <c r="D133" s="64">
        <v>1.3169999999999999</v>
      </c>
      <c r="E133" s="61"/>
      <c r="F133" s="56"/>
      <c r="G133" s="65"/>
    </row>
    <row r="134" spans="1:7" ht="29.1" customHeight="1" x14ac:dyDescent="0.2">
      <c r="A134" s="61"/>
      <c r="B134" s="39" t="s">
        <v>1022</v>
      </c>
      <c r="C134" s="64">
        <v>1.256</v>
      </c>
      <c r="D134" s="64">
        <v>1.256</v>
      </c>
      <c r="E134" s="61"/>
      <c r="F134" s="56"/>
      <c r="G134" s="65"/>
    </row>
    <row r="135" spans="1:7" ht="14.1" customHeight="1" x14ac:dyDescent="0.2">
      <c r="A135" s="22"/>
      <c r="B135" s="19"/>
      <c r="C135" s="19"/>
      <c r="D135" s="22"/>
      <c r="E135" s="22"/>
      <c r="F135" s="22"/>
      <c r="G135" s="22"/>
    </row>
    <row r="136" spans="1:7" ht="29.1" customHeight="1" x14ac:dyDescent="0.2">
      <c r="A136" s="22"/>
      <c r="B136" s="323" t="s">
        <v>170</v>
      </c>
      <c r="C136" s="324"/>
      <c r="D136" s="2" t="s">
        <v>160</v>
      </c>
      <c r="E136" s="22"/>
      <c r="F136" s="22"/>
      <c r="G136" s="22"/>
    </row>
    <row r="137" spans="1:7" ht="29.1" customHeight="1" x14ac:dyDescent="0.2">
      <c r="A137" s="22"/>
      <c r="B137" s="323" t="s">
        <v>171</v>
      </c>
      <c r="C137" s="324"/>
      <c r="D137" s="57" t="s">
        <v>977</v>
      </c>
      <c r="E137" s="22"/>
      <c r="F137" s="22"/>
      <c r="G137" s="22"/>
    </row>
    <row r="138" spans="1:7" ht="17.100000000000001" customHeight="1" x14ac:dyDescent="0.2">
      <c r="A138" s="22"/>
      <c r="B138" s="323" t="s">
        <v>172</v>
      </c>
      <c r="C138" s="324"/>
      <c r="D138" s="27">
        <v>0.28364481978447276</v>
      </c>
      <c r="E138" s="22"/>
      <c r="F138" s="19"/>
      <c r="G138" s="25"/>
    </row>
    <row r="139" spans="1:7" ht="17.100000000000001" customHeight="1" x14ac:dyDescent="0.2">
      <c r="A139" s="22"/>
      <c r="B139" s="323" t="s">
        <v>173</v>
      </c>
      <c r="C139" s="324"/>
      <c r="D139" s="2" t="s">
        <v>160</v>
      </c>
      <c r="E139" s="22"/>
      <c r="F139" s="22"/>
      <c r="G139" s="22"/>
    </row>
  </sheetData>
  <mergeCells count="13">
    <mergeCell ref="J2:N2"/>
    <mergeCell ref="B139:C139"/>
    <mergeCell ref="B121:C121"/>
    <mergeCell ref="B122:C122"/>
    <mergeCell ref="B123:C123"/>
    <mergeCell ref="B131:C131"/>
    <mergeCell ref="B136:C136"/>
    <mergeCell ref="B137:C137"/>
    <mergeCell ref="A1:H1"/>
    <mergeCell ref="A2:H2"/>
    <mergeCell ref="A3:H3"/>
    <mergeCell ref="B120:C120"/>
    <mergeCell ref="B138:C138"/>
  </mergeCells>
  <hyperlinks>
    <hyperlink ref="I1" location="Index!B33" display="Index" xr:uid="{F98446F6-1F46-41F8-8FA8-6C5848A174F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O14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735</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14</v>
      </c>
      <c r="C7" s="4" t="s">
        <v>15</v>
      </c>
      <c r="D7" s="4" t="s">
        <v>16</v>
      </c>
      <c r="E7" s="5">
        <v>1699000</v>
      </c>
      <c r="F7" s="6">
        <v>16189.771000000001</v>
      </c>
      <c r="G7" s="7">
        <v>8.9279527999999997E-2</v>
      </c>
      <c r="H7" s="49"/>
    </row>
    <row r="8" spans="1:15" ht="17.100000000000001" customHeight="1" x14ac:dyDescent="0.2">
      <c r="A8" s="3">
        <v>2</v>
      </c>
      <c r="B8" s="4" t="s">
        <v>263</v>
      </c>
      <c r="C8" s="4" t="s">
        <v>264</v>
      </c>
      <c r="D8" s="4" t="s">
        <v>16</v>
      </c>
      <c r="E8" s="5">
        <v>714000</v>
      </c>
      <c r="F8" s="6">
        <v>11484.333000000001</v>
      </c>
      <c r="G8" s="7">
        <v>6.3331088999999993E-2</v>
      </c>
      <c r="H8" s="49"/>
    </row>
    <row r="9" spans="1:15" ht="17.100000000000001" customHeight="1" x14ac:dyDescent="0.2">
      <c r="A9" s="3">
        <v>3</v>
      </c>
      <c r="B9" s="4" t="s">
        <v>20</v>
      </c>
      <c r="C9" s="4" t="s">
        <v>21</v>
      </c>
      <c r="D9" s="4" t="s">
        <v>22</v>
      </c>
      <c r="E9" s="5">
        <v>341595</v>
      </c>
      <c r="F9" s="6">
        <v>9330.1550325000007</v>
      </c>
      <c r="G9" s="7">
        <v>5.1451736999999997E-2</v>
      </c>
      <c r="H9" s="49"/>
    </row>
    <row r="10" spans="1:15" ht="17.100000000000001" customHeight="1" x14ac:dyDescent="0.2">
      <c r="A10" s="3">
        <v>4</v>
      </c>
      <c r="B10" s="4" t="s">
        <v>294</v>
      </c>
      <c r="C10" s="4" t="s">
        <v>295</v>
      </c>
      <c r="D10" s="4" t="s">
        <v>974</v>
      </c>
      <c r="E10" s="5">
        <v>570000</v>
      </c>
      <c r="F10" s="6">
        <v>9319.2150000000001</v>
      </c>
      <c r="G10" s="7">
        <v>5.1391407E-2</v>
      </c>
      <c r="H10" s="49"/>
    </row>
    <row r="11" spans="1:15" ht="17.100000000000001" customHeight="1" x14ac:dyDescent="0.2">
      <c r="A11" s="3">
        <v>5</v>
      </c>
      <c r="B11" s="4" t="s">
        <v>39</v>
      </c>
      <c r="C11" s="4" t="s">
        <v>40</v>
      </c>
      <c r="D11" s="4" t="s">
        <v>16</v>
      </c>
      <c r="E11" s="5">
        <v>1450000</v>
      </c>
      <c r="F11" s="6">
        <v>8735.5249999999996</v>
      </c>
      <c r="G11" s="7">
        <v>4.8172610999999997E-2</v>
      </c>
      <c r="H11" s="49"/>
    </row>
    <row r="12" spans="1:15" ht="17.100000000000001" customHeight="1" x14ac:dyDescent="0.2">
      <c r="A12" s="3">
        <v>6</v>
      </c>
      <c r="B12" s="4" t="s">
        <v>180</v>
      </c>
      <c r="C12" s="4" t="s">
        <v>181</v>
      </c>
      <c r="D12" s="4" t="s">
        <v>16</v>
      </c>
      <c r="E12" s="5">
        <v>834000</v>
      </c>
      <c r="F12" s="6">
        <v>7516.4250000000002</v>
      </c>
      <c r="G12" s="7">
        <v>4.1449805999999999E-2</v>
      </c>
      <c r="H12" s="49"/>
    </row>
    <row r="13" spans="1:15" ht="29.1" customHeight="1" x14ac:dyDescent="0.25">
      <c r="A13" s="3">
        <v>7</v>
      </c>
      <c r="B13" s="4" t="s">
        <v>296</v>
      </c>
      <c r="C13" s="4" t="s">
        <v>297</v>
      </c>
      <c r="D13" s="4" t="s">
        <v>103</v>
      </c>
      <c r="E13" s="5">
        <v>272000</v>
      </c>
      <c r="F13" s="6">
        <v>7323.7359999999999</v>
      </c>
      <c r="G13" s="7">
        <v>4.0387210999999999E-2</v>
      </c>
      <c r="H13" s="49"/>
      <c r="J13" s="226" t="s">
        <v>1086</v>
      </c>
    </row>
    <row r="14" spans="1:15" ht="53.1" customHeight="1" x14ac:dyDescent="0.2">
      <c r="A14" s="3">
        <v>8</v>
      </c>
      <c r="B14" s="4" t="s">
        <v>49</v>
      </c>
      <c r="C14" s="4" t="s">
        <v>50</v>
      </c>
      <c r="D14" s="4" t="s">
        <v>51</v>
      </c>
      <c r="E14" s="5">
        <v>4089762</v>
      </c>
      <c r="F14" s="6">
        <v>6085.5658560000002</v>
      </c>
      <c r="G14" s="7">
        <v>3.3559242000000003E-2</v>
      </c>
      <c r="H14" s="49"/>
      <c r="J14" s="217"/>
    </row>
    <row r="15" spans="1:15" ht="17.100000000000001" customHeight="1" x14ac:dyDescent="0.2">
      <c r="A15" s="3">
        <v>9</v>
      </c>
      <c r="B15" s="4" t="s">
        <v>302</v>
      </c>
      <c r="C15" s="4" t="s">
        <v>303</v>
      </c>
      <c r="D15" s="4" t="s">
        <v>974</v>
      </c>
      <c r="E15" s="5">
        <v>165000</v>
      </c>
      <c r="F15" s="6">
        <v>5594.82</v>
      </c>
      <c r="G15" s="7">
        <v>3.0852992999999999E-2</v>
      </c>
      <c r="H15" s="49"/>
    </row>
    <row r="16" spans="1:15" ht="17.100000000000001" customHeight="1" x14ac:dyDescent="0.2">
      <c r="A16" s="3">
        <v>10</v>
      </c>
      <c r="B16" s="4" t="s">
        <v>44</v>
      </c>
      <c r="C16" s="4" t="s">
        <v>45</v>
      </c>
      <c r="D16" s="4" t="s">
        <v>31</v>
      </c>
      <c r="E16" s="5">
        <v>209000</v>
      </c>
      <c r="F16" s="6">
        <v>5360.85</v>
      </c>
      <c r="G16" s="7">
        <v>2.9562749999999999E-2</v>
      </c>
      <c r="H16" s="49"/>
    </row>
    <row r="17" spans="1:10" ht="17.100000000000001" customHeight="1" x14ac:dyDescent="0.2">
      <c r="A17" s="3">
        <v>11</v>
      </c>
      <c r="B17" s="4" t="s">
        <v>34</v>
      </c>
      <c r="C17" s="4" t="s">
        <v>35</v>
      </c>
      <c r="D17" s="4" t="s">
        <v>31</v>
      </c>
      <c r="E17" s="5">
        <v>225556</v>
      </c>
      <c r="F17" s="6">
        <v>4329.3218639999996</v>
      </c>
      <c r="G17" s="7">
        <v>2.3874322E-2</v>
      </c>
      <c r="H17" s="49"/>
    </row>
    <row r="18" spans="1:10" ht="17.100000000000001" customHeight="1" x14ac:dyDescent="0.2">
      <c r="A18" s="3">
        <v>12</v>
      </c>
      <c r="B18" s="4" t="s">
        <v>70</v>
      </c>
      <c r="C18" s="4" t="s">
        <v>71</v>
      </c>
      <c r="D18" s="4" t="s">
        <v>72</v>
      </c>
      <c r="E18" s="5">
        <v>48000</v>
      </c>
      <c r="F18" s="6">
        <v>4307.5919999999996</v>
      </c>
      <c r="G18" s="7">
        <v>2.3754491999999999E-2</v>
      </c>
      <c r="H18" s="49"/>
    </row>
    <row r="19" spans="1:10" ht="17.100000000000001" customHeight="1" x14ac:dyDescent="0.2">
      <c r="A19" s="3">
        <v>13</v>
      </c>
      <c r="B19" s="4" t="s">
        <v>11</v>
      </c>
      <c r="C19" s="4" t="s">
        <v>12</v>
      </c>
      <c r="D19" s="4" t="s">
        <v>13</v>
      </c>
      <c r="E19" s="5">
        <v>206000</v>
      </c>
      <c r="F19" s="6">
        <v>4274.1909999999998</v>
      </c>
      <c r="G19" s="7">
        <v>2.3570299999999999E-2</v>
      </c>
      <c r="H19" s="49"/>
    </row>
    <row r="20" spans="1:10" ht="17.100000000000001" customHeight="1" x14ac:dyDescent="0.2">
      <c r="A20" s="3">
        <v>14</v>
      </c>
      <c r="B20" s="4" t="s">
        <v>231</v>
      </c>
      <c r="C20" s="4" t="s">
        <v>232</v>
      </c>
      <c r="D20" s="4" t="s">
        <v>233</v>
      </c>
      <c r="E20" s="5">
        <v>715000</v>
      </c>
      <c r="F20" s="6">
        <v>3909.9775</v>
      </c>
      <c r="G20" s="7">
        <v>2.1561820999999998E-2</v>
      </c>
      <c r="H20" s="49"/>
    </row>
    <row r="21" spans="1:10" ht="17.100000000000001" customHeight="1" x14ac:dyDescent="0.2">
      <c r="A21" s="3">
        <v>15</v>
      </c>
      <c r="B21" s="4" t="s">
        <v>17</v>
      </c>
      <c r="C21" s="4" t="s">
        <v>18</v>
      </c>
      <c r="D21" s="4" t="s">
        <v>19</v>
      </c>
      <c r="E21" s="5">
        <v>453000</v>
      </c>
      <c r="F21" s="6">
        <v>3844.8375000000001</v>
      </c>
      <c r="G21" s="7">
        <v>2.1202602000000001E-2</v>
      </c>
      <c r="H21" s="49"/>
    </row>
    <row r="22" spans="1:10" ht="29.1" customHeight="1" x14ac:dyDescent="0.2">
      <c r="A22" s="3">
        <v>16</v>
      </c>
      <c r="B22" s="4" t="s">
        <v>304</v>
      </c>
      <c r="C22" s="4" t="s">
        <v>305</v>
      </c>
      <c r="D22" s="4" t="s">
        <v>215</v>
      </c>
      <c r="E22" s="5">
        <v>328000</v>
      </c>
      <c r="F22" s="6">
        <v>3431.0439999999999</v>
      </c>
      <c r="G22" s="7">
        <v>1.8920711999999999E-2</v>
      </c>
      <c r="H22" s="49"/>
    </row>
    <row r="23" spans="1:10" ht="17.100000000000001" customHeight="1" x14ac:dyDescent="0.2">
      <c r="A23" s="3">
        <v>17</v>
      </c>
      <c r="B23" s="4" t="s">
        <v>306</v>
      </c>
      <c r="C23" s="4" t="s">
        <v>307</v>
      </c>
      <c r="D23" s="4" t="s">
        <v>308</v>
      </c>
      <c r="E23" s="5">
        <v>124000</v>
      </c>
      <c r="F23" s="6">
        <v>3328.5940000000001</v>
      </c>
      <c r="G23" s="7">
        <v>1.8355745E-2</v>
      </c>
      <c r="H23" s="49"/>
      <c r="J23" s="217" t="s">
        <v>1094</v>
      </c>
    </row>
    <row r="24" spans="1:10" ht="17.100000000000001" customHeight="1" x14ac:dyDescent="0.2">
      <c r="A24" s="3">
        <v>18</v>
      </c>
      <c r="B24" s="4" t="s">
        <v>259</v>
      </c>
      <c r="C24" s="4" t="s">
        <v>260</v>
      </c>
      <c r="D24" s="4" t="s">
        <v>103</v>
      </c>
      <c r="E24" s="5">
        <v>199000</v>
      </c>
      <c r="F24" s="6">
        <v>3236.7350000000001</v>
      </c>
      <c r="G24" s="7">
        <v>1.7849182000000002E-2</v>
      </c>
      <c r="H24" s="49"/>
    </row>
    <row r="25" spans="1:10" ht="17.100000000000001" customHeight="1" x14ac:dyDescent="0.2">
      <c r="A25" s="3">
        <v>19</v>
      </c>
      <c r="B25" s="4" t="s">
        <v>36</v>
      </c>
      <c r="C25" s="4" t="s">
        <v>37</v>
      </c>
      <c r="D25" s="4" t="s">
        <v>38</v>
      </c>
      <c r="E25" s="5">
        <v>100000</v>
      </c>
      <c r="F25" s="6">
        <v>3000.7</v>
      </c>
      <c r="G25" s="7">
        <v>1.6547552E-2</v>
      </c>
      <c r="H25" s="49"/>
    </row>
    <row r="26" spans="1:10" ht="17.100000000000001" customHeight="1" x14ac:dyDescent="0.2">
      <c r="A26" s="3">
        <v>20</v>
      </c>
      <c r="B26" s="4" t="s">
        <v>498</v>
      </c>
      <c r="C26" s="4" t="s">
        <v>499</v>
      </c>
      <c r="D26" s="4" t="s">
        <v>317</v>
      </c>
      <c r="E26" s="5">
        <v>67000</v>
      </c>
      <c r="F26" s="6">
        <v>2951.5844999999999</v>
      </c>
      <c r="G26" s="7">
        <v>1.6276702000000001E-2</v>
      </c>
      <c r="H26" s="49"/>
    </row>
    <row r="27" spans="1:10" ht="29.1" customHeight="1" x14ac:dyDescent="0.2">
      <c r="A27" s="3">
        <v>21</v>
      </c>
      <c r="B27" s="4" t="s">
        <v>189</v>
      </c>
      <c r="C27" s="4" t="s">
        <v>190</v>
      </c>
      <c r="D27" s="4" t="s">
        <v>108</v>
      </c>
      <c r="E27" s="5">
        <v>800000</v>
      </c>
      <c r="F27" s="6">
        <v>2902.8</v>
      </c>
      <c r="G27" s="7">
        <v>1.6007675999999998E-2</v>
      </c>
      <c r="H27" s="49"/>
    </row>
    <row r="28" spans="1:10" ht="29.1" customHeight="1" x14ac:dyDescent="0.2">
      <c r="A28" s="3">
        <v>22</v>
      </c>
      <c r="B28" s="4" t="s">
        <v>101</v>
      </c>
      <c r="C28" s="4" t="s">
        <v>102</v>
      </c>
      <c r="D28" s="4" t="s">
        <v>103</v>
      </c>
      <c r="E28" s="5">
        <v>392000</v>
      </c>
      <c r="F28" s="6">
        <v>2802.212</v>
      </c>
      <c r="G28" s="7">
        <v>1.5452977E-2</v>
      </c>
      <c r="H28" s="49"/>
    </row>
    <row r="29" spans="1:10" ht="17.100000000000001" customHeight="1" x14ac:dyDescent="0.2">
      <c r="A29" s="3">
        <v>23</v>
      </c>
      <c r="B29" s="4" t="s">
        <v>236</v>
      </c>
      <c r="C29" s="4" t="s">
        <v>237</v>
      </c>
      <c r="D29" s="4" t="s">
        <v>238</v>
      </c>
      <c r="E29" s="5">
        <v>396000</v>
      </c>
      <c r="F29" s="6">
        <v>2794.1759999999999</v>
      </c>
      <c r="G29" s="7">
        <v>1.5408662E-2</v>
      </c>
      <c r="H29" s="49"/>
    </row>
    <row r="30" spans="1:10" ht="17.100000000000001" customHeight="1" x14ac:dyDescent="0.2">
      <c r="A30" s="3">
        <v>24</v>
      </c>
      <c r="B30" s="4" t="s">
        <v>340</v>
      </c>
      <c r="C30" s="4" t="s">
        <v>341</v>
      </c>
      <c r="D30" s="4" t="s">
        <v>16</v>
      </c>
      <c r="E30" s="5">
        <v>860000</v>
      </c>
      <c r="F30" s="6">
        <v>2706.42</v>
      </c>
      <c r="G30" s="7">
        <v>1.4924725999999999E-2</v>
      </c>
      <c r="H30" s="49"/>
    </row>
    <row r="31" spans="1:10" ht="29.1" customHeight="1" x14ac:dyDescent="0.2">
      <c r="A31" s="3">
        <v>25</v>
      </c>
      <c r="B31" s="4" t="s">
        <v>23</v>
      </c>
      <c r="C31" s="4" t="s">
        <v>24</v>
      </c>
      <c r="D31" s="4" t="s">
        <v>25</v>
      </c>
      <c r="E31" s="5">
        <v>38000</v>
      </c>
      <c r="F31" s="6">
        <v>2689.26</v>
      </c>
      <c r="G31" s="7">
        <v>1.4830095999999999E-2</v>
      </c>
      <c r="H31" s="49"/>
    </row>
    <row r="32" spans="1:10" ht="17.100000000000001" customHeight="1" x14ac:dyDescent="0.2">
      <c r="A32" s="3">
        <v>26</v>
      </c>
      <c r="B32" s="4" t="s">
        <v>175</v>
      </c>
      <c r="C32" s="4" t="s">
        <v>176</v>
      </c>
      <c r="D32" s="4" t="s">
        <v>16</v>
      </c>
      <c r="E32" s="5">
        <v>1809981</v>
      </c>
      <c r="F32" s="6">
        <v>2379.2200244999999</v>
      </c>
      <c r="G32" s="7">
        <v>1.3120361000000001E-2</v>
      </c>
      <c r="H32" s="49"/>
    </row>
    <row r="33" spans="1:8" ht="17.100000000000001" customHeight="1" x14ac:dyDescent="0.2">
      <c r="A33" s="3">
        <v>27</v>
      </c>
      <c r="B33" s="4" t="s">
        <v>352</v>
      </c>
      <c r="C33" s="4" t="s">
        <v>353</v>
      </c>
      <c r="D33" s="4" t="s">
        <v>72</v>
      </c>
      <c r="E33" s="5">
        <v>533583</v>
      </c>
      <c r="F33" s="6">
        <v>2344.5637019999999</v>
      </c>
      <c r="G33" s="7">
        <v>1.2929247E-2</v>
      </c>
      <c r="H33" s="49"/>
    </row>
    <row r="34" spans="1:8" ht="17.100000000000001" customHeight="1" x14ac:dyDescent="0.2">
      <c r="A34" s="3">
        <v>28</v>
      </c>
      <c r="B34" s="4" t="s">
        <v>109</v>
      </c>
      <c r="C34" s="4" t="s">
        <v>110</v>
      </c>
      <c r="D34" s="4" t="s">
        <v>89</v>
      </c>
      <c r="E34" s="5">
        <v>463529</v>
      </c>
      <c r="F34" s="6">
        <v>2106.5075404999998</v>
      </c>
      <c r="G34" s="7">
        <v>1.1616471E-2</v>
      </c>
      <c r="H34" s="49"/>
    </row>
    <row r="35" spans="1:8" ht="17.100000000000001" customHeight="1" x14ac:dyDescent="0.2">
      <c r="A35" s="3">
        <v>29</v>
      </c>
      <c r="B35" s="4" t="s">
        <v>354</v>
      </c>
      <c r="C35" s="4" t="s">
        <v>355</v>
      </c>
      <c r="D35" s="4" t="s">
        <v>188</v>
      </c>
      <c r="E35" s="5">
        <v>52000</v>
      </c>
      <c r="F35" s="6">
        <v>2093.2600000000002</v>
      </c>
      <c r="G35" s="7">
        <v>1.1543416000000001E-2</v>
      </c>
      <c r="H35" s="49"/>
    </row>
    <row r="36" spans="1:8" ht="29.1" customHeight="1" x14ac:dyDescent="0.2">
      <c r="A36" s="3">
        <v>30</v>
      </c>
      <c r="B36" s="4" t="s">
        <v>197</v>
      </c>
      <c r="C36" s="4" t="s">
        <v>198</v>
      </c>
      <c r="D36" s="4" t="s">
        <v>193</v>
      </c>
      <c r="E36" s="5">
        <v>48000</v>
      </c>
      <c r="F36" s="6">
        <v>2084.3760000000002</v>
      </c>
      <c r="G36" s="7">
        <v>1.1494425000000001E-2</v>
      </c>
      <c r="H36" s="49"/>
    </row>
    <row r="37" spans="1:8" ht="17.100000000000001" customHeight="1" x14ac:dyDescent="0.2">
      <c r="A37" s="3">
        <v>31</v>
      </c>
      <c r="B37" s="4" t="s">
        <v>104</v>
      </c>
      <c r="C37" s="4" t="s">
        <v>105</v>
      </c>
      <c r="D37" s="4" t="s">
        <v>100</v>
      </c>
      <c r="E37" s="5">
        <v>224000</v>
      </c>
      <c r="F37" s="6">
        <v>2069.5360000000001</v>
      </c>
      <c r="G37" s="7">
        <v>1.1412589000000001E-2</v>
      </c>
      <c r="H37" s="49"/>
    </row>
    <row r="38" spans="1:8" ht="17.100000000000001" customHeight="1" x14ac:dyDescent="0.2">
      <c r="A38" s="3">
        <v>32</v>
      </c>
      <c r="B38" s="4" t="s">
        <v>194</v>
      </c>
      <c r="C38" s="4" t="s">
        <v>195</v>
      </c>
      <c r="D38" s="4" t="s">
        <v>196</v>
      </c>
      <c r="E38" s="5">
        <v>4000</v>
      </c>
      <c r="F38" s="6">
        <v>1896.6659999999999</v>
      </c>
      <c r="G38" s="7">
        <v>1.0459286E-2</v>
      </c>
      <c r="H38" s="49"/>
    </row>
    <row r="39" spans="1:8" ht="17.100000000000001" customHeight="1" x14ac:dyDescent="0.2">
      <c r="A39" s="3">
        <v>33</v>
      </c>
      <c r="B39" s="4" t="s">
        <v>177</v>
      </c>
      <c r="C39" s="4" t="s">
        <v>178</v>
      </c>
      <c r="D39" s="4" t="s">
        <v>179</v>
      </c>
      <c r="E39" s="5">
        <v>148000</v>
      </c>
      <c r="F39" s="6">
        <v>1849.63</v>
      </c>
      <c r="G39" s="7">
        <v>1.0199903E-2</v>
      </c>
      <c r="H39" s="49"/>
    </row>
    <row r="40" spans="1:8" ht="53.1" customHeight="1" x14ac:dyDescent="0.2">
      <c r="A40" s="3">
        <v>34</v>
      </c>
      <c r="B40" s="4" t="s">
        <v>94</v>
      </c>
      <c r="C40" s="4" t="s">
        <v>95</v>
      </c>
      <c r="D40" s="4" t="s">
        <v>51</v>
      </c>
      <c r="E40" s="5">
        <v>125775</v>
      </c>
      <c r="F40" s="6">
        <v>1846.9429875000001</v>
      </c>
      <c r="G40" s="7">
        <v>1.0185085E-2</v>
      </c>
      <c r="H40" s="49"/>
    </row>
    <row r="41" spans="1:8" ht="17.100000000000001" customHeight="1" x14ac:dyDescent="0.2">
      <c r="A41" s="3">
        <v>35</v>
      </c>
      <c r="B41" s="4" t="s">
        <v>586</v>
      </c>
      <c r="C41" s="4" t="s">
        <v>587</v>
      </c>
      <c r="D41" s="4" t="s">
        <v>43</v>
      </c>
      <c r="E41" s="5">
        <v>91000</v>
      </c>
      <c r="F41" s="6">
        <v>1763.0795000000001</v>
      </c>
      <c r="G41" s="7">
        <v>9.7226150000000004E-3</v>
      </c>
      <c r="H41" s="49"/>
    </row>
    <row r="42" spans="1:8" ht="17.100000000000001" customHeight="1" x14ac:dyDescent="0.2">
      <c r="A42" s="3">
        <v>36</v>
      </c>
      <c r="B42" s="4" t="s">
        <v>595</v>
      </c>
      <c r="C42" s="4" t="s">
        <v>596</v>
      </c>
      <c r="D42" s="4" t="s">
        <v>267</v>
      </c>
      <c r="E42" s="5">
        <v>104000</v>
      </c>
      <c r="F42" s="6">
        <v>1677.5719999999999</v>
      </c>
      <c r="G42" s="7">
        <v>9.2510779999999994E-3</v>
      </c>
      <c r="H42" s="49"/>
    </row>
    <row r="43" spans="1:8" ht="17.100000000000001" customHeight="1" x14ac:dyDescent="0.2">
      <c r="A43" s="3">
        <v>37</v>
      </c>
      <c r="B43" s="4" t="s">
        <v>182</v>
      </c>
      <c r="C43" s="4" t="s">
        <v>183</v>
      </c>
      <c r="D43" s="4" t="s">
        <v>16</v>
      </c>
      <c r="E43" s="5">
        <v>1000000</v>
      </c>
      <c r="F43" s="6">
        <v>1662.5</v>
      </c>
      <c r="G43" s="7">
        <v>9.1679629999999995E-3</v>
      </c>
      <c r="H43" s="49"/>
    </row>
    <row r="44" spans="1:8" ht="29.1" customHeight="1" x14ac:dyDescent="0.2">
      <c r="A44" s="3">
        <v>38</v>
      </c>
      <c r="B44" s="4" t="s">
        <v>597</v>
      </c>
      <c r="C44" s="4" t="s">
        <v>598</v>
      </c>
      <c r="D44" s="4" t="s">
        <v>238</v>
      </c>
      <c r="E44" s="5">
        <v>130000</v>
      </c>
      <c r="F44" s="6">
        <v>1574.4949999999999</v>
      </c>
      <c r="G44" s="7">
        <v>8.6826530000000002E-3</v>
      </c>
      <c r="H44" s="49"/>
    </row>
    <row r="45" spans="1:8" ht="17.100000000000001" customHeight="1" x14ac:dyDescent="0.2">
      <c r="A45" s="3">
        <v>39</v>
      </c>
      <c r="B45" s="4" t="s">
        <v>502</v>
      </c>
      <c r="C45" s="4" t="s">
        <v>503</v>
      </c>
      <c r="D45" s="4" t="s">
        <v>317</v>
      </c>
      <c r="E45" s="5">
        <v>68000</v>
      </c>
      <c r="F45" s="6">
        <v>1563.15</v>
      </c>
      <c r="G45" s="7">
        <v>8.6200909999999999E-3</v>
      </c>
      <c r="H45" s="49"/>
    </row>
    <row r="46" spans="1:8" ht="29.1" customHeight="1" x14ac:dyDescent="0.2">
      <c r="A46" s="3">
        <v>40</v>
      </c>
      <c r="B46" s="4" t="s">
        <v>590</v>
      </c>
      <c r="C46" s="4" t="s">
        <v>591</v>
      </c>
      <c r="D46" s="4" t="s">
        <v>193</v>
      </c>
      <c r="E46" s="5">
        <v>100000</v>
      </c>
      <c r="F46" s="6">
        <v>1496.3</v>
      </c>
      <c r="G46" s="7">
        <v>8.2514419999999995E-3</v>
      </c>
      <c r="H46" s="49"/>
    </row>
    <row r="47" spans="1:8" ht="17.100000000000001" customHeight="1" x14ac:dyDescent="0.2">
      <c r="A47" s="3">
        <v>41</v>
      </c>
      <c r="B47" s="4" t="s">
        <v>298</v>
      </c>
      <c r="C47" s="4" t="s">
        <v>299</v>
      </c>
      <c r="D47" s="4" t="s">
        <v>238</v>
      </c>
      <c r="E47" s="5">
        <v>116000</v>
      </c>
      <c r="F47" s="6">
        <v>1488.164</v>
      </c>
      <c r="G47" s="7">
        <v>8.2065760000000001E-3</v>
      </c>
      <c r="H47" s="49"/>
    </row>
    <row r="48" spans="1:8" ht="17.100000000000001" customHeight="1" x14ac:dyDescent="0.2">
      <c r="A48" s="3">
        <v>42</v>
      </c>
      <c r="B48" s="4" t="s">
        <v>719</v>
      </c>
      <c r="C48" s="4" t="s">
        <v>720</v>
      </c>
      <c r="D48" s="4" t="s">
        <v>974</v>
      </c>
      <c r="E48" s="5">
        <v>36000</v>
      </c>
      <c r="F48" s="6">
        <v>1453.068</v>
      </c>
      <c r="G48" s="7">
        <v>8.0130359999999994E-3</v>
      </c>
      <c r="H48" s="49"/>
    </row>
    <row r="49" spans="1:8" ht="17.100000000000001" customHeight="1" x14ac:dyDescent="0.2">
      <c r="A49" s="3">
        <v>43</v>
      </c>
      <c r="B49" s="4" t="s">
        <v>588</v>
      </c>
      <c r="C49" s="4" t="s">
        <v>589</v>
      </c>
      <c r="D49" s="4" t="s">
        <v>179</v>
      </c>
      <c r="E49" s="5">
        <v>140000</v>
      </c>
      <c r="F49" s="6">
        <v>1305.22</v>
      </c>
      <c r="G49" s="7">
        <v>7.197719E-3</v>
      </c>
      <c r="H49" s="49"/>
    </row>
    <row r="50" spans="1:8" ht="17.100000000000001" customHeight="1" x14ac:dyDescent="0.2">
      <c r="A50" s="3">
        <v>44</v>
      </c>
      <c r="B50" s="4" t="s">
        <v>515</v>
      </c>
      <c r="C50" s="4" t="s">
        <v>516</v>
      </c>
      <c r="D50" s="4" t="s">
        <v>974</v>
      </c>
      <c r="E50" s="5">
        <v>102772</v>
      </c>
      <c r="F50" s="6">
        <v>1243.489814</v>
      </c>
      <c r="G50" s="7">
        <v>6.8573039999999998E-3</v>
      </c>
      <c r="H50" s="49"/>
    </row>
    <row r="51" spans="1:8" ht="17.100000000000001" customHeight="1" x14ac:dyDescent="0.2">
      <c r="A51" s="3">
        <v>45</v>
      </c>
      <c r="B51" s="4" t="s">
        <v>87</v>
      </c>
      <c r="C51" s="4" t="s">
        <v>88</v>
      </c>
      <c r="D51" s="4" t="s">
        <v>89</v>
      </c>
      <c r="E51" s="5">
        <v>46000</v>
      </c>
      <c r="F51" s="6">
        <v>1230.6610000000001</v>
      </c>
      <c r="G51" s="7">
        <v>6.7865590000000002E-3</v>
      </c>
      <c r="H51" s="49"/>
    </row>
    <row r="52" spans="1:8" ht="29.1" customHeight="1" x14ac:dyDescent="0.2">
      <c r="A52" s="3">
        <v>46</v>
      </c>
      <c r="B52" s="4" t="s">
        <v>251</v>
      </c>
      <c r="C52" s="4" t="s">
        <v>252</v>
      </c>
      <c r="D52" s="4" t="s">
        <v>215</v>
      </c>
      <c r="E52" s="5">
        <v>65000</v>
      </c>
      <c r="F52" s="6">
        <v>1156.7725</v>
      </c>
      <c r="G52" s="7">
        <v>6.3790959999999999E-3</v>
      </c>
      <c r="H52" s="49"/>
    </row>
    <row r="53" spans="1:8" ht="17.100000000000001" customHeight="1" x14ac:dyDescent="0.2">
      <c r="A53" s="3">
        <v>47</v>
      </c>
      <c r="B53" s="4" t="s">
        <v>216</v>
      </c>
      <c r="C53" s="4" t="s">
        <v>217</v>
      </c>
      <c r="D53" s="4" t="s">
        <v>218</v>
      </c>
      <c r="E53" s="5">
        <v>194000</v>
      </c>
      <c r="F53" s="6">
        <v>1039.355</v>
      </c>
      <c r="G53" s="7">
        <v>5.7315899999999999E-3</v>
      </c>
      <c r="H53" s="49"/>
    </row>
    <row r="54" spans="1:8" ht="17.100000000000001" customHeight="1" x14ac:dyDescent="0.2">
      <c r="A54" s="3">
        <v>48</v>
      </c>
      <c r="B54" s="4" t="s">
        <v>243</v>
      </c>
      <c r="C54" s="4" t="s">
        <v>244</v>
      </c>
      <c r="D54" s="4" t="s">
        <v>227</v>
      </c>
      <c r="E54" s="5">
        <v>300000</v>
      </c>
      <c r="F54" s="6">
        <v>870.3</v>
      </c>
      <c r="G54" s="7">
        <v>4.7993250000000001E-3</v>
      </c>
      <c r="H54" s="49"/>
    </row>
    <row r="55" spans="1:8" ht="17.100000000000001" customHeight="1" x14ac:dyDescent="0.2">
      <c r="A55" s="3">
        <v>49</v>
      </c>
      <c r="B55" s="4" t="s">
        <v>318</v>
      </c>
      <c r="C55" s="4" t="s">
        <v>319</v>
      </c>
      <c r="D55" s="4" t="s">
        <v>233</v>
      </c>
      <c r="E55" s="5">
        <v>64000</v>
      </c>
      <c r="F55" s="6">
        <v>864</v>
      </c>
      <c r="G55" s="7">
        <v>4.7645830000000002E-3</v>
      </c>
      <c r="H55" s="49"/>
    </row>
    <row r="56" spans="1:8" ht="17.100000000000001" customHeight="1" x14ac:dyDescent="0.2">
      <c r="A56" s="3">
        <v>50</v>
      </c>
      <c r="B56" s="4" t="s">
        <v>372</v>
      </c>
      <c r="C56" s="4" t="s">
        <v>373</v>
      </c>
      <c r="D56" s="4" t="s">
        <v>103</v>
      </c>
      <c r="E56" s="5">
        <v>140000</v>
      </c>
      <c r="F56" s="6">
        <v>774.27</v>
      </c>
      <c r="G56" s="7">
        <v>4.2697610000000004E-3</v>
      </c>
      <c r="H56" s="49"/>
    </row>
    <row r="57" spans="1:8" ht="17.100000000000001" customHeight="1" x14ac:dyDescent="0.2">
      <c r="A57" s="3">
        <v>51</v>
      </c>
      <c r="B57" s="4" t="s">
        <v>320</v>
      </c>
      <c r="C57" s="4" t="s">
        <v>321</v>
      </c>
      <c r="D57" s="4" t="s">
        <v>974</v>
      </c>
      <c r="E57" s="5">
        <v>188000</v>
      </c>
      <c r="F57" s="6">
        <v>764.97199999999998</v>
      </c>
      <c r="G57" s="7">
        <v>4.2184869999999999E-3</v>
      </c>
      <c r="H57" s="49"/>
    </row>
    <row r="58" spans="1:8" ht="29.1" customHeight="1" x14ac:dyDescent="0.2">
      <c r="A58" s="3">
        <v>52</v>
      </c>
      <c r="B58" s="4" t="s">
        <v>484</v>
      </c>
      <c r="C58" s="4" t="s">
        <v>485</v>
      </c>
      <c r="D58" s="4" t="s">
        <v>215</v>
      </c>
      <c r="E58" s="5">
        <v>58000</v>
      </c>
      <c r="F58" s="6">
        <v>660.99699999999996</v>
      </c>
      <c r="G58" s="7">
        <v>3.64511E-3</v>
      </c>
      <c r="H58" s="49"/>
    </row>
    <row r="59" spans="1:8" ht="17.100000000000001" customHeight="1" x14ac:dyDescent="0.2">
      <c r="A59" s="3">
        <v>53</v>
      </c>
      <c r="B59" s="4" t="s">
        <v>125</v>
      </c>
      <c r="C59" s="4" t="s">
        <v>126</v>
      </c>
      <c r="D59" s="4"/>
      <c r="E59" s="5">
        <v>125775</v>
      </c>
      <c r="F59" s="6">
        <v>379.52606250000002</v>
      </c>
      <c r="G59" s="7">
        <v>2.0929210000000002E-3</v>
      </c>
      <c r="H59" s="49"/>
    </row>
    <row r="60" spans="1:8" ht="17.100000000000001" customHeight="1" x14ac:dyDescent="0.2">
      <c r="A60" s="3">
        <v>54</v>
      </c>
      <c r="B60" s="4" t="s">
        <v>241</v>
      </c>
      <c r="C60" s="4" t="s">
        <v>242</v>
      </c>
      <c r="D60" s="4" t="s">
        <v>108</v>
      </c>
      <c r="E60" s="5">
        <v>40000</v>
      </c>
      <c r="F60" s="6">
        <v>327.8</v>
      </c>
      <c r="G60" s="7">
        <v>1.807674E-3</v>
      </c>
      <c r="H60" s="49"/>
    </row>
    <row r="61" spans="1:8" ht="17.100000000000001" customHeight="1" x14ac:dyDescent="0.2">
      <c r="A61" s="3">
        <v>55</v>
      </c>
      <c r="B61" s="4" t="s">
        <v>541</v>
      </c>
      <c r="C61" s="4" t="s">
        <v>542</v>
      </c>
      <c r="D61" s="4" t="s">
        <v>188</v>
      </c>
      <c r="E61" s="5">
        <v>18112</v>
      </c>
      <c r="F61" s="6">
        <v>247.80838399999999</v>
      </c>
      <c r="G61" s="7">
        <v>1.366555E-3</v>
      </c>
      <c r="H61" s="49"/>
    </row>
    <row r="62" spans="1:8" ht="14.1" customHeight="1" x14ac:dyDescent="0.2">
      <c r="A62" s="1"/>
      <c r="B62" s="1"/>
      <c r="C62" s="2" t="s">
        <v>130</v>
      </c>
      <c r="D62" s="1"/>
      <c r="E62" s="1" t="s">
        <v>131</v>
      </c>
      <c r="F62" s="9">
        <v>179664.0437675</v>
      </c>
      <c r="G62" s="10">
        <v>0.99076886200000003</v>
      </c>
      <c r="H62" s="49"/>
    </row>
    <row r="63" spans="1:8" ht="14.1" customHeight="1" x14ac:dyDescent="0.2">
      <c r="A63" s="1"/>
      <c r="B63" s="1"/>
      <c r="C63" s="11"/>
      <c r="D63" s="1"/>
      <c r="E63" s="1"/>
      <c r="F63" s="12"/>
      <c r="G63" s="12"/>
      <c r="H63" s="49"/>
    </row>
    <row r="64" spans="1:8" ht="14.1" customHeight="1" x14ac:dyDescent="0.2">
      <c r="A64" s="1"/>
      <c r="B64" s="1"/>
      <c r="C64" s="2" t="s">
        <v>132</v>
      </c>
      <c r="D64" s="1"/>
      <c r="E64" s="1"/>
      <c r="F64" s="1"/>
      <c r="G64" s="1"/>
      <c r="H64" s="49"/>
    </row>
    <row r="65" spans="1:8" ht="14.1" customHeight="1" x14ac:dyDescent="0.2">
      <c r="A65" s="1"/>
      <c r="B65" s="1"/>
      <c r="C65" s="2" t="s">
        <v>130</v>
      </c>
      <c r="D65" s="1"/>
      <c r="E65" s="1" t="s">
        <v>131</v>
      </c>
      <c r="F65" s="13">
        <v>0</v>
      </c>
      <c r="G65" s="14">
        <v>0</v>
      </c>
      <c r="H65" s="49"/>
    </row>
    <row r="66" spans="1:8" ht="14.1" customHeight="1" x14ac:dyDescent="0.2">
      <c r="A66" s="1"/>
      <c r="B66" s="1"/>
      <c r="C66" s="11"/>
      <c r="D66" s="1"/>
      <c r="E66" s="1"/>
      <c r="F66" s="12"/>
      <c r="G66" s="12"/>
      <c r="H66" s="49"/>
    </row>
    <row r="67" spans="1:8" ht="14.1" customHeight="1" x14ac:dyDescent="0.2">
      <c r="A67" s="1"/>
      <c r="B67" s="1"/>
      <c r="C67" s="2" t="s">
        <v>133</v>
      </c>
      <c r="D67" s="1"/>
      <c r="E67" s="1"/>
      <c r="F67" s="1"/>
      <c r="G67" s="1"/>
      <c r="H67" s="49"/>
    </row>
    <row r="68" spans="1:8" ht="14.1" customHeight="1" x14ac:dyDescent="0.2">
      <c r="A68" s="1"/>
      <c r="B68" s="1"/>
      <c r="C68" s="2" t="s">
        <v>130</v>
      </c>
      <c r="D68" s="1"/>
      <c r="E68" s="1" t="s">
        <v>131</v>
      </c>
      <c r="F68" s="13">
        <v>0</v>
      </c>
      <c r="G68" s="14">
        <v>0</v>
      </c>
      <c r="H68" s="49"/>
    </row>
    <row r="69" spans="1:8" ht="14.1" customHeight="1" x14ac:dyDescent="0.2">
      <c r="A69" s="1"/>
      <c r="B69" s="1"/>
      <c r="C69" s="11"/>
      <c r="D69" s="1"/>
      <c r="E69" s="1"/>
      <c r="F69" s="12"/>
      <c r="G69" s="12"/>
      <c r="H69" s="49"/>
    </row>
    <row r="70" spans="1:8" ht="14.1" customHeight="1" x14ac:dyDescent="0.2">
      <c r="A70" s="1"/>
      <c r="B70" s="1"/>
      <c r="C70" s="2" t="s">
        <v>134</v>
      </c>
      <c r="D70" s="1"/>
      <c r="E70" s="1"/>
      <c r="F70" s="1"/>
      <c r="G70" s="1"/>
      <c r="H70" s="49"/>
    </row>
    <row r="71" spans="1:8" ht="14.1" customHeight="1" x14ac:dyDescent="0.2">
      <c r="A71" s="1"/>
      <c r="B71" s="1"/>
      <c r="C71" s="2" t="s">
        <v>130</v>
      </c>
      <c r="D71" s="1"/>
      <c r="E71" s="1" t="s">
        <v>131</v>
      </c>
      <c r="F71" s="13">
        <v>0</v>
      </c>
      <c r="G71" s="14">
        <v>0</v>
      </c>
      <c r="H71" s="49"/>
    </row>
    <row r="72" spans="1:8" ht="14.1" customHeight="1" x14ac:dyDescent="0.2">
      <c r="A72" s="1"/>
      <c r="B72" s="1"/>
      <c r="C72" s="11"/>
      <c r="D72" s="1"/>
      <c r="E72" s="1"/>
      <c r="F72" s="12"/>
      <c r="G72" s="12"/>
      <c r="H72" s="49"/>
    </row>
    <row r="73" spans="1:8" ht="14.1" customHeight="1" x14ac:dyDescent="0.2">
      <c r="A73" s="1"/>
      <c r="B73" s="1"/>
      <c r="C73" s="2" t="s">
        <v>135</v>
      </c>
      <c r="D73" s="1"/>
      <c r="E73" s="1"/>
      <c r="F73" s="12"/>
      <c r="G73" s="12"/>
      <c r="H73" s="49"/>
    </row>
    <row r="74" spans="1:8" ht="14.1" customHeight="1" x14ac:dyDescent="0.2">
      <c r="A74" s="1"/>
      <c r="B74" s="1"/>
      <c r="C74" s="2" t="s">
        <v>130</v>
      </c>
      <c r="D74" s="1"/>
      <c r="E74" s="1" t="s">
        <v>131</v>
      </c>
      <c r="F74" s="13">
        <v>0</v>
      </c>
      <c r="G74" s="14">
        <v>0</v>
      </c>
      <c r="H74" s="49"/>
    </row>
    <row r="75" spans="1:8" ht="14.1" customHeight="1" x14ac:dyDescent="0.2">
      <c r="A75" s="1"/>
      <c r="B75" s="1"/>
      <c r="C75" s="11"/>
      <c r="D75" s="1"/>
      <c r="E75" s="1"/>
      <c r="F75" s="12"/>
      <c r="G75" s="12"/>
      <c r="H75" s="49"/>
    </row>
    <row r="76" spans="1:8" ht="14.1" customHeight="1" x14ac:dyDescent="0.2">
      <c r="A76" s="1"/>
      <c r="B76" s="1"/>
      <c r="C76" s="2" t="s">
        <v>136</v>
      </c>
      <c r="D76" s="1"/>
      <c r="E76" s="1"/>
      <c r="F76" s="12"/>
      <c r="G76" s="12"/>
      <c r="H76" s="49"/>
    </row>
    <row r="77" spans="1:8" ht="14.1" customHeight="1" x14ac:dyDescent="0.2">
      <c r="A77" s="1"/>
      <c r="B77" s="1"/>
      <c r="C77" s="2" t="s">
        <v>130</v>
      </c>
      <c r="D77" s="1"/>
      <c r="E77" s="1" t="s">
        <v>131</v>
      </c>
      <c r="F77" s="13">
        <v>0</v>
      </c>
      <c r="G77" s="14">
        <v>0</v>
      </c>
      <c r="H77" s="49"/>
    </row>
    <row r="78" spans="1:8" ht="14.1" customHeight="1" x14ac:dyDescent="0.2">
      <c r="A78" s="1"/>
      <c r="B78" s="1"/>
      <c r="C78" s="11"/>
      <c r="D78" s="1"/>
      <c r="E78" s="1"/>
      <c r="F78" s="12"/>
      <c r="G78" s="12"/>
      <c r="H78" s="49"/>
    </row>
    <row r="79" spans="1:8" ht="18" customHeight="1" x14ac:dyDescent="0.2">
      <c r="A79" s="1"/>
      <c r="B79" s="1"/>
      <c r="C79" s="2" t="s">
        <v>137</v>
      </c>
      <c r="D79" s="1"/>
      <c r="E79" s="1"/>
      <c r="F79" s="9">
        <v>179664.0437675</v>
      </c>
      <c r="G79" s="10">
        <v>0.99076886200000003</v>
      </c>
      <c r="H79" s="49"/>
    </row>
    <row r="80" spans="1:8" ht="14.1" customHeight="1" x14ac:dyDescent="0.2">
      <c r="A80" s="1"/>
      <c r="B80" s="1"/>
      <c r="C80" s="11"/>
      <c r="D80" s="1"/>
      <c r="E80" s="1"/>
      <c r="F80" s="12"/>
      <c r="G80" s="12"/>
      <c r="H80" s="49"/>
    </row>
    <row r="81" spans="1:8" ht="14.1" customHeight="1" x14ac:dyDescent="0.2">
      <c r="A81" s="1"/>
      <c r="B81" s="1"/>
      <c r="C81" s="2" t="s">
        <v>138</v>
      </c>
      <c r="D81" s="1"/>
      <c r="E81" s="1"/>
      <c r="F81" s="12"/>
      <c r="G81" s="12"/>
      <c r="H81" s="49"/>
    </row>
    <row r="82" spans="1:8" ht="24" customHeight="1" x14ac:dyDescent="0.2">
      <c r="A82" s="1"/>
      <c r="B82" s="1"/>
      <c r="C82" s="2" t="s">
        <v>10</v>
      </c>
      <c r="D82" s="1"/>
      <c r="E82" s="1"/>
      <c r="F82" s="12"/>
      <c r="G82" s="12"/>
      <c r="H82" s="49"/>
    </row>
    <row r="83" spans="1:8" ht="14.1" customHeight="1" x14ac:dyDescent="0.2">
      <c r="A83" s="1"/>
      <c r="B83" s="1"/>
      <c r="C83" s="2" t="s">
        <v>130</v>
      </c>
      <c r="D83" s="1"/>
      <c r="E83" s="1" t="s">
        <v>131</v>
      </c>
      <c r="F83" s="13">
        <v>0</v>
      </c>
      <c r="G83" s="14">
        <v>0</v>
      </c>
      <c r="H83" s="49"/>
    </row>
    <row r="84" spans="1:8" ht="14.1" customHeight="1" x14ac:dyDescent="0.2">
      <c r="A84" s="1"/>
      <c r="B84" s="1"/>
      <c r="C84" s="11"/>
      <c r="D84" s="1"/>
      <c r="E84" s="1"/>
      <c r="F84" s="12"/>
      <c r="G84" s="12"/>
      <c r="H84" s="49"/>
    </row>
    <row r="85" spans="1:8" ht="14.1" customHeight="1" x14ac:dyDescent="0.2">
      <c r="A85" s="1"/>
      <c r="B85" s="1"/>
      <c r="C85" s="2" t="s">
        <v>139</v>
      </c>
      <c r="D85" s="1"/>
      <c r="E85" s="1"/>
      <c r="F85" s="1"/>
      <c r="G85" s="1"/>
      <c r="H85" s="49"/>
    </row>
    <row r="86" spans="1:8" ht="14.1" customHeight="1" x14ac:dyDescent="0.2">
      <c r="A86" s="1"/>
      <c r="B86" s="1"/>
      <c r="C86" s="2" t="s">
        <v>130</v>
      </c>
      <c r="D86" s="1"/>
      <c r="E86" s="1" t="s">
        <v>131</v>
      </c>
      <c r="F86" s="13">
        <v>0</v>
      </c>
      <c r="G86" s="14">
        <v>0</v>
      </c>
      <c r="H86" s="49"/>
    </row>
    <row r="87" spans="1:8" ht="14.1" customHeight="1" x14ac:dyDescent="0.2">
      <c r="A87" s="1"/>
      <c r="B87" s="1"/>
      <c r="C87" s="11"/>
      <c r="D87" s="1"/>
      <c r="E87" s="1"/>
      <c r="F87" s="12"/>
      <c r="G87" s="12"/>
      <c r="H87" s="49"/>
    </row>
    <row r="88" spans="1:8" ht="14.1" customHeight="1" x14ac:dyDescent="0.2">
      <c r="A88" s="1"/>
      <c r="B88" s="1"/>
      <c r="C88" s="2" t="s">
        <v>140</v>
      </c>
      <c r="D88" s="1"/>
      <c r="E88" s="1"/>
      <c r="F88" s="1"/>
      <c r="G88" s="1"/>
      <c r="H88" s="49"/>
    </row>
    <row r="89" spans="1:8" ht="14.1" customHeight="1" x14ac:dyDescent="0.2">
      <c r="A89" s="1"/>
      <c r="B89" s="1"/>
      <c r="C89" s="2" t="s">
        <v>130</v>
      </c>
      <c r="D89" s="1"/>
      <c r="E89" s="1" t="s">
        <v>131</v>
      </c>
      <c r="F89" s="13">
        <v>0</v>
      </c>
      <c r="G89" s="14">
        <v>0</v>
      </c>
      <c r="H89" s="49"/>
    </row>
    <row r="90" spans="1:8" ht="14.1" customHeight="1" x14ac:dyDescent="0.2">
      <c r="A90" s="1"/>
      <c r="B90" s="1"/>
      <c r="C90" s="11"/>
      <c r="D90" s="1"/>
      <c r="E90" s="1"/>
      <c r="F90" s="12"/>
      <c r="G90" s="12"/>
      <c r="H90" s="49"/>
    </row>
    <row r="91" spans="1:8" ht="14.1" customHeight="1" x14ac:dyDescent="0.2">
      <c r="A91" s="1"/>
      <c r="B91" s="1"/>
      <c r="C91" s="2" t="s">
        <v>141</v>
      </c>
      <c r="D91" s="1"/>
      <c r="E91" s="1"/>
      <c r="F91" s="12"/>
      <c r="G91" s="12"/>
      <c r="H91" s="49"/>
    </row>
    <row r="92" spans="1:8" ht="14.1" customHeight="1" x14ac:dyDescent="0.2">
      <c r="A92" s="1"/>
      <c r="B92" s="1"/>
      <c r="C92" s="2" t="s">
        <v>130</v>
      </c>
      <c r="D92" s="1"/>
      <c r="E92" s="1" t="s">
        <v>131</v>
      </c>
      <c r="F92" s="13">
        <v>0</v>
      </c>
      <c r="G92" s="14">
        <v>0</v>
      </c>
      <c r="H92" s="49"/>
    </row>
    <row r="93" spans="1:8" ht="14.1" customHeight="1" x14ac:dyDescent="0.2">
      <c r="A93" s="1"/>
      <c r="B93" s="1"/>
      <c r="C93" s="11"/>
      <c r="D93" s="1"/>
      <c r="E93" s="1"/>
      <c r="F93" s="12"/>
      <c r="G93" s="12"/>
      <c r="H93" s="49"/>
    </row>
    <row r="94" spans="1:8" ht="14.1" customHeight="1" x14ac:dyDescent="0.2">
      <c r="A94" s="1"/>
      <c r="B94" s="1"/>
      <c r="C94" s="2" t="s">
        <v>142</v>
      </c>
      <c r="D94" s="1"/>
      <c r="E94" s="1"/>
      <c r="F94" s="9">
        <v>0</v>
      </c>
      <c r="G94" s="10">
        <v>0</v>
      </c>
      <c r="H94" s="49"/>
    </row>
    <row r="95" spans="1:8" ht="14.1" customHeight="1" x14ac:dyDescent="0.2">
      <c r="A95" s="1"/>
      <c r="B95" s="1"/>
      <c r="C95" s="11"/>
      <c r="D95" s="1"/>
      <c r="E95" s="1"/>
      <c r="F95" s="12"/>
      <c r="G95" s="12"/>
      <c r="H95" s="49"/>
    </row>
    <row r="96" spans="1:8" ht="14.1" customHeight="1" x14ac:dyDescent="0.2">
      <c r="A96" s="1"/>
      <c r="B96" s="1"/>
      <c r="C96" s="2" t="s">
        <v>143</v>
      </c>
      <c r="D96" s="1"/>
      <c r="E96" s="1"/>
      <c r="F96" s="12"/>
      <c r="G96" s="12"/>
      <c r="H96" s="49"/>
    </row>
    <row r="97" spans="1:8" ht="14.1" customHeight="1" x14ac:dyDescent="0.2">
      <c r="A97" s="1"/>
      <c r="B97" s="1"/>
      <c r="C97" s="2" t="s">
        <v>144</v>
      </c>
      <c r="D97" s="1"/>
      <c r="E97" s="1"/>
      <c r="F97" s="12"/>
      <c r="G97" s="12"/>
      <c r="H97" s="49"/>
    </row>
    <row r="98" spans="1:8" ht="14.1" customHeight="1" x14ac:dyDescent="0.2">
      <c r="A98" s="1"/>
      <c r="B98" s="1"/>
      <c r="C98" s="2" t="s">
        <v>130</v>
      </c>
      <c r="D98" s="1"/>
      <c r="E98" s="1" t="s">
        <v>131</v>
      </c>
      <c r="F98" s="13">
        <v>0</v>
      </c>
      <c r="G98" s="14">
        <v>0</v>
      </c>
      <c r="H98" s="49"/>
    </row>
    <row r="99" spans="1:8" ht="14.1" customHeight="1" x14ac:dyDescent="0.2">
      <c r="A99" s="1"/>
      <c r="B99" s="1"/>
      <c r="C99" s="11"/>
      <c r="D99" s="1"/>
      <c r="E99" s="1"/>
      <c r="F99" s="12"/>
      <c r="G99" s="12"/>
      <c r="H99" s="49"/>
    </row>
    <row r="100" spans="1:8" ht="14.1" customHeight="1" x14ac:dyDescent="0.2">
      <c r="A100" s="1"/>
      <c r="B100" s="1"/>
      <c r="C100" s="2" t="s">
        <v>145</v>
      </c>
      <c r="D100" s="1"/>
      <c r="E100" s="1"/>
      <c r="F100" s="12"/>
      <c r="G100" s="12"/>
      <c r="H100" s="49"/>
    </row>
    <row r="101" spans="1:8" ht="14.1" customHeight="1" x14ac:dyDescent="0.2">
      <c r="A101" s="1"/>
      <c r="B101" s="1"/>
      <c r="C101" s="2" t="s">
        <v>130</v>
      </c>
      <c r="D101" s="1"/>
      <c r="E101" s="1" t="s">
        <v>131</v>
      </c>
      <c r="F101" s="13">
        <v>0</v>
      </c>
      <c r="G101" s="14">
        <v>0</v>
      </c>
      <c r="H101" s="49"/>
    </row>
    <row r="102" spans="1:8" ht="14.1" customHeight="1" x14ac:dyDescent="0.2">
      <c r="A102" s="1"/>
      <c r="B102" s="1"/>
      <c r="C102" s="11"/>
      <c r="D102" s="1"/>
      <c r="E102" s="1"/>
      <c r="F102" s="12"/>
      <c r="G102" s="12"/>
      <c r="H102" s="49"/>
    </row>
    <row r="103" spans="1:8" ht="14.1" customHeight="1" x14ac:dyDescent="0.2">
      <c r="A103" s="1"/>
      <c r="B103" s="1"/>
      <c r="C103" s="2" t="s">
        <v>146</v>
      </c>
      <c r="D103" s="1"/>
      <c r="E103" s="1"/>
      <c r="F103" s="12"/>
      <c r="G103" s="12"/>
      <c r="H103" s="49"/>
    </row>
    <row r="104" spans="1:8" ht="14.1" customHeight="1" x14ac:dyDescent="0.2">
      <c r="A104" s="1"/>
      <c r="B104" s="1"/>
      <c r="C104" s="2" t="s">
        <v>130</v>
      </c>
      <c r="D104" s="1"/>
      <c r="E104" s="1" t="s">
        <v>131</v>
      </c>
      <c r="F104" s="13">
        <v>0</v>
      </c>
      <c r="G104" s="14">
        <v>0</v>
      </c>
      <c r="H104" s="49"/>
    </row>
    <row r="105" spans="1:8" ht="14.1" customHeight="1" x14ac:dyDescent="0.2">
      <c r="A105" s="1"/>
      <c r="B105" s="1"/>
      <c r="C105" s="11"/>
      <c r="D105" s="1"/>
      <c r="E105" s="1"/>
      <c r="F105" s="12"/>
      <c r="G105" s="12"/>
      <c r="H105" s="49"/>
    </row>
    <row r="106" spans="1:8" ht="14.1" customHeight="1" x14ac:dyDescent="0.2">
      <c r="A106" s="1"/>
      <c r="B106" s="1"/>
      <c r="C106" s="2" t="s">
        <v>147</v>
      </c>
      <c r="D106" s="1"/>
      <c r="E106" s="1"/>
      <c r="F106" s="12"/>
      <c r="G106" s="12"/>
      <c r="H106" s="49"/>
    </row>
    <row r="107" spans="1:8" ht="17.100000000000001" customHeight="1" x14ac:dyDescent="0.2">
      <c r="A107" s="3">
        <v>1</v>
      </c>
      <c r="B107" s="4"/>
      <c r="C107" s="4" t="s">
        <v>148</v>
      </c>
      <c r="D107" s="4"/>
      <c r="E107" s="8"/>
      <c r="F107" s="6">
        <v>2401.4173980999999</v>
      </c>
      <c r="G107" s="7">
        <v>1.3242769999999999E-2</v>
      </c>
      <c r="H107" s="49">
        <v>5.6572293145372496</v>
      </c>
    </row>
    <row r="108" spans="1:8" ht="14.1" customHeight="1" x14ac:dyDescent="0.2">
      <c r="A108" s="1"/>
      <c r="B108" s="1"/>
      <c r="C108" s="2" t="s">
        <v>130</v>
      </c>
      <c r="D108" s="1"/>
      <c r="E108" s="1" t="s">
        <v>131</v>
      </c>
      <c r="F108" s="9">
        <v>2401.4173980999999</v>
      </c>
      <c r="G108" s="10">
        <v>1.3242769999999999E-2</v>
      </c>
      <c r="H108" s="49"/>
    </row>
    <row r="109" spans="1:8" ht="14.1" customHeight="1" x14ac:dyDescent="0.2">
      <c r="A109" s="1"/>
      <c r="B109" s="1"/>
      <c r="C109" s="11"/>
      <c r="D109" s="1"/>
      <c r="E109" s="1"/>
      <c r="F109" s="12"/>
      <c r="G109" s="12"/>
      <c r="H109" s="49"/>
    </row>
    <row r="110" spans="1:8" ht="14.1" customHeight="1" x14ac:dyDescent="0.2">
      <c r="A110" s="1"/>
      <c r="B110" s="1"/>
      <c r="C110" s="2" t="s">
        <v>149</v>
      </c>
      <c r="D110" s="1"/>
      <c r="E110" s="1"/>
      <c r="F110" s="9">
        <v>2401.4173980999999</v>
      </c>
      <c r="G110" s="10">
        <v>1.3242769999999999E-2</v>
      </c>
      <c r="H110" s="49"/>
    </row>
    <row r="111" spans="1:8" ht="14.1" customHeight="1" x14ac:dyDescent="0.2">
      <c r="A111" s="1"/>
      <c r="B111" s="1"/>
      <c r="C111" s="12"/>
      <c r="D111" s="1"/>
      <c r="E111" s="1"/>
      <c r="F111" s="1"/>
      <c r="G111" s="1"/>
      <c r="H111" s="49"/>
    </row>
    <row r="112" spans="1:8" ht="14.1" customHeight="1" x14ac:dyDescent="0.2">
      <c r="A112" s="1"/>
      <c r="B112" s="1"/>
      <c r="C112" s="2" t="s">
        <v>150</v>
      </c>
      <c r="D112" s="1"/>
      <c r="E112" s="1"/>
      <c r="F112" s="1"/>
      <c r="G112" s="1"/>
      <c r="H112" s="49"/>
    </row>
    <row r="113" spans="1:8" ht="14.1" customHeight="1" x14ac:dyDescent="0.2">
      <c r="A113" s="1"/>
      <c r="B113" s="1"/>
      <c r="C113" s="2" t="s">
        <v>151</v>
      </c>
      <c r="D113" s="1"/>
      <c r="E113" s="1"/>
      <c r="F113" s="1"/>
      <c r="G113" s="1"/>
      <c r="H113" s="49"/>
    </row>
    <row r="114" spans="1:8" ht="14.1" customHeight="1" x14ac:dyDescent="0.2">
      <c r="A114" s="1"/>
      <c r="B114" s="1"/>
      <c r="C114" s="2" t="s">
        <v>130</v>
      </c>
      <c r="D114" s="1"/>
      <c r="E114" s="1" t="s">
        <v>131</v>
      </c>
      <c r="F114" s="13">
        <v>0</v>
      </c>
      <c r="G114" s="14">
        <v>0</v>
      </c>
      <c r="H114" s="49"/>
    </row>
    <row r="115" spans="1:8" ht="14.1" customHeight="1" x14ac:dyDescent="0.2">
      <c r="A115" s="1"/>
      <c r="B115" s="1"/>
      <c r="C115" s="11"/>
      <c r="D115" s="1"/>
      <c r="E115" s="1"/>
      <c r="F115" s="12"/>
      <c r="G115" s="12"/>
      <c r="H115" s="49"/>
    </row>
    <row r="116" spans="1:8" ht="14.1" customHeight="1" x14ac:dyDescent="0.2">
      <c r="A116" s="1"/>
      <c r="B116" s="1"/>
      <c r="C116" s="2" t="s">
        <v>152</v>
      </c>
      <c r="D116" s="1"/>
      <c r="E116" s="1"/>
      <c r="F116" s="1"/>
      <c r="G116" s="1"/>
      <c r="H116" s="49"/>
    </row>
    <row r="117" spans="1:8" ht="14.1" customHeight="1" x14ac:dyDescent="0.2">
      <c r="A117" s="1"/>
      <c r="B117" s="1"/>
      <c r="C117" s="2" t="s">
        <v>153</v>
      </c>
      <c r="D117" s="1"/>
      <c r="E117" s="1"/>
      <c r="F117" s="1"/>
      <c r="G117" s="1"/>
      <c r="H117" s="49"/>
    </row>
    <row r="118" spans="1:8" ht="14.1" customHeight="1" x14ac:dyDescent="0.2">
      <c r="A118" s="1"/>
      <c r="B118" s="1"/>
      <c r="C118" s="2" t="s">
        <v>130</v>
      </c>
      <c r="D118" s="1"/>
      <c r="E118" s="1" t="s">
        <v>131</v>
      </c>
      <c r="F118" s="13">
        <v>0</v>
      </c>
      <c r="G118" s="14">
        <v>0</v>
      </c>
      <c r="H118" s="49"/>
    </row>
    <row r="119" spans="1:8" ht="14.1" customHeight="1" x14ac:dyDescent="0.2">
      <c r="A119" s="1"/>
      <c r="B119" s="1"/>
      <c r="C119" s="11"/>
      <c r="D119" s="1"/>
      <c r="E119" s="1"/>
      <c r="F119" s="12"/>
      <c r="G119" s="12"/>
      <c r="H119" s="49"/>
    </row>
    <row r="120" spans="1:8" ht="14.1" customHeight="1" x14ac:dyDescent="0.2">
      <c r="A120" s="1"/>
      <c r="B120" s="1"/>
      <c r="C120" s="11"/>
      <c r="D120" s="1"/>
      <c r="E120" s="1"/>
      <c r="F120" s="12"/>
      <c r="G120" s="12"/>
      <c r="H120" s="49"/>
    </row>
    <row r="121" spans="1:8" ht="24" customHeight="1" x14ac:dyDescent="0.2">
      <c r="A121" s="1"/>
      <c r="B121" s="1"/>
      <c r="C121" s="2" t="s">
        <v>154</v>
      </c>
      <c r="D121" s="1"/>
      <c r="E121" s="1"/>
      <c r="F121" s="12"/>
      <c r="G121" s="12"/>
      <c r="H121" s="49"/>
    </row>
    <row r="122" spans="1:8" ht="14.1" customHeight="1" x14ac:dyDescent="0.2">
      <c r="A122" s="1"/>
      <c r="B122" s="1"/>
      <c r="C122" s="2" t="s">
        <v>130</v>
      </c>
      <c r="D122" s="1"/>
      <c r="E122" s="1" t="s">
        <v>131</v>
      </c>
      <c r="F122" s="13">
        <v>0</v>
      </c>
      <c r="G122" s="14">
        <v>0</v>
      </c>
      <c r="H122" s="49"/>
    </row>
    <row r="123" spans="1:8" ht="14.1" customHeight="1" x14ac:dyDescent="0.2">
      <c r="A123" s="1"/>
      <c r="B123" s="1"/>
      <c r="C123" s="11"/>
      <c r="D123" s="1"/>
      <c r="E123" s="1"/>
      <c r="F123" s="12"/>
      <c r="G123" s="12"/>
      <c r="H123" s="49"/>
    </row>
    <row r="124" spans="1:8" ht="14.1" customHeight="1" x14ac:dyDescent="0.2">
      <c r="A124" s="1"/>
      <c r="B124" s="4"/>
      <c r="C124" s="4"/>
      <c r="D124" s="2"/>
      <c r="E124" s="1"/>
      <c r="F124" s="4"/>
      <c r="G124" s="8"/>
      <c r="H124" s="49"/>
    </row>
    <row r="125" spans="1:8" ht="18" customHeight="1" x14ac:dyDescent="0.2">
      <c r="A125" s="8"/>
      <c r="B125" s="4"/>
      <c r="C125" s="4" t="s">
        <v>155</v>
      </c>
      <c r="D125" s="4"/>
      <c r="E125" s="8"/>
      <c r="F125" s="6">
        <v>-727.46139805999996</v>
      </c>
      <c r="G125" s="7">
        <v>-4.0116320000000002E-3</v>
      </c>
      <c r="H125" s="49"/>
    </row>
    <row r="126" spans="1:8" ht="14.1" customHeight="1" x14ac:dyDescent="0.2">
      <c r="A126" s="11"/>
      <c r="B126" s="11"/>
      <c r="C126" s="2" t="s">
        <v>156</v>
      </c>
      <c r="D126" s="15"/>
      <c r="E126" s="15"/>
      <c r="F126" s="9">
        <v>181337.99976753999</v>
      </c>
      <c r="G126" s="10">
        <v>1</v>
      </c>
      <c r="H126" s="49"/>
    </row>
    <row r="127" spans="1:8" ht="14.1" customHeight="1" x14ac:dyDescent="0.2">
      <c r="A127" s="16"/>
      <c r="B127" s="16"/>
      <c r="C127" s="16"/>
      <c r="D127" s="17"/>
      <c r="E127" s="17"/>
      <c r="F127" s="17"/>
      <c r="G127" s="17"/>
    </row>
    <row r="128" spans="1:8" ht="14.1" customHeight="1" x14ac:dyDescent="0.2">
      <c r="A128" s="18"/>
      <c r="B128" s="18"/>
      <c r="C128" s="18"/>
      <c r="D128" s="20"/>
      <c r="E128" s="20"/>
      <c r="F128" s="20"/>
      <c r="G128" s="20"/>
    </row>
    <row r="129" spans="1:7" ht="14.1" customHeight="1" x14ac:dyDescent="0.2">
      <c r="A129" s="18"/>
      <c r="B129" s="319" t="s">
        <v>158</v>
      </c>
      <c r="C129" s="320"/>
      <c r="D129" s="12" t="s">
        <v>131</v>
      </c>
      <c r="E129" s="21"/>
      <c r="F129" s="20"/>
      <c r="G129" s="20"/>
    </row>
    <row r="130" spans="1:7" ht="29.1" customHeight="1" x14ac:dyDescent="0.2">
      <c r="A130" s="18"/>
      <c r="B130" s="323" t="s">
        <v>159</v>
      </c>
      <c r="C130" s="324"/>
      <c r="D130" s="2" t="s">
        <v>160</v>
      </c>
      <c r="E130" s="21"/>
      <c r="F130" s="20"/>
      <c r="G130" s="20"/>
    </row>
    <row r="131" spans="1:7" ht="17.100000000000001" customHeight="1" x14ac:dyDescent="0.2">
      <c r="A131" s="18"/>
      <c r="B131" s="323" t="s">
        <v>161</v>
      </c>
      <c r="C131" s="324"/>
      <c r="D131" s="2" t="s">
        <v>160</v>
      </c>
      <c r="E131" s="21"/>
      <c r="F131" s="20"/>
      <c r="G131" s="20"/>
    </row>
    <row r="132" spans="1:7" ht="17.100000000000001" customHeight="1" x14ac:dyDescent="0.2">
      <c r="A132" s="18"/>
      <c r="B132" s="323" t="s">
        <v>162</v>
      </c>
      <c r="C132" s="324"/>
      <c r="D132" s="12" t="s">
        <v>131</v>
      </c>
      <c r="E132" s="21"/>
      <c r="F132" s="20"/>
      <c r="G132" s="20"/>
    </row>
    <row r="133" spans="1:7" ht="24" customHeight="1" x14ac:dyDescent="0.2">
      <c r="A133" s="22"/>
      <c r="B133" s="23" t="s">
        <v>131</v>
      </c>
      <c r="C133" s="23" t="s">
        <v>163</v>
      </c>
      <c r="D133" s="23" t="s">
        <v>164</v>
      </c>
      <c r="E133" s="22"/>
      <c r="F133" s="22"/>
      <c r="G133" s="22"/>
    </row>
    <row r="134" spans="1:7" ht="18" customHeight="1" x14ac:dyDescent="0.2">
      <c r="A134" s="22"/>
      <c r="B134" s="23" t="s">
        <v>165</v>
      </c>
      <c r="C134" s="23" t="s">
        <v>166</v>
      </c>
      <c r="D134" s="23" t="s">
        <v>167</v>
      </c>
      <c r="E134" s="22"/>
      <c r="F134" s="22"/>
      <c r="G134" s="22"/>
    </row>
    <row r="135" spans="1:7" ht="17.100000000000001" customHeight="1" x14ac:dyDescent="0.2">
      <c r="A135" s="22"/>
      <c r="B135" s="4" t="s">
        <v>168</v>
      </c>
      <c r="C135" s="24">
        <v>163.31739999999999</v>
      </c>
      <c r="D135" s="24">
        <v>166.04320000000001</v>
      </c>
      <c r="E135" s="22"/>
      <c r="F135" s="19"/>
      <c r="G135" s="25"/>
    </row>
    <row r="136" spans="1:7" ht="17.100000000000001" customHeight="1" x14ac:dyDescent="0.2">
      <c r="A136" s="22"/>
      <c r="B136" s="4" t="s">
        <v>1021</v>
      </c>
      <c r="C136" s="24">
        <v>16.2089</v>
      </c>
      <c r="D136" s="24">
        <v>16.479500000000002</v>
      </c>
      <c r="E136" s="22"/>
      <c r="F136" s="19"/>
      <c r="G136" s="25"/>
    </row>
    <row r="137" spans="1:7" ht="17.100000000000001" customHeight="1" x14ac:dyDescent="0.2">
      <c r="A137" s="22"/>
      <c r="B137" s="4" t="s">
        <v>169</v>
      </c>
      <c r="C137" s="24">
        <v>156.48750000000001</v>
      </c>
      <c r="D137" s="24">
        <v>159.01689999999999</v>
      </c>
      <c r="E137" s="22"/>
      <c r="F137" s="19"/>
      <c r="G137" s="25"/>
    </row>
    <row r="138" spans="1:7" ht="17.100000000000001" customHeight="1" x14ac:dyDescent="0.2">
      <c r="A138" s="22"/>
      <c r="B138" s="4" t="s">
        <v>1022</v>
      </c>
      <c r="C138" s="24">
        <v>13.5413</v>
      </c>
      <c r="D138" s="24">
        <v>13.7601</v>
      </c>
      <c r="E138" s="22"/>
      <c r="F138" s="19"/>
      <c r="G138" s="25"/>
    </row>
    <row r="139" spans="1:7" ht="14.1" customHeight="1" x14ac:dyDescent="0.2">
      <c r="A139" s="22"/>
      <c r="B139" s="22"/>
      <c r="C139" s="22"/>
      <c r="D139" s="22"/>
      <c r="E139" s="22"/>
      <c r="F139" s="22"/>
      <c r="G139" s="22"/>
    </row>
    <row r="140" spans="1:7" ht="17.100000000000001" customHeight="1" x14ac:dyDescent="0.2">
      <c r="A140" s="22"/>
      <c r="B140" s="323" t="s">
        <v>1023</v>
      </c>
      <c r="C140" s="324"/>
      <c r="D140" s="2" t="s">
        <v>160</v>
      </c>
      <c r="E140" s="22"/>
      <c r="F140" s="22"/>
      <c r="G140" s="22"/>
    </row>
    <row r="141" spans="1:7" ht="18" customHeight="1" x14ac:dyDescent="0.2">
      <c r="A141" s="22"/>
      <c r="B141" s="28"/>
      <c r="C141" s="28"/>
      <c r="D141" s="26"/>
      <c r="E141" s="22"/>
      <c r="F141" s="22"/>
      <c r="G141" s="22"/>
    </row>
    <row r="142" spans="1:7" ht="29.1" customHeight="1" x14ac:dyDescent="0.2">
      <c r="A142" s="22"/>
      <c r="B142" s="323" t="s">
        <v>170</v>
      </c>
      <c r="C142" s="324"/>
      <c r="D142" s="2" t="s">
        <v>160</v>
      </c>
      <c r="E142" s="22"/>
      <c r="F142" s="22"/>
      <c r="G142" s="22"/>
    </row>
    <row r="143" spans="1:7" ht="29.1" customHeight="1" x14ac:dyDescent="0.2">
      <c r="A143" s="22"/>
      <c r="B143" s="323" t="s">
        <v>171</v>
      </c>
      <c r="C143" s="324"/>
      <c r="D143" s="2" t="s">
        <v>160</v>
      </c>
      <c r="E143" s="22"/>
      <c r="F143" s="22"/>
      <c r="G143" s="22"/>
    </row>
    <row r="144" spans="1:7" ht="17.100000000000001" customHeight="1" x14ac:dyDescent="0.2">
      <c r="A144" s="22"/>
      <c r="B144" s="323" t="s">
        <v>172</v>
      </c>
      <c r="C144" s="324"/>
      <c r="D144" s="27">
        <v>0.34662737676198074</v>
      </c>
      <c r="E144" s="22"/>
      <c r="F144" s="19"/>
      <c r="G144" s="25"/>
    </row>
    <row r="145" spans="1:7" ht="17.100000000000001" customHeight="1" x14ac:dyDescent="0.2">
      <c r="A145" s="22"/>
      <c r="B145" s="323" t="s">
        <v>173</v>
      </c>
      <c r="C145" s="324"/>
      <c r="D145" s="2" t="s">
        <v>160</v>
      </c>
      <c r="E145" s="22"/>
      <c r="F145" s="22"/>
      <c r="G145" s="22"/>
    </row>
  </sheetData>
  <mergeCells count="13">
    <mergeCell ref="J2:N2"/>
    <mergeCell ref="B145:C145"/>
    <mergeCell ref="B130:C130"/>
    <mergeCell ref="B131:C131"/>
    <mergeCell ref="B132:C132"/>
    <mergeCell ref="B140:C140"/>
    <mergeCell ref="B142:C142"/>
    <mergeCell ref="B143:C143"/>
    <mergeCell ref="A1:H1"/>
    <mergeCell ref="A2:H2"/>
    <mergeCell ref="A3:H3"/>
    <mergeCell ref="B129:C129"/>
    <mergeCell ref="B144:C144"/>
  </mergeCells>
  <hyperlinks>
    <hyperlink ref="I1" location="Index!B34" display="Index" xr:uid="{E0DDBB40-7154-4421-867E-0B1DF240F0F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O14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1041</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14</v>
      </c>
      <c r="C7" s="4" t="s">
        <v>15</v>
      </c>
      <c r="D7" s="4" t="s">
        <v>16</v>
      </c>
      <c r="E7" s="5">
        <v>2934000</v>
      </c>
      <c r="F7" s="6">
        <v>27958.085999999999</v>
      </c>
      <c r="G7" s="7">
        <v>8.8134894000000005E-2</v>
      </c>
      <c r="H7" s="49"/>
    </row>
    <row r="8" spans="1:15" ht="17.100000000000001" customHeight="1" x14ac:dyDescent="0.2">
      <c r="A8" s="3">
        <v>2</v>
      </c>
      <c r="B8" s="4" t="s">
        <v>263</v>
      </c>
      <c r="C8" s="4" t="s">
        <v>264</v>
      </c>
      <c r="D8" s="4" t="s">
        <v>16</v>
      </c>
      <c r="E8" s="5">
        <v>1626000</v>
      </c>
      <c r="F8" s="6">
        <v>26153.397000000001</v>
      </c>
      <c r="G8" s="7">
        <v>8.2445803999999998E-2</v>
      </c>
      <c r="H8" s="49"/>
    </row>
    <row r="9" spans="1:15" ht="17.100000000000001" customHeight="1" x14ac:dyDescent="0.2">
      <c r="A9" s="3">
        <v>3</v>
      </c>
      <c r="B9" s="4" t="s">
        <v>20</v>
      </c>
      <c r="C9" s="4" t="s">
        <v>21</v>
      </c>
      <c r="D9" s="4" t="s">
        <v>22</v>
      </c>
      <c r="E9" s="5">
        <v>908000</v>
      </c>
      <c r="F9" s="6">
        <v>24800.657999999999</v>
      </c>
      <c r="G9" s="7">
        <v>7.8181438000000006E-2</v>
      </c>
      <c r="H9" s="49"/>
    </row>
    <row r="10" spans="1:15" ht="29.1" customHeight="1" x14ac:dyDescent="0.2">
      <c r="A10" s="3">
        <v>4</v>
      </c>
      <c r="B10" s="4" t="s">
        <v>296</v>
      </c>
      <c r="C10" s="4" t="s">
        <v>297</v>
      </c>
      <c r="D10" s="4" t="s">
        <v>103</v>
      </c>
      <c r="E10" s="5">
        <v>778000</v>
      </c>
      <c r="F10" s="6">
        <v>20948.039000000001</v>
      </c>
      <c r="G10" s="7">
        <v>6.6036466000000002E-2</v>
      </c>
      <c r="H10" s="49"/>
    </row>
    <row r="11" spans="1:15" ht="17.100000000000001" customHeight="1" x14ac:dyDescent="0.2">
      <c r="A11" s="3">
        <v>5</v>
      </c>
      <c r="B11" s="4" t="s">
        <v>294</v>
      </c>
      <c r="C11" s="4" t="s">
        <v>295</v>
      </c>
      <c r="D11" s="4" t="s">
        <v>974</v>
      </c>
      <c r="E11" s="5">
        <v>1266000</v>
      </c>
      <c r="F11" s="6">
        <v>20698.467000000001</v>
      </c>
      <c r="G11" s="7">
        <v>6.5249716999999999E-2</v>
      </c>
      <c r="H11" s="49"/>
    </row>
    <row r="12" spans="1:15" ht="17.100000000000001" customHeight="1" x14ac:dyDescent="0.2">
      <c r="A12" s="3">
        <v>6</v>
      </c>
      <c r="B12" s="4" t="s">
        <v>11</v>
      </c>
      <c r="C12" s="4" t="s">
        <v>12</v>
      </c>
      <c r="D12" s="4" t="s">
        <v>13</v>
      </c>
      <c r="E12" s="5">
        <v>722000</v>
      </c>
      <c r="F12" s="6">
        <v>14980.416999999999</v>
      </c>
      <c r="G12" s="7">
        <v>4.7224172000000002E-2</v>
      </c>
      <c r="H12" s="49"/>
    </row>
    <row r="13" spans="1:15" ht="17.100000000000001" customHeight="1" x14ac:dyDescent="0.2">
      <c r="A13" s="3">
        <v>7</v>
      </c>
      <c r="B13" s="4" t="s">
        <v>39</v>
      </c>
      <c r="C13" s="4" t="s">
        <v>40</v>
      </c>
      <c r="D13" s="4" t="s">
        <v>16</v>
      </c>
      <c r="E13" s="5">
        <v>2404000</v>
      </c>
      <c r="F13" s="6">
        <v>14482.897999999999</v>
      </c>
      <c r="G13" s="7">
        <v>4.5655795999999998E-2</v>
      </c>
      <c r="H13" s="49"/>
    </row>
    <row r="14" spans="1:15" ht="29.1" customHeight="1" x14ac:dyDescent="0.2">
      <c r="A14" s="3">
        <v>8</v>
      </c>
      <c r="B14" s="4" t="s">
        <v>304</v>
      </c>
      <c r="C14" s="4" t="s">
        <v>305</v>
      </c>
      <c r="D14" s="4" t="s">
        <v>215</v>
      </c>
      <c r="E14" s="5">
        <v>1268000</v>
      </c>
      <c r="F14" s="6">
        <v>13263.914000000001</v>
      </c>
      <c r="G14" s="7">
        <v>4.1813079000000003E-2</v>
      </c>
      <c r="H14" s="49"/>
    </row>
    <row r="15" spans="1:15" ht="17.100000000000001" customHeight="1" x14ac:dyDescent="0.2">
      <c r="A15" s="3">
        <v>9</v>
      </c>
      <c r="B15" s="4" t="s">
        <v>180</v>
      </c>
      <c r="C15" s="4" t="s">
        <v>181</v>
      </c>
      <c r="D15" s="4" t="s">
        <v>16</v>
      </c>
      <c r="E15" s="5">
        <v>1424828</v>
      </c>
      <c r="F15" s="6">
        <v>12841.262350000001</v>
      </c>
      <c r="G15" s="7">
        <v>4.0480715E-2</v>
      </c>
      <c r="H15" s="49"/>
      <c r="J15" s="217" t="s">
        <v>1098</v>
      </c>
    </row>
    <row r="16" spans="1:15" ht="17.100000000000001" customHeight="1" x14ac:dyDescent="0.2">
      <c r="A16" s="3">
        <v>10</v>
      </c>
      <c r="B16" s="4" t="s">
        <v>17</v>
      </c>
      <c r="C16" s="4" t="s">
        <v>18</v>
      </c>
      <c r="D16" s="4" t="s">
        <v>19</v>
      </c>
      <c r="E16" s="5">
        <v>1316000</v>
      </c>
      <c r="F16" s="6">
        <v>11169.55</v>
      </c>
      <c r="G16" s="7">
        <v>3.5210818999999997E-2</v>
      </c>
      <c r="H16" s="49"/>
    </row>
    <row r="17" spans="1:10" ht="17.100000000000001" customHeight="1" x14ac:dyDescent="0.2">
      <c r="A17" s="3">
        <v>11</v>
      </c>
      <c r="B17" s="4" t="s">
        <v>302</v>
      </c>
      <c r="C17" s="4" t="s">
        <v>303</v>
      </c>
      <c r="D17" s="4" t="s">
        <v>974</v>
      </c>
      <c r="E17" s="5">
        <v>252000</v>
      </c>
      <c r="F17" s="6">
        <v>8544.8160000000007</v>
      </c>
      <c r="G17" s="7">
        <v>2.6936623999999999E-2</v>
      </c>
      <c r="H17" s="49"/>
    </row>
    <row r="18" spans="1:10" ht="17.100000000000001" customHeight="1" x14ac:dyDescent="0.2">
      <c r="A18" s="3">
        <v>12</v>
      </c>
      <c r="B18" s="4" t="s">
        <v>70</v>
      </c>
      <c r="C18" s="4" t="s">
        <v>71</v>
      </c>
      <c r="D18" s="4" t="s">
        <v>72</v>
      </c>
      <c r="E18" s="5">
        <v>95000</v>
      </c>
      <c r="F18" s="6">
        <v>8525.4424999999992</v>
      </c>
      <c r="G18" s="7">
        <v>2.6875551000000001E-2</v>
      </c>
      <c r="H18" s="49"/>
    </row>
    <row r="19" spans="1:10" ht="53.1" customHeight="1" x14ac:dyDescent="0.2">
      <c r="A19" s="3">
        <v>13</v>
      </c>
      <c r="B19" s="4" t="s">
        <v>49</v>
      </c>
      <c r="C19" s="4" t="s">
        <v>50</v>
      </c>
      <c r="D19" s="4" t="s">
        <v>51</v>
      </c>
      <c r="E19" s="5">
        <v>5051000</v>
      </c>
      <c r="F19" s="6">
        <v>7515.8879999999999</v>
      </c>
      <c r="G19" s="7">
        <v>2.3693038E-2</v>
      </c>
      <c r="H19" s="49"/>
    </row>
    <row r="20" spans="1:10" ht="17.100000000000001" customHeight="1" x14ac:dyDescent="0.2">
      <c r="A20" s="3">
        <v>14</v>
      </c>
      <c r="B20" s="4" t="s">
        <v>259</v>
      </c>
      <c r="C20" s="4" t="s">
        <v>260</v>
      </c>
      <c r="D20" s="4" t="s">
        <v>103</v>
      </c>
      <c r="E20" s="5">
        <v>381000</v>
      </c>
      <c r="F20" s="6">
        <v>6196.9650000000001</v>
      </c>
      <c r="G20" s="7">
        <v>1.9535272999999999E-2</v>
      </c>
      <c r="H20" s="49"/>
    </row>
    <row r="21" spans="1:10" ht="17.100000000000001" customHeight="1" x14ac:dyDescent="0.2">
      <c r="A21" s="3">
        <v>15</v>
      </c>
      <c r="B21" s="4" t="s">
        <v>588</v>
      </c>
      <c r="C21" s="4" t="s">
        <v>589</v>
      </c>
      <c r="D21" s="4" t="s">
        <v>179</v>
      </c>
      <c r="E21" s="5">
        <v>649734</v>
      </c>
      <c r="F21" s="6">
        <v>6057.4700819999998</v>
      </c>
      <c r="G21" s="7">
        <v>1.9095530999999999E-2</v>
      </c>
      <c r="H21" s="49"/>
    </row>
    <row r="22" spans="1:10" ht="17.100000000000001" customHeight="1" x14ac:dyDescent="0.2">
      <c r="A22" s="3">
        <v>16</v>
      </c>
      <c r="B22" s="4" t="s">
        <v>334</v>
      </c>
      <c r="C22" s="4" t="s">
        <v>335</v>
      </c>
      <c r="D22" s="4" t="s">
        <v>16</v>
      </c>
      <c r="E22" s="5">
        <v>442000</v>
      </c>
      <c r="F22" s="6">
        <v>5161.6760000000004</v>
      </c>
      <c r="G22" s="7">
        <v>1.6271635E-2</v>
      </c>
      <c r="H22" s="49"/>
    </row>
    <row r="23" spans="1:10" ht="29.1" customHeight="1" x14ac:dyDescent="0.2">
      <c r="A23" s="3">
        <v>17</v>
      </c>
      <c r="B23" s="4" t="s">
        <v>484</v>
      </c>
      <c r="C23" s="4" t="s">
        <v>485</v>
      </c>
      <c r="D23" s="4" t="s">
        <v>215</v>
      </c>
      <c r="E23" s="5">
        <v>451000</v>
      </c>
      <c r="F23" s="6">
        <v>5139.8215</v>
      </c>
      <c r="G23" s="7">
        <v>1.6202741E-2</v>
      </c>
      <c r="H23" s="49"/>
    </row>
    <row r="24" spans="1:10" ht="29.1" customHeight="1" x14ac:dyDescent="0.2">
      <c r="A24" s="3">
        <v>18</v>
      </c>
      <c r="B24" s="4" t="s">
        <v>101</v>
      </c>
      <c r="C24" s="4" t="s">
        <v>102</v>
      </c>
      <c r="D24" s="4" t="s">
        <v>103</v>
      </c>
      <c r="E24" s="5">
        <v>639055</v>
      </c>
      <c r="F24" s="6">
        <v>4568.2846675000001</v>
      </c>
      <c r="G24" s="7">
        <v>1.4401031999999999E-2</v>
      </c>
      <c r="H24" s="49"/>
    </row>
    <row r="25" spans="1:10" ht="17.100000000000001" customHeight="1" x14ac:dyDescent="0.2">
      <c r="A25" s="3">
        <v>19</v>
      </c>
      <c r="B25" s="4" t="s">
        <v>177</v>
      </c>
      <c r="C25" s="4" t="s">
        <v>178</v>
      </c>
      <c r="D25" s="4" t="s">
        <v>179</v>
      </c>
      <c r="E25" s="5">
        <v>345000</v>
      </c>
      <c r="F25" s="6">
        <v>4311.6374999999998</v>
      </c>
      <c r="G25" s="7">
        <v>1.3591979000000001E-2</v>
      </c>
      <c r="H25" s="49"/>
    </row>
    <row r="26" spans="1:10" ht="17.100000000000001" customHeight="1" x14ac:dyDescent="0.2">
      <c r="A26" s="3">
        <v>20</v>
      </c>
      <c r="B26" s="4" t="s">
        <v>328</v>
      </c>
      <c r="C26" s="4" t="s">
        <v>329</v>
      </c>
      <c r="D26" s="4" t="s">
        <v>16</v>
      </c>
      <c r="E26" s="5">
        <v>213122</v>
      </c>
      <c r="F26" s="6">
        <v>4149.5919009999998</v>
      </c>
      <c r="G26" s="7">
        <v>1.3081147E-2</v>
      </c>
      <c r="H26" s="49"/>
      <c r="J26" s="217" t="s">
        <v>1099</v>
      </c>
    </row>
    <row r="27" spans="1:10" ht="17.100000000000001" customHeight="1" x14ac:dyDescent="0.2">
      <c r="A27" s="3">
        <v>21</v>
      </c>
      <c r="B27" s="4" t="s">
        <v>512</v>
      </c>
      <c r="C27" s="39" t="s">
        <v>982</v>
      </c>
      <c r="D27" s="4" t="s">
        <v>72</v>
      </c>
      <c r="E27" s="5">
        <v>1702000</v>
      </c>
      <c r="F27" s="6">
        <v>4002.2530000000002</v>
      </c>
      <c r="G27" s="7">
        <v>1.2616677E-2</v>
      </c>
      <c r="H27" s="49"/>
    </row>
    <row r="28" spans="1:10" ht="17.100000000000001" customHeight="1" x14ac:dyDescent="0.2">
      <c r="A28" s="3">
        <v>22</v>
      </c>
      <c r="B28" s="4" t="s">
        <v>586</v>
      </c>
      <c r="C28" s="4" t="s">
        <v>587</v>
      </c>
      <c r="D28" s="4" t="s">
        <v>43</v>
      </c>
      <c r="E28" s="5">
        <v>193000</v>
      </c>
      <c r="F28" s="6">
        <v>3739.2784999999999</v>
      </c>
      <c r="G28" s="7">
        <v>1.1787677999999999E-2</v>
      </c>
      <c r="H28" s="49"/>
    </row>
    <row r="29" spans="1:10" ht="17.100000000000001" customHeight="1" x14ac:dyDescent="0.2">
      <c r="A29" s="3">
        <v>23</v>
      </c>
      <c r="B29" s="4" t="s">
        <v>26</v>
      </c>
      <c r="C29" s="4" t="s">
        <v>27</v>
      </c>
      <c r="D29" s="4" t="s">
        <v>28</v>
      </c>
      <c r="E29" s="5">
        <v>2077000</v>
      </c>
      <c r="F29" s="6">
        <v>3576.5940000000001</v>
      </c>
      <c r="G29" s="7">
        <v>1.1274832E-2</v>
      </c>
      <c r="H29" s="49"/>
    </row>
    <row r="30" spans="1:10" ht="17.100000000000001" customHeight="1" x14ac:dyDescent="0.2">
      <c r="A30" s="3">
        <v>24</v>
      </c>
      <c r="B30" s="4" t="s">
        <v>298</v>
      </c>
      <c r="C30" s="4" t="s">
        <v>299</v>
      </c>
      <c r="D30" s="4" t="s">
        <v>238</v>
      </c>
      <c r="E30" s="5">
        <v>265000</v>
      </c>
      <c r="F30" s="6">
        <v>3399.6849999999999</v>
      </c>
      <c r="G30" s="7">
        <v>1.0717146E-2</v>
      </c>
      <c r="H30" s="49"/>
    </row>
    <row r="31" spans="1:10" ht="17.100000000000001" customHeight="1" x14ac:dyDescent="0.2">
      <c r="A31" s="3">
        <v>25</v>
      </c>
      <c r="B31" s="4" t="s">
        <v>311</v>
      </c>
      <c r="C31" s="4" t="s">
        <v>312</v>
      </c>
      <c r="D31" s="4" t="s">
        <v>974</v>
      </c>
      <c r="E31" s="5">
        <v>285965</v>
      </c>
      <c r="F31" s="6">
        <v>3205.0957199999998</v>
      </c>
      <c r="G31" s="7">
        <v>1.0103724E-2</v>
      </c>
      <c r="H31" s="49"/>
    </row>
    <row r="32" spans="1:10" ht="29.1" customHeight="1" x14ac:dyDescent="0.2">
      <c r="A32" s="3">
        <v>26</v>
      </c>
      <c r="B32" s="4" t="s">
        <v>23</v>
      </c>
      <c r="C32" s="4" t="s">
        <v>24</v>
      </c>
      <c r="D32" s="4" t="s">
        <v>25</v>
      </c>
      <c r="E32" s="5">
        <v>45000</v>
      </c>
      <c r="F32" s="6">
        <v>3184.65</v>
      </c>
      <c r="G32" s="7">
        <v>1.0039271000000001E-2</v>
      </c>
      <c r="H32" s="49"/>
    </row>
    <row r="33" spans="1:8" ht="29.1" customHeight="1" x14ac:dyDescent="0.2">
      <c r="A33" s="3">
        <v>27</v>
      </c>
      <c r="B33" s="4" t="s">
        <v>75</v>
      </c>
      <c r="C33" s="4" t="s">
        <v>76</v>
      </c>
      <c r="D33" s="4" t="s">
        <v>25</v>
      </c>
      <c r="E33" s="5">
        <v>511927</v>
      </c>
      <c r="F33" s="6">
        <v>2921.8233525000001</v>
      </c>
      <c r="G33" s="7">
        <v>9.2107379999999996E-3</v>
      </c>
      <c r="H33" s="49"/>
    </row>
    <row r="34" spans="1:8" ht="17.100000000000001" customHeight="1" x14ac:dyDescent="0.2">
      <c r="A34" s="3">
        <v>28</v>
      </c>
      <c r="B34" s="4" t="s">
        <v>109</v>
      </c>
      <c r="C34" s="4" t="s">
        <v>110</v>
      </c>
      <c r="D34" s="4" t="s">
        <v>89</v>
      </c>
      <c r="E34" s="5">
        <v>558126</v>
      </c>
      <c r="F34" s="6">
        <v>2536.4036070000002</v>
      </c>
      <c r="G34" s="7">
        <v>7.9957429999999996E-3</v>
      </c>
      <c r="H34" s="49"/>
    </row>
    <row r="35" spans="1:8" ht="29.1" customHeight="1" x14ac:dyDescent="0.2">
      <c r="A35" s="3">
        <v>29</v>
      </c>
      <c r="B35" s="4" t="s">
        <v>362</v>
      </c>
      <c r="C35" s="4" t="s">
        <v>363</v>
      </c>
      <c r="D35" s="4" t="s">
        <v>364</v>
      </c>
      <c r="E35" s="5">
        <v>305000</v>
      </c>
      <c r="F35" s="6">
        <v>2495.0524999999998</v>
      </c>
      <c r="G35" s="7">
        <v>7.8653879999999992E-3</v>
      </c>
      <c r="H35" s="49"/>
    </row>
    <row r="36" spans="1:8" ht="29.1" customHeight="1" x14ac:dyDescent="0.2">
      <c r="A36" s="3">
        <v>30</v>
      </c>
      <c r="B36" s="4" t="s">
        <v>696</v>
      </c>
      <c r="C36" s="4" t="s">
        <v>697</v>
      </c>
      <c r="D36" s="4" t="s">
        <v>278</v>
      </c>
      <c r="E36" s="5">
        <v>16757</v>
      </c>
      <c r="F36" s="6">
        <v>2377.4245105</v>
      </c>
      <c r="G36" s="7">
        <v>7.494578E-3</v>
      </c>
      <c r="H36" s="49"/>
    </row>
    <row r="37" spans="1:8" ht="17.100000000000001" customHeight="1" x14ac:dyDescent="0.2">
      <c r="A37" s="3">
        <v>31</v>
      </c>
      <c r="B37" s="4" t="s">
        <v>111</v>
      </c>
      <c r="C37" s="4" t="s">
        <v>112</v>
      </c>
      <c r="D37" s="4" t="s">
        <v>113</v>
      </c>
      <c r="E37" s="5">
        <v>518576</v>
      </c>
      <c r="F37" s="6">
        <v>2337.2220320000001</v>
      </c>
      <c r="G37" s="7">
        <v>7.3678440000000001E-3</v>
      </c>
      <c r="H37" s="49"/>
    </row>
    <row r="38" spans="1:8" ht="17.100000000000001" customHeight="1" x14ac:dyDescent="0.2">
      <c r="A38" s="3">
        <v>32</v>
      </c>
      <c r="B38" s="4" t="s">
        <v>320</v>
      </c>
      <c r="C38" s="4" t="s">
        <v>321</v>
      </c>
      <c r="D38" s="4" t="s">
        <v>974</v>
      </c>
      <c r="E38" s="5">
        <v>571413</v>
      </c>
      <c r="F38" s="6">
        <v>2325.0794970000002</v>
      </c>
      <c r="G38" s="7">
        <v>7.329566E-3</v>
      </c>
      <c r="H38" s="49"/>
    </row>
    <row r="39" spans="1:8" ht="17.100000000000001" customHeight="1" x14ac:dyDescent="0.2">
      <c r="A39" s="3">
        <v>33</v>
      </c>
      <c r="B39" s="4" t="s">
        <v>306</v>
      </c>
      <c r="C39" s="4" t="s">
        <v>307</v>
      </c>
      <c r="D39" s="4" t="s">
        <v>308</v>
      </c>
      <c r="E39" s="5">
        <v>81167</v>
      </c>
      <c r="F39" s="6">
        <v>2178.8063645000002</v>
      </c>
      <c r="G39" s="7">
        <v>6.8684549999999999E-3</v>
      </c>
      <c r="H39" s="49"/>
    </row>
    <row r="40" spans="1:8" ht="17.100000000000001" customHeight="1" x14ac:dyDescent="0.2">
      <c r="A40" s="3">
        <v>34</v>
      </c>
      <c r="B40" s="4" t="s">
        <v>104</v>
      </c>
      <c r="C40" s="4" t="s">
        <v>105</v>
      </c>
      <c r="D40" s="4" t="s">
        <v>100</v>
      </c>
      <c r="E40" s="5">
        <v>235000</v>
      </c>
      <c r="F40" s="6">
        <v>2171.165</v>
      </c>
      <c r="G40" s="7">
        <v>6.8443669999999996E-3</v>
      </c>
      <c r="H40" s="49"/>
    </row>
    <row r="41" spans="1:8" ht="29.1" customHeight="1" x14ac:dyDescent="0.2">
      <c r="A41" s="3">
        <v>35</v>
      </c>
      <c r="B41" s="4" t="s">
        <v>189</v>
      </c>
      <c r="C41" s="4" t="s">
        <v>190</v>
      </c>
      <c r="D41" s="4" t="s">
        <v>108</v>
      </c>
      <c r="E41" s="5">
        <v>526000</v>
      </c>
      <c r="F41" s="6">
        <v>1908.5909999999999</v>
      </c>
      <c r="G41" s="7">
        <v>6.0166300000000002E-3</v>
      </c>
      <c r="H41" s="49"/>
    </row>
    <row r="42" spans="1:8" ht="17.100000000000001" customHeight="1" x14ac:dyDescent="0.2">
      <c r="A42" s="3">
        <v>36</v>
      </c>
      <c r="B42" s="4" t="s">
        <v>354</v>
      </c>
      <c r="C42" s="4" t="s">
        <v>355</v>
      </c>
      <c r="D42" s="4" t="s">
        <v>188</v>
      </c>
      <c r="E42" s="5">
        <v>47000</v>
      </c>
      <c r="F42" s="6">
        <v>1891.9849999999999</v>
      </c>
      <c r="G42" s="7">
        <v>5.9642819999999996E-3</v>
      </c>
      <c r="H42" s="49"/>
    </row>
    <row r="43" spans="1:8" ht="17.100000000000001" customHeight="1" x14ac:dyDescent="0.2">
      <c r="A43" s="3">
        <v>37</v>
      </c>
      <c r="B43" s="4" t="s">
        <v>340</v>
      </c>
      <c r="C43" s="4" t="s">
        <v>341</v>
      </c>
      <c r="D43" s="4" t="s">
        <v>16</v>
      </c>
      <c r="E43" s="5">
        <v>600000</v>
      </c>
      <c r="F43" s="6">
        <v>1888.2</v>
      </c>
      <c r="G43" s="7">
        <v>5.9523500000000003E-3</v>
      </c>
      <c r="H43" s="49"/>
    </row>
    <row r="44" spans="1:8" ht="17.100000000000001" customHeight="1" x14ac:dyDescent="0.2">
      <c r="A44" s="3">
        <v>38</v>
      </c>
      <c r="B44" s="4" t="s">
        <v>365</v>
      </c>
      <c r="C44" s="4" t="s">
        <v>366</v>
      </c>
      <c r="D44" s="4" t="s">
        <v>108</v>
      </c>
      <c r="E44" s="5">
        <v>71000</v>
      </c>
      <c r="F44" s="6">
        <v>1883.63</v>
      </c>
      <c r="G44" s="7">
        <v>5.9379430000000002E-3</v>
      </c>
      <c r="H44" s="49"/>
    </row>
    <row r="45" spans="1:8" ht="29.1" customHeight="1" x14ac:dyDescent="0.2">
      <c r="A45" s="3">
        <v>39</v>
      </c>
      <c r="B45" s="4" t="s">
        <v>597</v>
      </c>
      <c r="C45" s="4" t="s">
        <v>598</v>
      </c>
      <c r="D45" s="4" t="s">
        <v>238</v>
      </c>
      <c r="E45" s="5">
        <v>153000</v>
      </c>
      <c r="F45" s="6">
        <v>1853.0595000000001</v>
      </c>
      <c r="G45" s="7">
        <v>5.8415730000000001E-3</v>
      </c>
      <c r="H45" s="49"/>
    </row>
    <row r="46" spans="1:8" ht="17.100000000000001" customHeight="1" x14ac:dyDescent="0.2">
      <c r="A46" s="3">
        <v>40</v>
      </c>
      <c r="B46" s="4" t="s">
        <v>225</v>
      </c>
      <c r="C46" s="4" t="s">
        <v>226</v>
      </c>
      <c r="D46" s="4" t="s">
        <v>227</v>
      </c>
      <c r="E46" s="5">
        <v>36866</v>
      </c>
      <c r="F46" s="6">
        <v>1742.434624</v>
      </c>
      <c r="G46" s="7">
        <v>5.4928399999999997E-3</v>
      </c>
      <c r="H46" s="49"/>
    </row>
    <row r="47" spans="1:8" ht="17.100000000000001" customHeight="1" x14ac:dyDescent="0.2">
      <c r="A47" s="3">
        <v>41</v>
      </c>
      <c r="B47" s="4" t="s">
        <v>562</v>
      </c>
      <c r="C47" s="4" t="s">
        <v>563</v>
      </c>
      <c r="D47" s="4" t="s">
        <v>267</v>
      </c>
      <c r="E47" s="5">
        <v>38000</v>
      </c>
      <c r="F47" s="6">
        <v>1657.674</v>
      </c>
      <c r="G47" s="7">
        <v>5.2256409999999996E-3</v>
      </c>
      <c r="H47" s="49"/>
    </row>
    <row r="48" spans="1:8" ht="17.100000000000001" customHeight="1" x14ac:dyDescent="0.2">
      <c r="A48" s="3">
        <v>42</v>
      </c>
      <c r="B48" s="4" t="s">
        <v>700</v>
      </c>
      <c r="C48" s="4" t="s">
        <v>701</v>
      </c>
      <c r="D48" s="4" t="s">
        <v>108</v>
      </c>
      <c r="E48" s="5">
        <v>100000</v>
      </c>
      <c r="F48" s="6">
        <v>1253.55</v>
      </c>
      <c r="G48" s="7">
        <v>3.9516830000000001E-3</v>
      </c>
      <c r="H48" s="49"/>
    </row>
    <row r="49" spans="1:8" ht="17.100000000000001" customHeight="1" x14ac:dyDescent="0.2">
      <c r="A49" s="3">
        <v>43</v>
      </c>
      <c r="B49" s="4" t="s">
        <v>599</v>
      </c>
      <c r="C49" s="4" t="s">
        <v>600</v>
      </c>
      <c r="D49" s="4" t="s">
        <v>238</v>
      </c>
      <c r="E49" s="5">
        <v>195000</v>
      </c>
      <c r="F49" s="6">
        <v>1151.67</v>
      </c>
      <c r="G49" s="7">
        <v>3.6305170000000002E-3</v>
      </c>
      <c r="H49" s="49"/>
    </row>
    <row r="50" spans="1:8" ht="17.100000000000001" customHeight="1" x14ac:dyDescent="0.2">
      <c r="A50" s="3">
        <v>44</v>
      </c>
      <c r="B50" s="4" t="s">
        <v>344</v>
      </c>
      <c r="C50" s="4" t="s">
        <v>345</v>
      </c>
      <c r="D50" s="4" t="s">
        <v>103</v>
      </c>
      <c r="E50" s="5">
        <v>17000</v>
      </c>
      <c r="F50" s="6">
        <v>1142.5615</v>
      </c>
      <c r="G50" s="7">
        <v>3.6018040000000001E-3</v>
      </c>
      <c r="H50" s="49"/>
    </row>
    <row r="51" spans="1:8" ht="29.1" customHeight="1" x14ac:dyDescent="0.2">
      <c r="A51" s="3">
        <v>45</v>
      </c>
      <c r="B51" s="4" t="s">
        <v>191</v>
      </c>
      <c r="C51" s="4" t="s">
        <v>192</v>
      </c>
      <c r="D51" s="4" t="s">
        <v>193</v>
      </c>
      <c r="E51" s="5">
        <v>45821</v>
      </c>
      <c r="F51" s="6">
        <v>1083.9873970000001</v>
      </c>
      <c r="G51" s="7">
        <v>3.4171549999999998E-3</v>
      </c>
      <c r="H51" s="49"/>
    </row>
    <row r="52" spans="1:8" ht="17.100000000000001" customHeight="1" x14ac:dyDescent="0.2">
      <c r="A52" s="3">
        <v>46</v>
      </c>
      <c r="B52" s="4" t="s">
        <v>543</v>
      </c>
      <c r="C52" s="4" t="s">
        <v>544</v>
      </c>
      <c r="D52" s="4" t="s">
        <v>108</v>
      </c>
      <c r="E52" s="5">
        <v>30000</v>
      </c>
      <c r="F52" s="6">
        <v>952.54499999999996</v>
      </c>
      <c r="G52" s="7">
        <v>3.0027970000000002E-3</v>
      </c>
      <c r="H52" s="49"/>
    </row>
    <row r="53" spans="1:8" ht="17.100000000000001" customHeight="1" x14ac:dyDescent="0.2">
      <c r="A53" s="3">
        <v>47</v>
      </c>
      <c r="B53" s="4" t="s">
        <v>44</v>
      </c>
      <c r="C53" s="4" t="s">
        <v>45</v>
      </c>
      <c r="D53" s="4" t="s">
        <v>31</v>
      </c>
      <c r="E53" s="5">
        <v>26000</v>
      </c>
      <c r="F53" s="6">
        <v>666.9</v>
      </c>
      <c r="G53" s="7">
        <v>2.1023309999999998E-3</v>
      </c>
      <c r="H53" s="49"/>
    </row>
    <row r="54" spans="1:8" ht="17.100000000000001" customHeight="1" x14ac:dyDescent="0.2">
      <c r="A54" s="3">
        <v>48</v>
      </c>
      <c r="B54" s="4" t="s">
        <v>515</v>
      </c>
      <c r="C54" s="4" t="s">
        <v>516</v>
      </c>
      <c r="D54" s="4" t="s">
        <v>974</v>
      </c>
      <c r="E54" s="5">
        <v>46374</v>
      </c>
      <c r="F54" s="6">
        <v>561.10221300000001</v>
      </c>
      <c r="G54" s="7">
        <v>1.768815E-3</v>
      </c>
      <c r="H54" s="49"/>
    </row>
    <row r="55" spans="1:8" ht="29.1" customHeight="1" x14ac:dyDescent="0.2">
      <c r="A55" s="3">
        <v>49</v>
      </c>
      <c r="B55" s="4" t="s">
        <v>348</v>
      </c>
      <c r="C55" s="4" t="s">
        <v>349</v>
      </c>
      <c r="D55" s="4" t="s">
        <v>215</v>
      </c>
      <c r="E55" s="5">
        <v>13721</v>
      </c>
      <c r="F55" s="6">
        <v>467.15888699999999</v>
      </c>
      <c r="G55" s="7">
        <v>1.472669E-3</v>
      </c>
      <c r="H55" s="49"/>
    </row>
    <row r="56" spans="1:8" ht="17.100000000000001" customHeight="1" x14ac:dyDescent="0.2">
      <c r="A56" s="3">
        <v>50</v>
      </c>
      <c r="B56" s="4" t="s">
        <v>352</v>
      </c>
      <c r="C56" s="4" t="s">
        <v>353</v>
      </c>
      <c r="D56" s="4" t="s">
        <v>72</v>
      </c>
      <c r="E56" s="5">
        <v>58791</v>
      </c>
      <c r="F56" s="6">
        <v>258.327654</v>
      </c>
      <c r="G56" s="7">
        <v>8.1435000000000003E-4</v>
      </c>
      <c r="H56" s="49"/>
    </row>
    <row r="57" spans="1:8" ht="14.1" customHeight="1" x14ac:dyDescent="0.2">
      <c r="A57" s="1"/>
      <c r="B57" s="1"/>
      <c r="C57" s="2" t="s">
        <v>130</v>
      </c>
      <c r="D57" s="1"/>
      <c r="E57" s="1" t="s">
        <v>131</v>
      </c>
      <c r="F57" s="9">
        <v>308282.19135899999</v>
      </c>
      <c r="G57" s="10">
        <v>0.97182683800000003</v>
      </c>
      <c r="H57" s="49"/>
    </row>
    <row r="58" spans="1:8" ht="14.1" customHeight="1" x14ac:dyDescent="0.2">
      <c r="A58" s="1"/>
      <c r="B58" s="1"/>
      <c r="C58" s="11"/>
      <c r="D58" s="1"/>
      <c r="E58" s="1"/>
      <c r="F58" s="12"/>
      <c r="G58" s="12"/>
      <c r="H58" s="49"/>
    </row>
    <row r="59" spans="1:8" ht="14.1" customHeight="1" x14ac:dyDescent="0.2">
      <c r="A59" s="1"/>
      <c r="B59" s="1"/>
      <c r="C59" s="2" t="s">
        <v>132</v>
      </c>
      <c r="D59" s="1"/>
      <c r="E59" s="1"/>
      <c r="F59" s="1"/>
      <c r="G59" s="1"/>
      <c r="H59" s="49"/>
    </row>
    <row r="60" spans="1:8" ht="14.1" customHeight="1" x14ac:dyDescent="0.2">
      <c r="A60" s="1"/>
      <c r="B60" s="1"/>
      <c r="C60" s="2" t="s">
        <v>130</v>
      </c>
      <c r="D60" s="1"/>
      <c r="E60" s="1" t="s">
        <v>131</v>
      </c>
      <c r="F60" s="13">
        <v>0</v>
      </c>
      <c r="G60" s="14">
        <v>0</v>
      </c>
      <c r="H60" s="49"/>
    </row>
    <row r="61" spans="1:8" ht="14.1" customHeight="1" x14ac:dyDescent="0.2">
      <c r="A61" s="1"/>
      <c r="B61" s="1"/>
      <c r="C61" s="11"/>
      <c r="D61" s="1"/>
      <c r="E61" s="1"/>
      <c r="F61" s="12"/>
      <c r="G61" s="12"/>
      <c r="H61" s="49"/>
    </row>
    <row r="62" spans="1:8" ht="14.1" customHeight="1" x14ac:dyDescent="0.2">
      <c r="A62" s="1"/>
      <c r="B62" s="1"/>
      <c r="C62" s="2" t="s">
        <v>133</v>
      </c>
      <c r="D62" s="1"/>
      <c r="E62" s="1"/>
      <c r="F62" s="1"/>
      <c r="G62" s="1"/>
      <c r="H62" s="49"/>
    </row>
    <row r="63" spans="1:8" ht="14.1" customHeight="1" x14ac:dyDescent="0.2">
      <c r="A63" s="1"/>
      <c r="B63" s="1"/>
      <c r="C63" s="2" t="s">
        <v>130</v>
      </c>
      <c r="D63" s="1"/>
      <c r="E63" s="1" t="s">
        <v>131</v>
      </c>
      <c r="F63" s="13">
        <v>0</v>
      </c>
      <c r="G63" s="14">
        <v>0</v>
      </c>
      <c r="H63" s="49"/>
    </row>
    <row r="64" spans="1:8" ht="14.1" customHeight="1" x14ac:dyDescent="0.2">
      <c r="A64" s="1"/>
      <c r="B64" s="1"/>
      <c r="C64" s="11"/>
      <c r="D64" s="1"/>
      <c r="E64" s="1"/>
      <c r="F64" s="12"/>
      <c r="G64" s="12"/>
      <c r="H64" s="49"/>
    </row>
    <row r="65" spans="1:8" ht="14.1" customHeight="1" x14ac:dyDescent="0.2">
      <c r="A65" s="1"/>
      <c r="B65" s="1"/>
      <c r="C65" s="2" t="s">
        <v>134</v>
      </c>
      <c r="D65" s="1"/>
      <c r="E65" s="1"/>
      <c r="F65" s="1"/>
      <c r="G65" s="1"/>
      <c r="H65" s="49"/>
    </row>
    <row r="66" spans="1:8" ht="14.1" customHeight="1" x14ac:dyDescent="0.2">
      <c r="A66" s="1"/>
      <c r="B66" s="1"/>
      <c r="C66" s="2" t="s">
        <v>130</v>
      </c>
      <c r="D66" s="1"/>
      <c r="E66" s="1" t="s">
        <v>131</v>
      </c>
      <c r="F66" s="13">
        <v>0</v>
      </c>
      <c r="G66" s="14">
        <v>0</v>
      </c>
      <c r="H66" s="49"/>
    </row>
    <row r="67" spans="1:8" ht="14.1" customHeight="1" x14ac:dyDescent="0.2">
      <c r="A67" s="1"/>
      <c r="B67" s="1"/>
      <c r="C67" s="11"/>
      <c r="D67" s="1"/>
      <c r="E67" s="1"/>
      <c r="F67" s="12"/>
      <c r="G67" s="12"/>
      <c r="H67" s="49"/>
    </row>
    <row r="68" spans="1:8" ht="14.1" customHeight="1" x14ac:dyDescent="0.2">
      <c r="A68" s="1"/>
      <c r="B68" s="1"/>
      <c r="C68" s="2" t="s">
        <v>135</v>
      </c>
      <c r="D68" s="1"/>
      <c r="E68" s="1"/>
      <c r="F68" s="12"/>
      <c r="G68" s="12"/>
      <c r="H68" s="49"/>
    </row>
    <row r="69" spans="1:8" ht="25.5" x14ac:dyDescent="0.2">
      <c r="A69" s="44">
        <v>1</v>
      </c>
      <c r="B69" s="39" t="s">
        <v>949</v>
      </c>
      <c r="C69" s="39" t="s">
        <v>950</v>
      </c>
      <c r="D69" s="39" t="s">
        <v>103</v>
      </c>
      <c r="E69" s="51">
        <v>90000</v>
      </c>
      <c r="F69" s="49">
        <v>535.59</v>
      </c>
      <c r="G69" s="52">
        <v>1.6883899999999999E-3</v>
      </c>
      <c r="H69" s="49"/>
    </row>
    <row r="70" spans="1:8" ht="14.1" customHeight="1" x14ac:dyDescent="0.2">
      <c r="A70" s="1"/>
      <c r="B70" s="1"/>
      <c r="C70" s="2" t="s">
        <v>130</v>
      </c>
      <c r="D70" s="1"/>
      <c r="E70" s="1" t="s">
        <v>131</v>
      </c>
      <c r="F70" s="13">
        <v>535.59</v>
      </c>
      <c r="G70" s="14">
        <v>1.6883899999999999E-3</v>
      </c>
      <c r="H70" s="49"/>
    </row>
    <row r="71" spans="1:8" ht="14.1" customHeight="1" x14ac:dyDescent="0.2">
      <c r="A71" s="1"/>
      <c r="B71" s="1"/>
      <c r="C71" s="11"/>
      <c r="D71" s="1"/>
      <c r="E71" s="1"/>
      <c r="F71" s="12"/>
      <c r="G71" s="12"/>
      <c r="H71" s="49"/>
    </row>
    <row r="72" spans="1:8" ht="14.1" customHeight="1" x14ac:dyDescent="0.2">
      <c r="A72" s="1"/>
      <c r="B72" s="1"/>
      <c r="C72" s="2" t="s">
        <v>136</v>
      </c>
      <c r="D72" s="1"/>
      <c r="E72" s="1"/>
      <c r="F72" s="12"/>
      <c r="G72" s="12"/>
      <c r="H72" s="49"/>
    </row>
    <row r="73" spans="1:8" ht="14.1" customHeight="1" x14ac:dyDescent="0.2">
      <c r="A73" s="1"/>
      <c r="B73" s="1"/>
      <c r="C73" s="2" t="s">
        <v>130</v>
      </c>
      <c r="D73" s="1"/>
      <c r="E73" s="1" t="s">
        <v>131</v>
      </c>
      <c r="F73" s="13">
        <v>0</v>
      </c>
      <c r="G73" s="14">
        <v>0</v>
      </c>
      <c r="H73" s="49"/>
    </row>
    <row r="74" spans="1:8" ht="14.1" customHeight="1" x14ac:dyDescent="0.2">
      <c r="A74" s="1"/>
      <c r="B74" s="1"/>
      <c r="C74" s="11"/>
      <c r="D74" s="1"/>
      <c r="E74" s="1"/>
      <c r="F74" s="12"/>
      <c r="G74" s="12"/>
      <c r="H74" s="49"/>
    </row>
    <row r="75" spans="1:8" ht="18" customHeight="1" x14ac:dyDescent="0.2">
      <c r="A75" s="1"/>
      <c r="B75" s="1"/>
      <c r="C75" s="2" t="s">
        <v>137</v>
      </c>
      <c r="D75" s="1"/>
      <c r="E75" s="1"/>
      <c r="F75" s="9">
        <v>308817.78135900002</v>
      </c>
      <c r="G75" s="10">
        <v>0.97351522800000001</v>
      </c>
      <c r="H75" s="49"/>
    </row>
    <row r="76" spans="1:8" ht="14.1" customHeight="1" x14ac:dyDescent="0.2">
      <c r="A76" s="1"/>
      <c r="B76" s="1"/>
      <c r="C76" s="11"/>
      <c r="D76" s="1"/>
      <c r="E76" s="1"/>
      <c r="F76" s="12"/>
      <c r="G76" s="12"/>
      <c r="H76" s="49"/>
    </row>
    <row r="77" spans="1:8" ht="14.1" customHeight="1" x14ac:dyDescent="0.2">
      <c r="A77" s="1"/>
      <c r="B77" s="1"/>
      <c r="C77" s="2" t="s">
        <v>138</v>
      </c>
      <c r="D77" s="1"/>
      <c r="E77" s="1"/>
      <c r="F77" s="12"/>
      <c r="G77" s="12"/>
      <c r="H77" s="49"/>
    </row>
    <row r="78" spans="1:8" ht="24" customHeight="1" x14ac:dyDescent="0.2">
      <c r="A78" s="1"/>
      <c r="B78" s="1"/>
      <c r="C78" s="2" t="s">
        <v>10</v>
      </c>
      <c r="D78" s="1"/>
      <c r="E78" s="1"/>
      <c r="F78" s="12"/>
      <c r="G78" s="12"/>
      <c r="H78" s="49"/>
    </row>
    <row r="79" spans="1:8" ht="29.1" customHeight="1" x14ac:dyDescent="0.2">
      <c r="A79" s="3">
        <v>1</v>
      </c>
      <c r="B79" s="4" t="s">
        <v>579</v>
      </c>
      <c r="C79" s="4" t="s">
        <v>580</v>
      </c>
      <c r="D79" s="4" t="s">
        <v>581</v>
      </c>
      <c r="E79" s="5">
        <v>28980</v>
      </c>
      <c r="F79" s="6">
        <v>8.1605361599999995</v>
      </c>
      <c r="G79" s="8" t="s">
        <v>129</v>
      </c>
      <c r="H79" s="49">
        <v>7.5750000000000002</v>
      </c>
    </row>
    <row r="80" spans="1:8" ht="14.1" customHeight="1" x14ac:dyDescent="0.2">
      <c r="A80" s="1"/>
      <c r="B80" s="1"/>
      <c r="C80" s="2" t="s">
        <v>130</v>
      </c>
      <c r="D80" s="1"/>
      <c r="E80" s="1" t="s">
        <v>131</v>
      </c>
      <c r="F80" s="9">
        <v>8.1605361599999995</v>
      </c>
      <c r="G80" s="10">
        <v>2.5724999999999998E-5</v>
      </c>
      <c r="H80" s="49"/>
    </row>
    <row r="81" spans="1:8" ht="14.1" customHeight="1" x14ac:dyDescent="0.2">
      <c r="A81" s="1"/>
      <c r="B81" s="1"/>
      <c r="C81" s="11"/>
      <c r="D81" s="1"/>
      <c r="E81" s="1"/>
      <c r="F81" s="12"/>
      <c r="G81" s="12"/>
      <c r="H81" s="49"/>
    </row>
    <row r="82" spans="1:8" ht="14.1" customHeight="1" x14ac:dyDescent="0.2">
      <c r="A82" s="1"/>
      <c r="B82" s="1"/>
      <c r="C82" s="2" t="s">
        <v>139</v>
      </c>
      <c r="D82" s="1"/>
      <c r="E82" s="1"/>
      <c r="F82" s="1"/>
      <c r="G82" s="1"/>
      <c r="H82" s="49"/>
    </row>
    <row r="83" spans="1:8" ht="14.1" customHeight="1" x14ac:dyDescent="0.2">
      <c r="A83" s="1"/>
      <c r="B83" s="1"/>
      <c r="C83" s="2" t="s">
        <v>130</v>
      </c>
      <c r="D83" s="1"/>
      <c r="E83" s="1" t="s">
        <v>131</v>
      </c>
      <c r="F83" s="13">
        <v>0</v>
      </c>
      <c r="G83" s="14">
        <v>0</v>
      </c>
      <c r="H83" s="49"/>
    </row>
    <row r="84" spans="1:8" ht="14.1" customHeight="1" x14ac:dyDescent="0.2">
      <c r="A84" s="1"/>
      <c r="B84" s="1"/>
      <c r="C84" s="11"/>
      <c r="D84" s="1"/>
      <c r="E84" s="1"/>
      <c r="F84" s="12"/>
      <c r="G84" s="12"/>
      <c r="H84" s="49"/>
    </row>
    <row r="85" spans="1:8" ht="14.1" customHeight="1" x14ac:dyDescent="0.2">
      <c r="A85" s="1"/>
      <c r="B85" s="1"/>
      <c r="C85" s="2" t="s">
        <v>140</v>
      </c>
      <c r="D85" s="1"/>
      <c r="E85" s="1"/>
      <c r="F85" s="1"/>
      <c r="G85" s="1"/>
      <c r="H85" s="49"/>
    </row>
    <row r="86" spans="1:8" ht="14.1" customHeight="1" x14ac:dyDescent="0.2">
      <c r="A86" s="1"/>
      <c r="B86" s="1"/>
      <c r="C86" s="2" t="s">
        <v>130</v>
      </c>
      <c r="D86" s="1"/>
      <c r="E86" s="1" t="s">
        <v>131</v>
      </c>
      <c r="F86" s="13">
        <v>0</v>
      </c>
      <c r="G86" s="14">
        <v>0</v>
      </c>
      <c r="H86" s="49"/>
    </row>
    <row r="87" spans="1:8" ht="14.1" customHeight="1" x14ac:dyDescent="0.2">
      <c r="A87" s="1"/>
      <c r="B87" s="1"/>
      <c r="C87" s="11"/>
      <c r="D87" s="1"/>
      <c r="E87" s="1"/>
      <c r="F87" s="12"/>
      <c r="G87" s="12"/>
      <c r="H87" s="49"/>
    </row>
    <row r="88" spans="1:8" ht="14.1" customHeight="1" x14ac:dyDescent="0.2">
      <c r="A88" s="1"/>
      <c r="B88" s="1"/>
      <c r="C88" s="2" t="s">
        <v>141</v>
      </c>
      <c r="D88" s="1"/>
      <c r="E88" s="1"/>
      <c r="F88" s="12"/>
      <c r="G88" s="12"/>
      <c r="H88" s="49"/>
    </row>
    <row r="89" spans="1:8" ht="14.1" customHeight="1" x14ac:dyDescent="0.2">
      <c r="A89" s="1"/>
      <c r="B89" s="1"/>
      <c r="C89" s="2" t="s">
        <v>130</v>
      </c>
      <c r="D89" s="1"/>
      <c r="E89" s="1" t="s">
        <v>131</v>
      </c>
      <c r="F89" s="13">
        <v>0</v>
      </c>
      <c r="G89" s="14">
        <v>0</v>
      </c>
      <c r="H89" s="49"/>
    </row>
    <row r="90" spans="1:8" ht="14.1" customHeight="1" x14ac:dyDescent="0.2">
      <c r="A90" s="1"/>
      <c r="B90" s="1"/>
      <c r="C90" s="11"/>
      <c r="D90" s="1"/>
      <c r="E90" s="1"/>
      <c r="F90" s="12"/>
      <c r="G90" s="12"/>
      <c r="H90" s="49"/>
    </row>
    <row r="91" spans="1:8" ht="14.1" customHeight="1" x14ac:dyDescent="0.2">
      <c r="A91" s="1"/>
      <c r="B91" s="1"/>
      <c r="C91" s="2" t="s">
        <v>142</v>
      </c>
      <c r="D91" s="1"/>
      <c r="E91" s="1"/>
      <c r="F91" s="9">
        <v>8.1605361599999995</v>
      </c>
      <c r="G91" s="10">
        <v>2.5724999999999998E-5</v>
      </c>
      <c r="H91" s="49"/>
    </row>
    <row r="92" spans="1:8" ht="14.1" customHeight="1" x14ac:dyDescent="0.2">
      <c r="A92" s="1"/>
      <c r="B92" s="1"/>
      <c r="C92" s="11"/>
      <c r="D92" s="1"/>
      <c r="E92" s="1"/>
      <c r="F92" s="12"/>
      <c r="G92" s="12"/>
      <c r="H92" s="49"/>
    </row>
    <row r="93" spans="1:8" ht="14.1" customHeight="1" x14ac:dyDescent="0.2">
      <c r="A93" s="1"/>
      <c r="B93" s="1"/>
      <c r="C93" s="2" t="s">
        <v>143</v>
      </c>
      <c r="D93" s="1"/>
      <c r="E93" s="1"/>
      <c r="F93" s="12"/>
      <c r="G93" s="12"/>
      <c r="H93" s="49"/>
    </row>
    <row r="94" spans="1:8" ht="14.1" customHeight="1" x14ac:dyDescent="0.2">
      <c r="A94" s="1"/>
      <c r="B94" s="1"/>
      <c r="C94" s="2" t="s">
        <v>144</v>
      </c>
      <c r="D94" s="1"/>
      <c r="E94" s="1"/>
      <c r="F94" s="12"/>
      <c r="G94" s="12"/>
      <c r="H94" s="49"/>
    </row>
    <row r="95" spans="1:8" ht="14.1" customHeight="1" x14ac:dyDescent="0.2">
      <c r="A95" s="1"/>
      <c r="B95" s="1"/>
      <c r="C95" s="2" t="s">
        <v>130</v>
      </c>
      <c r="D95" s="1"/>
      <c r="E95" s="1" t="s">
        <v>131</v>
      </c>
      <c r="F95" s="13">
        <v>0</v>
      </c>
      <c r="G95" s="14">
        <v>0</v>
      </c>
      <c r="H95" s="49"/>
    </row>
    <row r="96" spans="1:8" ht="14.1" customHeight="1" x14ac:dyDescent="0.2">
      <c r="A96" s="1"/>
      <c r="B96" s="1"/>
      <c r="C96" s="11"/>
      <c r="D96" s="1"/>
      <c r="E96" s="1"/>
      <c r="F96" s="12"/>
      <c r="G96" s="12"/>
      <c r="H96" s="49"/>
    </row>
    <row r="97" spans="1:8" ht="14.1" customHeight="1" x14ac:dyDescent="0.2">
      <c r="A97" s="1"/>
      <c r="B97" s="1"/>
      <c r="C97" s="2" t="s">
        <v>145</v>
      </c>
      <c r="D97" s="1"/>
      <c r="E97" s="1"/>
      <c r="F97" s="12"/>
      <c r="G97" s="12"/>
      <c r="H97" s="49"/>
    </row>
    <row r="98" spans="1:8" ht="14.1" customHeight="1" x14ac:dyDescent="0.2">
      <c r="A98" s="1"/>
      <c r="B98" s="1"/>
      <c r="C98" s="2" t="s">
        <v>130</v>
      </c>
      <c r="D98" s="1"/>
      <c r="E98" s="1" t="s">
        <v>131</v>
      </c>
      <c r="F98" s="13">
        <v>0</v>
      </c>
      <c r="G98" s="14">
        <v>0</v>
      </c>
      <c r="H98" s="49"/>
    </row>
    <row r="99" spans="1:8" ht="14.1" customHeight="1" x14ac:dyDescent="0.2">
      <c r="A99" s="1"/>
      <c r="B99" s="1"/>
      <c r="C99" s="11"/>
      <c r="D99" s="1"/>
      <c r="E99" s="1"/>
      <c r="F99" s="12"/>
      <c r="G99" s="12"/>
      <c r="H99" s="49"/>
    </row>
    <row r="100" spans="1:8" ht="14.1" customHeight="1" x14ac:dyDescent="0.2">
      <c r="A100" s="1"/>
      <c r="B100" s="1"/>
      <c r="C100" s="2" t="s">
        <v>146</v>
      </c>
      <c r="D100" s="1"/>
      <c r="E100" s="1"/>
      <c r="F100" s="12"/>
      <c r="G100" s="12"/>
      <c r="H100" s="49"/>
    </row>
    <row r="101" spans="1:8" ht="14.1" customHeight="1" x14ac:dyDescent="0.2">
      <c r="A101" s="1"/>
      <c r="B101" s="1"/>
      <c r="C101" s="2" t="s">
        <v>130</v>
      </c>
      <c r="D101" s="1"/>
      <c r="E101" s="1" t="s">
        <v>131</v>
      </c>
      <c r="F101" s="13">
        <v>0</v>
      </c>
      <c r="G101" s="14">
        <v>0</v>
      </c>
      <c r="H101" s="49"/>
    </row>
    <row r="102" spans="1:8" ht="14.1" customHeight="1" x14ac:dyDescent="0.2">
      <c r="A102" s="1"/>
      <c r="B102" s="1"/>
      <c r="C102" s="11"/>
      <c r="D102" s="1"/>
      <c r="E102" s="1"/>
      <c r="F102" s="12"/>
      <c r="G102" s="12"/>
      <c r="H102" s="49"/>
    </row>
    <row r="103" spans="1:8" ht="14.1" customHeight="1" x14ac:dyDescent="0.2">
      <c r="A103" s="1"/>
      <c r="B103" s="1"/>
      <c r="C103" s="2" t="s">
        <v>147</v>
      </c>
      <c r="D103" s="1"/>
      <c r="E103" s="1"/>
      <c r="F103" s="12"/>
      <c r="G103" s="12"/>
      <c r="H103" s="49"/>
    </row>
    <row r="104" spans="1:8" ht="17.100000000000001" customHeight="1" x14ac:dyDescent="0.2">
      <c r="A104" s="3">
        <v>1</v>
      </c>
      <c r="B104" s="4"/>
      <c r="C104" s="4" t="s">
        <v>148</v>
      </c>
      <c r="D104" s="4"/>
      <c r="E104" s="8"/>
      <c r="F104" s="6">
        <v>8120.2769170000001</v>
      </c>
      <c r="G104" s="7">
        <v>2.5598309999999999E-2</v>
      </c>
      <c r="H104" s="49">
        <v>5.6572293145372496</v>
      </c>
    </row>
    <row r="105" spans="1:8" ht="14.1" customHeight="1" x14ac:dyDescent="0.2">
      <c r="A105" s="1"/>
      <c r="B105" s="1"/>
      <c r="C105" s="2" t="s">
        <v>130</v>
      </c>
      <c r="D105" s="1"/>
      <c r="E105" s="1" t="s">
        <v>131</v>
      </c>
      <c r="F105" s="9">
        <v>8120.2769170000001</v>
      </c>
      <c r="G105" s="10">
        <v>2.5598309999999999E-2</v>
      </c>
      <c r="H105" s="49"/>
    </row>
    <row r="106" spans="1:8" ht="14.1" customHeight="1" x14ac:dyDescent="0.2">
      <c r="A106" s="1"/>
      <c r="B106" s="1"/>
      <c r="C106" s="11"/>
      <c r="D106" s="1"/>
      <c r="E106" s="1"/>
      <c r="F106" s="12"/>
      <c r="G106" s="12"/>
      <c r="H106" s="49"/>
    </row>
    <row r="107" spans="1:8" ht="14.1" customHeight="1" x14ac:dyDescent="0.2">
      <c r="A107" s="1"/>
      <c r="B107" s="1"/>
      <c r="C107" s="2" t="s">
        <v>149</v>
      </c>
      <c r="D107" s="1"/>
      <c r="E107" s="1"/>
      <c r="F107" s="9">
        <v>8120.2769170000001</v>
      </c>
      <c r="G107" s="10">
        <v>2.5598309999999999E-2</v>
      </c>
      <c r="H107" s="49"/>
    </row>
    <row r="108" spans="1:8" ht="14.1" customHeight="1" x14ac:dyDescent="0.2">
      <c r="A108" s="1"/>
      <c r="B108" s="1"/>
      <c r="C108" s="12"/>
      <c r="D108" s="1"/>
      <c r="E108" s="1"/>
      <c r="F108" s="1"/>
      <c r="G108" s="1"/>
      <c r="H108" s="49"/>
    </row>
    <row r="109" spans="1:8" ht="14.1" customHeight="1" x14ac:dyDescent="0.2">
      <c r="A109" s="1"/>
      <c r="B109" s="1"/>
      <c r="C109" s="2" t="s">
        <v>150</v>
      </c>
      <c r="D109" s="1"/>
      <c r="E109" s="1"/>
      <c r="F109" s="1"/>
      <c r="G109" s="1"/>
      <c r="H109" s="49"/>
    </row>
    <row r="110" spans="1:8" ht="14.1" customHeight="1" x14ac:dyDescent="0.2">
      <c r="A110" s="1"/>
      <c r="B110" s="1"/>
      <c r="C110" s="2" t="s">
        <v>151</v>
      </c>
      <c r="D110" s="1"/>
      <c r="E110" s="1"/>
      <c r="F110" s="1"/>
      <c r="G110" s="1"/>
      <c r="H110" s="49"/>
    </row>
    <row r="111" spans="1:8" ht="14.1" customHeight="1" x14ac:dyDescent="0.2">
      <c r="A111" s="1"/>
      <c r="B111" s="1"/>
      <c r="C111" s="2" t="s">
        <v>130</v>
      </c>
      <c r="D111" s="1"/>
      <c r="E111" s="1" t="s">
        <v>131</v>
      </c>
      <c r="F111" s="13">
        <v>0</v>
      </c>
      <c r="G111" s="14">
        <v>0</v>
      </c>
      <c r="H111" s="49"/>
    </row>
    <row r="112" spans="1:8" ht="14.1" customHeight="1" x14ac:dyDescent="0.2">
      <c r="A112" s="1"/>
      <c r="B112" s="1"/>
      <c r="C112" s="11"/>
      <c r="D112" s="1"/>
      <c r="E112" s="1"/>
      <c r="F112" s="12"/>
      <c r="G112" s="12"/>
      <c r="H112" s="49"/>
    </row>
    <row r="113" spans="1:14" ht="14.1" customHeight="1" x14ac:dyDescent="0.2">
      <c r="A113" s="1"/>
      <c r="B113" s="1"/>
      <c r="C113" s="2" t="s">
        <v>152</v>
      </c>
      <c r="D113" s="1"/>
      <c r="E113" s="1"/>
      <c r="F113" s="1"/>
      <c r="G113" s="1"/>
      <c r="H113" s="49"/>
    </row>
    <row r="114" spans="1:14" ht="14.1" customHeight="1" x14ac:dyDescent="0.2">
      <c r="A114" s="1"/>
      <c r="B114" s="1"/>
      <c r="C114" s="2" t="s">
        <v>153</v>
      </c>
      <c r="D114" s="1"/>
      <c r="E114" s="1"/>
      <c r="F114" s="1"/>
      <c r="G114" s="1"/>
      <c r="H114" s="49"/>
    </row>
    <row r="115" spans="1:14" ht="14.1" customHeight="1" x14ac:dyDescent="0.2">
      <c r="A115" s="1"/>
      <c r="B115" s="1"/>
      <c r="C115" s="2" t="s">
        <v>130</v>
      </c>
      <c r="D115" s="1"/>
      <c r="E115" s="1" t="s">
        <v>131</v>
      </c>
      <c r="F115" s="13">
        <v>0</v>
      </c>
      <c r="G115" s="14">
        <v>0</v>
      </c>
      <c r="H115" s="49"/>
    </row>
    <row r="116" spans="1:14" ht="14.1" customHeight="1" x14ac:dyDescent="0.2">
      <c r="A116" s="1"/>
      <c r="B116" s="1"/>
      <c r="C116" s="11"/>
      <c r="D116" s="1"/>
      <c r="E116" s="1"/>
      <c r="F116" s="12"/>
      <c r="G116" s="12"/>
      <c r="H116" s="49"/>
    </row>
    <row r="117" spans="1:14" ht="14.1" customHeight="1" x14ac:dyDescent="0.2">
      <c r="A117" s="1"/>
      <c r="B117" s="1"/>
      <c r="C117" s="11"/>
      <c r="D117" s="1"/>
      <c r="E117" s="1"/>
      <c r="F117" s="12"/>
      <c r="G117" s="12"/>
      <c r="H117" s="49"/>
    </row>
    <row r="118" spans="1:14" ht="24" customHeight="1" x14ac:dyDescent="0.2">
      <c r="A118" s="1"/>
      <c r="B118" s="1"/>
      <c r="C118" s="2" t="s">
        <v>154</v>
      </c>
      <c r="D118" s="1"/>
      <c r="E118" s="1"/>
      <c r="F118" s="12"/>
      <c r="G118" s="12"/>
      <c r="H118" s="49"/>
    </row>
    <row r="119" spans="1:14" ht="14.1" customHeight="1" x14ac:dyDescent="0.2">
      <c r="A119" s="1"/>
      <c r="B119" s="1"/>
      <c r="C119" s="2" t="s">
        <v>130</v>
      </c>
      <c r="D119" s="1"/>
      <c r="E119" s="1" t="s">
        <v>131</v>
      </c>
      <c r="F119" s="13">
        <v>0</v>
      </c>
      <c r="G119" s="14">
        <v>0</v>
      </c>
      <c r="H119" s="49"/>
    </row>
    <row r="120" spans="1:14" ht="14.1" customHeight="1" x14ac:dyDescent="0.2">
      <c r="A120" s="1"/>
      <c r="B120" s="1"/>
      <c r="C120" s="11"/>
      <c r="D120" s="1"/>
      <c r="E120" s="1"/>
      <c r="F120" s="12"/>
      <c r="G120" s="12"/>
      <c r="H120" s="49"/>
    </row>
    <row r="121" spans="1:14" ht="14.1" customHeight="1" x14ac:dyDescent="0.2">
      <c r="A121" s="1"/>
      <c r="B121" s="4"/>
      <c r="C121" s="4"/>
      <c r="D121" s="2"/>
      <c r="E121" s="1"/>
      <c r="F121" s="4"/>
      <c r="G121" s="8"/>
      <c r="H121" s="49"/>
    </row>
    <row r="122" spans="1:14" ht="18" customHeight="1" x14ac:dyDescent="0.2">
      <c r="A122" s="8"/>
      <c r="B122" s="4"/>
      <c r="C122" s="39" t="s">
        <v>818</v>
      </c>
      <c r="D122" s="4"/>
      <c r="E122" s="8"/>
      <c r="F122" s="6">
        <v>273.04244471999999</v>
      </c>
      <c r="G122" s="7">
        <v>8.6073699999999998E-4</v>
      </c>
      <c r="H122" s="49"/>
    </row>
    <row r="123" spans="1:14" ht="14.1" customHeight="1" x14ac:dyDescent="0.2">
      <c r="A123" s="11"/>
      <c r="B123" s="11"/>
      <c r="C123" s="2" t="s">
        <v>156</v>
      </c>
      <c r="D123" s="15"/>
      <c r="E123" s="15"/>
      <c r="F123" s="9">
        <v>317219.26125688001</v>
      </c>
      <c r="G123" s="14">
        <v>1</v>
      </c>
      <c r="H123" s="49"/>
    </row>
    <row r="124" spans="1:14" ht="14.1" customHeight="1" x14ac:dyDescent="0.2">
      <c r="A124" s="16"/>
      <c r="B124" s="16"/>
      <c r="C124" s="16"/>
      <c r="D124" s="17"/>
      <c r="E124" s="17"/>
      <c r="F124" s="17"/>
      <c r="G124" s="17"/>
    </row>
    <row r="125" spans="1:14" ht="17.100000000000001" customHeight="1" x14ac:dyDescent="0.2">
      <c r="A125" s="18"/>
      <c r="B125" s="327" t="s">
        <v>582</v>
      </c>
      <c r="C125" s="327"/>
      <c r="D125" s="327"/>
      <c r="E125" s="327"/>
      <c r="F125" s="327"/>
      <c r="G125" s="20"/>
      <c r="J125" s="50"/>
      <c r="K125" s="50"/>
      <c r="L125" s="50"/>
      <c r="M125" s="50"/>
      <c r="N125" s="50"/>
    </row>
    <row r="126" spans="1:14" ht="17.100000000000001" customHeight="1" x14ac:dyDescent="0.2">
      <c r="A126" s="53"/>
      <c r="B126" s="322" t="s">
        <v>819</v>
      </c>
      <c r="C126" s="322"/>
      <c r="D126" s="322"/>
      <c r="E126" s="322"/>
      <c r="F126" s="322"/>
      <c r="G126" s="54"/>
      <c r="I126" s="50"/>
    </row>
    <row r="127" spans="1:14" ht="17.100000000000001" customHeight="1" x14ac:dyDescent="0.2">
      <c r="A127" s="18"/>
      <c r="B127" s="327" t="s">
        <v>157</v>
      </c>
      <c r="C127" s="327"/>
      <c r="D127" s="327"/>
      <c r="E127" s="327"/>
      <c r="F127" s="327"/>
      <c r="G127" s="20"/>
    </row>
    <row r="128" spans="1:14" ht="14.1" customHeight="1" x14ac:dyDescent="0.2">
      <c r="A128" s="18"/>
      <c r="B128" s="18"/>
      <c r="C128" s="18"/>
      <c r="D128" s="20"/>
      <c r="E128" s="20"/>
      <c r="F128" s="20"/>
      <c r="G128" s="20"/>
    </row>
    <row r="129" spans="1:7" ht="14.1" customHeight="1" x14ac:dyDescent="0.2">
      <c r="A129" s="18"/>
      <c r="B129" s="319" t="s">
        <v>158</v>
      </c>
      <c r="C129" s="320"/>
      <c r="D129" s="12" t="s">
        <v>131</v>
      </c>
      <c r="E129" s="21"/>
      <c r="F129" s="20"/>
      <c r="G129" s="20"/>
    </row>
    <row r="130" spans="1:7" ht="29.1" customHeight="1" x14ac:dyDescent="0.2">
      <c r="A130" s="18"/>
      <c r="B130" s="323" t="s">
        <v>159</v>
      </c>
      <c r="C130" s="324"/>
      <c r="D130" s="2" t="s">
        <v>160</v>
      </c>
      <c r="E130" s="21"/>
      <c r="F130" s="20"/>
      <c r="G130" s="20"/>
    </row>
    <row r="131" spans="1:7" ht="17.100000000000001" customHeight="1" x14ac:dyDescent="0.2">
      <c r="A131" s="18"/>
      <c r="B131" s="323" t="s">
        <v>161</v>
      </c>
      <c r="C131" s="324"/>
      <c r="D131" s="2" t="s">
        <v>160</v>
      </c>
      <c r="E131" s="21"/>
      <c r="F131" s="20"/>
      <c r="G131" s="20"/>
    </row>
    <row r="132" spans="1:7" ht="17.100000000000001" customHeight="1" x14ac:dyDescent="0.2">
      <c r="A132" s="18"/>
      <c r="B132" s="323" t="s">
        <v>162</v>
      </c>
      <c r="C132" s="324"/>
      <c r="D132" s="12" t="s">
        <v>131</v>
      </c>
      <c r="E132" s="21"/>
      <c r="F132" s="20"/>
      <c r="G132" s="20"/>
    </row>
    <row r="133" spans="1:7" ht="24" customHeight="1" x14ac:dyDescent="0.2">
      <c r="A133" s="22"/>
      <c r="B133" s="23" t="s">
        <v>131</v>
      </c>
      <c r="C133" s="23" t="s">
        <v>163</v>
      </c>
      <c r="D133" s="23" t="s">
        <v>164</v>
      </c>
      <c r="E133" s="22"/>
      <c r="F133" s="22"/>
      <c r="G133" s="22"/>
    </row>
    <row r="134" spans="1:7" ht="18" customHeight="1" x14ac:dyDescent="0.2">
      <c r="A134" s="22"/>
      <c r="B134" s="23" t="s">
        <v>165</v>
      </c>
      <c r="C134" s="23" t="s">
        <v>166</v>
      </c>
      <c r="D134" s="23" t="s">
        <v>167</v>
      </c>
      <c r="E134" s="22"/>
      <c r="F134" s="22"/>
      <c r="G134" s="22"/>
    </row>
    <row r="135" spans="1:7" ht="17.100000000000001" customHeight="1" x14ac:dyDescent="0.2">
      <c r="A135" s="22"/>
      <c r="B135" s="4" t="s">
        <v>168</v>
      </c>
      <c r="C135" s="24">
        <v>15.916399999999999</v>
      </c>
      <c r="D135" s="24">
        <v>16.505600000000001</v>
      </c>
      <c r="E135" s="22"/>
      <c r="F135" s="19"/>
      <c r="G135" s="25"/>
    </row>
    <row r="136" spans="1:7" ht="17.100000000000001" customHeight="1" x14ac:dyDescent="0.2">
      <c r="A136" s="22"/>
      <c r="B136" s="4" t="s">
        <v>1021</v>
      </c>
      <c r="C136" s="24">
        <v>14.8278</v>
      </c>
      <c r="D136" s="24">
        <v>14.845700000000001</v>
      </c>
      <c r="E136" s="22"/>
      <c r="F136" s="19"/>
      <c r="G136" s="25"/>
    </row>
    <row r="137" spans="1:7" ht="17.100000000000001" customHeight="1" x14ac:dyDescent="0.2">
      <c r="A137" s="22"/>
      <c r="B137" s="4" t="s">
        <v>169</v>
      </c>
      <c r="C137" s="24">
        <v>15.3581</v>
      </c>
      <c r="D137" s="24">
        <v>15.9087</v>
      </c>
      <c r="E137" s="22"/>
      <c r="F137" s="19"/>
      <c r="G137" s="25"/>
    </row>
    <row r="138" spans="1:7" ht="17.100000000000001" customHeight="1" x14ac:dyDescent="0.2">
      <c r="A138" s="22"/>
      <c r="B138" s="4" t="s">
        <v>1022</v>
      </c>
      <c r="C138" s="24">
        <v>14.309200000000001</v>
      </c>
      <c r="D138" s="24">
        <v>14.3094</v>
      </c>
      <c r="E138" s="22"/>
      <c r="F138" s="19"/>
      <c r="G138" s="25"/>
    </row>
    <row r="139" spans="1:7" ht="14.1" customHeight="1" x14ac:dyDescent="0.2">
      <c r="A139" s="22"/>
      <c r="B139" s="22"/>
      <c r="C139" s="22"/>
      <c r="D139" s="22"/>
      <c r="E139" s="22"/>
      <c r="F139" s="22"/>
      <c r="G139" s="22"/>
    </row>
    <row r="140" spans="1:7" ht="17.100000000000001" customHeight="1" x14ac:dyDescent="0.2">
      <c r="A140" s="61"/>
      <c r="B140" s="325" t="s">
        <v>1023</v>
      </c>
      <c r="C140" s="326"/>
      <c r="D140" s="57" t="s">
        <v>131</v>
      </c>
      <c r="E140" s="61"/>
      <c r="F140" s="61"/>
      <c r="G140" s="61"/>
    </row>
    <row r="141" spans="1:7" ht="18" customHeight="1" x14ac:dyDescent="0.2">
      <c r="A141" s="61"/>
      <c r="B141" s="62" t="s">
        <v>165</v>
      </c>
      <c r="C141" s="63" t="s">
        <v>820</v>
      </c>
      <c r="D141" s="63" t="s">
        <v>821</v>
      </c>
      <c r="E141" s="61"/>
      <c r="F141" s="61"/>
      <c r="G141" s="61"/>
    </row>
    <row r="142" spans="1:7" ht="29.1" customHeight="1" x14ac:dyDescent="0.2">
      <c r="A142" s="61"/>
      <c r="B142" s="39" t="s">
        <v>1021</v>
      </c>
      <c r="C142" s="64">
        <v>0.52500000000000002</v>
      </c>
      <c r="D142" s="64">
        <v>0.52500000000000002</v>
      </c>
      <c r="E142" s="61"/>
      <c r="F142" s="56"/>
      <c r="G142" s="65"/>
    </row>
    <row r="143" spans="1:7" ht="29.1" customHeight="1" x14ac:dyDescent="0.2">
      <c r="A143" s="61"/>
      <c r="B143" s="39" t="s">
        <v>1022</v>
      </c>
      <c r="C143" s="64">
        <v>0.50700000000000001</v>
      </c>
      <c r="D143" s="64">
        <v>0.50700000000000001</v>
      </c>
      <c r="E143" s="61"/>
      <c r="F143" s="56"/>
      <c r="G143" s="65"/>
    </row>
    <row r="144" spans="1:7" ht="14.1" customHeight="1" x14ac:dyDescent="0.2">
      <c r="A144" s="22"/>
      <c r="B144" s="19"/>
      <c r="C144" s="19"/>
      <c r="D144" s="22"/>
      <c r="E144" s="22"/>
      <c r="F144" s="22"/>
      <c r="G144" s="22"/>
    </row>
    <row r="145" spans="1:7" ht="29.1" customHeight="1" x14ac:dyDescent="0.2">
      <c r="A145" s="22"/>
      <c r="B145" s="323" t="s">
        <v>170</v>
      </c>
      <c r="C145" s="324"/>
      <c r="D145" s="2" t="s">
        <v>160</v>
      </c>
      <c r="E145" s="22"/>
      <c r="F145" s="22"/>
      <c r="G145" s="22"/>
    </row>
    <row r="146" spans="1:7" ht="29.1" customHeight="1" x14ac:dyDescent="0.2">
      <c r="A146" s="22"/>
      <c r="B146" s="323" t="s">
        <v>171</v>
      </c>
      <c r="C146" s="324"/>
      <c r="D146" s="2" t="s">
        <v>160</v>
      </c>
      <c r="E146" s="22"/>
      <c r="F146" s="22"/>
      <c r="G146" s="22"/>
    </row>
    <row r="147" spans="1:7" ht="17.100000000000001" customHeight="1" x14ac:dyDescent="0.2">
      <c r="A147" s="22"/>
      <c r="B147" s="323" t="s">
        <v>172</v>
      </c>
      <c r="C147" s="324"/>
      <c r="D147" s="27">
        <v>0.50988168218775598</v>
      </c>
      <c r="E147" s="22"/>
      <c r="F147" s="19"/>
      <c r="G147" s="25"/>
    </row>
    <row r="148" spans="1:7" ht="17.100000000000001" customHeight="1" x14ac:dyDescent="0.2">
      <c r="A148" s="22"/>
      <c r="B148" s="323" t="s">
        <v>173</v>
      </c>
      <c r="C148" s="324"/>
      <c r="D148" s="2" t="s">
        <v>160</v>
      </c>
      <c r="E148" s="22"/>
      <c r="F148" s="22"/>
      <c r="G148" s="22"/>
    </row>
  </sheetData>
  <mergeCells count="16">
    <mergeCell ref="B147:C147"/>
    <mergeCell ref="B148:C148"/>
    <mergeCell ref="B130:C130"/>
    <mergeCell ref="B131:C131"/>
    <mergeCell ref="B132:C132"/>
    <mergeCell ref="B140:C140"/>
    <mergeCell ref="B145:C145"/>
    <mergeCell ref="B146:C146"/>
    <mergeCell ref="A1:H1"/>
    <mergeCell ref="A2:H2"/>
    <mergeCell ref="A3:H3"/>
    <mergeCell ref="J2:N2"/>
    <mergeCell ref="B129:C129"/>
    <mergeCell ref="B125:F125"/>
    <mergeCell ref="B127:F127"/>
    <mergeCell ref="B126:F126"/>
  </mergeCells>
  <hyperlinks>
    <hyperlink ref="I1" location="Index!B35" display="Index" xr:uid="{959FA1FA-6406-4A7B-97EF-0FA241C97A4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O21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9.5703125" bestFit="1" customWidth="1"/>
    <col min="10" max="10" width="12" customWidth="1"/>
    <col min="15" max="15" width="9.140625" style="42"/>
  </cols>
  <sheetData>
    <row r="1" spans="1:15" ht="18" customHeight="1" x14ac:dyDescent="0.2">
      <c r="A1" s="315" t="s">
        <v>0</v>
      </c>
      <c r="B1" s="315"/>
      <c r="C1" s="315"/>
      <c r="D1" s="315"/>
      <c r="E1" s="315"/>
      <c r="F1" s="315"/>
      <c r="G1" s="315"/>
      <c r="H1" s="315"/>
      <c r="I1" s="219" t="s">
        <v>1069</v>
      </c>
      <c r="J1" s="50"/>
      <c r="K1" s="50"/>
      <c r="L1" s="50"/>
      <c r="M1" s="50"/>
      <c r="N1" s="50"/>
    </row>
    <row r="2" spans="1:15" ht="17.100000000000001" customHeight="1" x14ac:dyDescent="0.2">
      <c r="A2" s="316" t="s">
        <v>737</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c r="J3" s="50"/>
      <c r="K3" s="50"/>
      <c r="L3" s="50"/>
      <c r="M3" s="50"/>
      <c r="N3" s="50"/>
    </row>
    <row r="4" spans="1:15" s="85" customFormat="1" ht="30" x14ac:dyDescent="0.2">
      <c r="A4" s="84" t="s">
        <v>2</v>
      </c>
      <c r="B4" s="84" t="s">
        <v>3</v>
      </c>
      <c r="C4" s="84" t="s">
        <v>4</v>
      </c>
      <c r="D4" s="84" t="s">
        <v>5</v>
      </c>
      <c r="E4" s="84" t="s">
        <v>6</v>
      </c>
      <c r="F4" s="84" t="s">
        <v>7</v>
      </c>
      <c r="G4" s="84" t="s">
        <v>8</v>
      </c>
      <c r="H4" s="66" t="s">
        <v>989</v>
      </c>
      <c r="I4" s="216"/>
      <c r="J4" s="220"/>
      <c r="K4" s="220"/>
      <c r="L4" s="220"/>
      <c r="M4" s="220"/>
      <c r="N4" s="220"/>
      <c r="O4" s="216"/>
    </row>
    <row r="5" spans="1:15" ht="14.1" customHeight="1" x14ac:dyDescent="0.2">
      <c r="A5" s="1"/>
      <c r="B5" s="1"/>
      <c r="C5" s="2" t="s">
        <v>9</v>
      </c>
      <c r="D5" s="1"/>
      <c r="E5" s="1"/>
      <c r="F5" s="1"/>
      <c r="G5" s="1"/>
      <c r="H5" s="49"/>
      <c r="J5" s="50"/>
      <c r="K5" s="50"/>
      <c r="L5" s="50"/>
      <c r="M5" s="50"/>
      <c r="N5" s="50"/>
    </row>
    <row r="6" spans="1:15" ht="24" customHeight="1" x14ac:dyDescent="0.2">
      <c r="A6" s="1"/>
      <c r="B6" s="1"/>
      <c r="C6" s="2" t="s">
        <v>10</v>
      </c>
      <c r="D6" s="1"/>
      <c r="E6" s="1"/>
      <c r="F6" s="1"/>
      <c r="G6" s="1"/>
      <c r="H6" s="49"/>
      <c r="J6" s="50"/>
      <c r="K6" s="50"/>
      <c r="L6" s="50"/>
      <c r="M6" s="50"/>
      <c r="N6" s="50"/>
    </row>
    <row r="7" spans="1:15" ht="17.100000000000001" customHeight="1" x14ac:dyDescent="0.2">
      <c r="A7" s="3">
        <v>1</v>
      </c>
      <c r="B7" s="4" t="s">
        <v>20</v>
      </c>
      <c r="C7" s="4" t="s">
        <v>21</v>
      </c>
      <c r="D7" s="4" t="s">
        <v>22</v>
      </c>
      <c r="E7" s="5">
        <v>510000</v>
      </c>
      <c r="F7" s="6">
        <v>13929.885</v>
      </c>
      <c r="G7" s="7">
        <v>7.3279891999999999E-2</v>
      </c>
      <c r="H7" s="49"/>
      <c r="J7" s="50"/>
      <c r="K7" s="50"/>
      <c r="L7" s="50"/>
      <c r="M7" s="50"/>
      <c r="N7" s="50"/>
    </row>
    <row r="8" spans="1:15" ht="17.100000000000001" customHeight="1" x14ac:dyDescent="0.2">
      <c r="A8" s="3">
        <v>2</v>
      </c>
      <c r="B8" s="4" t="s">
        <v>14</v>
      </c>
      <c r="C8" s="4" t="s">
        <v>15</v>
      </c>
      <c r="D8" s="4" t="s">
        <v>16</v>
      </c>
      <c r="E8" s="5">
        <v>1103000</v>
      </c>
      <c r="F8" s="6">
        <v>10510.486999999999</v>
      </c>
      <c r="G8" s="7">
        <v>5.5291724E-2</v>
      </c>
      <c r="H8" s="49"/>
      <c r="J8" s="50"/>
      <c r="K8" s="50"/>
      <c r="L8" s="50"/>
      <c r="M8" s="50"/>
      <c r="N8" s="50"/>
    </row>
    <row r="9" spans="1:15" ht="29.1" customHeight="1" x14ac:dyDescent="0.2">
      <c r="A9" s="3">
        <v>3</v>
      </c>
      <c r="B9" s="4" t="s">
        <v>296</v>
      </c>
      <c r="C9" s="4" t="s">
        <v>297</v>
      </c>
      <c r="D9" s="4" t="s">
        <v>103</v>
      </c>
      <c r="E9" s="5">
        <v>296000</v>
      </c>
      <c r="F9" s="6">
        <v>7969.9480000000003</v>
      </c>
      <c r="G9" s="7">
        <v>4.1926903000000001E-2</v>
      </c>
      <c r="H9" s="49"/>
      <c r="J9" s="50"/>
      <c r="K9" s="50"/>
      <c r="L9" s="50"/>
      <c r="M9" s="50"/>
      <c r="N9" s="50"/>
    </row>
    <row r="10" spans="1:15" ht="17.100000000000001" customHeight="1" x14ac:dyDescent="0.2">
      <c r="A10" s="3">
        <v>4</v>
      </c>
      <c r="B10" s="4" t="s">
        <v>39</v>
      </c>
      <c r="C10" s="4" t="s">
        <v>40</v>
      </c>
      <c r="D10" s="4" t="s">
        <v>16</v>
      </c>
      <c r="E10" s="5">
        <v>1289000</v>
      </c>
      <c r="F10" s="6">
        <v>7765.5805</v>
      </c>
      <c r="G10" s="7">
        <v>4.0851802E-2</v>
      </c>
      <c r="H10" s="49"/>
      <c r="J10" s="50"/>
      <c r="K10" s="50"/>
      <c r="L10" s="50"/>
      <c r="M10" s="50"/>
      <c r="N10" s="50"/>
    </row>
    <row r="11" spans="1:15" ht="17.100000000000001" customHeight="1" x14ac:dyDescent="0.2">
      <c r="A11" s="3">
        <v>5</v>
      </c>
      <c r="B11" s="4" t="s">
        <v>263</v>
      </c>
      <c r="C11" s="4" t="s">
        <v>264</v>
      </c>
      <c r="D11" s="4" t="s">
        <v>16</v>
      </c>
      <c r="E11" s="5">
        <v>466000</v>
      </c>
      <c r="F11" s="6">
        <v>7495.3770000000004</v>
      </c>
      <c r="G11" s="7">
        <v>3.9430363000000003E-2</v>
      </c>
      <c r="H11" s="49"/>
      <c r="J11" s="50"/>
      <c r="K11" s="50"/>
      <c r="L11" s="50"/>
      <c r="M11" s="50"/>
      <c r="N11" s="50"/>
    </row>
    <row r="12" spans="1:15" ht="17.100000000000001" customHeight="1" x14ac:dyDescent="0.2">
      <c r="A12" s="3">
        <v>6</v>
      </c>
      <c r="B12" s="4" t="s">
        <v>294</v>
      </c>
      <c r="C12" s="4" t="s">
        <v>295</v>
      </c>
      <c r="D12" s="4" t="s">
        <v>974</v>
      </c>
      <c r="E12" s="5">
        <v>366000</v>
      </c>
      <c r="F12" s="6">
        <v>5983.9170000000004</v>
      </c>
      <c r="G12" s="7">
        <v>3.1479139000000003E-2</v>
      </c>
      <c r="H12" s="49"/>
      <c r="J12" s="50"/>
      <c r="K12" s="50"/>
      <c r="L12" s="50"/>
      <c r="M12" s="50"/>
      <c r="N12" s="50"/>
    </row>
    <row r="13" spans="1:15" ht="17.100000000000001" customHeight="1" x14ac:dyDescent="0.2">
      <c r="A13" s="3">
        <v>7</v>
      </c>
      <c r="B13" s="4" t="s">
        <v>180</v>
      </c>
      <c r="C13" s="4" t="s">
        <v>181</v>
      </c>
      <c r="D13" s="4" t="s">
        <v>16</v>
      </c>
      <c r="E13" s="5">
        <v>532000</v>
      </c>
      <c r="F13" s="6">
        <v>4794.6499999999996</v>
      </c>
      <c r="G13" s="7">
        <v>2.5222853E-2</v>
      </c>
      <c r="H13" s="49"/>
      <c r="J13" s="217" t="s">
        <v>1102</v>
      </c>
      <c r="L13" s="50"/>
      <c r="M13" s="50"/>
      <c r="N13" s="50"/>
    </row>
    <row r="14" spans="1:15" ht="17.100000000000001" customHeight="1" x14ac:dyDescent="0.2">
      <c r="A14" s="3">
        <v>8</v>
      </c>
      <c r="B14" s="4" t="s">
        <v>70</v>
      </c>
      <c r="C14" s="4" t="s">
        <v>71</v>
      </c>
      <c r="D14" s="4" t="s">
        <v>72</v>
      </c>
      <c r="E14" s="5">
        <v>52000</v>
      </c>
      <c r="F14" s="6">
        <v>4666.558</v>
      </c>
      <c r="G14" s="7">
        <v>2.4549009E-2</v>
      </c>
      <c r="H14" s="49"/>
      <c r="J14" s="50"/>
      <c r="K14" s="50"/>
      <c r="L14" s="50"/>
      <c r="M14" s="50"/>
      <c r="N14" s="50"/>
    </row>
    <row r="15" spans="1:15" ht="17.100000000000001" customHeight="1" x14ac:dyDescent="0.2">
      <c r="A15" s="3">
        <v>9</v>
      </c>
      <c r="B15" s="4" t="s">
        <v>73</v>
      </c>
      <c r="C15" s="4" t="s">
        <v>74</v>
      </c>
      <c r="D15" s="4" t="s">
        <v>38</v>
      </c>
      <c r="E15" s="5">
        <v>1499779</v>
      </c>
      <c r="F15" s="6">
        <v>4303.6158404999996</v>
      </c>
      <c r="G15" s="7">
        <v>2.2639705999999999E-2</v>
      </c>
      <c r="H15" s="49"/>
      <c r="J15" s="50"/>
      <c r="K15" s="50"/>
      <c r="L15" s="50"/>
      <c r="M15" s="50"/>
      <c r="N15" s="50"/>
    </row>
    <row r="16" spans="1:15" ht="17.100000000000001" customHeight="1" x14ac:dyDescent="0.2">
      <c r="A16" s="3">
        <v>10</v>
      </c>
      <c r="B16" s="4" t="s">
        <v>11</v>
      </c>
      <c r="C16" s="4" t="s">
        <v>12</v>
      </c>
      <c r="D16" s="4" t="s">
        <v>13</v>
      </c>
      <c r="E16" s="5">
        <v>207000</v>
      </c>
      <c r="F16" s="6">
        <v>4294.9395000000004</v>
      </c>
      <c r="G16" s="7">
        <v>2.2594063000000001E-2</v>
      </c>
      <c r="H16" s="49"/>
      <c r="J16" s="50"/>
      <c r="K16" s="50"/>
      <c r="L16" s="50"/>
      <c r="M16" s="50"/>
      <c r="N16" s="50"/>
    </row>
    <row r="17" spans="1:14" ht="53.1" customHeight="1" x14ac:dyDescent="0.2">
      <c r="A17" s="3">
        <v>11</v>
      </c>
      <c r="B17" s="4" t="s">
        <v>49</v>
      </c>
      <c r="C17" s="4" t="s">
        <v>50</v>
      </c>
      <c r="D17" s="4" t="s">
        <v>51</v>
      </c>
      <c r="E17" s="5">
        <v>2837000</v>
      </c>
      <c r="F17" s="6">
        <v>4221.4560000000001</v>
      </c>
      <c r="G17" s="7">
        <v>2.2207494000000001E-2</v>
      </c>
      <c r="H17" s="49"/>
      <c r="J17" s="50"/>
      <c r="K17" s="50"/>
      <c r="L17" s="50"/>
      <c r="M17" s="50"/>
      <c r="N17" s="50"/>
    </row>
    <row r="18" spans="1:14" ht="17.100000000000001" customHeight="1" x14ac:dyDescent="0.2">
      <c r="A18" s="3">
        <v>12</v>
      </c>
      <c r="B18" s="4" t="s">
        <v>302</v>
      </c>
      <c r="C18" s="4" t="s">
        <v>303</v>
      </c>
      <c r="D18" s="4" t="s">
        <v>974</v>
      </c>
      <c r="E18" s="5">
        <v>101000</v>
      </c>
      <c r="F18" s="6">
        <v>3424.7080000000001</v>
      </c>
      <c r="G18" s="7">
        <v>1.8016101999999999E-2</v>
      </c>
      <c r="H18" s="49"/>
      <c r="J18" s="50"/>
      <c r="K18" s="50"/>
      <c r="L18" s="50"/>
      <c r="M18" s="50"/>
      <c r="N18" s="50"/>
    </row>
    <row r="19" spans="1:14" ht="17.100000000000001" customHeight="1" x14ac:dyDescent="0.2">
      <c r="A19" s="3">
        <v>13</v>
      </c>
      <c r="B19" s="4" t="s">
        <v>372</v>
      </c>
      <c r="C19" s="4" t="s">
        <v>373</v>
      </c>
      <c r="D19" s="4" t="s">
        <v>103</v>
      </c>
      <c r="E19" s="5">
        <v>604000</v>
      </c>
      <c r="F19" s="6">
        <v>3340.422</v>
      </c>
      <c r="G19" s="7">
        <v>1.7572705000000001E-2</v>
      </c>
      <c r="H19" s="49"/>
      <c r="J19" s="50"/>
      <c r="K19" s="50"/>
      <c r="L19" s="50"/>
      <c r="M19" s="50"/>
      <c r="N19" s="50"/>
    </row>
    <row r="20" spans="1:14" ht="29.1" customHeight="1" x14ac:dyDescent="0.2">
      <c r="A20" s="3">
        <v>14</v>
      </c>
      <c r="B20" s="4" t="s">
        <v>23</v>
      </c>
      <c r="C20" s="4" t="s">
        <v>24</v>
      </c>
      <c r="D20" s="4" t="s">
        <v>25</v>
      </c>
      <c r="E20" s="5">
        <v>45000</v>
      </c>
      <c r="F20" s="6">
        <v>3184.65</v>
      </c>
      <c r="G20" s="7">
        <v>1.6753246999999999E-2</v>
      </c>
      <c r="H20" s="49"/>
      <c r="J20" s="50"/>
      <c r="K20" s="50"/>
      <c r="L20" s="50"/>
      <c r="M20" s="50"/>
      <c r="N20" s="50"/>
    </row>
    <row r="21" spans="1:14" ht="17.100000000000001" customHeight="1" x14ac:dyDescent="0.2">
      <c r="A21" s="3">
        <v>15</v>
      </c>
      <c r="B21" s="4" t="s">
        <v>313</v>
      </c>
      <c r="C21" s="4" t="s">
        <v>314</v>
      </c>
      <c r="D21" s="4" t="s">
        <v>308</v>
      </c>
      <c r="E21" s="5">
        <v>870000</v>
      </c>
      <c r="F21" s="6">
        <v>2958</v>
      </c>
      <c r="G21" s="7">
        <v>1.5560927E-2</v>
      </c>
      <c r="H21" s="49"/>
      <c r="J21" s="217" t="s">
        <v>1103</v>
      </c>
      <c r="K21" s="50"/>
      <c r="L21" s="50"/>
      <c r="M21" s="50"/>
      <c r="N21" s="50"/>
    </row>
    <row r="22" spans="1:14" ht="17.100000000000001" customHeight="1" x14ac:dyDescent="0.2">
      <c r="A22" s="3">
        <v>16</v>
      </c>
      <c r="B22" s="4" t="s">
        <v>334</v>
      </c>
      <c r="C22" s="4" t="s">
        <v>335</v>
      </c>
      <c r="D22" s="4" t="s">
        <v>16</v>
      </c>
      <c r="E22" s="5">
        <v>248000</v>
      </c>
      <c r="F22" s="6">
        <v>2896.1439999999998</v>
      </c>
      <c r="G22" s="7">
        <v>1.5235525999999999E-2</v>
      </c>
      <c r="H22" s="49"/>
      <c r="J22" s="50"/>
      <c r="K22" s="50"/>
      <c r="L22" s="50"/>
      <c r="M22" s="50"/>
      <c r="N22" s="50"/>
    </row>
    <row r="23" spans="1:14" ht="17.100000000000001" customHeight="1" x14ac:dyDescent="0.2">
      <c r="A23" s="3">
        <v>17</v>
      </c>
      <c r="B23" s="4" t="s">
        <v>586</v>
      </c>
      <c r="C23" s="4" t="s">
        <v>587</v>
      </c>
      <c r="D23" s="4" t="s">
        <v>43</v>
      </c>
      <c r="E23" s="5">
        <v>132000</v>
      </c>
      <c r="F23" s="6">
        <v>2557.4340000000002</v>
      </c>
      <c r="G23" s="7">
        <v>1.3453700000000001E-2</v>
      </c>
      <c r="H23" s="49"/>
      <c r="J23" s="50"/>
      <c r="K23" s="50"/>
      <c r="L23" s="50"/>
      <c r="M23" s="50"/>
      <c r="N23" s="50"/>
    </row>
    <row r="24" spans="1:14" ht="17.100000000000001" customHeight="1" x14ac:dyDescent="0.2">
      <c r="A24" s="3">
        <v>18</v>
      </c>
      <c r="B24" s="4" t="s">
        <v>306</v>
      </c>
      <c r="C24" s="4" t="s">
        <v>307</v>
      </c>
      <c r="D24" s="4" t="s">
        <v>308</v>
      </c>
      <c r="E24" s="5">
        <v>88000</v>
      </c>
      <c r="F24" s="6">
        <v>2362.2280000000001</v>
      </c>
      <c r="G24" s="7">
        <v>1.2426794E-2</v>
      </c>
      <c r="H24" s="49"/>
      <c r="J24" s="50"/>
      <c r="K24" s="50"/>
      <c r="L24" s="50"/>
      <c r="M24" s="50"/>
      <c r="N24" s="50"/>
    </row>
    <row r="25" spans="1:14" ht="17.100000000000001" customHeight="1" x14ac:dyDescent="0.2">
      <c r="A25" s="3">
        <v>19</v>
      </c>
      <c r="B25" s="4" t="s">
        <v>498</v>
      </c>
      <c r="C25" s="4" t="s">
        <v>499</v>
      </c>
      <c r="D25" s="4" t="s">
        <v>317</v>
      </c>
      <c r="E25" s="5">
        <v>50000</v>
      </c>
      <c r="F25" s="6">
        <v>2202.6750000000002</v>
      </c>
      <c r="G25" s="7">
        <v>1.1587446E-2</v>
      </c>
      <c r="H25" s="49"/>
      <c r="J25" s="50"/>
      <c r="K25" s="50"/>
      <c r="L25" s="50"/>
      <c r="M25" s="50"/>
      <c r="N25" s="50"/>
    </row>
    <row r="26" spans="1:14" ht="17.100000000000001" customHeight="1" x14ac:dyDescent="0.2">
      <c r="A26" s="3">
        <v>20</v>
      </c>
      <c r="B26" s="4" t="s">
        <v>588</v>
      </c>
      <c r="C26" s="4" t="s">
        <v>589</v>
      </c>
      <c r="D26" s="4" t="s">
        <v>179</v>
      </c>
      <c r="E26" s="5">
        <v>235000</v>
      </c>
      <c r="F26" s="6">
        <v>2190.9050000000002</v>
      </c>
      <c r="G26" s="7">
        <v>1.1525528E-2</v>
      </c>
      <c r="H26" s="49"/>
      <c r="J26" s="50"/>
      <c r="K26" s="50"/>
      <c r="L26" s="50"/>
      <c r="M26" s="50"/>
      <c r="N26" s="50"/>
    </row>
    <row r="27" spans="1:14" ht="17.100000000000001" customHeight="1" x14ac:dyDescent="0.2">
      <c r="A27" s="3">
        <v>21</v>
      </c>
      <c r="B27" s="4" t="s">
        <v>340</v>
      </c>
      <c r="C27" s="4" t="s">
        <v>341</v>
      </c>
      <c r="D27" s="4" t="s">
        <v>16</v>
      </c>
      <c r="E27" s="5">
        <v>667000</v>
      </c>
      <c r="F27" s="6">
        <v>2099.049</v>
      </c>
      <c r="G27" s="7">
        <v>1.1042308000000001E-2</v>
      </c>
      <c r="H27" s="49"/>
      <c r="J27" s="50"/>
      <c r="K27" s="50"/>
      <c r="L27" s="50"/>
      <c r="M27" s="50"/>
      <c r="N27" s="50"/>
    </row>
    <row r="28" spans="1:14" ht="17.100000000000001" customHeight="1" x14ac:dyDescent="0.2">
      <c r="A28" s="3">
        <v>22</v>
      </c>
      <c r="B28" s="4" t="s">
        <v>352</v>
      </c>
      <c r="C28" s="4" t="s">
        <v>353</v>
      </c>
      <c r="D28" s="4" t="s">
        <v>72</v>
      </c>
      <c r="E28" s="5">
        <v>471000</v>
      </c>
      <c r="F28" s="6">
        <v>2069.5740000000001</v>
      </c>
      <c r="G28" s="7">
        <v>1.0887251000000001E-2</v>
      </c>
      <c r="H28" s="49"/>
      <c r="J28" s="50"/>
      <c r="K28" s="50"/>
      <c r="L28" s="50"/>
      <c r="M28" s="50"/>
      <c r="N28" s="50"/>
    </row>
    <row r="29" spans="1:14" ht="29.1" customHeight="1" x14ac:dyDescent="0.2">
      <c r="A29" s="3">
        <v>23</v>
      </c>
      <c r="B29" s="4" t="s">
        <v>304</v>
      </c>
      <c r="C29" s="4" t="s">
        <v>305</v>
      </c>
      <c r="D29" s="4" t="s">
        <v>215</v>
      </c>
      <c r="E29" s="5">
        <v>197398</v>
      </c>
      <c r="F29" s="6">
        <v>2064.8817789999998</v>
      </c>
      <c r="G29" s="7">
        <v>1.0862567E-2</v>
      </c>
      <c r="H29" s="49"/>
    </row>
    <row r="30" spans="1:14" ht="29.1" customHeight="1" x14ac:dyDescent="0.2">
      <c r="A30" s="3">
        <v>24</v>
      </c>
      <c r="B30" s="4" t="s">
        <v>101</v>
      </c>
      <c r="C30" s="4" t="s">
        <v>102</v>
      </c>
      <c r="D30" s="4" t="s">
        <v>103</v>
      </c>
      <c r="E30" s="5">
        <v>284000</v>
      </c>
      <c r="F30" s="6">
        <v>2030.174</v>
      </c>
      <c r="G30" s="7">
        <v>1.0679983000000001E-2</v>
      </c>
      <c r="H30" s="49"/>
    </row>
    <row r="31" spans="1:14" ht="17.100000000000001" customHeight="1" x14ac:dyDescent="0.2">
      <c r="A31" s="3">
        <v>25</v>
      </c>
      <c r="B31" s="4" t="s">
        <v>104</v>
      </c>
      <c r="C31" s="4" t="s">
        <v>105</v>
      </c>
      <c r="D31" s="4" t="s">
        <v>100</v>
      </c>
      <c r="E31" s="5">
        <v>202000</v>
      </c>
      <c r="F31" s="6">
        <v>1866.278</v>
      </c>
      <c r="G31" s="7">
        <v>9.8177869999999997E-3</v>
      </c>
      <c r="H31" s="49"/>
    </row>
    <row r="32" spans="1:14" ht="17.100000000000001" customHeight="1" x14ac:dyDescent="0.2">
      <c r="A32" s="3">
        <v>26</v>
      </c>
      <c r="B32" s="4" t="s">
        <v>17</v>
      </c>
      <c r="C32" s="4" t="s">
        <v>18</v>
      </c>
      <c r="D32" s="4" t="s">
        <v>19</v>
      </c>
      <c r="E32" s="5">
        <v>215000</v>
      </c>
      <c r="F32" s="6">
        <v>1824.8125</v>
      </c>
      <c r="G32" s="7">
        <v>9.5996529999999997E-3</v>
      </c>
      <c r="H32" s="49"/>
    </row>
    <row r="33" spans="1:8" ht="17.100000000000001" customHeight="1" x14ac:dyDescent="0.2">
      <c r="A33" s="3">
        <v>27</v>
      </c>
      <c r="B33" s="4" t="s">
        <v>521</v>
      </c>
      <c r="C33" s="4" t="s">
        <v>522</v>
      </c>
      <c r="D33" s="4" t="s">
        <v>108</v>
      </c>
      <c r="E33" s="5">
        <v>107009</v>
      </c>
      <c r="F33" s="6">
        <v>1718.6715489999999</v>
      </c>
      <c r="G33" s="7">
        <v>9.0412849999999996E-3</v>
      </c>
      <c r="H33" s="49"/>
    </row>
    <row r="34" spans="1:8" ht="17.100000000000001" customHeight="1" x14ac:dyDescent="0.2">
      <c r="A34" s="3">
        <v>28</v>
      </c>
      <c r="B34" s="4" t="s">
        <v>525</v>
      </c>
      <c r="C34" s="4" t="s">
        <v>526</v>
      </c>
      <c r="D34" s="4" t="s">
        <v>317</v>
      </c>
      <c r="E34" s="5">
        <v>185957</v>
      </c>
      <c r="F34" s="6">
        <v>1650.4613535000001</v>
      </c>
      <c r="G34" s="7">
        <v>8.6824569999999993E-3</v>
      </c>
      <c r="H34" s="49"/>
    </row>
    <row r="35" spans="1:8" ht="17.100000000000001" customHeight="1" x14ac:dyDescent="0.2">
      <c r="A35" s="3">
        <v>29</v>
      </c>
      <c r="B35" s="4" t="s">
        <v>241</v>
      </c>
      <c r="C35" s="4" t="s">
        <v>242</v>
      </c>
      <c r="D35" s="4" t="s">
        <v>108</v>
      </c>
      <c r="E35" s="5">
        <v>201000</v>
      </c>
      <c r="F35" s="6">
        <v>1647.1949999999999</v>
      </c>
      <c r="G35" s="7">
        <v>8.6652740000000006E-3</v>
      </c>
      <c r="H35" s="49"/>
    </row>
    <row r="36" spans="1:8" ht="29.1" customHeight="1" x14ac:dyDescent="0.2">
      <c r="A36" s="3">
        <v>30</v>
      </c>
      <c r="B36" s="4" t="s">
        <v>189</v>
      </c>
      <c r="C36" s="4" t="s">
        <v>190</v>
      </c>
      <c r="D36" s="4" t="s">
        <v>108</v>
      </c>
      <c r="E36" s="5">
        <v>439000</v>
      </c>
      <c r="F36" s="6">
        <v>1592.9114999999999</v>
      </c>
      <c r="G36" s="7">
        <v>8.3797090000000008E-3</v>
      </c>
      <c r="H36" s="49"/>
    </row>
    <row r="37" spans="1:8" ht="17.100000000000001" customHeight="1" x14ac:dyDescent="0.2">
      <c r="A37" s="3">
        <v>31</v>
      </c>
      <c r="B37" s="4" t="s">
        <v>175</v>
      </c>
      <c r="C37" s="4" t="s">
        <v>176</v>
      </c>
      <c r="D37" s="4" t="s">
        <v>16</v>
      </c>
      <c r="E37" s="5">
        <v>1205000</v>
      </c>
      <c r="F37" s="6">
        <v>1583.9725000000001</v>
      </c>
      <c r="G37" s="7">
        <v>8.3326839999999999E-3</v>
      </c>
      <c r="H37" s="49"/>
    </row>
    <row r="38" spans="1:8" ht="17.100000000000001" customHeight="1" x14ac:dyDescent="0.2">
      <c r="A38" s="3">
        <v>32</v>
      </c>
      <c r="B38" s="4" t="s">
        <v>26</v>
      </c>
      <c r="C38" s="4" t="s">
        <v>27</v>
      </c>
      <c r="D38" s="4" t="s">
        <v>28</v>
      </c>
      <c r="E38" s="5">
        <v>840000</v>
      </c>
      <c r="F38" s="6">
        <v>1446.48</v>
      </c>
      <c r="G38" s="7">
        <v>7.6093879999999999E-3</v>
      </c>
      <c r="H38" s="49"/>
    </row>
    <row r="39" spans="1:8" ht="17.100000000000001" customHeight="1" x14ac:dyDescent="0.2">
      <c r="A39" s="3">
        <v>33</v>
      </c>
      <c r="B39" s="4" t="s">
        <v>346</v>
      </c>
      <c r="C39" s="4" t="s">
        <v>347</v>
      </c>
      <c r="D39" s="4" t="s">
        <v>233</v>
      </c>
      <c r="E39" s="5">
        <v>420000</v>
      </c>
      <c r="F39" s="6">
        <v>1350.93</v>
      </c>
      <c r="G39" s="7">
        <v>7.1067350000000003E-3</v>
      </c>
      <c r="H39" s="49"/>
    </row>
    <row r="40" spans="1:8" ht="29.1" customHeight="1" x14ac:dyDescent="0.2">
      <c r="A40" s="3">
        <v>34</v>
      </c>
      <c r="B40" s="4" t="s">
        <v>597</v>
      </c>
      <c r="C40" s="4" t="s">
        <v>598</v>
      </c>
      <c r="D40" s="4" t="s">
        <v>238</v>
      </c>
      <c r="E40" s="5">
        <v>107000</v>
      </c>
      <c r="F40" s="6">
        <v>1295.9304999999999</v>
      </c>
      <c r="G40" s="7">
        <v>6.817404E-3</v>
      </c>
      <c r="H40" s="49"/>
    </row>
    <row r="41" spans="1:8" ht="17.100000000000001" customHeight="1" x14ac:dyDescent="0.2">
      <c r="A41" s="3">
        <v>35</v>
      </c>
      <c r="B41" s="4" t="s">
        <v>354</v>
      </c>
      <c r="C41" s="4" t="s">
        <v>355</v>
      </c>
      <c r="D41" s="4" t="s">
        <v>188</v>
      </c>
      <c r="E41" s="5">
        <v>32000</v>
      </c>
      <c r="F41" s="6">
        <v>1288.1600000000001</v>
      </c>
      <c r="G41" s="7">
        <v>6.7765259999999997E-3</v>
      </c>
      <c r="H41" s="49"/>
    </row>
    <row r="42" spans="1:8" ht="17.100000000000001" customHeight="1" x14ac:dyDescent="0.2">
      <c r="A42" s="3">
        <v>36</v>
      </c>
      <c r="B42" s="4" t="s">
        <v>85</v>
      </c>
      <c r="C42" s="4" t="s">
        <v>86</v>
      </c>
      <c r="D42" s="4" t="s">
        <v>13</v>
      </c>
      <c r="E42" s="5">
        <v>480000</v>
      </c>
      <c r="F42" s="6">
        <v>1256.4000000000001</v>
      </c>
      <c r="G42" s="7">
        <v>6.6094480000000004E-3</v>
      </c>
      <c r="H42" s="49"/>
    </row>
    <row r="43" spans="1:8" ht="17.100000000000001" customHeight="1" x14ac:dyDescent="0.2">
      <c r="A43" s="3">
        <v>37</v>
      </c>
      <c r="B43" s="4" t="s">
        <v>121</v>
      </c>
      <c r="C43" s="4" t="s">
        <v>122</v>
      </c>
      <c r="D43" s="4" t="s">
        <v>108</v>
      </c>
      <c r="E43" s="5">
        <v>65000</v>
      </c>
      <c r="F43" s="6">
        <v>1250.7625</v>
      </c>
      <c r="G43" s="7">
        <v>6.5797920000000001E-3</v>
      </c>
      <c r="H43" s="49"/>
    </row>
    <row r="44" spans="1:8" ht="29.1" customHeight="1" x14ac:dyDescent="0.2">
      <c r="A44" s="3">
        <v>38</v>
      </c>
      <c r="B44" s="4" t="s">
        <v>348</v>
      </c>
      <c r="C44" s="4" t="s">
        <v>349</v>
      </c>
      <c r="D44" s="4" t="s">
        <v>215</v>
      </c>
      <c r="E44" s="5">
        <v>35000</v>
      </c>
      <c r="F44" s="6">
        <v>1191.645</v>
      </c>
      <c r="G44" s="7">
        <v>6.2687970000000004E-3</v>
      </c>
      <c r="H44" s="49"/>
    </row>
    <row r="45" spans="1:8" ht="17.100000000000001" customHeight="1" x14ac:dyDescent="0.2">
      <c r="A45" s="3">
        <v>39</v>
      </c>
      <c r="B45" s="4" t="s">
        <v>482</v>
      </c>
      <c r="C45" s="4" t="s">
        <v>483</v>
      </c>
      <c r="D45" s="4" t="s">
        <v>188</v>
      </c>
      <c r="E45" s="5">
        <v>375000</v>
      </c>
      <c r="F45" s="6">
        <v>1178.625</v>
      </c>
      <c r="G45" s="7">
        <v>6.2003029999999999E-3</v>
      </c>
      <c r="H45" s="49"/>
    </row>
    <row r="46" spans="1:8" ht="17.100000000000001" customHeight="1" x14ac:dyDescent="0.2">
      <c r="A46" s="3">
        <v>40</v>
      </c>
      <c r="B46" s="4" t="s">
        <v>543</v>
      </c>
      <c r="C46" s="4" t="s">
        <v>544</v>
      </c>
      <c r="D46" s="4" t="s">
        <v>108</v>
      </c>
      <c r="E46" s="5">
        <v>37000</v>
      </c>
      <c r="F46" s="6">
        <v>1174.8054999999999</v>
      </c>
      <c r="G46" s="7">
        <v>6.1802100000000002E-3</v>
      </c>
      <c r="H46" s="49"/>
    </row>
    <row r="47" spans="1:8" ht="17.100000000000001" customHeight="1" x14ac:dyDescent="0.2">
      <c r="A47" s="3">
        <v>41</v>
      </c>
      <c r="B47" s="4" t="s">
        <v>236</v>
      </c>
      <c r="C47" s="4" t="s">
        <v>237</v>
      </c>
      <c r="D47" s="4" t="s">
        <v>238</v>
      </c>
      <c r="E47" s="5">
        <v>166000</v>
      </c>
      <c r="F47" s="6">
        <v>1171.296</v>
      </c>
      <c r="G47" s="7">
        <v>6.1617479999999999E-3</v>
      </c>
      <c r="H47" s="49"/>
    </row>
    <row r="48" spans="1:8" ht="17.100000000000001" customHeight="1" x14ac:dyDescent="0.2">
      <c r="A48" s="3">
        <v>42</v>
      </c>
      <c r="B48" s="4" t="s">
        <v>344</v>
      </c>
      <c r="C48" s="4" t="s">
        <v>345</v>
      </c>
      <c r="D48" s="4" t="s">
        <v>103</v>
      </c>
      <c r="E48" s="5">
        <v>17000</v>
      </c>
      <c r="F48" s="6">
        <v>1142.5615</v>
      </c>
      <c r="G48" s="7">
        <v>6.0105870000000004E-3</v>
      </c>
      <c r="H48" s="49"/>
    </row>
    <row r="49" spans="1:8" ht="17.100000000000001" customHeight="1" x14ac:dyDescent="0.2">
      <c r="A49" s="3">
        <v>43</v>
      </c>
      <c r="B49" s="4" t="s">
        <v>63</v>
      </c>
      <c r="C49" s="4" t="s">
        <v>64</v>
      </c>
      <c r="D49" s="4" t="s">
        <v>28</v>
      </c>
      <c r="E49" s="5">
        <v>500000</v>
      </c>
      <c r="F49" s="6">
        <v>1120</v>
      </c>
      <c r="G49" s="7">
        <v>5.8918989999999999E-3</v>
      </c>
      <c r="H49" s="49"/>
    </row>
    <row r="50" spans="1:8" ht="17.100000000000001" customHeight="1" x14ac:dyDescent="0.2">
      <c r="A50" s="3">
        <v>44</v>
      </c>
      <c r="B50" s="4" t="s">
        <v>182</v>
      </c>
      <c r="C50" s="4" t="s">
        <v>183</v>
      </c>
      <c r="D50" s="4" t="s">
        <v>16</v>
      </c>
      <c r="E50" s="5">
        <v>670000</v>
      </c>
      <c r="F50" s="6">
        <v>1113.875</v>
      </c>
      <c r="G50" s="7">
        <v>5.8596780000000001E-3</v>
      </c>
      <c r="H50" s="49"/>
    </row>
    <row r="51" spans="1:8" ht="29.1" customHeight="1" x14ac:dyDescent="0.2">
      <c r="A51" s="3">
        <v>45</v>
      </c>
      <c r="B51" s="4" t="s">
        <v>191</v>
      </c>
      <c r="C51" s="4" t="s">
        <v>192</v>
      </c>
      <c r="D51" s="4" t="s">
        <v>193</v>
      </c>
      <c r="E51" s="5">
        <v>46000</v>
      </c>
      <c r="F51" s="6">
        <v>1088.222</v>
      </c>
      <c r="G51" s="7">
        <v>5.7247269999999998E-3</v>
      </c>
      <c r="H51" s="49"/>
    </row>
    <row r="52" spans="1:8" ht="17.100000000000001" customHeight="1" x14ac:dyDescent="0.2">
      <c r="A52" s="3">
        <v>46</v>
      </c>
      <c r="B52" s="4" t="s">
        <v>41</v>
      </c>
      <c r="C52" s="4" t="s">
        <v>42</v>
      </c>
      <c r="D52" s="4" t="s">
        <v>43</v>
      </c>
      <c r="E52" s="5">
        <v>140000</v>
      </c>
      <c r="F52" s="6">
        <v>1080.73</v>
      </c>
      <c r="G52" s="7">
        <v>5.6853149999999998E-3</v>
      </c>
      <c r="H52" s="49"/>
    </row>
    <row r="53" spans="1:8" ht="53.1" customHeight="1" x14ac:dyDescent="0.2">
      <c r="A53" s="3">
        <v>47</v>
      </c>
      <c r="B53" s="4" t="s">
        <v>94</v>
      </c>
      <c r="C53" s="4" t="s">
        <v>95</v>
      </c>
      <c r="D53" s="4" t="s">
        <v>51</v>
      </c>
      <c r="E53" s="5">
        <v>71000</v>
      </c>
      <c r="F53" s="6">
        <v>1042.5995</v>
      </c>
      <c r="G53" s="7">
        <v>5.4847239999999998E-3</v>
      </c>
      <c r="H53" s="49"/>
    </row>
    <row r="54" spans="1:8" ht="17.100000000000001" customHeight="1" x14ac:dyDescent="0.2">
      <c r="A54" s="3">
        <v>48</v>
      </c>
      <c r="B54" s="4" t="s">
        <v>350</v>
      </c>
      <c r="C54" s="4" t="s">
        <v>351</v>
      </c>
      <c r="D54" s="4" t="s">
        <v>43</v>
      </c>
      <c r="E54" s="5">
        <v>55140</v>
      </c>
      <c r="F54" s="6">
        <v>1026.81708</v>
      </c>
      <c r="G54" s="7">
        <v>5.4016990000000003E-3</v>
      </c>
      <c r="H54" s="49"/>
    </row>
    <row r="55" spans="1:8" ht="17.100000000000001" customHeight="1" x14ac:dyDescent="0.2">
      <c r="A55" s="3">
        <v>49</v>
      </c>
      <c r="B55" s="4" t="s">
        <v>318</v>
      </c>
      <c r="C55" s="4" t="s">
        <v>319</v>
      </c>
      <c r="D55" s="4" t="s">
        <v>233</v>
      </c>
      <c r="E55" s="5">
        <v>76000</v>
      </c>
      <c r="F55" s="6">
        <v>1026</v>
      </c>
      <c r="G55" s="7">
        <v>5.3974009999999996E-3</v>
      </c>
      <c r="H55" s="49"/>
    </row>
    <row r="56" spans="1:8" ht="17.100000000000001" customHeight="1" x14ac:dyDescent="0.2">
      <c r="A56" s="3">
        <v>50</v>
      </c>
      <c r="B56" s="4" t="s">
        <v>194</v>
      </c>
      <c r="C56" s="4" t="s">
        <v>195</v>
      </c>
      <c r="D56" s="4" t="s">
        <v>196</v>
      </c>
      <c r="E56" s="5">
        <v>2000</v>
      </c>
      <c r="F56" s="6">
        <v>948.33299999999997</v>
      </c>
      <c r="G56" s="7">
        <v>4.9888240000000002E-3</v>
      </c>
      <c r="H56" s="49"/>
    </row>
    <row r="57" spans="1:8" ht="17.100000000000001" customHeight="1" x14ac:dyDescent="0.2">
      <c r="A57" s="3">
        <v>51</v>
      </c>
      <c r="B57" s="4" t="s">
        <v>738</v>
      </c>
      <c r="C57" s="4" t="s">
        <v>739</v>
      </c>
      <c r="D57" s="4" t="s">
        <v>31</v>
      </c>
      <c r="E57" s="5">
        <v>215887</v>
      </c>
      <c r="F57" s="6">
        <v>875.31384149999997</v>
      </c>
      <c r="G57" s="7">
        <v>4.6046969999999996E-3</v>
      </c>
      <c r="H57" s="49"/>
    </row>
    <row r="58" spans="1:8" ht="17.100000000000001" customHeight="1" x14ac:dyDescent="0.2">
      <c r="A58" s="3">
        <v>52</v>
      </c>
      <c r="B58" s="4" t="s">
        <v>44</v>
      </c>
      <c r="C58" s="4" t="s">
        <v>45</v>
      </c>
      <c r="D58" s="4" t="s">
        <v>31</v>
      </c>
      <c r="E58" s="5">
        <v>34000</v>
      </c>
      <c r="F58" s="6">
        <v>872.1</v>
      </c>
      <c r="G58" s="7">
        <v>4.5877899999999996E-3</v>
      </c>
      <c r="H58" s="49"/>
    </row>
    <row r="59" spans="1:8" ht="17.100000000000001" customHeight="1" x14ac:dyDescent="0.2">
      <c r="A59" s="3">
        <v>53</v>
      </c>
      <c r="B59" s="4" t="s">
        <v>259</v>
      </c>
      <c r="C59" s="4" t="s">
        <v>260</v>
      </c>
      <c r="D59" s="4" t="s">
        <v>103</v>
      </c>
      <c r="E59" s="5">
        <v>50000</v>
      </c>
      <c r="F59" s="6">
        <v>813.25</v>
      </c>
      <c r="G59" s="7">
        <v>4.2782030000000004E-3</v>
      </c>
      <c r="H59" s="49"/>
    </row>
    <row r="60" spans="1:8" ht="17.100000000000001" customHeight="1" x14ac:dyDescent="0.2">
      <c r="A60" s="3">
        <v>54</v>
      </c>
      <c r="B60" s="4" t="s">
        <v>243</v>
      </c>
      <c r="C60" s="4" t="s">
        <v>244</v>
      </c>
      <c r="D60" s="4" t="s">
        <v>227</v>
      </c>
      <c r="E60" s="5">
        <v>276298</v>
      </c>
      <c r="F60" s="6">
        <v>801.54049799999996</v>
      </c>
      <c r="G60" s="7">
        <v>4.2166030000000002E-3</v>
      </c>
      <c r="H60" s="49"/>
    </row>
    <row r="61" spans="1:8" ht="17.100000000000001" customHeight="1" x14ac:dyDescent="0.2">
      <c r="A61" s="3">
        <v>55</v>
      </c>
      <c r="B61" s="4" t="s">
        <v>231</v>
      </c>
      <c r="C61" s="4" t="s">
        <v>232</v>
      </c>
      <c r="D61" s="4" t="s">
        <v>233</v>
      </c>
      <c r="E61" s="5">
        <v>140000</v>
      </c>
      <c r="F61" s="6">
        <v>765.59</v>
      </c>
      <c r="G61" s="7">
        <v>4.0274810000000003E-3</v>
      </c>
      <c r="H61" s="49"/>
    </row>
    <row r="62" spans="1:8" ht="17.100000000000001" customHeight="1" x14ac:dyDescent="0.2">
      <c r="A62" s="3">
        <v>56</v>
      </c>
      <c r="B62" s="4" t="s">
        <v>365</v>
      </c>
      <c r="C62" s="4" t="s">
        <v>366</v>
      </c>
      <c r="D62" s="4" t="s">
        <v>108</v>
      </c>
      <c r="E62" s="5">
        <v>25000</v>
      </c>
      <c r="F62" s="6">
        <v>663.25</v>
      </c>
      <c r="G62" s="7">
        <v>3.4891089999999998E-3</v>
      </c>
      <c r="H62" s="49"/>
    </row>
    <row r="63" spans="1:8" ht="17.100000000000001" customHeight="1" x14ac:dyDescent="0.2">
      <c r="A63" s="3">
        <v>57</v>
      </c>
      <c r="B63" s="4" t="s">
        <v>109</v>
      </c>
      <c r="C63" s="4" t="s">
        <v>110</v>
      </c>
      <c r="D63" s="4" t="s">
        <v>89</v>
      </c>
      <c r="E63" s="5">
        <v>142617</v>
      </c>
      <c r="F63" s="6">
        <v>648.12295649999999</v>
      </c>
      <c r="G63" s="7">
        <v>3.4095309999999999E-3</v>
      </c>
      <c r="H63" s="49"/>
    </row>
    <row r="64" spans="1:8" ht="17.100000000000001" customHeight="1" x14ac:dyDescent="0.2">
      <c r="A64" s="3">
        <v>58</v>
      </c>
      <c r="B64" s="4" t="s">
        <v>537</v>
      </c>
      <c r="C64" s="4" t="s">
        <v>538</v>
      </c>
      <c r="D64" s="4" t="s">
        <v>108</v>
      </c>
      <c r="E64" s="5">
        <v>67978</v>
      </c>
      <c r="F64" s="6">
        <v>489.81547899999998</v>
      </c>
      <c r="G64" s="7">
        <v>2.5767350000000001E-3</v>
      </c>
      <c r="H64" s="49"/>
    </row>
    <row r="65" spans="1:8" ht="17.100000000000001" customHeight="1" x14ac:dyDescent="0.2">
      <c r="A65" s="3">
        <v>59</v>
      </c>
      <c r="B65" s="4" t="s">
        <v>517</v>
      </c>
      <c r="C65" s="4" t="s">
        <v>518</v>
      </c>
      <c r="D65" s="4" t="s">
        <v>108</v>
      </c>
      <c r="E65" s="5">
        <v>141975</v>
      </c>
      <c r="F65" s="6">
        <v>400.22752500000001</v>
      </c>
      <c r="G65" s="7">
        <v>2.1054469999999999E-3</v>
      </c>
      <c r="H65" s="49"/>
    </row>
    <row r="66" spans="1:8" ht="14.1" customHeight="1" x14ac:dyDescent="0.2">
      <c r="A66" s="1"/>
      <c r="B66" s="1"/>
      <c r="C66" s="2" t="s">
        <v>130</v>
      </c>
      <c r="D66" s="1"/>
      <c r="E66" s="1" t="s">
        <v>131</v>
      </c>
      <c r="F66" s="9">
        <v>149724.943902</v>
      </c>
      <c r="G66" s="10">
        <v>0.78764668199999999</v>
      </c>
      <c r="H66" s="49"/>
    </row>
    <row r="67" spans="1:8" ht="14.1" customHeight="1" x14ac:dyDescent="0.2">
      <c r="A67" s="1"/>
      <c r="B67" s="1"/>
      <c r="C67" s="11"/>
      <c r="D67" s="1"/>
      <c r="E67" s="1"/>
      <c r="F67" s="12"/>
      <c r="G67" s="12"/>
      <c r="H67" s="49"/>
    </row>
    <row r="68" spans="1:8" ht="14.1" customHeight="1" x14ac:dyDescent="0.2">
      <c r="A68" s="1"/>
      <c r="B68" s="1"/>
      <c r="C68" s="2" t="s">
        <v>132</v>
      </c>
      <c r="D68" s="1"/>
      <c r="E68" s="1"/>
      <c r="F68" s="1"/>
      <c r="G68" s="1"/>
      <c r="H68" s="49"/>
    </row>
    <row r="69" spans="1:8" ht="14.1" customHeight="1" x14ac:dyDescent="0.2">
      <c r="A69" s="1"/>
      <c r="B69" s="1"/>
      <c r="C69" s="2" t="s">
        <v>130</v>
      </c>
      <c r="D69" s="1"/>
      <c r="E69" s="1" t="s">
        <v>131</v>
      </c>
      <c r="F69" s="13">
        <v>0</v>
      </c>
      <c r="G69" s="14">
        <v>0</v>
      </c>
      <c r="H69" s="49"/>
    </row>
    <row r="70" spans="1:8" ht="14.1" customHeight="1" x14ac:dyDescent="0.2">
      <c r="A70" s="1"/>
      <c r="B70" s="1"/>
      <c r="C70" s="11"/>
      <c r="D70" s="1"/>
      <c r="E70" s="1"/>
      <c r="F70" s="12"/>
      <c r="G70" s="12"/>
      <c r="H70" s="49"/>
    </row>
    <row r="71" spans="1:8" ht="14.1" customHeight="1" x14ac:dyDescent="0.2">
      <c r="A71" s="1"/>
      <c r="B71" s="1"/>
      <c r="C71" s="2" t="s">
        <v>133</v>
      </c>
      <c r="D71" s="1"/>
      <c r="E71" s="1"/>
      <c r="F71" s="1"/>
      <c r="G71" s="1"/>
      <c r="H71" s="49"/>
    </row>
    <row r="72" spans="1:8" ht="14.1" customHeight="1" x14ac:dyDescent="0.2">
      <c r="A72" s="1"/>
      <c r="B72" s="1"/>
      <c r="C72" s="2" t="s">
        <v>130</v>
      </c>
      <c r="D72" s="1"/>
      <c r="E72" s="1" t="s">
        <v>131</v>
      </c>
      <c r="F72" s="13">
        <v>0</v>
      </c>
      <c r="G72" s="14">
        <v>0</v>
      </c>
      <c r="H72" s="49"/>
    </row>
    <row r="73" spans="1:8" ht="14.1" customHeight="1" x14ac:dyDescent="0.2">
      <c r="A73" s="1"/>
      <c r="B73" s="1"/>
      <c r="C73" s="11"/>
      <c r="D73" s="1"/>
      <c r="E73" s="1"/>
      <c r="F73" s="12"/>
      <c r="G73" s="12"/>
      <c r="H73" s="49"/>
    </row>
    <row r="74" spans="1:8" ht="14.1" customHeight="1" x14ac:dyDescent="0.2">
      <c r="A74" s="1"/>
      <c r="B74" s="1"/>
      <c r="C74" s="2" t="s">
        <v>134</v>
      </c>
      <c r="D74" s="1"/>
      <c r="E74" s="1"/>
      <c r="F74" s="1"/>
      <c r="G74" s="1"/>
      <c r="H74" s="49"/>
    </row>
    <row r="75" spans="1:8" ht="14.1" customHeight="1" x14ac:dyDescent="0.2">
      <c r="A75" s="1"/>
      <c r="B75" s="1"/>
      <c r="C75" s="2" t="s">
        <v>130</v>
      </c>
      <c r="D75" s="1"/>
      <c r="E75" s="1" t="s">
        <v>131</v>
      </c>
      <c r="F75" s="13">
        <v>0</v>
      </c>
      <c r="G75" s="14">
        <v>0</v>
      </c>
      <c r="H75" s="49"/>
    </row>
    <row r="76" spans="1:8" ht="14.1" customHeight="1" x14ac:dyDescent="0.2">
      <c r="A76" s="1"/>
      <c r="B76" s="1"/>
      <c r="C76" s="11"/>
      <c r="D76" s="1"/>
      <c r="E76" s="1"/>
      <c r="F76" s="12"/>
      <c r="G76" s="12"/>
      <c r="H76" s="49"/>
    </row>
    <row r="77" spans="1:8" ht="14.1" customHeight="1" x14ac:dyDescent="0.2">
      <c r="A77" s="1"/>
      <c r="B77" s="1"/>
      <c r="C77" s="2" t="s">
        <v>135</v>
      </c>
      <c r="D77" s="1"/>
      <c r="E77" s="1"/>
      <c r="F77" s="12"/>
      <c r="G77" s="12"/>
      <c r="H77" s="49"/>
    </row>
    <row r="78" spans="1:8" ht="14.1" customHeight="1" x14ac:dyDescent="0.2">
      <c r="A78" s="1"/>
      <c r="B78" s="1"/>
      <c r="C78" s="2" t="s">
        <v>130</v>
      </c>
      <c r="D78" s="1"/>
      <c r="E78" s="1" t="s">
        <v>131</v>
      </c>
      <c r="F78" s="13">
        <v>0</v>
      </c>
      <c r="G78" s="14">
        <v>0</v>
      </c>
      <c r="H78" s="49"/>
    </row>
    <row r="79" spans="1:8" ht="14.1" customHeight="1" x14ac:dyDescent="0.2">
      <c r="A79" s="1"/>
      <c r="B79" s="1"/>
      <c r="C79" s="11"/>
      <c r="D79" s="1"/>
      <c r="E79" s="1"/>
      <c r="F79" s="12"/>
      <c r="G79" s="12"/>
      <c r="H79" s="49"/>
    </row>
    <row r="80" spans="1:8" ht="14.1" customHeight="1" x14ac:dyDescent="0.2">
      <c r="A80" s="1"/>
      <c r="B80" s="1"/>
      <c r="C80" s="2" t="s">
        <v>136</v>
      </c>
      <c r="D80" s="1"/>
      <c r="E80" s="1"/>
      <c r="F80" s="12"/>
      <c r="G80" s="12"/>
      <c r="H80" s="49"/>
    </row>
    <row r="81" spans="1:9" ht="14.1" customHeight="1" x14ac:dyDescent="0.2">
      <c r="A81" s="1"/>
      <c r="B81" s="1"/>
      <c r="C81" s="2" t="s">
        <v>130</v>
      </c>
      <c r="D81" s="1"/>
      <c r="E81" s="1" t="s">
        <v>131</v>
      </c>
      <c r="F81" s="13">
        <v>0</v>
      </c>
      <c r="G81" s="14">
        <v>0</v>
      </c>
      <c r="H81" s="49"/>
    </row>
    <row r="82" spans="1:9" ht="14.1" customHeight="1" x14ac:dyDescent="0.2">
      <c r="A82" s="1"/>
      <c r="B82" s="1"/>
      <c r="C82" s="11"/>
      <c r="D82" s="1"/>
      <c r="E82" s="1"/>
      <c r="F82" s="12"/>
      <c r="G82" s="12"/>
      <c r="H82" s="49"/>
    </row>
    <row r="83" spans="1:9" ht="18" customHeight="1" x14ac:dyDescent="0.2">
      <c r="A83" s="1"/>
      <c r="B83" s="1"/>
      <c r="C83" s="2" t="s">
        <v>137</v>
      </c>
      <c r="D83" s="1"/>
      <c r="E83" s="1"/>
      <c r="F83" s="9">
        <v>149724.943902</v>
      </c>
      <c r="G83" s="10">
        <v>0.78764668199999999</v>
      </c>
      <c r="H83" s="49"/>
    </row>
    <row r="84" spans="1:9" ht="14.1" customHeight="1" x14ac:dyDescent="0.2">
      <c r="A84" s="1"/>
      <c r="B84" s="1"/>
      <c r="C84" s="11"/>
      <c r="D84" s="1"/>
      <c r="E84" s="1"/>
      <c r="F84" s="12"/>
      <c r="G84" s="12"/>
      <c r="H84" s="49"/>
    </row>
    <row r="85" spans="1:9" ht="14.1" customHeight="1" x14ac:dyDescent="0.2">
      <c r="A85" s="1"/>
      <c r="B85" s="1"/>
      <c r="C85" s="2" t="s">
        <v>138</v>
      </c>
      <c r="D85" s="1"/>
      <c r="E85" s="1"/>
      <c r="F85" s="12"/>
      <c r="G85" s="12"/>
      <c r="H85" s="49"/>
    </row>
    <row r="86" spans="1:9" ht="24" customHeight="1" x14ac:dyDescent="0.2">
      <c r="A86" s="1"/>
      <c r="B86" s="1"/>
      <c r="C86" s="2" t="s">
        <v>10</v>
      </c>
      <c r="D86" s="1"/>
      <c r="E86" s="1"/>
      <c r="F86" s="12"/>
      <c r="G86" s="12"/>
      <c r="H86" s="49"/>
    </row>
    <row r="87" spans="1:9" ht="14.1" customHeight="1" x14ac:dyDescent="0.2">
      <c r="A87" s="1"/>
      <c r="B87" s="1"/>
      <c r="C87" s="2" t="s">
        <v>130</v>
      </c>
      <c r="D87" s="1"/>
      <c r="E87" s="1" t="s">
        <v>131</v>
      </c>
      <c r="F87" s="13">
        <v>0</v>
      </c>
      <c r="G87" s="14">
        <v>0</v>
      </c>
      <c r="H87" s="49"/>
    </row>
    <row r="88" spans="1:9" ht="14.1" customHeight="1" x14ac:dyDescent="0.2">
      <c r="A88" s="1"/>
      <c r="B88" s="1"/>
      <c r="C88" s="11"/>
      <c r="D88" s="1"/>
      <c r="E88" s="1"/>
      <c r="F88" s="12"/>
      <c r="G88" s="12"/>
      <c r="H88" s="49"/>
      <c r="I88" s="58"/>
    </row>
    <row r="89" spans="1:9" ht="14.1" customHeight="1" x14ac:dyDescent="0.2">
      <c r="A89" s="1"/>
      <c r="B89" s="1"/>
      <c r="C89" s="2" t="s">
        <v>139</v>
      </c>
      <c r="D89" s="1"/>
      <c r="E89" s="1"/>
      <c r="F89" s="1"/>
      <c r="G89" s="1"/>
      <c r="H89" s="49"/>
    </row>
    <row r="90" spans="1:9" ht="14.1" customHeight="1" x14ac:dyDescent="0.2">
      <c r="A90" s="1"/>
      <c r="B90" s="1"/>
      <c r="C90" s="2" t="s">
        <v>130</v>
      </c>
      <c r="D90" s="1"/>
      <c r="E90" s="1" t="s">
        <v>131</v>
      </c>
      <c r="F90" s="13">
        <v>0</v>
      </c>
      <c r="G90" s="14">
        <v>0</v>
      </c>
      <c r="H90" s="49"/>
    </row>
    <row r="91" spans="1:9" ht="14.1" customHeight="1" x14ac:dyDescent="0.2">
      <c r="A91" s="1"/>
      <c r="B91" s="1"/>
      <c r="C91" s="11"/>
      <c r="D91" s="1"/>
      <c r="E91" s="1"/>
      <c r="F91" s="12"/>
      <c r="G91" s="12"/>
      <c r="H91" s="49"/>
      <c r="I91" s="58"/>
    </row>
    <row r="92" spans="1:9" ht="14.1" customHeight="1" x14ac:dyDescent="0.2">
      <c r="A92" s="1"/>
      <c r="B92" s="1"/>
      <c r="C92" s="2" t="s">
        <v>140</v>
      </c>
      <c r="D92" s="1"/>
      <c r="E92" s="1"/>
      <c r="F92" s="1"/>
      <c r="G92" s="1"/>
      <c r="H92" s="49"/>
    </row>
    <row r="93" spans="1:9" ht="14.1" customHeight="1" x14ac:dyDescent="0.2">
      <c r="A93" s="1"/>
      <c r="B93" s="1"/>
      <c r="C93" s="2" t="s">
        <v>130</v>
      </c>
      <c r="D93" s="1"/>
      <c r="E93" s="1" t="s">
        <v>131</v>
      </c>
      <c r="F93" s="13">
        <v>0</v>
      </c>
      <c r="G93" s="14">
        <v>0</v>
      </c>
      <c r="H93" s="49"/>
    </row>
    <row r="94" spans="1:9" ht="14.1" customHeight="1" x14ac:dyDescent="0.2">
      <c r="A94" s="1"/>
      <c r="B94" s="1"/>
      <c r="C94" s="11"/>
      <c r="D94" s="1"/>
      <c r="E94" s="1"/>
      <c r="F94" s="12"/>
      <c r="G94" s="12"/>
      <c r="H94" s="49"/>
    </row>
    <row r="95" spans="1:9" ht="14.1" customHeight="1" x14ac:dyDescent="0.2">
      <c r="A95" s="1"/>
      <c r="B95" s="1"/>
      <c r="C95" s="2" t="s">
        <v>141</v>
      </c>
      <c r="D95" s="1"/>
      <c r="E95" s="1"/>
      <c r="F95" s="12"/>
      <c r="G95" s="12"/>
      <c r="H95" s="49"/>
    </row>
    <row r="96" spans="1:9" ht="14.1" customHeight="1" x14ac:dyDescent="0.2">
      <c r="A96" s="1"/>
      <c r="B96" s="1"/>
      <c r="C96" s="2" t="s">
        <v>130</v>
      </c>
      <c r="D96" s="1"/>
      <c r="E96" s="1" t="s">
        <v>131</v>
      </c>
      <c r="F96" s="13">
        <v>0</v>
      </c>
      <c r="G96" s="14">
        <v>0</v>
      </c>
      <c r="H96" s="49"/>
    </row>
    <row r="97" spans="1:8" ht="14.1" customHeight="1" x14ac:dyDescent="0.2">
      <c r="A97" s="1"/>
      <c r="B97" s="1"/>
      <c r="C97" s="11"/>
      <c r="D97" s="1"/>
      <c r="E97" s="1"/>
      <c r="F97" s="12"/>
      <c r="G97" s="12"/>
      <c r="H97" s="49"/>
    </row>
    <row r="98" spans="1:8" ht="14.1" customHeight="1" x14ac:dyDescent="0.2">
      <c r="A98" s="1"/>
      <c r="B98" s="1"/>
      <c r="C98" s="2" t="s">
        <v>142</v>
      </c>
      <c r="D98" s="1"/>
      <c r="E98" s="1"/>
      <c r="F98" s="9">
        <v>0</v>
      </c>
      <c r="G98" s="10">
        <v>0</v>
      </c>
      <c r="H98" s="49"/>
    </row>
    <row r="99" spans="1:8" ht="14.1" customHeight="1" x14ac:dyDescent="0.2">
      <c r="A99" s="1"/>
      <c r="B99" s="1"/>
      <c r="C99" s="11"/>
      <c r="D99" s="1"/>
      <c r="E99" s="1"/>
      <c r="F99" s="12"/>
      <c r="G99" s="12"/>
      <c r="H99" s="49"/>
    </row>
    <row r="100" spans="1:8" ht="14.1" customHeight="1" x14ac:dyDescent="0.2">
      <c r="A100" s="1"/>
      <c r="B100" s="1"/>
      <c r="C100" s="2" t="s">
        <v>143</v>
      </c>
      <c r="D100" s="1"/>
      <c r="E100" s="1"/>
      <c r="F100" s="12"/>
      <c r="G100" s="12"/>
      <c r="H100" s="49"/>
    </row>
    <row r="101" spans="1:8" ht="14.1" customHeight="1" x14ac:dyDescent="0.2">
      <c r="A101" s="1"/>
      <c r="B101" s="1"/>
      <c r="C101" s="2" t="s">
        <v>144</v>
      </c>
      <c r="D101" s="1"/>
      <c r="E101" s="1"/>
      <c r="F101" s="12"/>
      <c r="G101" s="12"/>
      <c r="H101" s="49"/>
    </row>
    <row r="102" spans="1:8" ht="14.1" customHeight="1" x14ac:dyDescent="0.2">
      <c r="A102" s="1"/>
      <c r="B102" s="1"/>
      <c r="C102" s="2" t="s">
        <v>130</v>
      </c>
      <c r="D102" s="1"/>
      <c r="E102" s="1" t="s">
        <v>131</v>
      </c>
      <c r="F102" s="13">
        <v>0</v>
      </c>
      <c r="G102" s="14">
        <v>0</v>
      </c>
      <c r="H102" s="49"/>
    </row>
    <row r="103" spans="1:8" ht="14.1" customHeight="1" x14ac:dyDescent="0.2">
      <c r="A103" s="1"/>
      <c r="B103" s="1"/>
      <c r="C103" s="11"/>
      <c r="D103" s="1"/>
      <c r="E103" s="1"/>
      <c r="F103" s="12"/>
      <c r="G103" s="12"/>
      <c r="H103" s="49"/>
    </row>
    <row r="104" spans="1:8" ht="14.1" customHeight="1" x14ac:dyDescent="0.2">
      <c r="A104" s="1"/>
      <c r="B104" s="1"/>
      <c r="C104" s="2" t="s">
        <v>145</v>
      </c>
      <c r="D104" s="1"/>
      <c r="E104" s="1"/>
      <c r="F104" s="12"/>
      <c r="G104" s="12"/>
      <c r="H104" s="49"/>
    </row>
    <row r="105" spans="1:8" ht="14.1" customHeight="1" x14ac:dyDescent="0.2">
      <c r="A105" s="1"/>
      <c r="B105" s="1"/>
      <c r="C105" s="2" t="s">
        <v>130</v>
      </c>
      <c r="D105" s="1"/>
      <c r="E105" s="1" t="s">
        <v>131</v>
      </c>
      <c r="F105" s="13">
        <v>0</v>
      </c>
      <c r="G105" s="14">
        <v>0</v>
      </c>
      <c r="H105" s="49"/>
    </row>
    <row r="106" spans="1:8" ht="14.1" customHeight="1" x14ac:dyDescent="0.2">
      <c r="A106" s="1"/>
      <c r="B106" s="1"/>
      <c r="C106" s="11"/>
      <c r="D106" s="1"/>
      <c r="E106" s="1"/>
      <c r="F106" s="12"/>
      <c r="G106" s="12"/>
      <c r="H106" s="49"/>
    </row>
    <row r="107" spans="1:8" ht="14.1" customHeight="1" x14ac:dyDescent="0.2">
      <c r="A107" s="1"/>
      <c r="B107" s="1"/>
      <c r="C107" s="2" t="s">
        <v>146</v>
      </c>
      <c r="D107" s="1"/>
      <c r="E107" s="1"/>
      <c r="F107" s="12"/>
      <c r="G107" s="12"/>
      <c r="H107" s="49"/>
    </row>
    <row r="108" spans="1:8" ht="14.1" customHeight="1" x14ac:dyDescent="0.2">
      <c r="A108" s="1"/>
      <c r="B108" s="1"/>
      <c r="C108" s="2" t="s">
        <v>130</v>
      </c>
      <c r="D108" s="1"/>
      <c r="E108" s="1" t="s">
        <v>131</v>
      </c>
      <c r="F108" s="13">
        <v>0</v>
      </c>
      <c r="G108" s="14">
        <v>0</v>
      </c>
      <c r="H108" s="49"/>
    </row>
    <row r="109" spans="1:8" ht="14.1" customHeight="1" x14ac:dyDescent="0.2">
      <c r="A109" s="1"/>
      <c r="B109" s="1"/>
      <c r="C109" s="11"/>
      <c r="D109" s="1"/>
      <c r="E109" s="1"/>
      <c r="F109" s="12"/>
      <c r="G109" s="12"/>
      <c r="H109" s="49"/>
    </row>
    <row r="110" spans="1:8" ht="14.1" customHeight="1" x14ac:dyDescent="0.2">
      <c r="A110" s="1"/>
      <c r="B110" s="1"/>
      <c r="C110" s="2" t="s">
        <v>147</v>
      </c>
      <c r="D110" s="1"/>
      <c r="E110" s="1"/>
      <c r="F110" s="12"/>
      <c r="G110" s="12"/>
      <c r="H110" s="49"/>
    </row>
    <row r="111" spans="1:8" ht="17.100000000000001" customHeight="1" x14ac:dyDescent="0.2">
      <c r="A111" s="3">
        <v>1</v>
      </c>
      <c r="B111" s="4"/>
      <c r="C111" s="4" t="s">
        <v>148</v>
      </c>
      <c r="D111" s="4"/>
      <c r="E111" s="8"/>
      <c r="F111" s="6">
        <v>42232.679745900001</v>
      </c>
      <c r="G111" s="7">
        <v>0.22217026400000001</v>
      </c>
      <c r="H111" s="49">
        <v>5.6572293145372496</v>
      </c>
    </row>
    <row r="112" spans="1:8" ht="14.1" customHeight="1" x14ac:dyDescent="0.2">
      <c r="A112" s="1"/>
      <c r="B112" s="1"/>
      <c r="C112" s="2" t="s">
        <v>130</v>
      </c>
      <c r="D112" s="1"/>
      <c r="E112" s="1" t="s">
        <v>131</v>
      </c>
      <c r="F112" s="9">
        <v>42232.679745900001</v>
      </c>
      <c r="G112" s="10">
        <v>0.22217026400000001</v>
      </c>
      <c r="H112" s="49"/>
    </row>
    <row r="113" spans="1:8" ht="14.1" customHeight="1" x14ac:dyDescent="0.2">
      <c r="A113" s="1"/>
      <c r="B113" s="1"/>
      <c r="C113" s="11"/>
      <c r="D113" s="1"/>
      <c r="E113" s="1"/>
      <c r="F113" s="12"/>
      <c r="G113" s="12"/>
      <c r="H113" s="49"/>
    </row>
    <row r="114" spans="1:8" ht="14.1" customHeight="1" x14ac:dyDescent="0.2">
      <c r="A114" s="1"/>
      <c r="B114" s="1"/>
      <c r="C114" s="2" t="s">
        <v>149</v>
      </c>
      <c r="D114" s="1"/>
      <c r="E114" s="1"/>
      <c r="F114" s="9">
        <v>42232.679745900001</v>
      </c>
      <c r="G114" s="10">
        <v>0.22217026400000001</v>
      </c>
      <c r="H114" s="49"/>
    </row>
    <row r="115" spans="1:8" ht="14.1" customHeight="1" x14ac:dyDescent="0.2">
      <c r="A115" s="1"/>
      <c r="B115" s="1"/>
      <c r="C115" s="12"/>
      <c r="D115" s="1"/>
      <c r="E115" s="1"/>
      <c r="F115" s="1"/>
      <c r="G115" s="1"/>
      <c r="H115" s="49"/>
    </row>
    <row r="116" spans="1:8" ht="14.1" customHeight="1" x14ac:dyDescent="0.2">
      <c r="A116" s="1"/>
      <c r="B116" s="1"/>
      <c r="C116" s="2" t="s">
        <v>150</v>
      </c>
      <c r="D116" s="1"/>
      <c r="E116" s="1"/>
      <c r="F116" s="1"/>
      <c r="G116" s="1"/>
      <c r="H116" s="49"/>
    </row>
    <row r="117" spans="1:8" ht="14.1" customHeight="1" x14ac:dyDescent="0.2">
      <c r="A117" s="1"/>
      <c r="B117" s="1"/>
      <c r="C117" s="2" t="s">
        <v>151</v>
      </c>
      <c r="D117" s="1"/>
      <c r="E117" s="1"/>
      <c r="F117" s="1"/>
      <c r="G117" s="1"/>
      <c r="H117" s="49"/>
    </row>
    <row r="118" spans="1:8" ht="14.1" customHeight="1" x14ac:dyDescent="0.2">
      <c r="A118" s="1"/>
      <c r="B118" s="1"/>
      <c r="C118" s="2" t="s">
        <v>130</v>
      </c>
      <c r="D118" s="1"/>
      <c r="E118" s="1" t="s">
        <v>131</v>
      </c>
      <c r="F118" s="13">
        <v>0</v>
      </c>
      <c r="G118" s="14">
        <v>0</v>
      </c>
      <c r="H118" s="49"/>
    </row>
    <row r="119" spans="1:8" ht="14.1" customHeight="1" x14ac:dyDescent="0.2">
      <c r="A119" s="1"/>
      <c r="B119" s="1"/>
      <c r="C119" s="11"/>
      <c r="D119" s="1"/>
      <c r="E119" s="1"/>
      <c r="F119" s="12"/>
      <c r="G119" s="12"/>
      <c r="H119" s="49"/>
    </row>
    <row r="120" spans="1:8" ht="14.1" customHeight="1" x14ac:dyDescent="0.2">
      <c r="A120" s="1"/>
      <c r="B120" s="1"/>
      <c r="C120" s="2" t="s">
        <v>152</v>
      </c>
      <c r="D120" s="1"/>
      <c r="E120" s="1"/>
      <c r="F120" s="1"/>
      <c r="G120" s="1"/>
      <c r="H120" s="49"/>
    </row>
    <row r="121" spans="1:8" ht="14.1" customHeight="1" x14ac:dyDescent="0.2">
      <c r="A121" s="1"/>
      <c r="B121" s="1"/>
      <c r="C121" s="2" t="s">
        <v>153</v>
      </c>
      <c r="D121" s="1"/>
      <c r="E121" s="1"/>
      <c r="F121" s="1"/>
      <c r="G121" s="1"/>
      <c r="H121" s="49"/>
    </row>
    <row r="122" spans="1:8" ht="14.1" customHeight="1" x14ac:dyDescent="0.2">
      <c r="A122" s="1"/>
      <c r="B122" s="1"/>
      <c r="C122" s="2" t="s">
        <v>130</v>
      </c>
      <c r="D122" s="1"/>
      <c r="E122" s="1" t="s">
        <v>131</v>
      </c>
      <c r="F122" s="13">
        <v>0</v>
      </c>
      <c r="G122" s="14">
        <v>0</v>
      </c>
      <c r="H122" s="49"/>
    </row>
    <row r="123" spans="1:8" ht="14.1" customHeight="1" x14ac:dyDescent="0.2">
      <c r="A123" s="1"/>
      <c r="B123" s="1"/>
      <c r="C123" s="11"/>
      <c r="D123" s="1"/>
      <c r="E123" s="1"/>
      <c r="F123" s="12"/>
      <c r="G123" s="12"/>
      <c r="H123" s="49"/>
    </row>
    <row r="124" spans="1:8" ht="14.1" customHeight="1" x14ac:dyDescent="0.2">
      <c r="A124" s="1"/>
      <c r="B124" s="1"/>
      <c r="C124" s="11"/>
      <c r="D124" s="1"/>
      <c r="E124" s="1"/>
      <c r="F124" s="12"/>
      <c r="G124" s="12"/>
      <c r="H124" s="49"/>
    </row>
    <row r="125" spans="1:8" ht="24" customHeight="1" x14ac:dyDescent="0.2">
      <c r="A125" s="1"/>
      <c r="B125" s="1"/>
      <c r="C125" s="2" t="s">
        <v>154</v>
      </c>
      <c r="D125" s="1"/>
      <c r="E125" s="1"/>
      <c r="F125" s="12"/>
      <c r="G125" s="12"/>
      <c r="H125" s="49"/>
    </row>
    <row r="126" spans="1:8" ht="14.1" customHeight="1" x14ac:dyDescent="0.2">
      <c r="A126" s="1"/>
      <c r="B126" s="1"/>
      <c r="C126" s="2" t="s">
        <v>130</v>
      </c>
      <c r="D126" s="1"/>
      <c r="E126" s="1" t="s">
        <v>131</v>
      </c>
      <c r="F126" s="13">
        <v>0</v>
      </c>
      <c r="G126" s="14">
        <v>0</v>
      </c>
      <c r="H126" s="49"/>
    </row>
    <row r="127" spans="1:8" ht="14.1" customHeight="1" x14ac:dyDescent="0.2">
      <c r="A127" s="1"/>
      <c r="B127" s="1"/>
      <c r="C127" s="11"/>
      <c r="D127" s="1"/>
      <c r="E127" s="1"/>
      <c r="F127" s="12"/>
      <c r="G127" s="12"/>
      <c r="H127" s="49"/>
    </row>
    <row r="128" spans="1:8" ht="14.1" customHeight="1" x14ac:dyDescent="0.2">
      <c r="A128" s="1"/>
      <c r="B128" s="4"/>
      <c r="C128" s="4"/>
      <c r="D128" s="2"/>
      <c r="E128" s="1"/>
      <c r="F128" s="4"/>
      <c r="G128" s="8"/>
      <c r="H128" s="49"/>
    </row>
    <row r="129" spans="1:8" ht="18" customHeight="1" x14ac:dyDescent="0.2">
      <c r="A129" s="8"/>
      <c r="B129" s="4"/>
      <c r="C129" s="4" t="s">
        <v>155</v>
      </c>
      <c r="D129" s="4"/>
      <c r="E129" s="8"/>
      <c r="F129" s="6">
        <v>-1866.11870649</v>
      </c>
      <c r="G129" s="7">
        <v>-9.8169499999999996E-3</v>
      </c>
      <c r="H129" s="49"/>
    </row>
    <row r="130" spans="1:8" ht="14.1" customHeight="1" x14ac:dyDescent="0.2">
      <c r="A130" s="11"/>
      <c r="B130" s="11"/>
      <c r="C130" s="2" t="s">
        <v>156</v>
      </c>
      <c r="D130" s="15"/>
      <c r="E130" s="15"/>
      <c r="F130" s="9">
        <v>190091.50487121</v>
      </c>
      <c r="G130" s="10">
        <v>0.999999996</v>
      </c>
      <c r="H130" s="49"/>
    </row>
    <row r="131" spans="1:8" ht="14.1" customHeight="1" x14ac:dyDescent="0.2">
      <c r="A131" s="16"/>
      <c r="B131" s="16"/>
      <c r="C131" s="16"/>
      <c r="D131" s="17"/>
      <c r="E131" s="17"/>
      <c r="F131" s="17"/>
      <c r="G131" s="17"/>
    </row>
    <row r="132" spans="1:8" ht="14.1" customHeight="1" x14ac:dyDescent="0.2">
      <c r="A132" s="18"/>
      <c r="B132" s="18"/>
      <c r="C132" s="18"/>
      <c r="D132" s="20"/>
      <c r="E132" s="20"/>
      <c r="F132" s="20"/>
      <c r="G132" s="20"/>
    </row>
    <row r="133" spans="1:8" ht="14.1" customHeight="1" x14ac:dyDescent="0.2">
      <c r="A133" s="18"/>
      <c r="B133" s="319" t="s">
        <v>158</v>
      </c>
      <c r="C133" s="320"/>
      <c r="D133" s="12" t="s">
        <v>131</v>
      </c>
      <c r="E133" s="21"/>
      <c r="F133" s="20"/>
      <c r="G133" s="20"/>
    </row>
    <row r="134" spans="1:8" ht="29.1" customHeight="1" x14ac:dyDescent="0.2">
      <c r="A134" s="18"/>
      <c r="B134" s="323" t="s">
        <v>159</v>
      </c>
      <c r="C134" s="324"/>
      <c r="D134" s="2" t="s">
        <v>160</v>
      </c>
      <c r="E134" s="21"/>
      <c r="F134" s="20"/>
      <c r="G134" s="20"/>
    </row>
    <row r="135" spans="1:8" ht="17.100000000000001" customHeight="1" x14ac:dyDescent="0.2">
      <c r="A135" s="18"/>
      <c r="B135" s="323" t="s">
        <v>161</v>
      </c>
      <c r="C135" s="324"/>
      <c r="D135" s="2" t="s">
        <v>160</v>
      </c>
      <c r="E135" s="21"/>
      <c r="F135" s="20"/>
      <c r="G135" s="20"/>
    </row>
    <row r="136" spans="1:8" ht="17.100000000000001" customHeight="1" x14ac:dyDescent="0.2">
      <c r="A136" s="18"/>
      <c r="B136" s="323" t="s">
        <v>162</v>
      </c>
      <c r="C136" s="324"/>
      <c r="D136" s="12" t="s">
        <v>131</v>
      </c>
      <c r="E136" s="21"/>
      <c r="F136" s="20"/>
      <c r="G136" s="20"/>
    </row>
    <row r="137" spans="1:8" ht="24" customHeight="1" x14ac:dyDescent="0.2">
      <c r="A137" s="22"/>
      <c r="B137" s="23" t="s">
        <v>131</v>
      </c>
      <c r="C137" s="23" t="s">
        <v>163</v>
      </c>
      <c r="D137" s="23" t="s">
        <v>164</v>
      </c>
      <c r="E137" s="22"/>
      <c r="F137" s="22"/>
      <c r="G137" s="22"/>
    </row>
    <row r="138" spans="1:8" ht="18" customHeight="1" x14ac:dyDescent="0.2">
      <c r="A138" s="22"/>
      <c r="B138" s="23" t="s">
        <v>165</v>
      </c>
      <c r="C138" s="23" t="s">
        <v>166</v>
      </c>
      <c r="D138" s="23" t="s">
        <v>167</v>
      </c>
      <c r="E138" s="22"/>
      <c r="F138" s="22"/>
      <c r="G138" s="22"/>
    </row>
    <row r="139" spans="1:8" ht="17.100000000000001" customHeight="1" x14ac:dyDescent="0.2">
      <c r="A139" s="22"/>
      <c r="B139" s="4" t="s">
        <v>168</v>
      </c>
      <c r="C139" s="24">
        <v>10.102600000000001</v>
      </c>
      <c r="D139" s="24">
        <v>10.3416</v>
      </c>
      <c r="E139" s="22"/>
      <c r="F139" s="19"/>
      <c r="G139" s="25"/>
    </row>
    <row r="140" spans="1:8" ht="17.100000000000001" customHeight="1" x14ac:dyDescent="0.2">
      <c r="A140" s="22"/>
      <c r="B140" s="4" t="s">
        <v>1021</v>
      </c>
      <c r="C140" s="24">
        <v>10.102600000000001</v>
      </c>
      <c r="D140" s="24">
        <v>10.3416</v>
      </c>
      <c r="E140" s="22"/>
      <c r="F140" s="19"/>
      <c r="G140" s="25"/>
    </row>
    <row r="141" spans="1:8" ht="17.100000000000001" customHeight="1" x14ac:dyDescent="0.2">
      <c r="A141" s="22"/>
      <c r="B141" s="4" t="s">
        <v>169</v>
      </c>
      <c r="C141" s="24">
        <v>10.0741</v>
      </c>
      <c r="D141" s="24">
        <v>10.2967</v>
      </c>
      <c r="E141" s="22"/>
      <c r="F141" s="19"/>
      <c r="G141" s="25"/>
    </row>
    <row r="142" spans="1:8" ht="17.100000000000001" customHeight="1" x14ac:dyDescent="0.2">
      <c r="A142" s="22"/>
      <c r="B142" s="4" t="s">
        <v>1022</v>
      </c>
      <c r="C142" s="24">
        <v>10.074</v>
      </c>
      <c r="D142" s="24">
        <v>10.2967</v>
      </c>
      <c r="E142" s="22"/>
      <c r="F142" s="19"/>
      <c r="G142" s="25"/>
    </row>
    <row r="143" spans="1:8" ht="14.1" customHeight="1" x14ac:dyDescent="0.2">
      <c r="A143" s="22"/>
      <c r="B143" s="22"/>
      <c r="C143" s="22"/>
      <c r="D143" s="22"/>
      <c r="E143" s="22"/>
      <c r="F143" s="22"/>
      <c r="G143" s="22"/>
    </row>
    <row r="144" spans="1:8" ht="17.100000000000001" customHeight="1" x14ac:dyDescent="0.2">
      <c r="A144" s="22"/>
      <c r="B144" s="323" t="s">
        <v>1023</v>
      </c>
      <c r="C144" s="324"/>
      <c r="D144" s="2" t="s">
        <v>160</v>
      </c>
      <c r="E144" s="22"/>
      <c r="F144" s="22"/>
      <c r="G144" s="22"/>
    </row>
    <row r="145" spans="1:7" ht="18" customHeight="1" x14ac:dyDescent="0.2">
      <c r="A145" s="22"/>
      <c r="B145" s="28"/>
      <c r="C145" s="28"/>
      <c r="D145" s="26"/>
      <c r="E145" s="22"/>
      <c r="F145" s="22"/>
      <c r="G145" s="22"/>
    </row>
    <row r="146" spans="1:7" ht="29.1" customHeight="1" x14ac:dyDescent="0.2">
      <c r="A146" s="22"/>
      <c r="B146" s="323" t="s">
        <v>170</v>
      </c>
      <c r="C146" s="324"/>
      <c r="D146" s="2" t="s">
        <v>160</v>
      </c>
      <c r="E146" s="22"/>
      <c r="F146" s="22"/>
      <c r="G146" s="22"/>
    </row>
    <row r="147" spans="1:7" ht="29.1" customHeight="1" x14ac:dyDescent="0.2">
      <c r="A147" s="22"/>
      <c r="B147" s="323" t="s">
        <v>171</v>
      </c>
      <c r="C147" s="324"/>
      <c r="D147" s="2" t="s">
        <v>160</v>
      </c>
      <c r="E147" s="22"/>
      <c r="F147" s="22"/>
      <c r="G147" s="22"/>
    </row>
    <row r="148" spans="1:7" ht="17.100000000000001" customHeight="1" x14ac:dyDescent="0.2">
      <c r="A148" s="22"/>
      <c r="B148" s="323" t="s">
        <v>172</v>
      </c>
      <c r="C148" s="324"/>
      <c r="D148" s="27">
        <v>0.41051041198363863</v>
      </c>
      <c r="E148" s="22"/>
      <c r="F148" s="19"/>
      <c r="G148" s="25"/>
    </row>
    <row r="149" spans="1:7" ht="17.100000000000001" customHeight="1" x14ac:dyDescent="0.2">
      <c r="A149" s="22"/>
      <c r="B149" s="323" t="s">
        <v>173</v>
      </c>
      <c r="C149" s="324"/>
      <c r="D149" s="2" t="s">
        <v>160</v>
      </c>
      <c r="E149" s="22"/>
      <c r="F149" s="22"/>
      <c r="G149" s="22"/>
    </row>
    <row r="178" spans="15:15" x14ac:dyDescent="0.2">
      <c r="O178" s="50"/>
    </row>
    <row r="205" spans="9:9" x14ac:dyDescent="0.2">
      <c r="I205" s="50"/>
    </row>
    <row r="206" spans="9:9" x14ac:dyDescent="0.2">
      <c r="I206" s="50"/>
    </row>
    <row r="207" spans="9:9" x14ac:dyDescent="0.2">
      <c r="I207" s="50"/>
    </row>
    <row r="208" spans="9:9" x14ac:dyDescent="0.2">
      <c r="I208" s="50"/>
    </row>
    <row r="210" spans="9:9" x14ac:dyDescent="0.2">
      <c r="I210" s="58"/>
    </row>
    <row r="211" spans="9:9" x14ac:dyDescent="0.2">
      <c r="I211" s="50"/>
    </row>
    <row r="212" spans="9:9" x14ac:dyDescent="0.2">
      <c r="I212" s="50"/>
    </row>
    <row r="213" spans="9:9" x14ac:dyDescent="0.2">
      <c r="I213" s="50"/>
    </row>
    <row r="214" spans="9:9" x14ac:dyDescent="0.2">
      <c r="I214" s="50"/>
    </row>
    <row r="215" spans="9:9" ht="15" x14ac:dyDescent="0.2">
      <c r="I215" s="221"/>
    </row>
    <row r="216" spans="9:9" ht="15" x14ac:dyDescent="0.25">
      <c r="I216" s="222"/>
    </row>
    <row r="217" spans="9:9" x14ac:dyDescent="0.2">
      <c r="I217" s="50"/>
    </row>
  </sheetData>
  <mergeCells count="13">
    <mergeCell ref="J2:N2"/>
    <mergeCell ref="B149:C149"/>
    <mergeCell ref="B134:C134"/>
    <mergeCell ref="B135:C135"/>
    <mergeCell ref="B136:C136"/>
    <mergeCell ref="B144:C144"/>
    <mergeCell ref="B146:C146"/>
    <mergeCell ref="B147:C147"/>
    <mergeCell ref="A1:H1"/>
    <mergeCell ref="A2:H2"/>
    <mergeCell ref="A3:H3"/>
    <mergeCell ref="B133:C133"/>
    <mergeCell ref="B148:C148"/>
  </mergeCells>
  <hyperlinks>
    <hyperlink ref="I1" location="Index!B36" display="Index" xr:uid="{4853D04C-C5C0-4487-BFEB-E2016E4B26D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O11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315" t="s">
        <v>0</v>
      </c>
      <c r="B1" s="315"/>
      <c r="C1" s="315"/>
      <c r="D1" s="315"/>
      <c r="E1" s="315"/>
      <c r="F1" s="315"/>
      <c r="G1" s="315"/>
      <c r="H1" s="315"/>
      <c r="I1" s="219" t="s">
        <v>1069</v>
      </c>
    </row>
    <row r="2" spans="1:15" ht="17.100000000000001" customHeight="1" x14ac:dyDescent="0.2">
      <c r="A2" s="316" t="s">
        <v>740</v>
      </c>
      <c r="B2" s="317"/>
      <c r="C2" s="317"/>
      <c r="D2" s="317"/>
      <c r="E2" s="317"/>
      <c r="F2" s="317"/>
      <c r="G2" s="317"/>
      <c r="H2" s="318"/>
      <c r="J2" s="321" t="s">
        <v>1070</v>
      </c>
      <c r="K2" s="321"/>
      <c r="L2" s="321"/>
      <c r="M2" s="321"/>
      <c r="N2" s="321"/>
    </row>
    <row r="3" spans="1:15" ht="21" customHeight="1" x14ac:dyDescent="0.2">
      <c r="A3" s="315" t="s">
        <v>1031</v>
      </c>
      <c r="B3" s="315"/>
      <c r="C3" s="315"/>
      <c r="D3" s="315"/>
      <c r="E3" s="315"/>
      <c r="F3" s="315"/>
      <c r="G3" s="315"/>
      <c r="H3" s="315"/>
    </row>
    <row r="4" spans="1:15" s="85" customFormat="1" ht="30" x14ac:dyDescent="0.2">
      <c r="A4" s="84" t="s">
        <v>2</v>
      </c>
      <c r="B4" s="84" t="s">
        <v>3</v>
      </c>
      <c r="C4" s="84" t="s">
        <v>4</v>
      </c>
      <c r="D4" s="84" t="s">
        <v>5</v>
      </c>
      <c r="E4" s="84" t="s">
        <v>6</v>
      </c>
      <c r="F4" s="84" t="s">
        <v>7</v>
      </c>
      <c r="G4" s="84" t="s">
        <v>8</v>
      </c>
      <c r="H4" s="66" t="s">
        <v>989</v>
      </c>
      <c r="I4" s="216"/>
      <c r="J4" s="216"/>
      <c r="K4" s="216"/>
      <c r="L4" s="216"/>
      <c r="M4" s="216"/>
      <c r="N4" s="216"/>
      <c r="O4" s="216"/>
    </row>
    <row r="5" spans="1:15" ht="14.1" customHeight="1" x14ac:dyDescent="0.2">
      <c r="A5" s="1"/>
      <c r="B5" s="1"/>
      <c r="C5" s="2" t="s">
        <v>9</v>
      </c>
      <c r="D5" s="1"/>
      <c r="E5" s="1"/>
      <c r="F5" s="1"/>
      <c r="G5" s="1"/>
      <c r="H5" s="49"/>
    </row>
    <row r="6" spans="1:15" ht="24" customHeight="1" x14ac:dyDescent="0.2">
      <c r="A6" s="1"/>
      <c r="B6" s="1"/>
      <c r="C6" s="2" t="s">
        <v>10</v>
      </c>
      <c r="D6" s="1"/>
      <c r="E6" s="1"/>
      <c r="F6" s="1"/>
      <c r="G6" s="1"/>
      <c r="H6" s="49"/>
    </row>
    <row r="7" spans="1:15" ht="17.100000000000001" customHeight="1" x14ac:dyDescent="0.2">
      <c r="A7" s="3">
        <v>1</v>
      </c>
      <c r="B7" s="4" t="s">
        <v>14</v>
      </c>
      <c r="C7" s="4" t="s">
        <v>15</v>
      </c>
      <c r="D7" s="4" t="s">
        <v>16</v>
      </c>
      <c r="E7" s="5">
        <v>1315747</v>
      </c>
      <c r="F7" s="6">
        <v>12537.753162999999</v>
      </c>
      <c r="G7" s="7">
        <v>0.20315106899999999</v>
      </c>
      <c r="H7" s="49"/>
    </row>
    <row r="8" spans="1:15" ht="17.100000000000001" customHeight="1" x14ac:dyDescent="0.2">
      <c r="A8" s="3">
        <v>2</v>
      </c>
      <c r="B8" s="4" t="s">
        <v>263</v>
      </c>
      <c r="C8" s="4" t="s">
        <v>264</v>
      </c>
      <c r="D8" s="4" t="s">
        <v>16</v>
      </c>
      <c r="E8" s="5">
        <v>760618</v>
      </c>
      <c r="F8" s="6">
        <v>12234.160221</v>
      </c>
      <c r="G8" s="7">
        <v>0.19823190800000001</v>
      </c>
      <c r="H8" s="49"/>
    </row>
    <row r="9" spans="1:15" ht="17.100000000000001" customHeight="1" x14ac:dyDescent="0.2">
      <c r="A9" s="3">
        <v>3</v>
      </c>
      <c r="B9" s="4" t="s">
        <v>180</v>
      </c>
      <c r="C9" s="4" t="s">
        <v>181</v>
      </c>
      <c r="D9" s="4" t="s">
        <v>16</v>
      </c>
      <c r="E9" s="5">
        <v>674844</v>
      </c>
      <c r="F9" s="6">
        <v>6082.0315499999997</v>
      </c>
      <c r="G9" s="7">
        <v>9.8548056999999994E-2</v>
      </c>
      <c r="H9" s="49"/>
    </row>
    <row r="10" spans="1:15" ht="17.100000000000001" customHeight="1" x14ac:dyDescent="0.2">
      <c r="A10" s="3">
        <v>4</v>
      </c>
      <c r="B10" s="4" t="s">
        <v>39</v>
      </c>
      <c r="C10" s="4" t="s">
        <v>40</v>
      </c>
      <c r="D10" s="4" t="s">
        <v>16</v>
      </c>
      <c r="E10" s="5">
        <v>975660</v>
      </c>
      <c r="F10" s="6">
        <v>5877.8636699999997</v>
      </c>
      <c r="G10" s="7">
        <v>9.5239895000000005E-2</v>
      </c>
      <c r="H10" s="49"/>
    </row>
    <row r="11" spans="1:15" ht="29.1" customHeight="1" x14ac:dyDescent="0.2">
      <c r="A11" s="3">
        <v>5</v>
      </c>
      <c r="B11" s="4" t="s">
        <v>296</v>
      </c>
      <c r="C11" s="4" t="s">
        <v>297</v>
      </c>
      <c r="D11" s="4" t="s">
        <v>103</v>
      </c>
      <c r="E11" s="5">
        <v>117622</v>
      </c>
      <c r="F11" s="6">
        <v>3167.0311609999999</v>
      </c>
      <c r="G11" s="7">
        <v>5.1315873999999997E-2</v>
      </c>
      <c r="H11" s="49"/>
    </row>
    <row r="12" spans="1:15" ht="17.100000000000001" customHeight="1" x14ac:dyDescent="0.2">
      <c r="A12" s="3">
        <v>6</v>
      </c>
      <c r="B12" s="4" t="s">
        <v>340</v>
      </c>
      <c r="C12" s="4" t="s">
        <v>341</v>
      </c>
      <c r="D12" s="4" t="s">
        <v>16</v>
      </c>
      <c r="E12" s="5">
        <v>686458</v>
      </c>
      <c r="F12" s="6">
        <v>2160.2833260000002</v>
      </c>
      <c r="G12" s="7">
        <v>3.5003390000000002E-2</v>
      </c>
      <c r="H12" s="49"/>
      <c r="J12" s="217" t="s">
        <v>1100</v>
      </c>
    </row>
    <row r="13" spans="1:15" ht="17.100000000000001" customHeight="1" x14ac:dyDescent="0.2">
      <c r="A13" s="3">
        <v>7</v>
      </c>
      <c r="B13" s="4" t="s">
        <v>182</v>
      </c>
      <c r="C13" s="4" t="s">
        <v>183</v>
      </c>
      <c r="D13" s="4" t="s">
        <v>16</v>
      </c>
      <c r="E13" s="5">
        <v>901401</v>
      </c>
      <c r="F13" s="6">
        <v>1498.5791624999999</v>
      </c>
      <c r="G13" s="7">
        <v>2.42817E-2</v>
      </c>
      <c r="H13" s="49"/>
    </row>
    <row r="14" spans="1:15" ht="17.100000000000001" customHeight="1" x14ac:dyDescent="0.2">
      <c r="A14" s="3">
        <v>8</v>
      </c>
      <c r="B14" s="4" t="s">
        <v>298</v>
      </c>
      <c r="C14" s="4" t="s">
        <v>299</v>
      </c>
      <c r="D14" s="4" t="s">
        <v>238</v>
      </c>
      <c r="E14" s="5">
        <v>115413</v>
      </c>
      <c r="F14" s="6">
        <v>1480.6333770000001</v>
      </c>
      <c r="G14" s="7">
        <v>2.3990922000000001E-2</v>
      </c>
      <c r="H14" s="49"/>
    </row>
    <row r="15" spans="1:15" ht="17.100000000000001" customHeight="1" x14ac:dyDescent="0.2">
      <c r="A15" s="3">
        <v>9</v>
      </c>
      <c r="B15" s="4" t="s">
        <v>184</v>
      </c>
      <c r="C15" s="4" t="s">
        <v>185</v>
      </c>
      <c r="D15" s="4" t="s">
        <v>103</v>
      </c>
      <c r="E15" s="5">
        <v>104431</v>
      </c>
      <c r="F15" s="6">
        <v>1409.8185000000001</v>
      </c>
      <c r="G15" s="7">
        <v>2.2843498E-2</v>
      </c>
      <c r="H15" s="49"/>
    </row>
    <row r="16" spans="1:15" ht="17.100000000000001" customHeight="1" x14ac:dyDescent="0.2">
      <c r="A16" s="3">
        <v>10</v>
      </c>
      <c r="B16" s="4" t="s">
        <v>393</v>
      </c>
      <c r="C16" s="4" t="s">
        <v>394</v>
      </c>
      <c r="D16" s="4" t="s">
        <v>16</v>
      </c>
      <c r="E16" s="5">
        <v>555294</v>
      </c>
      <c r="F16" s="6">
        <v>1212.2068019999999</v>
      </c>
      <c r="G16" s="7">
        <v>1.9641565999999999E-2</v>
      </c>
      <c r="H16" s="49"/>
    </row>
    <row r="17" spans="1:8" ht="17.100000000000001" customHeight="1" x14ac:dyDescent="0.2">
      <c r="A17" s="3">
        <v>11</v>
      </c>
      <c r="B17" s="4" t="s">
        <v>389</v>
      </c>
      <c r="C17" s="4" t="s">
        <v>390</v>
      </c>
      <c r="D17" s="4" t="s">
        <v>103</v>
      </c>
      <c r="E17" s="5">
        <v>906660</v>
      </c>
      <c r="F17" s="6">
        <v>1082.55204</v>
      </c>
      <c r="G17" s="7">
        <v>1.7540751E-2</v>
      </c>
      <c r="H17" s="49"/>
    </row>
    <row r="18" spans="1:8" ht="17.100000000000001" customHeight="1" x14ac:dyDescent="0.2">
      <c r="A18" s="3">
        <v>12</v>
      </c>
      <c r="B18" s="4" t="s">
        <v>315</v>
      </c>
      <c r="C18" s="4" t="s">
        <v>316</v>
      </c>
      <c r="D18" s="4" t="s">
        <v>317</v>
      </c>
      <c r="E18" s="5">
        <v>58456</v>
      </c>
      <c r="F18" s="6">
        <v>933.63000399999999</v>
      </c>
      <c r="G18" s="7">
        <v>1.5127745E-2</v>
      </c>
      <c r="H18" s="49"/>
    </row>
    <row r="19" spans="1:8" ht="17.100000000000001" customHeight="1" x14ac:dyDescent="0.2">
      <c r="A19" s="3">
        <v>13</v>
      </c>
      <c r="B19" s="4" t="s">
        <v>334</v>
      </c>
      <c r="C19" s="4" t="s">
        <v>335</v>
      </c>
      <c r="D19" s="4" t="s">
        <v>16</v>
      </c>
      <c r="E19" s="5">
        <v>78351</v>
      </c>
      <c r="F19" s="6">
        <v>914.982978</v>
      </c>
      <c r="G19" s="7">
        <v>1.4825605E-2</v>
      </c>
      <c r="H19" s="49"/>
    </row>
    <row r="20" spans="1:8" ht="17.100000000000001" customHeight="1" x14ac:dyDescent="0.2">
      <c r="A20" s="3">
        <v>14</v>
      </c>
      <c r="B20" s="4" t="s">
        <v>247</v>
      </c>
      <c r="C20" s="4" t="s">
        <v>248</v>
      </c>
      <c r="D20" s="4" t="s">
        <v>103</v>
      </c>
      <c r="E20" s="5">
        <v>150000</v>
      </c>
      <c r="F20" s="6">
        <v>885.75</v>
      </c>
      <c r="G20" s="7">
        <v>1.4351938E-2</v>
      </c>
      <c r="H20" s="49"/>
    </row>
    <row r="21" spans="1:8" ht="17.100000000000001" customHeight="1" x14ac:dyDescent="0.2">
      <c r="A21" s="3">
        <v>15</v>
      </c>
      <c r="B21" s="4" t="s">
        <v>374</v>
      </c>
      <c r="C21" s="4" t="s">
        <v>375</v>
      </c>
      <c r="D21" s="4" t="s">
        <v>103</v>
      </c>
      <c r="E21" s="5">
        <v>116497</v>
      </c>
      <c r="F21" s="6">
        <v>854.73848899999996</v>
      </c>
      <c r="G21" s="7">
        <v>1.3849454000000001E-2</v>
      </c>
      <c r="H21" s="49"/>
    </row>
    <row r="22" spans="1:8" ht="17.100000000000001" customHeight="1" x14ac:dyDescent="0.2">
      <c r="A22" s="3">
        <v>16</v>
      </c>
      <c r="B22" s="4" t="s">
        <v>599</v>
      </c>
      <c r="C22" s="4" t="s">
        <v>600</v>
      </c>
      <c r="D22" s="4" t="s">
        <v>238</v>
      </c>
      <c r="E22" s="5">
        <v>139505</v>
      </c>
      <c r="F22" s="6">
        <v>823.91652999999997</v>
      </c>
      <c r="G22" s="7">
        <v>1.3350041E-2</v>
      </c>
      <c r="H22" s="49"/>
    </row>
    <row r="23" spans="1:8" ht="29.1" customHeight="1" x14ac:dyDescent="0.2">
      <c r="A23" s="3">
        <v>17</v>
      </c>
      <c r="B23" s="4" t="s">
        <v>101</v>
      </c>
      <c r="C23" s="4" t="s">
        <v>102</v>
      </c>
      <c r="D23" s="4" t="s">
        <v>103</v>
      </c>
      <c r="E23" s="5">
        <v>110307</v>
      </c>
      <c r="F23" s="6">
        <v>788.52958950000004</v>
      </c>
      <c r="G23" s="7">
        <v>1.2776661999999999E-2</v>
      </c>
      <c r="H23" s="49"/>
    </row>
    <row r="24" spans="1:8" ht="17.100000000000001" customHeight="1" x14ac:dyDescent="0.2">
      <c r="A24" s="3">
        <v>18</v>
      </c>
      <c r="B24" s="4" t="s">
        <v>199</v>
      </c>
      <c r="C24" s="4" t="s">
        <v>200</v>
      </c>
      <c r="D24" s="4" t="s">
        <v>16</v>
      </c>
      <c r="E24" s="5">
        <v>122192</v>
      </c>
      <c r="F24" s="6">
        <v>781.17345599999999</v>
      </c>
      <c r="G24" s="7">
        <v>1.2657468999999999E-2</v>
      </c>
      <c r="H24" s="49"/>
    </row>
    <row r="25" spans="1:8" ht="17.100000000000001" customHeight="1" x14ac:dyDescent="0.2">
      <c r="A25" s="3">
        <v>19</v>
      </c>
      <c r="B25" s="4" t="s">
        <v>291</v>
      </c>
      <c r="C25" s="4" t="s">
        <v>292</v>
      </c>
      <c r="D25" s="4" t="s">
        <v>103</v>
      </c>
      <c r="E25" s="5">
        <v>190425</v>
      </c>
      <c r="F25" s="6">
        <v>736.18304999999998</v>
      </c>
      <c r="G25" s="7">
        <v>1.1928483E-2</v>
      </c>
      <c r="H25" s="49"/>
    </row>
    <row r="26" spans="1:8" ht="17.100000000000001" customHeight="1" x14ac:dyDescent="0.2">
      <c r="A26" s="3">
        <v>20</v>
      </c>
      <c r="B26" s="4" t="s">
        <v>344</v>
      </c>
      <c r="C26" s="4" t="s">
        <v>345</v>
      </c>
      <c r="D26" s="4" t="s">
        <v>103</v>
      </c>
      <c r="E26" s="5">
        <v>10562</v>
      </c>
      <c r="F26" s="6">
        <v>709.86673900000005</v>
      </c>
      <c r="G26" s="7">
        <v>1.1502076E-2</v>
      </c>
      <c r="H26" s="49"/>
    </row>
    <row r="27" spans="1:8" ht="17.100000000000001" customHeight="1" x14ac:dyDescent="0.2">
      <c r="A27" s="3">
        <v>21</v>
      </c>
      <c r="B27" s="4" t="s">
        <v>404</v>
      </c>
      <c r="C27" s="4" t="s">
        <v>405</v>
      </c>
      <c r="D27" s="4" t="s">
        <v>317</v>
      </c>
      <c r="E27" s="5">
        <v>44319</v>
      </c>
      <c r="F27" s="6">
        <v>692.41789649999998</v>
      </c>
      <c r="G27" s="7">
        <v>1.1219349999999999E-2</v>
      </c>
      <c r="H27" s="49"/>
    </row>
    <row r="28" spans="1:8" ht="17.100000000000001" customHeight="1" x14ac:dyDescent="0.2">
      <c r="A28" s="3">
        <v>22</v>
      </c>
      <c r="B28" s="4" t="s">
        <v>328</v>
      </c>
      <c r="C28" s="4" t="s">
        <v>329</v>
      </c>
      <c r="D28" s="4" t="s">
        <v>16</v>
      </c>
      <c r="E28" s="5">
        <v>25198</v>
      </c>
      <c r="F28" s="6">
        <v>490.617659</v>
      </c>
      <c r="G28" s="7">
        <v>7.9495509999999991E-3</v>
      </c>
      <c r="H28" s="49"/>
    </row>
    <row r="29" spans="1:8" ht="29.1" customHeight="1" x14ac:dyDescent="0.2">
      <c r="A29" s="3">
        <v>23</v>
      </c>
      <c r="B29" s="4" t="s">
        <v>597</v>
      </c>
      <c r="C29" s="4" t="s">
        <v>598</v>
      </c>
      <c r="D29" s="4" t="s">
        <v>238</v>
      </c>
      <c r="E29" s="5">
        <v>32775</v>
      </c>
      <c r="F29" s="6">
        <v>396.95441249999999</v>
      </c>
      <c r="G29" s="7">
        <v>6.4319110000000002E-3</v>
      </c>
      <c r="H29" s="49"/>
    </row>
    <row r="30" spans="1:8" ht="14.1" customHeight="1" x14ac:dyDescent="0.2">
      <c r="A30" s="1"/>
      <c r="B30" s="1"/>
      <c r="C30" s="2" t="s">
        <v>130</v>
      </c>
      <c r="D30" s="1"/>
      <c r="E30" s="1" t="s">
        <v>131</v>
      </c>
      <c r="F30" s="9">
        <v>57751.673776000003</v>
      </c>
      <c r="G30" s="10">
        <v>0.93575891499999997</v>
      </c>
      <c r="H30" s="49"/>
    </row>
    <row r="31" spans="1:8" ht="14.1" customHeight="1" x14ac:dyDescent="0.2">
      <c r="A31" s="1"/>
      <c r="B31" s="1"/>
      <c r="C31" s="11"/>
      <c r="D31" s="1"/>
      <c r="E31" s="1"/>
      <c r="F31" s="12"/>
      <c r="G31" s="12"/>
      <c r="H31" s="49"/>
    </row>
    <row r="32" spans="1:8" ht="14.1" customHeight="1" x14ac:dyDescent="0.2">
      <c r="A32" s="1"/>
      <c r="B32" s="1"/>
      <c r="C32" s="2" t="s">
        <v>132</v>
      </c>
      <c r="D32" s="1"/>
      <c r="E32" s="1"/>
      <c r="F32" s="1"/>
      <c r="G32" s="1"/>
      <c r="H32" s="49"/>
    </row>
    <row r="33" spans="1:8" ht="14.1" customHeight="1" x14ac:dyDescent="0.2">
      <c r="A33" s="1"/>
      <c r="B33" s="1"/>
      <c r="C33" s="2" t="s">
        <v>130</v>
      </c>
      <c r="D33" s="1"/>
      <c r="E33" s="1" t="s">
        <v>131</v>
      </c>
      <c r="F33" s="13">
        <v>0</v>
      </c>
      <c r="G33" s="14">
        <v>0</v>
      </c>
      <c r="H33" s="49"/>
    </row>
    <row r="34" spans="1:8" ht="14.1" customHeight="1" x14ac:dyDescent="0.2">
      <c r="A34" s="1"/>
      <c r="B34" s="1"/>
      <c r="C34" s="11"/>
      <c r="D34" s="1"/>
      <c r="E34" s="1"/>
      <c r="F34" s="12"/>
      <c r="G34" s="12"/>
      <c r="H34" s="49"/>
    </row>
    <row r="35" spans="1:8" ht="14.1" customHeight="1" x14ac:dyDescent="0.2">
      <c r="A35" s="1"/>
      <c r="B35" s="1"/>
      <c r="C35" s="2" t="s">
        <v>133</v>
      </c>
      <c r="D35" s="1"/>
      <c r="E35" s="1"/>
      <c r="F35" s="1"/>
      <c r="G35" s="1"/>
      <c r="H35" s="49"/>
    </row>
    <row r="36" spans="1:8" ht="14.1" customHeight="1" x14ac:dyDescent="0.2">
      <c r="A36" s="1"/>
      <c r="B36" s="1"/>
      <c r="C36" s="2" t="s">
        <v>130</v>
      </c>
      <c r="D36" s="1"/>
      <c r="E36" s="1" t="s">
        <v>131</v>
      </c>
      <c r="F36" s="13">
        <v>0</v>
      </c>
      <c r="G36" s="14">
        <v>0</v>
      </c>
      <c r="H36" s="49"/>
    </row>
    <row r="37" spans="1:8" ht="14.1" customHeight="1" x14ac:dyDescent="0.2">
      <c r="A37" s="1"/>
      <c r="B37" s="1"/>
      <c r="C37" s="11"/>
      <c r="D37" s="1"/>
      <c r="E37" s="1"/>
      <c r="F37" s="12"/>
      <c r="G37" s="12"/>
      <c r="H37" s="49"/>
    </row>
    <row r="38" spans="1:8" ht="14.1" customHeight="1" x14ac:dyDescent="0.2">
      <c r="A38" s="1"/>
      <c r="B38" s="1"/>
      <c r="C38" s="2" t="s">
        <v>134</v>
      </c>
      <c r="D38" s="1"/>
      <c r="E38" s="1"/>
      <c r="F38" s="1"/>
      <c r="G38" s="1"/>
      <c r="H38" s="49"/>
    </row>
    <row r="39" spans="1:8" ht="14.1" customHeight="1" x14ac:dyDescent="0.2">
      <c r="A39" s="1"/>
      <c r="B39" s="1"/>
      <c r="C39" s="2" t="s">
        <v>130</v>
      </c>
      <c r="D39" s="1"/>
      <c r="E39" s="1" t="s">
        <v>131</v>
      </c>
      <c r="F39" s="13">
        <v>0</v>
      </c>
      <c r="G39" s="14">
        <v>0</v>
      </c>
      <c r="H39" s="49"/>
    </row>
    <row r="40" spans="1:8" ht="14.1" customHeight="1" x14ac:dyDescent="0.2">
      <c r="A40" s="1"/>
      <c r="B40" s="1"/>
      <c r="C40" s="11"/>
      <c r="D40" s="1"/>
      <c r="E40" s="1"/>
      <c r="F40" s="12"/>
      <c r="G40" s="12"/>
      <c r="H40" s="49"/>
    </row>
    <row r="41" spans="1:8" ht="14.1" customHeight="1" x14ac:dyDescent="0.2">
      <c r="A41" s="1"/>
      <c r="B41" s="1"/>
      <c r="C41" s="2" t="s">
        <v>135</v>
      </c>
      <c r="D41" s="1"/>
      <c r="E41" s="1"/>
      <c r="F41" s="12"/>
      <c r="G41" s="12"/>
      <c r="H41" s="49"/>
    </row>
    <row r="42" spans="1:8" ht="14.1" customHeight="1" x14ac:dyDescent="0.2">
      <c r="A42" s="1"/>
      <c r="B42" s="1"/>
      <c r="C42" s="2" t="s">
        <v>130</v>
      </c>
      <c r="D42" s="1"/>
      <c r="E42" s="1" t="s">
        <v>131</v>
      </c>
      <c r="F42" s="13">
        <v>0</v>
      </c>
      <c r="G42" s="14">
        <v>0</v>
      </c>
      <c r="H42" s="49"/>
    </row>
    <row r="43" spans="1:8" ht="14.1" customHeight="1" x14ac:dyDescent="0.2">
      <c r="A43" s="1"/>
      <c r="B43" s="1"/>
      <c r="C43" s="11"/>
      <c r="D43" s="1"/>
      <c r="E43" s="1"/>
      <c r="F43" s="12"/>
      <c r="G43" s="12"/>
      <c r="H43" s="49"/>
    </row>
    <row r="44" spans="1:8" ht="14.1" customHeight="1" x14ac:dyDescent="0.2">
      <c r="A44" s="1"/>
      <c r="B44" s="1"/>
      <c r="C44" s="2" t="s">
        <v>136</v>
      </c>
      <c r="D44" s="1"/>
      <c r="E44" s="1"/>
      <c r="F44" s="12"/>
      <c r="G44" s="12"/>
      <c r="H44" s="49"/>
    </row>
    <row r="45" spans="1:8" ht="14.1" customHeight="1" x14ac:dyDescent="0.2">
      <c r="A45" s="1"/>
      <c r="B45" s="1"/>
      <c r="C45" s="2" t="s">
        <v>130</v>
      </c>
      <c r="D45" s="1"/>
      <c r="E45" s="1" t="s">
        <v>131</v>
      </c>
      <c r="F45" s="13">
        <v>0</v>
      </c>
      <c r="G45" s="14">
        <v>0</v>
      </c>
      <c r="H45" s="49"/>
    </row>
    <row r="46" spans="1:8" ht="14.1" customHeight="1" x14ac:dyDescent="0.2">
      <c r="A46" s="1"/>
      <c r="B46" s="1"/>
      <c r="C46" s="11"/>
      <c r="D46" s="1"/>
      <c r="E46" s="1"/>
      <c r="F46" s="12"/>
      <c r="G46" s="12"/>
      <c r="H46" s="49"/>
    </row>
    <row r="47" spans="1:8" ht="18" customHeight="1" x14ac:dyDescent="0.2">
      <c r="A47" s="1"/>
      <c r="B47" s="1"/>
      <c r="C47" s="2" t="s">
        <v>137</v>
      </c>
      <c r="D47" s="1"/>
      <c r="E47" s="1"/>
      <c r="F47" s="9">
        <v>57751.673776000003</v>
      </c>
      <c r="G47" s="10">
        <v>0.93575891499999997</v>
      </c>
      <c r="H47" s="49"/>
    </row>
    <row r="48" spans="1:8" ht="14.1" customHeight="1" x14ac:dyDescent="0.2">
      <c r="A48" s="1"/>
      <c r="B48" s="1"/>
      <c r="C48" s="11"/>
      <c r="D48" s="1"/>
      <c r="E48" s="1"/>
      <c r="F48" s="12"/>
      <c r="G48" s="12"/>
      <c r="H48" s="49"/>
    </row>
    <row r="49" spans="1:8" ht="14.1" customHeight="1" x14ac:dyDescent="0.2">
      <c r="A49" s="1"/>
      <c r="B49" s="1"/>
      <c r="C49" s="2" t="s">
        <v>138</v>
      </c>
      <c r="D49" s="1"/>
      <c r="E49" s="1"/>
      <c r="F49" s="12"/>
      <c r="G49" s="12"/>
      <c r="H49" s="49"/>
    </row>
    <row r="50" spans="1:8" ht="24" customHeight="1" x14ac:dyDescent="0.2">
      <c r="A50" s="1"/>
      <c r="B50" s="1"/>
      <c r="C50" s="2" t="s">
        <v>10</v>
      </c>
      <c r="D50" s="1"/>
      <c r="E50" s="1"/>
      <c r="F50" s="12"/>
      <c r="G50" s="12"/>
      <c r="H50" s="49"/>
    </row>
    <row r="51" spans="1:8" ht="14.1" customHeight="1" x14ac:dyDescent="0.2">
      <c r="A51" s="1"/>
      <c r="B51" s="1"/>
      <c r="C51" s="2" t="s">
        <v>130</v>
      </c>
      <c r="D51" s="1"/>
      <c r="E51" s="1" t="s">
        <v>131</v>
      </c>
      <c r="F51" s="13">
        <v>0</v>
      </c>
      <c r="G51" s="14">
        <v>0</v>
      </c>
      <c r="H51" s="49"/>
    </row>
    <row r="52" spans="1:8" ht="14.1" customHeight="1" x14ac:dyDescent="0.2">
      <c r="A52" s="1"/>
      <c r="B52" s="1"/>
      <c r="C52" s="11"/>
      <c r="D52" s="1"/>
      <c r="E52" s="1"/>
      <c r="F52" s="12"/>
      <c r="G52" s="12"/>
      <c r="H52" s="49"/>
    </row>
    <row r="53" spans="1:8" ht="14.1" customHeight="1" x14ac:dyDescent="0.2">
      <c r="A53" s="1"/>
      <c r="B53" s="1"/>
      <c r="C53" s="2" t="s">
        <v>139</v>
      </c>
      <c r="D53" s="1"/>
      <c r="E53" s="1"/>
      <c r="F53" s="1"/>
      <c r="G53" s="1"/>
      <c r="H53" s="49"/>
    </row>
    <row r="54" spans="1:8" ht="14.1" customHeight="1" x14ac:dyDescent="0.2">
      <c r="A54" s="1"/>
      <c r="B54" s="1"/>
      <c r="C54" s="2" t="s">
        <v>130</v>
      </c>
      <c r="D54" s="1"/>
      <c r="E54" s="1" t="s">
        <v>131</v>
      </c>
      <c r="F54" s="13">
        <v>0</v>
      </c>
      <c r="G54" s="14">
        <v>0</v>
      </c>
      <c r="H54" s="49"/>
    </row>
    <row r="55" spans="1:8" ht="14.1" customHeight="1" x14ac:dyDescent="0.2">
      <c r="A55" s="1"/>
      <c r="B55" s="1"/>
      <c r="C55" s="11"/>
      <c r="D55" s="1"/>
      <c r="E55" s="1"/>
      <c r="F55" s="12"/>
      <c r="G55" s="12"/>
      <c r="H55" s="49"/>
    </row>
    <row r="56" spans="1:8" ht="14.1" customHeight="1" x14ac:dyDescent="0.2">
      <c r="A56" s="1"/>
      <c r="B56" s="1"/>
      <c r="C56" s="2" t="s">
        <v>140</v>
      </c>
      <c r="D56" s="1"/>
      <c r="E56" s="1"/>
      <c r="F56" s="1"/>
      <c r="G56" s="1"/>
      <c r="H56" s="49"/>
    </row>
    <row r="57" spans="1:8" ht="14.1" customHeight="1" x14ac:dyDescent="0.2">
      <c r="A57" s="1"/>
      <c r="B57" s="1"/>
      <c r="C57" s="2" t="s">
        <v>130</v>
      </c>
      <c r="D57" s="1"/>
      <c r="E57" s="1" t="s">
        <v>131</v>
      </c>
      <c r="F57" s="13">
        <v>0</v>
      </c>
      <c r="G57" s="14">
        <v>0</v>
      </c>
      <c r="H57" s="49"/>
    </row>
    <row r="58" spans="1:8" ht="14.1" customHeight="1" x14ac:dyDescent="0.2">
      <c r="A58" s="1"/>
      <c r="B58" s="1"/>
      <c r="C58" s="11"/>
      <c r="D58" s="1"/>
      <c r="E58" s="1"/>
      <c r="F58" s="12"/>
      <c r="G58" s="12"/>
      <c r="H58" s="49"/>
    </row>
    <row r="59" spans="1:8" ht="14.1" customHeight="1" x14ac:dyDescent="0.2">
      <c r="A59" s="1"/>
      <c r="B59" s="1"/>
      <c r="C59" s="2" t="s">
        <v>141</v>
      </c>
      <c r="D59" s="1"/>
      <c r="E59" s="1"/>
      <c r="F59" s="12"/>
      <c r="G59" s="12"/>
      <c r="H59" s="49"/>
    </row>
    <row r="60" spans="1:8" ht="14.1" customHeight="1" x14ac:dyDescent="0.2">
      <c r="A60" s="1"/>
      <c r="B60" s="1"/>
      <c r="C60" s="2" t="s">
        <v>130</v>
      </c>
      <c r="D60" s="1"/>
      <c r="E60" s="1" t="s">
        <v>131</v>
      </c>
      <c r="F60" s="13">
        <v>0</v>
      </c>
      <c r="G60" s="14">
        <v>0</v>
      </c>
      <c r="H60" s="49"/>
    </row>
    <row r="61" spans="1:8" ht="14.1" customHeight="1" x14ac:dyDescent="0.2">
      <c r="A61" s="1"/>
      <c r="B61" s="1"/>
      <c r="C61" s="11"/>
      <c r="D61" s="1"/>
      <c r="E61" s="1"/>
      <c r="F61" s="12"/>
      <c r="G61" s="12"/>
      <c r="H61" s="49"/>
    </row>
    <row r="62" spans="1:8" ht="14.1" customHeight="1" x14ac:dyDescent="0.2">
      <c r="A62" s="1"/>
      <c r="B62" s="1"/>
      <c r="C62" s="2" t="s">
        <v>142</v>
      </c>
      <c r="D62" s="1"/>
      <c r="E62" s="1"/>
      <c r="F62" s="9">
        <v>0</v>
      </c>
      <c r="G62" s="10">
        <v>0</v>
      </c>
      <c r="H62" s="49"/>
    </row>
    <row r="63" spans="1:8" ht="14.1" customHeight="1" x14ac:dyDescent="0.2">
      <c r="A63" s="1"/>
      <c r="B63" s="1"/>
      <c r="C63" s="11"/>
      <c r="D63" s="1"/>
      <c r="E63" s="1"/>
      <c r="F63" s="12"/>
      <c r="G63" s="12"/>
      <c r="H63" s="49"/>
    </row>
    <row r="64" spans="1:8" ht="14.1" customHeight="1" x14ac:dyDescent="0.2">
      <c r="A64" s="1"/>
      <c r="B64" s="1"/>
      <c r="C64" s="2" t="s">
        <v>143</v>
      </c>
      <c r="D64" s="1"/>
      <c r="E64" s="1"/>
      <c r="F64" s="12"/>
      <c r="G64" s="12"/>
      <c r="H64" s="49"/>
    </row>
    <row r="65" spans="1:8" ht="14.1" customHeight="1" x14ac:dyDescent="0.2">
      <c r="A65" s="1"/>
      <c r="B65" s="1"/>
      <c r="C65" s="2" t="s">
        <v>144</v>
      </c>
      <c r="D65" s="1"/>
      <c r="E65" s="1"/>
      <c r="F65" s="12"/>
      <c r="G65" s="12"/>
      <c r="H65" s="49"/>
    </row>
    <row r="66" spans="1:8" ht="14.1" customHeight="1" x14ac:dyDescent="0.2">
      <c r="A66" s="1"/>
      <c r="B66" s="1"/>
      <c r="C66" s="2" t="s">
        <v>130</v>
      </c>
      <c r="D66" s="1"/>
      <c r="E66" s="1" t="s">
        <v>131</v>
      </c>
      <c r="F66" s="13">
        <v>0</v>
      </c>
      <c r="G66" s="14">
        <v>0</v>
      </c>
      <c r="H66" s="49"/>
    </row>
    <row r="67" spans="1:8" ht="14.1" customHeight="1" x14ac:dyDescent="0.2">
      <c r="A67" s="1"/>
      <c r="B67" s="1"/>
      <c r="C67" s="11"/>
      <c r="D67" s="1"/>
      <c r="E67" s="1"/>
      <c r="F67" s="12"/>
      <c r="G67" s="12"/>
      <c r="H67" s="49"/>
    </row>
    <row r="68" spans="1:8" ht="14.1" customHeight="1" x14ac:dyDescent="0.2">
      <c r="A68" s="1"/>
      <c r="B68" s="1"/>
      <c r="C68" s="2" t="s">
        <v>145</v>
      </c>
      <c r="D68" s="1"/>
      <c r="E68" s="1"/>
      <c r="F68" s="12"/>
      <c r="G68" s="12"/>
      <c r="H68" s="49"/>
    </row>
    <row r="69" spans="1:8" ht="14.1" customHeight="1" x14ac:dyDescent="0.2">
      <c r="A69" s="1"/>
      <c r="B69" s="1"/>
      <c r="C69" s="2" t="s">
        <v>130</v>
      </c>
      <c r="D69" s="1"/>
      <c r="E69" s="1" t="s">
        <v>131</v>
      </c>
      <c r="F69" s="13">
        <v>0</v>
      </c>
      <c r="G69" s="14">
        <v>0</v>
      </c>
      <c r="H69" s="49"/>
    </row>
    <row r="70" spans="1:8" ht="14.1" customHeight="1" x14ac:dyDescent="0.2">
      <c r="A70" s="1"/>
      <c r="B70" s="1"/>
      <c r="C70" s="11"/>
      <c r="D70" s="1"/>
      <c r="E70" s="1"/>
      <c r="F70" s="12"/>
      <c r="G70" s="12"/>
      <c r="H70" s="49"/>
    </row>
    <row r="71" spans="1:8" ht="14.1" customHeight="1" x14ac:dyDescent="0.2">
      <c r="A71" s="1"/>
      <c r="B71" s="1"/>
      <c r="C71" s="2" t="s">
        <v>146</v>
      </c>
      <c r="D71" s="1"/>
      <c r="E71" s="1"/>
      <c r="F71" s="12"/>
      <c r="G71" s="12"/>
      <c r="H71" s="49"/>
    </row>
    <row r="72" spans="1:8" ht="14.1" customHeight="1" x14ac:dyDescent="0.2">
      <c r="A72" s="1"/>
      <c r="B72" s="1"/>
      <c r="C72" s="2" t="s">
        <v>130</v>
      </c>
      <c r="D72" s="1"/>
      <c r="E72" s="1" t="s">
        <v>131</v>
      </c>
      <c r="F72" s="13">
        <v>0</v>
      </c>
      <c r="G72" s="14">
        <v>0</v>
      </c>
      <c r="H72" s="49"/>
    </row>
    <row r="73" spans="1:8" ht="14.1" customHeight="1" x14ac:dyDescent="0.2">
      <c r="A73" s="1"/>
      <c r="B73" s="1"/>
      <c r="C73" s="11"/>
      <c r="D73" s="1"/>
      <c r="E73" s="1"/>
      <c r="F73" s="12"/>
      <c r="G73" s="12"/>
      <c r="H73" s="49"/>
    </row>
    <row r="74" spans="1:8" ht="14.1" customHeight="1" x14ac:dyDescent="0.2">
      <c r="A74" s="1"/>
      <c r="B74" s="1"/>
      <c r="C74" s="2" t="s">
        <v>147</v>
      </c>
      <c r="D74" s="1"/>
      <c r="E74" s="1"/>
      <c r="F74" s="12"/>
      <c r="G74" s="12"/>
      <c r="H74" s="49"/>
    </row>
    <row r="75" spans="1:8" ht="17.100000000000001" customHeight="1" x14ac:dyDescent="0.2">
      <c r="A75" s="3">
        <v>1</v>
      </c>
      <c r="B75" s="4"/>
      <c r="C75" s="4" t="s">
        <v>148</v>
      </c>
      <c r="D75" s="4"/>
      <c r="E75" s="8"/>
      <c r="F75" s="6">
        <v>3368.9694349000001</v>
      </c>
      <c r="G75" s="7">
        <v>5.4587910000000003E-2</v>
      </c>
      <c r="H75" s="49">
        <v>5.6572293145372496</v>
      </c>
    </row>
    <row r="76" spans="1:8" ht="14.1" customHeight="1" x14ac:dyDescent="0.2">
      <c r="A76" s="1"/>
      <c r="B76" s="1"/>
      <c r="C76" s="2" t="s">
        <v>130</v>
      </c>
      <c r="D76" s="1"/>
      <c r="E76" s="1" t="s">
        <v>131</v>
      </c>
      <c r="F76" s="9">
        <v>3368.9694349000001</v>
      </c>
      <c r="G76" s="10">
        <v>5.4587910000000003E-2</v>
      </c>
      <c r="H76" s="49"/>
    </row>
    <row r="77" spans="1:8" ht="14.1" customHeight="1" x14ac:dyDescent="0.2">
      <c r="A77" s="1"/>
      <c r="B77" s="1"/>
      <c r="C77" s="11"/>
      <c r="D77" s="1"/>
      <c r="E77" s="1"/>
      <c r="F77" s="12"/>
      <c r="G77" s="12"/>
      <c r="H77" s="49"/>
    </row>
    <row r="78" spans="1:8" ht="14.1" customHeight="1" x14ac:dyDescent="0.2">
      <c r="A78" s="1"/>
      <c r="B78" s="1"/>
      <c r="C78" s="2" t="s">
        <v>149</v>
      </c>
      <c r="D78" s="1"/>
      <c r="E78" s="1"/>
      <c r="F78" s="9">
        <v>3368.9694349000001</v>
      </c>
      <c r="G78" s="10">
        <v>5.4587910000000003E-2</v>
      </c>
      <c r="H78" s="49"/>
    </row>
    <row r="79" spans="1:8" ht="14.1" customHeight="1" x14ac:dyDescent="0.2">
      <c r="A79" s="1"/>
      <c r="B79" s="1"/>
      <c r="C79" s="12"/>
      <c r="D79" s="1"/>
      <c r="E79" s="1"/>
      <c r="F79" s="1"/>
      <c r="G79" s="1"/>
      <c r="H79" s="49"/>
    </row>
    <row r="80" spans="1:8" ht="14.1" customHeight="1" x14ac:dyDescent="0.2">
      <c r="A80" s="1"/>
      <c r="B80" s="1"/>
      <c r="C80" s="2" t="s">
        <v>150</v>
      </c>
      <c r="D80" s="1"/>
      <c r="E80" s="1"/>
      <c r="F80" s="1"/>
      <c r="G80" s="1"/>
      <c r="H80" s="49"/>
    </row>
    <row r="81" spans="1:8" ht="14.1" customHeight="1" x14ac:dyDescent="0.2">
      <c r="A81" s="1"/>
      <c r="B81" s="1"/>
      <c r="C81" s="2" t="s">
        <v>151</v>
      </c>
      <c r="D81" s="1"/>
      <c r="E81" s="1"/>
      <c r="F81" s="1"/>
      <c r="G81" s="1"/>
      <c r="H81" s="49"/>
    </row>
    <row r="82" spans="1:8" ht="14.1" customHeight="1" x14ac:dyDescent="0.2">
      <c r="A82" s="1"/>
      <c r="B82" s="1"/>
      <c r="C82" s="2" t="s">
        <v>130</v>
      </c>
      <c r="D82" s="1"/>
      <c r="E82" s="1" t="s">
        <v>131</v>
      </c>
      <c r="F82" s="13">
        <v>0</v>
      </c>
      <c r="G82" s="14">
        <v>0</v>
      </c>
      <c r="H82" s="49"/>
    </row>
    <row r="83" spans="1:8" ht="14.1" customHeight="1" x14ac:dyDescent="0.2">
      <c r="A83" s="1"/>
      <c r="B83" s="1"/>
      <c r="C83" s="11"/>
      <c r="D83" s="1"/>
      <c r="E83" s="1"/>
      <c r="F83" s="12"/>
      <c r="G83" s="12"/>
      <c r="H83" s="49"/>
    </row>
    <row r="84" spans="1:8" ht="14.1" customHeight="1" x14ac:dyDescent="0.2">
      <c r="A84" s="1"/>
      <c r="B84" s="1"/>
      <c r="C84" s="2" t="s">
        <v>152</v>
      </c>
      <c r="D84" s="1"/>
      <c r="E84" s="1"/>
      <c r="F84" s="1"/>
      <c r="G84" s="1"/>
      <c r="H84" s="49"/>
    </row>
    <row r="85" spans="1:8" ht="14.1" customHeight="1" x14ac:dyDescent="0.2">
      <c r="A85" s="1"/>
      <c r="B85" s="1"/>
      <c r="C85" s="2" t="s">
        <v>153</v>
      </c>
      <c r="D85" s="1"/>
      <c r="E85" s="1"/>
      <c r="F85" s="1"/>
      <c r="G85" s="1"/>
      <c r="H85" s="49"/>
    </row>
    <row r="86" spans="1:8" ht="14.1" customHeight="1" x14ac:dyDescent="0.2">
      <c r="A86" s="1"/>
      <c r="B86" s="1"/>
      <c r="C86" s="2" t="s">
        <v>130</v>
      </c>
      <c r="D86" s="1"/>
      <c r="E86" s="1" t="s">
        <v>131</v>
      </c>
      <c r="F86" s="13">
        <v>0</v>
      </c>
      <c r="G86" s="14">
        <v>0</v>
      </c>
      <c r="H86" s="49"/>
    </row>
    <row r="87" spans="1:8" ht="14.1" customHeight="1" x14ac:dyDescent="0.2">
      <c r="A87" s="1"/>
      <c r="B87" s="1"/>
      <c r="C87" s="11"/>
      <c r="D87" s="1"/>
      <c r="E87" s="1"/>
      <c r="F87" s="12"/>
      <c r="G87" s="12"/>
      <c r="H87" s="49"/>
    </row>
    <row r="88" spans="1:8" ht="14.1" customHeight="1" x14ac:dyDescent="0.2">
      <c r="A88" s="1"/>
      <c r="B88" s="1"/>
      <c r="C88" s="11"/>
      <c r="D88" s="1"/>
      <c r="E88" s="1"/>
      <c r="F88" s="12"/>
      <c r="G88" s="12"/>
      <c r="H88" s="49"/>
    </row>
    <row r="89" spans="1:8" ht="24" customHeight="1" x14ac:dyDescent="0.2">
      <c r="A89" s="1"/>
      <c r="B89" s="1"/>
      <c r="C89" s="2" t="s">
        <v>154</v>
      </c>
      <c r="D89" s="1"/>
      <c r="E89" s="1"/>
      <c r="F89" s="12"/>
      <c r="G89" s="12"/>
      <c r="H89" s="49"/>
    </row>
    <row r="90" spans="1:8" ht="14.1" customHeight="1" x14ac:dyDescent="0.2">
      <c r="A90" s="1"/>
      <c r="B90" s="1"/>
      <c r="C90" s="2" t="s">
        <v>130</v>
      </c>
      <c r="D90" s="1"/>
      <c r="E90" s="1" t="s">
        <v>131</v>
      </c>
      <c r="F90" s="13">
        <v>0</v>
      </c>
      <c r="G90" s="14">
        <v>0</v>
      </c>
      <c r="H90" s="49"/>
    </row>
    <row r="91" spans="1:8" ht="14.1" customHeight="1" x14ac:dyDescent="0.2">
      <c r="A91" s="1"/>
      <c r="B91" s="1"/>
      <c r="C91" s="11"/>
      <c r="D91" s="1"/>
      <c r="E91" s="1"/>
      <c r="F91" s="12"/>
      <c r="G91" s="12"/>
      <c r="H91" s="49"/>
    </row>
    <row r="92" spans="1:8" ht="14.1" customHeight="1" x14ac:dyDescent="0.2">
      <c r="A92" s="1"/>
      <c r="B92" s="4"/>
      <c r="C92" s="4"/>
      <c r="D92" s="2"/>
      <c r="E92" s="1"/>
      <c r="F92" s="4"/>
      <c r="G92" s="8"/>
      <c r="H92" s="49"/>
    </row>
    <row r="93" spans="1:8" ht="18" customHeight="1" x14ac:dyDescent="0.2">
      <c r="A93" s="8"/>
      <c r="B93" s="4"/>
      <c r="C93" s="4" t="s">
        <v>155</v>
      </c>
      <c r="D93" s="4"/>
      <c r="E93" s="8"/>
      <c r="F93" s="6">
        <v>595.75924221000002</v>
      </c>
      <c r="G93" s="7">
        <v>9.653175E-3</v>
      </c>
      <c r="H93" s="49"/>
    </row>
    <row r="94" spans="1:8" ht="14.1" customHeight="1" x14ac:dyDescent="0.2">
      <c r="A94" s="11"/>
      <c r="B94" s="11"/>
      <c r="C94" s="2" t="s">
        <v>156</v>
      </c>
      <c r="D94" s="15"/>
      <c r="E94" s="15"/>
      <c r="F94" s="9">
        <v>61716.40245311</v>
      </c>
      <c r="G94" s="10">
        <v>1</v>
      </c>
      <c r="H94" s="49"/>
    </row>
    <row r="95" spans="1:8" ht="14.1" customHeight="1" x14ac:dyDescent="0.2">
      <c r="A95" s="16"/>
      <c r="B95" s="16"/>
      <c r="C95" s="16"/>
      <c r="D95" s="17"/>
      <c r="E95" s="17"/>
      <c r="F95" s="17"/>
      <c r="G95" s="17"/>
    </row>
    <row r="96" spans="1:8" ht="14.1" customHeight="1" x14ac:dyDescent="0.2">
      <c r="A96" s="18"/>
      <c r="B96" s="18"/>
      <c r="C96" s="18"/>
      <c r="D96" s="20"/>
      <c r="E96" s="20"/>
      <c r="F96" s="20"/>
      <c r="G96" s="20"/>
    </row>
    <row r="97" spans="1:7" ht="14.1" customHeight="1" x14ac:dyDescent="0.2">
      <c r="A97" s="18"/>
      <c r="B97" s="319" t="s">
        <v>158</v>
      </c>
      <c r="C97" s="320"/>
      <c r="D97" s="12" t="s">
        <v>131</v>
      </c>
      <c r="E97" s="21"/>
      <c r="F97" s="20"/>
      <c r="G97" s="20"/>
    </row>
    <row r="98" spans="1:7" ht="29.1" customHeight="1" x14ac:dyDescent="0.2">
      <c r="A98" s="18"/>
      <c r="B98" s="323" t="s">
        <v>159</v>
      </c>
      <c r="C98" s="324"/>
      <c r="D98" s="2" t="s">
        <v>160</v>
      </c>
      <c r="E98" s="21"/>
      <c r="F98" s="20"/>
      <c r="G98" s="20"/>
    </row>
    <row r="99" spans="1:7" ht="17.100000000000001" customHeight="1" x14ac:dyDescent="0.2">
      <c r="A99" s="18"/>
      <c r="B99" s="323" t="s">
        <v>161</v>
      </c>
      <c r="C99" s="324"/>
      <c r="D99" s="2" t="s">
        <v>160</v>
      </c>
      <c r="E99" s="21"/>
      <c r="F99" s="20"/>
      <c r="G99" s="20"/>
    </row>
    <row r="100" spans="1:7" ht="17.100000000000001" customHeight="1" x14ac:dyDescent="0.2">
      <c r="A100" s="18"/>
      <c r="B100" s="323" t="s">
        <v>162</v>
      </c>
      <c r="C100" s="324"/>
      <c r="D100" s="12" t="s">
        <v>131</v>
      </c>
      <c r="E100" s="21"/>
      <c r="F100" s="20"/>
      <c r="G100" s="20"/>
    </row>
    <row r="101" spans="1:7" ht="24" customHeight="1" x14ac:dyDescent="0.2">
      <c r="A101" s="22"/>
      <c r="B101" s="23" t="s">
        <v>131</v>
      </c>
      <c r="C101" s="23" t="s">
        <v>163</v>
      </c>
      <c r="D101" s="23" t="s">
        <v>164</v>
      </c>
      <c r="E101" s="22"/>
      <c r="F101" s="22"/>
      <c r="G101" s="22"/>
    </row>
    <row r="102" spans="1:7" ht="18" customHeight="1" x14ac:dyDescent="0.2">
      <c r="A102" s="22"/>
      <c r="B102" s="23" t="s">
        <v>165</v>
      </c>
      <c r="C102" s="23" t="s">
        <v>166</v>
      </c>
      <c r="D102" s="23" t="s">
        <v>167</v>
      </c>
      <c r="E102" s="22"/>
      <c r="F102" s="22"/>
      <c r="G102" s="22"/>
    </row>
    <row r="103" spans="1:7" ht="17.100000000000001" customHeight="1" x14ac:dyDescent="0.2">
      <c r="A103" s="22"/>
      <c r="B103" s="4" t="s">
        <v>168</v>
      </c>
      <c r="C103" s="24">
        <v>69.826099999999997</v>
      </c>
      <c r="D103" s="24">
        <v>73.071200000000005</v>
      </c>
      <c r="E103" s="22"/>
      <c r="F103" s="19"/>
      <c r="G103" s="25"/>
    </row>
    <row r="104" spans="1:7" ht="17.100000000000001" customHeight="1" x14ac:dyDescent="0.2">
      <c r="A104" s="22"/>
      <c r="B104" s="4" t="s">
        <v>1021</v>
      </c>
      <c r="C104" s="24">
        <v>27.423300000000001</v>
      </c>
      <c r="D104" s="24">
        <v>26.702999999999999</v>
      </c>
      <c r="E104" s="22"/>
      <c r="F104" s="19"/>
      <c r="G104" s="25"/>
    </row>
    <row r="105" spans="1:7" ht="29.1" customHeight="1" x14ac:dyDescent="0.2">
      <c r="A105" s="22"/>
      <c r="B105" s="4" t="s">
        <v>741</v>
      </c>
      <c r="C105" s="24">
        <v>71.793800000000005</v>
      </c>
      <c r="D105" s="24">
        <v>75.130399999999995</v>
      </c>
      <c r="E105" s="22"/>
      <c r="F105" s="19"/>
      <c r="G105" s="25"/>
    </row>
    <row r="106" spans="1:7" ht="29.1" customHeight="1" x14ac:dyDescent="0.2">
      <c r="A106" s="22"/>
      <c r="B106" s="4" t="s">
        <v>1030</v>
      </c>
      <c r="C106" s="24">
        <v>27.903400000000001</v>
      </c>
      <c r="D106" s="24">
        <v>27.169</v>
      </c>
      <c r="E106" s="22"/>
      <c r="F106" s="19"/>
      <c r="G106" s="25"/>
    </row>
    <row r="107" spans="1:7" ht="17.100000000000001" customHeight="1" x14ac:dyDescent="0.2">
      <c r="A107" s="22"/>
      <c r="B107" s="4" t="s">
        <v>169</v>
      </c>
      <c r="C107" s="24">
        <v>64.316199999999995</v>
      </c>
      <c r="D107" s="24">
        <v>67.223699999999994</v>
      </c>
      <c r="E107" s="22"/>
      <c r="F107" s="19"/>
      <c r="G107" s="25"/>
    </row>
    <row r="108" spans="1:7" ht="17.100000000000001" customHeight="1" x14ac:dyDescent="0.2">
      <c r="A108" s="22"/>
      <c r="B108" s="4" t="s">
        <v>1022</v>
      </c>
      <c r="C108" s="24">
        <v>24.8489</v>
      </c>
      <c r="D108" s="24">
        <v>24.166399999999999</v>
      </c>
      <c r="E108" s="22"/>
      <c r="F108" s="19"/>
      <c r="G108" s="25"/>
    </row>
    <row r="109" spans="1:7" ht="14.1" customHeight="1" x14ac:dyDescent="0.2">
      <c r="A109" s="22"/>
      <c r="B109" s="22"/>
      <c r="C109" s="22"/>
      <c r="D109" s="22"/>
      <c r="E109" s="22"/>
      <c r="F109" s="22"/>
      <c r="G109" s="22"/>
    </row>
    <row r="110" spans="1:7" ht="17.100000000000001" customHeight="1" x14ac:dyDescent="0.2">
      <c r="A110" s="61"/>
      <c r="B110" s="325" t="s">
        <v>1023</v>
      </c>
      <c r="C110" s="326"/>
      <c r="D110" s="57" t="s">
        <v>131</v>
      </c>
      <c r="E110" s="61"/>
      <c r="F110" s="61"/>
      <c r="G110" s="61"/>
    </row>
    <row r="111" spans="1:7" ht="18" customHeight="1" x14ac:dyDescent="0.2">
      <c r="A111" s="61"/>
      <c r="B111" s="62" t="s">
        <v>165</v>
      </c>
      <c r="C111" s="63" t="s">
        <v>820</v>
      </c>
      <c r="D111" s="63" t="s">
        <v>821</v>
      </c>
      <c r="E111" s="61"/>
      <c r="F111" s="61"/>
      <c r="G111" s="61"/>
    </row>
    <row r="112" spans="1:7" ht="29.1" customHeight="1" x14ac:dyDescent="0.2">
      <c r="A112" s="61"/>
      <c r="B112" s="39" t="s">
        <v>1021</v>
      </c>
      <c r="C112" s="64">
        <v>1.9159999999999999</v>
      </c>
      <c r="D112" s="59" t="s">
        <v>975</v>
      </c>
      <c r="E112" s="61"/>
      <c r="F112" s="56"/>
      <c r="G112" s="65"/>
    </row>
    <row r="113" spans="1:7" ht="29.1" customHeight="1" x14ac:dyDescent="0.2">
      <c r="A113" s="61"/>
      <c r="B113" s="39" t="s">
        <v>1030</v>
      </c>
      <c r="C113" s="64">
        <v>1.95</v>
      </c>
      <c r="D113" s="59" t="s">
        <v>975</v>
      </c>
      <c r="E113" s="61"/>
      <c r="F113" s="56"/>
      <c r="G113" s="65"/>
    </row>
    <row r="114" spans="1:7" ht="29.1" customHeight="1" x14ac:dyDescent="0.2">
      <c r="A114" s="61"/>
      <c r="B114" s="39" t="s">
        <v>1022</v>
      </c>
      <c r="C114" s="64">
        <v>1.736</v>
      </c>
      <c r="D114" s="64">
        <v>1.736</v>
      </c>
      <c r="E114" s="61"/>
      <c r="F114" s="56"/>
      <c r="G114" s="65"/>
    </row>
    <row r="115" spans="1:7" ht="14.1" customHeight="1" x14ac:dyDescent="0.2">
      <c r="A115" s="22"/>
      <c r="B115" s="19"/>
      <c r="C115" s="19"/>
      <c r="D115" s="22"/>
      <c r="E115" s="22"/>
      <c r="F115" s="22"/>
      <c r="G115" s="22"/>
    </row>
    <row r="116" spans="1:7" ht="29.1" customHeight="1" x14ac:dyDescent="0.2">
      <c r="A116" s="22"/>
      <c r="B116" s="323" t="s">
        <v>170</v>
      </c>
      <c r="C116" s="324"/>
      <c r="D116" s="2" t="s">
        <v>160</v>
      </c>
      <c r="E116" s="22"/>
      <c r="F116" s="22"/>
      <c r="G116" s="22"/>
    </row>
    <row r="117" spans="1:7" ht="29.1" customHeight="1" x14ac:dyDescent="0.2">
      <c r="A117" s="22"/>
      <c r="B117" s="323" t="s">
        <v>171</v>
      </c>
      <c r="C117" s="324"/>
      <c r="D117" s="2" t="s">
        <v>160</v>
      </c>
      <c r="E117" s="22"/>
      <c r="F117" s="22"/>
      <c r="G117" s="22"/>
    </row>
    <row r="118" spans="1:7" ht="17.100000000000001" customHeight="1" x14ac:dyDescent="0.2">
      <c r="A118" s="22"/>
      <c r="B118" s="323" t="s">
        <v>172</v>
      </c>
      <c r="C118" s="324"/>
      <c r="D118" s="27">
        <v>0.69259659753898806</v>
      </c>
      <c r="E118" s="22"/>
      <c r="F118" s="19"/>
      <c r="G118" s="25"/>
    </row>
    <row r="119" spans="1:7" ht="17.100000000000001" customHeight="1" x14ac:dyDescent="0.2">
      <c r="A119" s="22"/>
      <c r="B119" s="323" t="s">
        <v>173</v>
      </c>
      <c r="C119" s="324"/>
      <c r="D119" s="2" t="s">
        <v>160</v>
      </c>
      <c r="E119" s="22"/>
      <c r="F119" s="22"/>
      <c r="G119" s="22"/>
    </row>
  </sheetData>
  <mergeCells count="13">
    <mergeCell ref="J2:N2"/>
    <mergeCell ref="B119:C119"/>
    <mergeCell ref="B98:C98"/>
    <mergeCell ref="B99:C99"/>
    <mergeCell ref="B100:C100"/>
    <mergeCell ref="B110:C110"/>
    <mergeCell ref="B116:C116"/>
    <mergeCell ref="B117:C117"/>
    <mergeCell ref="A1:H1"/>
    <mergeCell ref="A2:H2"/>
    <mergeCell ref="A3:H3"/>
    <mergeCell ref="B97:C97"/>
    <mergeCell ref="B118:C118"/>
  </mergeCells>
  <hyperlinks>
    <hyperlink ref="I1" location="Index!B37" display="Index" xr:uid="{16849EE7-6680-4CF2-B655-21E91499F36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545AB-8AE7-4EB8-9D0C-A743C95EDCFC}">
  <dimension ref="A1:O61"/>
  <sheetViews>
    <sheetView workbookViewId="0">
      <selection sqref="A1:H1"/>
    </sheetView>
  </sheetViews>
  <sheetFormatPr defaultRowHeight="15" x14ac:dyDescent="0.25"/>
  <cols>
    <col min="1" max="1" width="5.42578125" style="155" bestFit="1" customWidth="1"/>
    <col min="2" max="2" width="19.7109375" style="155" bestFit="1" customWidth="1"/>
    <col min="3" max="3" width="40.28515625" style="155" bestFit="1" customWidth="1"/>
    <col min="4" max="4" width="15.28515625" style="155" bestFit="1" customWidth="1"/>
    <col min="5" max="5" width="12.42578125" style="155" bestFit="1" customWidth="1"/>
    <col min="6" max="6" width="10.140625" style="155" bestFit="1" customWidth="1"/>
    <col min="7" max="7" width="8.5703125" style="155" bestFit="1" customWidth="1"/>
    <col min="8" max="8" width="8.42578125" style="155" bestFit="1" customWidth="1"/>
    <col min="9" max="10" width="9.140625" style="230"/>
    <col min="11" max="11" width="10.5703125" style="230" bestFit="1" customWidth="1"/>
    <col min="12" max="14" width="9.140625" style="230"/>
    <col min="15" max="15" width="9.140625" style="229"/>
    <col min="16" max="246" width="9.140625" style="155"/>
    <col min="247" max="247" width="5.42578125" style="155" bestFit="1" customWidth="1"/>
    <col min="248" max="248" width="20.42578125" style="155" bestFit="1" customWidth="1"/>
    <col min="249" max="249" width="41.42578125" style="155" customWidth="1"/>
    <col min="250" max="250" width="15.28515625" style="155" bestFit="1" customWidth="1"/>
    <col min="251" max="251" width="16.7109375" style="155" bestFit="1" customWidth="1"/>
    <col min="252" max="252" width="11.28515625" style="155" bestFit="1" customWidth="1"/>
    <col min="253" max="253" width="14" style="155" bestFit="1" customWidth="1"/>
    <col min="254" max="254" width="11.85546875" style="155" bestFit="1" customWidth="1"/>
    <col min="255" max="255" width="14.85546875" style="155" bestFit="1" customWidth="1"/>
    <col min="256" max="256" width="9.7109375" style="155" customWidth="1"/>
    <col min="257" max="257" width="4.85546875" style="155" customWidth="1"/>
    <col min="258" max="502" width="9.140625" style="155"/>
    <col min="503" max="503" width="5.42578125" style="155" bestFit="1" customWidth="1"/>
    <col min="504" max="504" width="20.42578125" style="155" bestFit="1" customWidth="1"/>
    <col min="505" max="505" width="41.42578125" style="155" customWidth="1"/>
    <col min="506" max="506" width="15.28515625" style="155" bestFit="1" customWidth="1"/>
    <col min="507" max="507" width="16.7109375" style="155" bestFit="1" customWidth="1"/>
    <col min="508" max="508" width="11.28515625" style="155" bestFit="1" customWidth="1"/>
    <col min="509" max="509" width="14" style="155" bestFit="1" customWidth="1"/>
    <col min="510" max="510" width="11.85546875" style="155" bestFit="1" customWidth="1"/>
    <col min="511" max="511" width="14.85546875" style="155" bestFit="1" customWidth="1"/>
    <col min="512" max="512" width="9.7109375" style="155" customWidth="1"/>
    <col min="513" max="513" width="4.85546875" style="155" customWidth="1"/>
    <col min="514" max="758" width="9.140625" style="155"/>
    <col min="759" max="759" width="5.42578125" style="155" bestFit="1" customWidth="1"/>
    <col min="760" max="760" width="20.42578125" style="155" bestFit="1" customWidth="1"/>
    <col min="761" max="761" width="41.42578125" style="155" customWidth="1"/>
    <col min="762" max="762" width="15.28515625" style="155" bestFit="1" customWidth="1"/>
    <col min="763" max="763" width="16.7109375" style="155" bestFit="1" customWidth="1"/>
    <col min="764" max="764" width="11.28515625" style="155" bestFit="1" customWidth="1"/>
    <col min="765" max="765" width="14" style="155" bestFit="1" customWidth="1"/>
    <col min="766" max="766" width="11.85546875" style="155" bestFit="1" customWidth="1"/>
    <col min="767" max="767" width="14.85546875" style="155" bestFit="1" customWidth="1"/>
    <col min="768" max="768" width="9.7109375" style="155" customWidth="1"/>
    <col min="769" max="769" width="4.85546875" style="155" customWidth="1"/>
    <col min="770" max="1014" width="9.140625" style="155"/>
    <col min="1015" max="1015" width="5.42578125" style="155" bestFit="1" customWidth="1"/>
    <col min="1016" max="1016" width="20.42578125" style="155" bestFit="1" customWidth="1"/>
    <col min="1017" max="1017" width="41.42578125" style="155" customWidth="1"/>
    <col min="1018" max="1018" width="15.28515625" style="155" bestFit="1" customWidth="1"/>
    <col min="1019" max="1019" width="16.7109375" style="155" bestFit="1" customWidth="1"/>
    <col min="1020" max="1020" width="11.28515625" style="155" bestFit="1" customWidth="1"/>
    <col min="1021" max="1021" width="14" style="155" bestFit="1" customWidth="1"/>
    <col min="1022" max="1022" width="11.85546875" style="155" bestFit="1" customWidth="1"/>
    <col min="1023" max="1023" width="14.85546875" style="155" bestFit="1" customWidth="1"/>
    <col min="1024" max="1024" width="9.7109375" style="155" customWidth="1"/>
    <col min="1025" max="1025" width="4.85546875" style="155" customWidth="1"/>
    <col min="1026" max="1270" width="9.140625" style="155"/>
    <col min="1271" max="1271" width="5.42578125" style="155" bestFit="1" customWidth="1"/>
    <col min="1272" max="1272" width="20.42578125" style="155" bestFit="1" customWidth="1"/>
    <col min="1273" max="1273" width="41.42578125" style="155" customWidth="1"/>
    <col min="1274" max="1274" width="15.28515625" style="155" bestFit="1" customWidth="1"/>
    <col min="1275" max="1275" width="16.7109375" style="155" bestFit="1" customWidth="1"/>
    <col min="1276" max="1276" width="11.28515625" style="155" bestFit="1" customWidth="1"/>
    <col min="1277" max="1277" width="14" style="155" bestFit="1" customWidth="1"/>
    <col min="1278" max="1278" width="11.85546875" style="155" bestFit="1" customWidth="1"/>
    <col min="1279" max="1279" width="14.85546875" style="155" bestFit="1" customWidth="1"/>
    <col min="1280" max="1280" width="9.7109375" style="155" customWidth="1"/>
    <col min="1281" max="1281" width="4.85546875" style="155" customWidth="1"/>
    <col min="1282" max="1526" width="9.140625" style="155"/>
    <col min="1527" max="1527" width="5.42578125" style="155" bestFit="1" customWidth="1"/>
    <col min="1528" max="1528" width="20.42578125" style="155" bestFit="1" customWidth="1"/>
    <col min="1529" max="1529" width="41.42578125" style="155" customWidth="1"/>
    <col min="1530" max="1530" width="15.28515625" style="155" bestFit="1" customWidth="1"/>
    <col min="1531" max="1531" width="16.7109375" style="155" bestFit="1" customWidth="1"/>
    <col min="1532" max="1532" width="11.28515625" style="155" bestFit="1" customWidth="1"/>
    <col min="1533" max="1533" width="14" style="155" bestFit="1" customWidth="1"/>
    <col min="1534" max="1534" width="11.85546875" style="155" bestFit="1" customWidth="1"/>
    <col min="1535" max="1535" width="14.85546875" style="155" bestFit="1" customWidth="1"/>
    <col min="1536" max="1536" width="9.7109375" style="155" customWidth="1"/>
    <col min="1537" max="1537" width="4.85546875" style="155" customWidth="1"/>
    <col min="1538" max="1782" width="9.140625" style="155"/>
    <col min="1783" max="1783" width="5.42578125" style="155" bestFit="1" customWidth="1"/>
    <col min="1784" max="1784" width="20.42578125" style="155" bestFit="1" customWidth="1"/>
    <col min="1785" max="1785" width="41.42578125" style="155" customWidth="1"/>
    <col min="1786" max="1786" width="15.28515625" style="155" bestFit="1" customWidth="1"/>
    <col min="1787" max="1787" width="16.7109375" style="155" bestFit="1" customWidth="1"/>
    <col min="1788" max="1788" width="11.28515625" style="155" bestFit="1" customWidth="1"/>
    <col min="1789" max="1789" width="14" style="155" bestFit="1" customWidth="1"/>
    <col min="1790" max="1790" width="11.85546875" style="155" bestFit="1" customWidth="1"/>
    <col min="1791" max="1791" width="14.85546875" style="155" bestFit="1" customWidth="1"/>
    <col min="1792" max="1792" width="9.7109375" style="155" customWidth="1"/>
    <col min="1793" max="1793" width="4.85546875" style="155" customWidth="1"/>
    <col min="1794" max="2038" width="9.140625" style="155"/>
    <col min="2039" max="2039" width="5.42578125" style="155" bestFit="1" customWidth="1"/>
    <col min="2040" max="2040" width="20.42578125" style="155" bestFit="1" customWidth="1"/>
    <col min="2041" max="2041" width="41.42578125" style="155" customWidth="1"/>
    <col min="2042" max="2042" width="15.28515625" style="155" bestFit="1" customWidth="1"/>
    <col min="2043" max="2043" width="16.7109375" style="155" bestFit="1" customWidth="1"/>
    <col min="2044" max="2044" width="11.28515625" style="155" bestFit="1" customWidth="1"/>
    <col min="2045" max="2045" width="14" style="155" bestFit="1" customWidth="1"/>
    <col min="2046" max="2046" width="11.85546875" style="155" bestFit="1" customWidth="1"/>
    <col min="2047" max="2047" width="14.85546875" style="155" bestFit="1" customWidth="1"/>
    <col min="2048" max="2048" width="9.7109375" style="155" customWidth="1"/>
    <col min="2049" max="2049" width="4.85546875" style="155" customWidth="1"/>
    <col min="2050" max="2294" width="9.140625" style="155"/>
    <col min="2295" max="2295" width="5.42578125" style="155" bestFit="1" customWidth="1"/>
    <col min="2296" max="2296" width="20.42578125" style="155" bestFit="1" customWidth="1"/>
    <col min="2297" max="2297" width="41.42578125" style="155" customWidth="1"/>
    <col min="2298" max="2298" width="15.28515625" style="155" bestFit="1" customWidth="1"/>
    <col min="2299" max="2299" width="16.7109375" style="155" bestFit="1" customWidth="1"/>
    <col min="2300" max="2300" width="11.28515625" style="155" bestFit="1" customWidth="1"/>
    <col min="2301" max="2301" width="14" style="155" bestFit="1" customWidth="1"/>
    <col min="2302" max="2302" width="11.85546875" style="155" bestFit="1" customWidth="1"/>
    <col min="2303" max="2303" width="14.85546875" style="155" bestFit="1" customWidth="1"/>
    <col min="2304" max="2304" width="9.7109375" style="155" customWidth="1"/>
    <col min="2305" max="2305" width="4.85546875" style="155" customWidth="1"/>
    <col min="2306" max="2550" width="9.140625" style="155"/>
    <col min="2551" max="2551" width="5.42578125" style="155" bestFit="1" customWidth="1"/>
    <col min="2552" max="2552" width="20.42578125" style="155" bestFit="1" customWidth="1"/>
    <col min="2553" max="2553" width="41.42578125" style="155" customWidth="1"/>
    <col min="2554" max="2554" width="15.28515625" style="155" bestFit="1" customWidth="1"/>
    <col min="2555" max="2555" width="16.7109375" style="155" bestFit="1" customWidth="1"/>
    <col min="2556" max="2556" width="11.28515625" style="155" bestFit="1" customWidth="1"/>
    <col min="2557" max="2557" width="14" style="155" bestFit="1" customWidth="1"/>
    <col min="2558" max="2558" width="11.85546875" style="155" bestFit="1" customWidth="1"/>
    <col min="2559" max="2559" width="14.85546875" style="155" bestFit="1" customWidth="1"/>
    <col min="2560" max="2560" width="9.7109375" style="155" customWidth="1"/>
    <col min="2561" max="2561" width="4.85546875" style="155" customWidth="1"/>
    <col min="2562" max="2806" width="9.140625" style="155"/>
    <col min="2807" max="2807" width="5.42578125" style="155" bestFit="1" customWidth="1"/>
    <col min="2808" max="2808" width="20.42578125" style="155" bestFit="1" customWidth="1"/>
    <col min="2809" max="2809" width="41.42578125" style="155" customWidth="1"/>
    <col min="2810" max="2810" width="15.28515625" style="155" bestFit="1" customWidth="1"/>
    <col min="2811" max="2811" width="16.7109375" style="155" bestFit="1" customWidth="1"/>
    <col min="2812" max="2812" width="11.28515625" style="155" bestFit="1" customWidth="1"/>
    <col min="2813" max="2813" width="14" style="155" bestFit="1" customWidth="1"/>
    <col min="2814" max="2814" width="11.85546875" style="155" bestFit="1" customWidth="1"/>
    <col min="2815" max="2815" width="14.85546875" style="155" bestFit="1" customWidth="1"/>
    <col min="2816" max="2816" width="9.7109375" style="155" customWidth="1"/>
    <col min="2817" max="2817" width="4.85546875" style="155" customWidth="1"/>
    <col min="2818" max="3062" width="9.140625" style="155"/>
    <col min="3063" max="3063" width="5.42578125" style="155" bestFit="1" customWidth="1"/>
    <col min="3064" max="3064" width="20.42578125" style="155" bestFit="1" customWidth="1"/>
    <col min="3065" max="3065" width="41.42578125" style="155" customWidth="1"/>
    <col min="3066" max="3066" width="15.28515625" style="155" bestFit="1" customWidth="1"/>
    <col min="3067" max="3067" width="16.7109375" style="155" bestFit="1" customWidth="1"/>
    <col min="3068" max="3068" width="11.28515625" style="155" bestFit="1" customWidth="1"/>
    <col min="3069" max="3069" width="14" style="155" bestFit="1" customWidth="1"/>
    <col min="3070" max="3070" width="11.85546875" style="155" bestFit="1" customWidth="1"/>
    <col min="3071" max="3071" width="14.85546875" style="155" bestFit="1" customWidth="1"/>
    <col min="3072" max="3072" width="9.7109375" style="155" customWidth="1"/>
    <col min="3073" max="3073" width="4.85546875" style="155" customWidth="1"/>
    <col min="3074" max="3318" width="9.140625" style="155"/>
    <col min="3319" max="3319" width="5.42578125" style="155" bestFit="1" customWidth="1"/>
    <col min="3320" max="3320" width="20.42578125" style="155" bestFit="1" customWidth="1"/>
    <col min="3321" max="3321" width="41.42578125" style="155" customWidth="1"/>
    <col min="3322" max="3322" width="15.28515625" style="155" bestFit="1" customWidth="1"/>
    <col min="3323" max="3323" width="16.7109375" style="155" bestFit="1" customWidth="1"/>
    <col min="3324" max="3324" width="11.28515625" style="155" bestFit="1" customWidth="1"/>
    <col min="3325" max="3325" width="14" style="155" bestFit="1" customWidth="1"/>
    <col min="3326" max="3326" width="11.85546875" style="155" bestFit="1" customWidth="1"/>
    <col min="3327" max="3327" width="14.85546875" style="155" bestFit="1" customWidth="1"/>
    <col min="3328" max="3328" width="9.7109375" style="155" customWidth="1"/>
    <col min="3329" max="3329" width="4.85546875" style="155" customWidth="1"/>
    <col min="3330" max="3574" width="9.140625" style="155"/>
    <col min="3575" max="3575" width="5.42578125" style="155" bestFit="1" customWidth="1"/>
    <col min="3576" max="3576" width="20.42578125" style="155" bestFit="1" customWidth="1"/>
    <col min="3577" max="3577" width="41.42578125" style="155" customWidth="1"/>
    <col min="3578" max="3578" width="15.28515625" style="155" bestFit="1" customWidth="1"/>
    <col min="3579" max="3579" width="16.7109375" style="155" bestFit="1" customWidth="1"/>
    <col min="3580" max="3580" width="11.28515625" style="155" bestFit="1" customWidth="1"/>
    <col min="3581" max="3581" width="14" style="155" bestFit="1" customWidth="1"/>
    <col min="3582" max="3582" width="11.85546875" style="155" bestFit="1" customWidth="1"/>
    <col min="3583" max="3583" width="14.85546875" style="155" bestFit="1" customWidth="1"/>
    <col min="3584" max="3584" width="9.7109375" style="155" customWidth="1"/>
    <col min="3585" max="3585" width="4.85546875" style="155" customWidth="1"/>
    <col min="3586" max="3830" width="9.140625" style="155"/>
    <col min="3831" max="3831" width="5.42578125" style="155" bestFit="1" customWidth="1"/>
    <col min="3832" max="3832" width="20.42578125" style="155" bestFit="1" customWidth="1"/>
    <col min="3833" max="3833" width="41.42578125" style="155" customWidth="1"/>
    <col min="3834" max="3834" width="15.28515625" style="155" bestFit="1" customWidth="1"/>
    <col min="3835" max="3835" width="16.7109375" style="155" bestFit="1" customWidth="1"/>
    <col min="3836" max="3836" width="11.28515625" style="155" bestFit="1" customWidth="1"/>
    <col min="3837" max="3837" width="14" style="155" bestFit="1" customWidth="1"/>
    <col min="3838" max="3838" width="11.85546875" style="155" bestFit="1" customWidth="1"/>
    <col min="3839" max="3839" width="14.85546875" style="155" bestFit="1" customWidth="1"/>
    <col min="3840" max="3840" width="9.7109375" style="155" customWidth="1"/>
    <col min="3841" max="3841" width="4.85546875" style="155" customWidth="1"/>
    <col min="3842" max="4086" width="9.140625" style="155"/>
    <col min="4087" max="4087" width="5.42578125" style="155" bestFit="1" customWidth="1"/>
    <col min="4088" max="4088" width="20.42578125" style="155" bestFit="1" customWidth="1"/>
    <col min="4089" max="4089" width="41.42578125" style="155" customWidth="1"/>
    <col min="4090" max="4090" width="15.28515625" style="155" bestFit="1" customWidth="1"/>
    <col min="4091" max="4091" width="16.7109375" style="155" bestFit="1" customWidth="1"/>
    <col min="4092" max="4092" width="11.28515625" style="155" bestFit="1" customWidth="1"/>
    <col min="4093" max="4093" width="14" style="155" bestFit="1" customWidth="1"/>
    <col min="4094" max="4094" width="11.85546875" style="155" bestFit="1" customWidth="1"/>
    <col min="4095" max="4095" width="14.85546875" style="155" bestFit="1" customWidth="1"/>
    <col min="4096" max="4096" width="9.7109375" style="155" customWidth="1"/>
    <col min="4097" max="4097" width="4.85546875" style="155" customWidth="1"/>
    <col min="4098" max="4342" width="9.140625" style="155"/>
    <col min="4343" max="4343" width="5.42578125" style="155" bestFit="1" customWidth="1"/>
    <col min="4344" max="4344" width="20.42578125" style="155" bestFit="1" customWidth="1"/>
    <col min="4345" max="4345" width="41.42578125" style="155" customWidth="1"/>
    <col min="4346" max="4346" width="15.28515625" style="155" bestFit="1" customWidth="1"/>
    <col min="4347" max="4347" width="16.7109375" style="155" bestFit="1" customWidth="1"/>
    <col min="4348" max="4348" width="11.28515625" style="155" bestFit="1" customWidth="1"/>
    <col min="4349" max="4349" width="14" style="155" bestFit="1" customWidth="1"/>
    <col min="4350" max="4350" width="11.85546875" style="155" bestFit="1" customWidth="1"/>
    <col min="4351" max="4351" width="14.85546875" style="155" bestFit="1" customWidth="1"/>
    <col min="4352" max="4352" width="9.7109375" style="155" customWidth="1"/>
    <col min="4353" max="4353" width="4.85546875" style="155" customWidth="1"/>
    <col min="4354" max="4598" width="9.140625" style="155"/>
    <col min="4599" max="4599" width="5.42578125" style="155" bestFit="1" customWidth="1"/>
    <col min="4600" max="4600" width="20.42578125" style="155" bestFit="1" customWidth="1"/>
    <col min="4601" max="4601" width="41.42578125" style="155" customWidth="1"/>
    <col min="4602" max="4602" width="15.28515625" style="155" bestFit="1" customWidth="1"/>
    <col min="4603" max="4603" width="16.7109375" style="155" bestFit="1" customWidth="1"/>
    <col min="4604" max="4604" width="11.28515625" style="155" bestFit="1" customWidth="1"/>
    <col min="4605" max="4605" width="14" style="155" bestFit="1" customWidth="1"/>
    <col min="4606" max="4606" width="11.85546875" style="155" bestFit="1" customWidth="1"/>
    <col min="4607" max="4607" width="14.85546875" style="155" bestFit="1" customWidth="1"/>
    <col min="4608" max="4608" width="9.7109375" style="155" customWidth="1"/>
    <col min="4609" max="4609" width="4.85546875" style="155" customWidth="1"/>
    <col min="4610" max="4854" width="9.140625" style="155"/>
    <col min="4855" max="4855" width="5.42578125" style="155" bestFit="1" customWidth="1"/>
    <col min="4856" max="4856" width="20.42578125" style="155" bestFit="1" customWidth="1"/>
    <col min="4857" max="4857" width="41.42578125" style="155" customWidth="1"/>
    <col min="4858" max="4858" width="15.28515625" style="155" bestFit="1" customWidth="1"/>
    <col min="4859" max="4859" width="16.7109375" style="155" bestFit="1" customWidth="1"/>
    <col min="4860" max="4860" width="11.28515625" style="155" bestFit="1" customWidth="1"/>
    <col min="4861" max="4861" width="14" style="155" bestFit="1" customWidth="1"/>
    <col min="4862" max="4862" width="11.85546875" style="155" bestFit="1" customWidth="1"/>
    <col min="4863" max="4863" width="14.85546875" style="155" bestFit="1" customWidth="1"/>
    <col min="4864" max="4864" width="9.7109375" style="155" customWidth="1"/>
    <col min="4865" max="4865" width="4.85546875" style="155" customWidth="1"/>
    <col min="4866" max="5110" width="9.140625" style="155"/>
    <col min="5111" max="5111" width="5.42578125" style="155" bestFit="1" customWidth="1"/>
    <col min="5112" max="5112" width="20.42578125" style="155" bestFit="1" customWidth="1"/>
    <col min="5113" max="5113" width="41.42578125" style="155" customWidth="1"/>
    <col min="5114" max="5114" width="15.28515625" style="155" bestFit="1" customWidth="1"/>
    <col min="5115" max="5115" width="16.7109375" style="155" bestFit="1" customWidth="1"/>
    <col min="5116" max="5116" width="11.28515625" style="155" bestFit="1" customWidth="1"/>
    <col min="5117" max="5117" width="14" style="155" bestFit="1" customWidth="1"/>
    <col min="5118" max="5118" width="11.85546875" style="155" bestFit="1" customWidth="1"/>
    <col min="5119" max="5119" width="14.85546875" style="155" bestFit="1" customWidth="1"/>
    <col min="5120" max="5120" width="9.7109375" style="155" customWidth="1"/>
    <col min="5121" max="5121" width="4.85546875" style="155" customWidth="1"/>
    <col min="5122" max="5366" width="9.140625" style="155"/>
    <col min="5367" max="5367" width="5.42578125" style="155" bestFit="1" customWidth="1"/>
    <col min="5368" max="5368" width="20.42578125" style="155" bestFit="1" customWidth="1"/>
    <col min="5369" max="5369" width="41.42578125" style="155" customWidth="1"/>
    <col min="5370" max="5370" width="15.28515625" style="155" bestFit="1" customWidth="1"/>
    <col min="5371" max="5371" width="16.7109375" style="155" bestFit="1" customWidth="1"/>
    <col min="5372" max="5372" width="11.28515625" style="155" bestFit="1" customWidth="1"/>
    <col min="5373" max="5373" width="14" style="155" bestFit="1" customWidth="1"/>
    <col min="5374" max="5374" width="11.85546875" style="155" bestFit="1" customWidth="1"/>
    <col min="5375" max="5375" width="14.85546875" style="155" bestFit="1" customWidth="1"/>
    <col min="5376" max="5376" width="9.7109375" style="155" customWidth="1"/>
    <col min="5377" max="5377" width="4.85546875" style="155" customWidth="1"/>
    <col min="5378" max="5622" width="9.140625" style="155"/>
    <col min="5623" max="5623" width="5.42578125" style="155" bestFit="1" customWidth="1"/>
    <col min="5624" max="5624" width="20.42578125" style="155" bestFit="1" customWidth="1"/>
    <col min="5625" max="5625" width="41.42578125" style="155" customWidth="1"/>
    <col min="5626" max="5626" width="15.28515625" style="155" bestFit="1" customWidth="1"/>
    <col min="5627" max="5627" width="16.7109375" style="155" bestFit="1" customWidth="1"/>
    <col min="5628" max="5628" width="11.28515625" style="155" bestFit="1" customWidth="1"/>
    <col min="5629" max="5629" width="14" style="155" bestFit="1" customWidth="1"/>
    <col min="5630" max="5630" width="11.85546875" style="155" bestFit="1" customWidth="1"/>
    <col min="5631" max="5631" width="14.85546875" style="155" bestFit="1" customWidth="1"/>
    <col min="5632" max="5632" width="9.7109375" style="155" customWidth="1"/>
    <col min="5633" max="5633" width="4.85546875" style="155" customWidth="1"/>
    <col min="5634" max="5878" width="9.140625" style="155"/>
    <col min="5879" max="5879" width="5.42578125" style="155" bestFit="1" customWidth="1"/>
    <col min="5880" max="5880" width="20.42578125" style="155" bestFit="1" customWidth="1"/>
    <col min="5881" max="5881" width="41.42578125" style="155" customWidth="1"/>
    <col min="5882" max="5882" width="15.28515625" style="155" bestFit="1" customWidth="1"/>
    <col min="5883" max="5883" width="16.7109375" style="155" bestFit="1" customWidth="1"/>
    <col min="5884" max="5884" width="11.28515625" style="155" bestFit="1" customWidth="1"/>
    <col min="5885" max="5885" width="14" style="155" bestFit="1" customWidth="1"/>
    <col min="5886" max="5886" width="11.85546875" style="155" bestFit="1" customWidth="1"/>
    <col min="5887" max="5887" width="14.85546875" style="155" bestFit="1" customWidth="1"/>
    <col min="5888" max="5888" width="9.7109375" style="155" customWidth="1"/>
    <col min="5889" max="5889" width="4.85546875" style="155" customWidth="1"/>
    <col min="5890" max="6134" width="9.140625" style="155"/>
    <col min="6135" max="6135" width="5.42578125" style="155" bestFit="1" customWidth="1"/>
    <col min="6136" max="6136" width="20.42578125" style="155" bestFit="1" customWidth="1"/>
    <col min="6137" max="6137" width="41.42578125" style="155" customWidth="1"/>
    <col min="6138" max="6138" width="15.28515625" style="155" bestFit="1" customWidth="1"/>
    <col min="6139" max="6139" width="16.7109375" style="155" bestFit="1" customWidth="1"/>
    <col min="6140" max="6140" width="11.28515625" style="155" bestFit="1" customWidth="1"/>
    <col min="6141" max="6141" width="14" style="155" bestFit="1" customWidth="1"/>
    <col min="6142" max="6142" width="11.85546875" style="155" bestFit="1" customWidth="1"/>
    <col min="6143" max="6143" width="14.85546875" style="155" bestFit="1" customWidth="1"/>
    <col min="6144" max="6144" width="9.7109375" style="155" customWidth="1"/>
    <col min="6145" max="6145" width="4.85546875" style="155" customWidth="1"/>
    <col min="6146" max="6390" width="9.140625" style="155"/>
    <col min="6391" max="6391" width="5.42578125" style="155" bestFit="1" customWidth="1"/>
    <col min="6392" max="6392" width="20.42578125" style="155" bestFit="1" customWidth="1"/>
    <col min="6393" max="6393" width="41.42578125" style="155" customWidth="1"/>
    <col min="6394" max="6394" width="15.28515625" style="155" bestFit="1" customWidth="1"/>
    <col min="6395" max="6395" width="16.7109375" style="155" bestFit="1" customWidth="1"/>
    <col min="6396" max="6396" width="11.28515625" style="155" bestFit="1" customWidth="1"/>
    <col min="6397" max="6397" width="14" style="155" bestFit="1" customWidth="1"/>
    <col min="6398" max="6398" width="11.85546875" style="155" bestFit="1" customWidth="1"/>
    <col min="6399" max="6399" width="14.85546875" style="155" bestFit="1" customWidth="1"/>
    <col min="6400" max="6400" width="9.7109375" style="155" customWidth="1"/>
    <col min="6401" max="6401" width="4.85546875" style="155" customWidth="1"/>
    <col min="6402" max="6646" width="9.140625" style="155"/>
    <col min="6647" max="6647" width="5.42578125" style="155" bestFit="1" customWidth="1"/>
    <col min="6648" max="6648" width="20.42578125" style="155" bestFit="1" customWidth="1"/>
    <col min="6649" max="6649" width="41.42578125" style="155" customWidth="1"/>
    <col min="6650" max="6650" width="15.28515625" style="155" bestFit="1" customWidth="1"/>
    <col min="6651" max="6651" width="16.7109375" style="155" bestFit="1" customWidth="1"/>
    <col min="6652" max="6652" width="11.28515625" style="155" bestFit="1" customWidth="1"/>
    <col min="6653" max="6653" width="14" style="155" bestFit="1" customWidth="1"/>
    <col min="6654" max="6654" width="11.85546875" style="155" bestFit="1" customWidth="1"/>
    <col min="6655" max="6655" width="14.85546875" style="155" bestFit="1" customWidth="1"/>
    <col min="6656" max="6656" width="9.7109375" style="155" customWidth="1"/>
    <col min="6657" max="6657" width="4.85546875" style="155" customWidth="1"/>
    <col min="6658" max="6902" width="9.140625" style="155"/>
    <col min="6903" max="6903" width="5.42578125" style="155" bestFit="1" customWidth="1"/>
    <col min="6904" max="6904" width="20.42578125" style="155" bestFit="1" customWidth="1"/>
    <col min="6905" max="6905" width="41.42578125" style="155" customWidth="1"/>
    <col min="6906" max="6906" width="15.28515625" style="155" bestFit="1" customWidth="1"/>
    <col min="6907" max="6907" width="16.7109375" style="155" bestFit="1" customWidth="1"/>
    <col min="6908" max="6908" width="11.28515625" style="155" bestFit="1" customWidth="1"/>
    <col min="6909" max="6909" width="14" style="155" bestFit="1" customWidth="1"/>
    <col min="6910" max="6910" width="11.85546875" style="155" bestFit="1" customWidth="1"/>
    <col min="6911" max="6911" width="14.85546875" style="155" bestFit="1" customWidth="1"/>
    <col min="6912" max="6912" width="9.7109375" style="155" customWidth="1"/>
    <col min="6913" max="6913" width="4.85546875" style="155" customWidth="1"/>
    <col min="6914" max="7158" width="9.140625" style="155"/>
    <col min="7159" max="7159" width="5.42578125" style="155" bestFit="1" customWidth="1"/>
    <col min="7160" max="7160" width="20.42578125" style="155" bestFit="1" customWidth="1"/>
    <col min="7161" max="7161" width="41.42578125" style="155" customWidth="1"/>
    <col min="7162" max="7162" width="15.28515625" style="155" bestFit="1" customWidth="1"/>
    <col min="7163" max="7163" width="16.7109375" style="155" bestFit="1" customWidth="1"/>
    <col min="7164" max="7164" width="11.28515625" style="155" bestFit="1" customWidth="1"/>
    <col min="7165" max="7165" width="14" style="155" bestFit="1" customWidth="1"/>
    <col min="7166" max="7166" width="11.85546875" style="155" bestFit="1" customWidth="1"/>
    <col min="7167" max="7167" width="14.85546875" style="155" bestFit="1" customWidth="1"/>
    <col min="7168" max="7168" width="9.7109375" style="155" customWidth="1"/>
    <col min="7169" max="7169" width="4.85546875" style="155" customWidth="1"/>
    <col min="7170" max="7414" width="9.140625" style="155"/>
    <col min="7415" max="7415" width="5.42578125" style="155" bestFit="1" customWidth="1"/>
    <col min="7416" max="7416" width="20.42578125" style="155" bestFit="1" customWidth="1"/>
    <col min="7417" max="7417" width="41.42578125" style="155" customWidth="1"/>
    <col min="7418" max="7418" width="15.28515625" style="155" bestFit="1" customWidth="1"/>
    <col min="7419" max="7419" width="16.7109375" style="155" bestFit="1" customWidth="1"/>
    <col min="7420" max="7420" width="11.28515625" style="155" bestFit="1" customWidth="1"/>
    <col min="7421" max="7421" width="14" style="155" bestFit="1" customWidth="1"/>
    <col min="7422" max="7422" width="11.85546875" style="155" bestFit="1" customWidth="1"/>
    <col min="7423" max="7423" width="14.85546875" style="155" bestFit="1" customWidth="1"/>
    <col min="7424" max="7424" width="9.7109375" style="155" customWidth="1"/>
    <col min="7425" max="7425" width="4.85546875" style="155" customWidth="1"/>
    <col min="7426" max="7670" width="9.140625" style="155"/>
    <col min="7671" max="7671" width="5.42578125" style="155" bestFit="1" customWidth="1"/>
    <col min="7672" max="7672" width="20.42578125" style="155" bestFit="1" customWidth="1"/>
    <col min="7673" max="7673" width="41.42578125" style="155" customWidth="1"/>
    <col min="7674" max="7674" width="15.28515625" style="155" bestFit="1" customWidth="1"/>
    <col min="7675" max="7675" width="16.7109375" style="155" bestFit="1" customWidth="1"/>
    <col min="7676" max="7676" width="11.28515625" style="155" bestFit="1" customWidth="1"/>
    <col min="7677" max="7677" width="14" style="155" bestFit="1" customWidth="1"/>
    <col min="7678" max="7678" width="11.85546875" style="155" bestFit="1" customWidth="1"/>
    <col min="7679" max="7679" width="14.85546875" style="155" bestFit="1" customWidth="1"/>
    <col min="7680" max="7680" width="9.7109375" style="155" customWidth="1"/>
    <col min="7681" max="7681" width="4.85546875" style="155" customWidth="1"/>
    <col min="7682" max="7926" width="9.140625" style="155"/>
    <col min="7927" max="7927" width="5.42578125" style="155" bestFit="1" customWidth="1"/>
    <col min="7928" max="7928" width="20.42578125" style="155" bestFit="1" customWidth="1"/>
    <col min="7929" max="7929" width="41.42578125" style="155" customWidth="1"/>
    <col min="7930" max="7930" width="15.28515625" style="155" bestFit="1" customWidth="1"/>
    <col min="7931" max="7931" width="16.7109375" style="155" bestFit="1" customWidth="1"/>
    <col min="7932" max="7932" width="11.28515625" style="155" bestFit="1" customWidth="1"/>
    <col min="7933" max="7933" width="14" style="155" bestFit="1" customWidth="1"/>
    <col min="7934" max="7934" width="11.85546875" style="155" bestFit="1" customWidth="1"/>
    <col min="7935" max="7935" width="14.85546875" style="155" bestFit="1" customWidth="1"/>
    <col min="7936" max="7936" width="9.7109375" style="155" customWidth="1"/>
    <col min="7937" max="7937" width="4.85546875" style="155" customWidth="1"/>
    <col min="7938" max="8182" width="9.140625" style="155"/>
    <col min="8183" max="8183" width="5.42578125" style="155" bestFit="1" customWidth="1"/>
    <col min="8184" max="8184" width="20.42578125" style="155" bestFit="1" customWidth="1"/>
    <col min="8185" max="8185" width="41.42578125" style="155" customWidth="1"/>
    <col min="8186" max="8186" width="15.28515625" style="155" bestFit="1" customWidth="1"/>
    <col min="8187" max="8187" width="16.7109375" style="155" bestFit="1" customWidth="1"/>
    <col min="8188" max="8188" width="11.28515625" style="155" bestFit="1" customWidth="1"/>
    <col min="8189" max="8189" width="14" style="155" bestFit="1" customWidth="1"/>
    <col min="8190" max="8190" width="11.85546875" style="155" bestFit="1" customWidth="1"/>
    <col min="8191" max="8191" width="14.85546875" style="155" bestFit="1" customWidth="1"/>
    <col min="8192" max="8192" width="9.7109375" style="155" customWidth="1"/>
    <col min="8193" max="8193" width="4.85546875" style="155" customWidth="1"/>
    <col min="8194" max="8438" width="9.140625" style="155"/>
    <col min="8439" max="8439" width="5.42578125" style="155" bestFit="1" customWidth="1"/>
    <col min="8440" max="8440" width="20.42578125" style="155" bestFit="1" customWidth="1"/>
    <col min="8441" max="8441" width="41.42578125" style="155" customWidth="1"/>
    <col min="8442" max="8442" width="15.28515625" style="155" bestFit="1" customWidth="1"/>
    <col min="8443" max="8443" width="16.7109375" style="155" bestFit="1" customWidth="1"/>
    <col min="8444" max="8444" width="11.28515625" style="155" bestFit="1" customWidth="1"/>
    <col min="8445" max="8445" width="14" style="155" bestFit="1" customWidth="1"/>
    <col min="8446" max="8446" width="11.85546875" style="155" bestFit="1" customWidth="1"/>
    <col min="8447" max="8447" width="14.85546875" style="155" bestFit="1" customWidth="1"/>
    <col min="8448" max="8448" width="9.7109375" style="155" customWidth="1"/>
    <col min="8449" max="8449" width="4.85546875" style="155" customWidth="1"/>
    <col min="8450" max="8694" width="9.140625" style="155"/>
    <col min="8695" max="8695" width="5.42578125" style="155" bestFit="1" customWidth="1"/>
    <col min="8696" max="8696" width="20.42578125" style="155" bestFit="1" customWidth="1"/>
    <col min="8697" max="8697" width="41.42578125" style="155" customWidth="1"/>
    <col min="8698" max="8698" width="15.28515625" style="155" bestFit="1" customWidth="1"/>
    <col min="8699" max="8699" width="16.7109375" style="155" bestFit="1" customWidth="1"/>
    <col min="8700" max="8700" width="11.28515625" style="155" bestFit="1" customWidth="1"/>
    <col min="8701" max="8701" width="14" style="155" bestFit="1" customWidth="1"/>
    <col min="8702" max="8702" width="11.85546875" style="155" bestFit="1" customWidth="1"/>
    <col min="8703" max="8703" width="14.85546875" style="155" bestFit="1" customWidth="1"/>
    <col min="8704" max="8704" width="9.7109375" style="155" customWidth="1"/>
    <col min="8705" max="8705" width="4.85546875" style="155" customWidth="1"/>
    <col min="8706" max="8950" width="9.140625" style="155"/>
    <col min="8951" max="8951" width="5.42578125" style="155" bestFit="1" customWidth="1"/>
    <col min="8952" max="8952" width="20.42578125" style="155" bestFit="1" customWidth="1"/>
    <col min="8953" max="8953" width="41.42578125" style="155" customWidth="1"/>
    <col min="8954" max="8954" width="15.28515625" style="155" bestFit="1" customWidth="1"/>
    <col min="8955" max="8955" width="16.7109375" style="155" bestFit="1" customWidth="1"/>
    <col min="8956" max="8956" width="11.28515625" style="155" bestFit="1" customWidth="1"/>
    <col min="8957" max="8957" width="14" style="155" bestFit="1" customWidth="1"/>
    <col min="8958" max="8958" width="11.85546875" style="155" bestFit="1" customWidth="1"/>
    <col min="8959" max="8959" width="14.85546875" style="155" bestFit="1" customWidth="1"/>
    <col min="8960" max="8960" width="9.7109375" style="155" customWidth="1"/>
    <col min="8961" max="8961" width="4.85546875" style="155" customWidth="1"/>
    <col min="8962" max="9206" width="9.140625" style="155"/>
    <col min="9207" max="9207" width="5.42578125" style="155" bestFit="1" customWidth="1"/>
    <col min="9208" max="9208" width="20.42578125" style="155" bestFit="1" customWidth="1"/>
    <col min="9209" max="9209" width="41.42578125" style="155" customWidth="1"/>
    <col min="9210" max="9210" width="15.28515625" style="155" bestFit="1" customWidth="1"/>
    <col min="9211" max="9211" width="16.7109375" style="155" bestFit="1" customWidth="1"/>
    <col min="9212" max="9212" width="11.28515625" style="155" bestFit="1" customWidth="1"/>
    <col min="9213" max="9213" width="14" style="155" bestFit="1" customWidth="1"/>
    <col min="9214" max="9214" width="11.85546875" style="155" bestFit="1" customWidth="1"/>
    <col min="9215" max="9215" width="14.85546875" style="155" bestFit="1" customWidth="1"/>
    <col min="9216" max="9216" width="9.7109375" style="155" customWidth="1"/>
    <col min="9217" max="9217" width="4.85546875" style="155" customWidth="1"/>
    <col min="9218" max="9462" width="9.140625" style="155"/>
    <col min="9463" max="9463" width="5.42578125" style="155" bestFit="1" customWidth="1"/>
    <col min="9464" max="9464" width="20.42578125" style="155" bestFit="1" customWidth="1"/>
    <col min="9465" max="9465" width="41.42578125" style="155" customWidth="1"/>
    <col min="9466" max="9466" width="15.28515625" style="155" bestFit="1" customWidth="1"/>
    <col min="9467" max="9467" width="16.7109375" style="155" bestFit="1" customWidth="1"/>
    <col min="9468" max="9468" width="11.28515625" style="155" bestFit="1" customWidth="1"/>
    <col min="9469" max="9469" width="14" style="155" bestFit="1" customWidth="1"/>
    <col min="9470" max="9470" width="11.85546875" style="155" bestFit="1" customWidth="1"/>
    <col min="9471" max="9471" width="14.85546875" style="155" bestFit="1" customWidth="1"/>
    <col min="9472" max="9472" width="9.7109375" style="155" customWidth="1"/>
    <col min="9473" max="9473" width="4.85546875" style="155" customWidth="1"/>
    <col min="9474" max="9718" width="9.140625" style="155"/>
    <col min="9719" max="9719" width="5.42578125" style="155" bestFit="1" customWidth="1"/>
    <col min="9720" max="9720" width="20.42578125" style="155" bestFit="1" customWidth="1"/>
    <col min="9721" max="9721" width="41.42578125" style="155" customWidth="1"/>
    <col min="9722" max="9722" width="15.28515625" style="155" bestFit="1" customWidth="1"/>
    <col min="9723" max="9723" width="16.7109375" style="155" bestFit="1" customWidth="1"/>
    <col min="9724" max="9724" width="11.28515625" style="155" bestFit="1" customWidth="1"/>
    <col min="9725" max="9725" width="14" style="155" bestFit="1" customWidth="1"/>
    <col min="9726" max="9726" width="11.85546875" style="155" bestFit="1" customWidth="1"/>
    <col min="9727" max="9727" width="14.85546875" style="155" bestFit="1" customWidth="1"/>
    <col min="9728" max="9728" width="9.7109375" style="155" customWidth="1"/>
    <col min="9729" max="9729" width="4.85546875" style="155" customWidth="1"/>
    <col min="9730" max="9974" width="9.140625" style="155"/>
    <col min="9975" max="9975" width="5.42578125" style="155" bestFit="1" customWidth="1"/>
    <col min="9976" max="9976" width="20.42578125" style="155" bestFit="1" customWidth="1"/>
    <col min="9977" max="9977" width="41.42578125" style="155" customWidth="1"/>
    <col min="9978" max="9978" width="15.28515625" style="155" bestFit="1" customWidth="1"/>
    <col min="9979" max="9979" width="16.7109375" style="155" bestFit="1" customWidth="1"/>
    <col min="9980" max="9980" width="11.28515625" style="155" bestFit="1" customWidth="1"/>
    <col min="9981" max="9981" width="14" style="155" bestFit="1" customWidth="1"/>
    <col min="9982" max="9982" width="11.85546875" style="155" bestFit="1" customWidth="1"/>
    <col min="9983" max="9983" width="14.85546875" style="155" bestFit="1" customWidth="1"/>
    <col min="9984" max="9984" width="9.7109375" style="155" customWidth="1"/>
    <col min="9985" max="9985" width="4.85546875" style="155" customWidth="1"/>
    <col min="9986" max="10230" width="9.140625" style="155"/>
    <col min="10231" max="10231" width="5.42578125" style="155" bestFit="1" customWidth="1"/>
    <col min="10232" max="10232" width="20.42578125" style="155" bestFit="1" customWidth="1"/>
    <col min="10233" max="10233" width="41.42578125" style="155" customWidth="1"/>
    <col min="10234" max="10234" width="15.28515625" style="155" bestFit="1" customWidth="1"/>
    <col min="10235" max="10235" width="16.7109375" style="155" bestFit="1" customWidth="1"/>
    <col min="10236" max="10236" width="11.28515625" style="155" bestFit="1" customWidth="1"/>
    <col min="10237" max="10237" width="14" style="155" bestFit="1" customWidth="1"/>
    <col min="10238" max="10238" width="11.85546875" style="155" bestFit="1" customWidth="1"/>
    <col min="10239" max="10239" width="14.85546875" style="155" bestFit="1" customWidth="1"/>
    <col min="10240" max="10240" width="9.7109375" style="155" customWidth="1"/>
    <col min="10241" max="10241" width="4.85546875" style="155" customWidth="1"/>
    <col min="10242" max="10486" width="9.140625" style="155"/>
    <col min="10487" max="10487" width="5.42578125" style="155" bestFit="1" customWidth="1"/>
    <col min="10488" max="10488" width="20.42578125" style="155" bestFit="1" customWidth="1"/>
    <col min="10489" max="10489" width="41.42578125" style="155" customWidth="1"/>
    <col min="10490" max="10490" width="15.28515625" style="155" bestFit="1" customWidth="1"/>
    <col min="10491" max="10491" width="16.7109375" style="155" bestFit="1" customWidth="1"/>
    <col min="10492" max="10492" width="11.28515625" style="155" bestFit="1" customWidth="1"/>
    <col min="10493" max="10493" width="14" style="155" bestFit="1" customWidth="1"/>
    <col min="10494" max="10494" width="11.85546875" style="155" bestFit="1" customWidth="1"/>
    <col min="10495" max="10495" width="14.85546875" style="155" bestFit="1" customWidth="1"/>
    <col min="10496" max="10496" width="9.7109375" style="155" customWidth="1"/>
    <col min="10497" max="10497" width="4.85546875" style="155" customWidth="1"/>
    <col min="10498" max="10742" width="9.140625" style="155"/>
    <col min="10743" max="10743" width="5.42578125" style="155" bestFit="1" customWidth="1"/>
    <col min="10744" max="10744" width="20.42578125" style="155" bestFit="1" customWidth="1"/>
    <col min="10745" max="10745" width="41.42578125" style="155" customWidth="1"/>
    <col min="10746" max="10746" width="15.28515625" style="155" bestFit="1" customWidth="1"/>
    <col min="10747" max="10747" width="16.7109375" style="155" bestFit="1" customWidth="1"/>
    <col min="10748" max="10748" width="11.28515625" style="155" bestFit="1" customWidth="1"/>
    <col min="10749" max="10749" width="14" style="155" bestFit="1" customWidth="1"/>
    <col min="10750" max="10750" width="11.85546875" style="155" bestFit="1" customWidth="1"/>
    <col min="10751" max="10751" width="14.85546875" style="155" bestFit="1" customWidth="1"/>
    <col min="10752" max="10752" width="9.7109375" style="155" customWidth="1"/>
    <col min="10753" max="10753" width="4.85546875" style="155" customWidth="1"/>
    <col min="10754" max="10998" width="9.140625" style="155"/>
    <col min="10999" max="10999" width="5.42578125" style="155" bestFit="1" customWidth="1"/>
    <col min="11000" max="11000" width="20.42578125" style="155" bestFit="1" customWidth="1"/>
    <col min="11001" max="11001" width="41.42578125" style="155" customWidth="1"/>
    <col min="11002" max="11002" width="15.28515625" style="155" bestFit="1" customWidth="1"/>
    <col min="11003" max="11003" width="16.7109375" style="155" bestFit="1" customWidth="1"/>
    <col min="11004" max="11004" width="11.28515625" style="155" bestFit="1" customWidth="1"/>
    <col min="11005" max="11005" width="14" style="155" bestFit="1" customWidth="1"/>
    <col min="11006" max="11006" width="11.85546875" style="155" bestFit="1" customWidth="1"/>
    <col min="11007" max="11007" width="14.85546875" style="155" bestFit="1" customWidth="1"/>
    <col min="11008" max="11008" width="9.7109375" style="155" customWidth="1"/>
    <col min="11009" max="11009" width="4.85546875" style="155" customWidth="1"/>
    <col min="11010" max="11254" width="9.140625" style="155"/>
    <col min="11255" max="11255" width="5.42578125" style="155" bestFit="1" customWidth="1"/>
    <col min="11256" max="11256" width="20.42578125" style="155" bestFit="1" customWidth="1"/>
    <col min="11257" max="11257" width="41.42578125" style="155" customWidth="1"/>
    <col min="11258" max="11258" width="15.28515625" style="155" bestFit="1" customWidth="1"/>
    <col min="11259" max="11259" width="16.7109375" style="155" bestFit="1" customWidth="1"/>
    <col min="11260" max="11260" width="11.28515625" style="155" bestFit="1" customWidth="1"/>
    <col min="11261" max="11261" width="14" style="155" bestFit="1" customWidth="1"/>
    <col min="11262" max="11262" width="11.85546875" style="155" bestFit="1" customWidth="1"/>
    <col min="11263" max="11263" width="14.85546875" style="155" bestFit="1" customWidth="1"/>
    <col min="11264" max="11264" width="9.7109375" style="155" customWidth="1"/>
    <col min="11265" max="11265" width="4.85546875" style="155" customWidth="1"/>
    <col min="11266" max="11510" width="9.140625" style="155"/>
    <col min="11511" max="11511" width="5.42578125" style="155" bestFit="1" customWidth="1"/>
    <col min="11512" max="11512" width="20.42578125" style="155" bestFit="1" customWidth="1"/>
    <col min="11513" max="11513" width="41.42578125" style="155" customWidth="1"/>
    <col min="11514" max="11514" width="15.28515625" style="155" bestFit="1" customWidth="1"/>
    <col min="11515" max="11515" width="16.7109375" style="155" bestFit="1" customWidth="1"/>
    <col min="11516" max="11516" width="11.28515625" style="155" bestFit="1" customWidth="1"/>
    <col min="11517" max="11517" width="14" style="155" bestFit="1" customWidth="1"/>
    <col min="11518" max="11518" width="11.85546875" style="155" bestFit="1" customWidth="1"/>
    <col min="11519" max="11519" width="14.85546875" style="155" bestFit="1" customWidth="1"/>
    <col min="11520" max="11520" width="9.7109375" style="155" customWidth="1"/>
    <col min="11521" max="11521" width="4.85546875" style="155" customWidth="1"/>
    <col min="11522" max="11766" width="9.140625" style="155"/>
    <col min="11767" max="11767" width="5.42578125" style="155" bestFit="1" customWidth="1"/>
    <col min="11768" max="11768" width="20.42578125" style="155" bestFit="1" customWidth="1"/>
    <col min="11769" max="11769" width="41.42578125" style="155" customWidth="1"/>
    <col min="11770" max="11770" width="15.28515625" style="155" bestFit="1" customWidth="1"/>
    <col min="11771" max="11771" width="16.7109375" style="155" bestFit="1" customWidth="1"/>
    <col min="11772" max="11772" width="11.28515625" style="155" bestFit="1" customWidth="1"/>
    <col min="11773" max="11773" width="14" style="155" bestFit="1" customWidth="1"/>
    <col min="11774" max="11774" width="11.85546875" style="155" bestFit="1" customWidth="1"/>
    <col min="11775" max="11775" width="14.85546875" style="155" bestFit="1" customWidth="1"/>
    <col min="11776" max="11776" width="9.7109375" style="155" customWidth="1"/>
    <col min="11777" max="11777" width="4.85546875" style="155" customWidth="1"/>
    <col min="11778" max="12022" width="9.140625" style="155"/>
    <col min="12023" max="12023" width="5.42578125" style="155" bestFit="1" customWidth="1"/>
    <col min="12024" max="12024" width="20.42578125" style="155" bestFit="1" customWidth="1"/>
    <col min="12025" max="12025" width="41.42578125" style="155" customWidth="1"/>
    <col min="12026" max="12026" width="15.28515625" style="155" bestFit="1" customWidth="1"/>
    <col min="12027" max="12027" width="16.7109375" style="155" bestFit="1" customWidth="1"/>
    <col min="12028" max="12028" width="11.28515625" style="155" bestFit="1" customWidth="1"/>
    <col min="12029" max="12029" width="14" style="155" bestFit="1" customWidth="1"/>
    <col min="12030" max="12030" width="11.85546875" style="155" bestFit="1" customWidth="1"/>
    <col min="12031" max="12031" width="14.85546875" style="155" bestFit="1" customWidth="1"/>
    <col min="12032" max="12032" width="9.7109375" style="155" customWidth="1"/>
    <col min="12033" max="12033" width="4.85546875" style="155" customWidth="1"/>
    <col min="12034" max="12278" width="9.140625" style="155"/>
    <col min="12279" max="12279" width="5.42578125" style="155" bestFit="1" customWidth="1"/>
    <col min="12280" max="12280" width="20.42578125" style="155" bestFit="1" customWidth="1"/>
    <col min="12281" max="12281" width="41.42578125" style="155" customWidth="1"/>
    <col min="12282" max="12282" width="15.28515625" style="155" bestFit="1" customWidth="1"/>
    <col min="12283" max="12283" width="16.7109375" style="155" bestFit="1" customWidth="1"/>
    <col min="12284" max="12284" width="11.28515625" style="155" bestFit="1" customWidth="1"/>
    <col min="12285" max="12285" width="14" style="155" bestFit="1" customWidth="1"/>
    <col min="12286" max="12286" width="11.85546875" style="155" bestFit="1" customWidth="1"/>
    <col min="12287" max="12287" width="14.85546875" style="155" bestFit="1" customWidth="1"/>
    <col min="12288" max="12288" width="9.7109375" style="155" customWidth="1"/>
    <col min="12289" max="12289" width="4.85546875" style="155" customWidth="1"/>
    <col min="12290" max="12534" width="9.140625" style="155"/>
    <col min="12535" max="12535" width="5.42578125" style="155" bestFit="1" customWidth="1"/>
    <col min="12536" max="12536" width="20.42578125" style="155" bestFit="1" customWidth="1"/>
    <col min="12537" max="12537" width="41.42578125" style="155" customWidth="1"/>
    <col min="12538" max="12538" width="15.28515625" style="155" bestFit="1" customWidth="1"/>
    <col min="12539" max="12539" width="16.7109375" style="155" bestFit="1" customWidth="1"/>
    <col min="12540" max="12540" width="11.28515625" style="155" bestFit="1" customWidth="1"/>
    <col min="12541" max="12541" width="14" style="155" bestFit="1" customWidth="1"/>
    <col min="12542" max="12542" width="11.85546875" style="155" bestFit="1" customWidth="1"/>
    <col min="12543" max="12543" width="14.85546875" style="155" bestFit="1" customWidth="1"/>
    <col min="12544" max="12544" width="9.7109375" style="155" customWidth="1"/>
    <col min="12545" max="12545" width="4.85546875" style="155" customWidth="1"/>
    <col min="12546" max="12790" width="9.140625" style="155"/>
    <col min="12791" max="12791" width="5.42578125" style="155" bestFit="1" customWidth="1"/>
    <col min="12792" max="12792" width="20.42578125" style="155" bestFit="1" customWidth="1"/>
    <col min="12793" max="12793" width="41.42578125" style="155" customWidth="1"/>
    <col min="12794" max="12794" width="15.28515625" style="155" bestFit="1" customWidth="1"/>
    <col min="12795" max="12795" width="16.7109375" style="155" bestFit="1" customWidth="1"/>
    <col min="12796" max="12796" width="11.28515625" style="155" bestFit="1" customWidth="1"/>
    <col min="12797" max="12797" width="14" style="155" bestFit="1" customWidth="1"/>
    <col min="12798" max="12798" width="11.85546875" style="155" bestFit="1" customWidth="1"/>
    <col min="12799" max="12799" width="14.85546875" style="155" bestFit="1" customWidth="1"/>
    <col min="12800" max="12800" width="9.7109375" style="155" customWidth="1"/>
    <col min="12801" max="12801" width="4.85546875" style="155" customWidth="1"/>
    <col min="12802" max="13046" width="9.140625" style="155"/>
    <col min="13047" max="13047" width="5.42578125" style="155" bestFit="1" customWidth="1"/>
    <col min="13048" max="13048" width="20.42578125" style="155" bestFit="1" customWidth="1"/>
    <col min="13049" max="13049" width="41.42578125" style="155" customWidth="1"/>
    <col min="13050" max="13050" width="15.28515625" style="155" bestFit="1" customWidth="1"/>
    <col min="13051" max="13051" width="16.7109375" style="155" bestFit="1" customWidth="1"/>
    <col min="13052" max="13052" width="11.28515625" style="155" bestFit="1" customWidth="1"/>
    <col min="13053" max="13053" width="14" style="155" bestFit="1" customWidth="1"/>
    <col min="13054" max="13054" width="11.85546875" style="155" bestFit="1" customWidth="1"/>
    <col min="13055" max="13055" width="14.85546875" style="155" bestFit="1" customWidth="1"/>
    <col min="13056" max="13056" width="9.7109375" style="155" customWidth="1"/>
    <col min="13057" max="13057" width="4.85546875" style="155" customWidth="1"/>
    <col min="13058" max="13302" width="9.140625" style="155"/>
    <col min="13303" max="13303" width="5.42578125" style="155" bestFit="1" customWidth="1"/>
    <col min="13304" max="13304" width="20.42578125" style="155" bestFit="1" customWidth="1"/>
    <col min="13305" max="13305" width="41.42578125" style="155" customWidth="1"/>
    <col min="13306" max="13306" width="15.28515625" style="155" bestFit="1" customWidth="1"/>
    <col min="13307" max="13307" width="16.7109375" style="155" bestFit="1" customWidth="1"/>
    <col min="13308" max="13308" width="11.28515625" style="155" bestFit="1" customWidth="1"/>
    <col min="13309" max="13309" width="14" style="155" bestFit="1" customWidth="1"/>
    <col min="13310" max="13310" width="11.85546875" style="155" bestFit="1" customWidth="1"/>
    <col min="13311" max="13311" width="14.85546875" style="155" bestFit="1" customWidth="1"/>
    <col min="13312" max="13312" width="9.7109375" style="155" customWidth="1"/>
    <col min="13313" max="13313" width="4.85546875" style="155" customWidth="1"/>
    <col min="13314" max="13558" width="9.140625" style="155"/>
    <col min="13559" max="13559" width="5.42578125" style="155" bestFit="1" customWidth="1"/>
    <col min="13560" max="13560" width="20.42578125" style="155" bestFit="1" customWidth="1"/>
    <col min="13561" max="13561" width="41.42578125" style="155" customWidth="1"/>
    <col min="13562" max="13562" width="15.28515625" style="155" bestFit="1" customWidth="1"/>
    <col min="13563" max="13563" width="16.7109375" style="155" bestFit="1" customWidth="1"/>
    <col min="13564" max="13564" width="11.28515625" style="155" bestFit="1" customWidth="1"/>
    <col min="13565" max="13565" width="14" style="155" bestFit="1" customWidth="1"/>
    <col min="13566" max="13566" width="11.85546875" style="155" bestFit="1" customWidth="1"/>
    <col min="13567" max="13567" width="14.85546875" style="155" bestFit="1" customWidth="1"/>
    <col min="13568" max="13568" width="9.7109375" style="155" customWidth="1"/>
    <col min="13569" max="13569" width="4.85546875" style="155" customWidth="1"/>
    <col min="13570" max="13814" width="9.140625" style="155"/>
    <col min="13815" max="13815" width="5.42578125" style="155" bestFit="1" customWidth="1"/>
    <col min="13816" max="13816" width="20.42578125" style="155" bestFit="1" customWidth="1"/>
    <col min="13817" max="13817" width="41.42578125" style="155" customWidth="1"/>
    <col min="13818" max="13818" width="15.28515625" style="155" bestFit="1" customWidth="1"/>
    <col min="13819" max="13819" width="16.7109375" style="155" bestFit="1" customWidth="1"/>
    <col min="13820" max="13820" width="11.28515625" style="155" bestFit="1" customWidth="1"/>
    <col min="13821" max="13821" width="14" style="155" bestFit="1" customWidth="1"/>
    <col min="13822" max="13822" width="11.85546875" style="155" bestFit="1" customWidth="1"/>
    <col min="13823" max="13823" width="14.85546875" style="155" bestFit="1" customWidth="1"/>
    <col min="13824" max="13824" width="9.7109375" style="155" customWidth="1"/>
    <col min="13825" max="13825" width="4.85546875" style="155" customWidth="1"/>
    <col min="13826" max="14070" width="9.140625" style="155"/>
    <col min="14071" max="14071" width="5.42578125" style="155" bestFit="1" customWidth="1"/>
    <col min="14072" max="14072" width="20.42578125" style="155" bestFit="1" customWidth="1"/>
    <col min="14073" max="14073" width="41.42578125" style="155" customWidth="1"/>
    <col min="14074" max="14074" width="15.28515625" style="155" bestFit="1" customWidth="1"/>
    <col min="14075" max="14075" width="16.7109375" style="155" bestFit="1" customWidth="1"/>
    <col min="14076" max="14076" width="11.28515625" style="155" bestFit="1" customWidth="1"/>
    <col min="14077" max="14077" width="14" style="155" bestFit="1" customWidth="1"/>
    <col min="14078" max="14078" width="11.85546875" style="155" bestFit="1" customWidth="1"/>
    <col min="14079" max="14079" width="14.85546875" style="155" bestFit="1" customWidth="1"/>
    <col min="14080" max="14080" width="9.7109375" style="155" customWidth="1"/>
    <col min="14081" max="14081" width="4.85546875" style="155" customWidth="1"/>
    <col min="14082" max="14326" width="9.140625" style="155"/>
    <col min="14327" max="14327" width="5.42578125" style="155" bestFit="1" customWidth="1"/>
    <col min="14328" max="14328" width="20.42578125" style="155" bestFit="1" customWidth="1"/>
    <col min="14329" max="14329" width="41.42578125" style="155" customWidth="1"/>
    <col min="14330" max="14330" width="15.28515625" style="155" bestFit="1" customWidth="1"/>
    <col min="14331" max="14331" width="16.7109375" style="155" bestFit="1" customWidth="1"/>
    <col min="14332" max="14332" width="11.28515625" style="155" bestFit="1" customWidth="1"/>
    <col min="14333" max="14333" width="14" style="155" bestFit="1" customWidth="1"/>
    <col min="14334" max="14334" width="11.85546875" style="155" bestFit="1" customWidth="1"/>
    <col min="14335" max="14335" width="14.85546875" style="155" bestFit="1" customWidth="1"/>
    <col min="14336" max="14336" width="9.7109375" style="155" customWidth="1"/>
    <col min="14337" max="14337" width="4.85546875" style="155" customWidth="1"/>
    <col min="14338" max="14582" width="9.140625" style="155"/>
    <col min="14583" max="14583" width="5.42578125" style="155" bestFit="1" customWidth="1"/>
    <col min="14584" max="14584" width="20.42578125" style="155" bestFit="1" customWidth="1"/>
    <col min="14585" max="14585" width="41.42578125" style="155" customWidth="1"/>
    <col min="14586" max="14586" width="15.28515625" style="155" bestFit="1" customWidth="1"/>
    <col min="14587" max="14587" width="16.7109375" style="155" bestFit="1" customWidth="1"/>
    <col min="14588" max="14588" width="11.28515625" style="155" bestFit="1" customWidth="1"/>
    <col min="14589" max="14589" width="14" style="155" bestFit="1" customWidth="1"/>
    <col min="14590" max="14590" width="11.85546875" style="155" bestFit="1" customWidth="1"/>
    <col min="14591" max="14591" width="14.85546875" style="155" bestFit="1" customWidth="1"/>
    <col min="14592" max="14592" width="9.7109375" style="155" customWidth="1"/>
    <col min="14593" max="14593" width="4.85546875" style="155" customWidth="1"/>
    <col min="14594" max="14838" width="9.140625" style="155"/>
    <col min="14839" max="14839" width="5.42578125" style="155" bestFit="1" customWidth="1"/>
    <col min="14840" max="14840" width="20.42578125" style="155" bestFit="1" customWidth="1"/>
    <col min="14841" max="14841" width="41.42578125" style="155" customWidth="1"/>
    <col min="14842" max="14842" width="15.28515625" style="155" bestFit="1" customWidth="1"/>
    <col min="14843" max="14843" width="16.7109375" style="155" bestFit="1" customWidth="1"/>
    <col min="14844" max="14844" width="11.28515625" style="155" bestFit="1" customWidth="1"/>
    <col min="14845" max="14845" width="14" style="155" bestFit="1" customWidth="1"/>
    <col min="14846" max="14846" width="11.85546875" style="155" bestFit="1" customWidth="1"/>
    <col min="14847" max="14847" width="14.85546875" style="155" bestFit="1" customWidth="1"/>
    <col min="14848" max="14848" width="9.7109375" style="155" customWidth="1"/>
    <col min="14849" max="14849" width="4.85546875" style="155" customWidth="1"/>
    <col min="14850" max="15094" width="9.140625" style="155"/>
    <col min="15095" max="15095" width="5.42578125" style="155" bestFit="1" customWidth="1"/>
    <col min="15096" max="15096" width="20.42578125" style="155" bestFit="1" customWidth="1"/>
    <col min="15097" max="15097" width="41.42578125" style="155" customWidth="1"/>
    <col min="15098" max="15098" width="15.28515625" style="155" bestFit="1" customWidth="1"/>
    <col min="15099" max="15099" width="16.7109375" style="155" bestFit="1" customWidth="1"/>
    <col min="15100" max="15100" width="11.28515625" style="155" bestFit="1" customWidth="1"/>
    <col min="15101" max="15101" width="14" style="155" bestFit="1" customWidth="1"/>
    <col min="15102" max="15102" width="11.85546875" style="155" bestFit="1" customWidth="1"/>
    <col min="15103" max="15103" width="14.85546875" style="155" bestFit="1" customWidth="1"/>
    <col min="15104" max="15104" width="9.7109375" style="155" customWidth="1"/>
    <col min="15105" max="15105" width="4.85546875" style="155" customWidth="1"/>
    <col min="15106" max="15350" width="9.140625" style="155"/>
    <col min="15351" max="15351" width="5.42578125" style="155" bestFit="1" customWidth="1"/>
    <col min="15352" max="15352" width="20.42578125" style="155" bestFit="1" customWidth="1"/>
    <col min="15353" max="15353" width="41.42578125" style="155" customWidth="1"/>
    <col min="15354" max="15354" width="15.28515625" style="155" bestFit="1" customWidth="1"/>
    <col min="15355" max="15355" width="16.7109375" style="155" bestFit="1" customWidth="1"/>
    <col min="15356" max="15356" width="11.28515625" style="155" bestFit="1" customWidth="1"/>
    <col min="15357" max="15357" width="14" style="155" bestFit="1" customWidth="1"/>
    <col min="15358" max="15358" width="11.85546875" style="155" bestFit="1" customWidth="1"/>
    <col min="15359" max="15359" width="14.85546875" style="155" bestFit="1" customWidth="1"/>
    <col min="15360" max="15360" width="9.7109375" style="155" customWidth="1"/>
    <col min="15361" max="15361" width="4.85546875" style="155" customWidth="1"/>
    <col min="15362" max="15606" width="9.140625" style="155"/>
    <col min="15607" max="15607" width="5.42578125" style="155" bestFit="1" customWidth="1"/>
    <col min="15608" max="15608" width="20.42578125" style="155" bestFit="1" customWidth="1"/>
    <col min="15609" max="15609" width="41.42578125" style="155" customWidth="1"/>
    <col min="15610" max="15610" width="15.28515625" style="155" bestFit="1" customWidth="1"/>
    <col min="15611" max="15611" width="16.7109375" style="155" bestFit="1" customWidth="1"/>
    <col min="15612" max="15612" width="11.28515625" style="155" bestFit="1" customWidth="1"/>
    <col min="15613" max="15613" width="14" style="155" bestFit="1" customWidth="1"/>
    <col min="15614" max="15614" width="11.85546875" style="155" bestFit="1" customWidth="1"/>
    <col min="15615" max="15615" width="14.85546875" style="155" bestFit="1" customWidth="1"/>
    <col min="15616" max="15616" width="9.7109375" style="155" customWidth="1"/>
    <col min="15617" max="15617" width="4.85546875" style="155" customWidth="1"/>
    <col min="15618" max="15862" width="9.140625" style="155"/>
    <col min="15863" max="15863" width="5.42578125" style="155" bestFit="1" customWidth="1"/>
    <col min="15864" max="15864" width="20.42578125" style="155" bestFit="1" customWidth="1"/>
    <col min="15865" max="15865" width="41.42578125" style="155" customWidth="1"/>
    <col min="15866" max="15866" width="15.28515625" style="155" bestFit="1" customWidth="1"/>
    <col min="15867" max="15867" width="16.7109375" style="155" bestFit="1" customWidth="1"/>
    <col min="15868" max="15868" width="11.28515625" style="155" bestFit="1" customWidth="1"/>
    <col min="15869" max="15869" width="14" style="155" bestFit="1" customWidth="1"/>
    <col min="15870" max="15870" width="11.85546875" style="155" bestFit="1" customWidth="1"/>
    <col min="15871" max="15871" width="14.85546875" style="155" bestFit="1" customWidth="1"/>
    <col min="15872" max="15872" width="9.7109375" style="155" customWidth="1"/>
    <col min="15873" max="15873" width="4.85546875" style="155" customWidth="1"/>
    <col min="15874" max="16118" width="9.140625" style="155"/>
    <col min="16119" max="16119" width="5.42578125" style="155" bestFit="1" customWidth="1"/>
    <col min="16120" max="16120" width="20.42578125" style="155" bestFit="1" customWidth="1"/>
    <col min="16121" max="16121" width="41.42578125" style="155" customWidth="1"/>
    <col min="16122" max="16122" width="15.28515625" style="155" bestFit="1" customWidth="1"/>
    <col min="16123" max="16123" width="16.7109375" style="155" bestFit="1" customWidth="1"/>
    <col min="16124" max="16124" width="11.28515625" style="155" bestFit="1" customWidth="1"/>
    <col min="16125" max="16125" width="14" style="155" bestFit="1" customWidth="1"/>
    <col min="16126" max="16126" width="11.85546875" style="155" bestFit="1" customWidth="1"/>
    <col min="16127" max="16127" width="14.85546875" style="155" bestFit="1" customWidth="1"/>
    <col min="16128" max="16128" width="9.7109375" style="155" customWidth="1"/>
    <col min="16129" max="16129" width="4.85546875" style="155" customWidth="1"/>
    <col min="16130" max="16384" width="9.140625" style="155"/>
  </cols>
  <sheetData>
    <row r="1" spans="1:15" x14ac:dyDescent="0.25">
      <c r="A1" s="361" t="s">
        <v>0</v>
      </c>
      <c r="B1" s="361"/>
      <c r="C1" s="361"/>
      <c r="D1" s="361"/>
      <c r="E1" s="361"/>
      <c r="F1" s="361"/>
      <c r="G1" s="361"/>
      <c r="H1" s="361"/>
      <c r="I1" s="227" t="s">
        <v>1069</v>
      </c>
      <c r="J1" s="228"/>
      <c r="K1" s="228"/>
      <c r="L1" s="228"/>
      <c r="M1" s="228"/>
      <c r="N1" s="228"/>
    </row>
    <row r="2" spans="1:15" x14ac:dyDescent="0.25">
      <c r="A2" s="362" t="s">
        <v>1045</v>
      </c>
      <c r="B2" s="362"/>
      <c r="C2" s="362"/>
      <c r="D2" s="362"/>
      <c r="E2" s="362"/>
      <c r="F2" s="362"/>
      <c r="G2" s="362"/>
      <c r="H2" s="362"/>
      <c r="J2" s="321" t="s">
        <v>1070</v>
      </c>
      <c r="K2" s="321"/>
      <c r="L2" s="321"/>
      <c r="M2" s="321"/>
      <c r="N2" s="321"/>
    </row>
    <row r="3" spans="1:15" x14ac:dyDescent="0.25">
      <c r="A3" s="363" t="s">
        <v>1046</v>
      </c>
      <c r="B3" s="363"/>
      <c r="C3" s="363"/>
      <c r="D3" s="363"/>
      <c r="E3" s="363"/>
      <c r="F3" s="363"/>
      <c r="G3" s="363"/>
      <c r="H3" s="363"/>
      <c r="J3" s="228"/>
      <c r="K3" s="228"/>
      <c r="L3" s="228"/>
      <c r="M3" s="228"/>
      <c r="N3" s="228"/>
    </row>
    <row r="4" spans="1:15" ht="30" x14ac:dyDescent="0.25">
      <c r="A4" s="156" t="s">
        <v>1047</v>
      </c>
      <c r="B4" s="156" t="s">
        <v>1048</v>
      </c>
      <c r="C4" s="156" t="s">
        <v>1049</v>
      </c>
      <c r="D4" s="156" t="s">
        <v>1050</v>
      </c>
      <c r="E4" s="156" t="s">
        <v>6</v>
      </c>
      <c r="F4" s="156" t="s">
        <v>7</v>
      </c>
      <c r="G4" s="156" t="s">
        <v>8</v>
      </c>
      <c r="H4" s="157" t="s">
        <v>989</v>
      </c>
      <c r="I4" s="231"/>
      <c r="J4" s="232"/>
      <c r="K4" s="232"/>
      <c r="L4" s="232"/>
      <c r="M4" s="232"/>
      <c r="N4" s="232"/>
      <c r="O4" s="231"/>
    </row>
    <row r="5" spans="1:15" ht="26.25" x14ac:dyDescent="0.25">
      <c r="A5" s="158"/>
      <c r="B5" s="158"/>
      <c r="C5" s="159" t="s">
        <v>1051</v>
      </c>
      <c r="D5" s="158"/>
      <c r="E5" s="158"/>
      <c r="F5" s="160"/>
      <c r="G5" s="160"/>
      <c r="H5" s="161"/>
      <c r="J5" s="228"/>
      <c r="K5" s="228"/>
      <c r="L5" s="228"/>
      <c r="M5" s="228"/>
      <c r="N5" s="228"/>
    </row>
    <row r="6" spans="1:15" ht="26.25" x14ac:dyDescent="0.25">
      <c r="A6" s="158">
        <v>1</v>
      </c>
      <c r="B6" s="158" t="s">
        <v>1052</v>
      </c>
      <c r="C6" s="162" t="s">
        <v>1053</v>
      </c>
      <c r="D6" s="158" t="s">
        <v>1054</v>
      </c>
      <c r="E6" s="163">
        <v>12855595.022</v>
      </c>
      <c r="F6" s="164">
        <v>11496.7987343</v>
      </c>
      <c r="G6" s="165">
        <v>0.97546029999999995</v>
      </c>
      <c r="H6" s="161"/>
      <c r="I6" s="231"/>
      <c r="J6" s="232"/>
      <c r="K6" s="233"/>
      <c r="L6" s="232"/>
      <c r="M6" s="232"/>
      <c r="N6" s="232"/>
      <c r="O6" s="231"/>
    </row>
    <row r="7" spans="1:15" x14ac:dyDescent="0.25">
      <c r="A7" s="166"/>
      <c r="B7" s="161"/>
      <c r="C7" s="161"/>
      <c r="D7" s="161"/>
      <c r="E7" s="161"/>
      <c r="F7" s="161"/>
      <c r="G7" s="161"/>
      <c r="H7" s="167"/>
      <c r="J7" s="228"/>
      <c r="K7" s="228"/>
      <c r="L7" s="228"/>
      <c r="M7" s="228"/>
      <c r="N7" s="228"/>
    </row>
    <row r="8" spans="1:15" ht="25.5" x14ac:dyDescent="0.25">
      <c r="A8" s="168"/>
      <c r="B8" s="168"/>
      <c r="C8" s="169" t="s">
        <v>1055</v>
      </c>
      <c r="D8" s="169"/>
      <c r="E8" s="170"/>
      <c r="F8" s="171">
        <v>11496.7987343</v>
      </c>
      <c r="G8" s="172">
        <v>0.97546029999999995</v>
      </c>
      <c r="H8" s="173"/>
      <c r="J8" s="228"/>
      <c r="K8" s="228"/>
      <c r="L8" s="228"/>
      <c r="M8" s="228"/>
      <c r="N8" s="228"/>
    </row>
    <row r="9" spans="1:15" x14ac:dyDescent="0.25">
      <c r="A9" s="168"/>
      <c r="B9" s="168"/>
      <c r="C9" s="168"/>
      <c r="D9" s="168"/>
      <c r="E9" s="168"/>
      <c r="F9" s="174"/>
      <c r="G9" s="168"/>
      <c r="H9" s="161"/>
      <c r="J9" s="228"/>
      <c r="K9" s="228"/>
      <c r="L9" s="228"/>
      <c r="M9" s="228"/>
      <c r="N9" s="228"/>
    </row>
    <row r="10" spans="1:15" x14ac:dyDescent="0.25">
      <c r="A10" s="158"/>
      <c r="B10" s="158"/>
      <c r="C10" s="175" t="s">
        <v>1056</v>
      </c>
      <c r="D10" s="175"/>
      <c r="E10" s="175"/>
      <c r="F10" s="176"/>
      <c r="G10" s="168"/>
      <c r="H10" s="161"/>
      <c r="J10" s="228"/>
      <c r="K10" s="228"/>
      <c r="L10" s="228"/>
      <c r="M10" s="228"/>
      <c r="N10" s="228"/>
    </row>
    <row r="11" spans="1:15" x14ac:dyDescent="0.25">
      <c r="A11" s="158"/>
      <c r="B11" s="158"/>
      <c r="C11" s="2" t="s">
        <v>1057</v>
      </c>
      <c r="D11" s="175"/>
      <c r="E11" s="175"/>
      <c r="F11" s="176"/>
      <c r="G11" s="168"/>
      <c r="H11" s="161"/>
      <c r="J11" s="228"/>
      <c r="K11" s="228"/>
      <c r="L11" s="228"/>
      <c r="M11" s="228"/>
      <c r="N11" s="228"/>
    </row>
    <row r="12" spans="1:15" x14ac:dyDescent="0.25">
      <c r="A12" s="168"/>
      <c r="B12" s="168"/>
      <c r="C12" s="177" t="s">
        <v>148</v>
      </c>
      <c r="D12" s="175"/>
      <c r="E12" s="175"/>
      <c r="F12" s="178">
        <v>153.341404092</v>
      </c>
      <c r="G12" s="179">
        <v>1.3010443645651144E-2</v>
      </c>
      <c r="H12" s="180">
        <v>5.66</v>
      </c>
      <c r="J12" s="228"/>
      <c r="K12" s="228"/>
      <c r="L12" s="228"/>
      <c r="M12" s="228"/>
      <c r="N12" s="228"/>
    </row>
    <row r="13" spans="1:15" x14ac:dyDescent="0.25">
      <c r="A13" s="168"/>
      <c r="B13" s="168"/>
      <c r="C13" s="177"/>
      <c r="D13" s="175"/>
      <c r="E13" s="175"/>
      <c r="F13" s="178"/>
      <c r="G13" s="181"/>
      <c r="H13" s="161"/>
      <c r="J13" s="234" t="s">
        <v>1101</v>
      </c>
      <c r="K13" s="228"/>
      <c r="L13" s="228"/>
      <c r="M13" s="228"/>
      <c r="N13" s="228"/>
    </row>
    <row r="14" spans="1:15" x14ac:dyDescent="0.25">
      <c r="A14" s="168"/>
      <c r="B14" s="168"/>
      <c r="C14" s="182" t="s">
        <v>149</v>
      </c>
      <c r="D14" s="168"/>
      <c r="E14" s="168"/>
      <c r="F14" s="183">
        <v>153.341404092</v>
      </c>
      <c r="G14" s="172">
        <v>1.3010443645651144E-2</v>
      </c>
      <c r="H14" s="161"/>
      <c r="J14" s="228"/>
      <c r="K14" s="228"/>
      <c r="L14" s="228"/>
      <c r="M14" s="228"/>
      <c r="N14" s="228"/>
    </row>
    <row r="15" spans="1:15" x14ac:dyDescent="0.25">
      <c r="A15" s="168"/>
      <c r="B15" s="168"/>
      <c r="C15" s="168"/>
      <c r="D15" s="168"/>
      <c r="E15" s="168"/>
      <c r="F15" s="174"/>
      <c r="G15" s="168"/>
      <c r="H15" s="161"/>
      <c r="J15" s="228"/>
      <c r="K15" s="228"/>
      <c r="L15" s="228"/>
      <c r="M15" s="228"/>
      <c r="N15" s="228"/>
    </row>
    <row r="16" spans="1:15" x14ac:dyDescent="0.25">
      <c r="A16" s="168"/>
      <c r="B16" s="168"/>
      <c r="C16" s="177" t="s">
        <v>1058</v>
      </c>
      <c r="D16" s="175"/>
      <c r="E16" s="175"/>
      <c r="F16" s="178">
        <v>135.8840947828412</v>
      </c>
      <c r="G16" s="179">
        <v>1.1529256354348904E-2</v>
      </c>
      <c r="H16" s="184"/>
      <c r="J16" s="228"/>
      <c r="K16" s="228"/>
      <c r="L16" s="228"/>
      <c r="M16" s="228"/>
      <c r="N16" s="228"/>
    </row>
    <row r="17" spans="1:14" x14ac:dyDescent="0.25">
      <c r="A17" s="168"/>
      <c r="B17" s="168"/>
      <c r="C17" s="168"/>
      <c r="D17" s="168"/>
      <c r="E17" s="168"/>
      <c r="F17" s="174"/>
      <c r="G17" s="168"/>
      <c r="H17" s="161"/>
      <c r="J17" s="228"/>
      <c r="K17" s="228"/>
      <c r="L17" s="228"/>
      <c r="M17" s="228"/>
      <c r="N17" s="228"/>
    </row>
    <row r="18" spans="1:14" x14ac:dyDescent="0.25">
      <c r="A18" s="168"/>
      <c r="B18" s="168"/>
      <c r="C18" s="182" t="s">
        <v>156</v>
      </c>
      <c r="D18" s="168"/>
      <c r="E18" s="168"/>
      <c r="F18" s="183">
        <v>11786.024233174841</v>
      </c>
      <c r="G18" s="185">
        <v>1</v>
      </c>
      <c r="H18" s="186"/>
      <c r="J18" s="228"/>
      <c r="K18" s="228"/>
      <c r="L18" s="228"/>
      <c r="M18" s="228"/>
      <c r="N18" s="228"/>
    </row>
    <row r="19" spans="1:14" x14ac:dyDescent="0.25">
      <c r="F19" s="187"/>
      <c r="H19" s="188"/>
      <c r="J19" s="228"/>
      <c r="K19" s="228"/>
      <c r="L19" s="228"/>
      <c r="M19" s="228"/>
      <c r="N19" s="228"/>
    </row>
    <row r="20" spans="1:14" x14ac:dyDescent="0.25">
      <c r="B20" s="189" t="s">
        <v>158</v>
      </c>
      <c r="C20" s="190"/>
      <c r="D20" s="190"/>
      <c r="E20" s="190"/>
      <c r="F20" s="191"/>
      <c r="G20" s="190"/>
      <c r="J20" s="228"/>
      <c r="K20" s="228"/>
      <c r="L20" s="228"/>
      <c r="M20" s="228"/>
      <c r="N20" s="228"/>
    </row>
    <row r="21" spans="1:14" x14ac:dyDescent="0.25">
      <c r="B21" s="190" t="s">
        <v>1059</v>
      </c>
      <c r="C21" s="190"/>
      <c r="D21" s="190"/>
      <c r="E21" s="190"/>
      <c r="F21" s="192"/>
      <c r="G21" s="192"/>
      <c r="J21" s="228"/>
      <c r="K21" s="228"/>
      <c r="L21" s="228"/>
      <c r="M21" s="228"/>
      <c r="N21" s="228"/>
    </row>
    <row r="22" spans="1:14" x14ac:dyDescent="0.25">
      <c r="B22" s="359" t="s">
        <v>1060</v>
      </c>
      <c r="C22" s="359"/>
      <c r="D22" s="190"/>
      <c r="E22" s="190"/>
      <c r="F22" s="193"/>
      <c r="G22" s="193"/>
      <c r="J22" s="228"/>
      <c r="K22" s="228"/>
      <c r="L22" s="228"/>
      <c r="M22" s="228"/>
      <c r="N22" s="228"/>
    </row>
    <row r="23" spans="1:14" x14ac:dyDescent="0.25">
      <c r="B23" s="364" t="s">
        <v>162</v>
      </c>
      <c r="C23" s="365"/>
      <c r="D23" s="366"/>
      <c r="E23" s="194"/>
      <c r="F23" s="190" t="s">
        <v>1061</v>
      </c>
      <c r="G23" s="190"/>
      <c r="J23" s="228"/>
      <c r="K23" s="228"/>
      <c r="L23" s="228"/>
      <c r="M23" s="228"/>
      <c r="N23" s="228"/>
    </row>
    <row r="24" spans="1:14" x14ac:dyDescent="0.25">
      <c r="B24" s="195"/>
      <c r="C24" s="196" t="s">
        <v>163</v>
      </c>
      <c r="D24" s="196" t="s">
        <v>164</v>
      </c>
      <c r="E24" s="197"/>
      <c r="F24" s="197"/>
      <c r="G24" s="190"/>
      <c r="J24" s="228"/>
      <c r="K24" s="228"/>
      <c r="L24" s="228"/>
      <c r="M24" s="228"/>
      <c r="N24" s="228"/>
    </row>
    <row r="25" spans="1:14" x14ac:dyDescent="0.25">
      <c r="B25" s="198" t="s">
        <v>1062</v>
      </c>
      <c r="C25" s="199">
        <v>44865</v>
      </c>
      <c r="D25" s="199">
        <v>44895</v>
      </c>
      <c r="E25" s="200"/>
      <c r="F25" s="200"/>
      <c r="G25" s="201"/>
      <c r="J25" s="228"/>
      <c r="K25" s="228"/>
      <c r="L25" s="228"/>
      <c r="M25" s="228"/>
      <c r="N25" s="228"/>
    </row>
    <row r="26" spans="1:14" x14ac:dyDescent="0.25">
      <c r="B26" s="202" t="s">
        <v>168</v>
      </c>
      <c r="C26" s="203">
        <v>22.774899999999999</v>
      </c>
      <c r="D26" s="203">
        <v>24.255800000000001</v>
      </c>
      <c r="E26" s="204"/>
      <c r="F26" s="205"/>
      <c r="G26" s="201"/>
      <c r="J26" s="228"/>
      <c r="K26" s="228"/>
      <c r="L26" s="228"/>
      <c r="M26" s="228"/>
      <c r="N26" s="228"/>
    </row>
    <row r="27" spans="1:14" x14ac:dyDescent="0.25">
      <c r="B27" s="92" t="s">
        <v>1063</v>
      </c>
      <c r="C27" s="203">
        <v>20.256900000000002</v>
      </c>
      <c r="D27" s="203">
        <v>21.573899999999998</v>
      </c>
      <c r="E27" s="204"/>
      <c r="F27" s="205"/>
      <c r="G27" s="201"/>
      <c r="J27" s="228"/>
      <c r="K27" s="228"/>
      <c r="L27" s="228"/>
      <c r="M27" s="228"/>
      <c r="N27" s="228"/>
    </row>
    <row r="28" spans="1:14" x14ac:dyDescent="0.25">
      <c r="B28" s="202" t="s">
        <v>169</v>
      </c>
      <c r="C28" s="203">
        <v>21.345099999999999</v>
      </c>
      <c r="D28" s="203">
        <v>22.711400000000001</v>
      </c>
      <c r="E28" s="204"/>
      <c r="F28" s="205"/>
      <c r="G28" s="205"/>
      <c r="J28" s="228"/>
      <c r="K28" s="228"/>
      <c r="L28" s="228"/>
      <c r="M28" s="228"/>
      <c r="N28" s="228"/>
    </row>
    <row r="29" spans="1:14" x14ac:dyDescent="0.25">
      <c r="B29" s="206" t="s">
        <v>1064</v>
      </c>
      <c r="C29" s="203">
        <v>18.291</v>
      </c>
      <c r="D29" s="203">
        <v>19.4617</v>
      </c>
      <c r="E29" s="204"/>
      <c r="F29" s="205"/>
      <c r="G29" s="205"/>
      <c r="J29" s="228"/>
      <c r="K29" s="228"/>
      <c r="L29" s="228"/>
      <c r="M29" s="228"/>
      <c r="N29" s="228"/>
    </row>
    <row r="30" spans="1:14" x14ac:dyDescent="0.25">
      <c r="B30" s="207"/>
      <c r="C30" s="208"/>
      <c r="D30" s="208"/>
      <c r="E30" s="208"/>
      <c r="F30" s="208"/>
      <c r="G30" s="190"/>
      <c r="J30" s="228"/>
      <c r="K30" s="228"/>
      <c r="L30" s="228"/>
      <c r="M30" s="228"/>
      <c r="N30" s="228"/>
    </row>
    <row r="31" spans="1:14" x14ac:dyDescent="0.25">
      <c r="B31" s="367" t="s">
        <v>1065</v>
      </c>
      <c r="C31" s="367"/>
      <c r="D31" s="367"/>
      <c r="E31" s="209"/>
      <c r="F31" s="209"/>
      <c r="G31" s="201"/>
      <c r="J31" s="228"/>
      <c r="K31" s="228"/>
      <c r="L31" s="228"/>
      <c r="M31" s="228"/>
      <c r="N31" s="228"/>
    </row>
    <row r="32" spans="1:14" x14ac:dyDescent="0.25">
      <c r="B32" s="359" t="s">
        <v>1066</v>
      </c>
      <c r="C32" s="359"/>
      <c r="D32" s="359"/>
      <c r="E32" s="190"/>
      <c r="F32" s="190"/>
      <c r="G32" s="190"/>
      <c r="J32" s="228"/>
      <c r="K32" s="228"/>
      <c r="L32" s="228"/>
      <c r="M32" s="228"/>
      <c r="N32" s="228"/>
    </row>
    <row r="33" spans="2:14" x14ac:dyDescent="0.25">
      <c r="B33" s="210" t="s">
        <v>1067</v>
      </c>
      <c r="C33" s="210"/>
      <c r="D33" s="210"/>
      <c r="E33" s="211"/>
      <c r="F33" s="211"/>
      <c r="G33" s="190"/>
      <c r="J33" s="228"/>
      <c r="K33" s="228"/>
      <c r="L33" s="228"/>
      <c r="M33" s="228"/>
      <c r="N33" s="228"/>
    </row>
    <row r="34" spans="2:14" x14ac:dyDescent="0.25">
      <c r="B34" s="360" t="s">
        <v>1068</v>
      </c>
      <c r="C34" s="360"/>
      <c r="D34" s="360"/>
      <c r="E34" s="201"/>
      <c r="F34" s="201"/>
      <c r="G34" s="201"/>
      <c r="J34" s="228"/>
      <c r="K34" s="228"/>
      <c r="L34" s="228"/>
      <c r="M34" s="228"/>
      <c r="N34" s="228"/>
    </row>
    <row r="35" spans="2:14" x14ac:dyDescent="0.25">
      <c r="J35" s="228"/>
      <c r="K35" s="228"/>
      <c r="L35" s="228"/>
      <c r="M35" s="228"/>
      <c r="N35" s="228"/>
    </row>
    <row r="36" spans="2:14" x14ac:dyDescent="0.25">
      <c r="J36" s="228"/>
      <c r="K36" s="228"/>
      <c r="L36" s="228"/>
      <c r="M36" s="228"/>
      <c r="N36" s="228"/>
    </row>
    <row r="37" spans="2:14" x14ac:dyDescent="0.25">
      <c r="J37" s="228"/>
      <c r="K37" s="228"/>
      <c r="L37" s="228"/>
      <c r="M37" s="228"/>
      <c r="N37" s="228"/>
    </row>
    <row r="38" spans="2:14" x14ac:dyDescent="0.25">
      <c r="J38" s="228"/>
      <c r="K38" s="228"/>
      <c r="L38" s="228"/>
      <c r="M38" s="228"/>
      <c r="N38" s="228"/>
    </row>
    <row r="39" spans="2:14" x14ac:dyDescent="0.25">
      <c r="J39" s="228"/>
      <c r="K39" s="228"/>
      <c r="L39" s="228"/>
      <c r="M39" s="228"/>
      <c r="N39" s="228"/>
    </row>
    <row r="40" spans="2:14" x14ac:dyDescent="0.25">
      <c r="J40" s="228"/>
      <c r="K40" s="228"/>
      <c r="L40" s="228"/>
      <c r="M40" s="228"/>
      <c r="N40" s="228"/>
    </row>
    <row r="41" spans="2:14" x14ac:dyDescent="0.25">
      <c r="J41" s="228"/>
      <c r="K41" s="228"/>
      <c r="L41" s="228"/>
      <c r="M41" s="228"/>
      <c r="N41" s="228"/>
    </row>
    <row r="42" spans="2:14" x14ac:dyDescent="0.25">
      <c r="J42" s="228"/>
      <c r="K42" s="228"/>
      <c r="L42" s="228"/>
      <c r="M42" s="228"/>
      <c r="N42" s="228"/>
    </row>
    <row r="43" spans="2:14" x14ac:dyDescent="0.25">
      <c r="J43" s="228"/>
      <c r="K43" s="228"/>
      <c r="L43" s="228"/>
      <c r="M43" s="228"/>
      <c r="N43" s="228"/>
    </row>
    <row r="44" spans="2:14" x14ac:dyDescent="0.25">
      <c r="J44" s="228"/>
      <c r="K44" s="228"/>
      <c r="L44" s="228"/>
      <c r="M44" s="228"/>
      <c r="N44" s="228"/>
    </row>
    <row r="45" spans="2:14" x14ac:dyDescent="0.25">
      <c r="J45" s="228"/>
      <c r="K45" s="228"/>
      <c r="L45" s="228"/>
      <c r="M45" s="228"/>
      <c r="N45" s="228"/>
    </row>
    <row r="46" spans="2:14" x14ac:dyDescent="0.25">
      <c r="J46" s="228"/>
      <c r="K46" s="228"/>
      <c r="L46" s="228"/>
      <c r="M46" s="228"/>
      <c r="N46" s="228"/>
    </row>
    <row r="47" spans="2:14" x14ac:dyDescent="0.25">
      <c r="J47" s="228"/>
      <c r="K47" s="228"/>
      <c r="L47" s="228"/>
      <c r="M47" s="228"/>
      <c r="N47" s="228"/>
    </row>
    <row r="48" spans="2:14" x14ac:dyDescent="0.25">
      <c r="J48" s="228"/>
      <c r="K48" s="228"/>
      <c r="L48" s="228"/>
      <c r="M48" s="228"/>
      <c r="N48" s="228"/>
    </row>
    <row r="49" spans="10:14" x14ac:dyDescent="0.25">
      <c r="J49" s="228"/>
      <c r="K49" s="228"/>
      <c r="L49" s="228"/>
      <c r="M49" s="228"/>
      <c r="N49" s="228"/>
    </row>
    <row r="50" spans="10:14" x14ac:dyDescent="0.25">
      <c r="J50" s="228"/>
      <c r="K50" s="228"/>
      <c r="L50" s="228"/>
      <c r="M50" s="228"/>
      <c r="N50" s="228"/>
    </row>
    <row r="51" spans="10:14" x14ac:dyDescent="0.25">
      <c r="J51" s="228"/>
      <c r="K51" s="228"/>
      <c r="L51" s="228"/>
      <c r="M51" s="228"/>
      <c r="N51" s="228"/>
    </row>
    <row r="52" spans="10:14" x14ac:dyDescent="0.25">
      <c r="J52" s="228"/>
      <c r="K52" s="228"/>
      <c r="L52" s="228"/>
      <c r="M52" s="228"/>
      <c r="N52" s="228"/>
    </row>
    <row r="53" spans="10:14" x14ac:dyDescent="0.25">
      <c r="J53" s="228"/>
      <c r="K53" s="228"/>
      <c r="L53" s="228"/>
      <c r="M53" s="228"/>
      <c r="N53" s="228"/>
    </row>
    <row r="54" spans="10:14" x14ac:dyDescent="0.25">
      <c r="J54" s="228"/>
      <c r="K54" s="228"/>
      <c r="L54" s="228"/>
      <c r="M54" s="228"/>
      <c r="N54" s="228"/>
    </row>
    <row r="55" spans="10:14" x14ac:dyDescent="0.25">
      <c r="J55" s="228"/>
      <c r="K55" s="228"/>
      <c r="L55" s="228"/>
      <c r="M55" s="228"/>
      <c r="N55" s="228"/>
    </row>
    <row r="56" spans="10:14" x14ac:dyDescent="0.25">
      <c r="J56" s="228"/>
      <c r="K56" s="228"/>
      <c r="L56" s="228"/>
      <c r="M56" s="228"/>
      <c r="N56" s="228"/>
    </row>
    <row r="57" spans="10:14" x14ac:dyDescent="0.25">
      <c r="J57" s="228"/>
      <c r="K57" s="228"/>
      <c r="L57" s="228"/>
      <c r="M57" s="228"/>
      <c r="N57" s="228"/>
    </row>
    <row r="58" spans="10:14" x14ac:dyDescent="0.25">
      <c r="J58" s="228"/>
      <c r="K58" s="228"/>
      <c r="L58" s="228"/>
      <c r="M58" s="228"/>
      <c r="N58" s="228"/>
    </row>
    <row r="59" spans="10:14" x14ac:dyDescent="0.25">
      <c r="J59" s="228"/>
      <c r="K59" s="228"/>
      <c r="L59" s="228"/>
      <c r="M59" s="228"/>
      <c r="N59" s="228"/>
    </row>
    <row r="60" spans="10:14" x14ac:dyDescent="0.25">
      <c r="J60" s="228"/>
      <c r="K60" s="228"/>
      <c r="L60" s="228"/>
      <c r="M60" s="228"/>
      <c r="N60" s="228"/>
    </row>
    <row r="61" spans="10:14" x14ac:dyDescent="0.25">
      <c r="J61" s="228"/>
      <c r="K61" s="228"/>
      <c r="L61" s="228"/>
      <c r="M61" s="228"/>
      <c r="N61" s="228"/>
    </row>
  </sheetData>
  <mergeCells count="9">
    <mergeCell ref="J2:N2"/>
    <mergeCell ref="B32:D32"/>
    <mergeCell ref="B34:D34"/>
    <mergeCell ref="A1:H1"/>
    <mergeCell ref="A2:H2"/>
    <mergeCell ref="A3:H3"/>
    <mergeCell ref="B22:C22"/>
    <mergeCell ref="B23:D23"/>
    <mergeCell ref="B31:D31"/>
  </mergeCells>
  <hyperlinks>
    <hyperlink ref="I1" location="Index!B38" display="Index" xr:uid="{9DFED474-118F-4FC6-B575-F0C46DF5636C}"/>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568C-E11A-423C-AFC7-86FC28C060A3}">
  <dimension ref="B1:L187"/>
  <sheetViews>
    <sheetView workbookViewId="0">
      <selection activeCell="B1" sqref="B1"/>
    </sheetView>
  </sheetViews>
  <sheetFormatPr defaultRowHeight="12.75" x14ac:dyDescent="0.2"/>
  <cols>
    <col min="1" max="1" width="23" style="79" customWidth="1"/>
    <col min="2" max="2" width="41.140625" style="79" customWidth="1"/>
    <col min="3" max="3" width="54.7109375" style="79" customWidth="1"/>
    <col min="4" max="4" width="17.28515625" style="79" bestFit="1" customWidth="1"/>
    <col min="5" max="5" width="20.140625" style="79" bestFit="1" customWidth="1"/>
    <col min="6" max="6" width="16.5703125" style="79" customWidth="1"/>
    <col min="7" max="7" width="18.7109375" style="79" bestFit="1" customWidth="1"/>
    <col min="8" max="8" width="17.5703125" style="79" customWidth="1"/>
    <col min="9" max="9" width="15.5703125" style="79" bestFit="1" customWidth="1"/>
    <col min="10" max="10" width="13.5703125" style="79" customWidth="1"/>
    <col min="11" max="11" width="20.5703125" style="79" customWidth="1"/>
    <col min="12" max="12" width="12.42578125" style="79" bestFit="1" customWidth="1"/>
    <col min="13" max="256" width="9.140625" style="79"/>
    <col min="257" max="257" width="23" style="79" customWidth="1"/>
    <col min="258" max="258" width="41.140625" style="79" customWidth="1"/>
    <col min="259" max="259" width="54.7109375" style="79" customWidth="1"/>
    <col min="260" max="260" width="17.28515625" style="79" bestFit="1" customWidth="1"/>
    <col min="261" max="261" width="20.140625" style="79" bestFit="1" customWidth="1"/>
    <col min="262" max="262" width="16.5703125" style="79" customWidth="1"/>
    <col min="263" max="263" width="18.7109375" style="79" bestFit="1" customWidth="1"/>
    <col min="264" max="264" width="17.5703125" style="79" customWidth="1"/>
    <col min="265" max="265" width="15.5703125" style="79" bestFit="1" customWidth="1"/>
    <col min="266" max="266" width="13.5703125" style="79" customWidth="1"/>
    <col min="267" max="267" width="20.5703125" style="79" customWidth="1"/>
    <col min="268" max="268" width="12.42578125" style="79" bestFit="1" customWidth="1"/>
    <col min="269" max="512" width="9.140625" style="79"/>
    <col min="513" max="513" width="23" style="79" customWidth="1"/>
    <col min="514" max="514" width="41.140625" style="79" customWidth="1"/>
    <col min="515" max="515" width="54.7109375" style="79" customWidth="1"/>
    <col min="516" max="516" width="17.28515625" style="79" bestFit="1" customWidth="1"/>
    <col min="517" max="517" width="20.140625" style="79" bestFit="1" customWidth="1"/>
    <col min="518" max="518" width="16.5703125" style="79" customWidth="1"/>
    <col min="519" max="519" width="18.7109375" style="79" bestFit="1" customWidth="1"/>
    <col min="520" max="520" width="17.5703125" style="79" customWidth="1"/>
    <col min="521" max="521" width="15.5703125" style="79" bestFit="1" customWidth="1"/>
    <col min="522" max="522" width="13.5703125" style="79" customWidth="1"/>
    <col min="523" max="523" width="20.5703125" style="79" customWidth="1"/>
    <col min="524" max="524" width="12.42578125" style="79" bestFit="1" customWidth="1"/>
    <col min="525" max="768" width="9.140625" style="79"/>
    <col min="769" max="769" width="23" style="79" customWidth="1"/>
    <col min="770" max="770" width="41.140625" style="79" customWidth="1"/>
    <col min="771" max="771" width="54.7109375" style="79" customWidth="1"/>
    <col min="772" max="772" width="17.28515625" style="79" bestFit="1" customWidth="1"/>
    <col min="773" max="773" width="20.140625" style="79" bestFit="1" customWidth="1"/>
    <col min="774" max="774" width="16.5703125" style="79" customWidth="1"/>
    <col min="775" max="775" width="18.7109375" style="79" bestFit="1" customWidth="1"/>
    <col min="776" max="776" width="17.5703125" style="79" customWidth="1"/>
    <col min="777" max="777" width="15.5703125" style="79" bestFit="1" customWidth="1"/>
    <col min="778" max="778" width="13.5703125" style="79" customWidth="1"/>
    <col min="779" max="779" width="20.5703125" style="79" customWidth="1"/>
    <col min="780" max="780" width="12.42578125" style="79" bestFit="1" customWidth="1"/>
    <col min="781" max="1024" width="9.140625" style="79"/>
    <col min="1025" max="1025" width="23" style="79" customWidth="1"/>
    <col min="1026" max="1026" width="41.140625" style="79" customWidth="1"/>
    <col min="1027" max="1027" width="54.7109375" style="79" customWidth="1"/>
    <col min="1028" max="1028" width="17.28515625" style="79" bestFit="1" customWidth="1"/>
    <col min="1029" max="1029" width="20.140625" style="79" bestFit="1" customWidth="1"/>
    <col min="1030" max="1030" width="16.5703125" style="79" customWidth="1"/>
    <col min="1031" max="1031" width="18.7109375" style="79" bestFit="1" customWidth="1"/>
    <col min="1032" max="1032" width="17.5703125" style="79" customWidth="1"/>
    <col min="1033" max="1033" width="15.5703125" style="79" bestFit="1" customWidth="1"/>
    <col min="1034" max="1034" width="13.5703125" style="79" customWidth="1"/>
    <col min="1035" max="1035" width="20.5703125" style="79" customWidth="1"/>
    <col min="1036" max="1036" width="12.42578125" style="79" bestFit="1" customWidth="1"/>
    <col min="1037" max="1280" width="9.140625" style="79"/>
    <col min="1281" max="1281" width="23" style="79" customWidth="1"/>
    <col min="1282" max="1282" width="41.140625" style="79" customWidth="1"/>
    <col min="1283" max="1283" width="54.7109375" style="79" customWidth="1"/>
    <col min="1284" max="1284" width="17.28515625" style="79" bestFit="1" customWidth="1"/>
    <col min="1285" max="1285" width="20.140625" style="79" bestFit="1" customWidth="1"/>
    <col min="1286" max="1286" width="16.5703125" style="79" customWidth="1"/>
    <col min="1287" max="1287" width="18.7109375" style="79" bestFit="1" customWidth="1"/>
    <col min="1288" max="1288" width="17.5703125" style="79" customWidth="1"/>
    <col min="1289" max="1289" width="15.5703125" style="79" bestFit="1" customWidth="1"/>
    <col min="1290" max="1290" width="13.5703125" style="79" customWidth="1"/>
    <col min="1291" max="1291" width="20.5703125" style="79" customWidth="1"/>
    <col min="1292" max="1292" width="12.42578125" style="79" bestFit="1" customWidth="1"/>
    <col min="1293" max="1536" width="9.140625" style="79"/>
    <col min="1537" max="1537" width="23" style="79" customWidth="1"/>
    <col min="1538" max="1538" width="41.140625" style="79" customWidth="1"/>
    <col min="1539" max="1539" width="54.7109375" style="79" customWidth="1"/>
    <col min="1540" max="1540" width="17.28515625" style="79" bestFit="1" customWidth="1"/>
    <col min="1541" max="1541" width="20.140625" style="79" bestFit="1" customWidth="1"/>
    <col min="1542" max="1542" width="16.5703125" style="79" customWidth="1"/>
    <col min="1543" max="1543" width="18.7109375" style="79" bestFit="1" customWidth="1"/>
    <col min="1544" max="1544" width="17.5703125" style="79" customWidth="1"/>
    <col min="1545" max="1545" width="15.5703125" style="79" bestFit="1" customWidth="1"/>
    <col min="1546" max="1546" width="13.5703125" style="79" customWidth="1"/>
    <col min="1547" max="1547" width="20.5703125" style="79" customWidth="1"/>
    <col min="1548" max="1548" width="12.42578125" style="79" bestFit="1" customWidth="1"/>
    <col min="1549" max="1792" width="9.140625" style="79"/>
    <col min="1793" max="1793" width="23" style="79" customWidth="1"/>
    <col min="1794" max="1794" width="41.140625" style="79" customWidth="1"/>
    <col min="1795" max="1795" width="54.7109375" style="79" customWidth="1"/>
    <col min="1796" max="1796" width="17.28515625" style="79" bestFit="1" customWidth="1"/>
    <col min="1797" max="1797" width="20.140625" style="79" bestFit="1" customWidth="1"/>
    <col min="1798" max="1798" width="16.5703125" style="79" customWidth="1"/>
    <col min="1799" max="1799" width="18.7109375" style="79" bestFit="1" customWidth="1"/>
    <col min="1800" max="1800" width="17.5703125" style="79" customWidth="1"/>
    <col min="1801" max="1801" width="15.5703125" style="79" bestFit="1" customWidth="1"/>
    <col min="1802" max="1802" width="13.5703125" style="79" customWidth="1"/>
    <col min="1803" max="1803" width="20.5703125" style="79" customWidth="1"/>
    <col min="1804" max="1804" width="12.42578125" style="79" bestFit="1" customWidth="1"/>
    <col min="1805" max="2048" width="9.140625" style="79"/>
    <col min="2049" max="2049" width="23" style="79" customWidth="1"/>
    <col min="2050" max="2050" width="41.140625" style="79" customWidth="1"/>
    <col min="2051" max="2051" width="54.7109375" style="79" customWidth="1"/>
    <col min="2052" max="2052" width="17.28515625" style="79" bestFit="1" customWidth="1"/>
    <col min="2053" max="2053" width="20.140625" style="79" bestFit="1" customWidth="1"/>
    <col min="2054" max="2054" width="16.5703125" style="79" customWidth="1"/>
    <col min="2055" max="2055" width="18.7109375" style="79" bestFit="1" customWidth="1"/>
    <col min="2056" max="2056" width="17.5703125" style="79" customWidth="1"/>
    <col min="2057" max="2057" width="15.5703125" style="79" bestFit="1" customWidth="1"/>
    <col min="2058" max="2058" width="13.5703125" style="79" customWidth="1"/>
    <col min="2059" max="2059" width="20.5703125" style="79" customWidth="1"/>
    <col min="2060" max="2060" width="12.42578125" style="79" bestFit="1" customWidth="1"/>
    <col min="2061" max="2304" width="9.140625" style="79"/>
    <col min="2305" max="2305" width="23" style="79" customWidth="1"/>
    <col min="2306" max="2306" width="41.140625" style="79" customWidth="1"/>
    <col min="2307" max="2307" width="54.7109375" style="79" customWidth="1"/>
    <col min="2308" max="2308" width="17.28515625" style="79" bestFit="1" customWidth="1"/>
    <col min="2309" max="2309" width="20.140625" style="79" bestFit="1" customWidth="1"/>
    <col min="2310" max="2310" width="16.5703125" style="79" customWidth="1"/>
    <col min="2311" max="2311" width="18.7109375" style="79" bestFit="1" customWidth="1"/>
    <col min="2312" max="2312" width="17.5703125" style="79" customWidth="1"/>
    <col min="2313" max="2313" width="15.5703125" style="79" bestFit="1" customWidth="1"/>
    <col min="2314" max="2314" width="13.5703125" style="79" customWidth="1"/>
    <col min="2315" max="2315" width="20.5703125" style="79" customWidth="1"/>
    <col min="2316" max="2316" width="12.42578125" style="79" bestFit="1" customWidth="1"/>
    <col min="2317" max="2560" width="9.140625" style="79"/>
    <col min="2561" max="2561" width="23" style="79" customWidth="1"/>
    <col min="2562" max="2562" width="41.140625" style="79" customWidth="1"/>
    <col min="2563" max="2563" width="54.7109375" style="79" customWidth="1"/>
    <col min="2564" max="2564" width="17.28515625" style="79" bestFit="1" customWidth="1"/>
    <col min="2565" max="2565" width="20.140625" style="79" bestFit="1" customWidth="1"/>
    <col min="2566" max="2566" width="16.5703125" style="79" customWidth="1"/>
    <col min="2567" max="2567" width="18.7109375" style="79" bestFit="1" customWidth="1"/>
    <col min="2568" max="2568" width="17.5703125" style="79" customWidth="1"/>
    <col min="2569" max="2569" width="15.5703125" style="79" bestFit="1" customWidth="1"/>
    <col min="2570" max="2570" width="13.5703125" style="79" customWidth="1"/>
    <col min="2571" max="2571" width="20.5703125" style="79" customWidth="1"/>
    <col min="2572" max="2572" width="12.42578125" style="79" bestFit="1" customWidth="1"/>
    <col min="2573" max="2816" width="9.140625" style="79"/>
    <col min="2817" max="2817" width="23" style="79" customWidth="1"/>
    <col min="2818" max="2818" width="41.140625" style="79" customWidth="1"/>
    <col min="2819" max="2819" width="54.7109375" style="79" customWidth="1"/>
    <col min="2820" max="2820" width="17.28515625" style="79" bestFit="1" customWidth="1"/>
    <col min="2821" max="2821" width="20.140625" style="79" bestFit="1" customWidth="1"/>
    <col min="2822" max="2822" width="16.5703125" style="79" customWidth="1"/>
    <col min="2823" max="2823" width="18.7109375" style="79" bestFit="1" customWidth="1"/>
    <col min="2824" max="2824" width="17.5703125" style="79" customWidth="1"/>
    <col min="2825" max="2825" width="15.5703125" style="79" bestFit="1" customWidth="1"/>
    <col min="2826" max="2826" width="13.5703125" style="79" customWidth="1"/>
    <col min="2827" max="2827" width="20.5703125" style="79" customWidth="1"/>
    <col min="2828" max="2828" width="12.42578125" style="79" bestFit="1" customWidth="1"/>
    <col min="2829" max="3072" width="9.140625" style="79"/>
    <col min="3073" max="3073" width="23" style="79" customWidth="1"/>
    <col min="3074" max="3074" width="41.140625" style="79" customWidth="1"/>
    <col min="3075" max="3075" width="54.7109375" style="79" customWidth="1"/>
    <col min="3076" max="3076" width="17.28515625" style="79" bestFit="1" customWidth="1"/>
    <col min="3077" max="3077" width="20.140625" style="79" bestFit="1" customWidth="1"/>
    <col min="3078" max="3078" width="16.5703125" style="79" customWidth="1"/>
    <col min="3079" max="3079" width="18.7109375" style="79" bestFit="1" customWidth="1"/>
    <col min="3080" max="3080" width="17.5703125" style="79" customWidth="1"/>
    <col min="3081" max="3081" width="15.5703125" style="79" bestFit="1" customWidth="1"/>
    <col min="3082" max="3082" width="13.5703125" style="79" customWidth="1"/>
    <col min="3083" max="3083" width="20.5703125" style="79" customWidth="1"/>
    <col min="3084" max="3084" width="12.42578125" style="79" bestFit="1" customWidth="1"/>
    <col min="3085" max="3328" width="9.140625" style="79"/>
    <col min="3329" max="3329" width="23" style="79" customWidth="1"/>
    <col min="3330" max="3330" width="41.140625" style="79" customWidth="1"/>
    <col min="3331" max="3331" width="54.7109375" style="79" customWidth="1"/>
    <col min="3332" max="3332" width="17.28515625" style="79" bestFit="1" customWidth="1"/>
    <col min="3333" max="3333" width="20.140625" style="79" bestFit="1" customWidth="1"/>
    <col min="3334" max="3334" width="16.5703125" style="79" customWidth="1"/>
    <col min="3335" max="3335" width="18.7109375" style="79" bestFit="1" customWidth="1"/>
    <col min="3336" max="3336" width="17.5703125" style="79" customWidth="1"/>
    <col min="3337" max="3337" width="15.5703125" style="79" bestFit="1" customWidth="1"/>
    <col min="3338" max="3338" width="13.5703125" style="79" customWidth="1"/>
    <col min="3339" max="3339" width="20.5703125" style="79" customWidth="1"/>
    <col min="3340" max="3340" width="12.42578125" style="79" bestFit="1" customWidth="1"/>
    <col min="3341" max="3584" width="9.140625" style="79"/>
    <col min="3585" max="3585" width="23" style="79" customWidth="1"/>
    <col min="3586" max="3586" width="41.140625" style="79" customWidth="1"/>
    <col min="3587" max="3587" width="54.7109375" style="79" customWidth="1"/>
    <col min="3588" max="3588" width="17.28515625" style="79" bestFit="1" customWidth="1"/>
    <col min="3589" max="3589" width="20.140625" style="79" bestFit="1" customWidth="1"/>
    <col min="3590" max="3590" width="16.5703125" style="79" customWidth="1"/>
    <col min="3591" max="3591" width="18.7109375" style="79" bestFit="1" customWidth="1"/>
    <col min="3592" max="3592" width="17.5703125" style="79" customWidth="1"/>
    <col min="3593" max="3593" width="15.5703125" style="79" bestFit="1" customWidth="1"/>
    <col min="3594" max="3594" width="13.5703125" style="79" customWidth="1"/>
    <col min="3595" max="3595" width="20.5703125" style="79" customWidth="1"/>
    <col min="3596" max="3596" width="12.42578125" style="79" bestFit="1" customWidth="1"/>
    <col min="3597" max="3840" width="9.140625" style="79"/>
    <col min="3841" max="3841" width="23" style="79" customWidth="1"/>
    <col min="3842" max="3842" width="41.140625" style="79" customWidth="1"/>
    <col min="3843" max="3843" width="54.7109375" style="79" customWidth="1"/>
    <col min="3844" max="3844" width="17.28515625" style="79" bestFit="1" customWidth="1"/>
    <col min="3845" max="3845" width="20.140625" style="79" bestFit="1" customWidth="1"/>
    <col min="3846" max="3846" width="16.5703125" style="79" customWidth="1"/>
    <col min="3847" max="3847" width="18.7109375" style="79" bestFit="1" customWidth="1"/>
    <col min="3848" max="3848" width="17.5703125" style="79" customWidth="1"/>
    <col min="3849" max="3849" width="15.5703125" style="79" bestFit="1" customWidth="1"/>
    <col min="3850" max="3850" width="13.5703125" style="79" customWidth="1"/>
    <col min="3851" max="3851" width="20.5703125" style="79" customWidth="1"/>
    <col min="3852" max="3852" width="12.42578125" style="79" bestFit="1" customWidth="1"/>
    <col min="3853" max="4096" width="9.140625" style="79"/>
    <col min="4097" max="4097" width="23" style="79" customWidth="1"/>
    <col min="4098" max="4098" width="41.140625" style="79" customWidth="1"/>
    <col min="4099" max="4099" width="54.7109375" style="79" customWidth="1"/>
    <col min="4100" max="4100" width="17.28515625" style="79" bestFit="1" customWidth="1"/>
    <col min="4101" max="4101" width="20.140625" style="79" bestFit="1" customWidth="1"/>
    <col min="4102" max="4102" width="16.5703125" style="79" customWidth="1"/>
    <col min="4103" max="4103" width="18.7109375" style="79" bestFit="1" customWidth="1"/>
    <col min="4104" max="4104" width="17.5703125" style="79" customWidth="1"/>
    <col min="4105" max="4105" width="15.5703125" style="79" bestFit="1" customWidth="1"/>
    <col min="4106" max="4106" width="13.5703125" style="79" customWidth="1"/>
    <col min="4107" max="4107" width="20.5703125" style="79" customWidth="1"/>
    <col min="4108" max="4108" width="12.42578125" style="79" bestFit="1" customWidth="1"/>
    <col min="4109" max="4352" width="9.140625" style="79"/>
    <col min="4353" max="4353" width="23" style="79" customWidth="1"/>
    <col min="4354" max="4354" width="41.140625" style="79" customWidth="1"/>
    <col min="4355" max="4355" width="54.7109375" style="79" customWidth="1"/>
    <col min="4356" max="4356" width="17.28515625" style="79" bestFit="1" customWidth="1"/>
    <col min="4357" max="4357" width="20.140625" style="79" bestFit="1" customWidth="1"/>
    <col min="4358" max="4358" width="16.5703125" style="79" customWidth="1"/>
    <col min="4359" max="4359" width="18.7109375" style="79" bestFit="1" customWidth="1"/>
    <col min="4360" max="4360" width="17.5703125" style="79" customWidth="1"/>
    <col min="4361" max="4361" width="15.5703125" style="79" bestFit="1" customWidth="1"/>
    <col min="4362" max="4362" width="13.5703125" style="79" customWidth="1"/>
    <col min="4363" max="4363" width="20.5703125" style="79" customWidth="1"/>
    <col min="4364" max="4364" width="12.42578125" style="79" bestFit="1" customWidth="1"/>
    <col min="4365" max="4608" width="9.140625" style="79"/>
    <col min="4609" max="4609" width="23" style="79" customWidth="1"/>
    <col min="4610" max="4610" width="41.140625" style="79" customWidth="1"/>
    <col min="4611" max="4611" width="54.7109375" style="79" customWidth="1"/>
    <col min="4612" max="4612" width="17.28515625" style="79" bestFit="1" customWidth="1"/>
    <col min="4613" max="4613" width="20.140625" style="79" bestFit="1" customWidth="1"/>
    <col min="4614" max="4614" width="16.5703125" style="79" customWidth="1"/>
    <col min="4615" max="4615" width="18.7109375" style="79" bestFit="1" customWidth="1"/>
    <col min="4616" max="4616" width="17.5703125" style="79" customWidth="1"/>
    <col min="4617" max="4617" width="15.5703125" style="79" bestFit="1" customWidth="1"/>
    <col min="4618" max="4618" width="13.5703125" style="79" customWidth="1"/>
    <col min="4619" max="4619" width="20.5703125" style="79" customWidth="1"/>
    <col min="4620" max="4620" width="12.42578125" style="79" bestFit="1" customWidth="1"/>
    <col min="4621" max="4864" width="9.140625" style="79"/>
    <col min="4865" max="4865" width="23" style="79" customWidth="1"/>
    <col min="4866" max="4866" width="41.140625" style="79" customWidth="1"/>
    <col min="4867" max="4867" width="54.7109375" style="79" customWidth="1"/>
    <col min="4868" max="4868" width="17.28515625" style="79" bestFit="1" customWidth="1"/>
    <col min="4869" max="4869" width="20.140625" style="79" bestFit="1" customWidth="1"/>
    <col min="4870" max="4870" width="16.5703125" style="79" customWidth="1"/>
    <col min="4871" max="4871" width="18.7109375" style="79" bestFit="1" customWidth="1"/>
    <col min="4872" max="4872" width="17.5703125" style="79" customWidth="1"/>
    <col min="4873" max="4873" width="15.5703125" style="79" bestFit="1" customWidth="1"/>
    <col min="4874" max="4874" width="13.5703125" style="79" customWidth="1"/>
    <col min="4875" max="4875" width="20.5703125" style="79" customWidth="1"/>
    <col min="4876" max="4876" width="12.42578125" style="79" bestFit="1" customWidth="1"/>
    <col min="4877" max="5120" width="9.140625" style="79"/>
    <col min="5121" max="5121" width="23" style="79" customWidth="1"/>
    <col min="5122" max="5122" width="41.140625" style="79" customWidth="1"/>
    <col min="5123" max="5123" width="54.7109375" style="79" customWidth="1"/>
    <col min="5124" max="5124" width="17.28515625" style="79" bestFit="1" customWidth="1"/>
    <col min="5125" max="5125" width="20.140625" style="79" bestFit="1" customWidth="1"/>
    <col min="5126" max="5126" width="16.5703125" style="79" customWidth="1"/>
    <col min="5127" max="5127" width="18.7109375" style="79" bestFit="1" customWidth="1"/>
    <col min="5128" max="5128" width="17.5703125" style="79" customWidth="1"/>
    <col min="5129" max="5129" width="15.5703125" style="79" bestFit="1" customWidth="1"/>
    <col min="5130" max="5130" width="13.5703125" style="79" customWidth="1"/>
    <col min="5131" max="5131" width="20.5703125" style="79" customWidth="1"/>
    <col min="5132" max="5132" width="12.42578125" style="79" bestFit="1" customWidth="1"/>
    <col min="5133" max="5376" width="9.140625" style="79"/>
    <col min="5377" max="5377" width="23" style="79" customWidth="1"/>
    <col min="5378" max="5378" width="41.140625" style="79" customWidth="1"/>
    <col min="5379" max="5379" width="54.7109375" style="79" customWidth="1"/>
    <col min="5380" max="5380" width="17.28515625" style="79" bestFit="1" customWidth="1"/>
    <col min="5381" max="5381" width="20.140625" style="79" bestFit="1" customWidth="1"/>
    <col min="5382" max="5382" width="16.5703125" style="79" customWidth="1"/>
    <col min="5383" max="5383" width="18.7109375" style="79" bestFit="1" customWidth="1"/>
    <col min="5384" max="5384" width="17.5703125" style="79" customWidth="1"/>
    <col min="5385" max="5385" width="15.5703125" style="79" bestFit="1" customWidth="1"/>
    <col min="5386" max="5386" width="13.5703125" style="79" customWidth="1"/>
    <col min="5387" max="5387" width="20.5703125" style="79" customWidth="1"/>
    <col min="5388" max="5388" width="12.42578125" style="79" bestFit="1" customWidth="1"/>
    <col min="5389" max="5632" width="9.140625" style="79"/>
    <col min="5633" max="5633" width="23" style="79" customWidth="1"/>
    <col min="5634" max="5634" width="41.140625" style="79" customWidth="1"/>
    <col min="5635" max="5635" width="54.7109375" style="79" customWidth="1"/>
    <col min="5636" max="5636" width="17.28515625" style="79" bestFit="1" customWidth="1"/>
    <col min="5637" max="5637" width="20.140625" style="79" bestFit="1" customWidth="1"/>
    <col min="5638" max="5638" width="16.5703125" style="79" customWidth="1"/>
    <col min="5639" max="5639" width="18.7109375" style="79" bestFit="1" customWidth="1"/>
    <col min="5640" max="5640" width="17.5703125" style="79" customWidth="1"/>
    <col min="5641" max="5641" width="15.5703125" style="79" bestFit="1" customWidth="1"/>
    <col min="5642" max="5642" width="13.5703125" style="79" customWidth="1"/>
    <col min="5643" max="5643" width="20.5703125" style="79" customWidth="1"/>
    <col min="5644" max="5644" width="12.42578125" style="79" bestFit="1" customWidth="1"/>
    <col min="5645" max="5888" width="9.140625" style="79"/>
    <col min="5889" max="5889" width="23" style="79" customWidth="1"/>
    <col min="5890" max="5890" width="41.140625" style="79" customWidth="1"/>
    <col min="5891" max="5891" width="54.7109375" style="79" customWidth="1"/>
    <col min="5892" max="5892" width="17.28515625" style="79" bestFit="1" customWidth="1"/>
    <col min="5893" max="5893" width="20.140625" style="79" bestFit="1" customWidth="1"/>
    <col min="5894" max="5894" width="16.5703125" style="79" customWidth="1"/>
    <col min="5895" max="5895" width="18.7109375" style="79" bestFit="1" customWidth="1"/>
    <col min="5896" max="5896" width="17.5703125" style="79" customWidth="1"/>
    <col min="5897" max="5897" width="15.5703125" style="79" bestFit="1" customWidth="1"/>
    <col min="5898" max="5898" width="13.5703125" style="79" customWidth="1"/>
    <col min="5899" max="5899" width="20.5703125" style="79" customWidth="1"/>
    <col min="5900" max="5900" width="12.42578125" style="79" bestFit="1" customWidth="1"/>
    <col min="5901" max="6144" width="9.140625" style="79"/>
    <col min="6145" max="6145" width="23" style="79" customWidth="1"/>
    <col min="6146" max="6146" width="41.140625" style="79" customWidth="1"/>
    <col min="6147" max="6147" width="54.7109375" style="79" customWidth="1"/>
    <col min="6148" max="6148" width="17.28515625" style="79" bestFit="1" customWidth="1"/>
    <col min="6149" max="6149" width="20.140625" style="79" bestFit="1" customWidth="1"/>
    <col min="6150" max="6150" width="16.5703125" style="79" customWidth="1"/>
    <col min="6151" max="6151" width="18.7109375" style="79" bestFit="1" customWidth="1"/>
    <col min="6152" max="6152" width="17.5703125" style="79" customWidth="1"/>
    <col min="6153" max="6153" width="15.5703125" style="79" bestFit="1" customWidth="1"/>
    <col min="6154" max="6154" width="13.5703125" style="79" customWidth="1"/>
    <col min="6155" max="6155" width="20.5703125" style="79" customWidth="1"/>
    <col min="6156" max="6156" width="12.42578125" style="79" bestFit="1" customWidth="1"/>
    <col min="6157" max="6400" width="9.140625" style="79"/>
    <col min="6401" max="6401" width="23" style="79" customWidth="1"/>
    <col min="6402" max="6402" width="41.140625" style="79" customWidth="1"/>
    <col min="6403" max="6403" width="54.7109375" style="79" customWidth="1"/>
    <col min="6404" max="6404" width="17.28515625" style="79" bestFit="1" customWidth="1"/>
    <col min="6405" max="6405" width="20.140625" style="79" bestFit="1" customWidth="1"/>
    <col min="6406" max="6406" width="16.5703125" style="79" customWidth="1"/>
    <col min="6407" max="6407" width="18.7109375" style="79" bestFit="1" customWidth="1"/>
    <col min="6408" max="6408" width="17.5703125" style="79" customWidth="1"/>
    <col min="6409" max="6409" width="15.5703125" style="79" bestFit="1" customWidth="1"/>
    <col min="6410" max="6410" width="13.5703125" style="79" customWidth="1"/>
    <col min="6411" max="6411" width="20.5703125" style="79" customWidth="1"/>
    <col min="6412" max="6412" width="12.42578125" style="79" bestFit="1" customWidth="1"/>
    <col min="6413" max="6656" width="9.140625" style="79"/>
    <col min="6657" max="6657" width="23" style="79" customWidth="1"/>
    <col min="6658" max="6658" width="41.140625" style="79" customWidth="1"/>
    <col min="6659" max="6659" width="54.7109375" style="79" customWidth="1"/>
    <col min="6660" max="6660" width="17.28515625" style="79" bestFit="1" customWidth="1"/>
    <col min="6661" max="6661" width="20.140625" style="79" bestFit="1" customWidth="1"/>
    <col min="6662" max="6662" width="16.5703125" style="79" customWidth="1"/>
    <col min="6663" max="6663" width="18.7109375" style="79" bestFit="1" customWidth="1"/>
    <col min="6664" max="6664" width="17.5703125" style="79" customWidth="1"/>
    <col min="6665" max="6665" width="15.5703125" style="79" bestFit="1" customWidth="1"/>
    <col min="6666" max="6666" width="13.5703125" style="79" customWidth="1"/>
    <col min="6667" max="6667" width="20.5703125" style="79" customWidth="1"/>
    <col min="6668" max="6668" width="12.42578125" style="79" bestFit="1" customWidth="1"/>
    <col min="6669" max="6912" width="9.140625" style="79"/>
    <col min="6913" max="6913" width="23" style="79" customWidth="1"/>
    <col min="6914" max="6914" width="41.140625" style="79" customWidth="1"/>
    <col min="6915" max="6915" width="54.7109375" style="79" customWidth="1"/>
    <col min="6916" max="6916" width="17.28515625" style="79" bestFit="1" customWidth="1"/>
    <col min="6917" max="6917" width="20.140625" style="79" bestFit="1" customWidth="1"/>
    <col min="6918" max="6918" width="16.5703125" style="79" customWidth="1"/>
    <col min="6919" max="6919" width="18.7109375" style="79" bestFit="1" customWidth="1"/>
    <col min="6920" max="6920" width="17.5703125" style="79" customWidth="1"/>
    <col min="6921" max="6921" width="15.5703125" style="79" bestFit="1" customWidth="1"/>
    <col min="6922" max="6922" width="13.5703125" style="79" customWidth="1"/>
    <col min="6923" max="6923" width="20.5703125" style="79" customWidth="1"/>
    <col min="6924" max="6924" width="12.42578125" style="79" bestFit="1" customWidth="1"/>
    <col min="6925" max="7168" width="9.140625" style="79"/>
    <col min="7169" max="7169" width="23" style="79" customWidth="1"/>
    <col min="7170" max="7170" width="41.140625" style="79" customWidth="1"/>
    <col min="7171" max="7171" width="54.7109375" style="79" customWidth="1"/>
    <col min="7172" max="7172" width="17.28515625" style="79" bestFit="1" customWidth="1"/>
    <col min="7173" max="7173" width="20.140625" style="79" bestFit="1" customWidth="1"/>
    <col min="7174" max="7174" width="16.5703125" style="79" customWidth="1"/>
    <col min="7175" max="7175" width="18.7109375" style="79" bestFit="1" customWidth="1"/>
    <col min="7176" max="7176" width="17.5703125" style="79" customWidth="1"/>
    <col min="7177" max="7177" width="15.5703125" style="79" bestFit="1" customWidth="1"/>
    <col min="7178" max="7178" width="13.5703125" style="79" customWidth="1"/>
    <col min="7179" max="7179" width="20.5703125" style="79" customWidth="1"/>
    <col min="7180" max="7180" width="12.42578125" style="79" bestFit="1" customWidth="1"/>
    <col min="7181" max="7424" width="9.140625" style="79"/>
    <col min="7425" max="7425" width="23" style="79" customWidth="1"/>
    <col min="7426" max="7426" width="41.140625" style="79" customWidth="1"/>
    <col min="7427" max="7427" width="54.7109375" style="79" customWidth="1"/>
    <col min="7428" max="7428" width="17.28515625" style="79" bestFit="1" customWidth="1"/>
    <col min="7429" max="7429" width="20.140625" style="79" bestFit="1" customWidth="1"/>
    <col min="7430" max="7430" width="16.5703125" style="79" customWidth="1"/>
    <col min="7431" max="7431" width="18.7109375" style="79" bestFit="1" customWidth="1"/>
    <col min="7432" max="7432" width="17.5703125" style="79" customWidth="1"/>
    <col min="7433" max="7433" width="15.5703125" style="79" bestFit="1" customWidth="1"/>
    <col min="7434" max="7434" width="13.5703125" style="79" customWidth="1"/>
    <col min="7435" max="7435" width="20.5703125" style="79" customWidth="1"/>
    <col min="7436" max="7436" width="12.42578125" style="79" bestFit="1" customWidth="1"/>
    <col min="7437" max="7680" width="9.140625" style="79"/>
    <col min="7681" max="7681" width="23" style="79" customWidth="1"/>
    <col min="7682" max="7682" width="41.140625" style="79" customWidth="1"/>
    <col min="7683" max="7683" width="54.7109375" style="79" customWidth="1"/>
    <col min="7684" max="7684" width="17.28515625" style="79" bestFit="1" customWidth="1"/>
    <col min="7685" max="7685" width="20.140625" style="79" bestFit="1" customWidth="1"/>
    <col min="7686" max="7686" width="16.5703125" style="79" customWidth="1"/>
    <col min="7687" max="7687" width="18.7109375" style="79" bestFit="1" customWidth="1"/>
    <col min="7688" max="7688" width="17.5703125" style="79" customWidth="1"/>
    <col min="7689" max="7689" width="15.5703125" style="79" bestFit="1" customWidth="1"/>
    <col min="7690" max="7690" width="13.5703125" style="79" customWidth="1"/>
    <col min="7691" max="7691" width="20.5703125" style="79" customWidth="1"/>
    <col min="7692" max="7692" width="12.42578125" style="79" bestFit="1" customWidth="1"/>
    <col min="7693" max="7936" width="9.140625" style="79"/>
    <col min="7937" max="7937" width="23" style="79" customWidth="1"/>
    <col min="7938" max="7938" width="41.140625" style="79" customWidth="1"/>
    <col min="7939" max="7939" width="54.7109375" style="79" customWidth="1"/>
    <col min="7940" max="7940" width="17.28515625" style="79" bestFit="1" customWidth="1"/>
    <col min="7941" max="7941" width="20.140625" style="79" bestFit="1" customWidth="1"/>
    <col min="7942" max="7942" width="16.5703125" style="79" customWidth="1"/>
    <col min="7943" max="7943" width="18.7109375" style="79" bestFit="1" customWidth="1"/>
    <col min="7944" max="7944" width="17.5703125" style="79" customWidth="1"/>
    <col min="7945" max="7945" width="15.5703125" style="79" bestFit="1" customWidth="1"/>
    <col min="7946" max="7946" width="13.5703125" style="79" customWidth="1"/>
    <col min="7947" max="7947" width="20.5703125" style="79" customWidth="1"/>
    <col min="7948" max="7948" width="12.42578125" style="79" bestFit="1" customWidth="1"/>
    <col min="7949" max="8192" width="9.140625" style="79"/>
    <col min="8193" max="8193" width="23" style="79" customWidth="1"/>
    <col min="8194" max="8194" width="41.140625" style="79" customWidth="1"/>
    <col min="8195" max="8195" width="54.7109375" style="79" customWidth="1"/>
    <col min="8196" max="8196" width="17.28515625" style="79" bestFit="1" customWidth="1"/>
    <col min="8197" max="8197" width="20.140625" style="79" bestFit="1" customWidth="1"/>
    <col min="8198" max="8198" width="16.5703125" style="79" customWidth="1"/>
    <col min="8199" max="8199" width="18.7109375" style="79" bestFit="1" customWidth="1"/>
    <col min="8200" max="8200" width="17.5703125" style="79" customWidth="1"/>
    <col min="8201" max="8201" width="15.5703125" style="79" bestFit="1" customWidth="1"/>
    <col min="8202" max="8202" width="13.5703125" style="79" customWidth="1"/>
    <col min="8203" max="8203" width="20.5703125" style="79" customWidth="1"/>
    <col min="8204" max="8204" width="12.42578125" style="79" bestFit="1" customWidth="1"/>
    <col min="8205" max="8448" width="9.140625" style="79"/>
    <col min="8449" max="8449" width="23" style="79" customWidth="1"/>
    <col min="8450" max="8450" width="41.140625" style="79" customWidth="1"/>
    <col min="8451" max="8451" width="54.7109375" style="79" customWidth="1"/>
    <col min="8452" max="8452" width="17.28515625" style="79" bestFit="1" customWidth="1"/>
    <col min="8453" max="8453" width="20.140625" style="79" bestFit="1" customWidth="1"/>
    <col min="8454" max="8454" width="16.5703125" style="79" customWidth="1"/>
    <col min="8455" max="8455" width="18.7109375" style="79" bestFit="1" customWidth="1"/>
    <col min="8456" max="8456" width="17.5703125" style="79" customWidth="1"/>
    <col min="8457" max="8457" width="15.5703125" style="79" bestFit="1" customWidth="1"/>
    <col min="8458" max="8458" width="13.5703125" style="79" customWidth="1"/>
    <col min="8459" max="8459" width="20.5703125" style="79" customWidth="1"/>
    <col min="8460" max="8460" width="12.42578125" style="79" bestFit="1" customWidth="1"/>
    <col min="8461" max="8704" width="9.140625" style="79"/>
    <col min="8705" max="8705" width="23" style="79" customWidth="1"/>
    <col min="8706" max="8706" width="41.140625" style="79" customWidth="1"/>
    <col min="8707" max="8707" width="54.7109375" style="79" customWidth="1"/>
    <col min="8708" max="8708" width="17.28515625" style="79" bestFit="1" customWidth="1"/>
    <col min="8709" max="8709" width="20.140625" style="79" bestFit="1" customWidth="1"/>
    <col min="8710" max="8710" width="16.5703125" style="79" customWidth="1"/>
    <col min="8711" max="8711" width="18.7109375" style="79" bestFit="1" customWidth="1"/>
    <col min="8712" max="8712" width="17.5703125" style="79" customWidth="1"/>
    <col min="8713" max="8713" width="15.5703125" style="79" bestFit="1" customWidth="1"/>
    <col min="8714" max="8714" width="13.5703125" style="79" customWidth="1"/>
    <col min="8715" max="8715" width="20.5703125" style="79" customWidth="1"/>
    <col min="8716" max="8716" width="12.42578125" style="79" bestFit="1" customWidth="1"/>
    <col min="8717" max="8960" width="9.140625" style="79"/>
    <col min="8961" max="8961" width="23" style="79" customWidth="1"/>
    <col min="8962" max="8962" width="41.140625" style="79" customWidth="1"/>
    <col min="8963" max="8963" width="54.7109375" style="79" customWidth="1"/>
    <col min="8964" max="8964" width="17.28515625" style="79" bestFit="1" customWidth="1"/>
    <col min="8965" max="8965" width="20.140625" style="79" bestFit="1" customWidth="1"/>
    <col min="8966" max="8966" width="16.5703125" style="79" customWidth="1"/>
    <col min="8967" max="8967" width="18.7109375" style="79" bestFit="1" customWidth="1"/>
    <col min="8968" max="8968" width="17.5703125" style="79" customWidth="1"/>
    <col min="8969" max="8969" width="15.5703125" style="79" bestFit="1" customWidth="1"/>
    <col min="8970" max="8970" width="13.5703125" style="79" customWidth="1"/>
    <col min="8971" max="8971" width="20.5703125" style="79" customWidth="1"/>
    <col min="8972" max="8972" width="12.42578125" style="79" bestFit="1" customWidth="1"/>
    <col min="8973" max="9216" width="9.140625" style="79"/>
    <col min="9217" max="9217" width="23" style="79" customWidth="1"/>
    <col min="9218" max="9218" width="41.140625" style="79" customWidth="1"/>
    <col min="9219" max="9219" width="54.7109375" style="79" customWidth="1"/>
    <col min="9220" max="9220" width="17.28515625" style="79" bestFit="1" customWidth="1"/>
    <col min="9221" max="9221" width="20.140625" style="79" bestFit="1" customWidth="1"/>
    <col min="9222" max="9222" width="16.5703125" style="79" customWidth="1"/>
    <col min="9223" max="9223" width="18.7109375" style="79" bestFit="1" customWidth="1"/>
    <col min="9224" max="9224" width="17.5703125" style="79" customWidth="1"/>
    <col min="9225" max="9225" width="15.5703125" style="79" bestFit="1" customWidth="1"/>
    <col min="9226" max="9226" width="13.5703125" style="79" customWidth="1"/>
    <col min="9227" max="9227" width="20.5703125" style="79" customWidth="1"/>
    <col min="9228" max="9228" width="12.42578125" style="79" bestFit="1" customWidth="1"/>
    <col min="9229" max="9472" width="9.140625" style="79"/>
    <col min="9473" max="9473" width="23" style="79" customWidth="1"/>
    <col min="9474" max="9474" width="41.140625" style="79" customWidth="1"/>
    <col min="9475" max="9475" width="54.7109375" style="79" customWidth="1"/>
    <col min="9476" max="9476" width="17.28515625" style="79" bestFit="1" customWidth="1"/>
    <col min="9477" max="9477" width="20.140625" style="79" bestFit="1" customWidth="1"/>
    <col min="9478" max="9478" width="16.5703125" style="79" customWidth="1"/>
    <col min="9479" max="9479" width="18.7109375" style="79" bestFit="1" customWidth="1"/>
    <col min="9480" max="9480" width="17.5703125" style="79" customWidth="1"/>
    <col min="9481" max="9481" width="15.5703125" style="79" bestFit="1" customWidth="1"/>
    <col min="9482" max="9482" width="13.5703125" style="79" customWidth="1"/>
    <col min="9483" max="9483" width="20.5703125" style="79" customWidth="1"/>
    <col min="9484" max="9484" width="12.42578125" style="79" bestFit="1" customWidth="1"/>
    <col min="9485" max="9728" width="9.140625" style="79"/>
    <col min="9729" max="9729" width="23" style="79" customWidth="1"/>
    <col min="9730" max="9730" width="41.140625" style="79" customWidth="1"/>
    <col min="9731" max="9731" width="54.7109375" style="79" customWidth="1"/>
    <col min="9732" max="9732" width="17.28515625" style="79" bestFit="1" customWidth="1"/>
    <col min="9733" max="9733" width="20.140625" style="79" bestFit="1" customWidth="1"/>
    <col min="9734" max="9734" width="16.5703125" style="79" customWidth="1"/>
    <col min="9735" max="9735" width="18.7109375" style="79" bestFit="1" customWidth="1"/>
    <col min="9736" max="9736" width="17.5703125" style="79" customWidth="1"/>
    <col min="9737" max="9737" width="15.5703125" style="79" bestFit="1" customWidth="1"/>
    <col min="9738" max="9738" width="13.5703125" style="79" customWidth="1"/>
    <col min="9739" max="9739" width="20.5703125" style="79" customWidth="1"/>
    <col min="9740" max="9740" width="12.42578125" style="79" bestFit="1" customWidth="1"/>
    <col min="9741" max="9984" width="9.140625" style="79"/>
    <col min="9985" max="9985" width="23" style="79" customWidth="1"/>
    <col min="9986" max="9986" width="41.140625" style="79" customWidth="1"/>
    <col min="9987" max="9987" width="54.7109375" style="79" customWidth="1"/>
    <col min="9988" max="9988" width="17.28515625" style="79" bestFit="1" customWidth="1"/>
    <col min="9989" max="9989" width="20.140625" style="79" bestFit="1" customWidth="1"/>
    <col min="9990" max="9990" width="16.5703125" style="79" customWidth="1"/>
    <col min="9991" max="9991" width="18.7109375" style="79" bestFit="1" customWidth="1"/>
    <col min="9992" max="9992" width="17.5703125" style="79" customWidth="1"/>
    <col min="9993" max="9993" width="15.5703125" style="79" bestFit="1" customWidth="1"/>
    <col min="9994" max="9994" width="13.5703125" style="79" customWidth="1"/>
    <col min="9995" max="9995" width="20.5703125" style="79" customWidth="1"/>
    <col min="9996" max="9996" width="12.42578125" style="79" bestFit="1" customWidth="1"/>
    <col min="9997" max="10240" width="9.140625" style="79"/>
    <col min="10241" max="10241" width="23" style="79" customWidth="1"/>
    <col min="10242" max="10242" width="41.140625" style="79" customWidth="1"/>
    <col min="10243" max="10243" width="54.7109375" style="79" customWidth="1"/>
    <col min="10244" max="10244" width="17.28515625" style="79" bestFit="1" customWidth="1"/>
    <col min="10245" max="10245" width="20.140625" style="79" bestFit="1" customWidth="1"/>
    <col min="10246" max="10246" width="16.5703125" style="79" customWidth="1"/>
    <col min="10247" max="10247" width="18.7109375" style="79" bestFit="1" customWidth="1"/>
    <col min="10248" max="10248" width="17.5703125" style="79" customWidth="1"/>
    <col min="10249" max="10249" width="15.5703125" style="79" bestFit="1" customWidth="1"/>
    <col min="10250" max="10250" width="13.5703125" style="79" customWidth="1"/>
    <col min="10251" max="10251" width="20.5703125" style="79" customWidth="1"/>
    <col min="10252" max="10252" width="12.42578125" style="79" bestFit="1" customWidth="1"/>
    <col min="10253" max="10496" width="9.140625" style="79"/>
    <col min="10497" max="10497" width="23" style="79" customWidth="1"/>
    <col min="10498" max="10498" width="41.140625" style="79" customWidth="1"/>
    <col min="10499" max="10499" width="54.7109375" style="79" customWidth="1"/>
    <col min="10500" max="10500" width="17.28515625" style="79" bestFit="1" customWidth="1"/>
    <col min="10501" max="10501" width="20.140625" style="79" bestFit="1" customWidth="1"/>
    <col min="10502" max="10502" width="16.5703125" style="79" customWidth="1"/>
    <col min="10503" max="10503" width="18.7109375" style="79" bestFit="1" customWidth="1"/>
    <col min="10504" max="10504" width="17.5703125" style="79" customWidth="1"/>
    <col min="10505" max="10505" width="15.5703125" style="79" bestFit="1" customWidth="1"/>
    <col min="10506" max="10506" width="13.5703125" style="79" customWidth="1"/>
    <col min="10507" max="10507" width="20.5703125" style="79" customWidth="1"/>
    <col min="10508" max="10508" width="12.42578125" style="79" bestFit="1" customWidth="1"/>
    <col min="10509" max="10752" width="9.140625" style="79"/>
    <col min="10753" max="10753" width="23" style="79" customWidth="1"/>
    <col min="10754" max="10754" width="41.140625" style="79" customWidth="1"/>
    <col min="10755" max="10755" width="54.7109375" style="79" customWidth="1"/>
    <col min="10756" max="10756" width="17.28515625" style="79" bestFit="1" customWidth="1"/>
    <col min="10757" max="10757" width="20.140625" style="79" bestFit="1" customWidth="1"/>
    <col min="10758" max="10758" width="16.5703125" style="79" customWidth="1"/>
    <col min="10759" max="10759" width="18.7109375" style="79" bestFit="1" customWidth="1"/>
    <col min="10760" max="10760" width="17.5703125" style="79" customWidth="1"/>
    <col min="10761" max="10761" width="15.5703125" style="79" bestFit="1" customWidth="1"/>
    <col min="10762" max="10762" width="13.5703125" style="79" customWidth="1"/>
    <col min="10763" max="10763" width="20.5703125" style="79" customWidth="1"/>
    <col min="10764" max="10764" width="12.42578125" style="79" bestFit="1" customWidth="1"/>
    <col min="10765" max="11008" width="9.140625" style="79"/>
    <col min="11009" max="11009" width="23" style="79" customWidth="1"/>
    <col min="11010" max="11010" width="41.140625" style="79" customWidth="1"/>
    <col min="11011" max="11011" width="54.7109375" style="79" customWidth="1"/>
    <col min="11012" max="11012" width="17.28515625" style="79" bestFit="1" customWidth="1"/>
    <col min="11013" max="11013" width="20.140625" style="79" bestFit="1" customWidth="1"/>
    <col min="11014" max="11014" width="16.5703125" style="79" customWidth="1"/>
    <col min="11015" max="11015" width="18.7109375" style="79" bestFit="1" customWidth="1"/>
    <col min="11016" max="11016" width="17.5703125" style="79" customWidth="1"/>
    <col min="11017" max="11017" width="15.5703125" style="79" bestFit="1" customWidth="1"/>
    <col min="11018" max="11018" width="13.5703125" style="79" customWidth="1"/>
    <col min="11019" max="11019" width="20.5703125" style="79" customWidth="1"/>
    <col min="11020" max="11020" width="12.42578125" style="79" bestFit="1" customWidth="1"/>
    <col min="11021" max="11264" width="9.140625" style="79"/>
    <col min="11265" max="11265" width="23" style="79" customWidth="1"/>
    <col min="11266" max="11266" width="41.140625" style="79" customWidth="1"/>
    <col min="11267" max="11267" width="54.7109375" style="79" customWidth="1"/>
    <col min="11268" max="11268" width="17.28515625" style="79" bestFit="1" customWidth="1"/>
    <col min="11269" max="11269" width="20.140625" style="79" bestFit="1" customWidth="1"/>
    <col min="11270" max="11270" width="16.5703125" style="79" customWidth="1"/>
    <col min="11271" max="11271" width="18.7109375" style="79" bestFit="1" customWidth="1"/>
    <col min="11272" max="11272" width="17.5703125" style="79" customWidth="1"/>
    <col min="11273" max="11273" width="15.5703125" style="79" bestFit="1" customWidth="1"/>
    <col min="11274" max="11274" width="13.5703125" style="79" customWidth="1"/>
    <col min="11275" max="11275" width="20.5703125" style="79" customWidth="1"/>
    <col min="11276" max="11276" width="12.42578125" style="79" bestFit="1" customWidth="1"/>
    <col min="11277" max="11520" width="9.140625" style="79"/>
    <col min="11521" max="11521" width="23" style="79" customWidth="1"/>
    <col min="11522" max="11522" width="41.140625" style="79" customWidth="1"/>
    <col min="11523" max="11523" width="54.7109375" style="79" customWidth="1"/>
    <col min="11524" max="11524" width="17.28515625" style="79" bestFit="1" customWidth="1"/>
    <col min="11525" max="11525" width="20.140625" style="79" bestFit="1" customWidth="1"/>
    <col min="11526" max="11526" width="16.5703125" style="79" customWidth="1"/>
    <col min="11527" max="11527" width="18.7109375" style="79" bestFit="1" customWidth="1"/>
    <col min="11528" max="11528" width="17.5703125" style="79" customWidth="1"/>
    <col min="11529" max="11529" width="15.5703125" style="79" bestFit="1" customWidth="1"/>
    <col min="11530" max="11530" width="13.5703125" style="79" customWidth="1"/>
    <col min="11531" max="11531" width="20.5703125" style="79" customWidth="1"/>
    <col min="11532" max="11532" width="12.42578125" style="79" bestFit="1" customWidth="1"/>
    <col min="11533" max="11776" width="9.140625" style="79"/>
    <col min="11777" max="11777" width="23" style="79" customWidth="1"/>
    <col min="11778" max="11778" width="41.140625" style="79" customWidth="1"/>
    <col min="11779" max="11779" width="54.7109375" style="79" customWidth="1"/>
    <col min="11780" max="11780" width="17.28515625" style="79" bestFit="1" customWidth="1"/>
    <col min="11781" max="11781" width="20.140625" style="79" bestFit="1" customWidth="1"/>
    <col min="11782" max="11782" width="16.5703125" style="79" customWidth="1"/>
    <col min="11783" max="11783" width="18.7109375" style="79" bestFit="1" customWidth="1"/>
    <col min="11784" max="11784" width="17.5703125" style="79" customWidth="1"/>
    <col min="11785" max="11785" width="15.5703125" style="79" bestFit="1" customWidth="1"/>
    <col min="11786" max="11786" width="13.5703125" style="79" customWidth="1"/>
    <col min="11787" max="11787" width="20.5703125" style="79" customWidth="1"/>
    <col min="11788" max="11788" width="12.42578125" style="79" bestFit="1" customWidth="1"/>
    <col min="11789" max="12032" width="9.140625" style="79"/>
    <col min="12033" max="12033" width="23" style="79" customWidth="1"/>
    <col min="12034" max="12034" width="41.140625" style="79" customWidth="1"/>
    <col min="12035" max="12035" width="54.7109375" style="79" customWidth="1"/>
    <col min="12036" max="12036" width="17.28515625" style="79" bestFit="1" customWidth="1"/>
    <col min="12037" max="12037" width="20.140625" style="79" bestFit="1" customWidth="1"/>
    <col min="12038" max="12038" width="16.5703125" style="79" customWidth="1"/>
    <col min="12039" max="12039" width="18.7109375" style="79" bestFit="1" customWidth="1"/>
    <col min="12040" max="12040" width="17.5703125" style="79" customWidth="1"/>
    <col min="12041" max="12041" width="15.5703125" style="79" bestFit="1" customWidth="1"/>
    <col min="12042" max="12042" width="13.5703125" style="79" customWidth="1"/>
    <col min="12043" max="12043" width="20.5703125" style="79" customWidth="1"/>
    <col min="12044" max="12044" width="12.42578125" style="79" bestFit="1" customWidth="1"/>
    <col min="12045" max="12288" width="9.140625" style="79"/>
    <col min="12289" max="12289" width="23" style="79" customWidth="1"/>
    <col min="12290" max="12290" width="41.140625" style="79" customWidth="1"/>
    <col min="12291" max="12291" width="54.7109375" style="79" customWidth="1"/>
    <col min="12292" max="12292" width="17.28515625" style="79" bestFit="1" customWidth="1"/>
    <col min="12293" max="12293" width="20.140625" style="79" bestFit="1" customWidth="1"/>
    <col min="12294" max="12294" width="16.5703125" style="79" customWidth="1"/>
    <col min="12295" max="12295" width="18.7109375" style="79" bestFit="1" customWidth="1"/>
    <col min="12296" max="12296" width="17.5703125" style="79" customWidth="1"/>
    <col min="12297" max="12297" width="15.5703125" style="79" bestFit="1" customWidth="1"/>
    <col min="12298" max="12298" width="13.5703125" style="79" customWidth="1"/>
    <col min="12299" max="12299" width="20.5703125" style="79" customWidth="1"/>
    <col min="12300" max="12300" width="12.42578125" style="79" bestFit="1" customWidth="1"/>
    <col min="12301" max="12544" width="9.140625" style="79"/>
    <col min="12545" max="12545" width="23" style="79" customWidth="1"/>
    <col min="12546" max="12546" width="41.140625" style="79" customWidth="1"/>
    <col min="12547" max="12547" width="54.7109375" style="79" customWidth="1"/>
    <col min="12548" max="12548" width="17.28515625" style="79" bestFit="1" customWidth="1"/>
    <col min="12549" max="12549" width="20.140625" style="79" bestFit="1" customWidth="1"/>
    <col min="12550" max="12550" width="16.5703125" style="79" customWidth="1"/>
    <col min="12551" max="12551" width="18.7109375" style="79" bestFit="1" customWidth="1"/>
    <col min="12552" max="12552" width="17.5703125" style="79" customWidth="1"/>
    <col min="12553" max="12553" width="15.5703125" style="79" bestFit="1" customWidth="1"/>
    <col min="12554" max="12554" width="13.5703125" style="79" customWidth="1"/>
    <col min="12555" max="12555" width="20.5703125" style="79" customWidth="1"/>
    <col min="12556" max="12556" width="12.42578125" style="79" bestFit="1" customWidth="1"/>
    <col min="12557" max="12800" width="9.140625" style="79"/>
    <col min="12801" max="12801" width="23" style="79" customWidth="1"/>
    <col min="12802" max="12802" width="41.140625" style="79" customWidth="1"/>
    <col min="12803" max="12803" width="54.7109375" style="79" customWidth="1"/>
    <col min="12804" max="12804" width="17.28515625" style="79" bestFit="1" customWidth="1"/>
    <col min="12805" max="12805" width="20.140625" style="79" bestFit="1" customWidth="1"/>
    <col min="12806" max="12806" width="16.5703125" style="79" customWidth="1"/>
    <col min="12807" max="12807" width="18.7109375" style="79" bestFit="1" customWidth="1"/>
    <col min="12808" max="12808" width="17.5703125" style="79" customWidth="1"/>
    <col min="12809" max="12809" width="15.5703125" style="79" bestFit="1" customWidth="1"/>
    <col min="12810" max="12810" width="13.5703125" style="79" customWidth="1"/>
    <col min="12811" max="12811" width="20.5703125" style="79" customWidth="1"/>
    <col min="12812" max="12812" width="12.42578125" style="79" bestFit="1" customWidth="1"/>
    <col min="12813" max="13056" width="9.140625" style="79"/>
    <col min="13057" max="13057" width="23" style="79" customWidth="1"/>
    <col min="13058" max="13058" width="41.140625" style="79" customWidth="1"/>
    <col min="13059" max="13059" width="54.7109375" style="79" customWidth="1"/>
    <col min="13060" max="13060" width="17.28515625" style="79" bestFit="1" customWidth="1"/>
    <col min="13061" max="13061" width="20.140625" style="79" bestFit="1" customWidth="1"/>
    <col min="13062" max="13062" width="16.5703125" style="79" customWidth="1"/>
    <col min="13063" max="13063" width="18.7109375" style="79" bestFit="1" customWidth="1"/>
    <col min="13064" max="13064" width="17.5703125" style="79" customWidth="1"/>
    <col min="13065" max="13065" width="15.5703125" style="79" bestFit="1" customWidth="1"/>
    <col min="13066" max="13066" width="13.5703125" style="79" customWidth="1"/>
    <col min="13067" max="13067" width="20.5703125" style="79" customWidth="1"/>
    <col min="13068" max="13068" width="12.42578125" style="79" bestFit="1" customWidth="1"/>
    <col min="13069" max="13312" width="9.140625" style="79"/>
    <col min="13313" max="13313" width="23" style="79" customWidth="1"/>
    <col min="13314" max="13314" width="41.140625" style="79" customWidth="1"/>
    <col min="13315" max="13315" width="54.7109375" style="79" customWidth="1"/>
    <col min="13316" max="13316" width="17.28515625" style="79" bestFit="1" customWidth="1"/>
    <col min="13317" max="13317" width="20.140625" style="79" bestFit="1" customWidth="1"/>
    <col min="13318" max="13318" width="16.5703125" style="79" customWidth="1"/>
    <col min="13319" max="13319" width="18.7109375" style="79" bestFit="1" customWidth="1"/>
    <col min="13320" max="13320" width="17.5703125" style="79" customWidth="1"/>
    <col min="13321" max="13321" width="15.5703125" style="79" bestFit="1" customWidth="1"/>
    <col min="13322" max="13322" width="13.5703125" style="79" customWidth="1"/>
    <col min="13323" max="13323" width="20.5703125" style="79" customWidth="1"/>
    <col min="13324" max="13324" width="12.42578125" style="79" bestFit="1" customWidth="1"/>
    <col min="13325" max="13568" width="9.140625" style="79"/>
    <col min="13569" max="13569" width="23" style="79" customWidth="1"/>
    <col min="13570" max="13570" width="41.140625" style="79" customWidth="1"/>
    <col min="13571" max="13571" width="54.7109375" style="79" customWidth="1"/>
    <col min="13572" max="13572" width="17.28515625" style="79" bestFit="1" customWidth="1"/>
    <col min="13573" max="13573" width="20.140625" style="79" bestFit="1" customWidth="1"/>
    <col min="13574" max="13574" width="16.5703125" style="79" customWidth="1"/>
    <col min="13575" max="13575" width="18.7109375" style="79" bestFit="1" customWidth="1"/>
    <col min="13576" max="13576" width="17.5703125" style="79" customWidth="1"/>
    <col min="13577" max="13577" width="15.5703125" style="79" bestFit="1" customWidth="1"/>
    <col min="13578" max="13578" width="13.5703125" style="79" customWidth="1"/>
    <col min="13579" max="13579" width="20.5703125" style="79" customWidth="1"/>
    <col min="13580" max="13580" width="12.42578125" style="79" bestFit="1" customWidth="1"/>
    <col min="13581" max="13824" width="9.140625" style="79"/>
    <col min="13825" max="13825" width="23" style="79" customWidth="1"/>
    <col min="13826" max="13826" width="41.140625" style="79" customWidth="1"/>
    <col min="13827" max="13827" width="54.7109375" style="79" customWidth="1"/>
    <col min="13828" max="13828" width="17.28515625" style="79" bestFit="1" customWidth="1"/>
    <col min="13829" max="13829" width="20.140625" style="79" bestFit="1" customWidth="1"/>
    <col min="13830" max="13830" width="16.5703125" style="79" customWidth="1"/>
    <col min="13831" max="13831" width="18.7109375" style="79" bestFit="1" customWidth="1"/>
    <col min="13832" max="13832" width="17.5703125" style="79" customWidth="1"/>
    <col min="13833" max="13833" width="15.5703125" style="79" bestFit="1" customWidth="1"/>
    <col min="13834" max="13834" width="13.5703125" style="79" customWidth="1"/>
    <col min="13835" max="13835" width="20.5703125" style="79" customWidth="1"/>
    <col min="13836" max="13836" width="12.42578125" style="79" bestFit="1" customWidth="1"/>
    <col min="13837" max="14080" width="9.140625" style="79"/>
    <col min="14081" max="14081" width="23" style="79" customWidth="1"/>
    <col min="14082" max="14082" width="41.140625" style="79" customWidth="1"/>
    <col min="14083" max="14083" width="54.7109375" style="79" customWidth="1"/>
    <col min="14084" max="14084" width="17.28515625" style="79" bestFit="1" customWidth="1"/>
    <col min="14085" max="14085" width="20.140625" style="79" bestFit="1" customWidth="1"/>
    <col min="14086" max="14086" width="16.5703125" style="79" customWidth="1"/>
    <col min="14087" max="14087" width="18.7109375" style="79" bestFit="1" customWidth="1"/>
    <col min="14088" max="14088" width="17.5703125" style="79" customWidth="1"/>
    <col min="14089" max="14089" width="15.5703125" style="79" bestFit="1" customWidth="1"/>
    <col min="14090" max="14090" width="13.5703125" style="79" customWidth="1"/>
    <col min="14091" max="14091" width="20.5703125" style="79" customWidth="1"/>
    <col min="14092" max="14092" width="12.42578125" style="79" bestFit="1" customWidth="1"/>
    <col min="14093" max="14336" width="9.140625" style="79"/>
    <col min="14337" max="14337" width="23" style="79" customWidth="1"/>
    <col min="14338" max="14338" width="41.140625" style="79" customWidth="1"/>
    <col min="14339" max="14339" width="54.7109375" style="79" customWidth="1"/>
    <col min="14340" max="14340" width="17.28515625" style="79" bestFit="1" customWidth="1"/>
    <col min="14341" max="14341" width="20.140625" style="79" bestFit="1" customWidth="1"/>
    <col min="14342" max="14342" width="16.5703125" style="79" customWidth="1"/>
    <col min="14343" max="14343" width="18.7109375" style="79" bestFit="1" customWidth="1"/>
    <col min="14344" max="14344" width="17.5703125" style="79" customWidth="1"/>
    <col min="14345" max="14345" width="15.5703125" style="79" bestFit="1" customWidth="1"/>
    <col min="14346" max="14346" width="13.5703125" style="79" customWidth="1"/>
    <col min="14347" max="14347" width="20.5703125" style="79" customWidth="1"/>
    <col min="14348" max="14348" width="12.42578125" style="79" bestFit="1" customWidth="1"/>
    <col min="14349" max="14592" width="9.140625" style="79"/>
    <col min="14593" max="14593" width="23" style="79" customWidth="1"/>
    <col min="14594" max="14594" width="41.140625" style="79" customWidth="1"/>
    <col min="14595" max="14595" width="54.7109375" style="79" customWidth="1"/>
    <col min="14596" max="14596" width="17.28515625" style="79" bestFit="1" customWidth="1"/>
    <col min="14597" max="14597" width="20.140625" style="79" bestFit="1" customWidth="1"/>
    <col min="14598" max="14598" width="16.5703125" style="79" customWidth="1"/>
    <col min="14599" max="14599" width="18.7109375" style="79" bestFit="1" customWidth="1"/>
    <col min="14600" max="14600" width="17.5703125" style="79" customWidth="1"/>
    <col min="14601" max="14601" width="15.5703125" style="79" bestFit="1" customWidth="1"/>
    <col min="14602" max="14602" width="13.5703125" style="79" customWidth="1"/>
    <col min="14603" max="14603" width="20.5703125" style="79" customWidth="1"/>
    <col min="14604" max="14604" width="12.42578125" style="79" bestFit="1" customWidth="1"/>
    <col min="14605" max="14848" width="9.140625" style="79"/>
    <col min="14849" max="14849" width="23" style="79" customWidth="1"/>
    <col min="14850" max="14850" width="41.140625" style="79" customWidth="1"/>
    <col min="14851" max="14851" width="54.7109375" style="79" customWidth="1"/>
    <col min="14852" max="14852" width="17.28515625" style="79" bestFit="1" customWidth="1"/>
    <col min="14853" max="14853" width="20.140625" style="79" bestFit="1" customWidth="1"/>
    <col min="14854" max="14854" width="16.5703125" style="79" customWidth="1"/>
    <col min="14855" max="14855" width="18.7109375" style="79" bestFit="1" customWidth="1"/>
    <col min="14856" max="14856" width="17.5703125" style="79" customWidth="1"/>
    <col min="14857" max="14857" width="15.5703125" style="79" bestFit="1" customWidth="1"/>
    <col min="14858" max="14858" width="13.5703125" style="79" customWidth="1"/>
    <col min="14859" max="14859" width="20.5703125" style="79" customWidth="1"/>
    <col min="14860" max="14860" width="12.42578125" style="79" bestFit="1" customWidth="1"/>
    <col min="14861" max="15104" width="9.140625" style="79"/>
    <col min="15105" max="15105" width="23" style="79" customWidth="1"/>
    <col min="15106" max="15106" width="41.140625" style="79" customWidth="1"/>
    <col min="15107" max="15107" width="54.7109375" style="79" customWidth="1"/>
    <col min="15108" max="15108" width="17.28515625" style="79" bestFit="1" customWidth="1"/>
    <col min="15109" max="15109" width="20.140625" style="79" bestFit="1" customWidth="1"/>
    <col min="15110" max="15110" width="16.5703125" style="79" customWidth="1"/>
    <col min="15111" max="15111" width="18.7109375" style="79" bestFit="1" customWidth="1"/>
    <col min="15112" max="15112" width="17.5703125" style="79" customWidth="1"/>
    <col min="15113" max="15113" width="15.5703125" style="79" bestFit="1" customWidth="1"/>
    <col min="15114" max="15114" width="13.5703125" style="79" customWidth="1"/>
    <col min="15115" max="15115" width="20.5703125" style="79" customWidth="1"/>
    <col min="15116" max="15116" width="12.42578125" style="79" bestFit="1" customWidth="1"/>
    <col min="15117" max="15360" width="9.140625" style="79"/>
    <col min="15361" max="15361" width="23" style="79" customWidth="1"/>
    <col min="15362" max="15362" width="41.140625" style="79" customWidth="1"/>
    <col min="15363" max="15363" width="54.7109375" style="79" customWidth="1"/>
    <col min="15364" max="15364" width="17.28515625" style="79" bestFit="1" customWidth="1"/>
    <col min="15365" max="15365" width="20.140625" style="79" bestFit="1" customWidth="1"/>
    <col min="15366" max="15366" width="16.5703125" style="79" customWidth="1"/>
    <col min="15367" max="15367" width="18.7109375" style="79" bestFit="1" customWidth="1"/>
    <col min="15368" max="15368" width="17.5703125" style="79" customWidth="1"/>
    <col min="15369" max="15369" width="15.5703125" style="79" bestFit="1" customWidth="1"/>
    <col min="15370" max="15370" width="13.5703125" style="79" customWidth="1"/>
    <col min="15371" max="15371" width="20.5703125" style="79" customWidth="1"/>
    <col min="15372" max="15372" width="12.42578125" style="79" bestFit="1" customWidth="1"/>
    <col min="15373" max="15616" width="9.140625" style="79"/>
    <col min="15617" max="15617" width="23" style="79" customWidth="1"/>
    <col min="15618" max="15618" width="41.140625" style="79" customWidth="1"/>
    <col min="15619" max="15619" width="54.7109375" style="79" customWidth="1"/>
    <col min="15620" max="15620" width="17.28515625" style="79" bestFit="1" customWidth="1"/>
    <col min="15621" max="15621" width="20.140625" style="79" bestFit="1" customWidth="1"/>
    <col min="15622" max="15622" width="16.5703125" style="79" customWidth="1"/>
    <col min="15623" max="15623" width="18.7109375" style="79" bestFit="1" customWidth="1"/>
    <col min="15624" max="15624" width="17.5703125" style="79" customWidth="1"/>
    <col min="15625" max="15625" width="15.5703125" style="79" bestFit="1" customWidth="1"/>
    <col min="15626" max="15626" width="13.5703125" style="79" customWidth="1"/>
    <col min="15627" max="15627" width="20.5703125" style="79" customWidth="1"/>
    <col min="15628" max="15628" width="12.42578125" style="79" bestFit="1" customWidth="1"/>
    <col min="15629" max="15872" width="9.140625" style="79"/>
    <col min="15873" max="15873" width="23" style="79" customWidth="1"/>
    <col min="15874" max="15874" width="41.140625" style="79" customWidth="1"/>
    <col min="15875" max="15875" width="54.7109375" style="79" customWidth="1"/>
    <col min="15876" max="15876" width="17.28515625" style="79" bestFit="1" customWidth="1"/>
    <col min="15877" max="15877" width="20.140625" style="79" bestFit="1" customWidth="1"/>
    <col min="15878" max="15878" width="16.5703125" style="79" customWidth="1"/>
    <col min="15879" max="15879" width="18.7109375" style="79" bestFit="1" customWidth="1"/>
    <col min="15880" max="15880" width="17.5703125" style="79" customWidth="1"/>
    <col min="15881" max="15881" width="15.5703125" style="79" bestFit="1" customWidth="1"/>
    <col min="15882" max="15882" width="13.5703125" style="79" customWidth="1"/>
    <col min="15883" max="15883" width="20.5703125" style="79" customWidth="1"/>
    <col min="15884" max="15884" width="12.42578125" style="79" bestFit="1" customWidth="1"/>
    <col min="15885" max="16128" width="9.140625" style="79"/>
    <col min="16129" max="16129" width="23" style="79" customWidth="1"/>
    <col min="16130" max="16130" width="41.140625" style="79" customWidth="1"/>
    <col min="16131" max="16131" width="54.7109375" style="79" customWidth="1"/>
    <col min="16132" max="16132" width="17.28515625" style="79" bestFit="1" customWidth="1"/>
    <col min="16133" max="16133" width="20.140625" style="79" bestFit="1" customWidth="1"/>
    <col min="16134" max="16134" width="16.5703125" style="79" customWidth="1"/>
    <col min="16135" max="16135" width="18.7109375" style="79" bestFit="1" customWidth="1"/>
    <col min="16136" max="16136" width="17.5703125" style="79" customWidth="1"/>
    <col min="16137" max="16137" width="15.5703125" style="79" bestFit="1" customWidth="1"/>
    <col min="16138" max="16138" width="13.5703125" style="79" customWidth="1"/>
    <col min="16139" max="16139" width="20.5703125" style="79" customWidth="1"/>
    <col min="16140" max="16140" width="12.42578125" style="79" bestFit="1" customWidth="1"/>
    <col min="16141" max="16384" width="9.140625" style="79"/>
  </cols>
  <sheetData>
    <row r="1" spans="2:7" x14ac:dyDescent="0.2">
      <c r="G1" s="235" t="s">
        <v>976</v>
      </c>
    </row>
    <row r="2" spans="2:7" x14ac:dyDescent="0.2">
      <c r="B2" s="368" t="s">
        <v>1104</v>
      </c>
      <c r="C2" s="368"/>
      <c r="D2" s="368"/>
      <c r="E2" s="368"/>
      <c r="F2" s="368"/>
      <c r="G2" s="368"/>
    </row>
    <row r="3" spans="2:7" x14ac:dyDescent="0.2">
      <c r="B3" s="368" t="s">
        <v>1105</v>
      </c>
      <c r="C3" s="368"/>
      <c r="D3" s="368"/>
      <c r="E3" s="368"/>
      <c r="F3" s="368"/>
      <c r="G3" s="368"/>
    </row>
    <row r="4" spans="2:7" x14ac:dyDescent="0.2">
      <c r="B4" s="235"/>
      <c r="C4" s="235"/>
      <c r="D4" s="235"/>
      <c r="E4" s="235"/>
      <c r="F4" s="235"/>
      <c r="G4" s="235"/>
    </row>
    <row r="5" spans="2:7" x14ac:dyDescent="0.2">
      <c r="B5" s="368" t="s">
        <v>1106</v>
      </c>
      <c r="C5" s="368"/>
      <c r="D5" s="368"/>
      <c r="E5" s="368"/>
      <c r="F5" s="368"/>
      <c r="G5" s="368"/>
    </row>
    <row r="6" spans="2:7" x14ac:dyDescent="0.2">
      <c r="B6" s="235" t="s">
        <v>1107</v>
      </c>
    </row>
    <row r="8" spans="2:7" ht="25.5" x14ac:dyDescent="0.2">
      <c r="B8" s="236" t="s">
        <v>1108</v>
      </c>
      <c r="C8" s="236" t="s">
        <v>1109</v>
      </c>
      <c r="D8" s="236" t="s">
        <v>1110</v>
      </c>
      <c r="E8" s="237" t="s">
        <v>1111</v>
      </c>
      <c r="F8" s="237" t="s">
        <v>1112</v>
      </c>
      <c r="G8" s="237" t="s">
        <v>1113</v>
      </c>
    </row>
    <row r="9" spans="2:7" x14ac:dyDescent="0.2">
      <c r="B9" s="238" t="s">
        <v>1114</v>
      </c>
      <c r="C9" s="238" t="s">
        <v>1115</v>
      </c>
      <c r="D9" s="239" t="s">
        <v>1116</v>
      </c>
      <c r="E9" s="240">
        <v>881.06</v>
      </c>
      <c r="F9" s="241">
        <v>887.25</v>
      </c>
      <c r="G9" s="242">
        <v>100.03167199999999</v>
      </c>
    </row>
    <row r="10" spans="2:7" x14ac:dyDescent="0.2">
      <c r="B10" s="238" t="s">
        <v>1114</v>
      </c>
      <c r="C10" s="238" t="s">
        <v>1117</v>
      </c>
      <c r="D10" s="239" t="s">
        <v>1116</v>
      </c>
      <c r="E10" s="240">
        <v>566.59</v>
      </c>
      <c r="F10" s="241">
        <v>575.70000000000005</v>
      </c>
      <c r="G10" s="242">
        <v>57.775535999999995</v>
      </c>
    </row>
    <row r="11" spans="2:7" x14ac:dyDescent="0.2">
      <c r="B11" s="238" t="s">
        <v>1114</v>
      </c>
      <c r="C11" s="238" t="s">
        <v>1118</v>
      </c>
      <c r="D11" s="239" t="s">
        <v>1116</v>
      </c>
      <c r="E11" s="240">
        <v>3121.3</v>
      </c>
      <c r="F11" s="241">
        <v>3198.85</v>
      </c>
      <c r="G11" s="242">
        <v>39.755782500000002</v>
      </c>
    </row>
    <row r="12" spans="2:7" x14ac:dyDescent="0.2">
      <c r="B12" s="238" t="s">
        <v>1114</v>
      </c>
      <c r="C12" s="243" t="s">
        <v>1119</v>
      </c>
      <c r="D12" s="239" t="s">
        <v>1116</v>
      </c>
      <c r="E12" s="240">
        <v>466.15</v>
      </c>
      <c r="F12" s="241">
        <v>470.65</v>
      </c>
      <c r="G12" s="242">
        <v>11.5756025</v>
      </c>
    </row>
    <row r="13" spans="2:7" x14ac:dyDescent="0.2">
      <c r="B13" s="238" t="s">
        <v>1114</v>
      </c>
      <c r="C13" s="244" t="s">
        <v>1120</v>
      </c>
      <c r="D13" s="239" t="s">
        <v>1116</v>
      </c>
      <c r="E13" s="240">
        <v>872.6</v>
      </c>
      <c r="F13" s="241">
        <v>905.6</v>
      </c>
      <c r="G13" s="242">
        <v>69.313271999999998</v>
      </c>
    </row>
    <row r="14" spans="2:7" x14ac:dyDescent="0.2">
      <c r="B14" s="238" t="s">
        <v>1114</v>
      </c>
      <c r="C14" s="244" t="s">
        <v>1121</v>
      </c>
      <c r="D14" s="239" t="s">
        <v>1116</v>
      </c>
      <c r="E14" s="240">
        <v>6768.28</v>
      </c>
      <c r="F14" s="241">
        <v>6780.55</v>
      </c>
      <c r="G14" s="242">
        <v>92.824455</v>
      </c>
    </row>
    <row r="15" spans="2:7" x14ac:dyDescent="0.2">
      <c r="B15" s="238" t="s">
        <v>1114</v>
      </c>
      <c r="C15" s="244" t="s">
        <v>1122</v>
      </c>
      <c r="D15" s="239" t="s">
        <v>1116</v>
      </c>
      <c r="E15" s="240">
        <v>395.09</v>
      </c>
      <c r="F15" s="241">
        <v>405.35</v>
      </c>
      <c r="G15" s="242">
        <v>25.8844736</v>
      </c>
    </row>
    <row r="16" spans="2:7" x14ac:dyDescent="0.2">
      <c r="B16" s="238" t="s">
        <v>1114</v>
      </c>
      <c r="C16" s="244" t="s">
        <v>1123</v>
      </c>
      <c r="D16" s="239" t="s">
        <v>1116</v>
      </c>
      <c r="E16" s="240">
        <v>1610.96</v>
      </c>
      <c r="F16" s="241">
        <v>1622.1</v>
      </c>
      <c r="G16" s="242">
        <v>91.142609399999998</v>
      </c>
    </row>
    <row r="17" spans="2:7" x14ac:dyDescent="0.2">
      <c r="B17" s="238" t="s">
        <v>1114</v>
      </c>
      <c r="C17" s="244" t="s">
        <v>1124</v>
      </c>
      <c r="D17" s="239" t="s">
        <v>1116</v>
      </c>
      <c r="E17" s="240">
        <v>927.06</v>
      </c>
      <c r="F17" s="241">
        <v>958</v>
      </c>
      <c r="G17" s="242">
        <v>42.659055000000002</v>
      </c>
    </row>
    <row r="18" spans="2:7" x14ac:dyDescent="0.2">
      <c r="B18" s="238" t="s">
        <v>1114</v>
      </c>
      <c r="C18" s="244" t="s">
        <v>1125</v>
      </c>
      <c r="D18" s="239" t="s">
        <v>1116</v>
      </c>
      <c r="E18" s="240">
        <v>1953.27</v>
      </c>
      <c r="F18" s="241">
        <v>1958.3</v>
      </c>
      <c r="G18" s="242">
        <v>32.219366000000001</v>
      </c>
    </row>
    <row r="19" spans="2:7" x14ac:dyDescent="0.2">
      <c r="B19" s="238" t="s">
        <v>1114</v>
      </c>
      <c r="C19" s="244" t="s">
        <v>1126</v>
      </c>
      <c r="D19" s="239" t="s">
        <v>1116</v>
      </c>
      <c r="E19" s="240">
        <v>81.45</v>
      </c>
      <c r="F19" s="241">
        <v>87.75</v>
      </c>
      <c r="G19" s="242">
        <v>1.9749884</v>
      </c>
    </row>
    <row r="20" spans="2:7" x14ac:dyDescent="0.2">
      <c r="B20" s="238" t="s">
        <v>1114</v>
      </c>
      <c r="C20" s="244" t="s">
        <v>1127</v>
      </c>
      <c r="D20" s="239" t="s">
        <v>1116</v>
      </c>
      <c r="E20" s="240">
        <v>2043.38</v>
      </c>
      <c r="F20" s="241">
        <v>2091.6999999999998</v>
      </c>
      <c r="G20" s="242">
        <v>50.857071000000005</v>
      </c>
    </row>
    <row r="21" spans="2:7" x14ac:dyDescent="0.2">
      <c r="B21" s="238" t="s">
        <v>1114</v>
      </c>
      <c r="C21" s="244" t="s">
        <v>1128</v>
      </c>
      <c r="D21" s="239" t="s">
        <v>1116</v>
      </c>
      <c r="E21" s="240">
        <v>8905.94</v>
      </c>
      <c r="F21" s="241">
        <v>9033.2000000000007</v>
      </c>
      <c r="G21" s="242">
        <v>42.120049999999999</v>
      </c>
    </row>
    <row r="22" spans="2:7" x14ac:dyDescent="0.2">
      <c r="B22" s="238" t="s">
        <v>1114</v>
      </c>
      <c r="C22" s="244" t="s">
        <v>1129</v>
      </c>
      <c r="D22" s="239" t="s">
        <v>1116</v>
      </c>
      <c r="E22" s="240">
        <v>2859.76</v>
      </c>
      <c r="F22" s="241">
        <v>2797.25</v>
      </c>
      <c r="G22" s="242">
        <v>18.067858899999997</v>
      </c>
    </row>
    <row r="23" spans="2:7" x14ac:dyDescent="0.2">
      <c r="B23" s="238" t="s">
        <v>1114</v>
      </c>
      <c r="C23" s="244" t="s">
        <v>1130</v>
      </c>
      <c r="D23" s="239" t="s">
        <v>1116</v>
      </c>
      <c r="E23" s="240">
        <v>1008.5</v>
      </c>
      <c r="F23" s="241">
        <v>1051.8</v>
      </c>
      <c r="G23" s="242">
        <v>27.296870999999999</v>
      </c>
    </row>
    <row r="24" spans="2:7" x14ac:dyDescent="0.2">
      <c r="B24" s="238" t="s">
        <v>1114</v>
      </c>
      <c r="C24" s="244" t="s">
        <v>1131</v>
      </c>
      <c r="D24" s="239" t="s">
        <v>1116</v>
      </c>
      <c r="E24" s="240">
        <v>390.63</v>
      </c>
      <c r="F24" s="241">
        <v>409.1</v>
      </c>
      <c r="G24" s="242">
        <v>9.7069050000000008</v>
      </c>
    </row>
    <row r="25" spans="2:7" x14ac:dyDescent="0.2">
      <c r="B25" s="245" t="s">
        <v>1114</v>
      </c>
      <c r="C25" s="246" t="s">
        <v>1132</v>
      </c>
      <c r="D25" s="239" t="s">
        <v>1116</v>
      </c>
      <c r="E25" s="240">
        <v>250.37</v>
      </c>
      <c r="F25" s="247">
        <v>266.95</v>
      </c>
      <c r="G25" s="242">
        <v>142.16985</v>
      </c>
    </row>
    <row r="26" spans="2:7" x14ac:dyDescent="0.2">
      <c r="B26" s="245" t="s">
        <v>1114</v>
      </c>
      <c r="C26" s="248" t="s">
        <v>1133</v>
      </c>
      <c r="D26" s="239" t="s">
        <v>1116</v>
      </c>
      <c r="E26" s="249">
        <v>401.35</v>
      </c>
      <c r="F26" s="249">
        <v>412.15</v>
      </c>
      <c r="G26" s="242">
        <v>8.2593270000000008</v>
      </c>
    </row>
    <row r="27" spans="2:7" x14ac:dyDescent="0.2">
      <c r="B27" s="245"/>
      <c r="C27" s="250"/>
      <c r="D27" s="239"/>
      <c r="E27" s="249"/>
      <c r="F27" s="249"/>
      <c r="G27" s="242"/>
    </row>
    <row r="28" spans="2:7" x14ac:dyDescent="0.2">
      <c r="B28" s="238" t="s">
        <v>822</v>
      </c>
      <c r="C28" s="244" t="s">
        <v>1115</v>
      </c>
      <c r="D28" s="239" t="s">
        <v>1116</v>
      </c>
      <c r="E28" s="249">
        <v>885.04</v>
      </c>
      <c r="F28" s="241">
        <v>887.25</v>
      </c>
      <c r="G28" s="242">
        <v>300.09501599999999</v>
      </c>
    </row>
    <row r="29" spans="2:7" x14ac:dyDescent="0.2">
      <c r="B29" s="238" t="s">
        <v>822</v>
      </c>
      <c r="C29" s="244" t="s">
        <v>1118</v>
      </c>
      <c r="D29" s="239" t="s">
        <v>1116</v>
      </c>
      <c r="E29" s="249">
        <v>3123.96</v>
      </c>
      <c r="F29" s="241">
        <v>3198.85</v>
      </c>
      <c r="G29" s="242">
        <v>173.78956349999999</v>
      </c>
    </row>
    <row r="30" spans="2:7" x14ac:dyDescent="0.2">
      <c r="B30" s="238" t="s">
        <v>822</v>
      </c>
      <c r="C30" s="244" t="s">
        <v>1120</v>
      </c>
      <c r="D30" s="239" t="s">
        <v>1116</v>
      </c>
      <c r="E30" s="249">
        <v>877.83</v>
      </c>
      <c r="F30" s="241">
        <v>905.6</v>
      </c>
      <c r="G30" s="242">
        <v>64.841448000000014</v>
      </c>
    </row>
    <row r="31" spans="2:7" x14ac:dyDescent="0.2">
      <c r="B31" s="238" t="s">
        <v>822</v>
      </c>
      <c r="C31" s="244" t="s">
        <v>1121</v>
      </c>
      <c r="D31" s="239" t="s">
        <v>1116</v>
      </c>
      <c r="E31" s="249">
        <v>6776.27</v>
      </c>
      <c r="F31" s="241">
        <v>6780.55</v>
      </c>
      <c r="G31" s="242">
        <v>181.93593179999999</v>
      </c>
    </row>
    <row r="32" spans="2:7" x14ac:dyDescent="0.2">
      <c r="B32" s="238" t="s">
        <v>822</v>
      </c>
      <c r="C32" s="244" t="s">
        <v>1122</v>
      </c>
      <c r="D32" s="239" t="s">
        <v>1116</v>
      </c>
      <c r="E32" s="249">
        <v>391.88</v>
      </c>
      <c r="F32" s="241">
        <v>405.35</v>
      </c>
      <c r="G32" s="242">
        <v>76.035641199999986</v>
      </c>
    </row>
    <row r="33" spans="2:8" x14ac:dyDescent="0.2">
      <c r="B33" s="238" t="s">
        <v>822</v>
      </c>
      <c r="C33" s="244" t="s">
        <v>1134</v>
      </c>
      <c r="D33" s="239" t="s">
        <v>1116</v>
      </c>
      <c r="E33" s="249">
        <v>183.69</v>
      </c>
      <c r="F33" s="241">
        <v>190.3</v>
      </c>
      <c r="G33" s="242">
        <v>43.366931999999998</v>
      </c>
    </row>
    <row r="34" spans="2:8" x14ac:dyDescent="0.2">
      <c r="B34" s="238" t="s">
        <v>822</v>
      </c>
      <c r="C34" s="244" t="s">
        <v>1135</v>
      </c>
      <c r="D34" s="239" t="s">
        <v>1116</v>
      </c>
      <c r="E34" s="249">
        <v>2648.42</v>
      </c>
      <c r="F34" s="241">
        <v>2706.6</v>
      </c>
      <c r="G34" s="242">
        <v>328.46921099999997</v>
      </c>
    </row>
    <row r="35" spans="2:8" x14ac:dyDescent="0.2">
      <c r="B35" s="238" t="s">
        <v>822</v>
      </c>
      <c r="C35" s="244" t="s">
        <v>1123</v>
      </c>
      <c r="D35" s="239" t="s">
        <v>1116</v>
      </c>
      <c r="E35" s="249">
        <v>1610.19</v>
      </c>
      <c r="F35" s="241">
        <v>1622.1</v>
      </c>
      <c r="G35" s="242">
        <v>763.71220979999987</v>
      </c>
    </row>
    <row r="36" spans="2:8" x14ac:dyDescent="0.2">
      <c r="B36" s="238" t="s">
        <v>822</v>
      </c>
      <c r="C36" s="244" t="s">
        <v>1136</v>
      </c>
      <c r="D36" s="239" t="s">
        <v>1116</v>
      </c>
      <c r="E36" s="249">
        <v>545.09</v>
      </c>
      <c r="F36" s="241">
        <v>593.25</v>
      </c>
      <c r="G36" s="242">
        <v>141.6777921</v>
      </c>
    </row>
    <row r="37" spans="2:8" x14ac:dyDescent="0.2">
      <c r="B37" s="238" t="s">
        <v>822</v>
      </c>
      <c r="C37" s="244" t="s">
        <v>1137</v>
      </c>
      <c r="D37" s="239" t="s">
        <v>1116</v>
      </c>
      <c r="E37" s="249">
        <v>436.05</v>
      </c>
      <c r="F37" s="241">
        <v>453.2</v>
      </c>
      <c r="G37" s="242">
        <v>462.66663899999998</v>
      </c>
    </row>
    <row r="38" spans="2:8" x14ac:dyDescent="0.2">
      <c r="B38" s="238" t="s">
        <v>822</v>
      </c>
      <c r="C38" s="244" t="s">
        <v>1138</v>
      </c>
      <c r="D38" s="239" t="s">
        <v>1116</v>
      </c>
      <c r="E38" s="249">
        <v>2527.09</v>
      </c>
      <c r="F38" s="241">
        <v>2697.85</v>
      </c>
      <c r="G38" s="242">
        <v>81.480605099999991</v>
      </c>
    </row>
    <row r="39" spans="2:8" x14ac:dyDescent="0.2">
      <c r="B39" s="238" t="s">
        <v>822</v>
      </c>
      <c r="C39" s="244" t="s">
        <v>1139</v>
      </c>
      <c r="D39" s="239" t="s">
        <v>1116</v>
      </c>
      <c r="E39" s="249">
        <v>123.03</v>
      </c>
      <c r="F39" s="241">
        <v>143.44999999999999</v>
      </c>
      <c r="G39" s="242">
        <v>191.66888</v>
      </c>
      <c r="H39" s="251"/>
    </row>
    <row r="40" spans="2:8" ht="18" customHeight="1" x14ac:dyDescent="0.2">
      <c r="B40" s="238" t="s">
        <v>822</v>
      </c>
      <c r="C40" s="244" t="s">
        <v>1124</v>
      </c>
      <c r="D40" s="239" t="s">
        <v>1116</v>
      </c>
      <c r="E40" s="249">
        <v>932.17</v>
      </c>
      <c r="F40" s="241">
        <v>958</v>
      </c>
      <c r="G40" s="242">
        <v>236.99475000000001</v>
      </c>
      <c r="H40" s="251"/>
    </row>
    <row r="41" spans="2:8" x14ac:dyDescent="0.2">
      <c r="B41" s="238" t="s">
        <v>822</v>
      </c>
      <c r="C41" s="244" t="s">
        <v>1140</v>
      </c>
      <c r="D41" s="239" t="s">
        <v>1116</v>
      </c>
      <c r="E41" s="249">
        <v>1588.92</v>
      </c>
      <c r="F41" s="241">
        <v>1645.9</v>
      </c>
      <c r="G41" s="242">
        <v>629.42900399999996</v>
      </c>
      <c r="H41" s="251"/>
    </row>
    <row r="42" spans="2:8" x14ac:dyDescent="0.2">
      <c r="B42" s="238" t="s">
        <v>822</v>
      </c>
      <c r="C42" s="244" t="s">
        <v>1141</v>
      </c>
      <c r="D42" s="239" t="s">
        <v>1116</v>
      </c>
      <c r="E42" s="249">
        <v>523.85</v>
      </c>
      <c r="F42" s="241">
        <v>538.95000000000005</v>
      </c>
      <c r="G42" s="242">
        <v>47.538514999999997</v>
      </c>
      <c r="H42" s="251"/>
    </row>
    <row r="43" spans="2:8" x14ac:dyDescent="0.2">
      <c r="B43" s="238" t="s">
        <v>822</v>
      </c>
      <c r="C43" s="244" t="s">
        <v>1142</v>
      </c>
      <c r="D43" s="239" t="s">
        <v>1116</v>
      </c>
      <c r="E43" s="249">
        <v>883.61</v>
      </c>
      <c r="F43" s="241">
        <v>937.9</v>
      </c>
      <c r="G43" s="242">
        <v>128.24411599999999</v>
      </c>
      <c r="H43" s="251"/>
    </row>
    <row r="44" spans="2:8" x14ac:dyDescent="0.2">
      <c r="B44" s="238" t="s">
        <v>822</v>
      </c>
      <c r="C44" s="244" t="s">
        <v>1143</v>
      </c>
      <c r="D44" s="239" t="s">
        <v>1116</v>
      </c>
      <c r="E44" s="249">
        <v>4315.8599999999997</v>
      </c>
      <c r="F44" s="241">
        <v>4370.3</v>
      </c>
      <c r="G44" s="242">
        <v>220.37210999999999</v>
      </c>
      <c r="H44" s="251"/>
    </row>
    <row r="45" spans="2:8" x14ac:dyDescent="0.2">
      <c r="B45" s="238" t="s">
        <v>822</v>
      </c>
      <c r="C45" s="244" t="s">
        <v>1144</v>
      </c>
      <c r="D45" s="239" t="s">
        <v>1116</v>
      </c>
      <c r="E45" s="249">
        <v>18457.439999999999</v>
      </c>
      <c r="F45" s="241">
        <v>18874.5</v>
      </c>
      <c r="G45" s="242">
        <v>851.9</v>
      </c>
      <c r="H45" s="251"/>
    </row>
    <row r="46" spans="2:8" x14ac:dyDescent="0.2">
      <c r="B46" s="238" t="s">
        <v>822</v>
      </c>
      <c r="C46" s="244" t="s">
        <v>1130</v>
      </c>
      <c r="D46" s="239" t="s">
        <v>1116</v>
      </c>
      <c r="E46" s="249">
        <v>1016.37</v>
      </c>
      <c r="F46" s="241">
        <v>1051.8</v>
      </c>
      <c r="G46" s="242">
        <v>38.995530000000002</v>
      </c>
      <c r="H46" s="251"/>
    </row>
    <row r="47" spans="2:8" x14ac:dyDescent="0.2">
      <c r="B47" s="238" t="s">
        <v>822</v>
      </c>
      <c r="C47" s="244" t="s">
        <v>1145</v>
      </c>
      <c r="D47" s="239" t="s">
        <v>1116</v>
      </c>
      <c r="E47" s="249">
        <v>426.55</v>
      </c>
      <c r="F47" s="241">
        <v>443.05</v>
      </c>
      <c r="G47" s="242">
        <v>64.077647999999996</v>
      </c>
      <c r="H47" s="251"/>
    </row>
    <row r="48" spans="2:8" x14ac:dyDescent="0.2">
      <c r="B48" s="238" t="s">
        <v>822</v>
      </c>
      <c r="C48" s="244" t="s">
        <v>1146</v>
      </c>
      <c r="D48" s="239" t="s">
        <v>1116</v>
      </c>
      <c r="E48" s="249">
        <v>222.01</v>
      </c>
      <c r="F48" s="241">
        <v>226.25</v>
      </c>
      <c r="G48" s="242">
        <v>26.019949199999999</v>
      </c>
      <c r="H48" s="251"/>
    </row>
    <row r="49" spans="2:8" x14ac:dyDescent="0.2">
      <c r="B49" s="238" t="s">
        <v>822</v>
      </c>
      <c r="C49" s="244" t="s">
        <v>1147</v>
      </c>
      <c r="D49" s="239" t="s">
        <v>1116</v>
      </c>
      <c r="E49" s="249">
        <v>6870.57</v>
      </c>
      <c r="F49" s="241">
        <v>7135.55</v>
      </c>
      <c r="G49" s="242">
        <v>90.124865299999996</v>
      </c>
      <c r="H49" s="251"/>
    </row>
    <row r="50" spans="2:8" x14ac:dyDescent="0.2">
      <c r="B50" s="238" t="s">
        <v>822</v>
      </c>
      <c r="C50" s="244" t="s">
        <v>1148</v>
      </c>
      <c r="D50" s="239" t="s">
        <v>1116</v>
      </c>
      <c r="E50" s="249">
        <v>311.35000000000002</v>
      </c>
      <c r="F50" s="241">
        <v>306.89999999999998</v>
      </c>
      <c r="G50" s="242">
        <v>29.360612599999996</v>
      </c>
      <c r="H50" s="251"/>
    </row>
    <row r="51" spans="2:8" x14ac:dyDescent="0.2">
      <c r="B51" s="238" t="s">
        <v>822</v>
      </c>
      <c r="C51" s="244" t="s">
        <v>1132</v>
      </c>
      <c r="D51" s="239" t="s">
        <v>1116</v>
      </c>
      <c r="E51" s="249">
        <v>251.94</v>
      </c>
      <c r="F51" s="241">
        <v>266.95</v>
      </c>
      <c r="G51" s="242">
        <v>113.73587999999999</v>
      </c>
      <c r="H51" s="251"/>
    </row>
    <row r="52" spans="2:8" x14ac:dyDescent="0.2">
      <c r="B52" s="238"/>
      <c r="C52" s="244"/>
      <c r="D52" s="239"/>
      <c r="E52" s="249"/>
      <c r="F52" s="241"/>
      <c r="G52" s="242"/>
      <c r="H52" s="251"/>
    </row>
    <row r="53" spans="2:8" x14ac:dyDescent="0.2">
      <c r="B53" s="238" t="s">
        <v>583</v>
      </c>
      <c r="C53" s="4" t="s">
        <v>1117</v>
      </c>
      <c r="D53" s="239" t="s">
        <v>1116</v>
      </c>
      <c r="E53" s="249">
        <v>571.5</v>
      </c>
      <c r="F53" s="241">
        <v>575.70000000000005</v>
      </c>
      <c r="G53" s="252">
        <v>18.054855</v>
      </c>
      <c r="H53" s="253"/>
    </row>
    <row r="54" spans="2:8" x14ac:dyDescent="0.2">
      <c r="B54" s="238" t="s">
        <v>583</v>
      </c>
      <c r="C54" s="4" t="s">
        <v>1149</v>
      </c>
      <c r="D54" s="239" t="s">
        <v>1116</v>
      </c>
      <c r="E54" s="249">
        <v>144.19999999999999</v>
      </c>
      <c r="F54" s="241">
        <v>150.15</v>
      </c>
      <c r="G54" s="252">
        <v>76.439549999999997</v>
      </c>
      <c r="H54" s="253"/>
    </row>
    <row r="55" spans="2:8" x14ac:dyDescent="0.2">
      <c r="B55" s="238" t="s">
        <v>583</v>
      </c>
      <c r="C55" s="4" t="s">
        <v>1118</v>
      </c>
      <c r="D55" s="239" t="s">
        <v>1116</v>
      </c>
      <c r="E55" s="249">
        <v>3134.25</v>
      </c>
      <c r="F55" s="241">
        <v>3198.85</v>
      </c>
      <c r="G55" s="252">
        <v>37.484023499999999</v>
      </c>
      <c r="H55" s="253"/>
    </row>
    <row r="56" spans="2:8" x14ac:dyDescent="0.2">
      <c r="B56" s="238" t="s">
        <v>583</v>
      </c>
      <c r="C56" s="4" t="s">
        <v>1120</v>
      </c>
      <c r="D56" s="239" t="s">
        <v>1116</v>
      </c>
      <c r="E56" s="249">
        <v>874.59</v>
      </c>
      <c r="F56" s="241">
        <v>905.6</v>
      </c>
      <c r="G56" s="252">
        <v>64.841448000000014</v>
      </c>
      <c r="H56" s="253"/>
    </row>
    <row r="57" spans="2:8" x14ac:dyDescent="0.2">
      <c r="B57" s="238" t="s">
        <v>583</v>
      </c>
      <c r="C57" s="4" t="s">
        <v>1121</v>
      </c>
      <c r="D57" s="239" t="s">
        <v>1116</v>
      </c>
      <c r="E57" s="249">
        <v>6740.56</v>
      </c>
      <c r="F57" s="241">
        <v>6780.55</v>
      </c>
      <c r="G57" s="242">
        <v>194.9313555</v>
      </c>
    </row>
    <row r="58" spans="2:8" x14ac:dyDescent="0.2">
      <c r="B58" s="238" t="s">
        <v>583</v>
      </c>
      <c r="C58" s="4" t="s">
        <v>1150</v>
      </c>
      <c r="D58" s="239" t="s">
        <v>1116</v>
      </c>
      <c r="E58" s="249">
        <v>163.9</v>
      </c>
      <c r="F58" s="241">
        <v>167.6</v>
      </c>
      <c r="G58" s="242">
        <v>54.679482</v>
      </c>
    </row>
    <row r="59" spans="2:8" x14ac:dyDescent="0.2">
      <c r="B59" s="238" t="s">
        <v>583</v>
      </c>
      <c r="C59" s="4" t="s">
        <v>1151</v>
      </c>
      <c r="D59" s="239" t="s">
        <v>1116</v>
      </c>
      <c r="E59" s="249">
        <v>3314.19</v>
      </c>
      <c r="F59" s="241">
        <v>3416.8</v>
      </c>
      <c r="G59" s="242">
        <v>10.989462</v>
      </c>
    </row>
    <row r="60" spans="2:8" x14ac:dyDescent="0.2">
      <c r="B60" s="238" t="s">
        <v>583</v>
      </c>
      <c r="C60" s="4" t="s">
        <v>1135</v>
      </c>
      <c r="D60" s="239" t="s">
        <v>1116</v>
      </c>
      <c r="E60" s="249">
        <v>2652.67</v>
      </c>
      <c r="F60" s="241">
        <v>2706.6</v>
      </c>
      <c r="G60" s="242">
        <v>71.143101000000001</v>
      </c>
    </row>
    <row r="61" spans="2:8" x14ac:dyDescent="0.2">
      <c r="B61" s="238" t="s">
        <v>583</v>
      </c>
      <c r="C61" s="4" t="s">
        <v>1123</v>
      </c>
      <c r="D61" s="239" t="s">
        <v>1116</v>
      </c>
      <c r="E61" s="249">
        <v>1608.73</v>
      </c>
      <c r="F61" s="241">
        <v>1622.1</v>
      </c>
      <c r="G61" s="242">
        <v>446.28450119999997</v>
      </c>
    </row>
    <row r="62" spans="2:8" x14ac:dyDescent="0.2">
      <c r="B62" s="238" t="s">
        <v>583</v>
      </c>
      <c r="C62" s="4" t="s">
        <v>1136</v>
      </c>
      <c r="D62" s="239" t="s">
        <v>1116</v>
      </c>
      <c r="E62" s="249">
        <v>537.42999999999995</v>
      </c>
      <c r="F62" s="241">
        <v>593.25</v>
      </c>
      <c r="G62" s="242">
        <v>29.0621112</v>
      </c>
    </row>
    <row r="63" spans="2:8" x14ac:dyDescent="0.2">
      <c r="B63" s="238" t="s">
        <v>583</v>
      </c>
      <c r="C63" s="4" t="s">
        <v>1138</v>
      </c>
      <c r="D63" s="239" t="s">
        <v>1116</v>
      </c>
      <c r="E63" s="249">
        <v>2529.96</v>
      </c>
      <c r="F63" s="241">
        <v>2697.85</v>
      </c>
      <c r="G63" s="242">
        <v>202.9867706</v>
      </c>
    </row>
    <row r="64" spans="2:8" x14ac:dyDescent="0.2">
      <c r="B64" s="238" t="s">
        <v>583</v>
      </c>
      <c r="C64" s="4" t="s">
        <v>1152</v>
      </c>
      <c r="D64" s="239" t="s">
        <v>1116</v>
      </c>
      <c r="E64" s="249">
        <v>217.31</v>
      </c>
      <c r="F64" s="241">
        <v>240.95</v>
      </c>
      <c r="G64" s="242">
        <v>5.6552312000000002</v>
      </c>
    </row>
    <row r="65" spans="2:7" x14ac:dyDescent="0.2">
      <c r="B65" s="238" t="s">
        <v>583</v>
      </c>
      <c r="C65" s="4" t="s">
        <v>1124</v>
      </c>
      <c r="D65" s="239" t="s">
        <v>1116</v>
      </c>
      <c r="E65" s="249">
        <v>929.41</v>
      </c>
      <c r="F65" s="241">
        <v>958</v>
      </c>
      <c r="G65" s="242">
        <v>338.90249249999999</v>
      </c>
    </row>
    <row r="66" spans="2:7" x14ac:dyDescent="0.2">
      <c r="B66" s="238" t="s">
        <v>583</v>
      </c>
      <c r="C66" s="4" t="s">
        <v>1140</v>
      </c>
      <c r="D66" s="239" t="s">
        <v>1116</v>
      </c>
      <c r="E66" s="249">
        <v>1583.61</v>
      </c>
      <c r="F66" s="241">
        <v>1645.9</v>
      </c>
      <c r="G66" s="242">
        <v>191.83440149999998</v>
      </c>
    </row>
    <row r="67" spans="2:7" x14ac:dyDescent="0.2">
      <c r="B67" s="238" t="s">
        <v>583</v>
      </c>
      <c r="C67" s="4" t="s">
        <v>1153</v>
      </c>
      <c r="D67" s="239" t="s">
        <v>1116</v>
      </c>
      <c r="E67" s="249">
        <v>1238.98</v>
      </c>
      <c r="F67" s="241">
        <v>1311.4</v>
      </c>
      <c r="G67" s="242">
        <v>21.466115999999996</v>
      </c>
    </row>
    <row r="68" spans="2:7" x14ac:dyDescent="0.2">
      <c r="B68" s="238" t="s">
        <v>583</v>
      </c>
      <c r="C68" s="4" t="s">
        <v>1142</v>
      </c>
      <c r="D68" s="239" t="s">
        <v>1116</v>
      </c>
      <c r="E68" s="249">
        <v>880.22</v>
      </c>
      <c r="F68" s="241">
        <v>937.9</v>
      </c>
      <c r="G68" s="242">
        <v>74.614758399999999</v>
      </c>
    </row>
    <row r="69" spans="2:7" x14ac:dyDescent="0.2">
      <c r="B69" s="238" t="s">
        <v>583</v>
      </c>
      <c r="C69" s="4" t="s">
        <v>1154</v>
      </c>
      <c r="D69" s="239" t="s">
        <v>1116</v>
      </c>
      <c r="E69" s="249">
        <v>602.25</v>
      </c>
      <c r="F69" s="241">
        <v>605.04999999999995</v>
      </c>
      <c r="G69" s="242">
        <v>42.718782500000003</v>
      </c>
    </row>
    <row r="70" spans="2:7" x14ac:dyDescent="0.2">
      <c r="B70" s="238" t="s">
        <v>583</v>
      </c>
      <c r="C70" s="4" t="s">
        <v>1155</v>
      </c>
      <c r="D70" s="239" t="s">
        <v>1116</v>
      </c>
      <c r="E70" s="249">
        <v>775.85</v>
      </c>
      <c r="F70" s="241">
        <v>822.05</v>
      </c>
      <c r="G70" s="242">
        <v>32.480299199999997</v>
      </c>
    </row>
    <row r="71" spans="2:7" x14ac:dyDescent="0.2">
      <c r="B71" s="238" t="s">
        <v>583</v>
      </c>
      <c r="C71" s="4" t="s">
        <v>1156</v>
      </c>
      <c r="D71" s="239" t="s">
        <v>1116</v>
      </c>
      <c r="E71" s="249">
        <v>106.08</v>
      </c>
      <c r="F71" s="241">
        <v>108.5</v>
      </c>
      <c r="G71" s="242">
        <v>105.73813720000001</v>
      </c>
    </row>
    <row r="72" spans="2:7" x14ac:dyDescent="0.2">
      <c r="B72" s="238" t="s">
        <v>583</v>
      </c>
      <c r="C72" s="4" t="s">
        <v>1157</v>
      </c>
      <c r="D72" s="239" t="s">
        <v>1116</v>
      </c>
      <c r="E72" s="249">
        <v>3313.77</v>
      </c>
      <c r="F72" s="241">
        <v>3417.3</v>
      </c>
      <c r="G72" s="242">
        <v>47.8769299</v>
      </c>
    </row>
    <row r="73" spans="2:7" x14ac:dyDescent="0.2">
      <c r="B73" s="238" t="s">
        <v>583</v>
      </c>
      <c r="C73" s="4" t="s">
        <v>1158</v>
      </c>
      <c r="D73" s="239" t="s">
        <v>1116</v>
      </c>
      <c r="E73" s="249">
        <v>1055.68</v>
      </c>
      <c r="F73" s="241">
        <v>1085.8</v>
      </c>
      <c r="G73" s="242">
        <v>283.46299800000003</v>
      </c>
    </row>
    <row r="74" spans="2:7" x14ac:dyDescent="0.2">
      <c r="B74" s="238" t="s">
        <v>583</v>
      </c>
      <c r="C74" s="4" t="s">
        <v>1159</v>
      </c>
      <c r="D74" s="239" t="s">
        <v>1116</v>
      </c>
      <c r="E74" s="249">
        <v>2580.5100000000002</v>
      </c>
      <c r="F74" s="241">
        <v>2667.55</v>
      </c>
      <c r="G74" s="242">
        <v>36.1540721</v>
      </c>
    </row>
    <row r="75" spans="2:7" x14ac:dyDescent="0.2">
      <c r="B75" s="238" t="s">
        <v>583</v>
      </c>
      <c r="C75" s="4" t="s">
        <v>1148</v>
      </c>
      <c r="D75" s="239" t="s">
        <v>1116</v>
      </c>
      <c r="E75" s="249">
        <v>313.06</v>
      </c>
      <c r="F75" s="241">
        <v>306.89999999999998</v>
      </c>
      <c r="G75" s="242">
        <v>81.40897129999999</v>
      </c>
    </row>
    <row r="76" spans="2:7" x14ac:dyDescent="0.2">
      <c r="B76" s="238"/>
      <c r="C76" s="4"/>
      <c r="D76" s="239"/>
      <c r="E76" s="249"/>
      <c r="F76" s="241"/>
      <c r="G76" s="242"/>
    </row>
    <row r="77" spans="2:7" x14ac:dyDescent="0.2">
      <c r="B77" s="238"/>
      <c r="C77" s="254"/>
      <c r="D77" s="239"/>
      <c r="E77" s="255"/>
      <c r="F77" s="256"/>
      <c r="G77" s="242"/>
    </row>
    <row r="78" spans="2:7" hidden="1" x14ac:dyDescent="0.2">
      <c r="B78" s="238"/>
      <c r="C78" s="257"/>
      <c r="D78" s="239"/>
      <c r="E78" s="256"/>
      <c r="F78" s="256"/>
      <c r="G78" s="242"/>
    </row>
    <row r="80" spans="2:7" x14ac:dyDescent="0.2">
      <c r="B80" s="235" t="s">
        <v>1160</v>
      </c>
      <c r="E80" s="258"/>
      <c r="F80" s="258"/>
      <c r="G80" s="258"/>
    </row>
    <row r="82" spans="2:12" x14ac:dyDescent="0.2">
      <c r="B82" s="259" t="s">
        <v>1108</v>
      </c>
      <c r="C82" s="259" t="s">
        <v>1161</v>
      </c>
    </row>
    <row r="83" spans="2:12" x14ac:dyDescent="0.2">
      <c r="B83" s="238" t="s">
        <v>1114</v>
      </c>
      <c r="C83" s="260">
        <v>0.69620000000000004</v>
      </c>
    </row>
    <row r="84" spans="2:12" x14ac:dyDescent="0.2">
      <c r="B84" s="238" t="s">
        <v>822</v>
      </c>
      <c r="C84" s="261">
        <v>0.18090000000000001</v>
      </c>
    </row>
    <row r="85" spans="2:12" x14ac:dyDescent="0.2">
      <c r="B85" s="262" t="s">
        <v>583</v>
      </c>
      <c r="C85" s="261">
        <v>0.30520000000000003</v>
      </c>
    </row>
    <row r="87" spans="2:12" x14ac:dyDescent="0.2">
      <c r="B87" s="235" t="s">
        <v>1162</v>
      </c>
    </row>
    <row r="88" spans="2:12" x14ac:dyDescent="0.2">
      <c r="B88" s="235"/>
    </row>
    <row r="89" spans="2:12" ht="63.75" x14ac:dyDescent="0.2">
      <c r="B89" s="236" t="s">
        <v>1108</v>
      </c>
      <c r="C89" s="237" t="s">
        <v>1163</v>
      </c>
      <c r="D89" s="237" t="s">
        <v>1164</v>
      </c>
      <c r="E89" s="237" t="s">
        <v>1165</v>
      </c>
      <c r="F89" s="237" t="s">
        <v>1166</v>
      </c>
      <c r="G89" s="237" t="s">
        <v>1167</v>
      </c>
    </row>
    <row r="90" spans="2:12" ht="15" customHeight="1" x14ac:dyDescent="0.2">
      <c r="B90" s="238" t="s">
        <v>1114</v>
      </c>
      <c r="C90" s="263">
        <v>4775</v>
      </c>
      <c r="D90" s="263">
        <v>4703</v>
      </c>
      <c r="E90" s="252">
        <v>35002.638899999998</v>
      </c>
      <c r="F90" s="252">
        <v>34657.141199999998</v>
      </c>
      <c r="G90" s="264">
        <v>-345.4976999999999</v>
      </c>
      <c r="H90" s="265"/>
      <c r="I90" s="266"/>
      <c r="J90" s="267"/>
      <c r="K90" s="267"/>
      <c r="L90" s="267"/>
    </row>
    <row r="91" spans="2:12" ht="15" customHeight="1" x14ac:dyDescent="0.2">
      <c r="B91" s="262" t="s">
        <v>174</v>
      </c>
      <c r="C91" s="263">
        <v>700</v>
      </c>
      <c r="D91" s="263">
        <v>700</v>
      </c>
      <c r="E91" s="252">
        <v>5198.2</v>
      </c>
      <c r="F91" s="252">
        <v>5030.8599999999997</v>
      </c>
      <c r="G91" s="264">
        <v>-167.34000000000015</v>
      </c>
      <c r="H91" s="265"/>
      <c r="I91" s="266"/>
      <c r="J91" s="267"/>
      <c r="K91" s="267"/>
      <c r="L91" s="267"/>
    </row>
    <row r="92" spans="2:12" ht="15" customHeight="1" x14ac:dyDescent="0.2">
      <c r="B92" s="238" t="s">
        <v>822</v>
      </c>
      <c r="C92" s="268">
        <v>33330</v>
      </c>
      <c r="D92" s="268">
        <v>32995</v>
      </c>
      <c r="E92" s="269">
        <v>217512.11913000001</v>
      </c>
      <c r="F92" s="269">
        <v>217233.74406</v>
      </c>
      <c r="G92" s="264">
        <v>-278.37507000000915</v>
      </c>
      <c r="H92" s="265"/>
      <c r="I92" s="266"/>
      <c r="J92" s="267"/>
      <c r="K92" s="267"/>
      <c r="L92" s="267"/>
    </row>
    <row r="93" spans="2:12" ht="15" customHeight="1" x14ac:dyDescent="0.2">
      <c r="B93" s="262" t="s">
        <v>583</v>
      </c>
      <c r="C93" s="263">
        <v>13351</v>
      </c>
      <c r="D93" s="263">
        <v>13295</v>
      </c>
      <c r="E93" s="252">
        <v>91853.4375</v>
      </c>
      <c r="F93" s="252">
        <v>91337.887350000005</v>
      </c>
      <c r="G93" s="264">
        <v>-515.55014999999548</v>
      </c>
      <c r="H93" s="265"/>
      <c r="I93" s="266"/>
      <c r="J93" s="267"/>
      <c r="K93" s="267"/>
      <c r="L93" s="267"/>
    </row>
    <row r="94" spans="2:12" x14ac:dyDescent="0.2">
      <c r="B94" s="270" t="s">
        <v>736</v>
      </c>
      <c r="C94" s="263">
        <v>500</v>
      </c>
      <c r="D94" s="263">
        <v>500</v>
      </c>
      <c r="E94" s="252">
        <v>2417.11</v>
      </c>
      <c r="F94" s="252">
        <v>2635.38</v>
      </c>
      <c r="G94" s="264">
        <v>218.26999999999998</v>
      </c>
      <c r="H94" s="265"/>
      <c r="I94" s="266"/>
      <c r="J94" s="267"/>
      <c r="K94" s="267"/>
      <c r="L94" s="267"/>
    </row>
    <row r="95" spans="2:12" x14ac:dyDescent="0.2">
      <c r="B95" s="238" t="s">
        <v>742</v>
      </c>
      <c r="C95" s="268">
        <v>435</v>
      </c>
      <c r="D95" s="268">
        <v>435</v>
      </c>
      <c r="E95" s="271">
        <v>2210.1902</v>
      </c>
      <c r="F95" s="269">
        <v>2206.4429</v>
      </c>
      <c r="G95" s="264">
        <v>-3.7472999999999956</v>
      </c>
      <c r="H95" s="265"/>
      <c r="I95" s="266"/>
      <c r="J95" s="267"/>
      <c r="K95" s="267"/>
      <c r="L95" s="267"/>
    </row>
    <row r="96" spans="2:12" x14ac:dyDescent="0.2">
      <c r="B96" s="238" t="s">
        <v>726</v>
      </c>
      <c r="C96" s="268">
        <v>321</v>
      </c>
      <c r="D96" s="268">
        <v>321</v>
      </c>
      <c r="E96" s="271">
        <v>2597.4908999999998</v>
      </c>
      <c r="F96" s="269">
        <v>2506.5057519500001</v>
      </c>
      <c r="G96" s="264">
        <v>-90.98514804999968</v>
      </c>
      <c r="H96" s="265"/>
      <c r="I96" s="266"/>
      <c r="J96" s="267"/>
      <c r="K96" s="267"/>
      <c r="L96" s="267"/>
    </row>
    <row r="97" spans="2:12" x14ac:dyDescent="0.2">
      <c r="B97" s="262" t="s">
        <v>740</v>
      </c>
      <c r="C97" s="268">
        <v>377</v>
      </c>
      <c r="D97" s="268">
        <v>377</v>
      </c>
      <c r="E97" s="269">
        <v>3022.7006000000001</v>
      </c>
      <c r="F97" s="269">
        <v>2869.0003924500002</v>
      </c>
      <c r="G97" s="272">
        <v>-153.70020754999996</v>
      </c>
      <c r="H97" s="265"/>
      <c r="I97" s="266"/>
      <c r="J97" s="267"/>
    </row>
    <row r="98" spans="2:12" x14ac:dyDescent="0.2">
      <c r="H98" s="265"/>
      <c r="I98" s="266"/>
      <c r="J98" s="267"/>
    </row>
    <row r="99" spans="2:12" ht="15" customHeight="1" x14ac:dyDescent="0.2">
      <c r="E99" s="267"/>
      <c r="F99" s="267"/>
      <c r="H99" s="265"/>
      <c r="I99" s="266"/>
      <c r="J99" s="267"/>
    </row>
    <row r="100" spans="2:12" x14ac:dyDescent="0.2">
      <c r="B100" s="235" t="s">
        <v>1168</v>
      </c>
      <c r="F100" s="267"/>
      <c r="G100" s="266"/>
      <c r="H100" s="265"/>
      <c r="I100" s="266"/>
      <c r="L100" s="265"/>
    </row>
    <row r="101" spans="2:12" x14ac:dyDescent="0.2">
      <c r="H101" s="273"/>
      <c r="L101" s="266"/>
    </row>
    <row r="102" spans="2:12" ht="25.5" x14ac:dyDescent="0.2">
      <c r="B102" s="236" t="s">
        <v>1108</v>
      </c>
      <c r="C102" s="236" t="s">
        <v>1109</v>
      </c>
      <c r="D102" s="236" t="s">
        <v>1110</v>
      </c>
      <c r="E102" s="237" t="s">
        <v>1111</v>
      </c>
      <c r="F102" s="237" t="s">
        <v>1112</v>
      </c>
      <c r="G102" s="237" t="s">
        <v>1169</v>
      </c>
    </row>
    <row r="103" spans="2:12" x14ac:dyDescent="0.2">
      <c r="B103" s="238" t="s">
        <v>742</v>
      </c>
      <c r="C103" s="238" t="s">
        <v>900</v>
      </c>
      <c r="D103" s="239" t="s">
        <v>1170</v>
      </c>
      <c r="E103" s="256">
        <v>1283.52</v>
      </c>
      <c r="F103" s="249">
        <v>1282</v>
      </c>
      <c r="G103" s="242">
        <v>324.76799999999997</v>
      </c>
    </row>
    <row r="104" spans="2:12" x14ac:dyDescent="0.2">
      <c r="B104" s="238" t="s">
        <v>822</v>
      </c>
      <c r="C104" s="262" t="s">
        <v>900</v>
      </c>
      <c r="D104" s="239" t="s">
        <v>1170</v>
      </c>
      <c r="E104" s="274">
        <v>1284.77</v>
      </c>
      <c r="F104" s="249">
        <v>1282</v>
      </c>
      <c r="G104" s="274">
        <v>202.98</v>
      </c>
      <c r="I104" s="266"/>
    </row>
    <row r="105" spans="2:12" x14ac:dyDescent="0.2">
      <c r="C105" s="275"/>
      <c r="D105" s="276"/>
      <c r="E105" s="277"/>
      <c r="F105" s="278"/>
      <c r="G105" s="278"/>
      <c r="I105" s="266"/>
    </row>
    <row r="106" spans="2:12" x14ac:dyDescent="0.2">
      <c r="B106" s="235" t="s">
        <v>1171</v>
      </c>
      <c r="I106" s="266"/>
    </row>
    <row r="107" spans="2:12" x14ac:dyDescent="0.2">
      <c r="I107" s="266"/>
      <c r="L107" s="267"/>
    </row>
    <row r="108" spans="2:12" x14ac:dyDescent="0.2">
      <c r="B108" s="259" t="s">
        <v>1108</v>
      </c>
      <c r="C108" s="259" t="s">
        <v>1161</v>
      </c>
    </row>
    <row r="109" spans="2:12" x14ac:dyDescent="0.2">
      <c r="B109" s="238" t="s">
        <v>742</v>
      </c>
      <c r="C109" s="279">
        <v>0.39</v>
      </c>
    </row>
    <row r="110" spans="2:12" x14ac:dyDescent="0.2">
      <c r="B110" s="238" t="s">
        <v>822</v>
      </c>
      <c r="C110" s="260">
        <v>4.7999999999999996E-3</v>
      </c>
    </row>
    <row r="111" spans="2:12" x14ac:dyDescent="0.2">
      <c r="B111" s="280"/>
      <c r="C111" s="281"/>
    </row>
    <row r="112" spans="2:12" x14ac:dyDescent="0.2">
      <c r="B112" s="235" t="s">
        <v>1172</v>
      </c>
    </row>
    <row r="113" spans="2:9" x14ac:dyDescent="0.2">
      <c r="B113" s="235"/>
    </row>
    <row r="114" spans="2:9" ht="63.75" x14ac:dyDescent="0.2">
      <c r="B114" s="236" t="s">
        <v>1108</v>
      </c>
      <c r="C114" s="237" t="s">
        <v>1163</v>
      </c>
      <c r="D114" s="237" t="s">
        <v>1164</v>
      </c>
      <c r="E114" s="237" t="s">
        <v>1165</v>
      </c>
      <c r="F114" s="237" t="s">
        <v>1173</v>
      </c>
      <c r="G114" s="237" t="s">
        <v>1174</v>
      </c>
    </row>
    <row r="115" spans="2:9" x14ac:dyDescent="0.2">
      <c r="B115" s="238" t="s">
        <v>822</v>
      </c>
      <c r="C115" s="268">
        <v>696</v>
      </c>
      <c r="D115" s="268">
        <v>696</v>
      </c>
      <c r="E115" s="269">
        <v>5478.7974999999997</v>
      </c>
      <c r="F115" s="269">
        <v>5779.9416000000001</v>
      </c>
      <c r="G115" s="282">
        <v>301.14410000000044</v>
      </c>
      <c r="H115" s="265"/>
      <c r="I115" s="266">
        <v>0</v>
      </c>
    </row>
    <row r="116" spans="2:9" x14ac:dyDescent="0.2">
      <c r="B116" s="262" t="s">
        <v>174</v>
      </c>
      <c r="C116" s="283">
        <v>3595</v>
      </c>
      <c r="D116" s="283">
        <v>3595</v>
      </c>
      <c r="E116" s="284">
        <v>26127.381800000003</v>
      </c>
      <c r="F116" s="284">
        <v>27906.127699999997</v>
      </c>
      <c r="G116" s="282">
        <v>1778.7458999999944</v>
      </c>
      <c r="H116" s="285"/>
      <c r="I116" s="266">
        <v>0</v>
      </c>
    </row>
    <row r="117" spans="2:9" x14ac:dyDescent="0.2">
      <c r="B117" s="262" t="s">
        <v>1175</v>
      </c>
      <c r="C117" s="283">
        <v>132</v>
      </c>
      <c r="D117" s="283">
        <v>132</v>
      </c>
      <c r="E117" s="284">
        <v>1155.2409</v>
      </c>
      <c r="F117" s="284">
        <v>1225.0230000000001</v>
      </c>
      <c r="G117" s="282">
        <v>69.782100000000128</v>
      </c>
      <c r="I117" s="266">
        <v>0</v>
      </c>
    </row>
    <row r="118" spans="2:9" x14ac:dyDescent="0.2">
      <c r="B118" s="238" t="s">
        <v>726</v>
      </c>
      <c r="C118" s="286">
        <v>284</v>
      </c>
      <c r="D118" s="286">
        <v>284</v>
      </c>
      <c r="E118" s="284">
        <v>1213.3805</v>
      </c>
      <c r="F118" s="284">
        <v>1124.51</v>
      </c>
      <c r="G118" s="282">
        <v>-88.870499999999993</v>
      </c>
      <c r="H118" s="287"/>
      <c r="I118" s="266">
        <v>0</v>
      </c>
    </row>
    <row r="119" spans="2:9" x14ac:dyDescent="0.2">
      <c r="B119" s="238" t="s">
        <v>737</v>
      </c>
      <c r="C119" s="268">
        <v>8368</v>
      </c>
      <c r="D119" s="268">
        <v>8368</v>
      </c>
      <c r="E119" s="271">
        <v>75631.650500000003</v>
      </c>
      <c r="F119" s="269">
        <v>72687.448900000003</v>
      </c>
      <c r="G119" s="264">
        <v>-2944.2016000000003</v>
      </c>
      <c r="H119" s="287"/>
      <c r="I119" s="266"/>
    </row>
    <row r="120" spans="2:9" x14ac:dyDescent="0.2">
      <c r="B120" s="238" t="s">
        <v>742</v>
      </c>
      <c r="C120" s="286">
        <v>2984</v>
      </c>
      <c r="D120" s="286">
        <v>2984</v>
      </c>
      <c r="E120" s="284">
        <v>18665.6937</v>
      </c>
      <c r="F120" s="284">
        <v>19358.562399999999</v>
      </c>
      <c r="G120" s="282">
        <v>692.86869999999908</v>
      </c>
      <c r="H120" s="287"/>
      <c r="I120" s="266">
        <v>0</v>
      </c>
    </row>
    <row r="121" spans="2:9" hidden="1" x14ac:dyDescent="0.2">
      <c r="B121" s="262"/>
      <c r="C121" s="286"/>
      <c r="D121" s="286"/>
      <c r="E121" s="284"/>
      <c r="F121" s="284"/>
      <c r="G121" s="282">
        <v>0</v>
      </c>
      <c r="H121" s="287"/>
      <c r="I121" s="266"/>
    </row>
    <row r="122" spans="2:9" s="235" customFormat="1" hidden="1" x14ac:dyDescent="0.2">
      <c r="B122" s="288"/>
      <c r="C122" s="268"/>
      <c r="D122" s="268"/>
      <c r="E122" s="269"/>
      <c r="F122" s="269"/>
      <c r="G122" s="282">
        <v>0</v>
      </c>
      <c r="H122" s="287"/>
      <c r="I122" s="289"/>
    </row>
    <row r="123" spans="2:9" hidden="1" x14ac:dyDescent="0.2">
      <c r="B123" s="262"/>
      <c r="C123" s="283"/>
      <c r="D123" s="283"/>
      <c r="E123" s="284"/>
      <c r="F123" s="284"/>
      <c r="G123" s="282">
        <v>0</v>
      </c>
      <c r="H123" s="285"/>
    </row>
    <row r="124" spans="2:9" hidden="1" x14ac:dyDescent="0.2">
      <c r="B124" s="270"/>
      <c r="C124" s="290"/>
      <c r="D124" s="290"/>
      <c r="E124" s="291"/>
      <c r="F124" s="291"/>
      <c r="G124" s="292">
        <v>0</v>
      </c>
      <c r="H124" s="265"/>
      <c r="I124" s="266"/>
    </row>
    <row r="125" spans="2:9" ht="15" customHeight="1" x14ac:dyDescent="0.2">
      <c r="H125" s="265"/>
      <c r="I125" s="266"/>
    </row>
    <row r="126" spans="2:9" x14ac:dyDescent="0.2">
      <c r="B126" s="293"/>
      <c r="C126" s="294"/>
      <c r="D126" s="294"/>
      <c r="E126" s="295"/>
      <c r="F126" s="295"/>
      <c r="G126" s="295"/>
      <c r="H126" s="266"/>
    </row>
    <row r="127" spans="2:9" x14ac:dyDescent="0.2">
      <c r="B127" s="235" t="s">
        <v>1176</v>
      </c>
      <c r="D127" s="296"/>
    </row>
    <row r="129" spans="2:7" ht="25.5" x14ac:dyDescent="0.2">
      <c r="B129" s="237" t="s">
        <v>1108</v>
      </c>
      <c r="C129" s="237" t="s">
        <v>1109</v>
      </c>
      <c r="D129" s="237" t="s">
        <v>1177</v>
      </c>
      <c r="E129" s="237" t="s">
        <v>1178</v>
      </c>
      <c r="F129" s="237" t="s">
        <v>1179</v>
      </c>
      <c r="G129" s="237" t="s">
        <v>1180</v>
      </c>
    </row>
    <row r="130" spans="2:7" x14ac:dyDescent="0.2">
      <c r="B130" s="297" t="s">
        <v>975</v>
      </c>
      <c r="C130" s="297" t="s">
        <v>975</v>
      </c>
      <c r="D130" s="297" t="s">
        <v>975</v>
      </c>
      <c r="E130" s="297" t="s">
        <v>975</v>
      </c>
      <c r="F130" s="297" t="s">
        <v>975</v>
      </c>
      <c r="G130" s="297" t="s">
        <v>975</v>
      </c>
    </row>
    <row r="131" spans="2:7" x14ac:dyDescent="0.2">
      <c r="D131" s="296"/>
      <c r="E131" s="296"/>
      <c r="F131" s="298"/>
      <c r="G131" s="298"/>
    </row>
    <row r="132" spans="2:7" x14ac:dyDescent="0.2">
      <c r="D132" s="296"/>
      <c r="E132" s="296"/>
      <c r="F132" s="298"/>
      <c r="G132" s="298"/>
    </row>
    <row r="133" spans="2:7" x14ac:dyDescent="0.2">
      <c r="B133" s="235" t="s">
        <v>1181</v>
      </c>
      <c r="G133" s="79" t="s">
        <v>1061</v>
      </c>
    </row>
    <row r="134" spans="2:7" x14ac:dyDescent="0.2">
      <c r="B134" s="235"/>
    </row>
    <row r="135" spans="2:7" x14ac:dyDescent="0.2">
      <c r="B135" s="259" t="s">
        <v>1108</v>
      </c>
      <c r="C135" s="259" t="s">
        <v>1161</v>
      </c>
    </row>
    <row r="136" spans="2:7" x14ac:dyDescent="0.2">
      <c r="B136" s="297" t="s">
        <v>975</v>
      </c>
      <c r="C136" s="297" t="s">
        <v>975</v>
      </c>
    </row>
    <row r="137" spans="2:7" x14ac:dyDescent="0.2">
      <c r="C137" s="299"/>
      <c r="D137" s="281"/>
    </row>
    <row r="138" spans="2:7" x14ac:dyDescent="0.2">
      <c r="B138" s="235" t="s">
        <v>1182</v>
      </c>
    </row>
    <row r="140" spans="2:7" ht="38.25" x14ac:dyDescent="0.2">
      <c r="B140" s="236" t="s">
        <v>1108</v>
      </c>
      <c r="C140" s="237" t="s">
        <v>1183</v>
      </c>
      <c r="D140" s="237" t="s">
        <v>1184</v>
      </c>
      <c r="E140" s="237" t="s">
        <v>1185</v>
      </c>
      <c r="F140" s="237" t="s">
        <v>1186</v>
      </c>
    </row>
    <row r="141" spans="2:7" x14ac:dyDescent="0.2">
      <c r="B141" s="300"/>
      <c r="C141" s="297"/>
      <c r="D141" s="301"/>
      <c r="E141" s="282"/>
      <c r="F141" s="282">
        <v>0</v>
      </c>
    </row>
    <row r="142" spans="2:7" x14ac:dyDescent="0.2">
      <c r="B142" s="302"/>
      <c r="C142" s="303"/>
      <c r="D142" s="304"/>
      <c r="E142" s="304"/>
      <c r="F142" s="305"/>
    </row>
    <row r="143" spans="2:7" x14ac:dyDescent="0.2">
      <c r="B143" s="302"/>
      <c r="C143" s="303"/>
      <c r="D143" s="304"/>
      <c r="E143" s="304"/>
      <c r="F143" s="305"/>
    </row>
    <row r="145" spans="2:7" x14ac:dyDescent="0.2">
      <c r="B145" s="235" t="s">
        <v>1187</v>
      </c>
    </row>
    <row r="147" spans="2:7" ht="25.5" x14ac:dyDescent="0.2">
      <c r="B147" s="237" t="s">
        <v>1108</v>
      </c>
      <c r="C147" s="237" t="s">
        <v>1109</v>
      </c>
      <c r="D147" s="237" t="s">
        <v>1177</v>
      </c>
      <c r="E147" s="237" t="s">
        <v>1178</v>
      </c>
      <c r="F147" s="237" t="s">
        <v>1179</v>
      </c>
      <c r="G147" s="237" t="s">
        <v>1180</v>
      </c>
    </row>
    <row r="148" spans="2:7" x14ac:dyDescent="0.2">
      <c r="B148" s="238" t="s">
        <v>975</v>
      </c>
      <c r="C148" s="238" t="s">
        <v>975</v>
      </c>
      <c r="D148" s="238" t="s">
        <v>975</v>
      </c>
      <c r="E148" s="238" t="s">
        <v>975</v>
      </c>
      <c r="F148" s="238" t="s">
        <v>975</v>
      </c>
      <c r="G148" s="238" t="s">
        <v>975</v>
      </c>
    </row>
    <row r="149" spans="2:7" x14ac:dyDescent="0.2">
      <c r="C149" s="275"/>
      <c r="D149" s="306"/>
      <c r="E149" s="307"/>
      <c r="F149" s="298"/>
      <c r="G149" s="298"/>
    </row>
    <row r="150" spans="2:7" x14ac:dyDescent="0.2">
      <c r="B150" s="235" t="s">
        <v>1188</v>
      </c>
    </row>
    <row r="151" spans="2:7" x14ac:dyDescent="0.2">
      <c r="B151" s="235"/>
    </row>
    <row r="152" spans="2:7" x14ac:dyDescent="0.2">
      <c r="B152" s="259" t="s">
        <v>1108</v>
      </c>
      <c r="C152" s="259" t="s">
        <v>1161</v>
      </c>
    </row>
    <row r="153" spans="2:7" x14ac:dyDescent="0.2">
      <c r="B153" s="238" t="s">
        <v>975</v>
      </c>
      <c r="C153" s="238" t="s">
        <v>975</v>
      </c>
    </row>
    <row r="154" spans="2:7" x14ac:dyDescent="0.2">
      <c r="B154" s="280"/>
      <c r="C154" s="281"/>
    </row>
    <row r="155" spans="2:7" x14ac:dyDescent="0.2">
      <c r="B155" s="235" t="s">
        <v>1189</v>
      </c>
    </row>
    <row r="157" spans="2:7" ht="38.25" x14ac:dyDescent="0.2">
      <c r="B157" s="236" t="s">
        <v>1108</v>
      </c>
      <c r="C157" s="237" t="s">
        <v>1183</v>
      </c>
      <c r="D157" s="237" t="s">
        <v>1190</v>
      </c>
      <c r="E157" s="237" t="s">
        <v>1191</v>
      </c>
      <c r="F157" s="237" t="s">
        <v>1186</v>
      </c>
    </row>
    <row r="158" spans="2:7" x14ac:dyDescent="0.2">
      <c r="B158" s="238"/>
      <c r="C158" s="297"/>
      <c r="D158" s="301"/>
      <c r="E158" s="297"/>
      <c r="F158" s="297"/>
    </row>
    <row r="159" spans="2:7" x14ac:dyDescent="0.2">
      <c r="G159" s="308"/>
    </row>
    <row r="160" spans="2:7" x14ac:dyDescent="0.2">
      <c r="F160" s="309"/>
      <c r="G160" s="267"/>
    </row>
    <row r="161" spans="2:7" x14ac:dyDescent="0.2">
      <c r="B161" s="235" t="s">
        <v>1192</v>
      </c>
    </row>
    <row r="162" spans="2:7" x14ac:dyDescent="0.2">
      <c r="B162" s="235"/>
    </row>
    <row r="163" spans="2:7" x14ac:dyDescent="0.2">
      <c r="E163" s="267"/>
    </row>
    <row r="164" spans="2:7" x14ac:dyDescent="0.2">
      <c r="B164" s="235" t="s">
        <v>1193</v>
      </c>
      <c r="E164" s="267"/>
    </row>
    <row r="165" spans="2:7" x14ac:dyDescent="0.2">
      <c r="E165" s="267"/>
    </row>
    <row r="166" spans="2:7" ht="25.5" x14ac:dyDescent="0.2">
      <c r="B166" s="236" t="s">
        <v>1108</v>
      </c>
      <c r="C166" s="237" t="s">
        <v>1109</v>
      </c>
      <c r="D166" s="237" t="s">
        <v>1110</v>
      </c>
      <c r="E166" s="237" t="s">
        <v>1194</v>
      </c>
      <c r="F166" s="237" t="s">
        <v>1195</v>
      </c>
      <c r="G166" s="237" t="s">
        <v>1196</v>
      </c>
    </row>
    <row r="167" spans="2:7" x14ac:dyDescent="0.2">
      <c r="B167" s="262" t="s">
        <v>975</v>
      </c>
      <c r="C167" s="288" t="s">
        <v>975</v>
      </c>
      <c r="D167" s="310" t="s">
        <v>975</v>
      </c>
      <c r="E167" s="274" t="s">
        <v>975</v>
      </c>
      <c r="F167" s="274" t="s">
        <v>975</v>
      </c>
      <c r="G167" s="274" t="s">
        <v>975</v>
      </c>
    </row>
    <row r="168" spans="2:7" x14ac:dyDescent="0.2">
      <c r="E168" s="267"/>
    </row>
    <row r="169" spans="2:7" x14ac:dyDescent="0.2">
      <c r="B169" s="235" t="s">
        <v>1197</v>
      </c>
      <c r="E169" s="267"/>
    </row>
    <row r="170" spans="2:7" x14ac:dyDescent="0.2">
      <c r="B170" s="235"/>
      <c r="E170" s="267"/>
    </row>
    <row r="171" spans="2:7" x14ac:dyDescent="0.2">
      <c r="B171" s="259" t="s">
        <v>1108</v>
      </c>
      <c r="C171" s="259" t="s">
        <v>1161</v>
      </c>
      <c r="E171" s="267"/>
    </row>
    <row r="172" spans="2:7" x14ac:dyDescent="0.2">
      <c r="B172" s="297" t="s">
        <v>975</v>
      </c>
      <c r="C172" s="283" t="s">
        <v>975</v>
      </c>
      <c r="E172" s="267"/>
    </row>
    <row r="173" spans="2:7" x14ac:dyDescent="0.2">
      <c r="E173" s="267"/>
    </row>
    <row r="174" spans="2:7" x14ac:dyDescent="0.2">
      <c r="B174" s="235" t="s">
        <v>1198</v>
      </c>
      <c r="E174" s="267"/>
    </row>
    <row r="175" spans="2:7" x14ac:dyDescent="0.2">
      <c r="E175" s="267"/>
    </row>
    <row r="176" spans="2:7" ht="63.75" x14ac:dyDescent="0.2">
      <c r="B176" s="236" t="s">
        <v>1108</v>
      </c>
      <c r="C176" s="237" t="s">
        <v>1163</v>
      </c>
      <c r="D176" s="237" t="s">
        <v>1164</v>
      </c>
      <c r="E176" s="237" t="s">
        <v>1165</v>
      </c>
      <c r="F176" s="237" t="s">
        <v>1166</v>
      </c>
      <c r="G176" s="237" t="s">
        <v>1167</v>
      </c>
    </row>
    <row r="177" spans="2:10" x14ac:dyDescent="0.2">
      <c r="B177" s="283"/>
      <c r="C177" s="283"/>
      <c r="D177" s="263"/>
      <c r="E177" s="311"/>
      <c r="F177" s="312"/>
      <c r="G177" s="313"/>
      <c r="I177" s="266"/>
      <c r="J177" s="267"/>
    </row>
    <row r="178" spans="2:10" x14ac:dyDescent="0.2">
      <c r="E178" s="267"/>
    </row>
    <row r="179" spans="2:10" x14ac:dyDescent="0.2">
      <c r="E179" s="267"/>
    </row>
    <row r="180" spans="2:10" x14ac:dyDescent="0.2">
      <c r="B180" s="235" t="s">
        <v>1199</v>
      </c>
      <c r="E180" s="267"/>
    </row>
    <row r="181" spans="2:10" x14ac:dyDescent="0.2">
      <c r="E181" s="267"/>
    </row>
    <row r="182" spans="2:10" ht="63.75" x14ac:dyDescent="0.2">
      <c r="B182" s="236" t="s">
        <v>1108</v>
      </c>
      <c r="C182" s="237" t="s">
        <v>1163</v>
      </c>
      <c r="D182" s="237" t="s">
        <v>1164</v>
      </c>
      <c r="E182" s="237" t="s">
        <v>1165</v>
      </c>
      <c r="F182" s="237" t="s">
        <v>1166</v>
      </c>
      <c r="G182" s="237" t="s">
        <v>1167</v>
      </c>
    </row>
    <row r="183" spans="2:10" x14ac:dyDescent="0.2">
      <c r="B183" s="239"/>
      <c r="C183" s="297"/>
      <c r="D183" s="297"/>
      <c r="E183" s="314"/>
      <c r="F183" s="314"/>
      <c r="G183" s="314"/>
    </row>
    <row r="184" spans="2:10" x14ac:dyDescent="0.2">
      <c r="E184" s="267"/>
    </row>
    <row r="185" spans="2:10" x14ac:dyDescent="0.2">
      <c r="E185" s="267"/>
    </row>
    <row r="186" spans="2:10" x14ac:dyDescent="0.2">
      <c r="E186" s="267"/>
    </row>
    <row r="187" spans="2:10" x14ac:dyDescent="0.2">
      <c r="B187" s="79" t="s">
        <v>1200</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Index</vt:lpstr>
      <vt:lpstr>CAPEXG</vt:lpstr>
      <vt:lpstr>MIDCAP</vt:lpstr>
      <vt:lpstr>MULTI1</vt:lpstr>
      <vt:lpstr>MULTI2</vt:lpstr>
      <vt:lpstr>MULTIP</vt:lpstr>
      <vt:lpstr>SESCAP1</vt:lpstr>
      <vt:lpstr>SESCAP2</vt:lpstr>
      <vt:lpstr>SESCAP3</vt:lpstr>
      <vt:lpstr>SESCAP4</vt:lpstr>
      <vt:lpstr>SESCAP5</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GLOB</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Bharathi B - Sundaram Mutual</cp:lastModifiedBy>
  <dcterms:created xsi:type="dcterms:W3CDTF">2022-12-02T10:08:38Z</dcterms:created>
  <dcterms:modified xsi:type="dcterms:W3CDTF">2023-02-09T11:01:38Z</dcterms:modified>
</cp:coreProperties>
</file>