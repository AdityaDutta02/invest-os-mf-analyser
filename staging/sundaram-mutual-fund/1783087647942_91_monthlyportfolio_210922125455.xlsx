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U:\Swapna\OPERATIONS\PORTFOLIO\Others\Monthly Portfolio - Aug'22\Final sent\"/>
    </mc:Choice>
  </mc:AlternateContent>
  <xr:revisionPtr revIDLastSave="0" documentId="13_ncr:1_{395BE886-89A4-4ED0-9C5F-AA651E1A4A2B}" xr6:coauthVersionLast="47" xr6:coauthVersionMax="47" xr10:uidLastSave="{00000000-0000-0000-0000-000000000000}"/>
  <bookViews>
    <workbookView xWindow="-120" yWindow="-120" windowWidth="19440" windowHeight="15000" tabRatio="937" xr2:uid="{00000000-000D-0000-FFFF-FFFF00000000}"/>
  </bookViews>
  <sheets>
    <sheet name="Index" sheetId="13" r:id="rId1"/>
    <sheet name="SFRLTP" sheetId="1" r:id="rId2"/>
    <sheet name="SFRSTP" sheetId="2" r:id="rId3"/>
    <sheet name="SMMF" sheetId="3" r:id="rId4"/>
    <sheet name="SPLDF" sheetId="6" r:id="rId5"/>
    <sheet name="SPMON" sheetId="7" r:id="rId6"/>
    <sheet name="SPSDF" sheetId="8" r:id="rId7"/>
    <sheet name="SPUSDF" sheetId="9" r:id="rId8"/>
    <sheet name="SUNBDS" sheetId="10" r:id="rId9"/>
    <sheet name="SUNMIA" sheetId="11" r:id="rId10"/>
    <sheet name="SUNONF" sheetId="12"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151" i="8" l="1"/>
  <c r="G31" i="11" l="1"/>
  <c r="F31" i="11"/>
</calcChain>
</file>

<file path=xl/sharedStrings.xml><?xml version="1.0" encoding="utf-8"?>
<sst xmlns="http://schemas.openxmlformats.org/spreadsheetml/2006/main" count="2105" uniqueCount="566">
  <si>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</si>
  <si>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</si>
  <si>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</si>
  <si>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</si>
  <si>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</si>
  <si>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</si>
  <si>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</si>
  <si>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</si>
  <si>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</si>
  <si>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</si>
  <si>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</si>
  <si>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</si>
  <si>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</si>
  <si>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</si>
  <si>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</si>
  <si>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</si>
  <si>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</si>
  <si>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</si>
  <si>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</si>
  <si>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</si>
  <si>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INE261F08CD4</t>
  </si>
  <si>
    <t>National Bank for Agricultural &amp; Rural Development - 6.5% - 17/04/2023**</t>
  </si>
  <si>
    <t>ICRA AAA</t>
  </si>
  <si>
    <t>INE031A08798</t>
  </si>
  <si>
    <t>Housing and Urban Development Corp. Ltd - 5.95% - 11/08/2023**</t>
  </si>
  <si>
    <t>INE094A08085</t>
  </si>
  <si>
    <t>Hindustan Petroleum Corporation Ltd - 4.79% - 23/10/2023**</t>
  </si>
  <si>
    <t>CRISIL AAA</t>
  </si>
  <si>
    <t>INE001A07RJ2</t>
  </si>
  <si>
    <t>Housing Development Finance Corporation Ltd - 9.05% - 20/11/2023**</t>
  </si>
  <si>
    <t>INE002A08641</t>
  </si>
  <si>
    <t>Reliance Industries Ltd - 6.95% - 15/03/2023**</t>
  </si>
  <si>
    <t>INE115A07OU4</t>
  </si>
  <si>
    <t>LIC Housing Finance Ltd - 5.9% - 11/05/2023**</t>
  </si>
  <si>
    <t>INE557F08FJ5</t>
  </si>
  <si>
    <t>National Housing Bank  - 5.8% - 15/05/2023**</t>
  </si>
  <si>
    <t>INE053F07603</t>
  </si>
  <si>
    <t>Indian Railway Finance Corporation Ltd - 8.83% - 25/03/2023**</t>
  </si>
  <si>
    <t>INE941D07133</t>
  </si>
  <si>
    <t>Sikka Ports and Terminals Ltd - 8.45% - 12/06/2023**</t>
  </si>
  <si>
    <t>INE115A07JO7</t>
  </si>
  <si>
    <t>LIC Housing Finance Ltd - 8.48% - 09/06/2023**</t>
  </si>
  <si>
    <t>INE115A07DX1</t>
  </si>
  <si>
    <t>LIC Housing Finance Ltd - 8.37% - 21/05/2023**</t>
  </si>
  <si>
    <t>INE733E07JC4</t>
  </si>
  <si>
    <t>NTPC Ltd - 8.73% - 07/03/2023**</t>
  </si>
  <si>
    <t>INE134E08FJ6</t>
  </si>
  <si>
    <t>Power Finance Corporation Ltd - 8.84% - 04/03/2023**</t>
  </si>
  <si>
    <t>INE020B08CC5</t>
  </si>
  <si>
    <t>REC Ltd - 7.55% - 26/09/2023**</t>
  </si>
  <si>
    <t>INE134E08KO6</t>
  </si>
  <si>
    <t>Power Finance Corporation Ltd - 6.83% - 24/04/2023</t>
  </si>
  <si>
    <t>INE296A07RG4</t>
  </si>
  <si>
    <t>Bajaj Finance Ltd - 5.7% - 11/08/2023**</t>
  </si>
  <si>
    <t>INE752E07KN9</t>
  </si>
  <si>
    <t>Power Grid Corporation of India Ltd - 8.8% - 13/03/2023**</t>
  </si>
  <si>
    <t>INE178A08011</t>
  </si>
  <si>
    <t>Chennai Petroleum Corporation Ltd - 6.43% - 28/02/2023**</t>
  </si>
  <si>
    <t>INE053F07CC9</t>
  </si>
  <si>
    <t>Indian Railway Finance Corporation Ltd - 6.19% - 28/04/2023</t>
  </si>
  <si>
    <t>INE514E08CI8</t>
  </si>
  <si>
    <t>Export Import Bank of India - 8.8% - 15/03/2023**</t>
  </si>
  <si>
    <t>INE514E08CE7</t>
  </si>
  <si>
    <t>Export Import Bank of India - 8.76% - 14/02/2023**</t>
  </si>
  <si>
    <t>INE752E07KU4</t>
  </si>
  <si>
    <t>Power Grid Corporation of India Ltd - 7.93% - 20/05/2023**</t>
  </si>
  <si>
    <t>INE031A08764</t>
  </si>
  <si>
    <t>Housing and Urban Development Corp. Ltd - 6.79% - 14/04/2023**</t>
  </si>
  <si>
    <t>INE557F08FI7</t>
  </si>
  <si>
    <t>National Housing Bank  - 6.55% - 17/04/2023**</t>
  </si>
  <si>
    <t>INE514E08CT5</t>
  </si>
  <si>
    <t>Export Import Bank of India - 9.4% - 14/08/2023**</t>
  </si>
  <si>
    <t>INE752E07HL9</t>
  </si>
  <si>
    <t>Power Grid Corporation of India Ltd - 8.64% - 08/07/2023**</t>
  </si>
  <si>
    <t>INE848E07831</t>
  </si>
  <si>
    <t>NHPC Ltd - 8.5% - 14/07/2023**</t>
  </si>
  <si>
    <t>IND AAA</t>
  </si>
  <si>
    <t>INE001A07KU4</t>
  </si>
  <si>
    <t>Housing Development Finance Corporation Ltd - 8.95% - 21/03/2023**</t>
  </si>
  <si>
    <t>INE134E08FN8</t>
  </si>
  <si>
    <t>Power Finance Corporation Ltd - 8.9% - 18/03/2023**</t>
  </si>
  <si>
    <t>INE206D08147</t>
  </si>
  <si>
    <t>Nuclear Power Corporation of  India Ltd - 8.54% - 15/03/2023**</t>
  </si>
  <si>
    <t>INE733E08148</t>
  </si>
  <si>
    <t>NTPC Ltd - 6.55% - 17/04/2023**</t>
  </si>
  <si>
    <t>INE020B08849</t>
  </si>
  <si>
    <t>REC Ltd - 8.06% - 31/05/2023**</t>
  </si>
  <si>
    <t>INE752E07JJ9</t>
  </si>
  <si>
    <t>Power Grid Corporation of India Ltd - 9.25% - 26/12/2023**</t>
  </si>
  <si>
    <t>INE752E07ET9</t>
  </si>
  <si>
    <t>Power Grid Corporation of India Ltd - 9.47% - 31/03/2023**</t>
  </si>
  <si>
    <t>INE752E07MP0</t>
  </si>
  <si>
    <t>Power Grid Corporation of India Ltd - 8.4% - 27/05/2023**</t>
  </si>
  <si>
    <t>INE261F08BW6</t>
  </si>
  <si>
    <t>National Bank for Agricultural &amp; Rural Development - 6.72% - 14/04/2023**</t>
  </si>
  <si>
    <t>(b) Privately Placed / Unlisted</t>
  </si>
  <si>
    <t>(c) Govt Security</t>
  </si>
  <si>
    <t>IN3120180085</t>
  </si>
  <si>
    <t>8.42% Tamilnadu State Development Loan 25/07/2023</t>
  </si>
  <si>
    <t>Sovereign</t>
  </si>
  <si>
    <t>IN2220130099</t>
  </si>
  <si>
    <t>9.25% Maharashtra State Development Loan 09/10/2023</t>
  </si>
  <si>
    <t>IN2220130024</t>
  </si>
  <si>
    <t>7.95% Maharashtra State Development Loan 03/07/2023</t>
  </si>
  <si>
    <t>IN2220130057</t>
  </si>
  <si>
    <t>9.60% Maharashtra State Development Loan 14/08/2023</t>
  </si>
  <si>
    <t>(d) Securitized Debt Instruments</t>
  </si>
  <si>
    <t>Total for Debt Instruments</t>
  </si>
  <si>
    <t>C) Money Market Instruments</t>
  </si>
  <si>
    <t>(a) Certificate of Deposits</t>
  </si>
  <si>
    <t>INE040A16CX4</t>
  </si>
  <si>
    <t>HDFC Bank Ltd - 06/03/2023</t>
  </si>
  <si>
    <t>IND A1+</t>
  </si>
  <si>
    <t>INE556F16960</t>
  </si>
  <si>
    <t>Small Industries Development Bank of India - 30/05/2023**</t>
  </si>
  <si>
    <t>CRISIL A1+</t>
  </si>
  <si>
    <t>(b) Commercial Papers</t>
  </si>
  <si>
    <t>INE556F14IG5</t>
  </si>
  <si>
    <t>Small Industries Development Bank of India - 10/03/2023**</t>
  </si>
  <si>
    <t>INE001A14YV9</t>
  </si>
  <si>
    <t>Housing Development Finance Corporation Ltd - 17/05/2023**</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</si>
  <si>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</si>
  <si>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</si>
  <si>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</si>
  <si>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</si>
  <si>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</si>
  <si>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</si>
  <si>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</si>
  <si>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</si>
  <si>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</si>
  <si>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</si>
  <si>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</si>
  <si>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</si>
  <si>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</si>
  <si>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</si>
  <si>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</si>
  <si>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</si>
  <si>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</si>
  <si>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</si>
  <si>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</si>
  <si>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</si>
  <si>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</si>
  <si>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31/07/2022</t>
  </si>
  <si>
    <t>31/08/2022</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</si>
  <si>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</si>
  <si>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</si>
  <si>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</si>
  <si>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</si>
  <si>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</si>
  <si>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</si>
  <si>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</si>
  <si>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g) Average  Maturity (years)</t>
  </si>
  <si>
    <t>h) Macaulay Duration (years)</t>
  </si>
  <si>
    <t>i) Repo in corporate debt</t>
  </si>
  <si>
    <t>Sundaram Banking &amp; PSU Debt Fund</t>
  </si>
  <si>
    <t>INE557F08FG1</t>
  </si>
  <si>
    <t>National Housing Bank  - 7.05% - 18/12/2024**</t>
  </si>
  <si>
    <t>INE752E08569</t>
  </si>
  <si>
    <t>Power Grid Corporation of India Ltd - 7.34% - 15/07/2024**</t>
  </si>
  <si>
    <t>INE242A08460</t>
  </si>
  <si>
    <t>Indian Oil Corporation Ltd - 5.05% - 25/11/2022**</t>
  </si>
  <si>
    <t>INE020B08963</t>
  </si>
  <si>
    <t>REC Ltd - 8.11% - 07/10/2025**</t>
  </si>
  <si>
    <t>INE001A07RV7</t>
  </si>
  <si>
    <t>Housing Development Finance Corporation Ltd - 7.99% - 11/07/2024</t>
  </si>
  <si>
    <t>INE261F08CA0</t>
  </si>
  <si>
    <t>National Bank for Agricultural &amp; Rural Development - 6.4% - 31/07/2023**</t>
  </si>
  <si>
    <t>INE213A08032</t>
  </si>
  <si>
    <t>Oil &amp; Natural Gas Corporation Ltd - 4.64% - 21/11/2023**</t>
  </si>
  <si>
    <t>INE514E08FV4</t>
  </si>
  <si>
    <t>Export Import Bank of India - 5.85% - 12/09/2025**</t>
  </si>
  <si>
    <t>INE936D07174</t>
  </si>
  <si>
    <t>Jamnagar Utilities and Power Pvt Ltd - 6.4% - 29/09/2026**</t>
  </si>
  <si>
    <t>INE134E08LK2</t>
  </si>
  <si>
    <t>Power Finance Corporation Ltd - 6.09% - 27/08/2026**</t>
  </si>
  <si>
    <t>INE020B08AA3</t>
  </si>
  <si>
    <t>REC Ltd - 7.52% - 07/11/2026**</t>
  </si>
  <si>
    <t>INE134E08LF2</t>
  </si>
  <si>
    <t>Power Finance Corporation Ltd - 6.35% - 30/06/2025**</t>
  </si>
  <si>
    <t>INE178A08037</t>
  </si>
  <si>
    <t>Chennai Petroleum Corporation Ltd - 5.44% - 24/06/2024**</t>
  </si>
  <si>
    <t>IN0020210186</t>
  </si>
  <si>
    <t>5.74% Central Government Securities 15/11/2026</t>
  </si>
  <si>
    <t>IN0020200112</t>
  </si>
  <si>
    <t>5.22% Central Government Securities 15/06/2025</t>
  </si>
  <si>
    <t>INE040A16DA0</t>
  </si>
  <si>
    <t>HDFC Bank Ltd - 06/10/2022**</t>
  </si>
  <si>
    <t>INE562A16KT8</t>
  </si>
  <si>
    <t>Indian Bank - 31/10/2022</t>
  </si>
  <si>
    <t>Direct Plan - Bonus</t>
  </si>
  <si>
    <t>Retail Plan - Growth</t>
  </si>
  <si>
    <t>Regular Plan - Bonus</t>
  </si>
  <si>
    <t>Sundaram Money Market Fund</t>
  </si>
  <si>
    <t>IN002022Y096</t>
  </si>
  <si>
    <t>182 Days - T Bill - 01/12/2022</t>
  </si>
  <si>
    <t>INE090A01021</t>
  </si>
  <si>
    <t>ICICI Bank Ltd</t>
  </si>
  <si>
    <t>Banks</t>
  </si>
  <si>
    <t>INE002A01018</t>
  </si>
  <si>
    <t>Reliance Industries Ltd</t>
  </si>
  <si>
    <t>Petroleum Products</t>
  </si>
  <si>
    <t>INE040A01034</t>
  </si>
  <si>
    <t>HDFC Bank Ltd</t>
  </si>
  <si>
    <t>INE009A01021</t>
  </si>
  <si>
    <t>Infosys Ltd</t>
  </si>
  <si>
    <t>It - Software</t>
  </si>
  <si>
    <t>INE044A01036</t>
  </si>
  <si>
    <t>Sun Pharmaceutical Industries Ltd</t>
  </si>
  <si>
    <t>Pharmaceuticals And Biotechnology</t>
  </si>
  <si>
    <t>INE397D01024</t>
  </si>
  <si>
    <t>Bharti Airtel Ltd</t>
  </si>
  <si>
    <t>Telecom - Services</t>
  </si>
  <si>
    <t>INE018A01030</t>
  </si>
  <si>
    <t>Larsen &amp; Toubro Ltd</t>
  </si>
  <si>
    <t>Construction</t>
  </si>
  <si>
    <t>INE062A01020</t>
  </si>
  <si>
    <t>State Bank of India</t>
  </si>
  <si>
    <t>INE200M01013</t>
  </si>
  <si>
    <t>Varun Beverages Ltd</t>
  </si>
  <si>
    <t>Beverages</t>
  </si>
  <si>
    <t>INE238A01034</t>
  </si>
  <si>
    <t>Axis Bank Ltd</t>
  </si>
  <si>
    <t>INE854D01024</t>
  </si>
  <si>
    <t>United Spirits Ltd</t>
  </si>
  <si>
    <t>INE059A01026</t>
  </si>
  <si>
    <t>Cipla Ltd</t>
  </si>
  <si>
    <t>INE208A01029</t>
  </si>
  <si>
    <t>Ashok Leyland Ltd</t>
  </si>
  <si>
    <t>Agricultural, Commercial And Construction Vehicles</t>
  </si>
  <si>
    <t>INE006I01046</t>
  </si>
  <si>
    <t>Astral Ltd</t>
  </si>
  <si>
    <t>Industrial Products</t>
  </si>
  <si>
    <t>INE068V01023</t>
  </si>
  <si>
    <t>Gland Pharma Ltd</t>
  </si>
  <si>
    <t>Automobiles</t>
  </si>
  <si>
    <t>Personal Products</t>
  </si>
  <si>
    <t>INE179A01014</t>
  </si>
  <si>
    <t>Procter &amp; Gamble Hygiene and Health Care Ltd</t>
  </si>
  <si>
    <t>Cement And Cement Products</t>
  </si>
  <si>
    <t>INE481G01011</t>
  </si>
  <si>
    <t>Ultratech Cement Ltd</t>
  </si>
  <si>
    <t>Fertilizers And Agrochemicals</t>
  </si>
  <si>
    <t>INE860A01027</t>
  </si>
  <si>
    <t>HCL Technologies Ltd</t>
  </si>
  <si>
    <t>INE679A01013</t>
  </si>
  <si>
    <t>CSB Bank Ltd</t>
  </si>
  <si>
    <t>CARE AAA</t>
  </si>
  <si>
    <t>INE001A07SG6</t>
  </si>
  <si>
    <t>Housing Development Finance Corporation Ltd - 7.35% - 10/02/2025**</t>
  </si>
  <si>
    <t>INE115A07PC9</t>
  </si>
  <si>
    <t>LIC Housing Finance Ltd - 5.35% - 20/03/2023</t>
  </si>
  <si>
    <t>INE020B08CG6</t>
  </si>
  <si>
    <t>REC Ltd - 7.24% - 31/12/2022**</t>
  </si>
  <si>
    <t>INE090A08TU6</t>
  </si>
  <si>
    <t>ICICI Bank Ltd - 7.6% - 07/10/2023**</t>
  </si>
  <si>
    <t>INE115A07OV2</t>
  </si>
  <si>
    <t>LIC Housing Finance Ltd - 5.45% - 25/08/2023**</t>
  </si>
  <si>
    <t>INE261F08AT4</t>
  </si>
  <si>
    <t>National Bank for Agricultural &amp; Rural Development - 8.5% - 31/01/2023**</t>
  </si>
  <si>
    <t>IN0020220052</t>
  </si>
  <si>
    <t>6.69% Central Government Securities 27/06/2024</t>
  </si>
  <si>
    <t>IN0020220060</t>
  </si>
  <si>
    <t xml:space="preserve">7.26% Central Government Securities 22/08/2032 </t>
  </si>
  <si>
    <t>IN0020210160</t>
  </si>
  <si>
    <t>IN0020220029</t>
  </si>
  <si>
    <t>7.54% Central Government Securities 23/05/2036</t>
  </si>
  <si>
    <t>IN0020210244</t>
  </si>
  <si>
    <t>6.54% Central Government Securities 17/01/2032</t>
  </si>
  <si>
    <t>IN0020160050</t>
  </si>
  <si>
    <t xml:space="preserve">6.84% Central Government Securities 19/12/2022 </t>
  </si>
  <si>
    <t>IN0020070051</t>
  </si>
  <si>
    <t>8.13% Central Government Securities 21/09/2022</t>
  </si>
  <si>
    <t>INE040A16DI3</t>
  </si>
  <si>
    <t>HDFC Bank Ltd - 14/08/2023**</t>
  </si>
  <si>
    <t>INE476A16TV8</t>
  </si>
  <si>
    <t>Canara Bank - 18/08/2023**</t>
  </si>
  <si>
    <t>INE514E14QH8</t>
  </si>
  <si>
    <t>Export Import Bank of India - 30/09/2022**</t>
  </si>
  <si>
    <t>Gas</t>
  </si>
  <si>
    <t>INE053F07BB3</t>
  </si>
  <si>
    <t>Indian Railway Finance Corporation Ltd - 8.25% - 28/02/2024**</t>
  </si>
  <si>
    <t>INE733E07JD2</t>
  </si>
  <si>
    <t>NTPC Ltd - 8.8% - 04/04/2023**</t>
  </si>
  <si>
    <t>IN2220170111</t>
  </si>
  <si>
    <t>7.02% Maharashtra State Development Loan 27/09/2022</t>
  </si>
  <si>
    <t>INE040A16DG7</t>
  </si>
  <si>
    <t>HDFC Bank Ltd - 13/04/2023**</t>
  </si>
  <si>
    <t>Sundaram Low Duration Fund</t>
  </si>
  <si>
    <t>INE516Y07444</t>
  </si>
  <si>
    <t>Piramal Capital &amp; Housing Finance Ltd - 6.75% - 26/09/2031**</t>
  </si>
  <si>
    <t>ICRA AA</t>
  </si>
  <si>
    <t>INE941D07190</t>
  </si>
  <si>
    <t>Sikka Ports and Terminals Ltd - 7.2% - 16/06/2023**</t>
  </si>
  <si>
    <t>INE242A08510</t>
  </si>
  <si>
    <t>Indian Oil Corporation Ltd - 5.84% - 19/04/2024</t>
  </si>
  <si>
    <t>INE915D08CL3</t>
  </si>
  <si>
    <t>Citicorp Finance India Ltd - 5.64% - 20/01/2024**</t>
  </si>
  <si>
    <t>INE238A167Z0</t>
  </si>
  <si>
    <t>Axis Bank Ltd - 10/10/2022**</t>
  </si>
  <si>
    <t>INE476A16TH7</t>
  </si>
  <si>
    <t>Canara Bank - 09/12/2022**</t>
  </si>
  <si>
    <t>INE171A16KD2</t>
  </si>
  <si>
    <t>The Federal Bank  Ltd - 17/08/2023**</t>
  </si>
  <si>
    <t>INE466L14BB1</t>
  </si>
  <si>
    <t>IIFL Wealth Management Ltd - 08/09/2022**</t>
  </si>
  <si>
    <t>INE929O14677</t>
  </si>
  <si>
    <t>Reliance Retail Ventures Ltd - 19/09/2022**</t>
  </si>
  <si>
    <t>INE403G14PH1</t>
  </si>
  <si>
    <t>Standard Chartered Capital Ltd - 24/01/2023**</t>
  </si>
  <si>
    <t>INE523H14Z07</t>
  </si>
  <si>
    <t>JM Financial Products Ltd - 15/09/2022**</t>
  </si>
  <si>
    <t>INE012I14NF5</t>
  </si>
  <si>
    <t>JM Financial Services Ltd - 13/09/2022**</t>
  </si>
  <si>
    <t>INE09OL14AS3</t>
  </si>
  <si>
    <t>Birla Group Holdings Pvt Ltd - 25/11/2022**</t>
  </si>
  <si>
    <t>IN002021Z343</t>
  </si>
  <si>
    <t>364 Days - T Bill - 17/11/2022</t>
  </si>
  <si>
    <t>IN002021Z376</t>
  </si>
  <si>
    <t>364 Days - T Bill - 08/12/2022</t>
  </si>
  <si>
    <t>Sundaram Liquid Fund</t>
  </si>
  <si>
    <t>INE040A16CY2</t>
  </si>
  <si>
    <t>HDFC Bank Ltd - 02/09/2022</t>
  </si>
  <si>
    <t>INE562A16KU6</t>
  </si>
  <si>
    <t>Indian Bank - 10/10/2022**</t>
  </si>
  <si>
    <t>INE160A16MN0</t>
  </si>
  <si>
    <t>Punjab National Bank - 25/11/2022**</t>
  </si>
  <si>
    <t>INE476A16TB0</t>
  </si>
  <si>
    <t>Canara Bank - 14/09/2022**</t>
  </si>
  <si>
    <t>INE040A16CP0</t>
  </si>
  <si>
    <t>HDFC Bank Ltd - 26/09/2022**</t>
  </si>
  <si>
    <t>INE238A161X8</t>
  </si>
  <si>
    <t>Axis Bank Ltd - 20/09/2022</t>
  </si>
  <si>
    <t>INE018A14IN3</t>
  </si>
  <si>
    <t>Larsen &amp; Toubro Ltd - 30/09/2022**</t>
  </si>
  <si>
    <t>INE733E14BB9</t>
  </si>
  <si>
    <t>NTPC Ltd - 13/09/2022**</t>
  </si>
  <si>
    <t>CARE A1+</t>
  </si>
  <si>
    <t>INE556F14IH3</t>
  </si>
  <si>
    <t>Small Industries Development Bank of India - 09/11/2022**</t>
  </si>
  <si>
    <t>INE824H14IW0</t>
  </si>
  <si>
    <t>Julius Baer Capital (India) Private Ltd - 21/11/2022**</t>
  </si>
  <si>
    <t>INE094A14JJ0</t>
  </si>
  <si>
    <t>Hindustan Petroleum Corporation Ltd - 28/11/2022**</t>
  </si>
  <si>
    <t>INE001A14YO4</t>
  </si>
  <si>
    <t>Housing Development Finance Corporation Ltd - 16/09/2022**</t>
  </si>
  <si>
    <t>INE242A14WX9</t>
  </si>
  <si>
    <t>Indian Oil Corporation Ltd - 28/09/2022**</t>
  </si>
  <si>
    <t>ICRA A1+</t>
  </si>
  <si>
    <t>INE514E14QI6</t>
  </si>
  <si>
    <t>Export Import Bank of India - 28/09/2022**</t>
  </si>
  <si>
    <t>INE929O14586</t>
  </si>
  <si>
    <t>Reliance Retail Ventures Ltd - 07/09/2022**</t>
  </si>
  <si>
    <t>INE607M14855</t>
  </si>
  <si>
    <t>Tata Power Renewable Energy Ltd - 19/09/2022**</t>
  </si>
  <si>
    <t>INE865C14HQ8</t>
  </si>
  <si>
    <t>Aditya Birla Money Ltd - 19/09/2022**</t>
  </si>
  <si>
    <t>INE331A14MN2</t>
  </si>
  <si>
    <t>Ramco Cements Ltd - 21/09/2022**</t>
  </si>
  <si>
    <t>INE891D14VQ3</t>
  </si>
  <si>
    <t>Redington (India) Ltd - 26/09/2022**</t>
  </si>
  <si>
    <t>INE466L14BC9</t>
  </si>
  <si>
    <t>IIFL Wealth Management Ltd - 26/09/2022**</t>
  </si>
  <si>
    <t>INE245A14GQ9</t>
  </si>
  <si>
    <t>Tata Power Company Ltd - 17/10/2022**</t>
  </si>
  <si>
    <t>INE245A14GP1</t>
  </si>
  <si>
    <t>Tata Power Company Ltd - 28/10/2022**</t>
  </si>
  <si>
    <t>INE012I14NJ7</t>
  </si>
  <si>
    <t>JM Financial Services Ltd - 24/11/2022**</t>
  </si>
  <si>
    <t>INE248U14LQ1</t>
  </si>
  <si>
    <t>IIFL Wealth Prime Ltd - 28/11/2022**</t>
  </si>
  <si>
    <t>INE027E14LN0</t>
  </si>
  <si>
    <t>L &amp; T Finance Ltd - 05/09/2022</t>
  </si>
  <si>
    <t>INE110L14QP3</t>
  </si>
  <si>
    <t>Reliance Jio Infocomm Ltd - 19/09/2022</t>
  </si>
  <si>
    <t>INE02FN14101</t>
  </si>
  <si>
    <t>IGH Holdings Private Limited - 27/09/2022**</t>
  </si>
  <si>
    <t>INE012I14NL3</t>
  </si>
  <si>
    <t>JM Financial Services Ltd - 31/10/2022**</t>
  </si>
  <si>
    <t>INE563J14864</t>
  </si>
  <si>
    <t>Astec LifeSciences Ltd - 15/11/2022**</t>
  </si>
  <si>
    <t>INE563J14872</t>
  </si>
  <si>
    <t>Astec LifeSciences Ltd - 17/11/2022**</t>
  </si>
  <si>
    <t>INE865C14HV8</t>
  </si>
  <si>
    <t>Aditya Birla Money Ltd - 21/11/2022**</t>
  </si>
  <si>
    <t>IN002022X106</t>
  </si>
  <si>
    <t>91 Days - T Bill - 08/09/2022</t>
  </si>
  <si>
    <t>IN002022X114</t>
  </si>
  <si>
    <t>91 Days - T Bill - 15/09/2022</t>
  </si>
  <si>
    <t>IN002021Y528</t>
  </si>
  <si>
    <t>182 Days - T Bill - 08/09/2022</t>
  </si>
  <si>
    <t>Sundaram Short Duration Fund</t>
  </si>
  <si>
    <t>INE115A07OQ2</t>
  </si>
  <si>
    <t>LIC Housing Finance Ltd - 7.45% - 10/02/2023**</t>
  </si>
  <si>
    <t>INE002A08625</t>
  </si>
  <si>
    <t>Reliance Industries Ltd - 7.05% - 13/09/2023</t>
  </si>
  <si>
    <t>IN2220150022</t>
  </si>
  <si>
    <t>8.14% Maharashtra State Development Loan 27/05/2025</t>
  </si>
  <si>
    <t>Sundaram Ultra Short Duration Fund</t>
  </si>
  <si>
    <t>INE752E07KH1</t>
  </si>
  <si>
    <t>Power Grid Corporation of India Ltd - 8.85% - 19/10/2022**</t>
  </si>
  <si>
    <t>INE608A16PK7</t>
  </si>
  <si>
    <t>Punjab and Sind Bank - 16/01/2023**</t>
  </si>
  <si>
    <t>INE040A16CU0</t>
  </si>
  <si>
    <t>HDFC Bank Ltd - 27/12/2022**</t>
  </si>
  <si>
    <t>INE261F16637</t>
  </si>
  <si>
    <t>National Bank for Agricultural &amp; Rural Development - 08/02/2023**</t>
  </si>
  <si>
    <t>INE238A162Z1</t>
  </si>
  <si>
    <t>Axis Bank Ltd - 08/03/2023**</t>
  </si>
  <si>
    <t>INE028A16CV3</t>
  </si>
  <si>
    <t>Bank of Baroda - 10/04/2023**</t>
  </si>
  <si>
    <t>INE110L14QQ1</t>
  </si>
  <si>
    <t>Reliance Jio Infocomm Ltd - 26/09/2022**</t>
  </si>
  <si>
    <t>INE248U14KS9</t>
  </si>
  <si>
    <t>IIFL Wealth Prime Ltd - 05/09/2022**</t>
  </si>
  <si>
    <t>INE466L14AV1</t>
  </si>
  <si>
    <t>IIFL Wealth Management Ltd - 05/09/2022**</t>
  </si>
  <si>
    <t>INE484J14OJ4</t>
  </si>
  <si>
    <t>Godrej Properties Ltd - 19/09/2022**</t>
  </si>
  <si>
    <t>INE563J14732</t>
  </si>
  <si>
    <t>Astec LifeSciences Ltd - 10/10/2022**</t>
  </si>
  <si>
    <t>INE001A14YX5</t>
  </si>
  <si>
    <t>Housing Development Finance Corporation Ltd - 27/10/2022**</t>
  </si>
  <si>
    <t>INE007N14DF6</t>
  </si>
  <si>
    <t>Fedbank Financial Services Ltd - 01/11/2022**</t>
  </si>
  <si>
    <t>INE018A14IS2</t>
  </si>
  <si>
    <t>Larsen &amp; Toubro Ltd - 29/12/2022**</t>
  </si>
  <si>
    <t>IN002021Y536</t>
  </si>
  <si>
    <t>182 Days - T Bill - 15/09/2022</t>
  </si>
  <si>
    <t>Sundaram Medium Term Bond Fund</t>
  </si>
  <si>
    <t>IN0020200278</t>
  </si>
  <si>
    <t>5.15% Central Government Securities 09/11/2025</t>
  </si>
  <si>
    <t>Institutional Plan - Growth</t>
  </si>
  <si>
    <t>Sundaram Debt Oriented Hybrid Fund</t>
  </si>
  <si>
    <t>INE603J01030</t>
  </si>
  <si>
    <t>PI Industries Ltd</t>
  </si>
  <si>
    <t>INE917I01010</t>
  </si>
  <si>
    <t>Bajaj Auto Ltd</t>
  </si>
  <si>
    <t>INE018I01017</t>
  </si>
  <si>
    <t>MindTree Ltd</t>
  </si>
  <si>
    <t>INE203G01027</t>
  </si>
  <si>
    <t>Indraprastha Gas Ltd</t>
  </si>
  <si>
    <t>IN9397D01014</t>
  </si>
  <si>
    <t>Sundaram Overnight Fund</t>
  </si>
  <si>
    <t>Unclaimed Plan - Redemption Less than three years</t>
  </si>
  <si>
    <t>Unclaimed Plan - Redemption greater than three years</t>
  </si>
  <si>
    <t>S. No.</t>
  </si>
  <si>
    <t>ACRONYM</t>
  </si>
  <si>
    <t>SCHEME NAME</t>
  </si>
  <si>
    <t>SFRLTP</t>
  </si>
  <si>
    <t>SFRSTP</t>
  </si>
  <si>
    <t>SMMF</t>
  </si>
  <si>
    <t>SPLDF</t>
  </si>
  <si>
    <t>SPMON</t>
  </si>
  <si>
    <t>SPSDF</t>
  </si>
  <si>
    <t>SPUSDF</t>
  </si>
  <si>
    <t>SUNBDS</t>
  </si>
  <si>
    <t>SUNMIA</t>
  </si>
  <si>
    <t>SUNONF</t>
  </si>
  <si>
    <r>
      <rPr>
        <sz val="10"/>
        <color rgb="FF000000"/>
        <rFont val="Calibri"/>
        <family val="2"/>
      </rPr>
      <t xml:space="preserve"> ++</t>
    </r>
    <r>
      <rPr>
        <b/>
        <sz val="10"/>
        <color indexed="8"/>
        <rFont val="Calibri"/>
        <family val="2"/>
      </rPr>
      <t>Grand Total</t>
    </r>
  </si>
  <si>
    <t>++ Aggregate Investments by Other schemes of Sundaram Mutual Fund - Rs.610.05 Lakhs</t>
  </si>
  <si>
    <t>g) Average Maturity - only for Debt portion (years)</t>
  </si>
  <si>
    <t>h) Macaulay Duration - only for Debt portion (years)</t>
  </si>
  <si>
    <t>g) Average  Maturity (days)</t>
  </si>
  <si>
    <t>h) Macaulay Duration (days)</t>
  </si>
  <si>
    <t>e) Bonus declared during the period (Rupees per unit)</t>
  </si>
  <si>
    <t>f) Total outstanding exposure in derivative instruments at the end of the period</t>
  </si>
  <si>
    <t>g) Total investments in foreign securities /ADR'S/GDR'S at the end of the period</t>
  </si>
  <si>
    <t>h) Average  Maturity (years)</t>
  </si>
  <si>
    <t>i) Macaulay Duration (years)</t>
  </si>
  <si>
    <t>j)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</si>
  <si>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</si>
  <si>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</si>
  <si>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</si>
  <si>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</si>
  <si>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</si>
  <si>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</si>
  <si>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</si>
  <si>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</si>
  <si>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</si>
  <si>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</si>
  <si>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</si>
  <si>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</si>
  <si>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</si>
  <si>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</si>
  <si>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</si>
  <si>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</si>
  <si>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</si>
  <si>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</si>
  <si>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</si>
  <si>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</si>
  <si>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</si>
  <si>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</si>
  <si>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</si>
  <si>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</si>
  <si>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</si>
  <si>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</si>
  <si>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Refer below point k)</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</si>
  <si>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</si>
  <si>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</si>
  <si>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</si>
  <si>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</si>
  <si>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</si>
  <si>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</si>
  <si>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</si>
  <si>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</si>
  <si>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</si>
  <si>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</si>
  <si>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</si>
  <si>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Refer below point j)</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</si>
  <si>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</si>
  <si>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</si>
  <si>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</si>
  <si>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</si>
  <si>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</si>
  <si>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</si>
  <si>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</si>
  <si>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k) Exposure to securities classified as below investment grade or default as on Aug 31, 2022:-</t>
  </si>
  <si>
    <t>j) Exposure to securities classified as below investment grade or default as on Aug 31, 2022:-</t>
  </si>
  <si>
    <t>% to AUM as on 31/08/2022</t>
  </si>
  <si>
    <t>Bharti Airtel Ltd - Partly Paid Right Shares</t>
  </si>
  <si>
    <t>YTM (%)</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</si>
  <si>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</si>
  <si>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</si>
  <si>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</si>
  <si>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</si>
  <si>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</si>
  <si>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</si>
  <si>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</si>
  <si>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</si>
  <si>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</si>
  <si>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</si>
  <si>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</si>
  <si>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</si>
  <si>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</si>
  <si>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</si>
  <si>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</si>
  <si>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</si>
  <si>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IDCW greater than three years</t>
  </si>
  <si>
    <t>Unclaimed Plan - IDCW less than three years</t>
  </si>
  <si>
    <t>Monthly Portfolio Statement for the month ended 31 August 2022</t>
  </si>
  <si>
    <t>Sundaram Liquid Fund (Formerly Known as Principal Cash Management Fund)</t>
  </si>
  <si>
    <t>Sundaram Short Duration Fund (Formerly Known as Principal Short Term Debt Fund)</t>
  </si>
  <si>
    <t>Sundaram Ultra Short Duration Fund (Formerly Known as Principal Ultra Short Term Fund)</t>
  </si>
  <si>
    <t>Sundaram Low Duration Fund (Formerly Known as Principal Low Duration Fund)</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</si>
  <si>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</si>
  <si>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</si>
  <si>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</si>
  <si>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</si>
  <si>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</si>
  <si>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</si>
  <si>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</si>
  <si>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</si>
  <si>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</si>
  <si>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</si>
  <si>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</si>
  <si>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</si>
  <si>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</si>
  <si>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Tier I Benchmark Riskometer - NIFTY Ultra Short Duration Debt Index B-I</t>
  </si>
  <si>
    <t>Tier II Benchmark Riskometer - NIFTY Ultra Short Duration Debt Index</t>
  </si>
  <si>
    <t>Tier I Benchmark Riskometer - NIFTY Medium Duration Debt Index C-III</t>
  </si>
  <si>
    <t>Tier II Benchmark Riskometer - NIFTY Medium Duration Debt Index</t>
  </si>
  <si>
    <t>Benchmark Riskometer - CRISIL Hybrid 85+15 - Conservative Index</t>
  </si>
  <si>
    <t>Tier I Benchmark Riskometer - NIFTY 1D Rate Index</t>
  </si>
  <si>
    <t>Tier II Benchmark Riskometer - NIFTY 1D Rate Index</t>
  </si>
  <si>
    <t>4.93%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</si>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</sst>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
    <numFmt numFmtId="166" formatCode="[$-1014009]###0.00;\(###0.00\)"/>
    <numFmt numFmtId="167" formatCode="[$-1014009]###0.00%;\(###0.00%\)"/>
    <numFmt numFmtId="168" formatCode="[$-1014009]General"/>
    <numFmt numFmtId="169" formatCode="[$-1014009]###0;\(###0\)"/>
    <numFmt numFmtId="170" formatCode="[$-1014009]#.0000"/>
    <numFmt numFmtId="171" formatCode="[$-1014009]#,##0.000000;\-#,##0.000000"/>
    <numFmt numFmtId="172" formatCode="[$-1014009]#,##0.00;\(#,##0.00\)"/>
    <numFmt numFmtId="173" formatCode="_(* #,##0.00_);_(* \(#,##0.00\);_(* &quot;-&quot;??_);_(@_)"/>
  </numFmts>
  <fonts count="25" x14ac:knownFonts="1">
    <font>
      <sz val="10"/>
      <name val="Arial"/>
      <charset val="1"/>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u/>
      <sz val="10"/>
      <color theme="10"/>
      <name val="Arial"/>
      <family val="2"/>
    </font>
    <font>
      <u/>
      <sz val="11"/>
      <color theme="10"/>
      <name val="Calibri"/>
      <family val="2"/>
      <scheme val="minor"/>
    </font>
    <font>
      <sz val="11"/>
      <name val="Calibri"/>
      <family val="2"/>
      <scheme val="minor"/>
    </font>
    <font>
      <sz val="10"/>
      <color rgb="FF000000"/>
      <name val="Calibri"/>
      <family val="2"/>
    </font>
    <font>
      <sz val="10"/>
      <name val="Arial"/>
      <family val="2"/>
    </font>
    <font>
      <b/>
      <sz val="10"/>
      <name val="Calibri"/>
      <family val="2"/>
      <scheme val="minor"/>
    </font>
    <font>
      <b/>
      <sz val="10"/>
      <color theme="1"/>
      <name val="Calibri"/>
      <family val="2"/>
      <scheme val="minor"/>
    </font>
    <font>
      <sz val="10"/>
      <name val="Calibri"/>
      <family val="2"/>
      <scheme val="minor"/>
    </font>
    <font>
      <sz val="10"/>
      <color theme="1"/>
      <name val="Calibri"/>
      <family val="2"/>
      <scheme val="minor"/>
    </font>
    <font>
      <sz val="11"/>
      <color indexed="8"/>
      <name val="Calibri"/>
      <family val="2"/>
    </font>
    <font>
      <sz val="10"/>
      <color theme="0" tint="-4.9989318521683403E-2"/>
      <name val="Calibri"/>
      <family val="2"/>
      <scheme val="minor"/>
    </font>
    <font>
      <b/>
      <sz val="11"/>
      <name val="Calibri"/>
      <family val="2"/>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s>
  <cellStyleXfs count="10">
    <xf numFmtId="0" fontId="0" fillId="0" borderId="0">
      <alignment wrapText="1"/>
    </xf>
    <xf numFmtId="43" fontId="7" fillId="0" borderId="0" applyFont="0" applyFill="0" applyBorder="0" applyAlignment="0" applyProtection="0"/>
    <xf numFmtId="9" fontId="7" fillId="0" borderId="0" applyFont="0" applyFill="0" applyBorder="0" applyAlignment="0" applyProtection="0"/>
    <xf numFmtId="0" fontId="1" fillId="0" borderId="0"/>
    <xf numFmtId="0" fontId="12" fillId="0" borderId="0" applyNumberFormat="0" applyFill="0" applyBorder="0" applyAlignment="0" applyProtection="0">
      <alignment wrapText="1"/>
    </xf>
    <xf numFmtId="0" fontId="16" fillId="0" borderId="0">
      <alignment wrapText="1"/>
    </xf>
    <xf numFmtId="0" fontId="1" fillId="0" borderId="0"/>
    <xf numFmtId="173" fontId="21" fillId="0" borderId="0" applyFont="0" applyFill="0" applyBorder="0" applyAlignment="0" applyProtection="0"/>
    <xf numFmtId="9" fontId="21" fillId="0" borderId="0" applyFont="0" applyFill="0" applyBorder="0" applyAlignment="0" applyProtection="0"/>
    <xf numFmtId="0" fontId="1" fillId="0" borderId="0"/>
  </cellStyleXfs>
  <cellXfs count="152">
    <xf numFmtId="0" fontId="0" fillId="0" borderId="0" xfId="0">
      <alignment wrapText="1"/>
    </xf>
    <xf numFmtId="0" fontId="3" fillId="2" borderId="4" xfId="0" applyFont="1" applyFill="1" applyBorder="1" applyAlignment="1">
      <alignment horizontal="right" vertical="top" wrapText="1" readingOrder="1"/>
    </xf>
    <xf numFmtId="0" fontId="4" fillId="2" borderId="4" xfId="0" applyFont="1" applyFill="1" applyBorder="1" applyAlignment="1">
      <alignment horizontal="left" vertical="center" wrapText="1" readingOrder="1"/>
    </xf>
    <xf numFmtId="164"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167" fontId="4" fillId="2" borderId="4" xfId="0" applyNumberFormat="1"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left" vertical="center" wrapText="1" readingOrder="1"/>
    </xf>
    <xf numFmtId="169" fontId="3" fillId="2" borderId="4" xfId="0" applyNumberFormat="1"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0" fontId="5" fillId="2" borderId="5" xfId="0" applyFont="1" applyFill="1" applyBorder="1" applyAlignment="1">
      <alignment horizontal="left" vertical="center" wrapText="1" readingOrder="1"/>
    </xf>
    <xf numFmtId="0" fontId="5" fillId="2" borderId="5" xfId="0" applyFont="1" applyFill="1" applyBorder="1" applyAlignment="1">
      <alignment horizontal="right" vertical="center" wrapText="1" readingOrder="1"/>
    </xf>
    <xf numFmtId="0" fontId="5" fillId="2" borderId="0" xfId="0" applyFont="1" applyFill="1" applyAlignment="1">
      <alignment horizontal="left" vertical="center" wrapText="1" readingOrder="1"/>
    </xf>
    <xf numFmtId="0" fontId="3" fillId="2" borderId="0" xfId="0" applyFont="1" applyFill="1" applyAlignment="1">
      <alignment horizontal="left" vertical="center" wrapText="1" readingOrder="1"/>
    </xf>
    <xf numFmtId="0" fontId="5" fillId="2" borderId="0" xfId="0" applyFont="1" applyFill="1" applyAlignment="1">
      <alignment horizontal="right" vertical="center" wrapText="1" readingOrder="1"/>
    </xf>
    <xf numFmtId="0" fontId="5" fillId="2" borderId="6" xfId="0" applyFont="1" applyFill="1" applyBorder="1" applyAlignment="1">
      <alignment horizontal="right" vertical="center" wrapText="1" readingOrder="1"/>
    </xf>
    <xf numFmtId="0" fontId="3" fillId="2" borderId="0" xfId="0" applyFont="1" applyFill="1" applyAlignment="1">
      <alignment horizontal="right" vertical="top" wrapText="1" readingOrder="1"/>
    </xf>
    <xf numFmtId="0" fontId="4" fillId="2" borderId="4" xfId="0" applyFont="1" applyFill="1" applyBorder="1" applyAlignment="1">
      <alignment horizontal="right" vertical="top" wrapText="1" readingOrder="1"/>
    </xf>
    <xf numFmtId="0" fontId="4" fillId="2" borderId="4" xfId="0" applyFont="1" applyFill="1" applyBorder="1" applyAlignment="1">
      <alignment horizontal="left" vertical="top" wrapText="1" readingOrder="1"/>
    </xf>
    <xf numFmtId="170" fontId="3" fillId="2" borderId="4" xfId="0" applyNumberFormat="1" applyFont="1" applyFill="1" applyBorder="1" applyAlignment="1">
      <alignment horizontal="right" vertical="center" wrapText="1" readingOrder="1"/>
    </xf>
    <xf numFmtId="0" fontId="3" fillId="2" borderId="0" xfId="0" applyFont="1" applyFill="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71" fontId="3" fillId="2" borderId="4" xfId="0" applyNumberFormat="1" applyFont="1" applyFill="1" applyBorder="1" applyAlignment="1">
      <alignment horizontal="right" vertical="center" wrapText="1" readingOrder="1"/>
    </xf>
    <xf numFmtId="0" fontId="3" fillId="2" borderId="5" xfId="0" applyFont="1" applyFill="1" applyBorder="1" applyAlignment="1">
      <alignment horizontal="left" vertical="center" wrapText="1" readingOrder="1"/>
    </xf>
    <xf numFmtId="0" fontId="4" fillId="2" borderId="5" xfId="0" applyFont="1" applyFill="1" applyBorder="1" applyAlignment="1">
      <alignment horizontal="left" vertical="center" wrapText="1" readingOrder="1"/>
    </xf>
    <xf numFmtId="0" fontId="3" fillId="2" borderId="6" xfId="0" applyFont="1" applyFill="1" applyBorder="1" applyAlignment="1">
      <alignment horizontal="right" vertical="top" wrapText="1" readingOrder="1"/>
    </xf>
    <xf numFmtId="172" fontId="4"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9" fillId="0" borderId="7" xfId="3" applyFont="1" applyBorder="1" applyAlignment="1">
      <alignment horizontal="center"/>
    </xf>
    <xf numFmtId="0" fontId="11" fillId="0" borderId="7" xfId="3" applyFont="1" applyBorder="1" applyAlignment="1">
      <alignment horizontal="center" vertical="center"/>
    </xf>
    <xf numFmtId="0" fontId="1" fillId="0" borderId="0" xfId="3"/>
    <xf numFmtId="0" fontId="1" fillId="0" borderId="7" xfId="3" applyBorder="1" applyAlignment="1">
      <alignment horizontal="center"/>
    </xf>
    <xf numFmtId="0" fontId="13" fillId="0" borderId="7" xfId="4" applyFont="1" applyBorder="1" applyAlignment="1">
      <alignment vertical="center"/>
    </xf>
    <xf numFmtId="0" fontId="14" fillId="0" borderId="7" xfId="3" applyFont="1" applyBorder="1" applyAlignment="1">
      <alignment vertical="top"/>
    </xf>
    <xf numFmtId="0" fontId="16" fillId="0" borderId="0" xfId="5">
      <alignment wrapText="1"/>
    </xf>
    <xf numFmtId="0" fontId="17" fillId="2" borderId="0" xfId="0" applyFont="1" applyFill="1" applyAlignment="1">
      <alignment vertical="top" readingOrder="1"/>
    </xf>
    <xf numFmtId="0" fontId="17" fillId="2" borderId="0" xfId="0" applyFont="1" applyFill="1" applyAlignment="1">
      <alignment horizontal="left" vertical="top" readingOrder="1"/>
    </xf>
    <xf numFmtId="0" fontId="18" fillId="0" borderId="0" xfId="0" applyFont="1">
      <alignment wrapText="1"/>
    </xf>
    <xf numFmtId="0" fontId="18" fillId="0" borderId="7" xfId="0" applyFont="1" applyBorder="1">
      <alignment wrapText="1"/>
    </xf>
    <xf numFmtId="0" fontId="19" fillId="0" borderId="0" xfId="0" applyFont="1" applyAlignment="1"/>
    <xf numFmtId="0" fontId="19" fillId="0" borderId="7" xfId="0" applyFont="1" applyBorder="1" applyAlignment="1"/>
    <xf numFmtId="43" fontId="19" fillId="0" borderId="7" xfId="1" applyFont="1" applyBorder="1" applyAlignment="1"/>
    <xf numFmtId="43" fontId="20" fillId="0" borderId="7" xfId="1" applyFont="1" applyBorder="1"/>
    <xf numFmtId="4" fontId="19" fillId="0" borderId="7" xfId="0" applyNumberFormat="1" applyFont="1" applyBorder="1" applyAlignment="1"/>
    <xf numFmtId="0" fontId="18" fillId="0" borderId="7" xfId="6" applyFont="1" applyBorder="1" applyAlignment="1">
      <alignment horizontal="center"/>
    </xf>
    <xf numFmtId="0" fontId="20" fillId="0" borderId="7" xfId="6" applyFont="1" applyBorder="1"/>
    <xf numFmtId="0" fontId="20" fillId="0" borderId="7" xfId="6" applyFont="1" applyBorder="1" applyAlignment="1">
      <alignment wrapText="1"/>
    </xf>
    <xf numFmtId="0" fontId="18" fillId="0" borderId="7" xfId="6" applyFont="1" applyBorder="1" applyAlignment="1">
      <alignment horizontal="center" vertical="center" wrapText="1"/>
    </xf>
    <xf numFmtId="4" fontId="20" fillId="0" borderId="7" xfId="6" applyNumberFormat="1" applyFont="1" applyBorder="1"/>
    <xf numFmtId="173" fontId="20" fillId="0" borderId="7" xfId="7" applyFont="1" applyBorder="1"/>
    <xf numFmtId="173" fontId="20" fillId="0" borderId="7" xfId="6" applyNumberFormat="1" applyFont="1" applyBorder="1"/>
    <xf numFmtId="4" fontId="20" fillId="0" borderId="7" xfId="8" applyNumberFormat="1" applyFont="1" applyFill="1" applyBorder="1"/>
    <xf numFmtId="0" fontId="1" fillId="0" borderId="0" xfId="6" applyAlignment="1">
      <alignment wrapText="1"/>
    </xf>
    <xf numFmtId="0" fontId="17" fillId="0" borderId="0" xfId="0" applyFont="1" applyAlignment="1"/>
    <xf numFmtId="0" fontId="12" fillId="0" borderId="0" xfId="4" applyAlignment="1"/>
    <xf numFmtId="0" fontId="1" fillId="0" borderId="0" xfId="3" applyAlignment="1">
      <alignment wrapText="1"/>
    </xf>
    <xf numFmtId="0" fontId="18" fillId="0" borderId="7" xfId="0" applyFont="1" applyBorder="1" applyAlignment="1">
      <alignment horizontal="center" vertical="center" wrapText="1"/>
    </xf>
    <xf numFmtId="0" fontId="0" fillId="0" borderId="0" xfId="0" applyAlignment="1">
      <alignment vertical="center" wrapText="1"/>
    </xf>
    <xf numFmtId="0" fontId="19" fillId="0" borderId="7" xfId="0" applyFont="1" applyBorder="1" applyAlignment="1">
      <alignment vertical="center" wrapText="1"/>
    </xf>
    <xf numFmtId="0" fontId="19" fillId="0" borderId="7" xfId="0" applyFont="1" applyBorder="1" applyAlignment="1">
      <alignment vertical="center"/>
    </xf>
    <xf numFmtId="2" fontId="19" fillId="0" borderId="7" xfId="0" applyNumberFormat="1" applyFont="1" applyBorder="1" applyAlignment="1">
      <alignment vertical="center"/>
    </xf>
    <xf numFmtId="10" fontId="20" fillId="0" borderId="7" xfId="2" applyNumberFormat="1" applyFont="1" applyBorder="1" applyAlignment="1">
      <alignment vertical="center"/>
    </xf>
    <xf numFmtId="4" fontId="19" fillId="0" borderId="7" xfId="0" applyNumberFormat="1" applyFont="1" applyBorder="1" applyAlignment="1">
      <alignment vertical="center"/>
    </xf>
    <xf numFmtId="0" fontId="18" fillId="0" borderId="7" xfId="9" applyFont="1" applyBorder="1" applyAlignment="1">
      <alignment horizontal="center"/>
    </xf>
    <xf numFmtId="0" fontId="18" fillId="0" borderId="0" xfId="9" applyFont="1" applyAlignment="1">
      <alignment horizontal="center"/>
    </xf>
    <xf numFmtId="0" fontId="20" fillId="0" borderId="7" xfId="9" applyFont="1" applyBorder="1"/>
    <xf numFmtId="0" fontId="20" fillId="0" borderId="7" xfId="9" applyFont="1" applyBorder="1" applyAlignment="1">
      <alignment wrapText="1"/>
    </xf>
    <xf numFmtId="0" fontId="20" fillId="0" borderId="0" xfId="9" applyFont="1" applyAlignment="1">
      <alignment horizontal="center"/>
    </xf>
    <xf numFmtId="0" fontId="22" fillId="0" borderId="0" xfId="9" applyFont="1"/>
    <xf numFmtId="0" fontId="18" fillId="0" borderId="7" xfId="9" applyFont="1" applyBorder="1" applyAlignment="1">
      <alignment horizontal="center" vertical="center" wrapText="1"/>
    </xf>
    <xf numFmtId="0" fontId="8" fillId="0" borderId="0" xfId="6" applyFont="1" applyAlignment="1">
      <alignment horizontal="center" vertical="center"/>
    </xf>
    <xf numFmtId="0" fontId="14" fillId="0" borderId="0" xfId="6" applyFont="1" applyAlignment="1">
      <alignment wrapText="1"/>
    </xf>
    <xf numFmtId="0" fontId="20" fillId="0" borderId="7" xfId="9" applyFont="1" applyBorder="1" applyAlignment="1">
      <alignment horizontal="left" vertical="center"/>
    </xf>
    <xf numFmtId="0" fontId="20" fillId="0" borderId="7" xfId="9" applyFont="1" applyBorder="1" applyAlignment="1">
      <alignment vertical="center" wrapText="1"/>
    </xf>
    <xf numFmtId="4" fontId="20" fillId="0" borderId="7" xfId="6" applyNumberFormat="1" applyFont="1" applyBorder="1" applyAlignment="1">
      <alignment horizontal="right" vertical="center"/>
    </xf>
    <xf numFmtId="10" fontId="20" fillId="0" borderId="7" xfId="8" applyNumberFormat="1" applyFont="1" applyFill="1" applyBorder="1" applyAlignment="1">
      <alignment vertical="center"/>
    </xf>
    <xf numFmtId="4" fontId="10" fillId="0" borderId="0" xfId="9" applyNumberFormat="1" applyFont="1"/>
    <xf numFmtId="4" fontId="10" fillId="0" borderId="0" xfId="6" applyNumberFormat="1" applyFont="1"/>
    <xf numFmtId="2" fontId="20" fillId="0" borderId="7" xfId="6" applyNumberFormat="1" applyFont="1" applyBorder="1"/>
    <xf numFmtId="4" fontId="19" fillId="0" borderId="0" xfId="9" applyNumberFormat="1" applyFont="1" applyAlignment="1">
      <alignment horizontal="left"/>
    </xf>
    <xf numFmtId="0" fontId="23" fillId="0" borderId="13" xfId="0" applyFont="1" applyBorder="1" applyAlignment="1">
      <alignment horizontal="center" vertical="center" wrapText="1" readingOrder="1"/>
    </xf>
    <xf numFmtId="0" fontId="2" fillId="2" borderId="4" xfId="0" applyFont="1" applyFill="1" applyBorder="1" applyAlignment="1">
      <alignment horizontal="center" vertical="center" wrapText="1" readingOrder="1"/>
    </xf>
    <xf numFmtId="0" fontId="0" fillId="0" borderId="0" xfId="0" applyAlignment="1">
      <alignment horizontal="center" vertical="center" wrapText="1"/>
    </xf>
    <xf numFmtId="172" fontId="4" fillId="0" borderId="4" xfId="0" applyNumberFormat="1" applyFont="1" applyBorder="1" applyAlignment="1">
      <alignment horizontal="left" vertical="center" wrapText="1" readingOrder="1"/>
    </xf>
    <xf numFmtId="0" fontId="24" fillId="3" borderId="0" xfId="4" applyFont="1" applyFill="1" applyBorder="1" applyAlignment="1">
      <alignment horizontal="center" vertical="center" wrapText="1"/>
    </xf>
    <xf numFmtId="0" fontId="16" fillId="0" borderId="0" xfId="5" applyAlignment="1">
      <alignment vertical="center" wrapText="1"/>
    </xf>
    <xf numFmtId="0" fontId="9" fillId="0" borderId="0" xfId="0" applyFont="1" applyAlignment="1"/>
    <xf numFmtId="0" fontId="9" fillId="0" borderId="0" xfId="0" applyFont="1" applyAlignment="1">
      <alignment horizontal="left"/>
    </xf>
    <xf numFmtId="0" fontId="16" fillId="0" borderId="0" xfId="5" applyAlignment="1">
      <alignment horizontal="left"/>
    </xf>
    <xf numFmtId="0" fontId="11" fillId="0" borderId="0" xfId="5" applyFont="1" applyAlignment="1">
      <alignment vertical="center" wrapText="1"/>
    </xf>
    <xf numFmtId="0" fontId="11" fillId="0" borderId="0" xfId="5" applyFont="1" applyAlignment="1">
      <alignment horizontal="left"/>
    </xf>
    <xf numFmtId="0" fontId="3" fillId="2" borderId="1"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11" fillId="0" borderId="0" xfId="5" applyFont="1" applyAlignment="1">
      <alignment horizontal="center" vertical="center" wrapText="1"/>
    </xf>
    <xf numFmtId="0" fontId="2" fillId="2" borderId="7" xfId="0" applyFont="1" applyFill="1" applyBorder="1" applyAlignment="1">
      <alignment horizontal="center" vertical="center" wrapText="1" readingOrder="1"/>
    </xf>
    <xf numFmtId="0" fontId="3" fillId="2" borderId="0" xfId="0" applyFont="1" applyFill="1" applyAlignment="1">
      <alignment horizontal="left" vertical="center" wrapText="1" readingOrder="1"/>
    </xf>
    <xf numFmtId="0" fontId="4" fillId="2" borderId="1" xfId="0" applyFont="1" applyFill="1" applyBorder="1" applyAlignment="1">
      <alignment horizontal="left" vertical="center" wrapText="1" readingOrder="1"/>
    </xf>
    <xf numFmtId="0" fontId="4" fillId="2" borderId="2"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3" fillId="2" borderId="5" xfId="0" applyFont="1" applyFill="1" applyBorder="1" applyAlignment="1">
      <alignment horizontal="left" vertical="center" wrapText="1" readingOrder="1"/>
    </xf>
    <xf numFmtId="43" fontId="20" fillId="0" borderId="7" xfId="1" applyFont="1" applyBorder="1" applyAlignment="1">
      <alignment horizontal="center"/>
    </xf>
    <xf numFmtId="0" fontId="20" fillId="0" borderId="7" xfId="6" applyFont="1" applyBorder="1" applyAlignment="1">
      <alignment horizontal="left" vertical="center" wrapText="1"/>
    </xf>
    <xf numFmtId="0" fontId="18" fillId="0" borderId="7" xfId="6" applyFont="1" applyBorder="1" applyAlignment="1">
      <alignment horizontal="center"/>
    </xf>
    <xf numFmtId="0" fontId="18" fillId="0" borderId="7" xfId="6" applyFont="1" applyBorder="1" applyAlignment="1">
      <alignment horizontal="center" vertical="center"/>
    </xf>
    <xf numFmtId="0" fontId="18" fillId="0" borderId="8" xfId="6" applyFont="1" applyBorder="1" applyAlignment="1">
      <alignment horizontal="center" vertical="center" wrapText="1"/>
    </xf>
    <xf numFmtId="0" fontId="18" fillId="0" borderId="9" xfId="6" applyFont="1" applyBorder="1" applyAlignment="1">
      <alignment horizontal="center" vertical="center" wrapText="1"/>
    </xf>
    <xf numFmtId="0" fontId="18" fillId="0" borderId="7" xfId="6" applyFont="1" applyBorder="1" applyAlignment="1">
      <alignment horizontal="center" wrapText="1"/>
    </xf>
    <xf numFmtId="0" fontId="9" fillId="0" borderId="0" xfId="5" applyFont="1" applyAlignment="1">
      <alignment horizontal="center" vertical="center" wrapText="1"/>
    </xf>
    <xf numFmtId="0" fontId="3" fillId="2" borderId="0" xfId="0" quotePrefix="1" applyFont="1" applyFill="1" applyAlignment="1">
      <alignment horizontal="left" vertical="center" wrapText="1" readingOrder="1"/>
    </xf>
    <xf numFmtId="43" fontId="20" fillId="0" borderId="10" xfId="1" applyFont="1" applyBorder="1" applyAlignment="1">
      <alignment horizontal="center"/>
    </xf>
    <xf numFmtId="43" fontId="20" fillId="0" borderId="11" xfId="1" applyFont="1" applyBorder="1" applyAlignment="1">
      <alignment horizontal="center"/>
    </xf>
    <xf numFmtId="43" fontId="20" fillId="0" borderId="12" xfId="1" applyFont="1" applyBorder="1" applyAlignment="1">
      <alignment horizontal="center"/>
    </xf>
    <xf numFmtId="0" fontId="18" fillId="0" borderId="10" xfId="6" applyFont="1" applyBorder="1" applyAlignment="1">
      <alignment horizontal="center" wrapText="1"/>
    </xf>
    <xf numFmtId="0" fontId="18" fillId="0" borderId="11" xfId="6" applyFont="1" applyBorder="1" applyAlignment="1">
      <alignment horizontal="center" wrapText="1"/>
    </xf>
    <xf numFmtId="0" fontId="18" fillId="0" borderId="12" xfId="6" applyFont="1" applyBorder="1" applyAlignment="1">
      <alignment horizontal="center" wrapText="1"/>
    </xf>
    <xf numFmtId="0" fontId="18" fillId="0" borderId="10" xfId="6" applyFont="1" applyBorder="1" applyAlignment="1">
      <alignment horizontal="center"/>
    </xf>
    <xf numFmtId="0" fontId="18" fillId="0" borderId="12" xfId="6" applyFont="1" applyBorder="1" applyAlignment="1">
      <alignment horizontal="center"/>
    </xf>
    <xf numFmtId="0" fontId="17" fillId="2" borderId="0" xfId="0" applyFont="1" applyFill="1" applyAlignment="1">
      <alignment horizontal="left" vertical="top" readingOrder="1"/>
    </xf>
    <xf numFmtId="0" fontId="20" fillId="0" borderId="7" xfId="6" applyFont="1" applyBorder="1" applyAlignment="1">
      <alignment horizontal="center"/>
    </xf>
    <xf numFmtId="0" fontId="20" fillId="0" borderId="10" xfId="9" applyFont="1" applyBorder="1" applyAlignment="1">
      <alignment horizontal="left" wrapText="1"/>
    </xf>
    <xf numFmtId="0" fontId="20" fillId="0" borderId="11" xfId="9" applyFont="1" applyBorder="1" applyAlignment="1">
      <alignment horizontal="left" wrapText="1"/>
    </xf>
    <xf numFmtId="0" fontId="20" fillId="0" borderId="12" xfId="9" applyFont="1" applyBorder="1" applyAlignment="1">
      <alignment horizontal="left" wrapText="1"/>
    </xf>
    <xf numFmtId="0" fontId="18" fillId="0" borderId="10" xfId="9" applyFont="1" applyBorder="1" applyAlignment="1">
      <alignment horizontal="center"/>
    </xf>
    <xf numFmtId="0" fontId="18" fillId="0" borderId="11" xfId="9" applyFont="1" applyBorder="1" applyAlignment="1">
      <alignment horizontal="center"/>
    </xf>
    <xf numFmtId="0" fontId="18" fillId="0" borderId="12" xfId="9" applyFont="1" applyBorder="1" applyAlignment="1">
      <alignment horizontal="center"/>
    </xf>
    <xf numFmtId="0" fontId="18" fillId="0" borderId="7" xfId="9" applyFont="1" applyBorder="1" applyAlignment="1">
      <alignment horizontal="center" vertical="center"/>
    </xf>
    <xf numFmtId="0" fontId="18" fillId="0" borderId="10" xfId="9" applyFont="1" applyBorder="1" applyAlignment="1">
      <alignment horizontal="center" vertical="center"/>
    </xf>
    <xf numFmtId="0" fontId="18" fillId="0" borderId="11" xfId="9" applyFont="1" applyBorder="1" applyAlignment="1">
      <alignment horizontal="center" vertical="center"/>
    </xf>
    <xf numFmtId="0" fontId="18" fillId="0" borderId="12" xfId="9" applyFont="1" applyBorder="1" applyAlignment="1">
      <alignment horizontal="center" vertical="center"/>
    </xf>
    <xf numFmtId="0" fontId="17" fillId="2" borderId="10" xfId="0" applyFont="1" applyFill="1" applyBorder="1" applyAlignment="1">
      <alignment horizontal="left" vertical="top" readingOrder="1"/>
    </xf>
    <xf numFmtId="0" fontId="17" fillId="2" borderId="11" xfId="0" applyFont="1" applyFill="1" applyBorder="1" applyAlignment="1">
      <alignment horizontal="left" vertical="top" readingOrder="1"/>
    </xf>
    <xf numFmtId="0" fontId="17" fillId="2" borderId="12" xfId="0" applyFont="1" applyFill="1" applyBorder="1" applyAlignment="1">
      <alignment horizontal="left" vertical="top" readingOrder="1"/>
    </xf>
    <xf numFmtId="0" fontId="18" fillId="0" borderId="10" xfId="9" applyFont="1" applyBorder="1" applyAlignment="1">
      <alignment horizontal="center" vertical="center" wrapText="1"/>
    </xf>
    <xf numFmtId="0" fontId="18" fillId="0" borderId="12" xfId="9" applyFont="1" applyBorder="1" applyAlignment="1">
      <alignment horizontal="center" vertical="center" wrapText="1"/>
    </xf>
    <xf numFmtId="43" fontId="20" fillId="0" borderId="10" xfId="1" applyFont="1" applyBorder="1" applyAlignment="1">
      <alignment horizontal="center" vertical="center"/>
    </xf>
    <xf numFmtId="43" fontId="20" fillId="0" borderId="12" xfId="1" applyFont="1" applyBorder="1" applyAlignment="1">
      <alignment horizontal="center" vertical="center"/>
    </xf>
    <xf numFmtId="0" fontId="17" fillId="2" borderId="7" xfId="0" applyFont="1" applyFill="1" applyBorder="1" applyAlignment="1">
      <alignment horizontal="left" vertical="top" readingOrder="1"/>
    </xf>
    <xf numFmtId="43" fontId="20" fillId="0" borderId="7" xfId="1" applyFont="1" applyBorder="1" applyAlignment="1">
      <alignment vertical="center"/>
    </xf>
    <xf numFmtId="43" fontId="20" fillId="0" borderId="7" xfId="1" applyFont="1" applyBorder="1" applyAlignment="1">
      <alignment horizontal="center" vertical="center"/>
    </xf>
    <xf numFmtId="168" fontId="3" fillId="0" borderId="4" xfId="0" applyNumberFormat="1" applyFont="1" applyFill="1" applyBorder="1" applyAlignment="1">
      <alignment horizontal="right" vertical="center" wrapText="1" readingOrder="1"/>
    </xf>
    <xf numFmtId="0" fontId="3" fillId="0" borderId="4" xfId="0" applyFont="1" applyFill="1" applyBorder="1" applyAlignment="1">
      <alignment horizontal="left" vertical="center" wrapText="1" readingOrder="1"/>
    </xf>
    <xf numFmtId="169" fontId="3" fillId="0" borderId="4" xfId="0" applyNumberFormat="1" applyFont="1" applyFill="1" applyBorder="1" applyAlignment="1">
      <alignment horizontal="right" vertical="center" wrapText="1" readingOrder="1"/>
    </xf>
    <xf numFmtId="166" fontId="3" fillId="0" borderId="4" xfId="0" applyNumberFormat="1" applyFont="1" applyFill="1" applyBorder="1" applyAlignment="1">
      <alignment horizontal="right" vertical="center" wrapText="1" readingOrder="1"/>
    </xf>
    <xf numFmtId="167" fontId="3" fillId="0" borderId="4" xfId="0" applyNumberFormat="1" applyFont="1" applyFill="1" applyBorder="1" applyAlignment="1">
      <alignment horizontal="right" vertical="center" wrapText="1" readingOrder="1"/>
    </xf>
    <xf numFmtId="0" fontId="0" fillId="0" borderId="0" xfId="0" applyFill="1">
      <alignment wrapText="1"/>
    </xf>
    <xf numFmtId="0" fontId="16" fillId="0" borderId="0" xfId="5" applyFill="1">
      <alignment wrapText="1"/>
    </xf>
  </cellXfs>
  <cellStyles count="10">
    <cellStyle name="Comma" xfId="1" builtinId="3"/>
    <cellStyle name="Comma 2" xfId="7" xr:uid="{8BF29707-29F3-4E02-840C-359B4DCBEA70}"/>
    <cellStyle name="Hyperlink 2" xfId="4" xr:uid="{DFACB8B1-0B06-461D-83A7-70A4C83B8469}"/>
    <cellStyle name="Normal" xfId="0" builtinId="0"/>
    <cellStyle name="Normal 2" xfId="3" xr:uid="{C51FC812-59A4-42CE-B471-64235A722928}"/>
    <cellStyle name="Normal 2 2" xfId="6" xr:uid="{340F2A86-37E9-4C14-8FA8-1A1C6551E535}"/>
    <cellStyle name="Normal 2 2 3" xfId="9" xr:uid="{D24566F6-C107-443D-AB06-9272A0FCCE70}"/>
    <cellStyle name="Normal 3" xfId="5" xr:uid="{E789D81D-D9C8-4D38-BB38-925CCDE15305}"/>
    <cellStyle name="Percent" xfId="2" builtinId="5"/>
    <cellStyle name="Percent 2" xfId="8" xr:uid="{BE60574C-71AE-497B-A78E-230DC4BD0F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17</xdr:row>
      <xdr:rowOff>0</xdr:rowOff>
    </xdr:from>
    <xdr:to>
      <xdr:col>14</xdr:col>
      <xdr:colOff>200025</xdr:colOff>
      <xdr:row>26</xdr:row>
      <xdr:rowOff>123825</xdr:rowOff>
    </xdr:to>
    <xdr:pic>
      <xdr:nvPicPr>
        <xdr:cNvPr id="2" name="Picture 1">
          <a:extLst>
            <a:ext uri="{FF2B5EF4-FFF2-40B4-BE49-F238E27FC236}">
              <a16:creationId xmlns:a16="http://schemas.microsoft.com/office/drawing/2014/main" id="{08CEC9D5-3227-4EAD-9D9B-289F7529FA48}"/>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01275" y="34480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66CD1DB1-832A-46FB-BAFF-30E1907C7342}"/>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114300</xdr:colOff>
      <xdr:row>29</xdr:row>
      <xdr:rowOff>190500</xdr:rowOff>
    </xdr:from>
    <xdr:to>
      <xdr:col>14</xdr:col>
      <xdr:colOff>285750</xdr:colOff>
      <xdr:row>34</xdr:row>
      <xdr:rowOff>104775</xdr:rowOff>
    </xdr:to>
    <xdr:pic>
      <xdr:nvPicPr>
        <xdr:cNvPr id="4" name="Picture 3">
          <a:extLst>
            <a:ext uri="{FF2B5EF4-FFF2-40B4-BE49-F238E27FC236}">
              <a16:creationId xmlns:a16="http://schemas.microsoft.com/office/drawing/2014/main" id="{A2AC1AAB-5EEE-426D-B005-E0966AE7E0AB}"/>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87000" y="6267450"/>
          <a:ext cx="3219450"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609599</xdr:colOff>
      <xdr:row>18</xdr:row>
      <xdr:rowOff>0</xdr:rowOff>
    </xdr:from>
    <xdr:to>
      <xdr:col>14</xdr:col>
      <xdr:colOff>152400</xdr:colOff>
      <xdr:row>27</xdr:row>
      <xdr:rowOff>9525</xdr:rowOff>
    </xdr:to>
    <xdr:pic>
      <xdr:nvPicPr>
        <xdr:cNvPr id="2" name="Picture 1">
          <a:extLst>
            <a:ext uri="{FF2B5EF4-FFF2-40B4-BE49-F238E27FC236}">
              <a16:creationId xmlns:a16="http://schemas.microsoft.com/office/drawing/2014/main" id="{96F304B8-D94A-4E6C-BB17-E450964ECCD9}"/>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699" y="361950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9522</xdr:colOff>
      <xdr:row>2</xdr:row>
      <xdr:rowOff>180973</xdr:rowOff>
    </xdr:from>
    <xdr:to>
      <xdr:col>14</xdr:col>
      <xdr:colOff>171449</xdr:colOff>
      <xdr:row>12</xdr:row>
      <xdr:rowOff>47923</xdr:rowOff>
    </xdr:to>
    <xdr:pic>
      <xdr:nvPicPr>
        <xdr:cNvPr id="3" name="Picture 2">
          <a:extLst>
            <a:ext uri="{FF2B5EF4-FFF2-40B4-BE49-F238E27FC236}">
              <a16:creationId xmlns:a16="http://schemas.microsoft.com/office/drawing/2014/main" id="{5CC5B443-E5E7-4652-92DE-F3FDAAD044A7}"/>
            </a:ext>
          </a:extLst>
        </xdr:cNvPr>
        <xdr:cNvPicPr preferRelativeResize="0">
          <a:picLocks noChangeAspect="1"/>
        </xdr:cNvPicPr>
      </xdr:nvPicPr>
      <xdr:blipFill>
        <a:blip xmlns:r="http://schemas.openxmlformats.org/officeDocument/2006/relationships" r:embed="rId2"/>
        <a:stretch>
          <a:fillRect/>
        </a:stretch>
      </xdr:blipFill>
      <xdr:spPr>
        <a:xfrm>
          <a:off x="10182222" y="619123"/>
          <a:ext cx="3209927" cy="2019600"/>
        </a:xfrm>
        <a:prstGeom prst="rect">
          <a:avLst/>
        </a:prstGeom>
      </xdr:spPr>
    </xdr:pic>
    <xdr:clientData/>
  </xdr:twoCellAnchor>
  <xdr:twoCellAnchor editAs="oneCell">
    <xdr:from>
      <xdr:col>9</xdr:col>
      <xdr:colOff>200025</xdr:colOff>
      <xdr:row>30</xdr:row>
      <xdr:rowOff>171450</xdr:rowOff>
    </xdr:from>
    <xdr:to>
      <xdr:col>14</xdr:col>
      <xdr:colOff>352426</xdr:colOff>
      <xdr:row>35</xdr:row>
      <xdr:rowOff>257175</xdr:rowOff>
    </xdr:to>
    <xdr:pic>
      <xdr:nvPicPr>
        <xdr:cNvPr id="4" name="Picture 3">
          <a:extLst>
            <a:ext uri="{FF2B5EF4-FFF2-40B4-BE49-F238E27FC236}">
              <a16:creationId xmlns:a16="http://schemas.microsoft.com/office/drawing/2014/main" id="{9B7FD8DB-F1A7-4B8B-BA3C-95A7BFDE7E5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72725" y="6457950"/>
          <a:ext cx="32004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38100</xdr:colOff>
      <xdr:row>18</xdr:row>
      <xdr:rowOff>1</xdr:rowOff>
    </xdr:from>
    <xdr:to>
      <xdr:col>14</xdr:col>
      <xdr:colOff>238125</xdr:colOff>
      <xdr:row>27</xdr:row>
      <xdr:rowOff>28575</xdr:rowOff>
    </xdr:to>
    <xdr:pic>
      <xdr:nvPicPr>
        <xdr:cNvPr id="2" name="Picture 1">
          <a:extLst>
            <a:ext uri="{FF2B5EF4-FFF2-40B4-BE49-F238E27FC236}">
              <a16:creationId xmlns:a16="http://schemas.microsoft.com/office/drawing/2014/main" id="{8A41BE8E-07B0-4BEC-AF54-7B7D07ABC3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3619501"/>
          <a:ext cx="3248025"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32</xdr:row>
      <xdr:rowOff>133350</xdr:rowOff>
    </xdr:from>
    <xdr:to>
      <xdr:col>14</xdr:col>
      <xdr:colOff>381000</xdr:colOff>
      <xdr:row>43</xdr:row>
      <xdr:rowOff>66675</xdr:rowOff>
    </xdr:to>
    <xdr:pic>
      <xdr:nvPicPr>
        <xdr:cNvPr id="3" name="Picture 2">
          <a:extLst>
            <a:ext uri="{FF2B5EF4-FFF2-40B4-BE49-F238E27FC236}">
              <a16:creationId xmlns:a16="http://schemas.microsoft.com/office/drawing/2014/main" id="{AE833DEF-D402-48F9-8AA8-EC46EFA108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343650"/>
          <a:ext cx="339090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5DF4D015-36D1-4EA6-86C6-B340E0948C2D}"/>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142875</xdr:colOff>
      <xdr:row>26</xdr:row>
      <xdr:rowOff>85725</xdr:rowOff>
    </xdr:to>
    <xdr:pic>
      <xdr:nvPicPr>
        <xdr:cNvPr id="2" name="Picture 1">
          <a:extLst>
            <a:ext uri="{FF2B5EF4-FFF2-40B4-BE49-F238E27FC236}">
              <a16:creationId xmlns:a16="http://schemas.microsoft.com/office/drawing/2014/main" id="{EE9D0B75-830A-42C8-AE5F-39EE8692FB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133724"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190500</xdr:colOff>
      <xdr:row>34</xdr:row>
      <xdr:rowOff>9526</xdr:rowOff>
    </xdr:to>
    <xdr:pic>
      <xdr:nvPicPr>
        <xdr:cNvPr id="3" name="Picture 2">
          <a:extLst>
            <a:ext uri="{FF2B5EF4-FFF2-40B4-BE49-F238E27FC236}">
              <a16:creationId xmlns:a16="http://schemas.microsoft.com/office/drawing/2014/main" id="{354C4BE0-14B2-428B-AEA3-AA4830C085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718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171450</xdr:colOff>
      <xdr:row>12</xdr:row>
      <xdr:rowOff>161925</xdr:rowOff>
    </xdr:to>
    <xdr:pic>
      <xdr:nvPicPr>
        <xdr:cNvPr id="5" name="Picture 4">
          <a:extLst>
            <a:ext uri="{FF2B5EF4-FFF2-40B4-BE49-F238E27FC236}">
              <a16:creationId xmlns:a16="http://schemas.microsoft.com/office/drawing/2014/main" id="{0781F920-1A0B-4CF5-A325-E8EC25A04CC2}"/>
            </a:ext>
          </a:extLst>
        </xdr:cNvPr>
        <xdr:cNvPicPr>
          <a:picLocks noChangeAspect="1"/>
        </xdr:cNvPicPr>
      </xdr:nvPicPr>
      <xdr:blipFill>
        <a:blip xmlns:r="http://schemas.openxmlformats.org/officeDocument/2006/relationships" r:embed="rId2"/>
        <a:stretch>
          <a:fillRect/>
        </a:stretch>
      </xdr:blipFill>
      <xdr:spPr>
        <a:xfrm>
          <a:off x="10172700" y="704850"/>
          <a:ext cx="3219450" cy="2047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276225</xdr:colOff>
      <xdr:row>26</xdr:row>
      <xdr:rowOff>114300</xdr:rowOff>
    </xdr:to>
    <xdr:pic>
      <xdr:nvPicPr>
        <xdr:cNvPr id="2" name="Picture 1">
          <a:extLst>
            <a:ext uri="{FF2B5EF4-FFF2-40B4-BE49-F238E27FC236}">
              <a16:creationId xmlns:a16="http://schemas.microsoft.com/office/drawing/2014/main" id="{44FC6DDA-B378-4DA9-B9E7-C76F8E679F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52800"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47626</xdr:rowOff>
    </xdr:from>
    <xdr:to>
      <xdr:col>14</xdr:col>
      <xdr:colOff>247650</xdr:colOff>
      <xdr:row>41</xdr:row>
      <xdr:rowOff>9525</xdr:rowOff>
    </xdr:to>
    <xdr:pic>
      <xdr:nvPicPr>
        <xdr:cNvPr id="3" name="Picture 2">
          <a:extLst>
            <a:ext uri="{FF2B5EF4-FFF2-40B4-BE49-F238E27FC236}">
              <a16:creationId xmlns:a16="http://schemas.microsoft.com/office/drawing/2014/main" id="{D03A954A-6FEF-4DB3-9F2B-A720E7FE99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6105526"/>
          <a:ext cx="3390900" cy="1847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123825</xdr:colOff>
      <xdr:row>12</xdr:row>
      <xdr:rowOff>114299</xdr:rowOff>
    </xdr:to>
    <xdr:pic>
      <xdr:nvPicPr>
        <xdr:cNvPr id="4" name="Picture 3">
          <a:extLst>
            <a:ext uri="{FF2B5EF4-FFF2-40B4-BE49-F238E27FC236}">
              <a16:creationId xmlns:a16="http://schemas.microsoft.com/office/drawing/2014/main" id="{2987A3E4-CF76-48F1-8D84-5A9D738CF514}"/>
            </a:ext>
          </a:extLst>
        </xdr:cNvPr>
        <xdr:cNvPicPr preferRelativeResize="0">
          <a:picLocks noChangeAspect="1"/>
        </xdr:cNvPicPr>
      </xdr:nvPicPr>
      <xdr:blipFill>
        <a:blip xmlns:r="http://schemas.openxmlformats.org/officeDocument/2006/relationships" r:embed="rId2"/>
        <a:stretch>
          <a:fillRect/>
        </a:stretch>
      </xdr:blipFill>
      <xdr:spPr>
        <a:xfrm>
          <a:off x="10172700" y="704850"/>
          <a:ext cx="3171825" cy="200024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342900</xdr:colOff>
      <xdr:row>26</xdr:row>
      <xdr:rowOff>209551</xdr:rowOff>
    </xdr:to>
    <xdr:pic>
      <xdr:nvPicPr>
        <xdr:cNvPr id="2" name="Picture 1">
          <a:extLst>
            <a:ext uri="{FF2B5EF4-FFF2-40B4-BE49-F238E27FC236}">
              <a16:creationId xmlns:a16="http://schemas.microsoft.com/office/drawing/2014/main" id="{9C2BA1F5-ADAF-4A11-9493-CBC2822D87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131167</xdr:colOff>
      <xdr:row>12</xdr:row>
      <xdr:rowOff>133350</xdr:rowOff>
    </xdr:to>
    <xdr:pic>
      <xdr:nvPicPr>
        <xdr:cNvPr id="3" name="Picture 2">
          <a:extLst>
            <a:ext uri="{FF2B5EF4-FFF2-40B4-BE49-F238E27FC236}">
              <a16:creationId xmlns:a16="http://schemas.microsoft.com/office/drawing/2014/main" id="{8208C70C-3BF5-4979-A4AB-3FA09838992A}"/>
            </a:ext>
          </a:extLst>
        </xdr:cNvPr>
        <xdr:cNvPicPr>
          <a:picLocks noChangeAspect="1"/>
        </xdr:cNvPicPr>
      </xdr:nvPicPr>
      <xdr:blipFill>
        <a:blip xmlns:r="http://schemas.openxmlformats.org/officeDocument/2006/relationships" r:embed="rId2"/>
        <a:stretch>
          <a:fillRect/>
        </a:stretch>
      </xdr:blipFill>
      <xdr:spPr>
        <a:xfrm>
          <a:off x="10172700" y="704850"/>
          <a:ext cx="3179167" cy="2019300"/>
        </a:xfrm>
        <a:prstGeom prst="rect">
          <a:avLst/>
        </a:prstGeom>
      </xdr:spPr>
    </xdr:pic>
    <xdr:clientData/>
  </xdr:twoCellAnchor>
  <xdr:twoCellAnchor editAs="oneCell">
    <xdr:from>
      <xdr:col>9</xdr:col>
      <xdr:colOff>0</xdr:colOff>
      <xdr:row>29</xdr:row>
      <xdr:rowOff>152401</xdr:rowOff>
    </xdr:from>
    <xdr:to>
      <xdr:col>14</xdr:col>
      <xdr:colOff>352425</xdr:colOff>
      <xdr:row>34</xdr:row>
      <xdr:rowOff>304801</xdr:rowOff>
    </xdr:to>
    <xdr:pic>
      <xdr:nvPicPr>
        <xdr:cNvPr id="4" name="Picture 3">
          <a:extLst>
            <a:ext uri="{FF2B5EF4-FFF2-40B4-BE49-F238E27FC236}">
              <a16:creationId xmlns:a16="http://schemas.microsoft.com/office/drawing/2014/main" id="{4CB14316-F7FA-4FB5-BC5A-280C8DBEB2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400425"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76201</xdr:rowOff>
    </xdr:from>
    <xdr:to>
      <xdr:col>14</xdr:col>
      <xdr:colOff>314326</xdr:colOff>
      <xdr:row>26</xdr:row>
      <xdr:rowOff>95250</xdr:rowOff>
    </xdr:to>
    <xdr:pic>
      <xdr:nvPicPr>
        <xdr:cNvPr id="2" name="Picture 1">
          <a:extLst>
            <a:ext uri="{FF2B5EF4-FFF2-40B4-BE49-F238E27FC236}">
              <a16:creationId xmlns:a16="http://schemas.microsoft.com/office/drawing/2014/main" id="{3D3EEDF4-14E3-4A14-95F6-E789F75974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52801"/>
          <a:ext cx="3333752"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xdr:colOff>
      <xdr:row>28</xdr:row>
      <xdr:rowOff>47625</xdr:rowOff>
    </xdr:from>
    <xdr:to>
      <xdr:col>14</xdr:col>
      <xdr:colOff>323851</xdr:colOff>
      <xdr:row>34</xdr:row>
      <xdr:rowOff>47624</xdr:rowOff>
    </xdr:to>
    <xdr:pic>
      <xdr:nvPicPr>
        <xdr:cNvPr id="3" name="Picture 2">
          <a:extLst>
            <a:ext uri="{FF2B5EF4-FFF2-40B4-BE49-F238E27FC236}">
              <a16:creationId xmlns:a16="http://schemas.microsoft.com/office/drawing/2014/main" id="{CD492397-6426-4F81-8376-0ED0B077E8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1" y="6124575"/>
          <a:ext cx="3371850"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3</xdr:row>
      <xdr:rowOff>0</xdr:rowOff>
    </xdr:from>
    <xdr:to>
      <xdr:col>14</xdr:col>
      <xdr:colOff>180975</xdr:colOff>
      <xdr:row>13</xdr:row>
      <xdr:rowOff>38100</xdr:rowOff>
    </xdr:to>
    <xdr:pic>
      <xdr:nvPicPr>
        <xdr:cNvPr id="4" name="Picture 3">
          <a:extLst>
            <a:ext uri="{FF2B5EF4-FFF2-40B4-BE49-F238E27FC236}">
              <a16:creationId xmlns:a16="http://schemas.microsoft.com/office/drawing/2014/main" id="{F2DC45EF-C313-4D31-81AA-67A27DD182C1}"/>
            </a:ext>
          </a:extLst>
        </xdr:cNvPr>
        <xdr:cNvPicPr>
          <a:picLocks noChangeAspect="1"/>
        </xdr:cNvPicPr>
      </xdr:nvPicPr>
      <xdr:blipFill>
        <a:blip xmlns:r="http://schemas.openxmlformats.org/officeDocument/2006/relationships" r:embed="rId2"/>
        <a:stretch>
          <a:fillRect/>
        </a:stretch>
      </xdr:blipFill>
      <xdr:spPr>
        <a:xfrm>
          <a:off x="10182225" y="704850"/>
          <a:ext cx="3219450" cy="20955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2</xdr:row>
      <xdr:rowOff>85725</xdr:rowOff>
    </xdr:from>
    <xdr:to>
      <xdr:col>14</xdr:col>
      <xdr:colOff>161925</xdr:colOff>
      <xdr:row>12</xdr:row>
      <xdr:rowOff>0</xdr:rowOff>
    </xdr:to>
    <xdr:pic>
      <xdr:nvPicPr>
        <xdr:cNvPr id="2" name="Picture 1">
          <a:extLst>
            <a:ext uri="{FF2B5EF4-FFF2-40B4-BE49-F238E27FC236}">
              <a16:creationId xmlns:a16="http://schemas.microsoft.com/office/drawing/2014/main" id="{C328E44C-DB92-406D-B0B9-D6E86BD1FC4E}"/>
            </a:ext>
          </a:extLst>
        </xdr:cNvPr>
        <xdr:cNvPicPr>
          <a:picLocks noChangeAspect="1"/>
        </xdr:cNvPicPr>
      </xdr:nvPicPr>
      <xdr:blipFill>
        <a:blip xmlns:r="http://schemas.openxmlformats.org/officeDocument/2006/relationships" r:embed="rId1"/>
        <a:stretch>
          <a:fillRect/>
        </a:stretch>
      </xdr:blipFill>
      <xdr:spPr>
        <a:xfrm>
          <a:off x="10115550" y="523875"/>
          <a:ext cx="3219450" cy="2066925"/>
        </a:xfrm>
        <a:prstGeom prst="rect">
          <a:avLst/>
        </a:prstGeom>
      </xdr:spPr>
    </xdr:pic>
    <xdr:clientData/>
  </xdr:twoCellAnchor>
  <xdr:oneCellAnchor>
    <xdr:from>
      <xdr:col>9</xdr:col>
      <xdr:colOff>28575</xdr:colOff>
      <xdr:row>30</xdr:row>
      <xdr:rowOff>1</xdr:rowOff>
    </xdr:from>
    <xdr:ext cx="3381375" cy="1790700"/>
    <xdr:pic>
      <xdr:nvPicPr>
        <xdr:cNvPr id="3" name="Picture 2">
          <a:extLst>
            <a:ext uri="{FF2B5EF4-FFF2-40B4-BE49-F238E27FC236}">
              <a16:creationId xmlns:a16="http://schemas.microsoft.com/office/drawing/2014/main" id="{7167D468-A2C8-4B3A-83B0-12079FA256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44125" y="6248401"/>
          <a:ext cx="338137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47625</xdr:colOff>
      <xdr:row>17</xdr:row>
      <xdr:rowOff>0</xdr:rowOff>
    </xdr:from>
    <xdr:to>
      <xdr:col>14</xdr:col>
      <xdr:colOff>333376</xdr:colOff>
      <xdr:row>26</xdr:row>
      <xdr:rowOff>219075</xdr:rowOff>
    </xdr:to>
    <xdr:pic>
      <xdr:nvPicPr>
        <xdr:cNvPr id="4" name="Picture 2">
          <a:extLst>
            <a:ext uri="{FF2B5EF4-FFF2-40B4-BE49-F238E27FC236}">
              <a16:creationId xmlns:a16="http://schemas.microsoft.com/office/drawing/2014/main" id="{2C132FFC-F768-4E6A-8E8F-CE21EDC329B2}"/>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668000" y="3448050"/>
          <a:ext cx="3343276"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133351</xdr:colOff>
      <xdr:row>12</xdr:row>
      <xdr:rowOff>142876</xdr:rowOff>
    </xdr:from>
    <xdr:to>
      <xdr:col>14</xdr:col>
      <xdr:colOff>47625</xdr:colOff>
      <xdr:row>17</xdr:row>
      <xdr:rowOff>647700</xdr:rowOff>
    </xdr:to>
    <xdr:pic>
      <xdr:nvPicPr>
        <xdr:cNvPr id="2" name="Picture 1">
          <a:extLst>
            <a:ext uri="{FF2B5EF4-FFF2-40B4-BE49-F238E27FC236}">
              <a16:creationId xmlns:a16="http://schemas.microsoft.com/office/drawing/2014/main" id="{83E305BE-EC56-48F2-B662-85058088FA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06051" y="3114676"/>
          <a:ext cx="3314699"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3</xdr:row>
      <xdr:rowOff>0</xdr:rowOff>
    </xdr:from>
    <xdr:to>
      <xdr:col>13</xdr:col>
      <xdr:colOff>504825</xdr:colOff>
      <xdr:row>11</xdr:row>
      <xdr:rowOff>161925</xdr:rowOff>
    </xdr:to>
    <xdr:pic>
      <xdr:nvPicPr>
        <xdr:cNvPr id="4" name="Picture 3">
          <a:extLst>
            <a:ext uri="{FF2B5EF4-FFF2-40B4-BE49-F238E27FC236}">
              <a16:creationId xmlns:a16="http://schemas.microsoft.com/office/drawing/2014/main" id="{FAB9A7EF-89E9-4DA2-B6AA-0D1176513AD6}"/>
            </a:ext>
          </a:extLst>
        </xdr:cNvPr>
        <xdr:cNvPicPr>
          <a:picLocks noChangeAspect="1"/>
        </xdr:cNvPicPr>
      </xdr:nvPicPr>
      <xdr:blipFill>
        <a:blip xmlns:r="http://schemas.openxmlformats.org/officeDocument/2006/relationships" r:embed="rId2"/>
        <a:stretch>
          <a:fillRect/>
        </a:stretch>
      </xdr:blipFill>
      <xdr:spPr>
        <a:xfrm>
          <a:off x="10248900" y="704850"/>
          <a:ext cx="3219450" cy="20669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112117</xdr:colOff>
      <xdr:row>11</xdr:row>
      <xdr:rowOff>114300</xdr:rowOff>
    </xdr:to>
    <xdr:pic>
      <xdr:nvPicPr>
        <xdr:cNvPr id="2" name="Picture 1">
          <a:extLst>
            <a:ext uri="{FF2B5EF4-FFF2-40B4-BE49-F238E27FC236}">
              <a16:creationId xmlns:a16="http://schemas.microsoft.com/office/drawing/2014/main" id="{D7AAE498-804A-4081-8592-54AC59B55B01}"/>
            </a:ext>
          </a:extLst>
        </xdr:cNvPr>
        <xdr:cNvPicPr>
          <a:picLocks noChangeAspect="1"/>
        </xdr:cNvPicPr>
      </xdr:nvPicPr>
      <xdr:blipFill>
        <a:blip xmlns:r="http://schemas.openxmlformats.org/officeDocument/2006/relationships" r:embed="rId1"/>
        <a:stretch>
          <a:fillRect/>
        </a:stretch>
      </xdr:blipFill>
      <xdr:spPr>
        <a:xfrm>
          <a:off x="10172700" y="552450"/>
          <a:ext cx="3160117" cy="1981200"/>
        </a:xfrm>
        <a:prstGeom prst="rect">
          <a:avLst/>
        </a:prstGeom>
      </xdr:spPr>
    </xdr:pic>
    <xdr:clientData/>
  </xdr:twoCellAnchor>
  <xdr:twoCellAnchor editAs="oneCell">
    <xdr:from>
      <xdr:col>8</xdr:col>
      <xdr:colOff>523875</xdr:colOff>
      <xdr:row>13</xdr:row>
      <xdr:rowOff>104775</xdr:rowOff>
    </xdr:from>
    <xdr:to>
      <xdr:col>14</xdr:col>
      <xdr:colOff>180975</xdr:colOff>
      <xdr:row>23</xdr:row>
      <xdr:rowOff>85724</xdr:rowOff>
    </xdr:to>
    <xdr:pic>
      <xdr:nvPicPr>
        <xdr:cNvPr id="3" name="Picture 2">
          <a:extLst>
            <a:ext uri="{FF2B5EF4-FFF2-40B4-BE49-F238E27FC236}">
              <a16:creationId xmlns:a16="http://schemas.microsoft.com/office/drawing/2014/main" id="{F8A78448-E3B7-4B6A-8A28-D7D27F7B77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2867025"/>
          <a:ext cx="331470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152401</xdr:rowOff>
    </xdr:from>
    <xdr:ext cx="3295650" cy="1771649"/>
    <xdr:pic>
      <xdr:nvPicPr>
        <xdr:cNvPr id="4" name="Picture 3">
          <a:extLst>
            <a:ext uri="{FF2B5EF4-FFF2-40B4-BE49-F238E27FC236}">
              <a16:creationId xmlns:a16="http://schemas.microsoft.com/office/drawing/2014/main" id="{A6276242-584E-4203-A47B-E4E10D32B3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5200651"/>
          <a:ext cx="3295650" cy="17716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B4512-76D2-4928-80D0-01F43B6F1B11}">
  <dimension ref="A1:C11"/>
  <sheetViews>
    <sheetView tabSelected="1" workbookViewId="0">
      <selection activeCell="F15" sqref="F15"/>
    </sheetView>
  </sheetViews>
  <sheetFormatPr defaultColWidth="8.85546875" defaultRowHeight="15" x14ac:dyDescent="0.25"/>
  <cols>
    <col min="1" max="1" width="6.140625" style="36" bestFit="1" customWidth="1"/>
    <col min="2" max="2" width="10.85546875" style="36" bestFit="1" customWidth="1"/>
    <col min="3" max="3" width="35" style="36" bestFit="1" customWidth="1"/>
    <col min="4" max="16384" width="8.85546875" style="36"/>
  </cols>
  <sheetData>
    <row r="1" spans="1:3" x14ac:dyDescent="0.25">
      <c r="A1" s="34" t="s">
        <v>445</v>
      </c>
      <c r="B1" s="35" t="s">
        <v>446</v>
      </c>
      <c r="C1" s="35" t="s">
        <v>447</v>
      </c>
    </row>
    <row r="2" spans="1:3" x14ac:dyDescent="0.25">
      <c r="A2" s="37">
        <v>1</v>
      </c>
      <c r="B2" s="38" t="s">
        <v>448</v>
      </c>
      <c r="C2" s="39" t="s">
        <v>1</v>
      </c>
    </row>
    <row r="3" spans="1:3" x14ac:dyDescent="0.25">
      <c r="A3" s="37">
        <v>2</v>
      </c>
      <c r="B3" s="38" t="s">
        <v>449</v>
      </c>
      <c r="C3" s="39" t="s">
        <v>154</v>
      </c>
    </row>
    <row r="4" spans="1:3" x14ac:dyDescent="0.25">
      <c r="A4" s="37">
        <v>3</v>
      </c>
      <c r="B4" s="38" t="s">
        <v>450</v>
      </c>
      <c r="C4" s="39" t="s">
        <v>192</v>
      </c>
    </row>
    <row r="5" spans="1:3" x14ac:dyDescent="0.25">
      <c r="A5" s="37">
        <v>4</v>
      </c>
      <c r="B5" s="38" t="s">
        <v>451</v>
      </c>
      <c r="C5" s="39" t="s">
        <v>287</v>
      </c>
    </row>
    <row r="6" spans="1:3" x14ac:dyDescent="0.25">
      <c r="A6" s="37">
        <v>5</v>
      </c>
      <c r="B6" s="38" t="s">
        <v>452</v>
      </c>
      <c r="C6" s="39" t="s">
        <v>319</v>
      </c>
    </row>
    <row r="7" spans="1:3" x14ac:dyDescent="0.25">
      <c r="A7" s="37">
        <v>6</v>
      </c>
      <c r="B7" s="38" t="s">
        <v>453</v>
      </c>
      <c r="C7" s="39" t="s">
        <v>390</v>
      </c>
    </row>
    <row r="8" spans="1:3" x14ac:dyDescent="0.25">
      <c r="A8" s="37">
        <v>7</v>
      </c>
      <c r="B8" s="38" t="s">
        <v>454</v>
      </c>
      <c r="C8" s="39" t="s">
        <v>397</v>
      </c>
    </row>
    <row r="9" spans="1:3" x14ac:dyDescent="0.25">
      <c r="A9" s="37">
        <v>8</v>
      </c>
      <c r="B9" s="38" t="s">
        <v>455</v>
      </c>
      <c r="C9" s="39" t="s">
        <v>428</v>
      </c>
    </row>
    <row r="10" spans="1:3" x14ac:dyDescent="0.25">
      <c r="A10" s="37">
        <v>9</v>
      </c>
      <c r="B10" s="38" t="s">
        <v>456</v>
      </c>
      <c r="C10" s="39" t="s">
        <v>432</v>
      </c>
    </row>
    <row r="11" spans="1:3" x14ac:dyDescent="0.25">
      <c r="A11" s="37">
        <v>10</v>
      </c>
      <c r="B11" s="38" t="s">
        <v>457</v>
      </c>
      <c r="C11" s="39" t="s">
        <v>442</v>
      </c>
    </row>
  </sheetData>
  <hyperlinks>
    <hyperlink ref="B2" location="SFRLTP!A1" display="SFRLTP" xr:uid="{AF7A8E8B-6236-4AD3-8907-DA77CEDB68C1}"/>
    <hyperlink ref="B3" location="SFRSTP!A1" display="SFRSTP" xr:uid="{9516DC31-67D4-433B-A420-61B62AC5FEC0}"/>
    <hyperlink ref="B4" location="SMMF!A1" display="SMMF" xr:uid="{D60074DD-58AE-48C1-B24D-BA19CB909D54}"/>
    <hyperlink ref="B5" location="SPLDF!A1" display="SPLDF" xr:uid="{8301FEC0-AAF7-427F-84BF-78FB172DAE4E}"/>
    <hyperlink ref="B6" location="SPMON!A1" display="SPMON" xr:uid="{A4DFF574-C148-43D2-9D30-46A1FE65849E}"/>
    <hyperlink ref="B7" location="SPSDF!A1" display="SPSDF" xr:uid="{7893218B-B3E5-434B-9CDA-D4DA9C4B5892}"/>
    <hyperlink ref="B8" location="SPUSDF!A1" display="SPUSDF" xr:uid="{CB2A1898-7AF6-4843-A216-4F0B418DE2D0}"/>
    <hyperlink ref="B9" location="SUNBDS!A1" display="SUNBDS" xr:uid="{D322A61E-809F-4980-818D-D378570AE0AA}"/>
    <hyperlink ref="B10" location="SUNMIA!A1" display="SUNMIA" xr:uid="{42A9A0D1-C803-445F-B36A-BF6FD79A0C8A}"/>
    <hyperlink ref="B11" location="SUNONF!A1" display="SUNONF" xr:uid="{4464887D-C462-49FC-BBC6-7824D31D4E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5" width="9.140625" style="40"/>
  </cols>
  <sheetData>
    <row r="1" spans="1:15" ht="18" customHeight="1" x14ac:dyDescent="0.2">
      <c r="A1" s="100" t="s">
        <v>0</v>
      </c>
      <c r="B1" s="100"/>
      <c r="C1" s="100"/>
      <c r="D1" s="100"/>
      <c r="E1" s="100"/>
      <c r="F1" s="100"/>
      <c r="G1" s="100"/>
      <c r="H1" s="100"/>
      <c r="I1" s="90" t="s">
        <v>544</v>
      </c>
    </row>
    <row r="2" spans="1:15" ht="17.100000000000001" customHeight="1" x14ac:dyDescent="0.2">
      <c r="A2" s="100" t="s">
        <v>1</v>
      </c>
      <c r="B2" s="100"/>
      <c r="C2" s="100"/>
      <c r="D2" s="100"/>
      <c r="E2" s="100"/>
      <c r="F2" s="100"/>
      <c r="G2" s="100"/>
      <c r="H2" s="100"/>
      <c r="J2" s="99" t="s">
        <v>545</v>
      </c>
      <c r="K2" s="99"/>
      <c r="L2" s="99"/>
      <c r="M2" s="99"/>
      <c r="N2" s="99"/>
    </row>
    <row r="3" spans="1:15" ht="21" customHeight="1" x14ac:dyDescent="0.2">
      <c r="A3" s="100" t="s">
        <v>539</v>
      </c>
      <c r="B3" s="100"/>
      <c r="C3" s="100"/>
      <c r="D3" s="100"/>
      <c r="E3" s="100"/>
      <c r="F3" s="100"/>
      <c r="G3" s="100"/>
      <c r="H3" s="100"/>
    </row>
    <row r="4" spans="1:15" s="88" customFormat="1" ht="30" x14ac:dyDescent="0.2">
      <c r="A4" s="87" t="s">
        <v>2</v>
      </c>
      <c r="B4" s="87" t="s">
        <v>3</v>
      </c>
      <c r="C4" s="87" t="s">
        <v>4</v>
      </c>
      <c r="D4" s="87" t="s">
        <v>5</v>
      </c>
      <c r="E4" s="87" t="s">
        <v>6</v>
      </c>
      <c r="F4" s="87" t="s">
        <v>7</v>
      </c>
      <c r="G4" s="87" t="s">
        <v>8</v>
      </c>
      <c r="H4" s="86" t="s">
        <v>520</v>
      </c>
      <c r="J4" s="91"/>
      <c r="K4" s="91"/>
      <c r="L4" s="91"/>
      <c r="M4" s="91"/>
      <c r="N4" s="91"/>
      <c r="O4" s="91"/>
    </row>
    <row r="5" spans="1:15" ht="14.1" customHeight="1" x14ac:dyDescent="0.2">
      <c r="A5" s="1"/>
      <c r="B5" s="1"/>
      <c r="C5" s="2" t="s">
        <v>9</v>
      </c>
      <c r="D5" s="1"/>
      <c r="E5" s="1"/>
      <c r="F5" s="1"/>
      <c r="G5" s="1"/>
      <c r="H5" s="12"/>
    </row>
    <row r="6" spans="1:15" ht="24" customHeight="1" x14ac:dyDescent="0.2">
      <c r="A6" s="1"/>
      <c r="B6" s="1"/>
      <c r="C6" s="2" t="s">
        <v>10</v>
      </c>
      <c r="D6" s="1"/>
      <c r="E6" s="1"/>
      <c r="F6" s="1"/>
      <c r="G6" s="1"/>
      <c r="H6" s="12"/>
    </row>
    <row r="7" spans="1:15" ht="14.1" customHeight="1" x14ac:dyDescent="0.2">
      <c r="A7" s="1"/>
      <c r="B7" s="1"/>
      <c r="C7" s="2" t="s">
        <v>11</v>
      </c>
      <c r="D7" s="1"/>
      <c r="E7" s="1" t="s">
        <v>12</v>
      </c>
      <c r="F7" s="3">
        <v>0</v>
      </c>
      <c r="G7" s="4">
        <v>0</v>
      </c>
      <c r="H7" s="12"/>
    </row>
    <row r="8" spans="1:15" ht="14.1" customHeight="1" x14ac:dyDescent="0.2">
      <c r="A8" s="1"/>
      <c r="B8" s="1"/>
      <c r="C8" s="5"/>
      <c r="D8" s="1"/>
      <c r="E8" s="1"/>
      <c r="F8" s="6"/>
      <c r="G8" s="6"/>
      <c r="H8" s="12"/>
    </row>
    <row r="9" spans="1:15" ht="14.1" customHeight="1" x14ac:dyDescent="0.2">
      <c r="A9" s="1"/>
      <c r="B9" s="1"/>
      <c r="C9" s="2" t="s">
        <v>13</v>
      </c>
      <c r="D9" s="1"/>
      <c r="E9" s="1"/>
      <c r="F9" s="1"/>
      <c r="G9" s="1"/>
      <c r="H9" s="12"/>
    </row>
    <row r="10" spans="1:15" ht="14.1" customHeight="1" x14ac:dyDescent="0.2">
      <c r="A10" s="1"/>
      <c r="B10" s="1"/>
      <c r="C10" s="2" t="s">
        <v>11</v>
      </c>
      <c r="D10" s="1"/>
      <c r="E10" s="1" t="s">
        <v>12</v>
      </c>
      <c r="F10" s="3">
        <v>0</v>
      </c>
      <c r="G10" s="4">
        <v>0</v>
      </c>
      <c r="H10" s="12"/>
    </row>
    <row r="11" spans="1:15" ht="14.1" customHeight="1" x14ac:dyDescent="0.2">
      <c r="A11" s="1"/>
      <c r="B11" s="1"/>
      <c r="C11" s="5"/>
      <c r="D11" s="1"/>
      <c r="E11" s="1"/>
      <c r="F11" s="6"/>
      <c r="G11" s="6"/>
      <c r="H11" s="12"/>
    </row>
    <row r="12" spans="1:15" ht="14.1" customHeight="1" x14ac:dyDescent="0.2">
      <c r="A12" s="1"/>
      <c r="B12" s="1"/>
      <c r="C12" s="2" t="s">
        <v>14</v>
      </c>
      <c r="D12" s="1"/>
      <c r="E12" s="1"/>
      <c r="F12" s="1"/>
      <c r="G12" s="1"/>
      <c r="H12" s="12"/>
    </row>
    <row r="13" spans="1:15" ht="14.1" customHeight="1" x14ac:dyDescent="0.2">
      <c r="A13" s="1"/>
      <c r="B13" s="1"/>
      <c r="C13" s="2" t="s">
        <v>11</v>
      </c>
      <c r="D13" s="1"/>
      <c r="E13" s="1" t="s">
        <v>12</v>
      </c>
      <c r="F13" s="3">
        <v>0</v>
      </c>
      <c r="G13" s="4">
        <v>0</v>
      </c>
      <c r="H13" s="12"/>
    </row>
    <row r="14" spans="1:15" ht="14.1" customHeight="1" x14ac:dyDescent="0.2">
      <c r="A14" s="1"/>
      <c r="B14" s="1"/>
      <c r="C14" s="5"/>
      <c r="D14" s="1"/>
      <c r="E14" s="1"/>
      <c r="F14" s="6"/>
      <c r="G14" s="6"/>
      <c r="H14" s="12"/>
    </row>
    <row r="15" spans="1:15" ht="14.1" customHeight="1" x14ac:dyDescent="0.2">
      <c r="A15" s="1"/>
      <c r="B15" s="1"/>
      <c r="C15" s="2" t="s">
        <v>15</v>
      </c>
      <c r="D15" s="1"/>
      <c r="E15" s="1"/>
      <c r="F15" s="1"/>
      <c r="G15" s="1"/>
      <c r="H15" s="12"/>
    </row>
    <row r="16" spans="1:15" ht="14.1" customHeight="1" x14ac:dyDescent="0.25">
      <c r="A16" s="1"/>
      <c r="B16" s="1"/>
      <c r="C16" s="2" t="s">
        <v>11</v>
      </c>
      <c r="D16" s="1"/>
      <c r="E16" s="1" t="s">
        <v>12</v>
      </c>
      <c r="F16" s="3">
        <v>0</v>
      </c>
      <c r="G16" s="4">
        <v>0</v>
      </c>
      <c r="H16" s="12"/>
      <c r="J16" s="92" t="s">
        <v>546</v>
      </c>
      <c r="K16" s="92"/>
      <c r="L16" s="92"/>
      <c r="M16" s="92"/>
      <c r="N16" s="92"/>
      <c r="O16" s="92"/>
    </row>
    <row r="17" spans="1:15" ht="14.1" customHeight="1" x14ac:dyDescent="0.2">
      <c r="A17" s="1"/>
      <c r="B17" s="1"/>
      <c r="C17" s="5"/>
      <c r="D17" s="1"/>
      <c r="E17" s="1"/>
      <c r="F17" s="6"/>
      <c r="G17" s="6"/>
      <c r="H17" s="12"/>
    </row>
    <row r="18" spans="1:15" ht="14.1" customHeight="1" x14ac:dyDescent="0.2">
      <c r="A18" s="1"/>
      <c r="B18" s="1"/>
      <c r="C18" s="2" t="s">
        <v>16</v>
      </c>
      <c r="D18" s="1"/>
      <c r="E18" s="1"/>
      <c r="F18" s="6"/>
      <c r="G18" s="6"/>
      <c r="H18" s="12"/>
    </row>
    <row r="19" spans="1:15" ht="14.1" customHeight="1" x14ac:dyDescent="0.2">
      <c r="A19" s="1"/>
      <c r="B19" s="1"/>
      <c r="C19" s="2" t="s">
        <v>11</v>
      </c>
      <c r="D19" s="1"/>
      <c r="E19" s="1" t="s">
        <v>12</v>
      </c>
      <c r="F19" s="3">
        <v>0</v>
      </c>
      <c r="G19" s="4">
        <v>0</v>
      </c>
      <c r="H19" s="12"/>
    </row>
    <row r="20" spans="1:15" ht="14.1" customHeight="1" x14ac:dyDescent="0.2">
      <c r="A20" s="1"/>
      <c r="B20" s="1"/>
      <c r="C20" s="5"/>
      <c r="D20" s="1"/>
      <c r="E20" s="1"/>
      <c r="F20" s="6"/>
      <c r="G20" s="6"/>
      <c r="H20" s="12"/>
    </row>
    <row r="21" spans="1:15" ht="14.1" customHeight="1" x14ac:dyDescent="0.2">
      <c r="A21" s="1"/>
      <c r="B21" s="1"/>
      <c r="C21" s="2" t="s">
        <v>17</v>
      </c>
      <c r="D21" s="1"/>
      <c r="E21" s="1"/>
      <c r="F21" s="6"/>
      <c r="G21" s="6"/>
      <c r="H21" s="12"/>
    </row>
    <row r="22" spans="1:15" ht="14.1" customHeight="1" x14ac:dyDescent="0.2">
      <c r="A22" s="1"/>
      <c r="B22" s="1"/>
      <c r="C22" s="2" t="s">
        <v>11</v>
      </c>
      <c r="D22" s="1"/>
      <c r="E22" s="1" t="s">
        <v>12</v>
      </c>
      <c r="F22" s="3">
        <v>0</v>
      </c>
      <c r="G22" s="4">
        <v>0</v>
      </c>
      <c r="H22" s="12"/>
    </row>
    <row r="23" spans="1:15" ht="14.1" customHeight="1" x14ac:dyDescent="0.2">
      <c r="A23" s="1"/>
      <c r="B23" s="1"/>
      <c r="C23" s="5"/>
      <c r="D23" s="1"/>
      <c r="E23" s="1"/>
      <c r="F23" s="6"/>
      <c r="G23" s="6"/>
      <c r="H23" s="12"/>
    </row>
    <row r="24" spans="1:15" ht="18" customHeight="1" x14ac:dyDescent="0.2">
      <c r="A24" s="1"/>
      <c r="B24" s="1"/>
      <c r="C24" s="2" t="s">
        <v>18</v>
      </c>
      <c r="D24" s="1"/>
      <c r="E24" s="1"/>
      <c r="F24" s="7">
        <v>0</v>
      </c>
      <c r="G24" s="8">
        <v>0</v>
      </c>
      <c r="H24" s="12"/>
    </row>
    <row r="25" spans="1:15" ht="14.1" customHeight="1" x14ac:dyDescent="0.2">
      <c r="A25" s="1"/>
      <c r="B25" s="1"/>
      <c r="C25" s="5"/>
      <c r="D25" s="1"/>
      <c r="E25" s="1"/>
      <c r="F25" s="6"/>
      <c r="G25" s="6"/>
      <c r="H25" s="12"/>
    </row>
    <row r="26" spans="1:15" ht="14.1" customHeight="1" x14ac:dyDescent="0.2">
      <c r="A26" s="1"/>
      <c r="B26" s="1"/>
      <c r="C26" s="2" t="s">
        <v>19</v>
      </c>
      <c r="D26" s="1"/>
      <c r="E26" s="1"/>
      <c r="F26" s="6"/>
      <c r="G26" s="6"/>
      <c r="H26" s="12"/>
    </row>
    <row r="27" spans="1:15" ht="24" customHeight="1" x14ac:dyDescent="0.2">
      <c r="A27" s="1"/>
      <c r="B27" s="1"/>
      <c r="C27" s="2" t="s">
        <v>10</v>
      </c>
      <c r="D27" s="1"/>
      <c r="E27" s="1"/>
      <c r="F27" s="6"/>
      <c r="G27" s="6"/>
      <c r="H27" s="12"/>
    </row>
    <row r="28" spans="1:15" ht="29.1" customHeight="1" x14ac:dyDescent="0.2">
      <c r="A28" s="9">
        <v>1</v>
      </c>
      <c r="B28" s="10" t="s">
        <v>20</v>
      </c>
      <c r="C28" s="10" t="s">
        <v>21</v>
      </c>
      <c r="D28" s="10" t="s">
        <v>22</v>
      </c>
      <c r="E28" s="11">
        <v>500</v>
      </c>
      <c r="F28" s="12">
        <v>4995.24</v>
      </c>
      <c r="G28" s="13">
        <v>4.8095352000000001E-2</v>
      </c>
      <c r="H28" s="12">
        <v>6.5</v>
      </c>
    </row>
    <row r="29" spans="1:15" ht="29.1" customHeight="1" x14ac:dyDescent="0.25">
      <c r="A29" s="9">
        <v>2</v>
      </c>
      <c r="B29" s="10" t="s">
        <v>23</v>
      </c>
      <c r="C29" s="10" t="s">
        <v>24</v>
      </c>
      <c r="D29" s="10" t="s">
        <v>22</v>
      </c>
      <c r="E29" s="11">
        <v>500</v>
      </c>
      <c r="F29" s="12">
        <v>4958.9549999999999</v>
      </c>
      <c r="G29" s="13">
        <v>4.7745991000000002E-2</v>
      </c>
      <c r="H29" s="12">
        <v>6.8550000000000004</v>
      </c>
      <c r="J29" s="92" t="s">
        <v>547</v>
      </c>
      <c r="O29"/>
    </row>
    <row r="30" spans="1:15" ht="29.1" customHeight="1" x14ac:dyDescent="0.2">
      <c r="A30" s="9">
        <v>3</v>
      </c>
      <c r="B30" s="10" t="s">
        <v>25</v>
      </c>
      <c r="C30" s="10" t="s">
        <v>26</v>
      </c>
      <c r="D30" s="10" t="s">
        <v>27</v>
      </c>
      <c r="E30" s="11">
        <v>500</v>
      </c>
      <c r="F30" s="12">
        <v>4894.6350000000002</v>
      </c>
      <c r="G30" s="13">
        <v>4.7126702999999999E-2</v>
      </c>
      <c r="H30" s="12">
        <v>6.75</v>
      </c>
      <c r="O30"/>
    </row>
    <row r="31" spans="1:15" ht="29.1" customHeight="1" x14ac:dyDescent="0.2">
      <c r="A31" s="9">
        <v>4</v>
      </c>
      <c r="B31" s="10" t="s">
        <v>28</v>
      </c>
      <c r="C31" s="10" t="s">
        <v>29</v>
      </c>
      <c r="D31" s="10" t="s">
        <v>27</v>
      </c>
      <c r="E31" s="11">
        <v>400</v>
      </c>
      <c r="F31" s="12">
        <v>4092.7359999999999</v>
      </c>
      <c r="G31" s="13">
        <v>3.9405830000000003E-2</v>
      </c>
      <c r="H31" s="12">
        <v>6.9550000000000001</v>
      </c>
      <c r="O31"/>
    </row>
    <row r="32" spans="1:15" ht="29.1" customHeight="1" x14ac:dyDescent="0.2">
      <c r="A32" s="9">
        <v>5</v>
      </c>
      <c r="B32" s="10" t="s">
        <v>30</v>
      </c>
      <c r="C32" s="10" t="s">
        <v>31</v>
      </c>
      <c r="D32" s="10" t="s">
        <v>27</v>
      </c>
      <c r="E32" s="11">
        <v>350</v>
      </c>
      <c r="F32" s="12">
        <v>3506.1039999999998</v>
      </c>
      <c r="G32" s="13">
        <v>3.3757598E-2</v>
      </c>
      <c r="H32" s="12">
        <v>6.4050000000000002</v>
      </c>
      <c r="O32"/>
    </row>
    <row r="33" spans="1:15" ht="29.1" customHeight="1" x14ac:dyDescent="0.2">
      <c r="A33" s="9">
        <v>6</v>
      </c>
      <c r="B33" s="10" t="s">
        <v>32</v>
      </c>
      <c r="C33" s="10" t="s">
        <v>33</v>
      </c>
      <c r="D33" s="10" t="s">
        <v>27</v>
      </c>
      <c r="E33" s="11">
        <v>350</v>
      </c>
      <c r="F33" s="12">
        <v>3479.2835</v>
      </c>
      <c r="G33" s="13">
        <v>3.3499363999999997E-2</v>
      </c>
      <c r="H33" s="12">
        <v>6.6749999999999998</v>
      </c>
      <c r="O33"/>
    </row>
    <row r="34" spans="1:15" ht="29.1" customHeight="1" x14ac:dyDescent="0.2">
      <c r="A34" s="9">
        <v>7</v>
      </c>
      <c r="B34" s="10" t="s">
        <v>34</v>
      </c>
      <c r="C34" s="10" t="s">
        <v>35</v>
      </c>
      <c r="D34" s="10" t="s">
        <v>27</v>
      </c>
      <c r="E34" s="11">
        <v>300</v>
      </c>
      <c r="F34" s="12">
        <v>2983.605</v>
      </c>
      <c r="G34" s="13">
        <v>2.8726854E-2</v>
      </c>
      <c r="H34" s="12">
        <v>6.5</v>
      </c>
      <c r="O34"/>
    </row>
    <row r="35" spans="1:15" ht="29.1" customHeight="1" x14ac:dyDescent="0.2">
      <c r="A35" s="9">
        <v>8</v>
      </c>
      <c r="B35" s="10" t="s">
        <v>36</v>
      </c>
      <c r="C35" s="10" t="s">
        <v>37</v>
      </c>
      <c r="D35" s="10" t="s">
        <v>27</v>
      </c>
      <c r="E35" s="11">
        <v>250</v>
      </c>
      <c r="F35" s="12">
        <v>2531.2249999999999</v>
      </c>
      <c r="G35" s="13">
        <v>2.4371232999999999E-2</v>
      </c>
      <c r="H35" s="12">
        <v>6.3150000000000004</v>
      </c>
      <c r="O35"/>
    </row>
    <row r="36" spans="1:15" ht="29.1" customHeight="1" x14ac:dyDescent="0.2">
      <c r="A36" s="9">
        <v>9</v>
      </c>
      <c r="B36" s="10" t="s">
        <v>38</v>
      </c>
      <c r="C36" s="10" t="s">
        <v>39</v>
      </c>
      <c r="D36" s="10" t="s">
        <v>27</v>
      </c>
      <c r="E36" s="11">
        <v>250</v>
      </c>
      <c r="F36" s="12">
        <v>2530.415</v>
      </c>
      <c r="G36" s="13">
        <v>2.4363434E-2</v>
      </c>
      <c r="H36" s="12">
        <v>6.68</v>
      </c>
    </row>
    <row r="37" spans="1:15" ht="29.1" customHeight="1" x14ac:dyDescent="0.2">
      <c r="A37" s="9">
        <v>10</v>
      </c>
      <c r="B37" s="10" t="s">
        <v>40</v>
      </c>
      <c r="C37" s="10" t="s">
        <v>41</v>
      </c>
      <c r="D37" s="10" t="s">
        <v>27</v>
      </c>
      <c r="E37" s="11">
        <v>250</v>
      </c>
      <c r="F37" s="12">
        <v>2529.1774999999998</v>
      </c>
      <c r="G37" s="13">
        <v>2.4351518999999999E-2</v>
      </c>
      <c r="H37" s="12">
        <v>6.7549999999999999</v>
      </c>
    </row>
    <row r="38" spans="1:15" ht="29.1" customHeight="1" x14ac:dyDescent="0.2">
      <c r="A38" s="9">
        <v>11</v>
      </c>
      <c r="B38" s="10" t="s">
        <v>42</v>
      </c>
      <c r="C38" s="10" t="s">
        <v>43</v>
      </c>
      <c r="D38" s="10" t="s">
        <v>27</v>
      </c>
      <c r="E38" s="11">
        <v>250</v>
      </c>
      <c r="F38" s="12">
        <v>2526.3274999999999</v>
      </c>
      <c r="G38" s="13">
        <v>2.4324078999999998E-2</v>
      </c>
      <c r="H38" s="12">
        <v>6.6749999999999998</v>
      </c>
    </row>
    <row r="39" spans="1:15" ht="17.100000000000001" customHeight="1" x14ac:dyDescent="0.2">
      <c r="A39" s="9">
        <v>12</v>
      </c>
      <c r="B39" s="10" t="s">
        <v>44</v>
      </c>
      <c r="C39" s="10" t="s">
        <v>45</v>
      </c>
      <c r="D39" s="10" t="s">
        <v>27</v>
      </c>
      <c r="E39" s="11">
        <v>250</v>
      </c>
      <c r="F39" s="12">
        <v>2526.3000000000002</v>
      </c>
      <c r="G39" s="13">
        <v>2.4323813999999999E-2</v>
      </c>
      <c r="H39" s="12">
        <v>6.34</v>
      </c>
    </row>
    <row r="40" spans="1:15" ht="29.1" customHeight="1" x14ac:dyDescent="0.2">
      <c r="A40" s="9">
        <v>13</v>
      </c>
      <c r="B40" s="10" t="s">
        <v>46</v>
      </c>
      <c r="C40" s="10" t="s">
        <v>47</v>
      </c>
      <c r="D40" s="10" t="s">
        <v>27</v>
      </c>
      <c r="E40" s="11">
        <v>250</v>
      </c>
      <c r="F40" s="12">
        <v>2526.2375000000002</v>
      </c>
      <c r="G40" s="13">
        <v>2.4323212E-2</v>
      </c>
      <c r="H40" s="12">
        <v>6.41</v>
      </c>
    </row>
    <row r="41" spans="1:15" ht="17.100000000000001" customHeight="1" x14ac:dyDescent="0.2">
      <c r="A41" s="9">
        <v>14</v>
      </c>
      <c r="B41" s="10" t="s">
        <v>48</v>
      </c>
      <c r="C41" s="10" t="s">
        <v>49</v>
      </c>
      <c r="D41" s="10" t="s">
        <v>27</v>
      </c>
      <c r="E41" s="11">
        <v>250</v>
      </c>
      <c r="F41" s="12">
        <v>2517.4349999999999</v>
      </c>
      <c r="G41" s="13">
        <v>2.4238459E-2</v>
      </c>
      <c r="H41" s="12">
        <v>6.835</v>
      </c>
    </row>
    <row r="42" spans="1:15" ht="29.1" customHeight="1" x14ac:dyDescent="0.2">
      <c r="A42" s="9">
        <v>15</v>
      </c>
      <c r="B42" s="10" t="s">
        <v>50</v>
      </c>
      <c r="C42" s="10" t="s">
        <v>51</v>
      </c>
      <c r="D42" s="10" t="s">
        <v>27</v>
      </c>
      <c r="E42" s="11">
        <v>250</v>
      </c>
      <c r="F42" s="12">
        <v>2502.3375000000001</v>
      </c>
      <c r="G42" s="13">
        <v>2.4093097000000001E-2</v>
      </c>
      <c r="H42" s="12">
        <v>6.52</v>
      </c>
    </row>
    <row r="43" spans="1:15" ht="17.100000000000001" customHeight="1" x14ac:dyDescent="0.2">
      <c r="A43" s="9">
        <v>16</v>
      </c>
      <c r="B43" s="10" t="s">
        <v>52</v>
      </c>
      <c r="C43" s="10" t="s">
        <v>53</v>
      </c>
      <c r="D43" s="10" t="s">
        <v>27</v>
      </c>
      <c r="E43" s="11">
        <v>250</v>
      </c>
      <c r="F43" s="12">
        <v>2471.61</v>
      </c>
      <c r="G43" s="13">
        <v>2.3797245000000002E-2</v>
      </c>
      <c r="H43" s="12">
        <v>6.97</v>
      </c>
    </row>
    <row r="44" spans="1:15" ht="29.1" customHeight="1" x14ac:dyDescent="0.2">
      <c r="A44" s="9">
        <v>17</v>
      </c>
      <c r="B44" s="10" t="s">
        <v>54</v>
      </c>
      <c r="C44" s="10" t="s">
        <v>55</v>
      </c>
      <c r="D44" s="10" t="s">
        <v>27</v>
      </c>
      <c r="E44" s="11">
        <v>200</v>
      </c>
      <c r="F44" s="12">
        <v>2022.374</v>
      </c>
      <c r="G44" s="13">
        <v>1.9471894999999999E-2</v>
      </c>
      <c r="H44" s="12">
        <v>6.35</v>
      </c>
    </row>
    <row r="45" spans="1:15" ht="29.1" customHeight="1" x14ac:dyDescent="0.2">
      <c r="A45" s="9">
        <v>18</v>
      </c>
      <c r="B45" s="10" t="s">
        <v>56</v>
      </c>
      <c r="C45" s="10" t="s">
        <v>57</v>
      </c>
      <c r="D45" s="10" t="s">
        <v>27</v>
      </c>
      <c r="E45" s="11">
        <v>200</v>
      </c>
      <c r="F45" s="12">
        <v>1996.9159999999999</v>
      </c>
      <c r="G45" s="13">
        <v>1.9226778999999999E-2</v>
      </c>
      <c r="H45" s="12">
        <v>6.5397999999999996</v>
      </c>
    </row>
    <row r="46" spans="1:15" ht="29.1" customHeight="1" x14ac:dyDescent="0.2">
      <c r="A46" s="9">
        <v>19</v>
      </c>
      <c r="B46" s="10" t="s">
        <v>58</v>
      </c>
      <c r="C46" s="10" t="s">
        <v>59</v>
      </c>
      <c r="D46" s="10" t="s">
        <v>27</v>
      </c>
      <c r="E46" s="11">
        <v>200</v>
      </c>
      <c r="F46" s="12">
        <v>1995.8579999999999</v>
      </c>
      <c r="G46" s="13">
        <v>1.9216593000000001E-2</v>
      </c>
      <c r="H46" s="12">
        <v>6.46</v>
      </c>
    </row>
    <row r="47" spans="1:15" ht="29.1" customHeight="1" x14ac:dyDescent="0.2">
      <c r="A47" s="9">
        <v>20</v>
      </c>
      <c r="B47" s="10" t="s">
        <v>60</v>
      </c>
      <c r="C47" s="10" t="s">
        <v>61</v>
      </c>
      <c r="D47" s="10" t="s">
        <v>27</v>
      </c>
      <c r="E47" s="11">
        <v>150</v>
      </c>
      <c r="F47" s="12">
        <v>1516.6065000000001</v>
      </c>
      <c r="G47" s="13">
        <v>1.4602245999999999E-2</v>
      </c>
      <c r="H47" s="12">
        <v>6.3949999999999996</v>
      </c>
    </row>
    <row r="48" spans="1:15" ht="29.1" customHeight="1" x14ac:dyDescent="0.2">
      <c r="A48" s="9">
        <v>21</v>
      </c>
      <c r="B48" s="10" t="s">
        <v>62</v>
      </c>
      <c r="C48" s="10" t="s">
        <v>63</v>
      </c>
      <c r="D48" s="10" t="s">
        <v>27</v>
      </c>
      <c r="E48" s="11">
        <v>150</v>
      </c>
      <c r="F48" s="12">
        <v>1514.1089999999999</v>
      </c>
      <c r="G48" s="13">
        <v>1.4578199E-2</v>
      </c>
      <c r="H48" s="12">
        <v>6.33</v>
      </c>
    </row>
    <row r="49" spans="1:8" ht="29.1" customHeight="1" x14ac:dyDescent="0.2">
      <c r="A49" s="9">
        <v>22</v>
      </c>
      <c r="B49" s="10" t="s">
        <v>64</v>
      </c>
      <c r="C49" s="10" t="s">
        <v>65</v>
      </c>
      <c r="D49" s="10" t="s">
        <v>27</v>
      </c>
      <c r="E49" s="11">
        <v>150</v>
      </c>
      <c r="F49" s="12">
        <v>1513.5225</v>
      </c>
      <c r="G49" s="13">
        <v>1.4572552000000001E-2</v>
      </c>
      <c r="H49" s="12">
        <v>6.4649999999999999</v>
      </c>
    </row>
    <row r="50" spans="1:8" ht="29.1" customHeight="1" x14ac:dyDescent="0.2">
      <c r="A50" s="9">
        <v>23</v>
      </c>
      <c r="B50" s="10" t="s">
        <v>66</v>
      </c>
      <c r="C50" s="10" t="s">
        <v>67</v>
      </c>
      <c r="D50" s="10" t="s">
        <v>22</v>
      </c>
      <c r="E50" s="11">
        <v>150</v>
      </c>
      <c r="F50" s="12">
        <v>1501.9514999999999</v>
      </c>
      <c r="G50" s="13">
        <v>1.4461144E-2</v>
      </c>
      <c r="H50" s="12">
        <v>6.5449999999999999</v>
      </c>
    </row>
    <row r="51" spans="1:8" ht="29.1" customHeight="1" x14ac:dyDescent="0.2">
      <c r="A51" s="9">
        <v>24</v>
      </c>
      <c r="B51" s="10" t="s">
        <v>68</v>
      </c>
      <c r="C51" s="10" t="s">
        <v>69</v>
      </c>
      <c r="D51" s="10" t="s">
        <v>27</v>
      </c>
      <c r="E51" s="11">
        <v>140</v>
      </c>
      <c r="F51" s="12">
        <v>1399.4022</v>
      </c>
      <c r="G51" s="13">
        <v>1.3473775E-2</v>
      </c>
      <c r="H51" s="12">
        <v>6.46</v>
      </c>
    </row>
    <row r="52" spans="1:8" ht="29.1" customHeight="1" x14ac:dyDescent="0.2">
      <c r="A52" s="9">
        <v>25</v>
      </c>
      <c r="B52" s="10" t="s">
        <v>70</v>
      </c>
      <c r="C52" s="10" t="s">
        <v>71</v>
      </c>
      <c r="D52" s="10" t="s">
        <v>27</v>
      </c>
      <c r="E52" s="11">
        <v>100</v>
      </c>
      <c r="F52" s="12">
        <v>1023.211</v>
      </c>
      <c r="G52" s="13">
        <v>9.8517169999999994E-3</v>
      </c>
      <c r="H52" s="12">
        <v>6.77</v>
      </c>
    </row>
    <row r="53" spans="1:8" ht="29.1" customHeight="1" x14ac:dyDescent="0.2">
      <c r="A53" s="9">
        <v>26</v>
      </c>
      <c r="B53" s="10" t="s">
        <v>72</v>
      </c>
      <c r="C53" s="10" t="s">
        <v>73</v>
      </c>
      <c r="D53" s="10" t="s">
        <v>27</v>
      </c>
      <c r="E53" s="11">
        <v>80</v>
      </c>
      <c r="F53" s="12">
        <v>1014.641</v>
      </c>
      <c r="G53" s="13">
        <v>9.7692030000000006E-3</v>
      </c>
      <c r="H53" s="12">
        <v>6.73</v>
      </c>
    </row>
    <row r="54" spans="1:8" ht="17.100000000000001" customHeight="1" x14ac:dyDescent="0.2">
      <c r="A54" s="9">
        <v>27</v>
      </c>
      <c r="B54" s="10" t="s">
        <v>74</v>
      </c>
      <c r="C54" s="10" t="s">
        <v>75</v>
      </c>
      <c r="D54" s="10" t="s">
        <v>76</v>
      </c>
      <c r="E54" s="11">
        <v>1000</v>
      </c>
      <c r="F54" s="12">
        <v>1013.559</v>
      </c>
      <c r="G54" s="13">
        <v>9.7587860000000002E-3</v>
      </c>
      <c r="H54" s="12">
        <v>6.7649999999999997</v>
      </c>
    </row>
    <row r="55" spans="1:8" ht="29.1" customHeight="1" x14ac:dyDescent="0.2">
      <c r="A55" s="9">
        <v>28</v>
      </c>
      <c r="B55" s="10" t="s">
        <v>77</v>
      </c>
      <c r="C55" s="10" t="s">
        <v>78</v>
      </c>
      <c r="D55" s="10" t="s">
        <v>27</v>
      </c>
      <c r="E55" s="11">
        <v>100</v>
      </c>
      <c r="F55" s="12">
        <v>1012.139</v>
      </c>
      <c r="G55" s="13">
        <v>9.7451139999999992E-3</v>
      </c>
      <c r="H55" s="12">
        <v>6.41</v>
      </c>
    </row>
    <row r="56" spans="1:8" ht="29.1" customHeight="1" x14ac:dyDescent="0.2">
      <c r="A56" s="9">
        <v>29</v>
      </c>
      <c r="B56" s="10" t="s">
        <v>79</v>
      </c>
      <c r="C56" s="10" t="s">
        <v>80</v>
      </c>
      <c r="D56" s="10" t="s">
        <v>27</v>
      </c>
      <c r="E56" s="11">
        <v>100</v>
      </c>
      <c r="F56" s="12">
        <v>1011.6849999999999</v>
      </c>
      <c r="G56" s="13">
        <v>9.7407420000000002E-3</v>
      </c>
      <c r="H56" s="12">
        <v>6.41</v>
      </c>
    </row>
    <row r="57" spans="1:8" ht="29.1" customHeight="1" x14ac:dyDescent="0.2">
      <c r="A57" s="9">
        <v>30</v>
      </c>
      <c r="B57" s="10" t="s">
        <v>81</v>
      </c>
      <c r="C57" s="10" t="s">
        <v>82</v>
      </c>
      <c r="D57" s="10" t="s">
        <v>27</v>
      </c>
      <c r="E57" s="11">
        <v>100</v>
      </c>
      <c r="F57" s="12">
        <v>1011.329</v>
      </c>
      <c r="G57" s="13">
        <v>9.7373149999999999E-3</v>
      </c>
      <c r="H57" s="12">
        <v>6.44</v>
      </c>
    </row>
    <row r="58" spans="1:8" ht="17.100000000000001" customHeight="1" x14ac:dyDescent="0.2">
      <c r="A58" s="9">
        <v>31</v>
      </c>
      <c r="B58" s="10" t="s">
        <v>83</v>
      </c>
      <c r="C58" s="10" t="s">
        <v>84</v>
      </c>
      <c r="D58" s="10" t="s">
        <v>27</v>
      </c>
      <c r="E58" s="11">
        <v>101</v>
      </c>
      <c r="F58" s="12">
        <v>1009.5758</v>
      </c>
      <c r="G58" s="13">
        <v>9.7204349999999995E-3</v>
      </c>
      <c r="H58" s="12">
        <v>6.46</v>
      </c>
    </row>
    <row r="59" spans="1:8" ht="17.100000000000001" customHeight="1" x14ac:dyDescent="0.2">
      <c r="A59" s="9">
        <v>32</v>
      </c>
      <c r="B59" s="10" t="s">
        <v>85</v>
      </c>
      <c r="C59" s="10" t="s">
        <v>86</v>
      </c>
      <c r="D59" s="10" t="s">
        <v>27</v>
      </c>
      <c r="E59" s="11">
        <v>100</v>
      </c>
      <c r="F59" s="12">
        <v>1007.473</v>
      </c>
      <c r="G59" s="13">
        <v>9.7001880000000002E-3</v>
      </c>
      <c r="H59" s="12">
        <v>6.8650000000000002</v>
      </c>
    </row>
    <row r="60" spans="1:8" ht="29.1" customHeight="1" x14ac:dyDescent="0.2">
      <c r="A60" s="9">
        <v>33</v>
      </c>
      <c r="B60" s="10" t="s">
        <v>87</v>
      </c>
      <c r="C60" s="10" t="s">
        <v>88</v>
      </c>
      <c r="D60" s="10" t="s">
        <v>27</v>
      </c>
      <c r="E60" s="11">
        <v>40</v>
      </c>
      <c r="F60" s="12">
        <v>514.85050000000001</v>
      </c>
      <c r="G60" s="13">
        <v>4.9571019999999997E-3</v>
      </c>
      <c r="H60" s="12">
        <v>6.7649999999999997</v>
      </c>
    </row>
    <row r="61" spans="1:8" ht="29.1" customHeight="1" x14ac:dyDescent="0.2">
      <c r="A61" s="9">
        <v>34</v>
      </c>
      <c r="B61" s="10" t="s">
        <v>89</v>
      </c>
      <c r="C61" s="10" t="s">
        <v>90</v>
      </c>
      <c r="D61" s="10" t="s">
        <v>27</v>
      </c>
      <c r="E61" s="11">
        <v>40</v>
      </c>
      <c r="F61" s="12">
        <v>507.99149999999997</v>
      </c>
      <c r="G61" s="13">
        <v>4.8910619999999998E-3</v>
      </c>
      <c r="H61" s="12">
        <v>6.35</v>
      </c>
    </row>
    <row r="62" spans="1:8" ht="29.1" customHeight="1" x14ac:dyDescent="0.2">
      <c r="A62" s="9">
        <v>35</v>
      </c>
      <c r="B62" s="10" t="s">
        <v>91</v>
      </c>
      <c r="C62" s="10" t="s">
        <v>92</v>
      </c>
      <c r="D62" s="10" t="s">
        <v>27</v>
      </c>
      <c r="E62" s="11">
        <v>50</v>
      </c>
      <c r="F62" s="12">
        <v>506.27600000000001</v>
      </c>
      <c r="G62" s="13">
        <v>4.8745450000000001E-3</v>
      </c>
      <c r="H62" s="12">
        <v>6.4649999999999999</v>
      </c>
    </row>
    <row r="63" spans="1:8" ht="29.1" customHeight="1" x14ac:dyDescent="0.2">
      <c r="A63" s="9">
        <v>36</v>
      </c>
      <c r="B63" s="10" t="s">
        <v>93</v>
      </c>
      <c r="C63" s="10" t="s">
        <v>94</v>
      </c>
      <c r="D63" s="10" t="s">
        <v>22</v>
      </c>
      <c r="E63" s="11">
        <v>50</v>
      </c>
      <c r="F63" s="12">
        <v>500.15550000000002</v>
      </c>
      <c r="G63" s="13">
        <v>4.8156149999999997E-3</v>
      </c>
      <c r="H63" s="12">
        <v>6.5</v>
      </c>
    </row>
    <row r="64" spans="1:8" ht="14.1" customHeight="1" x14ac:dyDescent="0.2">
      <c r="A64" s="1"/>
      <c r="B64" s="1"/>
      <c r="C64" s="2" t="s">
        <v>11</v>
      </c>
      <c r="D64" s="1"/>
      <c r="E64" s="1" t="s">
        <v>12</v>
      </c>
      <c r="F64" s="7">
        <v>75165.249500000005</v>
      </c>
      <c r="G64" s="8">
        <v>0.72370879099999996</v>
      </c>
      <c r="H64" s="12"/>
    </row>
    <row r="65" spans="1:8" ht="14.1" customHeight="1" x14ac:dyDescent="0.2">
      <c r="A65" s="1"/>
      <c r="B65" s="1"/>
      <c r="C65" s="5"/>
      <c r="D65" s="1"/>
      <c r="E65" s="1"/>
      <c r="F65" s="6"/>
      <c r="G65" s="6"/>
      <c r="H65" s="12"/>
    </row>
    <row r="66" spans="1:8" ht="14.1" customHeight="1" x14ac:dyDescent="0.2">
      <c r="A66" s="1"/>
      <c r="B66" s="1"/>
      <c r="C66" s="2" t="s">
        <v>95</v>
      </c>
      <c r="D66" s="1"/>
      <c r="E66" s="1"/>
      <c r="F66" s="1"/>
      <c r="G66" s="1"/>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96</v>
      </c>
      <c r="D69" s="1"/>
      <c r="E69" s="1"/>
      <c r="F69" s="1"/>
      <c r="G69" s="1"/>
      <c r="H69" s="12"/>
    </row>
    <row r="70" spans="1:8" ht="29.1" customHeight="1" x14ac:dyDescent="0.2">
      <c r="A70" s="9">
        <v>1</v>
      </c>
      <c r="B70" s="10" t="s">
        <v>97</v>
      </c>
      <c r="C70" s="10" t="s">
        <v>98</v>
      </c>
      <c r="D70" s="10" t="s">
        <v>99</v>
      </c>
      <c r="E70" s="11">
        <v>5000000</v>
      </c>
      <c r="F70" s="12">
        <v>5078.78</v>
      </c>
      <c r="G70" s="13">
        <v>4.8899695E-2</v>
      </c>
      <c r="H70" s="12">
        <v>6.5758000000000001</v>
      </c>
    </row>
    <row r="71" spans="1:8" ht="29.1" customHeight="1" x14ac:dyDescent="0.2">
      <c r="A71" s="9">
        <v>2</v>
      </c>
      <c r="B71" s="10" t="s">
        <v>100</v>
      </c>
      <c r="C71" s="10" t="s">
        <v>101</v>
      </c>
      <c r="D71" s="10" t="s">
        <v>99</v>
      </c>
      <c r="E71" s="11">
        <v>2500000</v>
      </c>
      <c r="F71" s="12">
        <v>2566.2725</v>
      </c>
      <c r="G71" s="13">
        <v>2.4708678000000001E-2</v>
      </c>
      <c r="H71" s="12">
        <v>6.71</v>
      </c>
    </row>
    <row r="72" spans="1:8" ht="29.1" customHeight="1" x14ac:dyDescent="0.2">
      <c r="A72" s="9">
        <v>3</v>
      </c>
      <c r="B72" s="10" t="s">
        <v>102</v>
      </c>
      <c r="C72" s="10" t="s">
        <v>103</v>
      </c>
      <c r="D72" s="10" t="s">
        <v>99</v>
      </c>
      <c r="E72" s="11">
        <v>1000000</v>
      </c>
      <c r="F72" s="12">
        <v>1010.779</v>
      </c>
      <c r="G72" s="13">
        <v>9.7320189999999997E-3</v>
      </c>
      <c r="H72" s="12">
        <v>6.5907999999999998</v>
      </c>
    </row>
    <row r="73" spans="1:8" ht="29.1" customHeight="1" x14ac:dyDescent="0.2">
      <c r="A73" s="9">
        <v>4</v>
      </c>
      <c r="B73" s="10" t="s">
        <v>104</v>
      </c>
      <c r="C73" s="10" t="s">
        <v>105</v>
      </c>
      <c r="D73" s="10" t="s">
        <v>99</v>
      </c>
      <c r="E73" s="11">
        <v>500000</v>
      </c>
      <c r="F73" s="12">
        <v>513.25350000000003</v>
      </c>
      <c r="G73" s="13">
        <v>4.9417259999999996E-3</v>
      </c>
      <c r="H73" s="12">
        <v>6.6749999999999998</v>
      </c>
    </row>
    <row r="74" spans="1:8" ht="14.1" customHeight="1" x14ac:dyDescent="0.2">
      <c r="A74" s="1"/>
      <c r="B74" s="1"/>
      <c r="C74" s="2" t="s">
        <v>11</v>
      </c>
      <c r="D74" s="1"/>
      <c r="E74" s="1" t="s">
        <v>12</v>
      </c>
      <c r="F74" s="7">
        <v>9169.0849999999991</v>
      </c>
      <c r="G74" s="8">
        <v>8.8282118000000007E-2</v>
      </c>
      <c r="H74" s="12"/>
    </row>
    <row r="75" spans="1:8" ht="14.1" customHeight="1" x14ac:dyDescent="0.2">
      <c r="A75" s="1"/>
      <c r="B75" s="1"/>
      <c r="C75" s="5"/>
      <c r="D75" s="1"/>
      <c r="E75" s="1"/>
      <c r="F75" s="6"/>
      <c r="G75" s="6"/>
      <c r="H75" s="12"/>
    </row>
    <row r="76" spans="1:8" ht="14.1" customHeight="1" x14ac:dyDescent="0.2">
      <c r="A76" s="1"/>
      <c r="B76" s="1"/>
      <c r="C76" s="2" t="s">
        <v>106</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107</v>
      </c>
      <c r="D79" s="1"/>
      <c r="E79" s="1"/>
      <c r="F79" s="7">
        <v>84334.334499999997</v>
      </c>
      <c r="G79" s="8">
        <v>0.81199090900000004</v>
      </c>
      <c r="H79" s="12"/>
    </row>
    <row r="80" spans="1:8" ht="14.1" customHeight="1" x14ac:dyDescent="0.2">
      <c r="A80" s="1"/>
      <c r="B80" s="1"/>
      <c r="C80" s="5"/>
      <c r="D80" s="1"/>
      <c r="E80" s="1"/>
      <c r="F80" s="6"/>
      <c r="G80" s="6"/>
      <c r="H80" s="12"/>
    </row>
    <row r="81" spans="1:8" ht="14.1" customHeight="1" x14ac:dyDescent="0.2">
      <c r="A81" s="1"/>
      <c r="B81" s="1"/>
      <c r="C81" s="2" t="s">
        <v>108</v>
      </c>
      <c r="D81" s="1"/>
      <c r="E81" s="1"/>
      <c r="F81" s="6"/>
      <c r="G81" s="6"/>
      <c r="H81" s="12"/>
    </row>
    <row r="82" spans="1:8" ht="14.1" customHeight="1" x14ac:dyDescent="0.2">
      <c r="A82" s="1"/>
      <c r="B82" s="1"/>
      <c r="C82" s="2" t="s">
        <v>109</v>
      </c>
      <c r="D82" s="1"/>
      <c r="E82" s="1"/>
      <c r="F82" s="6"/>
      <c r="G82" s="6"/>
      <c r="H82" s="12"/>
    </row>
    <row r="83" spans="1:8" ht="17.100000000000001" customHeight="1" x14ac:dyDescent="0.2">
      <c r="A83" s="9">
        <v>1</v>
      </c>
      <c r="B83" s="10" t="s">
        <v>110</v>
      </c>
      <c r="C83" s="10" t="s">
        <v>111</v>
      </c>
      <c r="D83" s="10" t="s">
        <v>112</v>
      </c>
      <c r="E83" s="11">
        <v>1000</v>
      </c>
      <c r="F83" s="12">
        <v>4843.7550000000001</v>
      </c>
      <c r="G83" s="13">
        <v>4.6636817999999997E-2</v>
      </c>
      <c r="H83" s="12">
        <v>6.3299000000000003</v>
      </c>
    </row>
    <row r="84" spans="1:8" ht="29.1" customHeight="1" x14ac:dyDescent="0.2">
      <c r="A84" s="9">
        <v>2</v>
      </c>
      <c r="B84" s="10" t="s">
        <v>113</v>
      </c>
      <c r="C84" s="10" t="s">
        <v>114</v>
      </c>
      <c r="D84" s="10" t="s">
        <v>115</v>
      </c>
      <c r="E84" s="11">
        <v>1000</v>
      </c>
      <c r="F84" s="12">
        <v>4769.47</v>
      </c>
      <c r="G84" s="13">
        <v>4.5921585000000001E-2</v>
      </c>
      <c r="H84" s="12">
        <v>6.51</v>
      </c>
    </row>
    <row r="85" spans="1:8" ht="14.1" customHeight="1" x14ac:dyDescent="0.2">
      <c r="A85" s="1"/>
      <c r="B85" s="1"/>
      <c r="C85" s="2" t="s">
        <v>11</v>
      </c>
      <c r="D85" s="1"/>
      <c r="E85" s="1" t="s">
        <v>12</v>
      </c>
      <c r="F85" s="7">
        <v>9613.2250000000004</v>
      </c>
      <c r="G85" s="8">
        <v>9.2558402999999997E-2</v>
      </c>
      <c r="H85" s="12"/>
    </row>
    <row r="86" spans="1:8" ht="14.1" customHeight="1" x14ac:dyDescent="0.2">
      <c r="A86" s="1"/>
      <c r="B86" s="1"/>
      <c r="C86" s="5"/>
      <c r="D86" s="1"/>
      <c r="E86" s="1"/>
      <c r="F86" s="6"/>
      <c r="G86" s="6"/>
      <c r="H86" s="12"/>
    </row>
    <row r="87" spans="1:8" ht="14.1" customHeight="1" x14ac:dyDescent="0.2">
      <c r="A87" s="1"/>
      <c r="B87" s="1"/>
      <c r="C87" s="2" t="s">
        <v>116</v>
      </c>
      <c r="D87" s="1"/>
      <c r="E87" s="1"/>
      <c r="F87" s="6"/>
      <c r="G87" s="6"/>
      <c r="H87" s="12"/>
    </row>
    <row r="88" spans="1:8" ht="29.1" customHeight="1" x14ac:dyDescent="0.2">
      <c r="A88" s="9">
        <v>1</v>
      </c>
      <c r="B88" s="10" t="s">
        <v>117</v>
      </c>
      <c r="C88" s="10" t="s">
        <v>118</v>
      </c>
      <c r="D88" s="10" t="s">
        <v>115</v>
      </c>
      <c r="E88" s="11">
        <v>500</v>
      </c>
      <c r="F88" s="12">
        <v>2419.5825</v>
      </c>
      <c r="G88" s="13">
        <v>2.3296312E-2</v>
      </c>
      <c r="H88" s="12">
        <v>6.3849999999999998</v>
      </c>
    </row>
    <row r="89" spans="1:8" ht="29.1" customHeight="1" x14ac:dyDescent="0.2">
      <c r="A89" s="9">
        <v>2</v>
      </c>
      <c r="B89" s="10" t="s">
        <v>119</v>
      </c>
      <c r="C89" s="10" t="s">
        <v>120</v>
      </c>
      <c r="D89" s="10" t="s">
        <v>115</v>
      </c>
      <c r="E89" s="11">
        <v>300</v>
      </c>
      <c r="F89" s="12">
        <v>1432.2705000000001</v>
      </c>
      <c r="G89" s="13">
        <v>1.3790238999999999E-2</v>
      </c>
      <c r="H89" s="12">
        <v>6.69</v>
      </c>
    </row>
    <row r="90" spans="1:8" ht="14.1" customHeight="1" x14ac:dyDescent="0.2">
      <c r="A90" s="1"/>
      <c r="B90" s="1"/>
      <c r="C90" s="2" t="s">
        <v>11</v>
      </c>
      <c r="D90" s="1"/>
      <c r="E90" s="1" t="s">
        <v>12</v>
      </c>
      <c r="F90" s="7">
        <v>3851.8530000000001</v>
      </c>
      <c r="G90" s="8">
        <v>3.7086551000000002E-2</v>
      </c>
      <c r="H90" s="12"/>
    </row>
    <row r="91" spans="1:8" ht="14.1" customHeight="1" x14ac:dyDescent="0.2">
      <c r="A91" s="1"/>
      <c r="B91" s="1"/>
      <c r="C91" s="5"/>
      <c r="D91" s="1"/>
      <c r="E91" s="1"/>
      <c r="F91" s="6"/>
      <c r="G91" s="6"/>
      <c r="H91" s="12"/>
    </row>
    <row r="92" spans="1:8" ht="14.1" customHeight="1" x14ac:dyDescent="0.2">
      <c r="A92" s="1"/>
      <c r="B92" s="1"/>
      <c r="C92" s="2" t="s">
        <v>121</v>
      </c>
      <c r="D92" s="1"/>
      <c r="E92" s="1"/>
      <c r="F92" s="6"/>
      <c r="G92" s="6"/>
      <c r="H92" s="12"/>
    </row>
    <row r="93" spans="1:8" ht="14.1" customHeight="1" x14ac:dyDescent="0.2">
      <c r="A93" s="1"/>
      <c r="B93" s="1"/>
      <c r="C93" s="2" t="s">
        <v>11</v>
      </c>
      <c r="D93" s="1"/>
      <c r="E93" s="1" t="s">
        <v>12</v>
      </c>
      <c r="F93" s="3">
        <v>0</v>
      </c>
      <c r="G93" s="4">
        <v>0</v>
      </c>
      <c r="H93" s="12"/>
    </row>
    <row r="94" spans="1:8" ht="14.1" customHeight="1" x14ac:dyDescent="0.2">
      <c r="A94" s="1"/>
      <c r="B94" s="1"/>
      <c r="C94" s="5"/>
      <c r="D94" s="1"/>
      <c r="E94" s="1"/>
      <c r="F94" s="6"/>
      <c r="G94" s="6"/>
      <c r="H94" s="12"/>
    </row>
    <row r="95" spans="1:8" ht="14.1" customHeight="1" x14ac:dyDescent="0.2">
      <c r="A95" s="1"/>
      <c r="B95" s="1"/>
      <c r="C95" s="2" t="s">
        <v>122</v>
      </c>
      <c r="D95" s="1"/>
      <c r="E95" s="1"/>
      <c r="F95" s="6"/>
      <c r="G95" s="6"/>
      <c r="H95" s="12"/>
    </row>
    <row r="96" spans="1:8" ht="17.100000000000001" customHeight="1" x14ac:dyDescent="0.2">
      <c r="A96" s="9">
        <v>1</v>
      </c>
      <c r="B96" s="10"/>
      <c r="C96" s="10" t="s">
        <v>123</v>
      </c>
      <c r="D96" s="10"/>
      <c r="E96" s="14"/>
      <c r="F96" s="12">
        <v>3652.4693023999998</v>
      </c>
      <c r="G96" s="13">
        <v>3.5166837999999999E-2</v>
      </c>
      <c r="H96" s="12">
        <v>5.4181585046733343</v>
      </c>
    </row>
    <row r="97" spans="1:8" ht="14.1" customHeight="1" x14ac:dyDescent="0.2">
      <c r="A97" s="1"/>
      <c r="B97" s="1"/>
      <c r="C97" s="2" t="s">
        <v>11</v>
      </c>
      <c r="D97" s="1"/>
      <c r="E97" s="1" t="s">
        <v>12</v>
      </c>
      <c r="F97" s="7">
        <v>3652.4693023999998</v>
      </c>
      <c r="G97" s="8">
        <v>3.5166837999999999E-2</v>
      </c>
      <c r="H97" s="12"/>
    </row>
    <row r="98" spans="1:8" ht="14.1" customHeight="1" x14ac:dyDescent="0.2">
      <c r="A98" s="1"/>
      <c r="B98" s="1"/>
      <c r="C98" s="5"/>
      <c r="D98" s="1"/>
      <c r="E98" s="1"/>
      <c r="F98" s="6"/>
      <c r="G98" s="6"/>
      <c r="H98" s="12"/>
    </row>
    <row r="99" spans="1:8" ht="14.1" customHeight="1" x14ac:dyDescent="0.2">
      <c r="A99" s="1"/>
      <c r="B99" s="1"/>
      <c r="C99" s="2" t="s">
        <v>124</v>
      </c>
      <c r="D99" s="1"/>
      <c r="E99" s="1"/>
      <c r="F99" s="7">
        <v>17117.547302399998</v>
      </c>
      <c r="G99" s="8">
        <v>0.16481179200000001</v>
      </c>
      <c r="H99" s="12"/>
    </row>
    <row r="100" spans="1:8" ht="14.1" customHeight="1" x14ac:dyDescent="0.2">
      <c r="A100" s="1"/>
      <c r="B100" s="1"/>
      <c r="C100" s="6"/>
      <c r="D100" s="1"/>
      <c r="E100" s="1"/>
      <c r="F100" s="1"/>
      <c r="G100" s="1"/>
      <c r="H100" s="12"/>
    </row>
    <row r="101" spans="1:8" ht="14.1" customHeight="1" x14ac:dyDescent="0.2">
      <c r="A101" s="1"/>
      <c r="B101" s="1"/>
      <c r="C101" s="2" t="s">
        <v>125</v>
      </c>
      <c r="D101" s="1"/>
      <c r="E101" s="1"/>
      <c r="F101" s="1"/>
      <c r="G101" s="1"/>
      <c r="H101" s="12"/>
    </row>
    <row r="102" spans="1:8" ht="14.1" customHeight="1" x14ac:dyDescent="0.2">
      <c r="A102" s="1"/>
      <c r="B102" s="1"/>
      <c r="C102" s="2" t="s">
        <v>126</v>
      </c>
      <c r="D102" s="1"/>
      <c r="E102" s="1"/>
      <c r="F102" s="1"/>
      <c r="G102" s="1"/>
      <c r="H102" s="12"/>
    </row>
    <row r="103" spans="1:8" ht="14.1" customHeight="1" x14ac:dyDescent="0.2">
      <c r="A103" s="1"/>
      <c r="B103" s="1"/>
      <c r="C103" s="2" t="s">
        <v>11</v>
      </c>
      <c r="D103" s="1"/>
      <c r="E103" s="1" t="s">
        <v>12</v>
      </c>
      <c r="F103" s="3">
        <v>0</v>
      </c>
      <c r="G103" s="4">
        <v>0</v>
      </c>
      <c r="H103" s="12"/>
    </row>
    <row r="104" spans="1:8" ht="14.1" customHeight="1" x14ac:dyDescent="0.2">
      <c r="A104" s="1"/>
      <c r="B104" s="1"/>
      <c r="C104" s="5"/>
      <c r="D104" s="1"/>
      <c r="E104" s="1"/>
      <c r="F104" s="6"/>
      <c r="G104" s="6"/>
      <c r="H104" s="12"/>
    </row>
    <row r="105" spans="1:8" ht="14.1" customHeight="1" x14ac:dyDescent="0.2">
      <c r="A105" s="1"/>
      <c r="B105" s="1"/>
      <c r="C105" s="2" t="s">
        <v>127</v>
      </c>
      <c r="D105" s="1"/>
      <c r="E105" s="1"/>
      <c r="F105" s="1"/>
      <c r="G105" s="1"/>
      <c r="H105" s="12"/>
    </row>
    <row r="106" spans="1:8" ht="14.1" customHeight="1" x14ac:dyDescent="0.2">
      <c r="A106" s="1"/>
      <c r="B106" s="1"/>
      <c r="C106" s="2" t="s">
        <v>128</v>
      </c>
      <c r="D106" s="1"/>
      <c r="E106" s="1"/>
      <c r="F106" s="1"/>
      <c r="G106" s="1"/>
      <c r="H106" s="12"/>
    </row>
    <row r="107" spans="1:8" ht="14.1" customHeight="1" x14ac:dyDescent="0.2">
      <c r="A107" s="1"/>
      <c r="B107" s="1"/>
      <c r="C107" s="2" t="s">
        <v>11</v>
      </c>
      <c r="D107" s="1"/>
      <c r="E107" s="1" t="s">
        <v>12</v>
      </c>
      <c r="F107" s="3">
        <v>0</v>
      </c>
      <c r="G107" s="4">
        <v>0</v>
      </c>
      <c r="H107" s="12"/>
    </row>
    <row r="108" spans="1:8" ht="14.1" customHeight="1" x14ac:dyDescent="0.2">
      <c r="A108" s="1"/>
      <c r="B108" s="1"/>
      <c r="C108" s="5"/>
      <c r="D108" s="1"/>
      <c r="E108" s="1"/>
      <c r="F108" s="6"/>
      <c r="G108" s="6"/>
      <c r="H108" s="12"/>
    </row>
    <row r="109" spans="1:8" ht="24" customHeight="1" x14ac:dyDescent="0.2">
      <c r="A109" s="1"/>
      <c r="B109" s="1"/>
      <c r="C109" s="2" t="s">
        <v>129</v>
      </c>
      <c r="D109" s="1"/>
      <c r="E109" s="1"/>
      <c r="F109" s="6"/>
      <c r="G109" s="6"/>
      <c r="H109" s="12"/>
    </row>
    <row r="110" spans="1:8" ht="14.1" customHeight="1" x14ac:dyDescent="0.2">
      <c r="A110" s="1"/>
      <c r="B110" s="1"/>
      <c r="C110" s="2" t="s">
        <v>11</v>
      </c>
      <c r="D110" s="1"/>
      <c r="E110" s="1" t="s">
        <v>12</v>
      </c>
      <c r="F110" s="3">
        <v>0</v>
      </c>
      <c r="G110" s="4">
        <v>0</v>
      </c>
      <c r="H110" s="12"/>
    </row>
    <row r="111" spans="1:8" ht="14.1" customHeight="1" x14ac:dyDescent="0.2">
      <c r="A111" s="1"/>
      <c r="B111" s="1"/>
      <c r="C111" s="5"/>
      <c r="D111" s="1"/>
      <c r="E111" s="1"/>
      <c r="F111" s="6"/>
      <c r="G111" s="6"/>
      <c r="H111" s="12"/>
    </row>
    <row r="112" spans="1:8" ht="14.1" customHeight="1" x14ac:dyDescent="0.2">
      <c r="A112" s="1"/>
      <c r="B112" s="10"/>
      <c r="C112" s="10"/>
      <c r="D112" s="2"/>
      <c r="E112" s="1"/>
      <c r="F112" s="10"/>
      <c r="G112" s="14"/>
      <c r="H112" s="12"/>
    </row>
    <row r="113" spans="1:8" ht="18" customHeight="1" x14ac:dyDescent="0.2">
      <c r="A113" s="14"/>
      <c r="B113" s="10"/>
      <c r="C113" s="10" t="s">
        <v>130</v>
      </c>
      <c r="D113" s="10"/>
      <c r="E113" s="14"/>
      <c r="F113" s="12">
        <v>2409.2983414300002</v>
      </c>
      <c r="G113" s="13">
        <v>2.3197294E-2</v>
      </c>
      <c r="H113" s="12"/>
    </row>
    <row r="114" spans="1:8" ht="14.1" customHeight="1" x14ac:dyDescent="0.2">
      <c r="A114" s="5"/>
      <c r="B114" s="5"/>
      <c r="C114" s="2" t="s">
        <v>131</v>
      </c>
      <c r="D114" s="6"/>
      <c r="E114" s="6"/>
      <c r="F114" s="7">
        <v>103861.18014383</v>
      </c>
      <c r="G114" s="8">
        <v>0.99999999500000003</v>
      </c>
      <c r="H114" s="12"/>
    </row>
    <row r="115" spans="1:8" ht="14.1" customHeight="1" x14ac:dyDescent="0.2">
      <c r="A115" s="15"/>
      <c r="B115" s="15"/>
      <c r="C115" s="15"/>
      <c r="D115" s="16"/>
      <c r="E115" s="16"/>
      <c r="F115" s="16"/>
      <c r="G115" s="16"/>
    </row>
    <row r="116" spans="1:8" ht="17.100000000000001" customHeight="1" x14ac:dyDescent="0.2">
      <c r="A116" s="17"/>
      <c r="B116" s="101" t="s">
        <v>132</v>
      </c>
      <c r="C116" s="101"/>
      <c r="D116" s="101"/>
      <c r="E116" s="101"/>
      <c r="F116" s="101"/>
      <c r="G116" s="19"/>
    </row>
    <row r="117" spans="1:8" ht="17.100000000000001" customHeight="1" x14ac:dyDescent="0.2">
      <c r="A117" s="17"/>
      <c r="B117" s="101" t="s">
        <v>133</v>
      </c>
      <c r="C117" s="101"/>
      <c r="D117" s="101"/>
      <c r="E117" s="101"/>
      <c r="F117" s="101"/>
      <c r="G117" s="19"/>
    </row>
    <row r="118" spans="1:8" ht="14.1" customHeight="1" x14ac:dyDescent="0.2">
      <c r="A118" s="17"/>
      <c r="B118" s="17"/>
      <c r="C118" s="17"/>
      <c r="D118" s="19"/>
      <c r="E118" s="19"/>
      <c r="F118" s="19"/>
      <c r="G118" s="19"/>
    </row>
    <row r="119" spans="1:8" ht="14.1" customHeight="1" x14ac:dyDescent="0.2">
      <c r="A119" s="17"/>
      <c r="B119" s="102" t="s">
        <v>134</v>
      </c>
      <c r="C119" s="103"/>
      <c r="D119" s="104"/>
      <c r="E119" s="20"/>
      <c r="F119" s="19"/>
      <c r="G119" s="19"/>
    </row>
    <row r="120" spans="1:8" ht="29.1" customHeight="1" x14ac:dyDescent="0.2">
      <c r="A120" s="17"/>
      <c r="B120" s="97" t="s">
        <v>135</v>
      </c>
      <c r="C120" s="98"/>
      <c r="D120" s="2" t="s">
        <v>136</v>
      </c>
      <c r="E120" s="20"/>
      <c r="F120" s="19"/>
      <c r="G120" s="19"/>
    </row>
    <row r="121" spans="1:8" ht="17.100000000000001" customHeight="1" x14ac:dyDescent="0.2">
      <c r="A121" s="17"/>
      <c r="B121" s="97" t="s">
        <v>137</v>
      </c>
      <c r="C121" s="98"/>
      <c r="D121" s="2" t="s">
        <v>136</v>
      </c>
      <c r="E121" s="20"/>
      <c r="F121" s="19"/>
      <c r="G121" s="19"/>
    </row>
    <row r="122" spans="1:8" ht="17.100000000000001" customHeight="1" x14ac:dyDescent="0.2">
      <c r="A122" s="17"/>
      <c r="B122" s="97" t="s">
        <v>138</v>
      </c>
      <c r="C122" s="98"/>
      <c r="D122" s="6" t="s">
        <v>12</v>
      </c>
      <c r="E122" s="20"/>
      <c r="F122" s="19"/>
      <c r="G122" s="19"/>
    </row>
    <row r="123" spans="1:8" ht="24" customHeight="1" x14ac:dyDescent="0.2">
      <c r="A123" s="21"/>
      <c r="B123" s="22" t="s">
        <v>12</v>
      </c>
      <c r="C123" s="22" t="s">
        <v>139</v>
      </c>
      <c r="D123" s="22" t="s">
        <v>140</v>
      </c>
      <c r="E123" s="21"/>
      <c r="F123" s="21"/>
      <c r="G123" s="21"/>
    </row>
    <row r="124" spans="1:8" ht="18" customHeight="1" x14ac:dyDescent="0.2">
      <c r="A124" s="21"/>
      <c r="B124" s="23" t="s">
        <v>141</v>
      </c>
      <c r="C124" s="22" t="s">
        <v>142</v>
      </c>
      <c r="D124" s="22" t="s">
        <v>143</v>
      </c>
      <c r="E124" s="21"/>
      <c r="F124" s="21"/>
      <c r="G124" s="21"/>
    </row>
    <row r="125" spans="1:8" ht="17.100000000000001" customHeight="1" x14ac:dyDescent="0.2">
      <c r="A125" s="21"/>
      <c r="B125" s="10" t="s">
        <v>144</v>
      </c>
      <c r="C125" s="24">
        <v>33.636099999999999</v>
      </c>
      <c r="D125" s="24">
        <v>33.800400000000003</v>
      </c>
      <c r="E125" s="21"/>
      <c r="F125" s="18"/>
      <c r="G125" s="25"/>
    </row>
    <row r="126" spans="1:8" ht="29.1" customHeight="1" x14ac:dyDescent="0.2">
      <c r="A126" s="21"/>
      <c r="B126" s="10" t="s">
        <v>521</v>
      </c>
      <c r="C126" s="24">
        <v>15.4199</v>
      </c>
      <c r="D126" s="24">
        <v>15.475199999999999</v>
      </c>
      <c r="E126" s="21"/>
      <c r="F126" s="18"/>
      <c r="G126" s="25"/>
    </row>
    <row r="127" spans="1:8" ht="29.1" customHeight="1" x14ac:dyDescent="0.2">
      <c r="A127" s="21"/>
      <c r="B127" s="10" t="s">
        <v>522</v>
      </c>
      <c r="C127" s="24">
        <v>17.139500000000002</v>
      </c>
      <c r="D127" s="24">
        <v>17.223199999999999</v>
      </c>
      <c r="E127" s="21"/>
      <c r="F127" s="18"/>
      <c r="G127" s="25"/>
    </row>
    <row r="128" spans="1:8" ht="29.1" customHeight="1" x14ac:dyDescent="0.2">
      <c r="A128" s="21"/>
      <c r="B128" s="10" t="s">
        <v>523</v>
      </c>
      <c r="C128" s="24">
        <v>15.569599999999999</v>
      </c>
      <c r="D128" s="24">
        <v>15.645799999999999</v>
      </c>
      <c r="E128" s="21"/>
      <c r="F128" s="18"/>
      <c r="G128" s="25"/>
    </row>
    <row r="129" spans="1:7" ht="29.1" customHeight="1" x14ac:dyDescent="0.2">
      <c r="A129" s="21"/>
      <c r="B129" s="10" t="s">
        <v>524</v>
      </c>
      <c r="C129" s="24">
        <v>15.512499999999999</v>
      </c>
      <c r="D129" s="24">
        <v>15.5883</v>
      </c>
      <c r="E129" s="21"/>
      <c r="F129" s="18"/>
      <c r="G129" s="25"/>
    </row>
    <row r="130" spans="1:7" ht="17.100000000000001" customHeight="1" x14ac:dyDescent="0.2">
      <c r="A130" s="21"/>
      <c r="B130" s="10" t="s">
        <v>145</v>
      </c>
      <c r="C130" s="24">
        <v>32.744100000000003</v>
      </c>
      <c r="D130" s="24">
        <v>32.896900000000002</v>
      </c>
      <c r="E130" s="21"/>
      <c r="F130" s="18"/>
      <c r="G130" s="25"/>
    </row>
    <row r="131" spans="1:7" ht="29.1" customHeight="1" x14ac:dyDescent="0.2">
      <c r="A131" s="21"/>
      <c r="B131" s="10" t="s">
        <v>525</v>
      </c>
      <c r="C131" s="24">
        <v>14.6778</v>
      </c>
      <c r="D131" s="24">
        <v>14.7263</v>
      </c>
      <c r="E131" s="21"/>
      <c r="F131" s="18"/>
      <c r="G131" s="25"/>
    </row>
    <row r="132" spans="1:7" ht="29.1" customHeight="1" x14ac:dyDescent="0.2">
      <c r="A132" s="21"/>
      <c r="B132" s="10" t="s">
        <v>526</v>
      </c>
      <c r="C132" s="24">
        <v>16.736999999999998</v>
      </c>
      <c r="D132" s="24">
        <v>16.815100000000001</v>
      </c>
      <c r="E132" s="21"/>
      <c r="F132" s="18"/>
      <c r="G132" s="25"/>
    </row>
    <row r="133" spans="1:7" ht="29.1" customHeight="1" x14ac:dyDescent="0.2">
      <c r="A133" s="21"/>
      <c r="B133" s="10" t="s">
        <v>527</v>
      </c>
      <c r="C133" s="24">
        <v>15.5495</v>
      </c>
      <c r="D133" s="24">
        <v>15.6221</v>
      </c>
      <c r="E133" s="21"/>
      <c r="F133" s="18"/>
      <c r="G133" s="25"/>
    </row>
    <row r="134" spans="1:7" ht="29.1" customHeight="1" x14ac:dyDescent="0.2">
      <c r="A134" s="21"/>
      <c r="B134" s="10" t="s">
        <v>528</v>
      </c>
      <c r="C134" s="24">
        <v>15.147399999999999</v>
      </c>
      <c r="D134" s="24">
        <v>15.2181</v>
      </c>
      <c r="E134" s="21"/>
      <c r="F134" s="18"/>
      <c r="G134" s="25"/>
    </row>
    <row r="135" spans="1:7" ht="14.1" customHeight="1" x14ac:dyDescent="0.2">
      <c r="A135" s="21"/>
      <c r="B135" s="21"/>
      <c r="C135" s="21"/>
      <c r="D135" s="21"/>
      <c r="E135" s="21"/>
      <c r="F135" s="21"/>
      <c r="G135" s="21"/>
    </row>
    <row r="136" spans="1:7" ht="17.100000000000001" customHeight="1" x14ac:dyDescent="0.2">
      <c r="A136" s="21"/>
      <c r="B136" s="97" t="s">
        <v>529</v>
      </c>
      <c r="C136" s="98"/>
      <c r="D136" s="2" t="s">
        <v>12</v>
      </c>
      <c r="E136" s="21"/>
      <c r="F136" s="21"/>
      <c r="G136" s="21"/>
    </row>
    <row r="137" spans="1:7" ht="18" customHeight="1" x14ac:dyDescent="0.2">
      <c r="A137" s="21"/>
      <c r="B137" s="26" t="s">
        <v>141</v>
      </c>
      <c r="C137" s="27" t="s">
        <v>146</v>
      </c>
      <c r="D137" s="27" t="s">
        <v>147</v>
      </c>
      <c r="E137" s="21"/>
      <c r="F137" s="21"/>
      <c r="G137" s="21"/>
    </row>
    <row r="138" spans="1:7" ht="29.1" customHeight="1" x14ac:dyDescent="0.2">
      <c r="A138" s="21"/>
      <c r="B138" s="10" t="s">
        <v>521</v>
      </c>
      <c r="C138" s="28">
        <v>0.02</v>
      </c>
      <c r="D138" s="14" t="s">
        <v>148</v>
      </c>
      <c r="E138" s="21"/>
      <c r="F138" s="18"/>
      <c r="G138" s="25"/>
    </row>
    <row r="139" spans="1:7" ht="29.1" customHeight="1" x14ac:dyDescent="0.2">
      <c r="A139" s="21"/>
      <c r="B139" s="10" t="s">
        <v>525</v>
      </c>
      <c r="C139" s="28">
        <v>0.02</v>
      </c>
      <c r="D139" s="14" t="s">
        <v>148</v>
      </c>
      <c r="E139" s="21"/>
      <c r="F139" s="18"/>
      <c r="G139" s="25"/>
    </row>
    <row r="140" spans="1:7" ht="14.1" customHeight="1" x14ac:dyDescent="0.2">
      <c r="A140" s="21"/>
      <c r="B140" s="18"/>
      <c r="C140" s="18"/>
      <c r="D140" s="21"/>
      <c r="E140" s="21"/>
      <c r="F140" s="21"/>
      <c r="G140" s="21"/>
    </row>
    <row r="141" spans="1:7" ht="29.1" customHeight="1" x14ac:dyDescent="0.2">
      <c r="A141" s="21"/>
      <c r="B141" s="97" t="s">
        <v>149</v>
      </c>
      <c r="C141" s="98"/>
      <c r="D141" s="2" t="s">
        <v>136</v>
      </c>
      <c r="E141" s="31"/>
      <c r="F141" s="21"/>
      <c r="G141" s="21"/>
    </row>
    <row r="142" spans="1:7" ht="29.1" customHeight="1" x14ac:dyDescent="0.2">
      <c r="A142" s="21"/>
      <c r="B142" s="97" t="s">
        <v>150</v>
      </c>
      <c r="C142" s="98"/>
      <c r="D142" s="2" t="s">
        <v>136</v>
      </c>
      <c r="E142" s="31"/>
      <c r="F142" s="21"/>
      <c r="G142" s="21"/>
    </row>
    <row r="143" spans="1:7" ht="17.100000000000001" customHeight="1" x14ac:dyDescent="0.2">
      <c r="A143" s="21"/>
      <c r="B143" s="97" t="s">
        <v>151</v>
      </c>
      <c r="C143" s="98"/>
      <c r="D143" s="32">
        <v>0.72718430227195485</v>
      </c>
      <c r="E143" s="31"/>
      <c r="F143" s="21"/>
      <c r="G143" s="21"/>
    </row>
    <row r="144" spans="1:7" ht="17.100000000000001" customHeight="1" x14ac:dyDescent="0.2">
      <c r="A144" s="21"/>
      <c r="B144" s="97" t="s">
        <v>152</v>
      </c>
      <c r="C144" s="98"/>
      <c r="D144" s="32">
        <v>0.71199018465788488</v>
      </c>
      <c r="E144" s="31"/>
      <c r="F144" s="21"/>
      <c r="G144" s="21"/>
    </row>
    <row r="145" spans="1:15" ht="17.100000000000001" customHeight="1" x14ac:dyDescent="0.2">
      <c r="A145" s="21"/>
      <c r="B145" s="97" t="s">
        <v>153</v>
      </c>
      <c r="C145" s="98"/>
      <c r="D145" s="2" t="s">
        <v>136</v>
      </c>
      <c r="E145" s="31"/>
      <c r="F145" s="21"/>
      <c r="G145" s="21"/>
    </row>
    <row r="151" spans="1:15" x14ac:dyDescent="0.2">
      <c r="J151"/>
      <c r="K151"/>
      <c r="L151"/>
      <c r="M151"/>
      <c r="N151"/>
      <c r="O151"/>
    </row>
  </sheetData>
  <mergeCells count="16">
    <mergeCell ref="B144:C144"/>
    <mergeCell ref="B145:C145"/>
    <mergeCell ref="J2:N2"/>
    <mergeCell ref="A1:H1"/>
    <mergeCell ref="A2:H2"/>
    <mergeCell ref="A3:H3"/>
    <mergeCell ref="B142:C142"/>
    <mergeCell ref="B143:C143"/>
    <mergeCell ref="B141:C141"/>
    <mergeCell ref="B116:F116"/>
    <mergeCell ref="B117:F117"/>
    <mergeCell ref="B119:D119"/>
    <mergeCell ref="B120:C120"/>
    <mergeCell ref="B121:C121"/>
    <mergeCell ref="B122:C122"/>
    <mergeCell ref="B136:C136"/>
  </mergeCells>
  <hyperlinks>
    <hyperlink ref="I1" location="Index!B2" display="Index" xr:uid="{EE3DFA01-894A-4F07-9F40-4F61632AF3E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0" t="s">
        <v>0</v>
      </c>
      <c r="B1" s="100"/>
      <c r="C1" s="100"/>
      <c r="D1" s="100"/>
      <c r="E1" s="100"/>
      <c r="F1" s="100"/>
      <c r="G1" s="100"/>
      <c r="H1" s="100"/>
      <c r="I1" s="90" t="s">
        <v>544</v>
      </c>
    </row>
    <row r="2" spans="1:14" ht="17.100000000000001" customHeight="1" x14ac:dyDescent="0.2">
      <c r="A2" s="100" t="s">
        <v>154</v>
      </c>
      <c r="B2" s="100"/>
      <c r="C2" s="100"/>
      <c r="D2" s="100"/>
      <c r="E2" s="100"/>
      <c r="F2" s="100"/>
      <c r="G2" s="100"/>
      <c r="H2" s="100"/>
      <c r="J2" s="99" t="s">
        <v>545</v>
      </c>
      <c r="K2" s="99"/>
      <c r="L2" s="99"/>
      <c r="M2" s="99"/>
      <c r="N2" s="99"/>
    </row>
    <row r="3" spans="1:14" ht="21" customHeight="1" x14ac:dyDescent="0.2">
      <c r="A3" s="100" t="s">
        <v>539</v>
      </c>
      <c r="B3" s="100"/>
      <c r="C3" s="100"/>
      <c r="D3" s="100"/>
      <c r="E3" s="100"/>
      <c r="F3" s="100"/>
      <c r="G3" s="100"/>
      <c r="H3" s="100"/>
    </row>
    <row r="4" spans="1:14" s="88" customFormat="1" ht="30" x14ac:dyDescent="0.2">
      <c r="A4" s="87" t="s">
        <v>2</v>
      </c>
      <c r="B4" s="87" t="s">
        <v>3</v>
      </c>
      <c r="C4" s="87" t="s">
        <v>4</v>
      </c>
      <c r="D4" s="87" t="s">
        <v>5</v>
      </c>
      <c r="E4" s="87" t="s">
        <v>6</v>
      </c>
      <c r="F4" s="87" t="s">
        <v>7</v>
      </c>
      <c r="G4" s="87" t="s">
        <v>8</v>
      </c>
      <c r="H4" s="86" t="s">
        <v>520</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row>
    <row r="17" spans="1:14" ht="14.1" customHeight="1" x14ac:dyDescent="0.25">
      <c r="A17" s="1"/>
      <c r="B17" s="1"/>
      <c r="C17" s="5"/>
      <c r="D17" s="1"/>
      <c r="E17" s="1"/>
      <c r="F17" s="6"/>
      <c r="G17" s="6"/>
      <c r="H17" s="12"/>
      <c r="J17" s="93" t="s">
        <v>548</v>
      </c>
      <c r="K17" s="92"/>
      <c r="L17" s="92"/>
      <c r="M17" s="92"/>
      <c r="N17" s="94"/>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155</v>
      </c>
      <c r="C28" s="10" t="s">
        <v>156</v>
      </c>
      <c r="D28" s="10" t="s">
        <v>27</v>
      </c>
      <c r="E28" s="11">
        <v>350</v>
      </c>
      <c r="F28" s="12">
        <v>3507.6370000000002</v>
      </c>
      <c r="G28" s="13">
        <v>7.6078989999999999E-2</v>
      </c>
      <c r="H28" s="12">
        <v>6.92</v>
      </c>
    </row>
    <row r="29" spans="1:14" ht="29.1" customHeight="1" x14ac:dyDescent="0.2">
      <c r="A29" s="9">
        <v>2</v>
      </c>
      <c r="B29" s="10" t="s">
        <v>157</v>
      </c>
      <c r="C29" s="10" t="s">
        <v>158</v>
      </c>
      <c r="D29" s="10" t="s">
        <v>27</v>
      </c>
      <c r="E29" s="11">
        <v>300</v>
      </c>
      <c r="F29" s="12">
        <v>3023.3939999999998</v>
      </c>
      <c r="G29" s="13">
        <v>6.5575988000000002E-2</v>
      </c>
      <c r="H29" s="12">
        <v>6.8650000000000002</v>
      </c>
    </row>
    <row r="30" spans="1:14" ht="29.1" customHeight="1" x14ac:dyDescent="0.25">
      <c r="A30" s="9">
        <v>3</v>
      </c>
      <c r="B30" s="10" t="s">
        <v>159</v>
      </c>
      <c r="C30" s="10" t="s">
        <v>160</v>
      </c>
      <c r="D30" s="10" t="s">
        <v>27</v>
      </c>
      <c r="E30" s="11">
        <v>300</v>
      </c>
      <c r="F30" s="12">
        <v>2993.8409999999999</v>
      </c>
      <c r="G30" s="13">
        <v>6.4934996999999994E-2</v>
      </c>
      <c r="H30" s="12">
        <v>5.8650000000000002</v>
      </c>
      <c r="J30" s="92" t="s">
        <v>547</v>
      </c>
    </row>
    <row r="31" spans="1:14" ht="17.100000000000001" customHeight="1" x14ac:dyDescent="0.2">
      <c r="A31" s="9">
        <v>4</v>
      </c>
      <c r="B31" s="10" t="s">
        <v>161</v>
      </c>
      <c r="C31" s="10" t="s">
        <v>162</v>
      </c>
      <c r="D31" s="10" t="s">
        <v>27</v>
      </c>
      <c r="E31" s="11">
        <v>250</v>
      </c>
      <c r="F31" s="12">
        <v>2568.52</v>
      </c>
      <c r="G31" s="13">
        <v>5.5709986000000003E-2</v>
      </c>
      <c r="H31" s="12">
        <v>7.085</v>
      </c>
    </row>
    <row r="32" spans="1:14" ht="29.1" customHeight="1" x14ac:dyDescent="0.2">
      <c r="A32" s="9">
        <v>5</v>
      </c>
      <c r="B32" s="10" t="s">
        <v>163</v>
      </c>
      <c r="C32" s="10" t="s">
        <v>164</v>
      </c>
      <c r="D32" s="10" t="s">
        <v>27</v>
      </c>
      <c r="E32" s="11">
        <v>250</v>
      </c>
      <c r="F32" s="12">
        <v>2530.2624999999998</v>
      </c>
      <c r="G32" s="13">
        <v>5.4880198999999998E-2</v>
      </c>
      <c r="H32" s="12">
        <v>7.25</v>
      </c>
    </row>
    <row r="33" spans="1:8" ht="29.1" customHeight="1" x14ac:dyDescent="0.2">
      <c r="A33" s="9">
        <v>6</v>
      </c>
      <c r="B33" s="10" t="s">
        <v>165</v>
      </c>
      <c r="C33" s="10" t="s">
        <v>166</v>
      </c>
      <c r="D33" s="10" t="s">
        <v>22</v>
      </c>
      <c r="E33" s="11">
        <v>250</v>
      </c>
      <c r="F33" s="12">
        <v>2491.9924999999998</v>
      </c>
      <c r="G33" s="13">
        <v>5.4050140000000003E-2</v>
      </c>
      <c r="H33" s="12">
        <v>6.7350000000000003</v>
      </c>
    </row>
    <row r="34" spans="1:8" ht="29.1" customHeight="1" x14ac:dyDescent="0.2">
      <c r="A34" s="9">
        <v>7</v>
      </c>
      <c r="B34" s="10" t="s">
        <v>23</v>
      </c>
      <c r="C34" s="10" t="s">
        <v>24</v>
      </c>
      <c r="D34" s="10" t="s">
        <v>22</v>
      </c>
      <c r="E34" s="11">
        <v>250</v>
      </c>
      <c r="F34" s="12">
        <v>2479.4775</v>
      </c>
      <c r="G34" s="13">
        <v>5.3778696000000001E-2</v>
      </c>
      <c r="H34" s="12">
        <v>6.8550000000000004</v>
      </c>
    </row>
    <row r="35" spans="1:8" ht="29.1" customHeight="1" x14ac:dyDescent="0.2">
      <c r="A35" s="9">
        <v>8</v>
      </c>
      <c r="B35" s="10" t="s">
        <v>167</v>
      </c>
      <c r="C35" s="10" t="s">
        <v>168</v>
      </c>
      <c r="D35" s="10" t="s">
        <v>22</v>
      </c>
      <c r="E35" s="11">
        <v>250</v>
      </c>
      <c r="F35" s="12">
        <v>2439.4524999999999</v>
      </c>
      <c r="G35" s="13">
        <v>5.2910572000000003E-2</v>
      </c>
      <c r="H35" s="12">
        <v>6.7649999999999997</v>
      </c>
    </row>
    <row r="36" spans="1:8" ht="29.1" customHeight="1" x14ac:dyDescent="0.2">
      <c r="A36" s="9">
        <v>9</v>
      </c>
      <c r="B36" s="10" t="s">
        <v>169</v>
      </c>
      <c r="C36" s="10" t="s">
        <v>170</v>
      </c>
      <c r="D36" s="10" t="s">
        <v>27</v>
      </c>
      <c r="E36" s="11">
        <v>250</v>
      </c>
      <c r="F36" s="12">
        <v>2423.7199999999998</v>
      </c>
      <c r="G36" s="13">
        <v>5.2569341999999998E-2</v>
      </c>
      <c r="H36" s="12">
        <v>7</v>
      </c>
    </row>
    <row r="37" spans="1:8" ht="29.1" customHeight="1" x14ac:dyDescent="0.2">
      <c r="A37" s="9">
        <v>10</v>
      </c>
      <c r="B37" s="10" t="s">
        <v>171</v>
      </c>
      <c r="C37" s="10" t="s">
        <v>172</v>
      </c>
      <c r="D37" s="10" t="s">
        <v>27</v>
      </c>
      <c r="E37" s="11">
        <v>250</v>
      </c>
      <c r="F37" s="12">
        <v>2394.3724999999999</v>
      </c>
      <c r="G37" s="13">
        <v>5.1932809000000003E-2</v>
      </c>
      <c r="H37" s="12">
        <v>7.64</v>
      </c>
    </row>
    <row r="38" spans="1:8" ht="29.1" customHeight="1" x14ac:dyDescent="0.2">
      <c r="A38" s="9">
        <v>11</v>
      </c>
      <c r="B38" s="10" t="s">
        <v>173</v>
      </c>
      <c r="C38" s="10" t="s">
        <v>174</v>
      </c>
      <c r="D38" s="10" t="s">
        <v>27</v>
      </c>
      <c r="E38" s="11">
        <v>200</v>
      </c>
      <c r="F38" s="12">
        <v>1929.9059999999999</v>
      </c>
      <c r="G38" s="13">
        <v>4.185875E-2</v>
      </c>
      <c r="H38" s="12">
        <v>7.13</v>
      </c>
    </row>
    <row r="39" spans="1:8" ht="17.100000000000001" customHeight="1" x14ac:dyDescent="0.2">
      <c r="A39" s="9">
        <v>12</v>
      </c>
      <c r="B39" s="10" t="s">
        <v>175</v>
      </c>
      <c r="C39" s="10" t="s">
        <v>176</v>
      </c>
      <c r="D39" s="10" t="s">
        <v>27</v>
      </c>
      <c r="E39" s="11">
        <v>150</v>
      </c>
      <c r="F39" s="12">
        <v>1518.9224999999999</v>
      </c>
      <c r="G39" s="13">
        <v>3.2944712000000001E-2</v>
      </c>
      <c r="H39" s="12">
        <v>7.15</v>
      </c>
    </row>
    <row r="40" spans="1:8" ht="29.1" customHeight="1" x14ac:dyDescent="0.2">
      <c r="A40" s="9">
        <v>13</v>
      </c>
      <c r="B40" s="10" t="s">
        <v>177</v>
      </c>
      <c r="C40" s="10" t="s">
        <v>178</v>
      </c>
      <c r="D40" s="10" t="s">
        <v>27</v>
      </c>
      <c r="E40" s="11">
        <v>500</v>
      </c>
      <c r="F40" s="12">
        <v>1473.6315</v>
      </c>
      <c r="G40" s="13">
        <v>3.1962371000000003E-2</v>
      </c>
      <c r="H40" s="12">
        <v>7.0449999999999999</v>
      </c>
    </row>
    <row r="41" spans="1:8" ht="29.1" customHeight="1" x14ac:dyDescent="0.2">
      <c r="A41" s="9">
        <v>14</v>
      </c>
      <c r="B41" s="10" t="s">
        <v>179</v>
      </c>
      <c r="C41" s="10" t="s">
        <v>180</v>
      </c>
      <c r="D41" s="10" t="s">
        <v>27</v>
      </c>
      <c r="E41" s="11">
        <v>100</v>
      </c>
      <c r="F41" s="12">
        <v>972.88599999999997</v>
      </c>
      <c r="G41" s="13">
        <v>2.1101438E-2</v>
      </c>
      <c r="H41" s="12">
        <v>7.0697999999999999</v>
      </c>
    </row>
    <row r="42" spans="1:8" ht="14.1" customHeight="1" x14ac:dyDescent="0.2">
      <c r="A42" s="1"/>
      <c r="B42" s="1"/>
      <c r="C42" s="2" t="s">
        <v>11</v>
      </c>
      <c r="D42" s="1"/>
      <c r="E42" s="1" t="s">
        <v>12</v>
      </c>
      <c r="F42" s="7">
        <v>32748.015500000001</v>
      </c>
      <c r="G42" s="8">
        <v>0.71028899000000001</v>
      </c>
      <c r="H42" s="12"/>
    </row>
    <row r="43" spans="1:8" ht="14.1" customHeight="1" x14ac:dyDescent="0.2">
      <c r="A43" s="1"/>
      <c r="B43" s="1"/>
      <c r="C43" s="5"/>
      <c r="D43" s="1"/>
      <c r="E43" s="1"/>
      <c r="F43" s="6"/>
      <c r="G43" s="6"/>
      <c r="H43" s="12"/>
    </row>
    <row r="44" spans="1:8" ht="14.1" customHeight="1" x14ac:dyDescent="0.2">
      <c r="A44" s="1"/>
      <c r="B44" s="1"/>
      <c r="C44" s="2" t="s">
        <v>95</v>
      </c>
      <c r="D44" s="1"/>
      <c r="E44" s="1"/>
      <c r="F44" s="1"/>
      <c r="G44" s="1"/>
      <c r="H44" s="12"/>
    </row>
    <row r="45" spans="1:8" ht="14.1" customHeight="1" x14ac:dyDescent="0.2">
      <c r="A45" s="1"/>
      <c r="B45" s="1"/>
      <c r="C45" s="2" t="s">
        <v>11</v>
      </c>
      <c r="D45" s="1"/>
      <c r="E45" s="1" t="s">
        <v>12</v>
      </c>
      <c r="F45" s="3">
        <v>0</v>
      </c>
      <c r="G45" s="4">
        <v>0</v>
      </c>
      <c r="H45" s="12"/>
    </row>
    <row r="46" spans="1:8" ht="14.1" customHeight="1" x14ac:dyDescent="0.2">
      <c r="A46" s="1"/>
      <c r="B46" s="1"/>
      <c r="C46" s="5"/>
      <c r="D46" s="1"/>
      <c r="E46" s="1"/>
      <c r="F46" s="6"/>
      <c r="G46" s="6"/>
      <c r="H46" s="12"/>
    </row>
    <row r="47" spans="1:8" ht="14.1" customHeight="1" x14ac:dyDescent="0.2">
      <c r="A47" s="1"/>
      <c r="B47" s="1"/>
      <c r="C47" s="2" t="s">
        <v>96</v>
      </c>
      <c r="D47" s="1"/>
      <c r="E47" s="1"/>
      <c r="F47" s="1"/>
      <c r="G47" s="1"/>
      <c r="H47" s="12"/>
    </row>
    <row r="48" spans="1:8" ht="29.1" customHeight="1" x14ac:dyDescent="0.2">
      <c r="A48" s="9">
        <v>1</v>
      </c>
      <c r="B48" s="10" t="s">
        <v>181</v>
      </c>
      <c r="C48" s="10" t="s">
        <v>182</v>
      </c>
      <c r="D48" s="10" t="s">
        <v>99</v>
      </c>
      <c r="E48" s="11">
        <v>3000000</v>
      </c>
      <c r="F48" s="12">
        <v>2872.0140000000001</v>
      </c>
      <c r="G48" s="13">
        <v>6.2292627000000003E-2</v>
      </c>
      <c r="H48" s="12">
        <v>6.9233000000000002</v>
      </c>
    </row>
    <row r="49" spans="1:8" ht="29.1" customHeight="1" x14ac:dyDescent="0.2">
      <c r="A49" s="9">
        <v>2</v>
      </c>
      <c r="B49" s="10" t="s">
        <v>183</v>
      </c>
      <c r="C49" s="10" t="s">
        <v>184</v>
      </c>
      <c r="D49" s="10" t="s">
        <v>99</v>
      </c>
      <c r="E49" s="11">
        <v>2500000</v>
      </c>
      <c r="F49" s="12">
        <v>2401.895</v>
      </c>
      <c r="G49" s="13">
        <v>5.2095967999999999E-2</v>
      </c>
      <c r="H49" s="12">
        <v>6.7838000000000003</v>
      </c>
    </row>
    <row r="50" spans="1:8" ht="14.1" customHeight="1" x14ac:dyDescent="0.2">
      <c r="A50" s="1"/>
      <c r="B50" s="1"/>
      <c r="C50" s="2" t="s">
        <v>11</v>
      </c>
      <c r="D50" s="1"/>
      <c r="E50" s="1" t="s">
        <v>12</v>
      </c>
      <c r="F50" s="7">
        <v>5273.9089999999997</v>
      </c>
      <c r="G50" s="8">
        <v>0.114388595</v>
      </c>
      <c r="H50" s="12"/>
    </row>
    <row r="51" spans="1:8" ht="14.1" customHeight="1" x14ac:dyDescent="0.2">
      <c r="A51" s="1"/>
      <c r="B51" s="1"/>
      <c r="C51" s="5"/>
      <c r="D51" s="1"/>
      <c r="E51" s="1"/>
      <c r="F51" s="6"/>
      <c r="G51" s="6"/>
      <c r="H51" s="12"/>
    </row>
    <row r="52" spans="1:8" ht="14.1" customHeight="1" x14ac:dyDescent="0.2">
      <c r="A52" s="1"/>
      <c r="B52" s="1"/>
      <c r="C52" s="2" t="s">
        <v>106</v>
      </c>
      <c r="D52" s="1"/>
      <c r="E52" s="1"/>
      <c r="F52" s="6"/>
      <c r="G52" s="6"/>
      <c r="H52" s="12"/>
    </row>
    <row r="53" spans="1:8" ht="14.1" customHeight="1" x14ac:dyDescent="0.2">
      <c r="A53" s="1"/>
      <c r="B53" s="1"/>
      <c r="C53" s="2" t="s">
        <v>11</v>
      </c>
      <c r="D53" s="1"/>
      <c r="E53" s="1" t="s">
        <v>12</v>
      </c>
      <c r="F53" s="3">
        <v>0</v>
      </c>
      <c r="G53" s="4">
        <v>0</v>
      </c>
      <c r="H53" s="12"/>
    </row>
    <row r="54" spans="1:8" ht="14.1" customHeight="1" x14ac:dyDescent="0.2">
      <c r="A54" s="1"/>
      <c r="B54" s="1"/>
      <c r="C54" s="5"/>
      <c r="D54" s="1"/>
      <c r="E54" s="1"/>
      <c r="F54" s="6"/>
      <c r="G54" s="6"/>
      <c r="H54" s="12"/>
    </row>
    <row r="55" spans="1:8" ht="14.1" customHeight="1" x14ac:dyDescent="0.2">
      <c r="A55" s="1"/>
      <c r="B55" s="1"/>
      <c r="C55" s="2" t="s">
        <v>107</v>
      </c>
      <c r="D55" s="1"/>
      <c r="E55" s="1"/>
      <c r="F55" s="7">
        <v>38021.924500000001</v>
      </c>
      <c r="G55" s="8">
        <v>0.82467758499999999</v>
      </c>
      <c r="H55" s="12"/>
    </row>
    <row r="56" spans="1:8" ht="14.1" customHeight="1" x14ac:dyDescent="0.2">
      <c r="A56" s="1"/>
      <c r="B56" s="1"/>
      <c r="C56" s="5"/>
      <c r="D56" s="1"/>
      <c r="E56" s="1"/>
      <c r="F56" s="6"/>
      <c r="G56" s="6"/>
      <c r="H56" s="12"/>
    </row>
    <row r="57" spans="1:8" ht="14.1" customHeight="1" x14ac:dyDescent="0.2">
      <c r="A57" s="1"/>
      <c r="B57" s="1"/>
      <c r="C57" s="2" t="s">
        <v>108</v>
      </c>
      <c r="D57" s="1"/>
      <c r="E57" s="1"/>
      <c r="F57" s="6"/>
      <c r="G57" s="6"/>
      <c r="H57" s="12"/>
    </row>
    <row r="58" spans="1:8" ht="14.1" customHeight="1" x14ac:dyDescent="0.2">
      <c r="A58" s="1"/>
      <c r="B58" s="1"/>
      <c r="C58" s="2" t="s">
        <v>109</v>
      </c>
      <c r="D58" s="1"/>
      <c r="E58" s="1"/>
      <c r="F58" s="6"/>
      <c r="G58" s="6"/>
      <c r="H58" s="12"/>
    </row>
    <row r="59" spans="1:8" ht="17.100000000000001" customHeight="1" x14ac:dyDescent="0.2">
      <c r="A59" s="9">
        <v>1</v>
      </c>
      <c r="B59" s="10" t="s">
        <v>185</v>
      </c>
      <c r="C59" s="10" t="s">
        <v>186</v>
      </c>
      <c r="D59" s="10" t="s">
        <v>112</v>
      </c>
      <c r="E59" s="11">
        <v>500</v>
      </c>
      <c r="F59" s="12">
        <v>2486.41</v>
      </c>
      <c r="G59" s="13">
        <v>5.3929058000000002E-2</v>
      </c>
      <c r="H59" s="12">
        <v>5.7</v>
      </c>
    </row>
    <row r="60" spans="1:8" ht="17.100000000000001" customHeight="1" x14ac:dyDescent="0.2">
      <c r="A60" s="9">
        <v>2</v>
      </c>
      <c r="B60" s="10" t="s">
        <v>187</v>
      </c>
      <c r="C60" s="10" t="s">
        <v>188</v>
      </c>
      <c r="D60" s="10" t="s">
        <v>115</v>
      </c>
      <c r="E60" s="11">
        <v>500</v>
      </c>
      <c r="F60" s="12">
        <v>2476.39</v>
      </c>
      <c r="G60" s="13">
        <v>5.3711729E-2</v>
      </c>
      <c r="H60" s="12">
        <v>5.8</v>
      </c>
    </row>
    <row r="61" spans="1:8" ht="14.1" customHeight="1" x14ac:dyDescent="0.2">
      <c r="A61" s="1"/>
      <c r="B61" s="1"/>
      <c r="C61" s="2" t="s">
        <v>11</v>
      </c>
      <c r="D61" s="1"/>
      <c r="E61" s="1" t="s">
        <v>12</v>
      </c>
      <c r="F61" s="7">
        <v>4962.8</v>
      </c>
      <c r="G61" s="8">
        <v>0.107640787</v>
      </c>
      <c r="H61" s="12"/>
    </row>
    <row r="62" spans="1:8" ht="14.1" customHeight="1" x14ac:dyDescent="0.2">
      <c r="A62" s="1"/>
      <c r="B62" s="1"/>
      <c r="C62" s="5"/>
      <c r="D62" s="1"/>
      <c r="E62" s="1"/>
      <c r="F62" s="6"/>
      <c r="G62" s="6"/>
      <c r="H62" s="12"/>
    </row>
    <row r="63" spans="1:8" ht="14.1" customHeight="1" x14ac:dyDescent="0.2">
      <c r="A63" s="1"/>
      <c r="B63" s="1"/>
      <c r="C63" s="2" t="s">
        <v>116</v>
      </c>
      <c r="D63" s="1"/>
      <c r="E63" s="1"/>
      <c r="F63" s="6"/>
      <c r="G63" s="6"/>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14.1" customHeight="1" x14ac:dyDescent="0.2">
      <c r="A66" s="1"/>
      <c r="B66" s="1"/>
      <c r="C66" s="2" t="s">
        <v>121</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
      <c r="C69" s="2" t="s">
        <v>122</v>
      </c>
      <c r="D69" s="1"/>
      <c r="E69" s="1"/>
      <c r="F69" s="6"/>
      <c r="G69" s="6"/>
      <c r="H69" s="12"/>
    </row>
    <row r="70" spans="1:8" ht="17.100000000000001" customHeight="1" x14ac:dyDescent="0.2">
      <c r="A70" s="9">
        <v>1</v>
      </c>
      <c r="B70" s="10"/>
      <c r="C70" s="10" t="s">
        <v>123</v>
      </c>
      <c r="D70" s="10"/>
      <c r="E70" s="14"/>
      <c r="F70" s="12">
        <v>2119.6967900999998</v>
      </c>
      <c r="G70" s="13">
        <v>4.5975222000000003E-2</v>
      </c>
      <c r="H70" s="12">
        <v>5.4181585046733343</v>
      </c>
    </row>
    <row r="71" spans="1:8" ht="14.1" customHeight="1" x14ac:dyDescent="0.2">
      <c r="A71" s="1"/>
      <c r="B71" s="1"/>
      <c r="C71" s="2" t="s">
        <v>11</v>
      </c>
      <c r="D71" s="1"/>
      <c r="E71" s="1" t="s">
        <v>12</v>
      </c>
      <c r="F71" s="7">
        <v>2119.6967900999998</v>
      </c>
      <c r="G71" s="8">
        <v>4.5975222000000003E-2</v>
      </c>
      <c r="H71" s="12"/>
    </row>
    <row r="72" spans="1:8" ht="14.1" customHeight="1" x14ac:dyDescent="0.2">
      <c r="A72" s="1"/>
      <c r="B72" s="1"/>
      <c r="C72" s="5"/>
      <c r="D72" s="1"/>
      <c r="E72" s="1"/>
      <c r="F72" s="6"/>
      <c r="G72" s="6"/>
      <c r="H72" s="12"/>
    </row>
    <row r="73" spans="1:8" ht="14.1" customHeight="1" x14ac:dyDescent="0.2">
      <c r="A73" s="1"/>
      <c r="B73" s="1"/>
      <c r="C73" s="2" t="s">
        <v>124</v>
      </c>
      <c r="D73" s="1"/>
      <c r="E73" s="1"/>
      <c r="F73" s="7">
        <v>7082.4967901</v>
      </c>
      <c r="G73" s="8">
        <v>0.153616009</v>
      </c>
      <c r="H73" s="12"/>
    </row>
    <row r="74" spans="1:8" ht="14.1" customHeight="1" x14ac:dyDescent="0.2">
      <c r="A74" s="1"/>
      <c r="B74" s="1"/>
      <c r="C74" s="6"/>
      <c r="D74" s="1"/>
      <c r="E74" s="1"/>
      <c r="F74" s="1"/>
      <c r="G74" s="1"/>
      <c r="H74" s="12"/>
    </row>
    <row r="75" spans="1:8" ht="14.1" customHeight="1" x14ac:dyDescent="0.2">
      <c r="A75" s="1"/>
      <c r="B75" s="1"/>
      <c r="C75" s="2" t="s">
        <v>125</v>
      </c>
      <c r="D75" s="1"/>
      <c r="E75" s="1"/>
      <c r="F75" s="1"/>
      <c r="G75" s="1"/>
      <c r="H75" s="12"/>
    </row>
    <row r="76" spans="1:8" ht="14.1" customHeight="1" x14ac:dyDescent="0.2">
      <c r="A76" s="1"/>
      <c r="B76" s="1"/>
      <c r="C76" s="2" t="s">
        <v>126</v>
      </c>
      <c r="D76" s="1"/>
      <c r="E76" s="1"/>
      <c r="F76" s="1"/>
      <c r="G76" s="1"/>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127</v>
      </c>
      <c r="D79" s="1"/>
      <c r="E79" s="1"/>
      <c r="F79" s="1"/>
      <c r="G79" s="1"/>
      <c r="H79" s="12"/>
    </row>
    <row r="80" spans="1:8" ht="14.1" customHeight="1" x14ac:dyDescent="0.2">
      <c r="A80" s="1"/>
      <c r="B80" s="1"/>
      <c r="C80" s="2" t="s">
        <v>128</v>
      </c>
      <c r="D80" s="1"/>
      <c r="E80" s="1"/>
      <c r="F80" s="1"/>
      <c r="G80" s="1"/>
      <c r="H80" s="12"/>
    </row>
    <row r="81" spans="1:8" ht="14.1" customHeight="1" x14ac:dyDescent="0.2">
      <c r="A81" s="1"/>
      <c r="B81" s="1"/>
      <c r="C81" s="2" t="s">
        <v>11</v>
      </c>
      <c r="D81" s="1"/>
      <c r="E81" s="1" t="s">
        <v>12</v>
      </c>
      <c r="F81" s="3">
        <v>0</v>
      </c>
      <c r="G81" s="4">
        <v>0</v>
      </c>
      <c r="H81" s="12"/>
    </row>
    <row r="82" spans="1:8" ht="14.1" customHeight="1" x14ac:dyDescent="0.2">
      <c r="A82" s="1"/>
      <c r="B82" s="1"/>
      <c r="C82" s="5"/>
      <c r="D82" s="1"/>
      <c r="E82" s="1"/>
      <c r="F82" s="6"/>
      <c r="G82" s="6"/>
      <c r="H82" s="12"/>
    </row>
    <row r="83" spans="1:8" ht="24" customHeight="1" x14ac:dyDescent="0.2">
      <c r="A83" s="1"/>
      <c r="B83" s="1"/>
      <c r="C83" s="2" t="s">
        <v>129</v>
      </c>
      <c r="D83" s="1"/>
      <c r="E83" s="1"/>
      <c r="F83" s="6"/>
      <c r="G83" s="6"/>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14.1" customHeight="1" x14ac:dyDescent="0.2">
      <c r="A86" s="1"/>
      <c r="B86" s="10"/>
      <c r="C86" s="10"/>
      <c r="D86" s="2"/>
      <c r="E86" s="1"/>
      <c r="F86" s="10"/>
      <c r="G86" s="14"/>
      <c r="H86" s="12"/>
    </row>
    <row r="87" spans="1:8" ht="18" customHeight="1" x14ac:dyDescent="0.2">
      <c r="A87" s="14"/>
      <c r="B87" s="10"/>
      <c r="C87" s="10" t="s">
        <v>130</v>
      </c>
      <c r="D87" s="10"/>
      <c r="E87" s="14"/>
      <c r="F87" s="12">
        <v>1000.77820077</v>
      </c>
      <c r="G87" s="13">
        <v>2.1706406000000001E-2</v>
      </c>
      <c r="H87" s="12"/>
    </row>
    <row r="88" spans="1:8" ht="14.1" customHeight="1" x14ac:dyDescent="0.2">
      <c r="A88" s="5"/>
      <c r="B88" s="5"/>
      <c r="C88" s="2" t="s">
        <v>131</v>
      </c>
      <c r="D88" s="6"/>
      <c r="E88" s="6"/>
      <c r="F88" s="7">
        <v>46105.19949087</v>
      </c>
      <c r="G88" s="8">
        <v>1</v>
      </c>
      <c r="H88" s="12"/>
    </row>
    <row r="89" spans="1:8" ht="14.1" customHeight="1" x14ac:dyDescent="0.2">
      <c r="A89" s="15"/>
      <c r="B89" s="15"/>
      <c r="C89" s="15"/>
      <c r="D89" s="16"/>
      <c r="E89" s="16"/>
      <c r="F89" s="16"/>
      <c r="G89" s="16"/>
      <c r="H89" s="25"/>
    </row>
    <row r="90" spans="1:8" ht="17.100000000000001" customHeight="1" x14ac:dyDescent="0.2">
      <c r="A90" s="17"/>
      <c r="B90" s="101" t="s">
        <v>132</v>
      </c>
      <c r="C90" s="101"/>
      <c r="D90" s="101"/>
      <c r="E90" s="101"/>
      <c r="F90" s="101"/>
      <c r="G90" s="19"/>
      <c r="H90" s="25"/>
    </row>
    <row r="91" spans="1:8" ht="17.100000000000001" customHeight="1" x14ac:dyDescent="0.2">
      <c r="A91" s="17"/>
      <c r="B91" s="101" t="s">
        <v>133</v>
      </c>
      <c r="C91" s="101"/>
      <c r="D91" s="101"/>
      <c r="E91" s="101"/>
      <c r="F91" s="101"/>
      <c r="G91" s="19"/>
      <c r="H91" s="25"/>
    </row>
    <row r="92" spans="1:8" ht="14.1" customHeight="1" x14ac:dyDescent="0.2">
      <c r="A92" s="17"/>
      <c r="B92" s="17"/>
      <c r="C92" s="17"/>
      <c r="D92" s="19"/>
      <c r="E92" s="19"/>
      <c r="F92" s="19"/>
      <c r="G92" s="19"/>
      <c r="H92" s="25"/>
    </row>
    <row r="93" spans="1:8" ht="14.1" customHeight="1" x14ac:dyDescent="0.2">
      <c r="A93" s="17"/>
      <c r="B93" s="102" t="s">
        <v>134</v>
      </c>
      <c r="C93" s="103"/>
      <c r="D93" s="104"/>
      <c r="E93" s="20"/>
      <c r="F93" s="19"/>
      <c r="G93" s="19"/>
      <c r="H93" s="25"/>
    </row>
    <row r="94" spans="1:8" ht="29.1" customHeight="1" x14ac:dyDescent="0.2">
      <c r="A94" s="17"/>
      <c r="B94" s="97" t="s">
        <v>135</v>
      </c>
      <c r="C94" s="98"/>
      <c r="D94" s="2" t="s">
        <v>136</v>
      </c>
      <c r="E94" s="20"/>
      <c r="F94" s="19"/>
      <c r="G94" s="19"/>
      <c r="H94" s="25"/>
    </row>
    <row r="95" spans="1:8" ht="17.100000000000001" customHeight="1" x14ac:dyDescent="0.2">
      <c r="A95" s="17"/>
      <c r="B95" s="97" t="s">
        <v>137</v>
      </c>
      <c r="C95" s="98"/>
      <c r="D95" s="2" t="s">
        <v>136</v>
      </c>
      <c r="E95" s="20"/>
      <c r="F95" s="19"/>
      <c r="G95" s="19"/>
      <c r="H95" s="25"/>
    </row>
    <row r="96" spans="1:8" ht="17.100000000000001" customHeight="1" x14ac:dyDescent="0.2">
      <c r="A96" s="17"/>
      <c r="B96" s="97" t="s">
        <v>138</v>
      </c>
      <c r="C96" s="98"/>
      <c r="D96" s="6" t="s">
        <v>12</v>
      </c>
      <c r="E96" s="20"/>
      <c r="F96" s="19"/>
      <c r="G96" s="19"/>
      <c r="H96" s="25"/>
    </row>
    <row r="97" spans="1:8" ht="24" customHeight="1" x14ac:dyDescent="0.2">
      <c r="A97" s="21"/>
      <c r="B97" s="22" t="s">
        <v>12</v>
      </c>
      <c r="C97" s="22" t="s">
        <v>139</v>
      </c>
      <c r="D97" s="22" t="s">
        <v>140</v>
      </c>
      <c r="E97" s="21"/>
      <c r="F97" s="21"/>
      <c r="G97" s="21"/>
      <c r="H97" s="25"/>
    </row>
    <row r="98" spans="1:8" ht="18" customHeight="1" x14ac:dyDescent="0.2">
      <c r="A98" s="21"/>
      <c r="B98" s="23" t="s">
        <v>141</v>
      </c>
      <c r="C98" s="22" t="s">
        <v>142</v>
      </c>
      <c r="D98" s="22" t="s">
        <v>143</v>
      </c>
      <c r="E98" s="21"/>
      <c r="F98" s="21"/>
      <c r="G98" s="21"/>
      <c r="H98" s="25"/>
    </row>
    <row r="99" spans="1:8" ht="17.100000000000001" customHeight="1" x14ac:dyDescent="0.2">
      <c r="A99" s="21"/>
      <c r="B99" s="10" t="s">
        <v>144</v>
      </c>
      <c r="C99" s="24">
        <v>35.331699999999998</v>
      </c>
      <c r="D99" s="24">
        <v>35.534199999999998</v>
      </c>
      <c r="E99" s="21"/>
      <c r="F99" s="18"/>
      <c r="G99" s="25"/>
      <c r="H99" s="25"/>
    </row>
    <row r="100" spans="1:8" ht="17.100000000000001" customHeight="1" x14ac:dyDescent="0.2">
      <c r="A100" s="21"/>
      <c r="B100" s="10" t="s">
        <v>189</v>
      </c>
      <c r="C100" s="24">
        <v>17.677</v>
      </c>
      <c r="D100" s="24">
        <v>17.778099999999998</v>
      </c>
      <c r="E100" s="21"/>
      <c r="F100" s="18"/>
      <c r="G100" s="25"/>
      <c r="H100" s="25"/>
    </row>
    <row r="101" spans="1:8" ht="29.1" customHeight="1" x14ac:dyDescent="0.2">
      <c r="A101" s="21"/>
      <c r="B101" s="10" t="s">
        <v>530</v>
      </c>
      <c r="C101" s="24">
        <v>10.220800000000001</v>
      </c>
      <c r="D101" s="24">
        <v>10.2318</v>
      </c>
      <c r="E101" s="21"/>
      <c r="F101" s="18"/>
      <c r="G101" s="25"/>
      <c r="H101" s="25"/>
    </row>
    <row r="102" spans="1:8" ht="29.1" customHeight="1" x14ac:dyDescent="0.2">
      <c r="A102" s="21"/>
      <c r="B102" s="10" t="s">
        <v>531</v>
      </c>
      <c r="C102" s="24">
        <v>12.1076</v>
      </c>
      <c r="D102" s="14" t="s">
        <v>148</v>
      </c>
      <c r="E102" s="21"/>
      <c r="F102" s="18"/>
      <c r="G102" s="25"/>
      <c r="H102" s="25"/>
    </row>
    <row r="103" spans="1:8" ht="29.1" customHeight="1" x14ac:dyDescent="0.2">
      <c r="A103" s="21"/>
      <c r="B103" s="10" t="s">
        <v>521</v>
      </c>
      <c r="C103" s="24">
        <v>11.5281</v>
      </c>
      <c r="D103" s="24">
        <v>11.5198</v>
      </c>
      <c r="E103" s="21"/>
      <c r="F103" s="18"/>
      <c r="G103" s="25"/>
      <c r="H103" s="25"/>
    </row>
    <row r="104" spans="1:8" ht="17.100000000000001" customHeight="1" x14ac:dyDescent="0.2">
      <c r="A104" s="21"/>
      <c r="B104" s="10" t="s">
        <v>190</v>
      </c>
      <c r="C104" s="24">
        <v>31.5227</v>
      </c>
      <c r="D104" s="24">
        <v>31.698399999999999</v>
      </c>
      <c r="E104" s="21"/>
      <c r="F104" s="18"/>
      <c r="G104" s="25"/>
      <c r="H104" s="25"/>
    </row>
    <row r="105" spans="1:8" ht="29.1" customHeight="1" x14ac:dyDescent="0.2">
      <c r="A105" s="21"/>
      <c r="B105" s="10" t="s">
        <v>532</v>
      </c>
      <c r="C105" s="24">
        <v>11.4788</v>
      </c>
      <c r="D105" s="24">
        <v>11.476900000000001</v>
      </c>
      <c r="E105" s="21"/>
      <c r="F105" s="18"/>
      <c r="G105" s="25"/>
      <c r="H105" s="25"/>
    </row>
    <row r="106" spans="1:8" ht="17.100000000000001" customHeight="1" x14ac:dyDescent="0.2">
      <c r="A106" s="21"/>
      <c r="B106" s="10" t="s">
        <v>145</v>
      </c>
      <c r="C106" s="24">
        <v>34.978099999999998</v>
      </c>
      <c r="D106" s="24">
        <v>35.173099999999998</v>
      </c>
      <c r="E106" s="21"/>
      <c r="F106" s="18"/>
      <c r="G106" s="25"/>
      <c r="H106" s="25"/>
    </row>
    <row r="107" spans="1:8" ht="17.100000000000001" customHeight="1" x14ac:dyDescent="0.2">
      <c r="A107" s="21"/>
      <c r="B107" s="10" t="s">
        <v>191</v>
      </c>
      <c r="C107" s="24">
        <v>17.638500000000001</v>
      </c>
      <c r="D107" s="24">
        <v>17.736799999999999</v>
      </c>
      <c r="E107" s="21"/>
      <c r="F107" s="18"/>
      <c r="G107" s="25"/>
      <c r="H107" s="25"/>
    </row>
    <row r="108" spans="1:8" ht="29.1" customHeight="1" x14ac:dyDescent="0.2">
      <c r="A108" s="21"/>
      <c r="B108" s="10" t="s">
        <v>533</v>
      </c>
      <c r="C108" s="24">
        <v>10.343299999999999</v>
      </c>
      <c r="D108" s="24">
        <v>10.3567</v>
      </c>
      <c r="E108" s="21"/>
      <c r="F108" s="18"/>
      <c r="G108" s="25"/>
      <c r="H108" s="25"/>
    </row>
    <row r="109" spans="1:8" ht="29.1" customHeight="1" x14ac:dyDescent="0.2">
      <c r="A109" s="21"/>
      <c r="B109" s="10" t="s">
        <v>534</v>
      </c>
      <c r="C109" s="24">
        <v>12.098599999999999</v>
      </c>
      <c r="D109" s="24">
        <v>12.101100000000001</v>
      </c>
      <c r="E109" s="21"/>
      <c r="F109" s="18"/>
      <c r="G109" s="25"/>
      <c r="H109" s="25"/>
    </row>
    <row r="110" spans="1:8" ht="29.1" customHeight="1" x14ac:dyDescent="0.2">
      <c r="A110" s="21"/>
      <c r="B110" s="10" t="s">
        <v>525</v>
      </c>
      <c r="C110" s="24">
        <v>11.577199999999999</v>
      </c>
      <c r="D110" s="24">
        <v>11.572100000000001</v>
      </c>
      <c r="E110" s="21"/>
      <c r="F110" s="18"/>
      <c r="G110" s="25"/>
      <c r="H110" s="25"/>
    </row>
    <row r="111" spans="1:8" ht="14.1" customHeight="1" x14ac:dyDescent="0.2">
      <c r="A111" s="21"/>
      <c r="B111" s="21"/>
      <c r="C111" s="21"/>
      <c r="D111" s="21"/>
      <c r="E111" s="21"/>
      <c r="F111" s="21"/>
      <c r="G111" s="21"/>
      <c r="H111" s="25"/>
    </row>
    <row r="112" spans="1:8" ht="17.100000000000001" customHeight="1" x14ac:dyDescent="0.2">
      <c r="A112" s="21"/>
      <c r="B112" s="97" t="s">
        <v>529</v>
      </c>
      <c r="C112" s="98"/>
      <c r="D112" s="2" t="s">
        <v>12</v>
      </c>
      <c r="E112" s="21"/>
      <c r="F112" s="21"/>
      <c r="G112" s="21"/>
      <c r="H112" s="25"/>
    </row>
    <row r="113" spans="1:15" ht="18" customHeight="1" x14ac:dyDescent="0.2">
      <c r="A113" s="21"/>
      <c r="B113" s="26" t="s">
        <v>141</v>
      </c>
      <c r="C113" s="27" t="s">
        <v>146</v>
      </c>
      <c r="D113" s="27" t="s">
        <v>147</v>
      </c>
      <c r="E113" s="21"/>
      <c r="F113" s="21"/>
      <c r="G113" s="21"/>
      <c r="H113" s="25"/>
    </row>
    <row r="114" spans="1:15" ht="29.1" customHeight="1" x14ac:dyDescent="0.2">
      <c r="A114" s="21"/>
      <c r="B114" s="10" t="s">
        <v>530</v>
      </c>
      <c r="C114" s="28">
        <v>4.7395E-2</v>
      </c>
      <c r="D114" s="14" t="s">
        <v>148</v>
      </c>
      <c r="E114" s="21"/>
      <c r="F114" s="18"/>
      <c r="G114" s="25"/>
    </row>
    <row r="115" spans="1:15" ht="29.1" customHeight="1" x14ac:dyDescent="0.2">
      <c r="A115" s="21"/>
      <c r="B115" s="10" t="s">
        <v>521</v>
      </c>
      <c r="C115" s="28">
        <v>7.4200000000000002E-2</v>
      </c>
      <c r="D115" s="14" t="s">
        <v>148</v>
      </c>
      <c r="E115" s="21"/>
      <c r="F115" s="18"/>
      <c r="G115" s="25"/>
    </row>
    <row r="116" spans="1:15" ht="29.1" customHeight="1" x14ac:dyDescent="0.2">
      <c r="A116" s="21"/>
      <c r="B116" s="10" t="s">
        <v>532</v>
      </c>
      <c r="C116" s="28">
        <v>6.5799999999999997E-2</v>
      </c>
      <c r="D116" s="28">
        <v>6.5799999999999997E-2</v>
      </c>
      <c r="E116" s="21"/>
      <c r="F116" s="18"/>
      <c r="G116" s="25"/>
    </row>
    <row r="117" spans="1:15" ht="29.1" customHeight="1" x14ac:dyDescent="0.2">
      <c r="A117" s="21"/>
      <c r="B117" s="10" t="s">
        <v>533</v>
      </c>
      <c r="C117" s="28">
        <v>4.4165999999999997E-2</v>
      </c>
      <c r="D117" s="14" t="s">
        <v>148</v>
      </c>
      <c r="E117" s="21"/>
      <c r="F117" s="18"/>
      <c r="G117" s="25"/>
    </row>
    <row r="118" spans="1:15" ht="29.1" customHeight="1" x14ac:dyDescent="0.2">
      <c r="A118" s="21"/>
      <c r="B118" s="10" t="s">
        <v>534</v>
      </c>
      <c r="C118" s="28">
        <v>6.4799999999999996E-2</v>
      </c>
      <c r="D118" s="14" t="s">
        <v>148</v>
      </c>
      <c r="E118" s="21"/>
      <c r="F118" s="18"/>
      <c r="G118" s="25"/>
    </row>
    <row r="119" spans="1:15" ht="29.1" customHeight="1" x14ac:dyDescent="0.2">
      <c r="A119" s="21"/>
      <c r="B119" s="10" t="s">
        <v>525</v>
      </c>
      <c r="C119" s="28">
        <v>6.9699999999999998E-2</v>
      </c>
      <c r="D119" s="28">
        <v>6.9699999999999998E-2</v>
      </c>
      <c r="E119" s="21"/>
      <c r="F119" s="18"/>
      <c r="G119" s="25"/>
    </row>
    <row r="120" spans="1:15" ht="14.1" customHeight="1" x14ac:dyDescent="0.2">
      <c r="A120" s="21"/>
      <c r="B120" s="18"/>
      <c r="C120" s="18"/>
      <c r="D120" s="21"/>
      <c r="E120" s="21"/>
      <c r="F120" s="21"/>
      <c r="G120" s="21"/>
    </row>
    <row r="121" spans="1:15" ht="17.100000000000001" customHeight="1" x14ac:dyDescent="0.2">
      <c r="A121" s="21"/>
      <c r="B121" s="97" t="s">
        <v>464</v>
      </c>
      <c r="C121" s="98"/>
      <c r="D121" s="2" t="s">
        <v>136</v>
      </c>
      <c r="E121" s="21"/>
      <c r="F121" s="18"/>
      <c r="G121" s="25"/>
    </row>
    <row r="122" spans="1:15" ht="29.1" customHeight="1" x14ac:dyDescent="0.2">
      <c r="A122" s="21"/>
      <c r="B122" s="97" t="s">
        <v>465</v>
      </c>
      <c r="C122" s="98"/>
      <c r="D122" s="2" t="s">
        <v>136</v>
      </c>
      <c r="E122" s="31"/>
      <c r="F122" s="21"/>
      <c r="G122" s="21"/>
    </row>
    <row r="123" spans="1:15" ht="29.1" customHeight="1" x14ac:dyDescent="0.2">
      <c r="A123" s="21"/>
      <c r="B123" s="97" t="s">
        <v>466</v>
      </c>
      <c r="C123" s="98"/>
      <c r="D123" s="2" t="s">
        <v>136</v>
      </c>
      <c r="E123" s="31"/>
      <c r="F123" s="21"/>
      <c r="G123" s="21"/>
    </row>
    <row r="124" spans="1:15" ht="17.100000000000001" customHeight="1" x14ac:dyDescent="0.2">
      <c r="A124" s="21"/>
      <c r="B124" s="97" t="s">
        <v>467</v>
      </c>
      <c r="C124" s="98"/>
      <c r="D124" s="32">
        <v>2.0446798386343517</v>
      </c>
      <c r="E124" s="31"/>
      <c r="F124" s="21"/>
      <c r="G124" s="21"/>
      <c r="O124" s="40"/>
    </row>
    <row r="125" spans="1:15" ht="17.100000000000001" customHeight="1" x14ac:dyDescent="0.2">
      <c r="A125" s="21"/>
      <c r="B125" s="97" t="s">
        <v>468</v>
      </c>
      <c r="C125" s="98"/>
      <c r="D125" s="32">
        <v>1.8546740846386862</v>
      </c>
      <c r="E125" s="31"/>
      <c r="F125" s="21"/>
      <c r="G125" s="21"/>
    </row>
    <row r="126" spans="1:15" ht="17.100000000000001" customHeight="1" x14ac:dyDescent="0.2">
      <c r="A126" s="21"/>
      <c r="B126" s="97" t="s">
        <v>469</v>
      </c>
      <c r="C126" s="98"/>
      <c r="D126" s="2" t="s">
        <v>136</v>
      </c>
      <c r="E126" s="31"/>
      <c r="F126" s="21"/>
      <c r="G126" s="21"/>
    </row>
    <row r="130" customFormat="1" x14ac:dyDescent="0.2"/>
  </sheetData>
  <mergeCells count="17">
    <mergeCell ref="A1:H1"/>
    <mergeCell ref="A2:H2"/>
    <mergeCell ref="A3:H3"/>
    <mergeCell ref="B93:D93"/>
    <mergeCell ref="B94:C94"/>
    <mergeCell ref="B90:F90"/>
    <mergeCell ref="B91:F91"/>
    <mergeCell ref="J2:N2"/>
    <mergeCell ref="B123:C123"/>
    <mergeCell ref="B124:C124"/>
    <mergeCell ref="B125:C125"/>
    <mergeCell ref="B126:C126"/>
    <mergeCell ref="B121:C121"/>
    <mergeCell ref="B122:C122"/>
    <mergeCell ref="B112:C112"/>
    <mergeCell ref="B95:C95"/>
    <mergeCell ref="B96:C96"/>
  </mergeCells>
  <hyperlinks>
    <hyperlink ref="I1" location="Index!B3" display="Index" xr:uid="{FAEE40CB-23FF-42C0-8EF3-6A779297DD0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0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0" t="s">
        <v>0</v>
      </c>
      <c r="B1" s="100"/>
      <c r="C1" s="100"/>
      <c r="D1" s="100"/>
      <c r="E1" s="100"/>
      <c r="F1" s="100"/>
      <c r="G1" s="100"/>
      <c r="H1" s="100"/>
      <c r="I1" s="90" t="s">
        <v>544</v>
      </c>
    </row>
    <row r="2" spans="1:14" ht="17.100000000000001" customHeight="1" x14ac:dyDescent="0.2">
      <c r="A2" s="100" t="s">
        <v>192</v>
      </c>
      <c r="B2" s="100"/>
      <c r="C2" s="100"/>
      <c r="D2" s="100"/>
      <c r="E2" s="100"/>
      <c r="F2" s="100"/>
      <c r="G2" s="100"/>
      <c r="H2" s="100"/>
      <c r="J2" s="99" t="s">
        <v>545</v>
      </c>
      <c r="K2" s="99"/>
      <c r="L2" s="99"/>
      <c r="M2" s="99"/>
      <c r="N2" s="99"/>
    </row>
    <row r="3" spans="1:14" ht="21" customHeight="1" x14ac:dyDescent="0.2">
      <c r="A3" s="100" t="s">
        <v>539</v>
      </c>
      <c r="B3" s="100"/>
      <c r="C3" s="100"/>
      <c r="D3" s="100"/>
      <c r="E3" s="100"/>
      <c r="F3" s="100"/>
      <c r="G3" s="100"/>
      <c r="H3" s="100"/>
    </row>
    <row r="4" spans="1:14" s="88" customFormat="1" ht="30" x14ac:dyDescent="0.2">
      <c r="A4" s="87" t="s">
        <v>2</v>
      </c>
      <c r="B4" s="87" t="s">
        <v>3</v>
      </c>
      <c r="C4" s="87" t="s">
        <v>4</v>
      </c>
      <c r="D4" s="87" t="s">
        <v>5</v>
      </c>
      <c r="E4" s="87" t="s">
        <v>6</v>
      </c>
      <c r="F4" s="87" t="s">
        <v>7</v>
      </c>
      <c r="G4" s="87" t="s">
        <v>8</v>
      </c>
      <c r="H4" s="86" t="s">
        <v>520</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3" t="s">
        <v>549</v>
      </c>
      <c r="K16" s="94"/>
      <c r="L16" s="94"/>
      <c r="M16" s="94"/>
      <c r="N16" s="94"/>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95</v>
      </c>
      <c r="D30" s="1"/>
      <c r="E30" s="1"/>
      <c r="F30" s="1"/>
      <c r="G30" s="1"/>
      <c r="H30" s="12"/>
    </row>
    <row r="31" spans="1:14" ht="14.1" customHeight="1" x14ac:dyDescent="0.25">
      <c r="A31" s="1"/>
      <c r="B31" s="1"/>
      <c r="C31" s="2" t="s">
        <v>11</v>
      </c>
      <c r="D31" s="1"/>
      <c r="E31" s="1" t="s">
        <v>12</v>
      </c>
      <c r="F31" s="3">
        <v>0</v>
      </c>
      <c r="G31" s="4">
        <v>0</v>
      </c>
      <c r="H31" s="12"/>
      <c r="J31" s="93" t="s">
        <v>550</v>
      </c>
      <c r="K31" s="94"/>
      <c r="L31" s="94"/>
      <c r="M31" s="94"/>
      <c r="N31" s="94"/>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116</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121</v>
      </c>
      <c r="D48" s="1"/>
      <c r="E48" s="1"/>
      <c r="F48" s="6"/>
      <c r="G48" s="6"/>
      <c r="H48" s="12"/>
    </row>
    <row r="49" spans="1:8" ht="17.100000000000001" customHeight="1" x14ac:dyDescent="0.2">
      <c r="A49" s="9">
        <v>1</v>
      </c>
      <c r="B49" s="10" t="s">
        <v>193</v>
      </c>
      <c r="C49" s="10" t="s">
        <v>194</v>
      </c>
      <c r="D49" s="10" t="s">
        <v>99</v>
      </c>
      <c r="E49" s="11">
        <v>2500000</v>
      </c>
      <c r="F49" s="12">
        <v>2465.4549999999999</v>
      </c>
      <c r="G49" s="13">
        <v>0.74905287700000001</v>
      </c>
      <c r="H49" s="12">
        <v>5.62</v>
      </c>
    </row>
    <row r="50" spans="1:8" ht="14.1" customHeight="1" x14ac:dyDescent="0.2">
      <c r="A50" s="1"/>
      <c r="B50" s="1"/>
      <c r="C50" s="2" t="s">
        <v>11</v>
      </c>
      <c r="D50" s="1"/>
      <c r="E50" s="1" t="s">
        <v>12</v>
      </c>
      <c r="F50" s="7">
        <v>2465.4549999999999</v>
      </c>
      <c r="G50" s="8">
        <v>0.74905287700000001</v>
      </c>
      <c r="H50" s="12"/>
    </row>
    <row r="51" spans="1:8" ht="14.1" customHeight="1" x14ac:dyDescent="0.2">
      <c r="A51" s="1"/>
      <c r="B51" s="1"/>
      <c r="C51" s="5"/>
      <c r="D51" s="1"/>
      <c r="E51" s="1"/>
      <c r="F51" s="6"/>
      <c r="G51" s="6"/>
      <c r="H51" s="12"/>
    </row>
    <row r="52" spans="1:8" ht="14.1" customHeight="1" x14ac:dyDescent="0.2">
      <c r="A52" s="1"/>
      <c r="B52" s="1"/>
      <c r="C52" s="2" t="s">
        <v>122</v>
      </c>
      <c r="D52" s="1"/>
      <c r="E52" s="1"/>
      <c r="F52" s="6"/>
      <c r="G52" s="6"/>
      <c r="H52" s="12"/>
    </row>
    <row r="53" spans="1:8" ht="17.100000000000001" customHeight="1" x14ac:dyDescent="0.2">
      <c r="A53" s="9">
        <v>1</v>
      </c>
      <c r="B53" s="10"/>
      <c r="C53" s="10" t="s">
        <v>123</v>
      </c>
      <c r="D53" s="10"/>
      <c r="E53" s="14"/>
      <c r="F53" s="12">
        <v>828.51936269999999</v>
      </c>
      <c r="G53" s="13">
        <v>0.25172019400000001</v>
      </c>
      <c r="H53" s="12">
        <v>5.4181585046733343</v>
      </c>
    </row>
    <row r="54" spans="1:8" ht="14.1" customHeight="1" x14ac:dyDescent="0.2">
      <c r="A54" s="1"/>
      <c r="B54" s="1"/>
      <c r="C54" s="2" t="s">
        <v>11</v>
      </c>
      <c r="D54" s="1"/>
      <c r="E54" s="1" t="s">
        <v>12</v>
      </c>
      <c r="F54" s="7">
        <v>828.51936269999999</v>
      </c>
      <c r="G54" s="8">
        <v>0.25172019400000001</v>
      </c>
      <c r="H54" s="12"/>
    </row>
    <row r="55" spans="1:8" ht="14.1" customHeight="1" x14ac:dyDescent="0.2">
      <c r="A55" s="1"/>
      <c r="B55" s="1"/>
      <c r="C55" s="5"/>
      <c r="D55" s="1"/>
      <c r="E55" s="1"/>
      <c r="F55" s="6"/>
      <c r="G55" s="6"/>
      <c r="H55" s="12"/>
    </row>
    <row r="56" spans="1:8" ht="14.1" customHeight="1" x14ac:dyDescent="0.2">
      <c r="A56" s="1"/>
      <c r="B56" s="1"/>
      <c r="C56" s="2" t="s">
        <v>124</v>
      </c>
      <c r="D56" s="1"/>
      <c r="E56" s="1"/>
      <c r="F56" s="7">
        <v>3293.9743626999998</v>
      </c>
      <c r="G56" s="8">
        <v>1.000773071</v>
      </c>
      <c r="H56" s="12"/>
    </row>
    <row r="57" spans="1:8" ht="14.1" customHeight="1" x14ac:dyDescent="0.2">
      <c r="A57" s="1"/>
      <c r="B57" s="1"/>
      <c r="C57" s="6"/>
      <c r="D57" s="1"/>
      <c r="E57" s="1"/>
      <c r="F57" s="1"/>
      <c r="G57" s="1"/>
      <c r="H57" s="12"/>
    </row>
    <row r="58" spans="1:8" ht="14.1" customHeight="1" x14ac:dyDescent="0.2">
      <c r="A58" s="1"/>
      <c r="B58" s="1"/>
      <c r="C58" s="2" t="s">
        <v>125</v>
      </c>
      <c r="D58" s="1"/>
      <c r="E58" s="1"/>
      <c r="F58" s="1"/>
      <c r="G58" s="1"/>
      <c r="H58" s="12"/>
    </row>
    <row r="59" spans="1:8" ht="14.1" customHeight="1" x14ac:dyDescent="0.2">
      <c r="A59" s="1"/>
      <c r="B59" s="1"/>
      <c r="C59" s="2" t="s">
        <v>126</v>
      </c>
      <c r="D59" s="1"/>
      <c r="E59" s="1"/>
      <c r="F59" s="1"/>
      <c r="G59" s="1"/>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127</v>
      </c>
      <c r="D62" s="1"/>
      <c r="E62" s="1"/>
      <c r="F62" s="1"/>
      <c r="G62" s="1"/>
      <c r="H62" s="12"/>
    </row>
    <row r="63" spans="1:8" ht="14.1" customHeight="1" x14ac:dyDescent="0.2">
      <c r="A63" s="1"/>
      <c r="B63" s="1"/>
      <c r="C63" s="2" t="s">
        <v>128</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24" customHeight="1" x14ac:dyDescent="0.2">
      <c r="A66" s="1"/>
      <c r="B66" s="1"/>
      <c r="C66" s="2" t="s">
        <v>129</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0"/>
      <c r="C69" s="10"/>
      <c r="D69" s="2"/>
      <c r="E69" s="1"/>
      <c r="F69" s="10"/>
      <c r="G69" s="14"/>
      <c r="H69" s="12"/>
    </row>
    <row r="70" spans="1:8" ht="18" customHeight="1" x14ac:dyDescent="0.2">
      <c r="A70" s="14"/>
      <c r="B70" s="10"/>
      <c r="C70" s="10" t="s">
        <v>130</v>
      </c>
      <c r="D70" s="10"/>
      <c r="E70" s="14"/>
      <c r="F70" s="12">
        <v>-2.5445088999999999</v>
      </c>
      <c r="G70" s="13">
        <v>-7.7307099999999996E-4</v>
      </c>
      <c r="H70" s="12"/>
    </row>
    <row r="71" spans="1:8" ht="14.1" customHeight="1" x14ac:dyDescent="0.2">
      <c r="A71" s="5"/>
      <c r="B71" s="5"/>
      <c r="C71" s="2" t="s">
        <v>131</v>
      </c>
      <c r="D71" s="6"/>
      <c r="E71" s="6"/>
      <c r="F71" s="7">
        <v>3291.4298537999998</v>
      </c>
      <c r="G71" s="8">
        <v>1</v>
      </c>
      <c r="H71" s="12"/>
    </row>
    <row r="72" spans="1:8" ht="14.1" customHeight="1" x14ac:dyDescent="0.2">
      <c r="A72" s="15"/>
      <c r="B72" s="15"/>
      <c r="C72" s="15"/>
      <c r="D72" s="16"/>
      <c r="E72" s="16"/>
      <c r="F72" s="16"/>
      <c r="G72" s="16"/>
    </row>
    <row r="73" spans="1:8" ht="17.100000000000001" customHeight="1" x14ac:dyDescent="0.2">
      <c r="A73" s="17"/>
      <c r="B73" s="101" t="s">
        <v>132</v>
      </c>
      <c r="C73" s="101"/>
      <c r="D73" s="101"/>
      <c r="E73" s="101"/>
      <c r="F73" s="101"/>
      <c r="G73" s="19"/>
    </row>
    <row r="74" spans="1:8" ht="17.100000000000001" customHeight="1" x14ac:dyDescent="0.2">
      <c r="A74" s="17"/>
      <c r="B74" s="101" t="s">
        <v>133</v>
      </c>
      <c r="C74" s="101"/>
      <c r="D74" s="101"/>
      <c r="E74" s="101"/>
      <c r="F74" s="101"/>
      <c r="G74" s="19"/>
    </row>
    <row r="75" spans="1:8" ht="14.1" customHeight="1" x14ac:dyDescent="0.2">
      <c r="A75" s="17"/>
      <c r="B75" s="17"/>
      <c r="C75" s="17"/>
      <c r="D75" s="19"/>
      <c r="E75" s="19"/>
      <c r="F75" s="19"/>
      <c r="G75" s="19"/>
    </row>
    <row r="76" spans="1:8" ht="14.1" customHeight="1" x14ac:dyDescent="0.2">
      <c r="A76" s="17"/>
      <c r="B76" s="102" t="s">
        <v>134</v>
      </c>
      <c r="C76" s="103"/>
      <c r="D76" s="104"/>
      <c r="E76" s="20"/>
      <c r="F76" s="19"/>
      <c r="G76" s="19"/>
    </row>
    <row r="77" spans="1:8" ht="29.1" customHeight="1" x14ac:dyDescent="0.2">
      <c r="A77" s="17"/>
      <c r="B77" s="97" t="s">
        <v>135</v>
      </c>
      <c r="C77" s="98"/>
      <c r="D77" s="2" t="s">
        <v>136</v>
      </c>
      <c r="E77" s="20"/>
      <c r="F77" s="19"/>
      <c r="G77" s="19"/>
    </row>
    <row r="78" spans="1:8" ht="17.100000000000001" customHeight="1" x14ac:dyDescent="0.2">
      <c r="A78" s="17"/>
      <c r="B78" s="97" t="s">
        <v>137</v>
      </c>
      <c r="C78" s="98"/>
      <c r="D78" s="2" t="s">
        <v>136</v>
      </c>
      <c r="E78" s="20"/>
      <c r="F78" s="19"/>
      <c r="G78" s="19"/>
    </row>
    <row r="79" spans="1:8" ht="17.100000000000001" customHeight="1" x14ac:dyDescent="0.2">
      <c r="A79" s="17"/>
      <c r="B79" s="97" t="s">
        <v>138</v>
      </c>
      <c r="C79" s="98"/>
      <c r="D79" s="6" t="s">
        <v>12</v>
      </c>
      <c r="E79" s="20"/>
      <c r="F79" s="19"/>
      <c r="G79" s="19"/>
    </row>
    <row r="80" spans="1:8" ht="24" customHeight="1" x14ac:dyDescent="0.2">
      <c r="A80" s="21"/>
      <c r="B80" s="22" t="s">
        <v>12</v>
      </c>
      <c r="C80" s="22" t="s">
        <v>139</v>
      </c>
      <c r="D80" s="22" t="s">
        <v>140</v>
      </c>
      <c r="E80" s="21"/>
      <c r="F80" s="21"/>
      <c r="G80" s="21"/>
    </row>
    <row r="81" spans="1:7" ht="18" customHeight="1" x14ac:dyDescent="0.2">
      <c r="A81" s="21"/>
      <c r="B81" s="23" t="s">
        <v>141</v>
      </c>
      <c r="C81" s="22" t="s">
        <v>142</v>
      </c>
      <c r="D81" s="22" t="s">
        <v>143</v>
      </c>
      <c r="E81" s="21"/>
      <c r="F81" s="21"/>
      <c r="G81" s="21"/>
    </row>
    <row r="82" spans="1:7" ht="17.100000000000001" customHeight="1" x14ac:dyDescent="0.2">
      <c r="A82" s="21"/>
      <c r="B82" s="10" t="s">
        <v>144</v>
      </c>
      <c r="C82" s="24">
        <v>12.282</v>
      </c>
      <c r="D82" s="24">
        <v>12.34</v>
      </c>
      <c r="E82" s="21"/>
      <c r="F82" s="18"/>
      <c r="G82" s="25"/>
    </row>
    <row r="83" spans="1:7" ht="29.1" customHeight="1" x14ac:dyDescent="0.2">
      <c r="A83" s="21"/>
      <c r="B83" s="10" t="s">
        <v>530</v>
      </c>
      <c r="C83" s="24">
        <v>10.065200000000001</v>
      </c>
      <c r="D83" s="24">
        <v>10.063499999999999</v>
      </c>
      <c r="E83" s="21"/>
      <c r="F83" s="18"/>
      <c r="G83" s="25"/>
    </row>
    <row r="84" spans="1:7" ht="29.1" customHeight="1" x14ac:dyDescent="0.2">
      <c r="A84" s="21"/>
      <c r="B84" s="10" t="s">
        <v>531</v>
      </c>
      <c r="C84" s="24">
        <v>10.485200000000001</v>
      </c>
      <c r="D84" s="24">
        <v>10.490399999999999</v>
      </c>
      <c r="E84" s="21"/>
      <c r="F84" s="18"/>
      <c r="G84" s="25"/>
    </row>
    <row r="85" spans="1:7" ht="29.1" customHeight="1" x14ac:dyDescent="0.2">
      <c r="A85" s="21"/>
      <c r="B85" s="10" t="s">
        <v>535</v>
      </c>
      <c r="C85" s="14" t="s">
        <v>148</v>
      </c>
      <c r="D85" s="24">
        <v>11.154999999999999</v>
      </c>
      <c r="E85" s="21"/>
      <c r="F85" s="18"/>
      <c r="G85" s="25"/>
    </row>
    <row r="86" spans="1:7" ht="29.1" customHeight="1" x14ac:dyDescent="0.2">
      <c r="A86" s="21"/>
      <c r="B86" s="10" t="s">
        <v>521</v>
      </c>
      <c r="C86" s="24">
        <v>11.174899999999999</v>
      </c>
      <c r="D86" s="24">
        <v>11.175800000000001</v>
      </c>
      <c r="E86" s="21"/>
      <c r="F86" s="18"/>
      <c r="G86" s="25"/>
    </row>
    <row r="87" spans="1:7" ht="29.1" customHeight="1" x14ac:dyDescent="0.2">
      <c r="A87" s="21"/>
      <c r="B87" s="10" t="s">
        <v>522</v>
      </c>
      <c r="C87" s="24">
        <v>11.262600000000001</v>
      </c>
      <c r="D87" s="24">
        <v>11.315799999999999</v>
      </c>
      <c r="E87" s="21"/>
      <c r="F87" s="18"/>
      <c r="G87" s="25"/>
    </row>
    <row r="88" spans="1:7" ht="17.100000000000001" customHeight="1" x14ac:dyDescent="0.2">
      <c r="A88" s="21"/>
      <c r="B88" s="10" t="s">
        <v>145</v>
      </c>
      <c r="C88" s="24">
        <v>12.2385</v>
      </c>
      <c r="D88" s="24">
        <v>12.295400000000001</v>
      </c>
      <c r="E88" s="21"/>
      <c r="F88" s="18"/>
      <c r="G88" s="25"/>
    </row>
    <row r="89" spans="1:7" ht="29.1" customHeight="1" x14ac:dyDescent="0.2">
      <c r="A89" s="21"/>
      <c r="B89" s="10" t="s">
        <v>533</v>
      </c>
      <c r="C89" s="24">
        <v>10.0648</v>
      </c>
      <c r="D89" s="24">
        <v>10.0634</v>
      </c>
      <c r="E89" s="21"/>
      <c r="F89" s="18"/>
      <c r="G89" s="25"/>
    </row>
    <row r="90" spans="1:7" ht="29.1" customHeight="1" x14ac:dyDescent="0.2">
      <c r="A90" s="21"/>
      <c r="B90" s="10" t="s">
        <v>534</v>
      </c>
      <c r="C90" s="24">
        <v>10.483000000000001</v>
      </c>
      <c r="D90" s="24">
        <v>10.488799999999999</v>
      </c>
      <c r="E90" s="21"/>
      <c r="F90" s="18"/>
      <c r="G90" s="25"/>
    </row>
    <row r="91" spans="1:7" ht="29.1" customHeight="1" x14ac:dyDescent="0.2">
      <c r="A91" s="21"/>
      <c r="B91" s="10" t="s">
        <v>525</v>
      </c>
      <c r="C91" s="24">
        <v>11.155900000000001</v>
      </c>
      <c r="D91" s="24">
        <v>11.1548</v>
      </c>
      <c r="E91" s="21"/>
      <c r="F91" s="18"/>
      <c r="G91" s="25"/>
    </row>
    <row r="92" spans="1:7" ht="29.1" customHeight="1" x14ac:dyDescent="0.2">
      <c r="A92" s="21"/>
      <c r="B92" s="10" t="s">
        <v>526</v>
      </c>
      <c r="C92" s="24">
        <v>11.2219</v>
      </c>
      <c r="D92" s="24">
        <v>11.274100000000001</v>
      </c>
      <c r="E92" s="21"/>
      <c r="F92" s="18"/>
      <c r="G92" s="25"/>
    </row>
    <row r="93" spans="1:7" ht="14.1" customHeight="1" x14ac:dyDescent="0.2">
      <c r="A93" s="21"/>
      <c r="B93" s="21"/>
      <c r="C93" s="21"/>
      <c r="D93" s="21"/>
      <c r="E93" s="21"/>
      <c r="F93" s="21"/>
      <c r="G93" s="21"/>
    </row>
    <row r="94" spans="1:7" ht="17.100000000000001" customHeight="1" x14ac:dyDescent="0.2">
      <c r="A94" s="21"/>
      <c r="B94" s="97" t="s">
        <v>529</v>
      </c>
      <c r="C94" s="98"/>
      <c r="D94" s="2" t="s">
        <v>12</v>
      </c>
      <c r="E94" s="21"/>
      <c r="F94" s="21"/>
      <c r="G94" s="21"/>
    </row>
    <row r="95" spans="1:7" ht="18" customHeight="1" x14ac:dyDescent="0.2">
      <c r="A95" s="21"/>
      <c r="B95" s="26" t="s">
        <v>141</v>
      </c>
      <c r="C95" s="27" t="s">
        <v>146</v>
      </c>
      <c r="D95" s="27" t="s">
        <v>147</v>
      </c>
      <c r="E95" s="21"/>
      <c r="F95" s="21"/>
      <c r="G95" s="21"/>
    </row>
    <row r="96" spans="1:7" ht="29.1" customHeight="1" x14ac:dyDescent="0.2">
      <c r="A96" s="21"/>
      <c r="B96" s="10" t="s">
        <v>530</v>
      </c>
      <c r="C96" s="28">
        <v>4.9603000000000001E-2</v>
      </c>
      <c r="D96" s="14" t="s">
        <v>148</v>
      </c>
      <c r="E96" s="21"/>
      <c r="F96" s="18"/>
      <c r="G96" s="25"/>
    </row>
    <row r="97" spans="1:15" ht="29.1" customHeight="1" x14ac:dyDescent="0.2">
      <c r="A97" s="21"/>
      <c r="B97" s="10" t="s">
        <v>531</v>
      </c>
      <c r="C97" s="28">
        <v>4.4200000000000003E-2</v>
      </c>
      <c r="D97" s="14" t="s">
        <v>148</v>
      </c>
      <c r="E97" s="21"/>
      <c r="F97" s="18"/>
      <c r="G97" s="25"/>
    </row>
    <row r="98" spans="1:15" ht="29.1" customHeight="1" x14ac:dyDescent="0.2">
      <c r="A98" s="21"/>
      <c r="B98" s="10" t="s">
        <v>521</v>
      </c>
      <c r="C98" s="28">
        <v>5.1900000000000002E-2</v>
      </c>
      <c r="D98" s="14" t="s">
        <v>148</v>
      </c>
      <c r="E98" s="21"/>
      <c r="F98" s="18"/>
      <c r="G98" s="25"/>
    </row>
    <row r="99" spans="1:15" ht="29.1" customHeight="1" x14ac:dyDescent="0.2">
      <c r="A99" s="21"/>
      <c r="B99" s="10" t="s">
        <v>533</v>
      </c>
      <c r="C99" s="28">
        <v>4.8035000000000001E-2</v>
      </c>
      <c r="D99" s="14" t="s">
        <v>148</v>
      </c>
      <c r="E99" s="21"/>
      <c r="F99" s="18"/>
      <c r="G99" s="25"/>
    </row>
    <row r="100" spans="1:15" ht="29.1" customHeight="1" x14ac:dyDescent="0.2">
      <c r="A100" s="21"/>
      <c r="B100" s="10" t="s">
        <v>534</v>
      </c>
      <c r="C100" s="28">
        <v>4.3499999999999997E-2</v>
      </c>
      <c r="D100" s="14" t="s">
        <v>148</v>
      </c>
      <c r="E100" s="21"/>
      <c r="F100" s="18"/>
      <c r="G100" s="25"/>
    </row>
    <row r="101" spans="1:15" ht="29.1" customHeight="1" x14ac:dyDescent="0.2">
      <c r="A101" s="21"/>
      <c r="B101" s="10" t="s">
        <v>525</v>
      </c>
      <c r="C101" s="28">
        <v>5.28E-2</v>
      </c>
      <c r="D101" s="14" t="s">
        <v>148</v>
      </c>
      <c r="E101" s="21"/>
      <c r="F101" s="18"/>
      <c r="G101" s="25"/>
    </row>
    <row r="102" spans="1:15" ht="14.1" customHeight="1" x14ac:dyDescent="0.2">
      <c r="A102" s="21"/>
      <c r="B102" s="29"/>
      <c r="C102" s="29"/>
      <c r="D102" s="30"/>
      <c r="E102" s="21"/>
      <c r="F102" s="18"/>
      <c r="G102" s="25"/>
    </row>
    <row r="103" spans="1:15" ht="29.1" customHeight="1" x14ac:dyDescent="0.2">
      <c r="A103" s="21"/>
      <c r="B103" s="97" t="s">
        <v>149</v>
      </c>
      <c r="C103" s="98"/>
      <c r="D103" s="2" t="s">
        <v>136</v>
      </c>
      <c r="E103" s="31"/>
      <c r="F103" s="21"/>
      <c r="G103" s="21"/>
    </row>
    <row r="104" spans="1:15" ht="29.1" customHeight="1" x14ac:dyDescent="0.2">
      <c r="A104" s="21"/>
      <c r="B104" s="97" t="s">
        <v>150</v>
      </c>
      <c r="C104" s="98"/>
      <c r="D104" s="2" t="s">
        <v>136</v>
      </c>
      <c r="E104" s="31"/>
      <c r="F104" s="21"/>
      <c r="G104" s="21"/>
    </row>
    <row r="105" spans="1:15" ht="17.100000000000001" customHeight="1" x14ac:dyDescent="0.2">
      <c r="A105" s="21"/>
      <c r="B105" s="97" t="s">
        <v>151</v>
      </c>
      <c r="C105" s="98"/>
      <c r="D105" s="32">
        <v>0.18726321914118868</v>
      </c>
      <c r="E105" s="31"/>
      <c r="F105" s="21"/>
      <c r="G105" s="21"/>
    </row>
    <row r="106" spans="1:15" ht="17.100000000000001" customHeight="1" x14ac:dyDescent="0.2">
      <c r="A106" s="21"/>
      <c r="B106" s="97" t="s">
        <v>152</v>
      </c>
      <c r="C106" s="98"/>
      <c r="D106" s="32">
        <v>0.18726321914118868</v>
      </c>
      <c r="E106" s="31"/>
      <c r="F106" s="21"/>
      <c r="G106" s="21"/>
    </row>
    <row r="107" spans="1:15" ht="17.100000000000001" customHeight="1" x14ac:dyDescent="0.2">
      <c r="A107" s="21"/>
      <c r="B107" s="97" t="s">
        <v>153</v>
      </c>
      <c r="C107" s="98"/>
      <c r="D107" s="2" t="s">
        <v>136</v>
      </c>
      <c r="E107" s="31"/>
      <c r="F107" s="21"/>
      <c r="G107" s="21"/>
      <c r="O107" s="40"/>
    </row>
    <row r="109" spans="1:15" x14ac:dyDescent="0.2">
      <c r="J109"/>
      <c r="K109"/>
      <c r="L109"/>
      <c r="M109"/>
      <c r="N109"/>
    </row>
  </sheetData>
  <mergeCells count="16">
    <mergeCell ref="B106:C106"/>
    <mergeCell ref="B107:C107"/>
    <mergeCell ref="J2:N2"/>
    <mergeCell ref="A1:H1"/>
    <mergeCell ref="A2:H2"/>
    <mergeCell ref="A3:H3"/>
    <mergeCell ref="B104:C104"/>
    <mergeCell ref="B105:C105"/>
    <mergeCell ref="B103:C103"/>
    <mergeCell ref="B73:F73"/>
    <mergeCell ref="B74:F74"/>
    <mergeCell ref="B76:D76"/>
    <mergeCell ref="B77:C77"/>
    <mergeCell ref="B78:C78"/>
    <mergeCell ref="B79:C79"/>
    <mergeCell ref="B94:C94"/>
  </mergeCells>
  <hyperlinks>
    <hyperlink ref="I1" location="Index!B4" display="Index" xr:uid="{4063FDD8-3E48-4E1E-81E2-C03EDEA6999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P18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0" t="s">
        <v>0</v>
      </c>
      <c r="B1" s="100"/>
      <c r="C1" s="100"/>
      <c r="D1" s="100"/>
      <c r="E1" s="100"/>
      <c r="F1" s="100"/>
      <c r="G1" s="100"/>
      <c r="H1" s="100"/>
      <c r="I1" s="90" t="s">
        <v>544</v>
      </c>
    </row>
    <row r="2" spans="1:14" ht="17.100000000000001" customHeight="1" x14ac:dyDescent="0.2">
      <c r="A2" s="100" t="s">
        <v>543</v>
      </c>
      <c r="B2" s="100"/>
      <c r="C2" s="100"/>
      <c r="D2" s="100"/>
      <c r="E2" s="100"/>
      <c r="F2" s="100"/>
      <c r="G2" s="100"/>
      <c r="H2" s="100"/>
      <c r="J2" s="99" t="s">
        <v>545</v>
      </c>
      <c r="K2" s="99"/>
      <c r="L2" s="99"/>
      <c r="M2" s="99"/>
      <c r="N2" s="99"/>
    </row>
    <row r="3" spans="1:14" ht="21" customHeight="1" x14ac:dyDescent="0.2">
      <c r="A3" s="100" t="s">
        <v>539</v>
      </c>
      <c r="B3" s="100"/>
      <c r="C3" s="100"/>
      <c r="D3" s="100"/>
      <c r="E3" s="100"/>
      <c r="F3" s="100"/>
      <c r="G3" s="100"/>
      <c r="H3" s="100"/>
    </row>
    <row r="4" spans="1:14" s="88" customFormat="1" ht="30" x14ac:dyDescent="0.2">
      <c r="A4" s="87" t="s">
        <v>2</v>
      </c>
      <c r="B4" s="87" t="s">
        <v>3</v>
      </c>
      <c r="C4" s="87" t="s">
        <v>4</v>
      </c>
      <c r="D4" s="87" t="s">
        <v>5</v>
      </c>
      <c r="E4" s="87" t="s">
        <v>6</v>
      </c>
      <c r="F4" s="87" t="s">
        <v>7</v>
      </c>
      <c r="G4" s="87" t="s">
        <v>8</v>
      </c>
      <c r="H4" s="86" t="s">
        <v>520</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3" t="s">
        <v>551</v>
      </c>
      <c r="K16" s="94"/>
      <c r="L16" s="94"/>
      <c r="M16" s="94"/>
      <c r="N16" s="94"/>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
      <c r="A28" s="9">
        <v>1</v>
      </c>
      <c r="B28" s="10" t="s">
        <v>288</v>
      </c>
      <c r="C28" s="10" t="s">
        <v>289</v>
      </c>
      <c r="D28" s="10" t="s">
        <v>290</v>
      </c>
      <c r="E28" s="11">
        <v>225558</v>
      </c>
      <c r="F28" s="12">
        <v>1794.55749264</v>
      </c>
      <c r="G28" s="13">
        <v>3.9461898000000002E-2</v>
      </c>
      <c r="H28" s="12">
        <v>11.747</v>
      </c>
    </row>
    <row r="29" spans="1:14" ht="29.1" customHeight="1" x14ac:dyDescent="0.25">
      <c r="A29" s="9">
        <v>2</v>
      </c>
      <c r="B29" s="10" t="s">
        <v>291</v>
      </c>
      <c r="C29" s="10" t="s">
        <v>292</v>
      </c>
      <c r="D29" s="10" t="s">
        <v>27</v>
      </c>
      <c r="E29" s="11">
        <v>150</v>
      </c>
      <c r="F29" s="12">
        <v>1504.7055</v>
      </c>
      <c r="G29" s="13">
        <v>3.3088120999999998E-2</v>
      </c>
      <c r="H29" s="12">
        <v>6.68</v>
      </c>
      <c r="J29" s="93" t="s">
        <v>552</v>
      </c>
      <c r="K29" s="94"/>
      <c r="L29" s="94"/>
      <c r="M29" s="94"/>
      <c r="N29" s="94"/>
    </row>
    <row r="30" spans="1:14" ht="29.1" customHeight="1" x14ac:dyDescent="0.2">
      <c r="A30" s="9">
        <v>3</v>
      </c>
      <c r="B30" s="10" t="s">
        <v>293</v>
      </c>
      <c r="C30" s="10" t="s">
        <v>294</v>
      </c>
      <c r="D30" s="10" t="s">
        <v>27</v>
      </c>
      <c r="E30" s="11">
        <v>150</v>
      </c>
      <c r="F30" s="12">
        <v>1476.924</v>
      </c>
      <c r="G30" s="13">
        <v>3.2477211999999998E-2</v>
      </c>
      <c r="H30" s="12">
        <v>6.84</v>
      </c>
    </row>
    <row r="31" spans="1:14" ht="29.1" customHeight="1" x14ac:dyDescent="0.2">
      <c r="A31" s="9">
        <v>4</v>
      </c>
      <c r="B31" s="10" t="s">
        <v>32</v>
      </c>
      <c r="C31" s="10" t="s">
        <v>33</v>
      </c>
      <c r="D31" s="10" t="s">
        <v>27</v>
      </c>
      <c r="E31" s="11">
        <v>100</v>
      </c>
      <c r="F31" s="12">
        <v>994.08100000000002</v>
      </c>
      <c r="G31" s="13">
        <v>2.1859607999999999E-2</v>
      </c>
      <c r="H31" s="12">
        <v>6.6749999999999998</v>
      </c>
    </row>
    <row r="32" spans="1:14" ht="29.1" customHeight="1" x14ac:dyDescent="0.2">
      <c r="A32" s="9">
        <v>5</v>
      </c>
      <c r="B32" s="10" t="s">
        <v>295</v>
      </c>
      <c r="C32" s="10" t="s">
        <v>296</v>
      </c>
      <c r="D32" s="10" t="s">
        <v>27</v>
      </c>
      <c r="E32" s="11">
        <v>100</v>
      </c>
      <c r="F32" s="12">
        <v>990.94600000000003</v>
      </c>
      <c r="G32" s="13">
        <v>2.1790670000000002E-2</v>
      </c>
      <c r="H32" s="12">
        <v>7.5049999999999999</v>
      </c>
    </row>
    <row r="33" spans="1:8" ht="29.1" customHeight="1" x14ac:dyDescent="0.2">
      <c r="A33" s="9">
        <v>6</v>
      </c>
      <c r="B33" s="10" t="s">
        <v>255</v>
      </c>
      <c r="C33" s="10" t="s">
        <v>256</v>
      </c>
      <c r="D33" s="10" t="s">
        <v>246</v>
      </c>
      <c r="E33" s="11">
        <v>50</v>
      </c>
      <c r="F33" s="12">
        <v>493.37900000000002</v>
      </c>
      <c r="G33" s="13">
        <v>1.0849288E-2</v>
      </c>
      <c r="H33" s="12">
        <v>6.8841999999999999</v>
      </c>
    </row>
    <row r="34" spans="1:8" ht="29.1" customHeight="1" x14ac:dyDescent="0.2">
      <c r="A34" s="9">
        <v>7</v>
      </c>
      <c r="B34" s="10" t="s">
        <v>68</v>
      </c>
      <c r="C34" s="10" t="s">
        <v>69</v>
      </c>
      <c r="D34" s="10" t="s">
        <v>27</v>
      </c>
      <c r="E34" s="11">
        <v>30</v>
      </c>
      <c r="F34" s="12">
        <v>299.87189999999998</v>
      </c>
      <c r="G34" s="13">
        <v>6.5941130000000004E-3</v>
      </c>
      <c r="H34" s="12">
        <v>6.46</v>
      </c>
    </row>
    <row r="35" spans="1:8" ht="29.1" customHeight="1" x14ac:dyDescent="0.2">
      <c r="A35" s="9">
        <v>8</v>
      </c>
      <c r="B35" s="10" t="s">
        <v>159</v>
      </c>
      <c r="C35" s="10" t="s">
        <v>160</v>
      </c>
      <c r="D35" s="10" t="s">
        <v>27</v>
      </c>
      <c r="E35" s="11">
        <v>30</v>
      </c>
      <c r="F35" s="12">
        <v>299.38409999999999</v>
      </c>
      <c r="G35" s="13">
        <v>6.5833860000000001E-3</v>
      </c>
      <c r="H35" s="12">
        <v>5.8650000000000002</v>
      </c>
    </row>
    <row r="36" spans="1:8" ht="17.100000000000001" customHeight="1" x14ac:dyDescent="0.2">
      <c r="A36" s="9">
        <v>9</v>
      </c>
      <c r="B36" s="10" t="s">
        <v>281</v>
      </c>
      <c r="C36" s="10" t="s">
        <v>282</v>
      </c>
      <c r="D36" s="10" t="s">
        <v>27</v>
      </c>
      <c r="E36" s="11">
        <v>25</v>
      </c>
      <c r="F36" s="12">
        <v>252.98824999999999</v>
      </c>
      <c r="G36" s="13">
        <v>5.563152E-3</v>
      </c>
      <c r="H36" s="12">
        <v>6.46</v>
      </c>
    </row>
    <row r="37" spans="1:8" ht="14.1" customHeight="1" x14ac:dyDescent="0.2">
      <c r="A37" s="1"/>
      <c r="B37" s="1"/>
      <c r="C37" s="2" t="s">
        <v>11</v>
      </c>
      <c r="D37" s="1"/>
      <c r="E37" s="1" t="s">
        <v>12</v>
      </c>
      <c r="F37" s="7">
        <v>8106.8372426400001</v>
      </c>
      <c r="G37" s="8">
        <v>0.178267448</v>
      </c>
      <c r="H37" s="12"/>
    </row>
    <row r="38" spans="1:8" ht="14.1" customHeight="1" x14ac:dyDescent="0.2">
      <c r="A38" s="1"/>
      <c r="B38" s="1"/>
      <c r="C38" s="5"/>
      <c r="D38" s="1"/>
      <c r="E38" s="1"/>
      <c r="F38" s="6"/>
      <c r="G38" s="6"/>
      <c r="H38" s="12"/>
    </row>
    <row r="39" spans="1:8" ht="14.1" customHeight="1" x14ac:dyDescent="0.2">
      <c r="A39" s="1"/>
      <c r="B39" s="1"/>
      <c r="C39" s="2" t="s">
        <v>95</v>
      </c>
      <c r="D39" s="1"/>
      <c r="E39" s="1"/>
      <c r="F39" s="1"/>
      <c r="G39" s="1"/>
      <c r="H39" s="12"/>
    </row>
    <row r="40" spans="1:8" ht="14.1" customHeight="1" x14ac:dyDescent="0.2">
      <c r="A40" s="1"/>
      <c r="B40" s="1"/>
      <c r="C40" s="2" t="s">
        <v>11</v>
      </c>
      <c r="D40" s="1"/>
      <c r="E40" s="1" t="s">
        <v>12</v>
      </c>
      <c r="F40" s="3">
        <v>0</v>
      </c>
      <c r="G40" s="4">
        <v>0</v>
      </c>
      <c r="H40" s="12"/>
    </row>
    <row r="41" spans="1:8" ht="14.1" customHeight="1" x14ac:dyDescent="0.2">
      <c r="A41" s="1"/>
      <c r="B41" s="1"/>
      <c r="C41" s="5"/>
      <c r="D41" s="1"/>
      <c r="E41" s="1"/>
      <c r="F41" s="6"/>
      <c r="G41" s="6"/>
      <c r="H41" s="12"/>
    </row>
    <row r="42" spans="1:8" ht="14.1" customHeight="1" x14ac:dyDescent="0.2">
      <c r="A42" s="1"/>
      <c r="B42" s="1"/>
      <c r="C42" s="2" t="s">
        <v>96</v>
      </c>
      <c r="D42" s="1"/>
      <c r="E42" s="1"/>
      <c r="F42" s="1"/>
      <c r="G42" s="1"/>
      <c r="H42" s="12"/>
    </row>
    <row r="43" spans="1:8" ht="29.1" customHeight="1" x14ac:dyDescent="0.2">
      <c r="A43" s="9">
        <v>1</v>
      </c>
      <c r="B43" s="10" t="s">
        <v>259</v>
      </c>
      <c r="C43" s="10" t="s">
        <v>260</v>
      </c>
      <c r="D43" s="10" t="s">
        <v>99</v>
      </c>
      <c r="E43" s="11">
        <v>2000000</v>
      </c>
      <c r="F43" s="12">
        <v>2002.992</v>
      </c>
      <c r="G43" s="13">
        <v>4.4045323999999997E-2</v>
      </c>
      <c r="H43" s="12">
        <v>6.5941999999999998</v>
      </c>
    </row>
    <row r="44" spans="1:8" ht="29.1" customHeight="1" x14ac:dyDescent="0.2">
      <c r="A44" s="9">
        <v>2</v>
      </c>
      <c r="B44" s="10" t="s">
        <v>268</v>
      </c>
      <c r="C44" s="10" t="s">
        <v>269</v>
      </c>
      <c r="D44" s="10" t="s">
        <v>99</v>
      </c>
      <c r="E44" s="11">
        <v>300000</v>
      </c>
      <c r="F44" s="12">
        <v>300.84840000000003</v>
      </c>
      <c r="G44" s="13">
        <v>6.6155859999999997E-3</v>
      </c>
      <c r="H44" s="12">
        <v>5.8281999999999998</v>
      </c>
    </row>
    <row r="45" spans="1:8" ht="29.1" customHeight="1" x14ac:dyDescent="0.2">
      <c r="A45" s="9">
        <v>3</v>
      </c>
      <c r="B45" s="10" t="s">
        <v>283</v>
      </c>
      <c r="C45" s="10" t="s">
        <v>284</v>
      </c>
      <c r="D45" s="10" t="s">
        <v>99</v>
      </c>
      <c r="E45" s="11">
        <v>300000</v>
      </c>
      <c r="F45" s="12">
        <v>300.32940000000002</v>
      </c>
      <c r="G45" s="13">
        <v>6.6041729999999996E-3</v>
      </c>
      <c r="H45" s="12">
        <v>5.4078999999999997</v>
      </c>
    </row>
    <row r="46" spans="1:8" ht="29.1" customHeight="1" x14ac:dyDescent="0.2">
      <c r="A46" s="9">
        <v>4</v>
      </c>
      <c r="B46" s="10" t="s">
        <v>270</v>
      </c>
      <c r="C46" s="10" t="s">
        <v>271</v>
      </c>
      <c r="D46" s="10" t="s">
        <v>99</v>
      </c>
      <c r="E46" s="11">
        <v>100000</v>
      </c>
      <c r="F46" s="12">
        <v>100.1485</v>
      </c>
      <c r="G46" s="13">
        <v>2.2022420000000001E-3</v>
      </c>
      <c r="H46" s="12">
        <v>5.3331999999999997</v>
      </c>
    </row>
    <row r="47" spans="1:8" ht="14.1" customHeight="1" x14ac:dyDescent="0.2">
      <c r="A47" s="1"/>
      <c r="B47" s="1"/>
      <c r="C47" s="2" t="s">
        <v>11</v>
      </c>
      <c r="D47" s="1"/>
      <c r="E47" s="1" t="s">
        <v>12</v>
      </c>
      <c r="F47" s="7">
        <v>2704.3182999999999</v>
      </c>
      <c r="G47" s="8">
        <v>5.9467325000000001E-2</v>
      </c>
      <c r="H47" s="12"/>
    </row>
    <row r="48" spans="1:8" ht="14.1" customHeight="1" x14ac:dyDescent="0.2">
      <c r="A48" s="1"/>
      <c r="B48" s="1"/>
      <c r="C48" s="5"/>
      <c r="D48" s="1"/>
      <c r="E48" s="1"/>
      <c r="F48" s="6"/>
      <c r="G48" s="6"/>
      <c r="H48" s="12"/>
    </row>
    <row r="49" spans="1:8" ht="14.1" customHeight="1" x14ac:dyDescent="0.2">
      <c r="A49" s="1"/>
      <c r="B49" s="1"/>
      <c r="C49" s="2" t="s">
        <v>106</v>
      </c>
      <c r="D49" s="1"/>
      <c r="E49" s="1"/>
      <c r="F49" s="6"/>
      <c r="G49" s="6"/>
      <c r="H49" s="12"/>
    </row>
    <row r="50" spans="1:8" ht="14.1" customHeight="1" x14ac:dyDescent="0.2">
      <c r="A50" s="1"/>
      <c r="B50" s="1"/>
      <c r="C50" s="2" t="s">
        <v>11</v>
      </c>
      <c r="D50" s="1"/>
      <c r="E50" s="1" t="s">
        <v>12</v>
      </c>
      <c r="F50" s="3">
        <v>0</v>
      </c>
      <c r="G50" s="4">
        <v>0</v>
      </c>
      <c r="H50" s="12"/>
    </row>
    <row r="51" spans="1:8" ht="14.1" customHeight="1" x14ac:dyDescent="0.2">
      <c r="A51" s="1"/>
      <c r="B51" s="1"/>
      <c r="C51" s="5"/>
      <c r="D51" s="1"/>
      <c r="E51" s="1"/>
      <c r="F51" s="6"/>
      <c r="G51" s="6"/>
      <c r="H51" s="12"/>
    </row>
    <row r="52" spans="1:8" ht="14.1" customHeight="1" x14ac:dyDescent="0.2">
      <c r="A52" s="1"/>
      <c r="B52" s="1"/>
      <c r="C52" s="2" t="s">
        <v>107</v>
      </c>
      <c r="D52" s="1"/>
      <c r="E52" s="1"/>
      <c r="F52" s="7">
        <v>10811.155542639999</v>
      </c>
      <c r="G52" s="8">
        <v>0.23773477300000001</v>
      </c>
      <c r="H52" s="12"/>
    </row>
    <row r="53" spans="1:8" ht="14.1" customHeight="1" x14ac:dyDescent="0.2">
      <c r="A53" s="1"/>
      <c r="B53" s="1"/>
      <c r="C53" s="5"/>
      <c r="D53" s="1"/>
      <c r="E53" s="1"/>
      <c r="F53" s="6"/>
      <c r="G53" s="6"/>
      <c r="H53" s="12"/>
    </row>
    <row r="54" spans="1:8" ht="14.1" customHeight="1" x14ac:dyDescent="0.2">
      <c r="A54" s="1"/>
      <c r="B54" s="1"/>
      <c r="C54" s="2" t="s">
        <v>108</v>
      </c>
      <c r="D54" s="1"/>
      <c r="E54" s="1"/>
      <c r="F54" s="6"/>
      <c r="G54" s="6"/>
      <c r="H54" s="12"/>
    </row>
    <row r="55" spans="1:8" ht="14.1" customHeight="1" x14ac:dyDescent="0.2">
      <c r="A55" s="1"/>
      <c r="B55" s="1"/>
      <c r="C55" s="2" t="s">
        <v>109</v>
      </c>
      <c r="D55" s="1"/>
      <c r="E55" s="1"/>
      <c r="F55" s="6"/>
      <c r="G55" s="6"/>
      <c r="H55" s="12"/>
    </row>
    <row r="56" spans="1:8" ht="17.100000000000001" customHeight="1" x14ac:dyDescent="0.2">
      <c r="A56" s="9">
        <v>1</v>
      </c>
      <c r="B56" s="10" t="s">
        <v>297</v>
      </c>
      <c r="C56" s="10" t="s">
        <v>298</v>
      </c>
      <c r="D56" s="10" t="s">
        <v>115</v>
      </c>
      <c r="E56" s="11">
        <v>500</v>
      </c>
      <c r="F56" s="12">
        <v>2484.8000000000002</v>
      </c>
      <c r="G56" s="13">
        <v>5.4640169000000002E-2</v>
      </c>
      <c r="H56" s="12">
        <v>5.7248999999999999</v>
      </c>
    </row>
    <row r="57" spans="1:8" ht="17.100000000000001" customHeight="1" x14ac:dyDescent="0.2">
      <c r="A57" s="9">
        <v>2</v>
      </c>
      <c r="B57" s="10" t="s">
        <v>299</v>
      </c>
      <c r="C57" s="10" t="s">
        <v>300</v>
      </c>
      <c r="D57" s="10" t="s">
        <v>115</v>
      </c>
      <c r="E57" s="11">
        <v>500</v>
      </c>
      <c r="F57" s="12">
        <v>2460.1975000000002</v>
      </c>
      <c r="G57" s="13">
        <v>5.4099165999999997E-2</v>
      </c>
      <c r="H57" s="12">
        <v>5.9650999999999996</v>
      </c>
    </row>
    <row r="58" spans="1:8" ht="17.100000000000001" customHeight="1" x14ac:dyDescent="0.2">
      <c r="A58" s="9">
        <v>3</v>
      </c>
      <c r="B58" s="10" t="s">
        <v>272</v>
      </c>
      <c r="C58" s="10" t="s">
        <v>273</v>
      </c>
      <c r="D58" s="10" t="s">
        <v>112</v>
      </c>
      <c r="E58" s="11">
        <v>500</v>
      </c>
      <c r="F58" s="12">
        <v>2346.94</v>
      </c>
      <c r="G58" s="13">
        <v>5.1608660000000001E-2</v>
      </c>
      <c r="H58" s="12">
        <v>6.86</v>
      </c>
    </row>
    <row r="59" spans="1:8" ht="17.100000000000001" customHeight="1" x14ac:dyDescent="0.2">
      <c r="A59" s="9">
        <v>4</v>
      </c>
      <c r="B59" s="10" t="s">
        <v>301</v>
      </c>
      <c r="C59" s="10" t="s">
        <v>302</v>
      </c>
      <c r="D59" s="10" t="s">
        <v>115</v>
      </c>
      <c r="E59" s="11">
        <v>400</v>
      </c>
      <c r="F59" s="12">
        <v>1873.5239999999999</v>
      </c>
      <c r="G59" s="13">
        <v>4.1198353E-2</v>
      </c>
      <c r="H59" s="12">
        <v>7.04</v>
      </c>
    </row>
    <row r="60" spans="1:8" ht="17.100000000000001" customHeight="1" x14ac:dyDescent="0.2">
      <c r="A60" s="9">
        <v>5</v>
      </c>
      <c r="B60" s="10" t="s">
        <v>285</v>
      </c>
      <c r="C60" s="10" t="s">
        <v>286</v>
      </c>
      <c r="D60" s="10" t="s">
        <v>112</v>
      </c>
      <c r="E60" s="11">
        <v>200</v>
      </c>
      <c r="F60" s="12">
        <v>961.61199999999997</v>
      </c>
      <c r="G60" s="13">
        <v>2.1145621999999999E-2</v>
      </c>
      <c r="H60" s="12">
        <v>6.5049999999999999</v>
      </c>
    </row>
    <row r="61" spans="1:8" ht="17.100000000000001" customHeight="1" x14ac:dyDescent="0.2">
      <c r="A61" s="9">
        <v>6</v>
      </c>
      <c r="B61" s="10" t="s">
        <v>274</v>
      </c>
      <c r="C61" s="10" t="s">
        <v>275</v>
      </c>
      <c r="D61" s="10" t="s">
        <v>115</v>
      </c>
      <c r="E61" s="11">
        <v>200</v>
      </c>
      <c r="F61" s="12">
        <v>938.62199999999996</v>
      </c>
      <c r="G61" s="13">
        <v>2.0640077999999999E-2</v>
      </c>
      <c r="H61" s="12">
        <v>6.8</v>
      </c>
    </row>
    <row r="62" spans="1:8" ht="14.1" customHeight="1" x14ac:dyDescent="0.2">
      <c r="A62" s="1"/>
      <c r="B62" s="1"/>
      <c r="C62" s="2" t="s">
        <v>11</v>
      </c>
      <c r="D62" s="1"/>
      <c r="E62" s="1" t="s">
        <v>12</v>
      </c>
      <c r="F62" s="7">
        <v>11065.6955</v>
      </c>
      <c r="G62" s="8">
        <v>0.243332048</v>
      </c>
      <c r="H62" s="12"/>
    </row>
    <row r="63" spans="1:8" ht="14.1" customHeight="1" x14ac:dyDescent="0.2">
      <c r="A63" s="1"/>
      <c r="B63" s="1"/>
      <c r="C63" s="5"/>
      <c r="D63" s="1"/>
      <c r="E63" s="1"/>
      <c r="F63" s="6"/>
      <c r="G63" s="6"/>
      <c r="H63" s="12"/>
    </row>
    <row r="64" spans="1:8" ht="14.1" customHeight="1" x14ac:dyDescent="0.2">
      <c r="A64" s="1"/>
      <c r="B64" s="1"/>
      <c r="C64" s="2" t="s">
        <v>116</v>
      </c>
      <c r="D64" s="1"/>
      <c r="E64" s="1"/>
      <c r="F64" s="6"/>
      <c r="G64" s="6"/>
      <c r="H64" s="12"/>
    </row>
    <row r="65" spans="1:8" ht="29.1" customHeight="1" x14ac:dyDescent="0.2">
      <c r="A65" s="9">
        <v>1</v>
      </c>
      <c r="B65" s="10" t="s">
        <v>303</v>
      </c>
      <c r="C65" s="10" t="s">
        <v>304</v>
      </c>
      <c r="D65" s="10" t="s">
        <v>115</v>
      </c>
      <c r="E65" s="11">
        <v>500</v>
      </c>
      <c r="F65" s="12">
        <v>2496.8649999999998</v>
      </c>
      <c r="G65" s="13">
        <v>5.4905476000000002E-2</v>
      </c>
      <c r="H65" s="12">
        <v>6.55</v>
      </c>
    </row>
    <row r="66" spans="1:8" ht="29.1" customHeight="1" x14ac:dyDescent="0.2">
      <c r="A66" s="9">
        <v>2</v>
      </c>
      <c r="B66" s="10" t="s">
        <v>305</v>
      </c>
      <c r="C66" s="10" t="s">
        <v>306</v>
      </c>
      <c r="D66" s="10" t="s">
        <v>115</v>
      </c>
      <c r="E66" s="11">
        <v>500</v>
      </c>
      <c r="F66" s="12">
        <v>2492.9625000000001</v>
      </c>
      <c r="G66" s="13">
        <v>5.4819660999999999E-2</v>
      </c>
      <c r="H66" s="12">
        <v>5.7249999999999996</v>
      </c>
    </row>
    <row r="67" spans="1:8" ht="29.1" customHeight="1" x14ac:dyDescent="0.2">
      <c r="A67" s="9">
        <v>3</v>
      </c>
      <c r="B67" s="10" t="s">
        <v>276</v>
      </c>
      <c r="C67" s="10" t="s">
        <v>277</v>
      </c>
      <c r="D67" s="10" t="s">
        <v>115</v>
      </c>
      <c r="E67" s="11">
        <v>500</v>
      </c>
      <c r="F67" s="12">
        <v>2488.8975</v>
      </c>
      <c r="G67" s="13">
        <v>5.4730272000000003E-2</v>
      </c>
      <c r="H67" s="12">
        <v>5.6151</v>
      </c>
    </row>
    <row r="68" spans="1:8" ht="29.1" customHeight="1" x14ac:dyDescent="0.2">
      <c r="A68" s="9">
        <v>4</v>
      </c>
      <c r="B68" s="10" t="s">
        <v>117</v>
      </c>
      <c r="C68" s="10" t="s">
        <v>118</v>
      </c>
      <c r="D68" s="10" t="s">
        <v>115</v>
      </c>
      <c r="E68" s="11">
        <v>500</v>
      </c>
      <c r="F68" s="12">
        <v>2419.5825</v>
      </c>
      <c r="G68" s="13">
        <v>5.3206051999999997E-2</v>
      </c>
      <c r="H68" s="12">
        <v>6.3849999999999998</v>
      </c>
    </row>
    <row r="69" spans="1:8" ht="29.1" customHeight="1" x14ac:dyDescent="0.2">
      <c r="A69" s="9">
        <v>5</v>
      </c>
      <c r="B69" s="10" t="s">
        <v>307</v>
      </c>
      <c r="C69" s="10" t="s">
        <v>308</v>
      </c>
      <c r="D69" s="10" t="s">
        <v>115</v>
      </c>
      <c r="E69" s="11">
        <v>400</v>
      </c>
      <c r="F69" s="12">
        <v>1946.6780000000001</v>
      </c>
      <c r="G69" s="13">
        <v>4.2806993000000002E-2</v>
      </c>
      <c r="H69" s="12">
        <v>6.8949999999999996</v>
      </c>
    </row>
    <row r="70" spans="1:8" ht="17.100000000000001" customHeight="1" x14ac:dyDescent="0.2">
      <c r="A70" s="9">
        <v>6</v>
      </c>
      <c r="B70" s="10" t="s">
        <v>309</v>
      </c>
      <c r="C70" s="10" t="s">
        <v>310</v>
      </c>
      <c r="D70" s="10" t="s">
        <v>115</v>
      </c>
      <c r="E70" s="11">
        <v>300</v>
      </c>
      <c r="F70" s="12">
        <v>1496.2349999999999</v>
      </c>
      <c r="G70" s="13">
        <v>3.2901857E-2</v>
      </c>
      <c r="H70" s="12">
        <v>6.56</v>
      </c>
    </row>
    <row r="71" spans="1:8" ht="17.100000000000001" customHeight="1" x14ac:dyDescent="0.2">
      <c r="A71" s="9">
        <v>7</v>
      </c>
      <c r="B71" s="10" t="s">
        <v>311</v>
      </c>
      <c r="C71" s="10" t="s">
        <v>312</v>
      </c>
      <c r="D71" s="10" t="s">
        <v>115</v>
      </c>
      <c r="E71" s="11">
        <v>200</v>
      </c>
      <c r="F71" s="12">
        <v>997.85699999999997</v>
      </c>
      <c r="G71" s="13">
        <v>2.1942640999999999E-2</v>
      </c>
      <c r="H71" s="12">
        <v>6.5350000000000001</v>
      </c>
    </row>
    <row r="72" spans="1:8" ht="29.1" customHeight="1" x14ac:dyDescent="0.2">
      <c r="A72" s="9">
        <v>8</v>
      </c>
      <c r="B72" s="10" t="s">
        <v>119</v>
      </c>
      <c r="C72" s="10" t="s">
        <v>120</v>
      </c>
      <c r="D72" s="10" t="s">
        <v>115</v>
      </c>
      <c r="E72" s="11">
        <v>200</v>
      </c>
      <c r="F72" s="12">
        <v>954.84699999999998</v>
      </c>
      <c r="G72" s="13">
        <v>2.0996862000000002E-2</v>
      </c>
      <c r="H72" s="12">
        <v>6.69</v>
      </c>
    </row>
    <row r="73" spans="1:8" ht="29.1" customHeight="1" x14ac:dyDescent="0.2">
      <c r="A73" s="9">
        <v>9</v>
      </c>
      <c r="B73" s="10" t="s">
        <v>313</v>
      </c>
      <c r="C73" s="10" t="s">
        <v>314</v>
      </c>
      <c r="D73" s="10" t="s">
        <v>115</v>
      </c>
      <c r="E73" s="11">
        <v>100</v>
      </c>
      <c r="F73" s="12">
        <v>492.53899999999999</v>
      </c>
      <c r="G73" s="13">
        <v>1.0830817E-2</v>
      </c>
      <c r="H73" s="12">
        <v>6.5049999999999999</v>
      </c>
    </row>
    <row r="74" spans="1:8" ht="14.1" customHeight="1" x14ac:dyDescent="0.2">
      <c r="A74" s="1"/>
      <c r="B74" s="1"/>
      <c r="C74" s="2" t="s">
        <v>11</v>
      </c>
      <c r="D74" s="1"/>
      <c r="E74" s="1" t="s">
        <v>12</v>
      </c>
      <c r="F74" s="7">
        <v>15786.4635</v>
      </c>
      <c r="G74" s="8">
        <v>0.34714063099999998</v>
      </c>
      <c r="H74" s="12"/>
    </row>
    <row r="75" spans="1:8" ht="14.1" customHeight="1" x14ac:dyDescent="0.2">
      <c r="A75" s="1"/>
      <c r="B75" s="1"/>
      <c r="C75" s="5"/>
      <c r="D75" s="1"/>
      <c r="E75" s="1"/>
      <c r="F75" s="6"/>
      <c r="G75" s="6"/>
      <c r="H75" s="12"/>
    </row>
    <row r="76" spans="1:8" ht="14.1" customHeight="1" x14ac:dyDescent="0.2">
      <c r="A76" s="1"/>
      <c r="B76" s="1"/>
      <c r="C76" s="2" t="s">
        <v>121</v>
      </c>
      <c r="D76" s="1"/>
      <c r="E76" s="1"/>
      <c r="F76" s="6"/>
      <c r="G76" s="6"/>
      <c r="H76" s="12"/>
    </row>
    <row r="77" spans="1:8" ht="17.100000000000001" customHeight="1" x14ac:dyDescent="0.2">
      <c r="A77" s="9">
        <v>1</v>
      </c>
      <c r="B77" s="10" t="s">
        <v>315</v>
      </c>
      <c r="C77" s="10" t="s">
        <v>316</v>
      </c>
      <c r="D77" s="10" t="s">
        <v>99</v>
      </c>
      <c r="E77" s="11">
        <v>500000</v>
      </c>
      <c r="F77" s="12">
        <v>494.19299999999998</v>
      </c>
      <c r="G77" s="13">
        <v>1.0867188E-2</v>
      </c>
      <c r="H77" s="12">
        <v>5.57</v>
      </c>
    </row>
    <row r="78" spans="1:8" ht="17.100000000000001" customHeight="1" x14ac:dyDescent="0.2">
      <c r="A78" s="9">
        <v>2</v>
      </c>
      <c r="B78" s="10" t="s">
        <v>317</v>
      </c>
      <c r="C78" s="10" t="s">
        <v>318</v>
      </c>
      <c r="D78" s="10" t="s">
        <v>99</v>
      </c>
      <c r="E78" s="11">
        <v>500000</v>
      </c>
      <c r="F78" s="12">
        <v>492.52350000000001</v>
      </c>
      <c r="G78" s="13">
        <v>1.0830476E-2</v>
      </c>
      <c r="H78" s="12">
        <v>5.6539999999999999</v>
      </c>
    </row>
    <row r="79" spans="1:8" ht="14.1" customHeight="1" x14ac:dyDescent="0.2">
      <c r="A79" s="1"/>
      <c r="B79" s="1"/>
      <c r="C79" s="2" t="s">
        <v>11</v>
      </c>
      <c r="D79" s="1"/>
      <c r="E79" s="1" t="s">
        <v>12</v>
      </c>
      <c r="F79" s="7">
        <v>986.7165</v>
      </c>
      <c r="G79" s="8">
        <v>2.1697663999999998E-2</v>
      </c>
      <c r="H79" s="12"/>
    </row>
    <row r="80" spans="1:8" ht="14.1" customHeight="1" x14ac:dyDescent="0.2">
      <c r="A80" s="1"/>
      <c r="B80" s="1"/>
      <c r="C80" s="5"/>
      <c r="D80" s="1"/>
      <c r="E80" s="1"/>
      <c r="F80" s="6"/>
      <c r="G80" s="6"/>
      <c r="H80" s="12"/>
    </row>
    <row r="81" spans="1:8" ht="14.1" customHeight="1" x14ac:dyDescent="0.2">
      <c r="A81" s="1"/>
      <c r="B81" s="1"/>
      <c r="C81" s="2" t="s">
        <v>122</v>
      </c>
      <c r="D81" s="1"/>
      <c r="E81" s="1"/>
      <c r="F81" s="6"/>
      <c r="G81" s="6"/>
      <c r="H81" s="12"/>
    </row>
    <row r="82" spans="1:8" ht="17.100000000000001" customHeight="1" x14ac:dyDescent="0.2">
      <c r="A82" s="9">
        <v>1</v>
      </c>
      <c r="B82" s="10"/>
      <c r="C82" s="10" t="s">
        <v>123</v>
      </c>
      <c r="D82" s="10"/>
      <c r="E82" s="14"/>
      <c r="F82" s="12">
        <v>6918.9712750999997</v>
      </c>
      <c r="G82" s="13">
        <v>0.15214655599999999</v>
      </c>
      <c r="H82" s="12">
        <v>5.4181585046733343</v>
      </c>
    </row>
    <row r="83" spans="1:8" ht="14.1" customHeight="1" x14ac:dyDescent="0.2">
      <c r="A83" s="1"/>
      <c r="B83" s="1"/>
      <c r="C83" s="2" t="s">
        <v>11</v>
      </c>
      <c r="D83" s="1"/>
      <c r="E83" s="1" t="s">
        <v>12</v>
      </c>
      <c r="F83" s="7">
        <v>6918.9712750999997</v>
      </c>
      <c r="G83" s="8">
        <v>0.15214655599999999</v>
      </c>
      <c r="H83" s="12"/>
    </row>
    <row r="84" spans="1:8" ht="14.1" customHeight="1" x14ac:dyDescent="0.2">
      <c r="A84" s="1"/>
      <c r="B84" s="1"/>
      <c r="C84" s="5"/>
      <c r="D84" s="1"/>
      <c r="E84" s="1"/>
      <c r="F84" s="6"/>
      <c r="G84" s="6"/>
      <c r="H84" s="12"/>
    </row>
    <row r="85" spans="1:8" ht="14.1" customHeight="1" x14ac:dyDescent="0.2">
      <c r="A85" s="1"/>
      <c r="B85" s="1"/>
      <c r="C85" s="2" t="s">
        <v>124</v>
      </c>
      <c r="D85" s="1"/>
      <c r="E85" s="1"/>
      <c r="F85" s="7">
        <v>34757.846775099999</v>
      </c>
      <c r="G85" s="8">
        <v>0.76431689899999999</v>
      </c>
      <c r="H85" s="12"/>
    </row>
    <row r="86" spans="1:8" ht="14.1" customHeight="1" x14ac:dyDescent="0.2">
      <c r="A86" s="1"/>
      <c r="B86" s="1"/>
      <c r="C86" s="6"/>
      <c r="D86" s="1"/>
      <c r="E86" s="1"/>
      <c r="F86" s="1"/>
      <c r="G86" s="1"/>
      <c r="H86" s="12"/>
    </row>
    <row r="87" spans="1:8" ht="14.1" customHeight="1" x14ac:dyDescent="0.2">
      <c r="A87" s="1"/>
      <c r="B87" s="1"/>
      <c r="C87" s="2" t="s">
        <v>125</v>
      </c>
      <c r="D87" s="1"/>
      <c r="E87" s="1"/>
      <c r="F87" s="1"/>
      <c r="G87" s="1"/>
      <c r="H87" s="12"/>
    </row>
    <row r="88" spans="1:8" ht="14.1" customHeight="1" x14ac:dyDescent="0.2">
      <c r="A88" s="1"/>
      <c r="B88" s="1"/>
      <c r="C88" s="2" t="s">
        <v>126</v>
      </c>
      <c r="D88" s="1"/>
      <c r="E88" s="1"/>
      <c r="F88" s="1"/>
      <c r="G88" s="1"/>
      <c r="H88" s="12"/>
    </row>
    <row r="89" spans="1:8" ht="14.1" customHeight="1" x14ac:dyDescent="0.2">
      <c r="A89" s="1"/>
      <c r="B89" s="1"/>
      <c r="C89" s="2" t="s">
        <v>11</v>
      </c>
      <c r="D89" s="1"/>
      <c r="E89" s="1" t="s">
        <v>12</v>
      </c>
      <c r="F89" s="3">
        <v>0</v>
      </c>
      <c r="G89" s="4">
        <v>0</v>
      </c>
      <c r="H89" s="12"/>
    </row>
    <row r="90" spans="1:8" ht="14.1" customHeight="1" x14ac:dyDescent="0.2">
      <c r="A90" s="1"/>
      <c r="B90" s="1"/>
      <c r="C90" s="5"/>
      <c r="D90" s="1"/>
      <c r="E90" s="1"/>
      <c r="F90" s="6"/>
      <c r="G90" s="6"/>
      <c r="H90" s="12"/>
    </row>
    <row r="91" spans="1:8" ht="14.1" customHeight="1" x14ac:dyDescent="0.2">
      <c r="A91" s="1"/>
      <c r="B91" s="1"/>
      <c r="C91" s="2" t="s">
        <v>127</v>
      </c>
      <c r="D91" s="1"/>
      <c r="E91" s="1"/>
      <c r="F91" s="1"/>
      <c r="G91" s="1"/>
      <c r="H91" s="12"/>
    </row>
    <row r="92" spans="1:8" ht="14.1" customHeight="1" x14ac:dyDescent="0.2">
      <c r="A92" s="1"/>
      <c r="B92" s="1"/>
      <c r="C92" s="2" t="s">
        <v>128</v>
      </c>
      <c r="D92" s="1"/>
      <c r="E92" s="1"/>
      <c r="F92" s="1"/>
      <c r="G92" s="1"/>
      <c r="H92" s="12"/>
    </row>
    <row r="93" spans="1:8" ht="14.1" customHeight="1" x14ac:dyDescent="0.2">
      <c r="A93" s="1"/>
      <c r="B93" s="1"/>
      <c r="C93" s="2" t="s">
        <v>11</v>
      </c>
      <c r="D93" s="1"/>
      <c r="E93" s="1" t="s">
        <v>12</v>
      </c>
      <c r="F93" s="3">
        <v>0</v>
      </c>
      <c r="G93" s="4">
        <v>0</v>
      </c>
      <c r="H93" s="12"/>
    </row>
    <row r="94" spans="1:8" ht="14.1" customHeight="1" x14ac:dyDescent="0.2">
      <c r="A94" s="1"/>
      <c r="B94" s="1"/>
      <c r="C94" s="5"/>
      <c r="D94" s="1"/>
      <c r="E94" s="1"/>
      <c r="F94" s="6"/>
      <c r="G94" s="6"/>
      <c r="H94" s="12"/>
    </row>
    <row r="95" spans="1:8" ht="24" customHeight="1" x14ac:dyDescent="0.2">
      <c r="A95" s="1"/>
      <c r="B95" s="1"/>
      <c r="C95" s="2" t="s">
        <v>129</v>
      </c>
      <c r="D95" s="1"/>
      <c r="E95" s="1"/>
      <c r="F95" s="6"/>
      <c r="G95" s="6"/>
      <c r="H95" s="12"/>
    </row>
    <row r="96" spans="1:8" ht="14.1" customHeight="1" x14ac:dyDescent="0.2">
      <c r="A96" s="1"/>
      <c r="B96" s="1"/>
      <c r="C96" s="2" t="s">
        <v>11</v>
      </c>
      <c r="D96" s="1"/>
      <c r="E96" s="1" t="s">
        <v>12</v>
      </c>
      <c r="F96" s="3">
        <v>0</v>
      </c>
      <c r="G96" s="4">
        <v>0</v>
      </c>
      <c r="H96" s="12"/>
    </row>
    <row r="97" spans="1:8" ht="14.1" customHeight="1" x14ac:dyDescent="0.2">
      <c r="A97" s="1"/>
      <c r="B97" s="1"/>
      <c r="C97" s="5"/>
      <c r="D97" s="1"/>
      <c r="E97" s="1"/>
      <c r="F97" s="6"/>
      <c r="G97" s="6"/>
      <c r="H97" s="12"/>
    </row>
    <row r="98" spans="1:8" ht="14.1" customHeight="1" x14ac:dyDescent="0.2">
      <c r="A98" s="1"/>
      <c r="B98" s="10"/>
      <c r="C98" s="10"/>
      <c r="D98" s="2"/>
      <c r="E98" s="1"/>
      <c r="F98" s="10"/>
      <c r="G98" s="14"/>
      <c r="H98" s="12"/>
    </row>
    <row r="99" spans="1:8" ht="18" customHeight="1" x14ac:dyDescent="0.2">
      <c r="A99" s="14"/>
      <c r="B99" s="10"/>
      <c r="C99" s="10" t="s">
        <v>130</v>
      </c>
      <c r="D99" s="10"/>
      <c r="E99" s="14"/>
      <c r="F99" s="12">
        <v>-93.301302960000001</v>
      </c>
      <c r="G99" s="13">
        <v>-2.0516739999999999E-3</v>
      </c>
      <c r="H99" s="12"/>
    </row>
    <row r="100" spans="1:8" ht="14.1" customHeight="1" x14ac:dyDescent="0.2">
      <c r="A100" s="5"/>
      <c r="B100" s="5"/>
      <c r="C100" s="2" t="s">
        <v>131</v>
      </c>
      <c r="D100" s="6"/>
      <c r="E100" s="6"/>
      <c r="F100" s="7">
        <v>45475.701014780003</v>
      </c>
      <c r="G100" s="8">
        <v>0.99999999799999995</v>
      </c>
      <c r="H100" s="12"/>
    </row>
    <row r="101" spans="1:8" ht="14.1" customHeight="1" x14ac:dyDescent="0.2">
      <c r="A101" s="15"/>
      <c r="B101" s="15"/>
      <c r="C101" s="15"/>
      <c r="D101" s="16"/>
      <c r="E101" s="16"/>
      <c r="F101" s="16"/>
      <c r="G101" s="16"/>
    </row>
    <row r="102" spans="1:8" ht="17.100000000000001" customHeight="1" x14ac:dyDescent="0.2">
      <c r="A102" s="17"/>
      <c r="B102" s="101" t="s">
        <v>132</v>
      </c>
      <c r="C102" s="101"/>
      <c r="D102" s="101"/>
      <c r="E102" s="101"/>
      <c r="F102" s="101"/>
      <c r="G102" s="19"/>
    </row>
    <row r="103" spans="1:8" ht="17.100000000000001" customHeight="1" x14ac:dyDescent="0.2">
      <c r="A103" s="17"/>
      <c r="B103" s="101" t="s">
        <v>133</v>
      </c>
      <c r="C103" s="101"/>
      <c r="D103" s="101"/>
      <c r="E103" s="101"/>
      <c r="F103" s="101"/>
      <c r="G103" s="19"/>
    </row>
    <row r="104" spans="1:8" ht="14.1" customHeight="1" x14ac:dyDescent="0.2">
      <c r="A104" s="17"/>
      <c r="B104" s="17"/>
      <c r="C104" s="17"/>
      <c r="D104" s="19"/>
      <c r="E104" s="19"/>
      <c r="F104" s="19"/>
      <c r="G104" s="19"/>
    </row>
    <row r="105" spans="1:8" ht="14.1" customHeight="1" x14ac:dyDescent="0.2">
      <c r="A105" s="17"/>
      <c r="B105" s="102" t="s">
        <v>134</v>
      </c>
      <c r="C105" s="103"/>
      <c r="D105" s="104"/>
      <c r="E105" s="20"/>
      <c r="F105" s="19"/>
      <c r="G105" s="19"/>
    </row>
    <row r="106" spans="1:8" ht="29.1" customHeight="1" x14ac:dyDescent="0.2">
      <c r="A106" s="17"/>
      <c r="B106" s="97" t="s">
        <v>135</v>
      </c>
      <c r="C106" s="98"/>
      <c r="D106" s="2" t="s">
        <v>496</v>
      </c>
      <c r="E106" s="20"/>
      <c r="F106" s="19"/>
      <c r="G106" s="19"/>
    </row>
    <row r="107" spans="1:8" ht="17.100000000000001" customHeight="1" x14ac:dyDescent="0.2">
      <c r="A107" s="17"/>
      <c r="B107" s="97" t="s">
        <v>137</v>
      </c>
      <c r="C107" s="98"/>
      <c r="D107" s="2" t="s">
        <v>136</v>
      </c>
      <c r="E107" s="20"/>
      <c r="F107" s="19"/>
      <c r="G107" s="19"/>
    </row>
    <row r="108" spans="1:8" ht="17.100000000000001" customHeight="1" x14ac:dyDescent="0.2">
      <c r="A108" s="17"/>
      <c r="B108" s="97" t="s">
        <v>138</v>
      </c>
      <c r="C108" s="98"/>
      <c r="D108" s="6" t="s">
        <v>12</v>
      </c>
      <c r="E108" s="20"/>
      <c r="F108" s="19"/>
      <c r="G108" s="19"/>
    </row>
    <row r="109" spans="1:8" ht="24" customHeight="1" x14ac:dyDescent="0.2">
      <c r="A109" s="21"/>
      <c r="B109" s="22" t="s">
        <v>12</v>
      </c>
      <c r="C109" s="22" t="s">
        <v>139</v>
      </c>
      <c r="D109" s="22" t="s">
        <v>140</v>
      </c>
      <c r="E109" s="21"/>
      <c r="F109" s="21"/>
      <c r="G109" s="21"/>
    </row>
    <row r="110" spans="1:8" ht="18" customHeight="1" x14ac:dyDescent="0.2">
      <c r="A110" s="21"/>
      <c r="B110" s="23" t="s">
        <v>141</v>
      </c>
      <c r="C110" s="22" t="s">
        <v>142</v>
      </c>
      <c r="D110" s="22" t="s">
        <v>143</v>
      </c>
      <c r="E110" s="21"/>
      <c r="F110" s="21"/>
      <c r="G110" s="21"/>
    </row>
    <row r="111" spans="1:8" ht="17.100000000000001" customHeight="1" x14ac:dyDescent="0.2">
      <c r="A111" s="21"/>
      <c r="B111" s="10" t="s">
        <v>144</v>
      </c>
      <c r="C111" s="24">
        <v>2992.4313000000002</v>
      </c>
      <c r="D111" s="24">
        <v>3008.0378000000001</v>
      </c>
      <c r="E111" s="21"/>
      <c r="F111" s="18"/>
      <c r="G111" s="25"/>
    </row>
    <row r="112" spans="1:8" ht="29.1" customHeight="1" x14ac:dyDescent="0.2">
      <c r="A112" s="21"/>
      <c r="B112" s="10" t="s">
        <v>530</v>
      </c>
      <c r="C112" s="24">
        <v>986.33199999999999</v>
      </c>
      <c r="D112" s="24">
        <v>991.46960000000001</v>
      </c>
      <c r="E112" s="21"/>
      <c r="F112" s="18"/>
      <c r="G112" s="25"/>
    </row>
    <row r="113" spans="1:15" ht="29.1" customHeight="1" x14ac:dyDescent="0.2">
      <c r="A113" s="21"/>
      <c r="B113" s="10" t="s">
        <v>531</v>
      </c>
      <c r="C113" s="24">
        <v>984.85270000000003</v>
      </c>
      <c r="D113" s="24">
        <v>989.98260000000005</v>
      </c>
      <c r="E113" s="21"/>
      <c r="F113" s="18"/>
      <c r="G113" s="25"/>
    </row>
    <row r="114" spans="1:15" ht="29.1" customHeight="1" x14ac:dyDescent="0.2">
      <c r="A114" s="21"/>
      <c r="B114" s="10" t="s">
        <v>535</v>
      </c>
      <c r="C114" s="24">
        <v>1095.2662</v>
      </c>
      <c r="D114" s="24">
        <v>1095.6451999999999</v>
      </c>
      <c r="E114" s="21"/>
      <c r="F114" s="18"/>
      <c r="G114" s="25"/>
    </row>
    <row r="115" spans="1:15" ht="29.1" customHeight="1" x14ac:dyDescent="0.2">
      <c r="A115" s="21"/>
      <c r="B115" s="10" t="s">
        <v>521</v>
      </c>
      <c r="C115" s="24">
        <v>1096.4389000000001</v>
      </c>
      <c r="D115" s="24">
        <v>1097.1214</v>
      </c>
      <c r="E115" s="21"/>
      <c r="F115" s="18"/>
      <c r="G115" s="25"/>
    </row>
    <row r="116" spans="1:15" ht="29.1" customHeight="1" x14ac:dyDescent="0.2">
      <c r="A116" s="21"/>
      <c r="B116" s="10" t="s">
        <v>522</v>
      </c>
      <c r="C116" s="24">
        <v>1103.8728000000001</v>
      </c>
      <c r="D116" s="24">
        <v>1109.6225999999999</v>
      </c>
      <c r="E116" s="21"/>
      <c r="F116" s="18"/>
      <c r="G116" s="25"/>
    </row>
    <row r="117" spans="1:15" ht="17.100000000000001" customHeight="1" x14ac:dyDescent="0.2">
      <c r="A117" s="21"/>
      <c r="B117" s="10" t="s">
        <v>145</v>
      </c>
      <c r="C117" s="24">
        <v>2853.2654000000002</v>
      </c>
      <c r="D117" s="24">
        <v>2866.5437000000002</v>
      </c>
      <c r="E117" s="21"/>
      <c r="F117" s="18"/>
      <c r="G117" s="25"/>
    </row>
    <row r="118" spans="1:15" ht="17.100000000000001" customHeight="1" x14ac:dyDescent="0.2">
      <c r="A118" s="21"/>
      <c r="B118" s="10" t="s">
        <v>191</v>
      </c>
      <c r="C118" s="24">
        <v>1104.9961000000001</v>
      </c>
      <c r="D118" s="24">
        <v>1110.1387999999999</v>
      </c>
      <c r="E118" s="21"/>
      <c r="F118" s="18"/>
      <c r="G118" s="25"/>
    </row>
    <row r="119" spans="1:15" ht="29.1" customHeight="1" x14ac:dyDescent="0.2">
      <c r="A119" s="21"/>
      <c r="B119" s="10" t="s">
        <v>533</v>
      </c>
      <c r="C119" s="24">
        <v>974.14419999999996</v>
      </c>
      <c r="D119" s="24">
        <v>978.678</v>
      </c>
      <c r="E119" s="21"/>
      <c r="F119" s="18"/>
      <c r="G119" s="25"/>
    </row>
    <row r="120" spans="1:15" ht="29.1" customHeight="1" x14ac:dyDescent="0.2">
      <c r="A120" s="21"/>
      <c r="B120" s="10" t="s">
        <v>534</v>
      </c>
      <c r="C120" s="24">
        <v>974.32619999999997</v>
      </c>
      <c r="D120" s="24">
        <v>978.86080000000004</v>
      </c>
      <c r="E120" s="21"/>
      <c r="F120" s="18"/>
      <c r="G120" s="25"/>
    </row>
    <row r="121" spans="1:15" ht="29.1" customHeight="1" x14ac:dyDescent="0.2">
      <c r="A121" s="21"/>
      <c r="B121" s="10" t="s">
        <v>536</v>
      </c>
      <c r="C121" s="24">
        <v>1085.5284999999999</v>
      </c>
      <c r="D121" s="24">
        <v>1085.8479</v>
      </c>
      <c r="E121" s="21"/>
      <c r="F121" s="18"/>
      <c r="G121" s="25"/>
    </row>
    <row r="122" spans="1:15" ht="29.1" customHeight="1" x14ac:dyDescent="0.2">
      <c r="A122" s="21"/>
      <c r="B122" s="10" t="s">
        <v>525</v>
      </c>
      <c r="C122" s="24">
        <v>1086.4170999999999</v>
      </c>
      <c r="D122" s="24">
        <v>1087.1318000000001</v>
      </c>
      <c r="E122" s="21"/>
      <c r="F122" s="18"/>
      <c r="G122" s="25"/>
      <c r="O122" s="40"/>
    </row>
    <row r="123" spans="1:15" ht="29.1" customHeight="1" x14ac:dyDescent="0.2">
      <c r="A123" s="21"/>
      <c r="B123" s="10" t="s">
        <v>526</v>
      </c>
      <c r="C123" s="24">
        <v>1089.9006999999999</v>
      </c>
      <c r="D123" s="24">
        <v>1094.9730999999999</v>
      </c>
      <c r="E123" s="21"/>
      <c r="F123" s="18"/>
      <c r="G123" s="25"/>
    </row>
    <row r="124" spans="1:15" ht="14.1" customHeight="1" x14ac:dyDescent="0.2">
      <c r="A124" s="21"/>
      <c r="B124" s="21"/>
      <c r="C124" s="21"/>
      <c r="D124" s="21"/>
      <c r="E124" s="21"/>
      <c r="F124" s="21"/>
      <c r="G124" s="21"/>
    </row>
    <row r="125" spans="1:15" ht="17.100000000000001" customHeight="1" x14ac:dyDescent="0.2">
      <c r="A125" s="21"/>
      <c r="B125" s="97" t="s">
        <v>529</v>
      </c>
      <c r="C125" s="98"/>
      <c r="D125" s="2" t="s">
        <v>12</v>
      </c>
      <c r="E125" s="21"/>
      <c r="F125" s="21"/>
      <c r="G125" s="21"/>
    </row>
    <row r="126" spans="1:15" ht="18" customHeight="1" x14ac:dyDescent="0.2">
      <c r="A126" s="21"/>
      <c r="B126" s="26" t="s">
        <v>141</v>
      </c>
      <c r="C126" s="27" t="s">
        <v>146</v>
      </c>
      <c r="D126" s="27" t="s">
        <v>147</v>
      </c>
      <c r="E126" s="21"/>
      <c r="F126" s="21"/>
      <c r="G126" s="21"/>
    </row>
    <row r="127" spans="1:15" ht="29.1" customHeight="1" x14ac:dyDescent="0.2">
      <c r="A127" s="21"/>
      <c r="B127" s="10" t="s">
        <v>535</v>
      </c>
      <c r="C127" s="28">
        <v>5.3167</v>
      </c>
      <c r="D127" s="14" t="s">
        <v>148</v>
      </c>
      <c r="E127" s="21"/>
      <c r="F127" s="18"/>
      <c r="G127" s="25"/>
    </row>
    <row r="128" spans="1:15" ht="29.1" customHeight="1" x14ac:dyDescent="0.2">
      <c r="A128" s="21"/>
      <c r="B128" s="10" t="s">
        <v>521</v>
      </c>
      <c r="C128" s="28">
        <v>5.0198</v>
      </c>
      <c r="D128" s="28">
        <v>5.0198</v>
      </c>
      <c r="E128" s="21"/>
      <c r="F128" s="18"/>
      <c r="G128" s="25"/>
    </row>
    <row r="129" spans="1:16" ht="29.1" customHeight="1" x14ac:dyDescent="0.2">
      <c r="A129" s="21"/>
      <c r="B129" s="10" t="s">
        <v>536</v>
      </c>
      <c r="C129" s="28">
        <v>4.7248000000000001</v>
      </c>
      <c r="D129" s="14" t="s">
        <v>148</v>
      </c>
      <c r="E129" s="21"/>
      <c r="F129" s="18"/>
      <c r="G129" s="25"/>
    </row>
    <row r="130" spans="1:16" ht="29.1" customHeight="1" x14ac:dyDescent="0.2">
      <c r="A130" s="21"/>
      <c r="B130" s="10" t="s">
        <v>525</v>
      </c>
      <c r="C130" s="28">
        <v>4.3350999999999997</v>
      </c>
      <c r="D130" s="28">
        <v>4.3350999999999997</v>
      </c>
      <c r="E130" s="21"/>
      <c r="F130" s="18"/>
      <c r="G130" s="25"/>
    </row>
    <row r="131" spans="1:16" ht="14.1" customHeight="1" x14ac:dyDescent="0.2">
      <c r="A131" s="21"/>
      <c r="B131" s="29"/>
      <c r="C131" s="29"/>
      <c r="D131" s="30"/>
      <c r="E131" s="21"/>
      <c r="F131" s="18"/>
      <c r="G131" s="25"/>
    </row>
    <row r="132" spans="1:16" ht="17.100000000000001" customHeight="1" x14ac:dyDescent="0.2">
      <c r="A132" s="21"/>
      <c r="B132" s="97" t="s">
        <v>464</v>
      </c>
      <c r="C132" s="98"/>
      <c r="D132" s="2" t="s">
        <v>136</v>
      </c>
      <c r="G132" s="25"/>
    </row>
    <row r="133" spans="1:16" ht="29.1" customHeight="1" x14ac:dyDescent="0.2">
      <c r="A133" s="21"/>
      <c r="B133" s="97" t="s">
        <v>465</v>
      </c>
      <c r="C133" s="98"/>
      <c r="D133" s="2" t="s">
        <v>136</v>
      </c>
      <c r="E133" s="31"/>
      <c r="F133" s="21"/>
      <c r="G133" s="21"/>
    </row>
    <row r="134" spans="1:16" ht="29.1" customHeight="1" x14ac:dyDescent="0.2">
      <c r="A134" s="21"/>
      <c r="B134" s="97" t="s">
        <v>466</v>
      </c>
      <c r="C134" s="98"/>
      <c r="D134" s="2" t="s">
        <v>136</v>
      </c>
      <c r="E134" s="31"/>
      <c r="F134" s="21"/>
      <c r="G134" s="21"/>
    </row>
    <row r="135" spans="1:16" ht="17.100000000000001" customHeight="1" x14ac:dyDescent="0.2">
      <c r="A135" s="21"/>
      <c r="B135" s="97" t="s">
        <v>467</v>
      </c>
      <c r="C135" s="98"/>
      <c r="D135" s="32">
        <v>0.82239655444637949</v>
      </c>
      <c r="E135" s="31"/>
      <c r="F135" s="21"/>
      <c r="G135" s="21"/>
    </row>
    <row r="136" spans="1:16" ht="17.100000000000001" customHeight="1" x14ac:dyDescent="0.2">
      <c r="A136" s="21"/>
      <c r="B136" s="97" t="s">
        <v>468</v>
      </c>
      <c r="C136" s="98"/>
      <c r="D136" s="32">
        <v>0.6065705782763946</v>
      </c>
      <c r="E136" s="31"/>
      <c r="F136" s="21"/>
      <c r="G136" s="21"/>
    </row>
    <row r="137" spans="1:16" ht="17.100000000000001" customHeight="1" x14ac:dyDescent="0.2">
      <c r="A137" s="21"/>
      <c r="B137" s="97" t="s">
        <v>469</v>
      </c>
      <c r="C137" s="98"/>
      <c r="D137" s="2" t="s">
        <v>136</v>
      </c>
      <c r="E137" s="31"/>
      <c r="F137" s="21"/>
      <c r="G137" s="21"/>
    </row>
    <row r="138" spans="1:16" ht="14.1" customHeight="1" x14ac:dyDescent="0.2">
      <c r="A138" s="21"/>
      <c r="B138" s="105"/>
      <c r="C138" s="105"/>
      <c r="D138" s="30"/>
      <c r="E138" s="21"/>
      <c r="F138" s="18"/>
      <c r="G138" s="25"/>
    </row>
    <row r="139" spans="1:16" x14ac:dyDescent="0.2">
      <c r="B139" s="41" t="s">
        <v>516</v>
      </c>
      <c r="C139" s="41"/>
      <c r="D139" s="41"/>
      <c r="E139" s="41"/>
      <c r="F139" s="41"/>
      <c r="G139" s="41"/>
      <c r="H139" s="41"/>
    </row>
    <row r="140" spans="1:16" x14ac:dyDescent="0.2">
      <c r="B140" s="42"/>
      <c r="C140" s="42"/>
      <c r="D140" s="42"/>
      <c r="E140" s="42"/>
      <c r="F140" s="42"/>
      <c r="G140" s="42"/>
      <c r="H140" s="42"/>
    </row>
    <row r="141" spans="1:16" ht="51" x14ac:dyDescent="0.2">
      <c r="A141" s="43"/>
      <c r="B141" s="44" t="s">
        <v>470</v>
      </c>
      <c r="C141" s="44" t="s">
        <v>471</v>
      </c>
      <c r="D141" s="44" t="s">
        <v>472</v>
      </c>
      <c r="E141" s="44" t="s">
        <v>473</v>
      </c>
      <c r="F141" s="44" t="s">
        <v>474</v>
      </c>
      <c r="G141" s="42"/>
      <c r="H141" s="42"/>
      <c r="P141" s="40"/>
    </row>
    <row r="142" spans="1:16" x14ac:dyDescent="0.2">
      <c r="A142" s="45"/>
      <c r="B142" s="46" t="s">
        <v>475</v>
      </c>
      <c r="C142" s="46" t="s">
        <v>476</v>
      </c>
      <c r="D142" s="47">
        <v>0</v>
      </c>
      <c r="E142" s="48">
        <v>0</v>
      </c>
      <c r="F142" s="49">
        <v>300</v>
      </c>
      <c r="G142" s="42"/>
      <c r="H142" s="42"/>
      <c r="P142" s="40"/>
    </row>
    <row r="143" spans="1:16" x14ac:dyDescent="0.2">
      <c r="A143" s="33"/>
      <c r="B143" s="33"/>
      <c r="C143" s="33"/>
      <c r="D143" s="33"/>
      <c r="E143" s="33"/>
      <c r="F143" s="33"/>
      <c r="G143" s="33"/>
      <c r="P143" s="40"/>
    </row>
    <row r="144" spans="1:16" x14ac:dyDescent="0.2">
      <c r="B144" s="50" t="s">
        <v>477</v>
      </c>
      <c r="C144" s="50" t="s">
        <v>478</v>
      </c>
      <c r="D144" s="112" t="s">
        <v>472</v>
      </c>
      <c r="E144" s="112"/>
      <c r="F144" s="112"/>
      <c r="G144" s="108" t="s">
        <v>473</v>
      </c>
      <c r="H144" s="108"/>
      <c r="P144" s="40"/>
    </row>
    <row r="145" spans="2:16" ht="25.5" x14ac:dyDescent="0.2">
      <c r="B145" s="51" t="s">
        <v>479</v>
      </c>
      <c r="C145" s="52" t="s">
        <v>480</v>
      </c>
      <c r="D145" s="106">
        <v>0</v>
      </c>
      <c r="E145" s="106"/>
      <c r="F145" s="106"/>
      <c r="G145" s="106">
        <v>0</v>
      </c>
      <c r="H145" s="106"/>
      <c r="P145" s="40"/>
    </row>
    <row r="146" spans="2:16" ht="25.5" x14ac:dyDescent="0.2">
      <c r="B146" s="51" t="s">
        <v>481</v>
      </c>
      <c r="C146" s="52" t="s">
        <v>482</v>
      </c>
      <c r="D146" s="106">
        <v>0</v>
      </c>
      <c r="E146" s="106"/>
      <c r="F146" s="106"/>
      <c r="G146" s="106">
        <v>0</v>
      </c>
      <c r="H146" s="106"/>
      <c r="P146" s="40"/>
    </row>
    <row r="147" spans="2:16" ht="25.5" x14ac:dyDescent="0.2">
      <c r="B147" s="51" t="s">
        <v>483</v>
      </c>
      <c r="C147" s="52" t="s">
        <v>484</v>
      </c>
      <c r="D147" s="106">
        <v>0</v>
      </c>
      <c r="E147" s="106"/>
      <c r="F147" s="106"/>
      <c r="G147" s="106">
        <v>0</v>
      </c>
      <c r="H147" s="106"/>
      <c r="J147"/>
      <c r="K147"/>
      <c r="L147"/>
      <c r="M147"/>
      <c r="N147"/>
      <c r="P147" s="40"/>
    </row>
    <row r="148" spans="2:16" x14ac:dyDescent="0.2">
      <c r="P148" s="40"/>
    </row>
    <row r="149" spans="2:16" x14ac:dyDescent="0.2">
      <c r="B149" s="108" t="s">
        <v>485</v>
      </c>
      <c r="C149" s="108"/>
      <c r="D149" s="108"/>
      <c r="E149" s="108"/>
      <c r="F149" s="108"/>
      <c r="G149" s="108"/>
      <c r="H149" s="108"/>
      <c r="P149" s="40"/>
    </row>
    <row r="150" spans="2:16" x14ac:dyDescent="0.2">
      <c r="B150" s="109" t="s">
        <v>477</v>
      </c>
      <c r="C150" s="109" t="s">
        <v>478</v>
      </c>
      <c r="D150" s="109" t="s">
        <v>486</v>
      </c>
      <c r="E150" s="109"/>
      <c r="F150" s="109"/>
      <c r="G150" s="109"/>
      <c r="H150" s="110" t="s">
        <v>487</v>
      </c>
      <c r="P150" s="40"/>
    </row>
    <row r="151" spans="2:16" ht="63.75" x14ac:dyDescent="0.2">
      <c r="B151" s="109"/>
      <c r="C151" s="109"/>
      <c r="D151" s="53" t="s">
        <v>488</v>
      </c>
      <c r="E151" s="53" t="s">
        <v>489</v>
      </c>
      <c r="F151" s="53" t="s">
        <v>490</v>
      </c>
      <c r="G151" s="53" t="s">
        <v>491</v>
      </c>
      <c r="H151" s="111"/>
      <c r="P151" s="40"/>
    </row>
    <row r="152" spans="2:16" ht="25.5" x14ac:dyDescent="0.2">
      <c r="B152" s="51" t="s">
        <v>479</v>
      </c>
      <c r="C152" s="52" t="s">
        <v>480</v>
      </c>
      <c r="D152" s="54">
        <v>1500</v>
      </c>
      <c r="E152" s="54">
        <v>99.850684900000005</v>
      </c>
      <c r="F152" s="55">
        <v>36.275342200000004</v>
      </c>
      <c r="G152" s="56">
        <v>1636.1260271000001</v>
      </c>
      <c r="H152" s="57">
        <v>726.67232000000001</v>
      </c>
      <c r="P152" s="40"/>
    </row>
    <row r="153" spans="2:16" ht="25.5" x14ac:dyDescent="0.2">
      <c r="B153" s="51" t="s">
        <v>481</v>
      </c>
      <c r="C153" s="52" t="s">
        <v>482</v>
      </c>
      <c r="D153" s="54">
        <v>2517.2199999999998</v>
      </c>
      <c r="E153" s="54">
        <v>183.25361600000002</v>
      </c>
      <c r="F153" s="55">
        <v>45.813405699999997</v>
      </c>
      <c r="G153" s="56">
        <v>2746.2870217</v>
      </c>
      <c r="H153" s="57">
        <v>1225.53333</v>
      </c>
      <c r="I153" s="40"/>
      <c r="O153" s="40"/>
      <c r="P153" s="40"/>
    </row>
    <row r="154" spans="2:16" ht="25.5" x14ac:dyDescent="0.2">
      <c r="B154" s="51" t="s">
        <v>483</v>
      </c>
      <c r="C154" s="52" t="s">
        <v>484</v>
      </c>
      <c r="D154" s="54">
        <v>4882.25</v>
      </c>
      <c r="E154" s="54">
        <v>323.21163799999999</v>
      </c>
      <c r="F154" s="55">
        <v>117.42144879999999</v>
      </c>
      <c r="G154" s="56">
        <v>5322.8830868000005</v>
      </c>
      <c r="H154" s="57">
        <v>2364.0489899999998</v>
      </c>
      <c r="P154" s="40"/>
    </row>
    <row r="155" spans="2:16" x14ac:dyDescent="0.2">
      <c r="P155" s="40"/>
    </row>
    <row r="156" spans="2:16" s="58" customFormat="1" ht="27.75" customHeight="1" x14ac:dyDescent="0.25">
      <c r="B156" s="107" t="s">
        <v>492</v>
      </c>
      <c r="C156" s="107"/>
      <c r="D156" s="107"/>
      <c r="E156" s="107"/>
      <c r="F156" s="107"/>
      <c r="G156" s="107"/>
      <c r="H156" s="107"/>
      <c r="I156"/>
      <c r="J156" s="40"/>
      <c r="K156" s="40"/>
      <c r="L156" s="40"/>
      <c r="M156" s="40"/>
      <c r="N156" s="40"/>
      <c r="O156"/>
    </row>
    <row r="157" spans="2:16" x14ac:dyDescent="0.2">
      <c r="P157" s="40"/>
    </row>
    <row r="158" spans="2:16" x14ac:dyDescent="0.2">
      <c r="B158" s="59" t="s">
        <v>493</v>
      </c>
      <c r="P158" s="40"/>
    </row>
    <row r="159" spans="2:16" ht="15" x14ac:dyDescent="0.25">
      <c r="B159" s="40"/>
      <c r="C159" s="40"/>
      <c r="D159" s="40"/>
      <c r="E159" s="40"/>
      <c r="F159" s="40"/>
      <c r="G159" s="40"/>
      <c r="H159" s="40"/>
      <c r="I159" s="61"/>
      <c r="P159" s="40"/>
    </row>
    <row r="160" spans="2:16" x14ac:dyDescent="0.2">
      <c r="B160" s="60" t="s">
        <v>494</v>
      </c>
      <c r="C160" s="40"/>
      <c r="D160" s="40"/>
      <c r="E160" s="40"/>
      <c r="F160" s="40"/>
      <c r="G160" s="40"/>
      <c r="H160" s="40"/>
      <c r="P160" s="40"/>
    </row>
    <row r="161" spans="2:16" x14ac:dyDescent="0.2">
      <c r="B161" s="40"/>
      <c r="C161" s="40"/>
      <c r="D161" s="40"/>
      <c r="E161" s="40"/>
      <c r="F161" s="40"/>
      <c r="G161" s="40"/>
      <c r="H161" s="40"/>
      <c r="O161" s="40"/>
      <c r="P161" s="40"/>
    </row>
    <row r="162" spans="2:16" x14ac:dyDescent="0.2">
      <c r="B162" s="60" t="s">
        <v>495</v>
      </c>
      <c r="C162" s="40"/>
      <c r="D162" s="40"/>
      <c r="E162" s="40"/>
      <c r="F162" s="40"/>
      <c r="G162" s="40"/>
      <c r="H162" s="40"/>
      <c r="I162" s="40"/>
      <c r="O162" s="40"/>
      <c r="P162" s="40"/>
    </row>
    <row r="163" spans="2:16" x14ac:dyDescent="0.2">
      <c r="I163" s="40"/>
      <c r="O163" s="40"/>
    </row>
    <row r="164" spans="2:16" x14ac:dyDescent="0.2">
      <c r="I164" s="40"/>
      <c r="O164" s="40"/>
    </row>
    <row r="165" spans="2:16" x14ac:dyDescent="0.2">
      <c r="I165" s="40"/>
      <c r="O165" s="40"/>
    </row>
    <row r="166" spans="2:16" x14ac:dyDescent="0.2">
      <c r="I166" s="40"/>
      <c r="O166" s="40"/>
    </row>
    <row r="167" spans="2:16" x14ac:dyDescent="0.2">
      <c r="O167" s="40"/>
    </row>
    <row r="168" spans="2:16" x14ac:dyDescent="0.2">
      <c r="O168" s="40"/>
    </row>
    <row r="169" spans="2:16" x14ac:dyDescent="0.2">
      <c r="O169" s="40"/>
    </row>
    <row r="170" spans="2:16" x14ac:dyDescent="0.2">
      <c r="O170" s="40"/>
    </row>
    <row r="171" spans="2:16" x14ac:dyDescent="0.2">
      <c r="O171" s="40"/>
    </row>
    <row r="172" spans="2:16" x14ac:dyDescent="0.2">
      <c r="O172" s="40"/>
    </row>
    <row r="173" spans="2:16" x14ac:dyDescent="0.2">
      <c r="O173" s="40"/>
    </row>
    <row r="174" spans="2:16" x14ac:dyDescent="0.2">
      <c r="O174" s="40"/>
    </row>
    <row r="175" spans="2:16" x14ac:dyDescent="0.2">
      <c r="O175" s="40"/>
    </row>
    <row r="176" spans="2:16" x14ac:dyDescent="0.2">
      <c r="O176" s="40"/>
    </row>
    <row r="177" spans="15:15" x14ac:dyDescent="0.2">
      <c r="O177" s="40"/>
    </row>
    <row r="178" spans="15:15" x14ac:dyDescent="0.2">
      <c r="O178" s="40"/>
    </row>
    <row r="179" spans="15:15" x14ac:dyDescent="0.2">
      <c r="O179" s="40"/>
    </row>
    <row r="180" spans="15:15" x14ac:dyDescent="0.2">
      <c r="O180" s="40"/>
    </row>
    <row r="181" spans="15:15" x14ac:dyDescent="0.2">
      <c r="O181" s="40"/>
    </row>
    <row r="182" spans="15:15" x14ac:dyDescent="0.2">
      <c r="O182" s="40"/>
    </row>
    <row r="183" spans="15:15" x14ac:dyDescent="0.2">
      <c r="O183" s="40"/>
    </row>
    <row r="184" spans="15:15" x14ac:dyDescent="0.2">
      <c r="O184" s="40"/>
    </row>
    <row r="185" spans="15:15" x14ac:dyDescent="0.2">
      <c r="O185" s="40"/>
    </row>
  </sheetData>
  <mergeCells count="32">
    <mergeCell ref="B135:C135"/>
    <mergeCell ref="D146:F146"/>
    <mergeCell ref="G146:H146"/>
    <mergeCell ref="B156:H156"/>
    <mergeCell ref="D147:F147"/>
    <mergeCell ref="G147:H147"/>
    <mergeCell ref="B149:H149"/>
    <mergeCell ref="B150:B151"/>
    <mergeCell ref="C150:C151"/>
    <mergeCell ref="D150:G150"/>
    <mergeCell ref="H150:H151"/>
    <mergeCell ref="D144:F144"/>
    <mergeCell ref="G144:H144"/>
    <mergeCell ref="D145:F145"/>
    <mergeCell ref="G145:H145"/>
    <mergeCell ref="B136:C136"/>
    <mergeCell ref="B137:C137"/>
    <mergeCell ref="B138:C138"/>
    <mergeCell ref="J2:N2"/>
    <mergeCell ref="A1:H1"/>
    <mergeCell ref="A2:H2"/>
    <mergeCell ref="A3:H3"/>
    <mergeCell ref="B134:C134"/>
    <mergeCell ref="B133:C133"/>
    <mergeCell ref="B102:F102"/>
    <mergeCell ref="B103:F103"/>
    <mergeCell ref="B132:C132"/>
    <mergeCell ref="B105:D105"/>
    <mergeCell ref="B106:C106"/>
    <mergeCell ref="B107:C107"/>
    <mergeCell ref="B108:C108"/>
    <mergeCell ref="B125:C125"/>
  </mergeCells>
  <hyperlinks>
    <hyperlink ref="B160" r:id="rId1" xr:uid="{1FC10280-E74E-481A-B472-CC1C9529A8E4}"/>
    <hyperlink ref="B162" r:id="rId2" xr:uid="{48FAB1BD-563D-4C2A-AD35-C48C69CF0AB3}"/>
    <hyperlink ref="I1" location="Index!B5" display="Index" xr:uid="{95184280-89F9-4B79-9024-20A406963C9B}"/>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5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0" t="s">
        <v>0</v>
      </c>
      <c r="B1" s="100"/>
      <c r="C1" s="100"/>
      <c r="D1" s="100"/>
      <c r="E1" s="100"/>
      <c r="F1" s="100"/>
      <c r="G1" s="100"/>
      <c r="H1" s="100"/>
      <c r="I1" s="90" t="s">
        <v>544</v>
      </c>
    </row>
    <row r="2" spans="1:14" ht="17.100000000000001" customHeight="1" x14ac:dyDescent="0.2">
      <c r="A2" s="100" t="s">
        <v>540</v>
      </c>
      <c r="B2" s="100"/>
      <c r="C2" s="100"/>
      <c r="D2" s="100"/>
      <c r="E2" s="100"/>
      <c r="F2" s="100"/>
      <c r="G2" s="100"/>
      <c r="H2" s="100"/>
      <c r="J2" s="113" t="s">
        <v>545</v>
      </c>
      <c r="K2" s="113"/>
      <c r="L2" s="113"/>
      <c r="M2" s="113"/>
      <c r="N2" s="113"/>
    </row>
    <row r="3" spans="1:14" ht="21" customHeight="1" x14ac:dyDescent="0.2">
      <c r="A3" s="100" t="s">
        <v>539</v>
      </c>
      <c r="B3" s="100"/>
      <c r="C3" s="100"/>
      <c r="D3" s="100"/>
      <c r="E3" s="100"/>
      <c r="F3" s="100"/>
      <c r="G3" s="100"/>
      <c r="H3" s="100"/>
    </row>
    <row r="4" spans="1:14" s="88" customFormat="1" ht="30" x14ac:dyDescent="0.2">
      <c r="A4" s="87" t="s">
        <v>2</v>
      </c>
      <c r="B4" s="87" t="s">
        <v>3</v>
      </c>
      <c r="C4" s="87" t="s">
        <v>4</v>
      </c>
      <c r="D4" s="87" t="s">
        <v>5</v>
      </c>
      <c r="E4" s="87" t="s">
        <v>6</v>
      </c>
      <c r="F4" s="87" t="s">
        <v>7</v>
      </c>
      <c r="G4" s="87" t="s">
        <v>8</v>
      </c>
      <c r="H4" s="86" t="s">
        <v>520</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3" t="s">
        <v>553</v>
      </c>
      <c r="K16" s="94"/>
      <c r="L16" s="94"/>
      <c r="M16" s="94"/>
      <c r="N16" s="94"/>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5">
      <c r="A30" s="1"/>
      <c r="B30" s="1"/>
      <c r="C30" s="2" t="s">
        <v>95</v>
      </c>
      <c r="D30" s="1"/>
      <c r="E30" s="1"/>
      <c r="F30" s="1"/>
      <c r="G30" s="1"/>
      <c r="H30" s="12"/>
      <c r="J30" s="93" t="s">
        <v>554</v>
      </c>
      <c r="K30" s="94"/>
      <c r="L30" s="94"/>
      <c r="M30" s="94"/>
      <c r="N30" s="94"/>
    </row>
    <row r="31" spans="1:14" ht="14.1" customHeight="1" x14ac:dyDescent="0.2">
      <c r="A31" s="1"/>
      <c r="B31" s="1"/>
      <c r="C31" s="2" t="s">
        <v>11</v>
      </c>
      <c r="D31" s="1"/>
      <c r="E31" s="1" t="s">
        <v>12</v>
      </c>
      <c r="F31" s="3">
        <v>0</v>
      </c>
      <c r="G31" s="4">
        <v>0</v>
      </c>
      <c r="H31" s="12"/>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7.100000000000001" customHeight="1" x14ac:dyDescent="0.2">
      <c r="A43" s="9">
        <v>1</v>
      </c>
      <c r="B43" s="10" t="s">
        <v>320</v>
      </c>
      <c r="C43" s="10" t="s">
        <v>321</v>
      </c>
      <c r="D43" s="10" t="s">
        <v>112</v>
      </c>
      <c r="E43" s="11">
        <v>2000</v>
      </c>
      <c r="F43" s="12">
        <v>9998.49</v>
      </c>
      <c r="G43" s="13">
        <v>3.4362442E-2</v>
      </c>
      <c r="H43" s="12">
        <v>5.5018000000000002</v>
      </c>
    </row>
    <row r="44" spans="1:8" ht="17.100000000000001" customHeight="1" x14ac:dyDescent="0.2">
      <c r="A44" s="9">
        <v>2</v>
      </c>
      <c r="B44" s="10" t="s">
        <v>322</v>
      </c>
      <c r="C44" s="10" t="s">
        <v>323</v>
      </c>
      <c r="D44" s="10" t="s">
        <v>115</v>
      </c>
      <c r="E44" s="11">
        <v>2000</v>
      </c>
      <c r="F44" s="12">
        <v>9939.41</v>
      </c>
      <c r="G44" s="13">
        <v>3.4159398000000001E-2</v>
      </c>
      <c r="H44" s="12">
        <v>5.7051999999999996</v>
      </c>
    </row>
    <row r="45" spans="1:8" ht="17.100000000000001" customHeight="1" x14ac:dyDescent="0.2">
      <c r="A45" s="9">
        <v>3</v>
      </c>
      <c r="B45" s="10" t="s">
        <v>187</v>
      </c>
      <c r="C45" s="10" t="s">
        <v>188</v>
      </c>
      <c r="D45" s="10" t="s">
        <v>115</v>
      </c>
      <c r="E45" s="11">
        <v>2000</v>
      </c>
      <c r="F45" s="12">
        <v>9905.56</v>
      </c>
      <c r="G45" s="13">
        <v>3.4043063999999998E-2</v>
      </c>
      <c r="H45" s="12">
        <v>5.8</v>
      </c>
    </row>
    <row r="46" spans="1:8" ht="17.100000000000001" customHeight="1" x14ac:dyDescent="0.2">
      <c r="A46" s="9">
        <v>4</v>
      </c>
      <c r="B46" s="10" t="s">
        <v>324</v>
      </c>
      <c r="C46" s="10" t="s">
        <v>325</v>
      </c>
      <c r="D46" s="10" t="s">
        <v>115</v>
      </c>
      <c r="E46" s="11">
        <v>2000</v>
      </c>
      <c r="F46" s="12">
        <v>9863.4500000000007</v>
      </c>
      <c r="G46" s="13">
        <v>3.3898341999999998E-2</v>
      </c>
      <c r="H46" s="12">
        <v>5.9450000000000003</v>
      </c>
    </row>
    <row r="47" spans="1:8" ht="17.100000000000001" customHeight="1" x14ac:dyDescent="0.2">
      <c r="A47" s="9">
        <v>5</v>
      </c>
      <c r="B47" s="10" t="s">
        <v>326</v>
      </c>
      <c r="C47" s="10" t="s">
        <v>327</v>
      </c>
      <c r="D47" s="10" t="s">
        <v>115</v>
      </c>
      <c r="E47" s="11">
        <v>1000</v>
      </c>
      <c r="F47" s="12">
        <v>4990.2250000000004</v>
      </c>
      <c r="G47" s="13">
        <v>1.7150221E-2</v>
      </c>
      <c r="H47" s="12">
        <v>5.5</v>
      </c>
    </row>
    <row r="48" spans="1:8" ht="17.100000000000001" customHeight="1" x14ac:dyDescent="0.2">
      <c r="A48" s="9">
        <v>6</v>
      </c>
      <c r="B48" s="10" t="s">
        <v>328</v>
      </c>
      <c r="C48" s="10" t="s">
        <v>329</v>
      </c>
      <c r="D48" s="10" t="s">
        <v>112</v>
      </c>
      <c r="E48" s="11">
        <v>1000</v>
      </c>
      <c r="F48" s="12">
        <v>4980.9799999999996</v>
      </c>
      <c r="G48" s="13">
        <v>1.7118449000000001E-2</v>
      </c>
      <c r="H48" s="12">
        <v>5.5758999999999999</v>
      </c>
    </row>
    <row r="49" spans="1:8" ht="17.100000000000001" customHeight="1" x14ac:dyDescent="0.2">
      <c r="A49" s="9">
        <v>7</v>
      </c>
      <c r="B49" s="10" t="s">
        <v>330</v>
      </c>
      <c r="C49" s="10" t="s">
        <v>331</v>
      </c>
      <c r="D49" s="10" t="s">
        <v>115</v>
      </c>
      <c r="E49" s="11">
        <v>500</v>
      </c>
      <c r="F49" s="12">
        <v>2492.7975000000001</v>
      </c>
      <c r="G49" s="13">
        <v>8.5671549999999999E-3</v>
      </c>
      <c r="H49" s="12">
        <v>5.55</v>
      </c>
    </row>
    <row r="50" spans="1:8" ht="14.1" customHeight="1" x14ac:dyDescent="0.2">
      <c r="A50" s="1"/>
      <c r="B50" s="1"/>
      <c r="C50" s="2" t="s">
        <v>11</v>
      </c>
      <c r="D50" s="1"/>
      <c r="E50" s="1" t="s">
        <v>12</v>
      </c>
      <c r="F50" s="7">
        <v>52170.912499999999</v>
      </c>
      <c r="G50" s="8">
        <v>0.179299071</v>
      </c>
      <c r="H50" s="12"/>
    </row>
    <row r="51" spans="1:8" ht="14.1" customHeight="1" x14ac:dyDescent="0.2">
      <c r="A51" s="1"/>
      <c r="B51" s="1"/>
      <c r="C51" s="5"/>
      <c r="D51" s="1"/>
      <c r="E51" s="1"/>
      <c r="F51" s="6"/>
      <c r="G51" s="6"/>
      <c r="H51" s="12"/>
    </row>
    <row r="52" spans="1:8" ht="14.1" customHeight="1" x14ac:dyDescent="0.2">
      <c r="A52" s="1"/>
      <c r="B52" s="1"/>
      <c r="C52" s="2" t="s">
        <v>116</v>
      </c>
      <c r="D52" s="1"/>
      <c r="E52" s="1"/>
      <c r="F52" s="6"/>
      <c r="G52" s="6"/>
      <c r="H52" s="12"/>
    </row>
    <row r="53" spans="1:8" ht="17.100000000000001" customHeight="1" x14ac:dyDescent="0.2">
      <c r="A53" s="9">
        <v>1</v>
      </c>
      <c r="B53" s="10" t="s">
        <v>332</v>
      </c>
      <c r="C53" s="10" t="s">
        <v>333</v>
      </c>
      <c r="D53" s="10" t="s">
        <v>115</v>
      </c>
      <c r="E53" s="11">
        <v>2500</v>
      </c>
      <c r="F53" s="12">
        <v>12444.137500000001</v>
      </c>
      <c r="G53" s="13">
        <v>4.2767553E-2</v>
      </c>
      <c r="H53" s="12">
        <v>5.6501999999999999</v>
      </c>
    </row>
    <row r="54" spans="1:8" ht="17.100000000000001" customHeight="1" x14ac:dyDescent="0.2">
      <c r="A54" s="9">
        <v>2</v>
      </c>
      <c r="B54" s="10" t="s">
        <v>334</v>
      </c>
      <c r="C54" s="10" t="s">
        <v>335</v>
      </c>
      <c r="D54" s="10" t="s">
        <v>336</v>
      </c>
      <c r="E54" s="11">
        <v>2000</v>
      </c>
      <c r="F54" s="12">
        <v>9981.94</v>
      </c>
      <c r="G54" s="13">
        <v>3.4305563999999997E-2</v>
      </c>
      <c r="H54" s="12">
        <v>5.5049999999999999</v>
      </c>
    </row>
    <row r="55" spans="1:8" ht="29.1" customHeight="1" x14ac:dyDescent="0.2">
      <c r="A55" s="9">
        <v>3</v>
      </c>
      <c r="B55" s="10" t="s">
        <v>337</v>
      </c>
      <c r="C55" s="10" t="s">
        <v>338</v>
      </c>
      <c r="D55" s="10" t="s">
        <v>115</v>
      </c>
      <c r="E55" s="11">
        <v>2000</v>
      </c>
      <c r="F55" s="12">
        <v>9890.25</v>
      </c>
      <c r="G55" s="13">
        <v>3.3990447E-2</v>
      </c>
      <c r="H55" s="12">
        <v>5.87</v>
      </c>
    </row>
    <row r="56" spans="1:8" ht="29.1" customHeight="1" x14ac:dyDescent="0.2">
      <c r="A56" s="9">
        <v>4</v>
      </c>
      <c r="B56" s="10" t="s">
        <v>339</v>
      </c>
      <c r="C56" s="10" t="s">
        <v>340</v>
      </c>
      <c r="D56" s="10" t="s">
        <v>115</v>
      </c>
      <c r="E56" s="11">
        <v>2000</v>
      </c>
      <c r="F56" s="12">
        <v>9860.7199999999993</v>
      </c>
      <c r="G56" s="13">
        <v>3.3888959000000003E-2</v>
      </c>
      <c r="H56" s="12">
        <v>6.3650000000000002</v>
      </c>
    </row>
    <row r="57" spans="1:8" ht="29.1" customHeight="1" x14ac:dyDescent="0.2">
      <c r="A57" s="9">
        <v>5</v>
      </c>
      <c r="B57" s="10" t="s">
        <v>341</v>
      </c>
      <c r="C57" s="10" t="s">
        <v>342</v>
      </c>
      <c r="D57" s="10" t="s">
        <v>115</v>
      </c>
      <c r="E57" s="11">
        <v>2000</v>
      </c>
      <c r="F57" s="12">
        <v>9859.52</v>
      </c>
      <c r="G57" s="13">
        <v>3.3884835000000002E-2</v>
      </c>
      <c r="H57" s="12">
        <v>5.91</v>
      </c>
    </row>
    <row r="58" spans="1:8" ht="29.1" customHeight="1" x14ac:dyDescent="0.2">
      <c r="A58" s="9">
        <v>6</v>
      </c>
      <c r="B58" s="10" t="s">
        <v>313</v>
      </c>
      <c r="C58" s="10" t="s">
        <v>314</v>
      </c>
      <c r="D58" s="10" t="s">
        <v>115</v>
      </c>
      <c r="E58" s="11">
        <v>2000</v>
      </c>
      <c r="F58" s="12">
        <v>9850.7800000000007</v>
      </c>
      <c r="G58" s="13">
        <v>3.3854797999999998E-2</v>
      </c>
      <c r="H58" s="12">
        <v>6.5049999999999999</v>
      </c>
    </row>
    <row r="59" spans="1:8" ht="29.1" customHeight="1" x14ac:dyDescent="0.2">
      <c r="A59" s="9">
        <v>7</v>
      </c>
      <c r="B59" s="10" t="s">
        <v>343</v>
      </c>
      <c r="C59" s="10" t="s">
        <v>344</v>
      </c>
      <c r="D59" s="10" t="s">
        <v>115</v>
      </c>
      <c r="E59" s="11">
        <v>1500</v>
      </c>
      <c r="F59" s="12">
        <v>7482.4425000000001</v>
      </c>
      <c r="G59" s="13">
        <v>2.5715383000000001E-2</v>
      </c>
      <c r="H59" s="12">
        <v>5.7098000000000004</v>
      </c>
    </row>
    <row r="60" spans="1:8" ht="17.100000000000001" customHeight="1" x14ac:dyDescent="0.2">
      <c r="A60" s="9">
        <v>8</v>
      </c>
      <c r="B60" s="10" t="s">
        <v>345</v>
      </c>
      <c r="C60" s="10" t="s">
        <v>346</v>
      </c>
      <c r="D60" s="10" t="s">
        <v>347</v>
      </c>
      <c r="E60" s="11">
        <v>1500</v>
      </c>
      <c r="F60" s="12">
        <v>7469.1975000000002</v>
      </c>
      <c r="G60" s="13">
        <v>2.5669863000000001E-2</v>
      </c>
      <c r="H60" s="12">
        <v>5.5750000000000002</v>
      </c>
    </row>
    <row r="61" spans="1:8" ht="29.1" customHeight="1" x14ac:dyDescent="0.2">
      <c r="A61" s="9">
        <v>9</v>
      </c>
      <c r="B61" s="10" t="s">
        <v>348</v>
      </c>
      <c r="C61" s="10" t="s">
        <v>349</v>
      </c>
      <c r="D61" s="10" t="s">
        <v>115</v>
      </c>
      <c r="E61" s="11">
        <v>1500</v>
      </c>
      <c r="F61" s="12">
        <v>7468.98</v>
      </c>
      <c r="G61" s="13">
        <v>2.5669114999999999E-2</v>
      </c>
      <c r="H61" s="12">
        <v>5.6151</v>
      </c>
    </row>
    <row r="62" spans="1:8" ht="29.1" customHeight="1" x14ac:dyDescent="0.2">
      <c r="A62" s="9">
        <v>10</v>
      </c>
      <c r="B62" s="10" t="s">
        <v>350</v>
      </c>
      <c r="C62" s="10" t="s">
        <v>351</v>
      </c>
      <c r="D62" s="10" t="s">
        <v>115</v>
      </c>
      <c r="E62" s="11">
        <v>1000</v>
      </c>
      <c r="F62" s="12">
        <v>4995.33</v>
      </c>
      <c r="G62" s="13">
        <v>1.7167766000000001E-2</v>
      </c>
      <c r="H62" s="12">
        <v>5.69</v>
      </c>
    </row>
    <row r="63" spans="1:8" ht="29.1" customHeight="1" x14ac:dyDescent="0.2">
      <c r="A63" s="9">
        <v>11</v>
      </c>
      <c r="B63" s="10" t="s">
        <v>305</v>
      </c>
      <c r="C63" s="10" t="s">
        <v>306</v>
      </c>
      <c r="D63" s="10" t="s">
        <v>115</v>
      </c>
      <c r="E63" s="11">
        <v>1000</v>
      </c>
      <c r="F63" s="12">
        <v>4985.9250000000002</v>
      </c>
      <c r="G63" s="13">
        <v>1.7135443E-2</v>
      </c>
      <c r="H63" s="12">
        <v>5.7249999999999996</v>
      </c>
    </row>
    <row r="64" spans="1:8" ht="29.1" customHeight="1" x14ac:dyDescent="0.2">
      <c r="A64" s="9">
        <v>12</v>
      </c>
      <c r="B64" s="10" t="s">
        <v>352</v>
      </c>
      <c r="C64" s="10" t="s">
        <v>353</v>
      </c>
      <c r="D64" s="10" t="s">
        <v>115</v>
      </c>
      <c r="E64" s="11">
        <v>1000</v>
      </c>
      <c r="F64" s="12">
        <v>4985.76</v>
      </c>
      <c r="G64" s="13">
        <v>1.7134876E-2</v>
      </c>
      <c r="H64" s="12">
        <v>5.7925000000000004</v>
      </c>
    </row>
    <row r="65" spans="1:8" ht="17.100000000000001" customHeight="1" x14ac:dyDescent="0.2">
      <c r="A65" s="9">
        <v>13</v>
      </c>
      <c r="B65" s="10" t="s">
        <v>354</v>
      </c>
      <c r="C65" s="10" t="s">
        <v>355</v>
      </c>
      <c r="D65" s="10" t="s">
        <v>115</v>
      </c>
      <c r="E65" s="11">
        <v>1000</v>
      </c>
      <c r="F65" s="12">
        <v>4985.0150000000003</v>
      </c>
      <c r="G65" s="13">
        <v>1.7132316000000002E-2</v>
      </c>
      <c r="H65" s="12">
        <v>6.0949999999999998</v>
      </c>
    </row>
    <row r="66" spans="1:8" ht="17.100000000000001" customHeight="1" x14ac:dyDescent="0.2">
      <c r="A66" s="9">
        <v>14</v>
      </c>
      <c r="B66" s="10" t="s">
        <v>356</v>
      </c>
      <c r="C66" s="10" t="s">
        <v>357</v>
      </c>
      <c r="D66" s="10" t="s">
        <v>115</v>
      </c>
      <c r="E66" s="11">
        <v>1000</v>
      </c>
      <c r="F66" s="12">
        <v>4984.2299999999996</v>
      </c>
      <c r="G66" s="13">
        <v>1.7129617999999999E-2</v>
      </c>
      <c r="H66" s="12">
        <v>5.7750000000000004</v>
      </c>
    </row>
    <row r="67" spans="1:8" ht="17.100000000000001" customHeight="1" x14ac:dyDescent="0.2">
      <c r="A67" s="9">
        <v>15</v>
      </c>
      <c r="B67" s="10" t="s">
        <v>358</v>
      </c>
      <c r="C67" s="10" t="s">
        <v>359</v>
      </c>
      <c r="D67" s="10" t="s">
        <v>115</v>
      </c>
      <c r="E67" s="11">
        <v>1000</v>
      </c>
      <c r="F67" s="12">
        <v>4980.1850000000004</v>
      </c>
      <c r="G67" s="13">
        <v>1.7115716E-2</v>
      </c>
      <c r="H67" s="12">
        <v>5.81</v>
      </c>
    </row>
    <row r="68" spans="1:8" ht="29.1" customHeight="1" x14ac:dyDescent="0.2">
      <c r="A68" s="9">
        <v>16</v>
      </c>
      <c r="B68" s="10" t="s">
        <v>360</v>
      </c>
      <c r="C68" s="10" t="s">
        <v>361</v>
      </c>
      <c r="D68" s="10" t="s">
        <v>115</v>
      </c>
      <c r="E68" s="11">
        <v>1000</v>
      </c>
      <c r="F68" s="12">
        <v>4977.585</v>
      </c>
      <c r="G68" s="13">
        <v>1.7106781000000001E-2</v>
      </c>
      <c r="H68" s="12">
        <v>6.5750000000000002</v>
      </c>
    </row>
    <row r="69" spans="1:8" ht="17.100000000000001" customHeight="1" x14ac:dyDescent="0.2">
      <c r="A69" s="9">
        <v>17</v>
      </c>
      <c r="B69" s="10" t="s">
        <v>362</v>
      </c>
      <c r="C69" s="10" t="s">
        <v>363</v>
      </c>
      <c r="D69" s="10" t="s">
        <v>115</v>
      </c>
      <c r="E69" s="11">
        <v>1000</v>
      </c>
      <c r="F69" s="12">
        <v>4962.4750000000004</v>
      </c>
      <c r="G69" s="13">
        <v>1.7054850999999999E-2</v>
      </c>
      <c r="H69" s="12">
        <v>5.9999000000000002</v>
      </c>
    </row>
    <row r="70" spans="1:8" ht="17.100000000000001" customHeight="1" x14ac:dyDescent="0.2">
      <c r="A70" s="9">
        <v>18</v>
      </c>
      <c r="B70" s="10" t="s">
        <v>364</v>
      </c>
      <c r="C70" s="10" t="s">
        <v>365</v>
      </c>
      <c r="D70" s="10" t="s">
        <v>115</v>
      </c>
      <c r="E70" s="11">
        <v>1000</v>
      </c>
      <c r="F70" s="12">
        <v>4953.585</v>
      </c>
      <c r="G70" s="13">
        <v>1.7024298E-2</v>
      </c>
      <c r="H70" s="12">
        <v>5.9999000000000002</v>
      </c>
    </row>
    <row r="71" spans="1:8" ht="17.100000000000001" customHeight="1" x14ac:dyDescent="0.2">
      <c r="A71" s="9">
        <v>19</v>
      </c>
      <c r="B71" s="10" t="s">
        <v>366</v>
      </c>
      <c r="C71" s="10" t="s">
        <v>367</v>
      </c>
      <c r="D71" s="10" t="s">
        <v>115</v>
      </c>
      <c r="E71" s="11">
        <v>1000</v>
      </c>
      <c r="F71" s="12">
        <v>4922.8500000000004</v>
      </c>
      <c r="G71" s="13">
        <v>1.691867E-2</v>
      </c>
      <c r="H71" s="12">
        <v>6.81</v>
      </c>
    </row>
    <row r="72" spans="1:8" ht="17.100000000000001" customHeight="1" x14ac:dyDescent="0.2">
      <c r="A72" s="9">
        <v>20</v>
      </c>
      <c r="B72" s="10" t="s">
        <v>368</v>
      </c>
      <c r="C72" s="10" t="s">
        <v>369</v>
      </c>
      <c r="D72" s="10" t="s">
        <v>115</v>
      </c>
      <c r="E72" s="11">
        <v>1000</v>
      </c>
      <c r="F72" s="12">
        <v>4919.1750000000002</v>
      </c>
      <c r="G72" s="13">
        <v>1.6906039000000001E-2</v>
      </c>
      <c r="H72" s="12">
        <v>6.8150000000000004</v>
      </c>
    </row>
    <row r="73" spans="1:8" ht="17.100000000000001" customHeight="1" x14ac:dyDescent="0.2">
      <c r="A73" s="9">
        <v>21</v>
      </c>
      <c r="B73" s="10" t="s">
        <v>311</v>
      </c>
      <c r="C73" s="10" t="s">
        <v>312</v>
      </c>
      <c r="D73" s="10" t="s">
        <v>115</v>
      </c>
      <c r="E73" s="11">
        <v>800</v>
      </c>
      <c r="F73" s="12">
        <v>3991.4279999999999</v>
      </c>
      <c r="G73" s="13">
        <v>1.3717593E-2</v>
      </c>
      <c r="H73" s="12">
        <v>6.5350000000000001</v>
      </c>
    </row>
    <row r="74" spans="1:8" ht="17.100000000000001" customHeight="1" x14ac:dyDescent="0.2">
      <c r="A74" s="9">
        <v>22</v>
      </c>
      <c r="B74" s="10" t="s">
        <v>370</v>
      </c>
      <c r="C74" s="10" t="s">
        <v>371</v>
      </c>
      <c r="D74" s="10" t="s">
        <v>115</v>
      </c>
      <c r="E74" s="11">
        <v>500</v>
      </c>
      <c r="F74" s="12">
        <v>2498.3975</v>
      </c>
      <c r="G74" s="13">
        <v>8.5864010000000004E-3</v>
      </c>
      <c r="H74" s="12">
        <v>5.8517000000000001</v>
      </c>
    </row>
    <row r="75" spans="1:8" ht="29.1" customHeight="1" x14ac:dyDescent="0.2">
      <c r="A75" s="9">
        <v>23</v>
      </c>
      <c r="B75" s="10" t="s">
        <v>303</v>
      </c>
      <c r="C75" s="10" t="s">
        <v>304</v>
      </c>
      <c r="D75" s="10" t="s">
        <v>115</v>
      </c>
      <c r="E75" s="11">
        <v>500</v>
      </c>
      <c r="F75" s="12">
        <v>2496.8649999999998</v>
      </c>
      <c r="G75" s="13">
        <v>8.5811340000000007E-3</v>
      </c>
      <c r="H75" s="12">
        <v>6.55</v>
      </c>
    </row>
    <row r="76" spans="1:8" ht="17.100000000000001" customHeight="1" x14ac:dyDescent="0.2">
      <c r="A76" s="9">
        <v>24</v>
      </c>
      <c r="B76" s="10" t="s">
        <v>372</v>
      </c>
      <c r="C76" s="10" t="s">
        <v>373</v>
      </c>
      <c r="D76" s="10" t="s">
        <v>115</v>
      </c>
      <c r="E76" s="11">
        <v>500</v>
      </c>
      <c r="F76" s="12">
        <v>2493.09</v>
      </c>
      <c r="G76" s="13">
        <v>8.56816E-3</v>
      </c>
      <c r="H76" s="12">
        <v>5.62</v>
      </c>
    </row>
    <row r="77" spans="1:8" ht="29.1" customHeight="1" x14ac:dyDescent="0.2">
      <c r="A77" s="9">
        <v>25</v>
      </c>
      <c r="B77" s="10" t="s">
        <v>374</v>
      </c>
      <c r="C77" s="10" t="s">
        <v>375</v>
      </c>
      <c r="D77" s="10" t="s">
        <v>115</v>
      </c>
      <c r="E77" s="11">
        <v>500</v>
      </c>
      <c r="F77" s="12">
        <v>2488.6475</v>
      </c>
      <c r="G77" s="13">
        <v>8.5528919999999994E-3</v>
      </c>
      <c r="H77" s="12">
        <v>6.4050000000000002</v>
      </c>
    </row>
    <row r="78" spans="1:8" ht="17.100000000000001" customHeight="1" x14ac:dyDescent="0.2">
      <c r="A78" s="9">
        <v>26</v>
      </c>
      <c r="B78" s="10" t="s">
        <v>376</v>
      </c>
      <c r="C78" s="10" t="s">
        <v>377</v>
      </c>
      <c r="D78" s="10" t="s">
        <v>115</v>
      </c>
      <c r="E78" s="11">
        <v>500</v>
      </c>
      <c r="F78" s="12">
        <v>2472.585</v>
      </c>
      <c r="G78" s="13">
        <v>8.4976889999999992E-3</v>
      </c>
      <c r="H78" s="12">
        <v>6.7450000000000001</v>
      </c>
    </row>
    <row r="79" spans="1:8" ht="17.100000000000001" customHeight="1" x14ac:dyDescent="0.2">
      <c r="A79" s="9">
        <v>27</v>
      </c>
      <c r="B79" s="10" t="s">
        <v>378</v>
      </c>
      <c r="C79" s="10" t="s">
        <v>379</v>
      </c>
      <c r="D79" s="10" t="s">
        <v>347</v>
      </c>
      <c r="E79" s="11">
        <v>500</v>
      </c>
      <c r="F79" s="12">
        <v>2467.4250000000002</v>
      </c>
      <c r="G79" s="13">
        <v>8.4799550000000008E-3</v>
      </c>
      <c r="H79" s="12">
        <v>6.4249999999999998</v>
      </c>
    </row>
    <row r="80" spans="1:8" ht="17.100000000000001" customHeight="1" x14ac:dyDescent="0.2">
      <c r="A80" s="9">
        <v>28</v>
      </c>
      <c r="B80" s="10" t="s">
        <v>380</v>
      </c>
      <c r="C80" s="10" t="s">
        <v>381</v>
      </c>
      <c r="D80" s="10" t="s">
        <v>347</v>
      </c>
      <c r="E80" s="11">
        <v>500</v>
      </c>
      <c r="F80" s="12">
        <v>2466.4924999999998</v>
      </c>
      <c r="G80" s="13">
        <v>8.4767509999999994E-3</v>
      </c>
      <c r="H80" s="12">
        <v>6.44</v>
      </c>
    </row>
    <row r="81" spans="1:8" ht="17.100000000000001" customHeight="1" x14ac:dyDescent="0.2">
      <c r="A81" s="9">
        <v>29</v>
      </c>
      <c r="B81" s="10" t="s">
        <v>382</v>
      </c>
      <c r="C81" s="10" t="s">
        <v>383</v>
      </c>
      <c r="D81" s="10" t="s">
        <v>115</v>
      </c>
      <c r="E81" s="11">
        <v>500</v>
      </c>
      <c r="F81" s="12">
        <v>2464.5050000000001</v>
      </c>
      <c r="G81" s="13">
        <v>8.4699200000000006E-3</v>
      </c>
      <c r="H81" s="12">
        <v>6.49</v>
      </c>
    </row>
    <row r="82" spans="1:8" ht="14.1" customHeight="1" x14ac:dyDescent="0.2">
      <c r="A82" s="1"/>
      <c r="B82" s="1"/>
      <c r="C82" s="2" t="s">
        <v>11</v>
      </c>
      <c r="D82" s="1"/>
      <c r="E82" s="1" t="s">
        <v>12</v>
      </c>
      <c r="F82" s="7">
        <v>162799.51800000001</v>
      </c>
      <c r="G82" s="8">
        <v>0.55950338600000005</v>
      </c>
      <c r="H82" s="12"/>
    </row>
    <row r="83" spans="1:8" ht="14.1" customHeight="1" x14ac:dyDescent="0.2">
      <c r="A83" s="1"/>
      <c r="B83" s="1"/>
      <c r="C83" s="5"/>
      <c r="D83" s="1"/>
      <c r="E83" s="1"/>
      <c r="F83" s="6"/>
      <c r="G83" s="6"/>
      <c r="H83" s="12"/>
    </row>
    <row r="84" spans="1:8" ht="14.1" customHeight="1" x14ac:dyDescent="0.2">
      <c r="A84" s="1"/>
      <c r="B84" s="1"/>
      <c r="C84" s="2" t="s">
        <v>121</v>
      </c>
      <c r="D84" s="1"/>
      <c r="E84" s="1"/>
      <c r="F84" s="6"/>
      <c r="G84" s="6"/>
      <c r="H84" s="12"/>
    </row>
    <row r="85" spans="1:8" ht="17.100000000000001" customHeight="1" x14ac:dyDescent="0.2">
      <c r="A85" s="9">
        <v>1</v>
      </c>
      <c r="B85" s="10" t="s">
        <v>384</v>
      </c>
      <c r="C85" s="10" t="s">
        <v>385</v>
      </c>
      <c r="D85" s="10" t="s">
        <v>99</v>
      </c>
      <c r="E85" s="11">
        <v>24000000</v>
      </c>
      <c r="F85" s="12">
        <v>23975.759999999998</v>
      </c>
      <c r="G85" s="13">
        <v>8.2399008999999995E-2</v>
      </c>
      <c r="H85" s="12">
        <v>5.2750000000000004</v>
      </c>
    </row>
    <row r="86" spans="1:8" ht="17.100000000000001" customHeight="1" x14ac:dyDescent="0.2">
      <c r="A86" s="9">
        <v>2</v>
      </c>
      <c r="B86" s="10" t="s">
        <v>386</v>
      </c>
      <c r="C86" s="10" t="s">
        <v>387</v>
      </c>
      <c r="D86" s="10" t="s">
        <v>99</v>
      </c>
      <c r="E86" s="11">
        <v>10000000</v>
      </c>
      <c r="F86" s="12">
        <v>9979.7099999999991</v>
      </c>
      <c r="G86" s="13">
        <v>3.4297899999999999E-2</v>
      </c>
      <c r="H86" s="12">
        <v>5.3</v>
      </c>
    </row>
    <row r="87" spans="1:8" ht="17.100000000000001" customHeight="1" x14ac:dyDescent="0.2">
      <c r="A87" s="9">
        <v>3</v>
      </c>
      <c r="B87" s="10" t="s">
        <v>388</v>
      </c>
      <c r="C87" s="10" t="s">
        <v>389</v>
      </c>
      <c r="D87" s="10" t="s">
        <v>99</v>
      </c>
      <c r="E87" s="11">
        <v>2500000</v>
      </c>
      <c r="F87" s="12">
        <v>2497.4749999999999</v>
      </c>
      <c r="G87" s="13">
        <v>8.5832300000000007E-3</v>
      </c>
      <c r="H87" s="12">
        <v>5.2750000000000004</v>
      </c>
    </row>
    <row r="88" spans="1:8" ht="14.1" customHeight="1" x14ac:dyDescent="0.2">
      <c r="A88" s="1"/>
      <c r="B88" s="1"/>
      <c r="C88" s="2" t="s">
        <v>11</v>
      </c>
      <c r="D88" s="1"/>
      <c r="E88" s="1" t="s">
        <v>12</v>
      </c>
      <c r="F88" s="7">
        <v>36452.945</v>
      </c>
      <c r="G88" s="8">
        <v>0.12528013900000001</v>
      </c>
      <c r="H88" s="12"/>
    </row>
    <row r="89" spans="1:8" ht="14.1" customHeight="1" x14ac:dyDescent="0.2">
      <c r="A89" s="1"/>
      <c r="B89" s="1"/>
      <c r="C89" s="5"/>
      <c r="D89" s="1"/>
      <c r="E89" s="1"/>
      <c r="F89" s="6"/>
      <c r="G89" s="6"/>
      <c r="H89" s="12"/>
    </row>
    <row r="90" spans="1:8" ht="14.1" customHeight="1" x14ac:dyDescent="0.2">
      <c r="A90" s="1"/>
      <c r="B90" s="1"/>
      <c r="C90" s="2" t="s">
        <v>122</v>
      </c>
      <c r="D90" s="1"/>
      <c r="E90" s="1"/>
      <c r="F90" s="6"/>
      <c r="G90" s="6"/>
      <c r="H90" s="12"/>
    </row>
    <row r="91" spans="1:8" ht="17.100000000000001" customHeight="1" x14ac:dyDescent="0.2">
      <c r="A91" s="9">
        <v>1</v>
      </c>
      <c r="B91" s="10"/>
      <c r="C91" s="10" t="s">
        <v>123</v>
      </c>
      <c r="D91" s="10"/>
      <c r="E91" s="14"/>
      <c r="F91" s="12">
        <v>39605.516130900003</v>
      </c>
      <c r="G91" s="13">
        <v>0.13611477899999999</v>
      </c>
      <c r="H91" s="12">
        <v>5.4181585046733343</v>
      </c>
    </row>
    <row r="92" spans="1:8" ht="14.1" customHeight="1" x14ac:dyDescent="0.2">
      <c r="A92" s="1"/>
      <c r="B92" s="1"/>
      <c r="C92" s="2" t="s">
        <v>11</v>
      </c>
      <c r="D92" s="1"/>
      <c r="E92" s="1" t="s">
        <v>12</v>
      </c>
      <c r="F92" s="7">
        <v>39605.516130900003</v>
      </c>
      <c r="G92" s="8">
        <v>0.13611477899999999</v>
      </c>
      <c r="H92" s="12"/>
    </row>
    <row r="93" spans="1:8" ht="14.1" customHeight="1" x14ac:dyDescent="0.2">
      <c r="A93" s="1"/>
      <c r="B93" s="1"/>
      <c r="C93" s="5"/>
      <c r="D93" s="1"/>
      <c r="E93" s="1"/>
      <c r="F93" s="6"/>
      <c r="G93" s="6"/>
      <c r="H93" s="12"/>
    </row>
    <row r="94" spans="1:8" ht="14.1" customHeight="1" x14ac:dyDescent="0.2">
      <c r="A94" s="1"/>
      <c r="B94" s="1"/>
      <c r="C94" s="2" t="s">
        <v>124</v>
      </c>
      <c r="D94" s="1"/>
      <c r="E94" s="1"/>
      <c r="F94" s="7">
        <v>291028.89163089998</v>
      </c>
      <c r="G94" s="8">
        <v>1.0001973749999999</v>
      </c>
      <c r="H94" s="12"/>
    </row>
    <row r="95" spans="1:8" ht="14.1" customHeight="1" x14ac:dyDescent="0.2">
      <c r="A95" s="1"/>
      <c r="B95" s="1"/>
      <c r="C95" s="6"/>
      <c r="D95" s="1"/>
      <c r="E95" s="1"/>
      <c r="F95" s="1"/>
      <c r="G95" s="1"/>
      <c r="H95" s="12"/>
    </row>
    <row r="96" spans="1:8" ht="14.1" customHeight="1" x14ac:dyDescent="0.2">
      <c r="A96" s="1"/>
      <c r="B96" s="1"/>
      <c r="C96" s="2" t="s">
        <v>125</v>
      </c>
      <c r="D96" s="1"/>
      <c r="E96" s="1"/>
      <c r="F96" s="1"/>
      <c r="G96" s="1"/>
      <c r="H96" s="12"/>
    </row>
    <row r="97" spans="1:8" ht="14.1" customHeight="1" x14ac:dyDescent="0.2">
      <c r="A97" s="1"/>
      <c r="B97" s="1"/>
      <c r="C97" s="2" t="s">
        <v>126</v>
      </c>
      <c r="D97" s="1"/>
      <c r="E97" s="1"/>
      <c r="F97" s="1"/>
      <c r="G97" s="1"/>
      <c r="H97" s="12"/>
    </row>
    <row r="98" spans="1:8" ht="14.1" customHeight="1" x14ac:dyDescent="0.2">
      <c r="A98" s="1"/>
      <c r="B98" s="1"/>
      <c r="C98" s="2" t="s">
        <v>11</v>
      </c>
      <c r="D98" s="1"/>
      <c r="E98" s="1" t="s">
        <v>12</v>
      </c>
      <c r="F98" s="3">
        <v>0</v>
      </c>
      <c r="G98" s="4">
        <v>0</v>
      </c>
      <c r="H98" s="12"/>
    </row>
    <row r="99" spans="1:8" ht="14.1" customHeight="1" x14ac:dyDescent="0.2">
      <c r="A99" s="1"/>
      <c r="B99" s="1"/>
      <c r="C99" s="5"/>
      <c r="D99" s="1"/>
      <c r="E99" s="1"/>
      <c r="F99" s="6"/>
      <c r="G99" s="6"/>
      <c r="H99" s="12"/>
    </row>
    <row r="100" spans="1:8" ht="14.1" customHeight="1" x14ac:dyDescent="0.2">
      <c r="A100" s="1"/>
      <c r="B100" s="1"/>
      <c r="C100" s="2" t="s">
        <v>127</v>
      </c>
      <c r="D100" s="1"/>
      <c r="E100" s="1"/>
      <c r="F100" s="1"/>
      <c r="G100" s="1"/>
      <c r="H100" s="12"/>
    </row>
    <row r="101" spans="1:8" ht="14.1" customHeight="1" x14ac:dyDescent="0.2">
      <c r="A101" s="1"/>
      <c r="B101" s="1"/>
      <c r="C101" s="2" t="s">
        <v>128</v>
      </c>
      <c r="D101" s="1"/>
      <c r="E101" s="1"/>
      <c r="F101" s="1"/>
      <c r="G101" s="1"/>
      <c r="H101" s="12"/>
    </row>
    <row r="102" spans="1:8" ht="14.1" customHeight="1" x14ac:dyDescent="0.2">
      <c r="A102" s="1"/>
      <c r="B102" s="1"/>
      <c r="C102" s="2" t="s">
        <v>11</v>
      </c>
      <c r="D102" s="1"/>
      <c r="E102" s="1" t="s">
        <v>12</v>
      </c>
      <c r="F102" s="3">
        <v>0</v>
      </c>
      <c r="G102" s="4">
        <v>0</v>
      </c>
      <c r="H102" s="12"/>
    </row>
    <row r="103" spans="1:8" ht="14.1" customHeight="1" x14ac:dyDescent="0.2">
      <c r="A103" s="1"/>
      <c r="B103" s="1"/>
      <c r="C103" s="5"/>
      <c r="D103" s="1"/>
      <c r="E103" s="1"/>
      <c r="F103" s="6"/>
      <c r="G103" s="6"/>
      <c r="H103" s="12"/>
    </row>
    <row r="104" spans="1:8" ht="24" customHeight="1" x14ac:dyDescent="0.2">
      <c r="A104" s="1"/>
      <c r="B104" s="1"/>
      <c r="C104" s="2" t="s">
        <v>129</v>
      </c>
      <c r="D104" s="1"/>
      <c r="E104" s="1"/>
      <c r="F104" s="6"/>
      <c r="G104" s="6"/>
      <c r="H104" s="12"/>
    </row>
    <row r="105" spans="1:8" ht="14.1" customHeight="1" x14ac:dyDescent="0.2">
      <c r="A105" s="1"/>
      <c r="B105" s="1"/>
      <c r="C105" s="2" t="s">
        <v>11</v>
      </c>
      <c r="D105" s="1"/>
      <c r="E105" s="1" t="s">
        <v>12</v>
      </c>
      <c r="F105" s="3">
        <v>0</v>
      </c>
      <c r="G105" s="4">
        <v>0</v>
      </c>
      <c r="H105" s="12"/>
    </row>
    <row r="106" spans="1:8" ht="14.1" customHeight="1" x14ac:dyDescent="0.2">
      <c r="A106" s="1"/>
      <c r="B106" s="1"/>
      <c r="C106" s="5"/>
      <c r="D106" s="1"/>
      <c r="E106" s="1"/>
      <c r="F106" s="6"/>
      <c r="G106" s="6"/>
      <c r="H106" s="12"/>
    </row>
    <row r="107" spans="1:8" ht="14.1" customHeight="1" x14ac:dyDescent="0.2">
      <c r="A107" s="1"/>
      <c r="B107" s="10"/>
      <c r="C107" s="10"/>
      <c r="D107" s="2"/>
      <c r="E107" s="1"/>
      <c r="F107" s="10"/>
      <c r="G107" s="14"/>
      <c r="H107" s="12"/>
    </row>
    <row r="108" spans="1:8" ht="18" customHeight="1" x14ac:dyDescent="0.2">
      <c r="A108" s="14"/>
      <c r="B108" s="10"/>
      <c r="C108" s="10" t="s">
        <v>130</v>
      </c>
      <c r="D108" s="10"/>
      <c r="E108" s="14"/>
      <c r="F108" s="12">
        <v>-57.430950129999999</v>
      </c>
      <c r="G108" s="13">
        <v>-1.9737699999999999E-4</v>
      </c>
      <c r="H108" s="12"/>
    </row>
    <row r="109" spans="1:8" ht="14.1" customHeight="1" x14ac:dyDescent="0.2">
      <c r="A109" s="5"/>
      <c r="B109" s="5"/>
      <c r="C109" s="2" t="s">
        <v>458</v>
      </c>
      <c r="D109" s="6"/>
      <c r="E109" s="6"/>
      <c r="F109" s="7">
        <v>290971.46068076999</v>
      </c>
      <c r="G109" s="8">
        <v>0.99999999799999995</v>
      </c>
      <c r="H109" s="12"/>
    </row>
    <row r="110" spans="1:8" ht="14.1" customHeight="1" x14ac:dyDescent="0.2">
      <c r="A110" s="15"/>
      <c r="B110" s="15"/>
      <c r="C110" s="15"/>
      <c r="D110" s="16"/>
      <c r="E110" s="16"/>
      <c r="F110" s="16"/>
      <c r="G110" s="16"/>
    </row>
    <row r="111" spans="1:8" ht="17.100000000000001" customHeight="1" x14ac:dyDescent="0.2">
      <c r="A111" s="17"/>
      <c r="B111" s="101" t="s">
        <v>132</v>
      </c>
      <c r="C111" s="101"/>
      <c r="D111" s="101"/>
      <c r="E111" s="101"/>
      <c r="F111" s="101"/>
      <c r="G111" s="19"/>
    </row>
    <row r="112" spans="1:8" ht="17.100000000000001" customHeight="1" x14ac:dyDescent="0.2">
      <c r="A112" s="17"/>
      <c r="B112" s="101" t="s">
        <v>133</v>
      </c>
      <c r="C112" s="101"/>
      <c r="D112" s="101"/>
      <c r="E112" s="101"/>
      <c r="F112" s="101"/>
      <c r="G112" s="19"/>
    </row>
    <row r="113" spans="1:7" ht="14.1" customHeight="1" x14ac:dyDescent="0.2">
      <c r="A113" s="17"/>
      <c r="B113" s="114" t="s">
        <v>459</v>
      </c>
      <c r="C113" s="101"/>
      <c r="D113" s="101"/>
      <c r="E113" s="101"/>
      <c r="F113" s="101"/>
      <c r="G113" s="19"/>
    </row>
    <row r="114" spans="1:7" ht="14.1" customHeight="1" x14ac:dyDescent="0.2">
      <c r="A114" s="17"/>
      <c r="B114" s="17"/>
      <c r="C114" s="17"/>
      <c r="D114" s="19"/>
      <c r="E114" s="19"/>
      <c r="F114" s="19"/>
      <c r="G114" s="19"/>
    </row>
    <row r="115" spans="1:7" ht="14.1" customHeight="1" x14ac:dyDescent="0.2">
      <c r="A115" s="17"/>
      <c r="B115" s="102" t="s">
        <v>134</v>
      </c>
      <c r="C115" s="103"/>
      <c r="D115" s="104"/>
      <c r="E115" s="20"/>
      <c r="F115" s="19"/>
      <c r="G115" s="19"/>
    </row>
    <row r="116" spans="1:7" ht="29.1" customHeight="1" x14ac:dyDescent="0.2">
      <c r="A116" s="17"/>
      <c r="B116" s="97" t="s">
        <v>135</v>
      </c>
      <c r="C116" s="98"/>
      <c r="D116" s="2" t="s">
        <v>496</v>
      </c>
      <c r="E116" s="20"/>
      <c r="F116" s="19"/>
      <c r="G116" s="19"/>
    </row>
    <row r="117" spans="1:7" ht="17.100000000000001" customHeight="1" x14ac:dyDescent="0.2">
      <c r="A117" s="17"/>
      <c r="B117" s="97" t="s">
        <v>137</v>
      </c>
      <c r="C117" s="98"/>
      <c r="D117" s="2" t="s">
        <v>136</v>
      </c>
      <c r="E117" s="20"/>
      <c r="F117" s="19"/>
      <c r="G117" s="19"/>
    </row>
    <row r="118" spans="1:7" ht="17.100000000000001" customHeight="1" x14ac:dyDescent="0.2">
      <c r="A118" s="17"/>
      <c r="B118" s="97" t="s">
        <v>138</v>
      </c>
      <c r="C118" s="98"/>
      <c r="D118" s="6" t="s">
        <v>12</v>
      </c>
      <c r="E118" s="20"/>
      <c r="F118" s="19"/>
      <c r="G118" s="19"/>
    </row>
    <row r="119" spans="1:7" ht="24" customHeight="1" x14ac:dyDescent="0.2">
      <c r="A119" s="21"/>
      <c r="B119" s="22" t="s">
        <v>12</v>
      </c>
      <c r="C119" s="22" t="s">
        <v>139</v>
      </c>
      <c r="D119" s="22" t="s">
        <v>140</v>
      </c>
      <c r="E119" s="21"/>
      <c r="F119" s="21"/>
      <c r="G119" s="21"/>
    </row>
    <row r="120" spans="1:7" ht="18" customHeight="1" x14ac:dyDescent="0.2">
      <c r="A120" s="21"/>
      <c r="B120" s="23" t="s">
        <v>141</v>
      </c>
      <c r="C120" s="22" t="s">
        <v>142</v>
      </c>
      <c r="D120" s="22" t="s">
        <v>143</v>
      </c>
      <c r="E120" s="21"/>
      <c r="F120" s="21"/>
      <c r="G120" s="21"/>
    </row>
    <row r="121" spans="1:7" ht="17.100000000000001" customHeight="1" x14ac:dyDescent="0.2">
      <c r="A121" s="21"/>
      <c r="B121" s="10" t="s">
        <v>144</v>
      </c>
      <c r="C121" s="24">
        <v>1905.8543</v>
      </c>
      <c r="D121" s="24">
        <v>1914.807</v>
      </c>
      <c r="E121" s="21"/>
      <c r="F121" s="18"/>
      <c r="G121" s="25"/>
    </row>
    <row r="122" spans="1:7" ht="17.100000000000001" customHeight="1" x14ac:dyDescent="0.2">
      <c r="A122" s="21"/>
      <c r="B122" s="10" t="s">
        <v>189</v>
      </c>
      <c r="C122" s="24">
        <v>1048.0494000000001</v>
      </c>
      <c r="D122" s="24">
        <v>1052.9729</v>
      </c>
      <c r="E122" s="21"/>
      <c r="F122" s="18"/>
      <c r="G122" s="25"/>
    </row>
    <row r="123" spans="1:7" ht="29.1" customHeight="1" x14ac:dyDescent="0.2">
      <c r="A123" s="21"/>
      <c r="B123" s="10" t="s">
        <v>530</v>
      </c>
      <c r="C123" s="24">
        <v>1000.6367</v>
      </c>
      <c r="D123" s="24">
        <v>1000.6367</v>
      </c>
      <c r="E123" s="21"/>
      <c r="F123" s="18"/>
      <c r="G123" s="25"/>
    </row>
    <row r="124" spans="1:7" ht="29.1" customHeight="1" x14ac:dyDescent="0.2">
      <c r="A124" s="21"/>
      <c r="B124" s="10" t="s">
        <v>531</v>
      </c>
      <c r="C124" s="24">
        <v>1007.3398999999999</v>
      </c>
      <c r="D124" s="24">
        <v>1007.7816</v>
      </c>
      <c r="E124" s="21"/>
      <c r="F124" s="18"/>
      <c r="G124" s="25"/>
    </row>
    <row r="125" spans="1:7" ht="29.1" customHeight="1" x14ac:dyDescent="0.2">
      <c r="A125" s="21"/>
      <c r="B125" s="10" t="s">
        <v>535</v>
      </c>
      <c r="C125" s="24">
        <v>1024.4865</v>
      </c>
      <c r="D125" s="24">
        <v>1024.9447</v>
      </c>
      <c r="E125" s="21"/>
      <c r="F125" s="18"/>
      <c r="G125" s="25"/>
    </row>
    <row r="126" spans="1:7" ht="29.1" customHeight="1" x14ac:dyDescent="0.2">
      <c r="A126" s="21"/>
      <c r="B126" s="10" t="s">
        <v>521</v>
      </c>
      <c r="C126" s="24">
        <v>1026.1043</v>
      </c>
      <c r="D126" s="24">
        <v>1026.3056999999999</v>
      </c>
      <c r="E126" s="21"/>
      <c r="F126" s="18"/>
      <c r="G126" s="25"/>
    </row>
    <row r="127" spans="1:7" ht="29.1" customHeight="1" x14ac:dyDescent="0.2">
      <c r="A127" s="21"/>
      <c r="B127" s="10" t="s">
        <v>522</v>
      </c>
      <c r="C127" s="24">
        <v>1032.9038</v>
      </c>
      <c r="D127" s="24">
        <v>1037.7556999999999</v>
      </c>
      <c r="E127" s="21"/>
      <c r="F127" s="18"/>
      <c r="G127" s="25"/>
    </row>
    <row r="128" spans="1:7" ht="17.100000000000001" customHeight="1" x14ac:dyDescent="0.2">
      <c r="A128" s="21"/>
      <c r="B128" s="10" t="s">
        <v>145</v>
      </c>
      <c r="C128" s="24">
        <v>1891.8705</v>
      </c>
      <c r="D128" s="24">
        <v>1900.5797</v>
      </c>
      <c r="E128" s="21"/>
      <c r="F128" s="18"/>
      <c r="G128" s="25"/>
    </row>
    <row r="129" spans="1:7" ht="17.100000000000001" customHeight="1" x14ac:dyDescent="0.2">
      <c r="A129" s="21"/>
      <c r="B129" s="10" t="s">
        <v>191</v>
      </c>
      <c r="C129" s="24">
        <v>1047.2101</v>
      </c>
      <c r="D129" s="24">
        <v>1052.0309</v>
      </c>
      <c r="E129" s="21"/>
      <c r="F129" s="18"/>
      <c r="G129" s="25"/>
    </row>
    <row r="130" spans="1:7" ht="29.1" customHeight="1" x14ac:dyDescent="0.2">
      <c r="A130" s="21"/>
      <c r="B130" s="10" t="s">
        <v>533</v>
      </c>
      <c r="C130" s="24">
        <v>1000.8893</v>
      </c>
      <c r="D130" s="24">
        <v>1000.8893</v>
      </c>
      <c r="E130" s="21"/>
      <c r="F130" s="18"/>
      <c r="G130" s="25"/>
    </row>
    <row r="131" spans="1:7" ht="29.1" customHeight="1" x14ac:dyDescent="0.2">
      <c r="A131" s="21"/>
      <c r="B131" s="10" t="s">
        <v>534</v>
      </c>
      <c r="C131" s="24">
        <v>1006.8749</v>
      </c>
      <c r="D131" s="24">
        <v>1007.3083</v>
      </c>
      <c r="E131" s="21"/>
      <c r="F131" s="18"/>
      <c r="G131" s="25"/>
    </row>
    <row r="132" spans="1:7" ht="29.1" customHeight="1" x14ac:dyDescent="0.2">
      <c r="A132" s="21"/>
      <c r="B132" s="10" t="s">
        <v>536</v>
      </c>
      <c r="C132" s="24">
        <v>1024.4304</v>
      </c>
      <c r="D132" s="24">
        <v>1024.8701000000001</v>
      </c>
      <c r="E132" s="21"/>
      <c r="F132" s="18"/>
      <c r="G132" s="25"/>
    </row>
    <row r="133" spans="1:7" ht="29.1" customHeight="1" x14ac:dyDescent="0.2">
      <c r="A133" s="21"/>
      <c r="B133" s="10" t="s">
        <v>525</v>
      </c>
      <c r="C133" s="24">
        <v>1025.9983</v>
      </c>
      <c r="D133" s="24">
        <v>1026.2065</v>
      </c>
      <c r="E133" s="21"/>
      <c r="F133" s="18"/>
      <c r="G133" s="25"/>
    </row>
    <row r="134" spans="1:7" ht="29.1" customHeight="1" x14ac:dyDescent="0.2">
      <c r="A134" s="21"/>
      <c r="B134" s="10" t="s">
        <v>526</v>
      </c>
      <c r="C134" s="24">
        <v>1032.0761</v>
      </c>
      <c r="D134" s="24">
        <v>1036.8267000000001</v>
      </c>
      <c r="E134" s="21"/>
      <c r="F134" s="18"/>
      <c r="G134" s="25"/>
    </row>
    <row r="135" spans="1:7" ht="14.1" customHeight="1" x14ac:dyDescent="0.2">
      <c r="A135" s="21"/>
      <c r="B135" s="21"/>
      <c r="C135" s="21"/>
      <c r="D135" s="21"/>
      <c r="E135" s="21"/>
      <c r="F135" s="21"/>
      <c r="G135" s="21"/>
    </row>
    <row r="136" spans="1:7" ht="17.100000000000001" customHeight="1" x14ac:dyDescent="0.2">
      <c r="A136" s="21"/>
      <c r="B136" s="97" t="s">
        <v>529</v>
      </c>
      <c r="C136" s="98"/>
      <c r="D136" s="2" t="s">
        <v>12</v>
      </c>
      <c r="E136" s="21"/>
      <c r="F136" s="21"/>
      <c r="G136" s="21"/>
    </row>
    <row r="137" spans="1:7" ht="18" customHeight="1" x14ac:dyDescent="0.2">
      <c r="A137" s="21"/>
      <c r="B137" s="26" t="s">
        <v>141</v>
      </c>
      <c r="C137" s="27" t="s">
        <v>146</v>
      </c>
      <c r="D137" s="27" t="s">
        <v>147</v>
      </c>
      <c r="E137" s="21"/>
      <c r="F137" s="21"/>
      <c r="G137" s="21"/>
    </row>
    <row r="138" spans="1:7" ht="29.1" customHeight="1" x14ac:dyDescent="0.2">
      <c r="A138" s="21"/>
      <c r="B138" s="10" t="s">
        <v>530</v>
      </c>
      <c r="C138" s="28">
        <v>4.6899230000000003</v>
      </c>
      <c r="D138" s="28">
        <v>4.6899230000000003</v>
      </c>
      <c r="E138" s="21"/>
      <c r="F138" s="18"/>
      <c r="G138" s="25"/>
    </row>
    <row r="139" spans="1:7" ht="29.1" customHeight="1" x14ac:dyDescent="0.2">
      <c r="A139" s="21"/>
      <c r="B139" s="10" t="s">
        <v>531</v>
      </c>
      <c r="C139" s="28">
        <v>4.2793999999999999</v>
      </c>
      <c r="D139" s="28">
        <v>4.2793999999999999</v>
      </c>
      <c r="E139" s="21"/>
      <c r="F139" s="18"/>
      <c r="G139" s="25"/>
    </row>
    <row r="140" spans="1:7" ht="29.1" customHeight="1" x14ac:dyDescent="0.2">
      <c r="A140" s="21"/>
      <c r="B140" s="10" t="s">
        <v>535</v>
      </c>
      <c r="C140" s="28">
        <v>4.3455000000000004</v>
      </c>
      <c r="D140" s="14" t="s">
        <v>148</v>
      </c>
      <c r="E140" s="21"/>
      <c r="F140" s="18"/>
      <c r="G140" s="25"/>
    </row>
    <row r="141" spans="1:7" ht="29.1" customHeight="1" x14ac:dyDescent="0.2">
      <c r="A141" s="21"/>
      <c r="B141" s="10" t="s">
        <v>521</v>
      </c>
      <c r="C141" s="28">
        <v>4.6098999999999997</v>
      </c>
      <c r="D141" s="14" t="s">
        <v>148</v>
      </c>
      <c r="E141" s="21"/>
      <c r="F141" s="18"/>
      <c r="G141" s="25"/>
    </row>
    <row r="142" spans="1:7" ht="29.1" customHeight="1" x14ac:dyDescent="0.2">
      <c r="A142" s="21"/>
      <c r="B142" s="10" t="s">
        <v>533</v>
      </c>
      <c r="C142" s="28">
        <v>4.5994739999999998</v>
      </c>
      <c r="D142" s="28">
        <v>4.5994739999999998</v>
      </c>
      <c r="E142" s="21"/>
      <c r="F142" s="18"/>
      <c r="G142" s="25"/>
    </row>
    <row r="143" spans="1:7" ht="29.1" customHeight="1" x14ac:dyDescent="0.2">
      <c r="A143" s="21"/>
      <c r="B143" s="10" t="s">
        <v>534</v>
      </c>
      <c r="C143" s="28">
        <v>4.1925999999999997</v>
      </c>
      <c r="D143" s="28">
        <v>4.1925999999999997</v>
      </c>
      <c r="E143" s="21"/>
      <c r="F143" s="18"/>
      <c r="G143" s="25"/>
    </row>
    <row r="144" spans="1:7" ht="29.1" customHeight="1" x14ac:dyDescent="0.2">
      <c r="A144" s="21"/>
      <c r="B144" s="10" t="s">
        <v>536</v>
      </c>
      <c r="C144" s="28">
        <v>4.2683</v>
      </c>
      <c r="D144" s="14" t="s">
        <v>148</v>
      </c>
      <c r="E144" s="21"/>
      <c r="F144" s="18"/>
      <c r="G144" s="25"/>
    </row>
    <row r="145" spans="1:16" ht="29.1" customHeight="1" x14ac:dyDescent="0.2">
      <c r="A145" s="21"/>
      <c r="B145" s="10" t="s">
        <v>525</v>
      </c>
      <c r="C145" s="28">
        <v>4.5061</v>
      </c>
      <c r="D145" s="14" t="s">
        <v>148</v>
      </c>
      <c r="E145" s="21"/>
      <c r="F145" s="18"/>
      <c r="G145" s="25"/>
    </row>
    <row r="146" spans="1:16" ht="14.1" customHeight="1" x14ac:dyDescent="0.2">
      <c r="A146" s="21"/>
      <c r="B146" s="18"/>
      <c r="C146" s="18"/>
      <c r="D146" s="21"/>
      <c r="E146" s="21"/>
      <c r="F146" s="21"/>
      <c r="G146" s="21"/>
    </row>
    <row r="147" spans="1:16" ht="17.100000000000001" customHeight="1" x14ac:dyDescent="0.2">
      <c r="A147" s="21"/>
      <c r="B147" s="97" t="s">
        <v>464</v>
      </c>
      <c r="C147" s="98"/>
      <c r="D147" s="2" t="s">
        <v>136</v>
      </c>
      <c r="E147" s="25"/>
      <c r="F147" s="25"/>
      <c r="G147" s="25"/>
    </row>
    <row r="148" spans="1:16" ht="29.1" customHeight="1" x14ac:dyDescent="0.2">
      <c r="A148" s="21"/>
      <c r="B148" s="97" t="s">
        <v>465</v>
      </c>
      <c r="C148" s="98"/>
      <c r="D148" s="2" t="s">
        <v>136</v>
      </c>
      <c r="E148" s="31"/>
      <c r="F148" s="21"/>
      <c r="G148" s="21"/>
    </row>
    <row r="149" spans="1:16" ht="29.1" customHeight="1" x14ac:dyDescent="0.2">
      <c r="A149" s="21"/>
      <c r="B149" s="97" t="s">
        <v>466</v>
      </c>
      <c r="C149" s="98"/>
      <c r="D149" s="2" t="s">
        <v>136</v>
      </c>
      <c r="E149" s="31"/>
      <c r="F149" s="21"/>
      <c r="G149" s="21"/>
    </row>
    <row r="150" spans="1:16" ht="17.100000000000001" customHeight="1" x14ac:dyDescent="0.2">
      <c r="A150" s="21"/>
      <c r="B150" s="97" t="s">
        <v>467</v>
      </c>
      <c r="C150" s="98"/>
      <c r="D150" s="32">
        <v>9.1557727715520607E-2</v>
      </c>
      <c r="E150" s="31"/>
      <c r="F150" s="21"/>
      <c r="G150" s="21"/>
    </row>
    <row r="151" spans="1:16" ht="17.100000000000001" customHeight="1" x14ac:dyDescent="0.2">
      <c r="A151" s="21"/>
      <c r="B151" s="97" t="s">
        <v>468</v>
      </c>
      <c r="C151" s="98"/>
      <c r="D151" s="32">
        <v>9.1557727715520607E-2</v>
      </c>
      <c r="E151" s="31"/>
      <c r="F151" s="21"/>
      <c r="G151" s="21"/>
    </row>
    <row r="152" spans="1:16" ht="17.100000000000001" customHeight="1" x14ac:dyDescent="0.2">
      <c r="A152" s="21"/>
      <c r="B152" s="97" t="s">
        <v>469</v>
      </c>
      <c r="C152" s="98"/>
      <c r="D152" s="2" t="s">
        <v>136</v>
      </c>
      <c r="E152" s="31"/>
      <c r="F152" s="21"/>
      <c r="G152" s="21"/>
      <c r="I152" s="40"/>
      <c r="J152"/>
      <c r="K152"/>
      <c r="L152"/>
      <c r="M152"/>
      <c r="N152"/>
      <c r="O152" s="40"/>
    </row>
    <row r="153" spans="1:16" ht="14.1" customHeight="1" x14ac:dyDescent="0.2">
      <c r="A153" s="21"/>
      <c r="B153" s="105"/>
      <c r="C153" s="105"/>
      <c r="D153" s="30"/>
      <c r="E153" s="21"/>
      <c r="F153" s="18"/>
      <c r="G153" s="25"/>
    </row>
    <row r="154" spans="1:16" x14ac:dyDescent="0.2">
      <c r="B154" s="41" t="s">
        <v>516</v>
      </c>
      <c r="C154" s="41"/>
      <c r="D154" s="41"/>
      <c r="E154" s="41"/>
      <c r="F154" s="41"/>
      <c r="G154" s="41"/>
      <c r="H154" s="41"/>
    </row>
    <row r="155" spans="1:16" ht="38.25" x14ac:dyDescent="0.2">
      <c r="B155" s="62" t="s">
        <v>471</v>
      </c>
      <c r="C155" s="62" t="s">
        <v>470</v>
      </c>
      <c r="D155" s="62" t="s">
        <v>497</v>
      </c>
      <c r="E155" s="62" t="s">
        <v>498</v>
      </c>
      <c r="F155" s="62" t="s">
        <v>474</v>
      </c>
    </row>
    <row r="156" spans="1:16" s="63" customFormat="1" ht="25.5" x14ac:dyDescent="0.2">
      <c r="B156" s="64" t="s">
        <v>476</v>
      </c>
      <c r="C156" s="65" t="s">
        <v>475</v>
      </c>
      <c r="D156" s="66">
        <v>0</v>
      </c>
      <c r="E156" s="67">
        <v>0</v>
      </c>
      <c r="F156" s="68">
        <v>5650</v>
      </c>
      <c r="I156"/>
      <c r="J156" s="40"/>
      <c r="K156" s="40"/>
      <c r="L156" s="40"/>
      <c r="M156" s="40"/>
      <c r="N156" s="40"/>
      <c r="O156"/>
      <c r="P156"/>
    </row>
  </sheetData>
  <mergeCells count="19">
    <mergeCell ref="B153:C153"/>
    <mergeCell ref="J2:N2"/>
    <mergeCell ref="A1:H1"/>
    <mergeCell ref="A2:H2"/>
    <mergeCell ref="A3:H3"/>
    <mergeCell ref="B149:C149"/>
    <mergeCell ref="B150:C150"/>
    <mergeCell ref="B148:C148"/>
    <mergeCell ref="B111:F111"/>
    <mergeCell ref="B112:F112"/>
    <mergeCell ref="B113:F113"/>
    <mergeCell ref="B147:C147"/>
    <mergeCell ref="B115:D115"/>
    <mergeCell ref="B116:C116"/>
    <mergeCell ref="B117:C117"/>
    <mergeCell ref="B118:C118"/>
    <mergeCell ref="B136:C136"/>
    <mergeCell ref="B151:C151"/>
    <mergeCell ref="B152:C152"/>
  </mergeCells>
  <hyperlinks>
    <hyperlink ref="I1" location="Index!B6" display="Index" xr:uid="{F80268C0-334F-41EF-9B27-C020D05A3B8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1"/>
  <sheetViews>
    <sheetView showGridLines="0" workbookViewId="0">
      <selection activeCell="H54" sqref="H5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0" t="s">
        <v>0</v>
      </c>
      <c r="B1" s="100"/>
      <c r="C1" s="100"/>
      <c r="D1" s="100"/>
      <c r="E1" s="100"/>
      <c r="F1" s="100"/>
      <c r="G1" s="100"/>
      <c r="H1" s="100"/>
      <c r="I1" s="90" t="s">
        <v>544</v>
      </c>
    </row>
    <row r="2" spans="1:14" ht="17.100000000000001" customHeight="1" x14ac:dyDescent="0.2">
      <c r="A2" s="100" t="s">
        <v>541</v>
      </c>
      <c r="B2" s="100"/>
      <c r="C2" s="100"/>
      <c r="D2" s="100"/>
      <c r="E2" s="100"/>
      <c r="F2" s="100"/>
      <c r="G2" s="100"/>
      <c r="H2" s="100"/>
      <c r="J2" s="99" t="s">
        <v>545</v>
      </c>
      <c r="K2" s="99"/>
      <c r="L2" s="99"/>
      <c r="M2" s="99"/>
      <c r="N2" s="99"/>
    </row>
    <row r="3" spans="1:14" ht="21" customHeight="1" x14ac:dyDescent="0.2">
      <c r="A3" s="100" t="s">
        <v>539</v>
      </c>
      <c r="B3" s="100"/>
      <c r="C3" s="100"/>
      <c r="D3" s="100"/>
      <c r="E3" s="100"/>
      <c r="F3" s="100"/>
      <c r="G3" s="100"/>
      <c r="H3" s="100"/>
    </row>
    <row r="4" spans="1:14" s="88" customFormat="1" ht="30" x14ac:dyDescent="0.2">
      <c r="A4" s="87" t="s">
        <v>2</v>
      </c>
      <c r="B4" s="87" t="s">
        <v>3</v>
      </c>
      <c r="C4" s="87" t="s">
        <v>4</v>
      </c>
      <c r="D4" s="87" t="s">
        <v>5</v>
      </c>
      <c r="E4" s="87" t="s">
        <v>6</v>
      </c>
      <c r="F4" s="87" t="s">
        <v>7</v>
      </c>
      <c r="G4" s="87" t="s">
        <v>8</v>
      </c>
      <c r="H4" s="86" t="s">
        <v>520</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3" t="s">
        <v>555</v>
      </c>
      <c r="K16" s="95"/>
      <c r="L16" s="95"/>
      <c r="M16" s="95"/>
      <c r="N16" s="95"/>
    </row>
    <row r="17" spans="1:10" ht="14.1" customHeight="1" x14ac:dyDescent="0.2">
      <c r="A17" s="1"/>
      <c r="B17" s="1"/>
      <c r="C17" s="5"/>
      <c r="D17" s="1"/>
      <c r="E17" s="1"/>
      <c r="F17" s="6"/>
      <c r="G17" s="6"/>
      <c r="H17" s="12"/>
    </row>
    <row r="18" spans="1:10" ht="14.1" customHeight="1" x14ac:dyDescent="0.2">
      <c r="A18" s="1"/>
      <c r="B18" s="1"/>
      <c r="C18" s="2" t="s">
        <v>16</v>
      </c>
      <c r="D18" s="1"/>
      <c r="E18" s="1"/>
      <c r="F18" s="6"/>
      <c r="G18" s="6"/>
      <c r="H18" s="12"/>
    </row>
    <row r="19" spans="1:10" ht="14.1" customHeight="1" x14ac:dyDescent="0.2">
      <c r="A19" s="1"/>
      <c r="B19" s="1"/>
      <c r="C19" s="2" t="s">
        <v>11</v>
      </c>
      <c r="D19" s="1"/>
      <c r="E19" s="1" t="s">
        <v>12</v>
      </c>
      <c r="F19" s="3">
        <v>0</v>
      </c>
      <c r="G19" s="4">
        <v>0</v>
      </c>
      <c r="H19" s="12"/>
    </row>
    <row r="20" spans="1:10" ht="14.1" customHeight="1" x14ac:dyDescent="0.2">
      <c r="A20" s="1"/>
      <c r="B20" s="1"/>
      <c r="C20" s="5"/>
      <c r="D20" s="1"/>
      <c r="E20" s="1"/>
      <c r="F20" s="6"/>
      <c r="G20" s="6"/>
      <c r="H20" s="12"/>
    </row>
    <row r="21" spans="1:10" ht="14.1" customHeight="1" x14ac:dyDescent="0.2">
      <c r="A21" s="1"/>
      <c r="B21" s="1"/>
      <c r="C21" s="2" t="s">
        <v>17</v>
      </c>
      <c r="D21" s="1"/>
      <c r="E21" s="1"/>
      <c r="F21" s="6"/>
      <c r="G21" s="6"/>
      <c r="H21" s="12"/>
    </row>
    <row r="22" spans="1:10" ht="14.1" customHeight="1" x14ac:dyDescent="0.2">
      <c r="A22" s="1"/>
      <c r="B22" s="1"/>
      <c r="C22" s="2" t="s">
        <v>11</v>
      </c>
      <c r="D22" s="1"/>
      <c r="E22" s="1" t="s">
        <v>12</v>
      </c>
      <c r="F22" s="3">
        <v>0</v>
      </c>
      <c r="G22" s="4">
        <v>0</v>
      </c>
      <c r="H22" s="12"/>
    </row>
    <row r="23" spans="1:10" ht="14.1" customHeight="1" x14ac:dyDescent="0.2">
      <c r="A23" s="1"/>
      <c r="B23" s="1"/>
      <c r="C23" s="5"/>
      <c r="D23" s="1"/>
      <c r="E23" s="1"/>
      <c r="F23" s="6"/>
      <c r="G23" s="6"/>
      <c r="H23" s="12"/>
    </row>
    <row r="24" spans="1:10" ht="18" customHeight="1" x14ac:dyDescent="0.2">
      <c r="A24" s="1"/>
      <c r="B24" s="1"/>
      <c r="C24" s="2" t="s">
        <v>18</v>
      </c>
      <c r="D24" s="1"/>
      <c r="E24" s="1"/>
      <c r="F24" s="7">
        <v>0</v>
      </c>
      <c r="G24" s="8">
        <v>0</v>
      </c>
      <c r="H24" s="12"/>
    </row>
    <row r="25" spans="1:10" ht="14.1" customHeight="1" x14ac:dyDescent="0.2">
      <c r="A25" s="1"/>
      <c r="B25" s="1"/>
      <c r="C25" s="5"/>
      <c r="D25" s="1"/>
      <c r="E25" s="1"/>
      <c r="F25" s="6"/>
      <c r="G25" s="6"/>
      <c r="H25" s="12"/>
    </row>
    <row r="26" spans="1:10" ht="14.1" customHeight="1" x14ac:dyDescent="0.2">
      <c r="A26" s="1"/>
      <c r="B26" s="1"/>
      <c r="C26" s="2" t="s">
        <v>19</v>
      </c>
      <c r="D26" s="1"/>
      <c r="E26" s="1"/>
      <c r="F26" s="6"/>
      <c r="G26" s="6"/>
      <c r="H26" s="12"/>
    </row>
    <row r="27" spans="1:10" ht="24" customHeight="1" x14ac:dyDescent="0.2">
      <c r="A27" s="1"/>
      <c r="B27" s="1"/>
      <c r="C27" s="2" t="s">
        <v>10</v>
      </c>
      <c r="D27" s="1"/>
      <c r="E27" s="1"/>
      <c r="F27" s="6"/>
      <c r="G27" s="6"/>
      <c r="H27" s="12"/>
    </row>
    <row r="28" spans="1:10" ht="29.1" customHeight="1" x14ac:dyDescent="0.2">
      <c r="A28" s="9">
        <v>1</v>
      </c>
      <c r="B28" s="10" t="s">
        <v>293</v>
      </c>
      <c r="C28" s="10" t="s">
        <v>294</v>
      </c>
      <c r="D28" s="10" t="s">
        <v>27</v>
      </c>
      <c r="E28" s="11">
        <v>150</v>
      </c>
      <c r="F28" s="12">
        <v>1476.924</v>
      </c>
      <c r="G28" s="13">
        <v>7.1922491000000005E-2</v>
      </c>
      <c r="H28" s="12">
        <v>6.84</v>
      </c>
    </row>
    <row r="29" spans="1:10" ht="29.1" customHeight="1" x14ac:dyDescent="0.25">
      <c r="A29" s="9">
        <v>2</v>
      </c>
      <c r="B29" s="10" t="s">
        <v>295</v>
      </c>
      <c r="C29" s="10" t="s">
        <v>296</v>
      </c>
      <c r="D29" s="10" t="s">
        <v>27</v>
      </c>
      <c r="E29" s="11">
        <v>120</v>
      </c>
      <c r="F29" s="12">
        <v>1189.1351999999999</v>
      </c>
      <c r="G29" s="13">
        <v>5.7907898999999999E-2</v>
      </c>
      <c r="H29" s="12">
        <v>7.5049999999999999</v>
      </c>
      <c r="J29" s="93" t="s">
        <v>556</v>
      </c>
    </row>
    <row r="30" spans="1:10" ht="29.1" customHeight="1" x14ac:dyDescent="0.2">
      <c r="A30" s="9">
        <v>3</v>
      </c>
      <c r="B30" s="10" t="s">
        <v>291</v>
      </c>
      <c r="C30" s="10" t="s">
        <v>292</v>
      </c>
      <c r="D30" s="10" t="s">
        <v>27</v>
      </c>
      <c r="E30" s="11">
        <v>100</v>
      </c>
      <c r="F30" s="12">
        <v>1003.1369999999999</v>
      </c>
      <c r="G30" s="13">
        <v>4.8850254000000003E-2</v>
      </c>
      <c r="H30" s="12">
        <v>6.68</v>
      </c>
      <c r="J30"/>
    </row>
    <row r="31" spans="1:10" ht="29.1" customHeight="1" x14ac:dyDescent="0.2">
      <c r="A31" s="9">
        <v>4</v>
      </c>
      <c r="B31" s="10" t="s">
        <v>249</v>
      </c>
      <c r="C31" s="10" t="s">
        <v>250</v>
      </c>
      <c r="D31" s="10" t="s">
        <v>246</v>
      </c>
      <c r="E31" s="11">
        <v>100</v>
      </c>
      <c r="F31" s="12">
        <v>993.19100000000003</v>
      </c>
      <c r="G31" s="13">
        <v>4.8365907999999999E-2</v>
      </c>
      <c r="H31" s="12">
        <v>6.48</v>
      </c>
      <c r="J31"/>
    </row>
    <row r="32" spans="1:10" ht="29.1" customHeight="1" x14ac:dyDescent="0.2">
      <c r="A32" s="9">
        <v>5</v>
      </c>
      <c r="B32" s="10" t="s">
        <v>179</v>
      </c>
      <c r="C32" s="10" t="s">
        <v>180</v>
      </c>
      <c r="D32" s="10" t="s">
        <v>27</v>
      </c>
      <c r="E32" s="11">
        <v>100</v>
      </c>
      <c r="F32" s="12">
        <v>972.88599999999997</v>
      </c>
      <c r="G32" s="13">
        <v>4.7377106000000002E-2</v>
      </c>
      <c r="H32" s="12">
        <v>7.0697999999999999</v>
      </c>
      <c r="J32"/>
    </row>
    <row r="33" spans="1:10" ht="29.1" customHeight="1" x14ac:dyDescent="0.2">
      <c r="A33" s="9">
        <v>6</v>
      </c>
      <c r="B33" s="10" t="s">
        <v>288</v>
      </c>
      <c r="C33" s="10" t="s">
        <v>289</v>
      </c>
      <c r="D33" s="10" t="s">
        <v>290</v>
      </c>
      <c r="E33" s="11">
        <v>109276</v>
      </c>
      <c r="F33" s="12">
        <v>869.40859808000005</v>
      </c>
      <c r="G33" s="13">
        <v>4.2338015999999999E-2</v>
      </c>
      <c r="H33" s="12">
        <v>11.747</v>
      </c>
      <c r="J33"/>
    </row>
    <row r="34" spans="1:10" ht="17.100000000000001" customHeight="1" x14ac:dyDescent="0.2">
      <c r="A34" s="9">
        <v>7</v>
      </c>
      <c r="B34" s="10" t="s">
        <v>253</v>
      </c>
      <c r="C34" s="10" t="s">
        <v>254</v>
      </c>
      <c r="D34" s="10" t="s">
        <v>22</v>
      </c>
      <c r="E34" s="11">
        <v>50</v>
      </c>
      <c r="F34" s="12">
        <v>503.47149999999999</v>
      </c>
      <c r="G34" s="13">
        <v>2.4517798E-2</v>
      </c>
      <c r="H34" s="12">
        <v>6.9</v>
      </c>
      <c r="J34"/>
    </row>
    <row r="35" spans="1:10" ht="29.1" customHeight="1" x14ac:dyDescent="0.2">
      <c r="A35" s="9">
        <v>8</v>
      </c>
      <c r="B35" s="10" t="s">
        <v>391</v>
      </c>
      <c r="C35" s="10" t="s">
        <v>392</v>
      </c>
      <c r="D35" s="10" t="s">
        <v>27</v>
      </c>
      <c r="E35" s="11">
        <v>50</v>
      </c>
      <c r="F35" s="12">
        <v>501.61500000000001</v>
      </c>
      <c r="G35" s="13">
        <v>2.4427391E-2</v>
      </c>
      <c r="H35" s="12">
        <v>6.4349999999999996</v>
      </c>
      <c r="J35"/>
    </row>
    <row r="36" spans="1:10" ht="29.1" customHeight="1" x14ac:dyDescent="0.2">
      <c r="A36" s="9">
        <v>9</v>
      </c>
      <c r="B36" s="10" t="s">
        <v>393</v>
      </c>
      <c r="C36" s="10" t="s">
        <v>394</v>
      </c>
      <c r="D36" s="10" t="s">
        <v>27</v>
      </c>
      <c r="E36" s="11">
        <v>50</v>
      </c>
      <c r="F36" s="12">
        <v>501.17099999999999</v>
      </c>
      <c r="G36" s="13">
        <v>2.440577E-2</v>
      </c>
      <c r="H36" s="12">
        <v>6.8</v>
      </c>
      <c r="J36"/>
    </row>
    <row r="37" spans="1:10" ht="29.1" customHeight="1" x14ac:dyDescent="0.2">
      <c r="A37" s="9">
        <v>10</v>
      </c>
      <c r="B37" s="10" t="s">
        <v>155</v>
      </c>
      <c r="C37" s="10" t="s">
        <v>156</v>
      </c>
      <c r="D37" s="10" t="s">
        <v>27</v>
      </c>
      <c r="E37" s="11">
        <v>50</v>
      </c>
      <c r="F37" s="12">
        <v>501.09100000000001</v>
      </c>
      <c r="G37" s="13">
        <v>2.4401874E-2</v>
      </c>
      <c r="H37" s="12">
        <v>6.92</v>
      </c>
    </row>
    <row r="38" spans="1:10" ht="29.1" customHeight="1" x14ac:dyDescent="0.2">
      <c r="A38" s="9">
        <v>11</v>
      </c>
      <c r="B38" s="10" t="s">
        <v>247</v>
      </c>
      <c r="C38" s="10" t="s">
        <v>248</v>
      </c>
      <c r="D38" s="10" t="s">
        <v>27</v>
      </c>
      <c r="E38" s="11">
        <v>50</v>
      </c>
      <c r="F38" s="12">
        <v>500.44</v>
      </c>
      <c r="G38" s="13">
        <v>2.4370171999999999E-2</v>
      </c>
      <c r="H38" s="12">
        <v>7.28</v>
      </c>
    </row>
    <row r="39" spans="1:10" ht="29.1" customHeight="1" x14ac:dyDescent="0.2">
      <c r="A39" s="9">
        <v>12</v>
      </c>
      <c r="B39" s="10" t="s">
        <v>165</v>
      </c>
      <c r="C39" s="10" t="s">
        <v>166</v>
      </c>
      <c r="D39" s="10" t="s">
        <v>22</v>
      </c>
      <c r="E39" s="11">
        <v>50</v>
      </c>
      <c r="F39" s="12">
        <v>498.39850000000001</v>
      </c>
      <c r="G39" s="13">
        <v>2.4270756000000001E-2</v>
      </c>
      <c r="H39" s="12">
        <v>6.7350000000000003</v>
      </c>
    </row>
    <row r="40" spans="1:10" ht="17.100000000000001" customHeight="1" x14ac:dyDescent="0.2">
      <c r="A40" s="9">
        <v>13</v>
      </c>
      <c r="B40" s="10" t="s">
        <v>251</v>
      </c>
      <c r="C40" s="10" t="s">
        <v>252</v>
      </c>
      <c r="D40" s="10" t="s">
        <v>27</v>
      </c>
      <c r="E40" s="11">
        <v>40</v>
      </c>
      <c r="F40" s="12">
        <v>401.18</v>
      </c>
      <c r="G40" s="13">
        <v>1.9536458999999999E-2</v>
      </c>
      <c r="H40" s="12">
        <v>6.04</v>
      </c>
    </row>
    <row r="41" spans="1:10" ht="29.1" customHeight="1" x14ac:dyDescent="0.2">
      <c r="A41" s="9">
        <v>14</v>
      </c>
      <c r="B41" s="10" t="s">
        <v>279</v>
      </c>
      <c r="C41" s="10" t="s">
        <v>280</v>
      </c>
      <c r="D41" s="10" t="s">
        <v>27</v>
      </c>
      <c r="E41" s="11">
        <v>35</v>
      </c>
      <c r="F41" s="12">
        <v>357.1309</v>
      </c>
      <c r="G41" s="13">
        <v>1.7391377999999999E-2</v>
      </c>
      <c r="H41" s="12">
        <v>6.79</v>
      </c>
    </row>
    <row r="42" spans="1:10" ht="17.100000000000001" customHeight="1" x14ac:dyDescent="0.2">
      <c r="A42" s="9">
        <v>15</v>
      </c>
      <c r="B42" s="10" t="s">
        <v>281</v>
      </c>
      <c r="C42" s="10" t="s">
        <v>282</v>
      </c>
      <c r="D42" s="10" t="s">
        <v>27</v>
      </c>
      <c r="E42" s="11">
        <v>10</v>
      </c>
      <c r="F42" s="12">
        <v>101.1953</v>
      </c>
      <c r="G42" s="13">
        <v>4.9279570000000002E-3</v>
      </c>
      <c r="H42" s="12">
        <v>6.46</v>
      </c>
    </row>
    <row r="43" spans="1:10" ht="29.1" customHeight="1" x14ac:dyDescent="0.2">
      <c r="A43" s="9">
        <v>16</v>
      </c>
      <c r="B43" s="10" t="s">
        <v>257</v>
      </c>
      <c r="C43" s="10" t="s">
        <v>258</v>
      </c>
      <c r="D43" s="10" t="s">
        <v>27</v>
      </c>
      <c r="E43" s="11">
        <v>10</v>
      </c>
      <c r="F43" s="12">
        <v>100.80889999999999</v>
      </c>
      <c r="G43" s="13">
        <v>4.9091400000000002E-3</v>
      </c>
      <c r="H43" s="12">
        <v>6.2</v>
      </c>
    </row>
    <row r="44" spans="1:10" ht="29.1" customHeight="1" x14ac:dyDescent="0.2">
      <c r="A44" s="9">
        <v>17</v>
      </c>
      <c r="B44" s="10" t="s">
        <v>159</v>
      </c>
      <c r="C44" s="10" t="s">
        <v>160</v>
      </c>
      <c r="D44" s="10" t="s">
        <v>27</v>
      </c>
      <c r="E44" s="11">
        <v>10</v>
      </c>
      <c r="F44" s="12">
        <v>99.794700000000006</v>
      </c>
      <c r="G44" s="13">
        <v>4.8597509999999998E-3</v>
      </c>
      <c r="H44" s="12">
        <v>5.8650000000000002</v>
      </c>
    </row>
    <row r="45" spans="1:10" ht="14.1" customHeight="1" x14ac:dyDescent="0.2">
      <c r="A45" s="1"/>
      <c r="B45" s="1"/>
      <c r="C45" s="2" t="s">
        <v>11</v>
      </c>
      <c r="D45" s="1"/>
      <c r="E45" s="1" t="s">
        <v>12</v>
      </c>
      <c r="F45" s="7">
        <v>10570.978598080001</v>
      </c>
      <c r="G45" s="8">
        <v>0.51478011999999995</v>
      </c>
      <c r="H45" s="12"/>
    </row>
    <row r="46" spans="1:10" ht="14.1" customHeight="1" x14ac:dyDescent="0.2">
      <c r="A46" s="1"/>
      <c r="B46" s="1"/>
      <c r="C46" s="5"/>
      <c r="D46" s="1"/>
      <c r="E46" s="1"/>
      <c r="F46" s="6"/>
      <c r="G46" s="6"/>
      <c r="H46" s="12"/>
    </row>
    <row r="47" spans="1:10" ht="14.1" customHeight="1" x14ac:dyDescent="0.2">
      <c r="A47" s="1"/>
      <c r="B47" s="1"/>
      <c r="C47" s="2" t="s">
        <v>95</v>
      </c>
      <c r="D47" s="1"/>
      <c r="E47" s="1"/>
      <c r="F47" s="1"/>
      <c r="G47" s="1"/>
      <c r="H47" s="12"/>
    </row>
    <row r="48" spans="1:10" ht="14.1" customHeight="1" x14ac:dyDescent="0.2">
      <c r="A48" s="1"/>
      <c r="B48" s="1"/>
      <c r="C48" s="2" t="s">
        <v>11</v>
      </c>
      <c r="D48" s="1"/>
      <c r="E48" s="1" t="s">
        <v>12</v>
      </c>
      <c r="F48" s="3">
        <v>0</v>
      </c>
      <c r="G48" s="4">
        <v>0</v>
      </c>
      <c r="H48" s="12"/>
    </row>
    <row r="49" spans="1:14" ht="14.1" customHeight="1" x14ac:dyDescent="0.2">
      <c r="A49" s="1"/>
      <c r="B49" s="1"/>
      <c r="C49" s="5"/>
      <c r="D49" s="1"/>
      <c r="E49" s="1"/>
      <c r="F49" s="6"/>
      <c r="G49" s="6"/>
      <c r="H49" s="12"/>
    </row>
    <row r="50" spans="1:14" ht="14.1" customHeight="1" x14ac:dyDescent="0.2">
      <c r="A50" s="1"/>
      <c r="B50" s="1"/>
      <c r="C50" s="2" t="s">
        <v>96</v>
      </c>
      <c r="D50" s="1"/>
      <c r="E50" s="1"/>
      <c r="F50" s="1"/>
      <c r="G50" s="1"/>
      <c r="H50" s="12"/>
    </row>
    <row r="51" spans="1:14" ht="29.1" customHeight="1" x14ac:dyDescent="0.2">
      <c r="A51" s="9">
        <v>1</v>
      </c>
      <c r="B51" s="10" t="s">
        <v>183</v>
      </c>
      <c r="C51" s="10" t="s">
        <v>184</v>
      </c>
      <c r="D51" s="10" t="s">
        <v>99</v>
      </c>
      <c r="E51" s="11">
        <v>2000000</v>
      </c>
      <c r="F51" s="12">
        <v>1921.5160000000001</v>
      </c>
      <c r="G51" s="13">
        <v>9.3573005000000001E-2</v>
      </c>
      <c r="H51" s="12">
        <v>6.7838000000000003</v>
      </c>
    </row>
    <row r="52" spans="1:14" ht="29.1" customHeight="1" x14ac:dyDescent="0.2">
      <c r="A52" s="9">
        <v>2</v>
      </c>
      <c r="B52" s="10" t="s">
        <v>264</v>
      </c>
      <c r="C52" s="10" t="s">
        <v>265</v>
      </c>
      <c r="D52" s="10" t="s">
        <v>99</v>
      </c>
      <c r="E52" s="11">
        <v>500000</v>
      </c>
      <c r="F52" s="12">
        <v>507.78699999999998</v>
      </c>
      <c r="G52" s="13">
        <v>2.4727952000000001E-2</v>
      </c>
      <c r="H52" s="12">
        <v>7.3559000000000001</v>
      </c>
    </row>
    <row r="53" spans="1:14" ht="29.1" customHeight="1" x14ac:dyDescent="0.2">
      <c r="A53" s="9">
        <v>3</v>
      </c>
      <c r="B53" s="10" t="s">
        <v>261</v>
      </c>
      <c r="C53" s="10" t="s">
        <v>262</v>
      </c>
      <c r="D53" s="10" t="s">
        <v>99</v>
      </c>
      <c r="E53" s="11">
        <v>500000</v>
      </c>
      <c r="F53" s="12">
        <v>502.923</v>
      </c>
      <c r="G53" s="13">
        <v>2.4491088000000001E-2</v>
      </c>
      <c r="H53" s="12">
        <v>7.1764999999999999</v>
      </c>
    </row>
    <row r="54" spans="1:14" s="150" customFormat="1" ht="44.25" customHeight="1" x14ac:dyDescent="0.2">
      <c r="A54" s="145">
        <v>4</v>
      </c>
      <c r="B54" s="146" t="s">
        <v>263</v>
      </c>
      <c r="C54" s="146" t="s">
        <v>564</v>
      </c>
      <c r="D54" s="146" t="s">
        <v>99</v>
      </c>
      <c r="E54" s="147">
        <v>500000</v>
      </c>
      <c r="F54" s="148">
        <v>491.5</v>
      </c>
      <c r="G54" s="149">
        <v>2.3934816000000001E-2</v>
      </c>
      <c r="H54" s="148">
        <v>4.9146000000000001</v>
      </c>
      <c r="J54" s="151"/>
      <c r="K54" s="151"/>
      <c r="L54" s="151"/>
      <c r="M54" s="151"/>
      <c r="N54" s="151"/>
    </row>
    <row r="55" spans="1:14" ht="29.1" customHeight="1" x14ac:dyDescent="0.2">
      <c r="A55" s="9">
        <v>5</v>
      </c>
      <c r="B55" s="10" t="s">
        <v>395</v>
      </c>
      <c r="C55" s="10" t="s">
        <v>396</v>
      </c>
      <c r="D55" s="10" t="s">
        <v>99</v>
      </c>
      <c r="E55" s="11">
        <v>400000</v>
      </c>
      <c r="F55" s="12">
        <v>411.54640000000001</v>
      </c>
      <c r="G55" s="13">
        <v>2.0041277E-2</v>
      </c>
      <c r="H55" s="12">
        <v>6.9573</v>
      </c>
    </row>
    <row r="56" spans="1:14" ht="29.1" customHeight="1" x14ac:dyDescent="0.2">
      <c r="A56" s="9">
        <v>6</v>
      </c>
      <c r="B56" s="10" t="s">
        <v>268</v>
      </c>
      <c r="C56" s="10" t="s">
        <v>269</v>
      </c>
      <c r="D56" s="10" t="s">
        <v>99</v>
      </c>
      <c r="E56" s="11">
        <v>395300</v>
      </c>
      <c r="F56" s="12">
        <v>396.41790839999999</v>
      </c>
      <c r="G56" s="13">
        <v>1.9304557E-2</v>
      </c>
      <c r="H56" s="12">
        <v>5.8281999999999998</v>
      </c>
    </row>
    <row r="57" spans="1:14" ht="14.1" customHeight="1" x14ac:dyDescent="0.2">
      <c r="A57" s="1"/>
      <c r="B57" s="1"/>
      <c r="C57" s="2" t="s">
        <v>11</v>
      </c>
      <c r="D57" s="1"/>
      <c r="E57" s="1" t="s">
        <v>12</v>
      </c>
      <c r="F57" s="7">
        <v>4231.6903083999996</v>
      </c>
      <c r="G57" s="8">
        <v>0.206072695</v>
      </c>
      <c r="H57" s="12"/>
    </row>
    <row r="58" spans="1:14" ht="14.1" customHeight="1" x14ac:dyDescent="0.2">
      <c r="A58" s="1"/>
      <c r="B58" s="1"/>
      <c r="C58" s="5"/>
      <c r="D58" s="1"/>
      <c r="E58" s="1"/>
      <c r="F58" s="6"/>
      <c r="G58" s="6"/>
      <c r="H58" s="12"/>
    </row>
    <row r="59" spans="1:14" ht="14.1" customHeight="1" x14ac:dyDescent="0.2">
      <c r="A59" s="1"/>
      <c r="B59" s="1"/>
      <c r="C59" s="2" t="s">
        <v>106</v>
      </c>
      <c r="D59" s="1"/>
      <c r="E59" s="1"/>
      <c r="F59" s="6"/>
      <c r="G59" s="6"/>
      <c r="H59" s="12"/>
    </row>
    <row r="60" spans="1:14" ht="14.1" customHeight="1" x14ac:dyDescent="0.2">
      <c r="A60" s="1"/>
      <c r="B60" s="1"/>
      <c r="C60" s="2" t="s">
        <v>11</v>
      </c>
      <c r="D60" s="1"/>
      <c r="E60" s="1" t="s">
        <v>12</v>
      </c>
      <c r="F60" s="3">
        <v>0</v>
      </c>
      <c r="G60" s="4">
        <v>0</v>
      </c>
      <c r="H60" s="12"/>
    </row>
    <row r="61" spans="1:14" ht="14.1" customHeight="1" x14ac:dyDescent="0.2">
      <c r="A61" s="1"/>
      <c r="B61" s="1"/>
      <c r="C61" s="5"/>
      <c r="D61" s="1"/>
      <c r="E61" s="1"/>
      <c r="F61" s="6"/>
      <c r="G61" s="6"/>
      <c r="H61" s="12"/>
    </row>
    <row r="62" spans="1:14" ht="14.1" customHeight="1" x14ac:dyDescent="0.2">
      <c r="A62" s="1"/>
      <c r="B62" s="1"/>
      <c r="C62" s="2" t="s">
        <v>107</v>
      </c>
      <c r="D62" s="1"/>
      <c r="E62" s="1"/>
      <c r="F62" s="7">
        <v>14802.668906479999</v>
      </c>
      <c r="G62" s="8">
        <v>0.72085281499999998</v>
      </c>
      <c r="H62" s="12"/>
    </row>
    <row r="63" spans="1:14" ht="14.1" customHeight="1" x14ac:dyDescent="0.2">
      <c r="A63" s="1"/>
      <c r="B63" s="1"/>
      <c r="C63" s="5"/>
      <c r="D63" s="1"/>
      <c r="E63" s="1"/>
      <c r="F63" s="6"/>
      <c r="G63" s="6"/>
      <c r="H63" s="12"/>
    </row>
    <row r="64" spans="1:14" ht="14.1" customHeight="1" x14ac:dyDescent="0.2">
      <c r="A64" s="1"/>
      <c r="B64" s="1"/>
      <c r="C64" s="2" t="s">
        <v>108</v>
      </c>
      <c r="D64" s="1"/>
      <c r="E64" s="1"/>
      <c r="F64" s="6"/>
      <c r="G64" s="6"/>
      <c r="H64" s="12"/>
    </row>
    <row r="65" spans="1:8" ht="14.1" customHeight="1" x14ac:dyDescent="0.2">
      <c r="A65" s="1"/>
      <c r="B65" s="1"/>
      <c r="C65" s="2" t="s">
        <v>109</v>
      </c>
      <c r="D65" s="1"/>
      <c r="E65" s="1"/>
      <c r="F65" s="6"/>
      <c r="G65" s="6"/>
      <c r="H65" s="12"/>
    </row>
    <row r="66" spans="1:8" ht="17.100000000000001" customHeight="1" x14ac:dyDescent="0.2">
      <c r="A66" s="9">
        <v>1</v>
      </c>
      <c r="B66" s="10" t="s">
        <v>274</v>
      </c>
      <c r="C66" s="10" t="s">
        <v>275</v>
      </c>
      <c r="D66" s="10" t="s">
        <v>115</v>
      </c>
      <c r="E66" s="11">
        <v>200</v>
      </c>
      <c r="F66" s="12">
        <v>938.62199999999996</v>
      </c>
      <c r="G66" s="13">
        <v>4.5708535000000002E-2</v>
      </c>
      <c r="H66" s="12">
        <v>6.8</v>
      </c>
    </row>
    <row r="67" spans="1:8" ht="14.1" customHeight="1" x14ac:dyDescent="0.2">
      <c r="A67" s="1"/>
      <c r="B67" s="1"/>
      <c r="C67" s="2" t="s">
        <v>11</v>
      </c>
      <c r="D67" s="1"/>
      <c r="E67" s="1" t="s">
        <v>12</v>
      </c>
      <c r="F67" s="7">
        <v>938.62199999999996</v>
      </c>
      <c r="G67" s="8">
        <v>4.5708535000000002E-2</v>
      </c>
      <c r="H67" s="12"/>
    </row>
    <row r="68" spans="1:8" ht="14.1" customHeight="1" x14ac:dyDescent="0.2">
      <c r="A68" s="1"/>
      <c r="B68" s="1"/>
      <c r="C68" s="5"/>
      <c r="D68" s="1"/>
      <c r="E68" s="1"/>
      <c r="F68" s="6"/>
      <c r="G68" s="6"/>
      <c r="H68" s="12"/>
    </row>
    <row r="69" spans="1:8" ht="14.1" customHeight="1" x14ac:dyDescent="0.2">
      <c r="A69" s="1"/>
      <c r="B69" s="1"/>
      <c r="C69" s="2" t="s">
        <v>116</v>
      </c>
      <c r="D69" s="1"/>
      <c r="E69" s="1"/>
      <c r="F69" s="6"/>
      <c r="G69" s="6"/>
      <c r="H69" s="12"/>
    </row>
    <row r="70" spans="1:8" ht="29.1" customHeight="1" x14ac:dyDescent="0.2">
      <c r="A70" s="9">
        <v>1</v>
      </c>
      <c r="B70" s="10" t="s">
        <v>307</v>
      </c>
      <c r="C70" s="10" t="s">
        <v>308</v>
      </c>
      <c r="D70" s="10" t="s">
        <v>115</v>
      </c>
      <c r="E70" s="11">
        <v>100</v>
      </c>
      <c r="F70" s="12">
        <v>486.66950000000003</v>
      </c>
      <c r="G70" s="13">
        <v>2.3699583E-2</v>
      </c>
      <c r="H70" s="12">
        <v>6.8949999999999996</v>
      </c>
    </row>
    <row r="71" spans="1:8" ht="14.1" customHeight="1" x14ac:dyDescent="0.2">
      <c r="A71" s="1"/>
      <c r="B71" s="1"/>
      <c r="C71" s="2" t="s">
        <v>11</v>
      </c>
      <c r="D71" s="1"/>
      <c r="E71" s="1" t="s">
        <v>12</v>
      </c>
      <c r="F71" s="7">
        <v>486.66950000000003</v>
      </c>
      <c r="G71" s="8">
        <v>2.3699583E-2</v>
      </c>
      <c r="H71" s="12"/>
    </row>
    <row r="72" spans="1:8" ht="14.1" customHeight="1" x14ac:dyDescent="0.2">
      <c r="A72" s="1"/>
      <c r="B72" s="1"/>
      <c r="C72" s="5"/>
      <c r="D72" s="1"/>
      <c r="E72" s="1"/>
      <c r="F72" s="6"/>
      <c r="G72" s="6"/>
      <c r="H72" s="12"/>
    </row>
    <row r="73" spans="1:8" ht="14.1" customHeight="1" x14ac:dyDescent="0.2">
      <c r="A73" s="1"/>
      <c r="B73" s="1"/>
      <c r="C73" s="2" t="s">
        <v>121</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
      <c r="C76" s="2" t="s">
        <v>122</v>
      </c>
      <c r="D76" s="1"/>
      <c r="E76" s="1"/>
      <c r="F76" s="6"/>
      <c r="G76" s="6"/>
      <c r="H76" s="12"/>
    </row>
    <row r="77" spans="1:8" ht="17.100000000000001" customHeight="1" x14ac:dyDescent="0.2">
      <c r="A77" s="9">
        <v>1</v>
      </c>
      <c r="B77" s="10"/>
      <c r="C77" s="10" t="s">
        <v>123</v>
      </c>
      <c r="D77" s="10"/>
      <c r="E77" s="14"/>
      <c r="F77" s="12">
        <v>4052.15526</v>
      </c>
      <c r="G77" s="13">
        <v>0.19732978900000001</v>
      </c>
      <c r="H77" s="12">
        <v>5.4181585046733343</v>
      </c>
    </row>
    <row r="78" spans="1:8" ht="14.1" customHeight="1" x14ac:dyDescent="0.2">
      <c r="A78" s="1"/>
      <c r="B78" s="1"/>
      <c r="C78" s="2" t="s">
        <v>11</v>
      </c>
      <c r="D78" s="1"/>
      <c r="E78" s="1" t="s">
        <v>12</v>
      </c>
      <c r="F78" s="7">
        <v>4052.15526</v>
      </c>
      <c r="G78" s="8">
        <v>0.19732978900000001</v>
      </c>
      <c r="H78" s="12"/>
    </row>
    <row r="79" spans="1:8" ht="14.1" customHeight="1" x14ac:dyDescent="0.2">
      <c r="A79" s="1"/>
      <c r="B79" s="1"/>
      <c r="C79" s="5"/>
      <c r="D79" s="1"/>
      <c r="E79" s="1"/>
      <c r="F79" s="6"/>
      <c r="G79" s="6"/>
      <c r="H79" s="12"/>
    </row>
    <row r="80" spans="1:8" ht="14.1" customHeight="1" x14ac:dyDescent="0.2">
      <c r="A80" s="1"/>
      <c r="B80" s="1"/>
      <c r="C80" s="2" t="s">
        <v>124</v>
      </c>
      <c r="D80" s="1"/>
      <c r="E80" s="1"/>
      <c r="F80" s="7">
        <v>5477.4467599999998</v>
      </c>
      <c r="G80" s="8">
        <v>0.266737907</v>
      </c>
      <c r="H80" s="12"/>
    </row>
    <row r="81" spans="1:8" ht="14.1" customHeight="1" x14ac:dyDescent="0.2">
      <c r="A81" s="1"/>
      <c r="B81" s="1"/>
      <c r="C81" s="6"/>
      <c r="D81" s="1"/>
      <c r="E81" s="1"/>
      <c r="F81" s="1"/>
      <c r="G81" s="1"/>
      <c r="H81" s="12"/>
    </row>
    <row r="82" spans="1:8" ht="14.1" customHeight="1" x14ac:dyDescent="0.2">
      <c r="A82" s="1"/>
      <c r="B82" s="1"/>
      <c r="C82" s="2" t="s">
        <v>125</v>
      </c>
      <c r="D82" s="1"/>
      <c r="E82" s="1"/>
      <c r="F82" s="1"/>
      <c r="G82" s="1"/>
      <c r="H82" s="12"/>
    </row>
    <row r="83" spans="1:8" ht="14.1" customHeight="1" x14ac:dyDescent="0.2">
      <c r="A83" s="1"/>
      <c r="B83" s="1"/>
      <c r="C83" s="2" t="s">
        <v>126</v>
      </c>
      <c r="D83" s="1"/>
      <c r="E83" s="1"/>
      <c r="F83" s="1"/>
      <c r="G83" s="1"/>
      <c r="H83" s="12"/>
    </row>
    <row r="84" spans="1:8" ht="14.1" customHeight="1" x14ac:dyDescent="0.2">
      <c r="A84" s="1"/>
      <c r="B84" s="1"/>
      <c r="C84" s="2" t="s">
        <v>11</v>
      </c>
      <c r="D84" s="1"/>
      <c r="E84" s="1" t="s">
        <v>12</v>
      </c>
      <c r="F84" s="3">
        <v>0</v>
      </c>
      <c r="G84" s="4">
        <v>0</v>
      </c>
      <c r="H84" s="12"/>
    </row>
    <row r="85" spans="1:8" ht="14.1" customHeight="1" x14ac:dyDescent="0.2">
      <c r="A85" s="1"/>
      <c r="B85" s="1"/>
      <c r="C85" s="5"/>
      <c r="D85" s="1"/>
      <c r="E85" s="1"/>
      <c r="F85" s="6"/>
      <c r="G85" s="6"/>
      <c r="H85" s="12"/>
    </row>
    <row r="86" spans="1:8" ht="14.1" customHeight="1" x14ac:dyDescent="0.2">
      <c r="A86" s="1"/>
      <c r="B86" s="1"/>
      <c r="C86" s="2" t="s">
        <v>127</v>
      </c>
      <c r="D86" s="1"/>
      <c r="E86" s="1"/>
      <c r="F86" s="1"/>
      <c r="G86" s="1"/>
      <c r="H86" s="12"/>
    </row>
    <row r="87" spans="1:8" ht="14.1" customHeight="1" x14ac:dyDescent="0.2">
      <c r="A87" s="1"/>
      <c r="B87" s="1"/>
      <c r="C87" s="2" t="s">
        <v>128</v>
      </c>
      <c r="D87" s="1"/>
      <c r="E87" s="1"/>
      <c r="F87" s="1"/>
      <c r="G87" s="1"/>
      <c r="H87" s="12"/>
    </row>
    <row r="88" spans="1:8" ht="14.1" customHeight="1" x14ac:dyDescent="0.2">
      <c r="A88" s="1"/>
      <c r="B88" s="1"/>
      <c r="C88" s="2" t="s">
        <v>11</v>
      </c>
      <c r="D88" s="1"/>
      <c r="E88" s="1" t="s">
        <v>12</v>
      </c>
      <c r="F88" s="3">
        <v>0</v>
      </c>
      <c r="G88" s="4">
        <v>0</v>
      </c>
      <c r="H88" s="12"/>
    </row>
    <row r="89" spans="1:8" ht="14.1" customHeight="1" x14ac:dyDescent="0.2">
      <c r="A89" s="1"/>
      <c r="B89" s="1"/>
      <c r="C89" s="5"/>
      <c r="D89" s="1"/>
      <c r="E89" s="1"/>
      <c r="F89" s="6"/>
      <c r="G89" s="6"/>
      <c r="H89" s="12"/>
    </row>
    <row r="90" spans="1:8" ht="24" customHeight="1" x14ac:dyDescent="0.2">
      <c r="A90" s="1"/>
      <c r="B90" s="1"/>
      <c r="C90" s="2" t="s">
        <v>129</v>
      </c>
      <c r="D90" s="1"/>
      <c r="E90" s="1"/>
      <c r="F90" s="6"/>
      <c r="G90" s="6"/>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14.1" customHeight="1" x14ac:dyDescent="0.2">
      <c r="A93" s="1"/>
      <c r="B93" s="10"/>
      <c r="C93" s="10"/>
      <c r="D93" s="2"/>
      <c r="E93" s="1"/>
      <c r="F93" s="10"/>
      <c r="G93" s="14"/>
      <c r="H93" s="12"/>
    </row>
    <row r="94" spans="1:8" ht="18" customHeight="1" x14ac:dyDescent="0.2">
      <c r="A94" s="14"/>
      <c r="B94" s="10"/>
      <c r="C94" s="10" t="s">
        <v>130</v>
      </c>
      <c r="D94" s="10"/>
      <c r="E94" s="14"/>
      <c r="F94" s="12">
        <v>254.82377267999999</v>
      </c>
      <c r="G94" s="13">
        <v>1.2409277999999999E-2</v>
      </c>
      <c r="H94" s="12"/>
    </row>
    <row r="95" spans="1:8" ht="14.1" customHeight="1" x14ac:dyDescent="0.2">
      <c r="A95" s="5"/>
      <c r="B95" s="5"/>
      <c r="C95" s="2" t="s">
        <v>131</v>
      </c>
      <c r="D95" s="6"/>
      <c r="E95" s="6"/>
      <c r="F95" s="7">
        <v>20534.93943916</v>
      </c>
      <c r="G95" s="8">
        <v>1</v>
      </c>
      <c r="H95" s="12"/>
    </row>
    <row r="96" spans="1:8" ht="14.1" customHeight="1" x14ac:dyDescent="0.2">
      <c r="A96" s="15"/>
      <c r="B96" s="15"/>
      <c r="C96" s="15"/>
      <c r="D96" s="16"/>
      <c r="E96" s="16"/>
      <c r="F96" s="16"/>
      <c r="G96" s="16"/>
    </row>
    <row r="97" spans="1:7" ht="17.100000000000001" customHeight="1" x14ac:dyDescent="0.2">
      <c r="A97" s="17"/>
      <c r="B97" s="101" t="s">
        <v>132</v>
      </c>
      <c r="C97" s="101"/>
      <c r="D97" s="101"/>
      <c r="E97" s="101"/>
      <c r="F97" s="101"/>
      <c r="G97" s="19"/>
    </row>
    <row r="98" spans="1:7" ht="17.100000000000001" customHeight="1" x14ac:dyDescent="0.2">
      <c r="A98" s="17"/>
      <c r="B98" s="101" t="s">
        <v>133</v>
      </c>
      <c r="C98" s="101"/>
      <c r="D98" s="101"/>
      <c r="E98" s="101"/>
      <c r="F98" s="101"/>
      <c r="G98" s="19"/>
    </row>
    <row r="99" spans="1:7" ht="66" customHeight="1" x14ac:dyDescent="0.2">
      <c r="A99" s="17"/>
      <c r="B99" s="101" t="s">
        <v>565</v>
      </c>
      <c r="C99" s="101"/>
      <c r="D99" s="101"/>
      <c r="E99" s="101"/>
      <c r="F99" s="101"/>
      <c r="G99" s="19"/>
    </row>
    <row r="100" spans="1:7" ht="14.1" customHeight="1" x14ac:dyDescent="0.2">
      <c r="A100" s="17"/>
      <c r="B100" s="17"/>
      <c r="C100" s="17"/>
      <c r="D100" s="19"/>
      <c r="E100" s="19"/>
      <c r="F100" s="19"/>
      <c r="G100" s="19"/>
    </row>
    <row r="101" spans="1:7" ht="14.1" customHeight="1" x14ac:dyDescent="0.2">
      <c r="A101" s="17"/>
      <c r="B101" s="102" t="s">
        <v>134</v>
      </c>
      <c r="C101" s="103"/>
      <c r="D101" s="104"/>
      <c r="E101" s="20"/>
      <c r="F101" s="19"/>
      <c r="G101" s="19"/>
    </row>
    <row r="102" spans="1:7" ht="29.1" customHeight="1" x14ac:dyDescent="0.2">
      <c r="A102" s="17"/>
      <c r="B102" s="97" t="s">
        <v>135</v>
      </c>
      <c r="C102" s="98"/>
      <c r="D102" s="2" t="s">
        <v>496</v>
      </c>
      <c r="E102" s="20"/>
      <c r="F102" s="19"/>
      <c r="G102" s="19"/>
    </row>
    <row r="103" spans="1:7" ht="17.100000000000001" customHeight="1" x14ac:dyDescent="0.2">
      <c r="A103" s="17"/>
      <c r="B103" s="97" t="s">
        <v>137</v>
      </c>
      <c r="C103" s="98"/>
      <c r="D103" s="2" t="s">
        <v>136</v>
      </c>
      <c r="E103" s="20"/>
      <c r="F103" s="19"/>
      <c r="G103" s="19"/>
    </row>
    <row r="104" spans="1:7" ht="17.100000000000001" customHeight="1" x14ac:dyDescent="0.2">
      <c r="A104" s="17"/>
      <c r="B104" s="97" t="s">
        <v>138</v>
      </c>
      <c r="C104" s="98"/>
      <c r="D104" s="6" t="s">
        <v>12</v>
      </c>
      <c r="E104" s="20"/>
      <c r="F104" s="19"/>
      <c r="G104" s="19"/>
    </row>
    <row r="105" spans="1:7" ht="24" customHeight="1" x14ac:dyDescent="0.2">
      <c r="A105" s="21"/>
      <c r="B105" s="22" t="s">
        <v>12</v>
      </c>
      <c r="C105" s="22" t="s">
        <v>139</v>
      </c>
      <c r="D105" s="22" t="s">
        <v>140</v>
      </c>
      <c r="E105" s="21"/>
      <c r="F105" s="21"/>
      <c r="G105" s="21"/>
    </row>
    <row r="106" spans="1:7" ht="18" customHeight="1" x14ac:dyDescent="0.2">
      <c r="A106" s="21"/>
      <c r="B106" s="23" t="s">
        <v>141</v>
      </c>
      <c r="C106" s="22" t="s">
        <v>142</v>
      </c>
      <c r="D106" s="22" t="s">
        <v>143</v>
      </c>
      <c r="E106" s="21"/>
      <c r="F106" s="21"/>
      <c r="G106" s="21"/>
    </row>
    <row r="107" spans="1:7" ht="17.100000000000001" customHeight="1" x14ac:dyDescent="0.2">
      <c r="A107" s="21"/>
      <c r="B107" s="10" t="s">
        <v>144</v>
      </c>
      <c r="C107" s="24">
        <v>38.291200000000003</v>
      </c>
      <c r="D107" s="24">
        <v>38.521000000000001</v>
      </c>
      <c r="E107" s="21"/>
      <c r="F107" s="18"/>
      <c r="G107" s="25"/>
    </row>
    <row r="108" spans="1:7" ht="29.1" customHeight="1" x14ac:dyDescent="0.2">
      <c r="A108" s="21"/>
      <c r="B108" s="10" t="s">
        <v>531</v>
      </c>
      <c r="C108" s="24">
        <v>12.887</v>
      </c>
      <c r="D108" s="24">
        <v>12.892799999999999</v>
      </c>
      <c r="E108" s="21"/>
      <c r="F108" s="18"/>
      <c r="G108" s="25"/>
    </row>
    <row r="109" spans="1:7" ht="29.1" customHeight="1" x14ac:dyDescent="0.2">
      <c r="A109" s="21"/>
      <c r="B109" s="10" t="s">
        <v>535</v>
      </c>
      <c r="C109" s="24">
        <v>12.887</v>
      </c>
      <c r="D109" s="24">
        <v>12.892799999999999</v>
      </c>
      <c r="E109" s="21"/>
      <c r="F109" s="18"/>
      <c r="G109" s="25"/>
    </row>
    <row r="110" spans="1:7" ht="29.1" customHeight="1" x14ac:dyDescent="0.2">
      <c r="A110" s="21"/>
      <c r="B110" s="10" t="s">
        <v>521</v>
      </c>
      <c r="C110" s="24">
        <v>12.911</v>
      </c>
      <c r="D110" s="24">
        <v>12.902200000000001</v>
      </c>
      <c r="E110" s="21"/>
      <c r="F110" s="18"/>
      <c r="G110" s="25"/>
    </row>
    <row r="111" spans="1:7" ht="29.1" customHeight="1" x14ac:dyDescent="0.2">
      <c r="A111" s="21"/>
      <c r="B111" s="10" t="s">
        <v>522</v>
      </c>
      <c r="C111" s="24">
        <v>13.0025</v>
      </c>
      <c r="D111" s="24">
        <v>13.080500000000001</v>
      </c>
      <c r="E111" s="21"/>
      <c r="F111" s="18"/>
      <c r="G111" s="25"/>
    </row>
    <row r="112" spans="1:7" ht="29.1" customHeight="1" x14ac:dyDescent="0.2">
      <c r="A112" s="21"/>
      <c r="B112" s="10" t="s">
        <v>523</v>
      </c>
      <c r="C112" s="24">
        <v>12.927199999999999</v>
      </c>
      <c r="D112" s="24">
        <v>13.004799999999999</v>
      </c>
      <c r="E112" s="21"/>
      <c r="F112" s="18"/>
      <c r="G112" s="25"/>
    </row>
    <row r="113" spans="1:7" ht="29.1" customHeight="1" x14ac:dyDescent="0.2">
      <c r="A113" s="21"/>
      <c r="B113" s="10" t="s">
        <v>524</v>
      </c>
      <c r="C113" s="24">
        <v>12.775499999999999</v>
      </c>
      <c r="D113" s="24">
        <v>12.852</v>
      </c>
      <c r="E113" s="21"/>
      <c r="F113" s="18"/>
      <c r="G113" s="25"/>
    </row>
    <row r="114" spans="1:7" ht="17.100000000000001" customHeight="1" x14ac:dyDescent="0.2">
      <c r="A114" s="21"/>
      <c r="B114" s="10" t="s">
        <v>145</v>
      </c>
      <c r="C114" s="24">
        <v>35.970999999999997</v>
      </c>
      <c r="D114" s="24">
        <v>36.166800000000002</v>
      </c>
      <c r="E114" s="21"/>
      <c r="F114" s="18"/>
      <c r="G114" s="25"/>
    </row>
    <row r="115" spans="1:7" ht="17.100000000000001" customHeight="1" x14ac:dyDescent="0.2">
      <c r="A115" s="21"/>
      <c r="B115" s="10" t="s">
        <v>191</v>
      </c>
      <c r="C115" s="24">
        <v>12.993600000000001</v>
      </c>
      <c r="D115" s="24">
        <v>13.064399999999999</v>
      </c>
      <c r="E115" s="21"/>
      <c r="F115" s="18"/>
      <c r="G115" s="25"/>
    </row>
    <row r="116" spans="1:7" ht="29.1" customHeight="1" x14ac:dyDescent="0.2">
      <c r="A116" s="21"/>
      <c r="B116" s="10" t="s">
        <v>534</v>
      </c>
      <c r="C116" s="24">
        <v>12.851800000000001</v>
      </c>
      <c r="D116" s="24">
        <v>12.8569</v>
      </c>
      <c r="E116" s="21"/>
      <c r="F116" s="18"/>
      <c r="G116" s="25"/>
    </row>
    <row r="117" spans="1:7" ht="29.1" customHeight="1" x14ac:dyDescent="0.2">
      <c r="A117" s="21"/>
      <c r="B117" s="10" t="s">
        <v>536</v>
      </c>
      <c r="C117" s="24">
        <v>12.851800000000001</v>
      </c>
      <c r="D117" s="24">
        <v>12.856999999999999</v>
      </c>
      <c r="E117" s="21"/>
      <c r="F117" s="18"/>
      <c r="G117" s="25"/>
    </row>
    <row r="118" spans="1:7" ht="29.1" customHeight="1" x14ac:dyDescent="0.2">
      <c r="A118" s="21"/>
      <c r="B118" s="10" t="s">
        <v>525</v>
      </c>
      <c r="C118" s="24">
        <v>12.8725</v>
      </c>
      <c r="D118" s="24">
        <v>12.8642</v>
      </c>
      <c r="E118" s="21"/>
      <c r="F118" s="18"/>
      <c r="G118" s="25"/>
    </row>
    <row r="119" spans="1:7" ht="29.1" customHeight="1" x14ac:dyDescent="0.2">
      <c r="A119" s="21"/>
      <c r="B119" s="10" t="s">
        <v>526</v>
      </c>
      <c r="C119" s="24">
        <v>12.918900000000001</v>
      </c>
      <c r="D119" s="24">
        <v>12.9892</v>
      </c>
      <c r="E119" s="21"/>
      <c r="F119" s="18"/>
      <c r="G119" s="25"/>
    </row>
    <row r="120" spans="1:7" ht="29.1" customHeight="1" x14ac:dyDescent="0.2">
      <c r="A120" s="21"/>
      <c r="B120" s="10" t="s">
        <v>527</v>
      </c>
      <c r="C120" s="24">
        <v>12.8431</v>
      </c>
      <c r="D120" s="24">
        <v>12.913</v>
      </c>
      <c r="E120" s="21"/>
      <c r="F120" s="18"/>
      <c r="G120" s="25"/>
    </row>
    <row r="121" spans="1:7" ht="29.1" customHeight="1" x14ac:dyDescent="0.2">
      <c r="A121" s="21"/>
      <c r="B121" s="10" t="s">
        <v>528</v>
      </c>
      <c r="C121" s="24">
        <v>12.692299999999999</v>
      </c>
      <c r="D121" s="24">
        <v>12.7614</v>
      </c>
      <c r="E121" s="21"/>
      <c r="F121" s="18"/>
      <c r="G121" s="25"/>
    </row>
    <row r="122" spans="1:7" ht="14.1" customHeight="1" x14ac:dyDescent="0.2">
      <c r="A122" s="21"/>
      <c r="B122" s="21"/>
      <c r="C122" s="21"/>
      <c r="D122" s="21"/>
      <c r="E122" s="21"/>
      <c r="F122" s="21"/>
      <c r="G122" s="21"/>
    </row>
    <row r="123" spans="1:7" ht="17.100000000000001" customHeight="1" x14ac:dyDescent="0.2">
      <c r="A123" s="21"/>
      <c r="B123" s="97" t="s">
        <v>529</v>
      </c>
      <c r="C123" s="98"/>
      <c r="D123" s="2" t="s">
        <v>12</v>
      </c>
      <c r="E123" s="21"/>
      <c r="F123" s="21"/>
      <c r="G123" s="21"/>
    </row>
    <row r="124" spans="1:7" ht="18" customHeight="1" x14ac:dyDescent="0.2">
      <c r="A124" s="21"/>
      <c r="B124" s="26" t="s">
        <v>141</v>
      </c>
      <c r="C124" s="27" t="s">
        <v>146</v>
      </c>
      <c r="D124" s="27" t="s">
        <v>147</v>
      </c>
      <c r="E124" s="21"/>
      <c r="F124" s="21"/>
      <c r="G124" s="21"/>
    </row>
    <row r="125" spans="1:7" ht="29.1" customHeight="1" x14ac:dyDescent="0.2">
      <c r="A125" s="21"/>
      <c r="B125" s="10" t="s">
        <v>531</v>
      </c>
      <c r="C125" s="28">
        <v>7.1300000000000002E-2</v>
      </c>
      <c r="D125" s="14" t="s">
        <v>148</v>
      </c>
      <c r="E125" s="21"/>
      <c r="F125" s="18"/>
      <c r="G125" s="25"/>
    </row>
    <row r="126" spans="1:7" ht="29.1" customHeight="1" x14ac:dyDescent="0.2">
      <c r="A126" s="21"/>
      <c r="B126" s="10" t="s">
        <v>535</v>
      </c>
      <c r="C126" s="28">
        <v>7.1400000000000005E-2</v>
      </c>
      <c r="D126" s="14" t="s">
        <v>148</v>
      </c>
      <c r="E126" s="21"/>
      <c r="F126" s="18"/>
      <c r="G126" s="25"/>
    </row>
    <row r="127" spans="1:7" ht="29.1" customHeight="1" x14ac:dyDescent="0.2">
      <c r="A127" s="21"/>
      <c r="B127" s="10" t="s">
        <v>521</v>
      </c>
      <c r="C127" s="28">
        <v>8.6099999999999996E-2</v>
      </c>
      <c r="D127" s="14" t="s">
        <v>148</v>
      </c>
      <c r="E127" s="21"/>
      <c r="F127" s="18"/>
      <c r="G127" s="25"/>
    </row>
    <row r="128" spans="1:7" ht="29.1" customHeight="1" x14ac:dyDescent="0.2">
      <c r="A128" s="21"/>
      <c r="B128" s="10" t="s">
        <v>534</v>
      </c>
      <c r="C128" s="28">
        <v>6.4699999999999994E-2</v>
      </c>
      <c r="D128" s="28">
        <v>6.4699999999999994E-2</v>
      </c>
      <c r="E128" s="21"/>
      <c r="F128" s="18"/>
      <c r="G128" s="25"/>
    </row>
    <row r="129" spans="1:15" ht="29.1" customHeight="1" x14ac:dyDescent="0.2">
      <c r="A129" s="21"/>
      <c r="B129" s="10" t="s">
        <v>536</v>
      </c>
      <c r="C129" s="28">
        <v>6.4799999999999996E-2</v>
      </c>
      <c r="D129" s="14" t="s">
        <v>148</v>
      </c>
      <c r="E129" s="21"/>
      <c r="F129" s="18"/>
      <c r="G129" s="25"/>
    </row>
    <row r="130" spans="1:15" ht="29.1" customHeight="1" x14ac:dyDescent="0.2">
      <c r="A130" s="21"/>
      <c r="B130" s="10" t="s">
        <v>525</v>
      </c>
      <c r="C130" s="28">
        <v>7.8299999999999995E-2</v>
      </c>
      <c r="D130" s="28">
        <v>7.8299999999999995E-2</v>
      </c>
      <c r="E130" s="21"/>
      <c r="F130" s="18"/>
      <c r="G130" s="25"/>
    </row>
    <row r="131" spans="1:15" ht="14.1" customHeight="1" x14ac:dyDescent="0.2">
      <c r="A131" s="21"/>
      <c r="B131" s="18"/>
      <c r="C131" s="18"/>
      <c r="D131" s="21"/>
      <c r="E131" s="21"/>
      <c r="F131" s="21"/>
      <c r="G131" s="21"/>
      <c r="J131"/>
      <c r="K131"/>
      <c r="L131"/>
      <c r="M131"/>
      <c r="N131"/>
    </row>
    <row r="132" spans="1:15" ht="17.100000000000001" customHeight="1" x14ac:dyDescent="0.2">
      <c r="A132" s="21"/>
      <c r="B132" s="97" t="s">
        <v>464</v>
      </c>
      <c r="C132" s="98"/>
      <c r="D132" s="2" t="s">
        <v>136</v>
      </c>
      <c r="E132" s="21"/>
      <c r="F132" s="18"/>
      <c r="G132" s="25"/>
    </row>
    <row r="133" spans="1:15" ht="29.1" customHeight="1" x14ac:dyDescent="0.2">
      <c r="A133" s="21"/>
      <c r="B133" s="97" t="s">
        <v>465</v>
      </c>
      <c r="C133" s="98"/>
      <c r="D133" s="2" t="s">
        <v>136</v>
      </c>
      <c r="E133" s="31"/>
      <c r="F133" s="21"/>
      <c r="G133" s="21"/>
      <c r="J133"/>
      <c r="K133"/>
      <c r="L133"/>
      <c r="M133"/>
      <c r="N133"/>
    </row>
    <row r="134" spans="1:15" ht="29.1" customHeight="1" x14ac:dyDescent="0.2">
      <c r="A134" s="21"/>
      <c r="B134" s="97" t="s">
        <v>466</v>
      </c>
      <c r="C134" s="98"/>
      <c r="D134" s="2" t="s">
        <v>136</v>
      </c>
      <c r="E134" s="31"/>
      <c r="F134" s="21"/>
      <c r="G134" s="21"/>
    </row>
    <row r="135" spans="1:15" ht="17.100000000000001" customHeight="1" x14ac:dyDescent="0.2">
      <c r="A135" s="21"/>
      <c r="B135" s="97" t="s">
        <v>467</v>
      </c>
      <c r="C135" s="98"/>
      <c r="D135" s="32">
        <v>2.1272342183735602</v>
      </c>
      <c r="E135" s="31"/>
      <c r="F135" s="21"/>
      <c r="G135" s="21"/>
    </row>
    <row r="136" spans="1:15" ht="17.100000000000001" customHeight="1" x14ac:dyDescent="0.2">
      <c r="A136" s="21"/>
      <c r="B136" s="97" t="s">
        <v>468</v>
      </c>
      <c r="C136" s="98"/>
      <c r="D136" s="32">
        <v>1.4907806445464067</v>
      </c>
      <c r="E136" s="31"/>
      <c r="F136" s="21"/>
      <c r="G136" s="21"/>
    </row>
    <row r="137" spans="1:15" ht="17.100000000000001" customHeight="1" x14ac:dyDescent="0.2">
      <c r="A137" s="21"/>
      <c r="B137" s="97" t="s">
        <v>469</v>
      </c>
      <c r="C137" s="98"/>
      <c r="D137" s="2" t="s">
        <v>136</v>
      </c>
      <c r="E137" s="31"/>
      <c r="F137" s="21"/>
      <c r="G137" s="21"/>
    </row>
    <row r="138" spans="1:15" x14ac:dyDescent="0.2">
      <c r="A138" s="21"/>
      <c r="B138" s="105"/>
      <c r="C138" s="105"/>
      <c r="D138" s="30"/>
      <c r="E138" s="21"/>
      <c r="F138" s="18"/>
      <c r="G138" s="25"/>
    </row>
    <row r="139" spans="1:15" x14ac:dyDescent="0.2">
      <c r="B139" s="123" t="s">
        <v>516</v>
      </c>
      <c r="C139" s="123"/>
      <c r="D139" s="123"/>
      <c r="E139" s="123"/>
      <c r="F139" s="123"/>
      <c r="G139" s="123"/>
      <c r="H139" s="123"/>
    </row>
    <row r="140" spans="1:15" x14ac:dyDescent="0.2">
      <c r="B140" s="42"/>
      <c r="C140" s="42"/>
      <c r="D140" s="42"/>
      <c r="E140" s="42"/>
      <c r="F140" s="42"/>
      <c r="G140" s="42"/>
      <c r="H140" s="42"/>
      <c r="O140" s="40"/>
    </row>
    <row r="141" spans="1:15" x14ac:dyDescent="0.2">
      <c r="B141" s="50" t="s">
        <v>477</v>
      </c>
      <c r="C141" s="50" t="s">
        <v>478</v>
      </c>
      <c r="D141" s="118" t="s">
        <v>472</v>
      </c>
      <c r="E141" s="119"/>
      <c r="F141" s="120"/>
      <c r="G141" s="121" t="s">
        <v>473</v>
      </c>
      <c r="H141" s="122"/>
      <c r="O141" s="40"/>
    </row>
    <row r="142" spans="1:15" ht="25.5" x14ac:dyDescent="0.2">
      <c r="B142" s="51" t="s">
        <v>483</v>
      </c>
      <c r="C142" s="52" t="s">
        <v>499</v>
      </c>
      <c r="D142" s="115">
        <v>0</v>
      </c>
      <c r="E142" s="116"/>
      <c r="F142" s="117"/>
      <c r="G142" s="115">
        <v>0</v>
      </c>
      <c r="H142" s="117"/>
      <c r="O142" s="40"/>
    </row>
    <row r="143" spans="1:15" ht="25.5" x14ac:dyDescent="0.2">
      <c r="B143" s="51" t="s">
        <v>479</v>
      </c>
      <c r="C143" s="52" t="s">
        <v>500</v>
      </c>
      <c r="D143" s="115">
        <v>0</v>
      </c>
      <c r="E143" s="116"/>
      <c r="F143" s="117"/>
      <c r="G143" s="115">
        <v>0</v>
      </c>
      <c r="H143" s="117"/>
      <c r="O143" s="40"/>
    </row>
    <row r="144" spans="1:15" ht="25.5" x14ac:dyDescent="0.2">
      <c r="B144" s="51" t="s">
        <v>501</v>
      </c>
      <c r="C144" s="52" t="s">
        <v>502</v>
      </c>
      <c r="D144" s="115">
        <v>0</v>
      </c>
      <c r="E144" s="116"/>
      <c r="F144" s="117"/>
      <c r="G144" s="115">
        <v>0</v>
      </c>
      <c r="H144" s="117"/>
      <c r="O144" s="40"/>
    </row>
    <row r="145" spans="2:15" ht="25.5" x14ac:dyDescent="0.2">
      <c r="B145" s="51" t="s">
        <v>481</v>
      </c>
      <c r="C145" s="52" t="s">
        <v>503</v>
      </c>
      <c r="D145" s="115">
        <v>0</v>
      </c>
      <c r="E145" s="116"/>
      <c r="F145" s="117"/>
      <c r="G145" s="115">
        <v>0</v>
      </c>
      <c r="H145" s="117"/>
      <c r="O145" s="40"/>
    </row>
    <row r="146" spans="2:15" x14ac:dyDescent="0.2">
      <c r="B146" s="51"/>
      <c r="C146" s="51"/>
      <c r="D146" s="124"/>
      <c r="E146" s="124"/>
      <c r="F146" s="124"/>
      <c r="G146" s="124"/>
      <c r="H146" s="124"/>
      <c r="O146" s="40"/>
    </row>
    <row r="147" spans="2:15" x14ac:dyDescent="0.2">
      <c r="B147" s="108" t="s">
        <v>485</v>
      </c>
      <c r="C147" s="108"/>
      <c r="D147" s="108"/>
      <c r="E147" s="108"/>
      <c r="F147" s="108"/>
      <c r="G147" s="108"/>
      <c r="H147" s="108"/>
      <c r="O147" s="40"/>
    </row>
    <row r="148" spans="2:15" x14ac:dyDescent="0.2">
      <c r="B148" s="109" t="s">
        <v>477</v>
      </c>
      <c r="C148" s="109" t="s">
        <v>478</v>
      </c>
      <c r="D148" s="109" t="s">
        <v>486</v>
      </c>
      <c r="E148" s="109"/>
      <c r="F148" s="109"/>
      <c r="G148" s="109"/>
      <c r="H148" s="110" t="s">
        <v>504</v>
      </c>
      <c r="O148" s="40"/>
    </row>
    <row r="149" spans="2:15" ht="63.75" x14ac:dyDescent="0.2">
      <c r="B149" s="109"/>
      <c r="C149" s="109"/>
      <c r="D149" s="53" t="s">
        <v>488</v>
      </c>
      <c r="E149" s="53" t="s">
        <v>489</v>
      </c>
      <c r="F149" s="53" t="s">
        <v>490</v>
      </c>
      <c r="G149" s="53" t="s">
        <v>505</v>
      </c>
      <c r="H149" s="111"/>
      <c r="O149" s="40"/>
    </row>
    <row r="150" spans="2:15" ht="25.5" x14ac:dyDescent="0.2">
      <c r="B150" s="51" t="s">
        <v>483</v>
      </c>
      <c r="C150" s="52" t="s">
        <v>499</v>
      </c>
      <c r="D150" s="54">
        <v>3000</v>
      </c>
      <c r="E150" s="54">
        <v>198.60410960000002</v>
      </c>
      <c r="F150" s="55">
        <v>72.152053199999997</v>
      </c>
      <c r="G150" s="56">
        <v>3270.7561627999999</v>
      </c>
      <c r="H150" s="57">
        <v>1452.6372699999999</v>
      </c>
      <c r="I150" s="40"/>
      <c r="O150" s="40"/>
    </row>
    <row r="151" spans="2:15" ht="25.5" x14ac:dyDescent="0.2">
      <c r="B151" s="51" t="s">
        <v>479</v>
      </c>
      <c r="C151" s="52" t="s">
        <v>500</v>
      </c>
      <c r="D151" s="54">
        <v>500</v>
      </c>
      <c r="E151" s="54">
        <v>33.283561599999999</v>
      </c>
      <c r="F151" s="55">
        <v>12.091777499999999</v>
      </c>
      <c r="G151" s="56">
        <f>D151+E151+F151</f>
        <v>545.37533910000002</v>
      </c>
      <c r="H151" s="57">
        <v>242.22076999999999</v>
      </c>
      <c r="O151" s="40"/>
    </row>
    <row r="152" spans="2:15" ht="25.5" x14ac:dyDescent="0.2">
      <c r="B152" s="51" t="s">
        <v>501</v>
      </c>
      <c r="C152" s="52" t="s">
        <v>506</v>
      </c>
      <c r="D152" s="54">
        <v>2000</v>
      </c>
      <c r="E152" s="54">
        <v>39.762295099999996</v>
      </c>
      <c r="F152" s="55">
        <v>64.029485721917808</v>
      </c>
      <c r="G152" s="56">
        <v>2103.7917808219199</v>
      </c>
      <c r="H152" s="57">
        <v>933.64715000000001</v>
      </c>
      <c r="O152" s="40"/>
    </row>
    <row r="153" spans="2:15" ht="25.5" x14ac:dyDescent="0.2">
      <c r="B153" s="51" t="s">
        <v>481</v>
      </c>
      <c r="C153" s="52" t="s">
        <v>503</v>
      </c>
      <c r="D153" s="54">
        <v>1882.78</v>
      </c>
      <c r="E153" s="54">
        <v>137.066384</v>
      </c>
      <c r="F153" s="55">
        <v>34.266601500000007</v>
      </c>
      <c r="G153" s="56">
        <v>2054.1129854999999</v>
      </c>
      <c r="H153" s="57">
        <v>916.65184999999997</v>
      </c>
      <c r="O153" s="40"/>
    </row>
    <row r="154" spans="2:15" x14ac:dyDescent="0.2">
      <c r="B154" s="51"/>
      <c r="C154" s="51"/>
      <c r="D154" s="51"/>
      <c r="E154" s="51"/>
      <c r="F154" s="56"/>
      <c r="G154" s="56"/>
      <c r="H154" s="51"/>
      <c r="O154" s="40"/>
    </row>
    <row r="155" spans="2:15" ht="43.5" customHeight="1" x14ac:dyDescent="0.2">
      <c r="B155" s="107" t="s">
        <v>507</v>
      </c>
      <c r="C155" s="107"/>
      <c r="D155" s="107"/>
      <c r="E155" s="107"/>
      <c r="F155" s="107"/>
      <c r="G155" s="107"/>
      <c r="H155" s="107"/>
      <c r="O155" s="40"/>
    </row>
    <row r="156" spans="2:15" x14ac:dyDescent="0.2">
      <c r="B156" s="40"/>
      <c r="C156" s="40"/>
      <c r="D156" s="40"/>
      <c r="E156" s="40"/>
      <c r="F156" s="40"/>
      <c r="G156" s="40"/>
      <c r="H156" s="40"/>
      <c r="O156" s="40"/>
    </row>
    <row r="157" spans="2:15" x14ac:dyDescent="0.2">
      <c r="B157" s="59" t="s">
        <v>493</v>
      </c>
      <c r="C157" s="40"/>
      <c r="D157" s="40"/>
      <c r="E157" s="40"/>
      <c r="F157" s="40"/>
      <c r="G157" s="40"/>
      <c r="H157" s="40"/>
      <c r="O157" s="40"/>
    </row>
    <row r="158" spans="2:15" x14ac:dyDescent="0.2">
      <c r="B158" s="40"/>
      <c r="C158" s="40"/>
      <c r="D158" s="40"/>
      <c r="E158" s="40"/>
      <c r="F158" s="40"/>
      <c r="G158" s="40"/>
      <c r="H158" s="40"/>
      <c r="I158" s="40"/>
      <c r="O158" s="40"/>
    </row>
    <row r="159" spans="2:15" x14ac:dyDescent="0.2">
      <c r="B159" s="60" t="s">
        <v>494</v>
      </c>
      <c r="C159" s="40"/>
      <c r="D159" s="40"/>
      <c r="E159" s="40"/>
      <c r="F159" s="40"/>
      <c r="G159" s="40"/>
      <c r="H159" s="40"/>
      <c r="I159" s="40"/>
      <c r="O159" s="40"/>
    </row>
    <row r="160" spans="2:15" x14ac:dyDescent="0.2">
      <c r="B160" s="40"/>
      <c r="C160" s="40"/>
      <c r="D160" s="40"/>
      <c r="E160" s="40"/>
      <c r="F160" s="40"/>
      <c r="G160" s="40"/>
      <c r="H160" s="40"/>
      <c r="I160" s="40"/>
      <c r="O160" s="40"/>
    </row>
    <row r="161" spans="2:15" x14ac:dyDescent="0.2">
      <c r="B161" s="60" t="s">
        <v>495</v>
      </c>
      <c r="C161" s="40"/>
      <c r="D161" s="40"/>
      <c r="E161" s="40"/>
      <c r="F161" s="40"/>
      <c r="G161" s="40"/>
      <c r="H161" s="40"/>
      <c r="I161" s="40"/>
      <c r="O161" s="40"/>
    </row>
  </sheetData>
  <mergeCells count="38">
    <mergeCell ref="A1:H1"/>
    <mergeCell ref="A2:H2"/>
    <mergeCell ref="A3:H3"/>
    <mergeCell ref="B155:H155"/>
    <mergeCell ref="B139:H139"/>
    <mergeCell ref="D146:F146"/>
    <mergeCell ref="G146:H146"/>
    <mergeCell ref="B147:H147"/>
    <mergeCell ref="B148:B149"/>
    <mergeCell ref="C148:C149"/>
    <mergeCell ref="D148:G148"/>
    <mergeCell ref="H148:H149"/>
    <mergeCell ref="D143:F143"/>
    <mergeCell ref="G143:H143"/>
    <mergeCell ref="D144:F144"/>
    <mergeCell ref="G144:H144"/>
    <mergeCell ref="D145:F145"/>
    <mergeCell ref="G145:H145"/>
    <mergeCell ref="D141:F141"/>
    <mergeCell ref="G141:H141"/>
    <mergeCell ref="D142:F142"/>
    <mergeCell ref="G142:H142"/>
    <mergeCell ref="B138:C138"/>
    <mergeCell ref="B133:C133"/>
    <mergeCell ref="B97:F97"/>
    <mergeCell ref="B98:F98"/>
    <mergeCell ref="B132:C132"/>
    <mergeCell ref="B101:D101"/>
    <mergeCell ref="B102:C102"/>
    <mergeCell ref="B103:C103"/>
    <mergeCell ref="B104:C104"/>
    <mergeCell ref="B123:C123"/>
    <mergeCell ref="J2:N2"/>
    <mergeCell ref="B134:C134"/>
    <mergeCell ref="B135:C135"/>
    <mergeCell ref="B136:C136"/>
    <mergeCell ref="B137:C137"/>
    <mergeCell ref="B99:F99"/>
  </mergeCells>
  <hyperlinks>
    <hyperlink ref="B159" r:id="rId1" xr:uid="{9F9D7856-CC11-462B-864B-923F344584A2}"/>
    <hyperlink ref="B161" r:id="rId2" xr:uid="{89136600-8DB5-46D9-BD81-A4ED856ED0C0}"/>
    <hyperlink ref="I1" location="Index!B7" display="Index" xr:uid="{930FA112-DAD6-45E3-90FE-967B7479E6E8}"/>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5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0" t="s">
        <v>0</v>
      </c>
      <c r="B1" s="100"/>
      <c r="C1" s="100"/>
      <c r="D1" s="100"/>
      <c r="E1" s="100"/>
      <c r="F1" s="100"/>
      <c r="G1" s="100"/>
      <c r="H1" s="100"/>
      <c r="I1" s="90" t="s">
        <v>544</v>
      </c>
    </row>
    <row r="2" spans="1:14" ht="17.100000000000001" customHeight="1" x14ac:dyDescent="0.2">
      <c r="A2" s="100" t="s">
        <v>542</v>
      </c>
      <c r="B2" s="100"/>
      <c r="C2" s="100"/>
      <c r="D2" s="100"/>
      <c r="E2" s="100"/>
      <c r="F2" s="100"/>
      <c r="G2" s="100"/>
      <c r="H2" s="100"/>
      <c r="J2" s="99" t="s">
        <v>545</v>
      </c>
      <c r="K2" s="99"/>
      <c r="L2" s="99"/>
      <c r="M2" s="99"/>
      <c r="N2" s="99"/>
    </row>
    <row r="3" spans="1:14" ht="21" customHeight="1" x14ac:dyDescent="0.2">
      <c r="A3" s="100" t="s">
        <v>539</v>
      </c>
      <c r="B3" s="100"/>
      <c r="C3" s="100"/>
      <c r="D3" s="100"/>
      <c r="E3" s="100"/>
      <c r="F3" s="100"/>
      <c r="G3" s="100"/>
      <c r="H3" s="100"/>
    </row>
    <row r="4" spans="1:14" s="88" customFormat="1" ht="30" x14ac:dyDescent="0.2">
      <c r="A4" s="87" t="s">
        <v>2</v>
      </c>
      <c r="B4" s="87" t="s">
        <v>3</v>
      </c>
      <c r="C4" s="87" t="s">
        <v>4</v>
      </c>
      <c r="D4" s="87" t="s">
        <v>5</v>
      </c>
      <c r="E4" s="87" t="s">
        <v>6</v>
      </c>
      <c r="F4" s="87" t="s">
        <v>7</v>
      </c>
      <c r="G4" s="87" t="s">
        <v>8</v>
      </c>
      <c r="H4" s="86" t="s">
        <v>520</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
      <c r="A13" s="1"/>
      <c r="B13" s="1"/>
      <c r="C13" s="2" t="s">
        <v>11</v>
      </c>
      <c r="D13" s="1"/>
      <c r="E13" s="1" t="s">
        <v>12</v>
      </c>
      <c r="F13" s="3">
        <v>0</v>
      </c>
      <c r="G13" s="4">
        <v>0</v>
      </c>
      <c r="H13" s="12"/>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5">
      <c r="A16" s="1"/>
      <c r="B16" s="1"/>
      <c r="C16" s="2" t="s">
        <v>11</v>
      </c>
      <c r="D16" s="1"/>
      <c r="E16" s="1" t="s">
        <v>12</v>
      </c>
      <c r="F16" s="3">
        <v>0</v>
      </c>
      <c r="G16" s="4">
        <v>0</v>
      </c>
      <c r="H16" s="12"/>
      <c r="J16" s="93" t="s">
        <v>557</v>
      </c>
      <c r="K16" s="96"/>
      <c r="L16" s="96"/>
      <c r="M16" s="96"/>
      <c r="N16" s="96"/>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
      <c r="A26" s="1"/>
      <c r="B26" s="1"/>
      <c r="C26" s="2" t="s">
        <v>19</v>
      </c>
      <c r="D26" s="1"/>
      <c r="E26" s="1"/>
      <c r="F26" s="6"/>
      <c r="G26" s="6"/>
      <c r="H26" s="12"/>
    </row>
    <row r="27" spans="1:14" ht="24" customHeight="1" x14ac:dyDescent="0.2">
      <c r="A27" s="1"/>
      <c r="B27" s="1"/>
      <c r="C27" s="2" t="s">
        <v>10</v>
      </c>
      <c r="D27" s="1"/>
      <c r="E27" s="1"/>
      <c r="F27" s="6"/>
      <c r="G27" s="6"/>
      <c r="H27" s="12"/>
    </row>
    <row r="28" spans="1:14" ht="29.1" customHeight="1" x14ac:dyDescent="0.25">
      <c r="A28" s="9">
        <v>1</v>
      </c>
      <c r="B28" s="10" t="s">
        <v>249</v>
      </c>
      <c r="C28" s="10" t="s">
        <v>250</v>
      </c>
      <c r="D28" s="10" t="s">
        <v>246</v>
      </c>
      <c r="E28" s="11">
        <v>500</v>
      </c>
      <c r="F28" s="12">
        <v>4965.9549999999999</v>
      </c>
      <c r="G28" s="13">
        <v>4.0904997999999998E-2</v>
      </c>
      <c r="H28" s="12">
        <v>6.48</v>
      </c>
      <c r="J28" s="93" t="s">
        <v>558</v>
      </c>
      <c r="K28" s="96"/>
      <c r="L28" s="96"/>
      <c r="M28" s="96"/>
      <c r="N28" s="96"/>
    </row>
    <row r="29" spans="1:14" ht="29.1" customHeight="1" x14ac:dyDescent="0.2">
      <c r="A29" s="9">
        <v>2</v>
      </c>
      <c r="B29" s="10" t="s">
        <v>20</v>
      </c>
      <c r="C29" s="10" t="s">
        <v>21</v>
      </c>
      <c r="D29" s="10" t="s">
        <v>22</v>
      </c>
      <c r="E29" s="11">
        <v>250</v>
      </c>
      <c r="F29" s="12">
        <v>2497.62</v>
      </c>
      <c r="G29" s="13">
        <v>2.0573111000000002E-2</v>
      </c>
      <c r="H29" s="12">
        <v>6.5</v>
      </c>
    </row>
    <row r="30" spans="1:14" ht="29.1" customHeight="1" x14ac:dyDescent="0.2">
      <c r="A30" s="9">
        <v>3</v>
      </c>
      <c r="B30" s="10" t="s">
        <v>32</v>
      </c>
      <c r="C30" s="10" t="s">
        <v>33</v>
      </c>
      <c r="D30" s="10" t="s">
        <v>27</v>
      </c>
      <c r="E30" s="11">
        <v>250</v>
      </c>
      <c r="F30" s="12">
        <v>2485.2024999999999</v>
      </c>
      <c r="G30" s="13">
        <v>2.0470827E-2</v>
      </c>
      <c r="H30" s="12">
        <v>6.6749999999999998</v>
      </c>
    </row>
    <row r="31" spans="1:14" ht="29.1" customHeight="1" x14ac:dyDescent="0.2">
      <c r="A31" s="9">
        <v>4</v>
      </c>
      <c r="B31" s="10" t="s">
        <v>295</v>
      </c>
      <c r="C31" s="10" t="s">
        <v>296</v>
      </c>
      <c r="D31" s="10" t="s">
        <v>27</v>
      </c>
      <c r="E31" s="11">
        <v>250</v>
      </c>
      <c r="F31" s="12">
        <v>2477.3649999999998</v>
      </c>
      <c r="G31" s="13">
        <v>2.0406269000000001E-2</v>
      </c>
      <c r="H31" s="12">
        <v>7.5049999999999999</v>
      </c>
    </row>
    <row r="32" spans="1:14" ht="29.1" customHeight="1" x14ac:dyDescent="0.2">
      <c r="A32" s="9">
        <v>5</v>
      </c>
      <c r="B32" s="10" t="s">
        <v>398</v>
      </c>
      <c r="C32" s="10" t="s">
        <v>399</v>
      </c>
      <c r="D32" s="10" t="s">
        <v>27</v>
      </c>
      <c r="E32" s="11">
        <v>55</v>
      </c>
      <c r="F32" s="12">
        <v>689.86568750000004</v>
      </c>
      <c r="G32" s="13">
        <v>5.6824830000000003E-3</v>
      </c>
      <c r="H32" s="12">
        <v>5.77</v>
      </c>
    </row>
    <row r="33" spans="1:8" ht="14.1" customHeight="1" x14ac:dyDescent="0.2">
      <c r="A33" s="1"/>
      <c r="B33" s="1"/>
      <c r="C33" s="2" t="s">
        <v>11</v>
      </c>
      <c r="D33" s="1"/>
      <c r="E33" s="1" t="s">
        <v>12</v>
      </c>
      <c r="F33" s="7">
        <v>13116.0081875</v>
      </c>
      <c r="G33" s="8">
        <v>0.10803768800000001</v>
      </c>
      <c r="H33" s="12"/>
    </row>
    <row r="34" spans="1:8" ht="14.1" customHeight="1" x14ac:dyDescent="0.2">
      <c r="A34" s="1"/>
      <c r="B34" s="1"/>
      <c r="C34" s="5"/>
      <c r="D34" s="1"/>
      <c r="E34" s="1"/>
      <c r="F34" s="6"/>
      <c r="G34" s="6"/>
      <c r="H34" s="12"/>
    </row>
    <row r="35" spans="1:8" ht="14.1" customHeight="1" x14ac:dyDescent="0.2">
      <c r="A35" s="1"/>
      <c r="B35" s="1"/>
      <c r="C35" s="2" t="s">
        <v>95</v>
      </c>
      <c r="D35" s="1"/>
      <c r="E35" s="1"/>
      <c r="F35" s="1"/>
      <c r="G35" s="1"/>
      <c r="H35" s="12"/>
    </row>
    <row r="36" spans="1:8" ht="14.1" customHeight="1" x14ac:dyDescent="0.2">
      <c r="A36" s="1"/>
      <c r="B36" s="1"/>
      <c r="C36" s="2" t="s">
        <v>11</v>
      </c>
      <c r="D36" s="1"/>
      <c r="E36" s="1" t="s">
        <v>12</v>
      </c>
      <c r="F36" s="3">
        <v>0</v>
      </c>
      <c r="G36" s="4">
        <v>0</v>
      </c>
      <c r="H36" s="12"/>
    </row>
    <row r="37" spans="1:8" ht="14.1" customHeight="1" x14ac:dyDescent="0.2">
      <c r="A37" s="1"/>
      <c r="B37" s="1"/>
      <c r="C37" s="5"/>
      <c r="D37" s="1"/>
      <c r="E37" s="1"/>
      <c r="F37" s="6"/>
      <c r="G37" s="6"/>
      <c r="H37" s="12"/>
    </row>
    <row r="38" spans="1:8" ht="14.1" customHeight="1" x14ac:dyDescent="0.2">
      <c r="A38" s="1"/>
      <c r="B38" s="1"/>
      <c r="C38" s="2" t="s">
        <v>96</v>
      </c>
      <c r="D38" s="1"/>
      <c r="E38" s="1"/>
      <c r="F38" s="1"/>
      <c r="G38" s="1"/>
      <c r="H38" s="12"/>
    </row>
    <row r="39" spans="1:8" ht="29.1" customHeight="1" x14ac:dyDescent="0.2">
      <c r="A39" s="9">
        <v>1</v>
      </c>
      <c r="B39" s="10" t="s">
        <v>270</v>
      </c>
      <c r="C39" s="10" t="s">
        <v>271</v>
      </c>
      <c r="D39" s="10" t="s">
        <v>99</v>
      </c>
      <c r="E39" s="11">
        <v>300000</v>
      </c>
      <c r="F39" s="12">
        <v>300.44549999999998</v>
      </c>
      <c r="G39" s="13">
        <v>2.4747950000000001E-3</v>
      </c>
      <c r="H39" s="12">
        <v>5.3331999999999997</v>
      </c>
    </row>
    <row r="40" spans="1:8" ht="29.1" customHeight="1" x14ac:dyDescent="0.2">
      <c r="A40" s="9">
        <v>2</v>
      </c>
      <c r="B40" s="10" t="s">
        <v>283</v>
      </c>
      <c r="C40" s="10" t="s">
        <v>284</v>
      </c>
      <c r="D40" s="10" t="s">
        <v>99</v>
      </c>
      <c r="E40" s="11">
        <v>100000</v>
      </c>
      <c r="F40" s="12">
        <v>100.10980000000001</v>
      </c>
      <c r="G40" s="13">
        <v>8.2461299999999997E-4</v>
      </c>
      <c r="H40" s="12">
        <v>5.4078999999999997</v>
      </c>
    </row>
    <row r="41" spans="1:8" ht="14.1" customHeight="1" x14ac:dyDescent="0.2">
      <c r="A41" s="1"/>
      <c r="B41" s="1"/>
      <c r="C41" s="2" t="s">
        <v>11</v>
      </c>
      <c r="D41" s="1"/>
      <c r="E41" s="1" t="s">
        <v>12</v>
      </c>
      <c r="F41" s="7">
        <v>400.55529999999999</v>
      </c>
      <c r="G41" s="8">
        <v>3.2994080000000002E-3</v>
      </c>
      <c r="H41" s="12"/>
    </row>
    <row r="42" spans="1:8" ht="14.1" customHeight="1" x14ac:dyDescent="0.2">
      <c r="A42" s="1"/>
      <c r="B42" s="1"/>
      <c r="C42" s="5"/>
      <c r="D42" s="1"/>
      <c r="E42" s="1"/>
      <c r="F42" s="6"/>
      <c r="G42" s="6"/>
      <c r="H42" s="12"/>
    </row>
    <row r="43" spans="1:8" ht="14.1" customHeight="1" x14ac:dyDescent="0.2">
      <c r="A43" s="1"/>
      <c r="B43" s="1"/>
      <c r="C43" s="2" t="s">
        <v>106</v>
      </c>
      <c r="D43" s="1"/>
      <c r="E43" s="1"/>
      <c r="F43" s="6"/>
      <c r="G43" s="6"/>
      <c r="H43" s="12"/>
    </row>
    <row r="44" spans="1:8" ht="14.1" customHeight="1" x14ac:dyDescent="0.2">
      <c r="A44" s="1"/>
      <c r="B44" s="1"/>
      <c r="C44" s="2" t="s">
        <v>11</v>
      </c>
      <c r="D44" s="1"/>
      <c r="E44" s="1" t="s">
        <v>12</v>
      </c>
      <c r="F44" s="3">
        <v>0</v>
      </c>
      <c r="G44" s="4">
        <v>0</v>
      </c>
      <c r="H44" s="12"/>
    </row>
    <row r="45" spans="1:8" ht="14.1" customHeight="1" x14ac:dyDescent="0.2">
      <c r="A45" s="1"/>
      <c r="B45" s="1"/>
      <c r="C45" s="5"/>
      <c r="D45" s="1"/>
      <c r="E45" s="1"/>
      <c r="F45" s="6"/>
      <c r="G45" s="6"/>
      <c r="H45" s="12"/>
    </row>
    <row r="46" spans="1:8" ht="14.1" customHeight="1" x14ac:dyDescent="0.2">
      <c r="A46" s="1"/>
      <c r="B46" s="1"/>
      <c r="C46" s="2" t="s">
        <v>107</v>
      </c>
      <c r="D46" s="1"/>
      <c r="E46" s="1"/>
      <c r="F46" s="7">
        <v>13516.5634875</v>
      </c>
      <c r="G46" s="8">
        <v>0.111337096</v>
      </c>
      <c r="H46" s="12"/>
    </row>
    <row r="47" spans="1:8" ht="14.1" customHeight="1" x14ac:dyDescent="0.2">
      <c r="A47" s="1"/>
      <c r="B47" s="1"/>
      <c r="C47" s="5"/>
      <c r="D47" s="1"/>
      <c r="E47" s="1"/>
      <c r="F47" s="6"/>
      <c r="G47" s="6"/>
      <c r="H47" s="12"/>
    </row>
    <row r="48" spans="1:8" ht="14.1" customHeight="1" x14ac:dyDescent="0.2">
      <c r="A48" s="1"/>
      <c r="B48" s="1"/>
      <c r="C48" s="2" t="s">
        <v>108</v>
      </c>
      <c r="D48" s="1"/>
      <c r="E48" s="1"/>
      <c r="F48" s="6"/>
      <c r="G48" s="6"/>
      <c r="H48" s="12"/>
    </row>
    <row r="49" spans="1:8" ht="14.1" customHeight="1" x14ac:dyDescent="0.2">
      <c r="A49" s="1"/>
      <c r="B49" s="1"/>
      <c r="C49" s="2" t="s">
        <v>109</v>
      </c>
      <c r="D49" s="1"/>
      <c r="E49" s="1"/>
      <c r="F49" s="6"/>
      <c r="G49" s="6"/>
      <c r="H49" s="12"/>
    </row>
    <row r="50" spans="1:8" ht="17.100000000000001" customHeight="1" x14ac:dyDescent="0.2">
      <c r="A50" s="9">
        <v>1</v>
      </c>
      <c r="B50" s="10" t="s">
        <v>322</v>
      </c>
      <c r="C50" s="10" t="s">
        <v>323</v>
      </c>
      <c r="D50" s="10" t="s">
        <v>115</v>
      </c>
      <c r="E50" s="11">
        <v>1000</v>
      </c>
      <c r="F50" s="12">
        <v>4969.7049999999999</v>
      </c>
      <c r="G50" s="13">
        <v>4.0935887999999997E-2</v>
      </c>
      <c r="H50" s="12">
        <v>5.7051999999999996</v>
      </c>
    </row>
    <row r="51" spans="1:8" ht="17.100000000000001" customHeight="1" x14ac:dyDescent="0.2">
      <c r="A51" s="9">
        <v>2</v>
      </c>
      <c r="B51" s="10" t="s">
        <v>297</v>
      </c>
      <c r="C51" s="10" t="s">
        <v>298</v>
      </c>
      <c r="D51" s="10" t="s">
        <v>115</v>
      </c>
      <c r="E51" s="11">
        <v>1000</v>
      </c>
      <c r="F51" s="12">
        <v>4969.6000000000004</v>
      </c>
      <c r="G51" s="13">
        <v>4.0935023000000001E-2</v>
      </c>
      <c r="H51" s="12">
        <v>5.7248999999999999</v>
      </c>
    </row>
    <row r="52" spans="1:8" ht="17.100000000000001" customHeight="1" x14ac:dyDescent="0.2">
      <c r="A52" s="9">
        <v>3</v>
      </c>
      <c r="B52" s="10" t="s">
        <v>299</v>
      </c>
      <c r="C52" s="10" t="s">
        <v>300</v>
      </c>
      <c r="D52" s="10" t="s">
        <v>115</v>
      </c>
      <c r="E52" s="11">
        <v>1000</v>
      </c>
      <c r="F52" s="12">
        <v>4920.3950000000004</v>
      </c>
      <c r="G52" s="13">
        <v>4.0529717E-2</v>
      </c>
      <c r="H52" s="12">
        <v>5.9650999999999996</v>
      </c>
    </row>
    <row r="53" spans="1:8" ht="17.100000000000001" customHeight="1" x14ac:dyDescent="0.2">
      <c r="A53" s="9">
        <v>4</v>
      </c>
      <c r="B53" s="10" t="s">
        <v>400</v>
      </c>
      <c r="C53" s="10" t="s">
        <v>401</v>
      </c>
      <c r="D53" s="10" t="s">
        <v>347</v>
      </c>
      <c r="E53" s="11">
        <v>1000</v>
      </c>
      <c r="F53" s="12">
        <v>4884.1400000000003</v>
      </c>
      <c r="G53" s="13">
        <v>4.0231081000000002E-2</v>
      </c>
      <c r="H53" s="12">
        <v>6.32</v>
      </c>
    </row>
    <row r="54" spans="1:8" ht="17.100000000000001" customHeight="1" x14ac:dyDescent="0.2">
      <c r="A54" s="9">
        <v>5</v>
      </c>
      <c r="B54" s="10" t="s">
        <v>285</v>
      </c>
      <c r="C54" s="10" t="s">
        <v>286</v>
      </c>
      <c r="D54" s="10" t="s">
        <v>112</v>
      </c>
      <c r="E54" s="11">
        <v>800</v>
      </c>
      <c r="F54" s="12">
        <v>3846.4479999999999</v>
      </c>
      <c r="G54" s="13">
        <v>3.1683522999999998E-2</v>
      </c>
      <c r="H54" s="12">
        <v>6.5049999999999999</v>
      </c>
    </row>
    <row r="55" spans="1:8" ht="17.100000000000001" customHeight="1" x14ac:dyDescent="0.2">
      <c r="A55" s="9">
        <v>6</v>
      </c>
      <c r="B55" s="10" t="s">
        <v>274</v>
      </c>
      <c r="C55" s="10" t="s">
        <v>275</v>
      </c>
      <c r="D55" s="10" t="s">
        <v>115</v>
      </c>
      <c r="E55" s="11">
        <v>600</v>
      </c>
      <c r="F55" s="12">
        <v>2815.866</v>
      </c>
      <c r="G55" s="13">
        <v>2.3194530000000001E-2</v>
      </c>
      <c r="H55" s="12">
        <v>6.8</v>
      </c>
    </row>
    <row r="56" spans="1:8" ht="17.100000000000001" customHeight="1" x14ac:dyDescent="0.2">
      <c r="A56" s="9">
        <v>7</v>
      </c>
      <c r="B56" s="10" t="s">
        <v>301</v>
      </c>
      <c r="C56" s="10" t="s">
        <v>302</v>
      </c>
      <c r="D56" s="10" t="s">
        <v>115</v>
      </c>
      <c r="E56" s="11">
        <v>600</v>
      </c>
      <c r="F56" s="12">
        <v>2810.2860000000001</v>
      </c>
      <c r="G56" s="13">
        <v>2.3148568000000001E-2</v>
      </c>
      <c r="H56" s="12">
        <v>7.04</v>
      </c>
    </row>
    <row r="57" spans="1:8" ht="17.100000000000001" customHeight="1" x14ac:dyDescent="0.2">
      <c r="A57" s="9">
        <v>8</v>
      </c>
      <c r="B57" s="10" t="s">
        <v>402</v>
      </c>
      <c r="C57" s="10" t="s">
        <v>403</v>
      </c>
      <c r="D57" s="10" t="s">
        <v>112</v>
      </c>
      <c r="E57" s="11">
        <v>500</v>
      </c>
      <c r="F57" s="12">
        <v>2451.9974999999999</v>
      </c>
      <c r="G57" s="13">
        <v>2.0197314000000001E-2</v>
      </c>
      <c r="H57" s="12">
        <v>6.1075999999999997</v>
      </c>
    </row>
    <row r="58" spans="1:8" ht="29.1" customHeight="1" x14ac:dyDescent="0.2">
      <c r="A58" s="9">
        <v>9</v>
      </c>
      <c r="B58" s="10" t="s">
        <v>404</v>
      </c>
      <c r="C58" s="10" t="s">
        <v>405</v>
      </c>
      <c r="D58" s="10" t="s">
        <v>115</v>
      </c>
      <c r="E58" s="11">
        <v>500</v>
      </c>
      <c r="F58" s="12">
        <v>2433.1774999999998</v>
      </c>
      <c r="G58" s="13">
        <v>2.0042292E-2</v>
      </c>
      <c r="H58" s="12">
        <v>6.2649999999999997</v>
      </c>
    </row>
    <row r="59" spans="1:8" ht="17.100000000000001" customHeight="1" x14ac:dyDescent="0.2">
      <c r="A59" s="9">
        <v>10</v>
      </c>
      <c r="B59" s="10" t="s">
        <v>406</v>
      </c>
      <c r="C59" s="10" t="s">
        <v>407</v>
      </c>
      <c r="D59" s="10" t="s">
        <v>115</v>
      </c>
      <c r="E59" s="11">
        <v>500</v>
      </c>
      <c r="F59" s="12">
        <v>2420.8225000000002</v>
      </c>
      <c r="G59" s="13">
        <v>1.9940523000000002E-2</v>
      </c>
      <c r="H59" s="12">
        <v>6.35</v>
      </c>
    </row>
    <row r="60" spans="1:8" ht="17.100000000000001" customHeight="1" x14ac:dyDescent="0.2">
      <c r="A60" s="9">
        <v>11</v>
      </c>
      <c r="B60" s="10" t="s">
        <v>408</v>
      </c>
      <c r="C60" s="10" t="s">
        <v>409</v>
      </c>
      <c r="D60" s="10" t="s">
        <v>112</v>
      </c>
      <c r="E60" s="11">
        <v>500</v>
      </c>
      <c r="F60" s="12">
        <v>2405.6149999999998</v>
      </c>
      <c r="G60" s="13">
        <v>1.9815257999999999E-2</v>
      </c>
      <c r="H60" s="12">
        <v>6.48</v>
      </c>
    </row>
    <row r="61" spans="1:8" ht="17.100000000000001" customHeight="1" x14ac:dyDescent="0.2">
      <c r="A61" s="9">
        <v>12</v>
      </c>
      <c r="B61" s="10" t="s">
        <v>272</v>
      </c>
      <c r="C61" s="10" t="s">
        <v>273</v>
      </c>
      <c r="D61" s="10" t="s">
        <v>112</v>
      </c>
      <c r="E61" s="11">
        <v>500</v>
      </c>
      <c r="F61" s="12">
        <v>2346.94</v>
      </c>
      <c r="G61" s="13">
        <v>1.9331946999999999E-2</v>
      </c>
      <c r="H61" s="12">
        <v>6.86</v>
      </c>
    </row>
    <row r="62" spans="1:8" ht="14.1" customHeight="1" x14ac:dyDescent="0.2">
      <c r="A62" s="1"/>
      <c r="B62" s="1"/>
      <c r="C62" s="2" t="s">
        <v>11</v>
      </c>
      <c r="D62" s="1"/>
      <c r="E62" s="1" t="s">
        <v>12</v>
      </c>
      <c r="F62" s="7">
        <v>41274.9925</v>
      </c>
      <c r="G62" s="8">
        <v>0.33998566400000002</v>
      </c>
      <c r="H62" s="12"/>
    </row>
    <row r="63" spans="1:8" ht="14.1" customHeight="1" x14ac:dyDescent="0.2">
      <c r="A63" s="1"/>
      <c r="B63" s="1"/>
      <c r="C63" s="5"/>
      <c r="D63" s="1"/>
      <c r="E63" s="1"/>
      <c r="F63" s="6"/>
      <c r="G63" s="6"/>
      <c r="H63" s="12"/>
    </row>
    <row r="64" spans="1:8" ht="14.1" customHeight="1" x14ac:dyDescent="0.2">
      <c r="A64" s="1"/>
      <c r="B64" s="1"/>
      <c r="C64" s="2" t="s">
        <v>116</v>
      </c>
      <c r="D64" s="1"/>
      <c r="E64" s="1"/>
      <c r="F64" s="6"/>
      <c r="G64" s="6"/>
      <c r="H64" s="12"/>
    </row>
    <row r="65" spans="1:8" ht="17.100000000000001" customHeight="1" x14ac:dyDescent="0.2">
      <c r="A65" s="9">
        <v>1</v>
      </c>
      <c r="B65" s="10" t="s">
        <v>410</v>
      </c>
      <c r="C65" s="10" t="s">
        <v>411</v>
      </c>
      <c r="D65" s="10" t="s">
        <v>115</v>
      </c>
      <c r="E65" s="11">
        <v>1000</v>
      </c>
      <c r="F65" s="12">
        <v>4980.74</v>
      </c>
      <c r="G65" s="13">
        <v>4.1026783999999997E-2</v>
      </c>
      <c r="H65" s="12">
        <v>5.6449999999999996</v>
      </c>
    </row>
    <row r="66" spans="1:8" ht="29.1" customHeight="1" x14ac:dyDescent="0.2">
      <c r="A66" s="9">
        <v>2</v>
      </c>
      <c r="B66" s="10" t="s">
        <v>276</v>
      </c>
      <c r="C66" s="10" t="s">
        <v>277</v>
      </c>
      <c r="D66" s="10" t="s">
        <v>115</v>
      </c>
      <c r="E66" s="11">
        <v>1000</v>
      </c>
      <c r="F66" s="12">
        <v>4977.7950000000001</v>
      </c>
      <c r="G66" s="13">
        <v>4.1002525999999997E-2</v>
      </c>
      <c r="H66" s="12">
        <v>5.6151</v>
      </c>
    </row>
    <row r="67" spans="1:8" ht="29.1" customHeight="1" x14ac:dyDescent="0.2">
      <c r="A67" s="9">
        <v>3</v>
      </c>
      <c r="B67" s="10" t="s">
        <v>313</v>
      </c>
      <c r="C67" s="10" t="s">
        <v>314</v>
      </c>
      <c r="D67" s="10" t="s">
        <v>115</v>
      </c>
      <c r="E67" s="11">
        <v>900</v>
      </c>
      <c r="F67" s="12">
        <v>4432.8509999999997</v>
      </c>
      <c r="G67" s="13">
        <v>3.6513774999999998E-2</v>
      </c>
      <c r="H67" s="12">
        <v>6.5049999999999999</v>
      </c>
    </row>
    <row r="68" spans="1:8" ht="17.100000000000001" customHeight="1" x14ac:dyDescent="0.2">
      <c r="A68" s="9">
        <v>4</v>
      </c>
      <c r="B68" s="10" t="s">
        <v>412</v>
      </c>
      <c r="C68" s="10" t="s">
        <v>413</v>
      </c>
      <c r="D68" s="10" t="s">
        <v>115</v>
      </c>
      <c r="E68" s="11">
        <v>500</v>
      </c>
      <c r="F68" s="12">
        <v>2498.2075</v>
      </c>
      <c r="G68" s="13">
        <v>2.0577950000000001E-2</v>
      </c>
      <c r="H68" s="12">
        <v>6.55</v>
      </c>
    </row>
    <row r="69" spans="1:8" ht="29.1" customHeight="1" x14ac:dyDescent="0.2">
      <c r="A69" s="9">
        <v>5</v>
      </c>
      <c r="B69" s="10" t="s">
        <v>414</v>
      </c>
      <c r="C69" s="10" t="s">
        <v>415</v>
      </c>
      <c r="D69" s="10" t="s">
        <v>115</v>
      </c>
      <c r="E69" s="11">
        <v>500</v>
      </c>
      <c r="F69" s="12">
        <v>2498.2075</v>
      </c>
      <c r="G69" s="13">
        <v>2.0577950000000001E-2</v>
      </c>
      <c r="H69" s="12">
        <v>6.55</v>
      </c>
    </row>
    <row r="70" spans="1:8" ht="29.1" customHeight="1" x14ac:dyDescent="0.2">
      <c r="A70" s="9">
        <v>6</v>
      </c>
      <c r="B70" s="10" t="s">
        <v>350</v>
      </c>
      <c r="C70" s="10" t="s">
        <v>351</v>
      </c>
      <c r="D70" s="10" t="s">
        <v>115</v>
      </c>
      <c r="E70" s="11">
        <v>500</v>
      </c>
      <c r="F70" s="12">
        <v>2497.665</v>
      </c>
      <c r="G70" s="13">
        <v>2.0573481000000001E-2</v>
      </c>
      <c r="H70" s="12">
        <v>5.69</v>
      </c>
    </row>
    <row r="71" spans="1:8" ht="17.100000000000001" customHeight="1" x14ac:dyDescent="0.2">
      <c r="A71" s="9">
        <v>7</v>
      </c>
      <c r="B71" s="10" t="s">
        <v>309</v>
      </c>
      <c r="C71" s="10" t="s">
        <v>310</v>
      </c>
      <c r="D71" s="10" t="s">
        <v>115</v>
      </c>
      <c r="E71" s="11">
        <v>500</v>
      </c>
      <c r="F71" s="12">
        <v>2493.7249999999999</v>
      </c>
      <c r="G71" s="13">
        <v>2.0541027E-2</v>
      </c>
      <c r="H71" s="12">
        <v>6.56</v>
      </c>
    </row>
    <row r="72" spans="1:8" ht="29.1" customHeight="1" x14ac:dyDescent="0.2">
      <c r="A72" s="9">
        <v>8</v>
      </c>
      <c r="B72" s="10" t="s">
        <v>305</v>
      </c>
      <c r="C72" s="10" t="s">
        <v>306</v>
      </c>
      <c r="D72" s="10" t="s">
        <v>115</v>
      </c>
      <c r="E72" s="11">
        <v>500</v>
      </c>
      <c r="F72" s="12">
        <v>2492.9625000000001</v>
      </c>
      <c r="G72" s="13">
        <v>2.0534746999999999E-2</v>
      </c>
      <c r="H72" s="12">
        <v>5.7249999999999996</v>
      </c>
    </row>
    <row r="73" spans="1:8" ht="17.100000000000001" customHeight="1" x14ac:dyDescent="0.2">
      <c r="A73" s="9">
        <v>9</v>
      </c>
      <c r="B73" s="10" t="s">
        <v>416</v>
      </c>
      <c r="C73" s="10" t="s">
        <v>417</v>
      </c>
      <c r="D73" s="10" t="s">
        <v>115</v>
      </c>
      <c r="E73" s="11">
        <v>500</v>
      </c>
      <c r="F73" s="12">
        <v>2492.79</v>
      </c>
      <c r="G73" s="13">
        <v>2.0533326000000001E-2</v>
      </c>
      <c r="H73" s="12">
        <v>5.8650000000000002</v>
      </c>
    </row>
    <row r="74" spans="1:8" ht="17.100000000000001" customHeight="1" x14ac:dyDescent="0.2">
      <c r="A74" s="9">
        <v>10</v>
      </c>
      <c r="B74" s="10" t="s">
        <v>418</v>
      </c>
      <c r="C74" s="10" t="s">
        <v>419</v>
      </c>
      <c r="D74" s="10" t="s">
        <v>347</v>
      </c>
      <c r="E74" s="11">
        <v>500</v>
      </c>
      <c r="F74" s="12">
        <v>2483.1925000000001</v>
      </c>
      <c r="G74" s="13">
        <v>2.045427E-2</v>
      </c>
      <c r="H74" s="12">
        <v>6.335</v>
      </c>
    </row>
    <row r="75" spans="1:8" ht="29.1" customHeight="1" x14ac:dyDescent="0.2">
      <c r="A75" s="9">
        <v>11</v>
      </c>
      <c r="B75" s="10" t="s">
        <v>420</v>
      </c>
      <c r="C75" s="10" t="s">
        <v>421</v>
      </c>
      <c r="D75" s="10" t="s">
        <v>115</v>
      </c>
      <c r="E75" s="11">
        <v>500</v>
      </c>
      <c r="F75" s="12">
        <v>2477.61</v>
      </c>
      <c r="G75" s="13">
        <v>2.0408287000000001E-2</v>
      </c>
      <c r="H75" s="12">
        <v>5.8901000000000003</v>
      </c>
    </row>
    <row r="76" spans="1:8" ht="29.1" customHeight="1" x14ac:dyDescent="0.2">
      <c r="A76" s="9">
        <v>12</v>
      </c>
      <c r="B76" s="10" t="s">
        <v>422</v>
      </c>
      <c r="C76" s="10" t="s">
        <v>423</v>
      </c>
      <c r="D76" s="10" t="s">
        <v>115</v>
      </c>
      <c r="E76" s="11">
        <v>500</v>
      </c>
      <c r="F76" s="12">
        <v>2472.3975</v>
      </c>
      <c r="G76" s="13">
        <v>2.0365351E-2</v>
      </c>
      <c r="H76" s="12">
        <v>6.68</v>
      </c>
    </row>
    <row r="77" spans="1:8" ht="17.100000000000001" customHeight="1" x14ac:dyDescent="0.2">
      <c r="A77" s="9">
        <v>13</v>
      </c>
      <c r="B77" s="10" t="s">
        <v>382</v>
      </c>
      <c r="C77" s="10" t="s">
        <v>383</v>
      </c>
      <c r="D77" s="10" t="s">
        <v>115</v>
      </c>
      <c r="E77" s="11">
        <v>500</v>
      </c>
      <c r="F77" s="12">
        <v>2464.5050000000001</v>
      </c>
      <c r="G77" s="13">
        <v>2.030034E-2</v>
      </c>
      <c r="H77" s="12">
        <v>6.49</v>
      </c>
    </row>
    <row r="78" spans="1:8" ht="17.100000000000001" customHeight="1" x14ac:dyDescent="0.2">
      <c r="A78" s="9">
        <v>14</v>
      </c>
      <c r="B78" s="10" t="s">
        <v>424</v>
      </c>
      <c r="C78" s="10" t="s">
        <v>425</v>
      </c>
      <c r="D78" s="10" t="s">
        <v>115</v>
      </c>
      <c r="E78" s="11">
        <v>500</v>
      </c>
      <c r="F78" s="12">
        <v>2450.9749999999999</v>
      </c>
      <c r="G78" s="13">
        <v>2.0188892E-2</v>
      </c>
      <c r="H78" s="12">
        <v>6.1351000000000004</v>
      </c>
    </row>
    <row r="79" spans="1:8" ht="29.1" customHeight="1" x14ac:dyDescent="0.2">
      <c r="A79" s="9">
        <v>15</v>
      </c>
      <c r="B79" s="10" t="s">
        <v>307</v>
      </c>
      <c r="C79" s="10" t="s">
        <v>308</v>
      </c>
      <c r="D79" s="10" t="s">
        <v>115</v>
      </c>
      <c r="E79" s="11">
        <v>500</v>
      </c>
      <c r="F79" s="12">
        <v>2433.3474999999999</v>
      </c>
      <c r="G79" s="13">
        <v>2.0043693000000001E-2</v>
      </c>
      <c r="H79" s="12">
        <v>6.8949999999999996</v>
      </c>
    </row>
    <row r="80" spans="1:8" ht="29.1" customHeight="1" x14ac:dyDescent="0.2">
      <c r="A80" s="9">
        <v>16</v>
      </c>
      <c r="B80" s="10" t="s">
        <v>117</v>
      </c>
      <c r="C80" s="10" t="s">
        <v>118</v>
      </c>
      <c r="D80" s="10" t="s">
        <v>115</v>
      </c>
      <c r="E80" s="11">
        <v>500</v>
      </c>
      <c r="F80" s="12">
        <v>2419.5825</v>
      </c>
      <c r="G80" s="13">
        <v>1.9930309E-2</v>
      </c>
      <c r="H80" s="12">
        <v>6.3849999999999998</v>
      </c>
    </row>
    <row r="81" spans="1:8" ht="14.1" customHeight="1" x14ac:dyDescent="0.2">
      <c r="A81" s="1"/>
      <c r="B81" s="1"/>
      <c r="C81" s="2" t="s">
        <v>11</v>
      </c>
      <c r="D81" s="1"/>
      <c r="E81" s="1" t="s">
        <v>12</v>
      </c>
      <c r="F81" s="7">
        <v>46566.553500000002</v>
      </c>
      <c r="G81" s="8">
        <v>0.38357270799999998</v>
      </c>
      <c r="H81" s="12"/>
    </row>
    <row r="82" spans="1:8" ht="14.1" customHeight="1" x14ac:dyDescent="0.2">
      <c r="A82" s="1"/>
      <c r="B82" s="1"/>
      <c r="C82" s="5"/>
      <c r="D82" s="1"/>
      <c r="E82" s="1"/>
      <c r="F82" s="6"/>
      <c r="G82" s="6"/>
      <c r="H82" s="12"/>
    </row>
    <row r="83" spans="1:8" ht="14.1" customHeight="1" x14ac:dyDescent="0.2">
      <c r="A83" s="1"/>
      <c r="B83" s="1"/>
      <c r="C83" s="2" t="s">
        <v>121</v>
      </c>
      <c r="D83" s="1"/>
      <c r="E83" s="1"/>
      <c r="F83" s="6"/>
      <c r="G83" s="6"/>
      <c r="H83" s="12"/>
    </row>
    <row r="84" spans="1:8" ht="17.100000000000001" customHeight="1" x14ac:dyDescent="0.2">
      <c r="A84" s="9">
        <v>1</v>
      </c>
      <c r="B84" s="10" t="s">
        <v>193</v>
      </c>
      <c r="C84" s="10" t="s">
        <v>194</v>
      </c>
      <c r="D84" s="10" t="s">
        <v>99</v>
      </c>
      <c r="E84" s="11">
        <v>2500000</v>
      </c>
      <c r="F84" s="12">
        <v>2465.4549999999999</v>
      </c>
      <c r="G84" s="13">
        <v>2.0308165E-2</v>
      </c>
      <c r="H84" s="12">
        <v>5.62</v>
      </c>
    </row>
    <row r="85" spans="1:8" ht="17.100000000000001" customHeight="1" x14ac:dyDescent="0.2">
      <c r="A85" s="9">
        <v>2</v>
      </c>
      <c r="B85" s="10" t="s">
        <v>426</v>
      </c>
      <c r="C85" s="10" t="s">
        <v>427</v>
      </c>
      <c r="D85" s="10" t="s">
        <v>99</v>
      </c>
      <c r="E85" s="11">
        <v>1500000</v>
      </c>
      <c r="F85" s="12">
        <v>1496.9655</v>
      </c>
      <c r="G85" s="13">
        <v>1.2330634E-2</v>
      </c>
      <c r="H85" s="12">
        <v>5.2850000000000001</v>
      </c>
    </row>
    <row r="86" spans="1:8" ht="17.100000000000001" customHeight="1" x14ac:dyDescent="0.2">
      <c r="A86" s="9">
        <v>3</v>
      </c>
      <c r="B86" s="10" t="s">
        <v>386</v>
      </c>
      <c r="C86" s="10" t="s">
        <v>387</v>
      </c>
      <c r="D86" s="10" t="s">
        <v>99</v>
      </c>
      <c r="E86" s="11">
        <v>1000000</v>
      </c>
      <c r="F86" s="12">
        <v>997.971</v>
      </c>
      <c r="G86" s="13">
        <v>8.2203729999999996E-3</v>
      </c>
      <c r="H86" s="12">
        <v>5.3</v>
      </c>
    </row>
    <row r="87" spans="1:8" ht="17.100000000000001" customHeight="1" x14ac:dyDescent="0.2">
      <c r="A87" s="9">
        <v>4</v>
      </c>
      <c r="B87" s="10" t="s">
        <v>317</v>
      </c>
      <c r="C87" s="10" t="s">
        <v>318</v>
      </c>
      <c r="D87" s="10" t="s">
        <v>99</v>
      </c>
      <c r="E87" s="11">
        <v>1000000</v>
      </c>
      <c r="F87" s="12">
        <v>985.04700000000003</v>
      </c>
      <c r="G87" s="13">
        <v>8.113917E-3</v>
      </c>
      <c r="H87" s="12">
        <v>5.6539999999999999</v>
      </c>
    </row>
    <row r="88" spans="1:8" ht="14.1" customHeight="1" x14ac:dyDescent="0.2">
      <c r="A88" s="1"/>
      <c r="B88" s="1"/>
      <c r="C88" s="2" t="s">
        <v>11</v>
      </c>
      <c r="D88" s="1"/>
      <c r="E88" s="1" t="s">
        <v>12</v>
      </c>
      <c r="F88" s="7">
        <v>5945.4385000000002</v>
      </c>
      <c r="G88" s="8">
        <v>4.8973088999999997E-2</v>
      </c>
      <c r="H88" s="12"/>
    </row>
    <row r="89" spans="1:8" ht="14.1" customHeight="1" x14ac:dyDescent="0.2">
      <c r="A89" s="1"/>
      <c r="B89" s="1"/>
      <c r="C89" s="5"/>
      <c r="D89" s="1"/>
      <c r="E89" s="1"/>
      <c r="F89" s="6"/>
      <c r="G89" s="6"/>
      <c r="H89" s="12"/>
    </row>
    <row r="90" spans="1:8" ht="14.1" customHeight="1" x14ac:dyDescent="0.2">
      <c r="A90" s="1"/>
      <c r="B90" s="1"/>
      <c r="C90" s="2" t="s">
        <v>122</v>
      </c>
      <c r="D90" s="1"/>
      <c r="E90" s="1"/>
      <c r="F90" s="6"/>
      <c r="G90" s="6"/>
      <c r="H90" s="12"/>
    </row>
    <row r="91" spans="1:8" ht="17.100000000000001" customHeight="1" x14ac:dyDescent="0.2">
      <c r="A91" s="9">
        <v>1</v>
      </c>
      <c r="B91" s="10"/>
      <c r="C91" s="10" t="s">
        <v>123</v>
      </c>
      <c r="D91" s="10"/>
      <c r="E91" s="14"/>
      <c r="F91" s="12">
        <v>17036.918867600001</v>
      </c>
      <c r="G91" s="13">
        <v>0.14033456599999999</v>
      </c>
      <c r="H91" s="12">
        <v>5.4181585046733343</v>
      </c>
    </row>
    <row r="92" spans="1:8" ht="14.1" customHeight="1" x14ac:dyDescent="0.2">
      <c r="A92" s="1"/>
      <c r="B92" s="1"/>
      <c r="C92" s="2" t="s">
        <v>11</v>
      </c>
      <c r="D92" s="1"/>
      <c r="E92" s="1" t="s">
        <v>12</v>
      </c>
      <c r="F92" s="7">
        <v>17036.918867600001</v>
      </c>
      <c r="G92" s="8">
        <v>0.14033456599999999</v>
      </c>
      <c r="H92" s="12"/>
    </row>
    <row r="93" spans="1:8" ht="14.1" customHeight="1" x14ac:dyDescent="0.2">
      <c r="A93" s="1"/>
      <c r="B93" s="1"/>
      <c r="C93" s="5"/>
      <c r="D93" s="1"/>
      <c r="E93" s="1"/>
      <c r="F93" s="6"/>
      <c r="G93" s="6"/>
      <c r="H93" s="12"/>
    </row>
    <row r="94" spans="1:8" ht="14.1" customHeight="1" x14ac:dyDescent="0.2">
      <c r="A94" s="1"/>
      <c r="B94" s="1"/>
      <c r="C94" s="2" t="s">
        <v>124</v>
      </c>
      <c r="D94" s="1"/>
      <c r="E94" s="1"/>
      <c r="F94" s="7">
        <v>110823.9033676</v>
      </c>
      <c r="G94" s="8">
        <v>0.91286602699999997</v>
      </c>
      <c r="H94" s="12"/>
    </row>
    <row r="95" spans="1:8" ht="14.1" customHeight="1" x14ac:dyDescent="0.2">
      <c r="A95" s="1"/>
      <c r="B95" s="1"/>
      <c r="C95" s="6"/>
      <c r="D95" s="1"/>
      <c r="E95" s="1"/>
      <c r="F95" s="1"/>
      <c r="G95" s="1"/>
      <c r="H95" s="12"/>
    </row>
    <row r="96" spans="1:8" ht="14.1" customHeight="1" x14ac:dyDescent="0.2">
      <c r="A96" s="1"/>
      <c r="B96" s="1"/>
      <c r="C96" s="2" t="s">
        <v>125</v>
      </c>
      <c r="D96" s="1"/>
      <c r="E96" s="1"/>
      <c r="F96" s="1"/>
      <c r="G96" s="1"/>
      <c r="H96" s="12"/>
    </row>
    <row r="97" spans="1:8" ht="14.1" customHeight="1" x14ac:dyDescent="0.2">
      <c r="A97" s="1"/>
      <c r="B97" s="1"/>
      <c r="C97" s="2" t="s">
        <v>126</v>
      </c>
      <c r="D97" s="1"/>
      <c r="E97" s="1"/>
      <c r="F97" s="1"/>
      <c r="G97" s="1"/>
      <c r="H97" s="12"/>
    </row>
    <row r="98" spans="1:8" ht="14.1" customHeight="1" x14ac:dyDescent="0.2">
      <c r="A98" s="1"/>
      <c r="B98" s="1"/>
      <c r="C98" s="2" t="s">
        <v>11</v>
      </c>
      <c r="D98" s="1"/>
      <c r="E98" s="1" t="s">
        <v>12</v>
      </c>
      <c r="F98" s="3">
        <v>0</v>
      </c>
      <c r="G98" s="4">
        <v>0</v>
      </c>
      <c r="H98" s="12"/>
    </row>
    <row r="99" spans="1:8" ht="14.1" customHeight="1" x14ac:dyDescent="0.2">
      <c r="A99" s="1"/>
      <c r="B99" s="1"/>
      <c r="C99" s="5"/>
      <c r="D99" s="1"/>
      <c r="E99" s="1"/>
      <c r="F99" s="6"/>
      <c r="G99" s="6"/>
      <c r="H99" s="12"/>
    </row>
    <row r="100" spans="1:8" ht="14.1" customHeight="1" x14ac:dyDescent="0.2">
      <c r="A100" s="1"/>
      <c r="B100" s="1"/>
      <c r="C100" s="2" t="s">
        <v>127</v>
      </c>
      <c r="D100" s="1"/>
      <c r="E100" s="1"/>
      <c r="F100" s="1"/>
      <c r="G100" s="1"/>
      <c r="H100" s="12"/>
    </row>
    <row r="101" spans="1:8" ht="14.1" customHeight="1" x14ac:dyDescent="0.2">
      <c r="A101" s="1"/>
      <c r="B101" s="1"/>
      <c r="C101" s="2" t="s">
        <v>128</v>
      </c>
      <c r="D101" s="1"/>
      <c r="E101" s="1"/>
      <c r="F101" s="1"/>
      <c r="G101" s="1"/>
      <c r="H101" s="12"/>
    </row>
    <row r="102" spans="1:8" ht="14.1" customHeight="1" x14ac:dyDescent="0.2">
      <c r="A102" s="1"/>
      <c r="B102" s="1"/>
      <c r="C102" s="2" t="s">
        <v>11</v>
      </c>
      <c r="D102" s="1"/>
      <c r="E102" s="1" t="s">
        <v>12</v>
      </c>
      <c r="F102" s="3">
        <v>0</v>
      </c>
      <c r="G102" s="4">
        <v>0</v>
      </c>
      <c r="H102" s="12"/>
    </row>
    <row r="103" spans="1:8" ht="14.1" customHeight="1" x14ac:dyDescent="0.2">
      <c r="A103" s="1"/>
      <c r="B103" s="1"/>
      <c r="C103" s="5"/>
      <c r="D103" s="1"/>
      <c r="E103" s="1"/>
      <c r="F103" s="6"/>
      <c r="G103" s="6"/>
      <c r="H103" s="12"/>
    </row>
    <row r="104" spans="1:8" ht="24" customHeight="1" x14ac:dyDescent="0.2">
      <c r="A104" s="1"/>
      <c r="B104" s="1"/>
      <c r="C104" s="2" t="s">
        <v>129</v>
      </c>
      <c r="D104" s="1"/>
      <c r="E104" s="1"/>
      <c r="F104" s="6"/>
      <c r="G104" s="6"/>
      <c r="H104" s="12"/>
    </row>
    <row r="105" spans="1:8" ht="14.1" customHeight="1" x14ac:dyDescent="0.2">
      <c r="A105" s="1"/>
      <c r="B105" s="1"/>
      <c r="C105" s="2" t="s">
        <v>11</v>
      </c>
      <c r="D105" s="1"/>
      <c r="E105" s="1" t="s">
        <v>12</v>
      </c>
      <c r="F105" s="3">
        <v>0</v>
      </c>
      <c r="G105" s="4">
        <v>0</v>
      </c>
      <c r="H105" s="12"/>
    </row>
    <row r="106" spans="1:8" ht="14.1" customHeight="1" x14ac:dyDescent="0.2">
      <c r="A106" s="1"/>
      <c r="B106" s="1"/>
      <c r="C106" s="5"/>
      <c r="D106" s="1"/>
      <c r="E106" s="1"/>
      <c r="F106" s="6"/>
      <c r="G106" s="6"/>
      <c r="H106" s="12"/>
    </row>
    <row r="107" spans="1:8" ht="14.1" customHeight="1" x14ac:dyDescent="0.2">
      <c r="A107" s="1"/>
      <c r="B107" s="10"/>
      <c r="C107" s="10"/>
      <c r="D107" s="2"/>
      <c r="E107" s="1"/>
      <c r="F107" s="10"/>
      <c r="G107" s="14"/>
      <c r="H107" s="12"/>
    </row>
    <row r="108" spans="1:8" ht="18" customHeight="1" x14ac:dyDescent="0.2">
      <c r="A108" s="14"/>
      <c r="B108" s="10"/>
      <c r="C108" s="10" t="s">
        <v>130</v>
      </c>
      <c r="D108" s="10"/>
      <c r="E108" s="14"/>
      <c r="F108" s="12">
        <v>-2938.31105579</v>
      </c>
      <c r="G108" s="13">
        <v>-2.4203121000000001E-2</v>
      </c>
      <c r="H108" s="12"/>
    </row>
    <row r="109" spans="1:8" ht="14.1" customHeight="1" x14ac:dyDescent="0.2">
      <c r="A109" s="5"/>
      <c r="B109" s="5"/>
      <c r="C109" s="2" t="s">
        <v>131</v>
      </c>
      <c r="D109" s="6"/>
      <c r="E109" s="6"/>
      <c r="F109" s="7">
        <v>121402.15579931</v>
      </c>
      <c r="G109" s="8">
        <v>1.0000000019999999</v>
      </c>
      <c r="H109" s="12"/>
    </row>
    <row r="110" spans="1:8" ht="14.1" customHeight="1" x14ac:dyDescent="0.2">
      <c r="A110" s="15"/>
      <c r="B110" s="15"/>
      <c r="C110" s="15"/>
      <c r="D110" s="16"/>
      <c r="E110" s="16"/>
      <c r="F110" s="16"/>
      <c r="G110" s="16"/>
    </row>
    <row r="111" spans="1:8" ht="17.100000000000001" customHeight="1" x14ac:dyDescent="0.2">
      <c r="A111" s="17"/>
      <c r="B111" s="101" t="s">
        <v>132</v>
      </c>
      <c r="C111" s="101"/>
      <c r="D111" s="101"/>
      <c r="E111" s="101"/>
      <c r="F111" s="101"/>
      <c r="G111" s="19"/>
    </row>
    <row r="112" spans="1:8" ht="17.100000000000001" customHeight="1" x14ac:dyDescent="0.2">
      <c r="A112" s="17"/>
      <c r="B112" s="101" t="s">
        <v>133</v>
      </c>
      <c r="C112" s="101"/>
      <c r="D112" s="101"/>
      <c r="E112" s="101"/>
      <c r="F112" s="101"/>
      <c r="G112" s="19"/>
    </row>
    <row r="113" spans="1:7" ht="14.1" customHeight="1" x14ac:dyDescent="0.2">
      <c r="A113" s="17"/>
      <c r="B113" s="17"/>
      <c r="C113" s="17"/>
      <c r="D113" s="19"/>
      <c r="E113" s="19"/>
      <c r="F113" s="19"/>
      <c r="G113" s="19"/>
    </row>
    <row r="114" spans="1:7" ht="14.1" customHeight="1" x14ac:dyDescent="0.2">
      <c r="A114" s="17"/>
      <c r="B114" s="102" t="s">
        <v>134</v>
      </c>
      <c r="C114" s="103"/>
      <c r="D114" s="104"/>
      <c r="E114" s="20"/>
      <c r="F114" s="19"/>
      <c r="G114" s="19"/>
    </row>
    <row r="115" spans="1:7" ht="29.1" customHeight="1" x14ac:dyDescent="0.2">
      <c r="A115" s="17"/>
      <c r="B115" s="97" t="s">
        <v>135</v>
      </c>
      <c r="C115" s="98"/>
      <c r="D115" s="2" t="s">
        <v>508</v>
      </c>
      <c r="E115" s="20"/>
      <c r="F115" s="19"/>
      <c r="G115" s="19"/>
    </row>
    <row r="116" spans="1:7" ht="17.100000000000001" customHeight="1" x14ac:dyDescent="0.2">
      <c r="A116" s="17"/>
      <c r="B116" s="97" t="s">
        <v>137</v>
      </c>
      <c r="C116" s="98"/>
      <c r="D116" s="2" t="s">
        <v>136</v>
      </c>
      <c r="E116" s="20"/>
      <c r="F116" s="19"/>
      <c r="G116" s="19"/>
    </row>
    <row r="117" spans="1:7" ht="17.100000000000001" customHeight="1" x14ac:dyDescent="0.2">
      <c r="A117" s="17"/>
      <c r="B117" s="97" t="s">
        <v>138</v>
      </c>
      <c r="C117" s="98"/>
      <c r="D117" s="6" t="s">
        <v>12</v>
      </c>
      <c r="E117" s="20"/>
      <c r="F117" s="19"/>
      <c r="G117" s="19"/>
    </row>
    <row r="118" spans="1:7" ht="24" customHeight="1" x14ac:dyDescent="0.2">
      <c r="A118" s="21"/>
      <c r="B118" s="22" t="s">
        <v>12</v>
      </c>
      <c r="C118" s="22" t="s">
        <v>139</v>
      </c>
      <c r="D118" s="22" t="s">
        <v>140</v>
      </c>
      <c r="E118" s="21"/>
      <c r="F118" s="21"/>
      <c r="G118" s="21"/>
    </row>
    <row r="119" spans="1:7" ht="18" customHeight="1" x14ac:dyDescent="0.2">
      <c r="A119" s="21"/>
      <c r="B119" s="23" t="s">
        <v>141</v>
      </c>
      <c r="C119" s="22" t="s">
        <v>142</v>
      </c>
      <c r="D119" s="22" t="s">
        <v>143</v>
      </c>
      <c r="E119" s="21"/>
      <c r="F119" s="21"/>
      <c r="G119" s="21"/>
    </row>
    <row r="120" spans="1:7" ht="17.100000000000001" customHeight="1" x14ac:dyDescent="0.2">
      <c r="A120" s="21"/>
      <c r="B120" s="10" t="s">
        <v>144</v>
      </c>
      <c r="C120" s="24">
        <v>2375.2588999999998</v>
      </c>
      <c r="D120" s="24">
        <v>2386.8815</v>
      </c>
      <c r="E120" s="21"/>
      <c r="F120" s="18"/>
      <c r="G120" s="25"/>
    </row>
    <row r="121" spans="1:7" ht="29.1" customHeight="1" x14ac:dyDescent="0.2">
      <c r="A121" s="21"/>
      <c r="B121" s="10" t="s">
        <v>530</v>
      </c>
      <c r="C121" s="24">
        <v>1006.4912</v>
      </c>
      <c r="D121" s="24">
        <v>1006.3407</v>
      </c>
      <c r="E121" s="21"/>
      <c r="F121" s="18"/>
      <c r="G121" s="25"/>
    </row>
    <row r="122" spans="1:7" ht="29.1" customHeight="1" x14ac:dyDescent="0.2">
      <c r="A122" s="21"/>
      <c r="B122" s="10" t="s">
        <v>535</v>
      </c>
      <c r="C122" s="24">
        <v>1061.0807</v>
      </c>
      <c r="D122" s="24">
        <v>1061.001</v>
      </c>
      <c r="E122" s="21"/>
      <c r="F122" s="18"/>
      <c r="G122" s="25"/>
    </row>
    <row r="123" spans="1:7" ht="29.1" customHeight="1" x14ac:dyDescent="0.2">
      <c r="A123" s="21"/>
      <c r="B123" s="10" t="s">
        <v>521</v>
      </c>
      <c r="C123" s="24">
        <v>1062.3334</v>
      </c>
      <c r="D123" s="24">
        <v>1062.5834</v>
      </c>
      <c r="E123" s="21"/>
      <c r="F123" s="18"/>
      <c r="G123" s="25"/>
    </row>
    <row r="124" spans="1:7" ht="29.1" customHeight="1" x14ac:dyDescent="0.2">
      <c r="A124" s="21"/>
      <c r="B124" s="10" t="s">
        <v>522</v>
      </c>
      <c r="C124" s="24">
        <v>1070.1415999999999</v>
      </c>
      <c r="D124" s="24">
        <v>1075.3720000000001</v>
      </c>
      <c r="E124" s="21"/>
      <c r="F124" s="18"/>
      <c r="G124" s="25"/>
    </row>
    <row r="125" spans="1:7" ht="17.100000000000001" customHeight="1" x14ac:dyDescent="0.2">
      <c r="A125" s="21"/>
      <c r="B125" s="10" t="s">
        <v>145</v>
      </c>
      <c r="C125" s="24">
        <v>2257.0513999999998</v>
      </c>
      <c r="D125" s="24">
        <v>2265.6709000000001</v>
      </c>
      <c r="E125" s="21"/>
      <c r="F125" s="18"/>
      <c r="G125" s="25"/>
    </row>
    <row r="126" spans="1:7" ht="29.1" customHeight="1" x14ac:dyDescent="0.2">
      <c r="A126" s="21"/>
      <c r="B126" s="10" t="s">
        <v>533</v>
      </c>
      <c r="C126" s="24">
        <v>1005.6745</v>
      </c>
      <c r="D126" s="24">
        <v>1005.5613</v>
      </c>
      <c r="E126" s="21"/>
      <c r="F126" s="18"/>
      <c r="G126" s="25"/>
    </row>
    <row r="127" spans="1:7" ht="29.1" customHeight="1" x14ac:dyDescent="0.2">
      <c r="A127" s="21"/>
      <c r="B127" s="10" t="s">
        <v>534</v>
      </c>
      <c r="C127" s="24">
        <v>1019.4162</v>
      </c>
      <c r="D127" s="24">
        <v>1019.6907</v>
      </c>
      <c r="E127" s="21"/>
      <c r="F127" s="18"/>
      <c r="G127" s="25"/>
    </row>
    <row r="128" spans="1:7" ht="29.1" customHeight="1" x14ac:dyDescent="0.2">
      <c r="A128" s="21"/>
      <c r="B128" s="10" t="s">
        <v>536</v>
      </c>
      <c r="C128" s="24">
        <v>1060.2512999999999</v>
      </c>
      <c r="D128" s="24">
        <v>1060.5286000000001</v>
      </c>
      <c r="E128" s="21"/>
      <c r="F128" s="18"/>
      <c r="G128" s="25"/>
    </row>
    <row r="129" spans="1:14" ht="29.1" customHeight="1" x14ac:dyDescent="0.2">
      <c r="A129" s="21"/>
      <c r="B129" s="10" t="s">
        <v>525</v>
      </c>
      <c r="C129" s="24">
        <v>1061.3452</v>
      </c>
      <c r="D129" s="24">
        <v>1061.6723999999999</v>
      </c>
      <c r="E129" s="21"/>
      <c r="F129" s="18"/>
      <c r="G129" s="25"/>
    </row>
    <row r="130" spans="1:14" ht="29.1" customHeight="1" x14ac:dyDescent="0.2">
      <c r="A130" s="21"/>
      <c r="B130" s="10" t="s">
        <v>526</v>
      </c>
      <c r="C130" s="24">
        <v>1062.1325999999999</v>
      </c>
      <c r="D130" s="24">
        <v>1066.1821</v>
      </c>
      <c r="E130" s="21"/>
      <c r="F130" s="18"/>
      <c r="G130" s="25"/>
    </row>
    <row r="131" spans="1:14" ht="14.1" customHeight="1" x14ac:dyDescent="0.2">
      <c r="A131" s="21"/>
      <c r="B131" s="21"/>
      <c r="C131" s="21"/>
      <c r="D131" s="21"/>
      <c r="E131" s="21"/>
      <c r="F131" s="21"/>
      <c r="G131" s="21"/>
      <c r="J131"/>
      <c r="K131"/>
      <c r="L131"/>
      <c r="M131"/>
      <c r="N131"/>
    </row>
    <row r="132" spans="1:14" ht="17.100000000000001" customHeight="1" x14ac:dyDescent="0.2">
      <c r="A132" s="21"/>
      <c r="B132" s="97" t="s">
        <v>529</v>
      </c>
      <c r="C132" s="98"/>
      <c r="D132" s="2" t="s">
        <v>12</v>
      </c>
      <c r="E132" s="21"/>
      <c r="F132" s="21"/>
      <c r="G132" s="21"/>
    </row>
    <row r="133" spans="1:14" ht="18" customHeight="1" x14ac:dyDescent="0.2">
      <c r="A133" s="21"/>
      <c r="B133" s="26" t="s">
        <v>141</v>
      </c>
      <c r="C133" s="27" t="s">
        <v>146</v>
      </c>
      <c r="D133" s="27" t="s">
        <v>147</v>
      </c>
      <c r="E133" s="21"/>
      <c r="F133" s="21"/>
      <c r="G133" s="21"/>
    </row>
    <row r="134" spans="1:14" ht="29.1" customHeight="1" x14ac:dyDescent="0.2">
      <c r="A134" s="21"/>
      <c r="B134" s="10" t="s">
        <v>530</v>
      </c>
      <c r="C134" s="28">
        <v>5.059253</v>
      </c>
      <c r="D134" s="14" t="s">
        <v>148</v>
      </c>
      <c r="E134" s="21"/>
      <c r="F134" s="18"/>
      <c r="G134" s="25"/>
    </row>
    <row r="135" spans="1:14" ht="29.1" customHeight="1" x14ac:dyDescent="0.2">
      <c r="A135" s="21"/>
      <c r="B135" s="10" t="s">
        <v>535</v>
      </c>
      <c r="C135" s="28">
        <v>5.5293999999999999</v>
      </c>
      <c r="D135" s="14" t="s">
        <v>148</v>
      </c>
      <c r="E135" s="21"/>
      <c r="F135" s="18"/>
      <c r="G135" s="25"/>
    </row>
    <row r="136" spans="1:14" ht="29.1" customHeight="1" x14ac:dyDescent="0.2">
      <c r="A136" s="21"/>
      <c r="B136" s="10" t="s">
        <v>521</v>
      </c>
      <c r="C136" s="28">
        <v>4.9318</v>
      </c>
      <c r="D136" s="14" t="s">
        <v>148</v>
      </c>
      <c r="E136" s="21"/>
      <c r="F136" s="18"/>
      <c r="G136" s="25"/>
    </row>
    <row r="137" spans="1:14" ht="29.1" customHeight="1" x14ac:dyDescent="0.2">
      <c r="A137" s="21"/>
      <c r="B137" s="10" t="s">
        <v>533</v>
      </c>
      <c r="C137" s="28">
        <v>3.9426589999999999</v>
      </c>
      <c r="D137" s="28">
        <v>3.9426589999999999</v>
      </c>
      <c r="E137" s="21"/>
      <c r="F137" s="18"/>
      <c r="G137" s="25"/>
    </row>
    <row r="138" spans="1:14" ht="29.1" customHeight="1" x14ac:dyDescent="0.2">
      <c r="A138" s="21"/>
      <c r="B138" s="10" t="s">
        <v>534</v>
      </c>
      <c r="C138" s="28">
        <v>3.6093000000000002</v>
      </c>
      <c r="D138" s="28">
        <v>3.6093000000000002</v>
      </c>
      <c r="E138" s="21"/>
      <c r="F138" s="18"/>
      <c r="G138" s="25"/>
    </row>
    <row r="139" spans="1:14" ht="29.1" customHeight="1" x14ac:dyDescent="0.2">
      <c r="A139" s="21"/>
      <c r="B139" s="10" t="s">
        <v>536</v>
      </c>
      <c r="C139" s="28">
        <v>3.7631000000000001</v>
      </c>
      <c r="D139" s="14" t="s">
        <v>148</v>
      </c>
      <c r="E139" s="21"/>
      <c r="F139" s="18"/>
      <c r="G139" s="25"/>
    </row>
    <row r="140" spans="1:14" ht="29.1" customHeight="1" x14ac:dyDescent="0.2">
      <c r="A140" s="21"/>
      <c r="B140" s="10" t="s">
        <v>525</v>
      </c>
      <c r="C140" s="28">
        <v>3.7168000000000001</v>
      </c>
      <c r="D140" s="14" t="s">
        <v>148</v>
      </c>
      <c r="E140" s="21"/>
      <c r="F140" s="18"/>
      <c r="G140" s="25"/>
    </row>
    <row r="141" spans="1:14" ht="14.1" customHeight="1" x14ac:dyDescent="0.2">
      <c r="A141" s="21"/>
      <c r="B141" s="18"/>
      <c r="C141" s="18"/>
      <c r="D141" s="21"/>
      <c r="E141" s="21"/>
      <c r="F141" s="21"/>
      <c r="G141" s="21"/>
    </row>
    <row r="142" spans="1:14" ht="29.1" customHeight="1" x14ac:dyDescent="0.2">
      <c r="A142" s="21"/>
      <c r="B142" s="97" t="s">
        <v>149</v>
      </c>
      <c r="C142" s="98"/>
      <c r="D142" s="2" t="s">
        <v>136</v>
      </c>
      <c r="E142" s="31"/>
      <c r="F142" s="21"/>
      <c r="G142" s="21"/>
    </row>
    <row r="143" spans="1:14" ht="29.1" customHeight="1" x14ac:dyDescent="0.2">
      <c r="A143" s="21"/>
      <c r="B143" s="97" t="s">
        <v>150</v>
      </c>
      <c r="C143" s="98"/>
      <c r="D143" s="2" t="s">
        <v>136</v>
      </c>
      <c r="E143" s="31"/>
      <c r="F143" s="21"/>
      <c r="G143" s="21"/>
    </row>
    <row r="144" spans="1:14" ht="17.100000000000001" customHeight="1" x14ac:dyDescent="0.2">
      <c r="A144" s="21"/>
      <c r="B144" s="97" t="s">
        <v>151</v>
      </c>
      <c r="C144" s="98"/>
      <c r="D144" s="32">
        <v>0.30206407595524298</v>
      </c>
      <c r="E144" s="31"/>
      <c r="F144" s="21"/>
      <c r="G144" s="21"/>
    </row>
    <row r="145" spans="1:8" ht="17.100000000000001" customHeight="1" x14ac:dyDescent="0.2">
      <c r="A145" s="21"/>
      <c r="B145" s="97" t="s">
        <v>152</v>
      </c>
      <c r="C145" s="98"/>
      <c r="D145" s="32">
        <v>0.29063459081986454</v>
      </c>
      <c r="E145" s="31"/>
      <c r="F145" s="21"/>
      <c r="G145" s="21"/>
    </row>
    <row r="146" spans="1:8" ht="17.100000000000001" customHeight="1" x14ac:dyDescent="0.2">
      <c r="A146" s="21"/>
      <c r="B146" s="97" t="s">
        <v>153</v>
      </c>
      <c r="C146" s="98"/>
      <c r="D146" s="2" t="s">
        <v>136</v>
      </c>
      <c r="E146" s="31"/>
      <c r="F146" s="21"/>
      <c r="G146" s="21"/>
    </row>
    <row r="147" spans="1:8" ht="14.1" customHeight="1" x14ac:dyDescent="0.2">
      <c r="A147" s="21"/>
      <c r="B147" s="105"/>
      <c r="C147" s="105"/>
      <c r="D147" s="30"/>
      <c r="E147" s="21"/>
      <c r="F147" s="18"/>
      <c r="G147" s="25"/>
    </row>
    <row r="148" spans="1:8" x14ac:dyDescent="0.2">
      <c r="B148" s="41" t="s">
        <v>517</v>
      </c>
      <c r="C148" s="41"/>
      <c r="D148" s="41"/>
      <c r="E148" s="41"/>
      <c r="F148" s="41"/>
      <c r="G148" s="41"/>
      <c r="H148" s="41"/>
    </row>
    <row r="149" spans="1:8" x14ac:dyDescent="0.2">
      <c r="B149" s="42"/>
      <c r="C149" s="42"/>
      <c r="D149" s="42"/>
      <c r="E149" s="42"/>
      <c r="F149" s="42"/>
      <c r="G149" s="42"/>
      <c r="H149" s="42"/>
    </row>
    <row r="150" spans="1:8" ht="51" x14ac:dyDescent="0.2">
      <c r="B150" s="44" t="s">
        <v>470</v>
      </c>
      <c r="C150" s="44" t="s">
        <v>471</v>
      </c>
      <c r="D150" s="44" t="s">
        <v>472</v>
      </c>
      <c r="E150" s="44" t="s">
        <v>473</v>
      </c>
      <c r="F150" s="44" t="s">
        <v>474</v>
      </c>
      <c r="G150" s="42"/>
      <c r="H150" s="42"/>
    </row>
    <row r="151" spans="1:8" x14ac:dyDescent="0.2">
      <c r="B151" s="46" t="s">
        <v>475</v>
      </c>
      <c r="C151" s="46" t="s">
        <v>476</v>
      </c>
      <c r="D151" s="47">
        <v>0</v>
      </c>
      <c r="E151" s="48">
        <v>0</v>
      </c>
      <c r="F151" s="49">
        <v>500</v>
      </c>
      <c r="G151" s="42"/>
      <c r="H151" s="42"/>
    </row>
  </sheetData>
  <mergeCells count="17">
    <mergeCell ref="B132:C132"/>
    <mergeCell ref="B145:C145"/>
    <mergeCell ref="B146:C146"/>
    <mergeCell ref="B147:C147"/>
    <mergeCell ref="J2:N2"/>
    <mergeCell ref="A1:H1"/>
    <mergeCell ref="A2:H2"/>
    <mergeCell ref="A3:H3"/>
    <mergeCell ref="B143:C143"/>
    <mergeCell ref="B144:C144"/>
    <mergeCell ref="B142:C142"/>
    <mergeCell ref="B111:F111"/>
    <mergeCell ref="B112:F112"/>
    <mergeCell ref="B114:D114"/>
    <mergeCell ref="B115:C115"/>
    <mergeCell ref="B116:C116"/>
    <mergeCell ref="B117:C117"/>
  </mergeCells>
  <hyperlinks>
    <hyperlink ref="I1" location="Index!B8" display="Index" xr:uid="{CDCFAE5B-FFCE-4DAB-8B39-D9BBACB7AF4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13"/>
  <sheetViews>
    <sheetView showGridLines="0" workbookViewId="0">
      <selection activeCell="A2" sqref="A2:H2"/>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 customWidth="1"/>
    <col min="9" max="9" width="8.42578125" customWidth="1"/>
    <col min="10" max="10" width="9.28515625" bestFit="1" customWidth="1"/>
  </cols>
  <sheetData>
    <row r="1" spans="1:14" ht="18" customHeight="1" x14ac:dyDescent="0.2">
      <c r="A1" s="100" t="s">
        <v>0</v>
      </c>
      <c r="B1" s="100"/>
      <c r="C1" s="100"/>
      <c r="D1" s="100"/>
      <c r="E1" s="100"/>
      <c r="F1" s="100"/>
      <c r="G1" s="100"/>
      <c r="H1" s="100"/>
      <c r="I1" s="90" t="s">
        <v>544</v>
      </c>
      <c r="J1" s="40"/>
      <c r="K1" s="40"/>
      <c r="L1" s="40"/>
      <c r="M1" s="40"/>
      <c r="N1" s="40"/>
    </row>
    <row r="2" spans="1:14" ht="17.100000000000001" customHeight="1" x14ac:dyDescent="0.2">
      <c r="A2" s="100" t="s">
        <v>428</v>
      </c>
      <c r="B2" s="100"/>
      <c r="C2" s="100"/>
      <c r="D2" s="100"/>
      <c r="E2" s="100"/>
      <c r="F2" s="100"/>
      <c r="G2" s="100"/>
      <c r="H2" s="100"/>
      <c r="J2" s="99" t="s">
        <v>545</v>
      </c>
      <c r="K2" s="99"/>
      <c r="L2" s="99"/>
      <c r="M2" s="99"/>
      <c r="N2" s="99"/>
    </row>
    <row r="3" spans="1:14" ht="21" customHeight="1" x14ac:dyDescent="0.2">
      <c r="A3" s="100" t="s">
        <v>539</v>
      </c>
      <c r="B3" s="100"/>
      <c r="C3" s="100"/>
      <c r="D3" s="100"/>
      <c r="E3" s="100"/>
      <c r="F3" s="100"/>
      <c r="G3" s="100"/>
      <c r="H3" s="100"/>
      <c r="J3" s="40"/>
      <c r="K3" s="40"/>
      <c r="L3" s="40"/>
      <c r="M3" s="40"/>
      <c r="N3" s="40"/>
    </row>
    <row r="4" spans="1:14" s="88" customFormat="1" ht="30" x14ac:dyDescent="0.2">
      <c r="A4" s="87" t="s">
        <v>2</v>
      </c>
      <c r="B4" s="87" t="s">
        <v>3</v>
      </c>
      <c r="C4" s="87" t="s">
        <v>4</v>
      </c>
      <c r="D4" s="87" t="s">
        <v>5</v>
      </c>
      <c r="E4" s="87" t="s">
        <v>6</v>
      </c>
      <c r="F4" s="87" t="s">
        <v>7</v>
      </c>
      <c r="G4" s="87" t="s">
        <v>8</v>
      </c>
      <c r="H4" s="86" t="s">
        <v>520</v>
      </c>
      <c r="J4" s="91"/>
      <c r="K4" s="91"/>
      <c r="L4" s="91"/>
      <c r="M4" s="91"/>
      <c r="N4" s="91"/>
    </row>
    <row r="5" spans="1:14" ht="14.1" customHeight="1" x14ac:dyDescent="0.2">
      <c r="A5" s="1"/>
      <c r="B5" s="1"/>
      <c r="C5" s="2" t="s">
        <v>9</v>
      </c>
      <c r="D5" s="1"/>
      <c r="E5" s="1"/>
      <c r="F5" s="1"/>
      <c r="G5" s="1"/>
      <c r="H5" s="12"/>
      <c r="J5" s="40"/>
      <c r="K5" s="40"/>
      <c r="L5" s="40"/>
      <c r="M5" s="40"/>
      <c r="N5" s="40"/>
    </row>
    <row r="6" spans="1:14" ht="24" customHeight="1" x14ac:dyDescent="0.2">
      <c r="A6" s="1"/>
      <c r="B6" s="1"/>
      <c r="C6" s="2" t="s">
        <v>10</v>
      </c>
      <c r="D6" s="1"/>
      <c r="E6" s="1"/>
      <c r="F6" s="1"/>
      <c r="G6" s="1"/>
      <c r="H6" s="12"/>
      <c r="J6" s="40"/>
      <c r="K6" s="40"/>
      <c r="L6" s="40"/>
      <c r="M6" s="40"/>
      <c r="N6" s="40"/>
    </row>
    <row r="7" spans="1:14" ht="14.1" customHeight="1" x14ac:dyDescent="0.2">
      <c r="A7" s="1"/>
      <c r="B7" s="1"/>
      <c r="C7" s="2" t="s">
        <v>11</v>
      </c>
      <c r="D7" s="1"/>
      <c r="E7" s="1" t="s">
        <v>12</v>
      </c>
      <c r="F7" s="3">
        <v>0</v>
      </c>
      <c r="G7" s="4">
        <v>0</v>
      </c>
      <c r="H7" s="12"/>
      <c r="J7" s="40"/>
      <c r="K7" s="40"/>
      <c r="L7" s="40"/>
      <c r="M7" s="40"/>
      <c r="N7" s="40"/>
    </row>
    <row r="8" spans="1:14" ht="14.1" customHeight="1" x14ac:dyDescent="0.2">
      <c r="A8" s="1"/>
      <c r="B8" s="1"/>
      <c r="C8" s="5"/>
      <c r="D8" s="1"/>
      <c r="E8" s="1"/>
      <c r="F8" s="6"/>
      <c r="G8" s="6"/>
      <c r="H8" s="12"/>
      <c r="J8" s="40"/>
      <c r="K8" s="40"/>
      <c r="L8" s="40"/>
      <c r="M8" s="40"/>
      <c r="N8" s="40"/>
    </row>
    <row r="9" spans="1:14" ht="14.1" customHeight="1" x14ac:dyDescent="0.2">
      <c r="A9" s="1"/>
      <c r="B9" s="1"/>
      <c r="C9" s="2" t="s">
        <v>13</v>
      </c>
      <c r="D9" s="1"/>
      <c r="E9" s="1"/>
      <c r="F9" s="1"/>
      <c r="G9" s="1"/>
      <c r="H9" s="12"/>
      <c r="J9" s="40"/>
      <c r="K9" s="40"/>
      <c r="L9" s="40"/>
      <c r="M9" s="40"/>
      <c r="N9" s="40"/>
    </row>
    <row r="10" spans="1:14" ht="14.1" customHeight="1" x14ac:dyDescent="0.2">
      <c r="A10" s="1"/>
      <c r="B10" s="1"/>
      <c r="C10" s="2" t="s">
        <v>11</v>
      </c>
      <c r="D10" s="1"/>
      <c r="E10" s="1" t="s">
        <v>12</v>
      </c>
      <c r="F10" s="3">
        <v>0</v>
      </c>
      <c r="G10" s="4">
        <v>0</v>
      </c>
      <c r="H10" s="12"/>
      <c r="J10" s="40"/>
      <c r="K10" s="40"/>
      <c r="L10" s="40"/>
      <c r="M10" s="40"/>
      <c r="N10" s="40"/>
    </row>
    <row r="11" spans="1:14" ht="14.1" customHeight="1" x14ac:dyDescent="0.2">
      <c r="A11" s="1"/>
      <c r="B11" s="1"/>
      <c r="C11" s="5"/>
      <c r="D11" s="1"/>
      <c r="E11" s="1"/>
      <c r="F11" s="6"/>
      <c r="G11" s="6"/>
      <c r="H11" s="12"/>
      <c r="J11" s="40"/>
      <c r="K11" s="40"/>
      <c r="L11" s="40"/>
      <c r="M11" s="40"/>
      <c r="N11" s="40"/>
    </row>
    <row r="12" spans="1:14" ht="14.1" customHeight="1" x14ac:dyDescent="0.2">
      <c r="A12" s="1"/>
      <c r="B12" s="1"/>
      <c r="C12" s="2" t="s">
        <v>14</v>
      </c>
      <c r="D12" s="1"/>
      <c r="E12" s="1"/>
      <c r="F12" s="1"/>
      <c r="G12" s="1"/>
      <c r="H12" s="12"/>
      <c r="J12" s="40"/>
      <c r="K12" s="40"/>
      <c r="L12" s="40"/>
      <c r="M12" s="40"/>
      <c r="N12" s="40"/>
    </row>
    <row r="13" spans="1:14" ht="14.1" customHeight="1" x14ac:dyDescent="0.2">
      <c r="A13" s="1"/>
      <c r="B13" s="1"/>
      <c r="C13" s="2" t="s">
        <v>11</v>
      </c>
      <c r="D13" s="1"/>
      <c r="E13" s="1" t="s">
        <v>12</v>
      </c>
      <c r="F13" s="3">
        <v>0</v>
      </c>
      <c r="G13" s="4">
        <v>0</v>
      </c>
      <c r="H13" s="12"/>
      <c r="J13" s="40"/>
      <c r="K13" s="40"/>
      <c r="L13" s="40"/>
      <c r="M13" s="40"/>
      <c r="N13" s="40"/>
    </row>
    <row r="14" spans="1:14" ht="14.1" customHeight="1" x14ac:dyDescent="0.2">
      <c r="A14" s="1"/>
      <c r="B14" s="1"/>
      <c r="C14" s="5"/>
      <c r="D14" s="1"/>
      <c r="E14" s="1"/>
      <c r="F14" s="6"/>
      <c r="G14" s="6"/>
      <c r="H14" s="12"/>
      <c r="J14" s="40"/>
      <c r="K14" s="40"/>
      <c r="L14" s="40"/>
      <c r="M14" s="40"/>
      <c r="N14" s="40"/>
    </row>
    <row r="15" spans="1:14" ht="14.1" customHeight="1" x14ac:dyDescent="0.2">
      <c r="A15" s="1"/>
      <c r="B15" s="1"/>
      <c r="C15" s="2" t="s">
        <v>15</v>
      </c>
      <c r="D15" s="1"/>
      <c r="E15" s="1"/>
      <c r="F15" s="1"/>
      <c r="G15" s="1"/>
      <c r="H15" s="12"/>
      <c r="J15" s="40"/>
      <c r="K15" s="40"/>
      <c r="L15" s="40"/>
      <c r="M15" s="40"/>
      <c r="N15" s="40"/>
    </row>
    <row r="16" spans="1:14" ht="14.1" customHeight="1" x14ac:dyDescent="0.25">
      <c r="A16" s="1"/>
      <c r="B16" s="1"/>
      <c r="C16" s="2" t="s">
        <v>11</v>
      </c>
      <c r="D16" s="1"/>
      <c r="E16" s="1" t="s">
        <v>12</v>
      </c>
      <c r="F16" s="3">
        <v>0</v>
      </c>
      <c r="G16" s="4">
        <v>0</v>
      </c>
      <c r="H16" s="12"/>
      <c r="J16" s="93" t="s">
        <v>559</v>
      </c>
      <c r="K16" s="94"/>
      <c r="L16" s="94"/>
      <c r="M16" s="94"/>
      <c r="N16" s="94"/>
    </row>
    <row r="17" spans="1:14" ht="14.1" customHeight="1" x14ac:dyDescent="0.2">
      <c r="A17" s="1"/>
      <c r="B17" s="1"/>
      <c r="C17" s="5"/>
      <c r="D17" s="1"/>
      <c r="E17" s="1"/>
      <c r="F17" s="6"/>
      <c r="G17" s="6"/>
      <c r="H17" s="12"/>
      <c r="J17" s="40"/>
      <c r="K17" s="40"/>
      <c r="L17" s="40"/>
      <c r="M17" s="40"/>
      <c r="N17" s="40"/>
    </row>
    <row r="18" spans="1:14" ht="14.1" customHeight="1" x14ac:dyDescent="0.2">
      <c r="A18" s="1"/>
      <c r="B18" s="1"/>
      <c r="C18" s="2" t="s">
        <v>16</v>
      </c>
      <c r="D18" s="1"/>
      <c r="E18" s="1"/>
      <c r="F18" s="6"/>
      <c r="G18" s="6"/>
      <c r="H18" s="12"/>
      <c r="J18" s="40"/>
      <c r="K18" s="40"/>
      <c r="L18" s="40"/>
      <c r="M18" s="40"/>
      <c r="N18" s="40"/>
    </row>
    <row r="19" spans="1:14" ht="14.1" customHeight="1" x14ac:dyDescent="0.2">
      <c r="A19" s="1"/>
      <c r="B19" s="1"/>
      <c r="C19" s="2" t="s">
        <v>11</v>
      </c>
      <c r="D19" s="1"/>
      <c r="E19" s="1" t="s">
        <v>12</v>
      </c>
      <c r="F19" s="3">
        <v>0</v>
      </c>
      <c r="G19" s="4">
        <v>0</v>
      </c>
      <c r="H19" s="12"/>
      <c r="J19" s="40"/>
      <c r="K19" s="40"/>
      <c r="L19" s="40"/>
      <c r="M19" s="40"/>
      <c r="N19" s="40"/>
    </row>
    <row r="20" spans="1:14" ht="14.1" customHeight="1" x14ac:dyDescent="0.2">
      <c r="A20" s="1"/>
      <c r="B20" s="1"/>
      <c r="C20" s="5"/>
      <c r="D20" s="1"/>
      <c r="E20" s="1"/>
      <c r="F20" s="6"/>
      <c r="G20" s="6"/>
      <c r="H20" s="12"/>
      <c r="J20" s="40"/>
      <c r="K20" s="40"/>
      <c r="L20" s="40"/>
      <c r="M20" s="40"/>
      <c r="N20" s="40"/>
    </row>
    <row r="21" spans="1:14" ht="14.1" customHeight="1" x14ac:dyDescent="0.2">
      <c r="A21" s="1"/>
      <c r="B21" s="1"/>
      <c r="C21" s="2" t="s">
        <v>17</v>
      </c>
      <c r="D21" s="1"/>
      <c r="E21" s="1"/>
      <c r="F21" s="6"/>
      <c r="G21" s="6"/>
      <c r="H21" s="12"/>
      <c r="J21" s="40"/>
      <c r="K21" s="40"/>
      <c r="L21" s="40"/>
      <c r="M21" s="40"/>
      <c r="N21" s="40"/>
    </row>
    <row r="22" spans="1:14" ht="14.1" customHeight="1" x14ac:dyDescent="0.2">
      <c r="A22" s="1"/>
      <c r="B22" s="1"/>
      <c r="C22" s="2" t="s">
        <v>11</v>
      </c>
      <c r="D22" s="1"/>
      <c r="E22" s="1" t="s">
        <v>12</v>
      </c>
      <c r="F22" s="3">
        <v>0</v>
      </c>
      <c r="G22" s="4">
        <v>0</v>
      </c>
      <c r="H22" s="12"/>
      <c r="J22" s="40"/>
      <c r="K22" s="40"/>
      <c r="L22" s="40"/>
      <c r="M22" s="40"/>
      <c r="N22" s="40"/>
    </row>
    <row r="23" spans="1:14" ht="14.1" customHeight="1" x14ac:dyDescent="0.2">
      <c r="A23" s="1"/>
      <c r="B23" s="1"/>
      <c r="C23" s="5"/>
      <c r="D23" s="1"/>
      <c r="E23" s="1"/>
      <c r="F23" s="6"/>
      <c r="G23" s="6"/>
      <c r="H23" s="12"/>
      <c r="J23" s="40"/>
      <c r="K23" s="40"/>
      <c r="L23" s="40"/>
      <c r="M23" s="40"/>
      <c r="N23" s="40"/>
    </row>
    <row r="24" spans="1:14" ht="18" customHeight="1" x14ac:dyDescent="0.2">
      <c r="A24" s="1"/>
      <c r="B24" s="1"/>
      <c r="C24" s="2" t="s">
        <v>18</v>
      </c>
      <c r="D24" s="1"/>
      <c r="E24" s="1"/>
      <c r="F24" s="7">
        <v>0</v>
      </c>
      <c r="G24" s="8">
        <v>0</v>
      </c>
      <c r="H24" s="12"/>
      <c r="J24" s="40"/>
      <c r="K24" s="40"/>
      <c r="L24" s="40"/>
      <c r="M24" s="40"/>
      <c r="N24" s="40"/>
    </row>
    <row r="25" spans="1:14" ht="14.1" customHeight="1" x14ac:dyDescent="0.2">
      <c r="A25" s="1"/>
      <c r="B25" s="1"/>
      <c r="C25" s="5"/>
      <c r="D25" s="1"/>
      <c r="E25" s="1"/>
      <c r="F25" s="6"/>
      <c r="G25" s="6"/>
      <c r="H25" s="12"/>
      <c r="J25" s="40"/>
      <c r="K25" s="40"/>
      <c r="L25" s="40"/>
      <c r="M25" s="40"/>
      <c r="N25" s="40"/>
    </row>
    <row r="26" spans="1:14" ht="14.1" customHeight="1" x14ac:dyDescent="0.2">
      <c r="A26" s="1"/>
      <c r="B26" s="1"/>
      <c r="C26" s="2" t="s">
        <v>19</v>
      </c>
      <c r="D26" s="1"/>
      <c r="E26" s="1"/>
      <c r="F26" s="6"/>
      <c r="G26" s="6"/>
      <c r="H26" s="12"/>
      <c r="J26" s="40"/>
      <c r="K26" s="40"/>
      <c r="L26" s="40"/>
      <c r="M26" s="40"/>
      <c r="N26" s="40"/>
    </row>
    <row r="27" spans="1:14" ht="24" customHeight="1" x14ac:dyDescent="0.2">
      <c r="A27" s="1"/>
      <c r="B27" s="1"/>
      <c r="C27" s="2" t="s">
        <v>10</v>
      </c>
      <c r="D27" s="1"/>
      <c r="E27" s="1"/>
      <c r="F27" s="6"/>
      <c r="G27" s="6"/>
      <c r="H27" s="12"/>
      <c r="J27" s="40"/>
      <c r="K27" s="40"/>
      <c r="L27" s="40"/>
      <c r="M27" s="40"/>
      <c r="N27" s="40"/>
    </row>
    <row r="28" spans="1:14" ht="29.1" customHeight="1" x14ac:dyDescent="0.2">
      <c r="A28" s="9">
        <v>1</v>
      </c>
      <c r="B28" s="10" t="s">
        <v>295</v>
      </c>
      <c r="C28" s="10" t="s">
        <v>296</v>
      </c>
      <c r="D28" s="10" t="s">
        <v>27</v>
      </c>
      <c r="E28" s="11">
        <v>30</v>
      </c>
      <c r="F28" s="12">
        <v>297.28379999999999</v>
      </c>
      <c r="G28" s="13">
        <v>6.5503604000000007E-2</v>
      </c>
      <c r="H28" s="12">
        <v>7.5049999999999999</v>
      </c>
      <c r="J28" s="40"/>
      <c r="K28" s="40"/>
      <c r="L28" s="40"/>
      <c r="M28" s="40"/>
      <c r="N28" s="40"/>
    </row>
    <row r="29" spans="1:14" ht="29.1" customHeight="1" x14ac:dyDescent="0.25">
      <c r="A29" s="9">
        <v>2</v>
      </c>
      <c r="B29" s="10" t="s">
        <v>293</v>
      </c>
      <c r="C29" s="10" t="s">
        <v>294</v>
      </c>
      <c r="D29" s="10" t="s">
        <v>27</v>
      </c>
      <c r="E29" s="11">
        <v>30</v>
      </c>
      <c r="F29" s="12">
        <v>295.38479999999998</v>
      </c>
      <c r="G29" s="13">
        <v>6.5085177999999994E-2</v>
      </c>
      <c r="H29" s="12">
        <v>6.84</v>
      </c>
      <c r="J29" s="93" t="s">
        <v>560</v>
      </c>
      <c r="K29" s="40"/>
      <c r="L29" s="40"/>
      <c r="M29" s="40"/>
      <c r="N29" s="40"/>
    </row>
    <row r="30" spans="1:14" ht="14.1" customHeight="1" x14ac:dyDescent="0.2">
      <c r="A30" s="1"/>
      <c r="B30" s="1"/>
      <c r="C30" s="2" t="s">
        <v>11</v>
      </c>
      <c r="D30" s="1"/>
      <c r="E30" s="1" t="s">
        <v>12</v>
      </c>
      <c r="F30" s="7">
        <v>592.66859999999997</v>
      </c>
      <c r="G30" s="8">
        <v>0.13058878199999999</v>
      </c>
      <c r="H30" s="12"/>
      <c r="K30" s="94"/>
      <c r="L30" s="94"/>
      <c r="M30" s="94"/>
      <c r="N30" s="94"/>
    </row>
    <row r="31" spans="1:14" ht="14.1" customHeight="1" x14ac:dyDescent="0.2">
      <c r="A31" s="1"/>
      <c r="B31" s="1"/>
      <c r="C31" s="5"/>
      <c r="D31" s="1"/>
      <c r="E31" s="1"/>
      <c r="F31" s="6"/>
      <c r="G31" s="6"/>
      <c r="H31" s="12"/>
      <c r="J31" s="40"/>
      <c r="K31" s="40"/>
      <c r="L31" s="40"/>
      <c r="M31" s="40"/>
      <c r="N31" s="40"/>
    </row>
    <row r="32" spans="1:14" ht="14.1" customHeight="1" x14ac:dyDescent="0.2">
      <c r="A32" s="1"/>
      <c r="B32" s="1"/>
      <c r="C32" s="2" t="s">
        <v>95</v>
      </c>
      <c r="D32" s="1"/>
      <c r="E32" s="1"/>
      <c r="F32" s="1"/>
      <c r="G32" s="1"/>
      <c r="H32" s="12"/>
      <c r="J32" s="40"/>
      <c r="K32" s="40"/>
      <c r="L32" s="40"/>
      <c r="M32" s="40"/>
      <c r="N32" s="40"/>
    </row>
    <row r="33" spans="1:14" ht="14.1" customHeight="1" x14ac:dyDescent="0.2">
      <c r="A33" s="1"/>
      <c r="B33" s="1"/>
      <c r="C33" s="2" t="s">
        <v>11</v>
      </c>
      <c r="D33" s="1"/>
      <c r="E33" s="1" t="s">
        <v>12</v>
      </c>
      <c r="F33" s="3">
        <v>0</v>
      </c>
      <c r="G33" s="4">
        <v>0</v>
      </c>
      <c r="H33" s="12"/>
      <c r="J33" s="40"/>
      <c r="K33" s="40"/>
      <c r="L33" s="40"/>
      <c r="M33" s="40"/>
      <c r="N33" s="40"/>
    </row>
    <row r="34" spans="1:14" ht="14.1" customHeight="1" x14ac:dyDescent="0.2">
      <c r="A34" s="1"/>
      <c r="B34" s="1"/>
      <c r="C34" s="5"/>
      <c r="D34" s="1"/>
      <c r="E34" s="1"/>
      <c r="F34" s="6"/>
      <c r="G34" s="6"/>
      <c r="H34" s="12"/>
      <c r="J34" s="40"/>
      <c r="K34" s="40"/>
      <c r="L34" s="40"/>
      <c r="M34" s="40"/>
      <c r="N34" s="40"/>
    </row>
    <row r="35" spans="1:14" ht="14.1" customHeight="1" x14ac:dyDescent="0.2">
      <c r="A35" s="1"/>
      <c r="B35" s="1"/>
      <c r="C35" s="2" t="s">
        <v>96</v>
      </c>
      <c r="D35" s="1"/>
      <c r="E35" s="1"/>
      <c r="F35" s="1"/>
      <c r="G35" s="1"/>
      <c r="H35" s="12"/>
      <c r="J35" s="40"/>
      <c r="K35" s="40"/>
      <c r="L35" s="40"/>
      <c r="M35" s="40"/>
      <c r="N35" s="40"/>
    </row>
    <row r="36" spans="1:14" ht="29.1" customHeight="1" x14ac:dyDescent="0.2">
      <c r="A36" s="9">
        <v>1</v>
      </c>
      <c r="B36" s="10" t="s">
        <v>181</v>
      </c>
      <c r="C36" s="10" t="s">
        <v>182</v>
      </c>
      <c r="D36" s="10" t="s">
        <v>99</v>
      </c>
      <c r="E36" s="11">
        <v>1500000</v>
      </c>
      <c r="F36" s="12">
        <v>1436.0070000000001</v>
      </c>
      <c r="G36" s="13">
        <v>0.31641022600000002</v>
      </c>
      <c r="H36" s="12">
        <v>6.9233000000000002</v>
      </c>
      <c r="J36" s="40"/>
      <c r="K36" s="40"/>
      <c r="L36" s="40"/>
      <c r="M36" s="40"/>
      <c r="N36" s="40"/>
    </row>
    <row r="37" spans="1:14" ht="29.1" customHeight="1" x14ac:dyDescent="0.2">
      <c r="A37" s="9">
        <v>2</v>
      </c>
      <c r="B37" s="10" t="s">
        <v>183</v>
      </c>
      <c r="C37" s="10" t="s">
        <v>184</v>
      </c>
      <c r="D37" s="10" t="s">
        <v>99</v>
      </c>
      <c r="E37" s="11">
        <v>1000000</v>
      </c>
      <c r="F37" s="12">
        <v>960.75800000000004</v>
      </c>
      <c r="G37" s="13">
        <v>0.211693715</v>
      </c>
      <c r="H37" s="12">
        <v>6.7838000000000003</v>
      </c>
      <c r="J37" s="40"/>
      <c r="K37" s="40"/>
      <c r="L37" s="40"/>
      <c r="M37" s="40"/>
      <c r="N37" s="40"/>
    </row>
    <row r="38" spans="1:14" ht="29.1" customHeight="1" x14ac:dyDescent="0.2">
      <c r="A38" s="9">
        <v>3</v>
      </c>
      <c r="B38" s="10" t="s">
        <v>264</v>
      </c>
      <c r="C38" s="10" t="s">
        <v>265</v>
      </c>
      <c r="D38" s="10" t="s">
        <v>99</v>
      </c>
      <c r="E38" s="11">
        <v>500000</v>
      </c>
      <c r="F38" s="12">
        <v>507.78699999999998</v>
      </c>
      <c r="G38" s="13">
        <v>0.111885944</v>
      </c>
      <c r="H38" s="12">
        <v>7.3559000000000001</v>
      </c>
      <c r="J38" s="40"/>
      <c r="K38" s="40"/>
      <c r="L38" s="40"/>
      <c r="M38" s="40"/>
      <c r="N38" s="40"/>
    </row>
    <row r="39" spans="1:14" ht="29.1" customHeight="1" x14ac:dyDescent="0.2">
      <c r="A39" s="9">
        <v>4</v>
      </c>
      <c r="B39" s="10" t="s">
        <v>429</v>
      </c>
      <c r="C39" s="10" t="s">
        <v>430</v>
      </c>
      <c r="D39" s="10" t="s">
        <v>99</v>
      </c>
      <c r="E39" s="11">
        <v>500000</v>
      </c>
      <c r="F39" s="12">
        <v>476.10199999999998</v>
      </c>
      <c r="G39" s="13">
        <v>0.104904462</v>
      </c>
      <c r="H39" s="12">
        <v>6.84</v>
      </c>
      <c r="J39" s="40"/>
      <c r="K39" s="40"/>
      <c r="L39" s="40"/>
      <c r="M39" s="40"/>
      <c r="N39" s="40"/>
    </row>
    <row r="40" spans="1:14" ht="14.1" customHeight="1" x14ac:dyDescent="0.2">
      <c r="A40" s="1"/>
      <c r="B40" s="1"/>
      <c r="C40" s="2" t="s">
        <v>11</v>
      </c>
      <c r="D40" s="1"/>
      <c r="E40" s="1" t="s">
        <v>12</v>
      </c>
      <c r="F40" s="7">
        <v>3380.654</v>
      </c>
      <c r="G40" s="8">
        <v>0.74489434700000001</v>
      </c>
      <c r="H40" s="12"/>
    </row>
    <row r="41" spans="1:14" ht="14.1" customHeight="1" x14ac:dyDescent="0.2">
      <c r="A41" s="1"/>
      <c r="B41" s="1"/>
      <c r="C41" s="5"/>
      <c r="D41" s="1"/>
      <c r="E41" s="1"/>
      <c r="F41" s="6"/>
      <c r="G41" s="6"/>
      <c r="H41" s="12"/>
    </row>
    <row r="42" spans="1:14" ht="14.1" customHeight="1" x14ac:dyDescent="0.2">
      <c r="A42" s="1"/>
      <c r="B42" s="1"/>
      <c r="C42" s="2" t="s">
        <v>106</v>
      </c>
      <c r="D42" s="1"/>
      <c r="E42" s="1"/>
      <c r="F42" s="6"/>
      <c r="G42" s="6"/>
      <c r="H42" s="12"/>
    </row>
    <row r="43" spans="1:14" ht="14.1" customHeight="1" x14ac:dyDescent="0.2">
      <c r="A43" s="1"/>
      <c r="B43" s="1"/>
      <c r="C43" s="2" t="s">
        <v>11</v>
      </c>
      <c r="D43" s="1"/>
      <c r="E43" s="1" t="s">
        <v>12</v>
      </c>
      <c r="F43" s="3">
        <v>0</v>
      </c>
      <c r="G43" s="4">
        <v>0</v>
      </c>
      <c r="H43" s="12"/>
    </row>
    <row r="44" spans="1:14" ht="14.1" customHeight="1" x14ac:dyDescent="0.2">
      <c r="A44" s="1"/>
      <c r="B44" s="1"/>
      <c r="C44" s="5"/>
      <c r="D44" s="1"/>
      <c r="E44" s="1"/>
      <c r="F44" s="6"/>
      <c r="G44" s="6"/>
      <c r="H44" s="12"/>
    </row>
    <row r="45" spans="1:14" ht="14.1" customHeight="1" x14ac:dyDescent="0.2">
      <c r="A45" s="1"/>
      <c r="B45" s="1"/>
      <c r="C45" s="2" t="s">
        <v>107</v>
      </c>
      <c r="D45" s="1"/>
      <c r="E45" s="1"/>
      <c r="F45" s="7">
        <v>3973.3226</v>
      </c>
      <c r="G45" s="8">
        <v>0.87548312900000003</v>
      </c>
      <c r="H45" s="12"/>
    </row>
    <row r="46" spans="1:14" ht="14.1" customHeight="1" x14ac:dyDescent="0.2">
      <c r="A46" s="1"/>
      <c r="B46" s="1"/>
      <c r="C46" s="5"/>
      <c r="D46" s="1"/>
      <c r="E46" s="1"/>
      <c r="F46" s="6"/>
      <c r="G46" s="6"/>
      <c r="H46" s="12"/>
    </row>
    <row r="47" spans="1:14" ht="14.1" customHeight="1" x14ac:dyDescent="0.2">
      <c r="A47" s="1"/>
      <c r="B47" s="1"/>
      <c r="C47" s="2" t="s">
        <v>108</v>
      </c>
      <c r="D47" s="1"/>
      <c r="E47" s="1"/>
      <c r="F47" s="6"/>
      <c r="G47" s="6"/>
      <c r="H47" s="12"/>
    </row>
    <row r="48" spans="1:14" ht="14.1" customHeight="1" x14ac:dyDescent="0.2">
      <c r="A48" s="1"/>
      <c r="B48" s="1"/>
      <c r="C48" s="2" t="s">
        <v>109</v>
      </c>
      <c r="D48" s="1"/>
      <c r="E48" s="1"/>
      <c r="F48" s="6"/>
      <c r="G48" s="6"/>
      <c r="H48" s="12"/>
    </row>
    <row r="49" spans="1:8" ht="14.1" customHeight="1" x14ac:dyDescent="0.2">
      <c r="A49" s="1"/>
      <c r="B49" s="1"/>
      <c r="C49" s="2" t="s">
        <v>11</v>
      </c>
      <c r="D49" s="1"/>
      <c r="E49" s="1" t="s">
        <v>12</v>
      </c>
      <c r="F49" s="3">
        <v>0</v>
      </c>
      <c r="G49" s="4">
        <v>0</v>
      </c>
      <c r="H49" s="12"/>
    </row>
    <row r="50" spans="1:8" ht="14.1" customHeight="1" x14ac:dyDescent="0.2">
      <c r="A50" s="1"/>
      <c r="B50" s="1"/>
      <c r="C50" s="5"/>
      <c r="D50" s="1"/>
      <c r="E50" s="1"/>
      <c r="F50" s="6"/>
      <c r="G50" s="6"/>
      <c r="H50" s="12"/>
    </row>
    <row r="51" spans="1:8" ht="14.1" customHeight="1" x14ac:dyDescent="0.2">
      <c r="A51" s="1"/>
      <c r="B51" s="1"/>
      <c r="C51" s="2" t="s">
        <v>116</v>
      </c>
      <c r="D51" s="1"/>
      <c r="E51" s="1"/>
      <c r="F51" s="6"/>
      <c r="G51" s="6"/>
      <c r="H51" s="12"/>
    </row>
    <row r="52" spans="1:8" ht="14.1" customHeight="1" x14ac:dyDescent="0.2">
      <c r="A52" s="1"/>
      <c r="B52" s="1"/>
      <c r="C52" s="2" t="s">
        <v>11</v>
      </c>
      <c r="D52" s="1"/>
      <c r="E52" s="1" t="s">
        <v>12</v>
      </c>
      <c r="F52" s="3">
        <v>0</v>
      </c>
      <c r="G52" s="4">
        <v>0</v>
      </c>
      <c r="H52" s="12"/>
    </row>
    <row r="53" spans="1:8" ht="14.1" customHeight="1" x14ac:dyDescent="0.2">
      <c r="A53" s="1"/>
      <c r="B53" s="1"/>
      <c r="C53" s="5"/>
      <c r="D53" s="1"/>
      <c r="E53" s="1"/>
      <c r="F53" s="6"/>
      <c r="G53" s="6"/>
      <c r="H53" s="12"/>
    </row>
    <row r="54" spans="1:8" ht="14.1" customHeight="1" x14ac:dyDescent="0.2">
      <c r="A54" s="1"/>
      <c r="B54" s="1"/>
      <c r="C54" s="2" t="s">
        <v>121</v>
      </c>
      <c r="D54" s="1"/>
      <c r="E54" s="1"/>
      <c r="F54" s="6"/>
      <c r="G54" s="6"/>
      <c r="H54" s="12"/>
    </row>
    <row r="55" spans="1:8" ht="14.1" customHeight="1" x14ac:dyDescent="0.2">
      <c r="A55" s="1"/>
      <c r="B55" s="1"/>
      <c r="C55" s="2" t="s">
        <v>11</v>
      </c>
      <c r="D55" s="1"/>
      <c r="E55" s="1" t="s">
        <v>12</v>
      </c>
      <c r="F55" s="3">
        <v>0</v>
      </c>
      <c r="G55" s="4">
        <v>0</v>
      </c>
      <c r="H55" s="12"/>
    </row>
    <row r="56" spans="1:8" ht="14.1" customHeight="1" x14ac:dyDescent="0.2">
      <c r="A56" s="1"/>
      <c r="B56" s="1"/>
      <c r="C56" s="5"/>
      <c r="D56" s="1"/>
      <c r="E56" s="1"/>
      <c r="F56" s="6"/>
      <c r="G56" s="6"/>
      <c r="H56" s="12"/>
    </row>
    <row r="57" spans="1:8" ht="14.1" customHeight="1" x14ac:dyDescent="0.2">
      <c r="A57" s="1"/>
      <c r="B57" s="1"/>
      <c r="C57" s="2" t="s">
        <v>122</v>
      </c>
      <c r="D57" s="1"/>
      <c r="E57" s="1"/>
      <c r="F57" s="6"/>
      <c r="G57" s="6"/>
      <c r="H57" s="12"/>
    </row>
    <row r="58" spans="1:8" ht="17.100000000000001" customHeight="1" x14ac:dyDescent="0.2">
      <c r="A58" s="9">
        <v>1</v>
      </c>
      <c r="B58" s="10"/>
      <c r="C58" s="10" t="s">
        <v>123</v>
      </c>
      <c r="D58" s="10"/>
      <c r="E58" s="14"/>
      <c r="F58" s="12">
        <v>506.86014390000003</v>
      </c>
      <c r="G58" s="13">
        <v>0.111681721</v>
      </c>
      <c r="H58" s="12">
        <v>5.4181585046733343</v>
      </c>
    </row>
    <row r="59" spans="1:8" ht="14.1" customHeight="1" x14ac:dyDescent="0.2">
      <c r="A59" s="1"/>
      <c r="B59" s="1"/>
      <c r="C59" s="2" t="s">
        <v>11</v>
      </c>
      <c r="D59" s="1"/>
      <c r="E59" s="1" t="s">
        <v>12</v>
      </c>
      <c r="F59" s="7">
        <v>506.86014390000003</v>
      </c>
      <c r="G59" s="8">
        <v>0.111681721</v>
      </c>
      <c r="H59" s="12"/>
    </row>
    <row r="60" spans="1:8" ht="14.1" customHeight="1" x14ac:dyDescent="0.2">
      <c r="A60" s="1"/>
      <c r="B60" s="1"/>
      <c r="C60" s="5"/>
      <c r="D60" s="1"/>
      <c r="E60" s="1"/>
      <c r="F60" s="6"/>
      <c r="G60" s="6"/>
      <c r="H60" s="12"/>
    </row>
    <row r="61" spans="1:8" ht="14.1" customHeight="1" x14ac:dyDescent="0.2">
      <c r="A61" s="1"/>
      <c r="B61" s="1"/>
      <c r="C61" s="2" t="s">
        <v>124</v>
      </c>
      <c r="D61" s="1"/>
      <c r="E61" s="1"/>
      <c r="F61" s="7">
        <v>506.86014390000003</v>
      </c>
      <c r="G61" s="8">
        <v>0.111681721</v>
      </c>
      <c r="H61" s="12"/>
    </row>
    <row r="62" spans="1:8" ht="14.1" customHeight="1" x14ac:dyDescent="0.2">
      <c r="A62" s="1"/>
      <c r="B62" s="1"/>
      <c r="C62" s="6"/>
      <c r="D62" s="1"/>
      <c r="E62" s="1"/>
      <c r="F62" s="1"/>
      <c r="G62" s="1"/>
      <c r="H62" s="12"/>
    </row>
    <row r="63" spans="1:8" ht="14.1" customHeight="1" x14ac:dyDescent="0.2">
      <c r="A63" s="1"/>
      <c r="B63" s="1"/>
      <c r="C63" s="2" t="s">
        <v>125</v>
      </c>
      <c r="D63" s="1"/>
      <c r="E63" s="1"/>
      <c r="F63" s="1"/>
      <c r="G63" s="1"/>
      <c r="H63" s="12"/>
    </row>
    <row r="64" spans="1:8" ht="14.1" customHeight="1" x14ac:dyDescent="0.2">
      <c r="A64" s="1"/>
      <c r="B64" s="1"/>
      <c r="C64" s="2" t="s">
        <v>126</v>
      </c>
      <c r="D64" s="1"/>
      <c r="E64" s="1"/>
      <c r="F64" s="1"/>
      <c r="G64" s="1"/>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127</v>
      </c>
      <c r="D67" s="1"/>
      <c r="E67" s="1"/>
      <c r="F67" s="1"/>
      <c r="G67" s="1"/>
      <c r="H67" s="12"/>
    </row>
    <row r="68" spans="1:8" ht="14.1" customHeight="1" x14ac:dyDescent="0.2">
      <c r="A68" s="1"/>
      <c r="B68" s="1"/>
      <c r="C68" s="2" t="s">
        <v>128</v>
      </c>
      <c r="D68" s="1"/>
      <c r="E68" s="1"/>
      <c r="F68" s="1"/>
      <c r="G68" s="1"/>
      <c r="H68" s="12"/>
    </row>
    <row r="69" spans="1:8" ht="14.1" customHeight="1" x14ac:dyDescent="0.2">
      <c r="A69" s="1"/>
      <c r="B69" s="1"/>
      <c r="C69" s="2" t="s">
        <v>11</v>
      </c>
      <c r="D69" s="1"/>
      <c r="E69" s="1" t="s">
        <v>12</v>
      </c>
      <c r="F69" s="3">
        <v>0</v>
      </c>
      <c r="G69" s="4">
        <v>0</v>
      </c>
      <c r="H69" s="12"/>
    </row>
    <row r="70" spans="1:8" ht="14.1" customHeight="1" x14ac:dyDescent="0.2">
      <c r="A70" s="1"/>
      <c r="B70" s="1"/>
      <c r="C70" s="5"/>
      <c r="D70" s="1"/>
      <c r="E70" s="1"/>
      <c r="F70" s="6"/>
      <c r="G70" s="6"/>
      <c r="H70" s="12"/>
    </row>
    <row r="71" spans="1:8" ht="24" customHeight="1" x14ac:dyDescent="0.2">
      <c r="A71" s="1"/>
      <c r="B71" s="1"/>
      <c r="C71" s="2" t="s">
        <v>129</v>
      </c>
      <c r="D71" s="1"/>
      <c r="E71" s="1"/>
      <c r="F71" s="6"/>
      <c r="G71" s="6"/>
      <c r="H71" s="12"/>
    </row>
    <row r="72" spans="1:8" ht="14.1" customHeight="1" x14ac:dyDescent="0.2">
      <c r="A72" s="1"/>
      <c r="B72" s="1"/>
      <c r="C72" s="2" t="s">
        <v>11</v>
      </c>
      <c r="D72" s="1"/>
      <c r="E72" s="1" t="s">
        <v>12</v>
      </c>
      <c r="F72" s="3">
        <v>0</v>
      </c>
      <c r="G72" s="4">
        <v>0</v>
      </c>
      <c r="H72" s="12"/>
    </row>
    <row r="73" spans="1:8" ht="14.1" customHeight="1" x14ac:dyDescent="0.2">
      <c r="A73" s="1"/>
      <c r="B73" s="1"/>
      <c r="C73" s="5"/>
      <c r="D73" s="1"/>
      <c r="E73" s="1"/>
      <c r="F73" s="6"/>
      <c r="G73" s="6"/>
      <c r="H73" s="12"/>
    </row>
    <row r="74" spans="1:8" ht="14.1" customHeight="1" x14ac:dyDescent="0.2">
      <c r="A74" s="1"/>
      <c r="B74" s="10"/>
      <c r="C74" s="10"/>
      <c r="D74" s="2"/>
      <c r="E74" s="1"/>
      <c r="F74" s="10"/>
      <c r="G74" s="14"/>
      <c r="H74" s="12"/>
    </row>
    <row r="75" spans="1:8" ht="18" customHeight="1" x14ac:dyDescent="0.2">
      <c r="A75" s="14"/>
      <c r="B75" s="10"/>
      <c r="C75" s="10" t="s">
        <v>130</v>
      </c>
      <c r="D75" s="10"/>
      <c r="E75" s="14"/>
      <c r="F75" s="12">
        <v>58.251483690000001</v>
      </c>
      <c r="G75" s="13">
        <v>1.283515E-2</v>
      </c>
      <c r="H75" s="12"/>
    </row>
    <row r="76" spans="1:8" ht="14.1" customHeight="1" x14ac:dyDescent="0.2">
      <c r="A76" s="5"/>
      <c r="B76" s="5"/>
      <c r="C76" s="2" t="s">
        <v>131</v>
      </c>
      <c r="D76" s="6"/>
      <c r="E76" s="6"/>
      <c r="F76" s="7">
        <v>4538.4342275899999</v>
      </c>
      <c r="G76" s="8">
        <v>1</v>
      </c>
      <c r="H76" s="12"/>
    </row>
    <row r="77" spans="1:8" ht="14.1" customHeight="1" x14ac:dyDescent="0.2">
      <c r="A77" s="15"/>
      <c r="B77" s="15"/>
      <c r="C77" s="15"/>
      <c r="D77" s="16"/>
      <c r="E77" s="16"/>
      <c r="F77" s="16"/>
      <c r="G77" s="16"/>
    </row>
    <row r="78" spans="1:8" ht="17.100000000000001" customHeight="1" x14ac:dyDescent="0.2">
      <c r="A78" s="17"/>
      <c r="B78" s="101" t="s">
        <v>132</v>
      </c>
      <c r="C78" s="101"/>
      <c r="D78" s="101"/>
      <c r="E78" s="101"/>
      <c r="F78" s="101"/>
      <c r="G78" s="19"/>
    </row>
    <row r="79" spans="1:8" ht="17.100000000000001" customHeight="1" x14ac:dyDescent="0.2">
      <c r="A79" s="17"/>
      <c r="B79" s="101" t="s">
        <v>133</v>
      </c>
      <c r="C79" s="101"/>
      <c r="D79" s="101"/>
      <c r="E79" s="101"/>
      <c r="F79" s="101"/>
      <c r="G79" s="19"/>
    </row>
    <row r="80" spans="1:8" ht="14.1" customHeight="1" x14ac:dyDescent="0.2">
      <c r="A80" s="17"/>
      <c r="B80" s="17"/>
      <c r="C80" s="17"/>
      <c r="D80" s="19"/>
      <c r="E80" s="19"/>
      <c r="F80" s="19"/>
      <c r="G80" s="19"/>
    </row>
    <row r="81" spans="1:7" ht="14.1" customHeight="1" x14ac:dyDescent="0.2">
      <c r="A81" s="17"/>
      <c r="B81" s="102" t="s">
        <v>134</v>
      </c>
      <c r="C81" s="103"/>
      <c r="D81" s="104"/>
      <c r="E81" s="20"/>
      <c r="F81" s="19"/>
      <c r="G81" s="19"/>
    </row>
    <row r="82" spans="1:7" ht="29.1" customHeight="1" x14ac:dyDescent="0.2">
      <c r="A82" s="17"/>
      <c r="B82" s="97" t="s">
        <v>135</v>
      </c>
      <c r="C82" s="98"/>
      <c r="D82" s="2" t="s">
        <v>496</v>
      </c>
      <c r="E82" s="20"/>
      <c r="F82" s="19"/>
      <c r="G82" s="19"/>
    </row>
    <row r="83" spans="1:7" ht="17.100000000000001" customHeight="1" x14ac:dyDescent="0.2">
      <c r="A83" s="17"/>
      <c r="B83" s="97" t="s">
        <v>137</v>
      </c>
      <c r="C83" s="98"/>
      <c r="D83" s="2" t="s">
        <v>136</v>
      </c>
      <c r="E83" s="20"/>
      <c r="F83" s="19"/>
      <c r="G83" s="19"/>
    </row>
    <row r="84" spans="1:7" ht="17.100000000000001" customHeight="1" x14ac:dyDescent="0.2">
      <c r="A84" s="17"/>
      <c r="B84" s="97" t="s">
        <v>138</v>
      </c>
      <c r="C84" s="98"/>
      <c r="D84" s="6" t="s">
        <v>12</v>
      </c>
      <c r="E84" s="20"/>
      <c r="F84" s="19"/>
      <c r="G84" s="19"/>
    </row>
    <row r="85" spans="1:7" ht="24" customHeight="1" x14ac:dyDescent="0.2">
      <c r="A85" s="21"/>
      <c r="B85" s="22" t="s">
        <v>12</v>
      </c>
      <c r="C85" s="22" t="s">
        <v>139</v>
      </c>
      <c r="D85" s="22" t="s">
        <v>140</v>
      </c>
      <c r="E85" s="21"/>
      <c r="F85" s="21"/>
      <c r="G85" s="21"/>
    </row>
    <row r="86" spans="1:7" ht="18" customHeight="1" x14ac:dyDescent="0.2">
      <c r="A86" s="21"/>
      <c r="B86" s="23" t="s">
        <v>141</v>
      </c>
      <c r="C86" s="22" t="s">
        <v>142</v>
      </c>
      <c r="D86" s="22" t="s">
        <v>143</v>
      </c>
      <c r="E86" s="21"/>
      <c r="F86" s="21"/>
      <c r="G86" s="21"/>
    </row>
    <row r="87" spans="1:7" ht="17.100000000000001" customHeight="1" x14ac:dyDescent="0.2">
      <c r="A87" s="21"/>
      <c r="B87" s="10" t="s">
        <v>144</v>
      </c>
      <c r="C87" s="24">
        <v>63.704099999999997</v>
      </c>
      <c r="D87" s="24">
        <v>64.084299999999999</v>
      </c>
      <c r="E87" s="21"/>
      <c r="F87" s="18"/>
      <c r="G87" s="25"/>
    </row>
    <row r="88" spans="1:7" ht="29.1" customHeight="1" x14ac:dyDescent="0.2">
      <c r="A88" s="21"/>
      <c r="B88" s="10" t="s">
        <v>522</v>
      </c>
      <c r="C88" s="24">
        <v>23.432600000000001</v>
      </c>
      <c r="D88" s="24">
        <v>23.571999999999999</v>
      </c>
      <c r="E88" s="21"/>
      <c r="F88" s="18"/>
      <c r="G88" s="25"/>
    </row>
    <row r="89" spans="1:7" ht="29.1" customHeight="1" x14ac:dyDescent="0.2">
      <c r="A89" s="21"/>
      <c r="B89" s="10" t="s">
        <v>524</v>
      </c>
      <c r="C89" s="24">
        <v>13.135400000000001</v>
      </c>
      <c r="D89" s="24">
        <v>13.2134</v>
      </c>
      <c r="E89" s="21"/>
      <c r="F89" s="18"/>
      <c r="G89" s="25"/>
    </row>
    <row r="90" spans="1:7" ht="29.1" customHeight="1" x14ac:dyDescent="0.2">
      <c r="A90" s="21"/>
      <c r="B90" s="10" t="s">
        <v>431</v>
      </c>
      <c r="C90" s="24">
        <v>66.155900000000003</v>
      </c>
      <c r="D90" s="24">
        <v>66.492000000000004</v>
      </c>
      <c r="E90" s="21"/>
      <c r="F90" s="18"/>
      <c r="G90" s="25"/>
    </row>
    <row r="91" spans="1:7" ht="17.100000000000001" customHeight="1" x14ac:dyDescent="0.2">
      <c r="A91" s="21"/>
      <c r="B91" s="10" t="s">
        <v>145</v>
      </c>
      <c r="C91" s="24">
        <v>58.541800000000002</v>
      </c>
      <c r="D91" s="24">
        <v>58.839300000000001</v>
      </c>
      <c r="E91" s="21"/>
      <c r="F91" s="18"/>
      <c r="G91" s="25"/>
    </row>
    <row r="92" spans="1:7" ht="17.100000000000001" customHeight="1" x14ac:dyDescent="0.2">
      <c r="A92" s="21"/>
      <c r="B92" s="10" t="s">
        <v>191</v>
      </c>
      <c r="C92" s="24">
        <v>19.994599999999998</v>
      </c>
      <c r="D92" s="24">
        <v>20.096299999999999</v>
      </c>
      <c r="E92" s="21"/>
      <c r="F92" s="18"/>
      <c r="G92" s="25"/>
    </row>
    <row r="93" spans="1:7" ht="25.5" x14ac:dyDescent="0.2">
      <c r="A93" s="21"/>
      <c r="B93" s="10" t="s">
        <v>526</v>
      </c>
      <c r="C93" s="24">
        <v>12.1692</v>
      </c>
      <c r="D93" s="24">
        <v>12.231</v>
      </c>
      <c r="E93" s="21"/>
      <c r="F93" s="18"/>
      <c r="G93" s="25"/>
    </row>
    <row r="94" spans="1:7" ht="29.1" customHeight="1" x14ac:dyDescent="0.2">
      <c r="A94" s="21"/>
      <c r="B94" s="10" t="s">
        <v>527</v>
      </c>
      <c r="C94" s="24">
        <v>12.422499999999999</v>
      </c>
      <c r="D94" s="24">
        <v>12.4857</v>
      </c>
      <c r="E94" s="21"/>
      <c r="F94" s="18"/>
      <c r="G94" s="25"/>
    </row>
    <row r="95" spans="1:7" ht="29.1" customHeight="1" x14ac:dyDescent="0.2">
      <c r="A95" s="21"/>
      <c r="B95" s="10" t="s">
        <v>528</v>
      </c>
      <c r="C95" s="24">
        <v>11.8979</v>
      </c>
      <c r="D95" s="24">
        <v>11.958399999999999</v>
      </c>
      <c r="E95" s="21"/>
      <c r="F95" s="18"/>
      <c r="G95" s="25"/>
    </row>
    <row r="96" spans="1:7" ht="14.1" customHeight="1" x14ac:dyDescent="0.2">
      <c r="A96" s="21"/>
      <c r="B96" s="21"/>
      <c r="C96" s="21"/>
      <c r="D96" s="21"/>
      <c r="E96" s="21"/>
      <c r="F96" s="21"/>
      <c r="G96" s="21"/>
    </row>
    <row r="97" spans="1:14" ht="17.100000000000001" customHeight="1" x14ac:dyDescent="0.2">
      <c r="A97" s="21"/>
      <c r="B97" s="97" t="s">
        <v>529</v>
      </c>
      <c r="C97" s="98"/>
      <c r="D97" s="2" t="s">
        <v>136</v>
      </c>
      <c r="E97" s="21"/>
      <c r="F97" s="21"/>
      <c r="G97" s="21"/>
    </row>
    <row r="98" spans="1:14" ht="14.1" customHeight="1" x14ac:dyDescent="0.2">
      <c r="A98" s="21"/>
      <c r="B98" s="18"/>
      <c r="C98" s="18"/>
      <c r="D98" s="21"/>
      <c r="E98" s="21"/>
      <c r="F98" s="21"/>
      <c r="G98" s="21"/>
    </row>
    <row r="99" spans="1:14" ht="17.100000000000001" customHeight="1" x14ac:dyDescent="0.2">
      <c r="A99" s="21"/>
      <c r="B99" s="97" t="s">
        <v>464</v>
      </c>
      <c r="C99" s="98"/>
      <c r="D99" s="2" t="s">
        <v>136</v>
      </c>
      <c r="E99" s="21"/>
      <c r="F99" s="18"/>
      <c r="G99" s="25"/>
    </row>
    <row r="100" spans="1:14" ht="29.1" customHeight="1" x14ac:dyDescent="0.2">
      <c r="A100" s="21"/>
      <c r="B100" s="97" t="s">
        <v>465</v>
      </c>
      <c r="C100" s="98"/>
      <c r="D100" s="2" t="s">
        <v>136</v>
      </c>
      <c r="E100" s="31"/>
      <c r="F100" s="21"/>
      <c r="G100" s="21"/>
    </row>
    <row r="101" spans="1:14" ht="29.1" customHeight="1" x14ac:dyDescent="0.2">
      <c r="A101" s="21"/>
      <c r="B101" s="97" t="s">
        <v>466</v>
      </c>
      <c r="C101" s="98"/>
      <c r="D101" s="2" t="s">
        <v>136</v>
      </c>
      <c r="E101" s="31"/>
      <c r="F101" s="21"/>
      <c r="G101" s="21"/>
    </row>
    <row r="102" spans="1:14" ht="17.100000000000001" customHeight="1" x14ac:dyDescent="0.2">
      <c r="A102" s="21"/>
      <c r="B102" s="97" t="s">
        <v>467</v>
      </c>
      <c r="C102" s="98"/>
      <c r="D102" s="32">
        <v>4.0649402904877743</v>
      </c>
      <c r="E102" s="31"/>
      <c r="F102" s="21"/>
      <c r="G102" s="21"/>
    </row>
    <row r="103" spans="1:14" ht="17.100000000000001" customHeight="1" x14ac:dyDescent="0.2">
      <c r="A103" s="21"/>
      <c r="B103" s="97" t="s">
        <v>468</v>
      </c>
      <c r="C103" s="98"/>
      <c r="D103" s="32">
        <v>3.2171514308418576</v>
      </c>
      <c r="E103" s="31"/>
      <c r="F103" s="21"/>
      <c r="G103" s="21"/>
    </row>
    <row r="104" spans="1:14" ht="17.100000000000001" customHeight="1" x14ac:dyDescent="0.2">
      <c r="A104" s="21"/>
      <c r="B104" s="97" t="s">
        <v>469</v>
      </c>
      <c r="C104" s="98"/>
      <c r="D104" s="2" t="s">
        <v>136</v>
      </c>
      <c r="E104" s="31"/>
      <c r="F104" s="21"/>
      <c r="G104" s="21"/>
    </row>
    <row r="105" spans="1:14" ht="11.1" customHeight="1" x14ac:dyDescent="0.2">
      <c r="A105" s="33"/>
      <c r="B105" s="33"/>
      <c r="C105" s="33"/>
      <c r="D105" s="33"/>
      <c r="E105" s="33"/>
      <c r="F105" s="33"/>
      <c r="G105" s="33"/>
    </row>
    <row r="106" spans="1:14" x14ac:dyDescent="0.2">
      <c r="B106" s="135" t="s">
        <v>516</v>
      </c>
      <c r="C106" s="136"/>
      <c r="D106" s="136"/>
      <c r="E106" s="136"/>
      <c r="F106" s="136"/>
      <c r="G106" s="137"/>
    </row>
    <row r="107" spans="1:14" ht="29.25" customHeight="1" x14ac:dyDescent="0.25">
      <c r="B107" s="69" t="s">
        <v>477</v>
      </c>
      <c r="C107" s="69" t="s">
        <v>478</v>
      </c>
      <c r="D107" s="138" t="s">
        <v>472</v>
      </c>
      <c r="E107" s="139"/>
      <c r="F107" s="131" t="s">
        <v>473</v>
      </c>
      <c r="G107" s="131"/>
      <c r="H107" s="70"/>
      <c r="I107" s="58"/>
      <c r="J107" s="58"/>
      <c r="K107" s="58"/>
      <c r="L107" s="58"/>
      <c r="M107" s="58"/>
      <c r="N107" s="58"/>
    </row>
    <row r="108" spans="1:14" ht="26.25" x14ac:dyDescent="0.25">
      <c r="B108" s="71" t="s">
        <v>509</v>
      </c>
      <c r="C108" s="72" t="s">
        <v>510</v>
      </c>
      <c r="D108" s="140">
        <v>0</v>
      </c>
      <c r="E108" s="141"/>
      <c r="F108" s="140">
        <v>0</v>
      </c>
      <c r="G108" s="141"/>
      <c r="H108" s="73"/>
      <c r="I108" s="58"/>
      <c r="J108" s="58"/>
      <c r="K108" s="58"/>
      <c r="L108" s="58"/>
      <c r="M108" s="58"/>
      <c r="N108" s="58"/>
    </row>
    <row r="109" spans="1:14" ht="15" x14ac:dyDescent="0.25">
      <c r="B109" s="128" t="s">
        <v>511</v>
      </c>
      <c r="C109" s="129"/>
      <c r="D109" s="129"/>
      <c r="E109" s="129"/>
      <c r="F109" s="129"/>
      <c r="G109" s="130"/>
      <c r="H109" s="70"/>
      <c r="I109" s="58"/>
      <c r="J109" s="58"/>
      <c r="K109" s="58"/>
      <c r="L109" s="58"/>
      <c r="M109" s="58"/>
      <c r="N109" s="58"/>
    </row>
    <row r="110" spans="1:14" ht="15" x14ac:dyDescent="0.25">
      <c r="B110" s="131" t="s">
        <v>477</v>
      </c>
      <c r="C110" s="131" t="s">
        <v>478</v>
      </c>
      <c r="D110" s="132" t="s">
        <v>486</v>
      </c>
      <c r="E110" s="133"/>
      <c r="F110" s="134"/>
      <c r="G110" s="71"/>
      <c r="H110" s="74"/>
      <c r="I110" s="58"/>
      <c r="J110" s="58"/>
      <c r="K110" s="58"/>
      <c r="L110" s="58"/>
      <c r="M110" s="58"/>
      <c r="N110" s="58"/>
    </row>
    <row r="111" spans="1:14" ht="38.25" x14ac:dyDescent="0.25">
      <c r="B111" s="131"/>
      <c r="C111" s="131"/>
      <c r="D111" s="75" t="s">
        <v>488</v>
      </c>
      <c r="E111" s="75" t="s">
        <v>512</v>
      </c>
      <c r="F111" s="75" t="s">
        <v>491</v>
      </c>
      <c r="G111" s="75" t="s">
        <v>518</v>
      </c>
      <c r="H111" s="76"/>
      <c r="I111" s="76"/>
      <c r="J111" s="76"/>
      <c r="K111" s="77"/>
      <c r="L111" s="77"/>
      <c r="M111" s="77"/>
      <c r="N111" s="58"/>
    </row>
    <row r="112" spans="1:14" ht="25.5" x14ac:dyDescent="0.25">
      <c r="B112" s="78" t="s">
        <v>509</v>
      </c>
      <c r="C112" s="79" t="s">
        <v>510</v>
      </c>
      <c r="D112" s="80">
        <v>200</v>
      </c>
      <c r="E112" s="80">
        <v>6.8852450999999997</v>
      </c>
      <c r="F112" s="80">
        <v>206.88524509999999</v>
      </c>
      <c r="G112" s="81">
        <v>4.5600000000000002E-2</v>
      </c>
      <c r="H112" s="82"/>
      <c r="I112" s="83"/>
      <c r="J112" s="83"/>
      <c r="K112" s="77"/>
      <c r="L112" s="77"/>
      <c r="M112" s="77"/>
      <c r="N112" s="58"/>
    </row>
    <row r="113" spans="2:14" ht="27.75" customHeight="1" x14ac:dyDescent="0.25">
      <c r="B113" s="125" t="s">
        <v>513</v>
      </c>
      <c r="C113" s="126"/>
      <c r="D113" s="126"/>
      <c r="E113" s="126"/>
      <c r="F113" s="126"/>
      <c r="G113" s="127"/>
      <c r="H113" s="85"/>
      <c r="I113" s="77"/>
      <c r="J113" s="77"/>
      <c r="K113" s="77"/>
      <c r="L113" s="77"/>
      <c r="M113" s="77"/>
      <c r="N113" s="58"/>
    </row>
  </sheetData>
  <mergeCells count="27">
    <mergeCell ref="B113:G113"/>
    <mergeCell ref="B103:C103"/>
    <mergeCell ref="B104:C104"/>
    <mergeCell ref="B109:G109"/>
    <mergeCell ref="B110:B111"/>
    <mergeCell ref="C110:C111"/>
    <mergeCell ref="D110:F110"/>
    <mergeCell ref="B106:G106"/>
    <mergeCell ref="D107:E107"/>
    <mergeCell ref="F107:G107"/>
    <mergeCell ref="D108:E108"/>
    <mergeCell ref="F108:G108"/>
    <mergeCell ref="B102:C102"/>
    <mergeCell ref="B99:C99"/>
    <mergeCell ref="B100:C100"/>
    <mergeCell ref="B81:D81"/>
    <mergeCell ref="B82:C82"/>
    <mergeCell ref="B83:C83"/>
    <mergeCell ref="B84:C84"/>
    <mergeCell ref="B97:C97"/>
    <mergeCell ref="J2:N2"/>
    <mergeCell ref="A1:H1"/>
    <mergeCell ref="A2:H2"/>
    <mergeCell ref="A3:H3"/>
    <mergeCell ref="B101:C101"/>
    <mergeCell ref="B78:F78"/>
    <mergeCell ref="B79:F79"/>
  </mergeCells>
  <hyperlinks>
    <hyperlink ref="I1" location="Index!B9" display="Index" xr:uid="{16A375EA-2D4D-464D-B9CA-CFF81776A665}"/>
  </hyperlinks>
  <pageMargins left="5.000000074505806E-2" right="5.000000074505806E-2" top="0.30000001192092896" bottom="0.20000000298023224" header="0" footer="0"/>
  <pageSetup paperSize="9"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P14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0" bestFit="1" customWidth="1"/>
    <col min="11" max="14" width="9.140625" style="40"/>
  </cols>
  <sheetData>
    <row r="1" spans="1:14" ht="18" customHeight="1" x14ac:dyDescent="0.2">
      <c r="A1" s="100" t="s">
        <v>0</v>
      </c>
      <c r="B1" s="100"/>
      <c r="C1" s="100"/>
      <c r="D1" s="100"/>
      <c r="E1" s="100"/>
      <c r="F1" s="100"/>
      <c r="G1" s="100"/>
      <c r="H1" s="100"/>
      <c r="I1" s="90" t="s">
        <v>544</v>
      </c>
    </row>
    <row r="2" spans="1:14" ht="17.100000000000001" customHeight="1" x14ac:dyDescent="0.2">
      <c r="A2" s="100" t="s">
        <v>432</v>
      </c>
      <c r="B2" s="100"/>
      <c r="C2" s="100"/>
      <c r="D2" s="100"/>
      <c r="E2" s="100"/>
      <c r="F2" s="100"/>
      <c r="G2" s="100"/>
      <c r="H2" s="100"/>
      <c r="J2" s="99" t="s">
        <v>545</v>
      </c>
      <c r="K2" s="99"/>
      <c r="L2" s="99"/>
      <c r="M2" s="99"/>
      <c r="N2" s="99"/>
    </row>
    <row r="3" spans="1:14" ht="21" customHeight="1" x14ac:dyDescent="0.2">
      <c r="A3" s="100" t="s">
        <v>539</v>
      </c>
      <c r="B3" s="100"/>
      <c r="C3" s="100"/>
      <c r="D3" s="100"/>
      <c r="E3" s="100"/>
      <c r="F3" s="100"/>
      <c r="G3" s="100"/>
      <c r="H3" s="100"/>
    </row>
    <row r="4" spans="1:14" s="88" customFormat="1" ht="30" x14ac:dyDescent="0.2">
      <c r="A4" s="87" t="s">
        <v>2</v>
      </c>
      <c r="B4" s="87" t="s">
        <v>3</v>
      </c>
      <c r="C4" s="87" t="s">
        <v>4</v>
      </c>
      <c r="D4" s="87" t="s">
        <v>5</v>
      </c>
      <c r="E4" s="87" t="s">
        <v>6</v>
      </c>
      <c r="F4" s="87" t="s">
        <v>7</v>
      </c>
      <c r="G4" s="87" t="s">
        <v>8</v>
      </c>
      <c r="H4" s="86" t="s">
        <v>520</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7.100000000000001" customHeight="1" x14ac:dyDescent="0.2">
      <c r="A7" s="9">
        <v>1</v>
      </c>
      <c r="B7" s="10" t="s">
        <v>195</v>
      </c>
      <c r="C7" s="10" t="s">
        <v>196</v>
      </c>
      <c r="D7" s="10" t="s">
        <v>197</v>
      </c>
      <c r="E7" s="11">
        <v>12672</v>
      </c>
      <c r="F7" s="12">
        <v>112.43865599999999</v>
      </c>
      <c r="G7" s="13">
        <v>3.5156763000000001E-2</v>
      </c>
      <c r="H7" s="12"/>
    </row>
    <row r="8" spans="1:14" ht="17.100000000000001" customHeight="1" x14ac:dyDescent="0.2">
      <c r="A8" s="9">
        <v>2</v>
      </c>
      <c r="B8" s="10" t="s">
        <v>201</v>
      </c>
      <c r="C8" s="10" t="s">
        <v>202</v>
      </c>
      <c r="D8" s="10" t="s">
        <v>197</v>
      </c>
      <c r="E8" s="11">
        <v>4914</v>
      </c>
      <c r="F8" s="12">
        <v>73.026954000000003</v>
      </c>
      <c r="G8" s="13">
        <v>2.2833707000000002E-2</v>
      </c>
      <c r="H8" s="12"/>
    </row>
    <row r="9" spans="1:14" ht="17.100000000000001" customHeight="1" x14ac:dyDescent="0.2">
      <c r="A9" s="9">
        <v>3</v>
      </c>
      <c r="B9" s="10" t="s">
        <v>198</v>
      </c>
      <c r="C9" s="10" t="s">
        <v>199</v>
      </c>
      <c r="D9" s="10" t="s">
        <v>200</v>
      </c>
      <c r="E9" s="11">
        <v>2151</v>
      </c>
      <c r="F9" s="12">
        <v>56.742304500000003</v>
      </c>
      <c r="G9" s="13">
        <v>1.7741903E-2</v>
      </c>
      <c r="H9" s="12"/>
    </row>
    <row r="10" spans="1:14" ht="17.100000000000001" customHeight="1" x14ac:dyDescent="0.2">
      <c r="A10" s="9">
        <v>4</v>
      </c>
      <c r="B10" s="10" t="s">
        <v>212</v>
      </c>
      <c r="C10" s="10" t="s">
        <v>213</v>
      </c>
      <c r="D10" s="10" t="s">
        <v>214</v>
      </c>
      <c r="E10" s="11">
        <v>2941</v>
      </c>
      <c r="F10" s="12">
        <v>56.540725000000002</v>
      </c>
      <c r="G10" s="13">
        <v>1.7678874000000001E-2</v>
      </c>
      <c r="H10" s="12"/>
    </row>
    <row r="11" spans="1:14" ht="17.100000000000001" customHeight="1" x14ac:dyDescent="0.2">
      <c r="A11" s="9">
        <v>5</v>
      </c>
      <c r="B11" s="10" t="s">
        <v>220</v>
      </c>
      <c r="C11" s="10" t="s">
        <v>221</v>
      </c>
      <c r="D11" s="10" t="s">
        <v>197</v>
      </c>
      <c r="E11" s="11">
        <v>5120</v>
      </c>
      <c r="F11" s="12">
        <v>38.476799999999997</v>
      </c>
      <c r="G11" s="13">
        <v>1.2030736E-2</v>
      </c>
      <c r="H11" s="12"/>
    </row>
    <row r="12" spans="1:14" ht="29.1" customHeight="1" x14ac:dyDescent="0.25">
      <c r="A12" s="9">
        <v>6</v>
      </c>
      <c r="B12" s="10" t="s">
        <v>236</v>
      </c>
      <c r="C12" s="10" t="s">
        <v>237</v>
      </c>
      <c r="D12" s="10" t="s">
        <v>235</v>
      </c>
      <c r="E12" s="11">
        <v>260</v>
      </c>
      <c r="F12" s="12">
        <v>36.370620000000002</v>
      </c>
      <c r="G12" s="13">
        <v>1.1372185999999999E-2</v>
      </c>
      <c r="H12" s="12"/>
      <c r="J12" s="93" t="s">
        <v>561</v>
      </c>
      <c r="K12" s="94"/>
      <c r="L12" s="94"/>
      <c r="M12" s="94"/>
      <c r="N12" s="94"/>
    </row>
    <row r="13" spans="1:14" ht="17.100000000000001" customHeight="1" x14ac:dyDescent="0.2">
      <c r="A13" s="9">
        <v>7</v>
      </c>
      <c r="B13" s="10" t="s">
        <v>217</v>
      </c>
      <c r="C13" s="10" t="s">
        <v>218</v>
      </c>
      <c r="D13" s="10" t="s">
        <v>219</v>
      </c>
      <c r="E13" s="11">
        <v>2718</v>
      </c>
      <c r="F13" s="12">
        <v>28.108197000000001</v>
      </c>
      <c r="G13" s="13">
        <v>8.7887320000000005E-3</v>
      </c>
      <c r="H13" s="12"/>
    </row>
    <row r="14" spans="1:14" ht="29.1" customHeight="1" x14ac:dyDescent="0.2">
      <c r="A14" s="9">
        <v>8</v>
      </c>
      <c r="B14" s="10" t="s">
        <v>206</v>
      </c>
      <c r="C14" s="10" t="s">
        <v>207</v>
      </c>
      <c r="D14" s="10" t="s">
        <v>208</v>
      </c>
      <c r="E14" s="11">
        <v>3116</v>
      </c>
      <c r="F14" s="12">
        <v>27.827438000000001</v>
      </c>
      <c r="G14" s="13">
        <v>8.7009459999999993E-3</v>
      </c>
      <c r="H14" s="12"/>
    </row>
    <row r="15" spans="1:14" ht="17.100000000000001" customHeight="1" x14ac:dyDescent="0.2">
      <c r="A15" s="9">
        <v>9</v>
      </c>
      <c r="B15" s="10" t="s">
        <v>203</v>
      </c>
      <c r="C15" s="10" t="s">
        <v>204</v>
      </c>
      <c r="D15" s="10" t="s">
        <v>205</v>
      </c>
      <c r="E15" s="11">
        <v>1855</v>
      </c>
      <c r="F15" s="12">
        <v>27.694222499999999</v>
      </c>
      <c r="G15" s="13">
        <v>8.6592930000000002E-3</v>
      </c>
      <c r="H15" s="12"/>
    </row>
    <row r="16" spans="1:14" ht="17.100000000000001" customHeight="1" x14ac:dyDescent="0.2">
      <c r="A16" s="9">
        <v>10</v>
      </c>
      <c r="B16" s="10" t="s">
        <v>209</v>
      </c>
      <c r="C16" s="10" t="s">
        <v>210</v>
      </c>
      <c r="D16" s="10" t="s">
        <v>211</v>
      </c>
      <c r="E16" s="11">
        <v>3065</v>
      </c>
      <c r="F16" s="12">
        <v>22.270289999999999</v>
      </c>
      <c r="G16" s="13">
        <v>6.9633639999999997E-3</v>
      </c>
      <c r="H16" s="12"/>
    </row>
    <row r="17" spans="1:14" ht="17.100000000000001" customHeight="1" x14ac:dyDescent="0.2">
      <c r="A17" s="9">
        <v>11</v>
      </c>
      <c r="B17" s="10" t="s">
        <v>215</v>
      </c>
      <c r="C17" s="10" t="s">
        <v>216</v>
      </c>
      <c r="D17" s="10" t="s">
        <v>197</v>
      </c>
      <c r="E17" s="11">
        <v>3845</v>
      </c>
      <c r="F17" s="12">
        <v>20.426562499999999</v>
      </c>
      <c r="G17" s="13">
        <v>6.386877E-3</v>
      </c>
      <c r="H17" s="12"/>
    </row>
    <row r="18" spans="1:14" ht="53.1" customHeight="1" x14ac:dyDescent="0.2">
      <c r="A18" s="9">
        <v>12</v>
      </c>
      <c r="B18" s="10" t="s">
        <v>226</v>
      </c>
      <c r="C18" s="10" t="s">
        <v>227</v>
      </c>
      <c r="D18" s="10" t="s">
        <v>228</v>
      </c>
      <c r="E18" s="11">
        <v>12950</v>
      </c>
      <c r="F18" s="12">
        <v>19.943000000000001</v>
      </c>
      <c r="G18" s="13">
        <v>6.235679E-3</v>
      </c>
      <c r="H18" s="12"/>
    </row>
    <row r="19" spans="1:14" ht="29.1" customHeight="1" x14ac:dyDescent="0.2">
      <c r="A19" s="9">
        <v>13</v>
      </c>
      <c r="B19" s="10" t="s">
        <v>224</v>
      </c>
      <c r="C19" s="10" t="s">
        <v>225</v>
      </c>
      <c r="D19" s="10" t="s">
        <v>208</v>
      </c>
      <c r="E19" s="11">
        <v>1813</v>
      </c>
      <c r="F19" s="12">
        <v>18.827098500000002</v>
      </c>
      <c r="G19" s="13">
        <v>5.8867640000000001E-3</v>
      </c>
      <c r="H19" s="12"/>
    </row>
    <row r="20" spans="1:14" ht="17.100000000000001" customHeight="1" x14ac:dyDescent="0.2">
      <c r="A20" s="9">
        <v>14</v>
      </c>
      <c r="B20" s="10" t="s">
        <v>229</v>
      </c>
      <c r="C20" s="10" t="s">
        <v>230</v>
      </c>
      <c r="D20" s="10" t="s">
        <v>231</v>
      </c>
      <c r="E20" s="11">
        <v>881</v>
      </c>
      <c r="F20" s="12">
        <v>18.434044</v>
      </c>
      <c r="G20" s="13">
        <v>5.7638660000000003E-3</v>
      </c>
      <c r="H20" s="12"/>
    </row>
    <row r="21" spans="1:14" ht="29.1" customHeight="1" x14ac:dyDescent="0.2">
      <c r="A21" s="9">
        <v>15</v>
      </c>
      <c r="B21" s="10" t="s">
        <v>433</v>
      </c>
      <c r="C21" s="10" t="s">
        <v>434</v>
      </c>
      <c r="D21" s="10" t="s">
        <v>241</v>
      </c>
      <c r="E21" s="11">
        <v>515</v>
      </c>
      <c r="F21" s="12">
        <v>17.696429999999999</v>
      </c>
      <c r="G21" s="13">
        <v>5.5332319999999999E-3</v>
      </c>
      <c r="H21" s="12"/>
    </row>
    <row r="22" spans="1:14" ht="17.100000000000001" customHeight="1" x14ac:dyDescent="0.2">
      <c r="A22" s="9">
        <v>16</v>
      </c>
      <c r="B22" s="10" t="s">
        <v>242</v>
      </c>
      <c r="C22" s="10" t="s">
        <v>243</v>
      </c>
      <c r="D22" s="10" t="s">
        <v>205</v>
      </c>
      <c r="E22" s="11">
        <v>1848</v>
      </c>
      <c r="F22" s="12">
        <v>17.351796</v>
      </c>
      <c r="G22" s="13">
        <v>5.4254739999999996E-3</v>
      </c>
      <c r="H22" s="12"/>
    </row>
    <row r="23" spans="1:14" ht="17.100000000000001" customHeight="1" x14ac:dyDescent="0.2">
      <c r="A23" s="9">
        <v>17</v>
      </c>
      <c r="B23" s="10" t="s">
        <v>435</v>
      </c>
      <c r="C23" s="10" t="s">
        <v>436</v>
      </c>
      <c r="D23" s="10" t="s">
        <v>234</v>
      </c>
      <c r="E23" s="11">
        <v>372</v>
      </c>
      <c r="F23" s="12">
        <v>15.195641999999999</v>
      </c>
      <c r="G23" s="13">
        <v>4.7512980000000002E-3</v>
      </c>
      <c r="H23" s="12"/>
    </row>
    <row r="24" spans="1:14" ht="17.100000000000001" customHeight="1" x14ac:dyDescent="0.2">
      <c r="A24" s="9">
        <v>18</v>
      </c>
      <c r="B24" s="10" t="s">
        <v>244</v>
      </c>
      <c r="C24" s="10" t="s">
        <v>245</v>
      </c>
      <c r="D24" s="10" t="s">
        <v>197</v>
      </c>
      <c r="E24" s="11">
        <v>5313</v>
      </c>
      <c r="F24" s="12">
        <v>11.173239000000001</v>
      </c>
      <c r="G24" s="13">
        <v>3.4935930000000001E-3</v>
      </c>
      <c r="H24" s="12"/>
    </row>
    <row r="25" spans="1:14" ht="17.100000000000001" customHeight="1" x14ac:dyDescent="0.2">
      <c r="A25" s="9">
        <v>19</v>
      </c>
      <c r="B25" s="10" t="s">
        <v>437</v>
      </c>
      <c r="C25" s="10" t="s">
        <v>438</v>
      </c>
      <c r="D25" s="10" t="s">
        <v>205</v>
      </c>
      <c r="E25" s="11">
        <v>305</v>
      </c>
      <c r="F25" s="12">
        <v>10.084825</v>
      </c>
      <c r="G25" s="13">
        <v>3.1532729999999998E-3</v>
      </c>
      <c r="H25" s="12"/>
    </row>
    <row r="26" spans="1:14" ht="29.1" customHeight="1" x14ac:dyDescent="0.2">
      <c r="A26" s="9">
        <v>20</v>
      </c>
      <c r="B26" s="10" t="s">
        <v>232</v>
      </c>
      <c r="C26" s="10" t="s">
        <v>233</v>
      </c>
      <c r="D26" s="10" t="s">
        <v>208</v>
      </c>
      <c r="E26" s="11">
        <v>406</v>
      </c>
      <c r="F26" s="12">
        <v>9.6142830000000004</v>
      </c>
      <c r="G26" s="13">
        <v>3.0061459999999999E-3</v>
      </c>
      <c r="H26" s="12"/>
    </row>
    <row r="27" spans="1:14" ht="17.100000000000001" customHeight="1" x14ac:dyDescent="0.2">
      <c r="A27" s="9">
        <v>21</v>
      </c>
      <c r="B27" s="10" t="s">
        <v>222</v>
      </c>
      <c r="C27" s="10" t="s">
        <v>223</v>
      </c>
      <c r="D27" s="10" t="s">
        <v>219</v>
      </c>
      <c r="E27" s="11">
        <v>1145</v>
      </c>
      <c r="F27" s="12">
        <v>9.2956824999999998</v>
      </c>
      <c r="G27" s="13">
        <v>2.9065279999999998E-3</v>
      </c>
      <c r="H27" s="12"/>
    </row>
    <row r="28" spans="1:14" ht="29.1" customHeight="1" x14ac:dyDescent="0.2">
      <c r="A28" s="9">
        <v>22</v>
      </c>
      <c r="B28" s="10" t="s">
        <v>239</v>
      </c>
      <c r="C28" s="10" t="s">
        <v>240</v>
      </c>
      <c r="D28" s="10" t="s">
        <v>238</v>
      </c>
      <c r="E28" s="11">
        <v>125</v>
      </c>
      <c r="F28" s="12">
        <v>8.3473124999999992</v>
      </c>
      <c r="G28" s="13">
        <v>2.6099959999999998E-3</v>
      </c>
      <c r="H28" s="12"/>
    </row>
    <row r="29" spans="1:14" ht="17.100000000000001" customHeight="1" x14ac:dyDescent="0.25">
      <c r="A29" s="9">
        <v>23</v>
      </c>
      <c r="B29" s="10" t="s">
        <v>439</v>
      </c>
      <c r="C29" s="10" t="s">
        <v>440</v>
      </c>
      <c r="D29" s="10" t="s">
        <v>278</v>
      </c>
      <c r="E29" s="11">
        <v>1429</v>
      </c>
      <c r="F29" s="12">
        <v>5.9889390000000002</v>
      </c>
      <c r="G29" s="13">
        <v>1.872592E-3</v>
      </c>
      <c r="H29" s="12"/>
      <c r="J29" s="93"/>
      <c r="K29" s="94"/>
      <c r="L29" s="94"/>
      <c r="M29" s="94"/>
      <c r="N29" s="94"/>
    </row>
    <row r="30" spans="1:14" ht="17.100000000000001" customHeight="1" x14ac:dyDescent="0.2">
      <c r="A30" s="9">
        <v>24</v>
      </c>
      <c r="B30" s="10" t="s">
        <v>441</v>
      </c>
      <c r="C30" s="10" t="s">
        <v>519</v>
      </c>
      <c r="D30" s="10" t="s">
        <v>211</v>
      </c>
      <c r="E30" s="11">
        <v>218</v>
      </c>
      <c r="F30" s="12">
        <v>0.75493399999999999</v>
      </c>
      <c r="G30" s="13">
        <v>2.36049E-4</v>
      </c>
      <c r="H30" s="12"/>
    </row>
    <row r="31" spans="1:14" ht="14.1" customHeight="1" x14ac:dyDescent="0.2">
      <c r="A31" s="1"/>
      <c r="B31" s="1"/>
      <c r="C31" s="2" t="s">
        <v>11</v>
      </c>
      <c r="D31" s="1"/>
      <c r="E31" s="1" t="s">
        <v>12</v>
      </c>
      <c r="F31" s="7">
        <f>SUM(F7:F30)</f>
        <v>662.62999500000012</v>
      </c>
      <c r="G31" s="8">
        <f>SUM(G7:G30)</f>
        <v>0.20718787099999997</v>
      </c>
      <c r="H31" s="12"/>
    </row>
    <row r="32" spans="1:14" ht="14.1" customHeight="1" x14ac:dyDescent="0.2">
      <c r="A32" s="1"/>
      <c r="B32" s="1"/>
      <c r="C32" s="5"/>
      <c r="D32" s="1"/>
      <c r="E32" s="1"/>
      <c r="F32" s="6"/>
      <c r="G32" s="6"/>
      <c r="H32" s="12"/>
    </row>
    <row r="33" spans="1:8" ht="14.1" customHeight="1" x14ac:dyDescent="0.2">
      <c r="A33" s="1"/>
      <c r="B33" s="1"/>
      <c r="C33" s="2" t="s">
        <v>13</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14</v>
      </c>
      <c r="D36" s="1"/>
      <c r="E36" s="1"/>
      <c r="F36" s="1"/>
      <c r="G36" s="1"/>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15</v>
      </c>
      <c r="D39" s="1"/>
      <c r="E39" s="1"/>
      <c r="F39" s="1"/>
      <c r="G39" s="1"/>
      <c r="H39" s="12"/>
    </row>
    <row r="40" spans="1:8" ht="14.1" customHeight="1" x14ac:dyDescent="0.2">
      <c r="A40" s="1"/>
      <c r="B40" s="1"/>
      <c r="C40" s="2" t="s">
        <v>11</v>
      </c>
      <c r="D40" s="1"/>
      <c r="E40" s="1" t="s">
        <v>12</v>
      </c>
      <c r="F40" s="7">
        <v>0</v>
      </c>
      <c r="G40" s="8">
        <v>0</v>
      </c>
      <c r="H40" s="12"/>
    </row>
    <row r="41" spans="1:8" ht="14.1" customHeight="1" x14ac:dyDescent="0.2">
      <c r="A41" s="1"/>
      <c r="B41" s="1"/>
      <c r="C41" s="5"/>
      <c r="D41" s="1"/>
      <c r="E41" s="1"/>
      <c r="F41" s="6"/>
      <c r="G41" s="6"/>
      <c r="H41" s="12"/>
    </row>
    <row r="42" spans="1:8" ht="14.1" customHeight="1" x14ac:dyDescent="0.2">
      <c r="A42" s="1"/>
      <c r="B42" s="1"/>
      <c r="C42" s="2" t="s">
        <v>16</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17</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8" customHeight="1" x14ac:dyDescent="0.2">
      <c r="A48" s="1"/>
      <c r="B48" s="1"/>
      <c r="C48" s="2" t="s">
        <v>18</v>
      </c>
      <c r="D48" s="1"/>
      <c r="E48" s="1"/>
      <c r="F48" s="7">
        <v>662.62999500000001</v>
      </c>
      <c r="G48" s="8">
        <v>0.207187871</v>
      </c>
      <c r="H48" s="12"/>
    </row>
    <row r="49" spans="1:8" ht="14.1" customHeight="1" x14ac:dyDescent="0.2">
      <c r="A49" s="1"/>
      <c r="B49" s="1"/>
      <c r="C49" s="5"/>
      <c r="D49" s="1"/>
      <c r="E49" s="1"/>
      <c r="F49" s="6"/>
      <c r="G49" s="6"/>
      <c r="H49" s="12"/>
    </row>
    <row r="50" spans="1:8" ht="14.1" customHeight="1" x14ac:dyDescent="0.2">
      <c r="A50" s="1"/>
      <c r="B50" s="1"/>
      <c r="C50" s="2" t="s">
        <v>19</v>
      </c>
      <c r="D50" s="1"/>
      <c r="E50" s="1"/>
      <c r="F50" s="6"/>
      <c r="G50" s="6"/>
      <c r="H50" s="12"/>
    </row>
    <row r="51" spans="1:8" ht="24" customHeight="1" x14ac:dyDescent="0.2">
      <c r="A51" s="1"/>
      <c r="B51" s="1"/>
      <c r="C51" s="2" t="s">
        <v>10</v>
      </c>
      <c r="D51" s="1"/>
      <c r="E51" s="1"/>
      <c r="F51" s="6"/>
      <c r="G51" s="6"/>
      <c r="H51" s="12"/>
    </row>
    <row r="52" spans="1:8" ht="29.1" customHeight="1" x14ac:dyDescent="0.2">
      <c r="A52" s="9">
        <v>1</v>
      </c>
      <c r="B52" s="10" t="s">
        <v>293</v>
      </c>
      <c r="C52" s="10" t="s">
        <v>294</v>
      </c>
      <c r="D52" s="10" t="s">
        <v>27</v>
      </c>
      <c r="E52" s="11">
        <v>20</v>
      </c>
      <c r="F52" s="12">
        <v>196.92320000000001</v>
      </c>
      <c r="G52" s="13">
        <v>6.1572973000000003E-2</v>
      </c>
      <c r="H52" s="12">
        <v>6.84</v>
      </c>
    </row>
    <row r="53" spans="1:8" ht="29.1" customHeight="1" x14ac:dyDescent="0.2">
      <c r="A53" s="9">
        <v>2</v>
      </c>
      <c r="B53" s="10" t="s">
        <v>288</v>
      </c>
      <c r="C53" s="10" t="s">
        <v>289</v>
      </c>
      <c r="D53" s="10" t="s">
        <v>290</v>
      </c>
      <c r="E53" s="11">
        <v>12738</v>
      </c>
      <c r="F53" s="12">
        <v>101.34454703999999</v>
      </c>
      <c r="G53" s="13">
        <v>3.1687911999999999E-2</v>
      </c>
      <c r="H53" s="12">
        <v>11.747</v>
      </c>
    </row>
    <row r="54" spans="1:8" ht="14.1" customHeight="1" x14ac:dyDescent="0.2">
      <c r="A54" s="1"/>
      <c r="B54" s="1"/>
      <c r="C54" s="2" t="s">
        <v>11</v>
      </c>
      <c r="D54" s="1"/>
      <c r="E54" s="1" t="s">
        <v>12</v>
      </c>
      <c r="F54" s="7">
        <v>298.26774704000002</v>
      </c>
      <c r="G54" s="8">
        <v>9.3260885000000002E-2</v>
      </c>
      <c r="H54" s="12"/>
    </row>
    <row r="55" spans="1:8" ht="14.1" customHeight="1" x14ac:dyDescent="0.2">
      <c r="A55" s="1"/>
      <c r="B55" s="1"/>
      <c r="C55" s="5"/>
      <c r="D55" s="1"/>
      <c r="E55" s="1"/>
      <c r="F55" s="6"/>
      <c r="G55" s="6"/>
      <c r="H55" s="12"/>
    </row>
    <row r="56" spans="1:8" ht="14.1" customHeight="1" x14ac:dyDescent="0.2">
      <c r="A56" s="1"/>
      <c r="B56" s="1"/>
      <c r="C56" s="2" t="s">
        <v>95</v>
      </c>
      <c r="D56" s="1"/>
      <c r="E56" s="1"/>
      <c r="F56" s="1"/>
      <c r="G56" s="1"/>
      <c r="H56" s="12"/>
    </row>
    <row r="57" spans="1:8" ht="14.1" customHeight="1" x14ac:dyDescent="0.2">
      <c r="A57" s="1"/>
      <c r="B57" s="1"/>
      <c r="C57" s="2" t="s">
        <v>11</v>
      </c>
      <c r="D57" s="1"/>
      <c r="E57" s="1" t="s">
        <v>12</v>
      </c>
      <c r="F57" s="3">
        <v>0</v>
      </c>
      <c r="G57" s="4">
        <v>0</v>
      </c>
      <c r="H57" s="12"/>
    </row>
    <row r="58" spans="1:8" ht="14.1" customHeight="1" x14ac:dyDescent="0.2">
      <c r="A58" s="1"/>
      <c r="B58" s="1"/>
      <c r="C58" s="5"/>
      <c r="D58" s="1"/>
      <c r="E58" s="1"/>
      <c r="F58" s="6"/>
      <c r="G58" s="6"/>
      <c r="H58" s="12"/>
    </row>
    <row r="59" spans="1:8" ht="14.1" customHeight="1" x14ac:dyDescent="0.2">
      <c r="A59" s="1"/>
      <c r="B59" s="1"/>
      <c r="C59" s="2" t="s">
        <v>96</v>
      </c>
      <c r="D59" s="1"/>
      <c r="E59" s="1"/>
      <c r="F59" s="1"/>
      <c r="G59" s="1"/>
      <c r="H59" s="12"/>
    </row>
    <row r="60" spans="1:8" ht="29.1" customHeight="1" x14ac:dyDescent="0.2">
      <c r="A60" s="9">
        <v>1</v>
      </c>
      <c r="B60" s="10" t="s">
        <v>261</v>
      </c>
      <c r="C60" s="10" t="s">
        <v>262</v>
      </c>
      <c r="D60" s="10" t="s">
        <v>99</v>
      </c>
      <c r="E60" s="11">
        <v>500000</v>
      </c>
      <c r="F60" s="12">
        <v>502.923</v>
      </c>
      <c r="G60" s="13">
        <v>0.157251478</v>
      </c>
      <c r="H60" s="12">
        <v>7.1764999999999999</v>
      </c>
    </row>
    <row r="61" spans="1:8" ht="29.1" customHeight="1" x14ac:dyDescent="0.2">
      <c r="A61" s="9">
        <v>2</v>
      </c>
      <c r="B61" s="10" t="s">
        <v>266</v>
      </c>
      <c r="C61" s="10" t="s">
        <v>267</v>
      </c>
      <c r="D61" s="10" t="s">
        <v>99</v>
      </c>
      <c r="E61" s="11">
        <v>500000</v>
      </c>
      <c r="F61" s="12">
        <v>478.07749999999999</v>
      </c>
      <c r="G61" s="13">
        <v>0.14948291</v>
      </c>
      <c r="H61" s="12">
        <v>7.1891999999999996</v>
      </c>
    </row>
    <row r="62" spans="1:8" ht="14.1" customHeight="1" x14ac:dyDescent="0.2">
      <c r="A62" s="1"/>
      <c r="B62" s="1"/>
      <c r="C62" s="2" t="s">
        <v>11</v>
      </c>
      <c r="D62" s="1"/>
      <c r="E62" s="1" t="s">
        <v>12</v>
      </c>
      <c r="F62" s="7">
        <v>981.00049999999999</v>
      </c>
      <c r="G62" s="8">
        <v>0.30673438800000002</v>
      </c>
      <c r="H62" s="12"/>
    </row>
    <row r="63" spans="1:8" ht="14.1" customHeight="1" x14ac:dyDescent="0.2">
      <c r="A63" s="1"/>
      <c r="B63" s="1"/>
      <c r="C63" s="5"/>
      <c r="D63" s="1"/>
      <c r="E63" s="1"/>
      <c r="F63" s="6"/>
      <c r="G63" s="6"/>
      <c r="H63" s="12"/>
    </row>
    <row r="64" spans="1:8" ht="14.1" customHeight="1" x14ac:dyDescent="0.2">
      <c r="A64" s="1"/>
      <c r="B64" s="1"/>
      <c r="C64" s="2" t="s">
        <v>106</v>
      </c>
      <c r="D64" s="1"/>
      <c r="E64" s="1"/>
      <c r="F64" s="6"/>
      <c r="G64" s="6"/>
      <c r="H64" s="12"/>
    </row>
    <row r="65" spans="1:8" ht="14.1" customHeight="1" x14ac:dyDescent="0.2">
      <c r="A65" s="1"/>
      <c r="B65" s="1"/>
      <c r="C65" s="2" t="s">
        <v>11</v>
      </c>
      <c r="D65" s="1"/>
      <c r="E65" s="1" t="s">
        <v>12</v>
      </c>
      <c r="F65" s="3">
        <v>0</v>
      </c>
      <c r="G65" s="4">
        <v>0</v>
      </c>
      <c r="H65" s="12"/>
    </row>
    <row r="66" spans="1:8" ht="14.1" customHeight="1" x14ac:dyDescent="0.2">
      <c r="A66" s="1"/>
      <c r="B66" s="1"/>
      <c r="C66" s="5"/>
      <c r="D66" s="1"/>
      <c r="E66" s="1"/>
      <c r="F66" s="6"/>
      <c r="G66" s="6"/>
      <c r="H66" s="12"/>
    </row>
    <row r="67" spans="1:8" ht="14.1" customHeight="1" x14ac:dyDescent="0.2">
      <c r="A67" s="1"/>
      <c r="B67" s="1"/>
      <c r="C67" s="2" t="s">
        <v>107</v>
      </c>
      <c r="D67" s="1"/>
      <c r="E67" s="1"/>
      <c r="F67" s="7">
        <v>1279.26824704</v>
      </c>
      <c r="G67" s="8">
        <v>0.39999527299999998</v>
      </c>
      <c r="H67" s="12"/>
    </row>
    <row r="68" spans="1:8" ht="14.1" customHeight="1" x14ac:dyDescent="0.2">
      <c r="A68" s="1"/>
      <c r="B68" s="1"/>
      <c r="C68" s="5"/>
      <c r="D68" s="1"/>
      <c r="E68" s="1"/>
      <c r="F68" s="6"/>
      <c r="G68" s="6"/>
      <c r="H68" s="12"/>
    </row>
    <row r="69" spans="1:8" ht="14.1" customHeight="1" x14ac:dyDescent="0.2">
      <c r="A69" s="1"/>
      <c r="B69" s="1"/>
      <c r="C69" s="2" t="s">
        <v>108</v>
      </c>
      <c r="D69" s="1"/>
      <c r="E69" s="1"/>
      <c r="F69" s="6"/>
      <c r="G69" s="6"/>
      <c r="H69" s="12"/>
    </row>
    <row r="70" spans="1:8" ht="14.1" customHeight="1" x14ac:dyDescent="0.2">
      <c r="A70" s="1"/>
      <c r="B70" s="1"/>
      <c r="C70" s="2" t="s">
        <v>109</v>
      </c>
      <c r="D70" s="1"/>
      <c r="E70" s="1"/>
      <c r="F70" s="6"/>
      <c r="G70" s="6"/>
      <c r="H70" s="12"/>
    </row>
    <row r="71" spans="1:8" ht="14.1" customHeight="1" x14ac:dyDescent="0.2">
      <c r="A71" s="1"/>
      <c r="B71" s="1"/>
      <c r="C71" s="2" t="s">
        <v>11</v>
      </c>
      <c r="D71" s="1"/>
      <c r="E71" s="1" t="s">
        <v>12</v>
      </c>
      <c r="F71" s="3">
        <v>0</v>
      </c>
      <c r="G71" s="4">
        <v>0</v>
      </c>
      <c r="H71" s="12"/>
    </row>
    <row r="72" spans="1:8" ht="14.1" customHeight="1" x14ac:dyDescent="0.2">
      <c r="A72" s="1"/>
      <c r="B72" s="1"/>
      <c r="C72" s="5"/>
      <c r="D72" s="1"/>
      <c r="E72" s="1"/>
      <c r="F72" s="6"/>
      <c r="G72" s="6"/>
      <c r="H72" s="12"/>
    </row>
    <row r="73" spans="1:8" ht="14.1" customHeight="1" x14ac:dyDescent="0.2">
      <c r="A73" s="1"/>
      <c r="B73" s="1"/>
      <c r="C73" s="2" t="s">
        <v>116</v>
      </c>
      <c r="D73" s="1"/>
      <c r="E73" s="1"/>
      <c r="F73" s="6"/>
      <c r="G73" s="6"/>
      <c r="H73" s="12"/>
    </row>
    <row r="74" spans="1:8" ht="14.1" customHeight="1" x14ac:dyDescent="0.2">
      <c r="A74" s="1"/>
      <c r="B74" s="1"/>
      <c r="C74" s="2" t="s">
        <v>11</v>
      </c>
      <c r="D74" s="1"/>
      <c r="E74" s="1" t="s">
        <v>12</v>
      </c>
      <c r="F74" s="3">
        <v>0</v>
      </c>
      <c r="G74" s="4">
        <v>0</v>
      </c>
      <c r="H74" s="12"/>
    </row>
    <row r="75" spans="1:8" ht="14.1" customHeight="1" x14ac:dyDescent="0.2">
      <c r="A75" s="1"/>
      <c r="B75" s="1"/>
      <c r="C75" s="5"/>
      <c r="D75" s="1"/>
      <c r="E75" s="1"/>
      <c r="F75" s="6"/>
      <c r="G75" s="6"/>
      <c r="H75" s="12"/>
    </row>
    <row r="76" spans="1:8" ht="14.1" customHeight="1" x14ac:dyDescent="0.2">
      <c r="A76" s="1"/>
      <c r="B76" s="1"/>
      <c r="C76" s="2" t="s">
        <v>121</v>
      </c>
      <c r="D76" s="1"/>
      <c r="E76" s="1"/>
      <c r="F76" s="6"/>
      <c r="G76" s="6"/>
      <c r="H76" s="12"/>
    </row>
    <row r="77" spans="1:8" ht="14.1" customHeight="1" x14ac:dyDescent="0.2">
      <c r="A77" s="1"/>
      <c r="B77" s="1"/>
      <c r="C77" s="2" t="s">
        <v>11</v>
      </c>
      <c r="D77" s="1"/>
      <c r="E77" s="1" t="s">
        <v>12</v>
      </c>
      <c r="F77" s="3">
        <v>0</v>
      </c>
      <c r="G77" s="4">
        <v>0</v>
      </c>
      <c r="H77" s="12"/>
    </row>
    <row r="78" spans="1:8" ht="14.1" customHeight="1" x14ac:dyDescent="0.2">
      <c r="A78" s="1"/>
      <c r="B78" s="1"/>
      <c r="C78" s="5"/>
      <c r="D78" s="1"/>
      <c r="E78" s="1"/>
      <c r="F78" s="6"/>
      <c r="G78" s="6"/>
      <c r="H78" s="12"/>
    </row>
    <row r="79" spans="1:8" ht="14.1" customHeight="1" x14ac:dyDescent="0.2">
      <c r="A79" s="1"/>
      <c r="B79" s="1"/>
      <c r="C79" s="2" t="s">
        <v>122</v>
      </c>
      <c r="D79" s="1"/>
      <c r="E79" s="1"/>
      <c r="F79" s="6"/>
      <c r="G79" s="6"/>
      <c r="H79" s="12"/>
    </row>
    <row r="80" spans="1:8" ht="17.100000000000001" customHeight="1" x14ac:dyDescent="0.2">
      <c r="A80" s="9">
        <v>1</v>
      </c>
      <c r="B80" s="10"/>
      <c r="C80" s="10" t="s">
        <v>123</v>
      </c>
      <c r="D80" s="10"/>
      <c r="E80" s="14"/>
      <c r="F80" s="12">
        <v>754.20072349999998</v>
      </c>
      <c r="G80" s="13">
        <v>0.23581975499999999</v>
      </c>
      <c r="H80" s="12">
        <v>5.4181585046733343</v>
      </c>
    </row>
    <row r="81" spans="1:8" ht="14.1" customHeight="1" x14ac:dyDescent="0.2">
      <c r="A81" s="1"/>
      <c r="B81" s="1"/>
      <c r="C81" s="2" t="s">
        <v>11</v>
      </c>
      <c r="D81" s="1"/>
      <c r="E81" s="1" t="s">
        <v>12</v>
      </c>
      <c r="F81" s="7">
        <v>754.20072349999998</v>
      </c>
      <c r="G81" s="8">
        <v>0.23581975499999999</v>
      </c>
      <c r="H81" s="12"/>
    </row>
    <row r="82" spans="1:8" ht="14.1" customHeight="1" x14ac:dyDescent="0.2">
      <c r="A82" s="1"/>
      <c r="B82" s="1"/>
      <c r="C82" s="5"/>
      <c r="D82" s="1"/>
      <c r="E82" s="1"/>
      <c r="F82" s="6"/>
      <c r="G82" s="6"/>
      <c r="H82" s="12"/>
    </row>
    <row r="83" spans="1:8" ht="14.1" customHeight="1" x14ac:dyDescent="0.2">
      <c r="A83" s="1"/>
      <c r="B83" s="1"/>
      <c r="C83" s="2" t="s">
        <v>124</v>
      </c>
      <c r="D83" s="1"/>
      <c r="E83" s="1"/>
      <c r="F83" s="7">
        <v>754.20072349999998</v>
      </c>
      <c r="G83" s="8">
        <v>0.23581975499999999</v>
      </c>
      <c r="H83" s="12"/>
    </row>
    <row r="84" spans="1:8" ht="14.1" customHeight="1" x14ac:dyDescent="0.2">
      <c r="A84" s="1"/>
      <c r="B84" s="1"/>
      <c r="C84" s="6"/>
      <c r="D84" s="1"/>
      <c r="E84" s="1"/>
      <c r="F84" s="1"/>
      <c r="G84" s="1"/>
      <c r="H84" s="12"/>
    </row>
    <row r="85" spans="1:8" ht="14.1" customHeight="1" x14ac:dyDescent="0.2">
      <c r="A85" s="1"/>
      <c r="B85" s="1"/>
      <c r="C85" s="2" t="s">
        <v>125</v>
      </c>
      <c r="D85" s="1"/>
      <c r="E85" s="1"/>
      <c r="F85" s="1"/>
      <c r="G85" s="1"/>
      <c r="H85" s="12"/>
    </row>
    <row r="86" spans="1:8" ht="14.1" customHeight="1" x14ac:dyDescent="0.2">
      <c r="A86" s="1"/>
      <c r="B86" s="1"/>
      <c r="C86" s="2" t="s">
        <v>126</v>
      </c>
      <c r="D86" s="1"/>
      <c r="E86" s="1"/>
      <c r="F86" s="1"/>
      <c r="G86" s="1"/>
      <c r="H86" s="12"/>
    </row>
    <row r="87" spans="1:8" ht="14.1" customHeight="1" x14ac:dyDescent="0.2">
      <c r="A87" s="1"/>
      <c r="B87" s="1"/>
      <c r="C87" s="2" t="s">
        <v>11</v>
      </c>
      <c r="D87" s="1"/>
      <c r="E87" s="1" t="s">
        <v>12</v>
      </c>
      <c r="F87" s="3">
        <v>0</v>
      </c>
      <c r="G87" s="4">
        <v>0</v>
      </c>
      <c r="H87" s="12"/>
    </row>
    <row r="88" spans="1:8" ht="14.1" customHeight="1" x14ac:dyDescent="0.2">
      <c r="A88" s="1"/>
      <c r="B88" s="1"/>
      <c r="C88" s="5"/>
      <c r="D88" s="1"/>
      <c r="E88" s="1"/>
      <c r="F88" s="6"/>
      <c r="G88" s="6"/>
      <c r="H88" s="12"/>
    </row>
    <row r="89" spans="1:8" ht="14.1" customHeight="1" x14ac:dyDescent="0.2">
      <c r="A89" s="1"/>
      <c r="B89" s="1"/>
      <c r="C89" s="2" t="s">
        <v>127</v>
      </c>
      <c r="D89" s="1"/>
      <c r="E89" s="1"/>
      <c r="F89" s="1"/>
      <c r="G89" s="1"/>
      <c r="H89" s="12"/>
    </row>
    <row r="90" spans="1:8" ht="14.1" customHeight="1" x14ac:dyDescent="0.2">
      <c r="A90" s="1"/>
      <c r="B90" s="1"/>
      <c r="C90" s="2" t="s">
        <v>128</v>
      </c>
      <c r="D90" s="1"/>
      <c r="E90" s="1"/>
      <c r="F90" s="1"/>
      <c r="G90" s="1"/>
      <c r="H90" s="12"/>
    </row>
    <row r="91" spans="1:8" ht="14.1" customHeight="1" x14ac:dyDescent="0.2">
      <c r="A91" s="1"/>
      <c r="B91" s="1"/>
      <c r="C91" s="2" t="s">
        <v>11</v>
      </c>
      <c r="D91" s="1"/>
      <c r="E91" s="1" t="s">
        <v>12</v>
      </c>
      <c r="F91" s="3">
        <v>0</v>
      </c>
      <c r="G91" s="4">
        <v>0</v>
      </c>
      <c r="H91" s="12"/>
    </row>
    <row r="92" spans="1:8" ht="14.1" customHeight="1" x14ac:dyDescent="0.2">
      <c r="A92" s="1"/>
      <c r="B92" s="1"/>
      <c r="C92" s="5"/>
      <c r="D92" s="1"/>
      <c r="E92" s="1"/>
      <c r="F92" s="6"/>
      <c r="G92" s="6"/>
      <c r="H92" s="12"/>
    </row>
    <row r="93" spans="1:8" ht="24" customHeight="1" x14ac:dyDescent="0.2">
      <c r="A93" s="1"/>
      <c r="B93" s="1"/>
      <c r="C93" s="2" t="s">
        <v>129</v>
      </c>
      <c r="D93" s="1"/>
      <c r="E93" s="1"/>
      <c r="F93" s="6"/>
      <c r="G93" s="6"/>
      <c r="H93" s="12"/>
    </row>
    <row r="94" spans="1:8" ht="14.1" customHeight="1" x14ac:dyDescent="0.2">
      <c r="A94" s="1"/>
      <c r="B94" s="1"/>
      <c r="C94" s="2" t="s">
        <v>11</v>
      </c>
      <c r="D94" s="1"/>
      <c r="E94" s="1" t="s">
        <v>12</v>
      </c>
      <c r="F94" s="3">
        <v>0</v>
      </c>
      <c r="G94" s="4">
        <v>0</v>
      </c>
      <c r="H94" s="12"/>
    </row>
    <row r="95" spans="1:8" ht="14.1" customHeight="1" x14ac:dyDescent="0.2">
      <c r="A95" s="1"/>
      <c r="B95" s="1"/>
      <c r="C95" s="5"/>
      <c r="D95" s="1"/>
      <c r="E95" s="1"/>
      <c r="F95" s="6"/>
      <c r="G95" s="6"/>
      <c r="H95" s="12"/>
    </row>
    <row r="96" spans="1:8" ht="14.1" customHeight="1" x14ac:dyDescent="0.2">
      <c r="A96" s="1"/>
      <c r="B96" s="10"/>
      <c r="C96" s="10"/>
      <c r="D96" s="2"/>
      <c r="E96" s="1"/>
      <c r="F96" s="10"/>
      <c r="G96" s="14"/>
      <c r="H96" s="12"/>
    </row>
    <row r="97" spans="1:8" ht="18" customHeight="1" x14ac:dyDescent="0.2">
      <c r="A97" s="14"/>
      <c r="B97" s="10"/>
      <c r="C97" s="10" t="s">
        <v>130</v>
      </c>
      <c r="D97" s="10"/>
      <c r="E97" s="14"/>
      <c r="F97" s="12">
        <v>502.10944579</v>
      </c>
      <c r="G97" s="13">
        <v>0.1569971</v>
      </c>
      <c r="H97" s="12"/>
    </row>
    <row r="98" spans="1:8" ht="14.1" customHeight="1" x14ac:dyDescent="0.2">
      <c r="A98" s="5"/>
      <c r="B98" s="5"/>
      <c r="C98" s="2" t="s">
        <v>131</v>
      </c>
      <c r="D98" s="6"/>
      <c r="E98" s="6"/>
      <c r="F98" s="7">
        <v>3198.2084113300002</v>
      </c>
      <c r="G98" s="8">
        <v>0.99999999900000003</v>
      </c>
      <c r="H98" s="12"/>
    </row>
    <row r="99" spans="1:8" ht="14.1" customHeight="1" x14ac:dyDescent="0.2">
      <c r="A99" s="15"/>
      <c r="B99" s="15"/>
      <c r="C99" s="15"/>
      <c r="D99" s="16"/>
      <c r="E99" s="16"/>
      <c r="F99" s="16"/>
      <c r="G99" s="16"/>
    </row>
    <row r="100" spans="1:8" ht="17.100000000000001" customHeight="1" x14ac:dyDescent="0.2">
      <c r="A100" s="17"/>
      <c r="B100" s="101" t="s">
        <v>132</v>
      </c>
      <c r="C100" s="101"/>
      <c r="D100" s="101"/>
      <c r="E100" s="101"/>
      <c r="F100" s="101"/>
      <c r="G100" s="19"/>
    </row>
    <row r="101" spans="1:8" ht="17.100000000000001" customHeight="1" x14ac:dyDescent="0.2">
      <c r="A101" s="17"/>
      <c r="B101" s="101" t="s">
        <v>133</v>
      </c>
      <c r="C101" s="101"/>
      <c r="D101" s="101"/>
      <c r="E101" s="101"/>
      <c r="F101" s="101"/>
      <c r="G101" s="19"/>
    </row>
    <row r="102" spans="1:8" ht="14.1" customHeight="1" x14ac:dyDescent="0.2">
      <c r="A102" s="17"/>
      <c r="B102" s="17"/>
      <c r="C102" s="17"/>
      <c r="D102" s="19"/>
      <c r="E102" s="19"/>
      <c r="F102" s="19"/>
      <c r="G102" s="19"/>
    </row>
    <row r="103" spans="1:8" ht="14.1" customHeight="1" x14ac:dyDescent="0.2">
      <c r="A103" s="17"/>
      <c r="B103" s="102" t="s">
        <v>134</v>
      </c>
      <c r="C103" s="103"/>
      <c r="D103" s="104"/>
      <c r="E103" s="20"/>
      <c r="F103" s="19"/>
      <c r="G103" s="19"/>
    </row>
    <row r="104" spans="1:8" ht="29.1" customHeight="1" x14ac:dyDescent="0.2">
      <c r="A104" s="17"/>
      <c r="B104" s="97" t="s">
        <v>135</v>
      </c>
      <c r="C104" s="98"/>
      <c r="D104" s="2" t="s">
        <v>508</v>
      </c>
      <c r="E104" s="20"/>
      <c r="F104" s="19"/>
      <c r="G104" s="19"/>
    </row>
    <row r="105" spans="1:8" ht="17.100000000000001" customHeight="1" x14ac:dyDescent="0.2">
      <c r="A105" s="17"/>
      <c r="B105" s="97" t="s">
        <v>137</v>
      </c>
      <c r="C105" s="98"/>
      <c r="D105" s="2" t="s">
        <v>136</v>
      </c>
      <c r="E105" s="20"/>
      <c r="F105" s="19"/>
      <c r="G105" s="19"/>
    </row>
    <row r="106" spans="1:8" ht="17.100000000000001" customHeight="1" x14ac:dyDescent="0.2">
      <c r="A106" s="17"/>
      <c r="B106" s="97" t="s">
        <v>138</v>
      </c>
      <c r="C106" s="98"/>
      <c r="D106" s="6" t="s">
        <v>12</v>
      </c>
      <c r="E106" s="20"/>
      <c r="F106" s="19"/>
      <c r="G106" s="19"/>
    </row>
    <row r="107" spans="1:8" ht="24" customHeight="1" x14ac:dyDescent="0.2">
      <c r="A107" s="21"/>
      <c r="B107" s="22" t="s">
        <v>12</v>
      </c>
      <c r="C107" s="22" t="s">
        <v>139</v>
      </c>
      <c r="D107" s="22" t="s">
        <v>140</v>
      </c>
      <c r="E107" s="21"/>
      <c r="F107" s="21"/>
      <c r="G107" s="21"/>
    </row>
    <row r="108" spans="1:8" ht="18" customHeight="1" x14ac:dyDescent="0.2">
      <c r="A108" s="21"/>
      <c r="B108" s="23" t="s">
        <v>141</v>
      </c>
      <c r="C108" s="22" t="s">
        <v>142</v>
      </c>
      <c r="D108" s="22" t="s">
        <v>143</v>
      </c>
      <c r="E108" s="21"/>
      <c r="F108" s="21"/>
      <c r="G108" s="21"/>
    </row>
    <row r="109" spans="1:8" ht="17.100000000000001" customHeight="1" x14ac:dyDescent="0.2">
      <c r="A109" s="21"/>
      <c r="B109" s="10" t="s">
        <v>144</v>
      </c>
      <c r="C109" s="24">
        <v>25.306100000000001</v>
      </c>
      <c r="D109" s="24">
        <v>25.721699999999998</v>
      </c>
      <c r="E109" s="21"/>
      <c r="F109" s="18"/>
      <c r="G109" s="25"/>
    </row>
    <row r="110" spans="1:8" ht="29.1" customHeight="1" x14ac:dyDescent="0.2">
      <c r="A110" s="21"/>
      <c r="B110" s="10" t="s">
        <v>521</v>
      </c>
      <c r="C110" s="24">
        <v>13.408099999999999</v>
      </c>
      <c r="D110" s="24">
        <v>13.508900000000001</v>
      </c>
      <c r="E110" s="21"/>
      <c r="F110" s="18"/>
      <c r="G110" s="25"/>
    </row>
    <row r="111" spans="1:8" ht="29.1" customHeight="1" x14ac:dyDescent="0.2">
      <c r="A111" s="21"/>
      <c r="B111" s="10" t="s">
        <v>522</v>
      </c>
      <c r="C111" s="24">
        <v>16.988</v>
      </c>
      <c r="D111" s="24">
        <v>17.266999999999999</v>
      </c>
      <c r="E111" s="21"/>
      <c r="F111" s="18"/>
      <c r="G111" s="25"/>
    </row>
    <row r="112" spans="1:8" ht="29.1" customHeight="1" x14ac:dyDescent="0.2">
      <c r="A112" s="21"/>
      <c r="B112" s="10" t="s">
        <v>523</v>
      </c>
      <c r="C112" s="24">
        <v>16.981200000000001</v>
      </c>
      <c r="D112" s="24">
        <v>17.260100000000001</v>
      </c>
      <c r="E112" s="21"/>
      <c r="F112" s="18"/>
      <c r="G112" s="25"/>
    </row>
    <row r="113" spans="1:15" ht="17.100000000000001" customHeight="1" x14ac:dyDescent="0.2">
      <c r="A113" s="21"/>
      <c r="B113" s="10" t="s">
        <v>145</v>
      </c>
      <c r="C113" s="24">
        <v>23.5975</v>
      </c>
      <c r="D113" s="24">
        <v>23.965499999999999</v>
      </c>
      <c r="E113" s="21"/>
      <c r="F113" s="18"/>
      <c r="G113" s="25"/>
    </row>
    <row r="114" spans="1:15" ht="29.1" customHeight="1" x14ac:dyDescent="0.2">
      <c r="A114" s="21"/>
      <c r="B114" s="10" t="s">
        <v>525</v>
      </c>
      <c r="C114" s="24">
        <v>13.242699999999999</v>
      </c>
      <c r="D114" s="24">
        <v>13.403</v>
      </c>
      <c r="E114" s="21"/>
      <c r="F114" s="18"/>
      <c r="G114" s="25"/>
    </row>
    <row r="115" spans="1:15" ht="29.1" customHeight="1" x14ac:dyDescent="0.2">
      <c r="A115" s="21"/>
      <c r="B115" s="10" t="s">
        <v>526</v>
      </c>
      <c r="C115" s="24">
        <v>15.776199999999999</v>
      </c>
      <c r="D115" s="24">
        <v>16.022200000000002</v>
      </c>
      <c r="E115" s="21"/>
      <c r="F115" s="18"/>
      <c r="G115" s="25"/>
    </row>
    <row r="116" spans="1:15" ht="29.1" customHeight="1" x14ac:dyDescent="0.2">
      <c r="A116" s="21"/>
      <c r="B116" s="10" t="s">
        <v>527</v>
      </c>
      <c r="C116" s="24">
        <v>15.7104</v>
      </c>
      <c r="D116" s="24">
        <v>15.955399999999999</v>
      </c>
      <c r="E116" s="21"/>
      <c r="F116" s="18"/>
      <c r="G116" s="25"/>
    </row>
    <row r="117" spans="1:15" ht="14.1" customHeight="1" x14ac:dyDescent="0.2">
      <c r="A117" s="21"/>
      <c r="B117" s="21"/>
      <c r="C117" s="21"/>
      <c r="D117" s="21"/>
      <c r="E117" s="21"/>
      <c r="F117" s="21"/>
      <c r="G117" s="21"/>
    </row>
    <row r="118" spans="1:15" ht="17.100000000000001" customHeight="1" x14ac:dyDescent="0.2">
      <c r="A118" s="21"/>
      <c r="B118" s="97" t="s">
        <v>529</v>
      </c>
      <c r="C118" s="98"/>
      <c r="D118" s="2" t="s">
        <v>12</v>
      </c>
      <c r="E118" s="21"/>
      <c r="F118" s="21"/>
      <c r="G118" s="21"/>
    </row>
    <row r="119" spans="1:15" ht="18" customHeight="1" x14ac:dyDescent="0.2">
      <c r="A119" s="21"/>
      <c r="B119" s="26" t="s">
        <v>141</v>
      </c>
      <c r="C119" s="27" t="s">
        <v>146</v>
      </c>
      <c r="D119" s="27" t="s">
        <v>147</v>
      </c>
      <c r="E119" s="21"/>
      <c r="F119" s="21"/>
      <c r="G119" s="21"/>
    </row>
    <row r="120" spans="1:15" ht="29.1" customHeight="1" x14ac:dyDescent="0.2">
      <c r="A120" s="21"/>
      <c r="B120" s="10" t="s">
        <v>521</v>
      </c>
      <c r="C120" s="28">
        <v>0.1193</v>
      </c>
      <c r="D120" s="14" t="s">
        <v>148</v>
      </c>
      <c r="E120" s="21"/>
      <c r="F120" s="18"/>
      <c r="G120" s="25"/>
    </row>
    <row r="121" spans="1:15" ht="29.1" customHeight="1" x14ac:dyDescent="0.2">
      <c r="A121" s="21"/>
      <c r="B121" s="10" t="s">
        <v>525</v>
      </c>
      <c r="C121" s="28">
        <v>4.6199999999999998E-2</v>
      </c>
      <c r="D121" s="14" t="s">
        <v>148</v>
      </c>
      <c r="E121" s="21"/>
      <c r="F121" s="18"/>
      <c r="G121" s="25"/>
    </row>
    <row r="122" spans="1:15" ht="14.1" customHeight="1" x14ac:dyDescent="0.2">
      <c r="A122" s="21"/>
      <c r="B122" s="18"/>
      <c r="C122" s="18"/>
      <c r="D122" s="21"/>
      <c r="E122" s="21"/>
      <c r="F122" s="21"/>
      <c r="G122" s="21"/>
    </row>
    <row r="123" spans="1:15" ht="29.1" customHeight="1" x14ac:dyDescent="0.2">
      <c r="A123" s="21"/>
      <c r="B123" s="97" t="s">
        <v>149</v>
      </c>
      <c r="C123" s="98"/>
      <c r="D123" s="2" t="s">
        <v>136</v>
      </c>
      <c r="E123" s="31"/>
      <c r="F123" s="21"/>
      <c r="G123" s="21"/>
    </row>
    <row r="124" spans="1:15" ht="29.1" customHeight="1" x14ac:dyDescent="0.2">
      <c r="A124" s="21"/>
      <c r="B124" s="97" t="s">
        <v>150</v>
      </c>
      <c r="C124" s="98"/>
      <c r="D124" s="2" t="s">
        <v>136</v>
      </c>
      <c r="E124" s="31"/>
      <c r="F124" s="21"/>
      <c r="G124" s="21"/>
    </row>
    <row r="125" spans="1:15" ht="17.100000000000001" customHeight="1" x14ac:dyDescent="0.2">
      <c r="A125" s="21"/>
      <c r="B125" s="97" t="s">
        <v>460</v>
      </c>
      <c r="C125" s="98"/>
      <c r="D125" s="32">
        <v>4.8109799683882883</v>
      </c>
      <c r="E125" s="31"/>
      <c r="F125" s="21"/>
      <c r="G125" s="21"/>
    </row>
    <row r="126" spans="1:15" ht="17.100000000000001" customHeight="1" x14ac:dyDescent="0.2">
      <c r="A126" s="21"/>
      <c r="B126" s="97" t="s">
        <v>461</v>
      </c>
      <c r="C126" s="98"/>
      <c r="D126" s="32">
        <v>3.5799044296423879</v>
      </c>
      <c r="E126" s="31"/>
      <c r="F126" s="21"/>
      <c r="G126" s="21"/>
    </row>
    <row r="127" spans="1:15" ht="17.100000000000001" customHeight="1" x14ac:dyDescent="0.2">
      <c r="A127" s="21"/>
      <c r="B127" s="97" t="s">
        <v>153</v>
      </c>
      <c r="C127" s="98"/>
      <c r="D127" s="2" t="s">
        <v>136</v>
      </c>
      <c r="E127" s="31"/>
      <c r="F127" s="21"/>
      <c r="G127" s="21"/>
      <c r="O127" s="40"/>
    </row>
    <row r="128" spans="1:15" ht="14.1" customHeight="1" x14ac:dyDescent="0.2">
      <c r="A128" s="21"/>
      <c r="B128" s="105"/>
      <c r="C128" s="105"/>
      <c r="D128" s="30"/>
      <c r="E128" s="21"/>
      <c r="F128" s="18"/>
      <c r="G128" s="25"/>
      <c r="O128" s="40"/>
    </row>
    <row r="129" spans="2:16" x14ac:dyDescent="0.2">
      <c r="B129" s="142" t="s">
        <v>517</v>
      </c>
      <c r="C129" s="142"/>
      <c r="D129" s="142"/>
      <c r="E129" s="142"/>
      <c r="F129" s="142"/>
      <c r="G129" s="142"/>
      <c r="H129" s="142"/>
      <c r="O129" s="40"/>
      <c r="P129" s="40"/>
    </row>
    <row r="130" spans="2:16" x14ac:dyDescent="0.2">
      <c r="B130" s="50" t="s">
        <v>477</v>
      </c>
      <c r="C130" s="50" t="s">
        <v>478</v>
      </c>
      <c r="D130" s="112" t="s">
        <v>472</v>
      </c>
      <c r="E130" s="112"/>
      <c r="F130" s="112"/>
      <c r="G130" s="108" t="s">
        <v>473</v>
      </c>
      <c r="H130" s="108"/>
      <c r="O130" s="40"/>
      <c r="P130" s="40"/>
    </row>
    <row r="131" spans="2:16" ht="25.5" x14ac:dyDescent="0.2">
      <c r="B131" s="51" t="s">
        <v>501</v>
      </c>
      <c r="C131" s="52" t="s">
        <v>514</v>
      </c>
      <c r="D131" s="143">
        <v>0</v>
      </c>
      <c r="E131" s="143"/>
      <c r="F131" s="143"/>
      <c r="G131" s="144">
        <v>0</v>
      </c>
      <c r="H131" s="144"/>
      <c r="O131" s="40"/>
      <c r="P131" s="40"/>
    </row>
    <row r="132" spans="2:16" x14ac:dyDescent="0.2">
      <c r="B132" s="51"/>
      <c r="C132" s="51"/>
      <c r="D132" s="124"/>
      <c r="E132" s="124"/>
      <c r="F132" s="124"/>
      <c r="G132" s="124"/>
      <c r="H132" s="124"/>
      <c r="O132" s="40"/>
      <c r="P132" s="40"/>
    </row>
    <row r="133" spans="2:16" x14ac:dyDescent="0.2">
      <c r="B133" s="108" t="s">
        <v>485</v>
      </c>
      <c r="C133" s="108"/>
      <c r="D133" s="108"/>
      <c r="E133" s="108"/>
      <c r="F133" s="108"/>
      <c r="G133" s="108"/>
      <c r="H133" s="108"/>
      <c r="O133" s="40"/>
      <c r="P133" s="40"/>
    </row>
    <row r="134" spans="2:16" x14ac:dyDescent="0.2">
      <c r="B134" s="109" t="s">
        <v>477</v>
      </c>
      <c r="C134" s="109" t="s">
        <v>478</v>
      </c>
      <c r="D134" s="109" t="s">
        <v>486</v>
      </c>
      <c r="E134" s="109"/>
      <c r="F134" s="109"/>
      <c r="G134" s="109"/>
      <c r="H134" s="110" t="s">
        <v>487</v>
      </c>
      <c r="J134"/>
      <c r="K134"/>
      <c r="L134"/>
      <c r="M134"/>
      <c r="N134"/>
      <c r="P134" s="40"/>
    </row>
    <row r="135" spans="2:16" ht="63.75" x14ac:dyDescent="0.2">
      <c r="B135" s="109"/>
      <c r="C135" s="109"/>
      <c r="D135" s="53" t="s">
        <v>488</v>
      </c>
      <c r="E135" s="53" t="s">
        <v>489</v>
      </c>
      <c r="F135" s="53" t="s">
        <v>490</v>
      </c>
      <c r="G135" s="53" t="s">
        <v>491</v>
      </c>
      <c r="H135" s="111"/>
      <c r="O135" s="40"/>
    </row>
    <row r="136" spans="2:16" ht="25.5" x14ac:dyDescent="0.2">
      <c r="B136" s="51" t="s">
        <v>501</v>
      </c>
      <c r="C136" s="52" t="s">
        <v>515</v>
      </c>
      <c r="D136" s="54">
        <v>500</v>
      </c>
      <c r="E136" s="54">
        <v>9.9405737999999992</v>
      </c>
      <c r="F136" s="84">
        <v>16.00737140547945</v>
      </c>
      <c r="G136" s="54">
        <v>525.94794520547941</v>
      </c>
      <c r="H136" s="57">
        <v>233.40679</v>
      </c>
      <c r="O136" s="40"/>
      <c r="P136" s="40"/>
    </row>
    <row r="137" spans="2:16" x14ac:dyDescent="0.2">
      <c r="O137" s="40"/>
      <c r="P137" s="40"/>
    </row>
    <row r="138" spans="2:16" x14ac:dyDescent="0.2">
      <c r="O138" s="40"/>
      <c r="P138" s="40"/>
    </row>
    <row r="139" spans="2:16" x14ac:dyDescent="0.2">
      <c r="B139" s="59" t="s">
        <v>493</v>
      </c>
      <c r="O139" s="40"/>
      <c r="P139" s="40"/>
    </row>
    <row r="140" spans="2:16" x14ac:dyDescent="0.2">
      <c r="B140" s="40"/>
      <c r="C140" s="40"/>
      <c r="D140" s="40"/>
      <c r="E140" s="40"/>
      <c r="F140" s="40"/>
      <c r="G140" s="40"/>
      <c r="H140" s="40"/>
      <c r="O140" s="40"/>
      <c r="P140" s="40"/>
    </row>
    <row r="141" spans="2:16" x14ac:dyDescent="0.2">
      <c r="B141" s="60" t="s">
        <v>494</v>
      </c>
      <c r="C141" s="40"/>
      <c r="D141" s="40"/>
      <c r="E141" s="40"/>
      <c r="F141" s="40"/>
      <c r="G141" s="40"/>
      <c r="H141" s="40"/>
      <c r="O141" s="40"/>
      <c r="P141" s="40"/>
    </row>
    <row r="142" spans="2:16" x14ac:dyDescent="0.2">
      <c r="B142" s="40"/>
      <c r="C142" s="40"/>
      <c r="D142" s="40"/>
      <c r="E142" s="40"/>
      <c r="F142" s="40"/>
      <c r="G142" s="40"/>
      <c r="H142" s="40"/>
      <c r="P142" s="40"/>
    </row>
    <row r="143" spans="2:16" x14ac:dyDescent="0.2">
      <c r="B143" s="60" t="s">
        <v>495</v>
      </c>
      <c r="C143" s="40"/>
      <c r="D143" s="40"/>
      <c r="E143" s="40"/>
      <c r="F143" s="40"/>
      <c r="G143" s="40"/>
      <c r="H143" s="40"/>
      <c r="P143" s="40"/>
    </row>
  </sheetData>
  <mergeCells count="29">
    <mergeCell ref="B133:H133"/>
    <mergeCell ref="B134:B135"/>
    <mergeCell ref="C134:C135"/>
    <mergeCell ref="D134:G134"/>
    <mergeCell ref="H134:H135"/>
    <mergeCell ref="B126:C126"/>
    <mergeCell ref="B127:C127"/>
    <mergeCell ref="B128:C128"/>
    <mergeCell ref="B125:C125"/>
    <mergeCell ref="D132:F132"/>
    <mergeCell ref="B129:H129"/>
    <mergeCell ref="D130:F130"/>
    <mergeCell ref="G130:H130"/>
    <mergeCell ref="D131:F131"/>
    <mergeCell ref="G131:H131"/>
    <mergeCell ref="G132:H132"/>
    <mergeCell ref="J2:N2"/>
    <mergeCell ref="A1:H1"/>
    <mergeCell ref="A2:H2"/>
    <mergeCell ref="A3:H3"/>
    <mergeCell ref="B124:C124"/>
    <mergeCell ref="B123:C123"/>
    <mergeCell ref="B100:F100"/>
    <mergeCell ref="B101:F101"/>
    <mergeCell ref="B103:D103"/>
    <mergeCell ref="B104:C104"/>
    <mergeCell ref="B105:C105"/>
    <mergeCell ref="B106:C106"/>
    <mergeCell ref="B118:C118"/>
  </mergeCells>
  <hyperlinks>
    <hyperlink ref="B141" r:id="rId1" xr:uid="{82563CD4-8B68-4F75-BAEB-37ACC92629C8}"/>
    <hyperlink ref="B143" r:id="rId2" xr:uid="{CB004D02-EA5A-4AB8-B192-9C41899DC372}"/>
    <hyperlink ref="I1" location="Index!B10" display="Index" xr:uid="{82A93739-A0C5-4E15-AACB-C1F1C6BB855C}"/>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1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0"/>
  </cols>
  <sheetData>
    <row r="1" spans="1:14" ht="18" customHeight="1" x14ac:dyDescent="0.2">
      <c r="A1" s="100" t="s">
        <v>0</v>
      </c>
      <c r="B1" s="100"/>
      <c r="C1" s="100"/>
      <c r="D1" s="100"/>
      <c r="E1" s="100"/>
      <c r="F1" s="100"/>
      <c r="G1" s="100"/>
      <c r="H1" s="100"/>
      <c r="I1" s="90" t="s">
        <v>544</v>
      </c>
    </row>
    <row r="2" spans="1:14" ht="17.100000000000001" customHeight="1" x14ac:dyDescent="0.2">
      <c r="A2" s="100" t="s">
        <v>442</v>
      </c>
      <c r="B2" s="100"/>
      <c r="C2" s="100"/>
      <c r="D2" s="100"/>
      <c r="E2" s="100"/>
      <c r="F2" s="100"/>
      <c r="G2" s="100"/>
      <c r="H2" s="100"/>
      <c r="J2" s="99" t="s">
        <v>545</v>
      </c>
      <c r="K2" s="99"/>
      <c r="L2" s="99"/>
      <c r="M2" s="99"/>
      <c r="N2" s="99"/>
    </row>
    <row r="3" spans="1:14" ht="21" customHeight="1" x14ac:dyDescent="0.2">
      <c r="A3" s="100" t="s">
        <v>539</v>
      </c>
      <c r="B3" s="100"/>
      <c r="C3" s="100"/>
      <c r="D3" s="100"/>
      <c r="E3" s="100"/>
      <c r="F3" s="100"/>
      <c r="G3" s="100"/>
      <c r="H3" s="100"/>
    </row>
    <row r="4" spans="1:14" s="88" customFormat="1" ht="30" x14ac:dyDescent="0.2">
      <c r="A4" s="87" t="s">
        <v>2</v>
      </c>
      <c r="B4" s="87" t="s">
        <v>3</v>
      </c>
      <c r="C4" s="87" t="s">
        <v>4</v>
      </c>
      <c r="D4" s="87" t="s">
        <v>5</v>
      </c>
      <c r="E4" s="87" t="s">
        <v>6</v>
      </c>
      <c r="F4" s="87" t="s">
        <v>7</v>
      </c>
      <c r="G4" s="87" t="s">
        <v>8</v>
      </c>
      <c r="H4" s="86" t="s">
        <v>520</v>
      </c>
      <c r="J4" s="91"/>
      <c r="K4" s="91"/>
      <c r="L4" s="91"/>
      <c r="M4" s="91"/>
      <c r="N4" s="91"/>
    </row>
    <row r="5" spans="1:14" ht="14.1" customHeight="1" x14ac:dyDescent="0.2">
      <c r="A5" s="1"/>
      <c r="B5" s="1"/>
      <c r="C5" s="2" t="s">
        <v>9</v>
      </c>
      <c r="D5" s="1"/>
      <c r="E5" s="1"/>
      <c r="F5" s="1"/>
      <c r="G5" s="1"/>
      <c r="H5" s="12"/>
    </row>
    <row r="6" spans="1:14" ht="24" customHeight="1" x14ac:dyDescent="0.2">
      <c r="A6" s="1"/>
      <c r="B6" s="1"/>
      <c r="C6" s="2" t="s">
        <v>10</v>
      </c>
      <c r="D6" s="1"/>
      <c r="E6" s="1"/>
      <c r="F6" s="1"/>
      <c r="G6" s="1"/>
      <c r="H6" s="12"/>
    </row>
    <row r="7" spans="1:14" ht="14.1" customHeight="1" x14ac:dyDescent="0.2">
      <c r="A7" s="1"/>
      <c r="B7" s="1"/>
      <c r="C7" s="2" t="s">
        <v>11</v>
      </c>
      <c r="D7" s="1"/>
      <c r="E7" s="1" t="s">
        <v>12</v>
      </c>
      <c r="F7" s="3">
        <v>0</v>
      </c>
      <c r="G7" s="4">
        <v>0</v>
      </c>
      <c r="H7" s="12"/>
    </row>
    <row r="8" spans="1:14" ht="14.1" customHeight="1" x14ac:dyDescent="0.2">
      <c r="A8" s="1"/>
      <c r="B8" s="1"/>
      <c r="C8" s="5"/>
      <c r="D8" s="1"/>
      <c r="E8" s="1"/>
      <c r="F8" s="6"/>
      <c r="G8" s="6"/>
      <c r="H8" s="12"/>
    </row>
    <row r="9" spans="1:14" ht="14.1" customHeight="1" x14ac:dyDescent="0.2">
      <c r="A9" s="1"/>
      <c r="B9" s="1"/>
      <c r="C9" s="2" t="s">
        <v>13</v>
      </c>
      <c r="D9" s="1"/>
      <c r="E9" s="1"/>
      <c r="F9" s="1"/>
      <c r="G9" s="1"/>
      <c r="H9" s="12"/>
    </row>
    <row r="10" spans="1:14" ht="14.1" customHeight="1" x14ac:dyDescent="0.2">
      <c r="A10" s="1"/>
      <c r="B10" s="1"/>
      <c r="C10" s="2" t="s">
        <v>11</v>
      </c>
      <c r="D10" s="1"/>
      <c r="E10" s="1" t="s">
        <v>12</v>
      </c>
      <c r="F10" s="3">
        <v>0</v>
      </c>
      <c r="G10" s="4">
        <v>0</v>
      </c>
      <c r="H10" s="12"/>
    </row>
    <row r="11" spans="1:14" ht="14.1" customHeight="1" x14ac:dyDescent="0.2">
      <c r="A11" s="1"/>
      <c r="B11" s="1"/>
      <c r="C11" s="5"/>
      <c r="D11" s="1"/>
      <c r="E11" s="1"/>
      <c r="F11" s="6"/>
      <c r="G11" s="6"/>
      <c r="H11" s="12"/>
    </row>
    <row r="12" spans="1:14" ht="14.1" customHeight="1" x14ac:dyDescent="0.2">
      <c r="A12" s="1"/>
      <c r="B12" s="1"/>
      <c r="C12" s="2" t="s">
        <v>14</v>
      </c>
      <c r="D12" s="1"/>
      <c r="E12" s="1"/>
      <c r="F12" s="1"/>
      <c r="G12" s="1"/>
      <c r="H12" s="12"/>
    </row>
    <row r="13" spans="1:14" ht="14.1" customHeight="1" x14ac:dyDescent="0.25">
      <c r="A13" s="1"/>
      <c r="B13" s="1"/>
      <c r="C13" s="2" t="s">
        <v>11</v>
      </c>
      <c r="D13" s="1"/>
      <c r="E13" s="1" t="s">
        <v>12</v>
      </c>
      <c r="F13" s="3">
        <v>0</v>
      </c>
      <c r="G13" s="4">
        <v>0</v>
      </c>
      <c r="H13" s="12"/>
      <c r="J13" s="93" t="s">
        <v>562</v>
      </c>
    </row>
    <row r="14" spans="1:14" ht="14.1" customHeight="1" x14ac:dyDescent="0.2">
      <c r="A14" s="1"/>
      <c r="B14" s="1"/>
      <c r="C14" s="5"/>
      <c r="D14" s="1"/>
      <c r="E14" s="1"/>
      <c r="F14" s="6"/>
      <c r="G14" s="6"/>
      <c r="H14" s="12"/>
    </row>
    <row r="15" spans="1:14" ht="14.1" customHeight="1" x14ac:dyDescent="0.2">
      <c r="A15" s="1"/>
      <c r="B15" s="1"/>
      <c r="C15" s="2" t="s">
        <v>15</v>
      </c>
      <c r="D15" s="1"/>
      <c r="E15" s="1"/>
      <c r="F15" s="1"/>
      <c r="G15" s="1"/>
      <c r="H15" s="12"/>
    </row>
    <row r="16" spans="1:14" ht="14.1" customHeight="1" x14ac:dyDescent="0.2">
      <c r="A16" s="1"/>
      <c r="B16" s="1"/>
      <c r="C16" s="2" t="s">
        <v>11</v>
      </c>
      <c r="D16" s="1"/>
      <c r="E16" s="1" t="s">
        <v>12</v>
      </c>
      <c r="F16" s="3">
        <v>0</v>
      </c>
      <c r="G16" s="4">
        <v>0</v>
      </c>
      <c r="H16" s="12"/>
      <c r="K16" s="94"/>
      <c r="L16" s="94"/>
      <c r="M16" s="94"/>
      <c r="N16" s="94"/>
    </row>
    <row r="17" spans="1:14" ht="14.1" customHeight="1" x14ac:dyDescent="0.2">
      <c r="A17" s="1"/>
      <c r="B17" s="1"/>
      <c r="C17" s="5"/>
      <c r="D17" s="1"/>
      <c r="E17" s="1"/>
      <c r="F17" s="6"/>
      <c r="G17" s="6"/>
      <c r="H17" s="12"/>
    </row>
    <row r="18" spans="1:14" ht="14.1" customHeight="1" x14ac:dyDescent="0.2">
      <c r="A18" s="1"/>
      <c r="B18" s="1"/>
      <c r="C18" s="2" t="s">
        <v>16</v>
      </c>
      <c r="D18" s="1"/>
      <c r="E18" s="1"/>
      <c r="F18" s="6"/>
      <c r="G18" s="6"/>
      <c r="H18" s="12"/>
    </row>
    <row r="19" spans="1:14" ht="14.1" customHeight="1" x14ac:dyDescent="0.2">
      <c r="A19" s="1"/>
      <c r="B19" s="1"/>
      <c r="C19" s="2" t="s">
        <v>11</v>
      </c>
      <c r="D19" s="1"/>
      <c r="E19" s="1" t="s">
        <v>12</v>
      </c>
      <c r="F19" s="3">
        <v>0</v>
      </c>
      <c r="G19" s="4">
        <v>0</v>
      </c>
      <c r="H19" s="12"/>
    </row>
    <row r="20" spans="1:14" ht="14.1" customHeight="1" x14ac:dyDescent="0.2">
      <c r="A20" s="1"/>
      <c r="B20" s="1"/>
      <c r="C20" s="5"/>
      <c r="D20" s="1"/>
      <c r="E20" s="1"/>
      <c r="F20" s="6"/>
      <c r="G20" s="6"/>
      <c r="H20" s="12"/>
    </row>
    <row r="21" spans="1:14" ht="14.1" customHeight="1" x14ac:dyDescent="0.2">
      <c r="A21" s="1"/>
      <c r="B21" s="1"/>
      <c r="C21" s="2" t="s">
        <v>17</v>
      </c>
      <c r="D21" s="1"/>
      <c r="E21" s="1"/>
      <c r="F21" s="6"/>
      <c r="G21" s="6"/>
      <c r="H21" s="12"/>
    </row>
    <row r="22" spans="1:14" ht="14.1" customHeight="1" x14ac:dyDescent="0.2">
      <c r="A22" s="1"/>
      <c r="B22" s="1"/>
      <c r="C22" s="2" t="s">
        <v>11</v>
      </c>
      <c r="D22" s="1"/>
      <c r="E22" s="1" t="s">
        <v>12</v>
      </c>
      <c r="F22" s="3">
        <v>0</v>
      </c>
      <c r="G22" s="4">
        <v>0</v>
      </c>
      <c r="H22" s="12"/>
    </row>
    <row r="23" spans="1:14" ht="14.1" customHeight="1" x14ac:dyDescent="0.2">
      <c r="A23" s="1"/>
      <c r="B23" s="1"/>
      <c r="C23" s="5"/>
      <c r="D23" s="1"/>
      <c r="E23" s="1"/>
      <c r="F23" s="6"/>
      <c r="G23" s="6"/>
      <c r="H23" s="12"/>
    </row>
    <row r="24" spans="1:14" ht="18" customHeight="1" x14ac:dyDescent="0.2">
      <c r="A24" s="1"/>
      <c r="B24" s="1"/>
      <c r="C24" s="2" t="s">
        <v>18</v>
      </c>
      <c r="D24" s="1"/>
      <c r="E24" s="1"/>
      <c r="F24" s="7">
        <v>0</v>
      </c>
      <c r="G24" s="8">
        <v>0</v>
      </c>
      <c r="H24" s="12"/>
    </row>
    <row r="25" spans="1:14" ht="14.1" customHeight="1" x14ac:dyDescent="0.2">
      <c r="A25" s="1"/>
      <c r="B25" s="1"/>
      <c r="C25" s="5"/>
      <c r="D25" s="1"/>
      <c r="E25" s="1"/>
      <c r="F25" s="6"/>
      <c r="G25" s="6"/>
      <c r="H25" s="12"/>
    </row>
    <row r="26" spans="1:14" ht="14.1" customHeight="1" x14ac:dyDescent="0.25">
      <c r="A26" s="1"/>
      <c r="B26" s="1"/>
      <c r="C26" s="2" t="s">
        <v>19</v>
      </c>
      <c r="D26" s="1"/>
      <c r="E26" s="1"/>
      <c r="F26" s="6"/>
      <c r="G26" s="6"/>
      <c r="H26" s="12"/>
      <c r="J26" s="93" t="s">
        <v>563</v>
      </c>
    </row>
    <row r="27" spans="1:14" ht="24" customHeight="1" x14ac:dyDescent="0.2">
      <c r="A27" s="1"/>
      <c r="B27" s="1"/>
      <c r="C27" s="2" t="s">
        <v>10</v>
      </c>
      <c r="D27" s="1"/>
      <c r="E27" s="1"/>
      <c r="F27" s="6"/>
      <c r="G27" s="6"/>
      <c r="H27" s="12"/>
    </row>
    <row r="28" spans="1:14" ht="14.1" customHeight="1" x14ac:dyDescent="0.2">
      <c r="A28" s="1"/>
      <c r="B28" s="1"/>
      <c r="C28" s="2" t="s">
        <v>11</v>
      </c>
      <c r="D28" s="1"/>
      <c r="E28" s="1" t="s">
        <v>12</v>
      </c>
      <c r="F28" s="3">
        <v>0</v>
      </c>
      <c r="G28" s="4">
        <v>0</v>
      </c>
      <c r="H28" s="12"/>
    </row>
    <row r="29" spans="1:14" ht="14.1" customHeight="1" x14ac:dyDescent="0.2">
      <c r="A29" s="1"/>
      <c r="B29" s="1"/>
      <c r="C29" s="5"/>
      <c r="D29" s="1"/>
      <c r="E29" s="1"/>
      <c r="F29" s="6"/>
      <c r="G29" s="6"/>
      <c r="H29" s="12"/>
    </row>
    <row r="30" spans="1:14" ht="14.1" customHeight="1" x14ac:dyDescent="0.2">
      <c r="A30" s="1"/>
      <c r="B30" s="1"/>
      <c r="C30" s="2" t="s">
        <v>95</v>
      </c>
      <c r="D30" s="1"/>
      <c r="E30" s="1"/>
      <c r="F30" s="1"/>
      <c r="G30" s="1"/>
      <c r="H30" s="12"/>
    </row>
    <row r="31" spans="1:14" ht="14.1" customHeight="1" x14ac:dyDescent="0.2">
      <c r="A31" s="1"/>
      <c r="B31" s="1"/>
      <c r="C31" s="2" t="s">
        <v>11</v>
      </c>
      <c r="D31" s="1"/>
      <c r="E31" s="1" t="s">
        <v>12</v>
      </c>
      <c r="F31" s="3">
        <v>0</v>
      </c>
      <c r="G31" s="4">
        <v>0</v>
      </c>
      <c r="H31" s="12"/>
      <c r="K31" s="94"/>
      <c r="L31" s="94"/>
      <c r="M31" s="94"/>
      <c r="N31" s="94"/>
    </row>
    <row r="32" spans="1:14" ht="14.1" customHeight="1" x14ac:dyDescent="0.2">
      <c r="A32" s="1"/>
      <c r="B32" s="1"/>
      <c r="C32" s="5"/>
      <c r="D32" s="1"/>
      <c r="E32" s="1"/>
      <c r="F32" s="6"/>
      <c r="G32" s="6"/>
      <c r="H32" s="12"/>
    </row>
    <row r="33" spans="1:8" ht="14.1" customHeight="1" x14ac:dyDescent="0.2">
      <c r="A33" s="1"/>
      <c r="B33" s="1"/>
      <c r="C33" s="2" t="s">
        <v>96</v>
      </c>
      <c r="D33" s="1"/>
      <c r="E33" s="1"/>
      <c r="F33" s="1"/>
      <c r="G33" s="1"/>
      <c r="H33" s="12"/>
    </row>
    <row r="34" spans="1:8" ht="14.1" customHeight="1" x14ac:dyDescent="0.2">
      <c r="A34" s="1"/>
      <c r="B34" s="1"/>
      <c r="C34" s="2" t="s">
        <v>11</v>
      </c>
      <c r="D34" s="1"/>
      <c r="E34" s="1" t="s">
        <v>12</v>
      </c>
      <c r="F34" s="3">
        <v>0</v>
      </c>
      <c r="G34" s="4">
        <v>0</v>
      </c>
      <c r="H34" s="12"/>
    </row>
    <row r="35" spans="1:8" ht="14.1" customHeight="1" x14ac:dyDescent="0.2">
      <c r="A35" s="1"/>
      <c r="B35" s="1"/>
      <c r="C35" s="5"/>
      <c r="D35" s="1"/>
      <c r="E35" s="1"/>
      <c r="F35" s="6"/>
      <c r="G35" s="6"/>
      <c r="H35" s="12"/>
    </row>
    <row r="36" spans="1:8" ht="14.1" customHeight="1" x14ac:dyDescent="0.2">
      <c r="A36" s="1"/>
      <c r="B36" s="1"/>
      <c r="C36" s="2" t="s">
        <v>106</v>
      </c>
      <c r="D36" s="1"/>
      <c r="E36" s="1"/>
      <c r="F36" s="6"/>
      <c r="G36" s="6"/>
      <c r="H36" s="12"/>
    </row>
    <row r="37" spans="1:8" ht="14.1" customHeight="1" x14ac:dyDescent="0.2">
      <c r="A37" s="1"/>
      <c r="B37" s="1"/>
      <c r="C37" s="2" t="s">
        <v>11</v>
      </c>
      <c r="D37" s="1"/>
      <c r="E37" s="1" t="s">
        <v>12</v>
      </c>
      <c r="F37" s="3">
        <v>0</v>
      </c>
      <c r="G37" s="4">
        <v>0</v>
      </c>
      <c r="H37" s="12"/>
    </row>
    <row r="38" spans="1:8" ht="14.1" customHeight="1" x14ac:dyDescent="0.2">
      <c r="A38" s="1"/>
      <c r="B38" s="1"/>
      <c r="C38" s="5"/>
      <c r="D38" s="1"/>
      <c r="E38" s="1"/>
      <c r="F38" s="6"/>
      <c r="G38" s="6"/>
      <c r="H38" s="12"/>
    </row>
    <row r="39" spans="1:8" ht="14.1" customHeight="1" x14ac:dyDescent="0.2">
      <c r="A39" s="1"/>
      <c r="B39" s="1"/>
      <c r="C39" s="2" t="s">
        <v>107</v>
      </c>
      <c r="D39" s="1"/>
      <c r="E39" s="1"/>
      <c r="F39" s="7">
        <v>0</v>
      </c>
      <c r="G39" s="8">
        <v>0</v>
      </c>
      <c r="H39" s="12"/>
    </row>
    <row r="40" spans="1:8" ht="14.1" customHeight="1" x14ac:dyDescent="0.2">
      <c r="A40" s="1"/>
      <c r="B40" s="1"/>
      <c r="C40" s="5"/>
      <c r="D40" s="1"/>
      <c r="E40" s="1"/>
      <c r="F40" s="6"/>
      <c r="G40" s="6"/>
      <c r="H40" s="12"/>
    </row>
    <row r="41" spans="1:8" ht="14.1" customHeight="1" x14ac:dyDescent="0.2">
      <c r="A41" s="1"/>
      <c r="B41" s="1"/>
      <c r="C41" s="2" t="s">
        <v>108</v>
      </c>
      <c r="D41" s="1"/>
      <c r="E41" s="1"/>
      <c r="F41" s="6"/>
      <c r="G41" s="6"/>
      <c r="H41" s="12"/>
    </row>
    <row r="42" spans="1:8" ht="14.1" customHeight="1" x14ac:dyDescent="0.2">
      <c r="A42" s="1"/>
      <c r="B42" s="1"/>
      <c r="C42" s="2" t="s">
        <v>109</v>
      </c>
      <c r="D42" s="1"/>
      <c r="E42" s="1"/>
      <c r="F42" s="6"/>
      <c r="G42" s="6"/>
      <c r="H42" s="12"/>
    </row>
    <row r="43" spans="1:8" ht="14.1" customHeight="1" x14ac:dyDescent="0.2">
      <c r="A43" s="1"/>
      <c r="B43" s="1"/>
      <c r="C43" s="2" t="s">
        <v>11</v>
      </c>
      <c r="D43" s="1"/>
      <c r="E43" s="1" t="s">
        <v>12</v>
      </c>
      <c r="F43" s="3">
        <v>0</v>
      </c>
      <c r="G43" s="4">
        <v>0</v>
      </c>
      <c r="H43" s="12"/>
    </row>
    <row r="44" spans="1:8" ht="14.1" customHeight="1" x14ac:dyDescent="0.2">
      <c r="A44" s="1"/>
      <c r="B44" s="1"/>
      <c r="C44" s="5"/>
      <c r="D44" s="1"/>
      <c r="E44" s="1"/>
      <c r="F44" s="6"/>
      <c r="G44" s="6"/>
      <c r="H44" s="12"/>
    </row>
    <row r="45" spans="1:8" ht="14.1" customHeight="1" x14ac:dyDescent="0.2">
      <c r="A45" s="1"/>
      <c r="B45" s="1"/>
      <c r="C45" s="2" t="s">
        <v>116</v>
      </c>
      <c r="D45" s="1"/>
      <c r="E45" s="1"/>
      <c r="F45" s="6"/>
      <c r="G45" s="6"/>
      <c r="H45" s="12"/>
    </row>
    <row r="46" spans="1:8" ht="14.1" customHeight="1" x14ac:dyDescent="0.2">
      <c r="A46" s="1"/>
      <c r="B46" s="1"/>
      <c r="C46" s="2" t="s">
        <v>11</v>
      </c>
      <c r="D46" s="1"/>
      <c r="E46" s="1" t="s">
        <v>12</v>
      </c>
      <c r="F46" s="3">
        <v>0</v>
      </c>
      <c r="G46" s="4">
        <v>0</v>
      </c>
      <c r="H46" s="12"/>
    </row>
    <row r="47" spans="1:8" ht="14.1" customHeight="1" x14ac:dyDescent="0.2">
      <c r="A47" s="1"/>
      <c r="B47" s="1"/>
      <c r="C47" s="5"/>
      <c r="D47" s="1"/>
      <c r="E47" s="1"/>
      <c r="F47" s="6"/>
      <c r="G47" s="6"/>
      <c r="H47" s="12"/>
    </row>
    <row r="48" spans="1:8" ht="14.1" customHeight="1" x14ac:dyDescent="0.2">
      <c r="A48" s="1"/>
      <c r="B48" s="1"/>
      <c r="C48" s="2" t="s">
        <v>121</v>
      </c>
      <c r="D48" s="1"/>
      <c r="E48" s="1"/>
      <c r="F48" s="6"/>
      <c r="G48" s="6"/>
      <c r="H48" s="12"/>
    </row>
    <row r="49" spans="1:8" ht="17.100000000000001" customHeight="1" x14ac:dyDescent="0.2">
      <c r="A49" s="9">
        <v>1</v>
      </c>
      <c r="B49" s="10" t="s">
        <v>426</v>
      </c>
      <c r="C49" s="10" t="s">
        <v>427</v>
      </c>
      <c r="D49" s="10" t="s">
        <v>99</v>
      </c>
      <c r="E49" s="11">
        <v>500000</v>
      </c>
      <c r="F49" s="12">
        <v>498.98849999999999</v>
      </c>
      <c r="G49" s="13">
        <v>6.747762E-3</v>
      </c>
      <c r="H49" s="12">
        <v>5.2850000000000001</v>
      </c>
    </row>
    <row r="50" spans="1:8" ht="14.1" customHeight="1" x14ac:dyDescent="0.2">
      <c r="A50" s="1"/>
      <c r="B50" s="1"/>
      <c r="C50" s="2" t="s">
        <v>11</v>
      </c>
      <c r="D50" s="1"/>
      <c r="E50" s="1" t="s">
        <v>12</v>
      </c>
      <c r="F50" s="7">
        <v>498.98849999999999</v>
      </c>
      <c r="G50" s="8">
        <v>6.747762E-3</v>
      </c>
      <c r="H50" s="12"/>
    </row>
    <row r="51" spans="1:8" ht="14.1" customHeight="1" x14ac:dyDescent="0.2">
      <c r="A51" s="1"/>
      <c r="B51" s="1"/>
      <c r="C51" s="5"/>
      <c r="D51" s="1"/>
      <c r="E51" s="1"/>
      <c r="F51" s="6"/>
      <c r="G51" s="6"/>
      <c r="H51" s="12"/>
    </row>
    <row r="52" spans="1:8" ht="14.1" customHeight="1" x14ac:dyDescent="0.2">
      <c r="A52" s="1"/>
      <c r="B52" s="1"/>
      <c r="C52" s="2" t="s">
        <v>122</v>
      </c>
      <c r="D52" s="1"/>
      <c r="E52" s="1"/>
      <c r="F52" s="6"/>
      <c r="G52" s="6"/>
      <c r="H52" s="12"/>
    </row>
    <row r="53" spans="1:8" ht="17.100000000000001" customHeight="1" x14ac:dyDescent="0.2">
      <c r="A53" s="9">
        <v>1</v>
      </c>
      <c r="B53" s="10"/>
      <c r="C53" s="10" t="s">
        <v>123</v>
      </c>
      <c r="D53" s="10"/>
      <c r="E53" s="14"/>
      <c r="F53" s="12">
        <v>73328.126006799997</v>
      </c>
      <c r="G53" s="13">
        <v>0.99160746700000002</v>
      </c>
      <c r="H53" s="12">
        <v>5.4181585046733343</v>
      </c>
    </row>
    <row r="54" spans="1:8" ht="14.1" customHeight="1" x14ac:dyDescent="0.2">
      <c r="A54" s="1"/>
      <c r="B54" s="1"/>
      <c r="C54" s="2" t="s">
        <v>11</v>
      </c>
      <c r="D54" s="1"/>
      <c r="E54" s="1" t="s">
        <v>12</v>
      </c>
      <c r="F54" s="7">
        <v>73328.126006799997</v>
      </c>
      <c r="G54" s="8">
        <v>0.99160746700000002</v>
      </c>
      <c r="H54" s="12"/>
    </row>
    <row r="55" spans="1:8" ht="14.1" customHeight="1" x14ac:dyDescent="0.2">
      <c r="A55" s="1"/>
      <c r="B55" s="1"/>
      <c r="C55" s="5"/>
      <c r="D55" s="1"/>
      <c r="E55" s="1"/>
      <c r="F55" s="6"/>
      <c r="G55" s="6"/>
      <c r="H55" s="12"/>
    </row>
    <row r="56" spans="1:8" ht="14.1" customHeight="1" x14ac:dyDescent="0.2">
      <c r="A56" s="1"/>
      <c r="B56" s="1"/>
      <c r="C56" s="2" t="s">
        <v>124</v>
      </c>
      <c r="D56" s="1"/>
      <c r="E56" s="1"/>
      <c r="F56" s="7">
        <v>73827.114506800004</v>
      </c>
      <c r="G56" s="8">
        <v>0.99835522899999996</v>
      </c>
      <c r="H56" s="12"/>
    </row>
    <row r="57" spans="1:8" ht="14.1" customHeight="1" x14ac:dyDescent="0.2">
      <c r="A57" s="1"/>
      <c r="B57" s="1"/>
      <c r="C57" s="6"/>
      <c r="D57" s="1"/>
      <c r="E57" s="1"/>
      <c r="F57" s="1"/>
      <c r="G57" s="1"/>
      <c r="H57" s="12"/>
    </row>
    <row r="58" spans="1:8" ht="14.1" customHeight="1" x14ac:dyDescent="0.2">
      <c r="A58" s="1"/>
      <c r="B58" s="1"/>
      <c r="C58" s="2" t="s">
        <v>125</v>
      </c>
      <c r="D58" s="1"/>
      <c r="E58" s="1"/>
      <c r="F58" s="1"/>
      <c r="G58" s="1"/>
      <c r="H58" s="12"/>
    </row>
    <row r="59" spans="1:8" ht="14.1" customHeight="1" x14ac:dyDescent="0.2">
      <c r="A59" s="1"/>
      <c r="B59" s="1"/>
      <c r="C59" s="2" t="s">
        <v>126</v>
      </c>
      <c r="D59" s="1"/>
      <c r="E59" s="1"/>
      <c r="F59" s="1"/>
      <c r="G59" s="1"/>
      <c r="H59" s="12"/>
    </row>
    <row r="60" spans="1:8" ht="14.1" customHeight="1" x14ac:dyDescent="0.2">
      <c r="A60" s="1"/>
      <c r="B60" s="1"/>
      <c r="C60" s="2" t="s">
        <v>11</v>
      </c>
      <c r="D60" s="1"/>
      <c r="E60" s="1" t="s">
        <v>12</v>
      </c>
      <c r="F60" s="3">
        <v>0</v>
      </c>
      <c r="G60" s="4">
        <v>0</v>
      </c>
      <c r="H60" s="12"/>
    </row>
    <row r="61" spans="1:8" ht="14.1" customHeight="1" x14ac:dyDescent="0.2">
      <c r="A61" s="1"/>
      <c r="B61" s="1"/>
      <c r="C61" s="5"/>
      <c r="D61" s="1"/>
      <c r="E61" s="1"/>
      <c r="F61" s="6"/>
      <c r="G61" s="6"/>
      <c r="H61" s="12"/>
    </row>
    <row r="62" spans="1:8" ht="14.1" customHeight="1" x14ac:dyDescent="0.2">
      <c r="A62" s="1"/>
      <c r="B62" s="1"/>
      <c r="C62" s="2" t="s">
        <v>127</v>
      </c>
      <c r="D62" s="1"/>
      <c r="E62" s="1"/>
      <c r="F62" s="1"/>
      <c r="G62" s="1"/>
      <c r="H62" s="12"/>
    </row>
    <row r="63" spans="1:8" ht="14.1" customHeight="1" x14ac:dyDescent="0.2">
      <c r="A63" s="1"/>
      <c r="B63" s="1"/>
      <c r="C63" s="2" t="s">
        <v>128</v>
      </c>
      <c r="D63" s="1"/>
      <c r="E63" s="1"/>
      <c r="F63" s="1"/>
      <c r="G63" s="1"/>
      <c r="H63" s="12"/>
    </row>
    <row r="64" spans="1:8" ht="14.1" customHeight="1" x14ac:dyDescent="0.2">
      <c r="A64" s="1"/>
      <c r="B64" s="1"/>
      <c r="C64" s="2" t="s">
        <v>11</v>
      </c>
      <c r="D64" s="1"/>
      <c r="E64" s="1" t="s">
        <v>12</v>
      </c>
      <c r="F64" s="3">
        <v>0</v>
      </c>
      <c r="G64" s="4">
        <v>0</v>
      </c>
      <c r="H64" s="12"/>
    </row>
    <row r="65" spans="1:8" ht="14.1" customHeight="1" x14ac:dyDescent="0.2">
      <c r="A65" s="1"/>
      <c r="B65" s="1"/>
      <c r="C65" s="5"/>
      <c r="D65" s="1"/>
      <c r="E65" s="1"/>
      <c r="F65" s="6"/>
      <c r="G65" s="6"/>
      <c r="H65" s="12"/>
    </row>
    <row r="66" spans="1:8" ht="24" customHeight="1" x14ac:dyDescent="0.2">
      <c r="A66" s="1"/>
      <c r="B66" s="1"/>
      <c r="C66" s="2" t="s">
        <v>129</v>
      </c>
      <c r="D66" s="1"/>
      <c r="E66" s="1"/>
      <c r="F66" s="6"/>
      <c r="G66" s="6"/>
      <c r="H66" s="12"/>
    </row>
    <row r="67" spans="1:8" ht="14.1" customHeight="1" x14ac:dyDescent="0.2">
      <c r="A67" s="1"/>
      <c r="B67" s="1"/>
      <c r="C67" s="2" t="s">
        <v>11</v>
      </c>
      <c r="D67" s="1"/>
      <c r="E67" s="1" t="s">
        <v>12</v>
      </c>
      <c r="F67" s="3">
        <v>0</v>
      </c>
      <c r="G67" s="4">
        <v>0</v>
      </c>
      <c r="H67" s="12"/>
    </row>
    <row r="68" spans="1:8" ht="14.1" customHeight="1" x14ac:dyDescent="0.2">
      <c r="A68" s="1"/>
      <c r="B68" s="1"/>
      <c r="C68" s="5"/>
      <c r="D68" s="1"/>
      <c r="E68" s="1"/>
      <c r="F68" s="6"/>
      <c r="G68" s="6"/>
      <c r="H68" s="12"/>
    </row>
    <row r="69" spans="1:8" ht="14.1" customHeight="1" x14ac:dyDescent="0.2">
      <c r="A69" s="1"/>
      <c r="B69" s="10"/>
      <c r="C69" s="10"/>
      <c r="D69" s="2"/>
      <c r="E69" s="1"/>
      <c r="F69" s="10"/>
      <c r="G69" s="14"/>
      <c r="H69" s="12"/>
    </row>
    <row r="70" spans="1:8" ht="18" customHeight="1" x14ac:dyDescent="0.2">
      <c r="A70" s="14"/>
      <c r="B70" s="10"/>
      <c r="C70" s="10" t="s">
        <v>130</v>
      </c>
      <c r="D70" s="10"/>
      <c r="E70" s="14"/>
      <c r="F70" s="12">
        <v>121.62878404999999</v>
      </c>
      <c r="G70" s="13">
        <v>1.644771E-3</v>
      </c>
      <c r="H70" s="12"/>
    </row>
    <row r="71" spans="1:8" ht="14.1" customHeight="1" x14ac:dyDescent="0.2">
      <c r="A71" s="5"/>
      <c r="B71" s="5"/>
      <c r="C71" s="2" t="s">
        <v>131</v>
      </c>
      <c r="D71" s="6"/>
      <c r="E71" s="6"/>
      <c r="F71" s="7">
        <v>73948.743290850005</v>
      </c>
      <c r="G71" s="8">
        <v>1</v>
      </c>
      <c r="H71" s="12"/>
    </row>
    <row r="72" spans="1:8" ht="14.1" customHeight="1" x14ac:dyDescent="0.2">
      <c r="A72" s="15"/>
      <c r="B72" s="15"/>
      <c r="C72" s="15"/>
      <c r="D72" s="16"/>
      <c r="E72" s="16"/>
      <c r="F72" s="16"/>
      <c r="G72" s="16"/>
    </row>
    <row r="73" spans="1:8" ht="17.100000000000001" customHeight="1" x14ac:dyDescent="0.2">
      <c r="A73" s="17"/>
      <c r="B73" s="101" t="s">
        <v>132</v>
      </c>
      <c r="C73" s="101"/>
      <c r="D73" s="101"/>
      <c r="E73" s="101"/>
      <c r="F73" s="101"/>
      <c r="G73" s="19"/>
    </row>
    <row r="74" spans="1:8" ht="17.100000000000001" customHeight="1" x14ac:dyDescent="0.2">
      <c r="A74" s="17"/>
      <c r="B74" s="101" t="s">
        <v>133</v>
      </c>
      <c r="C74" s="101"/>
      <c r="D74" s="101"/>
      <c r="E74" s="101"/>
      <c r="F74" s="101"/>
      <c r="G74" s="19"/>
    </row>
    <row r="75" spans="1:8" ht="14.1" customHeight="1" x14ac:dyDescent="0.2">
      <c r="A75" s="17"/>
      <c r="B75" s="17"/>
      <c r="C75" s="17"/>
      <c r="D75" s="19"/>
      <c r="E75" s="19"/>
      <c r="F75" s="19"/>
      <c r="G75" s="19"/>
    </row>
    <row r="76" spans="1:8" ht="14.1" customHeight="1" x14ac:dyDescent="0.2">
      <c r="A76" s="17"/>
      <c r="B76" s="102" t="s">
        <v>134</v>
      </c>
      <c r="C76" s="103"/>
      <c r="D76" s="104"/>
      <c r="E76" s="20"/>
      <c r="F76" s="19"/>
      <c r="G76" s="19"/>
    </row>
    <row r="77" spans="1:8" ht="29.1" customHeight="1" x14ac:dyDescent="0.2">
      <c r="A77" s="17"/>
      <c r="B77" s="97" t="s">
        <v>135</v>
      </c>
      <c r="C77" s="98"/>
      <c r="D77" s="2" t="s">
        <v>136</v>
      </c>
      <c r="E77" s="20"/>
      <c r="F77" s="19"/>
      <c r="G77" s="19"/>
    </row>
    <row r="78" spans="1:8" ht="17.100000000000001" customHeight="1" x14ac:dyDescent="0.2">
      <c r="A78" s="17"/>
      <c r="B78" s="97" t="s">
        <v>137</v>
      </c>
      <c r="C78" s="98"/>
      <c r="D78" s="2" t="s">
        <v>136</v>
      </c>
      <c r="E78" s="20"/>
      <c r="F78" s="19"/>
      <c r="G78" s="19"/>
    </row>
    <row r="79" spans="1:8" ht="17.100000000000001" customHeight="1" x14ac:dyDescent="0.2">
      <c r="A79" s="17"/>
      <c r="B79" s="97" t="s">
        <v>138</v>
      </c>
      <c r="C79" s="98"/>
      <c r="D79" s="6" t="s">
        <v>12</v>
      </c>
      <c r="E79" s="20"/>
      <c r="F79" s="19"/>
      <c r="G79" s="19"/>
    </row>
    <row r="80" spans="1:8" ht="24" customHeight="1" x14ac:dyDescent="0.2">
      <c r="A80" s="21"/>
      <c r="B80" s="22" t="s">
        <v>12</v>
      </c>
      <c r="C80" s="22" t="s">
        <v>139</v>
      </c>
      <c r="D80" s="22" t="s">
        <v>140</v>
      </c>
      <c r="E80" s="21"/>
      <c r="F80" s="21"/>
      <c r="G80" s="21"/>
    </row>
    <row r="81" spans="1:7" ht="18" customHeight="1" x14ac:dyDescent="0.2">
      <c r="A81" s="21"/>
      <c r="B81" s="23" t="s">
        <v>141</v>
      </c>
      <c r="C81" s="22" t="s">
        <v>142</v>
      </c>
      <c r="D81" s="22" t="s">
        <v>143</v>
      </c>
      <c r="E81" s="21"/>
      <c r="F81" s="21"/>
      <c r="G81" s="21"/>
    </row>
    <row r="82" spans="1:7" ht="17.100000000000001" customHeight="1" x14ac:dyDescent="0.2">
      <c r="A82" s="21"/>
      <c r="B82" s="10" t="s">
        <v>144</v>
      </c>
      <c r="C82" s="24">
        <v>1145.6858999999999</v>
      </c>
      <c r="D82" s="24">
        <v>1150.5878</v>
      </c>
      <c r="E82" s="21"/>
      <c r="F82" s="18"/>
      <c r="G82" s="25"/>
    </row>
    <row r="83" spans="1:7" ht="29.1" customHeight="1" x14ac:dyDescent="0.2">
      <c r="A83" s="21"/>
      <c r="B83" s="10" t="s">
        <v>530</v>
      </c>
      <c r="C83" s="24">
        <v>1000.03</v>
      </c>
      <c r="D83" s="24">
        <v>1000.03</v>
      </c>
      <c r="E83" s="21"/>
      <c r="F83" s="18"/>
      <c r="G83" s="25"/>
    </row>
    <row r="84" spans="1:7" ht="29.1" customHeight="1" x14ac:dyDescent="0.2">
      <c r="A84" s="21"/>
      <c r="B84" s="10" t="s">
        <v>531</v>
      </c>
      <c r="C84" s="24">
        <v>1048.5904</v>
      </c>
      <c r="D84" s="24">
        <v>1049.0563999999999</v>
      </c>
      <c r="E84" s="21"/>
      <c r="F84" s="18"/>
      <c r="G84" s="25"/>
    </row>
    <row r="85" spans="1:7" ht="29.1" customHeight="1" x14ac:dyDescent="0.2">
      <c r="A85" s="21"/>
      <c r="B85" s="10" t="s">
        <v>535</v>
      </c>
      <c r="C85" s="24">
        <v>1063.8549</v>
      </c>
      <c r="D85" s="24">
        <v>1064.3045999999999</v>
      </c>
      <c r="E85" s="21"/>
      <c r="F85" s="18"/>
      <c r="G85" s="25"/>
    </row>
    <row r="86" spans="1:7" ht="29.1" customHeight="1" x14ac:dyDescent="0.2">
      <c r="A86" s="21"/>
      <c r="B86" s="10" t="s">
        <v>521</v>
      </c>
      <c r="C86" s="24">
        <v>1044.5304000000001</v>
      </c>
      <c r="D86" s="24">
        <v>1044.3875</v>
      </c>
      <c r="E86" s="21"/>
      <c r="F86" s="18"/>
      <c r="G86" s="25"/>
    </row>
    <row r="87" spans="1:7" ht="17.100000000000001" customHeight="1" x14ac:dyDescent="0.2">
      <c r="A87" s="21"/>
      <c r="B87" s="10" t="s">
        <v>145</v>
      </c>
      <c r="C87" s="24">
        <v>1141.8569</v>
      </c>
      <c r="D87" s="24">
        <v>1146.6323</v>
      </c>
      <c r="E87" s="21"/>
      <c r="F87" s="18"/>
      <c r="G87" s="25"/>
    </row>
    <row r="88" spans="1:7" ht="29.1" customHeight="1" x14ac:dyDescent="0.2">
      <c r="A88" s="21"/>
      <c r="B88" s="10" t="s">
        <v>533</v>
      </c>
      <c r="C88" s="24">
        <v>1000.03</v>
      </c>
      <c r="D88" s="24">
        <v>1000.03</v>
      </c>
      <c r="E88" s="21"/>
      <c r="F88" s="18"/>
      <c r="G88" s="25"/>
    </row>
    <row r="89" spans="1:7" ht="29.1" customHeight="1" x14ac:dyDescent="0.2">
      <c r="A89" s="21"/>
      <c r="B89" s="10" t="s">
        <v>534</v>
      </c>
      <c r="C89" s="24">
        <v>1047.4835</v>
      </c>
      <c r="D89" s="24">
        <v>1047.9291000000001</v>
      </c>
      <c r="E89" s="21"/>
      <c r="F89" s="18"/>
      <c r="G89" s="25"/>
    </row>
    <row r="90" spans="1:7" ht="29.1" customHeight="1" x14ac:dyDescent="0.2">
      <c r="A90" s="21"/>
      <c r="B90" s="10" t="s">
        <v>536</v>
      </c>
      <c r="C90" s="24">
        <v>1065.2745</v>
      </c>
      <c r="D90" s="24">
        <v>1065.7384999999999</v>
      </c>
      <c r="E90" s="21"/>
      <c r="F90" s="18"/>
      <c r="G90" s="25"/>
    </row>
    <row r="91" spans="1:7" ht="29.1" customHeight="1" x14ac:dyDescent="0.2">
      <c r="A91" s="21"/>
      <c r="B91" s="10" t="s">
        <v>525</v>
      </c>
      <c r="C91" s="24">
        <v>1040.8199</v>
      </c>
      <c r="D91" s="24">
        <v>1040.6377</v>
      </c>
      <c r="E91" s="21"/>
      <c r="F91" s="18"/>
      <c r="G91" s="25"/>
    </row>
    <row r="92" spans="1:7" ht="41.1" customHeight="1" x14ac:dyDescent="0.2">
      <c r="A92" s="21"/>
      <c r="B92" s="10" t="s">
        <v>537</v>
      </c>
      <c r="C92" s="24">
        <v>1000</v>
      </c>
      <c r="D92" s="24">
        <v>1000</v>
      </c>
      <c r="E92" s="21"/>
      <c r="F92" s="18"/>
      <c r="G92" s="25"/>
    </row>
    <row r="93" spans="1:7" ht="41.1" customHeight="1" x14ac:dyDescent="0.2">
      <c r="A93" s="21"/>
      <c r="B93" s="10" t="s">
        <v>538</v>
      </c>
      <c r="C93" s="24">
        <v>1020.4596</v>
      </c>
      <c r="D93" s="24">
        <v>1024.8255999999999</v>
      </c>
      <c r="E93" s="21"/>
      <c r="F93" s="18"/>
      <c r="G93" s="25"/>
    </row>
    <row r="94" spans="1:7" ht="41.1" customHeight="1" x14ac:dyDescent="0.2">
      <c r="A94" s="21"/>
      <c r="B94" s="10" t="s">
        <v>443</v>
      </c>
      <c r="C94" s="24">
        <v>1020.4530999999999</v>
      </c>
      <c r="D94" s="24">
        <v>1024.8190999999999</v>
      </c>
      <c r="E94" s="21"/>
      <c r="F94" s="18"/>
      <c r="G94" s="25"/>
    </row>
    <row r="95" spans="1:7" ht="41.1" customHeight="1" x14ac:dyDescent="0.2">
      <c r="A95" s="21"/>
      <c r="B95" s="10" t="s">
        <v>444</v>
      </c>
      <c r="C95" s="24">
        <v>1000</v>
      </c>
      <c r="D95" s="24">
        <v>1000</v>
      </c>
      <c r="E95" s="21"/>
      <c r="F95" s="18"/>
      <c r="G95" s="25"/>
    </row>
    <row r="96" spans="1:7" ht="14.1" customHeight="1" x14ac:dyDescent="0.2">
      <c r="A96" s="21"/>
      <c r="B96" s="21"/>
      <c r="C96" s="21"/>
      <c r="D96" s="21"/>
      <c r="E96" s="21"/>
      <c r="F96" s="21"/>
      <c r="G96" s="21"/>
    </row>
    <row r="97" spans="1:14" ht="17.100000000000001" customHeight="1" x14ac:dyDescent="0.2">
      <c r="A97" s="21"/>
      <c r="B97" s="97" t="s">
        <v>529</v>
      </c>
      <c r="C97" s="98"/>
      <c r="D97" s="2" t="s">
        <v>12</v>
      </c>
      <c r="E97" s="21"/>
      <c r="F97" s="21"/>
      <c r="G97" s="21"/>
    </row>
    <row r="98" spans="1:14" ht="18" customHeight="1" x14ac:dyDescent="0.2">
      <c r="A98" s="21"/>
      <c r="B98" s="26" t="s">
        <v>141</v>
      </c>
      <c r="C98" s="27" t="s">
        <v>146</v>
      </c>
      <c r="D98" s="27" t="s">
        <v>147</v>
      </c>
      <c r="E98" s="21"/>
      <c r="F98" s="21"/>
      <c r="G98" s="21"/>
    </row>
    <row r="99" spans="1:14" ht="29.1" customHeight="1" x14ac:dyDescent="0.2">
      <c r="A99" s="21"/>
      <c r="B99" s="10" t="s">
        <v>530</v>
      </c>
      <c r="C99" s="28">
        <v>4.289587</v>
      </c>
      <c r="D99" s="14" t="s">
        <v>148</v>
      </c>
      <c r="E99" s="21"/>
      <c r="F99" s="18"/>
      <c r="G99" s="25"/>
    </row>
    <row r="100" spans="1:14" ht="29.1" customHeight="1" x14ac:dyDescent="0.2">
      <c r="A100" s="21"/>
      <c r="B100" s="10" t="s">
        <v>531</v>
      </c>
      <c r="C100" s="28">
        <v>4.0121000000000002</v>
      </c>
      <c r="D100" s="14" t="s">
        <v>148</v>
      </c>
      <c r="E100" s="21"/>
      <c r="F100" s="18"/>
      <c r="G100" s="25"/>
    </row>
    <row r="101" spans="1:14" ht="29.1" customHeight="1" x14ac:dyDescent="0.2">
      <c r="A101" s="21"/>
      <c r="B101" s="10" t="s">
        <v>535</v>
      </c>
      <c r="C101" s="28">
        <v>4.0831999999999997</v>
      </c>
      <c r="D101" s="14" t="s">
        <v>148</v>
      </c>
      <c r="E101" s="21"/>
      <c r="F101" s="18"/>
      <c r="G101" s="25"/>
    </row>
    <row r="102" spans="1:14" ht="29.1" customHeight="1" x14ac:dyDescent="0.2">
      <c r="A102" s="21"/>
      <c r="B102" s="10" t="s">
        <v>521</v>
      </c>
      <c r="C102" s="28">
        <v>4.6062000000000003</v>
      </c>
      <c r="D102" s="14" t="s">
        <v>148</v>
      </c>
      <c r="E102" s="21"/>
      <c r="F102" s="18"/>
      <c r="G102" s="25"/>
    </row>
    <row r="103" spans="1:14" ht="29.1" customHeight="1" x14ac:dyDescent="0.2">
      <c r="A103" s="21"/>
      <c r="B103" s="10" t="s">
        <v>533</v>
      </c>
      <c r="C103" s="28">
        <v>4.1579660000000001</v>
      </c>
      <c r="D103" s="14" t="s">
        <v>148</v>
      </c>
      <c r="E103" s="21"/>
      <c r="F103" s="18"/>
      <c r="G103" s="25"/>
    </row>
    <row r="104" spans="1:14" ht="29.1" customHeight="1" x14ac:dyDescent="0.2">
      <c r="A104" s="21"/>
      <c r="B104" s="10" t="s">
        <v>534</v>
      </c>
      <c r="C104" s="28">
        <v>3.8889999999999998</v>
      </c>
      <c r="D104" s="14" t="s">
        <v>148</v>
      </c>
      <c r="E104" s="21"/>
      <c r="F104" s="18"/>
      <c r="G104" s="25"/>
      <c r="J104"/>
      <c r="K104"/>
      <c r="L104"/>
      <c r="M104"/>
      <c r="N104"/>
    </row>
    <row r="105" spans="1:14" ht="29.1" customHeight="1" x14ac:dyDescent="0.2">
      <c r="A105" s="21"/>
      <c r="B105" s="10" t="s">
        <v>536</v>
      </c>
      <c r="C105" s="28">
        <v>3.9670999999999998</v>
      </c>
      <c r="D105" s="14" t="s">
        <v>148</v>
      </c>
      <c r="E105" s="21"/>
      <c r="F105" s="18"/>
      <c r="G105" s="25"/>
    </row>
    <row r="106" spans="1:14" ht="29.1" customHeight="1" x14ac:dyDescent="0.2">
      <c r="A106" s="21"/>
      <c r="B106" s="10" t="s">
        <v>525</v>
      </c>
      <c r="C106" s="28">
        <v>4.5289000000000001</v>
      </c>
      <c r="D106" s="14" t="s">
        <v>148</v>
      </c>
      <c r="E106" s="21"/>
      <c r="F106" s="18"/>
      <c r="G106" s="25"/>
    </row>
    <row r="107" spans="1:14" ht="14.1" customHeight="1" x14ac:dyDescent="0.2">
      <c r="A107" s="21"/>
      <c r="B107" s="18"/>
      <c r="C107" s="18"/>
      <c r="D107" s="21"/>
      <c r="E107" s="21"/>
      <c r="F107" s="21"/>
      <c r="G107" s="21"/>
    </row>
    <row r="108" spans="1:14" ht="29.1" customHeight="1" x14ac:dyDescent="0.2">
      <c r="A108" s="21"/>
      <c r="B108" s="97" t="s">
        <v>149</v>
      </c>
      <c r="C108" s="98"/>
      <c r="D108" s="2" t="s">
        <v>136</v>
      </c>
      <c r="E108" s="31"/>
      <c r="F108" s="21"/>
      <c r="G108" s="21"/>
    </row>
    <row r="109" spans="1:14" ht="29.1" customHeight="1" x14ac:dyDescent="0.2">
      <c r="A109" s="21"/>
      <c r="B109" s="97" t="s">
        <v>150</v>
      </c>
      <c r="C109" s="98"/>
      <c r="D109" s="2" t="s">
        <v>136</v>
      </c>
      <c r="E109" s="31"/>
      <c r="F109" s="21"/>
      <c r="G109" s="21"/>
    </row>
    <row r="110" spans="1:14" ht="17.100000000000001" customHeight="1" x14ac:dyDescent="0.2">
      <c r="A110" s="21"/>
      <c r="B110" s="97" t="s">
        <v>462</v>
      </c>
      <c r="C110" s="98"/>
      <c r="D110" s="89">
        <v>1</v>
      </c>
      <c r="E110" s="31"/>
      <c r="F110" s="21"/>
      <c r="G110" s="21"/>
    </row>
    <row r="111" spans="1:14" ht="17.100000000000001" customHeight="1" x14ac:dyDescent="0.2">
      <c r="A111" s="21"/>
      <c r="B111" s="97" t="s">
        <v>463</v>
      </c>
      <c r="C111" s="98"/>
      <c r="D111" s="89">
        <v>1</v>
      </c>
      <c r="E111" s="31"/>
      <c r="F111" s="21"/>
      <c r="G111" s="21"/>
    </row>
    <row r="112" spans="1:14" ht="17.100000000000001" customHeight="1" x14ac:dyDescent="0.2">
      <c r="A112" s="21"/>
      <c r="B112" s="97" t="s">
        <v>153</v>
      </c>
      <c r="C112" s="98"/>
      <c r="D112" s="2" t="s">
        <v>136</v>
      </c>
      <c r="E112" s="31"/>
      <c r="F112" s="21"/>
      <c r="G112" s="21"/>
    </row>
  </sheetData>
  <mergeCells count="16">
    <mergeCell ref="B111:C111"/>
    <mergeCell ref="B112:C112"/>
    <mergeCell ref="J2:N2"/>
    <mergeCell ref="A1:H1"/>
    <mergeCell ref="A2:H2"/>
    <mergeCell ref="A3:H3"/>
    <mergeCell ref="B109:C109"/>
    <mergeCell ref="B110:C110"/>
    <mergeCell ref="B108:C108"/>
    <mergeCell ref="B73:F73"/>
    <mergeCell ref="B74:F74"/>
    <mergeCell ref="B76:D76"/>
    <mergeCell ref="B77:C77"/>
    <mergeCell ref="B78:C78"/>
    <mergeCell ref="B79:C79"/>
    <mergeCell ref="B97:C97"/>
  </mergeCells>
  <hyperlinks>
    <hyperlink ref="I1" location="Index!B11" display="Index" xr:uid="{02D59B52-026A-4C73-9332-60C527537BC2}"/>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Swapna.N - Sundaram Mutual</cp:lastModifiedBy>
  <dcterms:created xsi:type="dcterms:W3CDTF">2022-09-01T07:34:08Z</dcterms:created>
  <dcterms:modified xsi:type="dcterms:W3CDTF">2022-09-21T06:45:52Z</dcterms:modified>
</cp:coreProperties>
</file>