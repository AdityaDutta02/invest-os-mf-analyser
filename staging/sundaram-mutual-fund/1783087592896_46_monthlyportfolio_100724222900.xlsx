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05B29BDC-606D-4DFF-8631-D7E9ED07254A}" xr6:coauthVersionLast="47" xr6:coauthVersionMax="47" xr10:uidLastSave="{00000000-0000-0000-0000-000000000000}"/>
  <bookViews>
    <workbookView xWindow="-120" yWindow="-120" windowWidth="29040" windowHeight="15840" tabRatio="781" xr2:uid="{D530FC77-A9F4-4BCE-903D-7BD802E6FE1A}"/>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7" i="4" l="1"/>
  <c r="F106" i="4"/>
  <c r="G24" i="9" l="1"/>
  <c r="F24" i="9"/>
</calcChain>
</file>

<file path=xl/sharedStrings.xml><?xml version="1.0" encoding="utf-8"?>
<sst xmlns="http://schemas.openxmlformats.org/spreadsheetml/2006/main" count="2444" uniqueCount="589">
  <si>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</si>
  <si>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</si>
  <si>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</si>
  <si>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</si>
  <si>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</si>
  <si>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</si>
  <si>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</si>
  <si>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</si>
  <si>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</si>
  <si>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</si>
  <si>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</si>
  <si>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</si>
  <si>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</si>
  <si>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</si>
  <si>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</si>
  <si>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</si>
  <si>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</si>
  <si>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</si>
  <si>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</si>
  <si>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</si>
  <si>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</si>
  <si>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</si>
  <si>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</si>
  <si>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</si>
  <si>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</si>
  <si>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</si>
  <si>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INE557F08FS6</t>
  </si>
  <si>
    <t>National Housing Bank  - 7.4% - 16/07/2026**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</si>
  <si>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</si>
  <si>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</si>
  <si>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</si>
  <si>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</si>
  <si>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</si>
  <si>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</si>
  <si>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</si>
  <si>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INE020B08EL2</t>
  </si>
  <si>
    <t>REC LTD - 7.44% - 30/04/2026**</t>
  </si>
  <si>
    <t>INE040A08930</t>
  </si>
  <si>
    <t>HDFC Bank Ltd (Prev HDFC Ltd) - 7.65% - 25/05/2033**</t>
  </si>
  <si>
    <t>INE020B08EK4</t>
  </si>
  <si>
    <t>REC LTD - 7.46% - 30/06/2028</t>
  </si>
  <si>
    <t>INE557F08FR8</t>
  </si>
  <si>
    <t>National Housing Bank  - 7.22% - 23/07/2026**</t>
  </si>
  <si>
    <t>INE134E08LP1</t>
  </si>
  <si>
    <t>Power Finance Corporation Ltd - 7.13% - 15/07/2026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</si>
  <si>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</si>
  <si>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</si>
  <si>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</si>
  <si>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</si>
  <si>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</si>
  <si>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</si>
  <si>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</si>
  <si>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</si>
  <si>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</si>
  <si>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</si>
  <si>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INE134E08MN4</t>
  </si>
  <si>
    <t>Power Finance Corporation Ltd - 7.44% - 10/05/2028**</t>
  </si>
  <si>
    <t>INE261F08DX0</t>
  </si>
  <si>
    <t>National Bank for Agriculture &amp; Rural Development - 7.58% - 31/07/2026</t>
  </si>
  <si>
    <t>INE115A07MW4</t>
  </si>
  <si>
    <t>LIC Housing Finance Ltd - 7.95% - 29/01/2028**</t>
  </si>
  <si>
    <t>INE041007100</t>
  </si>
  <si>
    <t>Embassy Office Parks REIT - 7.77% - 05/06/2025**</t>
  </si>
  <si>
    <t>(b) Privately Placed / Unlisted</t>
  </si>
  <si>
    <t>(c) Govt Security</t>
  </si>
  <si>
    <t>IN0020230085</t>
  </si>
  <si>
    <t>7.18%  Government Securities - 14/08/2033</t>
  </si>
  <si>
    <t>Sovereign</t>
  </si>
  <si>
    <t>IN0020230135</t>
  </si>
  <si>
    <t>7.32% Government Securities-13/11/2030</t>
  </si>
  <si>
    <t>IN0020230010</t>
  </si>
  <si>
    <t>7.06% Central Government Securities 10/04/2028</t>
  </si>
  <si>
    <t>IN0020240019</t>
  </si>
  <si>
    <t>7.10% Central Government Securities 08/04/2034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</si>
  <si>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</si>
  <si>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</si>
  <si>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</si>
  <si>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</si>
  <si>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</si>
  <si>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</si>
  <si>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</si>
  <si>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</si>
  <si>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</si>
  <si>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</si>
  <si>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</si>
  <si>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</si>
  <si>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</si>
  <si>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</si>
  <si>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</si>
  <si>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</si>
  <si>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</si>
  <si>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</si>
  <si>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</si>
  <si>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</si>
  <si>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</si>
  <si>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</si>
  <si>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</si>
  <si>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</si>
  <si>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</si>
  <si>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</si>
  <si>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30/06/2024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</si>
  <si>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</si>
  <si>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</si>
  <si>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</si>
  <si>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</si>
  <si>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</si>
  <si>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</si>
  <si>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</si>
  <si>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</si>
  <si>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</si>
  <si>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</si>
  <si>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INE514E08FV4</t>
  </si>
  <si>
    <t>Export Import Bank of India - 5.85% - 12/09/2025**</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</si>
  <si>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</si>
  <si>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</si>
  <si>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</si>
  <si>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</si>
  <si>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</si>
  <si>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</si>
  <si>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</si>
  <si>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</si>
  <si>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</si>
  <si>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</si>
  <si>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</si>
  <si>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</si>
  <si>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</si>
  <si>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</si>
  <si>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INE040A08922</t>
  </si>
  <si>
    <t>HDFC Bank Ltd (Prev HDFC Ltd) - 7.8% - 02/06/2025</t>
  </si>
  <si>
    <t>INE556F08KE8</t>
  </si>
  <si>
    <t>Small Industries Development Bank of India - 7.47% - 25/11/2025**</t>
  </si>
  <si>
    <t>IN0020230101</t>
  </si>
  <si>
    <t>7.37% Government Securities-23/10/2028</t>
  </si>
  <si>
    <t>INE040A16EH3</t>
  </si>
  <si>
    <t>HDFC Bank Ltd - 06/12/2024</t>
  </si>
  <si>
    <t>CRISIL A1+</t>
  </si>
  <si>
    <t>Direct Plan - Bonus</t>
  </si>
  <si>
    <t>Retail Plan - Growth</t>
  </si>
  <si>
    <t>Regular Plan - Bonus</t>
  </si>
  <si>
    <t>Sundaram Money Market Fund</t>
  </si>
  <si>
    <t>INE160A16OM8</t>
  </si>
  <si>
    <t>Punjab National Bank - 25/02/2025</t>
  </si>
  <si>
    <t>INE028A16EX5</t>
  </si>
  <si>
    <t>Bank of Baroda - 20/02/2025**</t>
  </si>
  <si>
    <t>IND A1+</t>
  </si>
  <si>
    <t>INE238AD6819</t>
  </si>
  <si>
    <t>Axis Bank Ltd - 27/02/2025**</t>
  </si>
  <si>
    <t>INE476A16YB0</t>
  </si>
  <si>
    <t>Canara Bank - 20/03/2025**</t>
  </si>
  <si>
    <t>INE562A16MZ1</t>
  </si>
  <si>
    <t>Indian Bank - 23/05/2025**</t>
  </si>
  <si>
    <t>INE040A16FA5</t>
  </si>
  <si>
    <t>HDFC Bank Ltd - 24/06/2025</t>
  </si>
  <si>
    <t>INE476A16YT2</t>
  </si>
  <si>
    <t>Canara Bank - 06/12/2024**</t>
  </si>
  <si>
    <t>INE237A164X3</t>
  </si>
  <si>
    <t>Kotak Mahindra Bank Ltd - 13/12/2024**</t>
  </si>
  <si>
    <t>INE261F16793</t>
  </si>
  <si>
    <t>National Bank for Agriculture &amp; Rural Development - 12/02/2025</t>
  </si>
  <si>
    <t>INE040A16EN1</t>
  </si>
  <si>
    <t>HDFC Bank Ltd - 20/02/2025**</t>
  </si>
  <si>
    <t>INE01GA16228</t>
  </si>
  <si>
    <t>INE092T16WB9</t>
  </si>
  <si>
    <t>IDFC First Bank Ltd - 21/02/2025**</t>
  </si>
  <si>
    <t>INE095A16V79</t>
  </si>
  <si>
    <t>IndusInd Bank Ltd - 24/02/2025**</t>
  </si>
  <si>
    <t>INE238AD6850</t>
  </si>
  <si>
    <t>Axis Bank Ltd - 25/11/2024**</t>
  </si>
  <si>
    <t>INE090AD6113</t>
  </si>
  <si>
    <t>ICICI Bank Ltd - 31/01/2025</t>
  </si>
  <si>
    <t>ICRA A1+</t>
  </si>
  <si>
    <t>INE171A16LP4</t>
  </si>
  <si>
    <t>The Federal Bank Ltd - 04/02/2025**</t>
  </si>
  <si>
    <t>INE692A16GZ8</t>
  </si>
  <si>
    <t>Union Bank of India - 27/02/2025**</t>
  </si>
  <si>
    <t>INE790I14ER0</t>
  </si>
  <si>
    <t>HSBC InvestDirect Financial Services India Limited - 14/08/2024**</t>
  </si>
  <si>
    <t>INE144H14GZ0</t>
  </si>
  <si>
    <t>Deutsche Investments India Private Ltd - 09/12/2024**</t>
  </si>
  <si>
    <t>INE763G14TE7</t>
  </si>
  <si>
    <t>ICICI Securities Ltd - 21/02/2025**</t>
  </si>
  <si>
    <t>INE115A14EX5</t>
  </si>
  <si>
    <t>LIC Housing Finance Ltd - 21/03/2025**</t>
  </si>
  <si>
    <t>INE556F14KH9</t>
  </si>
  <si>
    <t>Small Industries Development Bank of India - 28/05/2025**</t>
  </si>
  <si>
    <t>INE557F14FJ3</t>
  </si>
  <si>
    <t>National Housing Bank  - 26/09/2024**</t>
  </si>
  <si>
    <t>IN002024Z073</t>
  </si>
  <si>
    <t>364 Days - T Bill - 15/05/2025</t>
  </si>
  <si>
    <t>Sundaram Low Duration Fund</t>
  </si>
  <si>
    <t>INE134E08KT5</t>
  </si>
  <si>
    <t>Power Finance Corporation Ltd - 7.17% - 22/05/2025**</t>
  </si>
  <si>
    <t>INE557F08FV0</t>
  </si>
  <si>
    <t>National Housing Bank  - 7.78% - 26/04/2027**</t>
  </si>
  <si>
    <t>CARE AAA</t>
  </si>
  <si>
    <t>INE403D08181</t>
  </si>
  <si>
    <t>Bharti Telecom Ltd - 8.9% - 04/12/2025**</t>
  </si>
  <si>
    <t>CRISIL AA+</t>
  </si>
  <si>
    <t>INE721A07SB0</t>
  </si>
  <si>
    <t>Shriram Finance Ltd - 9.2% - 22/05/2026**</t>
  </si>
  <si>
    <t>INE261F08DP6</t>
  </si>
  <si>
    <t>National Bank for Agriculture &amp; Rural Development - 7.35% - 08/07/2025**</t>
  </si>
  <si>
    <t>INE115A07PQ9</t>
  </si>
  <si>
    <t>LIC Housing Finance Ltd - 5.9943% - 12/03/2025**</t>
  </si>
  <si>
    <t>INE115A07PU1</t>
  </si>
  <si>
    <t>LIC Housing Finance Ltd - 6.25% - 20/06/2025**</t>
  </si>
  <si>
    <t>INE523H07CB9</t>
  </si>
  <si>
    <t>JM Financial Products Ltd - 8.92% - 16/11/2026**</t>
  </si>
  <si>
    <t>CRISIL AA</t>
  </si>
  <si>
    <t>INE233A08121</t>
  </si>
  <si>
    <t>Godrej Industries Ltd - 8.36% - 28/08/2026**</t>
  </si>
  <si>
    <t>INE721A07RU2</t>
  </si>
  <si>
    <t>Shriram Finance Ltd - 9.25% - 19/12/2025**</t>
  </si>
  <si>
    <t>INE121A07QT9</t>
  </si>
  <si>
    <t>Cholamandalam Investment and Finance Co Ltd - 8.45% - 21/11/2025</t>
  </si>
  <si>
    <t>ICRA AA+</t>
  </si>
  <si>
    <t>IN0020220037</t>
  </si>
  <si>
    <t>7.38% Central Government Securities 20/06/2027</t>
  </si>
  <si>
    <t>INE556F16AM5</t>
  </si>
  <si>
    <t>Small Industries Development Bank of India - 11/12/2024**</t>
  </si>
  <si>
    <t>INE238AD6629</t>
  </si>
  <si>
    <t>Axis Bank Ltd - 10/01/2025</t>
  </si>
  <si>
    <t>INE238AD6579</t>
  </si>
  <si>
    <t>Axis Bank Ltd - 29/11/2024</t>
  </si>
  <si>
    <t>INE160A16OF2</t>
  </si>
  <si>
    <t>Punjab National Bank - 05/12/2024</t>
  </si>
  <si>
    <t>INE261F16785</t>
  </si>
  <si>
    <t>National Bank for Agriculture &amp; Rural Development - 07/02/2025**</t>
  </si>
  <si>
    <t>INE261F16819</t>
  </si>
  <si>
    <t>National Bank for Agriculture &amp; Rural Development - 26/02/2025**</t>
  </si>
  <si>
    <t>INE466L14DI2</t>
  </si>
  <si>
    <t>INE121A14WH8</t>
  </si>
  <si>
    <t>Cholamandalam Investment and Finance Co Ltd - 21/02/2025**</t>
  </si>
  <si>
    <t>INE870H14SP6</t>
  </si>
  <si>
    <t>Network18 Media &amp; Investments Ltd - 31/07/2024**</t>
  </si>
  <si>
    <t>Sundaram Liquid Fund</t>
  </si>
  <si>
    <t>INE936D07075</t>
  </si>
  <si>
    <t>Jamnagar Utilities and Power Pvt Ltd - 9.75% - 02/08/2024**</t>
  </si>
  <si>
    <t>INE094A08036</t>
  </si>
  <si>
    <t>Hindustan Petroleum Corporation Ltd - 7% - 14/08/2024**</t>
  </si>
  <si>
    <t>INE562A16MX6</t>
  </si>
  <si>
    <t>Indian Bank - 20/08/2024**</t>
  </si>
  <si>
    <t>INE160A16OW7</t>
  </si>
  <si>
    <t>Punjab National Bank - 02/09/2024**</t>
  </si>
  <si>
    <t>INE160A16OR7</t>
  </si>
  <si>
    <t>Punjab National Bank - 24/07/2024**</t>
  </si>
  <si>
    <t>INE040A16FC1</t>
  </si>
  <si>
    <t>HDFC Bank Ltd - 26/07/2024**</t>
  </si>
  <si>
    <t>INE040A16EZ5</t>
  </si>
  <si>
    <t>HDFC Bank Ltd - 11/09/2024**</t>
  </si>
  <si>
    <t>INE476A16YM7</t>
  </si>
  <si>
    <t>Canara Bank - 13/09/2024**</t>
  </si>
  <si>
    <t>INE692A16HK8</t>
  </si>
  <si>
    <t>Union Bank of India - 13/09/2024**</t>
  </si>
  <si>
    <t>INE028A16FM5</t>
  </si>
  <si>
    <t>Bank of Baroda - 16/08/2024**</t>
  </si>
  <si>
    <t>INE692A16HH4</t>
  </si>
  <si>
    <t>Union Bank of India - 23/08/2024**</t>
  </si>
  <si>
    <t>INE028A16FP8</t>
  </si>
  <si>
    <t>Bank of Baroda - 23/08/2024</t>
  </si>
  <si>
    <t>INE476A16YK1</t>
  </si>
  <si>
    <t>Canara Bank - 09/09/2024**</t>
  </si>
  <si>
    <t>INE040A16EV4</t>
  </si>
  <si>
    <t>HDFC Bank Ltd - 14/08/2024</t>
  </si>
  <si>
    <t>INE028A16FQ6</t>
  </si>
  <si>
    <t>Bank of Baroda - 28/08/2024**</t>
  </si>
  <si>
    <t>INE562A16NA2</t>
  </si>
  <si>
    <t>Indian Bank - 03/09/2024**</t>
  </si>
  <si>
    <t>INE238AD6538</t>
  </si>
  <si>
    <t>Axis Bank Ltd - 18/09/2024**</t>
  </si>
  <si>
    <t>INE028A16FT0</t>
  </si>
  <si>
    <t>Bank of Baroda - 23/09/2024**</t>
  </si>
  <si>
    <t>INE238AD6785</t>
  </si>
  <si>
    <t>Axis Bank Ltd - 09/08/2024</t>
  </si>
  <si>
    <t>INE090AD6048</t>
  </si>
  <si>
    <t>ICICI Bank Ltd - 16/09/2024**</t>
  </si>
  <si>
    <t>INE261F14LR3</t>
  </si>
  <si>
    <t>National Bank for Agriculture &amp; Rural Development - 26/08/2024**</t>
  </si>
  <si>
    <t>INE514E14RR5</t>
  </si>
  <si>
    <t>Export Import Bank of India - 09/09/2024**</t>
  </si>
  <si>
    <t>INE572E14JE8</t>
  </si>
  <si>
    <t>PNB Housing Finance Ltd - 27/08/2024**</t>
  </si>
  <si>
    <t>INE556F14KI7</t>
  </si>
  <si>
    <t>Small Industries Development Bank of India - 03/09/2024**</t>
  </si>
  <si>
    <t>INE763G14UP1</t>
  </si>
  <si>
    <t>ICICI Securities Ltd - 29/08/2024**</t>
  </si>
  <si>
    <t>INE556F14KK3</t>
  </si>
  <si>
    <t>Small Industries Development Bank of India - 11/09/2024**</t>
  </si>
  <si>
    <t>INE891D14YQ7</t>
  </si>
  <si>
    <t>Redington Ltd - 12/09/2024**</t>
  </si>
  <si>
    <t>INE721A14DU8</t>
  </si>
  <si>
    <t>Shriram Finance Ltd - 10/09/2024**</t>
  </si>
  <si>
    <t>INE0DZE14065</t>
  </si>
  <si>
    <t>Kisetsu Saison Finance - 10/09/2024**</t>
  </si>
  <si>
    <t>INE09OL14FK9</t>
  </si>
  <si>
    <t>Birla Group Holdings Pvt Ltd - 18/09/2024**</t>
  </si>
  <si>
    <t>INE121A14WK2</t>
  </si>
  <si>
    <t>Cholamandalam Investment and Finance Co Ltd - 09/07/2024**</t>
  </si>
  <si>
    <t>INE261F14LM4</t>
  </si>
  <si>
    <t>National Bank for Agriculture &amp; Rural Development - 31/07/2024</t>
  </si>
  <si>
    <t>INE556F14KF3</t>
  </si>
  <si>
    <t>Small Industries Development Bank of India - 09/08/2024**</t>
  </si>
  <si>
    <t>INE071G14FO3</t>
  </si>
  <si>
    <t>ICICI Home Finance Company Ltd - 16/08/2024**</t>
  </si>
  <si>
    <t>INE824H14PG8</t>
  </si>
  <si>
    <t>Julius Baer Capital (India) Private Ltd - 23/08/2024**</t>
  </si>
  <si>
    <t>INE233A14N74</t>
  </si>
  <si>
    <t>Godrej Industries Ltd - 06/09/2024**</t>
  </si>
  <si>
    <t>INE572E14JF5</t>
  </si>
  <si>
    <t>PNB Housing Finance Ltd - 10/09/2024**</t>
  </si>
  <si>
    <t>INE261F14MA7</t>
  </si>
  <si>
    <t>National Bank for Agriculture &amp; Rural Development - 20/09/2024**</t>
  </si>
  <si>
    <t>INE212K14601</t>
  </si>
  <si>
    <t>SBI Cap securities Ltd - 24/07/2024**</t>
  </si>
  <si>
    <t>INE572E14JC2</t>
  </si>
  <si>
    <t>PNB Housing Finance Ltd - 26/07/2024**</t>
  </si>
  <si>
    <t>INE865C14LF3</t>
  </si>
  <si>
    <t>Aditya Birla Money Ltd - 30/07/2024**</t>
  </si>
  <si>
    <t>INE338I14HJ8</t>
  </si>
  <si>
    <t>Motilal Oswal Financial Services Ltd - 01/08/2024**</t>
  </si>
  <si>
    <t>INE01C314825</t>
  </si>
  <si>
    <t>Bajaj Financial Securities Ltd - 12/08/2024**</t>
  </si>
  <si>
    <t>INE790I14ET6</t>
  </si>
  <si>
    <t>HSBC InvestDirect Financial Services India Limited - 27/08/2024**</t>
  </si>
  <si>
    <t>INE763G14UQ9</t>
  </si>
  <si>
    <t>ICICI Securities Ltd - 30/08/2024**</t>
  </si>
  <si>
    <t>INE865C14LL1</t>
  </si>
  <si>
    <t>Aditya Birla Money Ltd - 29/08/2024**</t>
  </si>
  <si>
    <t>INE824H14PJ2</t>
  </si>
  <si>
    <t>Julius Baer Capital (India) Private Ltd - 29/08/2024**</t>
  </si>
  <si>
    <t>INE144H14GX5</t>
  </si>
  <si>
    <t>Deutsche Investments India Private Ltd - 03/09/2024**</t>
  </si>
  <si>
    <t>INE850D14RI4</t>
  </si>
  <si>
    <t>Godrej Agrovet Ltd - 12/09/2024**</t>
  </si>
  <si>
    <t>INE891D14YR5</t>
  </si>
  <si>
    <t>Redington Ltd - 13/09/2024**</t>
  </si>
  <si>
    <t>INE027214647</t>
  </si>
  <si>
    <t>BOBCARD Ltd - 13/09/2024**</t>
  </si>
  <si>
    <t>INE417C14751</t>
  </si>
  <si>
    <t>Pilani Investment and Industries Corporation Ltd. - 13/09/2024**</t>
  </si>
  <si>
    <t>INE824H14OZ1</t>
  </si>
  <si>
    <t>Julius Baer Capital (India) Private Ltd - 09/08/2024**</t>
  </si>
  <si>
    <t>INE850D14RF0</t>
  </si>
  <si>
    <t>Godrej Agrovet Ltd - 30/08/2024**</t>
  </si>
  <si>
    <t>INE212K14734</t>
  </si>
  <si>
    <t>SBI Cap securities Ltd - 19/09/2024**</t>
  </si>
  <si>
    <t>IN002024X060</t>
  </si>
  <si>
    <t>IN002024X086</t>
  </si>
  <si>
    <t>91 Days - T Bill - 15/08/2024</t>
  </si>
  <si>
    <t>IN002023Y458</t>
  </si>
  <si>
    <t>IN002023Y508</t>
  </si>
  <si>
    <t>IN002023Y540</t>
  </si>
  <si>
    <t>182 Days - T Bill - 26/09/2024</t>
  </si>
  <si>
    <t>IN002023Y433</t>
  </si>
  <si>
    <t>182 Days - T Bill - 18/07/2024</t>
  </si>
  <si>
    <t>IN002024X045</t>
  </si>
  <si>
    <t>91 Days - T Bill - 25/07/2024</t>
  </si>
  <si>
    <t>IN002023Z174</t>
  </si>
  <si>
    <t>364 Days - T Bill - 18/07/2024</t>
  </si>
  <si>
    <t>IN002023Y466</t>
  </si>
  <si>
    <t>182 Days - T Bill - 08/08/2024</t>
  </si>
  <si>
    <t>Sundaram Short Duration Fund</t>
  </si>
  <si>
    <t>INE020B08EG2</t>
  </si>
  <si>
    <t>REC LTD - 7.69% - 31/03/2033**</t>
  </si>
  <si>
    <t>INE134E08MJ2</t>
  </si>
  <si>
    <t>Power Finance Corporation Ltd - 7.77% - 15/04/2028**</t>
  </si>
  <si>
    <t>INE020B08EI8</t>
  </si>
  <si>
    <t>REC LTD - 7.51% - 31/07/2026**</t>
  </si>
  <si>
    <t>INE115A07PI6</t>
  </si>
  <si>
    <t>LIC Housing Finance Ltd - 6.17% - 03/09/2026**</t>
  </si>
  <si>
    <t>IN3120230484</t>
  </si>
  <si>
    <t>7.44% Tamil Nadu State Government Securities -20/03/2034</t>
  </si>
  <si>
    <t>IN0020210160</t>
  </si>
  <si>
    <t>Sundaram Ultra Short Duration Fund</t>
  </si>
  <si>
    <t>INE848E07AJ4</t>
  </si>
  <si>
    <t>NHPC Ltd - 7.35% - 15/09/2024**</t>
  </si>
  <si>
    <t>INE121A07RB5</t>
  </si>
  <si>
    <t>Cholamandalam Investment and Finance Co Ltd - 8.25% - 04/03/2025**</t>
  </si>
  <si>
    <t>INE756I07EI4</t>
  </si>
  <si>
    <t>HDB Financial Services Ltd - 7.5% - 23/09/2025**</t>
  </si>
  <si>
    <t>INE115A07OX8</t>
  </si>
  <si>
    <t>LIC Housing Finance Ltd - 5.5315% - 20/12/2024**</t>
  </si>
  <si>
    <t>INE040A16DX2</t>
  </si>
  <si>
    <t>HDFC Bank Ltd - 13/09/2024</t>
  </si>
  <si>
    <t>INE028A16FO1</t>
  </si>
  <si>
    <t>Bank of Baroda - 25/11/2024**</t>
  </si>
  <si>
    <t>INE090AD6105</t>
  </si>
  <si>
    <t>ICICI Bank Ltd - 06/12/2024**</t>
  </si>
  <si>
    <t>INE160A16OH8</t>
  </si>
  <si>
    <t>Punjab National Bank - 31/01/2025**</t>
  </si>
  <si>
    <t>INE171A16LK5</t>
  </si>
  <si>
    <t>The Federal Bank Ltd - 29/11/2024**</t>
  </si>
  <si>
    <t>INE556F16AN3</t>
  </si>
  <si>
    <t>Small Industries Development Bank of India - 18/12/2024</t>
  </si>
  <si>
    <t>INE261F16777</t>
  </si>
  <si>
    <t>National Bank for Agriculture &amp; Rural Development - 23/01/2025**</t>
  </si>
  <si>
    <t>INE237A160W3</t>
  </si>
  <si>
    <t>Kotak Mahindra Bank Ltd - 05/02/2025**</t>
  </si>
  <si>
    <t>INE160A16OL0</t>
  </si>
  <si>
    <t>Punjab National Bank - 07/02/2025**</t>
  </si>
  <si>
    <t>INE556F16AQ6</t>
  </si>
  <si>
    <t>Small Industries Development Bank of India - 07/02/2025**</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</si>
  <si>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</si>
  <si>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</si>
  <si>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</si>
  <si>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</si>
  <si>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</si>
  <si>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</si>
  <si>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</si>
  <si>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</si>
  <si>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INE115A14EV9</t>
  </si>
  <si>
    <t>LIC Housing Finance Ltd - 04/03/2025**</t>
  </si>
  <si>
    <t>INE417C14710</t>
  </si>
  <si>
    <t>Pilani Investment and Industries Corporation Ltd. - 21/03/2025**</t>
  </si>
  <si>
    <t>IN002023Z299</t>
  </si>
  <si>
    <t>Sundaram Medium Duration Fund</t>
  </si>
  <si>
    <t>IN0020210186</t>
  </si>
  <si>
    <t>5.74% Central Government Securities 15/11/2026</t>
  </si>
  <si>
    <t>Institutional Plan - Growth</t>
  </si>
  <si>
    <t>Sundaram Conservative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</si>
  <si>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</si>
  <si>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</si>
  <si>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</si>
  <si>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</si>
  <si>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</si>
  <si>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</si>
  <si>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</si>
  <si>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</si>
  <si>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</si>
  <si>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</si>
  <si>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</si>
  <si>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</si>
  <si>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</si>
  <si>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INE200M01021</t>
  </si>
  <si>
    <t>Varun Beverages Ltd</t>
  </si>
  <si>
    <t>Beverages</t>
  </si>
  <si>
    <t>INE044A01036</t>
  </si>
  <si>
    <t>Sun Pharmaceutical Industries Ltd</t>
  </si>
  <si>
    <t>Pharmaceuticals &amp; Biotechnology</t>
  </si>
  <si>
    <t>INE397D01024</t>
  </si>
  <si>
    <t>Bharti Airtel Ltd</t>
  </si>
  <si>
    <t>Telecom - Services</t>
  </si>
  <si>
    <t>INE009A01021</t>
  </si>
  <si>
    <t>Infosys Ltd</t>
  </si>
  <si>
    <t>INE860A01027</t>
  </si>
  <si>
    <t>HCL Technologies Ltd</t>
  </si>
  <si>
    <t>INE062A01020</t>
  </si>
  <si>
    <t>State Bank of India</t>
  </si>
  <si>
    <t>INE059A01026</t>
  </si>
  <si>
    <t>Cipla Ltd</t>
  </si>
  <si>
    <t>INE481G01011</t>
  </si>
  <si>
    <t>Ultratech Cement Ltd</t>
  </si>
  <si>
    <t>Cement &amp; Cement Products</t>
  </si>
  <si>
    <t>INE047A01021</t>
  </si>
  <si>
    <t>Grasim Industries Ltd</t>
  </si>
  <si>
    <t>INE854D01024</t>
  </si>
  <si>
    <t>United Spirits Ltd</t>
  </si>
  <si>
    <t>IN9397D01014</t>
  </si>
  <si>
    <t>IN0020230051</t>
  </si>
  <si>
    <t>7.30% Government Securities - 19/06/2053</t>
  </si>
  <si>
    <t>Sundaram Overnight Fund</t>
  </si>
  <si>
    <t>IN002024X037</t>
  </si>
  <si>
    <t>IN002024X011</t>
  </si>
  <si>
    <t>IN002023Z166</t>
  </si>
  <si>
    <t>IN002023Y441</t>
  </si>
  <si>
    <t>Reverse Repo</t>
  </si>
  <si>
    <t>S. No.</t>
  </si>
  <si>
    <t>ACRONYM</t>
  </si>
  <si>
    <t>SCHEME NAME</t>
  </si>
  <si>
    <t>SFRLTP</t>
  </si>
  <si>
    <t>SFRSTP</t>
  </si>
  <si>
    <t>SMMF</t>
  </si>
  <si>
    <t>SPLDF</t>
  </si>
  <si>
    <t>SPMON</t>
  </si>
  <si>
    <t>SPSDF</t>
  </si>
  <si>
    <t>SPUSDF</t>
  </si>
  <si>
    <t>SUNBDS</t>
  </si>
  <si>
    <t>SUNMIA</t>
  </si>
  <si>
    <t>SUNONF</t>
  </si>
  <si>
    <t>(c) Corporate Debt Market Development Fund</t>
  </si>
  <si>
    <t>360 ONE WAM Ltd - 14/03/2025**</t>
  </si>
  <si>
    <t>DBS Bank Ltd - 07/03/2025**</t>
  </si>
  <si>
    <t>7.72% Central Government Securities_Floating Rate Bond - 04/10/2028 ~</t>
  </si>
  <si>
    <t>**Non Traded Securities - Wherever applicable</t>
  </si>
  <si>
    <t>^ Net current assets includes interest accrued on fixed income securities - Wherever applicable</t>
  </si>
  <si>
    <t># percentage to NAV of security is less than 0.01%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</si>
  <si>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</si>
  <si>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182 Days - T Bill - 01/08/2024</t>
  </si>
  <si>
    <t>182 Days - T Bill - 29/08/2024</t>
  </si>
  <si>
    <t>91 Days - T Bill - 02/08/2024</t>
  </si>
  <si>
    <t>364 Days - T Bill - 03/10/2024</t>
  </si>
  <si>
    <t>182 Days - T Bill - 25/07/2024</t>
  </si>
  <si>
    <t>364 Days - T Bill - 11/07/2024</t>
  </si>
  <si>
    <t>91 Days - T Bill - 04/07/2024</t>
  </si>
  <si>
    <t>91 Days - T Bill - 19/07/2024</t>
  </si>
  <si>
    <t>Bharti Airtel Ltd - Partly Paid Right Shares</t>
  </si>
  <si>
    <t>INE0GGX23010</t>
  </si>
  <si>
    <t>Power Grid Infrastructure Investment Trust(InvIT)</t>
  </si>
  <si>
    <t>Power</t>
  </si>
  <si>
    <t>IT - Software</t>
  </si>
  <si>
    <t>YTM (%)*</t>
  </si>
  <si>
    <t>++Grand Total</t>
  </si>
  <si>
    <t>++ Aggregate Investments by Other schemes of Sundaram Mutual Fund - Rs.35930.48 Lakhs</t>
  </si>
  <si>
    <t>g) Repo in corporate debt</t>
  </si>
  <si>
    <t>Portfolio Information</t>
  </si>
  <si>
    <t>Scheme Name :</t>
  </si>
  <si>
    <t>Description (if any)</t>
  </si>
  <si>
    <t>Annualised Portfolio YTM %* :</t>
  </si>
  <si>
    <t>Macaulay Duration (Days)</t>
  </si>
  <si>
    <t>Residual Maturity (Days)</t>
  </si>
  <si>
    <t xml:space="preserve">As on (Date) </t>
  </si>
  <si>
    <t>* in case of semi annual YTM,  it will be annualised </t>
  </si>
  <si>
    <t>Macaulay Duration - only for Debt portion (years)</t>
  </si>
  <si>
    <t>Residual Maturity - only for Debt portion (years)</t>
  </si>
  <si>
    <t>e) Bonus declared during the period (Rupees per unit)</t>
  </si>
  <si>
    <t>f) Total outstanding exposure in derivative instruments at the end of the period</t>
  </si>
  <si>
    <t>g) Total investments in foreign securities /ADR'S/GDR'S at the end of the period</t>
  </si>
  <si>
    <t>h) Repo in corporate debt</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</si>
  <si>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</si>
  <si>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</si>
  <si>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</si>
  <si>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</si>
  <si>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</si>
  <si>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</si>
  <si>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</si>
  <si>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</si>
  <si>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</si>
  <si>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</si>
  <si>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</si>
  <si>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</si>
  <si>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(years)</t>
  </si>
  <si>
    <t>Residual Maturity (years)</t>
  </si>
  <si>
    <t xml:space="preserve">ISIN </t>
  </si>
  <si>
    <t>Name of The security</t>
  </si>
  <si>
    <t>Total Amount(Principal &amp; Interest)  (Rs. Lakh)</t>
  </si>
  <si>
    <t>INE121H14JU3</t>
  </si>
  <si>
    <t xml:space="preserve">IL&amp;FS Financial Services Ltd. 24SEP18 CP </t>
  </si>
  <si>
    <t>Refer below point h)</t>
  </si>
  <si>
    <t>Net receivable/Market value  (Rs. Lakh)</t>
  </si>
  <si>
    <t>% to NAV</t>
  </si>
  <si>
    <t>Refer below point i)</t>
  </si>
  <si>
    <t>i) Exposure to securities classified as below investment grade or default as on 30-06-2024:-</t>
  </si>
  <si>
    <t>% to AUM as on  30-06-2024</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</si>
  <si>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</si>
  <si>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</si>
  <si>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</si>
  <si>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</si>
  <si>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</si>
  <si>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</si>
  <si>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</si>
  <si>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</si>
  <si>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</si>
  <si>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</si>
  <si>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</si>
  <si>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</si>
  <si>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</si>
  <si>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</si>
  <si>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Regular Plan - Fortnightly IDCW</t>
  </si>
  <si>
    <t>Direct Plan - Fortnightly IDCW</t>
  </si>
  <si>
    <t>YTM (%)</t>
  </si>
  <si>
    <t>Index</t>
  </si>
  <si>
    <t>Scheme Riskometer</t>
  </si>
  <si>
    <t>Tier I Benchmark Riskometer - NIFTY Corporate Bond Index A-II</t>
  </si>
  <si>
    <t>Tier II Benchmark Riskometer - NIFTY AAA Short Duration Bond Index</t>
  </si>
  <si>
    <t>Tier I Benchmark Riskometer - NIFTY 1D Rate Index</t>
  </si>
  <si>
    <t>Tier II Benchmark Riskometer - NIFTY 1D Rate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</si>
  <si>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</si>
  <si>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</si>
  <si>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</si>
  <si>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</si>
  <si>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</si>
  <si>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</si>
  <si>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</si>
  <si>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</si>
  <si>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</si>
  <si>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</si>
  <si>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</si>
  <si>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</si>
  <si>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</si>
  <si>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</si>
  <si>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</si>
  <si>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h) Exposure to securities classified as below investment grade or default as on 30-06-2024:-</t>
  </si>
  <si>
    <t>31/05/2024</t>
  </si>
  <si>
    <t>Unclaimed Plan - Redemption Less than three years</t>
  </si>
  <si>
    <t>Unclaimed Plan - Redemption greater than three years</t>
  </si>
  <si>
    <t>Regular Plan - IDCW</t>
  </si>
  <si>
    <t>Unclaimed Plan - IDCW greater than three years</t>
  </si>
  <si>
    <t>Unclaimed Plan - IDCW less than three years</t>
  </si>
  <si>
    <t>Monthly Portfolio Statement for the month ended 30 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</si>
</sst>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s>
  <fonts count="32" x14ac:knownFonts="1">
    <font>
      <sz val="10"/>
      <name val="Arial"/>
      <charset val="1"/>
    </font>
    <font>
      <sz val="11"/>
      <color theme="1"/>
      <name val="Calibri"/>
      <family val="2"/>
    </font>
    <font>
      <sz val="11"/>
      <color theme="1"/>
      <name val="Calibri"/>
      <family val="2"/>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sz val="11"/>
      <color theme="1"/>
      <name val="Aptos Narrow"/>
      <family val="2"/>
      <scheme val="minor"/>
    </font>
    <font>
      <u/>
      <sz val="10"/>
      <color theme="10"/>
      <name val="Arial"/>
      <family val="2"/>
    </font>
    <font>
      <sz val="14"/>
      <color theme="1"/>
      <name val="Calibri"/>
      <family val="2"/>
    </font>
    <font>
      <sz val="10"/>
      <color indexed="8"/>
      <name val="Calibri"/>
      <family val="2"/>
    </font>
    <font>
      <b/>
      <sz val="10"/>
      <color indexed="8"/>
      <name val="Calibri"/>
      <family val="2"/>
    </font>
    <font>
      <b/>
      <i/>
      <sz val="10"/>
      <color indexed="8"/>
      <name val="Calibri"/>
      <family val="2"/>
    </font>
    <font>
      <sz val="10"/>
      <name val="Arial"/>
      <family val="2"/>
    </font>
    <font>
      <sz val="10"/>
      <name val="Calibri"/>
      <family val="2"/>
    </font>
    <font>
      <b/>
      <sz val="11"/>
      <color indexed="8"/>
      <name val="Calibri"/>
      <family val="2"/>
    </font>
    <font>
      <b/>
      <sz val="10"/>
      <name val="Calibri"/>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
      <sz val="11"/>
      <color indexed="8"/>
      <name val="Calibri"/>
      <family val="2"/>
    </font>
    <font>
      <u/>
      <sz val="11"/>
      <color rgb="FF002060"/>
      <name val="Aptos Narrow"/>
      <family val="2"/>
      <scheme val="minor"/>
    </font>
    <font>
      <b/>
      <sz val="11"/>
      <color theme="1"/>
      <name val="Aptos Narrow"/>
      <family val="2"/>
      <scheme val="minor"/>
    </font>
    <font>
      <b/>
      <sz val="10"/>
      <name val="Arial"/>
      <family val="2"/>
    </font>
    <font>
      <b/>
      <sz val="12"/>
      <color theme="1"/>
      <name val="Aptos Narrow"/>
      <family val="2"/>
      <scheme val="minor"/>
    </font>
    <font>
      <b/>
      <sz val="12"/>
      <name val="Aptos Narrow"/>
      <family val="2"/>
      <scheme val="minor"/>
    </font>
    <font>
      <sz val="12"/>
      <color theme="1"/>
      <name val="Aptos Narrow"/>
      <family val="2"/>
      <scheme val="minor"/>
    </font>
    <font>
      <u/>
      <sz val="12"/>
      <color theme="10"/>
      <name val="Aptos Narrow"/>
      <family val="2"/>
      <scheme val="minor"/>
    </font>
    <font>
      <sz val="12"/>
      <name val="Aptos Narrow"/>
      <family val="2"/>
      <scheme val="minor"/>
    </font>
  </fonts>
  <fills count="5">
    <fill>
      <patternFill patternType="none"/>
    </fill>
    <fill>
      <patternFill patternType="gray125"/>
    </fill>
    <fill>
      <patternFill patternType="solid">
        <fgColor indexed="9"/>
      </patternFill>
    </fill>
    <fill>
      <patternFill patternType="solid">
        <fgColor theme="2"/>
        <bgColor indexed="64"/>
      </patternFill>
    </fill>
    <fill>
      <patternFill patternType="solid">
        <fgColor theme="8" tint="0.79998168889431442"/>
        <bgColor indexed="64"/>
      </patternFill>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164" fontId="8" fillId="0" borderId="0" applyFont="0" applyFill="0" applyBorder="0" applyAlignment="0" applyProtection="0"/>
    <xf numFmtId="0" fontId="9" fillId="0" borderId="0"/>
    <xf numFmtId="0" fontId="9" fillId="0" borderId="0"/>
    <xf numFmtId="0" fontId="10" fillId="0" borderId="0" applyNumberFormat="0" applyFill="0" applyBorder="0" applyAlignment="0" applyProtection="0">
      <alignment wrapText="1"/>
    </xf>
    <xf numFmtId="0" fontId="15" fillId="0" borderId="0">
      <alignment wrapText="1"/>
    </xf>
    <xf numFmtId="0" fontId="9" fillId="0" borderId="0"/>
    <xf numFmtId="164" fontId="15" fillId="0" borderId="0" applyFont="0" applyFill="0" applyBorder="0" applyAlignment="0" applyProtection="0"/>
    <xf numFmtId="9" fontId="23" fillId="0" borderId="0" applyFont="0" applyFill="0" applyBorder="0" applyAlignment="0" applyProtection="0"/>
    <xf numFmtId="9" fontId="15" fillId="0" borderId="0" applyFont="0" applyFill="0" applyBorder="0" applyAlignment="0" applyProtection="0"/>
  </cellStyleXfs>
  <cellXfs count="135">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8"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9" fontId="4" fillId="2" borderId="4" xfId="0" applyNumberFormat="1" applyFont="1" applyFill="1" applyBorder="1" applyAlignment="1">
      <alignment horizontal="right" vertical="center" wrapText="1" readingOrder="1"/>
    </xf>
    <xf numFmtId="170"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1"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2"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11" fillId="0" borderId="0" xfId="3" applyFont="1"/>
    <xf numFmtId="0" fontId="4" fillId="2" borderId="7" xfId="0" applyFont="1" applyFill="1" applyBorder="1" applyAlignment="1">
      <alignment horizontal="right" vertical="top" wrapText="1" readingOrder="1"/>
    </xf>
    <xf numFmtId="0" fontId="6" fillId="2" borderId="7" xfId="0" applyFont="1" applyFill="1" applyBorder="1" applyAlignment="1">
      <alignment horizontal="left" vertical="center" wrapText="1" readingOrder="1"/>
    </xf>
    <xf numFmtId="0" fontId="6" fillId="2" borderId="7" xfId="0" applyFont="1" applyFill="1" applyBorder="1" applyAlignment="1">
      <alignment horizontal="right" vertical="center" wrapText="1" readingOrder="1"/>
    </xf>
    <xf numFmtId="166" fontId="4" fillId="2" borderId="7" xfId="0" applyNumberFormat="1" applyFont="1" applyFill="1" applyBorder="1" applyAlignment="1">
      <alignment horizontal="right" vertical="center" wrapText="1" readingOrder="1"/>
    </xf>
    <xf numFmtId="0" fontId="0" fillId="3" borderId="0" xfId="0" applyFill="1" applyAlignment="1">
      <alignment horizontal="center" vertical="center" wrapText="1"/>
    </xf>
    <xf numFmtId="0" fontId="12" fillId="0" borderId="4" xfId="0" applyFont="1" applyBorder="1" applyAlignment="1">
      <alignment horizontal="right" vertical="top" wrapText="1" readingOrder="1"/>
    </xf>
    <xf numFmtId="0" fontId="13" fillId="0" borderId="4" xfId="0" applyFont="1" applyBorder="1" applyAlignment="1">
      <alignment horizontal="left" vertical="center" wrapText="1" readingOrder="1"/>
    </xf>
    <xf numFmtId="0" fontId="14" fillId="0" borderId="4" xfId="0" applyFont="1" applyBorder="1" applyAlignment="1">
      <alignment horizontal="right" vertical="center" wrapText="1" readingOrder="1"/>
    </xf>
    <xf numFmtId="0" fontId="15" fillId="0" borderId="0" xfId="5">
      <alignment wrapText="1"/>
    </xf>
    <xf numFmtId="0" fontId="16" fillId="0" borderId="0" xfId="0" applyFont="1">
      <alignment wrapText="1"/>
    </xf>
    <xf numFmtId="167" fontId="4" fillId="2" borderId="7" xfId="0" applyNumberFormat="1" applyFont="1" applyFill="1" applyBorder="1" applyAlignment="1">
      <alignment horizontal="right" vertical="center" wrapText="1" readingOrder="1"/>
    </xf>
    <xf numFmtId="0" fontId="4" fillId="2" borderId="7" xfId="0" applyFont="1" applyFill="1" applyBorder="1" applyAlignment="1">
      <alignment horizontal="left" vertical="center" wrapText="1" readingOrder="1"/>
    </xf>
    <xf numFmtId="0" fontId="5" fillId="2" borderId="7"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2" fillId="2" borderId="0" xfId="0" applyFont="1" applyFill="1" applyAlignment="1">
      <alignment horizontal="left" vertical="center" wrapText="1" readingOrder="1"/>
    </xf>
    <xf numFmtId="0" fontId="14" fillId="2" borderId="0" xfId="2" applyFont="1" applyFill="1" applyAlignment="1">
      <alignment horizontal="left" vertical="center" wrapText="1" readingOrder="1"/>
    </xf>
    <xf numFmtId="0" fontId="2" fillId="0" borderId="0" xfId="2" applyFont="1" applyAlignment="1">
      <alignment vertical="center" wrapText="1"/>
    </xf>
    <xf numFmtId="0" fontId="12" fillId="2" borderId="4" xfId="0" applyFont="1" applyFill="1" applyBorder="1" applyAlignment="1">
      <alignment horizontal="left" vertical="center" wrapText="1" readingOrder="1"/>
    </xf>
    <xf numFmtId="164" fontId="17" fillId="2" borderId="7" xfId="1" applyFont="1" applyFill="1" applyBorder="1" applyAlignment="1">
      <alignment horizontal="center" vertical="center" wrapText="1" readingOrder="1"/>
    </xf>
    <xf numFmtId="0" fontId="13" fillId="2" borderId="4" xfId="0" applyFont="1" applyFill="1" applyBorder="1" applyAlignment="1">
      <alignment horizontal="left" vertical="center" wrapText="1" readingOrder="1"/>
    </xf>
    <xf numFmtId="0" fontId="3" fillId="2" borderId="4" xfId="0" applyFont="1" applyFill="1" applyBorder="1" applyAlignment="1">
      <alignment horizontal="center" vertical="center" wrapText="1" readingOrder="1"/>
    </xf>
    <xf numFmtId="0" fontId="13" fillId="2" borderId="4" xfId="0" quotePrefix="1" applyFont="1" applyFill="1" applyBorder="1" applyAlignment="1">
      <alignment horizontal="left" vertical="center" wrapText="1" readingOrder="1"/>
    </xf>
    <xf numFmtId="0" fontId="12" fillId="2" borderId="0" xfId="0" applyFont="1" applyFill="1" applyAlignment="1">
      <alignment horizontal="right" vertical="top" wrapText="1" readingOrder="1"/>
    </xf>
    <xf numFmtId="0" fontId="12" fillId="2" borderId="5" xfId="0" applyFont="1" applyFill="1" applyBorder="1" applyAlignment="1">
      <alignment horizontal="left" vertical="center" wrapText="1" readingOrder="1"/>
    </xf>
    <xf numFmtId="0" fontId="13" fillId="2" borderId="5" xfId="0" applyFont="1" applyFill="1" applyBorder="1" applyAlignment="1">
      <alignment horizontal="left" vertical="center" wrapText="1" readingOrder="1"/>
    </xf>
    <xf numFmtId="0" fontId="12" fillId="2" borderId="0" xfId="0" applyFont="1" applyFill="1" applyAlignment="1">
      <alignment horizontal="right" vertical="center" wrapText="1" readingOrder="1"/>
    </xf>
    <xf numFmtId="0" fontId="0" fillId="0" borderId="0" xfId="0" applyAlignment="1">
      <alignment vertical="center" wrapText="1"/>
    </xf>
    <xf numFmtId="0" fontId="16" fillId="0" borderId="0" xfId="0" applyFont="1" applyAlignment="1">
      <alignment vertical="center" wrapText="1"/>
    </xf>
    <xf numFmtId="0" fontId="12" fillId="2" borderId="6" xfId="0" applyFont="1" applyFill="1" applyBorder="1" applyAlignment="1">
      <alignment horizontal="right" vertical="center" wrapText="1" readingOrder="1"/>
    </xf>
    <xf numFmtId="0" fontId="16" fillId="0" borderId="7" xfId="0" applyFont="1" applyBorder="1" applyAlignment="1">
      <alignment horizontal="justify" vertical="center"/>
    </xf>
    <xf numFmtId="0" fontId="16" fillId="0" borderId="7" xfId="0" applyFont="1" applyBorder="1" applyAlignment="1">
      <alignment vertical="center" wrapText="1"/>
    </xf>
    <xf numFmtId="0" fontId="16" fillId="0" borderId="7" xfId="0" applyFont="1" applyBorder="1" applyAlignment="1">
      <alignment horizontal="justify" vertical="center" wrapText="1"/>
    </xf>
    <xf numFmtId="173" fontId="13" fillId="2" borderId="4" xfId="0" applyNumberFormat="1" applyFont="1" applyFill="1" applyBorder="1" applyAlignment="1">
      <alignment horizontal="left" vertical="center" wrapText="1" readingOrder="1"/>
    </xf>
    <xf numFmtId="14" fontId="16" fillId="0" borderId="7" xfId="0" applyNumberFormat="1" applyFont="1" applyBorder="1" applyAlignment="1">
      <alignment horizontal="justify" vertical="center" wrapText="1"/>
    </xf>
    <xf numFmtId="0" fontId="9" fillId="0" borderId="0" xfId="6" applyAlignment="1">
      <alignment wrapText="1"/>
    </xf>
    <xf numFmtId="0" fontId="19" fillId="0" borderId="0" xfId="6" applyFont="1" applyAlignment="1">
      <alignment wrapText="1"/>
    </xf>
    <xf numFmtId="0" fontId="20" fillId="0" borderId="7" xfId="6" applyFont="1" applyBorder="1" applyAlignment="1">
      <alignment horizontal="center" vertical="center"/>
    </xf>
    <xf numFmtId="0" fontId="20" fillId="0" borderId="0" xfId="6" applyFont="1" applyAlignment="1">
      <alignment horizontal="center" vertical="center"/>
    </xf>
    <xf numFmtId="0" fontId="21" fillId="0" borderId="7" xfId="6" applyFont="1" applyBorder="1" applyAlignment="1">
      <alignment vertical="center"/>
    </xf>
    <xf numFmtId="0" fontId="21" fillId="0" borderId="7" xfId="6" applyFont="1" applyBorder="1" applyAlignment="1">
      <alignment vertical="center" wrapText="1"/>
    </xf>
    <xf numFmtId="0" fontId="21" fillId="0" borderId="0" xfId="6" applyFont="1" applyAlignment="1">
      <alignment horizontal="center" vertical="center"/>
    </xf>
    <xf numFmtId="0" fontId="20" fillId="0" borderId="7" xfId="6" applyFont="1" applyBorder="1" applyAlignment="1">
      <alignment horizontal="center" vertical="center" wrapText="1"/>
    </xf>
    <xf numFmtId="0" fontId="21" fillId="0" borderId="7" xfId="6" applyFont="1" applyBorder="1" applyAlignment="1">
      <alignment horizontal="left" vertical="center"/>
    </xf>
    <xf numFmtId="4" fontId="21" fillId="0" borderId="7" xfId="6" applyNumberFormat="1" applyFont="1" applyBorder="1" applyAlignment="1">
      <alignment horizontal="right" vertical="center"/>
    </xf>
    <xf numFmtId="10" fontId="21" fillId="0" borderId="7" xfId="8" applyNumberFormat="1" applyFont="1" applyFill="1" applyBorder="1" applyAlignment="1">
      <alignment vertical="center"/>
    </xf>
    <xf numFmtId="0" fontId="18" fillId="2" borderId="0" xfId="0" applyFont="1" applyFill="1" applyAlignment="1">
      <alignment vertical="center" readingOrder="1"/>
    </xf>
    <xf numFmtId="0" fontId="18" fillId="2" borderId="0" xfId="0" applyFont="1" applyFill="1" applyAlignment="1">
      <alignment horizontal="left" vertical="center" readingOrder="1"/>
    </xf>
    <xf numFmtId="0" fontId="20" fillId="0" borderId="7" xfId="0" applyFont="1" applyBorder="1" applyAlignment="1">
      <alignment vertical="center" wrapText="1"/>
    </xf>
    <xf numFmtId="0" fontId="16" fillId="0" borderId="7" xfId="0" applyFont="1" applyBorder="1" applyAlignment="1">
      <alignment vertical="center"/>
    </xf>
    <xf numFmtId="164" fontId="16" fillId="0" borderId="7" xfId="7" applyFont="1" applyBorder="1" applyAlignment="1">
      <alignment vertical="center"/>
    </xf>
    <xf numFmtId="164" fontId="21" fillId="0" borderId="7" xfId="7" applyFont="1" applyBorder="1" applyAlignment="1">
      <alignment vertical="center"/>
    </xf>
    <xf numFmtId="4" fontId="16" fillId="0" borderId="7" xfId="0" applyNumberFormat="1" applyFont="1" applyBorder="1" applyAlignment="1">
      <alignment vertical="center"/>
    </xf>
    <xf numFmtId="0" fontId="20" fillId="0" borderId="7" xfId="0" applyFont="1" applyBorder="1" applyAlignment="1">
      <alignment horizontal="center" vertical="center" wrapText="1"/>
    </xf>
    <xf numFmtId="2" fontId="16" fillId="0" borderId="7" xfId="0" applyNumberFormat="1" applyFont="1" applyBorder="1" applyAlignment="1">
      <alignment vertical="center"/>
    </xf>
    <xf numFmtId="10" fontId="21" fillId="0" borderId="7" xfId="9" applyNumberFormat="1" applyFont="1" applyBorder="1" applyAlignment="1">
      <alignment vertical="center"/>
    </xf>
    <xf numFmtId="0" fontId="20" fillId="0" borderId="0" xfId="0" applyFont="1" applyAlignment="1">
      <alignment vertical="center" wrapText="1"/>
    </xf>
    <xf numFmtId="0" fontId="16" fillId="0" borderId="0" xfId="0" applyFont="1" applyAlignment="1">
      <alignment vertical="center"/>
    </xf>
    <xf numFmtId="0" fontId="16" fillId="2" borderId="0" xfId="0" applyFont="1" applyFill="1" applyAlignment="1">
      <alignment horizontal="center" vertical="center" readingOrder="1"/>
    </xf>
    <xf numFmtId="0" fontId="12" fillId="2" borderId="6" xfId="0" applyFont="1" applyFill="1" applyBorder="1" applyAlignment="1">
      <alignment horizontal="right" vertical="top" wrapText="1" readingOrder="1"/>
    </xf>
    <xf numFmtId="0" fontId="24" fillId="4" borderId="0" xfId="4" applyFont="1" applyFill="1" applyBorder="1" applyAlignment="1">
      <alignment horizontal="center" vertical="center" wrapText="1"/>
    </xf>
    <xf numFmtId="0" fontId="22" fillId="3" borderId="0" xfId="5" applyFont="1" applyFill="1" applyAlignment="1">
      <alignment horizontal="center" vertical="center" wrapText="1"/>
    </xf>
    <xf numFmtId="0" fontId="0" fillId="0" borderId="0" xfId="0" applyAlignment="1">
      <alignment horizontal="center" vertical="center" wrapText="1"/>
    </xf>
    <xf numFmtId="0" fontId="25" fillId="3" borderId="0" xfId="0" applyFont="1" applyFill="1" applyAlignment="1">
      <alignment horizontal="center" vertical="center"/>
    </xf>
    <xf numFmtId="0" fontId="26" fillId="3" borderId="0" xfId="0" applyFont="1" applyFill="1" applyAlignment="1">
      <alignment horizontal="center" vertical="center" wrapText="1"/>
    </xf>
    <xf numFmtId="0" fontId="1" fillId="0" borderId="0" xfId="2" applyFont="1" applyAlignment="1">
      <alignment vertical="center" wrapText="1"/>
    </xf>
    <xf numFmtId="0" fontId="27" fillId="0" borderId="7" xfId="2" applyFont="1" applyBorder="1" applyAlignment="1">
      <alignment horizontal="center"/>
    </xf>
    <xf numFmtId="0" fontId="28" fillId="0" borderId="7" xfId="2" applyFont="1" applyBorder="1" applyAlignment="1">
      <alignment horizontal="center" vertical="center"/>
    </xf>
    <xf numFmtId="0" fontId="29" fillId="0" borderId="7" xfId="2" applyFont="1" applyBorder="1" applyAlignment="1">
      <alignment horizontal="center"/>
    </xf>
    <xf numFmtId="0" fontId="30" fillId="0" borderId="7" xfId="4" applyFont="1" applyBorder="1" applyAlignment="1">
      <alignment vertical="center"/>
    </xf>
    <xf numFmtId="0" fontId="31" fillId="0" borderId="7" xfId="2" applyFont="1" applyBorder="1" applyAlignment="1">
      <alignment vertical="top"/>
    </xf>
    <xf numFmtId="0" fontId="12" fillId="2" borderId="7" xfId="0" applyFont="1" applyFill="1" applyBorder="1" applyAlignment="1">
      <alignment horizontal="left" vertical="center" wrapText="1" readingOrder="1"/>
    </xf>
    <xf numFmtId="0" fontId="12" fillId="2" borderId="8" xfId="0" applyFont="1" applyFill="1" applyBorder="1" applyAlignment="1">
      <alignment horizontal="left" vertical="center" wrapText="1" readingOrder="1"/>
    </xf>
    <xf numFmtId="0" fontId="12" fillId="2" borderId="10" xfId="0" applyFont="1" applyFill="1" applyBorder="1" applyAlignment="1">
      <alignment horizontal="left" vertical="center" wrapText="1" readingOrder="1"/>
    </xf>
    <xf numFmtId="0" fontId="12" fillId="2" borderId="9" xfId="0" applyFont="1" applyFill="1" applyBorder="1" applyAlignment="1">
      <alignment horizontal="left" vertical="center" wrapText="1" readingOrder="1"/>
    </xf>
    <xf numFmtId="0" fontId="17" fillId="2" borderId="7" xfId="0" applyFont="1" applyFill="1" applyBorder="1" applyAlignment="1">
      <alignment horizontal="center" vertical="center" wrapText="1" readingOrder="1"/>
    </xf>
    <xf numFmtId="0" fontId="12" fillId="2" borderId="0" xfId="0" applyFont="1" applyFill="1" applyAlignment="1">
      <alignment horizontal="left" vertical="center" wrapText="1" readingOrder="1"/>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12" fillId="2" borderId="1" xfId="0" applyFont="1" applyFill="1" applyBorder="1" applyAlignment="1">
      <alignment horizontal="left" vertical="center" wrapText="1" readingOrder="1"/>
    </xf>
    <xf numFmtId="0" fontId="12"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2" fillId="2" borderId="0" xfId="0" quotePrefix="1" applyFont="1" applyFill="1" applyAlignment="1">
      <alignment horizontal="left" vertical="center" wrapText="1" readingOrder="1"/>
    </xf>
    <xf numFmtId="0" fontId="12" fillId="2" borderId="0" xfId="0" applyFont="1" applyFill="1" applyAlignment="1">
      <alignment horizontal="justify" vertical="top" wrapText="1" readingOrder="1"/>
    </xf>
    <xf numFmtId="0" fontId="21" fillId="0" borderId="8" xfId="6" applyFont="1" applyBorder="1" applyAlignment="1">
      <alignment horizontal="left" vertical="center" wrapText="1"/>
    </xf>
    <xf numFmtId="0" fontId="21" fillId="0" borderId="9" xfId="6" applyFont="1" applyBorder="1" applyAlignment="1">
      <alignment horizontal="left" vertical="center" wrapText="1"/>
    </xf>
    <xf numFmtId="0" fontId="21" fillId="0" borderId="10" xfId="6" applyFont="1" applyBorder="1" applyAlignment="1">
      <alignment horizontal="left" vertical="center" wrapText="1"/>
    </xf>
    <xf numFmtId="0" fontId="21" fillId="0" borderId="8" xfId="7" applyNumberFormat="1" applyFont="1" applyBorder="1" applyAlignment="1">
      <alignment horizontal="center" vertical="center"/>
    </xf>
    <xf numFmtId="0" fontId="21" fillId="0" borderId="10" xfId="7" applyNumberFormat="1" applyFont="1" applyBorder="1" applyAlignment="1">
      <alignment horizontal="center" vertical="center"/>
    </xf>
    <xf numFmtId="0" fontId="20" fillId="0" borderId="8" xfId="6" applyFont="1" applyBorder="1" applyAlignment="1">
      <alignment horizontal="center" vertical="center"/>
    </xf>
    <xf numFmtId="0" fontId="20" fillId="0" borderId="9" xfId="6" applyFont="1" applyBorder="1" applyAlignment="1">
      <alignment horizontal="center" vertical="center"/>
    </xf>
    <xf numFmtId="0" fontId="20" fillId="0" borderId="10" xfId="6" applyFont="1" applyBorder="1" applyAlignment="1">
      <alignment horizontal="center" vertical="center"/>
    </xf>
    <xf numFmtId="0" fontId="20" fillId="0" borderId="7" xfId="6" applyFont="1" applyBorder="1" applyAlignment="1">
      <alignment horizontal="center" vertical="center"/>
    </xf>
    <xf numFmtId="0" fontId="18" fillId="2" borderId="8" xfId="0" applyFont="1" applyFill="1" applyBorder="1" applyAlignment="1">
      <alignment horizontal="left" vertical="center" readingOrder="1"/>
    </xf>
    <xf numFmtId="0" fontId="18" fillId="2" borderId="9" xfId="0" applyFont="1" applyFill="1" applyBorder="1" applyAlignment="1">
      <alignment horizontal="left" vertical="center" readingOrder="1"/>
    </xf>
    <xf numFmtId="0" fontId="18" fillId="2" borderId="10" xfId="0" applyFont="1" applyFill="1" applyBorder="1" applyAlignment="1">
      <alignment horizontal="left" vertical="center" readingOrder="1"/>
    </xf>
    <xf numFmtId="0" fontId="20" fillId="0" borderId="8" xfId="6" applyFont="1" applyBorder="1" applyAlignment="1">
      <alignment horizontal="center" vertical="center" wrapText="1"/>
    </xf>
    <xf numFmtId="0" fontId="20" fillId="0" borderId="10" xfId="6" applyFont="1" applyBorder="1" applyAlignment="1">
      <alignment horizontal="center" vertical="center" wrapText="1"/>
    </xf>
  </cellXfs>
  <cellStyles count="10">
    <cellStyle name="Comma" xfId="1" builtinId="3"/>
    <cellStyle name="Comma 2" xfId="7" xr:uid="{9A606873-1930-4115-BBE4-78FB12F931A6}"/>
    <cellStyle name="Hyperlink 2" xfId="4" xr:uid="{3AFC6842-3AE3-4BDF-ABF6-61B6D42D503F}"/>
    <cellStyle name="Normal" xfId="0" builtinId="0"/>
    <cellStyle name="Normal 2 2" xfId="2" xr:uid="{91B0AC47-95A4-4C55-8454-C3BE85BB8D2E}"/>
    <cellStyle name="Normal 2 2 3" xfId="6" xr:uid="{27DB1927-4520-4F1A-9FB4-C2E3C3E052D6}"/>
    <cellStyle name="Normal 2 3" xfId="3" xr:uid="{EA9109E7-EFD1-4C04-B2EA-37904C4F3664}"/>
    <cellStyle name="Normal 3" xfId="5" xr:uid="{3E0DB3CB-0D2C-4319-8C9E-7D7330E6DB2D}"/>
    <cellStyle name="Percent 2" xfId="8" xr:uid="{95625BC7-55AB-4BC8-9F8E-B314980EA1BC}"/>
    <cellStyle name="Percent 3" xfId="9" xr:uid="{F5A5F410-193F-4440-B975-14B6C25BD7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85725</xdr:colOff>
      <xdr:row>16</xdr:row>
      <xdr:rowOff>9524</xdr:rowOff>
    </xdr:from>
    <xdr:to>
      <xdr:col>9</xdr:col>
      <xdr:colOff>3305175</xdr:colOff>
      <xdr:row>25</xdr:row>
      <xdr:rowOff>85725</xdr:rowOff>
    </xdr:to>
    <xdr:pic>
      <xdr:nvPicPr>
        <xdr:cNvPr id="26" name="Picture 25">
          <a:extLst>
            <a:ext uri="{FF2B5EF4-FFF2-40B4-BE49-F238E27FC236}">
              <a16:creationId xmlns:a16="http://schemas.microsoft.com/office/drawing/2014/main" id="{A6CC7D89-C27D-4D50-846A-AF05C75E21A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3286124"/>
          <a:ext cx="3219450"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3276600</xdr:colOff>
      <xdr:row>11</xdr:row>
      <xdr:rowOff>104775</xdr:rowOff>
    </xdr:to>
    <xdr:pic>
      <xdr:nvPicPr>
        <xdr:cNvPr id="27" name="Picture 26">
          <a:extLst>
            <a:ext uri="{FF2B5EF4-FFF2-40B4-BE49-F238E27FC236}">
              <a16:creationId xmlns:a16="http://schemas.microsoft.com/office/drawing/2014/main" id="{BAF47C12-8F78-4B76-8537-6A3C7F8376AE}"/>
            </a:ext>
          </a:extLst>
        </xdr:cNvPr>
        <xdr:cNvPicPr preferRelativeResize="0">
          <a:picLocks noChangeAspect="1"/>
        </xdr:cNvPicPr>
      </xdr:nvPicPr>
      <xdr:blipFill>
        <a:blip xmlns:r="http://schemas.openxmlformats.org/officeDocument/2006/relationships" r:embed="rId2"/>
        <a:stretch>
          <a:fillRect/>
        </a:stretch>
      </xdr:blipFill>
      <xdr:spPr>
        <a:xfrm>
          <a:off x="10042525" y="552450"/>
          <a:ext cx="3197225" cy="1971675"/>
        </a:xfrm>
        <a:prstGeom prst="rect">
          <a:avLst/>
        </a:prstGeom>
      </xdr:spPr>
    </xdr:pic>
    <xdr:clientData/>
  </xdr:twoCellAnchor>
  <xdr:twoCellAnchor editAs="oneCell">
    <xdr:from>
      <xdr:col>9</xdr:col>
      <xdr:colOff>85726</xdr:colOff>
      <xdr:row>28</xdr:row>
      <xdr:rowOff>95250</xdr:rowOff>
    </xdr:from>
    <xdr:to>
      <xdr:col>9</xdr:col>
      <xdr:colOff>3324226</xdr:colOff>
      <xdr:row>33</xdr:row>
      <xdr:rowOff>38100</xdr:rowOff>
    </xdr:to>
    <xdr:pic>
      <xdr:nvPicPr>
        <xdr:cNvPr id="28" name="Picture 27">
          <a:extLst>
            <a:ext uri="{FF2B5EF4-FFF2-40B4-BE49-F238E27FC236}">
              <a16:creationId xmlns:a16="http://schemas.microsoft.com/office/drawing/2014/main" id="{64662227-AB44-4753-9DDA-D28305D431F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6" y="5962650"/>
          <a:ext cx="32385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76201</xdr:colOff>
      <xdr:row>29</xdr:row>
      <xdr:rowOff>57150</xdr:rowOff>
    </xdr:from>
    <xdr:to>
      <xdr:col>9</xdr:col>
      <xdr:colOff>3333751</xdr:colOff>
      <xdr:row>33</xdr:row>
      <xdr:rowOff>190500</xdr:rowOff>
    </xdr:to>
    <xdr:pic>
      <xdr:nvPicPr>
        <xdr:cNvPr id="2" name="Picture 1">
          <a:extLst>
            <a:ext uri="{FF2B5EF4-FFF2-40B4-BE49-F238E27FC236}">
              <a16:creationId xmlns:a16="http://schemas.microsoft.com/office/drawing/2014/main" id="{86828811-D5CA-41E1-A69F-71388C1EAB76}"/>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1" y="5981700"/>
          <a:ext cx="32575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82841</xdr:colOff>
      <xdr:row>16</xdr:row>
      <xdr:rowOff>76201</xdr:rowOff>
    </xdr:from>
    <xdr:to>
      <xdr:col>9</xdr:col>
      <xdr:colOff>3305175</xdr:colOff>
      <xdr:row>26</xdr:row>
      <xdr:rowOff>85725</xdr:rowOff>
    </xdr:to>
    <xdr:pic>
      <xdr:nvPicPr>
        <xdr:cNvPr id="3" name="Picture 2">
          <a:extLst>
            <a:ext uri="{FF2B5EF4-FFF2-40B4-BE49-F238E27FC236}">
              <a16:creationId xmlns:a16="http://schemas.microsoft.com/office/drawing/2014/main" id="{525968E1-47F2-46E1-98C2-C490245201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45991" y="3505201"/>
          <a:ext cx="3222334"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95250</xdr:rowOff>
    </xdr:from>
    <xdr:to>
      <xdr:col>9</xdr:col>
      <xdr:colOff>3333751</xdr:colOff>
      <xdr:row>11</xdr:row>
      <xdr:rowOff>133350</xdr:rowOff>
    </xdr:to>
    <xdr:pic>
      <xdr:nvPicPr>
        <xdr:cNvPr id="4" name="Picture 3">
          <a:extLst>
            <a:ext uri="{FF2B5EF4-FFF2-40B4-BE49-F238E27FC236}">
              <a16:creationId xmlns:a16="http://schemas.microsoft.com/office/drawing/2014/main" id="{D90B1362-447E-4E22-BF60-1C2F332D200E}"/>
            </a:ext>
          </a:extLst>
        </xdr:cNvPr>
        <xdr:cNvPicPr>
          <a:picLocks noChangeAspect="1"/>
        </xdr:cNvPicPr>
      </xdr:nvPicPr>
      <xdr:blipFill>
        <a:blip xmlns:r="http://schemas.openxmlformats.org/officeDocument/2006/relationships" r:embed="rId3"/>
        <a:stretch>
          <a:fillRect/>
        </a:stretch>
      </xdr:blipFill>
      <xdr:spPr>
        <a:xfrm>
          <a:off x="10020301" y="53340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3324225</xdr:colOff>
      <xdr:row>38</xdr:row>
      <xdr:rowOff>104776</xdr:rowOff>
    </xdr:to>
    <xdr:pic>
      <xdr:nvPicPr>
        <xdr:cNvPr id="2" name="Picture 1">
          <a:extLst>
            <a:ext uri="{FF2B5EF4-FFF2-40B4-BE49-F238E27FC236}">
              <a16:creationId xmlns:a16="http://schemas.microsoft.com/office/drawing/2014/main" id="{D59222EE-AD6B-45CE-8E32-52EF2C060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0" y="574357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104774</xdr:rowOff>
    </xdr:from>
    <xdr:to>
      <xdr:col>9</xdr:col>
      <xdr:colOff>3314701</xdr:colOff>
      <xdr:row>11</xdr:row>
      <xdr:rowOff>171449</xdr:rowOff>
    </xdr:to>
    <xdr:pic>
      <xdr:nvPicPr>
        <xdr:cNvPr id="3" name="Picture 2">
          <a:extLst>
            <a:ext uri="{FF2B5EF4-FFF2-40B4-BE49-F238E27FC236}">
              <a16:creationId xmlns:a16="http://schemas.microsoft.com/office/drawing/2014/main" id="{8422D2FC-4027-4880-A79C-B290C7232E61}"/>
            </a:ext>
          </a:extLst>
        </xdr:cNvPr>
        <xdr:cNvPicPr preferRelativeResize="0">
          <a:picLocks noChangeAspect="1"/>
        </xdr:cNvPicPr>
      </xdr:nvPicPr>
      <xdr:blipFill>
        <a:blip xmlns:r="http://schemas.openxmlformats.org/officeDocument/2006/relationships" r:embed="rId2"/>
        <a:stretch>
          <a:fillRect/>
        </a:stretch>
      </xdr:blipFill>
      <xdr:spPr>
        <a:xfrm>
          <a:off x="10029825" y="542924"/>
          <a:ext cx="3248026" cy="2047875"/>
        </a:xfrm>
        <a:prstGeom prst="rect">
          <a:avLst/>
        </a:prstGeom>
      </xdr:spPr>
    </xdr:pic>
    <xdr:clientData/>
  </xdr:twoCellAnchor>
  <xdr:twoCellAnchor editAs="oneCell">
    <xdr:from>
      <xdr:col>9</xdr:col>
      <xdr:colOff>88900</xdr:colOff>
      <xdr:row>16</xdr:row>
      <xdr:rowOff>25400</xdr:rowOff>
    </xdr:from>
    <xdr:to>
      <xdr:col>9</xdr:col>
      <xdr:colOff>3286125</xdr:colOff>
      <xdr:row>26</xdr:row>
      <xdr:rowOff>19050</xdr:rowOff>
    </xdr:to>
    <xdr:pic>
      <xdr:nvPicPr>
        <xdr:cNvPr id="4" name="Picture 2">
          <a:extLst>
            <a:ext uri="{FF2B5EF4-FFF2-40B4-BE49-F238E27FC236}">
              <a16:creationId xmlns:a16="http://schemas.microsoft.com/office/drawing/2014/main" id="{A070D4B2-D4CA-40DF-BFDE-5E27596CE4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52050" y="3454400"/>
          <a:ext cx="3197225" cy="17653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3314700</xdr:colOff>
      <xdr:row>32</xdr:row>
      <xdr:rowOff>66675</xdr:rowOff>
    </xdr:to>
    <xdr:pic>
      <xdr:nvPicPr>
        <xdr:cNvPr id="2" name="Picture 1">
          <a:extLst>
            <a:ext uri="{FF2B5EF4-FFF2-40B4-BE49-F238E27FC236}">
              <a16:creationId xmlns:a16="http://schemas.microsoft.com/office/drawing/2014/main" id="{64B772D5-D301-451C-A44D-9163AE9D2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5" y="5591176"/>
          <a:ext cx="322897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14</xdr:row>
      <xdr:rowOff>66675</xdr:rowOff>
    </xdr:from>
    <xdr:to>
      <xdr:col>9</xdr:col>
      <xdr:colOff>3305175</xdr:colOff>
      <xdr:row>24</xdr:row>
      <xdr:rowOff>56638</xdr:rowOff>
    </xdr:to>
    <xdr:pic>
      <xdr:nvPicPr>
        <xdr:cNvPr id="4" name="Picture 2">
          <a:extLst>
            <a:ext uri="{FF2B5EF4-FFF2-40B4-BE49-F238E27FC236}">
              <a16:creationId xmlns:a16="http://schemas.microsoft.com/office/drawing/2014/main" id="{1FC0C1BF-2244-4909-A0D0-18D20DEABA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1" y="3152775"/>
          <a:ext cx="322897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104775</xdr:rowOff>
    </xdr:from>
    <xdr:to>
      <xdr:col>9</xdr:col>
      <xdr:colOff>3324225</xdr:colOff>
      <xdr:row>11</xdr:row>
      <xdr:rowOff>155575</xdr:rowOff>
    </xdr:to>
    <xdr:pic>
      <xdr:nvPicPr>
        <xdr:cNvPr id="5" name="Picture 4">
          <a:extLst>
            <a:ext uri="{FF2B5EF4-FFF2-40B4-BE49-F238E27FC236}">
              <a16:creationId xmlns:a16="http://schemas.microsoft.com/office/drawing/2014/main" id="{7E85DEAE-46D8-45CD-B8EA-875C5EC58230}"/>
            </a:ext>
          </a:extLst>
        </xdr:cNvPr>
        <xdr:cNvPicPr preferRelativeResize="0">
          <a:picLocks noChangeAspect="1"/>
        </xdr:cNvPicPr>
      </xdr:nvPicPr>
      <xdr:blipFill>
        <a:blip xmlns:r="http://schemas.openxmlformats.org/officeDocument/2006/relationships" r:embed="rId3"/>
        <a:stretch>
          <a:fillRect/>
        </a:stretch>
      </xdr:blipFill>
      <xdr:spPr>
        <a:xfrm>
          <a:off x="10010776" y="542925"/>
          <a:ext cx="3276599" cy="203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66676</xdr:colOff>
      <xdr:row>28</xdr:row>
      <xdr:rowOff>19050</xdr:rowOff>
    </xdr:from>
    <xdr:to>
      <xdr:col>9</xdr:col>
      <xdr:colOff>3305176</xdr:colOff>
      <xdr:row>37</xdr:row>
      <xdr:rowOff>47625</xdr:rowOff>
    </xdr:to>
    <xdr:pic>
      <xdr:nvPicPr>
        <xdr:cNvPr id="2" name="Picture 1">
          <a:extLst>
            <a:ext uri="{FF2B5EF4-FFF2-40B4-BE49-F238E27FC236}">
              <a16:creationId xmlns:a16="http://schemas.microsoft.com/office/drawing/2014/main" id="{F37722D0-AB77-44D1-A925-438C5D3F7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39401" y="5734050"/>
          <a:ext cx="32385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3295650</xdr:colOff>
      <xdr:row>25</xdr:row>
      <xdr:rowOff>85214</xdr:rowOff>
    </xdr:to>
    <xdr:pic>
      <xdr:nvPicPr>
        <xdr:cNvPr id="3" name="Picture 2">
          <a:extLst>
            <a:ext uri="{FF2B5EF4-FFF2-40B4-BE49-F238E27FC236}">
              <a16:creationId xmlns:a16="http://schemas.microsoft.com/office/drawing/2014/main" id="{6FD1A0FD-F8B4-4DF5-917E-7E42A9C83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3200401"/>
          <a:ext cx="3219450"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95250</xdr:rowOff>
    </xdr:from>
    <xdr:to>
      <xdr:col>9</xdr:col>
      <xdr:colOff>3333751</xdr:colOff>
      <xdr:row>11</xdr:row>
      <xdr:rowOff>76200</xdr:rowOff>
    </xdr:to>
    <xdr:pic>
      <xdr:nvPicPr>
        <xdr:cNvPr id="4" name="Picture 3">
          <a:extLst>
            <a:ext uri="{FF2B5EF4-FFF2-40B4-BE49-F238E27FC236}">
              <a16:creationId xmlns:a16="http://schemas.microsoft.com/office/drawing/2014/main" id="{D6A846B1-99D0-46F6-A344-F73DC83AF973}"/>
            </a:ext>
          </a:extLst>
        </xdr:cNvPr>
        <xdr:cNvPicPr preferRelativeResize="0">
          <a:picLocks noChangeAspect="1"/>
        </xdr:cNvPicPr>
      </xdr:nvPicPr>
      <xdr:blipFill>
        <a:blip xmlns:r="http://schemas.openxmlformats.org/officeDocument/2006/relationships" r:embed="rId3"/>
        <a:stretch>
          <a:fillRect/>
        </a:stretch>
      </xdr:blipFill>
      <xdr:spPr>
        <a:xfrm>
          <a:off x="10429876" y="53340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104775</xdr:rowOff>
    </xdr:from>
    <xdr:to>
      <xdr:col>9</xdr:col>
      <xdr:colOff>3324225</xdr:colOff>
      <xdr:row>24</xdr:row>
      <xdr:rowOff>57151</xdr:rowOff>
    </xdr:to>
    <xdr:pic>
      <xdr:nvPicPr>
        <xdr:cNvPr id="2" name="Picture 2">
          <a:extLst>
            <a:ext uri="{FF2B5EF4-FFF2-40B4-BE49-F238E27FC236}">
              <a16:creationId xmlns:a16="http://schemas.microsoft.com/office/drawing/2014/main" id="{A622A1C1-B089-4B41-847D-1E8FBC68EE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0300" y="3190875"/>
          <a:ext cx="3267075" cy="172402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3324225</xdr:colOff>
      <xdr:row>11</xdr:row>
      <xdr:rowOff>69850</xdr:rowOff>
    </xdr:to>
    <xdr:pic>
      <xdr:nvPicPr>
        <xdr:cNvPr id="3" name="Picture 2">
          <a:extLst>
            <a:ext uri="{FF2B5EF4-FFF2-40B4-BE49-F238E27FC236}">
              <a16:creationId xmlns:a16="http://schemas.microsoft.com/office/drawing/2014/main" id="{9E3A441D-30A4-4279-A026-DAEE7739D21D}"/>
            </a:ext>
          </a:extLst>
        </xdr:cNvPr>
        <xdr:cNvPicPr preferRelativeResize="0">
          <a:picLocks noChangeAspect="1"/>
        </xdr:cNvPicPr>
      </xdr:nvPicPr>
      <xdr:blipFill>
        <a:blip xmlns:r="http://schemas.openxmlformats.org/officeDocument/2006/relationships" r:embed="rId2"/>
        <a:stretch>
          <a:fillRect/>
        </a:stretch>
      </xdr:blipFill>
      <xdr:spPr>
        <a:xfrm>
          <a:off x="10010776" y="457200"/>
          <a:ext cx="3276599" cy="2032000"/>
        </a:xfrm>
        <a:prstGeom prst="rect">
          <a:avLst/>
        </a:prstGeom>
      </xdr:spPr>
    </xdr:pic>
    <xdr:clientData/>
  </xdr:twoCellAnchor>
  <xdr:twoCellAnchor editAs="oneCell">
    <xdr:from>
      <xdr:col>9</xdr:col>
      <xdr:colOff>38102</xdr:colOff>
      <xdr:row>27</xdr:row>
      <xdr:rowOff>85724</xdr:rowOff>
    </xdr:from>
    <xdr:to>
      <xdr:col>9</xdr:col>
      <xdr:colOff>3343276</xdr:colOff>
      <xdr:row>33</xdr:row>
      <xdr:rowOff>28575</xdr:rowOff>
    </xdr:to>
    <xdr:pic>
      <xdr:nvPicPr>
        <xdr:cNvPr id="4" name="Picture 2">
          <a:extLst>
            <a:ext uri="{FF2B5EF4-FFF2-40B4-BE49-F238E27FC236}">
              <a16:creationId xmlns:a16="http://schemas.microsoft.com/office/drawing/2014/main" id="{85BBC0C2-B32B-4B12-BAB9-3120F6E8F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2" y="5591174"/>
          <a:ext cx="3305174"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66677</xdr:colOff>
      <xdr:row>27</xdr:row>
      <xdr:rowOff>66675</xdr:rowOff>
    </xdr:from>
    <xdr:to>
      <xdr:col>9</xdr:col>
      <xdr:colOff>3324224</xdr:colOff>
      <xdr:row>32</xdr:row>
      <xdr:rowOff>358774</xdr:rowOff>
    </xdr:to>
    <xdr:pic>
      <xdr:nvPicPr>
        <xdr:cNvPr id="2" name="Picture 1">
          <a:extLst>
            <a:ext uri="{FF2B5EF4-FFF2-40B4-BE49-F238E27FC236}">
              <a16:creationId xmlns:a16="http://schemas.microsoft.com/office/drawing/2014/main" id="{F3240BF9-7EFA-475A-85D4-482128926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27" y="5572125"/>
          <a:ext cx="3257547"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15</xdr:row>
      <xdr:rowOff>9526</xdr:rowOff>
    </xdr:from>
    <xdr:to>
      <xdr:col>9</xdr:col>
      <xdr:colOff>3324224</xdr:colOff>
      <xdr:row>25</xdr:row>
      <xdr:rowOff>66677</xdr:rowOff>
    </xdr:to>
    <xdr:pic>
      <xdr:nvPicPr>
        <xdr:cNvPr id="3" name="Picture 2">
          <a:extLst>
            <a:ext uri="{FF2B5EF4-FFF2-40B4-BE49-F238E27FC236}">
              <a16:creationId xmlns:a16="http://schemas.microsoft.com/office/drawing/2014/main" id="{FDCFC437-9A08-47B4-92F6-973A8000D8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49" y="3267076"/>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190500</xdr:rowOff>
    </xdr:from>
    <xdr:to>
      <xdr:col>9</xdr:col>
      <xdr:colOff>3352799</xdr:colOff>
      <xdr:row>12</xdr:row>
      <xdr:rowOff>69850</xdr:rowOff>
    </xdr:to>
    <xdr:pic>
      <xdr:nvPicPr>
        <xdr:cNvPr id="6" name="Picture 5">
          <a:extLst>
            <a:ext uri="{FF2B5EF4-FFF2-40B4-BE49-F238E27FC236}">
              <a16:creationId xmlns:a16="http://schemas.microsoft.com/office/drawing/2014/main" id="{C9307E40-3E94-4B41-AAEB-428B5F8D4E63}"/>
            </a:ext>
          </a:extLst>
        </xdr:cNvPr>
        <xdr:cNvPicPr preferRelativeResize="0">
          <a:picLocks noChangeAspect="1"/>
        </xdr:cNvPicPr>
      </xdr:nvPicPr>
      <xdr:blipFill>
        <a:blip xmlns:r="http://schemas.openxmlformats.org/officeDocument/2006/relationships" r:embed="rId3"/>
        <a:stretch>
          <a:fillRect/>
        </a:stretch>
      </xdr:blipFill>
      <xdr:spPr>
        <a:xfrm>
          <a:off x="10039350" y="628650"/>
          <a:ext cx="3276599" cy="203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95252</xdr:colOff>
      <xdr:row>2</xdr:row>
      <xdr:rowOff>57151</xdr:rowOff>
    </xdr:from>
    <xdr:to>
      <xdr:col>9</xdr:col>
      <xdr:colOff>3305176</xdr:colOff>
      <xdr:row>11</xdr:row>
      <xdr:rowOff>47625</xdr:rowOff>
    </xdr:to>
    <xdr:pic>
      <xdr:nvPicPr>
        <xdr:cNvPr id="2" name="Picture 1">
          <a:extLst>
            <a:ext uri="{FF2B5EF4-FFF2-40B4-BE49-F238E27FC236}">
              <a16:creationId xmlns:a16="http://schemas.microsoft.com/office/drawing/2014/main" id="{3BEF1C8F-CE4A-4FDF-9979-2360DFCC6239}"/>
            </a:ext>
          </a:extLst>
        </xdr:cNvPr>
        <xdr:cNvPicPr>
          <a:picLocks noChangeAspect="1"/>
        </xdr:cNvPicPr>
      </xdr:nvPicPr>
      <xdr:blipFill>
        <a:blip xmlns:r="http://schemas.openxmlformats.org/officeDocument/2006/relationships" r:embed="rId1"/>
        <a:stretch>
          <a:fillRect/>
        </a:stretch>
      </xdr:blipFill>
      <xdr:spPr>
        <a:xfrm>
          <a:off x="10410827" y="495301"/>
          <a:ext cx="320992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4968BADE-FBE3-4BDC-A850-2C77BF2628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0107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66677</xdr:colOff>
      <xdr:row>14</xdr:row>
      <xdr:rowOff>142875</xdr:rowOff>
    </xdr:from>
    <xdr:ext cx="3276598" cy="1752599"/>
    <xdr:pic>
      <xdr:nvPicPr>
        <xdr:cNvPr id="4" name="Picture 3">
          <a:extLst>
            <a:ext uri="{FF2B5EF4-FFF2-40B4-BE49-F238E27FC236}">
              <a16:creationId xmlns:a16="http://schemas.microsoft.com/office/drawing/2014/main" id="{9BC4DF8E-93FF-45AD-88E9-8ABCB43D25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2" y="3076575"/>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114301</xdr:colOff>
      <xdr:row>15</xdr:row>
      <xdr:rowOff>152400</xdr:rowOff>
    </xdr:from>
    <xdr:to>
      <xdr:col>9</xdr:col>
      <xdr:colOff>3371851</xdr:colOff>
      <xdr:row>22</xdr:row>
      <xdr:rowOff>36539</xdr:rowOff>
    </xdr:to>
    <xdr:pic>
      <xdr:nvPicPr>
        <xdr:cNvPr id="2" name="Picture 1">
          <a:extLst>
            <a:ext uri="{FF2B5EF4-FFF2-40B4-BE49-F238E27FC236}">
              <a16:creationId xmlns:a16="http://schemas.microsoft.com/office/drawing/2014/main" id="{AC3369B6-25F7-47B9-8656-0A77BF4BE3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1" y="3905250"/>
          <a:ext cx="3257550"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3314700</xdr:colOff>
      <xdr:row>10</xdr:row>
      <xdr:rowOff>152401</xdr:rowOff>
    </xdr:to>
    <xdr:pic>
      <xdr:nvPicPr>
        <xdr:cNvPr id="3" name="Picture 2">
          <a:extLst>
            <a:ext uri="{FF2B5EF4-FFF2-40B4-BE49-F238E27FC236}">
              <a16:creationId xmlns:a16="http://schemas.microsoft.com/office/drawing/2014/main" id="{E394ADD9-3938-4CEF-8C6A-67042B05186E}"/>
            </a:ext>
          </a:extLst>
        </xdr:cNvPr>
        <xdr:cNvPicPr>
          <a:picLocks/>
        </xdr:cNvPicPr>
      </xdr:nvPicPr>
      <xdr:blipFill>
        <a:blip xmlns:r="http://schemas.openxmlformats.org/officeDocument/2006/relationships" r:embed="rId2"/>
        <a:stretch>
          <a:fillRect/>
        </a:stretch>
      </xdr:blipFill>
      <xdr:spPr>
        <a:xfrm>
          <a:off x="10010775" y="466725"/>
          <a:ext cx="3267075"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95252</xdr:colOff>
      <xdr:row>15</xdr:row>
      <xdr:rowOff>47625</xdr:rowOff>
    </xdr:from>
    <xdr:to>
      <xdr:col>9</xdr:col>
      <xdr:colOff>3343276</xdr:colOff>
      <xdr:row>25</xdr:row>
      <xdr:rowOff>47625</xdr:rowOff>
    </xdr:to>
    <xdr:pic>
      <xdr:nvPicPr>
        <xdr:cNvPr id="2" name="Picture 1">
          <a:extLst>
            <a:ext uri="{FF2B5EF4-FFF2-40B4-BE49-F238E27FC236}">
              <a16:creationId xmlns:a16="http://schemas.microsoft.com/office/drawing/2014/main" id="{89AE4D2D-5157-4AB7-A1A3-B0A513863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7" y="3152775"/>
          <a:ext cx="324802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28</xdr:row>
      <xdr:rowOff>133352</xdr:rowOff>
    </xdr:from>
    <xdr:ext cx="3286125" cy="1657348"/>
    <xdr:pic>
      <xdr:nvPicPr>
        <xdr:cNvPr id="3" name="Picture 2">
          <a:extLst>
            <a:ext uri="{FF2B5EF4-FFF2-40B4-BE49-F238E27FC236}">
              <a16:creationId xmlns:a16="http://schemas.microsoft.com/office/drawing/2014/main" id="{9711B845-0A44-41B8-9890-7C11EA64D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91774" y="565785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57151</xdr:colOff>
      <xdr:row>2</xdr:row>
      <xdr:rowOff>47625</xdr:rowOff>
    </xdr:from>
    <xdr:to>
      <xdr:col>9</xdr:col>
      <xdr:colOff>3333751</xdr:colOff>
      <xdr:row>11</xdr:row>
      <xdr:rowOff>47625</xdr:rowOff>
    </xdr:to>
    <xdr:pic>
      <xdr:nvPicPr>
        <xdr:cNvPr id="4" name="Picture 3">
          <a:extLst>
            <a:ext uri="{FF2B5EF4-FFF2-40B4-BE49-F238E27FC236}">
              <a16:creationId xmlns:a16="http://schemas.microsoft.com/office/drawing/2014/main" id="{7B978514-F7B5-4E8A-BFA1-B36406C310B5}"/>
            </a:ext>
          </a:extLst>
        </xdr:cNvPr>
        <xdr:cNvPicPr>
          <a:picLocks noChangeAspect="1"/>
        </xdr:cNvPicPr>
      </xdr:nvPicPr>
      <xdr:blipFill>
        <a:blip xmlns:r="http://schemas.openxmlformats.org/officeDocument/2006/relationships" r:embed="rId2"/>
        <a:stretch>
          <a:fillRect/>
        </a:stretch>
      </xdr:blipFill>
      <xdr:spPr>
        <a:xfrm>
          <a:off x="10391776" y="48577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EF879-ADA0-40B3-B6AA-B5B6687D91F6}">
  <dimension ref="A1:C11"/>
  <sheetViews>
    <sheetView tabSelected="1" workbookViewId="0">
      <selection activeCell="B5" sqref="B5"/>
    </sheetView>
  </sheetViews>
  <sheetFormatPr defaultColWidth="8.85546875" defaultRowHeight="18.75" x14ac:dyDescent="0.3"/>
  <cols>
    <col min="1" max="1" width="7.85546875" style="32" bestFit="1" customWidth="1"/>
    <col min="2" max="2" width="13.7109375" style="32" bestFit="1" customWidth="1"/>
    <col min="3" max="3" width="42.7109375" style="32" bestFit="1" customWidth="1"/>
    <col min="4" max="16384" width="8.85546875" style="32"/>
  </cols>
  <sheetData>
    <row r="1" spans="1:3" x14ac:dyDescent="0.3">
      <c r="A1" s="98" t="s">
        <v>466</v>
      </c>
      <c r="B1" s="99" t="s">
        <v>467</v>
      </c>
      <c r="C1" s="99" t="s">
        <v>468</v>
      </c>
    </row>
    <row r="2" spans="1:3" x14ac:dyDescent="0.3">
      <c r="A2" s="100">
        <v>1</v>
      </c>
      <c r="B2" s="101" t="s">
        <v>469</v>
      </c>
      <c r="C2" s="102" t="s">
        <v>1</v>
      </c>
    </row>
    <row r="3" spans="1:3" x14ac:dyDescent="0.3">
      <c r="A3" s="100">
        <v>2</v>
      </c>
      <c r="B3" s="101" t="s">
        <v>470</v>
      </c>
      <c r="C3" s="102" t="s">
        <v>108</v>
      </c>
    </row>
    <row r="4" spans="1:3" x14ac:dyDescent="0.3">
      <c r="A4" s="100">
        <v>3</v>
      </c>
      <c r="B4" s="101" t="s">
        <v>471</v>
      </c>
      <c r="C4" s="102" t="s">
        <v>139</v>
      </c>
    </row>
    <row r="5" spans="1:3" x14ac:dyDescent="0.3">
      <c r="A5" s="100">
        <v>4</v>
      </c>
      <c r="B5" s="101" t="s">
        <v>472</v>
      </c>
      <c r="C5" s="102" t="s">
        <v>189</v>
      </c>
    </row>
    <row r="6" spans="1:3" x14ac:dyDescent="0.3">
      <c r="A6" s="100">
        <v>5</v>
      </c>
      <c r="B6" s="101" t="s">
        <v>473</v>
      </c>
      <c r="C6" s="102" t="s">
        <v>235</v>
      </c>
    </row>
    <row r="7" spans="1:3" x14ac:dyDescent="0.3">
      <c r="A7" s="100">
        <v>6</v>
      </c>
      <c r="B7" s="101" t="s">
        <v>474</v>
      </c>
      <c r="C7" s="102" t="s">
        <v>361</v>
      </c>
    </row>
    <row r="8" spans="1:3" x14ac:dyDescent="0.3">
      <c r="A8" s="100">
        <v>7</v>
      </c>
      <c r="B8" s="101" t="s">
        <v>475</v>
      </c>
      <c r="C8" s="102" t="s">
        <v>373</v>
      </c>
    </row>
    <row r="9" spans="1:3" x14ac:dyDescent="0.3">
      <c r="A9" s="100">
        <v>8</v>
      </c>
      <c r="B9" s="101" t="s">
        <v>476</v>
      </c>
      <c r="C9" s="102" t="s">
        <v>415</v>
      </c>
    </row>
    <row r="10" spans="1:3" x14ac:dyDescent="0.3">
      <c r="A10" s="100">
        <v>9</v>
      </c>
      <c r="B10" s="101" t="s">
        <v>477</v>
      </c>
      <c r="C10" s="102" t="s">
        <v>419</v>
      </c>
    </row>
    <row r="11" spans="1:3" x14ac:dyDescent="0.3">
      <c r="A11" s="100">
        <v>10</v>
      </c>
      <c r="B11" s="101" t="s">
        <v>478</v>
      </c>
      <c r="C11" s="102" t="s">
        <v>460</v>
      </c>
    </row>
  </sheetData>
  <hyperlinks>
    <hyperlink ref="B3" location="SFRSTP!A1" display="SFRSTP" xr:uid="{D09B00D6-F6B7-4533-94E8-1F513EEBF219}"/>
    <hyperlink ref="B4" location="SMMF!A1" display="SMMF" xr:uid="{9FD2E28E-5B0E-4F84-8503-02E5D57E8CB9}"/>
    <hyperlink ref="B5" location="SPLDF!A1" display="SPLDF" xr:uid="{82759F1C-4E24-420D-9E08-3E0717426E2C}"/>
    <hyperlink ref="B6" location="SPMON!A1" display="SPMON" xr:uid="{48BFDF52-4923-490B-B4F6-3F24910F4075}"/>
    <hyperlink ref="B7" location="SPSDF!A1" display="SPSDF" xr:uid="{49B15DD4-CE23-44E1-8395-33146B2EC0B1}"/>
    <hyperlink ref="B8" location="SPUSDF!A1" display="SPUSDF" xr:uid="{416E1107-CA04-47D1-B484-D6AF6FE99541}"/>
    <hyperlink ref="B9" location="SUNBDS!A1" display="SUNBDS" xr:uid="{94CADCBF-16D1-4D54-99FA-ED85AC38C9F6}"/>
    <hyperlink ref="B10" location="SUNMIA!A1" display="SUNMIA" xr:uid="{5D12ACE6-7C63-4AF7-8FB9-BD9762CBE94E}"/>
    <hyperlink ref="B11" location="SUNONF!A1" display="SUNONF" xr:uid="{E4E19BAE-3431-481E-8A01-4887DC2E757C}"/>
    <hyperlink ref="B2" location="SFRLTP!A1" display="SFRLTP" xr:uid="{3C801DE1-2D3A-4DD0-A414-D35B7D933B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3CCE-D3F9-48B3-A01C-9BD124A78182}">
  <sheetPr>
    <outlinePr summaryBelow="0" summaryRight="0"/>
  </sheetPr>
  <dimension ref="A1:Y146"/>
  <sheetViews>
    <sheetView showGridLines="0" workbookViewId="0">
      <selection activeCell="I118" sqref="I1:J1048576"/>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50.7109375" style="37" customWidth="1"/>
  </cols>
  <sheetData>
    <row r="1" spans="1:25" ht="18" customHeight="1" x14ac:dyDescent="0.2">
      <c r="A1" s="107" t="s">
        <v>0</v>
      </c>
      <c r="B1" s="107"/>
      <c r="C1" s="107"/>
      <c r="D1" s="107"/>
      <c r="E1" s="107"/>
      <c r="F1" s="107"/>
      <c r="G1" s="107"/>
      <c r="H1" s="107"/>
      <c r="I1" s="92" t="s">
        <v>560</v>
      </c>
    </row>
    <row r="2" spans="1:25" ht="17.100000000000001" customHeight="1" x14ac:dyDescent="0.2">
      <c r="A2" s="107" t="s">
        <v>1</v>
      </c>
      <c r="B2" s="107"/>
      <c r="C2" s="107"/>
      <c r="D2" s="107"/>
      <c r="E2" s="107"/>
      <c r="F2" s="107"/>
      <c r="G2" s="107"/>
      <c r="H2" s="107"/>
      <c r="J2" s="93" t="s">
        <v>561</v>
      </c>
    </row>
    <row r="3" spans="1:25" ht="21" customHeight="1" x14ac:dyDescent="0.2">
      <c r="A3" s="107" t="s">
        <v>588</v>
      </c>
      <c r="B3" s="107"/>
      <c r="C3" s="107"/>
      <c r="D3" s="107"/>
      <c r="E3" s="107"/>
      <c r="F3" s="107"/>
      <c r="G3" s="107"/>
      <c r="H3" s="107"/>
    </row>
    <row r="4" spans="1:25" ht="30" x14ac:dyDescent="0.2">
      <c r="A4" s="53" t="s">
        <v>2</v>
      </c>
      <c r="B4" s="53" t="s">
        <v>3</v>
      </c>
      <c r="C4" s="53" t="s">
        <v>4</v>
      </c>
      <c r="D4" s="53" t="s">
        <v>5</v>
      </c>
      <c r="E4" s="53" t="s">
        <v>6</v>
      </c>
      <c r="F4" s="53" t="s">
        <v>7</v>
      </c>
      <c r="G4" s="53" t="s">
        <v>8</v>
      </c>
      <c r="H4" s="51" t="s">
        <v>500</v>
      </c>
      <c r="I4" s="94"/>
      <c r="K4" s="94"/>
      <c r="L4" s="94"/>
      <c r="M4" s="94"/>
      <c r="N4" s="94"/>
      <c r="O4" s="94"/>
      <c r="P4" s="94"/>
      <c r="Q4" s="94"/>
      <c r="R4" s="94"/>
      <c r="S4" s="94"/>
      <c r="T4" s="94"/>
      <c r="U4" s="94"/>
      <c r="V4" s="94"/>
      <c r="W4" s="94"/>
      <c r="X4" s="94"/>
      <c r="Y4" s="94"/>
    </row>
    <row r="5" spans="1:25" ht="14.1" customHeight="1" x14ac:dyDescent="0.2">
      <c r="A5" s="1"/>
      <c r="B5" s="1"/>
      <c r="C5" s="2" t="s">
        <v>9</v>
      </c>
      <c r="D5" s="1"/>
      <c r="E5" s="1"/>
      <c r="F5" s="1"/>
      <c r="G5" s="1"/>
      <c r="H5" s="36"/>
    </row>
    <row r="6" spans="1:25" ht="24" customHeight="1" x14ac:dyDescent="0.2">
      <c r="A6" s="1"/>
      <c r="B6" s="1"/>
      <c r="C6" s="2" t="s">
        <v>10</v>
      </c>
      <c r="D6" s="1"/>
      <c r="E6" s="1"/>
      <c r="F6" s="1"/>
      <c r="G6" s="1"/>
      <c r="H6" s="36"/>
    </row>
    <row r="7" spans="1:25" ht="14.1" customHeight="1" x14ac:dyDescent="0.2">
      <c r="A7" s="1"/>
      <c r="B7" s="1"/>
      <c r="C7" s="2" t="s">
        <v>11</v>
      </c>
      <c r="D7" s="1"/>
      <c r="E7" s="1" t="s">
        <v>12</v>
      </c>
      <c r="F7" s="3" t="s">
        <v>13</v>
      </c>
      <c r="G7" s="4">
        <v>0</v>
      </c>
      <c r="H7" s="36"/>
    </row>
    <row r="8" spans="1:25" ht="14.1" customHeight="1" x14ac:dyDescent="0.2">
      <c r="A8" s="1"/>
      <c r="B8" s="1"/>
      <c r="C8" s="5"/>
      <c r="D8" s="1"/>
      <c r="E8" s="1"/>
      <c r="F8" s="6"/>
      <c r="G8" s="6"/>
      <c r="H8" s="36"/>
    </row>
    <row r="9" spans="1:25" ht="14.1" customHeight="1" x14ac:dyDescent="0.2">
      <c r="A9" s="1"/>
      <c r="B9" s="1"/>
      <c r="C9" s="2" t="s">
        <v>14</v>
      </c>
      <c r="D9" s="1"/>
      <c r="E9" s="1"/>
      <c r="F9" s="1"/>
      <c r="G9" s="1"/>
      <c r="H9" s="36"/>
    </row>
    <row r="10" spans="1:25" ht="14.1" customHeight="1" x14ac:dyDescent="0.2">
      <c r="A10" s="1"/>
      <c r="B10" s="1"/>
      <c r="C10" s="2" t="s">
        <v>11</v>
      </c>
      <c r="D10" s="1"/>
      <c r="E10" s="1" t="s">
        <v>12</v>
      </c>
      <c r="F10" s="3" t="s">
        <v>13</v>
      </c>
      <c r="G10" s="4">
        <v>0</v>
      </c>
      <c r="H10" s="36"/>
    </row>
    <row r="11" spans="1:25" ht="14.1" customHeight="1" x14ac:dyDescent="0.2">
      <c r="A11" s="1"/>
      <c r="B11" s="1"/>
      <c r="C11" s="5"/>
      <c r="D11" s="1"/>
      <c r="E11" s="1"/>
      <c r="F11" s="6"/>
      <c r="G11" s="6"/>
      <c r="H11" s="36"/>
    </row>
    <row r="12" spans="1:25" ht="14.1" customHeight="1" x14ac:dyDescent="0.2">
      <c r="A12" s="1"/>
      <c r="B12" s="1"/>
      <c r="C12" s="2" t="s">
        <v>15</v>
      </c>
      <c r="D12" s="1"/>
      <c r="E12" s="1"/>
      <c r="F12" s="1"/>
      <c r="G12" s="1"/>
      <c r="H12" s="36"/>
      <c r="J12" s="95"/>
    </row>
    <row r="13" spans="1:25" ht="14.1" customHeight="1" x14ac:dyDescent="0.2">
      <c r="A13" s="1"/>
      <c r="B13" s="1"/>
      <c r="C13" s="2" t="s">
        <v>11</v>
      </c>
      <c r="D13" s="1"/>
      <c r="E13" s="1" t="s">
        <v>12</v>
      </c>
      <c r="F13" s="3" t="s">
        <v>13</v>
      </c>
      <c r="G13" s="4">
        <v>0</v>
      </c>
      <c r="H13" s="36"/>
      <c r="J13" s="96"/>
    </row>
    <row r="14" spans="1:25" ht="14.1" customHeight="1" x14ac:dyDescent="0.2">
      <c r="A14" s="1"/>
      <c r="B14" s="1"/>
      <c r="C14" s="5"/>
      <c r="D14" s="1"/>
      <c r="E14" s="1"/>
      <c r="F14" s="6"/>
      <c r="G14" s="6"/>
      <c r="H14" s="36"/>
    </row>
    <row r="15" spans="1:25" ht="25.5" x14ac:dyDescent="0.2">
      <c r="A15" s="1"/>
      <c r="B15" s="1"/>
      <c r="C15" s="2" t="s">
        <v>16</v>
      </c>
      <c r="D15" s="1"/>
      <c r="E15" s="1"/>
      <c r="F15" s="1"/>
      <c r="G15" s="1"/>
      <c r="H15" s="36"/>
      <c r="J15" s="96" t="s">
        <v>562</v>
      </c>
    </row>
    <row r="16" spans="1:25"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5"/>
    </row>
    <row r="23" spans="1:10" ht="14.1" customHeight="1" x14ac:dyDescent="0.2">
      <c r="A23" s="1"/>
      <c r="B23" s="1"/>
      <c r="C23" s="5"/>
      <c r="D23" s="1"/>
      <c r="E23" s="1"/>
      <c r="F23" s="6"/>
      <c r="G23" s="6"/>
      <c r="H23" s="36"/>
      <c r="J23" s="96"/>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row>
    <row r="28" spans="1:10" ht="29.1" customHeight="1" x14ac:dyDescent="0.2">
      <c r="A28" s="8">
        <v>1</v>
      </c>
      <c r="B28" s="9" t="s">
        <v>21</v>
      </c>
      <c r="C28" s="9" t="s">
        <v>22</v>
      </c>
      <c r="D28" s="9" t="s">
        <v>23</v>
      </c>
      <c r="E28" s="10">
        <v>6500</v>
      </c>
      <c r="F28" s="11">
        <v>6450.3270000000002</v>
      </c>
      <c r="G28" s="12">
        <v>9.0905250000000007E-2</v>
      </c>
      <c r="H28" s="36">
        <v>7.6121999999999996</v>
      </c>
      <c r="J28" s="96" t="s">
        <v>563</v>
      </c>
    </row>
    <row r="29" spans="1:10" ht="29.1" customHeight="1" x14ac:dyDescent="0.2">
      <c r="A29" s="8">
        <v>2</v>
      </c>
      <c r="B29" s="9" t="s">
        <v>24</v>
      </c>
      <c r="C29" s="9" t="s">
        <v>25</v>
      </c>
      <c r="D29" s="9" t="s">
        <v>23</v>
      </c>
      <c r="E29" s="10">
        <v>6000</v>
      </c>
      <c r="F29" s="11">
        <v>5957.2139999999999</v>
      </c>
      <c r="G29" s="12">
        <v>8.3955749999999996E-2</v>
      </c>
      <c r="H29" s="36">
        <v>7.78</v>
      </c>
    </row>
    <row r="30" spans="1:10" ht="29.1" customHeight="1" x14ac:dyDescent="0.2">
      <c r="A30" s="8">
        <v>3</v>
      </c>
      <c r="B30" s="9" t="s">
        <v>26</v>
      </c>
      <c r="C30" s="9" t="s">
        <v>27</v>
      </c>
      <c r="D30" s="9" t="s">
        <v>23</v>
      </c>
      <c r="E30" s="10">
        <v>4000</v>
      </c>
      <c r="F30" s="11">
        <v>3983.4879999999998</v>
      </c>
      <c r="G30" s="12">
        <v>5.6139790000000002E-2</v>
      </c>
      <c r="H30" s="36">
        <v>7.6306000000000003</v>
      </c>
    </row>
    <row r="31" spans="1:10" ht="29.1" customHeight="1" x14ac:dyDescent="0.2">
      <c r="A31" s="8">
        <v>4</v>
      </c>
      <c r="B31" s="9" t="s">
        <v>28</v>
      </c>
      <c r="C31" s="9" t="s">
        <v>29</v>
      </c>
      <c r="D31" s="9" t="s">
        <v>23</v>
      </c>
      <c r="E31" s="10">
        <v>300</v>
      </c>
      <c r="F31" s="11">
        <v>2983.5329999999999</v>
      </c>
      <c r="G31" s="12">
        <v>4.2047300000000003E-2</v>
      </c>
      <c r="H31" s="36">
        <v>7.86</v>
      </c>
    </row>
    <row r="32" spans="1:10" ht="29.1" customHeight="1" x14ac:dyDescent="0.2">
      <c r="A32" s="8">
        <v>5</v>
      </c>
      <c r="B32" s="9" t="s">
        <v>30</v>
      </c>
      <c r="C32" s="9" t="s">
        <v>31</v>
      </c>
      <c r="D32" s="9" t="s">
        <v>32</v>
      </c>
      <c r="E32" s="10">
        <v>2500</v>
      </c>
      <c r="F32" s="11">
        <v>2500.5825</v>
      </c>
      <c r="G32" s="12">
        <v>3.5241019999999998E-2</v>
      </c>
      <c r="H32" s="36">
        <v>7.6475</v>
      </c>
    </row>
    <row r="33" spans="1:8" ht="29.1" customHeight="1" x14ac:dyDescent="0.2">
      <c r="A33" s="8">
        <v>6</v>
      </c>
      <c r="B33" s="9" t="s">
        <v>33</v>
      </c>
      <c r="C33" s="9" t="s">
        <v>34</v>
      </c>
      <c r="D33" s="9" t="s">
        <v>23</v>
      </c>
      <c r="E33" s="10">
        <v>2500</v>
      </c>
      <c r="F33" s="11">
        <v>2495.7075</v>
      </c>
      <c r="G33" s="12">
        <v>3.5172309999999998E-2</v>
      </c>
      <c r="H33" s="36">
        <v>7.6550000000000002</v>
      </c>
    </row>
    <row r="34" spans="1:8" ht="17.100000000000001" customHeight="1" x14ac:dyDescent="0.2">
      <c r="A34" s="8">
        <v>7</v>
      </c>
      <c r="B34" s="9" t="s">
        <v>35</v>
      </c>
      <c r="C34" s="9" t="s">
        <v>36</v>
      </c>
      <c r="D34" s="9" t="s">
        <v>23</v>
      </c>
      <c r="E34" s="10">
        <v>2500</v>
      </c>
      <c r="F34" s="11">
        <v>2489.29</v>
      </c>
      <c r="G34" s="12">
        <v>3.5081870000000001E-2</v>
      </c>
      <c r="H34" s="36">
        <v>7.72</v>
      </c>
    </row>
    <row r="35" spans="1:8" ht="29.1" customHeight="1" x14ac:dyDescent="0.2">
      <c r="A35" s="8">
        <v>8</v>
      </c>
      <c r="B35" s="9" t="s">
        <v>37</v>
      </c>
      <c r="C35" s="9" t="s">
        <v>38</v>
      </c>
      <c r="D35" s="9" t="s">
        <v>23</v>
      </c>
      <c r="E35" s="10">
        <v>2500</v>
      </c>
      <c r="F35" s="11">
        <v>2489.1675</v>
      </c>
      <c r="G35" s="12">
        <v>3.5080140000000003E-2</v>
      </c>
      <c r="H35" s="36">
        <v>7.7149999999999999</v>
      </c>
    </row>
    <row r="36" spans="1:8" ht="17.100000000000001" customHeight="1" x14ac:dyDescent="0.2">
      <c r="A36" s="8">
        <v>9</v>
      </c>
      <c r="B36" s="9" t="s">
        <v>39</v>
      </c>
      <c r="C36" s="9" t="s">
        <v>40</v>
      </c>
      <c r="D36" s="9" t="s">
        <v>23</v>
      </c>
      <c r="E36" s="10">
        <v>2500</v>
      </c>
      <c r="F36" s="11">
        <v>2488.2925</v>
      </c>
      <c r="G36" s="12">
        <v>3.5067809999999998E-2</v>
      </c>
      <c r="H36" s="36">
        <v>7.6</v>
      </c>
    </row>
    <row r="37" spans="1:8" ht="29.1" customHeight="1" x14ac:dyDescent="0.2">
      <c r="A37" s="8">
        <v>10</v>
      </c>
      <c r="B37" s="9" t="s">
        <v>41</v>
      </c>
      <c r="C37" s="9" t="s">
        <v>42</v>
      </c>
      <c r="D37" s="9" t="s">
        <v>23</v>
      </c>
      <c r="E37" s="10">
        <v>2500</v>
      </c>
      <c r="F37" s="11">
        <v>2481.2600000000002</v>
      </c>
      <c r="G37" s="12">
        <v>3.4968699999999998E-2</v>
      </c>
      <c r="H37" s="36">
        <v>7.6306000000000003</v>
      </c>
    </row>
    <row r="38" spans="1:8" ht="29.1" customHeight="1" x14ac:dyDescent="0.2">
      <c r="A38" s="8">
        <v>11</v>
      </c>
      <c r="B38" s="9" t="s">
        <v>43</v>
      </c>
      <c r="C38" s="9" t="s">
        <v>44</v>
      </c>
      <c r="D38" s="9" t="s">
        <v>23</v>
      </c>
      <c r="E38" s="10">
        <v>250</v>
      </c>
      <c r="F38" s="11">
        <v>2473.7575000000002</v>
      </c>
      <c r="G38" s="12">
        <v>3.486297E-2</v>
      </c>
      <c r="H38" s="36">
        <v>7.7</v>
      </c>
    </row>
    <row r="39" spans="1:8" ht="29.1" customHeight="1" x14ac:dyDescent="0.2">
      <c r="A39" s="8">
        <v>12</v>
      </c>
      <c r="B39" s="9" t="s">
        <v>45</v>
      </c>
      <c r="C39" s="9" t="s">
        <v>46</v>
      </c>
      <c r="D39" s="9" t="s">
        <v>23</v>
      </c>
      <c r="E39" s="10">
        <v>2000</v>
      </c>
      <c r="F39" s="11">
        <v>1999.9680000000001</v>
      </c>
      <c r="G39" s="12">
        <v>2.81858E-2</v>
      </c>
      <c r="H39" s="36">
        <v>7.59</v>
      </c>
    </row>
    <row r="40" spans="1:8" ht="29.1" customHeight="1" x14ac:dyDescent="0.2">
      <c r="A40" s="8">
        <v>13</v>
      </c>
      <c r="B40" s="9" t="s">
        <v>47</v>
      </c>
      <c r="C40" s="9" t="s">
        <v>48</v>
      </c>
      <c r="D40" s="9" t="s">
        <v>32</v>
      </c>
      <c r="E40" s="10">
        <v>200</v>
      </c>
      <c r="F40" s="11">
        <v>1992.742</v>
      </c>
      <c r="G40" s="12">
        <v>2.8083960000000002E-2</v>
      </c>
      <c r="H40" s="36">
        <v>7.5425000000000004</v>
      </c>
    </row>
    <row r="41" spans="1:8" ht="17.100000000000001" customHeight="1" x14ac:dyDescent="0.2">
      <c r="A41" s="8">
        <v>14</v>
      </c>
      <c r="B41" s="9" t="s">
        <v>49</v>
      </c>
      <c r="C41" s="9" t="s">
        <v>50</v>
      </c>
      <c r="D41" s="9" t="s">
        <v>23</v>
      </c>
      <c r="E41" s="10">
        <v>2000</v>
      </c>
      <c r="F41" s="11">
        <v>1991.0419999999999</v>
      </c>
      <c r="G41" s="12">
        <v>2.8060000000000002E-2</v>
      </c>
      <c r="H41" s="36">
        <v>7.93</v>
      </c>
    </row>
    <row r="42" spans="1:8" ht="29.1" customHeight="1" x14ac:dyDescent="0.2">
      <c r="A42" s="8">
        <v>15</v>
      </c>
      <c r="B42" s="9" t="s">
        <v>51</v>
      </c>
      <c r="C42" s="9" t="s">
        <v>52</v>
      </c>
      <c r="D42" s="9" t="s">
        <v>23</v>
      </c>
      <c r="E42" s="10">
        <v>1500</v>
      </c>
      <c r="F42" s="11">
        <v>1507.8434999999999</v>
      </c>
      <c r="G42" s="12">
        <v>2.125022E-2</v>
      </c>
      <c r="H42" s="36">
        <v>7.71</v>
      </c>
    </row>
    <row r="43" spans="1:8" ht="17.100000000000001" customHeight="1" x14ac:dyDescent="0.2">
      <c r="A43" s="8">
        <v>16</v>
      </c>
      <c r="B43" s="9" t="s">
        <v>53</v>
      </c>
      <c r="C43" s="9" t="s">
        <v>54</v>
      </c>
      <c r="D43" s="9" t="s">
        <v>23</v>
      </c>
      <c r="E43" s="10">
        <v>1500</v>
      </c>
      <c r="F43" s="11">
        <v>1501.2149999999999</v>
      </c>
      <c r="G43" s="12">
        <v>2.1156810000000002E-2</v>
      </c>
      <c r="H43" s="36">
        <v>7.71</v>
      </c>
    </row>
    <row r="44" spans="1:8" ht="29.1" customHeight="1" x14ac:dyDescent="0.2">
      <c r="A44" s="8">
        <v>17</v>
      </c>
      <c r="B44" s="9" t="s">
        <v>55</v>
      </c>
      <c r="C44" s="9" t="s">
        <v>56</v>
      </c>
      <c r="D44" s="9" t="s">
        <v>23</v>
      </c>
      <c r="E44" s="10">
        <v>1500</v>
      </c>
      <c r="F44" s="11">
        <v>1494.9825000000001</v>
      </c>
      <c r="G44" s="12">
        <v>2.1068969999999999E-2</v>
      </c>
      <c r="H44" s="36">
        <v>7.7750000000000004</v>
      </c>
    </row>
    <row r="45" spans="1:8" ht="29.1" customHeight="1" x14ac:dyDescent="0.2">
      <c r="A45" s="8">
        <v>18</v>
      </c>
      <c r="B45" s="9" t="s">
        <v>57</v>
      </c>
      <c r="C45" s="9" t="s">
        <v>58</v>
      </c>
      <c r="D45" s="9" t="s">
        <v>23</v>
      </c>
      <c r="E45" s="10">
        <v>1500</v>
      </c>
      <c r="F45" s="11">
        <v>1494.663</v>
      </c>
      <c r="G45" s="12">
        <v>2.1064469999999998E-2</v>
      </c>
      <c r="H45" s="36">
        <v>7.76</v>
      </c>
    </row>
    <row r="46" spans="1:8" ht="29.1" customHeight="1" x14ac:dyDescent="0.2">
      <c r="A46" s="8">
        <v>19</v>
      </c>
      <c r="B46" s="9" t="s">
        <v>59</v>
      </c>
      <c r="C46" s="9" t="s">
        <v>60</v>
      </c>
      <c r="D46" s="9" t="s">
        <v>23</v>
      </c>
      <c r="E46" s="10">
        <v>100</v>
      </c>
      <c r="F46" s="11">
        <v>1001.986</v>
      </c>
      <c r="G46" s="12">
        <v>1.4121109999999999E-2</v>
      </c>
      <c r="H46" s="36">
        <v>7.86</v>
      </c>
    </row>
    <row r="47" spans="1:8" ht="29.1" customHeight="1" x14ac:dyDescent="0.2">
      <c r="A47" s="8">
        <v>20</v>
      </c>
      <c r="B47" s="9" t="s">
        <v>61</v>
      </c>
      <c r="C47" s="9" t="s">
        <v>62</v>
      </c>
      <c r="D47" s="9" t="s">
        <v>23</v>
      </c>
      <c r="E47" s="10">
        <v>1000</v>
      </c>
      <c r="F47" s="11">
        <v>998.4</v>
      </c>
      <c r="G47" s="12">
        <v>1.4070569999999999E-2</v>
      </c>
      <c r="H47" s="36">
        <v>8.1950000000000003</v>
      </c>
    </row>
    <row r="48" spans="1:8" ht="14.1" customHeight="1" x14ac:dyDescent="0.2">
      <c r="A48" s="1"/>
      <c r="B48" s="1"/>
      <c r="C48" s="2" t="s">
        <v>11</v>
      </c>
      <c r="D48" s="1"/>
      <c r="E48" s="1" t="s">
        <v>12</v>
      </c>
      <c r="F48" s="7">
        <v>50775.461499999998</v>
      </c>
      <c r="G48" s="4">
        <v>0.71558482000000001</v>
      </c>
      <c r="H48" s="36"/>
    </row>
    <row r="49" spans="1:8" ht="14.1" customHeight="1" x14ac:dyDescent="0.2">
      <c r="A49" s="1"/>
      <c r="B49" s="1"/>
      <c r="C49" s="5"/>
      <c r="D49" s="1"/>
      <c r="E49" s="1"/>
      <c r="F49" s="6"/>
      <c r="G49" s="6"/>
      <c r="H49" s="36"/>
    </row>
    <row r="50" spans="1:8" ht="14.1" customHeight="1" x14ac:dyDescent="0.2">
      <c r="A50" s="1"/>
      <c r="B50" s="1"/>
      <c r="C50" s="2" t="s">
        <v>63</v>
      </c>
      <c r="D50" s="1"/>
      <c r="E50" s="1"/>
      <c r="F50" s="1"/>
      <c r="G50" s="1"/>
      <c r="H50" s="36"/>
    </row>
    <row r="51" spans="1:8" ht="14.1" customHeight="1" x14ac:dyDescent="0.2">
      <c r="A51" s="1"/>
      <c r="B51" s="1"/>
      <c r="C51" s="2" t="s">
        <v>11</v>
      </c>
      <c r="D51" s="1"/>
      <c r="E51" s="1" t="s">
        <v>12</v>
      </c>
      <c r="F51" s="3" t="s">
        <v>13</v>
      </c>
      <c r="G51" s="4">
        <v>0</v>
      </c>
      <c r="H51" s="36"/>
    </row>
    <row r="52" spans="1:8" ht="14.1" customHeight="1" x14ac:dyDescent="0.2">
      <c r="A52" s="1"/>
      <c r="B52" s="1"/>
      <c r="C52" s="5"/>
      <c r="D52" s="1"/>
      <c r="E52" s="1"/>
      <c r="F52" s="6"/>
      <c r="G52" s="6"/>
      <c r="H52" s="36"/>
    </row>
    <row r="53" spans="1:8" ht="14.1" customHeight="1" x14ac:dyDescent="0.2">
      <c r="A53" s="1"/>
      <c r="B53" s="1"/>
      <c r="C53" s="2" t="s">
        <v>64</v>
      </c>
      <c r="D53" s="1"/>
      <c r="E53" s="1"/>
      <c r="F53" s="1"/>
      <c r="G53" s="1"/>
      <c r="H53" s="36"/>
    </row>
    <row r="54" spans="1:8" ht="29.1" customHeight="1" x14ac:dyDescent="0.2">
      <c r="A54" s="8">
        <v>1</v>
      </c>
      <c r="B54" s="9" t="s">
        <v>65</v>
      </c>
      <c r="C54" s="9" t="s">
        <v>66</v>
      </c>
      <c r="D54" s="9" t="s">
        <v>67</v>
      </c>
      <c r="E54" s="10">
        <v>11500000</v>
      </c>
      <c r="F54" s="11">
        <v>11597.566000000001</v>
      </c>
      <c r="G54" s="12">
        <v>0.16344591999999999</v>
      </c>
      <c r="H54" s="36">
        <v>7.1749000000000001</v>
      </c>
    </row>
    <row r="55" spans="1:8" ht="17.100000000000001" customHeight="1" x14ac:dyDescent="0.2">
      <c r="A55" s="8">
        <v>2</v>
      </c>
      <c r="B55" s="9" t="s">
        <v>68</v>
      </c>
      <c r="C55" s="9" t="s">
        <v>69</v>
      </c>
      <c r="D55" s="9" t="s">
        <v>67</v>
      </c>
      <c r="E55" s="10">
        <v>3000000</v>
      </c>
      <c r="F55" s="11">
        <v>3041.8049999999998</v>
      </c>
      <c r="G55" s="12">
        <v>4.2868530000000002E-2</v>
      </c>
      <c r="H55" s="36">
        <v>7.1661999999999999</v>
      </c>
    </row>
    <row r="56" spans="1:8" ht="29.1" customHeight="1" x14ac:dyDescent="0.2">
      <c r="A56" s="8">
        <v>3</v>
      </c>
      <c r="B56" s="9" t="s">
        <v>70</v>
      </c>
      <c r="C56" s="9" t="s">
        <v>71</v>
      </c>
      <c r="D56" s="9" t="s">
        <v>67</v>
      </c>
      <c r="E56" s="10">
        <v>2500000</v>
      </c>
      <c r="F56" s="11">
        <v>2504.0025000000001</v>
      </c>
      <c r="G56" s="12">
        <v>3.5289220000000003E-2</v>
      </c>
      <c r="H56" s="36">
        <v>7.1291000000000002</v>
      </c>
    </row>
    <row r="57" spans="1:8" ht="29.1" customHeight="1" x14ac:dyDescent="0.2">
      <c r="A57" s="8">
        <v>4</v>
      </c>
      <c r="B57" s="9" t="s">
        <v>72</v>
      </c>
      <c r="C57" s="9" t="s">
        <v>73</v>
      </c>
      <c r="D57" s="9" t="s">
        <v>67</v>
      </c>
      <c r="E57" s="10">
        <v>300000</v>
      </c>
      <c r="F57" s="11">
        <v>301.89179999999999</v>
      </c>
      <c r="G57" s="12">
        <v>4.2545999999999999E-3</v>
      </c>
      <c r="H57" s="36">
        <v>7.1303999999999998</v>
      </c>
    </row>
    <row r="58" spans="1:8" ht="14.1" customHeight="1" x14ac:dyDescent="0.2">
      <c r="A58" s="1"/>
      <c r="B58" s="1"/>
      <c r="C58" s="2" t="s">
        <v>11</v>
      </c>
      <c r="D58" s="1"/>
      <c r="E58" s="1" t="s">
        <v>12</v>
      </c>
      <c r="F58" s="7">
        <v>17445.265299999999</v>
      </c>
      <c r="G58" s="4">
        <v>0.24585826999999999</v>
      </c>
      <c r="H58" s="36"/>
    </row>
    <row r="59" spans="1:8" ht="14.1" customHeight="1" x14ac:dyDescent="0.2">
      <c r="A59" s="1"/>
      <c r="B59" s="1"/>
      <c r="C59" s="5"/>
      <c r="D59" s="1"/>
      <c r="E59" s="1"/>
      <c r="F59" s="6"/>
      <c r="G59" s="6"/>
      <c r="H59" s="36"/>
    </row>
    <row r="60" spans="1:8" ht="14.1" customHeight="1" x14ac:dyDescent="0.2">
      <c r="A60" s="1"/>
      <c r="B60" s="1"/>
      <c r="C60" s="2" t="s">
        <v>74</v>
      </c>
      <c r="D60" s="1"/>
      <c r="E60" s="1"/>
      <c r="F60" s="6"/>
      <c r="G60" s="6"/>
      <c r="H60" s="36"/>
    </row>
    <row r="61" spans="1:8" ht="14.1" customHeight="1" x14ac:dyDescent="0.2">
      <c r="A61" s="1"/>
      <c r="B61" s="1"/>
      <c r="C61" s="2" t="s">
        <v>11</v>
      </c>
      <c r="D61" s="1"/>
      <c r="E61" s="1" t="s">
        <v>12</v>
      </c>
      <c r="F61" s="3" t="s">
        <v>13</v>
      </c>
      <c r="G61" s="4">
        <v>0</v>
      </c>
      <c r="H61" s="36"/>
    </row>
    <row r="62" spans="1:8" ht="14.1" customHeight="1" x14ac:dyDescent="0.2">
      <c r="A62" s="1"/>
      <c r="B62" s="1"/>
      <c r="C62" s="5"/>
      <c r="D62" s="1"/>
      <c r="E62" s="1"/>
      <c r="F62" s="6"/>
      <c r="G62" s="6"/>
      <c r="H62" s="36"/>
    </row>
    <row r="63" spans="1:8" ht="14.1" customHeight="1" x14ac:dyDescent="0.2">
      <c r="A63" s="1"/>
      <c r="B63" s="1"/>
      <c r="C63" s="2" t="s">
        <v>75</v>
      </c>
      <c r="D63" s="1"/>
      <c r="E63" s="1"/>
      <c r="F63" s="7">
        <v>68220.726800000004</v>
      </c>
      <c r="G63" s="4">
        <v>0.96144308999999994</v>
      </c>
      <c r="H63" s="36"/>
    </row>
    <row r="64" spans="1:8" ht="14.1" customHeight="1" x14ac:dyDescent="0.2">
      <c r="A64" s="1"/>
      <c r="B64" s="1"/>
      <c r="C64" s="5"/>
      <c r="D64" s="1"/>
      <c r="E64" s="1"/>
      <c r="F64" s="6"/>
      <c r="G64" s="6"/>
      <c r="H64" s="36"/>
    </row>
    <row r="65" spans="1:8" ht="14.1" customHeight="1" x14ac:dyDescent="0.2">
      <c r="A65" s="1"/>
      <c r="B65" s="1"/>
      <c r="C65" s="2" t="s">
        <v>76</v>
      </c>
      <c r="D65" s="1"/>
      <c r="E65" s="1"/>
      <c r="F65" s="6"/>
      <c r="G65" s="6"/>
      <c r="H65" s="36"/>
    </row>
    <row r="66" spans="1:8" ht="14.1" customHeight="1" x14ac:dyDescent="0.2">
      <c r="A66" s="1"/>
      <c r="B66" s="1"/>
      <c r="C66" s="2" t="s">
        <v>77</v>
      </c>
      <c r="D66" s="1"/>
      <c r="E66" s="1"/>
      <c r="F66" s="6"/>
      <c r="G66" s="6"/>
      <c r="H66" s="36"/>
    </row>
    <row r="67" spans="1:8" ht="14.1" customHeight="1" x14ac:dyDescent="0.2">
      <c r="A67" s="1"/>
      <c r="B67" s="1"/>
      <c r="C67" s="2" t="s">
        <v>11</v>
      </c>
      <c r="D67" s="1"/>
      <c r="E67" s="1" t="s">
        <v>12</v>
      </c>
      <c r="F67" s="3" t="s">
        <v>13</v>
      </c>
      <c r="G67" s="4">
        <v>0</v>
      </c>
      <c r="H67" s="36"/>
    </row>
    <row r="68" spans="1:8" ht="14.1" customHeight="1" x14ac:dyDescent="0.2">
      <c r="A68" s="1"/>
      <c r="B68" s="1"/>
      <c r="C68" s="5"/>
      <c r="D68" s="1"/>
      <c r="E68" s="1"/>
      <c r="F68" s="6"/>
      <c r="G68" s="6"/>
      <c r="H68" s="36"/>
    </row>
    <row r="69" spans="1:8" ht="14.1" customHeight="1" x14ac:dyDescent="0.2">
      <c r="A69" s="1"/>
      <c r="B69" s="1"/>
      <c r="C69" s="2" t="s">
        <v>78</v>
      </c>
      <c r="D69" s="1"/>
      <c r="E69" s="1"/>
      <c r="F69" s="6"/>
      <c r="G69" s="6"/>
      <c r="H69" s="36"/>
    </row>
    <row r="70" spans="1:8" ht="14.1" customHeight="1" x14ac:dyDescent="0.2">
      <c r="A70" s="1"/>
      <c r="B70" s="1"/>
      <c r="C70" s="2" t="s">
        <v>11</v>
      </c>
      <c r="D70" s="1"/>
      <c r="E70" s="1" t="s">
        <v>12</v>
      </c>
      <c r="F70" s="3" t="s">
        <v>13</v>
      </c>
      <c r="G70" s="4">
        <v>0</v>
      </c>
      <c r="H70" s="36"/>
    </row>
    <row r="71" spans="1:8" ht="14.1" customHeight="1" x14ac:dyDescent="0.2">
      <c r="A71" s="1"/>
      <c r="B71" s="1"/>
      <c r="C71" s="5"/>
      <c r="D71" s="1"/>
      <c r="E71" s="1"/>
      <c r="F71" s="6"/>
      <c r="G71" s="6"/>
      <c r="H71" s="36"/>
    </row>
    <row r="72" spans="1:8" ht="14.1" customHeight="1" x14ac:dyDescent="0.2">
      <c r="A72" s="1"/>
      <c r="B72" s="1"/>
      <c r="C72" s="2" t="s">
        <v>79</v>
      </c>
      <c r="D72" s="1"/>
      <c r="E72" s="1"/>
      <c r="F72" s="6"/>
      <c r="G72" s="6"/>
      <c r="H72" s="36"/>
    </row>
    <row r="73" spans="1:8" ht="14.1" customHeight="1" x14ac:dyDescent="0.2">
      <c r="A73" s="1"/>
      <c r="B73" s="1"/>
      <c r="C73" s="2" t="s">
        <v>11</v>
      </c>
      <c r="D73" s="1"/>
      <c r="E73" s="1" t="s">
        <v>12</v>
      </c>
      <c r="F73" s="3" t="s">
        <v>13</v>
      </c>
      <c r="G73" s="4">
        <v>0</v>
      </c>
      <c r="H73" s="36"/>
    </row>
    <row r="74" spans="1:8" ht="14.1" customHeight="1" x14ac:dyDescent="0.2">
      <c r="A74" s="1"/>
      <c r="B74" s="1"/>
      <c r="C74" s="5"/>
      <c r="D74" s="1"/>
      <c r="E74" s="1"/>
      <c r="F74" s="6"/>
      <c r="G74" s="6"/>
      <c r="H74" s="36"/>
    </row>
    <row r="75" spans="1:8" ht="14.1" customHeight="1" x14ac:dyDescent="0.2">
      <c r="A75" s="1"/>
      <c r="B75" s="1"/>
      <c r="C75" s="2" t="s">
        <v>80</v>
      </c>
      <c r="D75" s="1"/>
      <c r="E75" s="1"/>
      <c r="F75" s="6"/>
      <c r="G75" s="6"/>
      <c r="H75" s="36"/>
    </row>
    <row r="76" spans="1:8" ht="17.100000000000001" customHeight="1" x14ac:dyDescent="0.2">
      <c r="A76" s="8">
        <v>1</v>
      </c>
      <c r="B76" s="9"/>
      <c r="C76" s="9" t="s">
        <v>81</v>
      </c>
      <c r="D76" s="9"/>
      <c r="E76" s="13"/>
      <c r="F76" s="11">
        <v>559.46745400099996</v>
      </c>
      <c r="G76" s="12">
        <v>7.8846400000000001E-3</v>
      </c>
      <c r="H76" s="36">
        <v>6.7262665696944239</v>
      </c>
    </row>
    <row r="77" spans="1:8" ht="14.1" customHeight="1" x14ac:dyDescent="0.2">
      <c r="A77" s="1"/>
      <c r="B77" s="1"/>
      <c r="C77" s="2" t="s">
        <v>11</v>
      </c>
      <c r="D77" s="1"/>
      <c r="E77" s="1" t="s">
        <v>12</v>
      </c>
      <c r="F77" s="7">
        <v>559.46745400099996</v>
      </c>
      <c r="G77" s="4">
        <v>7.8846400000000001E-3</v>
      </c>
      <c r="H77" s="36"/>
    </row>
    <row r="78" spans="1:8" ht="14.1" customHeight="1" x14ac:dyDescent="0.2">
      <c r="A78" s="1"/>
      <c r="B78" s="1"/>
      <c r="C78" s="5"/>
      <c r="D78" s="1"/>
      <c r="E78" s="1"/>
      <c r="F78" s="6"/>
      <c r="G78" s="6"/>
      <c r="H78" s="36"/>
    </row>
    <row r="79" spans="1:8" ht="14.1" customHeight="1" x14ac:dyDescent="0.2">
      <c r="A79" s="1"/>
      <c r="B79" s="1"/>
      <c r="C79" s="2" t="s">
        <v>82</v>
      </c>
      <c r="D79" s="1"/>
      <c r="E79" s="1"/>
      <c r="F79" s="7">
        <v>559.46745400099996</v>
      </c>
      <c r="G79" s="4">
        <v>7.8846400000000001E-3</v>
      </c>
      <c r="H79" s="36"/>
    </row>
    <row r="80" spans="1:8" ht="14.1" customHeight="1" x14ac:dyDescent="0.2">
      <c r="A80" s="1"/>
      <c r="B80" s="1"/>
      <c r="C80" s="6"/>
      <c r="D80" s="1"/>
      <c r="E80" s="1"/>
      <c r="F80" s="1"/>
      <c r="G80" s="1"/>
      <c r="H80" s="36"/>
    </row>
    <row r="81" spans="1:18" ht="14.1" customHeight="1" x14ac:dyDescent="0.2">
      <c r="A81" s="1"/>
      <c r="B81" s="1"/>
      <c r="C81" s="2" t="s">
        <v>83</v>
      </c>
      <c r="D81" s="1"/>
      <c r="E81" s="1"/>
      <c r="F81" s="1"/>
      <c r="G81" s="1"/>
      <c r="H81" s="36"/>
    </row>
    <row r="82" spans="1:18" ht="14.1" customHeight="1" x14ac:dyDescent="0.2">
      <c r="A82" s="1"/>
      <c r="B82" s="1"/>
      <c r="C82" s="2" t="s">
        <v>84</v>
      </c>
      <c r="D82" s="1"/>
      <c r="E82" s="1"/>
      <c r="F82" s="1"/>
      <c r="G82" s="1"/>
      <c r="H82" s="36"/>
    </row>
    <row r="83" spans="1:18" ht="14.1" customHeight="1" x14ac:dyDescent="0.2">
      <c r="A83" s="1"/>
      <c r="B83" s="1"/>
      <c r="C83" s="2" t="s">
        <v>11</v>
      </c>
      <c r="D83" s="1"/>
      <c r="E83" s="1" t="s">
        <v>12</v>
      </c>
      <c r="F83" s="3" t="s">
        <v>13</v>
      </c>
      <c r="G83" s="4">
        <v>0</v>
      </c>
      <c r="H83" s="36"/>
    </row>
    <row r="84" spans="1:18" ht="14.1" customHeight="1" x14ac:dyDescent="0.2">
      <c r="A84" s="1"/>
      <c r="B84" s="1"/>
      <c r="C84" s="5"/>
      <c r="D84" s="1"/>
      <c r="E84" s="1"/>
      <c r="F84" s="6"/>
      <c r="G84" s="6"/>
      <c r="H84" s="36"/>
    </row>
    <row r="85" spans="1:18" ht="14.1" customHeight="1" x14ac:dyDescent="0.2">
      <c r="A85" s="1"/>
      <c r="B85" s="1"/>
      <c r="C85" s="2" t="s">
        <v>87</v>
      </c>
      <c r="D85" s="1"/>
      <c r="E85" s="1"/>
      <c r="F85" s="1"/>
      <c r="G85" s="1"/>
      <c r="H85" s="36"/>
    </row>
    <row r="86" spans="1:18" ht="14.1" customHeight="1" x14ac:dyDescent="0.2">
      <c r="A86" s="1"/>
      <c r="B86" s="1"/>
      <c r="C86" s="2" t="s">
        <v>88</v>
      </c>
      <c r="D86" s="1"/>
      <c r="E86" s="1"/>
      <c r="F86" s="1"/>
      <c r="G86" s="1"/>
      <c r="H86" s="36"/>
    </row>
    <row r="87" spans="1:18" ht="14.1" customHeight="1" x14ac:dyDescent="0.2">
      <c r="A87" s="1"/>
      <c r="B87" s="1"/>
      <c r="C87" s="2" t="s">
        <v>11</v>
      </c>
      <c r="D87" s="1"/>
      <c r="E87" s="1" t="s">
        <v>12</v>
      </c>
      <c r="F87" s="3" t="s">
        <v>13</v>
      </c>
      <c r="G87" s="4">
        <v>0</v>
      </c>
      <c r="H87" s="36"/>
    </row>
    <row r="88" spans="1:18" ht="14.1" customHeight="1" x14ac:dyDescent="0.2">
      <c r="A88" s="1"/>
      <c r="B88" s="1"/>
      <c r="C88" s="5"/>
      <c r="D88" s="1"/>
      <c r="E88" s="1"/>
      <c r="F88" s="6"/>
      <c r="G88" s="6"/>
      <c r="H88" s="36"/>
    </row>
    <row r="89" spans="1:18" ht="24" customHeight="1" x14ac:dyDescent="0.2">
      <c r="A89" s="1"/>
      <c r="B89" s="1"/>
      <c r="C89" s="2" t="s">
        <v>89</v>
      </c>
      <c r="D89" s="1"/>
      <c r="E89" s="1"/>
      <c r="F89" s="6"/>
      <c r="G89" s="6"/>
      <c r="H89" s="36"/>
    </row>
    <row r="90" spans="1:18" ht="14.1" customHeight="1" x14ac:dyDescent="0.2">
      <c r="A90" s="1"/>
      <c r="B90" s="1"/>
      <c r="C90" s="2" t="s">
        <v>11</v>
      </c>
      <c r="D90" s="1"/>
      <c r="E90" s="1" t="s">
        <v>12</v>
      </c>
      <c r="F90" s="3" t="s">
        <v>13</v>
      </c>
      <c r="G90" s="4">
        <v>0</v>
      </c>
      <c r="H90" s="36"/>
    </row>
    <row r="91" spans="1:18" x14ac:dyDescent="0.2">
      <c r="A91" s="33"/>
      <c r="B91" s="33"/>
      <c r="C91" s="34"/>
      <c r="D91" s="33"/>
      <c r="E91" s="33"/>
      <c r="F91" s="35"/>
      <c r="G91" s="35"/>
      <c r="H91" s="36"/>
      <c r="K91" s="41"/>
      <c r="L91" s="41"/>
      <c r="M91" s="41"/>
      <c r="N91" s="41"/>
      <c r="O91" s="41"/>
      <c r="P91" s="42"/>
      <c r="Q91" s="42"/>
      <c r="R91" s="42"/>
    </row>
    <row r="92" spans="1:18" ht="25.5" x14ac:dyDescent="0.2">
      <c r="A92" s="38"/>
      <c r="B92" s="38"/>
      <c r="C92" s="39" t="s">
        <v>479</v>
      </c>
      <c r="D92" s="38"/>
      <c r="E92" s="38"/>
      <c r="F92" s="40"/>
      <c r="G92" s="40"/>
      <c r="H92" s="36"/>
    </row>
    <row r="93" spans="1:18" ht="25.5" x14ac:dyDescent="0.2">
      <c r="A93" s="43">
        <v>1</v>
      </c>
      <c r="B93" s="44" t="s">
        <v>85</v>
      </c>
      <c r="C93" s="44" t="s">
        <v>86</v>
      </c>
      <c r="D93" s="44"/>
      <c r="E93" s="14">
        <v>2586.3710000000001</v>
      </c>
      <c r="F93" s="11">
        <v>266.09575686699998</v>
      </c>
      <c r="G93" s="12">
        <v>3.75012E-3</v>
      </c>
      <c r="H93" s="36"/>
    </row>
    <row r="94" spans="1:18" x14ac:dyDescent="0.2">
      <c r="A94" s="33"/>
      <c r="B94" s="33"/>
      <c r="C94" s="45" t="s">
        <v>11</v>
      </c>
      <c r="D94" s="33"/>
      <c r="E94" s="1" t="s">
        <v>12</v>
      </c>
      <c r="F94" s="7">
        <v>266.09575686699998</v>
      </c>
      <c r="G94" s="4">
        <v>3.75012E-3</v>
      </c>
      <c r="H94" s="36"/>
    </row>
    <row r="95" spans="1:18" ht="14.1" customHeight="1" x14ac:dyDescent="0.2">
      <c r="A95" s="1"/>
      <c r="B95" s="1"/>
      <c r="C95" s="5"/>
      <c r="D95" s="1"/>
      <c r="E95" s="1"/>
      <c r="F95" s="6"/>
      <c r="G95" s="6"/>
      <c r="H95" s="36"/>
    </row>
    <row r="96" spans="1:18" ht="14.1" customHeight="1" x14ac:dyDescent="0.2">
      <c r="A96" s="1"/>
      <c r="B96" s="9"/>
      <c r="C96" s="9"/>
      <c r="D96" s="2"/>
      <c r="E96" s="1"/>
      <c r="F96" s="9"/>
      <c r="G96" s="13"/>
      <c r="H96" s="36"/>
    </row>
    <row r="97" spans="1:8" ht="18" customHeight="1" x14ac:dyDescent="0.2">
      <c r="A97" s="13"/>
      <c r="B97" s="9"/>
      <c r="C97" s="9" t="s">
        <v>90</v>
      </c>
      <c r="D97" s="9"/>
      <c r="E97" s="13"/>
      <c r="F97" s="11">
        <v>1910.30338319</v>
      </c>
      <c r="G97" s="12">
        <v>2.6922140000000001E-2</v>
      </c>
      <c r="H97" s="36"/>
    </row>
    <row r="98" spans="1:8" ht="14.1" customHeight="1" x14ac:dyDescent="0.2">
      <c r="A98" s="5"/>
      <c r="B98" s="5"/>
      <c r="C98" s="2" t="s">
        <v>91</v>
      </c>
      <c r="D98" s="6"/>
      <c r="E98" s="6"/>
      <c r="F98" s="7">
        <v>70956.593394058</v>
      </c>
      <c r="G98" s="15">
        <v>0.99999998999999995</v>
      </c>
      <c r="H98" s="36"/>
    </row>
    <row r="99" spans="1:8" ht="14.1" customHeight="1" x14ac:dyDescent="0.2">
      <c r="A99" s="16"/>
      <c r="B99" s="16"/>
      <c r="C99" s="16"/>
      <c r="D99" s="17"/>
      <c r="E99" s="17"/>
      <c r="F99" s="17"/>
      <c r="G99" s="17"/>
    </row>
    <row r="100" spans="1:8" ht="17.100000000000001" customHeight="1" x14ac:dyDescent="0.2">
      <c r="A100" s="18"/>
      <c r="B100" s="108" t="s">
        <v>483</v>
      </c>
      <c r="C100" s="108"/>
      <c r="D100" s="108"/>
      <c r="E100" s="108"/>
      <c r="F100" s="108"/>
      <c r="G100" s="108"/>
      <c r="H100" s="108"/>
    </row>
    <row r="101" spans="1:8" ht="17.100000000000001" customHeight="1" x14ac:dyDescent="0.2">
      <c r="A101" s="18"/>
      <c r="B101" s="108" t="s">
        <v>484</v>
      </c>
      <c r="C101" s="108"/>
      <c r="D101" s="108"/>
      <c r="E101" s="108"/>
      <c r="F101" s="108"/>
      <c r="G101" s="108"/>
      <c r="H101" s="108"/>
    </row>
    <row r="102" spans="1:8" ht="14.1" customHeight="1" x14ac:dyDescent="0.2">
      <c r="A102" s="18"/>
      <c r="B102" s="108" t="s">
        <v>485</v>
      </c>
      <c r="C102" s="108"/>
      <c r="D102" s="108"/>
      <c r="E102" s="108"/>
      <c r="F102" s="108"/>
      <c r="G102" s="108"/>
      <c r="H102" s="108"/>
    </row>
    <row r="103" spans="1:8" ht="14.1" customHeight="1" x14ac:dyDescent="0.2">
      <c r="A103" s="18"/>
      <c r="B103" s="18"/>
      <c r="C103" s="18"/>
      <c r="D103" s="20"/>
      <c r="E103" s="20"/>
      <c r="F103" s="20"/>
      <c r="G103" s="20"/>
    </row>
    <row r="104" spans="1:8" ht="14.1" customHeight="1" x14ac:dyDescent="0.2">
      <c r="A104" s="18"/>
      <c r="B104" s="114" t="s">
        <v>92</v>
      </c>
      <c r="C104" s="115"/>
      <c r="D104" s="116"/>
      <c r="E104" s="21"/>
      <c r="F104" s="20"/>
      <c r="G104" s="20"/>
    </row>
    <row r="105" spans="1:8" ht="29.1" customHeight="1" x14ac:dyDescent="0.2">
      <c r="A105" s="18"/>
      <c r="B105" s="117" t="s">
        <v>93</v>
      </c>
      <c r="C105" s="118"/>
      <c r="D105" s="2" t="s">
        <v>94</v>
      </c>
      <c r="E105" s="21"/>
      <c r="F105" s="20"/>
      <c r="G105" s="20"/>
    </row>
    <row r="106" spans="1:8" ht="17.100000000000001" customHeight="1" x14ac:dyDescent="0.2">
      <c r="A106" s="18"/>
      <c r="B106" s="117" t="s">
        <v>95</v>
      </c>
      <c r="C106" s="118"/>
      <c r="D106" s="2" t="s">
        <v>94</v>
      </c>
      <c r="E106" s="21"/>
      <c r="F106" s="20"/>
      <c r="G106" s="20"/>
    </row>
    <row r="107" spans="1:8" ht="17.100000000000001" customHeight="1" x14ac:dyDescent="0.2">
      <c r="A107" s="18"/>
      <c r="B107" s="117" t="s">
        <v>96</v>
      </c>
      <c r="C107" s="118"/>
      <c r="D107" s="6" t="s">
        <v>12</v>
      </c>
      <c r="E107" s="21"/>
      <c r="F107" s="20"/>
      <c r="G107" s="20"/>
    </row>
    <row r="108" spans="1:8" ht="24" customHeight="1" x14ac:dyDescent="0.2">
      <c r="A108" s="22"/>
      <c r="B108" s="23" t="s">
        <v>12</v>
      </c>
      <c r="C108" s="23" t="s">
        <v>97</v>
      </c>
      <c r="D108" s="23" t="s">
        <v>98</v>
      </c>
      <c r="E108" s="22"/>
      <c r="F108" s="22"/>
      <c r="G108" s="22"/>
    </row>
    <row r="109" spans="1:8" ht="18" customHeight="1" x14ac:dyDescent="0.2">
      <c r="A109" s="22"/>
      <c r="B109" s="24" t="s">
        <v>99</v>
      </c>
      <c r="C109" s="23" t="s">
        <v>582</v>
      </c>
      <c r="D109" s="23" t="s">
        <v>100</v>
      </c>
      <c r="E109" s="22"/>
      <c r="F109" s="22"/>
      <c r="G109" s="22"/>
    </row>
    <row r="110" spans="1:8" ht="17.100000000000001" customHeight="1" x14ac:dyDescent="0.2">
      <c r="A110" s="22"/>
      <c r="B110" s="9" t="s">
        <v>101</v>
      </c>
      <c r="C110" s="25">
        <v>37.817700000000002</v>
      </c>
      <c r="D110" s="25">
        <v>38.026800000000001</v>
      </c>
      <c r="E110" s="22"/>
      <c r="F110" s="19"/>
      <c r="G110" s="26"/>
    </row>
    <row r="111" spans="1:8" ht="29.1" customHeight="1" x14ac:dyDescent="0.2">
      <c r="A111" s="22"/>
      <c r="B111" s="9" t="s">
        <v>543</v>
      </c>
      <c r="C111" s="25">
        <v>16.8687</v>
      </c>
      <c r="D111" s="25">
        <v>16.9419</v>
      </c>
      <c r="E111" s="22"/>
      <c r="F111" s="19"/>
      <c r="G111" s="26"/>
    </row>
    <row r="112" spans="1:8" ht="29.1" customHeight="1" x14ac:dyDescent="0.2">
      <c r="A112" s="22"/>
      <c r="B112" s="9" t="s">
        <v>544</v>
      </c>
      <c r="C112" s="25">
        <v>18.7102</v>
      </c>
      <c r="D112" s="25">
        <v>18.738199999999999</v>
      </c>
      <c r="E112" s="22"/>
      <c r="F112" s="19"/>
      <c r="G112" s="26"/>
    </row>
    <row r="113" spans="1:8" ht="29.1" customHeight="1" x14ac:dyDescent="0.2">
      <c r="A113" s="22"/>
      <c r="B113" s="9" t="s">
        <v>545</v>
      </c>
      <c r="C113" s="25">
        <v>16.864000000000001</v>
      </c>
      <c r="D113" s="25">
        <v>16.956900000000001</v>
      </c>
      <c r="E113" s="22"/>
      <c r="F113" s="19"/>
      <c r="G113" s="26"/>
    </row>
    <row r="114" spans="1:8" ht="29.1" customHeight="1" x14ac:dyDescent="0.2">
      <c r="A114" s="22"/>
      <c r="B114" s="9" t="s">
        <v>546</v>
      </c>
      <c r="C114" s="25">
        <v>17.116</v>
      </c>
      <c r="D114" s="25">
        <v>17.2104</v>
      </c>
      <c r="E114" s="22"/>
      <c r="F114" s="19"/>
      <c r="G114" s="26"/>
    </row>
    <row r="115" spans="1:8" ht="17.100000000000001" customHeight="1" x14ac:dyDescent="0.2">
      <c r="A115" s="22"/>
      <c r="B115" s="9" t="s">
        <v>102</v>
      </c>
      <c r="C115" s="25">
        <v>36.662599999999998</v>
      </c>
      <c r="D115" s="25">
        <v>36.8583</v>
      </c>
      <c r="E115" s="22"/>
      <c r="F115" s="19"/>
      <c r="G115" s="26"/>
    </row>
    <row r="116" spans="1:8" ht="29.1" customHeight="1" x14ac:dyDescent="0.2">
      <c r="A116" s="22"/>
      <c r="B116" s="9" t="s">
        <v>547</v>
      </c>
      <c r="C116" s="25">
        <v>15.9671</v>
      </c>
      <c r="D116" s="25">
        <v>16.032299999999999</v>
      </c>
      <c r="E116" s="22"/>
      <c r="F116" s="19"/>
      <c r="G116" s="26"/>
    </row>
    <row r="117" spans="1:8" ht="29.1" customHeight="1" x14ac:dyDescent="0.2">
      <c r="A117" s="22"/>
      <c r="B117" s="9" t="s">
        <v>548</v>
      </c>
      <c r="C117" s="25">
        <v>18.181100000000001</v>
      </c>
      <c r="D117" s="25">
        <v>18.2028</v>
      </c>
      <c r="E117" s="22"/>
      <c r="F117" s="19"/>
      <c r="G117" s="26"/>
    </row>
    <row r="118" spans="1:8" ht="29.1" customHeight="1" x14ac:dyDescent="0.2">
      <c r="A118" s="22"/>
      <c r="B118" s="9" t="s">
        <v>549</v>
      </c>
      <c r="C118" s="25">
        <v>16.771799999999999</v>
      </c>
      <c r="D118" s="25">
        <v>16.8613</v>
      </c>
      <c r="E118" s="22"/>
      <c r="F118" s="19"/>
      <c r="G118" s="26"/>
    </row>
    <row r="119" spans="1:8" ht="29.1" customHeight="1" x14ac:dyDescent="0.2">
      <c r="A119" s="22"/>
      <c r="B119" s="9" t="s">
        <v>550</v>
      </c>
      <c r="C119" s="25">
        <v>16.635999999999999</v>
      </c>
      <c r="D119" s="25">
        <v>16.724900000000002</v>
      </c>
      <c r="E119" s="22"/>
      <c r="F119" s="19"/>
      <c r="G119" s="26"/>
    </row>
    <row r="120" spans="1:8" ht="14.1" customHeight="1" x14ac:dyDescent="0.2">
      <c r="A120" s="22"/>
      <c r="B120" s="22"/>
      <c r="C120" s="22"/>
      <c r="D120" s="22"/>
      <c r="E120" s="22"/>
      <c r="F120" s="22"/>
      <c r="G120" s="22"/>
    </row>
    <row r="121" spans="1:8" ht="17.100000000000001" customHeight="1" x14ac:dyDescent="0.2">
      <c r="A121" s="22"/>
      <c r="B121" s="117" t="s">
        <v>551</v>
      </c>
      <c r="C121" s="118"/>
      <c r="D121" s="2" t="s">
        <v>12</v>
      </c>
      <c r="E121" s="22"/>
      <c r="F121" s="22"/>
      <c r="G121" s="22"/>
    </row>
    <row r="122" spans="1:8" ht="18" customHeight="1" x14ac:dyDescent="0.2">
      <c r="A122" s="22"/>
      <c r="B122" s="27" t="s">
        <v>99</v>
      </c>
      <c r="C122" s="28" t="s">
        <v>103</v>
      </c>
      <c r="D122" s="28" t="s">
        <v>104</v>
      </c>
      <c r="E122" s="22"/>
      <c r="F122" s="22"/>
      <c r="G122" s="22"/>
    </row>
    <row r="123" spans="1:8" ht="29.1" customHeight="1" x14ac:dyDescent="0.2">
      <c r="A123" s="22"/>
      <c r="B123" s="9" t="s">
        <v>543</v>
      </c>
      <c r="C123" s="29">
        <v>0.02</v>
      </c>
      <c r="D123" s="13" t="s">
        <v>105</v>
      </c>
      <c r="E123" s="22"/>
      <c r="F123" s="19"/>
      <c r="G123" s="26"/>
    </row>
    <row r="124" spans="1:8" ht="29.1" customHeight="1" x14ac:dyDescent="0.2">
      <c r="A124" s="22"/>
      <c r="B124" s="9" t="s">
        <v>544</v>
      </c>
      <c r="C124" s="29">
        <v>7.4999999999999997E-2</v>
      </c>
      <c r="D124" s="13" t="s">
        <v>105</v>
      </c>
      <c r="E124" s="22"/>
      <c r="F124" s="19"/>
      <c r="G124" s="26"/>
    </row>
    <row r="125" spans="1:8" ht="29.1" customHeight="1" x14ac:dyDescent="0.2">
      <c r="A125" s="22"/>
      <c r="B125" s="9" t="s">
        <v>547</v>
      </c>
      <c r="C125" s="29">
        <v>0.02</v>
      </c>
      <c r="D125" s="13" t="s">
        <v>105</v>
      </c>
      <c r="E125" s="22"/>
      <c r="F125" s="19"/>
      <c r="G125" s="26"/>
    </row>
    <row r="126" spans="1:8" ht="29.1" customHeight="1" x14ac:dyDescent="0.2">
      <c r="A126" s="22"/>
      <c r="B126" s="9" t="s">
        <v>548</v>
      </c>
      <c r="C126" s="29">
        <v>7.4999999999999997E-2</v>
      </c>
      <c r="D126" s="29">
        <v>7.4999999999999997E-2</v>
      </c>
      <c r="E126" s="22"/>
      <c r="F126" s="19"/>
      <c r="G126" s="26"/>
    </row>
    <row r="127" spans="1:8" ht="14.1" customHeight="1" x14ac:dyDescent="0.2">
      <c r="A127" s="22"/>
      <c r="B127" s="30"/>
      <c r="C127" s="30"/>
      <c r="D127" s="31"/>
      <c r="E127" s="22"/>
      <c r="F127" s="19"/>
      <c r="G127" s="26"/>
    </row>
    <row r="128" spans="1:8" ht="14.1" customHeight="1" x14ac:dyDescent="0.2">
      <c r="A128" s="55"/>
      <c r="B128" s="47"/>
      <c r="C128" s="47"/>
      <c r="D128" s="55"/>
      <c r="E128" s="55"/>
      <c r="F128" s="55"/>
      <c r="G128" s="55"/>
      <c r="H128" s="55"/>
    </row>
    <row r="129" spans="1:25" s="42" customFormat="1" ht="29.1" customHeight="1" x14ac:dyDescent="0.2">
      <c r="A129" s="55"/>
      <c r="B129" s="112" t="s">
        <v>106</v>
      </c>
      <c r="C129" s="113"/>
      <c r="D129" s="52" t="s">
        <v>94</v>
      </c>
      <c r="E129" s="91"/>
      <c r="F129" s="55"/>
      <c r="G129" s="55"/>
      <c r="H129" s="55"/>
      <c r="I129"/>
      <c r="J129" s="37"/>
      <c r="K129"/>
      <c r="L129"/>
      <c r="M129"/>
      <c r="N129"/>
      <c r="O129"/>
      <c r="P129"/>
      <c r="Q129"/>
      <c r="R129"/>
      <c r="S129"/>
      <c r="T129"/>
      <c r="U129"/>
      <c r="V129"/>
      <c r="W129"/>
      <c r="X129"/>
      <c r="Y129"/>
    </row>
    <row r="130" spans="1:25" s="42" customFormat="1" ht="29.1" customHeight="1" x14ac:dyDescent="0.2">
      <c r="A130" s="55"/>
      <c r="B130" s="112" t="s">
        <v>107</v>
      </c>
      <c r="C130" s="113"/>
      <c r="D130" s="52" t="s">
        <v>94</v>
      </c>
      <c r="E130" s="91"/>
      <c r="F130" s="55"/>
      <c r="G130" s="55"/>
      <c r="H130" s="55"/>
      <c r="I130"/>
      <c r="J130" s="37"/>
      <c r="K130"/>
      <c r="L130"/>
      <c r="M130"/>
      <c r="N130"/>
      <c r="O130"/>
      <c r="P130"/>
      <c r="Q130"/>
      <c r="R130"/>
      <c r="S130"/>
      <c r="T130"/>
      <c r="U130"/>
      <c r="V130"/>
      <c r="W130"/>
      <c r="X130"/>
      <c r="Y130"/>
    </row>
    <row r="131" spans="1:25" s="60" customFormat="1" ht="17.100000000000001" customHeight="1" x14ac:dyDescent="0.2">
      <c r="A131" s="58"/>
      <c r="B131" s="112" t="s">
        <v>503</v>
      </c>
      <c r="C131" s="113"/>
      <c r="D131" s="52" t="s">
        <v>94</v>
      </c>
      <c r="E131" s="61"/>
      <c r="F131" s="58"/>
      <c r="G131" s="58"/>
      <c r="H131" s="58"/>
      <c r="I131"/>
      <c r="J131" s="37"/>
      <c r="K131"/>
      <c r="L131"/>
      <c r="M131"/>
      <c r="N131"/>
      <c r="O131"/>
      <c r="P131"/>
      <c r="Q131"/>
      <c r="R131"/>
      <c r="S131"/>
      <c r="T131"/>
      <c r="U131"/>
      <c r="V131"/>
      <c r="W131"/>
      <c r="X131"/>
      <c r="Y131"/>
    </row>
    <row r="132" spans="1:25" s="60" customFormat="1" x14ac:dyDescent="0.2">
      <c r="I132"/>
      <c r="J132" s="37"/>
      <c r="K132"/>
      <c r="L132"/>
      <c r="M132"/>
      <c r="N132"/>
      <c r="O132"/>
      <c r="P132"/>
      <c r="Q132"/>
      <c r="R132"/>
      <c r="S132"/>
      <c r="T132"/>
      <c r="U132"/>
      <c r="V132"/>
      <c r="W132"/>
      <c r="X132"/>
      <c r="Y132"/>
    </row>
    <row r="133" spans="1:25" s="60" customFormat="1" x14ac:dyDescent="0.2">
      <c r="B133" s="109" t="s">
        <v>504</v>
      </c>
      <c r="C133" s="110"/>
      <c r="D133" s="111"/>
      <c r="I133"/>
      <c r="J133" s="37"/>
      <c r="K133"/>
      <c r="L133"/>
      <c r="M133"/>
      <c r="N133"/>
      <c r="O133"/>
      <c r="P133"/>
      <c r="Q133"/>
      <c r="R133"/>
      <c r="S133"/>
      <c r="T133"/>
      <c r="U133"/>
      <c r="V133"/>
      <c r="W133"/>
      <c r="X133"/>
      <c r="Y133"/>
    </row>
    <row r="134" spans="1:25" s="60" customFormat="1" ht="25.5" x14ac:dyDescent="0.2">
      <c r="B134" s="103" t="s">
        <v>505</v>
      </c>
      <c r="C134" s="103"/>
      <c r="D134" s="62" t="s">
        <v>1</v>
      </c>
      <c r="I134"/>
      <c r="J134" s="37"/>
      <c r="K134"/>
      <c r="L134"/>
      <c r="M134"/>
      <c r="N134"/>
      <c r="O134"/>
      <c r="P134"/>
      <c r="Q134"/>
      <c r="R134"/>
      <c r="S134"/>
      <c r="T134"/>
      <c r="U134"/>
      <c r="V134"/>
      <c r="W134"/>
      <c r="X134"/>
      <c r="Y134"/>
    </row>
    <row r="135" spans="1:25" s="60" customFormat="1" x14ac:dyDescent="0.2">
      <c r="B135" s="103" t="s">
        <v>506</v>
      </c>
      <c r="C135" s="103"/>
      <c r="D135" s="63"/>
      <c r="I135"/>
      <c r="J135" s="37"/>
      <c r="K135"/>
      <c r="L135"/>
      <c r="M135"/>
      <c r="N135"/>
      <c r="O135"/>
      <c r="P135"/>
      <c r="Q135"/>
      <c r="R135"/>
      <c r="S135"/>
      <c r="T135"/>
      <c r="U135"/>
      <c r="V135"/>
      <c r="W135"/>
      <c r="X135"/>
      <c r="Y135"/>
    </row>
    <row r="136" spans="1:25" s="60" customFormat="1" x14ac:dyDescent="0.2">
      <c r="B136" s="104"/>
      <c r="C136" s="105"/>
      <c r="D136" s="64"/>
      <c r="I136"/>
      <c r="J136" s="37"/>
      <c r="K136" s="41"/>
      <c r="L136" s="41"/>
      <c r="M136" s="41"/>
      <c r="N136" s="41"/>
      <c r="O136" s="41"/>
    </row>
    <row r="137" spans="1:25" s="60" customFormat="1" x14ac:dyDescent="0.2">
      <c r="B137" s="103" t="s">
        <v>507</v>
      </c>
      <c r="C137" s="103"/>
      <c r="D137" s="65">
        <v>7.5634553129767754</v>
      </c>
      <c r="I137"/>
      <c r="J137" s="37"/>
      <c r="K137" s="41"/>
      <c r="L137" s="41"/>
      <c r="M137" s="41"/>
      <c r="N137" s="41"/>
      <c r="O137" s="41"/>
    </row>
    <row r="138" spans="1:25" s="60" customFormat="1" x14ac:dyDescent="0.2">
      <c r="B138" s="104"/>
      <c r="C138" s="105"/>
      <c r="D138" s="64"/>
      <c r="I138"/>
      <c r="J138" s="37"/>
      <c r="K138" s="41"/>
      <c r="L138" s="41"/>
      <c r="M138" s="41"/>
      <c r="N138" s="41"/>
      <c r="O138" s="41"/>
    </row>
    <row r="139" spans="1:25" s="60" customFormat="1" x14ac:dyDescent="0.2">
      <c r="B139" s="103" t="s">
        <v>530</v>
      </c>
      <c r="C139" s="103"/>
      <c r="D139" s="65">
        <v>3.6795005386468005</v>
      </c>
      <c r="I139"/>
      <c r="J139" s="37"/>
      <c r="K139" s="41"/>
      <c r="L139" s="41"/>
      <c r="M139" s="41"/>
      <c r="N139" s="41"/>
      <c r="O139" s="41"/>
    </row>
    <row r="140" spans="1:25" s="60" customFormat="1" x14ac:dyDescent="0.2">
      <c r="B140" s="103" t="s">
        <v>531</v>
      </c>
      <c r="C140" s="103"/>
      <c r="D140" s="65">
        <v>4.6881677362936269</v>
      </c>
      <c r="I140"/>
      <c r="J140" s="37"/>
      <c r="K140" s="41"/>
      <c r="L140" s="41"/>
      <c r="M140" s="41"/>
      <c r="N140" s="41"/>
      <c r="O140" s="41"/>
    </row>
    <row r="141" spans="1:25" s="60" customFormat="1" x14ac:dyDescent="0.2">
      <c r="B141" s="104"/>
      <c r="C141" s="105"/>
      <c r="D141" s="64"/>
      <c r="I141"/>
      <c r="J141" s="37"/>
      <c r="K141" s="41"/>
      <c r="L141" s="41"/>
      <c r="M141" s="41"/>
      <c r="N141" s="41"/>
      <c r="O141" s="41"/>
    </row>
    <row r="142" spans="1:25" s="60" customFormat="1" x14ac:dyDescent="0.2">
      <c r="B142" s="103" t="s">
        <v>510</v>
      </c>
      <c r="C142" s="103"/>
      <c r="D142" s="66">
        <v>45473</v>
      </c>
      <c r="I142"/>
      <c r="J142" s="37"/>
      <c r="K142" s="41"/>
      <c r="L142" s="41"/>
      <c r="M142" s="41"/>
      <c r="N142" s="41"/>
      <c r="O142" s="41"/>
    </row>
    <row r="143" spans="1:25" s="60" customFormat="1" x14ac:dyDescent="0.2">
      <c r="B143" s="104" t="s">
        <v>511</v>
      </c>
      <c r="C143" s="106"/>
      <c r="D143" s="105"/>
      <c r="I143"/>
      <c r="J143" s="37"/>
      <c r="K143" s="41"/>
      <c r="L143" s="41"/>
      <c r="M143" s="41"/>
      <c r="N143" s="41"/>
      <c r="O143" s="41"/>
    </row>
    <row r="144" spans="1:25" x14ac:dyDescent="0.2">
      <c r="K144" s="41"/>
      <c r="L144" s="41"/>
      <c r="M144" s="41"/>
      <c r="N144" s="41"/>
      <c r="O144" s="41"/>
      <c r="P144" s="60"/>
      <c r="Q144" s="60"/>
      <c r="R144" s="60"/>
      <c r="S144" s="60"/>
      <c r="T144" s="60"/>
      <c r="U144" s="60"/>
      <c r="V144" s="60"/>
      <c r="W144" s="60"/>
      <c r="X144" s="60"/>
      <c r="Y144" s="60"/>
    </row>
    <row r="145" spans="11:25" x14ac:dyDescent="0.2">
      <c r="K145" s="41"/>
      <c r="L145" s="41"/>
      <c r="M145" s="41"/>
      <c r="N145" s="41"/>
      <c r="O145" s="41"/>
      <c r="P145" s="60"/>
      <c r="Q145" s="60"/>
      <c r="R145" s="60"/>
      <c r="S145" s="60"/>
      <c r="T145" s="60"/>
      <c r="U145" s="60"/>
      <c r="V145" s="60"/>
      <c r="W145" s="60"/>
      <c r="X145" s="60"/>
      <c r="Y145" s="60"/>
    </row>
    <row r="146" spans="11:25" x14ac:dyDescent="0.2">
      <c r="K146" s="41"/>
      <c r="L146" s="41"/>
      <c r="M146" s="41"/>
      <c r="N146" s="41"/>
      <c r="O146" s="41"/>
      <c r="P146" s="60"/>
      <c r="Q146" s="60"/>
      <c r="R146" s="60"/>
      <c r="S146" s="60"/>
      <c r="T146" s="60"/>
      <c r="U146" s="60"/>
      <c r="V146" s="60"/>
      <c r="W146" s="60"/>
      <c r="X146" s="60"/>
      <c r="Y146" s="60"/>
    </row>
  </sheetData>
  <mergeCells count="25">
    <mergeCell ref="B133:D133"/>
    <mergeCell ref="B102:H102"/>
    <mergeCell ref="B130:C130"/>
    <mergeCell ref="B131:C131"/>
    <mergeCell ref="B104:D104"/>
    <mergeCell ref="B105:C105"/>
    <mergeCell ref="B106:C106"/>
    <mergeCell ref="B107:C107"/>
    <mergeCell ref="B129:C129"/>
    <mergeCell ref="B121:C121"/>
    <mergeCell ref="A1:H1"/>
    <mergeCell ref="A2:H2"/>
    <mergeCell ref="A3:H3"/>
    <mergeCell ref="B100:H100"/>
    <mergeCell ref="B101:H101"/>
    <mergeCell ref="B134:C134"/>
    <mergeCell ref="B135:C135"/>
    <mergeCell ref="B136:C136"/>
    <mergeCell ref="B137:C137"/>
    <mergeCell ref="B138:C138"/>
    <mergeCell ref="B139:C139"/>
    <mergeCell ref="B140:C140"/>
    <mergeCell ref="B141:C141"/>
    <mergeCell ref="B142:C142"/>
    <mergeCell ref="B143:D143"/>
  </mergeCells>
  <hyperlinks>
    <hyperlink ref="I1" location="Index!B2" display="Index" xr:uid="{047DA734-0A23-4AB6-AB40-4A395BB78F2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BBC21-00E6-4DC9-A40D-A319256E3B45}">
  <sheetPr>
    <outlinePr summaryBelow="0" summaryRight="0"/>
  </sheetPr>
  <dimension ref="A1:R145"/>
  <sheetViews>
    <sheetView showGridLines="0" workbookViewId="0">
      <selection activeCell="I118" sqref="I1:J1048576"/>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50.7109375" style="37" customWidth="1"/>
  </cols>
  <sheetData>
    <row r="1" spans="1:11" ht="18" customHeight="1" x14ac:dyDescent="0.2">
      <c r="A1" s="107" t="s">
        <v>0</v>
      </c>
      <c r="B1" s="107"/>
      <c r="C1" s="107"/>
      <c r="D1" s="107"/>
      <c r="E1" s="107"/>
      <c r="F1" s="107"/>
      <c r="G1" s="107"/>
      <c r="H1" s="107"/>
      <c r="I1" s="92" t="s">
        <v>560</v>
      </c>
    </row>
    <row r="2" spans="1:11" ht="17.100000000000001" customHeight="1" x14ac:dyDescent="0.2">
      <c r="A2" s="107" t="s">
        <v>108</v>
      </c>
      <c r="B2" s="107"/>
      <c r="C2" s="107"/>
      <c r="D2" s="107"/>
      <c r="E2" s="107"/>
      <c r="F2" s="107"/>
      <c r="G2" s="107"/>
      <c r="H2" s="107"/>
      <c r="J2" s="93" t="s">
        <v>561</v>
      </c>
    </row>
    <row r="3" spans="1:11" ht="21" customHeight="1" x14ac:dyDescent="0.2">
      <c r="A3" s="107" t="s">
        <v>588</v>
      </c>
      <c r="B3" s="107"/>
      <c r="C3" s="107"/>
      <c r="D3" s="107"/>
      <c r="E3" s="107"/>
      <c r="F3" s="107"/>
      <c r="G3" s="107"/>
      <c r="H3" s="107"/>
    </row>
    <row r="4" spans="1:11" ht="30" x14ac:dyDescent="0.2">
      <c r="A4" s="53" t="s">
        <v>2</v>
      </c>
      <c r="B4" s="53" t="s">
        <v>3</v>
      </c>
      <c r="C4" s="53" t="s">
        <v>4</v>
      </c>
      <c r="D4" s="53" t="s">
        <v>5</v>
      </c>
      <c r="E4" s="53" t="s">
        <v>6</v>
      </c>
      <c r="F4" s="53" t="s">
        <v>7</v>
      </c>
      <c r="G4" s="53" t="s">
        <v>8</v>
      </c>
      <c r="H4" s="51" t="s">
        <v>500</v>
      </c>
      <c r="I4" s="94"/>
      <c r="K4" s="94"/>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5"/>
    </row>
    <row r="13" spans="1:11" ht="14.1" customHeight="1" x14ac:dyDescent="0.2">
      <c r="A13" s="1"/>
      <c r="B13" s="1"/>
      <c r="C13" s="2" t="s">
        <v>11</v>
      </c>
      <c r="D13" s="1"/>
      <c r="E13" s="1" t="s">
        <v>12</v>
      </c>
      <c r="F13" s="3" t="s">
        <v>13</v>
      </c>
      <c r="G13" s="4">
        <v>0</v>
      </c>
      <c r="H13" s="36"/>
      <c r="J13" s="96"/>
    </row>
    <row r="14" spans="1:11" ht="14.1" customHeight="1" x14ac:dyDescent="0.2">
      <c r="A14" s="1"/>
      <c r="B14" s="1"/>
      <c r="C14" s="5"/>
      <c r="D14" s="1"/>
      <c r="E14" s="1"/>
      <c r="F14" s="6"/>
      <c r="G14" s="6"/>
      <c r="H14" s="36"/>
    </row>
    <row r="15" spans="1:11" ht="25.5" x14ac:dyDescent="0.2">
      <c r="A15" s="1"/>
      <c r="B15" s="1"/>
      <c r="C15" s="2" t="s">
        <v>16</v>
      </c>
      <c r="D15" s="1"/>
      <c r="E15" s="1"/>
      <c r="F15" s="1"/>
      <c r="G15" s="1"/>
      <c r="H15" s="36"/>
      <c r="J15" s="96" t="s">
        <v>566</v>
      </c>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5"/>
    </row>
    <row r="23" spans="1:10" ht="14.1" customHeight="1" x14ac:dyDescent="0.2">
      <c r="A23" s="1"/>
      <c r="B23" s="1"/>
      <c r="C23" s="5"/>
      <c r="D23" s="1"/>
      <c r="E23" s="1"/>
      <c r="F23" s="6"/>
      <c r="G23" s="6"/>
      <c r="H23" s="36"/>
      <c r="J23" s="96"/>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row>
    <row r="28" spans="1:10" ht="29.1" customHeight="1" x14ac:dyDescent="0.2">
      <c r="A28" s="8">
        <v>1</v>
      </c>
      <c r="B28" s="9" t="s">
        <v>47</v>
      </c>
      <c r="C28" s="9" t="s">
        <v>48</v>
      </c>
      <c r="D28" s="9" t="s">
        <v>32</v>
      </c>
      <c r="E28" s="10">
        <v>300</v>
      </c>
      <c r="F28" s="11">
        <v>2989.1129999999998</v>
      </c>
      <c r="G28" s="12">
        <v>9.0966350000000001E-2</v>
      </c>
      <c r="H28" s="36">
        <v>7.5425000000000004</v>
      </c>
      <c r="J28" s="96" t="s">
        <v>563</v>
      </c>
    </row>
    <row r="29" spans="1:10" ht="17.100000000000001" customHeight="1" x14ac:dyDescent="0.2">
      <c r="A29" s="8">
        <v>2</v>
      </c>
      <c r="B29" s="9" t="s">
        <v>109</v>
      </c>
      <c r="C29" s="9" t="s">
        <v>110</v>
      </c>
      <c r="D29" s="9" t="s">
        <v>32</v>
      </c>
      <c r="E29" s="10">
        <v>250</v>
      </c>
      <c r="F29" s="11">
        <v>2494.7550000000001</v>
      </c>
      <c r="G29" s="12">
        <v>7.592177E-2</v>
      </c>
      <c r="H29" s="36">
        <v>7.6</v>
      </c>
    </row>
    <row r="30" spans="1:10" ht="29.1" customHeight="1" x14ac:dyDescent="0.2">
      <c r="A30" s="8">
        <v>3</v>
      </c>
      <c r="B30" s="9" t="s">
        <v>21</v>
      </c>
      <c r="C30" s="9" t="s">
        <v>22</v>
      </c>
      <c r="D30" s="9" t="s">
        <v>23</v>
      </c>
      <c r="E30" s="10">
        <v>2500</v>
      </c>
      <c r="F30" s="11">
        <v>2480.895</v>
      </c>
      <c r="G30" s="12">
        <v>7.549997E-2</v>
      </c>
      <c r="H30" s="36">
        <v>7.6121999999999996</v>
      </c>
    </row>
    <row r="31" spans="1:10" ht="29.1" customHeight="1" x14ac:dyDescent="0.2">
      <c r="A31" s="8">
        <v>4</v>
      </c>
      <c r="B31" s="9" t="s">
        <v>111</v>
      </c>
      <c r="C31" s="9" t="s">
        <v>112</v>
      </c>
      <c r="D31" s="9" t="s">
        <v>32</v>
      </c>
      <c r="E31" s="10">
        <v>250</v>
      </c>
      <c r="F31" s="11">
        <v>2448.5500000000002</v>
      </c>
      <c r="G31" s="12">
        <v>7.4515629999999999E-2</v>
      </c>
      <c r="H31" s="36">
        <v>7.68</v>
      </c>
    </row>
    <row r="32" spans="1:10" ht="29.1" customHeight="1" x14ac:dyDescent="0.2">
      <c r="A32" s="8">
        <v>5</v>
      </c>
      <c r="B32" s="9" t="s">
        <v>113</v>
      </c>
      <c r="C32" s="9" t="s">
        <v>114</v>
      </c>
      <c r="D32" s="9" t="s">
        <v>23</v>
      </c>
      <c r="E32" s="10">
        <v>2000</v>
      </c>
      <c r="F32" s="11">
        <v>1999.48</v>
      </c>
      <c r="G32" s="12">
        <v>6.084929E-2</v>
      </c>
      <c r="H32" s="36">
        <v>7.6006</v>
      </c>
    </row>
    <row r="33" spans="1:8" ht="29.1" customHeight="1" x14ac:dyDescent="0.2">
      <c r="A33" s="8">
        <v>6</v>
      </c>
      <c r="B33" s="9" t="s">
        <v>115</v>
      </c>
      <c r="C33" s="9" t="s">
        <v>116</v>
      </c>
      <c r="D33" s="9" t="s">
        <v>32</v>
      </c>
      <c r="E33" s="10">
        <v>200</v>
      </c>
      <c r="F33" s="11">
        <v>1992.424</v>
      </c>
      <c r="G33" s="12">
        <v>6.0634550000000002E-2</v>
      </c>
      <c r="H33" s="36">
        <v>7.78</v>
      </c>
    </row>
    <row r="34" spans="1:8" ht="29.1" customHeight="1" x14ac:dyDescent="0.2">
      <c r="A34" s="8">
        <v>7</v>
      </c>
      <c r="B34" s="9" t="s">
        <v>117</v>
      </c>
      <c r="C34" s="9" t="s">
        <v>118</v>
      </c>
      <c r="D34" s="9" t="s">
        <v>32</v>
      </c>
      <c r="E34" s="10">
        <v>200</v>
      </c>
      <c r="F34" s="11">
        <v>1937.664</v>
      </c>
      <c r="G34" s="12">
        <v>5.8968069999999997E-2</v>
      </c>
      <c r="H34" s="36">
        <v>7.6984000000000004</v>
      </c>
    </row>
    <row r="35" spans="1:8" ht="29.1" customHeight="1" x14ac:dyDescent="0.2">
      <c r="A35" s="8">
        <v>8</v>
      </c>
      <c r="B35" s="9" t="s">
        <v>33</v>
      </c>
      <c r="C35" s="9" t="s">
        <v>34</v>
      </c>
      <c r="D35" s="9" t="s">
        <v>23</v>
      </c>
      <c r="E35" s="10">
        <v>1500</v>
      </c>
      <c r="F35" s="11">
        <v>1497.4245000000001</v>
      </c>
      <c r="G35" s="12">
        <v>4.5570449999999998E-2</v>
      </c>
      <c r="H35" s="36">
        <v>7.6550000000000002</v>
      </c>
    </row>
    <row r="36" spans="1:8" ht="29.1" customHeight="1" x14ac:dyDescent="0.2">
      <c r="A36" s="8">
        <v>9</v>
      </c>
      <c r="B36" s="9" t="s">
        <v>119</v>
      </c>
      <c r="C36" s="9" t="s">
        <v>120</v>
      </c>
      <c r="D36" s="9" t="s">
        <v>32</v>
      </c>
      <c r="E36" s="10">
        <v>150</v>
      </c>
      <c r="F36" s="11">
        <v>1491.45</v>
      </c>
      <c r="G36" s="12">
        <v>4.5388629999999999E-2</v>
      </c>
      <c r="H36" s="36">
        <v>7.75</v>
      </c>
    </row>
    <row r="37" spans="1:8" ht="29.1" customHeight="1" x14ac:dyDescent="0.2">
      <c r="A37" s="8">
        <v>10</v>
      </c>
      <c r="B37" s="9" t="s">
        <v>59</v>
      </c>
      <c r="C37" s="9" t="s">
        <v>60</v>
      </c>
      <c r="D37" s="9" t="s">
        <v>23</v>
      </c>
      <c r="E37" s="10">
        <v>100</v>
      </c>
      <c r="F37" s="11">
        <v>1001.986</v>
      </c>
      <c r="G37" s="12">
        <v>3.0492990000000001E-2</v>
      </c>
      <c r="H37" s="36">
        <v>7.86</v>
      </c>
    </row>
    <row r="38" spans="1:8" ht="29.1" customHeight="1" x14ac:dyDescent="0.2">
      <c r="A38" s="8">
        <v>11</v>
      </c>
      <c r="B38" s="9" t="s">
        <v>121</v>
      </c>
      <c r="C38" s="9" t="s">
        <v>122</v>
      </c>
      <c r="D38" s="9" t="s">
        <v>23</v>
      </c>
      <c r="E38" s="10">
        <v>1000</v>
      </c>
      <c r="F38" s="11">
        <v>999.90800000000002</v>
      </c>
      <c r="G38" s="12">
        <v>3.042976E-2</v>
      </c>
      <c r="H38" s="36">
        <v>7.3464</v>
      </c>
    </row>
    <row r="39" spans="1:8" ht="29.1" customHeight="1" x14ac:dyDescent="0.2">
      <c r="A39" s="8">
        <v>12</v>
      </c>
      <c r="B39" s="9" t="s">
        <v>123</v>
      </c>
      <c r="C39" s="9" t="s">
        <v>124</v>
      </c>
      <c r="D39" s="9" t="s">
        <v>23</v>
      </c>
      <c r="E39" s="10">
        <v>500</v>
      </c>
      <c r="F39" s="11">
        <v>500.63049999999998</v>
      </c>
      <c r="G39" s="12">
        <v>1.5235469999999999E-2</v>
      </c>
      <c r="H39" s="36">
        <v>7.6121999999999996</v>
      </c>
    </row>
    <row r="40" spans="1:8" ht="17.100000000000001" customHeight="1" x14ac:dyDescent="0.2">
      <c r="A40" s="8">
        <v>13</v>
      </c>
      <c r="B40" s="9" t="s">
        <v>53</v>
      </c>
      <c r="C40" s="9" t="s">
        <v>54</v>
      </c>
      <c r="D40" s="9" t="s">
        <v>23</v>
      </c>
      <c r="E40" s="10">
        <v>500</v>
      </c>
      <c r="F40" s="11">
        <v>500.40499999999997</v>
      </c>
      <c r="G40" s="12">
        <v>1.52286E-2</v>
      </c>
      <c r="H40" s="36">
        <v>7.71</v>
      </c>
    </row>
    <row r="41" spans="1:8" ht="29.1" customHeight="1" x14ac:dyDescent="0.2">
      <c r="A41" s="8">
        <v>14</v>
      </c>
      <c r="B41" s="9" t="s">
        <v>45</v>
      </c>
      <c r="C41" s="9" t="s">
        <v>46</v>
      </c>
      <c r="D41" s="9" t="s">
        <v>23</v>
      </c>
      <c r="E41" s="10">
        <v>500</v>
      </c>
      <c r="F41" s="11">
        <v>499.99200000000002</v>
      </c>
      <c r="G41" s="12">
        <v>1.521603E-2</v>
      </c>
      <c r="H41" s="36">
        <v>7.59</v>
      </c>
    </row>
    <row r="42" spans="1:8" ht="29.1" customHeight="1" x14ac:dyDescent="0.2">
      <c r="A42" s="8">
        <v>15</v>
      </c>
      <c r="B42" s="9" t="s">
        <v>125</v>
      </c>
      <c r="C42" s="9" t="s">
        <v>126</v>
      </c>
      <c r="D42" s="9" t="s">
        <v>23</v>
      </c>
      <c r="E42" s="10">
        <v>500</v>
      </c>
      <c r="F42" s="11">
        <v>499.64150000000001</v>
      </c>
      <c r="G42" s="12">
        <v>1.5205369999999999E-2</v>
      </c>
      <c r="H42" s="36">
        <v>8.0896000000000008</v>
      </c>
    </row>
    <row r="43" spans="1:8" ht="29.1" customHeight="1" x14ac:dyDescent="0.2">
      <c r="A43" s="8">
        <v>16</v>
      </c>
      <c r="B43" s="9" t="s">
        <v>127</v>
      </c>
      <c r="C43" s="9" t="s">
        <v>128</v>
      </c>
      <c r="D43" s="9" t="s">
        <v>23</v>
      </c>
      <c r="E43" s="10">
        <v>500</v>
      </c>
      <c r="F43" s="11">
        <v>499.18849999999998</v>
      </c>
      <c r="G43" s="12">
        <v>1.519158E-2</v>
      </c>
      <c r="H43" s="36">
        <v>7.94</v>
      </c>
    </row>
    <row r="44" spans="1:8" ht="29.1" customHeight="1" x14ac:dyDescent="0.2">
      <c r="A44" s="8">
        <v>17</v>
      </c>
      <c r="B44" s="9" t="s">
        <v>129</v>
      </c>
      <c r="C44" s="9" t="s">
        <v>130</v>
      </c>
      <c r="D44" s="9" t="s">
        <v>32</v>
      </c>
      <c r="E44" s="10">
        <v>50</v>
      </c>
      <c r="F44" s="11">
        <v>497.55799999999999</v>
      </c>
      <c r="G44" s="12">
        <v>1.5141959999999999E-2</v>
      </c>
      <c r="H44" s="36">
        <v>7.8049999999999997</v>
      </c>
    </row>
    <row r="45" spans="1:8" ht="14.1" customHeight="1" x14ac:dyDescent="0.2">
      <c r="A45" s="1"/>
      <c r="B45" s="1"/>
      <c r="C45" s="2" t="s">
        <v>11</v>
      </c>
      <c r="D45" s="1"/>
      <c r="E45" s="1" t="s">
        <v>12</v>
      </c>
      <c r="F45" s="7">
        <v>24331.064999999999</v>
      </c>
      <c r="G45" s="4">
        <v>0.74045647000000003</v>
      </c>
      <c r="H45" s="36"/>
    </row>
    <row r="46" spans="1:8" ht="14.1" customHeight="1" x14ac:dyDescent="0.2">
      <c r="A46" s="1"/>
      <c r="B46" s="1"/>
      <c r="C46" s="5"/>
      <c r="D46" s="1"/>
      <c r="E46" s="1"/>
      <c r="F46" s="6"/>
      <c r="G46" s="6"/>
      <c r="H46" s="36"/>
    </row>
    <row r="47" spans="1:8" ht="14.1" customHeight="1" x14ac:dyDescent="0.2">
      <c r="A47" s="1"/>
      <c r="B47" s="1"/>
      <c r="C47" s="2" t="s">
        <v>63</v>
      </c>
      <c r="D47" s="1"/>
      <c r="E47" s="1"/>
      <c r="F47" s="1"/>
      <c r="G47" s="1"/>
      <c r="H47" s="36"/>
    </row>
    <row r="48" spans="1:8" ht="14.1" customHeight="1" x14ac:dyDescent="0.2">
      <c r="A48" s="1"/>
      <c r="B48" s="1"/>
      <c r="C48" s="2" t="s">
        <v>11</v>
      </c>
      <c r="D48" s="1"/>
      <c r="E48" s="1" t="s">
        <v>12</v>
      </c>
      <c r="F48" s="3" t="s">
        <v>13</v>
      </c>
      <c r="G48" s="4">
        <v>0</v>
      </c>
      <c r="H48" s="36"/>
    </row>
    <row r="49" spans="1:8" ht="14.1" customHeight="1" x14ac:dyDescent="0.2">
      <c r="A49" s="1"/>
      <c r="B49" s="1"/>
      <c r="C49" s="5"/>
      <c r="D49" s="1"/>
      <c r="E49" s="1"/>
      <c r="F49" s="6"/>
      <c r="G49" s="6"/>
      <c r="H49" s="36"/>
    </row>
    <row r="50" spans="1:8" ht="14.1" customHeight="1" x14ac:dyDescent="0.2">
      <c r="A50" s="1"/>
      <c r="B50" s="1"/>
      <c r="C50" s="2" t="s">
        <v>64</v>
      </c>
      <c r="D50" s="1"/>
      <c r="E50" s="1"/>
      <c r="F50" s="1"/>
      <c r="G50" s="1"/>
      <c r="H50" s="36"/>
    </row>
    <row r="51" spans="1:8" ht="29.1" customHeight="1" x14ac:dyDescent="0.2">
      <c r="A51" s="8">
        <v>1</v>
      </c>
      <c r="B51" s="9" t="s">
        <v>65</v>
      </c>
      <c r="C51" s="9" t="s">
        <v>66</v>
      </c>
      <c r="D51" s="9" t="s">
        <v>67</v>
      </c>
      <c r="E51" s="10">
        <v>3500000</v>
      </c>
      <c r="F51" s="11">
        <v>3529.694</v>
      </c>
      <c r="G51" s="12">
        <v>0.10741761</v>
      </c>
      <c r="H51" s="36">
        <v>7.1749000000000001</v>
      </c>
    </row>
    <row r="52" spans="1:8" ht="17.100000000000001" customHeight="1" x14ac:dyDescent="0.2">
      <c r="A52" s="8">
        <v>2</v>
      </c>
      <c r="B52" s="9" t="s">
        <v>68</v>
      </c>
      <c r="C52" s="9" t="s">
        <v>69</v>
      </c>
      <c r="D52" s="9" t="s">
        <v>67</v>
      </c>
      <c r="E52" s="10">
        <v>2500000</v>
      </c>
      <c r="F52" s="11">
        <v>2534.8375000000001</v>
      </c>
      <c r="G52" s="12">
        <v>7.7141580000000001E-2</v>
      </c>
      <c r="H52" s="36">
        <v>7.1661999999999999</v>
      </c>
    </row>
    <row r="53" spans="1:8" ht="17.100000000000001" customHeight="1" x14ac:dyDescent="0.2">
      <c r="A53" s="8">
        <v>3</v>
      </c>
      <c r="B53" s="9" t="s">
        <v>131</v>
      </c>
      <c r="C53" s="9" t="s">
        <v>132</v>
      </c>
      <c r="D53" s="9" t="s">
        <v>67</v>
      </c>
      <c r="E53" s="10">
        <v>500000</v>
      </c>
      <c r="F53" s="11">
        <v>506.65550000000002</v>
      </c>
      <c r="G53" s="12">
        <v>1.541882E-2</v>
      </c>
      <c r="H53" s="36">
        <v>7.1254999999999997</v>
      </c>
    </row>
    <row r="54" spans="1:8" ht="29.1" customHeight="1" x14ac:dyDescent="0.2">
      <c r="A54" s="8">
        <v>4</v>
      </c>
      <c r="B54" s="9" t="s">
        <v>72</v>
      </c>
      <c r="C54" s="9" t="s">
        <v>73</v>
      </c>
      <c r="D54" s="9" t="s">
        <v>67</v>
      </c>
      <c r="E54" s="10">
        <v>200000</v>
      </c>
      <c r="F54" s="11">
        <v>201.2612</v>
      </c>
      <c r="G54" s="12">
        <v>6.12489E-3</v>
      </c>
      <c r="H54" s="36">
        <v>7.1303999999999998</v>
      </c>
    </row>
    <row r="55" spans="1:8" ht="14.1" customHeight="1" x14ac:dyDescent="0.2">
      <c r="A55" s="1"/>
      <c r="B55" s="1"/>
      <c r="C55" s="2" t="s">
        <v>11</v>
      </c>
      <c r="D55" s="1"/>
      <c r="E55" s="1" t="s">
        <v>12</v>
      </c>
      <c r="F55" s="7">
        <v>6772.4481999999998</v>
      </c>
      <c r="G55" s="4">
        <v>0.20610290000000001</v>
      </c>
      <c r="H55" s="36"/>
    </row>
    <row r="56" spans="1:8" ht="14.1" customHeight="1" x14ac:dyDescent="0.2">
      <c r="A56" s="1"/>
      <c r="B56" s="1"/>
      <c r="C56" s="5"/>
      <c r="D56" s="1"/>
      <c r="E56" s="1"/>
      <c r="F56" s="6"/>
      <c r="G56" s="6"/>
      <c r="H56" s="36"/>
    </row>
    <row r="57" spans="1:8" ht="14.1" customHeight="1" x14ac:dyDescent="0.2">
      <c r="A57" s="1"/>
      <c r="B57" s="1"/>
      <c r="C57" s="2" t="s">
        <v>74</v>
      </c>
      <c r="D57" s="1"/>
      <c r="E57" s="1"/>
      <c r="F57" s="6"/>
      <c r="G57" s="6"/>
      <c r="H57" s="36"/>
    </row>
    <row r="58" spans="1:8" ht="14.1" customHeight="1" x14ac:dyDescent="0.2">
      <c r="A58" s="1"/>
      <c r="B58" s="1"/>
      <c r="C58" s="2" t="s">
        <v>11</v>
      </c>
      <c r="D58" s="1"/>
      <c r="E58" s="1" t="s">
        <v>12</v>
      </c>
      <c r="F58" s="3" t="s">
        <v>13</v>
      </c>
      <c r="G58" s="4">
        <v>0</v>
      </c>
      <c r="H58" s="36"/>
    </row>
    <row r="59" spans="1:8" ht="14.1" customHeight="1" x14ac:dyDescent="0.2">
      <c r="A59" s="1"/>
      <c r="B59" s="1"/>
      <c r="C59" s="5"/>
      <c r="D59" s="1"/>
      <c r="E59" s="1"/>
      <c r="F59" s="6"/>
      <c r="G59" s="6"/>
      <c r="H59" s="36"/>
    </row>
    <row r="60" spans="1:8" ht="14.1" customHeight="1" x14ac:dyDescent="0.2">
      <c r="A60" s="1"/>
      <c r="B60" s="1"/>
      <c r="C60" s="2" t="s">
        <v>75</v>
      </c>
      <c r="D60" s="1"/>
      <c r="E60" s="1"/>
      <c r="F60" s="7">
        <v>31103.513200000001</v>
      </c>
      <c r="G60" s="4">
        <v>0.94655937000000001</v>
      </c>
      <c r="H60" s="36"/>
    </row>
    <row r="61" spans="1:8" ht="14.1" customHeight="1" x14ac:dyDescent="0.2">
      <c r="A61" s="1"/>
      <c r="B61" s="1"/>
      <c r="C61" s="5"/>
      <c r="D61" s="1"/>
      <c r="E61" s="1"/>
      <c r="F61" s="6"/>
      <c r="G61" s="6"/>
      <c r="H61" s="36"/>
    </row>
    <row r="62" spans="1:8" ht="14.1" customHeight="1" x14ac:dyDescent="0.2">
      <c r="A62" s="1"/>
      <c r="B62" s="1"/>
      <c r="C62" s="2" t="s">
        <v>76</v>
      </c>
      <c r="D62" s="1"/>
      <c r="E62" s="1"/>
      <c r="F62" s="6"/>
      <c r="G62" s="6"/>
      <c r="H62" s="36"/>
    </row>
    <row r="63" spans="1:8" ht="14.1" customHeight="1" x14ac:dyDescent="0.2">
      <c r="A63" s="1"/>
      <c r="B63" s="1"/>
      <c r="C63" s="2" t="s">
        <v>77</v>
      </c>
      <c r="D63" s="1"/>
      <c r="E63" s="1"/>
      <c r="F63" s="6"/>
      <c r="G63" s="6"/>
      <c r="H63" s="36"/>
    </row>
    <row r="64" spans="1:8" ht="17.100000000000001" customHeight="1" x14ac:dyDescent="0.2">
      <c r="A64" s="8">
        <v>1</v>
      </c>
      <c r="B64" s="9" t="s">
        <v>133</v>
      </c>
      <c r="C64" s="9" t="s">
        <v>134</v>
      </c>
      <c r="D64" s="9" t="s">
        <v>135</v>
      </c>
      <c r="E64" s="10">
        <v>60</v>
      </c>
      <c r="F64" s="11">
        <v>290.65170000000001</v>
      </c>
      <c r="G64" s="12">
        <v>8.8452700000000006E-3</v>
      </c>
      <c r="H64" s="36">
        <v>7.43</v>
      </c>
    </row>
    <row r="65" spans="1:8" ht="14.1" customHeight="1" x14ac:dyDescent="0.2">
      <c r="A65" s="1"/>
      <c r="B65" s="1"/>
      <c r="C65" s="2" t="s">
        <v>11</v>
      </c>
      <c r="D65" s="1"/>
      <c r="E65" s="1" t="s">
        <v>12</v>
      </c>
      <c r="F65" s="7">
        <v>290.65170000000001</v>
      </c>
      <c r="G65" s="4">
        <v>8.8452700000000006E-3</v>
      </c>
      <c r="H65" s="36"/>
    </row>
    <row r="66" spans="1:8" ht="14.1" customHeight="1" x14ac:dyDescent="0.2">
      <c r="A66" s="1"/>
      <c r="B66" s="1"/>
      <c r="C66" s="5"/>
      <c r="D66" s="1"/>
      <c r="E66" s="1"/>
      <c r="F66" s="6"/>
      <c r="G66" s="6"/>
      <c r="H66" s="36"/>
    </row>
    <row r="67" spans="1:8" ht="14.1" customHeight="1" x14ac:dyDescent="0.2">
      <c r="A67" s="1"/>
      <c r="B67" s="1"/>
      <c r="C67" s="2" t="s">
        <v>78</v>
      </c>
      <c r="D67" s="1"/>
      <c r="E67" s="1"/>
      <c r="F67" s="6"/>
      <c r="G67" s="6"/>
      <c r="H67" s="36"/>
    </row>
    <row r="68" spans="1:8" ht="14.1" customHeight="1" x14ac:dyDescent="0.2">
      <c r="A68" s="1"/>
      <c r="B68" s="1"/>
      <c r="C68" s="2" t="s">
        <v>11</v>
      </c>
      <c r="D68" s="1"/>
      <c r="E68" s="1" t="s">
        <v>12</v>
      </c>
      <c r="F68" s="3" t="s">
        <v>13</v>
      </c>
      <c r="G68" s="4">
        <v>0</v>
      </c>
      <c r="H68" s="36"/>
    </row>
    <row r="69" spans="1:8" ht="14.1" customHeight="1" x14ac:dyDescent="0.2">
      <c r="A69" s="1"/>
      <c r="B69" s="1"/>
      <c r="C69" s="5"/>
      <c r="D69" s="1"/>
      <c r="E69" s="1"/>
      <c r="F69" s="6"/>
      <c r="G69" s="6"/>
      <c r="H69" s="36"/>
    </row>
    <row r="70" spans="1:8" ht="14.1" customHeight="1" x14ac:dyDescent="0.2">
      <c r="A70" s="1"/>
      <c r="B70" s="1"/>
      <c r="C70" s="2" t="s">
        <v>79</v>
      </c>
      <c r="D70" s="1"/>
      <c r="E70" s="1"/>
      <c r="F70" s="6"/>
      <c r="G70" s="6"/>
      <c r="H70" s="36"/>
    </row>
    <row r="71" spans="1:8" ht="14.1" customHeight="1" x14ac:dyDescent="0.2">
      <c r="A71" s="1"/>
      <c r="B71" s="1"/>
      <c r="C71" s="2" t="s">
        <v>11</v>
      </c>
      <c r="D71" s="1"/>
      <c r="E71" s="1" t="s">
        <v>12</v>
      </c>
      <c r="F71" s="3" t="s">
        <v>13</v>
      </c>
      <c r="G71" s="4">
        <v>0</v>
      </c>
      <c r="H71" s="36"/>
    </row>
    <row r="72" spans="1:8" ht="14.1" customHeight="1" x14ac:dyDescent="0.2">
      <c r="A72" s="1"/>
      <c r="B72" s="1"/>
      <c r="C72" s="5"/>
      <c r="D72" s="1"/>
      <c r="E72" s="1"/>
      <c r="F72" s="6"/>
      <c r="G72" s="6"/>
      <c r="H72" s="36"/>
    </row>
    <row r="73" spans="1:8" ht="14.1" customHeight="1" x14ac:dyDescent="0.2">
      <c r="A73" s="1"/>
      <c r="B73" s="1"/>
      <c r="C73" s="52" t="s">
        <v>80</v>
      </c>
      <c r="D73" s="1"/>
      <c r="E73" s="1"/>
      <c r="F73" s="6"/>
      <c r="G73" s="6"/>
      <c r="H73" s="36"/>
    </row>
    <row r="74" spans="1:8" ht="17.100000000000001" customHeight="1" x14ac:dyDescent="0.2">
      <c r="A74" s="8">
        <v>1</v>
      </c>
      <c r="B74" s="9"/>
      <c r="C74" s="9" t="s">
        <v>81</v>
      </c>
      <c r="D74" s="9"/>
      <c r="E74" s="13"/>
      <c r="F74" s="11">
        <v>409.23257799999999</v>
      </c>
      <c r="G74" s="12">
        <v>1.245399E-2</v>
      </c>
      <c r="H74" s="36">
        <v>6.7262665696944239</v>
      </c>
    </row>
    <row r="75" spans="1:8" ht="14.1" customHeight="1" x14ac:dyDescent="0.2">
      <c r="A75" s="1"/>
      <c r="B75" s="1"/>
      <c r="C75" s="2" t="s">
        <v>11</v>
      </c>
      <c r="D75" s="1"/>
      <c r="E75" s="1" t="s">
        <v>12</v>
      </c>
      <c r="F75" s="7">
        <v>409.23257799999999</v>
      </c>
      <c r="G75" s="4">
        <v>1.245399E-2</v>
      </c>
      <c r="H75" s="36"/>
    </row>
    <row r="76" spans="1:8" ht="14.1" customHeight="1" x14ac:dyDescent="0.2">
      <c r="A76" s="1"/>
      <c r="B76" s="1"/>
      <c r="C76" s="5"/>
      <c r="D76" s="1"/>
      <c r="E76" s="1"/>
      <c r="F76" s="6"/>
      <c r="G76" s="6"/>
      <c r="H76" s="36"/>
    </row>
    <row r="77" spans="1:8" ht="14.1" customHeight="1" x14ac:dyDescent="0.2">
      <c r="A77" s="1"/>
      <c r="B77" s="1"/>
      <c r="C77" s="2" t="s">
        <v>82</v>
      </c>
      <c r="D77" s="1"/>
      <c r="E77" s="1"/>
      <c r="F77" s="7">
        <v>699.88427799999999</v>
      </c>
      <c r="G77" s="4">
        <v>2.129926E-2</v>
      </c>
      <c r="H77" s="36"/>
    </row>
    <row r="78" spans="1:8" ht="14.1" customHeight="1" x14ac:dyDescent="0.2">
      <c r="A78" s="1"/>
      <c r="B78" s="1"/>
      <c r="C78" s="6"/>
      <c r="D78" s="1"/>
      <c r="E78" s="1"/>
      <c r="F78" s="1"/>
      <c r="G78" s="1"/>
      <c r="H78" s="36"/>
    </row>
    <row r="79" spans="1:8" ht="14.1" customHeight="1" x14ac:dyDescent="0.2">
      <c r="A79" s="1"/>
      <c r="B79" s="1"/>
      <c r="C79" s="2" t="s">
        <v>83</v>
      </c>
      <c r="D79" s="1"/>
      <c r="E79" s="1"/>
      <c r="F79" s="1"/>
      <c r="G79" s="1"/>
      <c r="H79" s="36"/>
    </row>
    <row r="80" spans="1:8" ht="14.1" customHeight="1" x14ac:dyDescent="0.2">
      <c r="A80" s="1"/>
      <c r="B80" s="1"/>
      <c r="C80" s="2" t="s">
        <v>84</v>
      </c>
      <c r="D80" s="1"/>
      <c r="E80" s="1"/>
      <c r="F80" s="1"/>
      <c r="G80" s="1"/>
      <c r="H80" s="36"/>
    </row>
    <row r="81" spans="1:18" ht="14.1" customHeight="1" x14ac:dyDescent="0.2">
      <c r="A81" s="1"/>
      <c r="B81" s="1"/>
      <c r="C81" s="2" t="s">
        <v>11</v>
      </c>
      <c r="D81" s="1"/>
      <c r="E81" s="1" t="s">
        <v>12</v>
      </c>
      <c r="F81" s="3" t="s">
        <v>13</v>
      </c>
      <c r="G81" s="4">
        <v>0</v>
      </c>
      <c r="H81" s="36"/>
    </row>
    <row r="82" spans="1:18" ht="14.1" customHeight="1" x14ac:dyDescent="0.2">
      <c r="A82" s="1"/>
      <c r="B82" s="1"/>
      <c r="C82" s="5"/>
      <c r="D82" s="1"/>
      <c r="E82" s="1"/>
      <c r="F82" s="6"/>
      <c r="G82" s="6"/>
      <c r="H82" s="36"/>
    </row>
    <row r="83" spans="1:18" ht="14.1" customHeight="1" x14ac:dyDescent="0.2">
      <c r="A83" s="1"/>
      <c r="B83" s="1"/>
      <c r="C83" s="2" t="s">
        <v>87</v>
      </c>
      <c r="D83" s="1"/>
      <c r="E83" s="1"/>
      <c r="F83" s="1"/>
      <c r="G83" s="1"/>
      <c r="H83" s="36"/>
    </row>
    <row r="84" spans="1:18" ht="14.1" customHeight="1" x14ac:dyDescent="0.2">
      <c r="A84" s="1"/>
      <c r="B84" s="1"/>
      <c r="C84" s="2" t="s">
        <v>88</v>
      </c>
      <c r="D84" s="1"/>
      <c r="E84" s="1"/>
      <c r="F84" s="1"/>
      <c r="G84" s="1"/>
      <c r="H84" s="36"/>
    </row>
    <row r="85" spans="1:18" ht="14.1" customHeight="1" x14ac:dyDescent="0.2">
      <c r="A85" s="1"/>
      <c r="B85" s="1"/>
      <c r="C85" s="2" t="s">
        <v>11</v>
      </c>
      <c r="D85" s="1"/>
      <c r="E85" s="1" t="s">
        <v>12</v>
      </c>
      <c r="F85" s="3" t="s">
        <v>13</v>
      </c>
      <c r="G85" s="4">
        <v>0</v>
      </c>
      <c r="H85" s="36"/>
    </row>
    <row r="86" spans="1:18" ht="14.1" customHeight="1" x14ac:dyDescent="0.2">
      <c r="A86" s="1"/>
      <c r="B86" s="1"/>
      <c r="C86" s="5"/>
      <c r="D86" s="1"/>
      <c r="E86" s="1"/>
      <c r="F86" s="6"/>
      <c r="G86" s="6"/>
      <c r="H86" s="36"/>
    </row>
    <row r="87" spans="1:18" ht="24" customHeight="1" x14ac:dyDescent="0.2">
      <c r="A87" s="1"/>
      <c r="B87" s="1"/>
      <c r="C87" s="2" t="s">
        <v>89</v>
      </c>
      <c r="D87" s="1"/>
      <c r="E87" s="1"/>
      <c r="F87" s="6"/>
      <c r="G87" s="6"/>
      <c r="H87" s="36"/>
    </row>
    <row r="88" spans="1:18" ht="14.1" customHeight="1" x14ac:dyDescent="0.2">
      <c r="A88" s="1"/>
      <c r="B88" s="1"/>
      <c r="C88" s="2" t="s">
        <v>11</v>
      </c>
      <c r="D88" s="1"/>
      <c r="E88" s="1" t="s">
        <v>12</v>
      </c>
      <c r="F88" s="3" t="s">
        <v>13</v>
      </c>
      <c r="G88" s="4">
        <v>0</v>
      </c>
      <c r="H88" s="36"/>
    </row>
    <row r="89" spans="1:18" x14ac:dyDescent="0.2">
      <c r="A89" s="33"/>
      <c r="B89" s="33"/>
      <c r="C89" s="34"/>
      <c r="D89" s="33"/>
      <c r="E89" s="33"/>
      <c r="F89" s="35"/>
      <c r="G89" s="35"/>
      <c r="H89" s="36"/>
      <c r="K89" s="41"/>
    </row>
    <row r="90" spans="1:18" ht="25.5" x14ac:dyDescent="0.2">
      <c r="A90" s="38"/>
      <c r="B90" s="38"/>
      <c r="C90" s="39" t="s">
        <v>479</v>
      </c>
      <c r="D90" s="38"/>
      <c r="E90" s="38"/>
      <c r="F90" s="40"/>
      <c r="G90" s="40"/>
      <c r="H90" s="36"/>
      <c r="L90" s="41"/>
      <c r="M90" s="41"/>
      <c r="N90" s="41"/>
      <c r="O90" s="41"/>
      <c r="P90" s="42"/>
      <c r="Q90" s="42"/>
      <c r="R90" s="42"/>
    </row>
    <row r="91" spans="1:18" ht="25.5" x14ac:dyDescent="0.2">
      <c r="A91" s="43">
        <v>1</v>
      </c>
      <c r="B91" s="44" t="s">
        <v>85</v>
      </c>
      <c r="C91" s="44" t="s">
        <v>86</v>
      </c>
      <c r="D91" s="44"/>
      <c r="E91" s="14">
        <v>1138.2429999999999</v>
      </c>
      <c r="F91" s="11">
        <v>117.106800449</v>
      </c>
      <c r="G91" s="12">
        <v>3.5638599999999999E-3</v>
      </c>
      <c r="H91" s="36"/>
    </row>
    <row r="92" spans="1:18" x14ac:dyDescent="0.2">
      <c r="A92" s="33"/>
      <c r="B92" s="33"/>
      <c r="C92" s="45" t="s">
        <v>11</v>
      </c>
      <c r="D92" s="33"/>
      <c r="E92" s="1" t="s">
        <v>12</v>
      </c>
      <c r="F92" s="7">
        <v>117.106800449</v>
      </c>
      <c r="G92" s="4">
        <v>3.5638599999999999E-3</v>
      </c>
      <c r="H92" s="36"/>
    </row>
    <row r="93" spans="1:18" ht="14.1" customHeight="1" x14ac:dyDescent="0.2">
      <c r="A93" s="1"/>
      <c r="B93" s="1"/>
      <c r="C93" s="5"/>
      <c r="D93" s="1"/>
      <c r="E93" s="1"/>
      <c r="F93" s="6"/>
      <c r="G93" s="6"/>
      <c r="H93" s="36"/>
    </row>
    <row r="94" spans="1:18" ht="14.1" customHeight="1" x14ac:dyDescent="0.2">
      <c r="A94" s="1"/>
      <c r="B94" s="9"/>
      <c r="C94" s="9"/>
      <c r="D94" s="2"/>
      <c r="E94" s="1"/>
      <c r="F94" s="9"/>
      <c r="G94" s="13"/>
      <c r="H94" s="36"/>
    </row>
    <row r="95" spans="1:18" ht="18" customHeight="1" x14ac:dyDescent="0.2">
      <c r="A95" s="13"/>
      <c r="B95" s="9"/>
      <c r="C95" s="9" t="s">
        <v>90</v>
      </c>
      <c r="D95" s="9"/>
      <c r="E95" s="13"/>
      <c r="F95" s="11">
        <v>939.04341926099914</v>
      </c>
      <c r="G95" s="12">
        <v>2.8577499999999999E-2</v>
      </c>
      <c r="H95" s="36"/>
    </row>
    <row r="96" spans="1:18" ht="14.1" customHeight="1" x14ac:dyDescent="0.2">
      <c r="A96" s="5"/>
      <c r="B96" s="5"/>
      <c r="C96" s="2" t="s">
        <v>91</v>
      </c>
      <c r="D96" s="6"/>
      <c r="E96" s="6"/>
      <c r="F96" s="7">
        <v>32859.547697709997</v>
      </c>
      <c r="G96" s="15">
        <v>0.99999998999999995</v>
      </c>
      <c r="H96" s="36"/>
    </row>
    <row r="97" spans="1:8" ht="14.1" customHeight="1" x14ac:dyDescent="0.2">
      <c r="A97" s="16"/>
      <c r="B97" s="16"/>
      <c r="C97" s="16"/>
      <c r="D97" s="17"/>
      <c r="E97" s="17"/>
      <c r="F97" s="17"/>
      <c r="G97" s="17"/>
    </row>
    <row r="98" spans="1:8" x14ac:dyDescent="0.2">
      <c r="A98" s="46"/>
      <c r="B98" s="108" t="s">
        <v>483</v>
      </c>
      <c r="C98" s="108"/>
      <c r="D98" s="108"/>
      <c r="E98" s="108"/>
      <c r="F98" s="108"/>
      <c r="G98" s="108"/>
      <c r="H98" s="108"/>
    </row>
    <row r="99" spans="1:8" x14ac:dyDescent="0.2">
      <c r="A99" s="46"/>
      <c r="B99" s="108" t="s">
        <v>484</v>
      </c>
      <c r="C99" s="108"/>
      <c r="D99" s="108"/>
      <c r="E99" s="108"/>
      <c r="F99" s="108"/>
      <c r="G99" s="108"/>
      <c r="H99" s="108"/>
    </row>
    <row r="100" spans="1:8" x14ac:dyDescent="0.2">
      <c r="A100" s="46"/>
      <c r="B100" s="108" t="s">
        <v>485</v>
      </c>
      <c r="C100" s="108"/>
      <c r="D100" s="108"/>
      <c r="E100" s="108"/>
      <c r="F100" s="108"/>
      <c r="G100" s="108"/>
      <c r="H100" s="108"/>
    </row>
    <row r="101" spans="1:8" ht="14.1" customHeight="1" x14ac:dyDescent="0.2">
      <c r="A101" s="18"/>
      <c r="B101" s="18"/>
      <c r="C101" s="18"/>
      <c r="D101" s="20"/>
      <c r="E101" s="20"/>
      <c r="F101" s="20"/>
      <c r="G101" s="20"/>
    </row>
    <row r="102" spans="1:8" ht="14.1" customHeight="1" x14ac:dyDescent="0.2">
      <c r="A102" s="18"/>
      <c r="B102" s="114" t="s">
        <v>92</v>
      </c>
      <c r="C102" s="115"/>
      <c r="D102" s="116"/>
      <c r="E102" s="21"/>
      <c r="F102" s="20"/>
      <c r="G102" s="20"/>
    </row>
    <row r="103" spans="1:8" ht="29.1" customHeight="1" x14ac:dyDescent="0.2">
      <c r="A103" s="18"/>
      <c r="B103" s="117" t="s">
        <v>93</v>
      </c>
      <c r="C103" s="118"/>
      <c r="D103" s="2" t="s">
        <v>94</v>
      </c>
      <c r="E103" s="21"/>
      <c r="F103" s="20"/>
      <c r="G103" s="20"/>
    </row>
    <row r="104" spans="1:8" ht="17.100000000000001" customHeight="1" x14ac:dyDescent="0.2">
      <c r="A104" s="18"/>
      <c r="B104" s="117" t="s">
        <v>95</v>
      </c>
      <c r="C104" s="118"/>
      <c r="D104" s="2" t="s">
        <v>94</v>
      </c>
      <c r="E104" s="21"/>
      <c r="F104" s="20"/>
      <c r="G104" s="20"/>
    </row>
    <row r="105" spans="1:8" ht="17.100000000000001" customHeight="1" x14ac:dyDescent="0.2">
      <c r="A105" s="18"/>
      <c r="B105" s="117" t="s">
        <v>96</v>
      </c>
      <c r="C105" s="118"/>
      <c r="D105" s="6" t="s">
        <v>12</v>
      </c>
      <c r="E105" s="21"/>
      <c r="F105" s="20"/>
      <c r="G105" s="20"/>
    </row>
    <row r="106" spans="1:8" ht="24" customHeight="1" x14ac:dyDescent="0.2">
      <c r="A106" s="22"/>
      <c r="B106" s="23" t="s">
        <v>12</v>
      </c>
      <c r="C106" s="23" t="s">
        <v>97</v>
      </c>
      <c r="D106" s="23" t="s">
        <v>98</v>
      </c>
      <c r="E106" s="22"/>
      <c r="F106" s="22"/>
      <c r="G106" s="22"/>
    </row>
    <row r="107" spans="1:8" ht="18" customHeight="1" x14ac:dyDescent="0.2">
      <c r="A107" s="22"/>
      <c r="B107" s="24" t="s">
        <v>99</v>
      </c>
      <c r="C107" s="23" t="s">
        <v>582</v>
      </c>
      <c r="D107" s="23" t="s">
        <v>100</v>
      </c>
      <c r="E107" s="22"/>
      <c r="F107" s="22"/>
      <c r="G107" s="22"/>
    </row>
    <row r="108" spans="1:8" ht="17.100000000000001" customHeight="1" x14ac:dyDescent="0.2">
      <c r="A108" s="22"/>
      <c r="B108" s="9" t="s">
        <v>101</v>
      </c>
      <c r="C108" s="25">
        <v>39.823700000000002</v>
      </c>
      <c r="D108" s="25">
        <v>40.048099999999998</v>
      </c>
      <c r="E108" s="22"/>
      <c r="F108" s="19"/>
      <c r="G108" s="26"/>
    </row>
    <row r="109" spans="1:8" ht="17.100000000000001" customHeight="1" x14ac:dyDescent="0.2">
      <c r="A109" s="22"/>
      <c r="B109" s="9" t="s">
        <v>136</v>
      </c>
      <c r="C109" s="25">
        <v>19.922499999999999</v>
      </c>
      <c r="D109" s="25">
        <v>20.034800000000001</v>
      </c>
      <c r="E109" s="22"/>
      <c r="F109" s="19"/>
      <c r="G109" s="26"/>
    </row>
    <row r="110" spans="1:8" ht="29.1" customHeight="1" x14ac:dyDescent="0.2">
      <c r="A110" s="22"/>
      <c r="B110" s="9" t="s">
        <v>552</v>
      </c>
      <c r="C110" s="25">
        <v>10.23</v>
      </c>
      <c r="D110" s="13"/>
      <c r="E110" s="22"/>
      <c r="F110" s="19"/>
      <c r="G110" s="26"/>
    </row>
    <row r="111" spans="1:8" ht="29.1" customHeight="1" x14ac:dyDescent="0.2">
      <c r="A111" s="22"/>
      <c r="B111" s="9" t="s">
        <v>553</v>
      </c>
      <c r="C111" s="25">
        <v>12.941000000000001</v>
      </c>
      <c r="D111" s="13"/>
      <c r="E111" s="22"/>
      <c r="F111" s="19"/>
      <c r="G111" s="26"/>
    </row>
    <row r="112" spans="1:8" ht="29.1" customHeight="1" x14ac:dyDescent="0.2">
      <c r="A112" s="22"/>
      <c r="B112" s="9" t="s">
        <v>543</v>
      </c>
      <c r="C112" s="25">
        <v>11.542</v>
      </c>
      <c r="D112" s="25">
        <v>11.538</v>
      </c>
      <c r="E112" s="22"/>
      <c r="F112" s="19"/>
      <c r="G112" s="26"/>
    </row>
    <row r="113" spans="1:7" ht="17.100000000000001" customHeight="1" x14ac:dyDescent="0.2">
      <c r="A113" s="22"/>
      <c r="B113" s="9" t="s">
        <v>137</v>
      </c>
      <c r="C113" s="25">
        <v>35.438299999999998</v>
      </c>
      <c r="D113" s="13"/>
      <c r="E113" s="22"/>
      <c r="F113" s="19"/>
      <c r="G113" s="26"/>
    </row>
    <row r="114" spans="1:7" ht="29.1" customHeight="1" x14ac:dyDescent="0.2">
      <c r="A114" s="22"/>
      <c r="B114" s="9" t="s">
        <v>554</v>
      </c>
      <c r="C114" s="25">
        <v>11.4992</v>
      </c>
      <c r="D114" s="13"/>
      <c r="E114" s="22"/>
      <c r="F114" s="19"/>
      <c r="G114" s="26"/>
    </row>
    <row r="115" spans="1:7" ht="17.100000000000001" customHeight="1" x14ac:dyDescent="0.2">
      <c r="A115" s="22"/>
      <c r="B115" s="9" t="s">
        <v>102</v>
      </c>
      <c r="C115" s="25">
        <v>39.325400000000002</v>
      </c>
      <c r="D115" s="25">
        <v>39.5426</v>
      </c>
      <c r="E115" s="22"/>
      <c r="F115" s="19"/>
      <c r="G115" s="26"/>
    </row>
    <row r="116" spans="1:7" ht="17.100000000000001" customHeight="1" x14ac:dyDescent="0.2">
      <c r="A116" s="22"/>
      <c r="B116" s="9" t="s">
        <v>138</v>
      </c>
      <c r="C116" s="25">
        <v>19.8307</v>
      </c>
      <c r="D116" s="25">
        <v>19.940200000000001</v>
      </c>
      <c r="E116" s="22"/>
      <c r="F116" s="19"/>
      <c r="G116" s="26"/>
    </row>
    <row r="117" spans="1:7" ht="29.1" customHeight="1" x14ac:dyDescent="0.2">
      <c r="A117" s="22"/>
      <c r="B117" s="9" t="s">
        <v>555</v>
      </c>
      <c r="C117" s="25">
        <v>10.355</v>
      </c>
      <c r="D117" s="13"/>
      <c r="E117" s="22"/>
      <c r="F117" s="19"/>
      <c r="G117" s="26"/>
    </row>
    <row r="118" spans="1:7" ht="29.1" customHeight="1" x14ac:dyDescent="0.2">
      <c r="A118" s="22"/>
      <c r="B118" s="9" t="s">
        <v>556</v>
      </c>
      <c r="C118" s="25">
        <v>12.104200000000001</v>
      </c>
      <c r="D118" s="13"/>
      <c r="E118" s="22"/>
      <c r="F118" s="19"/>
      <c r="G118" s="26"/>
    </row>
    <row r="119" spans="1:7" ht="29.1" customHeight="1" x14ac:dyDescent="0.2">
      <c r="A119" s="22"/>
      <c r="B119" s="9" t="s">
        <v>547</v>
      </c>
      <c r="C119" s="25">
        <v>11.5945</v>
      </c>
      <c r="D119" s="25">
        <v>11.590400000000001</v>
      </c>
      <c r="E119" s="22"/>
      <c r="F119" s="19"/>
      <c r="G119" s="26"/>
    </row>
    <row r="120" spans="1:7" ht="14.1" customHeight="1" x14ac:dyDescent="0.2">
      <c r="A120" s="22"/>
      <c r="B120" s="22"/>
      <c r="C120" s="22"/>
      <c r="D120" s="22"/>
      <c r="E120" s="22"/>
      <c r="F120" s="22"/>
      <c r="G120" s="22"/>
    </row>
    <row r="121" spans="1:7" ht="17.100000000000001" customHeight="1" x14ac:dyDescent="0.2">
      <c r="A121" s="22"/>
      <c r="B121" s="117" t="s">
        <v>551</v>
      </c>
      <c r="C121" s="118"/>
      <c r="D121" s="2" t="s">
        <v>12</v>
      </c>
      <c r="E121" s="22"/>
      <c r="F121" s="22"/>
      <c r="G121" s="22"/>
    </row>
    <row r="122" spans="1:7" ht="18" customHeight="1" x14ac:dyDescent="0.2">
      <c r="A122" s="22"/>
      <c r="B122" s="27" t="s">
        <v>99</v>
      </c>
      <c r="C122" s="28" t="s">
        <v>103</v>
      </c>
      <c r="D122" s="28" t="s">
        <v>104</v>
      </c>
      <c r="E122" s="22"/>
      <c r="F122" s="22"/>
      <c r="G122" s="22"/>
    </row>
    <row r="123" spans="1:7" ht="29.1" customHeight="1" x14ac:dyDescent="0.2">
      <c r="A123" s="22"/>
      <c r="B123" s="9" t="s">
        <v>552</v>
      </c>
      <c r="C123" s="29">
        <v>5.3566000000000003E-2</v>
      </c>
      <c r="D123" s="13" t="s">
        <v>105</v>
      </c>
      <c r="E123" s="22"/>
      <c r="F123" s="19"/>
      <c r="G123" s="26"/>
    </row>
    <row r="124" spans="1:7" ht="29.1" customHeight="1" x14ac:dyDescent="0.2">
      <c r="A124" s="22"/>
      <c r="B124" s="9" t="s">
        <v>543</v>
      </c>
      <c r="C124" s="29">
        <v>6.8900000000000003E-2</v>
      </c>
      <c r="D124" s="13" t="s">
        <v>105</v>
      </c>
      <c r="E124" s="22"/>
      <c r="F124" s="19"/>
      <c r="G124" s="26"/>
    </row>
    <row r="125" spans="1:7" ht="29.1" customHeight="1" x14ac:dyDescent="0.2">
      <c r="A125" s="22"/>
      <c r="B125" s="9" t="s">
        <v>554</v>
      </c>
      <c r="C125" s="29">
        <v>6.7400000000000002E-2</v>
      </c>
      <c r="D125" s="29">
        <v>6.7400000000000002E-2</v>
      </c>
      <c r="E125" s="22"/>
      <c r="F125" s="19"/>
      <c r="G125" s="26"/>
    </row>
    <row r="126" spans="1:7" ht="29.1" customHeight="1" x14ac:dyDescent="0.2">
      <c r="A126" s="22"/>
      <c r="B126" s="9" t="s">
        <v>555</v>
      </c>
      <c r="C126" s="29">
        <v>5.3163000000000002E-2</v>
      </c>
      <c r="D126" s="13" t="s">
        <v>105</v>
      </c>
      <c r="E126" s="22"/>
      <c r="F126" s="19"/>
      <c r="G126" s="26"/>
    </row>
    <row r="127" spans="1:7" ht="29.1" customHeight="1" x14ac:dyDescent="0.2">
      <c r="A127" s="22"/>
      <c r="B127" s="9" t="s">
        <v>556</v>
      </c>
      <c r="C127" s="29">
        <v>5.3400000000000003E-2</v>
      </c>
      <c r="D127" s="13" t="s">
        <v>105</v>
      </c>
      <c r="E127" s="22"/>
      <c r="F127" s="19"/>
      <c r="G127" s="26"/>
    </row>
    <row r="128" spans="1:7" ht="29.1" customHeight="1" x14ac:dyDescent="0.2">
      <c r="A128" s="22"/>
      <c r="B128" s="9" t="s">
        <v>547</v>
      </c>
      <c r="C128" s="29">
        <v>6.8000000000000005E-2</v>
      </c>
      <c r="D128" s="29">
        <v>6.8000000000000005E-2</v>
      </c>
      <c r="E128" s="22"/>
      <c r="F128" s="19"/>
      <c r="G128" s="26"/>
    </row>
    <row r="129" spans="1:15" ht="14.1" customHeight="1" x14ac:dyDescent="0.2">
      <c r="A129" s="22"/>
      <c r="B129" s="30"/>
      <c r="C129" s="30"/>
      <c r="D129" s="31"/>
      <c r="E129" s="22"/>
      <c r="F129" s="19"/>
      <c r="G129" s="26"/>
    </row>
    <row r="130" spans="1:15" s="60" customFormat="1" ht="17.100000000000001" customHeight="1" x14ac:dyDescent="0.2">
      <c r="A130" s="58"/>
      <c r="B130" s="112" t="s">
        <v>514</v>
      </c>
      <c r="C130" s="113"/>
      <c r="D130" s="52" t="s">
        <v>94</v>
      </c>
      <c r="E130" s="58"/>
      <c r="F130" s="47"/>
      <c r="G130" s="58"/>
      <c r="I130"/>
      <c r="J130" s="37"/>
      <c r="K130" s="41"/>
      <c r="L130" s="41"/>
      <c r="M130" s="41"/>
      <c r="N130" s="41"/>
      <c r="O130" s="59"/>
    </row>
    <row r="131" spans="1:15" s="60" customFormat="1" ht="29.1" customHeight="1" x14ac:dyDescent="0.2">
      <c r="A131" s="58"/>
      <c r="B131" s="112" t="s">
        <v>515</v>
      </c>
      <c r="C131" s="113"/>
      <c r="D131" s="52" t="s">
        <v>94</v>
      </c>
      <c r="E131" s="61"/>
      <c r="F131" s="58"/>
      <c r="G131" s="58"/>
      <c r="I131"/>
      <c r="J131" s="37"/>
      <c r="K131"/>
      <c r="L131" s="41"/>
      <c r="M131" s="41"/>
      <c r="N131" s="41"/>
      <c r="O131" s="59"/>
    </row>
    <row r="132" spans="1:15" s="60" customFormat="1" ht="29.1" customHeight="1" x14ac:dyDescent="0.2">
      <c r="A132" s="58"/>
      <c r="B132" s="112" t="s">
        <v>516</v>
      </c>
      <c r="C132" s="113"/>
      <c r="D132" s="52" t="s">
        <v>94</v>
      </c>
      <c r="E132" s="61"/>
      <c r="F132" s="58"/>
      <c r="G132" s="58"/>
      <c r="I132"/>
      <c r="J132" s="37"/>
      <c r="K132"/>
      <c r="L132" s="41"/>
      <c r="M132" s="41"/>
      <c r="N132" s="41"/>
      <c r="O132" s="59"/>
    </row>
    <row r="133" spans="1:15" s="60" customFormat="1" ht="17.100000000000001" customHeight="1" x14ac:dyDescent="0.2">
      <c r="A133" s="58"/>
      <c r="B133" s="112" t="s">
        <v>517</v>
      </c>
      <c r="C133" s="113"/>
      <c r="D133" s="52" t="s">
        <v>94</v>
      </c>
      <c r="E133" s="61"/>
      <c r="F133" s="58"/>
      <c r="G133" s="58"/>
      <c r="I133"/>
      <c r="J133" s="37"/>
      <c r="K133"/>
      <c r="L133" s="41"/>
      <c r="M133" s="41"/>
      <c r="N133" s="41"/>
      <c r="O133" s="59"/>
    </row>
    <row r="134" spans="1:15" s="60" customFormat="1" x14ac:dyDescent="0.2">
      <c r="A134" s="90"/>
      <c r="B134" s="90"/>
      <c r="C134" s="90"/>
      <c r="D134" s="90"/>
      <c r="E134" s="90"/>
      <c r="F134" s="90"/>
      <c r="G134" s="90"/>
      <c r="I134"/>
      <c r="J134" s="37"/>
      <c r="K134"/>
      <c r="L134" s="41"/>
      <c r="M134" s="41"/>
      <c r="N134" s="41"/>
      <c r="O134" s="59"/>
    </row>
    <row r="135" spans="1:15" s="60" customFormat="1" x14ac:dyDescent="0.2">
      <c r="B135" s="109" t="s">
        <v>504</v>
      </c>
      <c r="C135" s="110"/>
      <c r="D135" s="111"/>
      <c r="I135"/>
      <c r="J135" s="37"/>
      <c r="K135" s="41"/>
      <c r="L135" s="41"/>
      <c r="M135" s="41"/>
      <c r="N135" s="41"/>
      <c r="O135" s="59"/>
    </row>
    <row r="136" spans="1:15" s="60" customFormat="1" ht="25.5" x14ac:dyDescent="0.2">
      <c r="B136" s="103" t="s">
        <v>505</v>
      </c>
      <c r="C136" s="103"/>
      <c r="D136" s="62" t="s">
        <v>108</v>
      </c>
      <c r="I136"/>
      <c r="J136" s="37"/>
      <c r="K136" s="41"/>
      <c r="L136" s="41"/>
      <c r="M136" s="41"/>
      <c r="N136" s="41"/>
      <c r="O136" s="59"/>
    </row>
    <row r="137" spans="1:15" s="60" customFormat="1" x14ac:dyDescent="0.2">
      <c r="B137" s="103" t="s">
        <v>506</v>
      </c>
      <c r="C137" s="103"/>
      <c r="D137" s="63"/>
      <c r="I137"/>
      <c r="J137" s="37"/>
      <c r="K137" s="41"/>
      <c r="L137" s="41"/>
      <c r="M137" s="41"/>
      <c r="N137" s="41"/>
      <c r="O137" s="59"/>
    </row>
    <row r="138" spans="1:15" s="60" customFormat="1" x14ac:dyDescent="0.2">
      <c r="B138" s="103"/>
      <c r="C138" s="103"/>
      <c r="D138" s="64"/>
      <c r="I138"/>
      <c r="J138" s="37"/>
      <c r="K138" s="41"/>
      <c r="L138" s="41"/>
      <c r="M138" s="41"/>
      <c r="N138" s="41"/>
      <c r="O138" s="59"/>
    </row>
    <row r="139" spans="1:15" s="60" customFormat="1" x14ac:dyDescent="0.2">
      <c r="B139" s="103" t="s">
        <v>507</v>
      </c>
      <c r="C139" s="103"/>
      <c r="D139" s="65">
        <v>7.5426239592931976</v>
      </c>
      <c r="I139"/>
      <c r="J139" s="37"/>
      <c r="K139" s="41"/>
      <c r="L139" s="41"/>
      <c r="M139" s="41"/>
      <c r="N139" s="41"/>
      <c r="O139" s="59"/>
    </row>
    <row r="140" spans="1:15" s="60" customFormat="1" x14ac:dyDescent="0.2">
      <c r="B140" s="103"/>
      <c r="C140" s="103"/>
      <c r="D140" s="64"/>
      <c r="I140"/>
      <c r="J140" s="37"/>
      <c r="K140" s="41"/>
      <c r="L140" s="41"/>
      <c r="M140" s="41"/>
      <c r="N140" s="41"/>
      <c r="O140" s="59"/>
    </row>
    <row r="141" spans="1:15" s="60" customFormat="1" x14ac:dyDescent="0.2">
      <c r="B141" s="103" t="s">
        <v>530</v>
      </c>
      <c r="C141" s="103"/>
      <c r="D141" s="65">
        <v>3.2280580773135856</v>
      </c>
      <c r="I141"/>
      <c r="J141" s="37"/>
      <c r="K141" s="41"/>
      <c r="L141" s="41"/>
      <c r="M141" s="41"/>
      <c r="N141" s="41"/>
      <c r="O141" s="59"/>
    </row>
    <row r="142" spans="1:15" s="60" customFormat="1" x14ac:dyDescent="0.2">
      <c r="B142" s="103" t="s">
        <v>531</v>
      </c>
      <c r="C142" s="103"/>
      <c r="D142" s="65">
        <v>3.8876355722935441</v>
      </c>
      <c r="I142"/>
      <c r="J142" s="37"/>
      <c r="K142" s="41"/>
      <c r="L142" s="41"/>
      <c r="M142" s="41"/>
      <c r="N142" s="41"/>
      <c r="O142" s="59"/>
    </row>
    <row r="143" spans="1:15" s="60" customFormat="1" x14ac:dyDescent="0.2">
      <c r="B143" s="103"/>
      <c r="C143" s="103"/>
      <c r="D143" s="64"/>
      <c r="I143"/>
      <c r="J143" s="37"/>
      <c r="K143" s="41"/>
      <c r="L143" s="41"/>
      <c r="M143" s="41"/>
      <c r="N143" s="41"/>
      <c r="O143" s="59"/>
    </row>
    <row r="144" spans="1:15" s="60" customFormat="1" x14ac:dyDescent="0.2">
      <c r="B144" s="103" t="s">
        <v>510</v>
      </c>
      <c r="C144" s="103"/>
      <c r="D144" s="66">
        <v>45473</v>
      </c>
      <c r="I144"/>
      <c r="J144" s="37"/>
      <c r="K144" s="41"/>
      <c r="L144" s="41"/>
      <c r="M144" s="41"/>
      <c r="N144" s="41"/>
      <c r="O144" s="59"/>
    </row>
    <row r="145" spans="2:15" s="60" customFormat="1" x14ac:dyDescent="0.2">
      <c r="B145" s="104" t="s">
        <v>511</v>
      </c>
      <c r="C145" s="106"/>
      <c r="D145" s="105"/>
      <c r="I145"/>
      <c r="J145" s="37"/>
      <c r="K145" s="41"/>
      <c r="L145" s="41"/>
      <c r="M145" s="41"/>
      <c r="N145" s="41"/>
      <c r="O145" s="59"/>
    </row>
  </sheetData>
  <mergeCells count="26">
    <mergeCell ref="B121:C121"/>
    <mergeCell ref="A1:H1"/>
    <mergeCell ref="A2:H2"/>
    <mergeCell ref="A3:H3"/>
    <mergeCell ref="B98:H98"/>
    <mergeCell ref="B99:H99"/>
    <mergeCell ref="B100:H100"/>
    <mergeCell ref="B102:D102"/>
    <mergeCell ref="B103:C103"/>
    <mergeCell ref="B104:C104"/>
    <mergeCell ref="B105:C105"/>
    <mergeCell ref="B130:C130"/>
    <mergeCell ref="B145:D145"/>
    <mergeCell ref="B140:C140"/>
    <mergeCell ref="B141:C141"/>
    <mergeCell ref="B142:C142"/>
    <mergeCell ref="B143:C143"/>
    <mergeCell ref="B144:C144"/>
    <mergeCell ref="B136:C136"/>
    <mergeCell ref="B137:C137"/>
    <mergeCell ref="B138:C138"/>
    <mergeCell ref="B139:C139"/>
    <mergeCell ref="B131:C131"/>
    <mergeCell ref="B132:C132"/>
    <mergeCell ref="B133:C133"/>
    <mergeCell ref="B135:D135"/>
  </mergeCells>
  <hyperlinks>
    <hyperlink ref="I1" location="Index!B3" display="Index" xr:uid="{C628EC33-1E1E-4E8E-BC00-0DC42C2F1FA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CC395-CBF8-4C07-B981-C599246412B3}">
  <sheetPr>
    <outlinePr summaryBelow="0" summaryRight="0"/>
  </sheetPr>
  <dimension ref="A1:R145"/>
  <sheetViews>
    <sheetView showGridLines="0" workbookViewId="0">
      <selection activeCell="J14" sqref="J1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50.7109375" style="37" customWidth="1"/>
  </cols>
  <sheetData>
    <row r="1" spans="1:11" ht="18" customHeight="1" x14ac:dyDescent="0.2">
      <c r="A1" s="107" t="s">
        <v>0</v>
      </c>
      <c r="B1" s="107"/>
      <c r="C1" s="107"/>
      <c r="D1" s="107"/>
      <c r="E1" s="107"/>
      <c r="F1" s="107"/>
      <c r="G1" s="107"/>
      <c r="H1" s="107"/>
      <c r="I1" s="92" t="s">
        <v>560</v>
      </c>
    </row>
    <row r="2" spans="1:11" ht="17.100000000000001" customHeight="1" x14ac:dyDescent="0.2">
      <c r="A2" s="107" t="s">
        <v>139</v>
      </c>
      <c r="B2" s="107"/>
      <c r="C2" s="107"/>
      <c r="D2" s="107"/>
      <c r="E2" s="107"/>
      <c r="F2" s="107"/>
      <c r="G2" s="107"/>
      <c r="H2" s="107"/>
      <c r="J2" s="93" t="s">
        <v>561</v>
      </c>
    </row>
    <row r="3" spans="1:11" ht="21" customHeight="1" x14ac:dyDescent="0.2">
      <c r="A3" s="107" t="s">
        <v>588</v>
      </c>
      <c r="B3" s="107"/>
      <c r="C3" s="107"/>
      <c r="D3" s="107"/>
      <c r="E3" s="107"/>
      <c r="F3" s="107"/>
      <c r="G3" s="107"/>
      <c r="H3" s="107"/>
    </row>
    <row r="4" spans="1:11" ht="30" x14ac:dyDescent="0.2">
      <c r="A4" s="53" t="s">
        <v>2</v>
      </c>
      <c r="B4" s="53" t="s">
        <v>3</v>
      </c>
      <c r="C4" s="53" t="s">
        <v>4</v>
      </c>
      <c r="D4" s="53" t="s">
        <v>5</v>
      </c>
      <c r="E4" s="53" t="s">
        <v>6</v>
      </c>
      <c r="F4" s="53" t="s">
        <v>7</v>
      </c>
      <c r="G4" s="53" t="s">
        <v>8</v>
      </c>
      <c r="H4" s="51" t="s">
        <v>559</v>
      </c>
      <c r="I4" s="94"/>
      <c r="K4" s="94"/>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5"/>
    </row>
    <row r="13" spans="1:11" ht="14.1" customHeight="1" x14ac:dyDescent="0.2">
      <c r="A13" s="1"/>
      <c r="B13" s="1"/>
      <c r="C13" s="2" t="s">
        <v>11</v>
      </c>
      <c r="D13" s="1"/>
      <c r="E13" s="1" t="s">
        <v>12</v>
      </c>
      <c r="F13" s="3" t="s">
        <v>13</v>
      </c>
      <c r="G13" s="4">
        <v>0</v>
      </c>
      <c r="H13" s="36"/>
      <c r="J13" s="96"/>
    </row>
    <row r="14" spans="1:11" ht="14.1" customHeight="1" x14ac:dyDescent="0.2">
      <c r="A14" s="1"/>
      <c r="B14" s="1"/>
      <c r="C14" s="5"/>
      <c r="D14" s="1"/>
      <c r="E14" s="1"/>
      <c r="F14" s="6"/>
      <c r="G14" s="6"/>
      <c r="H14" s="36"/>
    </row>
    <row r="15" spans="1:11" ht="25.5" x14ac:dyDescent="0.2">
      <c r="A15" s="1"/>
      <c r="B15" s="1"/>
      <c r="C15" s="2" t="s">
        <v>16</v>
      </c>
      <c r="D15" s="1"/>
      <c r="E15" s="1"/>
      <c r="F15" s="1"/>
      <c r="G15" s="1"/>
      <c r="H15" s="36"/>
      <c r="J15" s="96" t="s">
        <v>567</v>
      </c>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5"/>
    </row>
    <row r="23" spans="1:10" ht="14.1" customHeight="1" x14ac:dyDescent="0.2">
      <c r="A23" s="1"/>
      <c r="B23" s="1"/>
      <c r="C23" s="5"/>
      <c r="D23" s="1"/>
      <c r="E23" s="1"/>
      <c r="F23" s="6"/>
      <c r="G23" s="6"/>
      <c r="H23" s="36"/>
      <c r="J23" s="96"/>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row>
    <row r="28" spans="1:10" ht="25.5" x14ac:dyDescent="0.2">
      <c r="A28" s="1"/>
      <c r="B28" s="1"/>
      <c r="C28" s="2" t="s">
        <v>11</v>
      </c>
      <c r="D28" s="1"/>
      <c r="E28" s="1" t="s">
        <v>12</v>
      </c>
      <c r="F28" s="3" t="s">
        <v>13</v>
      </c>
      <c r="G28" s="4">
        <v>0</v>
      </c>
      <c r="H28" s="36"/>
      <c r="J28" s="96" t="s">
        <v>568</v>
      </c>
    </row>
    <row r="29" spans="1:10" ht="14.1" customHeight="1" x14ac:dyDescent="0.2">
      <c r="A29" s="1"/>
      <c r="B29" s="1"/>
      <c r="C29" s="5"/>
      <c r="D29" s="1"/>
      <c r="E29" s="1"/>
      <c r="F29" s="6"/>
      <c r="G29" s="6"/>
      <c r="H29" s="36"/>
    </row>
    <row r="30" spans="1:10" ht="14.1" customHeight="1" x14ac:dyDescent="0.2">
      <c r="A30" s="1"/>
      <c r="B30" s="1"/>
      <c r="C30" s="2" t="s">
        <v>63</v>
      </c>
      <c r="D30" s="1"/>
      <c r="E30" s="1"/>
      <c r="F30" s="1"/>
      <c r="G30" s="1"/>
      <c r="H30" s="36"/>
    </row>
    <row r="31" spans="1:10" ht="14.1" customHeight="1" x14ac:dyDescent="0.2">
      <c r="A31" s="1"/>
      <c r="B31" s="1"/>
      <c r="C31" s="2" t="s">
        <v>11</v>
      </c>
      <c r="D31" s="1"/>
      <c r="E31" s="1" t="s">
        <v>12</v>
      </c>
      <c r="F31" s="3" t="s">
        <v>13</v>
      </c>
      <c r="G31" s="4">
        <v>0</v>
      </c>
      <c r="H31" s="36"/>
    </row>
    <row r="32" spans="1:10" ht="14.1" customHeight="1" x14ac:dyDescent="0.2">
      <c r="A32" s="1"/>
      <c r="B32" s="1"/>
      <c r="C32" s="5"/>
      <c r="D32" s="1"/>
      <c r="E32" s="1"/>
      <c r="F32" s="6"/>
      <c r="G32" s="6"/>
      <c r="H32" s="36"/>
    </row>
    <row r="33" spans="1:8" ht="14.1" customHeight="1" x14ac:dyDescent="0.2">
      <c r="A33" s="1"/>
      <c r="B33" s="1"/>
      <c r="C33" s="2" t="s">
        <v>64</v>
      </c>
      <c r="D33" s="1"/>
      <c r="E33" s="1"/>
      <c r="F33" s="1"/>
      <c r="G33" s="1"/>
      <c r="H33" s="36"/>
    </row>
    <row r="34" spans="1:8" ht="14.1" customHeight="1" x14ac:dyDescent="0.2">
      <c r="A34" s="1"/>
      <c r="B34" s="1"/>
      <c r="C34" s="2" t="s">
        <v>11</v>
      </c>
      <c r="D34" s="1"/>
      <c r="E34" s="1" t="s">
        <v>12</v>
      </c>
      <c r="F34" s="3" t="s">
        <v>13</v>
      </c>
      <c r="G34" s="4">
        <v>0</v>
      </c>
      <c r="H34" s="36"/>
    </row>
    <row r="35" spans="1:8" ht="14.1" customHeight="1" x14ac:dyDescent="0.2">
      <c r="A35" s="1"/>
      <c r="B35" s="1"/>
      <c r="C35" s="5"/>
      <c r="D35" s="1"/>
      <c r="E35" s="1"/>
      <c r="F35" s="6"/>
      <c r="G35" s="6"/>
      <c r="H35" s="36"/>
    </row>
    <row r="36" spans="1:8" ht="14.1" customHeight="1" x14ac:dyDescent="0.2">
      <c r="A36" s="1"/>
      <c r="B36" s="1"/>
      <c r="C36" s="2" t="s">
        <v>74</v>
      </c>
      <c r="D36" s="1"/>
      <c r="E36" s="1"/>
      <c r="F36" s="6"/>
      <c r="G36" s="6"/>
      <c r="H36" s="36"/>
    </row>
    <row r="37" spans="1:8" ht="14.1" customHeight="1" x14ac:dyDescent="0.2">
      <c r="A37" s="1"/>
      <c r="B37" s="1"/>
      <c r="C37" s="2" t="s">
        <v>11</v>
      </c>
      <c r="D37" s="1"/>
      <c r="E37" s="1" t="s">
        <v>12</v>
      </c>
      <c r="F37" s="3" t="s">
        <v>13</v>
      </c>
      <c r="G37" s="4">
        <v>0</v>
      </c>
      <c r="H37" s="36"/>
    </row>
    <row r="38" spans="1:8" ht="14.1" customHeight="1" x14ac:dyDescent="0.2">
      <c r="A38" s="1"/>
      <c r="B38" s="1"/>
      <c r="C38" s="5"/>
      <c r="D38" s="1"/>
      <c r="E38" s="1"/>
      <c r="F38" s="6"/>
      <c r="G38" s="6"/>
      <c r="H38" s="36"/>
    </row>
    <row r="39" spans="1:8" ht="14.1" customHeight="1" x14ac:dyDescent="0.2">
      <c r="A39" s="1"/>
      <c r="B39" s="1"/>
      <c r="C39" s="2" t="s">
        <v>75</v>
      </c>
      <c r="D39" s="1"/>
      <c r="E39" s="1"/>
      <c r="F39" s="7">
        <v>0</v>
      </c>
      <c r="G39" s="4">
        <v>0</v>
      </c>
      <c r="H39" s="36"/>
    </row>
    <row r="40" spans="1:8" ht="14.1" customHeight="1" x14ac:dyDescent="0.2">
      <c r="A40" s="1"/>
      <c r="B40" s="1"/>
      <c r="C40" s="5"/>
      <c r="D40" s="1"/>
      <c r="E40" s="1"/>
      <c r="F40" s="6"/>
      <c r="G40" s="6"/>
      <c r="H40" s="36"/>
    </row>
    <row r="41" spans="1:8" ht="14.1" customHeight="1" x14ac:dyDescent="0.2">
      <c r="A41" s="1"/>
      <c r="B41" s="1"/>
      <c r="C41" s="2" t="s">
        <v>76</v>
      </c>
      <c r="D41" s="1"/>
      <c r="E41" s="1"/>
      <c r="F41" s="6"/>
      <c r="G41" s="6"/>
      <c r="H41" s="36"/>
    </row>
    <row r="42" spans="1:8" ht="14.1" customHeight="1" x14ac:dyDescent="0.2">
      <c r="A42" s="1"/>
      <c r="B42" s="1"/>
      <c r="C42" s="2" t="s">
        <v>77</v>
      </c>
      <c r="D42" s="1"/>
      <c r="E42" s="1"/>
      <c r="F42" s="6"/>
      <c r="G42" s="6"/>
      <c r="H42" s="36"/>
    </row>
    <row r="43" spans="1:8" ht="17.100000000000001" customHeight="1" x14ac:dyDescent="0.2">
      <c r="A43" s="8">
        <v>1</v>
      </c>
      <c r="B43" s="9" t="s">
        <v>140</v>
      </c>
      <c r="C43" s="9" t="s">
        <v>141</v>
      </c>
      <c r="D43" s="9" t="s">
        <v>135</v>
      </c>
      <c r="E43" s="10">
        <v>500</v>
      </c>
      <c r="F43" s="11">
        <v>2383.1224999999999</v>
      </c>
      <c r="G43" s="12">
        <v>9.0009710000000007E-2</v>
      </c>
      <c r="H43" s="36">
        <v>7.4898999999999996</v>
      </c>
    </row>
    <row r="44" spans="1:8" ht="17.100000000000001" customHeight="1" x14ac:dyDescent="0.2">
      <c r="A44" s="8">
        <v>2</v>
      </c>
      <c r="B44" s="9" t="s">
        <v>142</v>
      </c>
      <c r="C44" s="9" t="s">
        <v>143</v>
      </c>
      <c r="D44" s="9" t="s">
        <v>144</v>
      </c>
      <c r="E44" s="10">
        <v>300</v>
      </c>
      <c r="F44" s="11">
        <v>1431.492</v>
      </c>
      <c r="G44" s="12">
        <v>5.4066959999999997E-2</v>
      </c>
      <c r="H44" s="36">
        <v>7.4649999999999999</v>
      </c>
    </row>
    <row r="45" spans="1:8" ht="17.100000000000001" customHeight="1" x14ac:dyDescent="0.2">
      <c r="A45" s="8">
        <v>3</v>
      </c>
      <c r="B45" s="9" t="s">
        <v>145</v>
      </c>
      <c r="C45" s="9" t="s">
        <v>146</v>
      </c>
      <c r="D45" s="9" t="s">
        <v>135</v>
      </c>
      <c r="E45" s="10">
        <v>300</v>
      </c>
      <c r="F45" s="11">
        <v>1428.999</v>
      </c>
      <c r="G45" s="12">
        <v>5.3972800000000001E-2</v>
      </c>
      <c r="H45" s="36">
        <v>7.5250000000000004</v>
      </c>
    </row>
    <row r="46" spans="1:8" ht="17.100000000000001" customHeight="1" x14ac:dyDescent="0.2">
      <c r="A46" s="8">
        <v>4</v>
      </c>
      <c r="B46" s="9" t="s">
        <v>147</v>
      </c>
      <c r="C46" s="9" t="s">
        <v>148</v>
      </c>
      <c r="D46" s="9" t="s">
        <v>135</v>
      </c>
      <c r="E46" s="10">
        <v>300</v>
      </c>
      <c r="F46" s="11">
        <v>1423.3724999999999</v>
      </c>
      <c r="G46" s="12">
        <v>5.3760290000000002E-2</v>
      </c>
      <c r="H46" s="36">
        <v>7.5</v>
      </c>
    </row>
    <row r="47" spans="1:8" ht="17.100000000000001" customHeight="1" x14ac:dyDescent="0.2">
      <c r="A47" s="8">
        <v>5</v>
      </c>
      <c r="B47" s="9" t="s">
        <v>149</v>
      </c>
      <c r="C47" s="9" t="s">
        <v>150</v>
      </c>
      <c r="D47" s="9" t="s">
        <v>135</v>
      </c>
      <c r="E47" s="10">
        <v>300</v>
      </c>
      <c r="F47" s="11">
        <v>1404.1244999999999</v>
      </c>
      <c r="G47" s="12">
        <v>5.3033299999999998E-2</v>
      </c>
      <c r="H47" s="36">
        <v>7.6449999999999996</v>
      </c>
    </row>
    <row r="48" spans="1:8" ht="17.100000000000001" customHeight="1" x14ac:dyDescent="0.2">
      <c r="A48" s="8">
        <v>6</v>
      </c>
      <c r="B48" s="9" t="s">
        <v>151</v>
      </c>
      <c r="C48" s="9" t="s">
        <v>152</v>
      </c>
      <c r="D48" s="9" t="s">
        <v>135</v>
      </c>
      <c r="E48" s="10">
        <v>300</v>
      </c>
      <c r="F48" s="11">
        <v>1395.6885</v>
      </c>
      <c r="G48" s="12">
        <v>5.2714669999999998E-2</v>
      </c>
      <c r="H48" s="36">
        <v>7.62</v>
      </c>
    </row>
    <row r="49" spans="1:8" ht="17.100000000000001" customHeight="1" x14ac:dyDescent="0.2">
      <c r="A49" s="8">
        <v>7</v>
      </c>
      <c r="B49" s="9" t="s">
        <v>153</v>
      </c>
      <c r="C49" s="9" t="s">
        <v>154</v>
      </c>
      <c r="D49" s="9" t="s">
        <v>135</v>
      </c>
      <c r="E49" s="10">
        <v>200</v>
      </c>
      <c r="F49" s="11">
        <v>968.779</v>
      </c>
      <c r="G49" s="12">
        <v>3.6590449999999997E-2</v>
      </c>
      <c r="H49" s="36">
        <v>7.4450000000000003</v>
      </c>
    </row>
    <row r="50" spans="1:8" ht="17.100000000000001" customHeight="1" x14ac:dyDescent="0.2">
      <c r="A50" s="8">
        <v>8</v>
      </c>
      <c r="B50" s="9" t="s">
        <v>155</v>
      </c>
      <c r="C50" s="9" t="s">
        <v>156</v>
      </c>
      <c r="D50" s="9" t="s">
        <v>135</v>
      </c>
      <c r="E50" s="10">
        <v>200</v>
      </c>
      <c r="F50" s="11">
        <v>967.673</v>
      </c>
      <c r="G50" s="12">
        <v>3.6548669999999998E-2</v>
      </c>
      <c r="H50" s="36">
        <v>7.39</v>
      </c>
    </row>
    <row r="51" spans="1:8" ht="29.1" customHeight="1" x14ac:dyDescent="0.2">
      <c r="A51" s="8">
        <v>9</v>
      </c>
      <c r="B51" s="9" t="s">
        <v>157</v>
      </c>
      <c r="C51" s="9" t="s">
        <v>158</v>
      </c>
      <c r="D51" s="9" t="s">
        <v>135</v>
      </c>
      <c r="E51" s="10">
        <v>200</v>
      </c>
      <c r="F51" s="11">
        <v>955.34</v>
      </c>
      <c r="G51" s="12">
        <v>3.6082860000000001E-2</v>
      </c>
      <c r="H51" s="36">
        <v>7.55</v>
      </c>
    </row>
    <row r="52" spans="1:8" ht="17.100000000000001" customHeight="1" x14ac:dyDescent="0.2">
      <c r="A52" s="8">
        <v>10</v>
      </c>
      <c r="B52" s="9" t="s">
        <v>159</v>
      </c>
      <c r="C52" s="9" t="s">
        <v>160</v>
      </c>
      <c r="D52" s="9" t="s">
        <v>135</v>
      </c>
      <c r="E52" s="10">
        <v>200</v>
      </c>
      <c r="F52" s="11">
        <v>954.00900000000001</v>
      </c>
      <c r="G52" s="12">
        <v>3.6032590000000003E-2</v>
      </c>
      <c r="H52" s="36">
        <v>7.5197000000000003</v>
      </c>
    </row>
    <row r="53" spans="1:8" ht="17.100000000000001" customHeight="1" x14ac:dyDescent="0.2">
      <c r="A53" s="8">
        <v>11</v>
      </c>
      <c r="B53" s="9" t="s">
        <v>161</v>
      </c>
      <c r="C53" s="9" t="s">
        <v>481</v>
      </c>
      <c r="D53" s="9" t="s">
        <v>135</v>
      </c>
      <c r="E53" s="10">
        <v>200</v>
      </c>
      <c r="F53" s="11">
        <v>950.74</v>
      </c>
      <c r="G53" s="12">
        <v>3.5909120000000003E-2</v>
      </c>
      <c r="H53" s="36">
        <v>7.5949999999999998</v>
      </c>
    </row>
    <row r="54" spans="1:8" ht="17.100000000000001" customHeight="1" x14ac:dyDescent="0.2">
      <c r="A54" s="8">
        <v>12</v>
      </c>
      <c r="B54" s="9" t="s">
        <v>162</v>
      </c>
      <c r="C54" s="9" t="s">
        <v>163</v>
      </c>
      <c r="D54" s="9" t="s">
        <v>135</v>
      </c>
      <c r="E54" s="10">
        <v>140</v>
      </c>
      <c r="F54" s="11">
        <v>667.26379999999995</v>
      </c>
      <c r="G54" s="12">
        <v>2.520232E-2</v>
      </c>
      <c r="H54" s="36">
        <v>7.62</v>
      </c>
    </row>
    <row r="55" spans="1:8" ht="17.100000000000001" customHeight="1" x14ac:dyDescent="0.2">
      <c r="A55" s="8">
        <v>13</v>
      </c>
      <c r="B55" s="9" t="s">
        <v>164</v>
      </c>
      <c r="C55" s="9" t="s">
        <v>165</v>
      </c>
      <c r="D55" s="9" t="s">
        <v>135</v>
      </c>
      <c r="E55" s="10">
        <v>140</v>
      </c>
      <c r="F55" s="11">
        <v>667.01110000000006</v>
      </c>
      <c r="G55" s="12">
        <v>2.5192780000000001E-2</v>
      </c>
      <c r="H55" s="36">
        <v>7.585</v>
      </c>
    </row>
    <row r="56" spans="1:8" ht="17.100000000000001" customHeight="1" x14ac:dyDescent="0.2">
      <c r="A56" s="8">
        <v>14</v>
      </c>
      <c r="B56" s="9" t="s">
        <v>166</v>
      </c>
      <c r="C56" s="9" t="s">
        <v>167</v>
      </c>
      <c r="D56" s="9" t="s">
        <v>135</v>
      </c>
      <c r="E56" s="10">
        <v>100</v>
      </c>
      <c r="F56" s="11">
        <v>485.459</v>
      </c>
      <c r="G56" s="12">
        <v>1.833562E-2</v>
      </c>
      <c r="H56" s="36">
        <v>7.4375</v>
      </c>
    </row>
    <row r="57" spans="1:8" ht="17.100000000000001" customHeight="1" x14ac:dyDescent="0.2">
      <c r="A57" s="8">
        <v>15</v>
      </c>
      <c r="B57" s="9" t="s">
        <v>168</v>
      </c>
      <c r="C57" s="9" t="s">
        <v>169</v>
      </c>
      <c r="D57" s="9" t="s">
        <v>170</v>
      </c>
      <c r="E57" s="10">
        <v>100</v>
      </c>
      <c r="F57" s="11">
        <v>479.02050000000003</v>
      </c>
      <c r="G57" s="12">
        <v>1.8092440000000001E-2</v>
      </c>
      <c r="H57" s="36">
        <v>7.47</v>
      </c>
    </row>
    <row r="58" spans="1:8" ht="17.100000000000001" customHeight="1" x14ac:dyDescent="0.2">
      <c r="A58" s="8">
        <v>16</v>
      </c>
      <c r="B58" s="9" t="s">
        <v>171</v>
      </c>
      <c r="C58" s="9" t="s">
        <v>172</v>
      </c>
      <c r="D58" s="9" t="s">
        <v>135</v>
      </c>
      <c r="E58" s="10">
        <v>100</v>
      </c>
      <c r="F58" s="11">
        <v>478.33049999999997</v>
      </c>
      <c r="G58" s="12">
        <v>1.806638E-2</v>
      </c>
      <c r="H58" s="36">
        <v>7.585</v>
      </c>
    </row>
    <row r="59" spans="1:8" ht="17.100000000000001" customHeight="1" x14ac:dyDescent="0.2">
      <c r="A59" s="8">
        <v>17</v>
      </c>
      <c r="B59" s="9" t="s">
        <v>173</v>
      </c>
      <c r="C59" s="9" t="s">
        <v>174</v>
      </c>
      <c r="D59" s="9" t="s">
        <v>170</v>
      </c>
      <c r="E59" s="10">
        <v>100</v>
      </c>
      <c r="F59" s="11">
        <v>476.28800000000001</v>
      </c>
      <c r="G59" s="12">
        <v>1.7989229999999998E-2</v>
      </c>
      <c r="H59" s="36">
        <v>7.54</v>
      </c>
    </row>
    <row r="60" spans="1:8" ht="14.1" customHeight="1" x14ac:dyDescent="0.2">
      <c r="A60" s="1"/>
      <c r="B60" s="1"/>
      <c r="C60" s="2" t="s">
        <v>11</v>
      </c>
      <c r="D60" s="1"/>
      <c r="E60" s="1" t="s">
        <v>12</v>
      </c>
      <c r="F60" s="7">
        <v>17516.712899999999</v>
      </c>
      <c r="G60" s="4">
        <v>0.66160019000000003</v>
      </c>
      <c r="H60" s="36"/>
    </row>
    <row r="61" spans="1:8" ht="14.1" customHeight="1" x14ac:dyDescent="0.2">
      <c r="A61" s="1"/>
      <c r="B61" s="1"/>
      <c r="C61" s="5"/>
      <c r="D61" s="1"/>
      <c r="E61" s="1"/>
      <c r="F61" s="6"/>
      <c r="G61" s="6"/>
      <c r="H61" s="36"/>
    </row>
    <row r="62" spans="1:8" ht="14.1" customHeight="1" x14ac:dyDescent="0.2">
      <c r="A62" s="1"/>
      <c r="B62" s="1"/>
      <c r="C62" s="2" t="s">
        <v>78</v>
      </c>
      <c r="D62" s="1"/>
      <c r="E62" s="1"/>
      <c r="F62" s="6"/>
      <c r="G62" s="6"/>
      <c r="H62" s="36"/>
    </row>
    <row r="63" spans="1:8" ht="29.1" customHeight="1" x14ac:dyDescent="0.2">
      <c r="A63" s="8">
        <v>1</v>
      </c>
      <c r="B63" s="9" t="s">
        <v>175</v>
      </c>
      <c r="C63" s="9" t="s">
        <v>176</v>
      </c>
      <c r="D63" s="9" t="s">
        <v>135</v>
      </c>
      <c r="E63" s="10">
        <v>200</v>
      </c>
      <c r="F63" s="11">
        <v>990.43100000000004</v>
      </c>
      <c r="G63" s="12">
        <v>3.7408240000000002E-2</v>
      </c>
      <c r="H63" s="36">
        <v>8.0150000000000006</v>
      </c>
    </row>
    <row r="64" spans="1:8" ht="29.1" customHeight="1" x14ac:dyDescent="0.2">
      <c r="A64" s="8">
        <v>2</v>
      </c>
      <c r="B64" s="9" t="s">
        <v>177</v>
      </c>
      <c r="C64" s="9" t="s">
        <v>178</v>
      </c>
      <c r="D64" s="9" t="s">
        <v>135</v>
      </c>
      <c r="E64" s="10">
        <v>200</v>
      </c>
      <c r="F64" s="11">
        <v>965.13400000000001</v>
      </c>
      <c r="G64" s="12">
        <v>3.6452779999999997E-2</v>
      </c>
      <c r="H64" s="36">
        <v>8.19</v>
      </c>
    </row>
    <row r="65" spans="1:8" ht="17.100000000000001" customHeight="1" x14ac:dyDescent="0.2">
      <c r="A65" s="8">
        <v>3</v>
      </c>
      <c r="B65" s="9" t="s">
        <v>179</v>
      </c>
      <c r="C65" s="9" t="s">
        <v>180</v>
      </c>
      <c r="D65" s="9" t="s">
        <v>135</v>
      </c>
      <c r="E65" s="10">
        <v>200</v>
      </c>
      <c r="F65" s="11">
        <v>950.66700000000003</v>
      </c>
      <c r="G65" s="12">
        <v>3.5906359999999998E-2</v>
      </c>
      <c r="H65" s="36">
        <v>8.06</v>
      </c>
    </row>
    <row r="66" spans="1:8" ht="17.100000000000001" customHeight="1" x14ac:dyDescent="0.2">
      <c r="A66" s="8">
        <v>4</v>
      </c>
      <c r="B66" s="9" t="s">
        <v>181</v>
      </c>
      <c r="C66" s="9" t="s">
        <v>182</v>
      </c>
      <c r="D66" s="9" t="s">
        <v>135</v>
      </c>
      <c r="E66" s="10">
        <v>200</v>
      </c>
      <c r="F66" s="11">
        <v>948.11400000000003</v>
      </c>
      <c r="G66" s="12">
        <v>3.5809939999999998E-2</v>
      </c>
      <c r="H66" s="36">
        <v>7.5949999999999998</v>
      </c>
    </row>
    <row r="67" spans="1:8" ht="29.1" customHeight="1" x14ac:dyDescent="0.2">
      <c r="A67" s="8">
        <v>5</v>
      </c>
      <c r="B67" s="9" t="s">
        <v>183</v>
      </c>
      <c r="C67" s="9" t="s">
        <v>184</v>
      </c>
      <c r="D67" s="9" t="s">
        <v>135</v>
      </c>
      <c r="E67" s="10">
        <v>200</v>
      </c>
      <c r="F67" s="11">
        <v>934.90899999999999</v>
      </c>
      <c r="G67" s="12">
        <v>3.5311189999999999E-2</v>
      </c>
      <c r="H67" s="36">
        <v>7.6775000000000002</v>
      </c>
    </row>
    <row r="68" spans="1:8" ht="17.100000000000001" customHeight="1" x14ac:dyDescent="0.2">
      <c r="A68" s="8">
        <v>6</v>
      </c>
      <c r="B68" s="9" t="s">
        <v>185</v>
      </c>
      <c r="C68" s="9" t="s">
        <v>186</v>
      </c>
      <c r="D68" s="9" t="s">
        <v>135</v>
      </c>
      <c r="E68" s="10">
        <v>100</v>
      </c>
      <c r="F68" s="11">
        <v>491.60750000000002</v>
      </c>
      <c r="G68" s="12">
        <v>1.856785E-2</v>
      </c>
      <c r="H68" s="36">
        <v>7.1624999999999996</v>
      </c>
    </row>
    <row r="69" spans="1:8" ht="14.1" customHeight="1" x14ac:dyDescent="0.2">
      <c r="A69" s="1"/>
      <c r="B69" s="1"/>
      <c r="C69" s="2" t="s">
        <v>11</v>
      </c>
      <c r="D69" s="1"/>
      <c r="E69" s="1" t="s">
        <v>12</v>
      </c>
      <c r="F69" s="7">
        <v>5280.8625000000002</v>
      </c>
      <c r="G69" s="4">
        <v>0.19945636</v>
      </c>
      <c r="H69" s="36"/>
    </row>
    <row r="70" spans="1:8" ht="14.1" customHeight="1" x14ac:dyDescent="0.2">
      <c r="A70" s="1"/>
      <c r="B70" s="1"/>
      <c r="C70" s="5"/>
      <c r="D70" s="1"/>
      <c r="E70" s="1"/>
      <c r="F70" s="6"/>
      <c r="G70" s="6"/>
      <c r="H70" s="36"/>
    </row>
    <row r="71" spans="1:8" ht="14.1" customHeight="1" x14ac:dyDescent="0.2">
      <c r="A71" s="1"/>
      <c r="B71" s="1"/>
      <c r="C71" s="2" t="s">
        <v>79</v>
      </c>
      <c r="D71" s="1"/>
      <c r="E71" s="1"/>
      <c r="F71" s="6"/>
      <c r="G71" s="6"/>
      <c r="H71" s="36"/>
    </row>
    <row r="72" spans="1:8" ht="17.100000000000001" customHeight="1" x14ac:dyDescent="0.2">
      <c r="A72" s="8">
        <v>1</v>
      </c>
      <c r="B72" s="9" t="s">
        <v>187</v>
      </c>
      <c r="C72" s="9" t="s">
        <v>188</v>
      </c>
      <c r="D72" s="9" t="s">
        <v>67</v>
      </c>
      <c r="E72" s="10">
        <v>2500000</v>
      </c>
      <c r="F72" s="11">
        <v>2357.0725000000002</v>
      </c>
      <c r="G72" s="12">
        <v>8.9025809999999997E-2</v>
      </c>
      <c r="H72" s="36">
        <v>6.96</v>
      </c>
    </row>
    <row r="73" spans="1:8" ht="14.1" customHeight="1" x14ac:dyDescent="0.2">
      <c r="A73" s="1"/>
      <c r="B73" s="1"/>
      <c r="C73" s="2" t="s">
        <v>11</v>
      </c>
      <c r="D73" s="1"/>
      <c r="E73" s="1" t="s">
        <v>12</v>
      </c>
      <c r="F73" s="7">
        <v>2357.0725000000002</v>
      </c>
      <c r="G73" s="4">
        <v>8.9025809999999997E-2</v>
      </c>
      <c r="H73" s="36"/>
    </row>
    <row r="74" spans="1:8" ht="14.1" customHeight="1" x14ac:dyDescent="0.2">
      <c r="A74" s="1"/>
      <c r="B74" s="1"/>
      <c r="C74" s="5"/>
      <c r="D74" s="1"/>
      <c r="E74" s="1"/>
      <c r="F74" s="6"/>
      <c r="G74" s="6"/>
      <c r="H74" s="36"/>
    </row>
    <row r="75" spans="1:8" ht="14.1" customHeight="1" x14ac:dyDescent="0.2">
      <c r="A75" s="1"/>
      <c r="B75" s="1"/>
      <c r="C75" s="2" t="s">
        <v>80</v>
      </c>
      <c r="D75" s="1"/>
      <c r="E75" s="1"/>
      <c r="F75" s="6"/>
      <c r="G75" s="6"/>
      <c r="H75" s="36"/>
    </row>
    <row r="76" spans="1:8" ht="17.100000000000001" customHeight="1" x14ac:dyDescent="0.2">
      <c r="A76" s="8">
        <v>1</v>
      </c>
      <c r="B76" s="9"/>
      <c r="C76" s="9" t="s">
        <v>81</v>
      </c>
      <c r="D76" s="9"/>
      <c r="E76" s="13"/>
      <c r="F76" s="11">
        <v>1264.343573006</v>
      </c>
      <c r="G76" s="12">
        <v>4.7753820000000002E-2</v>
      </c>
      <c r="H76" s="36">
        <v>6.7262665696944239</v>
      </c>
    </row>
    <row r="77" spans="1:8" ht="14.1" customHeight="1" x14ac:dyDescent="0.2">
      <c r="A77" s="1"/>
      <c r="B77" s="1"/>
      <c r="C77" s="2" t="s">
        <v>11</v>
      </c>
      <c r="D77" s="1"/>
      <c r="E77" s="1" t="s">
        <v>12</v>
      </c>
      <c r="F77" s="7">
        <v>1264.343573006</v>
      </c>
      <c r="G77" s="4">
        <v>4.7753820000000002E-2</v>
      </c>
      <c r="H77" s="36"/>
    </row>
    <row r="78" spans="1:8" ht="14.1" customHeight="1" x14ac:dyDescent="0.2">
      <c r="A78" s="1"/>
      <c r="B78" s="1"/>
      <c r="C78" s="5"/>
      <c r="D78" s="1"/>
      <c r="E78" s="1"/>
      <c r="F78" s="6"/>
      <c r="G78" s="6"/>
      <c r="H78" s="36"/>
    </row>
    <row r="79" spans="1:8" ht="14.1" customHeight="1" x14ac:dyDescent="0.2">
      <c r="A79" s="1"/>
      <c r="B79" s="1"/>
      <c r="C79" s="2" t="s">
        <v>82</v>
      </c>
      <c r="D79" s="1"/>
      <c r="E79" s="1"/>
      <c r="F79" s="7">
        <v>26418.991473006001</v>
      </c>
      <c r="G79" s="4">
        <v>0.99783617999999996</v>
      </c>
      <c r="H79" s="36"/>
    </row>
    <row r="80" spans="1:8" ht="14.1" customHeight="1" x14ac:dyDescent="0.2">
      <c r="A80" s="1"/>
      <c r="B80" s="1"/>
      <c r="C80" s="6"/>
      <c r="D80" s="1"/>
      <c r="E80" s="1"/>
      <c r="F80" s="1"/>
      <c r="G80" s="1"/>
      <c r="H80" s="36"/>
    </row>
    <row r="81" spans="1:18" ht="14.1" customHeight="1" x14ac:dyDescent="0.2">
      <c r="A81" s="1"/>
      <c r="B81" s="1"/>
      <c r="C81" s="2" t="s">
        <v>83</v>
      </c>
      <c r="D81" s="1"/>
      <c r="E81" s="1"/>
      <c r="F81" s="1"/>
      <c r="G81" s="1"/>
      <c r="H81" s="36"/>
    </row>
    <row r="82" spans="1:18" ht="14.1" customHeight="1" x14ac:dyDescent="0.2">
      <c r="A82" s="1"/>
      <c r="B82" s="1"/>
      <c r="C82" s="2" t="s">
        <v>84</v>
      </c>
      <c r="D82" s="1"/>
      <c r="E82" s="1"/>
      <c r="F82" s="1"/>
      <c r="G82" s="1"/>
      <c r="H82" s="36"/>
    </row>
    <row r="83" spans="1:18" ht="14.1" customHeight="1" x14ac:dyDescent="0.2">
      <c r="A83" s="1"/>
      <c r="B83" s="1"/>
      <c r="C83" s="2" t="s">
        <v>11</v>
      </c>
      <c r="D83" s="1"/>
      <c r="E83" s="1" t="s">
        <v>12</v>
      </c>
      <c r="F83" s="3" t="s">
        <v>13</v>
      </c>
      <c r="G83" s="4">
        <v>0</v>
      </c>
      <c r="H83" s="36"/>
    </row>
    <row r="84" spans="1:18" ht="14.1" customHeight="1" x14ac:dyDescent="0.2">
      <c r="A84" s="1"/>
      <c r="B84" s="1"/>
      <c r="C84" s="5"/>
      <c r="D84" s="1"/>
      <c r="E84" s="1"/>
      <c r="F84" s="6"/>
      <c r="G84" s="6"/>
      <c r="H84" s="36"/>
    </row>
    <row r="85" spans="1:18" ht="14.1" customHeight="1" x14ac:dyDescent="0.2">
      <c r="A85" s="1"/>
      <c r="B85" s="1"/>
      <c r="C85" s="2" t="s">
        <v>87</v>
      </c>
      <c r="D85" s="1"/>
      <c r="E85" s="1"/>
      <c r="F85" s="1"/>
      <c r="G85" s="1"/>
      <c r="H85" s="36"/>
    </row>
    <row r="86" spans="1:18" ht="14.1" customHeight="1" x14ac:dyDescent="0.2">
      <c r="A86" s="1"/>
      <c r="B86" s="1"/>
      <c r="C86" s="2" t="s">
        <v>88</v>
      </c>
      <c r="D86" s="1"/>
      <c r="E86" s="1"/>
      <c r="F86" s="1"/>
      <c r="G86" s="1"/>
      <c r="H86" s="36"/>
    </row>
    <row r="87" spans="1:18" ht="14.1" customHeight="1" x14ac:dyDescent="0.2">
      <c r="A87" s="1"/>
      <c r="B87" s="1"/>
      <c r="C87" s="2" t="s">
        <v>11</v>
      </c>
      <c r="D87" s="1"/>
      <c r="E87" s="1" t="s">
        <v>12</v>
      </c>
      <c r="F87" s="3" t="s">
        <v>13</v>
      </c>
      <c r="G87" s="4">
        <v>0</v>
      </c>
      <c r="H87" s="36"/>
    </row>
    <row r="88" spans="1:18" ht="14.1" customHeight="1" x14ac:dyDescent="0.2">
      <c r="A88" s="1"/>
      <c r="B88" s="1"/>
      <c r="C88" s="5"/>
      <c r="D88" s="1"/>
      <c r="E88" s="1"/>
      <c r="F88" s="6"/>
      <c r="G88" s="6"/>
      <c r="H88" s="36"/>
    </row>
    <row r="89" spans="1:18" ht="24" customHeight="1" x14ac:dyDescent="0.2">
      <c r="A89" s="1"/>
      <c r="B89" s="1"/>
      <c r="C89" s="2" t="s">
        <v>89</v>
      </c>
      <c r="D89" s="1"/>
      <c r="E89" s="1"/>
      <c r="F89" s="6"/>
      <c r="G89" s="6"/>
      <c r="H89" s="36"/>
      <c r="K89" s="41"/>
    </row>
    <row r="90" spans="1:18" ht="14.1" customHeight="1" x14ac:dyDescent="0.2">
      <c r="A90" s="1"/>
      <c r="B90" s="1"/>
      <c r="C90" s="2" t="s">
        <v>11</v>
      </c>
      <c r="D90" s="1"/>
      <c r="E90" s="1" t="s">
        <v>12</v>
      </c>
      <c r="F90" s="3" t="s">
        <v>13</v>
      </c>
      <c r="G90" s="4">
        <v>0</v>
      </c>
      <c r="H90" s="36"/>
    </row>
    <row r="91" spans="1:18" x14ac:dyDescent="0.2">
      <c r="A91" s="33"/>
      <c r="B91" s="33"/>
      <c r="C91" s="34"/>
      <c r="D91" s="33"/>
      <c r="E91" s="33"/>
      <c r="F91" s="35"/>
      <c r="G91" s="35"/>
      <c r="H91" s="36"/>
    </row>
    <row r="92" spans="1:18" ht="25.5" x14ac:dyDescent="0.2">
      <c r="A92" s="38"/>
      <c r="B92" s="38"/>
      <c r="C92" s="39" t="s">
        <v>479</v>
      </c>
      <c r="D92" s="38"/>
      <c r="E92" s="38"/>
      <c r="F92" s="40"/>
      <c r="G92" s="40"/>
      <c r="H92" s="36"/>
      <c r="L92" s="41"/>
      <c r="M92" s="41"/>
      <c r="N92" s="41"/>
      <c r="O92" s="41"/>
      <c r="P92" s="42"/>
      <c r="Q92" s="42"/>
      <c r="R92" s="42"/>
    </row>
    <row r="93" spans="1:18" ht="25.5" x14ac:dyDescent="0.2">
      <c r="A93" s="43">
        <v>1</v>
      </c>
      <c r="B93" s="44" t="s">
        <v>85</v>
      </c>
      <c r="C93" s="44" t="s">
        <v>86</v>
      </c>
      <c r="D93" s="44"/>
      <c r="E93" s="14">
        <v>337.54399999999998</v>
      </c>
      <c r="F93" s="11">
        <v>34.727819851</v>
      </c>
      <c r="G93" s="12">
        <v>1.3116600000000001E-3</v>
      </c>
      <c r="H93" s="36">
        <v>9.9999999999999995E-7</v>
      </c>
    </row>
    <row r="94" spans="1:18" x14ac:dyDescent="0.2">
      <c r="A94" s="33"/>
      <c r="B94" s="33"/>
      <c r="C94" s="45" t="s">
        <v>11</v>
      </c>
      <c r="D94" s="33"/>
      <c r="E94" s="1" t="s">
        <v>12</v>
      </c>
      <c r="F94" s="7">
        <v>34.727819851</v>
      </c>
      <c r="G94" s="4">
        <v>1.3116600000000001E-3</v>
      </c>
      <c r="H94" s="36"/>
    </row>
    <row r="95" spans="1:18" ht="14.1" customHeight="1" x14ac:dyDescent="0.2">
      <c r="A95" s="1"/>
      <c r="B95" s="1"/>
      <c r="C95" s="5"/>
      <c r="D95" s="1"/>
      <c r="E95" s="1"/>
      <c r="F95" s="6"/>
      <c r="G95" s="6"/>
      <c r="H95" s="36"/>
    </row>
    <row r="96" spans="1:18" ht="14.1" customHeight="1" x14ac:dyDescent="0.2">
      <c r="A96" s="1"/>
      <c r="B96" s="9"/>
      <c r="C96" s="9"/>
      <c r="D96" s="2"/>
      <c r="E96" s="1"/>
      <c r="F96" s="9"/>
      <c r="G96" s="13"/>
      <c r="H96" s="36"/>
    </row>
    <row r="97" spans="1:8" ht="18" customHeight="1" x14ac:dyDescent="0.2">
      <c r="A97" s="13"/>
      <c r="B97" s="9"/>
      <c r="C97" s="9" t="s">
        <v>90</v>
      </c>
      <c r="D97" s="9"/>
      <c r="E97" s="13"/>
      <c r="F97" s="11">
        <v>22.562938862999999</v>
      </c>
      <c r="G97" s="12">
        <v>8.5218999999999996E-4</v>
      </c>
      <c r="H97" s="36"/>
    </row>
    <row r="98" spans="1:8" ht="14.1" customHeight="1" x14ac:dyDescent="0.2">
      <c r="A98" s="5"/>
      <c r="B98" s="5"/>
      <c r="C98" s="2" t="s">
        <v>91</v>
      </c>
      <c r="D98" s="6"/>
      <c r="E98" s="6"/>
      <c r="F98" s="7">
        <v>26476.282231720001</v>
      </c>
      <c r="G98" s="15">
        <v>1.00000003</v>
      </c>
      <c r="H98" s="36"/>
    </row>
    <row r="99" spans="1:8" ht="14.1" customHeight="1" x14ac:dyDescent="0.2">
      <c r="A99" s="16"/>
      <c r="B99" s="16"/>
      <c r="C99" s="16"/>
      <c r="D99" s="17"/>
      <c r="E99" s="17"/>
      <c r="F99" s="17"/>
      <c r="G99" s="17"/>
    </row>
    <row r="100" spans="1:8" x14ac:dyDescent="0.2">
      <c r="A100" s="46"/>
      <c r="B100" s="108" t="s">
        <v>483</v>
      </c>
      <c r="C100" s="108"/>
      <c r="D100" s="108"/>
      <c r="E100" s="108"/>
      <c r="F100" s="108"/>
      <c r="G100" s="108"/>
      <c r="H100" s="108"/>
    </row>
    <row r="101" spans="1:8" x14ac:dyDescent="0.2">
      <c r="A101" s="46"/>
      <c r="B101" s="108" t="s">
        <v>484</v>
      </c>
      <c r="C101" s="108"/>
      <c r="D101" s="108"/>
      <c r="E101" s="108"/>
      <c r="F101" s="108"/>
      <c r="G101" s="108"/>
      <c r="H101" s="108"/>
    </row>
    <row r="102" spans="1:8" x14ac:dyDescent="0.2">
      <c r="A102" s="46"/>
      <c r="B102" s="108" t="s">
        <v>485</v>
      </c>
      <c r="C102" s="108"/>
      <c r="D102" s="108"/>
      <c r="E102" s="108"/>
      <c r="F102" s="108"/>
      <c r="G102" s="108"/>
      <c r="H102" s="108"/>
    </row>
    <row r="103" spans="1:8" ht="14.1" customHeight="1" x14ac:dyDescent="0.2">
      <c r="A103" s="18"/>
      <c r="B103" s="18"/>
      <c r="C103" s="18"/>
      <c r="D103" s="20"/>
      <c r="E103" s="20"/>
      <c r="F103" s="20"/>
      <c r="G103" s="20"/>
    </row>
    <row r="104" spans="1:8" ht="14.1" customHeight="1" x14ac:dyDescent="0.2">
      <c r="A104" s="18"/>
      <c r="B104" s="114" t="s">
        <v>92</v>
      </c>
      <c r="C104" s="115"/>
      <c r="D104" s="116"/>
      <c r="E104" s="21"/>
      <c r="F104" s="20"/>
      <c r="G104" s="20"/>
    </row>
    <row r="105" spans="1:8" ht="29.1" customHeight="1" x14ac:dyDescent="0.2">
      <c r="A105" s="18"/>
      <c r="B105" s="117" t="s">
        <v>93</v>
      </c>
      <c r="C105" s="118"/>
      <c r="D105" s="2" t="s">
        <v>94</v>
      </c>
      <c r="E105" s="21"/>
      <c r="F105" s="20"/>
      <c r="G105" s="20"/>
    </row>
    <row r="106" spans="1:8" ht="17.100000000000001" customHeight="1" x14ac:dyDescent="0.2">
      <c r="A106" s="18"/>
      <c r="B106" s="117" t="s">
        <v>95</v>
      </c>
      <c r="C106" s="118"/>
      <c r="D106" s="2" t="s">
        <v>94</v>
      </c>
      <c r="E106" s="21"/>
      <c r="F106" s="20"/>
      <c r="G106" s="20"/>
    </row>
    <row r="107" spans="1:8" ht="17.100000000000001" customHeight="1" x14ac:dyDescent="0.2">
      <c r="A107" s="18"/>
      <c r="B107" s="117" t="s">
        <v>96</v>
      </c>
      <c r="C107" s="118"/>
      <c r="D107" s="6" t="s">
        <v>12</v>
      </c>
      <c r="E107" s="21"/>
      <c r="F107" s="20"/>
      <c r="G107" s="20"/>
    </row>
    <row r="108" spans="1:8" ht="24" customHeight="1" x14ac:dyDescent="0.2">
      <c r="A108" s="22"/>
      <c r="B108" s="23" t="s">
        <v>12</v>
      </c>
      <c r="C108" s="23" t="s">
        <v>97</v>
      </c>
      <c r="D108" s="23" t="s">
        <v>98</v>
      </c>
      <c r="E108" s="22"/>
      <c r="F108" s="22"/>
      <c r="G108" s="22"/>
    </row>
    <row r="109" spans="1:8" ht="18" customHeight="1" x14ac:dyDescent="0.2">
      <c r="A109" s="22"/>
      <c r="B109" s="24" t="s">
        <v>99</v>
      </c>
      <c r="C109" s="23" t="s">
        <v>582</v>
      </c>
      <c r="D109" s="23" t="s">
        <v>100</v>
      </c>
      <c r="E109" s="22"/>
      <c r="F109" s="22"/>
      <c r="G109" s="22"/>
    </row>
    <row r="110" spans="1:8" ht="17.100000000000001" customHeight="1" x14ac:dyDescent="0.2">
      <c r="A110" s="22"/>
      <c r="B110" s="9" t="s">
        <v>101</v>
      </c>
      <c r="C110" s="25">
        <v>13.9057</v>
      </c>
      <c r="D110" s="25">
        <v>13.987399999999999</v>
      </c>
      <c r="E110" s="22"/>
      <c r="F110" s="19"/>
      <c r="G110" s="26"/>
    </row>
    <row r="111" spans="1:8" ht="29.1" customHeight="1" x14ac:dyDescent="0.2">
      <c r="A111" s="22"/>
      <c r="B111" s="9" t="s">
        <v>552</v>
      </c>
      <c r="C111" s="25">
        <v>10.061999999999999</v>
      </c>
      <c r="D111" s="13"/>
      <c r="E111" s="22"/>
      <c r="F111" s="19"/>
      <c r="G111" s="26"/>
    </row>
    <row r="112" spans="1:8" ht="29.1" customHeight="1" x14ac:dyDescent="0.2">
      <c r="A112" s="22"/>
      <c r="B112" s="9" t="s">
        <v>543</v>
      </c>
      <c r="C112" s="25">
        <v>11.182499999999999</v>
      </c>
      <c r="D112" s="25">
        <v>11.187099999999999</v>
      </c>
      <c r="E112" s="22"/>
      <c r="F112" s="19"/>
      <c r="G112" s="26"/>
    </row>
    <row r="113" spans="1:7" ht="29.1" customHeight="1" x14ac:dyDescent="0.2">
      <c r="A113" s="22"/>
      <c r="B113" s="9" t="s">
        <v>544</v>
      </c>
      <c r="C113" s="25">
        <v>12.188000000000001</v>
      </c>
      <c r="D113" s="25">
        <v>12.184100000000001</v>
      </c>
      <c r="E113" s="22"/>
      <c r="F113" s="19"/>
      <c r="G113" s="26"/>
    </row>
    <row r="114" spans="1:7" ht="17.100000000000001" customHeight="1" x14ac:dyDescent="0.2">
      <c r="A114" s="22"/>
      <c r="B114" s="9" t="s">
        <v>102</v>
      </c>
      <c r="C114" s="25">
        <v>13.8345</v>
      </c>
      <c r="D114" s="25">
        <v>13.9148</v>
      </c>
      <c r="E114" s="22"/>
      <c r="F114" s="19"/>
      <c r="G114" s="26"/>
    </row>
    <row r="115" spans="1:7" ht="29.1" customHeight="1" x14ac:dyDescent="0.2">
      <c r="A115" s="22"/>
      <c r="B115" s="9" t="s">
        <v>555</v>
      </c>
      <c r="C115" s="25">
        <v>10.061999999999999</v>
      </c>
      <c r="D115" s="13"/>
      <c r="E115" s="22"/>
      <c r="F115" s="19"/>
      <c r="G115" s="26"/>
    </row>
    <row r="116" spans="1:7" ht="29.1" customHeight="1" x14ac:dyDescent="0.2">
      <c r="A116" s="22"/>
      <c r="B116" s="9" t="s">
        <v>556</v>
      </c>
      <c r="C116" s="25">
        <v>10.492800000000001</v>
      </c>
      <c r="D116" s="13"/>
      <c r="E116" s="22"/>
      <c r="F116" s="19"/>
      <c r="G116" s="26"/>
    </row>
    <row r="117" spans="1:7" ht="29.1" customHeight="1" x14ac:dyDescent="0.2">
      <c r="A117" s="22"/>
      <c r="B117" s="9" t="s">
        <v>557</v>
      </c>
      <c r="C117" s="25">
        <v>11.2209</v>
      </c>
      <c r="D117" s="13"/>
      <c r="E117" s="22"/>
      <c r="F117" s="19"/>
      <c r="G117" s="26"/>
    </row>
    <row r="118" spans="1:7" ht="29.1" customHeight="1" x14ac:dyDescent="0.2">
      <c r="A118" s="22"/>
      <c r="B118" s="9" t="s">
        <v>547</v>
      </c>
      <c r="C118" s="25">
        <v>11.1614</v>
      </c>
      <c r="D118" s="25">
        <v>11.1661</v>
      </c>
      <c r="E118" s="22"/>
      <c r="F118" s="19"/>
      <c r="G118" s="26"/>
    </row>
    <row r="119" spans="1:7" ht="29.1" customHeight="1" x14ac:dyDescent="0.2">
      <c r="A119" s="22"/>
      <c r="B119" s="9" t="s">
        <v>548</v>
      </c>
      <c r="C119" s="25">
        <v>12.123900000000001</v>
      </c>
      <c r="D119" s="25">
        <v>12.1189</v>
      </c>
      <c r="E119" s="22"/>
      <c r="F119" s="19"/>
      <c r="G119" s="26"/>
    </row>
    <row r="120" spans="1:7" ht="14.1" customHeight="1" x14ac:dyDescent="0.2">
      <c r="A120" s="22"/>
      <c r="B120" s="22"/>
      <c r="C120" s="22"/>
      <c r="D120" s="22"/>
      <c r="E120" s="22"/>
      <c r="F120" s="22"/>
      <c r="G120" s="22"/>
    </row>
    <row r="121" spans="1:7" ht="17.100000000000001" customHeight="1" x14ac:dyDescent="0.2">
      <c r="A121" s="22"/>
      <c r="B121" s="117" t="s">
        <v>551</v>
      </c>
      <c r="C121" s="118"/>
      <c r="D121" s="2" t="s">
        <v>12</v>
      </c>
      <c r="E121" s="22"/>
      <c r="F121" s="22"/>
      <c r="G121" s="22"/>
    </row>
    <row r="122" spans="1:7" ht="18" customHeight="1" x14ac:dyDescent="0.2">
      <c r="A122" s="22"/>
      <c r="B122" s="27" t="s">
        <v>99</v>
      </c>
      <c r="C122" s="28" t="s">
        <v>103</v>
      </c>
      <c r="D122" s="28" t="s">
        <v>104</v>
      </c>
      <c r="E122" s="22"/>
      <c r="F122" s="22"/>
      <c r="G122" s="22"/>
    </row>
    <row r="123" spans="1:7" ht="29.1" customHeight="1" x14ac:dyDescent="0.2">
      <c r="A123" s="22"/>
      <c r="B123" s="9" t="s">
        <v>552</v>
      </c>
      <c r="C123" s="29">
        <v>5.5011999999999998E-2</v>
      </c>
      <c r="D123" s="13" t="s">
        <v>105</v>
      </c>
      <c r="E123" s="22"/>
      <c r="F123" s="19"/>
      <c r="G123" s="26"/>
    </row>
    <row r="124" spans="1:7" ht="29.1" customHeight="1" x14ac:dyDescent="0.2">
      <c r="A124" s="22"/>
      <c r="B124" s="9" t="s">
        <v>543</v>
      </c>
      <c r="C124" s="29">
        <v>6.0999999999999999E-2</v>
      </c>
      <c r="D124" s="13" t="s">
        <v>105</v>
      </c>
      <c r="E124" s="22"/>
      <c r="F124" s="19"/>
      <c r="G124" s="26"/>
    </row>
    <row r="125" spans="1:7" ht="29.1" customHeight="1" x14ac:dyDescent="0.2">
      <c r="A125" s="22"/>
      <c r="B125" s="9" t="s">
        <v>544</v>
      </c>
      <c r="C125" s="29">
        <v>7.4999999999999997E-2</v>
      </c>
      <c r="D125" s="13" t="s">
        <v>105</v>
      </c>
      <c r="E125" s="22"/>
      <c r="F125" s="19"/>
      <c r="G125" s="26"/>
    </row>
    <row r="126" spans="1:7" ht="29.1" customHeight="1" x14ac:dyDescent="0.2">
      <c r="A126" s="22"/>
      <c r="B126" s="9" t="s">
        <v>555</v>
      </c>
      <c r="C126" s="29">
        <v>5.4449999999999998E-2</v>
      </c>
      <c r="D126" s="13" t="s">
        <v>105</v>
      </c>
      <c r="E126" s="22"/>
      <c r="F126" s="19"/>
      <c r="G126" s="26"/>
    </row>
    <row r="127" spans="1:7" ht="29.1" customHeight="1" x14ac:dyDescent="0.2">
      <c r="A127" s="22"/>
      <c r="B127" s="9" t="s">
        <v>556</v>
      </c>
      <c r="C127" s="29">
        <v>4.2299999999999997E-2</v>
      </c>
      <c r="D127" s="13" t="s">
        <v>105</v>
      </c>
      <c r="E127" s="22"/>
      <c r="F127" s="19"/>
      <c r="G127" s="26"/>
    </row>
    <row r="128" spans="1:7" ht="29.1" customHeight="1" x14ac:dyDescent="0.2">
      <c r="A128" s="22"/>
      <c r="B128" s="9" t="s">
        <v>547</v>
      </c>
      <c r="C128" s="29">
        <v>5.9900000000000002E-2</v>
      </c>
      <c r="D128" s="13" t="s">
        <v>105</v>
      </c>
      <c r="E128" s="22"/>
      <c r="F128" s="19"/>
      <c r="G128" s="26"/>
    </row>
    <row r="129" spans="1:17" ht="29.1" customHeight="1" x14ac:dyDescent="0.2">
      <c r="A129" s="22"/>
      <c r="B129" s="9" t="s">
        <v>548</v>
      </c>
      <c r="C129" s="29">
        <v>7.4999999999999997E-2</v>
      </c>
      <c r="D129" s="13" t="s">
        <v>105</v>
      </c>
      <c r="E129" s="22"/>
      <c r="F129" s="19"/>
      <c r="G129" s="26"/>
    </row>
    <row r="130" spans="1:17" ht="14.1" customHeight="1" x14ac:dyDescent="0.2">
      <c r="A130" s="55"/>
      <c r="B130" s="47"/>
      <c r="C130" s="47"/>
      <c r="D130" s="55"/>
      <c r="E130" s="55"/>
      <c r="F130" s="55"/>
      <c r="G130" s="55"/>
      <c r="L130" s="41"/>
      <c r="M130" s="41"/>
      <c r="N130" s="41"/>
      <c r="P130" s="60"/>
      <c r="Q130" s="60"/>
    </row>
    <row r="131" spans="1:17" s="60" customFormat="1" ht="29.1" customHeight="1" x14ac:dyDescent="0.2">
      <c r="A131" s="58"/>
      <c r="B131" s="112" t="s">
        <v>106</v>
      </c>
      <c r="C131" s="113"/>
      <c r="D131" s="52" t="s">
        <v>94</v>
      </c>
      <c r="E131" s="61"/>
      <c r="F131" s="58"/>
      <c r="G131" s="58"/>
      <c r="I131"/>
      <c r="J131" s="37"/>
      <c r="K131"/>
      <c r="L131" s="41"/>
      <c r="M131" s="41"/>
      <c r="N131" s="41"/>
      <c r="O131" s="59"/>
    </row>
    <row r="132" spans="1:17" s="60" customFormat="1" ht="29.1" customHeight="1" x14ac:dyDescent="0.2">
      <c r="A132" s="58"/>
      <c r="B132" s="112" t="s">
        <v>107</v>
      </c>
      <c r="C132" s="113"/>
      <c r="D132" s="52" t="s">
        <v>94</v>
      </c>
      <c r="E132" s="61"/>
      <c r="F132" s="58"/>
      <c r="G132" s="58"/>
      <c r="I132"/>
      <c r="J132" s="37"/>
      <c r="K132"/>
      <c r="L132" s="41"/>
      <c r="M132" s="41"/>
      <c r="N132" s="41"/>
      <c r="O132" s="59"/>
    </row>
    <row r="133" spans="1:17" s="60" customFormat="1" ht="17.100000000000001" customHeight="1" x14ac:dyDescent="0.2">
      <c r="A133" s="58"/>
      <c r="B133" s="112" t="s">
        <v>503</v>
      </c>
      <c r="C133" s="113"/>
      <c r="D133" s="52" t="s">
        <v>94</v>
      </c>
      <c r="E133" s="61"/>
      <c r="F133" s="58"/>
      <c r="G133" s="58"/>
      <c r="I133"/>
      <c r="J133" s="37"/>
      <c r="K133"/>
      <c r="L133" s="41"/>
      <c r="M133" s="41"/>
      <c r="N133" s="41"/>
      <c r="O133" s="59"/>
    </row>
    <row r="134" spans="1:17" s="60" customFormat="1" x14ac:dyDescent="0.2">
      <c r="I134"/>
      <c r="J134" s="37"/>
      <c r="K134"/>
      <c r="L134" s="41"/>
      <c r="M134" s="41"/>
      <c r="N134" s="41"/>
      <c r="O134" s="59"/>
    </row>
    <row r="135" spans="1:17" s="60" customFormat="1" x14ac:dyDescent="0.2">
      <c r="B135" s="109" t="s">
        <v>504</v>
      </c>
      <c r="C135" s="110"/>
      <c r="D135" s="111"/>
      <c r="I135"/>
      <c r="J135" s="37"/>
      <c r="K135" s="41"/>
      <c r="L135" s="41"/>
      <c r="M135" s="41"/>
      <c r="N135" s="41"/>
      <c r="O135" s="59"/>
    </row>
    <row r="136" spans="1:17" s="60" customFormat="1" ht="25.5" x14ac:dyDescent="0.2">
      <c r="B136" s="103" t="s">
        <v>505</v>
      </c>
      <c r="C136" s="103"/>
      <c r="D136" s="62" t="s">
        <v>139</v>
      </c>
      <c r="I136"/>
      <c r="J136" s="37"/>
      <c r="K136" s="41"/>
      <c r="L136" s="41"/>
      <c r="M136" s="41"/>
      <c r="N136" s="41"/>
      <c r="O136" s="59"/>
    </row>
    <row r="137" spans="1:17" s="60" customFormat="1" x14ac:dyDescent="0.2">
      <c r="B137" s="103" t="s">
        <v>506</v>
      </c>
      <c r="C137" s="103"/>
      <c r="D137" s="63"/>
      <c r="I137"/>
      <c r="J137" s="37"/>
      <c r="K137" s="41"/>
      <c r="L137" s="41"/>
      <c r="M137" s="41"/>
      <c r="N137" s="41"/>
      <c r="O137" s="59"/>
    </row>
    <row r="138" spans="1:17" s="60" customFormat="1" x14ac:dyDescent="0.2">
      <c r="B138" s="103"/>
      <c r="C138" s="103"/>
      <c r="D138" s="64"/>
      <c r="I138"/>
      <c r="J138" s="37"/>
      <c r="K138" s="41"/>
      <c r="L138" s="41"/>
      <c r="M138" s="41"/>
      <c r="N138" s="41"/>
      <c r="O138" s="59"/>
    </row>
    <row r="139" spans="1:17" s="60" customFormat="1" x14ac:dyDescent="0.2">
      <c r="B139" s="103" t="s">
        <v>507</v>
      </c>
      <c r="C139" s="103"/>
      <c r="D139" s="65">
        <v>7.5006726015808507</v>
      </c>
      <c r="I139"/>
      <c r="J139" s="37"/>
      <c r="K139" s="41"/>
      <c r="L139" s="41"/>
      <c r="M139" s="41"/>
      <c r="N139" s="41"/>
      <c r="O139" s="59"/>
    </row>
    <row r="140" spans="1:17" s="60" customFormat="1" x14ac:dyDescent="0.2">
      <c r="B140" s="103"/>
      <c r="C140" s="103"/>
      <c r="D140" s="64"/>
      <c r="I140"/>
      <c r="J140" s="37"/>
      <c r="K140" s="41"/>
      <c r="L140" s="41"/>
      <c r="M140" s="41"/>
      <c r="N140" s="41"/>
      <c r="O140" s="59"/>
    </row>
    <row r="141" spans="1:17" s="60" customFormat="1" x14ac:dyDescent="0.2">
      <c r="B141" s="103" t="s">
        <v>530</v>
      </c>
      <c r="C141" s="103"/>
      <c r="D141" s="65">
        <v>0.62830440622973993</v>
      </c>
      <c r="I141"/>
      <c r="J141" s="37"/>
      <c r="K141" s="41"/>
      <c r="L141" s="41"/>
      <c r="M141" s="41"/>
      <c r="N141" s="41"/>
      <c r="O141" s="59"/>
    </row>
    <row r="142" spans="1:17" s="60" customFormat="1" x14ac:dyDescent="0.2">
      <c r="B142" s="103" t="s">
        <v>531</v>
      </c>
      <c r="C142" s="103"/>
      <c r="D142" s="65">
        <v>0.62830440622973993</v>
      </c>
      <c r="I142"/>
      <c r="J142" s="37"/>
      <c r="K142" s="41"/>
      <c r="L142" s="41"/>
      <c r="M142" s="41"/>
      <c r="N142" s="41"/>
      <c r="O142" s="59"/>
    </row>
    <row r="143" spans="1:17" s="60" customFormat="1" x14ac:dyDescent="0.2">
      <c r="B143" s="103"/>
      <c r="C143" s="103"/>
      <c r="D143" s="64"/>
      <c r="I143"/>
      <c r="J143" s="37"/>
      <c r="K143" s="41"/>
      <c r="L143" s="41"/>
      <c r="M143" s="41"/>
      <c r="N143" s="41"/>
      <c r="O143" s="59"/>
      <c r="P143"/>
      <c r="Q143"/>
    </row>
    <row r="144" spans="1:17" s="60" customFormat="1" x14ac:dyDescent="0.2">
      <c r="B144" s="103" t="s">
        <v>510</v>
      </c>
      <c r="C144" s="103"/>
      <c r="D144" s="66">
        <v>45473</v>
      </c>
      <c r="I144"/>
      <c r="J144" s="37"/>
      <c r="K144" s="41"/>
      <c r="L144" s="41"/>
      <c r="M144" s="41"/>
      <c r="N144" s="41"/>
      <c r="O144" s="59"/>
      <c r="P144"/>
      <c r="Q144"/>
    </row>
    <row r="145" spans="2:17" s="60" customFormat="1" x14ac:dyDescent="0.2">
      <c r="B145" s="104" t="s">
        <v>511</v>
      </c>
      <c r="C145" s="106"/>
      <c r="D145" s="105"/>
      <c r="I145"/>
      <c r="J145" s="37"/>
      <c r="K145" s="41"/>
      <c r="L145" s="41"/>
      <c r="M145" s="41"/>
      <c r="N145" s="41"/>
      <c r="O145" s="59"/>
      <c r="P145"/>
      <c r="Q145"/>
    </row>
  </sheetData>
  <mergeCells count="25">
    <mergeCell ref="B135:D135"/>
    <mergeCell ref="B102:H102"/>
    <mergeCell ref="B132:C132"/>
    <mergeCell ref="B133:C133"/>
    <mergeCell ref="B104:D104"/>
    <mergeCell ref="B105:C105"/>
    <mergeCell ref="B106:C106"/>
    <mergeCell ref="B107:C107"/>
    <mergeCell ref="B131:C131"/>
    <mergeCell ref="B121:C121"/>
    <mergeCell ref="A1:H1"/>
    <mergeCell ref="A2:H2"/>
    <mergeCell ref="A3:H3"/>
    <mergeCell ref="B100:H100"/>
    <mergeCell ref="B101:H101"/>
    <mergeCell ref="B136:C136"/>
    <mergeCell ref="B137:C137"/>
    <mergeCell ref="B138:C138"/>
    <mergeCell ref="B139:C139"/>
    <mergeCell ref="B140:C140"/>
    <mergeCell ref="B141:C141"/>
    <mergeCell ref="B142:C142"/>
    <mergeCell ref="B143:C143"/>
    <mergeCell ref="B144:C144"/>
    <mergeCell ref="B145:D145"/>
  </mergeCells>
  <hyperlinks>
    <hyperlink ref="I1" location="Index!B4" display="Index" xr:uid="{97C1120F-9CEC-4F4A-B790-6EFC4841522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29C68-8073-4033-96AB-8408D6D355FE}">
  <sheetPr>
    <outlinePr summaryBelow="0" summaryRight="0"/>
  </sheetPr>
  <dimension ref="A1:R17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50.7109375" style="37" customWidth="1"/>
  </cols>
  <sheetData>
    <row r="1" spans="1:11" ht="18" customHeight="1" x14ac:dyDescent="0.2">
      <c r="A1" s="107" t="s">
        <v>0</v>
      </c>
      <c r="B1" s="107"/>
      <c r="C1" s="107"/>
      <c r="D1" s="107"/>
      <c r="E1" s="107"/>
      <c r="F1" s="107"/>
      <c r="G1" s="107"/>
      <c r="H1" s="107"/>
      <c r="I1" s="92" t="s">
        <v>560</v>
      </c>
    </row>
    <row r="2" spans="1:11" ht="17.100000000000001" customHeight="1" x14ac:dyDescent="0.2">
      <c r="A2" s="107" t="s">
        <v>189</v>
      </c>
      <c r="B2" s="107"/>
      <c r="C2" s="107"/>
      <c r="D2" s="107"/>
      <c r="E2" s="107"/>
      <c r="F2" s="107"/>
      <c r="G2" s="107"/>
      <c r="H2" s="107"/>
      <c r="J2" s="93" t="s">
        <v>561</v>
      </c>
    </row>
    <row r="3" spans="1:11" ht="21" customHeight="1" x14ac:dyDescent="0.2">
      <c r="A3" s="107" t="s">
        <v>588</v>
      </c>
      <c r="B3" s="107"/>
      <c r="C3" s="107"/>
      <c r="D3" s="107"/>
      <c r="E3" s="107"/>
      <c r="F3" s="107"/>
      <c r="G3" s="107"/>
      <c r="H3" s="107"/>
    </row>
    <row r="4" spans="1:11" ht="30" x14ac:dyDescent="0.2">
      <c r="A4" s="53" t="s">
        <v>2</v>
      </c>
      <c r="B4" s="53" t="s">
        <v>3</v>
      </c>
      <c r="C4" s="53" t="s">
        <v>4</v>
      </c>
      <c r="D4" s="53" t="s">
        <v>5</v>
      </c>
      <c r="E4" s="53" t="s">
        <v>6</v>
      </c>
      <c r="F4" s="53" t="s">
        <v>7</v>
      </c>
      <c r="G4" s="53" t="s">
        <v>8</v>
      </c>
      <c r="H4" s="51" t="s">
        <v>500</v>
      </c>
      <c r="I4" s="94"/>
      <c r="K4" s="94"/>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5"/>
    </row>
    <row r="13" spans="1:11" ht="14.1" customHeight="1" x14ac:dyDescent="0.2">
      <c r="A13" s="1"/>
      <c r="B13" s="1"/>
      <c r="C13" s="2" t="s">
        <v>11</v>
      </c>
      <c r="D13" s="1"/>
      <c r="E13" s="1" t="s">
        <v>12</v>
      </c>
      <c r="F13" s="3" t="s">
        <v>13</v>
      </c>
      <c r="G13" s="4">
        <v>0</v>
      </c>
      <c r="H13" s="36"/>
      <c r="J13" s="96"/>
    </row>
    <row r="14" spans="1:11" ht="25.5" x14ac:dyDescent="0.2">
      <c r="A14" s="1"/>
      <c r="B14" s="1"/>
      <c r="C14" s="5"/>
      <c r="D14" s="1"/>
      <c r="E14" s="1"/>
      <c r="F14" s="6"/>
      <c r="G14" s="6"/>
      <c r="H14" s="36"/>
      <c r="J14" s="37" t="s">
        <v>569</v>
      </c>
    </row>
    <row r="15" spans="1:11" ht="14.1" customHeight="1" x14ac:dyDescent="0.2">
      <c r="A15" s="1"/>
      <c r="B15" s="1"/>
      <c r="C15" s="2" t="s">
        <v>16</v>
      </c>
      <c r="D15" s="1"/>
      <c r="E15" s="1"/>
      <c r="F15" s="1"/>
      <c r="G15" s="1"/>
      <c r="H15" s="36"/>
      <c r="J15" s="96"/>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5"/>
    </row>
    <row r="23" spans="1:10" ht="14.1" customHeight="1" x14ac:dyDescent="0.2">
      <c r="A23" s="1"/>
      <c r="B23" s="1"/>
      <c r="C23" s="5"/>
      <c r="D23" s="1"/>
      <c r="E23" s="1"/>
      <c r="F23" s="6"/>
      <c r="G23" s="6"/>
      <c r="H23" s="36"/>
      <c r="J23" s="96"/>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c r="J27" s="37" t="s">
        <v>570</v>
      </c>
    </row>
    <row r="28" spans="1:10" ht="29.1" customHeight="1" x14ac:dyDescent="0.2">
      <c r="A28" s="8">
        <v>1</v>
      </c>
      <c r="B28" s="9" t="s">
        <v>190</v>
      </c>
      <c r="C28" s="9" t="s">
        <v>191</v>
      </c>
      <c r="D28" s="9" t="s">
        <v>23</v>
      </c>
      <c r="E28" s="10">
        <v>250</v>
      </c>
      <c r="F28" s="11">
        <v>2488.2199999999998</v>
      </c>
      <c r="G28" s="12">
        <v>6.6072350000000002E-2</v>
      </c>
      <c r="H28" s="36">
        <v>7.6749999999999998</v>
      </c>
      <c r="J28" s="96"/>
    </row>
    <row r="29" spans="1:10" ht="29.1" customHeight="1" x14ac:dyDescent="0.2">
      <c r="A29" s="8">
        <v>2</v>
      </c>
      <c r="B29" s="9" t="s">
        <v>192</v>
      </c>
      <c r="C29" s="9" t="s">
        <v>193</v>
      </c>
      <c r="D29" s="9" t="s">
        <v>194</v>
      </c>
      <c r="E29" s="10">
        <v>2000</v>
      </c>
      <c r="F29" s="11">
        <v>2000.268</v>
      </c>
      <c r="G29" s="12">
        <v>5.3115240000000001E-2</v>
      </c>
      <c r="H29" s="36">
        <v>7.6749999999999998</v>
      </c>
    </row>
    <row r="30" spans="1:10" ht="17.100000000000001" customHeight="1" x14ac:dyDescent="0.2">
      <c r="A30" s="8">
        <v>3</v>
      </c>
      <c r="B30" s="9" t="s">
        <v>195</v>
      </c>
      <c r="C30" s="9" t="s">
        <v>196</v>
      </c>
      <c r="D30" s="9" t="s">
        <v>197</v>
      </c>
      <c r="E30" s="10">
        <v>1700</v>
      </c>
      <c r="F30" s="11">
        <v>1703.3371</v>
      </c>
      <c r="G30" s="12">
        <v>4.5230520000000003E-2</v>
      </c>
      <c r="H30" s="36">
        <v>8.6775000000000002</v>
      </c>
    </row>
    <row r="31" spans="1:10" ht="29.1" customHeight="1" x14ac:dyDescent="0.2">
      <c r="A31" s="8">
        <v>4</v>
      </c>
      <c r="B31" s="9" t="s">
        <v>198</v>
      </c>
      <c r="C31" s="9" t="s">
        <v>199</v>
      </c>
      <c r="D31" s="9" t="s">
        <v>197</v>
      </c>
      <c r="E31" s="10">
        <v>1500</v>
      </c>
      <c r="F31" s="11">
        <v>1501.923</v>
      </c>
      <c r="G31" s="12">
        <v>3.988216E-2</v>
      </c>
      <c r="H31" s="36">
        <v>9.1</v>
      </c>
    </row>
    <row r="32" spans="1:10" ht="29.1" customHeight="1" x14ac:dyDescent="0.2">
      <c r="A32" s="8">
        <v>5</v>
      </c>
      <c r="B32" s="9" t="s">
        <v>200</v>
      </c>
      <c r="C32" s="9" t="s">
        <v>201</v>
      </c>
      <c r="D32" s="9" t="s">
        <v>23</v>
      </c>
      <c r="E32" s="10">
        <v>100</v>
      </c>
      <c r="F32" s="11">
        <v>995.66800000000001</v>
      </c>
      <c r="G32" s="12">
        <v>2.6439029999999999E-2</v>
      </c>
      <c r="H32" s="36">
        <v>7.8</v>
      </c>
    </row>
    <row r="33" spans="1:8" ht="29.1" customHeight="1" x14ac:dyDescent="0.2">
      <c r="A33" s="8">
        <v>6</v>
      </c>
      <c r="B33" s="9" t="s">
        <v>21</v>
      </c>
      <c r="C33" s="9" t="s">
        <v>22</v>
      </c>
      <c r="D33" s="9" t="s">
        <v>23</v>
      </c>
      <c r="E33" s="10">
        <v>1000</v>
      </c>
      <c r="F33" s="11">
        <v>992.35799999999995</v>
      </c>
      <c r="G33" s="12">
        <v>2.6351139999999999E-2</v>
      </c>
      <c r="H33" s="36">
        <v>7.6121999999999996</v>
      </c>
    </row>
    <row r="34" spans="1:8" ht="29.1" customHeight="1" x14ac:dyDescent="0.2">
      <c r="A34" s="8">
        <v>7</v>
      </c>
      <c r="B34" s="9" t="s">
        <v>202</v>
      </c>
      <c r="C34" s="9" t="s">
        <v>203</v>
      </c>
      <c r="D34" s="9" t="s">
        <v>23</v>
      </c>
      <c r="E34" s="10">
        <v>100</v>
      </c>
      <c r="F34" s="11">
        <v>987.774</v>
      </c>
      <c r="G34" s="12">
        <v>2.6229410000000002E-2</v>
      </c>
      <c r="H34" s="36">
        <v>7.7050000000000001</v>
      </c>
    </row>
    <row r="35" spans="1:8" ht="29.1" customHeight="1" x14ac:dyDescent="0.2">
      <c r="A35" s="8">
        <v>8</v>
      </c>
      <c r="B35" s="9" t="s">
        <v>204</v>
      </c>
      <c r="C35" s="9" t="s">
        <v>205</v>
      </c>
      <c r="D35" s="9" t="s">
        <v>23</v>
      </c>
      <c r="E35" s="10">
        <v>100</v>
      </c>
      <c r="F35" s="11">
        <v>985.447</v>
      </c>
      <c r="G35" s="12">
        <v>2.6167619999999999E-2</v>
      </c>
      <c r="H35" s="36">
        <v>7.85</v>
      </c>
    </row>
    <row r="36" spans="1:8" ht="29.1" customHeight="1" x14ac:dyDescent="0.2">
      <c r="A36" s="8">
        <v>9</v>
      </c>
      <c r="B36" s="9" t="s">
        <v>206</v>
      </c>
      <c r="C36" s="9" t="s">
        <v>207</v>
      </c>
      <c r="D36" s="9" t="s">
        <v>208</v>
      </c>
      <c r="E36" s="10">
        <v>1000</v>
      </c>
      <c r="F36" s="11">
        <v>983.06799999999998</v>
      </c>
      <c r="G36" s="12">
        <v>2.6104450000000001E-2</v>
      </c>
      <c r="H36" s="36">
        <v>10.18</v>
      </c>
    </row>
    <row r="37" spans="1:8" ht="29.1" customHeight="1" x14ac:dyDescent="0.2">
      <c r="A37" s="8">
        <v>10</v>
      </c>
      <c r="B37" s="9" t="s">
        <v>209</v>
      </c>
      <c r="C37" s="9" t="s">
        <v>210</v>
      </c>
      <c r="D37" s="9" t="s">
        <v>208</v>
      </c>
      <c r="E37" s="10">
        <v>900</v>
      </c>
      <c r="F37" s="11">
        <v>900.13499999999999</v>
      </c>
      <c r="G37" s="12">
        <v>2.3902240000000002E-2</v>
      </c>
      <c r="H37" s="36">
        <v>8.3550000000000004</v>
      </c>
    </row>
    <row r="38" spans="1:8" ht="29.1" customHeight="1" x14ac:dyDescent="0.2">
      <c r="A38" s="8">
        <v>11</v>
      </c>
      <c r="B38" s="9" t="s">
        <v>211</v>
      </c>
      <c r="C38" s="9" t="s">
        <v>212</v>
      </c>
      <c r="D38" s="9" t="s">
        <v>197</v>
      </c>
      <c r="E38" s="10">
        <v>500</v>
      </c>
      <c r="F38" s="11">
        <v>501.28649999999999</v>
      </c>
      <c r="G38" s="12">
        <v>1.3311190000000001E-2</v>
      </c>
      <c r="H38" s="36">
        <v>8.98</v>
      </c>
    </row>
    <row r="39" spans="1:8" ht="17.100000000000001" customHeight="1" x14ac:dyDescent="0.2">
      <c r="A39" s="8">
        <v>12</v>
      </c>
      <c r="B39" s="9" t="s">
        <v>53</v>
      </c>
      <c r="C39" s="9" t="s">
        <v>54</v>
      </c>
      <c r="D39" s="9" t="s">
        <v>23</v>
      </c>
      <c r="E39" s="10">
        <v>500</v>
      </c>
      <c r="F39" s="11">
        <v>500.40499999999997</v>
      </c>
      <c r="G39" s="12">
        <v>1.3287790000000001E-2</v>
      </c>
      <c r="H39" s="36">
        <v>7.71</v>
      </c>
    </row>
    <row r="40" spans="1:8" ht="29.1" customHeight="1" x14ac:dyDescent="0.2">
      <c r="A40" s="8">
        <v>13</v>
      </c>
      <c r="B40" s="9" t="s">
        <v>213</v>
      </c>
      <c r="C40" s="9" t="s">
        <v>214</v>
      </c>
      <c r="D40" s="9" t="s">
        <v>215</v>
      </c>
      <c r="E40" s="10">
        <v>50</v>
      </c>
      <c r="F40" s="11">
        <v>499.94150000000002</v>
      </c>
      <c r="G40" s="12">
        <v>1.3275479999999999E-2</v>
      </c>
      <c r="H40" s="36">
        <v>8.3949999999999996</v>
      </c>
    </row>
    <row r="41" spans="1:8" ht="29.1" customHeight="1" x14ac:dyDescent="0.2">
      <c r="A41" s="8">
        <v>14</v>
      </c>
      <c r="B41" s="9" t="s">
        <v>61</v>
      </c>
      <c r="C41" s="9" t="s">
        <v>62</v>
      </c>
      <c r="D41" s="9" t="s">
        <v>23</v>
      </c>
      <c r="E41" s="10">
        <v>500</v>
      </c>
      <c r="F41" s="11">
        <v>499.2</v>
      </c>
      <c r="G41" s="12">
        <v>1.325579E-2</v>
      </c>
      <c r="H41" s="36">
        <v>8.1950000000000003</v>
      </c>
    </row>
    <row r="42" spans="1:8" ht="14.1" customHeight="1" x14ac:dyDescent="0.2">
      <c r="A42" s="1"/>
      <c r="B42" s="1"/>
      <c r="C42" s="2" t="s">
        <v>11</v>
      </c>
      <c r="D42" s="1"/>
      <c r="E42" s="1" t="s">
        <v>12</v>
      </c>
      <c r="F42" s="7">
        <v>15539.0311</v>
      </c>
      <c r="G42" s="4">
        <v>0.41262441</v>
      </c>
      <c r="H42" s="36"/>
    </row>
    <row r="43" spans="1:8" ht="14.1" customHeight="1" x14ac:dyDescent="0.2">
      <c r="A43" s="1"/>
      <c r="B43" s="1"/>
      <c r="C43" s="5"/>
      <c r="D43" s="1"/>
      <c r="E43" s="1"/>
      <c r="F43" s="6"/>
      <c r="G43" s="6"/>
      <c r="H43" s="36"/>
    </row>
    <row r="44" spans="1:8" ht="14.1" customHeight="1" x14ac:dyDescent="0.2">
      <c r="A44" s="1"/>
      <c r="B44" s="1"/>
      <c r="C44" s="2" t="s">
        <v>63</v>
      </c>
      <c r="D44" s="1"/>
      <c r="E44" s="1"/>
      <c r="F44" s="1"/>
      <c r="G44" s="1"/>
      <c r="H44" s="36"/>
    </row>
    <row r="45" spans="1:8" ht="14.1" customHeight="1" x14ac:dyDescent="0.2">
      <c r="A45" s="1"/>
      <c r="B45" s="1"/>
      <c r="C45" s="2" t="s">
        <v>11</v>
      </c>
      <c r="D45" s="1"/>
      <c r="E45" s="1" t="s">
        <v>12</v>
      </c>
      <c r="F45" s="3" t="s">
        <v>13</v>
      </c>
      <c r="G45" s="4">
        <v>0</v>
      </c>
      <c r="H45" s="36"/>
    </row>
    <row r="46" spans="1:8" ht="14.1" customHeight="1" x14ac:dyDescent="0.2">
      <c r="A46" s="1"/>
      <c r="B46" s="1"/>
      <c r="C46" s="5"/>
      <c r="D46" s="1"/>
      <c r="E46" s="1"/>
      <c r="F46" s="6"/>
      <c r="G46" s="6"/>
      <c r="H46" s="36"/>
    </row>
    <row r="47" spans="1:8" ht="14.1" customHeight="1" x14ac:dyDescent="0.2">
      <c r="A47" s="1"/>
      <c r="B47" s="1"/>
      <c r="C47" s="2" t="s">
        <v>64</v>
      </c>
      <c r="D47" s="1"/>
      <c r="E47" s="1"/>
      <c r="F47" s="1"/>
      <c r="G47" s="1"/>
      <c r="H47" s="36"/>
    </row>
    <row r="48" spans="1:8" ht="29.1" customHeight="1" x14ac:dyDescent="0.2">
      <c r="A48" s="8">
        <v>1</v>
      </c>
      <c r="B48" s="9" t="s">
        <v>216</v>
      </c>
      <c r="C48" s="9" t="s">
        <v>217</v>
      </c>
      <c r="D48" s="9" t="s">
        <v>67</v>
      </c>
      <c r="E48" s="10">
        <v>1500000</v>
      </c>
      <c r="F48" s="11">
        <v>1515.93</v>
      </c>
      <c r="G48" s="12">
        <v>4.0254100000000001E-2</v>
      </c>
      <c r="H48" s="36">
        <v>7.0982000000000003</v>
      </c>
    </row>
    <row r="49" spans="1:8" ht="17.100000000000001" customHeight="1" x14ac:dyDescent="0.2">
      <c r="A49" s="8">
        <v>2</v>
      </c>
      <c r="B49" s="9" t="s">
        <v>131</v>
      </c>
      <c r="C49" s="9" t="s">
        <v>132</v>
      </c>
      <c r="D49" s="9" t="s">
        <v>67</v>
      </c>
      <c r="E49" s="10">
        <v>1000000</v>
      </c>
      <c r="F49" s="11">
        <v>1013.311</v>
      </c>
      <c r="G49" s="12">
        <v>2.6907520000000001E-2</v>
      </c>
      <c r="H49" s="36">
        <v>7.1254999999999997</v>
      </c>
    </row>
    <row r="50" spans="1:8" ht="14.1" customHeight="1" x14ac:dyDescent="0.2">
      <c r="A50" s="1"/>
      <c r="B50" s="1"/>
      <c r="C50" s="2" t="s">
        <v>11</v>
      </c>
      <c r="D50" s="1"/>
      <c r="E50" s="1" t="s">
        <v>12</v>
      </c>
      <c r="F50" s="7">
        <v>2529.241</v>
      </c>
      <c r="G50" s="4">
        <v>6.7161620000000005E-2</v>
      </c>
      <c r="H50" s="36"/>
    </row>
    <row r="51" spans="1:8" ht="14.1" customHeight="1" x14ac:dyDescent="0.2">
      <c r="A51" s="1"/>
      <c r="B51" s="1"/>
      <c r="C51" s="5"/>
      <c r="D51" s="1"/>
      <c r="E51" s="1"/>
      <c r="F51" s="6"/>
      <c r="G51" s="6"/>
      <c r="H51" s="36"/>
    </row>
    <row r="52" spans="1:8" ht="14.1" customHeight="1" x14ac:dyDescent="0.2">
      <c r="A52" s="1"/>
      <c r="B52" s="1"/>
      <c r="C52" s="2" t="s">
        <v>74</v>
      </c>
      <c r="D52" s="1"/>
      <c r="E52" s="1"/>
      <c r="F52" s="6"/>
      <c r="G52" s="6"/>
      <c r="H52" s="36"/>
    </row>
    <row r="53" spans="1:8" ht="14.1" customHeight="1" x14ac:dyDescent="0.2">
      <c r="A53" s="1"/>
      <c r="B53" s="1"/>
      <c r="C53" s="2" t="s">
        <v>11</v>
      </c>
      <c r="D53" s="1"/>
      <c r="E53" s="1" t="s">
        <v>12</v>
      </c>
      <c r="F53" s="3" t="s">
        <v>13</v>
      </c>
      <c r="G53" s="4">
        <v>0</v>
      </c>
      <c r="H53" s="36"/>
    </row>
    <row r="54" spans="1:8" ht="14.1" customHeight="1" x14ac:dyDescent="0.2">
      <c r="A54" s="1"/>
      <c r="B54" s="1"/>
      <c r="C54" s="5"/>
      <c r="D54" s="1"/>
      <c r="E54" s="1"/>
      <c r="F54" s="6"/>
      <c r="G54" s="6"/>
      <c r="H54" s="36"/>
    </row>
    <row r="55" spans="1:8" ht="14.1" customHeight="1" x14ac:dyDescent="0.2">
      <c r="A55" s="1"/>
      <c r="B55" s="1"/>
      <c r="C55" s="2" t="s">
        <v>75</v>
      </c>
      <c r="D55" s="1"/>
      <c r="E55" s="1"/>
      <c r="F55" s="7">
        <v>18068.272099999998</v>
      </c>
      <c r="G55" s="4">
        <v>0.47978602999999997</v>
      </c>
      <c r="H55" s="36"/>
    </row>
    <row r="56" spans="1:8" ht="14.1" customHeight="1" x14ac:dyDescent="0.2">
      <c r="A56" s="1"/>
      <c r="B56" s="1"/>
      <c r="C56" s="5"/>
      <c r="D56" s="1"/>
      <c r="E56" s="1"/>
      <c r="F56" s="6"/>
      <c r="G56" s="6"/>
      <c r="H56" s="36"/>
    </row>
    <row r="57" spans="1:8" ht="14.1" customHeight="1" x14ac:dyDescent="0.2">
      <c r="A57" s="1"/>
      <c r="B57" s="1"/>
      <c r="C57" s="2" t="s">
        <v>76</v>
      </c>
      <c r="D57" s="1"/>
      <c r="E57" s="1"/>
      <c r="F57" s="6"/>
      <c r="G57" s="6"/>
      <c r="H57" s="36"/>
    </row>
    <row r="58" spans="1:8" ht="14.1" customHeight="1" x14ac:dyDescent="0.2">
      <c r="A58" s="1"/>
      <c r="B58" s="1"/>
      <c r="C58" s="2" t="s">
        <v>77</v>
      </c>
      <c r="D58" s="1"/>
      <c r="E58" s="1"/>
      <c r="F58" s="6"/>
      <c r="G58" s="6"/>
      <c r="H58" s="36"/>
    </row>
    <row r="59" spans="1:8" ht="17.100000000000001" customHeight="1" x14ac:dyDescent="0.2">
      <c r="A59" s="8">
        <v>1</v>
      </c>
      <c r="B59" s="9" t="s">
        <v>155</v>
      </c>
      <c r="C59" s="9" t="s">
        <v>156</v>
      </c>
      <c r="D59" s="9" t="s">
        <v>135</v>
      </c>
      <c r="E59" s="10">
        <v>400</v>
      </c>
      <c r="F59" s="11">
        <v>1935.346</v>
      </c>
      <c r="G59" s="12">
        <v>5.1391300000000001E-2</v>
      </c>
      <c r="H59" s="36">
        <v>7.39</v>
      </c>
    </row>
    <row r="60" spans="1:8" ht="29.1" customHeight="1" x14ac:dyDescent="0.2">
      <c r="A60" s="8">
        <v>2</v>
      </c>
      <c r="B60" s="9" t="s">
        <v>218</v>
      </c>
      <c r="C60" s="9" t="s">
        <v>219</v>
      </c>
      <c r="D60" s="9" t="s">
        <v>135</v>
      </c>
      <c r="E60" s="10">
        <v>300</v>
      </c>
      <c r="F60" s="11">
        <v>1451.3879999999999</v>
      </c>
      <c r="G60" s="12">
        <v>3.8540249999999998E-2</v>
      </c>
      <c r="H60" s="36">
        <v>7.5000999999999998</v>
      </c>
    </row>
    <row r="61" spans="1:8" ht="17.100000000000001" customHeight="1" x14ac:dyDescent="0.2">
      <c r="A61" s="8">
        <v>3</v>
      </c>
      <c r="B61" s="9" t="s">
        <v>220</v>
      </c>
      <c r="C61" s="9" t="s">
        <v>221</v>
      </c>
      <c r="D61" s="9" t="s">
        <v>135</v>
      </c>
      <c r="E61" s="10">
        <v>300</v>
      </c>
      <c r="F61" s="11">
        <v>1442.49</v>
      </c>
      <c r="G61" s="12">
        <v>3.830397E-2</v>
      </c>
      <c r="H61" s="36">
        <v>7.54</v>
      </c>
    </row>
    <row r="62" spans="1:8" ht="17.100000000000001" customHeight="1" x14ac:dyDescent="0.2">
      <c r="A62" s="8">
        <v>4</v>
      </c>
      <c r="B62" s="9" t="s">
        <v>222</v>
      </c>
      <c r="C62" s="9" t="s">
        <v>223</v>
      </c>
      <c r="D62" s="9" t="s">
        <v>135</v>
      </c>
      <c r="E62" s="10">
        <v>200</v>
      </c>
      <c r="F62" s="11">
        <v>970.178</v>
      </c>
      <c r="G62" s="12">
        <v>2.5762170000000001E-2</v>
      </c>
      <c r="H62" s="36">
        <v>7.4301000000000004</v>
      </c>
    </row>
    <row r="63" spans="1:8" ht="17.100000000000001" customHeight="1" x14ac:dyDescent="0.2">
      <c r="A63" s="8">
        <v>5</v>
      </c>
      <c r="B63" s="9" t="s">
        <v>224</v>
      </c>
      <c r="C63" s="9" t="s">
        <v>225</v>
      </c>
      <c r="D63" s="9" t="s">
        <v>135</v>
      </c>
      <c r="E63" s="10">
        <v>200</v>
      </c>
      <c r="F63" s="11">
        <v>969.01</v>
      </c>
      <c r="G63" s="12">
        <v>2.5731150000000001E-2</v>
      </c>
      <c r="H63" s="36">
        <v>7.4349999999999996</v>
      </c>
    </row>
    <row r="64" spans="1:8" ht="17.100000000000001" customHeight="1" x14ac:dyDescent="0.2">
      <c r="A64" s="8">
        <v>6</v>
      </c>
      <c r="B64" s="9" t="s">
        <v>168</v>
      </c>
      <c r="C64" s="9" t="s">
        <v>169</v>
      </c>
      <c r="D64" s="9" t="s">
        <v>170</v>
      </c>
      <c r="E64" s="10">
        <v>200</v>
      </c>
      <c r="F64" s="11">
        <v>958.04100000000005</v>
      </c>
      <c r="G64" s="12">
        <v>2.5439880000000002E-2</v>
      </c>
      <c r="H64" s="36">
        <v>7.47</v>
      </c>
    </row>
    <row r="65" spans="1:8" ht="29.1" customHeight="1" x14ac:dyDescent="0.2">
      <c r="A65" s="8">
        <v>7</v>
      </c>
      <c r="B65" s="9" t="s">
        <v>226</v>
      </c>
      <c r="C65" s="9" t="s">
        <v>227</v>
      </c>
      <c r="D65" s="9" t="s">
        <v>135</v>
      </c>
      <c r="E65" s="10">
        <v>200</v>
      </c>
      <c r="F65" s="11">
        <v>956.28499999999997</v>
      </c>
      <c r="G65" s="12">
        <v>2.5393249999999999E-2</v>
      </c>
      <c r="H65" s="36">
        <v>7.55</v>
      </c>
    </row>
    <row r="66" spans="1:8" ht="17.100000000000001" customHeight="1" x14ac:dyDescent="0.2">
      <c r="A66" s="8">
        <v>8</v>
      </c>
      <c r="B66" s="9" t="s">
        <v>142</v>
      </c>
      <c r="C66" s="9" t="s">
        <v>143</v>
      </c>
      <c r="D66" s="9" t="s">
        <v>144</v>
      </c>
      <c r="E66" s="10">
        <v>200</v>
      </c>
      <c r="F66" s="11">
        <v>954.32799999999997</v>
      </c>
      <c r="G66" s="12">
        <v>2.5341289999999999E-2</v>
      </c>
      <c r="H66" s="36">
        <v>7.4649999999999999</v>
      </c>
    </row>
    <row r="67" spans="1:8" ht="17.100000000000001" customHeight="1" x14ac:dyDescent="0.2">
      <c r="A67" s="8">
        <v>9</v>
      </c>
      <c r="B67" s="9" t="s">
        <v>159</v>
      </c>
      <c r="C67" s="9" t="s">
        <v>160</v>
      </c>
      <c r="D67" s="9" t="s">
        <v>135</v>
      </c>
      <c r="E67" s="10">
        <v>200</v>
      </c>
      <c r="F67" s="11">
        <v>954.00900000000001</v>
      </c>
      <c r="G67" s="12">
        <v>2.5332810000000001E-2</v>
      </c>
      <c r="H67" s="36">
        <v>7.5197000000000003</v>
      </c>
    </row>
    <row r="68" spans="1:8" ht="17.100000000000001" customHeight="1" x14ac:dyDescent="0.2">
      <c r="A68" s="8">
        <v>10</v>
      </c>
      <c r="B68" s="9" t="s">
        <v>162</v>
      </c>
      <c r="C68" s="9" t="s">
        <v>163</v>
      </c>
      <c r="D68" s="9" t="s">
        <v>135</v>
      </c>
      <c r="E68" s="10">
        <v>200</v>
      </c>
      <c r="F68" s="11">
        <v>953.23400000000004</v>
      </c>
      <c r="G68" s="12">
        <v>2.531224E-2</v>
      </c>
      <c r="H68" s="36">
        <v>7.62</v>
      </c>
    </row>
    <row r="69" spans="1:8" ht="17.100000000000001" customHeight="1" x14ac:dyDescent="0.2">
      <c r="A69" s="8">
        <v>11</v>
      </c>
      <c r="B69" s="9" t="s">
        <v>164</v>
      </c>
      <c r="C69" s="9" t="s">
        <v>165</v>
      </c>
      <c r="D69" s="9" t="s">
        <v>135</v>
      </c>
      <c r="E69" s="10">
        <v>200</v>
      </c>
      <c r="F69" s="11">
        <v>952.87300000000005</v>
      </c>
      <c r="G69" s="12">
        <v>2.5302649999999999E-2</v>
      </c>
      <c r="H69" s="36">
        <v>7.585</v>
      </c>
    </row>
    <row r="70" spans="1:8" ht="29.1" customHeight="1" x14ac:dyDescent="0.2">
      <c r="A70" s="8">
        <v>12</v>
      </c>
      <c r="B70" s="9" t="s">
        <v>228</v>
      </c>
      <c r="C70" s="9" t="s">
        <v>229</v>
      </c>
      <c r="D70" s="9" t="s">
        <v>135</v>
      </c>
      <c r="E70" s="10">
        <v>200</v>
      </c>
      <c r="F70" s="11">
        <v>952.70399999999995</v>
      </c>
      <c r="G70" s="12">
        <v>2.529816E-2</v>
      </c>
      <c r="H70" s="36">
        <v>7.55</v>
      </c>
    </row>
    <row r="71" spans="1:8" ht="17.100000000000001" customHeight="1" x14ac:dyDescent="0.2">
      <c r="A71" s="8">
        <v>13</v>
      </c>
      <c r="B71" s="9" t="s">
        <v>147</v>
      </c>
      <c r="C71" s="9" t="s">
        <v>148</v>
      </c>
      <c r="D71" s="9" t="s">
        <v>135</v>
      </c>
      <c r="E71" s="10">
        <v>200</v>
      </c>
      <c r="F71" s="11">
        <v>948.91499999999996</v>
      </c>
      <c r="G71" s="12">
        <v>2.5197549999999999E-2</v>
      </c>
      <c r="H71" s="36">
        <v>7.5</v>
      </c>
    </row>
    <row r="72" spans="1:8" ht="17.100000000000001" customHeight="1" x14ac:dyDescent="0.2">
      <c r="A72" s="8">
        <v>14</v>
      </c>
      <c r="B72" s="9" t="s">
        <v>149</v>
      </c>
      <c r="C72" s="9" t="s">
        <v>150</v>
      </c>
      <c r="D72" s="9" t="s">
        <v>135</v>
      </c>
      <c r="E72" s="10">
        <v>200</v>
      </c>
      <c r="F72" s="11">
        <v>936.08299999999997</v>
      </c>
      <c r="G72" s="12">
        <v>2.485681E-2</v>
      </c>
      <c r="H72" s="36">
        <v>7.6449999999999996</v>
      </c>
    </row>
    <row r="73" spans="1:8" ht="14.1" customHeight="1" x14ac:dyDescent="0.2">
      <c r="A73" s="1"/>
      <c r="B73" s="1"/>
      <c r="C73" s="2" t="s">
        <v>11</v>
      </c>
      <c r="D73" s="1"/>
      <c r="E73" s="1" t="s">
        <v>12</v>
      </c>
      <c r="F73" s="7">
        <v>15334.884</v>
      </c>
      <c r="G73" s="4">
        <v>0.40720348000000001</v>
      </c>
      <c r="H73" s="36"/>
    </row>
    <row r="74" spans="1:8" ht="14.1" customHeight="1" x14ac:dyDescent="0.2">
      <c r="A74" s="1"/>
      <c r="B74" s="1"/>
      <c r="C74" s="5"/>
      <c r="D74" s="1"/>
      <c r="E74" s="1"/>
      <c r="F74" s="6"/>
      <c r="G74" s="6"/>
      <c r="H74" s="36"/>
    </row>
    <row r="75" spans="1:8" ht="14.1" customHeight="1" x14ac:dyDescent="0.2">
      <c r="A75" s="1"/>
      <c r="B75" s="1"/>
      <c r="C75" s="2" t="s">
        <v>78</v>
      </c>
      <c r="D75" s="1"/>
      <c r="E75" s="1"/>
      <c r="F75" s="6"/>
      <c r="G75" s="6"/>
      <c r="H75" s="36"/>
    </row>
    <row r="76" spans="1:8" ht="17.100000000000001" customHeight="1" x14ac:dyDescent="0.2">
      <c r="A76" s="8">
        <v>1</v>
      </c>
      <c r="B76" s="9" t="s">
        <v>230</v>
      </c>
      <c r="C76" s="9" t="s">
        <v>480</v>
      </c>
      <c r="D76" s="9" t="s">
        <v>135</v>
      </c>
      <c r="E76" s="10">
        <v>300</v>
      </c>
      <c r="F76" s="11">
        <v>1409.7750000000001</v>
      </c>
      <c r="G76" s="12">
        <v>3.7435250000000003E-2</v>
      </c>
      <c r="H76" s="36">
        <v>9.125</v>
      </c>
    </row>
    <row r="77" spans="1:8" ht="29.1" customHeight="1" x14ac:dyDescent="0.2">
      <c r="A77" s="8">
        <v>2</v>
      </c>
      <c r="B77" s="9" t="s">
        <v>231</v>
      </c>
      <c r="C77" s="9" t="s">
        <v>232</v>
      </c>
      <c r="D77" s="9" t="s">
        <v>135</v>
      </c>
      <c r="E77" s="10">
        <v>200</v>
      </c>
      <c r="F77" s="11">
        <v>950.11500000000001</v>
      </c>
      <c r="G77" s="12">
        <v>2.5229410000000001E-2</v>
      </c>
      <c r="H77" s="36">
        <v>8.1549999999999994</v>
      </c>
    </row>
    <row r="78" spans="1:8" ht="29.1" customHeight="1" x14ac:dyDescent="0.2">
      <c r="A78" s="8">
        <v>3</v>
      </c>
      <c r="B78" s="9" t="s">
        <v>233</v>
      </c>
      <c r="C78" s="9" t="s">
        <v>234</v>
      </c>
      <c r="D78" s="9" t="s">
        <v>170</v>
      </c>
      <c r="E78" s="10">
        <v>100</v>
      </c>
      <c r="F78" s="11">
        <v>497.0505</v>
      </c>
      <c r="G78" s="12">
        <v>1.3198710000000001E-2</v>
      </c>
      <c r="H78" s="36">
        <v>7.22</v>
      </c>
    </row>
    <row r="79" spans="1:8" ht="14.1" customHeight="1" x14ac:dyDescent="0.2">
      <c r="A79" s="1"/>
      <c r="B79" s="1"/>
      <c r="C79" s="2" t="s">
        <v>11</v>
      </c>
      <c r="D79" s="1"/>
      <c r="E79" s="1" t="s">
        <v>12</v>
      </c>
      <c r="F79" s="7">
        <v>2856.9405000000002</v>
      </c>
      <c r="G79" s="4">
        <v>7.5863369999999999E-2</v>
      </c>
      <c r="H79" s="36"/>
    </row>
    <row r="80" spans="1:8" ht="14.1" customHeight="1" x14ac:dyDescent="0.2">
      <c r="A80" s="1"/>
      <c r="B80" s="1"/>
      <c r="C80" s="5"/>
      <c r="D80" s="1"/>
      <c r="E80" s="1"/>
      <c r="F80" s="6"/>
      <c r="G80" s="6"/>
      <c r="H80" s="36"/>
    </row>
    <row r="81" spans="1:8" ht="14.1" customHeight="1" x14ac:dyDescent="0.2">
      <c r="A81" s="1"/>
      <c r="B81" s="1"/>
      <c r="C81" s="2" t="s">
        <v>79</v>
      </c>
      <c r="D81" s="1"/>
      <c r="E81" s="1"/>
      <c r="F81" s="6"/>
      <c r="G81" s="6"/>
      <c r="H81" s="36"/>
    </row>
    <row r="82" spans="1:8" ht="14.1" customHeight="1" x14ac:dyDescent="0.2">
      <c r="A82" s="1"/>
      <c r="B82" s="1"/>
      <c r="C82" s="2" t="s">
        <v>11</v>
      </c>
      <c r="D82" s="1"/>
      <c r="E82" s="1" t="s">
        <v>12</v>
      </c>
      <c r="F82" s="3" t="s">
        <v>13</v>
      </c>
      <c r="G82" s="4">
        <v>0</v>
      </c>
      <c r="H82" s="36"/>
    </row>
    <row r="83" spans="1:8" ht="14.1" customHeight="1" x14ac:dyDescent="0.2">
      <c r="A83" s="1"/>
      <c r="B83" s="1"/>
      <c r="C83" s="5"/>
      <c r="D83" s="1"/>
      <c r="E83" s="1"/>
      <c r="F83" s="6"/>
      <c r="G83" s="6"/>
      <c r="H83" s="36"/>
    </row>
    <row r="84" spans="1:8" ht="14.1" customHeight="1" x14ac:dyDescent="0.2">
      <c r="A84" s="1"/>
      <c r="B84" s="1"/>
      <c r="C84" s="2" t="s">
        <v>80</v>
      </c>
      <c r="D84" s="1"/>
      <c r="E84" s="1"/>
      <c r="F84" s="6"/>
      <c r="G84" s="6"/>
      <c r="H84" s="36"/>
    </row>
    <row r="85" spans="1:8" ht="17.100000000000001" customHeight="1" x14ac:dyDescent="0.2">
      <c r="A85" s="8">
        <v>1</v>
      </c>
      <c r="B85" s="9"/>
      <c r="C85" s="9" t="s">
        <v>81</v>
      </c>
      <c r="D85" s="9"/>
      <c r="E85" s="13"/>
      <c r="F85" s="11">
        <v>1181.7732209999999</v>
      </c>
      <c r="G85" s="12">
        <v>3.138088E-2</v>
      </c>
      <c r="H85" s="36">
        <v>6.7262665696944239</v>
      </c>
    </row>
    <row r="86" spans="1:8" ht="14.1" customHeight="1" x14ac:dyDescent="0.2">
      <c r="A86" s="1"/>
      <c r="B86" s="1"/>
      <c r="C86" s="2" t="s">
        <v>11</v>
      </c>
      <c r="D86" s="1"/>
      <c r="E86" s="1" t="s">
        <v>12</v>
      </c>
      <c r="F86" s="7">
        <v>1181.7732209999999</v>
      </c>
      <c r="G86" s="4">
        <v>3.138088E-2</v>
      </c>
      <c r="H86" s="36"/>
    </row>
    <row r="87" spans="1:8" ht="14.1" customHeight="1" x14ac:dyDescent="0.2">
      <c r="A87" s="1"/>
      <c r="B87" s="1"/>
      <c r="C87" s="5"/>
      <c r="D87" s="1"/>
      <c r="E87" s="1"/>
      <c r="F87" s="6"/>
      <c r="G87" s="6"/>
      <c r="H87" s="36"/>
    </row>
    <row r="88" spans="1:8" ht="14.1" customHeight="1" x14ac:dyDescent="0.2">
      <c r="A88" s="1"/>
      <c r="B88" s="1"/>
      <c r="C88" s="2" t="s">
        <v>82</v>
      </c>
      <c r="D88" s="1"/>
      <c r="E88" s="1"/>
      <c r="F88" s="7">
        <v>19373.597720999998</v>
      </c>
      <c r="G88" s="4">
        <v>0.51444772999999999</v>
      </c>
      <c r="H88" s="36"/>
    </row>
    <row r="89" spans="1:8" ht="14.1" customHeight="1" x14ac:dyDescent="0.2">
      <c r="A89" s="1"/>
      <c r="B89" s="1"/>
      <c r="C89" s="6"/>
      <c r="D89" s="1"/>
      <c r="E89" s="1"/>
      <c r="F89" s="1"/>
      <c r="G89" s="1"/>
      <c r="H89" s="36"/>
    </row>
    <row r="90" spans="1:8" ht="14.1" customHeight="1" x14ac:dyDescent="0.2">
      <c r="A90" s="1"/>
      <c r="B90" s="1"/>
      <c r="C90" s="2" t="s">
        <v>83</v>
      </c>
      <c r="D90" s="1"/>
      <c r="E90" s="1"/>
      <c r="F90" s="1"/>
      <c r="G90" s="1"/>
      <c r="H90" s="36"/>
    </row>
    <row r="91" spans="1:8" ht="14.1" customHeight="1" x14ac:dyDescent="0.2">
      <c r="A91" s="1"/>
      <c r="B91" s="1"/>
      <c r="C91" s="2" t="s">
        <v>84</v>
      </c>
      <c r="D91" s="1"/>
      <c r="E91" s="1"/>
      <c r="F91" s="1"/>
      <c r="G91" s="1"/>
      <c r="H91" s="36"/>
    </row>
    <row r="92" spans="1:8" ht="14.1" customHeight="1" x14ac:dyDescent="0.2">
      <c r="A92" s="1"/>
      <c r="B92" s="1"/>
      <c r="C92" s="2" t="s">
        <v>11</v>
      </c>
      <c r="D92" s="1"/>
      <c r="E92" s="1" t="s">
        <v>12</v>
      </c>
      <c r="F92" s="3" t="s">
        <v>13</v>
      </c>
      <c r="G92" s="4">
        <v>0</v>
      </c>
      <c r="H92" s="36"/>
    </row>
    <row r="93" spans="1:8" ht="14.1" customHeight="1" x14ac:dyDescent="0.2">
      <c r="A93" s="1"/>
      <c r="B93" s="1"/>
      <c r="C93" s="5"/>
      <c r="D93" s="1"/>
      <c r="E93" s="1"/>
      <c r="F93" s="6"/>
      <c r="G93" s="6"/>
      <c r="H93" s="36"/>
    </row>
    <row r="94" spans="1:8" ht="14.1" customHeight="1" x14ac:dyDescent="0.2">
      <c r="A94" s="1"/>
      <c r="B94" s="1"/>
      <c r="C94" s="2" t="s">
        <v>87</v>
      </c>
      <c r="D94" s="1"/>
      <c r="E94" s="1"/>
      <c r="F94" s="1"/>
      <c r="G94" s="1"/>
      <c r="H94" s="36"/>
    </row>
    <row r="95" spans="1:8" ht="14.1" customHeight="1" x14ac:dyDescent="0.2">
      <c r="A95" s="1"/>
      <c r="B95" s="1"/>
      <c r="C95" s="2" t="s">
        <v>88</v>
      </c>
      <c r="D95" s="1"/>
      <c r="E95" s="1"/>
      <c r="F95" s="1"/>
      <c r="G95" s="1"/>
      <c r="H95" s="36"/>
    </row>
    <row r="96" spans="1:8" ht="14.1" customHeight="1" x14ac:dyDescent="0.2">
      <c r="A96" s="1"/>
      <c r="B96" s="1"/>
      <c r="C96" s="2" t="s">
        <v>11</v>
      </c>
      <c r="D96" s="1"/>
      <c r="E96" s="1" t="s">
        <v>12</v>
      </c>
      <c r="F96" s="3" t="s">
        <v>13</v>
      </c>
      <c r="G96" s="4">
        <v>0</v>
      </c>
      <c r="H96" s="36"/>
    </row>
    <row r="97" spans="1:18" ht="14.1" customHeight="1" x14ac:dyDescent="0.2">
      <c r="A97" s="1"/>
      <c r="B97" s="1"/>
      <c r="C97" s="5"/>
      <c r="D97" s="1"/>
      <c r="E97" s="1"/>
      <c r="F97" s="6"/>
      <c r="G97" s="6"/>
      <c r="H97" s="36"/>
    </row>
    <row r="98" spans="1:18" ht="24" customHeight="1" x14ac:dyDescent="0.2">
      <c r="A98" s="1"/>
      <c r="B98" s="1"/>
      <c r="C98" s="2" t="s">
        <v>89</v>
      </c>
      <c r="D98" s="1"/>
      <c r="E98" s="1"/>
      <c r="F98" s="6"/>
      <c r="G98" s="6"/>
      <c r="H98" s="36"/>
    </row>
    <row r="99" spans="1:18" ht="14.1" customHeight="1" x14ac:dyDescent="0.2">
      <c r="A99" s="1"/>
      <c r="B99" s="1"/>
      <c r="C99" s="2" t="s">
        <v>11</v>
      </c>
      <c r="D99" s="1"/>
      <c r="E99" s="1" t="s">
        <v>12</v>
      </c>
      <c r="F99" s="3" t="s">
        <v>13</v>
      </c>
      <c r="G99" s="4">
        <v>0</v>
      </c>
      <c r="H99" s="36"/>
    </row>
    <row r="100" spans="1:18" x14ac:dyDescent="0.2">
      <c r="A100" s="33"/>
      <c r="B100" s="33"/>
      <c r="C100" s="34"/>
      <c r="D100" s="33"/>
      <c r="E100" s="33"/>
      <c r="F100" s="35"/>
      <c r="G100" s="35"/>
      <c r="H100" s="36"/>
    </row>
    <row r="101" spans="1:18" ht="25.5" x14ac:dyDescent="0.2">
      <c r="A101" s="38"/>
      <c r="B101" s="38"/>
      <c r="C101" s="39" t="s">
        <v>479</v>
      </c>
      <c r="D101" s="38"/>
      <c r="E101" s="38"/>
      <c r="F101" s="40"/>
      <c r="G101" s="40"/>
      <c r="H101" s="36"/>
      <c r="L101" s="41"/>
      <c r="M101" s="41"/>
      <c r="N101" s="41"/>
      <c r="O101" s="41"/>
      <c r="P101" s="42"/>
      <c r="Q101" s="42"/>
      <c r="R101" s="42"/>
    </row>
    <row r="102" spans="1:18" ht="25.5" x14ac:dyDescent="0.2">
      <c r="A102" s="43">
        <v>1</v>
      </c>
      <c r="B102" s="44" t="s">
        <v>85</v>
      </c>
      <c r="C102" s="44" t="s">
        <v>86</v>
      </c>
      <c r="D102" s="44"/>
      <c r="E102" s="14">
        <v>1043.4449999999999</v>
      </c>
      <c r="F102" s="11">
        <v>107.35361903800001</v>
      </c>
      <c r="G102" s="12">
        <v>2.85068E-3</v>
      </c>
      <c r="H102" s="36">
        <v>9.9999999999999995E-7</v>
      </c>
    </row>
    <row r="103" spans="1:18" x14ac:dyDescent="0.2">
      <c r="A103" s="33"/>
      <c r="B103" s="33"/>
      <c r="C103" s="45" t="s">
        <v>11</v>
      </c>
      <c r="D103" s="33"/>
      <c r="E103" s="1" t="s">
        <v>12</v>
      </c>
      <c r="F103" s="7">
        <v>107.35361903800001</v>
      </c>
      <c r="G103" s="4">
        <v>2.85068E-3</v>
      </c>
      <c r="H103" s="36"/>
    </row>
    <row r="104" spans="1:18" ht="14.1" customHeight="1" x14ac:dyDescent="0.2">
      <c r="A104" s="1"/>
      <c r="B104" s="1"/>
      <c r="C104" s="5"/>
      <c r="D104" s="1"/>
      <c r="E104" s="1"/>
      <c r="F104" s="6"/>
      <c r="G104" s="6"/>
      <c r="H104" s="36"/>
    </row>
    <row r="105" spans="1:18" ht="14.1" customHeight="1" x14ac:dyDescent="0.2">
      <c r="A105" s="1"/>
      <c r="B105" s="9"/>
      <c r="C105" s="9"/>
      <c r="D105" s="2"/>
      <c r="E105" s="1"/>
      <c r="F105" s="9"/>
      <c r="G105" s="13"/>
      <c r="H105" s="36"/>
    </row>
    <row r="106" spans="1:18" ht="18" customHeight="1" x14ac:dyDescent="0.2">
      <c r="A106" s="13"/>
      <c r="B106" s="9"/>
      <c r="C106" s="9" t="s">
        <v>90</v>
      </c>
      <c r="D106" s="9"/>
      <c r="E106" s="13"/>
      <c r="F106" s="11">
        <f>109.79805262-0.000024542</f>
        <v>109.798028078</v>
      </c>
      <c r="G106" s="12">
        <v>2.9155800000000001E-3</v>
      </c>
      <c r="H106" s="36"/>
    </row>
    <row r="107" spans="1:18" ht="14.1" customHeight="1" x14ac:dyDescent="0.2">
      <c r="A107" s="5"/>
      <c r="B107" s="5"/>
      <c r="C107" s="2" t="s">
        <v>91</v>
      </c>
      <c r="D107" s="6"/>
      <c r="E107" s="6"/>
      <c r="F107" s="7">
        <f>37659.021492658-0.000024542</f>
        <v>37659.021468116</v>
      </c>
      <c r="G107" s="15">
        <v>1.0000000200000001</v>
      </c>
      <c r="H107" s="36"/>
    </row>
    <row r="108" spans="1:18" ht="14.1" customHeight="1" x14ac:dyDescent="0.2">
      <c r="A108" s="16"/>
      <c r="B108" s="16"/>
      <c r="C108" s="16"/>
      <c r="D108" s="17"/>
      <c r="E108" s="17"/>
      <c r="F108" s="17"/>
      <c r="G108" s="17"/>
    </row>
    <row r="109" spans="1:18" x14ac:dyDescent="0.2">
      <c r="A109" s="46"/>
      <c r="B109" s="108" t="s">
        <v>483</v>
      </c>
      <c r="C109" s="108"/>
      <c r="D109" s="108"/>
      <c r="E109" s="108"/>
      <c r="F109" s="108"/>
      <c r="G109" s="108"/>
      <c r="H109" s="108"/>
      <c r="K109" s="41"/>
    </row>
    <row r="110" spans="1:18" x14ac:dyDescent="0.2">
      <c r="A110" s="46"/>
      <c r="B110" s="108" t="s">
        <v>484</v>
      </c>
      <c r="C110" s="108"/>
      <c r="D110" s="108"/>
      <c r="E110" s="108"/>
      <c r="F110" s="108"/>
      <c r="G110" s="108"/>
      <c r="H110" s="108"/>
    </row>
    <row r="111" spans="1:18" x14ac:dyDescent="0.2">
      <c r="A111" s="46"/>
      <c r="B111" s="108" t="s">
        <v>485</v>
      </c>
      <c r="C111" s="108"/>
      <c r="D111" s="108"/>
      <c r="E111" s="108"/>
      <c r="F111" s="108"/>
      <c r="G111" s="108"/>
      <c r="H111" s="108"/>
    </row>
    <row r="112" spans="1:18" ht="14.1" customHeight="1" x14ac:dyDescent="0.2">
      <c r="A112" s="18"/>
      <c r="B112" s="18"/>
      <c r="C112" s="18"/>
      <c r="D112" s="20"/>
      <c r="E112" s="20"/>
      <c r="F112" s="20"/>
      <c r="G112" s="20"/>
    </row>
    <row r="113" spans="1:7" ht="14.1" customHeight="1" x14ac:dyDescent="0.2">
      <c r="A113" s="18"/>
      <c r="B113" s="114" t="s">
        <v>92</v>
      </c>
      <c r="C113" s="115"/>
      <c r="D113" s="116"/>
      <c r="E113" s="21"/>
      <c r="F113" s="20"/>
      <c r="G113" s="20"/>
    </row>
    <row r="114" spans="1:7" ht="29.1" customHeight="1" x14ac:dyDescent="0.2">
      <c r="A114" s="18"/>
      <c r="B114" s="117" t="s">
        <v>93</v>
      </c>
      <c r="C114" s="118"/>
      <c r="D114" s="52" t="s">
        <v>540</v>
      </c>
      <c r="E114" s="21"/>
      <c r="F114" s="20"/>
      <c r="G114" s="20"/>
    </row>
    <row r="115" spans="1:7" ht="17.100000000000001" customHeight="1" x14ac:dyDescent="0.2">
      <c r="A115" s="18"/>
      <c r="B115" s="117" t="s">
        <v>95</v>
      </c>
      <c r="C115" s="118"/>
      <c r="D115" s="2" t="s">
        <v>94</v>
      </c>
      <c r="E115" s="21"/>
      <c r="F115" s="20"/>
      <c r="G115" s="20"/>
    </row>
    <row r="116" spans="1:7" ht="17.100000000000001" customHeight="1" x14ac:dyDescent="0.2">
      <c r="A116" s="18"/>
      <c r="B116" s="117" t="s">
        <v>96</v>
      </c>
      <c r="C116" s="118"/>
      <c r="D116" s="6" t="s">
        <v>12</v>
      </c>
      <c r="E116" s="21"/>
      <c r="F116" s="20"/>
      <c r="G116" s="20"/>
    </row>
    <row r="117" spans="1:7" ht="24" customHeight="1" x14ac:dyDescent="0.2">
      <c r="A117" s="22"/>
      <c r="B117" s="23" t="s">
        <v>12</v>
      </c>
      <c r="C117" s="23" t="s">
        <v>97</v>
      </c>
      <c r="D117" s="23" t="s">
        <v>98</v>
      </c>
      <c r="E117" s="22"/>
      <c r="F117" s="22"/>
      <c r="G117" s="22"/>
    </row>
    <row r="118" spans="1:7" ht="18" customHeight="1" x14ac:dyDescent="0.2">
      <c r="A118" s="22"/>
      <c r="B118" s="24" t="s">
        <v>99</v>
      </c>
      <c r="C118" s="23" t="s">
        <v>582</v>
      </c>
      <c r="D118" s="23" t="s">
        <v>100</v>
      </c>
      <c r="E118" s="22"/>
      <c r="F118" s="22"/>
      <c r="G118" s="22"/>
    </row>
    <row r="119" spans="1:7" ht="17.100000000000001" customHeight="1" x14ac:dyDescent="0.2">
      <c r="A119" s="22"/>
      <c r="B119" s="9" t="s">
        <v>101</v>
      </c>
      <c r="C119" s="25">
        <v>3400.3391999999999</v>
      </c>
      <c r="D119" s="25">
        <v>3421.3519000000001</v>
      </c>
      <c r="E119" s="22"/>
      <c r="F119" s="19"/>
      <c r="G119" s="26"/>
    </row>
    <row r="120" spans="1:7" ht="29.1" customHeight="1" x14ac:dyDescent="0.2">
      <c r="A120" s="22"/>
      <c r="B120" s="9" t="s">
        <v>552</v>
      </c>
      <c r="C120" s="25">
        <v>1009.6449</v>
      </c>
      <c r="D120" s="13"/>
      <c r="E120" s="22"/>
      <c r="F120" s="19"/>
      <c r="G120" s="26"/>
    </row>
    <row r="121" spans="1:7" ht="29.1" customHeight="1" x14ac:dyDescent="0.2">
      <c r="A121" s="22"/>
      <c r="B121" s="9" t="s">
        <v>553</v>
      </c>
      <c r="C121" s="25">
        <v>1006.0749</v>
      </c>
      <c r="D121" s="13"/>
      <c r="E121" s="22"/>
      <c r="F121" s="19"/>
      <c r="G121" s="26"/>
    </row>
    <row r="122" spans="1:7" ht="29.1" customHeight="1" x14ac:dyDescent="0.2">
      <c r="A122" s="22"/>
      <c r="B122" s="9" t="s">
        <v>558</v>
      </c>
      <c r="C122" s="25">
        <v>1096.0997</v>
      </c>
      <c r="D122" s="13"/>
      <c r="E122" s="22"/>
      <c r="F122" s="19"/>
      <c r="G122" s="26"/>
    </row>
    <row r="123" spans="1:7" ht="29.1" customHeight="1" x14ac:dyDescent="0.2">
      <c r="A123" s="22"/>
      <c r="B123" s="9" t="s">
        <v>543</v>
      </c>
      <c r="C123" s="25">
        <v>1097.8989999999999</v>
      </c>
      <c r="D123" s="25">
        <v>1098.4717000000001</v>
      </c>
      <c r="E123" s="22"/>
      <c r="F123" s="19"/>
      <c r="G123" s="26"/>
    </row>
    <row r="124" spans="1:7" ht="29.1" customHeight="1" x14ac:dyDescent="0.2">
      <c r="A124" s="22"/>
      <c r="B124" s="9" t="s">
        <v>544</v>
      </c>
      <c r="C124" s="25">
        <v>1198.1017999999999</v>
      </c>
      <c r="D124" s="25">
        <v>1197.9689000000001</v>
      </c>
      <c r="E124" s="22"/>
      <c r="F124" s="19"/>
      <c r="G124" s="26"/>
    </row>
    <row r="125" spans="1:7" ht="17.100000000000001" customHeight="1" x14ac:dyDescent="0.2">
      <c r="A125" s="22"/>
      <c r="B125" s="9" t="s">
        <v>102</v>
      </c>
      <c r="C125" s="25">
        <v>3197.3775999999998</v>
      </c>
      <c r="D125" s="25">
        <v>3215.2323000000001</v>
      </c>
      <c r="E125" s="22"/>
      <c r="F125" s="19"/>
      <c r="G125" s="26"/>
    </row>
    <row r="126" spans="1:7" ht="17.100000000000001" customHeight="1" x14ac:dyDescent="0.2">
      <c r="A126" s="22"/>
      <c r="B126" s="9" t="s">
        <v>138</v>
      </c>
      <c r="C126" s="25">
        <v>1238.2566999999999</v>
      </c>
      <c r="D126" s="25">
        <v>1245.1714999999999</v>
      </c>
      <c r="E126" s="22"/>
      <c r="F126" s="19"/>
      <c r="G126" s="26"/>
    </row>
    <row r="127" spans="1:7" ht="29.1" customHeight="1" x14ac:dyDescent="0.2">
      <c r="A127" s="22"/>
      <c r="B127" s="9" t="s">
        <v>555</v>
      </c>
      <c r="C127" s="25">
        <v>1015.7943</v>
      </c>
      <c r="D127" s="13"/>
      <c r="E127" s="22"/>
      <c r="F127" s="19"/>
      <c r="G127" s="26"/>
    </row>
    <row r="128" spans="1:7" ht="29.1" customHeight="1" x14ac:dyDescent="0.2">
      <c r="A128" s="22"/>
      <c r="B128" s="9" t="s">
        <v>556</v>
      </c>
      <c r="C128" s="25">
        <v>1010.1386</v>
      </c>
      <c r="D128" s="13"/>
      <c r="E128" s="22"/>
      <c r="F128" s="19"/>
      <c r="G128" s="26"/>
    </row>
    <row r="129" spans="1:7" ht="29.1" customHeight="1" x14ac:dyDescent="0.2">
      <c r="A129" s="22"/>
      <c r="B129" s="9" t="s">
        <v>557</v>
      </c>
      <c r="C129" s="25">
        <v>1086.2437</v>
      </c>
      <c r="D129" s="13"/>
      <c r="E129" s="22"/>
      <c r="F129" s="19"/>
      <c r="G129" s="26"/>
    </row>
    <row r="130" spans="1:7" ht="29.1" customHeight="1" x14ac:dyDescent="0.2">
      <c r="A130" s="22"/>
      <c r="B130" s="9" t="s">
        <v>547</v>
      </c>
      <c r="C130" s="25">
        <v>1087.8738000000001</v>
      </c>
      <c r="D130" s="25">
        <v>1088.3974000000001</v>
      </c>
      <c r="E130" s="22"/>
      <c r="F130" s="19"/>
      <c r="G130" s="26"/>
    </row>
    <row r="131" spans="1:7" ht="29.1" customHeight="1" x14ac:dyDescent="0.2">
      <c r="A131" s="22"/>
      <c r="B131" s="9" t="s">
        <v>548</v>
      </c>
      <c r="C131" s="25">
        <v>1165.5119</v>
      </c>
      <c r="D131" s="25">
        <v>1164.4861000000001</v>
      </c>
      <c r="E131" s="22"/>
      <c r="F131" s="19"/>
      <c r="G131" s="26"/>
    </row>
    <row r="132" spans="1:7" ht="14.1" customHeight="1" x14ac:dyDescent="0.2">
      <c r="A132" s="22"/>
      <c r="B132" s="22"/>
      <c r="C132" s="22"/>
      <c r="D132" s="22"/>
      <c r="E132" s="22"/>
      <c r="F132" s="22"/>
      <c r="G132" s="22"/>
    </row>
    <row r="133" spans="1:7" ht="17.100000000000001" customHeight="1" x14ac:dyDescent="0.2">
      <c r="A133" s="22"/>
      <c r="B133" s="117" t="s">
        <v>551</v>
      </c>
      <c r="C133" s="118"/>
      <c r="D133" s="2" t="s">
        <v>12</v>
      </c>
      <c r="E133" s="22"/>
      <c r="F133" s="22"/>
      <c r="G133" s="22"/>
    </row>
    <row r="134" spans="1:7" ht="18" customHeight="1" x14ac:dyDescent="0.2">
      <c r="A134" s="22"/>
      <c r="B134" s="27" t="s">
        <v>99</v>
      </c>
      <c r="C134" s="28" t="s">
        <v>103</v>
      </c>
      <c r="D134" s="28" t="s">
        <v>104</v>
      </c>
      <c r="E134" s="22"/>
      <c r="F134" s="22"/>
      <c r="G134" s="22"/>
    </row>
    <row r="135" spans="1:7" ht="29.1" customHeight="1" x14ac:dyDescent="0.2">
      <c r="A135" s="22"/>
      <c r="B135" s="9" t="s">
        <v>552</v>
      </c>
      <c r="C135" s="29">
        <v>5.8287319999999996</v>
      </c>
      <c r="D135" s="29">
        <v>5.8287319999999996</v>
      </c>
      <c r="E135" s="22"/>
      <c r="F135" s="19"/>
      <c r="G135" s="26"/>
    </row>
    <row r="136" spans="1:7" ht="29.1" customHeight="1" x14ac:dyDescent="0.2">
      <c r="A136" s="22"/>
      <c r="B136" s="9" t="s">
        <v>553</v>
      </c>
      <c r="C136" s="29">
        <v>4.4965000000000002</v>
      </c>
      <c r="D136" s="13" t="s">
        <v>105</v>
      </c>
      <c r="E136" s="22"/>
      <c r="F136" s="19"/>
      <c r="G136" s="26"/>
    </row>
    <row r="137" spans="1:7" ht="29.1" customHeight="1" x14ac:dyDescent="0.2">
      <c r="A137" s="22"/>
      <c r="B137" s="9" t="s">
        <v>558</v>
      </c>
      <c r="C137" s="29">
        <v>4.3898999999999999</v>
      </c>
      <c r="D137" s="13" t="s">
        <v>105</v>
      </c>
      <c r="E137" s="22"/>
      <c r="F137" s="19"/>
      <c r="G137" s="26"/>
    </row>
    <row r="138" spans="1:7" ht="29.1" customHeight="1" x14ac:dyDescent="0.2">
      <c r="A138" s="22"/>
      <c r="B138" s="9" t="s">
        <v>543</v>
      </c>
      <c r="C138" s="29">
        <v>6.1932</v>
      </c>
      <c r="D138" s="29">
        <v>6.1932</v>
      </c>
      <c r="E138" s="22"/>
      <c r="F138" s="19"/>
      <c r="G138" s="26"/>
    </row>
    <row r="139" spans="1:7" ht="29.1" customHeight="1" x14ac:dyDescent="0.2">
      <c r="A139" s="22"/>
      <c r="B139" s="9" t="s">
        <v>544</v>
      </c>
      <c r="C139" s="29">
        <v>7.5</v>
      </c>
      <c r="D139" s="29">
        <v>7.5</v>
      </c>
      <c r="E139" s="22"/>
      <c r="F139" s="19"/>
      <c r="G139" s="26"/>
    </row>
    <row r="140" spans="1:7" ht="29.1" customHeight="1" x14ac:dyDescent="0.2">
      <c r="A140" s="22"/>
      <c r="B140" s="9" t="s">
        <v>555</v>
      </c>
      <c r="C140" s="29">
        <v>5.303007</v>
      </c>
      <c r="D140" s="29">
        <v>5.303007</v>
      </c>
      <c r="E140" s="22"/>
      <c r="F140" s="19"/>
      <c r="G140" s="26"/>
    </row>
    <row r="141" spans="1:7" ht="29.1" customHeight="1" x14ac:dyDescent="0.2">
      <c r="A141" s="22"/>
      <c r="B141" s="9" t="s">
        <v>556</v>
      </c>
      <c r="C141" s="29">
        <v>3.75</v>
      </c>
      <c r="D141" s="29">
        <v>3.75</v>
      </c>
      <c r="E141" s="22"/>
      <c r="F141" s="19"/>
      <c r="G141" s="26"/>
    </row>
    <row r="142" spans="1:7" ht="29.1" customHeight="1" x14ac:dyDescent="0.2">
      <c r="A142" s="22"/>
      <c r="B142" s="9" t="s">
        <v>557</v>
      </c>
      <c r="C142" s="29">
        <v>3.9011</v>
      </c>
      <c r="D142" s="13" t="s">
        <v>105</v>
      </c>
      <c r="E142" s="22"/>
      <c r="F142" s="19"/>
      <c r="G142" s="26"/>
    </row>
    <row r="143" spans="1:7" ht="29.1" customHeight="1" x14ac:dyDescent="0.2">
      <c r="A143" s="22"/>
      <c r="B143" s="9" t="s">
        <v>547</v>
      </c>
      <c r="C143" s="29">
        <v>5.5366</v>
      </c>
      <c r="D143" s="29">
        <v>5.5366</v>
      </c>
      <c r="E143" s="22"/>
      <c r="F143" s="19"/>
      <c r="G143" s="26"/>
    </row>
    <row r="144" spans="1:7" ht="29.1" customHeight="1" x14ac:dyDescent="0.2">
      <c r="A144" s="22"/>
      <c r="B144" s="9" t="s">
        <v>548</v>
      </c>
      <c r="C144" s="29">
        <v>7.5</v>
      </c>
      <c r="D144" s="29">
        <v>7.5</v>
      </c>
      <c r="E144" s="22"/>
      <c r="F144" s="19"/>
      <c r="G144" s="26"/>
    </row>
    <row r="145" spans="1:17" ht="14.1" customHeight="1" x14ac:dyDescent="0.2">
      <c r="A145" s="55"/>
      <c r="B145" s="47"/>
      <c r="C145" s="47"/>
      <c r="D145" s="55"/>
      <c r="E145" s="55"/>
      <c r="F145" s="55"/>
      <c r="G145" s="55"/>
      <c r="O145" s="59"/>
      <c r="P145" s="60"/>
      <c r="Q145" s="60"/>
    </row>
    <row r="146" spans="1:17" s="60" customFormat="1" ht="17.100000000000001" customHeight="1" x14ac:dyDescent="0.2">
      <c r="A146" s="58"/>
      <c r="B146" s="112" t="s">
        <v>514</v>
      </c>
      <c r="C146" s="113"/>
      <c r="D146" s="52" t="s">
        <v>94</v>
      </c>
      <c r="G146" s="58"/>
      <c r="I146"/>
      <c r="J146" s="37"/>
      <c r="K146"/>
      <c r="L146" s="41"/>
      <c r="M146" s="41"/>
      <c r="N146" s="41"/>
      <c r="O146" s="59"/>
    </row>
    <row r="147" spans="1:17" s="60" customFormat="1" ht="29.1" customHeight="1" x14ac:dyDescent="0.2">
      <c r="A147" s="58"/>
      <c r="B147" s="112" t="s">
        <v>515</v>
      </c>
      <c r="C147" s="113"/>
      <c r="D147" s="52" t="s">
        <v>94</v>
      </c>
      <c r="E147" s="61"/>
      <c r="F147" s="58"/>
      <c r="G147" s="58"/>
      <c r="I147"/>
      <c r="J147" s="37"/>
      <c r="K147"/>
      <c r="L147" s="41"/>
      <c r="M147" s="41"/>
      <c r="N147" s="41"/>
      <c r="O147" s="59"/>
    </row>
    <row r="148" spans="1:17" s="60" customFormat="1" ht="29.1" customHeight="1" x14ac:dyDescent="0.2">
      <c r="A148" s="58"/>
      <c r="B148" s="112" t="s">
        <v>516</v>
      </c>
      <c r="C148" s="113"/>
      <c r="D148" s="52" t="s">
        <v>94</v>
      </c>
      <c r="E148" s="61"/>
      <c r="F148" s="58"/>
      <c r="G148" s="58"/>
      <c r="I148"/>
      <c r="J148" s="37"/>
      <c r="K148"/>
      <c r="L148" s="41"/>
      <c r="M148" s="41"/>
      <c r="N148" s="41"/>
      <c r="O148" s="59"/>
    </row>
    <row r="149" spans="1:17" s="60" customFormat="1" ht="17.100000000000001" customHeight="1" x14ac:dyDescent="0.2">
      <c r="A149" s="58"/>
      <c r="B149" s="112" t="s">
        <v>517</v>
      </c>
      <c r="C149" s="113"/>
      <c r="D149" s="52" t="s">
        <v>94</v>
      </c>
      <c r="E149" s="61"/>
      <c r="F149" s="58"/>
      <c r="G149" s="58"/>
      <c r="I149"/>
      <c r="J149" s="37"/>
      <c r="K149"/>
      <c r="L149" s="41"/>
      <c r="M149" s="41"/>
      <c r="N149" s="41"/>
      <c r="O149" s="59"/>
    </row>
    <row r="150" spans="1:17" s="60" customFormat="1" x14ac:dyDescent="0.2">
      <c r="I150"/>
      <c r="J150" s="37"/>
      <c r="K150"/>
      <c r="L150" s="41"/>
      <c r="M150" s="41"/>
      <c r="N150" s="41"/>
      <c r="O150" s="59"/>
    </row>
    <row r="151" spans="1:17" s="60" customFormat="1" x14ac:dyDescent="0.2">
      <c r="B151" s="78" t="s">
        <v>541</v>
      </c>
      <c r="C151" s="78"/>
      <c r="D151" s="78"/>
      <c r="E151" s="78"/>
      <c r="F151" s="78"/>
      <c r="G151" s="78"/>
      <c r="H151" s="78"/>
      <c r="I151"/>
      <c r="J151" s="37"/>
      <c r="K151"/>
      <c r="L151" s="41"/>
      <c r="M151" s="41"/>
      <c r="N151" s="41"/>
      <c r="O151" s="59"/>
    </row>
    <row r="152" spans="1:17" s="60" customFormat="1" x14ac:dyDescent="0.2">
      <c r="B152" s="79"/>
      <c r="C152" s="79"/>
      <c r="D152" s="79"/>
      <c r="E152" s="79"/>
      <c r="F152" s="79"/>
      <c r="G152" s="79"/>
      <c r="H152" s="79"/>
      <c r="I152"/>
      <c r="J152" s="37"/>
      <c r="K152"/>
      <c r="L152" s="41"/>
      <c r="M152" s="41"/>
      <c r="N152" s="41"/>
      <c r="O152" s="59"/>
    </row>
    <row r="153" spans="1:17" s="60" customFormat="1" ht="51" x14ac:dyDescent="0.2">
      <c r="A153" s="88"/>
      <c r="B153" s="85" t="s">
        <v>532</v>
      </c>
      <c r="C153" s="85" t="s">
        <v>533</v>
      </c>
      <c r="D153" s="85" t="s">
        <v>520</v>
      </c>
      <c r="E153" s="85" t="s">
        <v>521</v>
      </c>
      <c r="F153" s="85" t="s">
        <v>534</v>
      </c>
      <c r="G153" s="79"/>
      <c r="H153" s="79"/>
      <c r="I153"/>
      <c r="J153" s="37"/>
      <c r="K153"/>
      <c r="L153" s="41"/>
      <c r="M153" s="41"/>
      <c r="N153" s="41"/>
      <c r="O153" s="59"/>
    </row>
    <row r="154" spans="1:17" s="60" customFormat="1" x14ac:dyDescent="0.2">
      <c r="A154" s="89"/>
      <c r="B154" s="81" t="s">
        <v>535</v>
      </c>
      <c r="C154" s="81" t="s">
        <v>536</v>
      </c>
      <c r="D154" s="82">
        <v>0</v>
      </c>
      <c r="E154" s="83">
        <v>0</v>
      </c>
      <c r="F154" s="84">
        <v>300</v>
      </c>
      <c r="G154" s="79"/>
      <c r="H154" s="79"/>
      <c r="I154"/>
      <c r="J154" s="37"/>
      <c r="K154"/>
      <c r="L154" s="41"/>
      <c r="M154" s="41"/>
      <c r="N154" s="41"/>
      <c r="O154" s="59"/>
    </row>
    <row r="155" spans="1:17" s="60" customFormat="1" x14ac:dyDescent="0.2">
      <c r="A155" s="90"/>
      <c r="B155" s="90"/>
      <c r="C155" s="90"/>
      <c r="D155" s="90"/>
      <c r="E155" s="90"/>
      <c r="F155" s="90"/>
      <c r="G155" s="90"/>
      <c r="I155"/>
      <c r="J155" s="37"/>
      <c r="K155"/>
      <c r="L155" s="41"/>
      <c r="M155" s="41"/>
      <c r="N155" s="41"/>
      <c r="O155" s="59"/>
    </row>
    <row r="156" spans="1:17" s="60" customFormat="1" x14ac:dyDescent="0.2">
      <c r="B156" s="109" t="s">
        <v>504</v>
      </c>
      <c r="C156" s="110"/>
      <c r="D156" s="111"/>
      <c r="I156"/>
      <c r="J156" s="37"/>
      <c r="K156"/>
      <c r="L156" s="41"/>
      <c r="M156" s="41"/>
      <c r="N156" s="41"/>
      <c r="O156" s="59"/>
    </row>
    <row r="157" spans="1:17" s="60" customFormat="1" ht="25.5" x14ac:dyDescent="0.2">
      <c r="B157" s="103" t="s">
        <v>505</v>
      </c>
      <c r="C157" s="103"/>
      <c r="D157" s="62" t="s">
        <v>189</v>
      </c>
      <c r="I157"/>
      <c r="J157" s="37"/>
      <c r="K157"/>
      <c r="L157" s="41"/>
      <c r="M157" s="41"/>
      <c r="N157" s="41"/>
      <c r="O157" s="59"/>
    </row>
    <row r="158" spans="1:17" s="60" customFormat="1" x14ac:dyDescent="0.2">
      <c r="B158" s="103" t="s">
        <v>506</v>
      </c>
      <c r="C158" s="103"/>
      <c r="D158" s="63"/>
      <c r="I158"/>
      <c r="J158" s="37"/>
      <c r="K158" s="41"/>
      <c r="L158" s="41"/>
      <c r="M158" s="41"/>
      <c r="N158" s="41"/>
      <c r="O158" s="59"/>
    </row>
    <row r="159" spans="1:17" s="60" customFormat="1" x14ac:dyDescent="0.2">
      <c r="B159" s="103"/>
      <c r="C159" s="103"/>
      <c r="D159" s="64"/>
      <c r="I159"/>
      <c r="J159" s="37"/>
      <c r="K159"/>
      <c r="L159" s="41"/>
      <c r="M159" s="41"/>
      <c r="N159" s="41"/>
      <c r="O159" s="59"/>
    </row>
    <row r="160" spans="1:17" s="60" customFormat="1" x14ac:dyDescent="0.2">
      <c r="B160" s="103" t="s">
        <v>507</v>
      </c>
      <c r="C160" s="103"/>
      <c r="D160" s="65">
        <v>7.8354994540877652</v>
      </c>
      <c r="I160"/>
      <c r="J160" s="37"/>
      <c r="K160"/>
      <c r="L160" s="41"/>
      <c r="M160" s="41"/>
      <c r="N160" s="41"/>
      <c r="O160" s="59"/>
    </row>
    <row r="161" spans="2:17" s="60" customFormat="1" x14ac:dyDescent="0.2">
      <c r="B161" s="103"/>
      <c r="C161" s="103"/>
      <c r="D161" s="64"/>
      <c r="I161"/>
      <c r="J161" s="37"/>
      <c r="K161"/>
      <c r="L161" s="41"/>
      <c r="M161" s="41"/>
      <c r="N161" s="41"/>
      <c r="O161" s="59"/>
      <c r="P161"/>
      <c r="Q161"/>
    </row>
    <row r="162" spans="2:17" s="60" customFormat="1" x14ac:dyDescent="0.2">
      <c r="B162" s="103" t="s">
        <v>530</v>
      </c>
      <c r="C162" s="103"/>
      <c r="D162" s="65">
        <v>1.0353098314067157</v>
      </c>
      <c r="I162"/>
      <c r="J162" s="37"/>
      <c r="K162"/>
      <c r="L162" s="41"/>
      <c r="M162" s="41"/>
      <c r="N162" s="41"/>
      <c r="O162" s="59"/>
      <c r="P162"/>
      <c r="Q162"/>
    </row>
    <row r="163" spans="2:17" s="60" customFormat="1" x14ac:dyDescent="0.2">
      <c r="B163" s="103" t="s">
        <v>531</v>
      </c>
      <c r="C163" s="103"/>
      <c r="D163" s="65">
        <v>1.209155996599893</v>
      </c>
      <c r="I163"/>
      <c r="J163" s="37"/>
      <c r="K163" s="41"/>
      <c r="L163" s="41"/>
      <c r="M163" s="41"/>
      <c r="N163" s="41"/>
      <c r="O163"/>
      <c r="P163"/>
      <c r="Q163"/>
    </row>
    <row r="164" spans="2:17" s="60" customFormat="1" x14ac:dyDescent="0.2">
      <c r="B164" s="103"/>
      <c r="C164" s="103"/>
      <c r="D164" s="64"/>
      <c r="I164"/>
      <c r="J164" s="37"/>
      <c r="K164" s="41"/>
      <c r="L164" s="41"/>
      <c r="M164" s="41"/>
      <c r="N164" s="41"/>
      <c r="O164"/>
      <c r="P164"/>
      <c r="Q164"/>
    </row>
    <row r="165" spans="2:17" s="60" customFormat="1" x14ac:dyDescent="0.2">
      <c r="B165" s="103" t="s">
        <v>510</v>
      </c>
      <c r="C165" s="103"/>
      <c r="D165" s="66">
        <v>45473</v>
      </c>
      <c r="I165"/>
      <c r="J165" s="37"/>
      <c r="K165" s="41"/>
      <c r="L165" s="41"/>
      <c r="M165" s="41"/>
      <c r="N165" s="41"/>
      <c r="O165"/>
      <c r="P165"/>
      <c r="Q165"/>
    </row>
    <row r="166" spans="2:17" s="60" customFormat="1" x14ac:dyDescent="0.2">
      <c r="B166" s="104" t="s">
        <v>511</v>
      </c>
      <c r="C166" s="106"/>
      <c r="D166" s="105"/>
      <c r="I166"/>
      <c r="J166" s="37"/>
      <c r="K166" s="41"/>
      <c r="L166" s="41"/>
      <c r="M166" s="41"/>
      <c r="N166" s="41"/>
      <c r="O166"/>
      <c r="P166"/>
      <c r="Q166"/>
    </row>
    <row r="167" spans="2:17" x14ac:dyDescent="0.2">
      <c r="K167" s="41"/>
    </row>
    <row r="168" spans="2:17" x14ac:dyDescent="0.2">
      <c r="K168" s="41"/>
    </row>
    <row r="169" spans="2:17" x14ac:dyDescent="0.2">
      <c r="K169" s="41"/>
    </row>
    <row r="170" spans="2:17" x14ac:dyDescent="0.2">
      <c r="K170" s="41"/>
    </row>
    <row r="171" spans="2:17" x14ac:dyDescent="0.2">
      <c r="K171" s="41"/>
    </row>
    <row r="172" spans="2:17" x14ac:dyDescent="0.2">
      <c r="K172" s="41"/>
    </row>
    <row r="173" spans="2:17" x14ac:dyDescent="0.2">
      <c r="K173" s="41"/>
    </row>
    <row r="174" spans="2:17" x14ac:dyDescent="0.2">
      <c r="K174" s="41"/>
    </row>
    <row r="175" spans="2:17" x14ac:dyDescent="0.2">
      <c r="K175" s="41"/>
    </row>
    <row r="176" spans="2:17" x14ac:dyDescent="0.2">
      <c r="K176" s="41"/>
    </row>
    <row r="177" spans="11:11" x14ac:dyDescent="0.2">
      <c r="K177" s="41"/>
    </row>
    <row r="178" spans="11:11" x14ac:dyDescent="0.2">
      <c r="K178" s="41"/>
    </row>
  </sheetData>
  <mergeCells count="26">
    <mergeCell ref="B111:H111"/>
    <mergeCell ref="B147:C147"/>
    <mergeCell ref="B148:C148"/>
    <mergeCell ref="B149:C149"/>
    <mergeCell ref="B113:D113"/>
    <mergeCell ref="B114:C114"/>
    <mergeCell ref="B115:C115"/>
    <mergeCell ref="B116:C116"/>
    <mergeCell ref="B146:C146"/>
    <mergeCell ref="B133:C133"/>
    <mergeCell ref="A1:H1"/>
    <mergeCell ref="A2:H2"/>
    <mergeCell ref="A3:H3"/>
    <mergeCell ref="B109:H109"/>
    <mergeCell ref="B110:H110"/>
    <mergeCell ref="B156:D156"/>
    <mergeCell ref="B157:C157"/>
    <mergeCell ref="B158:C158"/>
    <mergeCell ref="B159:C159"/>
    <mergeCell ref="B160:C160"/>
    <mergeCell ref="B166:D166"/>
    <mergeCell ref="B161:C161"/>
    <mergeCell ref="B162:C162"/>
    <mergeCell ref="B163:C163"/>
    <mergeCell ref="B164:C164"/>
    <mergeCell ref="B165:C165"/>
  </mergeCells>
  <hyperlinks>
    <hyperlink ref="I1" location="Index!B5" display="Index" xr:uid="{4DAE1490-6173-4923-82FC-651E5FDFD5B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0063F-A3BC-4DC6-93B7-504C5CF2657A}">
  <sheetPr>
    <outlinePr summaryBelow="0" summaryRight="0"/>
  </sheetPr>
  <dimension ref="A1:R204"/>
  <sheetViews>
    <sheetView showGridLines="0" workbookViewId="0">
      <selection activeCell="J28" sqref="J28"/>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50.7109375" style="37" customWidth="1"/>
  </cols>
  <sheetData>
    <row r="1" spans="1:11" ht="18" customHeight="1" x14ac:dyDescent="0.2">
      <c r="A1" s="107" t="s">
        <v>0</v>
      </c>
      <c r="B1" s="107"/>
      <c r="C1" s="107"/>
      <c r="D1" s="107"/>
      <c r="E1" s="107"/>
      <c r="F1" s="107"/>
      <c r="G1" s="107"/>
      <c r="H1" s="107"/>
      <c r="I1" s="92" t="s">
        <v>560</v>
      </c>
    </row>
    <row r="2" spans="1:11" ht="17.100000000000001" customHeight="1" x14ac:dyDescent="0.2">
      <c r="A2" s="107" t="s">
        <v>235</v>
      </c>
      <c r="B2" s="107"/>
      <c r="C2" s="107"/>
      <c r="D2" s="107"/>
      <c r="E2" s="107"/>
      <c r="F2" s="107"/>
      <c r="G2" s="107"/>
      <c r="H2" s="107"/>
      <c r="J2" s="93" t="s">
        <v>561</v>
      </c>
    </row>
    <row r="3" spans="1:11" ht="21" customHeight="1" x14ac:dyDescent="0.2">
      <c r="A3" s="107" t="s">
        <v>588</v>
      </c>
      <c r="B3" s="107"/>
      <c r="C3" s="107"/>
      <c r="D3" s="107"/>
      <c r="E3" s="107"/>
      <c r="F3" s="107"/>
      <c r="G3" s="107"/>
      <c r="H3" s="107"/>
    </row>
    <row r="4" spans="1:11" ht="30" x14ac:dyDescent="0.2">
      <c r="A4" s="53" t="s">
        <v>2</v>
      </c>
      <c r="B4" s="53" t="s">
        <v>3</v>
      </c>
      <c r="C4" s="53" t="s">
        <v>4</v>
      </c>
      <c r="D4" s="53" t="s">
        <v>5</v>
      </c>
      <c r="E4" s="53" t="s">
        <v>6</v>
      </c>
      <c r="F4" s="53" t="s">
        <v>7</v>
      </c>
      <c r="G4" s="53" t="s">
        <v>8</v>
      </c>
      <c r="H4" s="51" t="s">
        <v>559</v>
      </c>
      <c r="I4" s="94"/>
      <c r="K4" s="94"/>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5"/>
    </row>
    <row r="13" spans="1:11" ht="14.1" customHeight="1" x14ac:dyDescent="0.2">
      <c r="A13" s="1"/>
      <c r="B13" s="1"/>
      <c r="C13" s="2" t="s">
        <v>11</v>
      </c>
      <c r="D13" s="1"/>
      <c r="E13" s="1" t="s">
        <v>12</v>
      </c>
      <c r="F13" s="3" t="s">
        <v>13</v>
      </c>
      <c r="G13" s="4">
        <v>0</v>
      </c>
      <c r="H13" s="36"/>
      <c r="J13" s="96"/>
    </row>
    <row r="14" spans="1:11" ht="14.1" customHeight="1" x14ac:dyDescent="0.2">
      <c r="A14" s="1"/>
      <c r="B14" s="1"/>
      <c r="C14" s="5"/>
      <c r="D14" s="1"/>
      <c r="E14" s="1"/>
      <c r="F14" s="6"/>
      <c r="G14" s="6"/>
      <c r="H14" s="36"/>
    </row>
    <row r="15" spans="1:11" ht="14.1" customHeight="1" x14ac:dyDescent="0.2">
      <c r="A15" s="1"/>
      <c r="B15" s="1"/>
      <c r="C15" s="2" t="s">
        <v>16</v>
      </c>
      <c r="D15" s="1"/>
      <c r="E15" s="1"/>
      <c r="F15" s="1"/>
      <c r="G15" s="1"/>
      <c r="H15" s="36"/>
      <c r="J15" s="96" t="s">
        <v>571</v>
      </c>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5"/>
    </row>
    <row r="23" spans="1:10" ht="14.1" customHeight="1" x14ac:dyDescent="0.2">
      <c r="A23" s="1"/>
      <c r="B23" s="1"/>
      <c r="C23" s="5"/>
      <c r="D23" s="1"/>
      <c r="E23" s="1"/>
      <c r="F23" s="6"/>
      <c r="G23" s="6"/>
      <c r="H23" s="36"/>
      <c r="J23" s="96"/>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row>
    <row r="28" spans="1:10" ht="29.1" customHeight="1" x14ac:dyDescent="0.2">
      <c r="A28" s="8">
        <v>1</v>
      </c>
      <c r="B28" s="9" t="s">
        <v>236</v>
      </c>
      <c r="C28" s="9" t="s">
        <v>237</v>
      </c>
      <c r="D28" s="9" t="s">
        <v>23</v>
      </c>
      <c r="E28" s="10">
        <v>1000</v>
      </c>
      <c r="F28" s="11">
        <v>10013.030000000001</v>
      </c>
      <c r="G28" s="12">
        <v>1.8269090000000002E-2</v>
      </c>
      <c r="H28" s="36">
        <v>7.58</v>
      </c>
      <c r="J28" s="96" t="s">
        <v>572</v>
      </c>
    </row>
    <row r="29" spans="1:10" ht="29.1" customHeight="1" x14ac:dyDescent="0.2">
      <c r="A29" s="8">
        <v>2</v>
      </c>
      <c r="B29" s="9" t="s">
        <v>238</v>
      </c>
      <c r="C29" s="9" t="s">
        <v>239</v>
      </c>
      <c r="D29" s="9" t="s">
        <v>32</v>
      </c>
      <c r="E29" s="10">
        <v>750</v>
      </c>
      <c r="F29" s="11">
        <v>7494.06</v>
      </c>
      <c r="G29" s="12">
        <v>1.367315E-2</v>
      </c>
      <c r="H29" s="36">
        <v>7.22</v>
      </c>
    </row>
    <row r="30" spans="1:10" ht="14.1" customHeight="1" x14ac:dyDescent="0.2">
      <c r="A30" s="1"/>
      <c r="B30" s="1"/>
      <c r="C30" s="2" t="s">
        <v>11</v>
      </c>
      <c r="D30" s="1"/>
      <c r="E30" s="1" t="s">
        <v>12</v>
      </c>
      <c r="F30" s="7">
        <v>17507.09</v>
      </c>
      <c r="G30" s="4">
        <v>3.1942239999999997E-2</v>
      </c>
      <c r="H30" s="36"/>
    </row>
    <row r="31" spans="1:10" ht="14.1" customHeight="1" x14ac:dyDescent="0.2">
      <c r="A31" s="1"/>
      <c r="B31" s="1"/>
      <c r="C31" s="5"/>
      <c r="D31" s="1"/>
      <c r="E31" s="1"/>
      <c r="F31" s="6"/>
      <c r="G31" s="6"/>
      <c r="H31" s="36"/>
    </row>
    <row r="32" spans="1:10" ht="14.1" customHeight="1" x14ac:dyDescent="0.2">
      <c r="A32" s="1"/>
      <c r="B32" s="1"/>
      <c r="C32" s="2" t="s">
        <v>63</v>
      </c>
      <c r="D32" s="1"/>
      <c r="E32" s="1"/>
      <c r="F32" s="1"/>
      <c r="G32" s="1"/>
      <c r="H32" s="36"/>
    </row>
    <row r="33" spans="1:8" ht="14.1" customHeight="1" x14ac:dyDescent="0.2">
      <c r="A33" s="1"/>
      <c r="B33" s="1"/>
      <c r="C33" s="2" t="s">
        <v>11</v>
      </c>
      <c r="D33" s="1"/>
      <c r="E33" s="1" t="s">
        <v>12</v>
      </c>
      <c r="F33" s="3" t="s">
        <v>13</v>
      </c>
      <c r="G33" s="4">
        <v>0</v>
      </c>
      <c r="H33" s="36"/>
    </row>
    <row r="34" spans="1:8" ht="14.1" customHeight="1" x14ac:dyDescent="0.2">
      <c r="A34" s="1"/>
      <c r="B34" s="1"/>
      <c r="C34" s="5"/>
      <c r="D34" s="1"/>
      <c r="E34" s="1"/>
      <c r="F34" s="6"/>
      <c r="G34" s="6"/>
      <c r="H34" s="36"/>
    </row>
    <row r="35" spans="1:8" ht="14.1" customHeight="1" x14ac:dyDescent="0.2">
      <c r="A35" s="1"/>
      <c r="B35" s="1"/>
      <c r="C35" s="2" t="s">
        <v>64</v>
      </c>
      <c r="D35" s="1"/>
      <c r="E35" s="1"/>
      <c r="F35" s="1"/>
      <c r="G35" s="1"/>
      <c r="H35" s="36"/>
    </row>
    <row r="36" spans="1:8" ht="14.1" customHeight="1" x14ac:dyDescent="0.2">
      <c r="A36" s="1"/>
      <c r="B36" s="1"/>
      <c r="C36" s="2" t="s">
        <v>11</v>
      </c>
      <c r="D36" s="1"/>
      <c r="E36" s="1" t="s">
        <v>12</v>
      </c>
      <c r="F36" s="3" t="s">
        <v>13</v>
      </c>
      <c r="G36" s="4">
        <v>0</v>
      </c>
      <c r="H36" s="36"/>
    </row>
    <row r="37" spans="1:8" ht="14.1" customHeight="1" x14ac:dyDescent="0.2">
      <c r="A37" s="1"/>
      <c r="B37" s="1"/>
      <c r="C37" s="5"/>
      <c r="D37" s="1"/>
      <c r="E37" s="1"/>
      <c r="F37" s="6"/>
      <c r="G37" s="6"/>
      <c r="H37" s="36"/>
    </row>
    <row r="38" spans="1:8" ht="14.1" customHeight="1" x14ac:dyDescent="0.2">
      <c r="A38" s="1"/>
      <c r="B38" s="1"/>
      <c r="C38" s="2" t="s">
        <v>74</v>
      </c>
      <c r="D38" s="1"/>
      <c r="E38" s="1"/>
      <c r="F38" s="6"/>
      <c r="G38" s="6"/>
      <c r="H38" s="36"/>
    </row>
    <row r="39" spans="1:8" ht="14.1" customHeight="1" x14ac:dyDescent="0.2">
      <c r="A39" s="1"/>
      <c r="B39" s="1"/>
      <c r="C39" s="2" t="s">
        <v>11</v>
      </c>
      <c r="D39" s="1"/>
      <c r="E39" s="1" t="s">
        <v>12</v>
      </c>
      <c r="F39" s="3" t="s">
        <v>13</v>
      </c>
      <c r="G39" s="4">
        <v>0</v>
      </c>
      <c r="H39" s="36"/>
    </row>
    <row r="40" spans="1:8" ht="14.1" customHeight="1" x14ac:dyDescent="0.2">
      <c r="A40" s="1"/>
      <c r="B40" s="1"/>
      <c r="C40" s="5"/>
      <c r="D40" s="1"/>
      <c r="E40" s="1"/>
      <c r="F40" s="6"/>
      <c r="G40" s="6"/>
      <c r="H40" s="36"/>
    </row>
    <row r="41" spans="1:8" ht="14.1" customHeight="1" x14ac:dyDescent="0.2">
      <c r="A41" s="1"/>
      <c r="B41" s="1"/>
      <c r="C41" s="2" t="s">
        <v>75</v>
      </c>
      <c r="D41" s="1"/>
      <c r="E41" s="1"/>
      <c r="F41" s="7">
        <v>17507.09</v>
      </c>
      <c r="G41" s="4">
        <v>3.1942239999999997E-2</v>
      </c>
      <c r="H41" s="36"/>
    </row>
    <row r="42" spans="1:8" ht="14.1" customHeight="1" x14ac:dyDescent="0.2">
      <c r="A42" s="1"/>
      <c r="B42" s="1"/>
      <c r="C42" s="5"/>
      <c r="D42" s="1"/>
      <c r="E42" s="1"/>
      <c r="F42" s="6"/>
      <c r="G42" s="6"/>
      <c r="H42" s="36"/>
    </row>
    <row r="43" spans="1:8" ht="14.1" customHeight="1" x14ac:dyDescent="0.2">
      <c r="A43" s="1"/>
      <c r="B43" s="1"/>
      <c r="C43" s="2" t="s">
        <v>76</v>
      </c>
      <c r="D43" s="1"/>
      <c r="E43" s="1"/>
      <c r="F43" s="6"/>
      <c r="G43" s="6"/>
      <c r="H43" s="36"/>
    </row>
    <row r="44" spans="1:8" ht="14.1" customHeight="1" x14ac:dyDescent="0.2">
      <c r="A44" s="1"/>
      <c r="B44" s="1"/>
      <c r="C44" s="2" t="s">
        <v>77</v>
      </c>
      <c r="D44" s="1"/>
      <c r="E44" s="1"/>
      <c r="F44" s="6"/>
      <c r="G44" s="6"/>
      <c r="H44" s="36"/>
    </row>
    <row r="45" spans="1:8" ht="17.100000000000001" customHeight="1" x14ac:dyDescent="0.2">
      <c r="A45" s="8">
        <v>1</v>
      </c>
      <c r="B45" s="9" t="s">
        <v>240</v>
      </c>
      <c r="C45" s="9" t="s">
        <v>241</v>
      </c>
      <c r="D45" s="9" t="s">
        <v>135</v>
      </c>
      <c r="E45" s="10">
        <v>3500</v>
      </c>
      <c r="F45" s="11">
        <v>17330.267500000002</v>
      </c>
      <c r="G45" s="12">
        <v>3.1619620000000001E-2</v>
      </c>
      <c r="H45" s="36">
        <v>7.1501999999999999</v>
      </c>
    </row>
    <row r="46" spans="1:8" ht="17.100000000000001" customHeight="1" x14ac:dyDescent="0.2">
      <c r="A46" s="8">
        <v>2</v>
      </c>
      <c r="B46" s="9" t="s">
        <v>242</v>
      </c>
      <c r="C46" s="9" t="s">
        <v>243</v>
      </c>
      <c r="D46" s="9" t="s">
        <v>135</v>
      </c>
      <c r="E46" s="10">
        <v>3500</v>
      </c>
      <c r="F46" s="11">
        <v>17285.834999999999</v>
      </c>
      <c r="G46" s="12">
        <v>3.1538549999999999E-2</v>
      </c>
      <c r="H46" s="36">
        <v>7.1786000000000003</v>
      </c>
    </row>
    <row r="47" spans="1:8" ht="17.100000000000001" customHeight="1" x14ac:dyDescent="0.2">
      <c r="A47" s="8">
        <v>3</v>
      </c>
      <c r="B47" s="9" t="s">
        <v>244</v>
      </c>
      <c r="C47" s="9" t="s">
        <v>245</v>
      </c>
      <c r="D47" s="9" t="s">
        <v>135</v>
      </c>
      <c r="E47" s="10">
        <v>3000</v>
      </c>
      <c r="F47" s="11">
        <v>14932.695</v>
      </c>
      <c r="G47" s="12">
        <v>2.7245169999999999E-2</v>
      </c>
      <c r="H47" s="36">
        <v>7.1536</v>
      </c>
    </row>
    <row r="48" spans="1:8" ht="17.100000000000001" customHeight="1" x14ac:dyDescent="0.2">
      <c r="A48" s="8">
        <v>4</v>
      </c>
      <c r="B48" s="9" t="s">
        <v>246</v>
      </c>
      <c r="C48" s="9" t="s">
        <v>247</v>
      </c>
      <c r="D48" s="9" t="s">
        <v>135</v>
      </c>
      <c r="E48" s="10">
        <v>3000</v>
      </c>
      <c r="F48" s="11">
        <v>14926.89</v>
      </c>
      <c r="G48" s="12">
        <v>2.7234580000000001E-2</v>
      </c>
      <c r="H48" s="36">
        <v>7.1513999999999998</v>
      </c>
    </row>
    <row r="49" spans="1:8" ht="17.100000000000001" customHeight="1" x14ac:dyDescent="0.2">
      <c r="A49" s="8">
        <v>5</v>
      </c>
      <c r="B49" s="9" t="s">
        <v>248</v>
      </c>
      <c r="C49" s="9" t="s">
        <v>249</v>
      </c>
      <c r="D49" s="9" t="s">
        <v>135</v>
      </c>
      <c r="E49" s="10">
        <v>3000</v>
      </c>
      <c r="F49" s="11">
        <v>14791.38</v>
      </c>
      <c r="G49" s="12">
        <v>2.6987339999999999E-2</v>
      </c>
      <c r="H49" s="36">
        <v>7.1498999999999997</v>
      </c>
    </row>
    <row r="50" spans="1:8" ht="17.100000000000001" customHeight="1" x14ac:dyDescent="0.2">
      <c r="A50" s="8">
        <v>6</v>
      </c>
      <c r="B50" s="9" t="s">
        <v>250</v>
      </c>
      <c r="C50" s="9" t="s">
        <v>251</v>
      </c>
      <c r="D50" s="9" t="s">
        <v>135</v>
      </c>
      <c r="E50" s="10">
        <v>3000</v>
      </c>
      <c r="F50" s="11">
        <v>14785.815000000001</v>
      </c>
      <c r="G50" s="12">
        <v>2.6977190000000002E-2</v>
      </c>
      <c r="H50" s="36">
        <v>7.1449999999999996</v>
      </c>
    </row>
    <row r="51" spans="1:8" ht="17.100000000000001" customHeight="1" x14ac:dyDescent="0.2">
      <c r="A51" s="8">
        <v>7</v>
      </c>
      <c r="B51" s="9" t="s">
        <v>252</v>
      </c>
      <c r="C51" s="9" t="s">
        <v>253</v>
      </c>
      <c r="D51" s="9" t="s">
        <v>170</v>
      </c>
      <c r="E51" s="10">
        <v>3000</v>
      </c>
      <c r="F51" s="11">
        <v>14785.38</v>
      </c>
      <c r="G51" s="12">
        <v>2.6976389999999999E-2</v>
      </c>
      <c r="H51" s="36">
        <v>7.16</v>
      </c>
    </row>
    <row r="52" spans="1:8" ht="17.100000000000001" customHeight="1" x14ac:dyDescent="0.2">
      <c r="A52" s="8">
        <v>8</v>
      </c>
      <c r="B52" s="9" t="s">
        <v>254</v>
      </c>
      <c r="C52" s="9" t="s">
        <v>255</v>
      </c>
      <c r="D52" s="9" t="s">
        <v>144</v>
      </c>
      <c r="E52" s="10">
        <v>2000</v>
      </c>
      <c r="F52" s="11">
        <v>9910.57</v>
      </c>
      <c r="G52" s="12">
        <v>1.8082150000000002E-2</v>
      </c>
      <c r="H52" s="36">
        <v>7.1600999999999999</v>
      </c>
    </row>
    <row r="53" spans="1:8" ht="17.100000000000001" customHeight="1" x14ac:dyDescent="0.2">
      <c r="A53" s="8">
        <v>9</v>
      </c>
      <c r="B53" s="9" t="s">
        <v>256</v>
      </c>
      <c r="C53" s="9" t="s">
        <v>257</v>
      </c>
      <c r="D53" s="9" t="s">
        <v>170</v>
      </c>
      <c r="E53" s="10">
        <v>2000</v>
      </c>
      <c r="F53" s="11">
        <v>9897.1</v>
      </c>
      <c r="G53" s="12">
        <v>1.8057569999999998E-2</v>
      </c>
      <c r="H53" s="36">
        <v>7.16</v>
      </c>
    </row>
    <row r="54" spans="1:8" ht="17.100000000000001" customHeight="1" x14ac:dyDescent="0.2">
      <c r="A54" s="8">
        <v>10</v>
      </c>
      <c r="B54" s="9" t="s">
        <v>258</v>
      </c>
      <c r="C54" s="9" t="s">
        <v>259</v>
      </c>
      <c r="D54" s="9" t="s">
        <v>144</v>
      </c>
      <c r="E54" s="10">
        <v>2000</v>
      </c>
      <c r="F54" s="11">
        <v>9897.1</v>
      </c>
      <c r="G54" s="12">
        <v>1.8057569999999998E-2</v>
      </c>
      <c r="H54" s="36">
        <v>7.1600999999999999</v>
      </c>
    </row>
    <row r="55" spans="1:8" ht="17.100000000000001" customHeight="1" x14ac:dyDescent="0.2">
      <c r="A55" s="8">
        <v>11</v>
      </c>
      <c r="B55" s="9" t="s">
        <v>260</v>
      </c>
      <c r="C55" s="9" t="s">
        <v>261</v>
      </c>
      <c r="D55" s="9" t="s">
        <v>135</v>
      </c>
      <c r="E55" s="10">
        <v>2000</v>
      </c>
      <c r="F55" s="11">
        <v>9864.83</v>
      </c>
      <c r="G55" s="12">
        <v>1.7998690000000001E-2</v>
      </c>
      <c r="H55" s="36">
        <v>7.1449999999999996</v>
      </c>
    </row>
    <row r="56" spans="1:8" ht="17.100000000000001" customHeight="1" x14ac:dyDescent="0.2">
      <c r="A56" s="8">
        <v>12</v>
      </c>
      <c r="B56" s="9" t="s">
        <v>262</v>
      </c>
      <c r="C56" s="9" t="s">
        <v>263</v>
      </c>
      <c r="D56" s="9" t="s">
        <v>135</v>
      </c>
      <c r="E56" s="10">
        <v>1500</v>
      </c>
      <c r="F56" s="11">
        <v>7435.8824999999997</v>
      </c>
      <c r="G56" s="12">
        <v>1.3566999999999999E-2</v>
      </c>
      <c r="H56" s="36">
        <v>7.1527000000000003</v>
      </c>
    </row>
    <row r="57" spans="1:8" ht="17.100000000000001" customHeight="1" x14ac:dyDescent="0.2">
      <c r="A57" s="8">
        <v>13</v>
      </c>
      <c r="B57" s="9" t="s">
        <v>264</v>
      </c>
      <c r="C57" s="9" t="s">
        <v>265</v>
      </c>
      <c r="D57" s="9" t="s">
        <v>144</v>
      </c>
      <c r="E57" s="10">
        <v>1500</v>
      </c>
      <c r="F57" s="11">
        <v>7415.625</v>
      </c>
      <c r="G57" s="12">
        <v>1.353004E-2</v>
      </c>
      <c r="H57" s="36">
        <v>7.1600999999999999</v>
      </c>
    </row>
    <row r="58" spans="1:8" ht="17.100000000000001" customHeight="1" x14ac:dyDescent="0.2">
      <c r="A58" s="8">
        <v>14</v>
      </c>
      <c r="B58" s="9" t="s">
        <v>266</v>
      </c>
      <c r="C58" s="9" t="s">
        <v>267</v>
      </c>
      <c r="D58" s="9" t="s">
        <v>135</v>
      </c>
      <c r="E58" s="10">
        <v>1000</v>
      </c>
      <c r="F58" s="11">
        <v>4938.09</v>
      </c>
      <c r="G58" s="12">
        <v>9.0097000000000007E-3</v>
      </c>
      <c r="H58" s="36">
        <v>7.1501999999999999</v>
      </c>
    </row>
    <row r="59" spans="1:8" ht="17.100000000000001" customHeight="1" x14ac:dyDescent="0.2">
      <c r="A59" s="8">
        <v>15</v>
      </c>
      <c r="B59" s="9" t="s">
        <v>268</v>
      </c>
      <c r="C59" s="9" t="s">
        <v>269</v>
      </c>
      <c r="D59" s="9" t="s">
        <v>135</v>
      </c>
      <c r="E59" s="10">
        <v>1000</v>
      </c>
      <c r="F59" s="11">
        <v>4923.8</v>
      </c>
      <c r="G59" s="12">
        <v>8.9836299999999994E-3</v>
      </c>
      <c r="H59" s="36">
        <v>7.1501000000000001</v>
      </c>
    </row>
    <row r="60" spans="1:8" ht="17.100000000000001" customHeight="1" x14ac:dyDescent="0.2">
      <c r="A60" s="8">
        <v>16</v>
      </c>
      <c r="B60" s="9" t="s">
        <v>270</v>
      </c>
      <c r="C60" s="9" t="s">
        <v>271</v>
      </c>
      <c r="D60" s="9" t="s">
        <v>144</v>
      </c>
      <c r="E60" s="10">
        <v>1000</v>
      </c>
      <c r="F60" s="11">
        <v>4918.9449999999997</v>
      </c>
      <c r="G60" s="12">
        <v>8.97477E-3</v>
      </c>
      <c r="H60" s="36">
        <v>7.1600999999999999</v>
      </c>
    </row>
    <row r="61" spans="1:8" ht="17.100000000000001" customHeight="1" x14ac:dyDescent="0.2">
      <c r="A61" s="8">
        <v>17</v>
      </c>
      <c r="B61" s="9" t="s">
        <v>272</v>
      </c>
      <c r="C61" s="9" t="s">
        <v>273</v>
      </c>
      <c r="D61" s="9" t="s">
        <v>135</v>
      </c>
      <c r="E61" s="10">
        <v>500</v>
      </c>
      <c r="F61" s="11">
        <v>2481.0450000000001</v>
      </c>
      <c r="G61" s="12">
        <v>4.5267500000000004E-3</v>
      </c>
      <c r="H61" s="36">
        <v>7.1497999999999999</v>
      </c>
    </row>
    <row r="62" spans="1:8" ht="17.100000000000001" customHeight="1" x14ac:dyDescent="0.2">
      <c r="A62" s="8">
        <v>18</v>
      </c>
      <c r="B62" s="9" t="s">
        <v>274</v>
      </c>
      <c r="C62" s="9" t="s">
        <v>275</v>
      </c>
      <c r="D62" s="9" t="s">
        <v>170</v>
      </c>
      <c r="E62" s="10">
        <v>500</v>
      </c>
      <c r="F62" s="11">
        <v>2463.4274999999998</v>
      </c>
      <c r="G62" s="12">
        <v>4.4945999999999996E-3</v>
      </c>
      <c r="H62" s="36">
        <v>7.0374999999999996</v>
      </c>
    </row>
    <row r="63" spans="1:8" ht="14.1" customHeight="1" x14ac:dyDescent="0.2">
      <c r="A63" s="1"/>
      <c r="B63" s="1"/>
      <c r="C63" s="2" t="s">
        <v>11</v>
      </c>
      <c r="D63" s="1"/>
      <c r="E63" s="1" t="s">
        <v>12</v>
      </c>
      <c r="F63" s="7">
        <v>182984.67749999999</v>
      </c>
      <c r="G63" s="4">
        <v>0.33386131000000002</v>
      </c>
      <c r="H63" s="36"/>
    </row>
    <row r="64" spans="1:8" ht="14.1" customHeight="1" x14ac:dyDescent="0.2">
      <c r="A64" s="1"/>
      <c r="B64" s="1"/>
      <c r="C64" s="5"/>
      <c r="D64" s="1"/>
      <c r="E64" s="1"/>
      <c r="F64" s="6"/>
      <c r="G64" s="6"/>
      <c r="H64" s="36"/>
    </row>
    <row r="65" spans="1:8" ht="14.1" customHeight="1" x14ac:dyDescent="0.2">
      <c r="A65" s="1"/>
      <c r="B65" s="1"/>
      <c r="C65" s="2" t="s">
        <v>78</v>
      </c>
      <c r="D65" s="1"/>
      <c r="E65" s="1"/>
      <c r="F65" s="6"/>
      <c r="G65" s="6"/>
      <c r="H65" s="36"/>
    </row>
    <row r="66" spans="1:8" ht="29.1" customHeight="1" x14ac:dyDescent="0.2">
      <c r="A66" s="8">
        <v>1</v>
      </c>
      <c r="B66" s="9" t="s">
        <v>276</v>
      </c>
      <c r="C66" s="9" t="s">
        <v>277</v>
      </c>
      <c r="D66" s="9" t="s">
        <v>135</v>
      </c>
      <c r="E66" s="10">
        <v>3000</v>
      </c>
      <c r="F66" s="11">
        <v>14836.23</v>
      </c>
      <c r="G66" s="12">
        <v>2.706917E-2</v>
      </c>
      <c r="H66" s="36">
        <v>7.1950000000000003</v>
      </c>
    </row>
    <row r="67" spans="1:8" ht="29.1" customHeight="1" x14ac:dyDescent="0.2">
      <c r="A67" s="8">
        <v>2</v>
      </c>
      <c r="B67" s="9" t="s">
        <v>278</v>
      </c>
      <c r="C67" s="9" t="s">
        <v>279</v>
      </c>
      <c r="D67" s="9" t="s">
        <v>135</v>
      </c>
      <c r="E67" s="10">
        <v>3000</v>
      </c>
      <c r="F67" s="11">
        <v>14795.7</v>
      </c>
      <c r="G67" s="12">
        <v>2.699522E-2</v>
      </c>
      <c r="H67" s="36">
        <v>7.1999000000000004</v>
      </c>
    </row>
    <row r="68" spans="1:8" ht="17.100000000000001" customHeight="1" x14ac:dyDescent="0.2">
      <c r="A68" s="8">
        <v>3</v>
      </c>
      <c r="B68" s="9" t="s">
        <v>280</v>
      </c>
      <c r="C68" s="9" t="s">
        <v>281</v>
      </c>
      <c r="D68" s="9" t="s">
        <v>135</v>
      </c>
      <c r="E68" s="10">
        <v>2000</v>
      </c>
      <c r="F68" s="11">
        <v>9886.2900000000009</v>
      </c>
      <c r="G68" s="12">
        <v>1.8037850000000001E-2</v>
      </c>
      <c r="H68" s="36">
        <v>7.3650000000000002</v>
      </c>
    </row>
    <row r="69" spans="1:8" ht="29.1" customHeight="1" x14ac:dyDescent="0.2">
      <c r="A69" s="8">
        <v>4</v>
      </c>
      <c r="B69" s="9" t="s">
        <v>282</v>
      </c>
      <c r="C69" s="9" t="s">
        <v>283</v>
      </c>
      <c r="D69" s="9" t="s">
        <v>135</v>
      </c>
      <c r="E69" s="10">
        <v>2000</v>
      </c>
      <c r="F69" s="11">
        <v>9875.75</v>
      </c>
      <c r="G69" s="12">
        <v>1.8018619999999999E-2</v>
      </c>
      <c r="H69" s="36">
        <v>7.1749999999999998</v>
      </c>
    </row>
    <row r="70" spans="1:8" ht="17.100000000000001" customHeight="1" x14ac:dyDescent="0.2">
      <c r="A70" s="8">
        <v>5</v>
      </c>
      <c r="B70" s="9" t="s">
        <v>284</v>
      </c>
      <c r="C70" s="9" t="s">
        <v>285</v>
      </c>
      <c r="D70" s="9" t="s">
        <v>135</v>
      </c>
      <c r="E70" s="10">
        <v>2000</v>
      </c>
      <c r="F70" s="11">
        <v>9875.69</v>
      </c>
      <c r="G70" s="12">
        <v>1.8018510000000001E-2</v>
      </c>
      <c r="H70" s="36">
        <v>7.7874999999999996</v>
      </c>
    </row>
    <row r="71" spans="1:8" ht="29.1" customHeight="1" x14ac:dyDescent="0.2">
      <c r="A71" s="8">
        <v>6</v>
      </c>
      <c r="B71" s="9" t="s">
        <v>286</v>
      </c>
      <c r="C71" s="9" t="s">
        <v>287</v>
      </c>
      <c r="D71" s="9" t="s">
        <v>135</v>
      </c>
      <c r="E71" s="10">
        <v>2000</v>
      </c>
      <c r="F71" s="11">
        <v>9860.44</v>
      </c>
      <c r="G71" s="12">
        <v>1.7990679999999998E-2</v>
      </c>
      <c r="H71" s="36">
        <v>7.1749999999999998</v>
      </c>
    </row>
    <row r="72" spans="1:8" ht="17.100000000000001" customHeight="1" x14ac:dyDescent="0.2">
      <c r="A72" s="8">
        <v>7</v>
      </c>
      <c r="B72" s="9" t="s">
        <v>288</v>
      </c>
      <c r="C72" s="9" t="s">
        <v>289</v>
      </c>
      <c r="D72" s="9" t="s">
        <v>135</v>
      </c>
      <c r="E72" s="10">
        <v>2000</v>
      </c>
      <c r="F72" s="11">
        <v>9857.66</v>
      </c>
      <c r="G72" s="12">
        <v>1.7985609999999999E-2</v>
      </c>
      <c r="H72" s="36">
        <v>7.22</v>
      </c>
    </row>
    <row r="73" spans="1:8" ht="17.100000000000001" customHeight="1" x14ac:dyDescent="0.2">
      <c r="A73" s="8">
        <v>8</v>
      </c>
      <c r="B73" s="9" t="s">
        <v>290</v>
      </c>
      <c r="C73" s="9" t="s">
        <v>291</v>
      </c>
      <c r="D73" s="9" t="s">
        <v>144</v>
      </c>
      <c r="E73" s="10">
        <v>2000</v>
      </c>
      <c r="F73" s="11">
        <v>9848.18</v>
      </c>
      <c r="G73" s="12">
        <v>1.7968319999999999E-2</v>
      </c>
      <c r="H73" s="36">
        <v>7.9249999999999998</v>
      </c>
    </row>
    <row r="74" spans="1:8" ht="17.100000000000001" customHeight="1" x14ac:dyDescent="0.2">
      <c r="A74" s="8">
        <v>9</v>
      </c>
      <c r="B74" s="9" t="s">
        <v>292</v>
      </c>
      <c r="C74" s="9" t="s">
        <v>293</v>
      </c>
      <c r="D74" s="9" t="s">
        <v>135</v>
      </c>
      <c r="E74" s="10">
        <v>2000</v>
      </c>
      <c r="F74" s="11">
        <v>9846.49</v>
      </c>
      <c r="G74" s="12">
        <v>1.7965229999999999E-2</v>
      </c>
      <c r="H74" s="36">
        <v>8.0150000000000006</v>
      </c>
    </row>
    <row r="75" spans="1:8" ht="29.1" customHeight="1" x14ac:dyDescent="0.2">
      <c r="A75" s="8">
        <v>10</v>
      </c>
      <c r="B75" s="9" t="s">
        <v>294</v>
      </c>
      <c r="C75" s="9" t="s">
        <v>295</v>
      </c>
      <c r="D75" s="9" t="s">
        <v>135</v>
      </c>
      <c r="E75" s="10">
        <v>2000</v>
      </c>
      <c r="F75" s="11">
        <v>9828.23</v>
      </c>
      <c r="G75" s="12">
        <v>1.793192E-2</v>
      </c>
      <c r="H75" s="36">
        <v>8.0749999999999993</v>
      </c>
    </row>
    <row r="76" spans="1:8" ht="29.1" customHeight="1" x14ac:dyDescent="0.2">
      <c r="A76" s="8">
        <v>11</v>
      </c>
      <c r="B76" s="9" t="s">
        <v>296</v>
      </c>
      <c r="C76" s="9" t="s">
        <v>297</v>
      </c>
      <c r="D76" s="9" t="s">
        <v>135</v>
      </c>
      <c r="E76" s="10">
        <v>1500</v>
      </c>
      <c r="F76" s="11">
        <v>7487.3325000000004</v>
      </c>
      <c r="G76" s="12">
        <v>1.366087E-2</v>
      </c>
      <c r="H76" s="36">
        <v>7.7202000000000002</v>
      </c>
    </row>
    <row r="77" spans="1:8" ht="29.1" customHeight="1" x14ac:dyDescent="0.2">
      <c r="A77" s="8">
        <v>12</v>
      </c>
      <c r="B77" s="9" t="s">
        <v>298</v>
      </c>
      <c r="C77" s="9" t="s">
        <v>299</v>
      </c>
      <c r="D77" s="9" t="s">
        <v>135</v>
      </c>
      <c r="E77" s="10">
        <v>1500</v>
      </c>
      <c r="F77" s="11">
        <v>7455.6674999999996</v>
      </c>
      <c r="G77" s="12">
        <v>1.36031E-2</v>
      </c>
      <c r="H77" s="36">
        <v>7.2348999999999997</v>
      </c>
    </row>
    <row r="78" spans="1:8" ht="29.1" customHeight="1" x14ac:dyDescent="0.2">
      <c r="A78" s="8">
        <v>13</v>
      </c>
      <c r="B78" s="9" t="s">
        <v>300</v>
      </c>
      <c r="C78" s="9" t="s">
        <v>301</v>
      </c>
      <c r="D78" s="9" t="s">
        <v>135</v>
      </c>
      <c r="E78" s="10">
        <v>1500</v>
      </c>
      <c r="F78" s="11">
        <v>7443.0375000000004</v>
      </c>
      <c r="G78" s="12">
        <v>1.358006E-2</v>
      </c>
      <c r="H78" s="36">
        <v>7.1624999999999996</v>
      </c>
    </row>
    <row r="79" spans="1:8" ht="29.1" customHeight="1" x14ac:dyDescent="0.2">
      <c r="A79" s="8">
        <v>14</v>
      </c>
      <c r="B79" s="9" t="s">
        <v>302</v>
      </c>
      <c r="C79" s="9" t="s">
        <v>303</v>
      </c>
      <c r="D79" s="9" t="s">
        <v>170</v>
      </c>
      <c r="E79" s="10">
        <v>1500</v>
      </c>
      <c r="F79" s="11">
        <v>7432.1850000000004</v>
      </c>
      <c r="G79" s="12">
        <v>1.3560259999999999E-2</v>
      </c>
      <c r="H79" s="36">
        <v>7.24</v>
      </c>
    </row>
    <row r="80" spans="1:8" ht="29.1" customHeight="1" x14ac:dyDescent="0.2">
      <c r="A80" s="8">
        <v>15</v>
      </c>
      <c r="B80" s="9" t="s">
        <v>304</v>
      </c>
      <c r="C80" s="9" t="s">
        <v>305</v>
      </c>
      <c r="D80" s="9" t="s">
        <v>135</v>
      </c>
      <c r="E80" s="10">
        <v>1500</v>
      </c>
      <c r="F80" s="11">
        <v>7412.8125</v>
      </c>
      <c r="G80" s="12">
        <v>1.3524909999999999E-2</v>
      </c>
      <c r="H80" s="36">
        <v>8.1</v>
      </c>
    </row>
    <row r="81" spans="1:8" ht="17.100000000000001" customHeight="1" x14ac:dyDescent="0.2">
      <c r="A81" s="8">
        <v>16</v>
      </c>
      <c r="B81" s="9" t="s">
        <v>306</v>
      </c>
      <c r="C81" s="9" t="s">
        <v>307</v>
      </c>
      <c r="D81" s="9" t="s">
        <v>135</v>
      </c>
      <c r="E81" s="10">
        <v>1500</v>
      </c>
      <c r="F81" s="11">
        <v>7401.0974999999999</v>
      </c>
      <c r="G81" s="12">
        <v>1.350354E-2</v>
      </c>
      <c r="H81" s="36">
        <v>7.28</v>
      </c>
    </row>
    <row r="82" spans="1:8" ht="17.100000000000001" customHeight="1" x14ac:dyDescent="0.2">
      <c r="A82" s="8">
        <v>17</v>
      </c>
      <c r="B82" s="9" t="s">
        <v>308</v>
      </c>
      <c r="C82" s="9" t="s">
        <v>309</v>
      </c>
      <c r="D82" s="9" t="s">
        <v>135</v>
      </c>
      <c r="E82" s="10">
        <v>1500</v>
      </c>
      <c r="F82" s="11">
        <v>7394.07</v>
      </c>
      <c r="G82" s="12">
        <v>1.349071E-2</v>
      </c>
      <c r="H82" s="36">
        <v>7.3650000000000002</v>
      </c>
    </row>
    <row r="83" spans="1:8" ht="29.1" customHeight="1" x14ac:dyDescent="0.2">
      <c r="A83" s="8">
        <v>18</v>
      </c>
      <c r="B83" s="9" t="s">
        <v>310</v>
      </c>
      <c r="C83" s="9" t="s">
        <v>311</v>
      </c>
      <c r="D83" s="9" t="s">
        <v>135</v>
      </c>
      <c r="E83" s="10">
        <v>1500</v>
      </c>
      <c r="F83" s="11">
        <v>7382.13</v>
      </c>
      <c r="G83" s="12">
        <v>1.346893E-2</v>
      </c>
      <c r="H83" s="36">
        <v>7.1950000000000003</v>
      </c>
    </row>
    <row r="84" spans="1:8" ht="17.100000000000001" customHeight="1" x14ac:dyDescent="0.2">
      <c r="A84" s="8">
        <v>19</v>
      </c>
      <c r="B84" s="9" t="s">
        <v>312</v>
      </c>
      <c r="C84" s="9" t="s">
        <v>313</v>
      </c>
      <c r="D84" s="9" t="s">
        <v>135</v>
      </c>
      <c r="E84" s="10">
        <v>1000</v>
      </c>
      <c r="F84" s="11">
        <v>4975.17</v>
      </c>
      <c r="G84" s="12">
        <v>9.0773599999999996E-3</v>
      </c>
      <c r="H84" s="36">
        <v>7.92</v>
      </c>
    </row>
    <row r="85" spans="1:8" ht="17.100000000000001" customHeight="1" x14ac:dyDescent="0.2">
      <c r="A85" s="8">
        <v>20</v>
      </c>
      <c r="B85" s="9" t="s">
        <v>314</v>
      </c>
      <c r="C85" s="9" t="s">
        <v>315</v>
      </c>
      <c r="D85" s="9" t="s">
        <v>135</v>
      </c>
      <c r="E85" s="10">
        <v>1000</v>
      </c>
      <c r="F85" s="11">
        <v>4974.9549999999999</v>
      </c>
      <c r="G85" s="12">
        <v>9.0769600000000002E-3</v>
      </c>
      <c r="H85" s="36">
        <v>7.35</v>
      </c>
    </row>
    <row r="86" spans="1:8" ht="17.100000000000001" customHeight="1" x14ac:dyDescent="0.2">
      <c r="A86" s="8">
        <v>21</v>
      </c>
      <c r="B86" s="9" t="s">
        <v>316</v>
      </c>
      <c r="C86" s="9" t="s">
        <v>317</v>
      </c>
      <c r="D86" s="9" t="s">
        <v>135</v>
      </c>
      <c r="E86" s="10">
        <v>1000</v>
      </c>
      <c r="F86" s="11">
        <v>4968.58</v>
      </c>
      <c r="G86" s="12">
        <v>9.0653299999999999E-3</v>
      </c>
      <c r="H86" s="36">
        <v>7.96</v>
      </c>
    </row>
    <row r="87" spans="1:8" ht="29.1" customHeight="1" x14ac:dyDescent="0.2">
      <c r="A87" s="8">
        <v>22</v>
      </c>
      <c r="B87" s="9" t="s">
        <v>318</v>
      </c>
      <c r="C87" s="9" t="s">
        <v>319</v>
      </c>
      <c r="D87" s="9" t="s">
        <v>135</v>
      </c>
      <c r="E87" s="10">
        <v>1000</v>
      </c>
      <c r="F87" s="11">
        <v>4964.9250000000002</v>
      </c>
      <c r="G87" s="12">
        <v>9.0586599999999996E-3</v>
      </c>
      <c r="H87" s="36">
        <v>8.3177000000000003</v>
      </c>
    </row>
    <row r="88" spans="1:8" ht="29.1" customHeight="1" x14ac:dyDescent="0.2">
      <c r="A88" s="8">
        <v>23</v>
      </c>
      <c r="B88" s="9" t="s">
        <v>320</v>
      </c>
      <c r="C88" s="9" t="s">
        <v>321</v>
      </c>
      <c r="D88" s="9" t="s">
        <v>135</v>
      </c>
      <c r="E88" s="10">
        <v>1000</v>
      </c>
      <c r="F88" s="11">
        <v>4954.915</v>
      </c>
      <c r="G88" s="12">
        <v>9.0404000000000005E-3</v>
      </c>
      <c r="H88" s="36">
        <v>7.9074999999999998</v>
      </c>
    </row>
    <row r="89" spans="1:8" ht="29.1" customHeight="1" x14ac:dyDescent="0.2">
      <c r="A89" s="8">
        <v>24</v>
      </c>
      <c r="B89" s="9" t="s">
        <v>322</v>
      </c>
      <c r="C89" s="9" t="s">
        <v>323</v>
      </c>
      <c r="D89" s="9" t="s">
        <v>135</v>
      </c>
      <c r="E89" s="10">
        <v>1000</v>
      </c>
      <c r="F89" s="11">
        <v>4938.1899999999996</v>
      </c>
      <c r="G89" s="12">
        <v>9.0098799999999996E-3</v>
      </c>
      <c r="H89" s="36">
        <v>8.0150000000000006</v>
      </c>
    </row>
    <row r="90" spans="1:8" ht="17.100000000000001" customHeight="1" x14ac:dyDescent="0.2">
      <c r="A90" s="8">
        <v>25</v>
      </c>
      <c r="B90" s="9" t="s">
        <v>324</v>
      </c>
      <c r="C90" s="9" t="s">
        <v>325</v>
      </c>
      <c r="D90" s="9" t="s">
        <v>135</v>
      </c>
      <c r="E90" s="10">
        <v>1000</v>
      </c>
      <c r="F90" s="11">
        <v>4936.8</v>
      </c>
      <c r="G90" s="12">
        <v>9.0073500000000008E-3</v>
      </c>
      <c r="H90" s="36">
        <v>7.7874999999999996</v>
      </c>
    </row>
    <row r="91" spans="1:8" ht="17.100000000000001" customHeight="1" x14ac:dyDescent="0.2">
      <c r="A91" s="8">
        <v>26</v>
      </c>
      <c r="B91" s="9" t="s">
        <v>326</v>
      </c>
      <c r="C91" s="9" t="s">
        <v>327</v>
      </c>
      <c r="D91" s="9" t="s">
        <v>135</v>
      </c>
      <c r="E91" s="10">
        <v>1000</v>
      </c>
      <c r="F91" s="11">
        <v>4936.21</v>
      </c>
      <c r="G91" s="12">
        <v>9.0062700000000002E-3</v>
      </c>
      <c r="H91" s="36">
        <v>7.9950000000000001</v>
      </c>
    </row>
    <row r="92" spans="1:8" ht="29.1" customHeight="1" x14ac:dyDescent="0.2">
      <c r="A92" s="8">
        <v>27</v>
      </c>
      <c r="B92" s="9" t="s">
        <v>328</v>
      </c>
      <c r="C92" s="9" t="s">
        <v>329</v>
      </c>
      <c r="D92" s="9" t="s">
        <v>135</v>
      </c>
      <c r="E92" s="10">
        <v>1000</v>
      </c>
      <c r="F92" s="11">
        <v>4935.38</v>
      </c>
      <c r="G92" s="12">
        <v>9.0047600000000005E-3</v>
      </c>
      <c r="H92" s="36">
        <v>8.1</v>
      </c>
    </row>
    <row r="93" spans="1:8" ht="29.1" customHeight="1" x14ac:dyDescent="0.2">
      <c r="A93" s="8">
        <v>28</v>
      </c>
      <c r="B93" s="9" t="s">
        <v>330</v>
      </c>
      <c r="C93" s="9" t="s">
        <v>331</v>
      </c>
      <c r="D93" s="9" t="s">
        <v>135</v>
      </c>
      <c r="E93" s="10">
        <v>1000</v>
      </c>
      <c r="F93" s="11">
        <v>4930.835</v>
      </c>
      <c r="G93" s="12">
        <v>8.9964599999999995E-3</v>
      </c>
      <c r="H93" s="36">
        <v>8</v>
      </c>
    </row>
    <row r="94" spans="1:8" ht="17.100000000000001" customHeight="1" x14ac:dyDescent="0.2">
      <c r="A94" s="8">
        <v>29</v>
      </c>
      <c r="B94" s="9" t="s">
        <v>332</v>
      </c>
      <c r="C94" s="9" t="s">
        <v>333</v>
      </c>
      <c r="D94" s="9" t="s">
        <v>135</v>
      </c>
      <c r="E94" s="10">
        <v>1000</v>
      </c>
      <c r="F94" s="11">
        <v>4927.9049999999997</v>
      </c>
      <c r="G94" s="12">
        <v>8.99112E-3</v>
      </c>
      <c r="H94" s="36">
        <v>7.3151000000000002</v>
      </c>
    </row>
    <row r="95" spans="1:8" ht="17.100000000000001" customHeight="1" x14ac:dyDescent="0.2">
      <c r="A95" s="8">
        <v>30</v>
      </c>
      <c r="B95" s="9" t="s">
        <v>334</v>
      </c>
      <c r="C95" s="9" t="s">
        <v>335</v>
      </c>
      <c r="D95" s="9" t="s">
        <v>135</v>
      </c>
      <c r="E95" s="10">
        <v>1000</v>
      </c>
      <c r="F95" s="11">
        <v>4927.87</v>
      </c>
      <c r="G95" s="12">
        <v>8.9910500000000004E-3</v>
      </c>
      <c r="H95" s="36">
        <v>7.22</v>
      </c>
    </row>
    <row r="96" spans="1:8" ht="17.100000000000001" customHeight="1" x14ac:dyDescent="0.2">
      <c r="A96" s="8">
        <v>31</v>
      </c>
      <c r="B96" s="9" t="s">
        <v>336</v>
      </c>
      <c r="C96" s="9" t="s">
        <v>337</v>
      </c>
      <c r="D96" s="9" t="s">
        <v>135</v>
      </c>
      <c r="E96" s="10">
        <v>1000</v>
      </c>
      <c r="F96" s="11">
        <v>4921.33</v>
      </c>
      <c r="G96" s="12">
        <v>8.9791200000000002E-3</v>
      </c>
      <c r="H96" s="36">
        <v>7.8849999999999998</v>
      </c>
    </row>
    <row r="97" spans="1:8" ht="29.1" customHeight="1" x14ac:dyDescent="0.2">
      <c r="A97" s="8">
        <v>32</v>
      </c>
      <c r="B97" s="9" t="s">
        <v>338</v>
      </c>
      <c r="C97" s="9" t="s">
        <v>339</v>
      </c>
      <c r="D97" s="9" t="s">
        <v>135</v>
      </c>
      <c r="E97" s="10">
        <v>1000</v>
      </c>
      <c r="F97" s="11">
        <v>4919.12</v>
      </c>
      <c r="G97" s="12">
        <v>8.9750899999999998E-3</v>
      </c>
      <c r="H97" s="36">
        <v>8.11</v>
      </c>
    </row>
    <row r="98" spans="1:8" ht="29.1" customHeight="1" x14ac:dyDescent="0.2">
      <c r="A98" s="8">
        <v>33</v>
      </c>
      <c r="B98" s="9" t="s">
        <v>233</v>
      </c>
      <c r="C98" s="9" t="s">
        <v>234</v>
      </c>
      <c r="D98" s="9" t="s">
        <v>170</v>
      </c>
      <c r="E98" s="10">
        <v>900</v>
      </c>
      <c r="F98" s="11">
        <v>4473.4544999999998</v>
      </c>
      <c r="G98" s="12">
        <v>8.1619599999999994E-3</v>
      </c>
      <c r="H98" s="36">
        <v>7.22</v>
      </c>
    </row>
    <row r="99" spans="1:8" ht="29.1" customHeight="1" x14ac:dyDescent="0.2">
      <c r="A99" s="8">
        <v>34</v>
      </c>
      <c r="B99" s="9" t="s">
        <v>175</v>
      </c>
      <c r="C99" s="9" t="s">
        <v>176</v>
      </c>
      <c r="D99" s="9" t="s">
        <v>135</v>
      </c>
      <c r="E99" s="10">
        <v>800</v>
      </c>
      <c r="F99" s="11">
        <v>3961.7240000000002</v>
      </c>
      <c r="G99" s="12">
        <v>7.2282900000000001E-3</v>
      </c>
      <c r="H99" s="36">
        <v>8.0150000000000006</v>
      </c>
    </row>
    <row r="100" spans="1:8" ht="29.1" customHeight="1" x14ac:dyDescent="0.2">
      <c r="A100" s="8">
        <v>35</v>
      </c>
      <c r="B100" s="9" t="s">
        <v>340</v>
      </c>
      <c r="C100" s="9" t="s">
        <v>341</v>
      </c>
      <c r="D100" s="9" t="s">
        <v>135</v>
      </c>
      <c r="E100" s="10">
        <v>500</v>
      </c>
      <c r="F100" s="11">
        <v>2478.5475000000001</v>
      </c>
      <c r="G100" s="12">
        <v>4.5221899999999997E-3</v>
      </c>
      <c r="H100" s="36">
        <v>8.1</v>
      </c>
    </row>
    <row r="101" spans="1:8" ht="17.100000000000001" customHeight="1" x14ac:dyDescent="0.2">
      <c r="A101" s="8">
        <v>36</v>
      </c>
      <c r="B101" s="9" t="s">
        <v>342</v>
      </c>
      <c r="C101" s="9" t="s">
        <v>343</v>
      </c>
      <c r="D101" s="9" t="s">
        <v>135</v>
      </c>
      <c r="E101" s="10">
        <v>500</v>
      </c>
      <c r="F101" s="11">
        <v>2470.2950000000001</v>
      </c>
      <c r="G101" s="12">
        <v>4.5071299999999998E-3</v>
      </c>
      <c r="H101" s="36">
        <v>7.3151000000000002</v>
      </c>
    </row>
    <row r="102" spans="1:8" ht="17.100000000000001" customHeight="1" x14ac:dyDescent="0.2">
      <c r="A102" s="8">
        <v>37</v>
      </c>
      <c r="B102" s="9" t="s">
        <v>344</v>
      </c>
      <c r="C102" s="9" t="s">
        <v>345</v>
      </c>
      <c r="D102" s="9" t="s">
        <v>135</v>
      </c>
      <c r="E102" s="10">
        <v>500</v>
      </c>
      <c r="F102" s="11">
        <v>2457.1574999999998</v>
      </c>
      <c r="G102" s="12">
        <v>4.4831599999999999E-3</v>
      </c>
      <c r="H102" s="36">
        <v>7.9550000000000001</v>
      </c>
    </row>
    <row r="103" spans="1:8" ht="14.1" customHeight="1" x14ac:dyDescent="0.2">
      <c r="A103" s="1"/>
      <c r="B103" s="1"/>
      <c r="C103" s="2" t="s">
        <v>11</v>
      </c>
      <c r="D103" s="1"/>
      <c r="E103" s="1" t="s">
        <v>12</v>
      </c>
      <c r="F103" s="7">
        <v>252972.356</v>
      </c>
      <c r="G103" s="4">
        <v>0.46155605</v>
      </c>
      <c r="H103" s="36"/>
    </row>
    <row r="104" spans="1:8" ht="14.1" customHeight="1" x14ac:dyDescent="0.2">
      <c r="A104" s="1"/>
      <c r="B104" s="1"/>
      <c r="C104" s="5"/>
      <c r="D104" s="1"/>
      <c r="E104" s="1"/>
      <c r="F104" s="6"/>
      <c r="G104" s="6"/>
      <c r="H104" s="36"/>
    </row>
    <row r="105" spans="1:8" ht="14.1" customHeight="1" x14ac:dyDescent="0.2">
      <c r="A105" s="1"/>
      <c r="B105" s="1"/>
      <c r="C105" s="2" t="s">
        <v>79</v>
      </c>
      <c r="D105" s="1"/>
      <c r="E105" s="1"/>
      <c r="F105" s="6"/>
      <c r="G105" s="6"/>
      <c r="H105" s="36"/>
    </row>
    <row r="106" spans="1:8" ht="17.100000000000001" customHeight="1" x14ac:dyDescent="0.2">
      <c r="A106" s="8">
        <v>1</v>
      </c>
      <c r="B106" s="9" t="s">
        <v>346</v>
      </c>
      <c r="C106" s="9" t="s">
        <v>489</v>
      </c>
      <c r="D106" s="9" t="s">
        <v>67</v>
      </c>
      <c r="E106" s="10">
        <v>20000000</v>
      </c>
      <c r="F106" s="11">
        <v>19884.759999999998</v>
      </c>
      <c r="G106" s="12">
        <v>3.6280369999999999E-2</v>
      </c>
      <c r="H106" s="36">
        <v>6.61</v>
      </c>
    </row>
    <row r="107" spans="1:8" ht="17.100000000000001" customHeight="1" x14ac:dyDescent="0.2">
      <c r="A107" s="8">
        <v>2</v>
      </c>
      <c r="B107" s="9" t="s">
        <v>347</v>
      </c>
      <c r="C107" s="9" t="s">
        <v>348</v>
      </c>
      <c r="D107" s="9" t="s">
        <v>67</v>
      </c>
      <c r="E107" s="10">
        <v>20000000</v>
      </c>
      <c r="F107" s="11">
        <v>19835.900000000001</v>
      </c>
      <c r="G107" s="12">
        <v>3.6191229999999998E-2</v>
      </c>
      <c r="H107" s="36">
        <v>6.71</v>
      </c>
    </row>
    <row r="108" spans="1:8" ht="17.100000000000001" customHeight="1" x14ac:dyDescent="0.2">
      <c r="A108" s="8">
        <v>3</v>
      </c>
      <c r="B108" s="9" t="s">
        <v>349</v>
      </c>
      <c r="C108" s="9" t="s">
        <v>487</v>
      </c>
      <c r="D108" s="9" t="s">
        <v>67</v>
      </c>
      <c r="E108" s="10">
        <v>15000000</v>
      </c>
      <c r="F108" s="11">
        <v>14916.39</v>
      </c>
      <c r="G108" s="12">
        <v>2.7215420000000001E-2</v>
      </c>
      <c r="H108" s="36">
        <v>6.6</v>
      </c>
    </row>
    <row r="109" spans="1:8" ht="17.100000000000001" customHeight="1" x14ac:dyDescent="0.2">
      <c r="A109" s="8">
        <v>4</v>
      </c>
      <c r="B109" s="9" t="s">
        <v>350</v>
      </c>
      <c r="C109" s="9" t="s">
        <v>488</v>
      </c>
      <c r="D109" s="9" t="s">
        <v>67</v>
      </c>
      <c r="E109" s="10">
        <v>10000000</v>
      </c>
      <c r="F109" s="11">
        <v>9891.67</v>
      </c>
      <c r="G109" s="12">
        <v>1.804766E-2</v>
      </c>
      <c r="H109" s="36">
        <v>6.7750000000000004</v>
      </c>
    </row>
    <row r="110" spans="1:8" ht="17.100000000000001" customHeight="1" x14ac:dyDescent="0.2">
      <c r="A110" s="8">
        <v>5</v>
      </c>
      <c r="B110" s="9" t="s">
        <v>351</v>
      </c>
      <c r="C110" s="9" t="s">
        <v>352</v>
      </c>
      <c r="D110" s="9" t="s">
        <v>67</v>
      </c>
      <c r="E110" s="10">
        <v>7500000</v>
      </c>
      <c r="F110" s="11">
        <v>7380.72</v>
      </c>
      <c r="G110" s="12">
        <v>1.346636E-2</v>
      </c>
      <c r="H110" s="36">
        <v>6.78</v>
      </c>
    </row>
    <row r="111" spans="1:8" ht="17.100000000000001" customHeight="1" x14ac:dyDescent="0.2">
      <c r="A111" s="8">
        <v>6</v>
      </c>
      <c r="B111" s="9" t="s">
        <v>353</v>
      </c>
      <c r="C111" s="9" t="s">
        <v>354</v>
      </c>
      <c r="D111" s="9" t="s">
        <v>67</v>
      </c>
      <c r="E111" s="10">
        <v>7000000</v>
      </c>
      <c r="F111" s="11">
        <v>6978.51</v>
      </c>
      <c r="G111" s="12">
        <v>1.2732510000000001E-2</v>
      </c>
      <c r="H111" s="36">
        <v>6.6116999999999999</v>
      </c>
    </row>
    <row r="112" spans="1:8" ht="17.100000000000001" customHeight="1" x14ac:dyDescent="0.2">
      <c r="A112" s="8">
        <v>7</v>
      </c>
      <c r="B112" s="9" t="s">
        <v>355</v>
      </c>
      <c r="C112" s="9" t="s">
        <v>356</v>
      </c>
      <c r="D112" s="9" t="s">
        <v>67</v>
      </c>
      <c r="E112" s="10">
        <v>5000000</v>
      </c>
      <c r="F112" s="11">
        <v>4978.3950000000004</v>
      </c>
      <c r="G112" s="12">
        <v>9.0832399999999994E-3</v>
      </c>
      <c r="H112" s="36">
        <v>6.6</v>
      </c>
    </row>
    <row r="113" spans="1:8" ht="17.100000000000001" customHeight="1" x14ac:dyDescent="0.2">
      <c r="A113" s="8">
        <v>8</v>
      </c>
      <c r="B113" s="9" t="s">
        <v>357</v>
      </c>
      <c r="C113" s="9" t="s">
        <v>358</v>
      </c>
      <c r="D113" s="9" t="s">
        <v>67</v>
      </c>
      <c r="E113" s="10">
        <v>4000000</v>
      </c>
      <c r="F113" s="11">
        <v>3987.7</v>
      </c>
      <c r="G113" s="12">
        <v>7.2756799999999996E-3</v>
      </c>
      <c r="H113" s="36">
        <v>6.6216999999999997</v>
      </c>
    </row>
    <row r="114" spans="1:8" ht="17.100000000000001" customHeight="1" x14ac:dyDescent="0.2">
      <c r="A114" s="8">
        <v>9</v>
      </c>
      <c r="B114" s="9" t="s">
        <v>359</v>
      </c>
      <c r="C114" s="9" t="s">
        <v>360</v>
      </c>
      <c r="D114" s="9" t="s">
        <v>67</v>
      </c>
      <c r="E114" s="10">
        <v>2500000</v>
      </c>
      <c r="F114" s="11">
        <v>2482.6374999999998</v>
      </c>
      <c r="G114" s="12">
        <v>4.5296499999999996E-3</v>
      </c>
      <c r="H114" s="36">
        <v>6.7175000000000002</v>
      </c>
    </row>
    <row r="115" spans="1:8" ht="14.1" customHeight="1" x14ac:dyDescent="0.2">
      <c r="A115" s="1"/>
      <c r="B115" s="1"/>
      <c r="C115" s="2" t="s">
        <v>11</v>
      </c>
      <c r="D115" s="1"/>
      <c r="E115" s="1" t="s">
        <v>12</v>
      </c>
      <c r="F115" s="7">
        <v>90336.682499999995</v>
      </c>
      <c r="G115" s="4">
        <v>0.16482211999999999</v>
      </c>
      <c r="H115" s="36"/>
    </row>
    <row r="116" spans="1:8" ht="14.1" customHeight="1" x14ac:dyDescent="0.2">
      <c r="A116" s="1"/>
      <c r="B116" s="1"/>
      <c r="C116" s="5"/>
      <c r="D116" s="1"/>
      <c r="E116" s="1"/>
      <c r="F116" s="6"/>
      <c r="G116" s="6"/>
      <c r="H116" s="36"/>
    </row>
    <row r="117" spans="1:8" ht="14.1" customHeight="1" x14ac:dyDescent="0.2">
      <c r="A117" s="1"/>
      <c r="B117" s="1"/>
      <c r="C117" s="2" t="s">
        <v>80</v>
      </c>
      <c r="D117" s="1"/>
      <c r="E117" s="1"/>
      <c r="F117" s="6"/>
      <c r="G117" s="6"/>
      <c r="H117" s="36"/>
    </row>
    <row r="118" spans="1:8" ht="17.100000000000001" customHeight="1" x14ac:dyDescent="0.2">
      <c r="A118" s="8">
        <v>1</v>
      </c>
      <c r="B118" s="9"/>
      <c r="C118" s="9" t="s">
        <v>81</v>
      </c>
      <c r="D118" s="9"/>
      <c r="E118" s="13"/>
      <c r="F118" s="11">
        <v>9464.1884440079994</v>
      </c>
      <c r="G118" s="12">
        <v>1.7267709999999999E-2</v>
      </c>
      <c r="H118" s="36">
        <v>6.7262665696944239</v>
      </c>
    </row>
    <row r="119" spans="1:8" ht="14.1" customHeight="1" x14ac:dyDescent="0.2">
      <c r="A119" s="1"/>
      <c r="B119" s="1"/>
      <c r="C119" s="2" t="s">
        <v>11</v>
      </c>
      <c r="D119" s="1"/>
      <c r="E119" s="1" t="s">
        <v>12</v>
      </c>
      <c r="F119" s="7">
        <v>9464.1884440079994</v>
      </c>
      <c r="G119" s="4">
        <v>1.7267709999999999E-2</v>
      </c>
      <c r="H119" s="36"/>
    </row>
    <row r="120" spans="1:8" ht="14.1" customHeight="1" x14ac:dyDescent="0.2">
      <c r="A120" s="1"/>
      <c r="B120" s="1"/>
      <c r="C120" s="5"/>
      <c r="D120" s="1"/>
      <c r="E120" s="1"/>
      <c r="F120" s="6"/>
      <c r="G120" s="6"/>
      <c r="H120" s="36"/>
    </row>
    <row r="121" spans="1:8" ht="14.1" customHeight="1" x14ac:dyDescent="0.2">
      <c r="A121" s="1"/>
      <c r="B121" s="1"/>
      <c r="C121" s="2" t="s">
        <v>82</v>
      </c>
      <c r="D121" s="1"/>
      <c r="E121" s="1"/>
      <c r="F121" s="7">
        <v>535757.90444400802</v>
      </c>
      <c r="G121" s="4">
        <v>0.97750718999999997</v>
      </c>
      <c r="H121" s="36"/>
    </row>
    <row r="122" spans="1:8" ht="14.1" customHeight="1" x14ac:dyDescent="0.2">
      <c r="A122" s="1"/>
      <c r="B122" s="1"/>
      <c r="C122" s="6"/>
      <c r="D122" s="1"/>
      <c r="E122" s="1"/>
      <c r="F122" s="1"/>
      <c r="G122" s="1"/>
      <c r="H122" s="36"/>
    </row>
    <row r="123" spans="1:8" ht="14.1" customHeight="1" x14ac:dyDescent="0.2">
      <c r="A123" s="1"/>
      <c r="B123" s="1"/>
      <c r="C123" s="2" t="s">
        <v>83</v>
      </c>
      <c r="D123" s="1"/>
      <c r="E123" s="1"/>
      <c r="F123" s="1"/>
      <c r="G123" s="1"/>
      <c r="H123" s="36"/>
    </row>
    <row r="124" spans="1:8" ht="14.1" customHeight="1" x14ac:dyDescent="0.2">
      <c r="A124" s="1"/>
      <c r="B124" s="1"/>
      <c r="C124" s="2" t="s">
        <v>84</v>
      </c>
      <c r="D124" s="1"/>
      <c r="E124" s="1"/>
      <c r="F124" s="1"/>
      <c r="G124" s="1"/>
      <c r="H124" s="36"/>
    </row>
    <row r="125" spans="1:8" ht="14.1" customHeight="1" x14ac:dyDescent="0.2">
      <c r="A125" s="1"/>
      <c r="B125" s="1"/>
      <c r="C125" s="2" t="s">
        <v>11</v>
      </c>
      <c r="D125" s="1"/>
      <c r="E125" s="1" t="s">
        <v>12</v>
      </c>
      <c r="F125" s="3" t="s">
        <v>13</v>
      </c>
      <c r="G125" s="4">
        <v>0</v>
      </c>
      <c r="H125" s="36"/>
    </row>
    <row r="126" spans="1:8" ht="14.1" customHeight="1" x14ac:dyDescent="0.2">
      <c r="A126" s="1"/>
      <c r="B126" s="1"/>
      <c r="C126" s="5"/>
      <c r="D126" s="1"/>
      <c r="E126" s="1"/>
      <c r="F126" s="6"/>
      <c r="G126" s="6"/>
      <c r="H126" s="36"/>
    </row>
    <row r="127" spans="1:8" ht="14.1" customHeight="1" x14ac:dyDescent="0.2">
      <c r="A127" s="1"/>
      <c r="B127" s="1"/>
      <c r="C127" s="2" t="s">
        <v>87</v>
      </c>
      <c r="D127" s="1"/>
      <c r="E127" s="1"/>
      <c r="F127" s="1"/>
      <c r="G127" s="1"/>
      <c r="H127" s="36"/>
    </row>
    <row r="128" spans="1:8" ht="14.1" customHeight="1" x14ac:dyDescent="0.2">
      <c r="A128" s="1"/>
      <c r="B128" s="1"/>
      <c r="C128" s="2" t="s">
        <v>88</v>
      </c>
      <c r="D128" s="1"/>
      <c r="E128" s="1"/>
      <c r="F128" s="1"/>
      <c r="G128" s="1"/>
      <c r="H128" s="36"/>
    </row>
    <row r="129" spans="1:18" ht="14.1" customHeight="1" x14ac:dyDescent="0.2">
      <c r="A129" s="1"/>
      <c r="B129" s="1"/>
      <c r="C129" s="2" t="s">
        <v>11</v>
      </c>
      <c r="D129" s="1"/>
      <c r="E129" s="1" t="s">
        <v>12</v>
      </c>
      <c r="F129" s="3" t="s">
        <v>13</v>
      </c>
      <c r="G129" s="4">
        <v>0</v>
      </c>
      <c r="H129" s="36"/>
    </row>
    <row r="130" spans="1:18" ht="14.1" customHeight="1" x14ac:dyDescent="0.2">
      <c r="A130" s="1"/>
      <c r="B130" s="1"/>
      <c r="C130" s="5"/>
      <c r="D130" s="1"/>
      <c r="E130" s="1"/>
      <c r="F130" s="6"/>
      <c r="G130" s="6"/>
      <c r="H130" s="36"/>
    </row>
    <row r="131" spans="1:18" ht="24" customHeight="1" x14ac:dyDescent="0.2">
      <c r="A131" s="1"/>
      <c r="B131" s="1"/>
      <c r="C131" s="2" t="s">
        <v>89</v>
      </c>
      <c r="D131" s="1"/>
      <c r="E131" s="1"/>
      <c r="F131" s="6"/>
      <c r="G131" s="6"/>
      <c r="H131" s="36"/>
    </row>
    <row r="132" spans="1:18" ht="14.1" customHeight="1" x14ac:dyDescent="0.2">
      <c r="A132" s="1"/>
      <c r="B132" s="1"/>
      <c r="C132" s="2" t="s">
        <v>11</v>
      </c>
      <c r="D132" s="1"/>
      <c r="E132" s="1" t="s">
        <v>12</v>
      </c>
      <c r="F132" s="3" t="s">
        <v>13</v>
      </c>
      <c r="G132" s="4">
        <v>0</v>
      </c>
      <c r="H132" s="36"/>
    </row>
    <row r="133" spans="1:18" x14ac:dyDescent="0.2">
      <c r="A133" s="33"/>
      <c r="B133" s="33"/>
      <c r="C133" s="34"/>
      <c r="D133" s="33"/>
      <c r="E133" s="33"/>
      <c r="F133" s="35"/>
      <c r="G133" s="35"/>
      <c r="H133" s="36"/>
    </row>
    <row r="134" spans="1:18" ht="25.5" x14ac:dyDescent="0.2">
      <c r="A134" s="38"/>
      <c r="B134" s="38"/>
      <c r="C134" s="39" t="s">
        <v>479</v>
      </c>
      <c r="D134" s="38"/>
      <c r="E134" s="38"/>
      <c r="F134" s="40"/>
      <c r="G134" s="40"/>
      <c r="H134" s="36"/>
      <c r="L134" s="41"/>
      <c r="M134" s="41"/>
      <c r="N134" s="41"/>
      <c r="O134" s="41"/>
      <c r="P134" s="42"/>
      <c r="Q134" s="42"/>
      <c r="R134" s="42"/>
    </row>
    <row r="135" spans="1:18" ht="25.5" x14ac:dyDescent="0.2">
      <c r="A135" s="43">
        <v>1</v>
      </c>
      <c r="B135" s="44" t="s">
        <v>85</v>
      </c>
      <c r="C135" s="44" t="s">
        <v>86</v>
      </c>
      <c r="D135" s="44"/>
      <c r="E135" s="14">
        <v>7968.2974000000004</v>
      </c>
      <c r="F135" s="11">
        <v>819.80896305900001</v>
      </c>
      <c r="G135" s="12">
        <v>1.49577E-3</v>
      </c>
      <c r="H135" s="36">
        <v>9.9999999999999995E-7</v>
      </c>
      <c r="K135" s="41"/>
    </row>
    <row r="136" spans="1:18" x14ac:dyDescent="0.2">
      <c r="A136" s="33"/>
      <c r="B136" s="33"/>
      <c r="C136" s="45" t="s">
        <v>11</v>
      </c>
      <c r="D136" s="33"/>
      <c r="E136" s="1" t="s">
        <v>12</v>
      </c>
      <c r="F136" s="7">
        <v>819.80896305900001</v>
      </c>
      <c r="G136" s="4">
        <v>1.49577E-3</v>
      </c>
      <c r="H136" s="36"/>
    </row>
    <row r="137" spans="1:18" ht="14.1" customHeight="1" x14ac:dyDescent="0.2">
      <c r="A137" s="1"/>
      <c r="B137" s="1"/>
      <c r="C137" s="5"/>
      <c r="D137" s="1"/>
      <c r="E137" s="1"/>
      <c r="F137" s="6"/>
      <c r="G137" s="6"/>
      <c r="H137" s="36"/>
    </row>
    <row r="138" spans="1:18" ht="14.1" customHeight="1" x14ac:dyDescent="0.2">
      <c r="A138" s="1"/>
      <c r="B138" s="9"/>
      <c r="C138" s="9"/>
      <c r="D138" s="2"/>
      <c r="E138" s="1"/>
      <c r="F138" s="9"/>
      <c r="G138" s="13"/>
      <c r="H138" s="36"/>
    </row>
    <row r="139" spans="1:18" ht="18" customHeight="1" x14ac:dyDescent="0.2">
      <c r="A139" s="13"/>
      <c r="B139" s="9"/>
      <c r="C139" s="9" t="s">
        <v>90</v>
      </c>
      <c r="D139" s="9"/>
      <c r="E139" s="13"/>
      <c r="F139" s="11">
        <v>-5998.9077616170998</v>
      </c>
      <c r="G139" s="12">
        <v>-1.09452E-2</v>
      </c>
      <c r="H139" s="36"/>
    </row>
    <row r="140" spans="1:18" ht="14.1" customHeight="1" x14ac:dyDescent="0.2">
      <c r="A140" s="5"/>
      <c r="B140" s="5"/>
      <c r="C140" s="54" t="s">
        <v>501</v>
      </c>
      <c r="D140" s="6"/>
      <c r="E140" s="6"/>
      <c r="F140" s="7">
        <v>548085.89564544987</v>
      </c>
      <c r="G140" s="15">
        <v>1</v>
      </c>
      <c r="H140" s="36"/>
    </row>
    <row r="141" spans="1:18" ht="14.1" customHeight="1" x14ac:dyDescent="0.2">
      <c r="A141" s="16"/>
      <c r="B141" s="16"/>
      <c r="C141" s="16"/>
      <c r="D141" s="17"/>
      <c r="E141" s="17"/>
      <c r="F141" s="17"/>
      <c r="G141" s="17"/>
    </row>
    <row r="142" spans="1:18" ht="12.75" customHeight="1" x14ac:dyDescent="0.2">
      <c r="A142" s="46"/>
      <c r="B142" s="108" t="s">
        <v>483</v>
      </c>
      <c r="C142" s="108"/>
      <c r="D142" s="108"/>
      <c r="E142" s="108"/>
      <c r="F142" s="108"/>
      <c r="G142" s="108"/>
      <c r="H142" s="108"/>
    </row>
    <row r="143" spans="1:18" ht="12.75" customHeight="1" x14ac:dyDescent="0.2">
      <c r="A143" s="46"/>
      <c r="B143" s="108" t="s">
        <v>484</v>
      </c>
      <c r="C143" s="108"/>
      <c r="D143" s="108"/>
      <c r="E143" s="108"/>
      <c r="F143" s="108"/>
      <c r="G143" s="108"/>
      <c r="H143" s="108"/>
    </row>
    <row r="144" spans="1:18" ht="12.75" customHeight="1" x14ac:dyDescent="0.2">
      <c r="A144" s="46"/>
      <c r="B144" s="108" t="s">
        <v>485</v>
      </c>
      <c r="C144" s="108"/>
      <c r="D144" s="108"/>
      <c r="E144" s="108"/>
      <c r="F144" s="108"/>
      <c r="G144" s="108"/>
      <c r="H144" s="108"/>
    </row>
    <row r="145" spans="1:8" ht="12.75" customHeight="1" x14ac:dyDescent="0.2">
      <c r="A145" s="46"/>
      <c r="B145" s="119" t="s">
        <v>502</v>
      </c>
      <c r="C145" s="108"/>
      <c r="D145" s="108"/>
      <c r="E145" s="108"/>
      <c r="F145" s="108"/>
      <c r="G145" s="108"/>
      <c r="H145" s="108"/>
    </row>
    <row r="146" spans="1:8" ht="14.1" customHeight="1" x14ac:dyDescent="0.2">
      <c r="A146" s="18"/>
      <c r="B146" s="18"/>
      <c r="C146" s="18"/>
      <c r="D146" s="20"/>
      <c r="E146" s="20"/>
      <c r="F146" s="20"/>
      <c r="G146" s="20"/>
    </row>
    <row r="147" spans="1:8" ht="14.1" customHeight="1" x14ac:dyDescent="0.2">
      <c r="A147" s="18"/>
      <c r="B147" s="114" t="s">
        <v>92</v>
      </c>
      <c r="C147" s="115"/>
      <c r="D147" s="116"/>
      <c r="E147" s="21"/>
      <c r="F147" s="20"/>
      <c r="G147" s="20"/>
    </row>
    <row r="148" spans="1:8" ht="29.1" customHeight="1" x14ac:dyDescent="0.2">
      <c r="A148" s="18"/>
      <c r="B148" s="117" t="s">
        <v>93</v>
      </c>
      <c r="C148" s="118"/>
      <c r="D148" s="52" t="s">
        <v>540</v>
      </c>
      <c r="E148" s="21"/>
      <c r="F148" s="20"/>
      <c r="G148" s="20"/>
    </row>
    <row r="149" spans="1:8" ht="17.100000000000001" customHeight="1" x14ac:dyDescent="0.2">
      <c r="A149" s="18"/>
      <c r="B149" s="117" t="s">
        <v>95</v>
      </c>
      <c r="C149" s="118"/>
      <c r="D149" s="2" t="s">
        <v>94</v>
      </c>
      <c r="E149" s="21"/>
      <c r="F149" s="20"/>
      <c r="G149" s="20"/>
    </row>
    <row r="150" spans="1:8" ht="17.100000000000001" customHeight="1" x14ac:dyDescent="0.2">
      <c r="A150" s="18"/>
      <c r="B150" s="117" t="s">
        <v>96</v>
      </c>
      <c r="C150" s="118"/>
      <c r="D150" s="6" t="s">
        <v>12</v>
      </c>
      <c r="E150" s="21"/>
      <c r="F150" s="20"/>
      <c r="G150" s="20"/>
    </row>
    <row r="151" spans="1:8" ht="24" customHeight="1" x14ac:dyDescent="0.2">
      <c r="A151" s="22"/>
      <c r="B151" s="23" t="s">
        <v>12</v>
      </c>
      <c r="C151" s="23" t="s">
        <v>97</v>
      </c>
      <c r="D151" s="23" t="s">
        <v>98</v>
      </c>
      <c r="E151" s="22"/>
      <c r="F151" s="22"/>
      <c r="G151" s="22"/>
    </row>
    <row r="152" spans="1:8" ht="18" customHeight="1" x14ac:dyDescent="0.2">
      <c r="A152" s="22"/>
      <c r="B152" s="24" t="s">
        <v>99</v>
      </c>
      <c r="C152" s="23" t="s">
        <v>582</v>
      </c>
      <c r="D152" s="23" t="s">
        <v>100</v>
      </c>
      <c r="E152" s="22"/>
      <c r="F152" s="22"/>
      <c r="G152" s="22"/>
    </row>
    <row r="153" spans="1:8" ht="17.100000000000001" customHeight="1" x14ac:dyDescent="0.2">
      <c r="A153" s="22"/>
      <c r="B153" s="9" t="s">
        <v>101</v>
      </c>
      <c r="C153" s="25">
        <v>2158.8658</v>
      </c>
      <c r="D153" s="25">
        <v>2171.2984000000001</v>
      </c>
      <c r="E153" s="22"/>
      <c r="F153" s="19"/>
      <c r="G153" s="26"/>
    </row>
    <row r="154" spans="1:8" ht="17.100000000000001" customHeight="1" x14ac:dyDescent="0.2">
      <c r="A154" s="22"/>
      <c r="B154" s="9" t="s">
        <v>136</v>
      </c>
      <c r="C154" s="25">
        <v>1187.1831</v>
      </c>
      <c r="D154" s="25">
        <v>1194.0197000000001</v>
      </c>
      <c r="E154" s="22"/>
      <c r="F154" s="19"/>
      <c r="G154" s="26"/>
    </row>
    <row r="155" spans="1:8" ht="29.1" customHeight="1" x14ac:dyDescent="0.2">
      <c r="A155" s="22"/>
      <c r="B155" s="9" t="s">
        <v>552</v>
      </c>
      <c r="C155" s="25">
        <v>1000.6367</v>
      </c>
      <c r="D155" s="25">
        <v>1000.6367</v>
      </c>
      <c r="E155" s="22"/>
      <c r="F155" s="19"/>
      <c r="G155" s="26"/>
    </row>
    <row r="156" spans="1:8" ht="29.1" customHeight="1" x14ac:dyDescent="0.2">
      <c r="A156" s="22"/>
      <c r="B156" s="9" t="s">
        <v>553</v>
      </c>
      <c r="C156" s="25">
        <v>1008.3781</v>
      </c>
      <c r="D156" s="25">
        <v>1007.4222</v>
      </c>
      <c r="E156" s="22"/>
      <c r="F156" s="19"/>
      <c r="G156" s="26"/>
    </row>
    <row r="157" spans="1:8" ht="29.1" customHeight="1" x14ac:dyDescent="0.2">
      <c r="A157" s="22"/>
      <c r="B157" s="9" t="s">
        <v>558</v>
      </c>
      <c r="C157" s="25">
        <v>1025.5473</v>
      </c>
      <c r="D157" s="25">
        <v>1024.5707</v>
      </c>
      <c r="E157" s="22"/>
      <c r="F157" s="19"/>
      <c r="G157" s="26"/>
    </row>
    <row r="158" spans="1:8" ht="29.1" customHeight="1" x14ac:dyDescent="0.2">
      <c r="A158" s="22"/>
      <c r="B158" s="9" t="s">
        <v>543</v>
      </c>
      <c r="C158" s="25">
        <v>1027.0501999999999</v>
      </c>
      <c r="D158" s="25">
        <v>1027.2822000000001</v>
      </c>
      <c r="E158" s="22"/>
      <c r="F158" s="19"/>
      <c r="G158" s="26"/>
    </row>
    <row r="159" spans="1:8" ht="29.1" customHeight="1" x14ac:dyDescent="0.2">
      <c r="A159" s="22"/>
      <c r="B159" s="9" t="s">
        <v>544</v>
      </c>
      <c r="C159" s="25">
        <v>1113.8710000000001</v>
      </c>
      <c r="D159" s="25">
        <v>1112.7512999999999</v>
      </c>
      <c r="E159" s="22"/>
      <c r="F159" s="19"/>
      <c r="G159" s="26"/>
    </row>
    <row r="160" spans="1:8" ht="17.100000000000001" customHeight="1" x14ac:dyDescent="0.2">
      <c r="A160" s="22"/>
      <c r="B160" s="9" t="s">
        <v>102</v>
      </c>
      <c r="C160" s="25">
        <v>2138.3687</v>
      </c>
      <c r="D160" s="25">
        <v>2150.4355</v>
      </c>
      <c r="E160" s="22"/>
      <c r="F160" s="19"/>
      <c r="G160" s="26"/>
    </row>
    <row r="161" spans="1:7" ht="17.100000000000001" customHeight="1" x14ac:dyDescent="0.2">
      <c r="A161" s="22"/>
      <c r="B161" s="9" t="s">
        <v>138</v>
      </c>
      <c r="C161" s="25">
        <v>1183.6514999999999</v>
      </c>
      <c r="D161" s="25">
        <v>1190.3308999999999</v>
      </c>
      <c r="E161" s="22"/>
      <c r="F161" s="19"/>
      <c r="G161" s="26"/>
    </row>
    <row r="162" spans="1:7" ht="29.1" customHeight="1" x14ac:dyDescent="0.2">
      <c r="A162" s="22"/>
      <c r="B162" s="9" t="s">
        <v>555</v>
      </c>
      <c r="C162" s="25">
        <v>1000.8893</v>
      </c>
      <c r="D162" s="25">
        <v>1000.8893</v>
      </c>
      <c r="E162" s="22"/>
      <c r="F162" s="19"/>
      <c r="G162" s="26"/>
    </row>
    <row r="163" spans="1:7" ht="29.1" customHeight="1" x14ac:dyDescent="0.2">
      <c r="A163" s="22"/>
      <c r="B163" s="9" t="s">
        <v>556</v>
      </c>
      <c r="C163" s="25">
        <v>1007.8909</v>
      </c>
      <c r="D163" s="25">
        <v>1006.9559</v>
      </c>
      <c r="E163" s="22"/>
      <c r="F163" s="19"/>
      <c r="G163" s="26"/>
    </row>
    <row r="164" spans="1:7" ht="29.1" customHeight="1" x14ac:dyDescent="0.2">
      <c r="A164" s="22"/>
      <c r="B164" s="9" t="s">
        <v>557</v>
      </c>
      <c r="C164" s="25">
        <v>1025.4662000000001</v>
      </c>
      <c r="D164" s="25">
        <v>1024.5128</v>
      </c>
      <c r="E164" s="22"/>
      <c r="F164" s="19"/>
      <c r="G164" s="26"/>
    </row>
    <row r="165" spans="1:7" ht="29.1" customHeight="1" x14ac:dyDescent="0.2">
      <c r="A165" s="22"/>
      <c r="B165" s="9" t="s">
        <v>547</v>
      </c>
      <c r="C165" s="25">
        <v>1026.9395</v>
      </c>
      <c r="D165" s="25">
        <v>1027.1632</v>
      </c>
      <c r="E165" s="22"/>
      <c r="F165" s="19"/>
      <c r="G165" s="26"/>
    </row>
    <row r="166" spans="1:7" ht="29.1" customHeight="1" x14ac:dyDescent="0.2">
      <c r="A166" s="22"/>
      <c r="B166" s="9" t="s">
        <v>548</v>
      </c>
      <c r="C166" s="25">
        <v>1110.825</v>
      </c>
      <c r="D166" s="25">
        <v>1109.5608</v>
      </c>
      <c r="E166" s="22"/>
      <c r="F166" s="19"/>
      <c r="G166" s="26"/>
    </row>
    <row r="167" spans="1:7" ht="14.1" customHeight="1" x14ac:dyDescent="0.2">
      <c r="A167" s="22"/>
      <c r="B167" s="22"/>
      <c r="C167" s="22"/>
      <c r="D167" s="22"/>
      <c r="E167" s="22"/>
      <c r="F167" s="22"/>
      <c r="G167" s="22"/>
    </row>
    <row r="168" spans="1:7" ht="17.100000000000001" customHeight="1" x14ac:dyDescent="0.2">
      <c r="A168" s="22"/>
      <c r="B168" s="117" t="s">
        <v>551</v>
      </c>
      <c r="C168" s="118"/>
      <c r="D168" s="2" t="s">
        <v>12</v>
      </c>
      <c r="E168" s="22"/>
      <c r="F168" s="22"/>
      <c r="G168" s="22"/>
    </row>
    <row r="169" spans="1:7" ht="18" customHeight="1" x14ac:dyDescent="0.2">
      <c r="A169" s="22"/>
      <c r="B169" s="27" t="s">
        <v>99</v>
      </c>
      <c r="C169" s="28" t="s">
        <v>103</v>
      </c>
      <c r="D169" s="28" t="s">
        <v>104</v>
      </c>
      <c r="E169" s="22"/>
      <c r="F169" s="22"/>
      <c r="G169" s="22"/>
    </row>
    <row r="170" spans="1:7" ht="29.1" customHeight="1" x14ac:dyDescent="0.2">
      <c r="A170" s="22"/>
      <c r="B170" s="9" t="s">
        <v>552</v>
      </c>
      <c r="C170" s="29">
        <v>5.7481470000000003</v>
      </c>
      <c r="D170" s="29">
        <v>5.7481470000000003</v>
      </c>
      <c r="E170" s="22"/>
      <c r="F170" s="19"/>
      <c r="G170" s="26"/>
    </row>
    <row r="171" spans="1:7" ht="29.1" customHeight="1" x14ac:dyDescent="0.2">
      <c r="A171" s="22"/>
      <c r="B171" s="9" t="s">
        <v>553</v>
      </c>
      <c r="C171" s="29">
        <v>5.3945999999999996</v>
      </c>
      <c r="D171" s="13" t="s">
        <v>105</v>
      </c>
      <c r="E171" s="22"/>
      <c r="F171" s="19"/>
      <c r="G171" s="26"/>
    </row>
    <row r="172" spans="1:7" ht="29.1" customHeight="1" x14ac:dyDescent="0.2">
      <c r="A172" s="22"/>
      <c r="B172" s="9" t="s">
        <v>558</v>
      </c>
      <c r="C172" s="29">
        <v>6.8663999999999996</v>
      </c>
      <c r="D172" s="13" t="s">
        <v>105</v>
      </c>
      <c r="E172" s="22"/>
      <c r="F172" s="19"/>
      <c r="G172" s="26"/>
    </row>
    <row r="173" spans="1:7" ht="29.1" customHeight="1" x14ac:dyDescent="0.2">
      <c r="A173" s="22"/>
      <c r="B173" s="9" t="s">
        <v>543</v>
      </c>
      <c r="C173" s="29">
        <v>5.6669999999999998</v>
      </c>
      <c r="D173" s="13" t="s">
        <v>105</v>
      </c>
      <c r="E173" s="22"/>
      <c r="F173" s="19"/>
      <c r="G173" s="26"/>
    </row>
    <row r="174" spans="1:7" ht="29.1" customHeight="1" x14ac:dyDescent="0.2">
      <c r="A174" s="22"/>
      <c r="B174" s="9" t="s">
        <v>544</v>
      </c>
      <c r="C174" s="29">
        <v>7.5</v>
      </c>
      <c r="D174" s="13" t="s">
        <v>105</v>
      </c>
      <c r="E174" s="22"/>
      <c r="F174" s="19"/>
      <c r="G174" s="26"/>
    </row>
    <row r="175" spans="1:7" ht="29.1" customHeight="1" x14ac:dyDescent="0.2">
      <c r="A175" s="22"/>
      <c r="B175" s="9" t="s">
        <v>555</v>
      </c>
      <c r="C175" s="29">
        <v>5.6338530000000002</v>
      </c>
      <c r="D175" s="29">
        <v>5.6338530000000002</v>
      </c>
      <c r="E175" s="22"/>
      <c r="F175" s="19"/>
      <c r="G175" s="26"/>
    </row>
    <row r="176" spans="1:7" ht="29.1" customHeight="1" x14ac:dyDescent="0.2">
      <c r="A176" s="22"/>
      <c r="B176" s="9" t="s">
        <v>556</v>
      </c>
      <c r="C176" s="29">
        <v>5.2892999999999999</v>
      </c>
      <c r="D176" s="29">
        <v>5.2892999999999999</v>
      </c>
      <c r="E176" s="22"/>
      <c r="F176" s="19"/>
      <c r="G176" s="26"/>
    </row>
    <row r="177" spans="1:17" ht="29.1" customHeight="1" x14ac:dyDescent="0.2">
      <c r="A177" s="22"/>
      <c r="B177" s="9" t="s">
        <v>557</v>
      </c>
      <c r="C177" s="29">
        <v>6.7294</v>
      </c>
      <c r="D177" s="13" t="s">
        <v>105</v>
      </c>
      <c r="E177" s="22"/>
      <c r="F177" s="19"/>
      <c r="G177" s="26"/>
    </row>
    <row r="178" spans="1:17" ht="29.1" customHeight="1" x14ac:dyDescent="0.2">
      <c r="A178" s="22"/>
      <c r="B178" s="9" t="s">
        <v>547</v>
      </c>
      <c r="C178" s="29">
        <v>5.5560999999999998</v>
      </c>
      <c r="D178" s="13" t="s">
        <v>105</v>
      </c>
      <c r="E178" s="22"/>
      <c r="F178" s="19"/>
      <c r="G178" s="26"/>
    </row>
    <row r="179" spans="1:17" ht="29.1" customHeight="1" x14ac:dyDescent="0.2">
      <c r="A179" s="22"/>
      <c r="B179" s="9" t="s">
        <v>548</v>
      </c>
      <c r="C179" s="29">
        <v>7.5</v>
      </c>
      <c r="D179" s="13" t="s">
        <v>105</v>
      </c>
      <c r="E179" s="22"/>
      <c r="F179" s="19"/>
      <c r="G179" s="26"/>
    </row>
    <row r="180" spans="1:17" ht="14.1" customHeight="1" x14ac:dyDescent="0.2">
      <c r="A180" s="55"/>
      <c r="B180" s="47"/>
      <c r="C180" s="47"/>
      <c r="D180" s="55"/>
      <c r="E180" s="55"/>
      <c r="F180" s="55"/>
      <c r="G180" s="55"/>
      <c r="L180" s="41"/>
      <c r="M180" s="41"/>
      <c r="N180" s="41"/>
      <c r="O180" s="59"/>
    </row>
    <row r="181" spans="1:17" s="60" customFormat="1" ht="17.100000000000001" customHeight="1" x14ac:dyDescent="0.2">
      <c r="A181" s="58"/>
      <c r="B181" s="112" t="s">
        <v>514</v>
      </c>
      <c r="C181" s="113"/>
      <c r="D181" s="52" t="s">
        <v>94</v>
      </c>
      <c r="E181" s="58"/>
      <c r="F181" s="58"/>
      <c r="G181" s="58"/>
      <c r="I181"/>
      <c r="J181" s="37"/>
      <c r="K181"/>
      <c r="L181" s="41"/>
      <c r="M181" s="41"/>
      <c r="N181" s="41"/>
      <c r="O181" s="59"/>
      <c r="P181"/>
      <c r="Q181"/>
    </row>
    <row r="182" spans="1:17" s="60" customFormat="1" ht="29.1" customHeight="1" x14ac:dyDescent="0.2">
      <c r="A182" s="58"/>
      <c r="B182" s="112" t="s">
        <v>515</v>
      </c>
      <c r="C182" s="113"/>
      <c r="D182" s="52" t="s">
        <v>94</v>
      </c>
      <c r="E182" s="61"/>
      <c r="F182" s="58"/>
      <c r="G182" s="58"/>
      <c r="I182"/>
      <c r="J182" s="37"/>
      <c r="K182"/>
      <c r="L182" s="41"/>
      <c r="M182" s="41"/>
      <c r="N182" s="41"/>
      <c r="O182" s="59"/>
      <c r="P182"/>
      <c r="Q182"/>
    </row>
    <row r="183" spans="1:17" s="60" customFormat="1" ht="29.1" customHeight="1" x14ac:dyDescent="0.2">
      <c r="A183" s="58"/>
      <c r="B183" s="112" t="s">
        <v>516</v>
      </c>
      <c r="C183" s="113"/>
      <c r="D183" s="52" t="s">
        <v>94</v>
      </c>
      <c r="E183" s="61"/>
      <c r="F183" s="58"/>
      <c r="G183" s="58"/>
      <c r="I183"/>
      <c r="J183" s="37"/>
      <c r="K183"/>
      <c r="L183" s="41"/>
      <c r="M183" s="41"/>
      <c r="N183" s="41"/>
      <c r="O183" s="59"/>
      <c r="P183"/>
      <c r="Q183"/>
    </row>
    <row r="184" spans="1:17" s="60" customFormat="1" ht="17.100000000000001" customHeight="1" x14ac:dyDescent="0.2">
      <c r="A184" s="58"/>
      <c r="B184" s="112" t="s">
        <v>517</v>
      </c>
      <c r="C184" s="113"/>
      <c r="D184" s="52" t="s">
        <v>94</v>
      </c>
      <c r="E184" s="61"/>
      <c r="F184" s="58"/>
      <c r="G184" s="58"/>
      <c r="I184"/>
      <c r="J184" s="37"/>
      <c r="K184" s="41"/>
      <c r="L184" s="41"/>
      <c r="M184" s="41"/>
      <c r="N184" s="41"/>
      <c r="O184" s="59"/>
      <c r="P184"/>
      <c r="Q184"/>
    </row>
    <row r="185" spans="1:17" s="60" customFormat="1" x14ac:dyDescent="0.2">
      <c r="I185"/>
      <c r="J185" s="37"/>
      <c r="K185"/>
      <c r="L185" s="41"/>
      <c r="M185" s="41"/>
      <c r="N185" s="41"/>
      <c r="O185" s="59"/>
      <c r="P185"/>
      <c r="Q185"/>
    </row>
    <row r="186" spans="1:17" s="60" customFormat="1" x14ac:dyDescent="0.2">
      <c r="B186" s="78" t="s">
        <v>541</v>
      </c>
      <c r="C186" s="78"/>
      <c r="D186" s="78"/>
      <c r="E186" s="78"/>
      <c r="F186" s="78"/>
      <c r="G186" s="78"/>
      <c r="I186"/>
      <c r="J186" s="37"/>
      <c r="K186"/>
      <c r="L186" s="41"/>
      <c r="M186" s="41"/>
      <c r="N186" s="41"/>
      <c r="O186" s="59"/>
      <c r="P186"/>
      <c r="Q186"/>
    </row>
    <row r="187" spans="1:17" s="60" customFormat="1" x14ac:dyDescent="0.2">
      <c r="B187" s="78"/>
      <c r="C187" s="78"/>
      <c r="D187" s="78"/>
      <c r="E187" s="78"/>
      <c r="F187" s="78"/>
      <c r="G187" s="78"/>
      <c r="I187"/>
      <c r="J187" s="37"/>
      <c r="K187"/>
      <c r="L187" s="41"/>
      <c r="M187" s="41"/>
      <c r="N187" s="41"/>
      <c r="O187" s="59"/>
      <c r="P187"/>
      <c r="Q187"/>
    </row>
    <row r="188" spans="1:17" s="60" customFormat="1" ht="38.25" x14ac:dyDescent="0.2">
      <c r="B188" s="85" t="s">
        <v>533</v>
      </c>
      <c r="C188" s="85" t="s">
        <v>532</v>
      </c>
      <c r="D188" s="85" t="s">
        <v>538</v>
      </c>
      <c r="E188" s="85" t="s">
        <v>539</v>
      </c>
      <c r="F188" s="85" t="s">
        <v>534</v>
      </c>
      <c r="I188"/>
      <c r="J188" s="37"/>
      <c r="K188"/>
      <c r="L188" s="41"/>
      <c r="M188" s="41"/>
      <c r="N188" s="41"/>
      <c r="O188" s="59"/>
      <c r="P188"/>
      <c r="Q188"/>
    </row>
    <row r="189" spans="1:17" s="60" customFormat="1" ht="25.5" x14ac:dyDescent="0.2">
      <c r="B189" s="63" t="s">
        <v>536</v>
      </c>
      <c r="C189" s="81" t="s">
        <v>535</v>
      </c>
      <c r="D189" s="86">
        <v>0</v>
      </c>
      <c r="E189" s="87">
        <v>0</v>
      </c>
      <c r="F189" s="84">
        <v>5650</v>
      </c>
      <c r="I189"/>
      <c r="J189" s="37"/>
      <c r="K189" s="41"/>
      <c r="L189" s="41"/>
      <c r="M189" s="41"/>
      <c r="N189" s="41"/>
      <c r="O189" s="59"/>
      <c r="P189"/>
      <c r="Q189"/>
    </row>
    <row r="190" spans="1:17" s="60" customFormat="1" x14ac:dyDescent="0.2">
      <c r="I190"/>
      <c r="J190" s="37"/>
      <c r="K190" s="41"/>
      <c r="L190" s="41"/>
      <c r="M190" s="41"/>
      <c r="N190" s="41"/>
      <c r="O190" s="59"/>
      <c r="P190"/>
      <c r="Q190"/>
    </row>
    <row r="191" spans="1:17" s="60" customFormat="1" x14ac:dyDescent="0.2">
      <c r="B191" s="109" t="s">
        <v>504</v>
      </c>
      <c r="C191" s="110"/>
      <c r="D191" s="111"/>
      <c r="I191"/>
      <c r="J191" s="37"/>
      <c r="K191" s="41"/>
      <c r="L191" s="41"/>
      <c r="M191" s="41"/>
      <c r="N191" s="41"/>
      <c r="O191" s="59"/>
    </row>
    <row r="192" spans="1:17" s="60" customFormat="1" ht="25.5" x14ac:dyDescent="0.2">
      <c r="B192" s="103" t="s">
        <v>505</v>
      </c>
      <c r="C192" s="103"/>
      <c r="D192" s="62" t="s">
        <v>235</v>
      </c>
      <c r="I192"/>
      <c r="J192" s="37"/>
      <c r="K192" s="41"/>
      <c r="L192" s="41"/>
      <c r="M192" s="41"/>
      <c r="N192" s="41"/>
      <c r="O192" s="59"/>
    </row>
    <row r="193" spans="2:15" s="60" customFormat="1" x14ac:dyDescent="0.2">
      <c r="B193" s="103" t="s">
        <v>506</v>
      </c>
      <c r="C193" s="103"/>
      <c r="D193" s="63"/>
      <c r="I193"/>
      <c r="J193" s="37"/>
      <c r="K193" s="41"/>
      <c r="L193" s="41"/>
      <c r="M193" s="41"/>
      <c r="N193" s="41"/>
      <c r="O193" s="59"/>
    </row>
    <row r="194" spans="2:15" s="60" customFormat="1" x14ac:dyDescent="0.2">
      <c r="B194" s="103"/>
      <c r="C194" s="103"/>
      <c r="D194" s="64"/>
      <c r="I194"/>
      <c r="J194" s="37"/>
      <c r="K194" s="41"/>
      <c r="L194" s="41"/>
      <c r="M194" s="41"/>
      <c r="N194" s="41"/>
      <c r="O194" s="59"/>
    </row>
    <row r="195" spans="2:15" s="60" customFormat="1" x14ac:dyDescent="0.2">
      <c r="B195" s="103" t="s">
        <v>507</v>
      </c>
      <c r="C195" s="103"/>
      <c r="D195" s="65">
        <v>7.2773187048048023</v>
      </c>
      <c r="I195"/>
      <c r="J195" s="37"/>
      <c r="K195" s="41"/>
      <c r="L195" s="41"/>
      <c r="M195" s="41"/>
      <c r="N195" s="41"/>
      <c r="O195" s="59"/>
    </row>
    <row r="196" spans="2:15" s="60" customFormat="1" x14ac:dyDescent="0.2">
      <c r="B196" s="103"/>
      <c r="C196" s="103"/>
      <c r="D196" s="64"/>
      <c r="I196"/>
      <c r="J196" s="37"/>
      <c r="K196" s="41"/>
      <c r="L196" s="41"/>
      <c r="M196" s="41"/>
      <c r="N196" s="41"/>
      <c r="O196"/>
    </row>
    <row r="197" spans="2:15" s="60" customFormat="1" x14ac:dyDescent="0.2">
      <c r="B197" s="103" t="s">
        <v>530</v>
      </c>
      <c r="C197" s="103"/>
      <c r="D197" s="65">
        <v>0.14613205666078463</v>
      </c>
      <c r="I197"/>
      <c r="J197" s="37"/>
      <c r="K197" s="41"/>
      <c r="L197" s="41"/>
      <c r="M197" s="41"/>
      <c r="N197" s="41"/>
      <c r="O197"/>
    </row>
    <row r="198" spans="2:15" s="60" customFormat="1" x14ac:dyDescent="0.2">
      <c r="B198" s="103" t="s">
        <v>531</v>
      </c>
      <c r="C198" s="103"/>
      <c r="D198" s="65">
        <v>0.14619179427185433</v>
      </c>
      <c r="I198"/>
      <c r="J198" s="37"/>
      <c r="K198" s="41"/>
      <c r="L198" s="41"/>
      <c r="M198" s="41"/>
      <c r="N198" s="41"/>
      <c r="O198"/>
    </row>
    <row r="199" spans="2:15" s="60" customFormat="1" x14ac:dyDescent="0.2">
      <c r="B199" s="103"/>
      <c r="C199" s="103"/>
      <c r="D199" s="64"/>
      <c r="I199"/>
      <c r="J199" s="37"/>
      <c r="K199" s="41"/>
      <c r="L199" s="41"/>
      <c r="M199" s="41"/>
      <c r="N199" s="41"/>
      <c r="O199"/>
    </row>
    <row r="200" spans="2:15" s="60" customFormat="1" x14ac:dyDescent="0.2">
      <c r="B200" s="103" t="s">
        <v>510</v>
      </c>
      <c r="C200" s="103"/>
      <c r="D200" s="66">
        <v>45473</v>
      </c>
      <c r="I200"/>
      <c r="J200" s="37"/>
      <c r="K200" s="41"/>
      <c r="L200" s="41"/>
      <c r="M200" s="41"/>
      <c r="N200" s="41"/>
      <c r="O200"/>
    </row>
    <row r="201" spans="2:15" s="60" customFormat="1" x14ac:dyDescent="0.2">
      <c r="B201" s="104" t="s">
        <v>511</v>
      </c>
      <c r="C201" s="106"/>
      <c r="D201" s="105"/>
      <c r="I201"/>
      <c r="J201" s="37"/>
      <c r="K201" s="41"/>
      <c r="L201" s="41"/>
      <c r="M201" s="41"/>
      <c r="N201" s="41"/>
      <c r="O201"/>
    </row>
    <row r="202" spans="2:15" x14ac:dyDescent="0.2">
      <c r="K202" s="41"/>
    </row>
    <row r="203" spans="2:15" x14ac:dyDescent="0.2">
      <c r="K203" s="41"/>
    </row>
    <row r="204" spans="2:15" x14ac:dyDescent="0.2">
      <c r="K204" s="41"/>
    </row>
  </sheetData>
  <mergeCells count="27">
    <mergeCell ref="B144:H144"/>
    <mergeCell ref="B182:C182"/>
    <mergeCell ref="B183:C183"/>
    <mergeCell ref="B184:C184"/>
    <mergeCell ref="B147:D147"/>
    <mergeCell ref="B148:C148"/>
    <mergeCell ref="B149:C149"/>
    <mergeCell ref="B150:C150"/>
    <mergeCell ref="B181:C181"/>
    <mergeCell ref="B145:H145"/>
    <mergeCell ref="B168:C168"/>
    <mergeCell ref="A1:H1"/>
    <mergeCell ref="A2:H2"/>
    <mergeCell ref="A3:H3"/>
    <mergeCell ref="B142:H142"/>
    <mergeCell ref="B143:H143"/>
    <mergeCell ref="B191:D191"/>
    <mergeCell ref="B192:C192"/>
    <mergeCell ref="B193:C193"/>
    <mergeCell ref="B194:C194"/>
    <mergeCell ref="B200:C200"/>
    <mergeCell ref="B201:D201"/>
    <mergeCell ref="B195:C195"/>
    <mergeCell ref="B196:C196"/>
    <mergeCell ref="B197:C197"/>
    <mergeCell ref="B198:C198"/>
    <mergeCell ref="B199:C199"/>
  </mergeCells>
  <hyperlinks>
    <hyperlink ref="I1" location="Index!B6" display="Index" xr:uid="{158B47E7-1A0B-4940-82B4-35E2FE27780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DC255-72DF-418C-A5CC-8A6CC165BF1E}">
  <sheetPr>
    <outlinePr summaryBelow="0" summaryRight="0"/>
  </sheetPr>
  <dimension ref="A1:R153"/>
  <sheetViews>
    <sheetView showGridLines="0" workbookViewId="0">
      <selection activeCell="I127" sqref="I1:J1048576"/>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50.7109375" style="37" customWidth="1"/>
  </cols>
  <sheetData>
    <row r="1" spans="1:11" ht="18" customHeight="1" x14ac:dyDescent="0.2">
      <c r="A1" s="107" t="s">
        <v>0</v>
      </c>
      <c r="B1" s="107"/>
      <c r="C1" s="107"/>
      <c r="D1" s="107"/>
      <c r="E1" s="107"/>
      <c r="F1" s="107"/>
      <c r="G1" s="107"/>
      <c r="H1" s="107"/>
      <c r="I1" s="92" t="s">
        <v>560</v>
      </c>
    </row>
    <row r="2" spans="1:11" ht="17.100000000000001" customHeight="1" x14ac:dyDescent="0.2">
      <c r="A2" s="107" t="s">
        <v>361</v>
      </c>
      <c r="B2" s="107"/>
      <c r="C2" s="107"/>
      <c r="D2" s="107"/>
      <c r="E2" s="107"/>
      <c r="F2" s="107"/>
      <c r="G2" s="107"/>
      <c r="H2" s="107"/>
      <c r="J2" s="93" t="s">
        <v>561</v>
      </c>
    </row>
    <row r="3" spans="1:11" ht="21" customHeight="1" x14ac:dyDescent="0.2">
      <c r="A3" s="107" t="s">
        <v>588</v>
      </c>
      <c r="B3" s="107"/>
      <c r="C3" s="107"/>
      <c r="D3" s="107"/>
      <c r="E3" s="107"/>
      <c r="F3" s="107"/>
      <c r="G3" s="107"/>
      <c r="H3" s="107"/>
    </row>
    <row r="4" spans="1:11" ht="30" x14ac:dyDescent="0.2">
      <c r="A4" s="53" t="s">
        <v>2</v>
      </c>
      <c r="B4" s="53" t="s">
        <v>3</v>
      </c>
      <c r="C4" s="53" t="s">
        <v>4</v>
      </c>
      <c r="D4" s="53" t="s">
        <v>5</v>
      </c>
      <c r="E4" s="53" t="s">
        <v>6</v>
      </c>
      <c r="F4" s="53" t="s">
        <v>7</v>
      </c>
      <c r="G4" s="53" t="s">
        <v>8</v>
      </c>
      <c r="H4" s="51" t="s">
        <v>500</v>
      </c>
      <c r="I4" s="94"/>
      <c r="K4" s="94"/>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5"/>
    </row>
    <row r="13" spans="1:11" ht="14.1" customHeight="1" x14ac:dyDescent="0.2">
      <c r="A13" s="1"/>
      <c r="B13" s="1"/>
      <c r="C13" s="2" t="s">
        <v>11</v>
      </c>
      <c r="D13" s="1"/>
      <c r="E13" s="1" t="s">
        <v>12</v>
      </c>
      <c r="F13" s="3" t="s">
        <v>13</v>
      </c>
      <c r="G13" s="4">
        <v>0</v>
      </c>
      <c r="H13" s="36"/>
      <c r="J13" s="96"/>
    </row>
    <row r="14" spans="1:11" ht="25.5" x14ac:dyDescent="0.2">
      <c r="A14" s="1"/>
      <c r="B14" s="1"/>
      <c r="C14" s="5"/>
      <c r="D14" s="1"/>
      <c r="E14" s="1"/>
      <c r="F14" s="6"/>
      <c r="G14" s="6"/>
      <c r="H14" s="36"/>
      <c r="J14" s="37" t="s">
        <v>573</v>
      </c>
    </row>
    <row r="15" spans="1:11" ht="14.1" customHeight="1" x14ac:dyDescent="0.2">
      <c r="A15" s="1"/>
      <c r="B15" s="1"/>
      <c r="C15" s="2" t="s">
        <v>16</v>
      </c>
      <c r="D15" s="1"/>
      <c r="E15" s="1"/>
      <c r="F15" s="1"/>
      <c r="G15" s="1"/>
      <c r="H15" s="36"/>
      <c r="J15" s="96"/>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5"/>
    </row>
    <row r="23" spans="1:10" ht="14.1" customHeight="1" x14ac:dyDescent="0.2">
      <c r="A23" s="1"/>
      <c r="B23" s="1"/>
      <c r="C23" s="5"/>
      <c r="D23" s="1"/>
      <c r="E23" s="1"/>
      <c r="F23" s="6"/>
      <c r="G23" s="6"/>
      <c r="H23" s="36"/>
      <c r="J23" s="96"/>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c r="J27" s="37" t="s">
        <v>574</v>
      </c>
    </row>
    <row r="28" spans="1:10" ht="17.100000000000001" customHeight="1" x14ac:dyDescent="0.2">
      <c r="A28" s="8">
        <v>1</v>
      </c>
      <c r="B28" s="9" t="s">
        <v>362</v>
      </c>
      <c r="C28" s="9" t="s">
        <v>363</v>
      </c>
      <c r="D28" s="9" t="s">
        <v>23</v>
      </c>
      <c r="E28" s="10">
        <v>1000</v>
      </c>
      <c r="F28" s="11">
        <v>1017.053</v>
      </c>
      <c r="G28" s="12">
        <v>5.4267639999999999E-2</v>
      </c>
      <c r="H28" s="36">
        <v>7.41</v>
      </c>
      <c r="J28" s="96"/>
    </row>
    <row r="29" spans="1:10" ht="29.1" customHeight="1" x14ac:dyDescent="0.2">
      <c r="A29" s="8">
        <v>2</v>
      </c>
      <c r="B29" s="9" t="s">
        <v>364</v>
      </c>
      <c r="C29" s="9" t="s">
        <v>365</v>
      </c>
      <c r="D29" s="9" t="s">
        <v>23</v>
      </c>
      <c r="E29" s="10">
        <v>1000</v>
      </c>
      <c r="F29" s="11">
        <v>1005.011</v>
      </c>
      <c r="G29" s="12">
        <v>5.3625109999999997E-2</v>
      </c>
      <c r="H29" s="36">
        <v>7.5987999999999998</v>
      </c>
    </row>
    <row r="30" spans="1:10" ht="29.1" customHeight="1" x14ac:dyDescent="0.2">
      <c r="A30" s="8">
        <v>3</v>
      </c>
      <c r="B30" s="9" t="s">
        <v>33</v>
      </c>
      <c r="C30" s="9" t="s">
        <v>34</v>
      </c>
      <c r="D30" s="9" t="s">
        <v>23</v>
      </c>
      <c r="E30" s="10">
        <v>1000</v>
      </c>
      <c r="F30" s="11">
        <v>998.28300000000002</v>
      </c>
      <c r="G30" s="12">
        <v>5.326612E-2</v>
      </c>
      <c r="H30" s="36">
        <v>7.6550000000000002</v>
      </c>
    </row>
    <row r="31" spans="1:10" ht="29.1" customHeight="1" x14ac:dyDescent="0.2">
      <c r="A31" s="8">
        <v>4</v>
      </c>
      <c r="B31" s="9" t="s">
        <v>129</v>
      </c>
      <c r="C31" s="9" t="s">
        <v>130</v>
      </c>
      <c r="D31" s="9" t="s">
        <v>32</v>
      </c>
      <c r="E31" s="10">
        <v>100</v>
      </c>
      <c r="F31" s="11">
        <v>995.11599999999999</v>
      </c>
      <c r="G31" s="12">
        <v>5.3097129999999999E-2</v>
      </c>
      <c r="H31" s="36">
        <v>7.8049999999999997</v>
      </c>
    </row>
    <row r="32" spans="1:10" ht="17.100000000000001" customHeight="1" x14ac:dyDescent="0.2">
      <c r="A32" s="8">
        <v>5</v>
      </c>
      <c r="B32" s="9" t="s">
        <v>195</v>
      </c>
      <c r="C32" s="9" t="s">
        <v>196</v>
      </c>
      <c r="D32" s="9" t="s">
        <v>197</v>
      </c>
      <c r="E32" s="10">
        <v>700</v>
      </c>
      <c r="F32" s="11">
        <v>701.3741</v>
      </c>
      <c r="G32" s="12">
        <v>3.7423730000000002E-2</v>
      </c>
      <c r="H32" s="36">
        <v>8.6775000000000002</v>
      </c>
    </row>
    <row r="33" spans="1:8" ht="29.1" customHeight="1" x14ac:dyDescent="0.2">
      <c r="A33" s="8">
        <v>6</v>
      </c>
      <c r="B33" s="9" t="s">
        <v>59</v>
      </c>
      <c r="C33" s="9" t="s">
        <v>60</v>
      </c>
      <c r="D33" s="9" t="s">
        <v>23</v>
      </c>
      <c r="E33" s="10">
        <v>50</v>
      </c>
      <c r="F33" s="11">
        <v>500.99299999999999</v>
      </c>
      <c r="G33" s="12">
        <v>2.6731850000000001E-2</v>
      </c>
      <c r="H33" s="36">
        <v>7.86</v>
      </c>
    </row>
    <row r="34" spans="1:8" ht="29.1" customHeight="1" x14ac:dyDescent="0.2">
      <c r="A34" s="8">
        <v>7</v>
      </c>
      <c r="B34" s="9" t="s">
        <v>192</v>
      </c>
      <c r="C34" s="9" t="s">
        <v>193</v>
      </c>
      <c r="D34" s="9" t="s">
        <v>194</v>
      </c>
      <c r="E34" s="10">
        <v>500</v>
      </c>
      <c r="F34" s="11">
        <v>500.06700000000001</v>
      </c>
      <c r="G34" s="12">
        <v>2.6682440000000002E-2</v>
      </c>
      <c r="H34" s="36">
        <v>7.6749999999999998</v>
      </c>
    </row>
    <row r="35" spans="1:8" ht="29.1" customHeight="1" x14ac:dyDescent="0.2">
      <c r="A35" s="8">
        <v>8</v>
      </c>
      <c r="B35" s="9" t="s">
        <v>113</v>
      </c>
      <c r="C35" s="9" t="s">
        <v>114</v>
      </c>
      <c r="D35" s="9" t="s">
        <v>23</v>
      </c>
      <c r="E35" s="10">
        <v>500</v>
      </c>
      <c r="F35" s="11">
        <v>499.87</v>
      </c>
      <c r="G35" s="12">
        <v>2.667193E-2</v>
      </c>
      <c r="H35" s="36">
        <v>7.6006</v>
      </c>
    </row>
    <row r="36" spans="1:8" ht="29.1" customHeight="1" x14ac:dyDescent="0.2">
      <c r="A36" s="8">
        <v>9</v>
      </c>
      <c r="B36" s="9" t="s">
        <v>61</v>
      </c>
      <c r="C36" s="9" t="s">
        <v>62</v>
      </c>
      <c r="D36" s="9" t="s">
        <v>23</v>
      </c>
      <c r="E36" s="10">
        <v>500</v>
      </c>
      <c r="F36" s="11">
        <v>499.2</v>
      </c>
      <c r="G36" s="12">
        <v>2.6636179999999999E-2</v>
      </c>
      <c r="H36" s="36">
        <v>8.1950000000000003</v>
      </c>
    </row>
    <row r="37" spans="1:8" ht="17.100000000000001" customHeight="1" x14ac:dyDescent="0.2">
      <c r="A37" s="8">
        <v>10</v>
      </c>
      <c r="B37" s="9" t="s">
        <v>366</v>
      </c>
      <c r="C37" s="9" t="s">
        <v>367</v>
      </c>
      <c r="D37" s="9" t="s">
        <v>23</v>
      </c>
      <c r="E37" s="10">
        <v>500</v>
      </c>
      <c r="F37" s="11">
        <v>498.036</v>
      </c>
      <c r="G37" s="12">
        <v>2.6574070000000002E-2</v>
      </c>
      <c r="H37" s="36">
        <v>7.71</v>
      </c>
    </row>
    <row r="38" spans="1:8" ht="29.1" customHeight="1" x14ac:dyDescent="0.2">
      <c r="A38" s="8">
        <v>11</v>
      </c>
      <c r="B38" s="9" t="s">
        <v>43</v>
      </c>
      <c r="C38" s="9" t="s">
        <v>44</v>
      </c>
      <c r="D38" s="9" t="s">
        <v>23</v>
      </c>
      <c r="E38" s="10">
        <v>50</v>
      </c>
      <c r="F38" s="11">
        <v>494.75150000000002</v>
      </c>
      <c r="G38" s="12">
        <v>2.639882E-2</v>
      </c>
      <c r="H38" s="36">
        <v>7.7</v>
      </c>
    </row>
    <row r="39" spans="1:8" ht="29.1" customHeight="1" x14ac:dyDescent="0.2">
      <c r="A39" s="8">
        <v>12</v>
      </c>
      <c r="B39" s="9" t="s">
        <v>368</v>
      </c>
      <c r="C39" s="9" t="s">
        <v>369</v>
      </c>
      <c r="D39" s="9" t="s">
        <v>23</v>
      </c>
      <c r="E39" s="10">
        <v>50</v>
      </c>
      <c r="F39" s="11">
        <v>482.38749999999999</v>
      </c>
      <c r="G39" s="12">
        <v>2.5739100000000001E-2</v>
      </c>
      <c r="H39" s="36">
        <v>7.98</v>
      </c>
    </row>
    <row r="40" spans="1:8" ht="14.1" customHeight="1" x14ac:dyDescent="0.2">
      <c r="A40" s="1"/>
      <c r="B40" s="1"/>
      <c r="C40" s="2" t="s">
        <v>11</v>
      </c>
      <c r="D40" s="1"/>
      <c r="E40" s="1" t="s">
        <v>12</v>
      </c>
      <c r="F40" s="7">
        <v>8192.1420999999991</v>
      </c>
      <c r="G40" s="4">
        <v>0.43711411999999999</v>
      </c>
      <c r="H40" s="36"/>
    </row>
    <row r="41" spans="1:8" ht="14.1" customHeight="1" x14ac:dyDescent="0.2">
      <c r="A41" s="1"/>
      <c r="B41" s="1"/>
      <c r="C41" s="5"/>
      <c r="D41" s="1"/>
      <c r="E41" s="1"/>
      <c r="F41" s="6"/>
      <c r="G41" s="6"/>
      <c r="H41" s="36"/>
    </row>
    <row r="42" spans="1:8" ht="14.1" customHeight="1" x14ac:dyDescent="0.2">
      <c r="A42" s="1"/>
      <c r="B42" s="1"/>
      <c r="C42" s="2" t="s">
        <v>63</v>
      </c>
      <c r="D42" s="1"/>
      <c r="E42" s="1"/>
      <c r="F42" s="1"/>
      <c r="G42" s="1"/>
      <c r="H42" s="36"/>
    </row>
    <row r="43" spans="1:8" ht="14.1" customHeight="1" x14ac:dyDescent="0.2">
      <c r="A43" s="1"/>
      <c r="B43" s="1"/>
      <c r="C43" s="2" t="s">
        <v>11</v>
      </c>
      <c r="D43" s="1"/>
      <c r="E43" s="1" t="s">
        <v>12</v>
      </c>
      <c r="F43" s="3" t="s">
        <v>13</v>
      </c>
      <c r="G43" s="4">
        <v>0</v>
      </c>
      <c r="H43" s="36"/>
    </row>
    <row r="44" spans="1:8" ht="14.1" customHeight="1" x14ac:dyDescent="0.2">
      <c r="A44" s="1"/>
      <c r="B44" s="1"/>
      <c r="C44" s="5"/>
      <c r="D44" s="1"/>
      <c r="E44" s="1"/>
      <c r="F44" s="6"/>
      <c r="G44" s="6"/>
      <c r="H44" s="36"/>
    </row>
    <row r="45" spans="1:8" ht="14.1" customHeight="1" x14ac:dyDescent="0.2">
      <c r="A45" s="1"/>
      <c r="B45" s="1"/>
      <c r="C45" s="2" t="s">
        <v>64</v>
      </c>
      <c r="D45" s="1"/>
      <c r="E45" s="1"/>
      <c r="F45" s="1"/>
      <c r="G45" s="1"/>
      <c r="H45" s="36"/>
    </row>
    <row r="46" spans="1:8" ht="29.1" customHeight="1" x14ac:dyDescent="0.2">
      <c r="A46" s="8">
        <v>1</v>
      </c>
      <c r="B46" s="9" t="s">
        <v>65</v>
      </c>
      <c r="C46" s="9" t="s">
        <v>66</v>
      </c>
      <c r="D46" s="9" t="s">
        <v>67</v>
      </c>
      <c r="E46" s="10">
        <v>3000000</v>
      </c>
      <c r="F46" s="11">
        <v>3025.4520000000002</v>
      </c>
      <c r="G46" s="12">
        <v>0.16143125999999999</v>
      </c>
      <c r="H46" s="36">
        <v>7.1749000000000001</v>
      </c>
    </row>
    <row r="47" spans="1:8" ht="29.1" customHeight="1" x14ac:dyDescent="0.2">
      <c r="A47" s="8">
        <v>2</v>
      </c>
      <c r="B47" s="9" t="s">
        <v>70</v>
      </c>
      <c r="C47" s="9" t="s">
        <v>71</v>
      </c>
      <c r="D47" s="9" t="s">
        <v>67</v>
      </c>
      <c r="E47" s="10">
        <v>1500000</v>
      </c>
      <c r="F47" s="11">
        <v>1502.4014999999999</v>
      </c>
      <c r="G47" s="12">
        <v>8.0164739999999998E-2</v>
      </c>
      <c r="H47" s="36">
        <v>7.1291000000000002</v>
      </c>
    </row>
    <row r="48" spans="1:8" ht="29.1" customHeight="1" x14ac:dyDescent="0.2">
      <c r="A48" s="8">
        <v>3</v>
      </c>
      <c r="B48" s="9" t="s">
        <v>216</v>
      </c>
      <c r="C48" s="9" t="s">
        <v>217</v>
      </c>
      <c r="D48" s="9" t="s">
        <v>67</v>
      </c>
      <c r="E48" s="10">
        <v>1000000</v>
      </c>
      <c r="F48" s="11">
        <v>1010.62</v>
      </c>
      <c r="G48" s="12">
        <v>5.3924390000000003E-2</v>
      </c>
      <c r="H48" s="36">
        <v>7.0982000000000003</v>
      </c>
    </row>
    <row r="49" spans="1:8" ht="29.1" customHeight="1" x14ac:dyDescent="0.2">
      <c r="A49" s="8">
        <v>4</v>
      </c>
      <c r="B49" s="9" t="s">
        <v>370</v>
      </c>
      <c r="C49" s="9" t="s">
        <v>371</v>
      </c>
      <c r="D49" s="9" t="s">
        <v>67</v>
      </c>
      <c r="E49" s="10">
        <v>500000</v>
      </c>
      <c r="F49" s="11">
        <v>503.95350000000002</v>
      </c>
      <c r="G49" s="12">
        <v>2.6889819999999998E-2</v>
      </c>
      <c r="H49" s="36">
        <v>7.4565999999999999</v>
      </c>
    </row>
    <row r="50" spans="1:8" ht="41.1" customHeight="1" x14ac:dyDescent="0.2">
      <c r="A50" s="8">
        <v>5</v>
      </c>
      <c r="B50" s="9" t="s">
        <v>372</v>
      </c>
      <c r="C50" s="44" t="s">
        <v>482</v>
      </c>
      <c r="D50" s="9" t="s">
        <v>67</v>
      </c>
      <c r="E50" s="10">
        <v>500000</v>
      </c>
      <c r="F50" s="11">
        <v>500.94200000000001</v>
      </c>
      <c r="G50" s="12">
        <v>2.672913E-2</v>
      </c>
      <c r="H50" s="36">
        <v>7.5646177091750717</v>
      </c>
    </row>
    <row r="51" spans="1:8" ht="14.1" customHeight="1" x14ac:dyDescent="0.2">
      <c r="A51" s="1"/>
      <c r="B51" s="1"/>
      <c r="C51" s="2" t="s">
        <v>11</v>
      </c>
      <c r="D51" s="1"/>
      <c r="E51" s="1" t="s">
        <v>12</v>
      </c>
      <c r="F51" s="7">
        <v>6543.3689999999997</v>
      </c>
      <c r="G51" s="4">
        <v>0.34913934000000002</v>
      </c>
      <c r="H51" s="36"/>
    </row>
    <row r="52" spans="1:8" ht="14.1" customHeight="1" x14ac:dyDescent="0.2">
      <c r="A52" s="1"/>
      <c r="B52" s="1"/>
      <c r="C52" s="5"/>
      <c r="D52" s="1"/>
      <c r="E52" s="1"/>
      <c r="F52" s="6"/>
      <c r="G52" s="6"/>
      <c r="H52" s="36"/>
    </row>
    <row r="53" spans="1:8" ht="14.1" customHeight="1" x14ac:dyDescent="0.2">
      <c r="A53" s="1"/>
      <c r="B53" s="1"/>
      <c r="C53" s="2" t="s">
        <v>74</v>
      </c>
      <c r="D53" s="1"/>
      <c r="E53" s="1"/>
      <c r="F53" s="6"/>
      <c r="G53" s="6"/>
      <c r="H53" s="36"/>
    </row>
    <row r="54" spans="1:8" ht="14.1" customHeight="1" x14ac:dyDescent="0.2">
      <c r="A54" s="1"/>
      <c r="B54" s="1"/>
      <c r="C54" s="2" t="s">
        <v>11</v>
      </c>
      <c r="D54" s="1"/>
      <c r="E54" s="1" t="s">
        <v>12</v>
      </c>
      <c r="F54" s="3" t="s">
        <v>13</v>
      </c>
      <c r="G54" s="4">
        <v>0</v>
      </c>
      <c r="H54" s="36"/>
    </row>
    <row r="55" spans="1:8" ht="14.1" customHeight="1" x14ac:dyDescent="0.2">
      <c r="A55" s="1"/>
      <c r="B55" s="1"/>
      <c r="C55" s="5"/>
      <c r="D55" s="1"/>
      <c r="E55" s="1"/>
      <c r="F55" s="6"/>
      <c r="G55" s="6"/>
      <c r="H55" s="36"/>
    </row>
    <row r="56" spans="1:8" ht="14.1" customHeight="1" x14ac:dyDescent="0.2">
      <c r="A56" s="1"/>
      <c r="B56" s="1"/>
      <c r="C56" s="2" t="s">
        <v>75</v>
      </c>
      <c r="D56" s="1"/>
      <c r="E56" s="1"/>
      <c r="F56" s="7">
        <v>14735.5111</v>
      </c>
      <c r="G56" s="4">
        <v>0.78625345999999996</v>
      </c>
      <c r="H56" s="36"/>
    </row>
    <row r="57" spans="1:8" ht="14.1" customHeight="1" x14ac:dyDescent="0.2">
      <c r="A57" s="1"/>
      <c r="B57" s="1"/>
      <c r="C57" s="5"/>
      <c r="D57" s="1"/>
      <c r="E57" s="1"/>
      <c r="F57" s="6"/>
      <c r="G57" s="6"/>
      <c r="H57" s="36"/>
    </row>
    <row r="58" spans="1:8" ht="14.1" customHeight="1" x14ac:dyDescent="0.2">
      <c r="A58" s="1"/>
      <c r="B58" s="1"/>
      <c r="C58" s="2" t="s">
        <v>76</v>
      </c>
      <c r="D58" s="1"/>
      <c r="E58" s="1"/>
      <c r="F58" s="6"/>
      <c r="G58" s="6"/>
      <c r="H58" s="36"/>
    </row>
    <row r="59" spans="1:8" ht="14.1" customHeight="1" x14ac:dyDescent="0.2">
      <c r="A59" s="1"/>
      <c r="B59" s="1"/>
      <c r="C59" s="2" t="s">
        <v>77</v>
      </c>
      <c r="D59" s="1"/>
      <c r="E59" s="1"/>
      <c r="F59" s="6"/>
      <c r="G59" s="6"/>
      <c r="H59" s="36"/>
    </row>
    <row r="60" spans="1:8" ht="17.100000000000001" customHeight="1" x14ac:dyDescent="0.2">
      <c r="A60" s="8">
        <v>1</v>
      </c>
      <c r="B60" s="9" t="s">
        <v>133</v>
      </c>
      <c r="C60" s="9" t="s">
        <v>134</v>
      </c>
      <c r="D60" s="9" t="s">
        <v>135</v>
      </c>
      <c r="E60" s="10">
        <v>140</v>
      </c>
      <c r="F60" s="11">
        <v>678.18730000000005</v>
      </c>
      <c r="G60" s="12">
        <v>3.6186540000000003E-2</v>
      </c>
      <c r="H60" s="36">
        <v>7.43</v>
      </c>
    </row>
    <row r="61" spans="1:8" ht="17.100000000000001" customHeight="1" x14ac:dyDescent="0.2">
      <c r="A61" s="8">
        <v>2</v>
      </c>
      <c r="B61" s="9" t="s">
        <v>168</v>
      </c>
      <c r="C61" s="9" t="s">
        <v>169</v>
      </c>
      <c r="D61" s="9" t="s">
        <v>170</v>
      </c>
      <c r="E61" s="10">
        <v>100</v>
      </c>
      <c r="F61" s="11">
        <v>479.02050000000003</v>
      </c>
      <c r="G61" s="12">
        <v>2.5559450000000001E-2</v>
      </c>
      <c r="H61" s="36">
        <v>7.47</v>
      </c>
    </row>
    <row r="62" spans="1:8" ht="17.100000000000001" customHeight="1" x14ac:dyDescent="0.2">
      <c r="A62" s="8">
        <v>3</v>
      </c>
      <c r="B62" s="9" t="s">
        <v>173</v>
      </c>
      <c r="C62" s="9" t="s">
        <v>174</v>
      </c>
      <c r="D62" s="9" t="s">
        <v>170</v>
      </c>
      <c r="E62" s="10">
        <v>100</v>
      </c>
      <c r="F62" s="11">
        <v>476.28800000000001</v>
      </c>
      <c r="G62" s="12">
        <v>2.5413649999999999E-2</v>
      </c>
      <c r="H62" s="36">
        <v>7.54</v>
      </c>
    </row>
    <row r="63" spans="1:8" ht="14.1" customHeight="1" x14ac:dyDescent="0.2">
      <c r="A63" s="1"/>
      <c r="B63" s="1"/>
      <c r="C63" s="2" t="s">
        <v>11</v>
      </c>
      <c r="D63" s="1"/>
      <c r="E63" s="1" t="s">
        <v>12</v>
      </c>
      <c r="F63" s="7">
        <v>1633.4957999999999</v>
      </c>
      <c r="G63" s="4">
        <v>8.7159639999999997E-2</v>
      </c>
      <c r="H63" s="36"/>
    </row>
    <row r="64" spans="1:8" ht="14.1" customHeight="1" x14ac:dyDescent="0.2">
      <c r="A64" s="1"/>
      <c r="B64" s="1"/>
      <c r="C64" s="5"/>
      <c r="D64" s="1"/>
      <c r="E64" s="1"/>
      <c r="F64" s="6"/>
      <c r="G64" s="6"/>
      <c r="H64" s="36"/>
    </row>
    <row r="65" spans="1:8" ht="14.1" customHeight="1" x14ac:dyDescent="0.2">
      <c r="A65" s="1"/>
      <c r="B65" s="1"/>
      <c r="C65" s="2" t="s">
        <v>78</v>
      </c>
      <c r="D65" s="1"/>
      <c r="E65" s="1"/>
      <c r="F65" s="6"/>
      <c r="G65" s="6"/>
      <c r="H65" s="36"/>
    </row>
    <row r="66" spans="1:8" ht="14.1" customHeight="1" x14ac:dyDescent="0.2">
      <c r="A66" s="1"/>
      <c r="B66" s="1"/>
      <c r="C66" s="2" t="s">
        <v>11</v>
      </c>
      <c r="D66" s="1"/>
      <c r="E66" s="1" t="s">
        <v>12</v>
      </c>
      <c r="F66" s="3" t="s">
        <v>13</v>
      </c>
      <c r="G66" s="4">
        <v>0</v>
      </c>
      <c r="H66" s="36"/>
    </row>
    <row r="67" spans="1:8" ht="14.1" customHeight="1" x14ac:dyDescent="0.2">
      <c r="A67" s="1"/>
      <c r="B67" s="1"/>
      <c r="C67" s="5"/>
      <c r="D67" s="1"/>
      <c r="E67" s="1"/>
      <c r="F67" s="6"/>
      <c r="G67" s="6"/>
      <c r="H67" s="36"/>
    </row>
    <row r="68" spans="1:8" ht="14.1" customHeight="1" x14ac:dyDescent="0.2">
      <c r="A68" s="1"/>
      <c r="B68" s="1"/>
      <c r="C68" s="2" t="s">
        <v>79</v>
      </c>
      <c r="D68" s="1"/>
      <c r="E68" s="1"/>
      <c r="F68" s="6"/>
      <c r="G68" s="6"/>
      <c r="H68" s="36"/>
    </row>
    <row r="69" spans="1:8" ht="14.1" customHeight="1" x14ac:dyDescent="0.2">
      <c r="A69" s="1"/>
      <c r="B69" s="1"/>
      <c r="C69" s="2" t="s">
        <v>11</v>
      </c>
      <c r="D69" s="1"/>
      <c r="E69" s="1" t="s">
        <v>12</v>
      </c>
      <c r="F69" s="3" t="s">
        <v>13</v>
      </c>
      <c r="G69" s="4">
        <v>0</v>
      </c>
      <c r="H69" s="36"/>
    </row>
    <row r="70" spans="1:8" ht="14.1" customHeight="1" x14ac:dyDescent="0.2">
      <c r="A70" s="1"/>
      <c r="B70" s="1"/>
      <c r="C70" s="5"/>
      <c r="D70" s="1"/>
      <c r="E70" s="1"/>
      <c r="F70" s="6"/>
      <c r="G70" s="6"/>
      <c r="H70" s="36"/>
    </row>
    <row r="71" spans="1:8" ht="14.1" customHeight="1" x14ac:dyDescent="0.2">
      <c r="A71" s="1"/>
      <c r="B71" s="1"/>
      <c r="C71" s="2" t="s">
        <v>80</v>
      </c>
      <c r="D71" s="1"/>
      <c r="E71" s="1"/>
      <c r="F71" s="6"/>
      <c r="G71" s="6"/>
      <c r="H71" s="36"/>
    </row>
    <row r="72" spans="1:8" ht="17.100000000000001" customHeight="1" x14ac:dyDescent="0.2">
      <c r="A72" s="8">
        <v>1</v>
      </c>
      <c r="B72" s="9"/>
      <c r="C72" s="9" t="s">
        <v>81</v>
      </c>
      <c r="D72" s="9"/>
      <c r="E72" s="13"/>
      <c r="F72" s="11">
        <v>1945.9167120059999</v>
      </c>
      <c r="G72" s="12">
        <v>0.1038297</v>
      </c>
      <c r="H72" s="36">
        <v>6.7262665696944239</v>
      </c>
    </row>
    <row r="73" spans="1:8" ht="14.1" customHeight="1" x14ac:dyDescent="0.2">
      <c r="A73" s="1"/>
      <c r="B73" s="1"/>
      <c r="C73" s="2" t="s">
        <v>11</v>
      </c>
      <c r="D73" s="1"/>
      <c r="E73" s="1" t="s">
        <v>12</v>
      </c>
      <c r="F73" s="7">
        <v>1945.9167120059999</v>
      </c>
      <c r="G73" s="4">
        <v>0.1038297</v>
      </c>
      <c r="H73" s="36"/>
    </row>
    <row r="74" spans="1:8" ht="14.1" customHeight="1" x14ac:dyDescent="0.2">
      <c r="A74" s="1"/>
      <c r="B74" s="1"/>
      <c r="C74" s="5"/>
      <c r="D74" s="1"/>
      <c r="E74" s="1"/>
      <c r="F74" s="6"/>
      <c r="G74" s="6"/>
      <c r="H74" s="36"/>
    </row>
    <row r="75" spans="1:8" ht="14.1" customHeight="1" x14ac:dyDescent="0.2">
      <c r="A75" s="1"/>
      <c r="B75" s="1"/>
      <c r="C75" s="2" t="s">
        <v>82</v>
      </c>
      <c r="D75" s="1"/>
      <c r="E75" s="1"/>
      <c r="F75" s="7">
        <v>3579.4125120059998</v>
      </c>
      <c r="G75" s="4">
        <v>0.19098934000000001</v>
      </c>
      <c r="H75" s="36"/>
    </row>
    <row r="76" spans="1:8" ht="14.1" customHeight="1" x14ac:dyDescent="0.2">
      <c r="A76" s="1"/>
      <c r="B76" s="1"/>
      <c r="C76" s="6"/>
      <c r="D76" s="1"/>
      <c r="E76" s="1"/>
      <c r="F76" s="1"/>
      <c r="G76" s="1"/>
      <c r="H76" s="36"/>
    </row>
    <row r="77" spans="1:8" ht="14.1" customHeight="1" x14ac:dyDescent="0.2">
      <c r="A77" s="1"/>
      <c r="B77" s="1"/>
      <c r="C77" s="2" t="s">
        <v>83</v>
      </c>
      <c r="D77" s="1"/>
      <c r="E77" s="1"/>
      <c r="F77" s="1"/>
      <c r="G77" s="1"/>
      <c r="H77" s="36"/>
    </row>
    <row r="78" spans="1:8" ht="14.1" customHeight="1" x14ac:dyDescent="0.2">
      <c r="A78" s="1"/>
      <c r="B78" s="1"/>
      <c r="C78" s="2" t="s">
        <v>84</v>
      </c>
      <c r="D78" s="1"/>
      <c r="E78" s="1"/>
      <c r="F78" s="1"/>
      <c r="G78" s="1"/>
      <c r="H78" s="36"/>
    </row>
    <row r="79" spans="1:8" ht="14.1" customHeight="1" x14ac:dyDescent="0.2">
      <c r="A79" s="1"/>
      <c r="B79" s="1"/>
      <c r="C79" s="2" t="s">
        <v>11</v>
      </c>
      <c r="D79" s="1"/>
      <c r="E79" s="1" t="s">
        <v>12</v>
      </c>
      <c r="F79" s="3" t="s">
        <v>13</v>
      </c>
      <c r="G79" s="4">
        <v>0</v>
      </c>
      <c r="H79" s="36"/>
    </row>
    <row r="80" spans="1:8" ht="14.1" customHeight="1" x14ac:dyDescent="0.2">
      <c r="A80" s="1"/>
      <c r="B80" s="1"/>
      <c r="C80" s="5"/>
      <c r="D80" s="1"/>
      <c r="E80" s="1"/>
      <c r="F80" s="6"/>
      <c r="G80" s="6"/>
      <c r="H80" s="36"/>
    </row>
    <row r="81" spans="1:18" ht="14.1" customHeight="1" x14ac:dyDescent="0.2">
      <c r="A81" s="1"/>
      <c r="B81" s="1"/>
      <c r="C81" s="2" t="s">
        <v>87</v>
      </c>
      <c r="D81" s="1"/>
      <c r="E81" s="1"/>
      <c r="F81" s="1"/>
      <c r="G81" s="1"/>
      <c r="H81" s="36"/>
    </row>
    <row r="82" spans="1:18" ht="14.1" customHeight="1" x14ac:dyDescent="0.2">
      <c r="A82" s="1"/>
      <c r="B82" s="1"/>
      <c r="C82" s="2" t="s">
        <v>88</v>
      </c>
      <c r="D82" s="1"/>
      <c r="E82" s="1"/>
      <c r="F82" s="1"/>
      <c r="G82" s="1"/>
      <c r="H82" s="36"/>
    </row>
    <row r="83" spans="1:18" ht="14.1" customHeight="1" x14ac:dyDescent="0.2">
      <c r="A83" s="1"/>
      <c r="B83" s="1"/>
      <c r="C83" s="2" t="s">
        <v>11</v>
      </c>
      <c r="D83" s="1"/>
      <c r="E83" s="1" t="s">
        <v>12</v>
      </c>
      <c r="F83" s="3" t="s">
        <v>13</v>
      </c>
      <c r="G83" s="4">
        <v>0</v>
      </c>
      <c r="H83" s="36"/>
    </row>
    <row r="84" spans="1:18" ht="14.1" customHeight="1" x14ac:dyDescent="0.2">
      <c r="A84" s="1"/>
      <c r="B84" s="1"/>
      <c r="C84" s="5"/>
      <c r="D84" s="1"/>
      <c r="E84" s="1"/>
      <c r="F84" s="6"/>
      <c r="G84" s="6"/>
      <c r="H84" s="36"/>
    </row>
    <row r="85" spans="1:18" ht="24" customHeight="1" x14ac:dyDescent="0.2">
      <c r="A85" s="1"/>
      <c r="B85" s="1"/>
      <c r="C85" s="2" t="s">
        <v>89</v>
      </c>
      <c r="D85" s="1"/>
      <c r="E85" s="1"/>
      <c r="F85" s="6"/>
      <c r="G85" s="6"/>
      <c r="H85" s="36"/>
    </row>
    <row r="86" spans="1:18" ht="14.1" customHeight="1" x14ac:dyDescent="0.2">
      <c r="A86" s="1"/>
      <c r="B86" s="1"/>
      <c r="C86" s="2" t="s">
        <v>11</v>
      </c>
      <c r="D86" s="1"/>
      <c r="E86" s="1" t="s">
        <v>12</v>
      </c>
      <c r="F86" s="3" t="s">
        <v>13</v>
      </c>
      <c r="G86" s="4">
        <v>0</v>
      </c>
      <c r="H86" s="36"/>
    </row>
    <row r="87" spans="1:18" x14ac:dyDescent="0.2">
      <c r="A87" s="33"/>
      <c r="B87" s="33"/>
      <c r="C87" s="34"/>
      <c r="D87" s="33"/>
      <c r="E87" s="33"/>
      <c r="F87" s="35"/>
      <c r="G87" s="35"/>
      <c r="H87" s="36"/>
    </row>
    <row r="88" spans="1:18" ht="25.5" x14ac:dyDescent="0.2">
      <c r="A88" s="38"/>
      <c r="B88" s="38"/>
      <c r="C88" s="39" t="s">
        <v>479</v>
      </c>
      <c r="D88" s="38"/>
      <c r="E88" s="38"/>
      <c r="F88" s="40"/>
      <c r="G88" s="40"/>
      <c r="H88" s="36"/>
      <c r="K88" s="41"/>
      <c r="L88" s="41"/>
      <c r="M88" s="41"/>
      <c r="N88" s="41"/>
      <c r="O88" s="41"/>
      <c r="P88" s="42"/>
      <c r="Q88" s="42"/>
      <c r="R88" s="42"/>
    </row>
    <row r="89" spans="1:18" ht="25.5" x14ac:dyDescent="0.2">
      <c r="A89" s="43">
        <v>1</v>
      </c>
      <c r="B89" s="44" t="s">
        <v>85</v>
      </c>
      <c r="C89" s="44" t="s">
        <v>86</v>
      </c>
      <c r="D89" s="44"/>
      <c r="E89" s="14">
        <v>511.47399999999999</v>
      </c>
      <c r="F89" s="11">
        <v>52.622404576999998</v>
      </c>
      <c r="G89" s="12">
        <v>2.80781E-3</v>
      </c>
      <c r="H89" s="36">
        <v>9.9999999999999995E-7</v>
      </c>
    </row>
    <row r="90" spans="1:18" x14ac:dyDescent="0.2">
      <c r="A90" s="33"/>
      <c r="B90" s="33"/>
      <c r="C90" s="45" t="s">
        <v>11</v>
      </c>
      <c r="D90" s="33"/>
      <c r="E90" s="1" t="s">
        <v>12</v>
      </c>
      <c r="F90" s="7">
        <v>52.622404576999998</v>
      </c>
      <c r="G90" s="4">
        <v>2.80781E-3</v>
      </c>
      <c r="H90" s="36"/>
    </row>
    <row r="91" spans="1:18" ht="14.1" customHeight="1" x14ac:dyDescent="0.2">
      <c r="A91" s="1"/>
      <c r="B91" s="1"/>
      <c r="C91" s="5"/>
      <c r="D91" s="1"/>
      <c r="E91" s="1"/>
      <c r="F91" s="6"/>
      <c r="G91" s="6"/>
      <c r="H91" s="36"/>
    </row>
    <row r="92" spans="1:18" ht="14.1" customHeight="1" x14ac:dyDescent="0.2">
      <c r="A92" s="1"/>
      <c r="B92" s="9"/>
      <c r="C92" s="9"/>
      <c r="D92" s="2"/>
      <c r="E92" s="1"/>
      <c r="F92" s="9"/>
      <c r="G92" s="13"/>
      <c r="H92" s="36"/>
    </row>
    <row r="93" spans="1:18" ht="18" customHeight="1" x14ac:dyDescent="0.2">
      <c r="A93" s="13"/>
      <c r="B93" s="9"/>
      <c r="C93" s="9" t="s">
        <v>90</v>
      </c>
      <c r="D93" s="9"/>
      <c r="E93" s="13"/>
      <c r="F93" s="11">
        <v>373.88040891699995</v>
      </c>
      <c r="G93" s="12">
        <v>1.9949410000000001E-2</v>
      </c>
      <c r="H93" s="36"/>
    </row>
    <row r="94" spans="1:18" ht="14.1" customHeight="1" x14ac:dyDescent="0.2">
      <c r="A94" s="5"/>
      <c r="B94" s="5"/>
      <c r="C94" s="2" t="s">
        <v>91</v>
      </c>
      <c r="D94" s="6"/>
      <c r="E94" s="6"/>
      <c r="F94" s="7">
        <v>18741.426425499998</v>
      </c>
      <c r="G94" s="15">
        <v>1.0000000200000001</v>
      </c>
      <c r="H94" s="36"/>
    </row>
    <row r="95" spans="1:18" ht="14.1" customHeight="1" x14ac:dyDescent="0.2">
      <c r="A95" s="16"/>
      <c r="B95" s="16"/>
      <c r="C95" s="16"/>
      <c r="D95" s="17"/>
      <c r="E95" s="17"/>
      <c r="F95" s="17"/>
      <c r="G95" s="17"/>
    </row>
    <row r="96" spans="1:18" ht="15" customHeight="1" x14ac:dyDescent="0.2">
      <c r="A96" s="46"/>
      <c r="B96" s="108" t="s">
        <v>483</v>
      </c>
      <c r="C96" s="108"/>
      <c r="D96" s="108"/>
      <c r="E96" s="108"/>
      <c r="F96" s="108"/>
      <c r="G96" s="108"/>
      <c r="H96" s="108"/>
    </row>
    <row r="97" spans="1:11" ht="15" customHeight="1" x14ac:dyDescent="0.2">
      <c r="A97" s="46"/>
      <c r="B97" s="108" t="s">
        <v>484</v>
      </c>
      <c r="C97" s="108"/>
      <c r="D97" s="108"/>
      <c r="E97" s="108"/>
      <c r="F97" s="108"/>
      <c r="G97" s="108"/>
      <c r="H97" s="108"/>
    </row>
    <row r="98" spans="1:11" ht="15" customHeight="1" x14ac:dyDescent="0.2">
      <c r="A98" s="46"/>
      <c r="B98" s="108" t="s">
        <v>485</v>
      </c>
      <c r="C98" s="108"/>
      <c r="D98" s="108"/>
      <c r="E98" s="108"/>
      <c r="F98" s="108"/>
      <c r="G98" s="108"/>
      <c r="H98" s="108"/>
      <c r="K98" s="97"/>
    </row>
    <row r="99" spans="1:11" s="49" customFormat="1" ht="54" customHeight="1" x14ac:dyDescent="0.2">
      <c r="A99" s="48"/>
      <c r="B99" s="120" t="s">
        <v>486</v>
      </c>
      <c r="C99" s="120"/>
      <c r="D99" s="120"/>
      <c r="E99" s="120"/>
      <c r="F99" s="120"/>
      <c r="G99" s="120"/>
      <c r="H99" s="120"/>
      <c r="I99"/>
      <c r="J99" s="37"/>
      <c r="K99"/>
    </row>
    <row r="100" spans="1:11" ht="14.1" customHeight="1" x14ac:dyDescent="0.2">
      <c r="A100" s="18"/>
      <c r="B100" s="18"/>
      <c r="C100" s="18"/>
      <c r="D100" s="20"/>
      <c r="E100" s="20"/>
      <c r="F100" s="20"/>
      <c r="G100" s="20"/>
    </row>
    <row r="101" spans="1:11" ht="14.1" customHeight="1" x14ac:dyDescent="0.2">
      <c r="A101" s="18"/>
      <c r="B101" s="114" t="s">
        <v>92</v>
      </c>
      <c r="C101" s="115"/>
      <c r="D101" s="116"/>
      <c r="E101" s="21"/>
      <c r="F101" s="20"/>
      <c r="G101" s="20"/>
    </row>
    <row r="102" spans="1:11" ht="29.1" customHeight="1" x14ac:dyDescent="0.2">
      <c r="A102" s="18"/>
      <c r="B102" s="117" t="s">
        <v>93</v>
      </c>
      <c r="C102" s="118"/>
      <c r="D102" s="2" t="s">
        <v>94</v>
      </c>
      <c r="E102" s="21"/>
      <c r="F102" s="20"/>
      <c r="G102" s="20"/>
    </row>
    <row r="103" spans="1:11" ht="17.100000000000001" customHeight="1" x14ac:dyDescent="0.2">
      <c r="A103" s="18"/>
      <c r="B103" s="117" t="s">
        <v>95</v>
      </c>
      <c r="C103" s="118"/>
      <c r="D103" s="2" t="s">
        <v>94</v>
      </c>
      <c r="E103" s="21"/>
      <c r="F103" s="20"/>
      <c r="G103" s="20"/>
    </row>
    <row r="104" spans="1:11" ht="17.100000000000001" customHeight="1" x14ac:dyDescent="0.2">
      <c r="A104" s="18"/>
      <c r="B104" s="117" t="s">
        <v>96</v>
      </c>
      <c r="C104" s="118"/>
      <c r="D104" s="6" t="s">
        <v>12</v>
      </c>
      <c r="E104" s="21"/>
      <c r="F104" s="20"/>
      <c r="G104" s="20"/>
    </row>
    <row r="105" spans="1:11" ht="24" customHeight="1" x14ac:dyDescent="0.2">
      <c r="A105" s="22"/>
      <c r="B105" s="23" t="s">
        <v>12</v>
      </c>
      <c r="C105" s="23" t="s">
        <v>97</v>
      </c>
      <c r="D105" s="23" t="s">
        <v>98</v>
      </c>
      <c r="E105" s="22"/>
      <c r="F105" s="22"/>
      <c r="G105" s="22"/>
    </row>
    <row r="106" spans="1:11" ht="18" customHeight="1" x14ac:dyDescent="0.2">
      <c r="A106" s="22"/>
      <c r="B106" s="24" t="s">
        <v>99</v>
      </c>
      <c r="C106" s="23" t="s">
        <v>582</v>
      </c>
      <c r="D106" s="23" t="s">
        <v>100</v>
      </c>
      <c r="E106" s="22"/>
      <c r="F106" s="22"/>
      <c r="G106" s="22"/>
    </row>
    <row r="107" spans="1:11" ht="17.100000000000001" customHeight="1" x14ac:dyDescent="0.2">
      <c r="A107" s="22"/>
      <c r="B107" s="9" t="s">
        <v>101</v>
      </c>
      <c r="C107" s="25">
        <v>43.561399999999999</v>
      </c>
      <c r="D107" s="25">
        <v>43.830300000000001</v>
      </c>
      <c r="E107" s="22"/>
      <c r="F107" s="19"/>
      <c r="G107" s="26"/>
    </row>
    <row r="108" spans="1:11" ht="29.1" customHeight="1" x14ac:dyDescent="0.2">
      <c r="A108" s="22"/>
      <c r="B108" s="9" t="s">
        <v>553</v>
      </c>
      <c r="C108" s="25">
        <v>12.894500000000001</v>
      </c>
      <c r="D108" s="13"/>
      <c r="E108" s="22"/>
      <c r="F108" s="19"/>
      <c r="G108" s="26"/>
    </row>
    <row r="109" spans="1:11" ht="29.1" customHeight="1" x14ac:dyDescent="0.2">
      <c r="A109" s="22"/>
      <c r="B109" s="9" t="s">
        <v>558</v>
      </c>
      <c r="C109" s="25">
        <v>12.894600000000001</v>
      </c>
      <c r="D109" s="13"/>
      <c r="E109" s="22"/>
      <c r="F109" s="19"/>
      <c r="G109" s="26"/>
    </row>
    <row r="110" spans="1:11" ht="29.1" customHeight="1" x14ac:dyDescent="0.2">
      <c r="A110" s="22"/>
      <c r="B110" s="9" t="s">
        <v>543</v>
      </c>
      <c r="C110" s="25">
        <v>12.9259</v>
      </c>
      <c r="D110" s="25">
        <v>12.926299999999999</v>
      </c>
      <c r="E110" s="22"/>
      <c r="F110" s="19"/>
      <c r="G110" s="26"/>
    </row>
    <row r="111" spans="1:11" ht="29.1" customHeight="1" x14ac:dyDescent="0.2">
      <c r="A111" s="22"/>
      <c r="B111" s="9" t="s">
        <v>544</v>
      </c>
      <c r="C111" s="25">
        <v>14.2293</v>
      </c>
      <c r="D111" s="25">
        <v>14.2418</v>
      </c>
      <c r="E111" s="22"/>
      <c r="F111" s="19"/>
      <c r="G111" s="26"/>
    </row>
    <row r="112" spans="1:11" ht="29.1" customHeight="1" x14ac:dyDescent="0.2">
      <c r="A112" s="22"/>
      <c r="B112" s="9" t="s">
        <v>545</v>
      </c>
      <c r="C112" s="25">
        <v>14.062900000000001</v>
      </c>
      <c r="D112" s="25">
        <v>14.149800000000001</v>
      </c>
      <c r="E112" s="22"/>
      <c r="F112" s="19"/>
      <c r="G112" s="26"/>
    </row>
    <row r="113" spans="1:7" ht="29.1" customHeight="1" x14ac:dyDescent="0.2">
      <c r="A113" s="22"/>
      <c r="B113" s="9" t="s">
        <v>546</v>
      </c>
      <c r="C113" s="25">
        <v>14.2074</v>
      </c>
      <c r="D113" s="25">
        <v>14.295500000000001</v>
      </c>
      <c r="E113" s="22"/>
      <c r="F113" s="19"/>
      <c r="G113" s="26"/>
    </row>
    <row r="114" spans="1:7" ht="17.100000000000001" customHeight="1" x14ac:dyDescent="0.2">
      <c r="A114" s="22"/>
      <c r="B114" s="9" t="s">
        <v>102</v>
      </c>
      <c r="C114" s="25">
        <v>40.513599999999997</v>
      </c>
      <c r="D114" s="25">
        <v>40.744900000000001</v>
      </c>
      <c r="E114" s="22"/>
      <c r="F114" s="19"/>
      <c r="G114" s="26"/>
    </row>
    <row r="115" spans="1:7" ht="17.100000000000001" customHeight="1" x14ac:dyDescent="0.2">
      <c r="A115" s="22"/>
      <c r="B115" s="9" t="s">
        <v>138</v>
      </c>
      <c r="C115" s="25">
        <v>14.634499999999999</v>
      </c>
      <c r="D115" s="25">
        <v>14.7181</v>
      </c>
      <c r="E115" s="22"/>
      <c r="F115" s="19"/>
      <c r="G115" s="26"/>
    </row>
    <row r="116" spans="1:7" ht="29.1" customHeight="1" x14ac:dyDescent="0.2">
      <c r="A116" s="22"/>
      <c r="B116" s="9" t="s">
        <v>556</v>
      </c>
      <c r="C116" s="25">
        <v>12.8584</v>
      </c>
      <c r="D116" s="13"/>
      <c r="E116" s="22"/>
      <c r="F116" s="19"/>
      <c r="G116" s="26"/>
    </row>
    <row r="117" spans="1:7" ht="29.1" customHeight="1" x14ac:dyDescent="0.2">
      <c r="A117" s="22"/>
      <c r="B117" s="9" t="s">
        <v>557</v>
      </c>
      <c r="C117" s="25">
        <v>12.8584</v>
      </c>
      <c r="D117" s="13"/>
      <c r="E117" s="22"/>
      <c r="F117" s="19"/>
      <c r="G117" s="26"/>
    </row>
    <row r="118" spans="1:7" ht="29.1" customHeight="1" x14ac:dyDescent="0.2">
      <c r="A118" s="22"/>
      <c r="B118" s="9" t="s">
        <v>547</v>
      </c>
      <c r="C118" s="25">
        <v>12.888199999999999</v>
      </c>
      <c r="D118" s="25">
        <v>12.888299999999999</v>
      </c>
      <c r="E118" s="22"/>
      <c r="F118" s="19"/>
      <c r="G118" s="26"/>
    </row>
    <row r="119" spans="1:7" ht="29.1" customHeight="1" x14ac:dyDescent="0.2">
      <c r="A119" s="22"/>
      <c r="B119" s="9" t="s">
        <v>548</v>
      </c>
      <c r="C119" s="25">
        <v>13.990600000000001</v>
      </c>
      <c r="D119" s="25">
        <v>13.995200000000001</v>
      </c>
      <c r="E119" s="22"/>
      <c r="F119" s="19"/>
      <c r="G119" s="26"/>
    </row>
    <row r="120" spans="1:7" ht="29.1" customHeight="1" x14ac:dyDescent="0.2">
      <c r="A120" s="22"/>
      <c r="B120" s="9" t="s">
        <v>549</v>
      </c>
      <c r="C120" s="25">
        <v>13.824400000000001</v>
      </c>
      <c r="D120" s="25">
        <v>13.9034</v>
      </c>
      <c r="E120" s="22"/>
      <c r="F120" s="19"/>
      <c r="G120" s="26"/>
    </row>
    <row r="121" spans="1:7" ht="29.1" customHeight="1" x14ac:dyDescent="0.2">
      <c r="A121" s="22"/>
      <c r="B121" s="9" t="s">
        <v>550</v>
      </c>
      <c r="C121" s="25">
        <v>13.968999999999999</v>
      </c>
      <c r="D121" s="25">
        <v>14.0487</v>
      </c>
      <c r="E121" s="22"/>
      <c r="F121" s="19"/>
      <c r="G121" s="26"/>
    </row>
    <row r="122" spans="1:7" ht="14.1" customHeight="1" x14ac:dyDescent="0.2">
      <c r="A122" s="22"/>
      <c r="B122" s="22"/>
      <c r="C122" s="22"/>
      <c r="D122" s="22"/>
      <c r="E122" s="22"/>
      <c r="F122" s="22"/>
      <c r="G122" s="22"/>
    </row>
    <row r="123" spans="1:7" ht="17.100000000000001" customHeight="1" x14ac:dyDescent="0.2">
      <c r="A123" s="22"/>
      <c r="B123" s="117" t="s">
        <v>551</v>
      </c>
      <c r="C123" s="118"/>
      <c r="D123" s="2" t="s">
        <v>12</v>
      </c>
      <c r="E123" s="22"/>
      <c r="F123" s="22"/>
      <c r="G123" s="22"/>
    </row>
    <row r="124" spans="1:7" ht="18" customHeight="1" x14ac:dyDescent="0.2">
      <c r="A124" s="22"/>
      <c r="B124" s="27" t="s">
        <v>99</v>
      </c>
      <c r="C124" s="28" t="s">
        <v>103</v>
      </c>
      <c r="D124" s="28" t="s">
        <v>104</v>
      </c>
      <c r="E124" s="22"/>
      <c r="F124" s="22"/>
      <c r="G124" s="22"/>
    </row>
    <row r="125" spans="1:7" ht="29.1" customHeight="1" x14ac:dyDescent="0.2">
      <c r="A125" s="22"/>
      <c r="B125" s="9" t="s">
        <v>553</v>
      </c>
      <c r="C125" s="29">
        <v>5.8999999999999997E-2</v>
      </c>
      <c r="D125" s="13" t="s">
        <v>105</v>
      </c>
      <c r="E125" s="22"/>
      <c r="F125" s="19"/>
      <c r="G125" s="26"/>
    </row>
    <row r="126" spans="1:7" ht="29.1" customHeight="1" x14ac:dyDescent="0.2">
      <c r="A126" s="22"/>
      <c r="B126" s="9" t="s">
        <v>558</v>
      </c>
      <c r="C126" s="29">
        <v>4.7699999999999999E-2</v>
      </c>
      <c r="D126" s="13" t="s">
        <v>105</v>
      </c>
      <c r="E126" s="22"/>
      <c r="F126" s="19"/>
      <c r="G126" s="26"/>
    </row>
    <row r="127" spans="1:7" ht="29.1" customHeight="1" x14ac:dyDescent="0.2">
      <c r="A127" s="22"/>
      <c r="B127" s="9" t="s">
        <v>543</v>
      </c>
      <c r="C127" s="29">
        <v>7.9100000000000004E-2</v>
      </c>
      <c r="D127" s="13" t="s">
        <v>105</v>
      </c>
      <c r="E127" s="22"/>
      <c r="F127" s="19"/>
      <c r="G127" s="26"/>
    </row>
    <row r="128" spans="1:7" ht="29.1" customHeight="1" x14ac:dyDescent="0.2">
      <c r="A128" s="22"/>
      <c r="B128" s="9" t="s">
        <v>544</v>
      </c>
      <c r="C128" s="29">
        <v>7.4999999999999997E-2</v>
      </c>
      <c r="D128" s="13" t="s">
        <v>105</v>
      </c>
      <c r="E128" s="22"/>
      <c r="F128" s="19"/>
      <c r="G128" s="26"/>
    </row>
    <row r="129" spans="1:17" ht="29.1" customHeight="1" x14ac:dyDescent="0.2">
      <c r="A129" s="22"/>
      <c r="B129" s="9" t="s">
        <v>556</v>
      </c>
      <c r="C129" s="29">
        <v>5.4699999999999999E-2</v>
      </c>
      <c r="D129" s="13" t="s">
        <v>105</v>
      </c>
      <c r="E129" s="22"/>
      <c r="F129" s="19"/>
      <c r="G129" s="26"/>
    </row>
    <row r="130" spans="1:17" ht="29.1" customHeight="1" x14ac:dyDescent="0.2">
      <c r="A130" s="22"/>
      <c r="B130" s="9" t="s">
        <v>557</v>
      </c>
      <c r="C130" s="29">
        <v>4.3299999999999998E-2</v>
      </c>
      <c r="D130" s="13" t="s">
        <v>105</v>
      </c>
      <c r="E130" s="22"/>
      <c r="F130" s="19"/>
      <c r="G130" s="26"/>
    </row>
    <row r="131" spans="1:17" ht="29.1" customHeight="1" x14ac:dyDescent="0.2">
      <c r="A131" s="22"/>
      <c r="B131" s="9" t="s">
        <v>547</v>
      </c>
      <c r="C131" s="29">
        <v>7.3300000000000004E-2</v>
      </c>
      <c r="D131" s="29">
        <v>7.3300000000000004E-2</v>
      </c>
      <c r="E131" s="22"/>
      <c r="F131" s="19"/>
      <c r="G131" s="26"/>
    </row>
    <row r="132" spans="1:17" ht="29.1" customHeight="1" x14ac:dyDescent="0.2">
      <c r="A132" s="22"/>
      <c r="B132" s="9" t="s">
        <v>548</v>
      </c>
      <c r="C132" s="29">
        <v>7.4999999999999997E-2</v>
      </c>
      <c r="D132" s="13" t="s">
        <v>105</v>
      </c>
      <c r="E132" s="22"/>
      <c r="F132" s="19"/>
      <c r="G132" s="26"/>
    </row>
    <row r="133" spans="1:17" ht="14.1" customHeight="1" x14ac:dyDescent="0.2">
      <c r="A133" s="55"/>
      <c r="B133" s="47"/>
      <c r="C133" s="47"/>
      <c r="D133" s="55"/>
      <c r="E133" s="55"/>
      <c r="F133" s="55"/>
      <c r="G133" s="55"/>
      <c r="L133" s="41"/>
      <c r="M133" s="41"/>
      <c r="N133" s="41"/>
      <c r="O133" s="59"/>
      <c r="P133" s="60"/>
      <c r="Q133" s="60"/>
    </row>
    <row r="134" spans="1:17" s="60" customFormat="1" ht="17.100000000000001" customHeight="1" x14ac:dyDescent="0.2">
      <c r="A134" s="58"/>
      <c r="B134" s="112" t="s">
        <v>514</v>
      </c>
      <c r="C134" s="113"/>
      <c r="D134" s="52" t="s">
        <v>94</v>
      </c>
      <c r="E134" s="58"/>
      <c r="F134" s="58"/>
      <c r="G134" s="58"/>
      <c r="I134"/>
      <c r="J134" s="37"/>
      <c r="K134"/>
      <c r="L134" s="41"/>
      <c r="M134" s="41"/>
      <c r="N134" s="41"/>
      <c r="O134" s="59"/>
    </row>
    <row r="135" spans="1:17" s="60" customFormat="1" ht="29.1" customHeight="1" x14ac:dyDescent="0.2">
      <c r="A135" s="58"/>
      <c r="B135" s="112" t="s">
        <v>515</v>
      </c>
      <c r="C135" s="113"/>
      <c r="D135" s="52" t="s">
        <v>94</v>
      </c>
      <c r="E135" s="61"/>
      <c r="F135" s="58"/>
      <c r="G135" s="58"/>
      <c r="I135"/>
      <c r="J135" s="37"/>
      <c r="K135"/>
      <c r="L135" s="41"/>
      <c r="M135" s="41"/>
      <c r="N135" s="41"/>
      <c r="O135" s="59"/>
    </row>
    <row r="136" spans="1:17" s="60" customFormat="1" ht="29.1" customHeight="1" x14ac:dyDescent="0.2">
      <c r="A136" s="58"/>
      <c r="B136" s="112" t="s">
        <v>516</v>
      </c>
      <c r="C136" s="113"/>
      <c r="D136" s="52" t="s">
        <v>94</v>
      </c>
      <c r="E136" s="61"/>
      <c r="F136" s="58"/>
      <c r="G136" s="58"/>
      <c r="I136"/>
      <c r="J136" s="37"/>
      <c r="K136"/>
      <c r="L136" s="41"/>
      <c r="M136" s="41"/>
      <c r="N136" s="41"/>
      <c r="O136" s="59"/>
    </row>
    <row r="137" spans="1:17" s="60" customFormat="1" ht="17.100000000000001" customHeight="1" x14ac:dyDescent="0.2">
      <c r="A137" s="58"/>
      <c r="B137" s="112" t="s">
        <v>517</v>
      </c>
      <c r="C137" s="113"/>
      <c r="D137" s="52" t="s">
        <v>94</v>
      </c>
      <c r="E137" s="61"/>
      <c r="F137" s="58"/>
      <c r="G137" s="58"/>
      <c r="I137"/>
      <c r="J137" s="37"/>
      <c r="K137"/>
      <c r="L137" s="41"/>
      <c r="M137" s="41"/>
      <c r="N137" s="41"/>
      <c r="O137" s="59"/>
    </row>
    <row r="138" spans="1:17" s="60" customFormat="1" x14ac:dyDescent="0.2">
      <c r="I138"/>
      <c r="J138" s="37"/>
      <c r="K138" s="41"/>
      <c r="L138" s="41"/>
      <c r="M138" s="41"/>
      <c r="N138" s="41"/>
      <c r="O138" s="59"/>
    </row>
    <row r="139" spans="1:17" s="60" customFormat="1" x14ac:dyDescent="0.2">
      <c r="B139" s="109" t="s">
        <v>504</v>
      </c>
      <c r="C139" s="110"/>
      <c r="D139" s="111"/>
      <c r="I139"/>
      <c r="J139" s="37"/>
      <c r="K139"/>
      <c r="L139" s="41"/>
      <c r="M139" s="41"/>
      <c r="N139" s="41"/>
      <c r="O139" s="59"/>
    </row>
    <row r="140" spans="1:17" s="60" customFormat="1" ht="25.5" x14ac:dyDescent="0.2">
      <c r="B140" s="103" t="s">
        <v>505</v>
      </c>
      <c r="C140" s="103"/>
      <c r="D140" s="62" t="s">
        <v>361</v>
      </c>
      <c r="I140"/>
      <c r="J140" s="37"/>
      <c r="K140"/>
      <c r="L140" s="41"/>
      <c r="M140" s="41"/>
      <c r="N140" s="41"/>
      <c r="O140" s="59"/>
    </row>
    <row r="141" spans="1:17" s="60" customFormat="1" x14ac:dyDescent="0.2">
      <c r="B141" s="103" t="s">
        <v>506</v>
      </c>
      <c r="C141" s="103"/>
      <c r="D141" s="63"/>
      <c r="I141"/>
      <c r="J141" s="37"/>
      <c r="K141"/>
      <c r="L141" s="41"/>
      <c r="M141" s="41"/>
      <c r="N141" s="41"/>
      <c r="O141" s="59"/>
      <c r="P141"/>
      <c r="Q141"/>
    </row>
    <row r="142" spans="1:17" s="60" customFormat="1" x14ac:dyDescent="0.2">
      <c r="B142" s="103"/>
      <c r="C142" s="103"/>
      <c r="D142" s="64"/>
      <c r="I142"/>
      <c r="J142" s="37"/>
      <c r="K142"/>
      <c r="L142" s="41"/>
      <c r="M142" s="41"/>
      <c r="N142" s="41"/>
      <c r="O142" s="59"/>
      <c r="P142"/>
      <c r="Q142"/>
    </row>
    <row r="143" spans="1:17" s="60" customFormat="1" x14ac:dyDescent="0.2">
      <c r="B143" s="103" t="s">
        <v>507</v>
      </c>
      <c r="C143" s="103"/>
      <c r="D143" s="65">
        <v>7.4446413353781642</v>
      </c>
      <c r="I143"/>
      <c r="J143" s="37"/>
      <c r="K143" s="41"/>
      <c r="L143" s="41"/>
      <c r="M143" s="41"/>
      <c r="N143" s="41"/>
      <c r="O143" s="59"/>
      <c r="P143"/>
      <c r="Q143"/>
    </row>
    <row r="144" spans="1:17" s="60" customFormat="1" x14ac:dyDescent="0.2">
      <c r="B144" s="103"/>
      <c r="C144" s="103"/>
      <c r="D144" s="64"/>
      <c r="I144"/>
      <c r="J144" s="37"/>
      <c r="K144" s="41"/>
      <c r="L144" s="41"/>
      <c r="M144" s="41"/>
      <c r="N144" s="41"/>
      <c r="O144"/>
      <c r="P144"/>
      <c r="Q144"/>
    </row>
    <row r="145" spans="2:17" s="60" customFormat="1" x14ac:dyDescent="0.2">
      <c r="B145" s="103" t="s">
        <v>530</v>
      </c>
      <c r="C145" s="103"/>
      <c r="D145" s="65">
        <v>3.0460720070460505</v>
      </c>
      <c r="I145"/>
      <c r="J145" s="37"/>
      <c r="K145" s="41"/>
      <c r="L145" s="41"/>
      <c r="M145" s="41"/>
      <c r="N145" s="41"/>
      <c r="O145"/>
      <c r="P145"/>
      <c r="Q145"/>
    </row>
    <row r="146" spans="2:17" s="60" customFormat="1" x14ac:dyDescent="0.2">
      <c r="B146" s="103" t="s">
        <v>531</v>
      </c>
      <c r="C146" s="103"/>
      <c r="D146" s="65">
        <v>3.9699634558132226</v>
      </c>
      <c r="I146"/>
      <c r="J146" s="37"/>
      <c r="K146" s="41"/>
      <c r="L146" s="41"/>
      <c r="M146" s="41"/>
      <c r="N146" s="41"/>
      <c r="O146"/>
      <c r="P146"/>
      <c r="Q146"/>
    </row>
    <row r="147" spans="2:17" s="60" customFormat="1" x14ac:dyDescent="0.2">
      <c r="B147" s="103"/>
      <c r="C147" s="103"/>
      <c r="D147" s="64"/>
      <c r="I147"/>
      <c r="J147" s="37"/>
      <c r="K147" s="41"/>
      <c r="L147" s="41"/>
      <c r="M147" s="41"/>
      <c r="N147" s="41"/>
      <c r="O147"/>
      <c r="P147"/>
      <c r="Q147"/>
    </row>
    <row r="148" spans="2:17" s="60" customFormat="1" x14ac:dyDescent="0.2">
      <c r="B148" s="103" t="s">
        <v>510</v>
      </c>
      <c r="C148" s="103"/>
      <c r="D148" s="66">
        <v>45473</v>
      </c>
      <c r="I148"/>
      <c r="J148" s="37"/>
      <c r="K148" s="41"/>
      <c r="L148" s="41"/>
      <c r="M148" s="41"/>
      <c r="N148" s="41"/>
      <c r="O148"/>
      <c r="P148"/>
      <c r="Q148"/>
    </row>
    <row r="149" spans="2:17" s="60" customFormat="1" x14ac:dyDescent="0.2">
      <c r="B149" s="104" t="s">
        <v>511</v>
      </c>
      <c r="C149" s="106"/>
      <c r="D149" s="105"/>
      <c r="I149"/>
      <c r="J149" s="37"/>
      <c r="K149" s="41"/>
      <c r="L149" s="41"/>
      <c r="M149" s="41"/>
      <c r="N149" s="41"/>
      <c r="O149"/>
      <c r="P149"/>
      <c r="Q149"/>
    </row>
    <row r="150" spans="2:17" x14ac:dyDescent="0.2">
      <c r="K150" s="41"/>
    </row>
    <row r="151" spans="2:17" x14ac:dyDescent="0.2">
      <c r="K151" s="41"/>
    </row>
    <row r="152" spans="2:17" x14ac:dyDescent="0.2">
      <c r="K152" s="41"/>
    </row>
    <row r="153" spans="2:17" x14ac:dyDescent="0.2">
      <c r="K153" s="41"/>
    </row>
  </sheetData>
  <mergeCells count="27">
    <mergeCell ref="B135:C135"/>
    <mergeCell ref="B136:C136"/>
    <mergeCell ref="B137:C137"/>
    <mergeCell ref="B101:D101"/>
    <mergeCell ref="B102:C102"/>
    <mergeCell ref="B103:C103"/>
    <mergeCell ref="B104:C104"/>
    <mergeCell ref="B134:C134"/>
    <mergeCell ref="B123:C123"/>
    <mergeCell ref="B96:H96"/>
    <mergeCell ref="B97:H97"/>
    <mergeCell ref="B98:H98"/>
    <mergeCell ref="B99:H99"/>
    <mergeCell ref="A1:H1"/>
    <mergeCell ref="A2:H2"/>
    <mergeCell ref="A3:H3"/>
    <mergeCell ref="B139:D139"/>
    <mergeCell ref="B140:C140"/>
    <mergeCell ref="B141:C141"/>
    <mergeCell ref="B142:C142"/>
    <mergeCell ref="B143:C143"/>
    <mergeCell ref="B149:D149"/>
    <mergeCell ref="B144:C144"/>
    <mergeCell ref="B145:C145"/>
    <mergeCell ref="B146:C146"/>
    <mergeCell ref="B147:C147"/>
    <mergeCell ref="B148:C148"/>
  </mergeCells>
  <hyperlinks>
    <hyperlink ref="I1" location="Index!B7" display="Index" xr:uid="{79A15820-1E3E-4B96-BEF5-00E5E003E59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90EE-3908-466B-B0E5-8C8309D78206}">
  <sheetPr>
    <outlinePr summaryBelow="0" summaryRight="0"/>
  </sheetPr>
  <dimension ref="A1:R204"/>
  <sheetViews>
    <sheetView showGridLines="0" workbookViewId="0">
      <selection activeCell="L11" sqref="L1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50.7109375" style="37" customWidth="1"/>
  </cols>
  <sheetData>
    <row r="1" spans="1:11" ht="18" customHeight="1" x14ac:dyDescent="0.2">
      <c r="A1" s="107" t="s">
        <v>0</v>
      </c>
      <c r="B1" s="107"/>
      <c r="C1" s="107"/>
      <c r="D1" s="107"/>
      <c r="E1" s="107"/>
      <c r="F1" s="107"/>
      <c r="G1" s="107"/>
      <c r="H1" s="107"/>
      <c r="I1" s="92" t="s">
        <v>560</v>
      </c>
    </row>
    <row r="2" spans="1:11" ht="17.100000000000001" customHeight="1" x14ac:dyDescent="0.2">
      <c r="A2" s="107" t="s">
        <v>373</v>
      </c>
      <c r="B2" s="107"/>
      <c r="C2" s="107"/>
      <c r="D2" s="107"/>
      <c r="E2" s="107"/>
      <c r="F2" s="107"/>
      <c r="G2" s="107"/>
      <c r="H2" s="107"/>
      <c r="J2" s="93" t="s">
        <v>575</v>
      </c>
    </row>
    <row r="3" spans="1:11" ht="21" customHeight="1" x14ac:dyDescent="0.2">
      <c r="A3" s="107" t="s">
        <v>588</v>
      </c>
      <c r="B3" s="107"/>
      <c r="C3" s="107"/>
      <c r="D3" s="107"/>
      <c r="E3" s="107"/>
      <c r="F3" s="107"/>
      <c r="G3" s="107"/>
      <c r="H3" s="107"/>
    </row>
    <row r="4" spans="1:11" ht="30" x14ac:dyDescent="0.2">
      <c r="A4" s="53" t="s">
        <v>2</v>
      </c>
      <c r="B4" s="53" t="s">
        <v>3</v>
      </c>
      <c r="C4" s="53" t="s">
        <v>4</v>
      </c>
      <c r="D4" s="53" t="s">
        <v>5</v>
      </c>
      <c r="E4" s="53" t="s">
        <v>6</v>
      </c>
      <c r="F4" s="53" t="s">
        <v>7</v>
      </c>
      <c r="G4" s="53" t="s">
        <v>8</v>
      </c>
      <c r="H4" s="51" t="s">
        <v>559</v>
      </c>
      <c r="I4" s="94"/>
      <c r="K4" s="94"/>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5"/>
    </row>
    <row r="13" spans="1:11" ht="14.1" customHeight="1" x14ac:dyDescent="0.2">
      <c r="A13" s="1"/>
      <c r="B13" s="1"/>
      <c r="C13" s="2" t="s">
        <v>11</v>
      </c>
      <c r="D13" s="1"/>
      <c r="E13" s="1" t="s">
        <v>12</v>
      </c>
      <c r="F13" s="3" t="s">
        <v>13</v>
      </c>
      <c r="G13" s="4">
        <v>0</v>
      </c>
      <c r="H13" s="36"/>
      <c r="J13" s="96"/>
    </row>
    <row r="14" spans="1:11" ht="14.1" customHeight="1" x14ac:dyDescent="0.2">
      <c r="A14" s="1"/>
      <c r="B14" s="1"/>
      <c r="C14" s="5"/>
      <c r="D14" s="1"/>
      <c r="E14" s="1"/>
      <c r="F14" s="6"/>
      <c r="G14" s="6"/>
      <c r="H14" s="36"/>
    </row>
    <row r="15" spans="1:11" ht="25.5" x14ac:dyDescent="0.2">
      <c r="A15" s="1"/>
      <c r="B15" s="1"/>
      <c r="C15" s="2" t="s">
        <v>16</v>
      </c>
      <c r="D15" s="1"/>
      <c r="E15" s="1"/>
      <c r="F15" s="1"/>
      <c r="G15" s="1"/>
      <c r="H15" s="36"/>
      <c r="J15" s="96" t="s">
        <v>576</v>
      </c>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5"/>
    </row>
    <row r="23" spans="1:10" ht="14.1" customHeight="1" x14ac:dyDescent="0.2">
      <c r="A23" s="1"/>
      <c r="B23" s="1"/>
      <c r="C23" s="5"/>
      <c r="D23" s="1"/>
      <c r="E23" s="1"/>
      <c r="F23" s="6"/>
      <c r="G23" s="6"/>
      <c r="H23" s="36"/>
      <c r="J23" s="96"/>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c r="J27" s="37" t="s">
        <v>577</v>
      </c>
    </row>
    <row r="28" spans="1:10" ht="17.100000000000001" customHeight="1" x14ac:dyDescent="0.2">
      <c r="A28" s="8">
        <v>1</v>
      </c>
      <c r="B28" s="9" t="s">
        <v>195</v>
      </c>
      <c r="C28" s="9" t="s">
        <v>196</v>
      </c>
      <c r="D28" s="9" t="s">
        <v>197</v>
      </c>
      <c r="E28" s="10">
        <v>5000</v>
      </c>
      <c r="F28" s="11">
        <v>5009.8149999999996</v>
      </c>
      <c r="G28" s="12">
        <v>2.9802769999999999E-2</v>
      </c>
      <c r="H28" s="36">
        <v>8.6775000000000002</v>
      </c>
      <c r="J28" s="96"/>
    </row>
    <row r="29" spans="1:10" ht="29.1" customHeight="1" x14ac:dyDescent="0.2">
      <c r="A29" s="8">
        <v>2</v>
      </c>
      <c r="B29" s="9" t="s">
        <v>202</v>
      </c>
      <c r="C29" s="9" t="s">
        <v>203</v>
      </c>
      <c r="D29" s="9" t="s">
        <v>23</v>
      </c>
      <c r="E29" s="10">
        <v>300</v>
      </c>
      <c r="F29" s="11">
        <v>2963.3220000000001</v>
      </c>
      <c r="G29" s="12">
        <v>1.7628439999999999E-2</v>
      </c>
      <c r="H29" s="36">
        <v>7.7050000000000001</v>
      </c>
    </row>
    <row r="30" spans="1:10" ht="17.100000000000001" customHeight="1" x14ac:dyDescent="0.2">
      <c r="A30" s="8">
        <v>3</v>
      </c>
      <c r="B30" s="9" t="s">
        <v>374</v>
      </c>
      <c r="C30" s="9" t="s">
        <v>375</v>
      </c>
      <c r="D30" s="9" t="s">
        <v>32</v>
      </c>
      <c r="E30" s="10">
        <v>250</v>
      </c>
      <c r="F30" s="11">
        <v>2497.9499999999998</v>
      </c>
      <c r="G30" s="12">
        <v>1.486E-2</v>
      </c>
      <c r="H30" s="36">
        <v>7.335</v>
      </c>
    </row>
    <row r="31" spans="1:10" ht="29.1" customHeight="1" x14ac:dyDescent="0.2">
      <c r="A31" s="8">
        <v>4</v>
      </c>
      <c r="B31" s="9" t="s">
        <v>376</v>
      </c>
      <c r="C31" s="9" t="s">
        <v>377</v>
      </c>
      <c r="D31" s="9" t="s">
        <v>215</v>
      </c>
      <c r="E31" s="10">
        <v>250000</v>
      </c>
      <c r="F31" s="11">
        <v>2497.9499999999998</v>
      </c>
      <c r="G31" s="12">
        <v>1.486E-2</v>
      </c>
      <c r="H31" s="36">
        <v>8.27</v>
      </c>
    </row>
    <row r="32" spans="1:10" ht="29.1" customHeight="1" x14ac:dyDescent="0.2">
      <c r="A32" s="8">
        <v>5</v>
      </c>
      <c r="B32" s="9" t="s">
        <v>378</v>
      </c>
      <c r="C32" s="9" t="s">
        <v>379</v>
      </c>
      <c r="D32" s="9" t="s">
        <v>23</v>
      </c>
      <c r="E32" s="10">
        <v>250</v>
      </c>
      <c r="F32" s="11">
        <v>2479.4724999999999</v>
      </c>
      <c r="G32" s="12">
        <v>1.475008E-2</v>
      </c>
      <c r="H32" s="36">
        <v>8.1824999999999992</v>
      </c>
    </row>
    <row r="33" spans="1:8" ht="29.1" customHeight="1" x14ac:dyDescent="0.2">
      <c r="A33" s="8">
        <v>6</v>
      </c>
      <c r="B33" s="9" t="s">
        <v>380</v>
      </c>
      <c r="C33" s="9" t="s">
        <v>381</v>
      </c>
      <c r="D33" s="9" t="s">
        <v>23</v>
      </c>
      <c r="E33" s="10">
        <v>250</v>
      </c>
      <c r="F33" s="11">
        <v>2473.9499999999998</v>
      </c>
      <c r="G33" s="12">
        <v>1.471722E-2</v>
      </c>
      <c r="H33" s="36">
        <v>7.6050000000000004</v>
      </c>
    </row>
    <row r="34" spans="1:8" ht="29.1" customHeight="1" x14ac:dyDescent="0.2">
      <c r="A34" s="8">
        <v>7</v>
      </c>
      <c r="B34" s="9" t="s">
        <v>198</v>
      </c>
      <c r="C34" s="9" t="s">
        <v>199</v>
      </c>
      <c r="D34" s="9" t="s">
        <v>197</v>
      </c>
      <c r="E34" s="10">
        <v>2000</v>
      </c>
      <c r="F34" s="11">
        <v>2002.5640000000001</v>
      </c>
      <c r="G34" s="12">
        <v>1.191301E-2</v>
      </c>
      <c r="H34" s="36">
        <v>9.1</v>
      </c>
    </row>
    <row r="35" spans="1:8" ht="29.1" customHeight="1" x14ac:dyDescent="0.2">
      <c r="A35" s="8">
        <v>8</v>
      </c>
      <c r="B35" s="9" t="s">
        <v>213</v>
      </c>
      <c r="C35" s="9" t="s">
        <v>214</v>
      </c>
      <c r="D35" s="9" t="s">
        <v>215</v>
      </c>
      <c r="E35" s="10">
        <v>200</v>
      </c>
      <c r="F35" s="11">
        <v>1999.7660000000001</v>
      </c>
      <c r="G35" s="12">
        <v>1.189636E-2</v>
      </c>
      <c r="H35" s="36">
        <v>8.3949999999999996</v>
      </c>
    </row>
    <row r="36" spans="1:8" ht="29.1" customHeight="1" x14ac:dyDescent="0.2">
      <c r="A36" s="8">
        <v>9</v>
      </c>
      <c r="B36" s="9" t="s">
        <v>61</v>
      </c>
      <c r="C36" s="9" t="s">
        <v>62</v>
      </c>
      <c r="D36" s="9" t="s">
        <v>23</v>
      </c>
      <c r="E36" s="10">
        <v>1500</v>
      </c>
      <c r="F36" s="11">
        <v>1497.6</v>
      </c>
      <c r="G36" s="12">
        <v>8.90904E-3</v>
      </c>
      <c r="H36" s="36">
        <v>8.1950000000000003</v>
      </c>
    </row>
    <row r="37" spans="1:8" ht="29.1" customHeight="1" x14ac:dyDescent="0.2">
      <c r="A37" s="8">
        <v>10</v>
      </c>
      <c r="B37" s="9" t="s">
        <v>127</v>
      </c>
      <c r="C37" s="9" t="s">
        <v>128</v>
      </c>
      <c r="D37" s="9" t="s">
        <v>23</v>
      </c>
      <c r="E37" s="10">
        <v>1500</v>
      </c>
      <c r="F37" s="11">
        <v>1497.5654999999999</v>
      </c>
      <c r="G37" s="12">
        <v>8.9088299999999995E-3</v>
      </c>
      <c r="H37" s="36">
        <v>7.94</v>
      </c>
    </row>
    <row r="38" spans="1:8" ht="29.1" customHeight="1" x14ac:dyDescent="0.2">
      <c r="A38" s="8">
        <v>11</v>
      </c>
      <c r="B38" s="9" t="s">
        <v>211</v>
      </c>
      <c r="C38" s="9" t="s">
        <v>212</v>
      </c>
      <c r="D38" s="9" t="s">
        <v>197</v>
      </c>
      <c r="E38" s="10">
        <v>1000</v>
      </c>
      <c r="F38" s="11">
        <v>1002.573</v>
      </c>
      <c r="G38" s="12">
        <v>5.9641800000000003E-3</v>
      </c>
      <c r="H38" s="36">
        <v>8.98</v>
      </c>
    </row>
    <row r="39" spans="1:8" ht="14.1" customHeight="1" x14ac:dyDescent="0.2">
      <c r="A39" s="1"/>
      <c r="B39" s="1"/>
      <c r="C39" s="2" t="s">
        <v>11</v>
      </c>
      <c r="D39" s="1"/>
      <c r="E39" s="1" t="s">
        <v>12</v>
      </c>
      <c r="F39" s="7">
        <v>25922.527999999998</v>
      </c>
      <c r="G39" s="4">
        <v>0.15420993</v>
      </c>
      <c r="H39" s="36"/>
    </row>
    <row r="40" spans="1:8" ht="14.1" customHeight="1" x14ac:dyDescent="0.2">
      <c r="A40" s="1"/>
      <c r="B40" s="1"/>
      <c r="C40" s="5"/>
      <c r="D40" s="1"/>
      <c r="E40" s="1"/>
      <c r="F40" s="6"/>
      <c r="G40" s="6"/>
      <c r="H40" s="36"/>
    </row>
    <row r="41" spans="1:8" ht="14.1" customHeight="1" x14ac:dyDescent="0.2">
      <c r="A41" s="1"/>
      <c r="B41" s="1"/>
      <c r="C41" s="2" t="s">
        <v>63</v>
      </c>
      <c r="D41" s="1"/>
      <c r="E41" s="1"/>
      <c r="F41" s="1"/>
      <c r="G41" s="1"/>
      <c r="H41" s="36"/>
    </row>
    <row r="42" spans="1:8" ht="14.1" customHeight="1" x14ac:dyDescent="0.2">
      <c r="A42" s="1"/>
      <c r="B42" s="1"/>
      <c r="C42" s="2" t="s">
        <v>11</v>
      </c>
      <c r="D42" s="1"/>
      <c r="E42" s="1" t="s">
        <v>12</v>
      </c>
      <c r="F42" s="3" t="s">
        <v>13</v>
      </c>
      <c r="G42" s="4">
        <v>0</v>
      </c>
      <c r="H42" s="36"/>
    </row>
    <row r="43" spans="1:8" ht="14.1" customHeight="1" x14ac:dyDescent="0.2">
      <c r="A43" s="1"/>
      <c r="B43" s="1"/>
      <c r="C43" s="5"/>
      <c r="D43" s="1"/>
      <c r="E43" s="1"/>
      <c r="F43" s="6"/>
      <c r="G43" s="6"/>
      <c r="H43" s="36"/>
    </row>
    <row r="44" spans="1:8" ht="14.1" customHeight="1" x14ac:dyDescent="0.2">
      <c r="A44" s="1"/>
      <c r="B44" s="1"/>
      <c r="C44" s="2" t="s">
        <v>64</v>
      </c>
      <c r="D44" s="1"/>
      <c r="E44" s="1"/>
      <c r="F44" s="1"/>
      <c r="G44" s="1"/>
      <c r="H44" s="36"/>
    </row>
    <row r="45" spans="1:8" ht="14.1" customHeight="1" x14ac:dyDescent="0.2">
      <c r="A45" s="1"/>
      <c r="B45" s="1"/>
      <c r="C45" s="2" t="s">
        <v>11</v>
      </c>
      <c r="D45" s="1"/>
      <c r="E45" s="1" t="s">
        <v>12</v>
      </c>
      <c r="F45" s="3" t="s">
        <v>13</v>
      </c>
      <c r="G45" s="4">
        <v>0</v>
      </c>
      <c r="H45" s="36"/>
    </row>
    <row r="46" spans="1:8" ht="14.1" customHeight="1" x14ac:dyDescent="0.2">
      <c r="A46" s="1"/>
      <c r="B46" s="1"/>
      <c r="C46" s="5"/>
      <c r="D46" s="1"/>
      <c r="E46" s="1"/>
      <c r="F46" s="6"/>
      <c r="G46" s="6"/>
      <c r="H46" s="36"/>
    </row>
    <row r="47" spans="1:8" ht="14.1" customHeight="1" x14ac:dyDescent="0.2">
      <c r="A47" s="1"/>
      <c r="B47" s="1"/>
      <c r="C47" s="2" t="s">
        <v>74</v>
      </c>
      <c r="D47" s="1"/>
      <c r="E47" s="1"/>
      <c r="F47" s="6"/>
      <c r="G47" s="6"/>
      <c r="H47" s="36"/>
    </row>
    <row r="48" spans="1:8" ht="14.1" customHeight="1" x14ac:dyDescent="0.2">
      <c r="A48" s="1"/>
      <c r="B48" s="1"/>
      <c r="C48" s="2" t="s">
        <v>11</v>
      </c>
      <c r="D48" s="1"/>
      <c r="E48" s="1" t="s">
        <v>12</v>
      </c>
      <c r="F48" s="3" t="s">
        <v>13</v>
      </c>
      <c r="G48" s="4">
        <v>0</v>
      </c>
      <c r="H48" s="36"/>
    </row>
    <row r="49" spans="1:8" ht="14.1" customHeight="1" x14ac:dyDescent="0.2">
      <c r="A49" s="1"/>
      <c r="B49" s="1"/>
      <c r="C49" s="5"/>
      <c r="D49" s="1"/>
      <c r="E49" s="1"/>
      <c r="F49" s="6"/>
      <c r="G49" s="6"/>
      <c r="H49" s="36"/>
    </row>
    <row r="50" spans="1:8" ht="14.1" customHeight="1" x14ac:dyDescent="0.2">
      <c r="A50" s="1"/>
      <c r="B50" s="1"/>
      <c r="C50" s="2" t="s">
        <v>75</v>
      </c>
      <c r="D50" s="1"/>
      <c r="E50" s="1"/>
      <c r="F50" s="7">
        <v>25922.527999999998</v>
      </c>
      <c r="G50" s="4">
        <v>0.15420993</v>
      </c>
      <c r="H50" s="36"/>
    </row>
    <row r="51" spans="1:8" ht="14.1" customHeight="1" x14ac:dyDescent="0.2">
      <c r="A51" s="1"/>
      <c r="B51" s="1"/>
      <c r="C51" s="5"/>
      <c r="D51" s="1"/>
      <c r="E51" s="1"/>
      <c r="F51" s="6"/>
      <c r="G51" s="6"/>
      <c r="H51" s="36"/>
    </row>
    <row r="52" spans="1:8" ht="14.1" customHeight="1" x14ac:dyDescent="0.2">
      <c r="A52" s="1"/>
      <c r="B52" s="1"/>
      <c r="C52" s="2" t="s">
        <v>76</v>
      </c>
      <c r="D52" s="1"/>
      <c r="E52" s="1"/>
      <c r="F52" s="6"/>
      <c r="G52" s="6"/>
      <c r="H52" s="36"/>
    </row>
    <row r="53" spans="1:8" ht="14.1" customHeight="1" x14ac:dyDescent="0.2">
      <c r="A53" s="1"/>
      <c r="B53" s="1"/>
      <c r="C53" s="2" t="s">
        <v>77</v>
      </c>
      <c r="D53" s="1"/>
      <c r="E53" s="1"/>
      <c r="F53" s="6"/>
      <c r="G53" s="6"/>
      <c r="H53" s="36"/>
    </row>
    <row r="54" spans="1:8" ht="17.100000000000001" customHeight="1" x14ac:dyDescent="0.2">
      <c r="A54" s="8">
        <v>1</v>
      </c>
      <c r="B54" s="9" t="s">
        <v>382</v>
      </c>
      <c r="C54" s="9" t="s">
        <v>383</v>
      </c>
      <c r="D54" s="9" t="s">
        <v>135</v>
      </c>
      <c r="E54" s="10">
        <v>1500</v>
      </c>
      <c r="F54" s="11">
        <v>7392.84</v>
      </c>
      <c r="G54" s="12">
        <v>4.3979089999999998E-2</v>
      </c>
      <c r="H54" s="36">
        <v>7.1497999999999999</v>
      </c>
    </row>
    <row r="55" spans="1:8" ht="17.100000000000001" customHeight="1" x14ac:dyDescent="0.2">
      <c r="A55" s="8">
        <v>2</v>
      </c>
      <c r="B55" s="9" t="s">
        <v>155</v>
      </c>
      <c r="C55" s="9" t="s">
        <v>156</v>
      </c>
      <c r="D55" s="9" t="s">
        <v>135</v>
      </c>
      <c r="E55" s="10">
        <v>1400</v>
      </c>
      <c r="F55" s="11">
        <v>6773.7110000000002</v>
      </c>
      <c r="G55" s="12">
        <v>4.029597E-2</v>
      </c>
      <c r="H55" s="36">
        <v>7.39</v>
      </c>
    </row>
    <row r="56" spans="1:8" ht="17.100000000000001" customHeight="1" x14ac:dyDescent="0.2">
      <c r="A56" s="8">
        <v>3</v>
      </c>
      <c r="B56" s="9" t="s">
        <v>384</v>
      </c>
      <c r="C56" s="9" t="s">
        <v>385</v>
      </c>
      <c r="D56" s="9" t="s">
        <v>144</v>
      </c>
      <c r="E56" s="10">
        <v>1000</v>
      </c>
      <c r="F56" s="11">
        <v>4856.0600000000004</v>
      </c>
      <c r="G56" s="12">
        <v>2.88881E-2</v>
      </c>
      <c r="H56" s="36">
        <v>7.36</v>
      </c>
    </row>
    <row r="57" spans="1:8" ht="17.100000000000001" customHeight="1" x14ac:dyDescent="0.2">
      <c r="A57" s="8">
        <v>4</v>
      </c>
      <c r="B57" s="9" t="s">
        <v>386</v>
      </c>
      <c r="C57" s="9" t="s">
        <v>387</v>
      </c>
      <c r="D57" s="9" t="s">
        <v>170</v>
      </c>
      <c r="E57" s="10">
        <v>1000</v>
      </c>
      <c r="F57" s="11">
        <v>4844.5050000000001</v>
      </c>
      <c r="G57" s="12">
        <v>2.8819359999999999E-2</v>
      </c>
      <c r="H57" s="36">
        <v>7.4150999999999998</v>
      </c>
    </row>
    <row r="58" spans="1:8" ht="17.100000000000001" customHeight="1" x14ac:dyDescent="0.2">
      <c r="A58" s="8">
        <v>5</v>
      </c>
      <c r="B58" s="9" t="s">
        <v>388</v>
      </c>
      <c r="C58" s="9" t="s">
        <v>389</v>
      </c>
      <c r="D58" s="9" t="s">
        <v>135</v>
      </c>
      <c r="E58" s="10">
        <v>1000</v>
      </c>
      <c r="F58" s="11">
        <v>4789.67</v>
      </c>
      <c r="G58" s="12">
        <v>2.849316E-2</v>
      </c>
      <c r="H58" s="36">
        <v>7.49</v>
      </c>
    </row>
    <row r="59" spans="1:8" ht="17.100000000000001" customHeight="1" x14ac:dyDescent="0.2">
      <c r="A59" s="8">
        <v>6</v>
      </c>
      <c r="B59" s="9" t="s">
        <v>166</v>
      </c>
      <c r="C59" s="9" t="s">
        <v>167</v>
      </c>
      <c r="D59" s="9" t="s">
        <v>135</v>
      </c>
      <c r="E59" s="10">
        <v>900</v>
      </c>
      <c r="F59" s="11">
        <v>4369.1310000000003</v>
      </c>
      <c r="G59" s="12">
        <v>2.5991420000000001E-2</v>
      </c>
      <c r="H59" s="36">
        <v>7.4375</v>
      </c>
    </row>
    <row r="60" spans="1:8" ht="17.100000000000001" customHeight="1" x14ac:dyDescent="0.2">
      <c r="A60" s="8">
        <v>7</v>
      </c>
      <c r="B60" s="9" t="s">
        <v>222</v>
      </c>
      <c r="C60" s="9" t="s">
        <v>223</v>
      </c>
      <c r="D60" s="9" t="s">
        <v>135</v>
      </c>
      <c r="E60" s="10">
        <v>900</v>
      </c>
      <c r="F60" s="11">
        <v>4365.8010000000004</v>
      </c>
      <c r="G60" s="12">
        <v>2.5971609999999999E-2</v>
      </c>
      <c r="H60" s="36">
        <v>7.4301000000000004</v>
      </c>
    </row>
    <row r="61" spans="1:8" ht="29.1" customHeight="1" x14ac:dyDescent="0.2">
      <c r="A61" s="8">
        <v>8</v>
      </c>
      <c r="B61" s="9" t="s">
        <v>226</v>
      </c>
      <c r="C61" s="9" t="s">
        <v>227</v>
      </c>
      <c r="D61" s="9" t="s">
        <v>135</v>
      </c>
      <c r="E61" s="10">
        <v>800</v>
      </c>
      <c r="F61" s="11">
        <v>3825.14</v>
      </c>
      <c r="G61" s="12">
        <v>2.2755290000000001E-2</v>
      </c>
      <c r="H61" s="36">
        <v>7.55</v>
      </c>
    </row>
    <row r="62" spans="1:8" ht="17.100000000000001" customHeight="1" x14ac:dyDescent="0.2">
      <c r="A62" s="8">
        <v>9</v>
      </c>
      <c r="B62" s="9" t="s">
        <v>173</v>
      </c>
      <c r="C62" s="9" t="s">
        <v>174</v>
      </c>
      <c r="D62" s="9" t="s">
        <v>170</v>
      </c>
      <c r="E62" s="10">
        <v>800</v>
      </c>
      <c r="F62" s="11">
        <v>3810.3040000000001</v>
      </c>
      <c r="G62" s="12">
        <v>2.2667030000000001E-2</v>
      </c>
      <c r="H62" s="36">
        <v>7.54</v>
      </c>
    </row>
    <row r="63" spans="1:8" ht="29.1" customHeight="1" x14ac:dyDescent="0.2">
      <c r="A63" s="8">
        <v>10</v>
      </c>
      <c r="B63" s="9" t="s">
        <v>218</v>
      </c>
      <c r="C63" s="9" t="s">
        <v>219</v>
      </c>
      <c r="D63" s="9" t="s">
        <v>135</v>
      </c>
      <c r="E63" s="10">
        <v>700</v>
      </c>
      <c r="F63" s="11">
        <v>3386.5720000000001</v>
      </c>
      <c r="G63" s="12">
        <v>2.0146299999999999E-2</v>
      </c>
      <c r="H63" s="36">
        <v>7.5000999999999998</v>
      </c>
    </row>
    <row r="64" spans="1:8" ht="17.100000000000001" customHeight="1" x14ac:dyDescent="0.2">
      <c r="A64" s="8">
        <v>11</v>
      </c>
      <c r="B64" s="9" t="s">
        <v>220</v>
      </c>
      <c r="C64" s="9" t="s">
        <v>221</v>
      </c>
      <c r="D64" s="9" t="s">
        <v>135</v>
      </c>
      <c r="E64" s="10">
        <v>700</v>
      </c>
      <c r="F64" s="11">
        <v>3365.81</v>
      </c>
      <c r="G64" s="12">
        <v>2.0022789999999999E-2</v>
      </c>
      <c r="H64" s="36">
        <v>7.54</v>
      </c>
    </row>
    <row r="65" spans="1:8" ht="17.100000000000001" customHeight="1" x14ac:dyDescent="0.2">
      <c r="A65" s="8">
        <v>12</v>
      </c>
      <c r="B65" s="9" t="s">
        <v>162</v>
      </c>
      <c r="C65" s="9" t="s">
        <v>163</v>
      </c>
      <c r="D65" s="9" t="s">
        <v>135</v>
      </c>
      <c r="E65" s="10">
        <v>660</v>
      </c>
      <c r="F65" s="11">
        <v>3145.6722</v>
      </c>
      <c r="G65" s="12">
        <v>1.8713219999999999E-2</v>
      </c>
      <c r="H65" s="36">
        <v>7.62</v>
      </c>
    </row>
    <row r="66" spans="1:8" ht="17.100000000000001" customHeight="1" x14ac:dyDescent="0.2">
      <c r="A66" s="8">
        <v>13</v>
      </c>
      <c r="B66" s="9" t="s">
        <v>164</v>
      </c>
      <c r="C66" s="9" t="s">
        <v>165</v>
      </c>
      <c r="D66" s="9" t="s">
        <v>135</v>
      </c>
      <c r="E66" s="10">
        <v>660</v>
      </c>
      <c r="F66" s="11">
        <v>3144.4809</v>
      </c>
      <c r="G66" s="12">
        <v>1.8706130000000001E-2</v>
      </c>
      <c r="H66" s="36">
        <v>7.585</v>
      </c>
    </row>
    <row r="67" spans="1:8" ht="17.100000000000001" customHeight="1" x14ac:dyDescent="0.2">
      <c r="A67" s="8">
        <v>14</v>
      </c>
      <c r="B67" s="9" t="s">
        <v>168</v>
      </c>
      <c r="C67" s="9" t="s">
        <v>169</v>
      </c>
      <c r="D67" s="9" t="s">
        <v>170</v>
      </c>
      <c r="E67" s="10">
        <v>600</v>
      </c>
      <c r="F67" s="11">
        <v>2874.123</v>
      </c>
      <c r="G67" s="12">
        <v>1.70978E-2</v>
      </c>
      <c r="H67" s="36">
        <v>7.47</v>
      </c>
    </row>
    <row r="68" spans="1:8" ht="17.100000000000001" customHeight="1" x14ac:dyDescent="0.2">
      <c r="A68" s="8">
        <v>15</v>
      </c>
      <c r="B68" s="9" t="s">
        <v>159</v>
      </c>
      <c r="C68" s="9" t="s">
        <v>160</v>
      </c>
      <c r="D68" s="9" t="s">
        <v>135</v>
      </c>
      <c r="E68" s="10">
        <v>600</v>
      </c>
      <c r="F68" s="11">
        <v>2862.027</v>
      </c>
      <c r="G68" s="12">
        <v>1.7025849999999999E-2</v>
      </c>
      <c r="H68" s="36">
        <v>7.5197000000000003</v>
      </c>
    </row>
    <row r="69" spans="1:8" ht="17.100000000000001" customHeight="1" x14ac:dyDescent="0.2">
      <c r="A69" s="8">
        <v>16</v>
      </c>
      <c r="B69" s="9" t="s">
        <v>390</v>
      </c>
      <c r="C69" s="9" t="s">
        <v>391</v>
      </c>
      <c r="D69" s="9" t="s">
        <v>135</v>
      </c>
      <c r="E69" s="10">
        <v>500</v>
      </c>
      <c r="F69" s="11">
        <v>2424.7674999999999</v>
      </c>
      <c r="G69" s="12">
        <v>1.4424640000000001E-2</v>
      </c>
      <c r="H69" s="36">
        <v>7.5</v>
      </c>
    </row>
    <row r="70" spans="1:8" ht="17.100000000000001" customHeight="1" x14ac:dyDescent="0.2">
      <c r="A70" s="8">
        <v>17</v>
      </c>
      <c r="B70" s="9" t="s">
        <v>133</v>
      </c>
      <c r="C70" s="9" t="s">
        <v>134</v>
      </c>
      <c r="D70" s="9" t="s">
        <v>135</v>
      </c>
      <c r="E70" s="10">
        <v>500</v>
      </c>
      <c r="F70" s="11">
        <v>2422.0974999999999</v>
      </c>
      <c r="G70" s="12">
        <v>1.440876E-2</v>
      </c>
      <c r="H70" s="36">
        <v>7.43</v>
      </c>
    </row>
    <row r="71" spans="1:8" ht="29.1" customHeight="1" x14ac:dyDescent="0.2">
      <c r="A71" s="8">
        <v>18</v>
      </c>
      <c r="B71" s="9" t="s">
        <v>392</v>
      </c>
      <c r="C71" s="9" t="s">
        <v>393</v>
      </c>
      <c r="D71" s="9" t="s">
        <v>135</v>
      </c>
      <c r="E71" s="10">
        <v>500</v>
      </c>
      <c r="F71" s="11">
        <v>2415.6174999999998</v>
      </c>
      <c r="G71" s="12">
        <v>1.437021E-2</v>
      </c>
      <c r="H71" s="36">
        <v>7.5000999999999998</v>
      </c>
    </row>
    <row r="72" spans="1:8" ht="29.1" customHeight="1" x14ac:dyDescent="0.2">
      <c r="A72" s="8">
        <v>19</v>
      </c>
      <c r="B72" s="9" t="s">
        <v>394</v>
      </c>
      <c r="C72" s="9" t="s">
        <v>395</v>
      </c>
      <c r="D72" s="9" t="s">
        <v>135</v>
      </c>
      <c r="E72" s="10">
        <v>500</v>
      </c>
      <c r="F72" s="11">
        <v>2397.8274999999999</v>
      </c>
      <c r="G72" s="12">
        <v>1.426438E-2</v>
      </c>
      <c r="H72" s="36">
        <v>7.55</v>
      </c>
    </row>
    <row r="73" spans="1:8" ht="17.100000000000001" customHeight="1" x14ac:dyDescent="0.2">
      <c r="A73" s="8">
        <v>20</v>
      </c>
      <c r="B73" s="9" t="s">
        <v>396</v>
      </c>
      <c r="C73" s="9" t="s">
        <v>397</v>
      </c>
      <c r="D73" s="9" t="s">
        <v>135</v>
      </c>
      <c r="E73" s="10">
        <v>500</v>
      </c>
      <c r="F73" s="11">
        <v>2392.4124999999999</v>
      </c>
      <c r="G73" s="12">
        <v>1.4232170000000001E-2</v>
      </c>
      <c r="H73" s="36">
        <v>7.4950000000000001</v>
      </c>
    </row>
    <row r="74" spans="1:8" ht="17.100000000000001" customHeight="1" x14ac:dyDescent="0.2">
      <c r="A74" s="8">
        <v>21</v>
      </c>
      <c r="B74" s="9" t="s">
        <v>398</v>
      </c>
      <c r="C74" s="9" t="s">
        <v>399</v>
      </c>
      <c r="D74" s="9" t="s">
        <v>135</v>
      </c>
      <c r="E74" s="10">
        <v>500</v>
      </c>
      <c r="F74" s="11">
        <v>2391.5450000000001</v>
      </c>
      <c r="G74" s="12">
        <v>1.422701E-2</v>
      </c>
      <c r="H74" s="36">
        <v>7.49</v>
      </c>
    </row>
    <row r="75" spans="1:8" ht="29.1" customHeight="1" x14ac:dyDescent="0.2">
      <c r="A75" s="8">
        <v>22</v>
      </c>
      <c r="B75" s="9" t="s">
        <v>400</v>
      </c>
      <c r="C75" s="9" t="s">
        <v>401</v>
      </c>
      <c r="D75" s="9" t="s">
        <v>135</v>
      </c>
      <c r="E75" s="10">
        <v>500</v>
      </c>
      <c r="F75" s="11">
        <v>2391.2649999999999</v>
      </c>
      <c r="G75" s="12">
        <v>1.422534E-2</v>
      </c>
      <c r="H75" s="36">
        <v>7.5101000000000004</v>
      </c>
    </row>
    <row r="76" spans="1:8" ht="17.100000000000001" customHeight="1" x14ac:dyDescent="0.2">
      <c r="A76" s="8">
        <v>23</v>
      </c>
      <c r="B76" s="9" t="s">
        <v>142</v>
      </c>
      <c r="C76" s="9" t="s">
        <v>143</v>
      </c>
      <c r="D76" s="9" t="s">
        <v>144</v>
      </c>
      <c r="E76" s="10">
        <v>500</v>
      </c>
      <c r="F76" s="11">
        <v>2385.8200000000002</v>
      </c>
      <c r="G76" s="12">
        <v>1.4192949999999999E-2</v>
      </c>
      <c r="H76" s="36">
        <v>7.4649999999999999</v>
      </c>
    </row>
    <row r="77" spans="1:8" ht="17.100000000000001" customHeight="1" x14ac:dyDescent="0.2">
      <c r="A77" s="8">
        <v>24</v>
      </c>
      <c r="B77" s="9" t="s">
        <v>149</v>
      </c>
      <c r="C77" s="9" t="s">
        <v>150</v>
      </c>
      <c r="D77" s="9" t="s">
        <v>135</v>
      </c>
      <c r="E77" s="10">
        <v>500</v>
      </c>
      <c r="F77" s="11">
        <v>2340.2075</v>
      </c>
      <c r="G77" s="12">
        <v>1.3921609999999999E-2</v>
      </c>
      <c r="H77" s="36">
        <v>7.6449999999999996</v>
      </c>
    </row>
    <row r="78" spans="1:8" ht="17.100000000000001" customHeight="1" x14ac:dyDescent="0.2">
      <c r="A78" s="8">
        <v>25</v>
      </c>
      <c r="B78" s="9" t="s">
        <v>171</v>
      </c>
      <c r="C78" s="9" t="s">
        <v>172</v>
      </c>
      <c r="D78" s="9" t="s">
        <v>135</v>
      </c>
      <c r="E78" s="10">
        <v>400</v>
      </c>
      <c r="F78" s="11">
        <v>1913.3219999999999</v>
      </c>
      <c r="G78" s="12">
        <v>1.1382120000000001E-2</v>
      </c>
      <c r="H78" s="36">
        <v>7.585</v>
      </c>
    </row>
    <row r="79" spans="1:8" ht="17.100000000000001" customHeight="1" x14ac:dyDescent="0.2">
      <c r="A79" s="8">
        <v>26</v>
      </c>
      <c r="B79" s="9" t="s">
        <v>224</v>
      </c>
      <c r="C79" s="9" t="s">
        <v>225</v>
      </c>
      <c r="D79" s="9" t="s">
        <v>135</v>
      </c>
      <c r="E79" s="10">
        <v>300</v>
      </c>
      <c r="F79" s="11">
        <v>1453.5150000000001</v>
      </c>
      <c r="G79" s="12">
        <v>8.6467799999999997E-3</v>
      </c>
      <c r="H79" s="36">
        <v>7.4349999999999996</v>
      </c>
    </row>
    <row r="80" spans="1:8" ht="29.1" customHeight="1" x14ac:dyDescent="0.2">
      <c r="A80" s="8">
        <v>27</v>
      </c>
      <c r="B80" s="9" t="s">
        <v>157</v>
      </c>
      <c r="C80" s="9" t="s">
        <v>158</v>
      </c>
      <c r="D80" s="9" t="s">
        <v>135</v>
      </c>
      <c r="E80" s="10">
        <v>300</v>
      </c>
      <c r="F80" s="11">
        <v>1433.01</v>
      </c>
      <c r="G80" s="12">
        <v>8.5248000000000008E-3</v>
      </c>
      <c r="H80" s="36">
        <v>7.55</v>
      </c>
    </row>
    <row r="81" spans="1:8" ht="17.100000000000001" customHeight="1" x14ac:dyDescent="0.2">
      <c r="A81" s="8">
        <v>28</v>
      </c>
      <c r="B81" s="9" t="s">
        <v>140</v>
      </c>
      <c r="C81" s="9" t="s">
        <v>141</v>
      </c>
      <c r="D81" s="9" t="s">
        <v>135</v>
      </c>
      <c r="E81" s="10">
        <v>300</v>
      </c>
      <c r="F81" s="11">
        <v>1429.8734999999999</v>
      </c>
      <c r="G81" s="12">
        <v>8.5061400000000006E-3</v>
      </c>
      <c r="H81" s="36">
        <v>7.4898999999999996</v>
      </c>
    </row>
    <row r="82" spans="1:8" ht="29.1" customHeight="1" x14ac:dyDescent="0.2">
      <c r="A82" s="8">
        <v>29</v>
      </c>
      <c r="B82" s="9" t="s">
        <v>228</v>
      </c>
      <c r="C82" s="9" t="s">
        <v>229</v>
      </c>
      <c r="D82" s="9" t="s">
        <v>135</v>
      </c>
      <c r="E82" s="10">
        <v>300</v>
      </c>
      <c r="F82" s="11">
        <v>1429.056</v>
      </c>
      <c r="G82" s="12">
        <v>8.5012799999999999E-3</v>
      </c>
      <c r="H82" s="36">
        <v>7.55</v>
      </c>
    </row>
    <row r="83" spans="1:8" ht="17.100000000000001" customHeight="1" x14ac:dyDescent="0.2">
      <c r="A83" s="8">
        <v>30</v>
      </c>
      <c r="B83" s="9" t="s">
        <v>161</v>
      </c>
      <c r="C83" s="9" t="s">
        <v>481</v>
      </c>
      <c r="D83" s="9" t="s">
        <v>135</v>
      </c>
      <c r="E83" s="10">
        <v>300</v>
      </c>
      <c r="F83" s="11">
        <v>1426.11</v>
      </c>
      <c r="G83" s="12">
        <v>8.48375E-3</v>
      </c>
      <c r="H83" s="36">
        <v>7.5949999999999998</v>
      </c>
    </row>
    <row r="84" spans="1:8" ht="17.100000000000001" customHeight="1" x14ac:dyDescent="0.2">
      <c r="A84" s="8">
        <v>31</v>
      </c>
      <c r="B84" s="9" t="s">
        <v>145</v>
      </c>
      <c r="C84" s="9" t="s">
        <v>146</v>
      </c>
      <c r="D84" s="9" t="s">
        <v>135</v>
      </c>
      <c r="E84" s="10">
        <v>200</v>
      </c>
      <c r="F84" s="11">
        <v>952.66600000000005</v>
      </c>
      <c r="G84" s="12">
        <v>5.6672900000000002E-3</v>
      </c>
      <c r="H84" s="36">
        <v>7.5250000000000004</v>
      </c>
    </row>
    <row r="85" spans="1:8" ht="14.1" customHeight="1" x14ac:dyDescent="0.2">
      <c r="A85" s="1"/>
      <c r="B85" s="1"/>
      <c r="C85" s="2" t="s">
        <v>11</v>
      </c>
      <c r="D85" s="1"/>
      <c r="E85" s="1" t="s">
        <v>12</v>
      </c>
      <c r="F85" s="7">
        <v>95404.959600000002</v>
      </c>
      <c r="G85" s="4">
        <v>0.56755235000000004</v>
      </c>
      <c r="H85" s="36"/>
    </row>
    <row r="86" spans="1:8" ht="14.1" customHeight="1" x14ac:dyDescent="0.2">
      <c r="A86" s="1"/>
      <c r="B86" s="1"/>
      <c r="C86" s="5"/>
      <c r="D86" s="1"/>
      <c r="E86" s="1"/>
      <c r="F86" s="6"/>
      <c r="G86" s="6"/>
      <c r="H86" s="36"/>
    </row>
    <row r="87" spans="1:8" ht="14.1" customHeight="1" x14ac:dyDescent="0.2">
      <c r="A87" s="1"/>
      <c r="B87" s="1"/>
      <c r="C87" s="2" t="s">
        <v>78</v>
      </c>
      <c r="D87" s="1"/>
      <c r="E87" s="1"/>
      <c r="F87" s="6"/>
      <c r="G87" s="6"/>
      <c r="H87" s="36"/>
    </row>
    <row r="88" spans="1:8" ht="29.1" customHeight="1" x14ac:dyDescent="0.2">
      <c r="A88" s="8">
        <v>1</v>
      </c>
      <c r="B88" s="9" t="s">
        <v>402</v>
      </c>
      <c r="C88" s="9" t="s">
        <v>403</v>
      </c>
      <c r="D88" s="9" t="s">
        <v>135</v>
      </c>
      <c r="E88" s="10">
        <v>1000</v>
      </c>
      <c r="F88" s="11">
        <v>4810.0450000000001</v>
      </c>
      <c r="G88" s="12">
        <v>2.8614359999999998E-2</v>
      </c>
      <c r="H88" s="36">
        <v>8.19</v>
      </c>
    </row>
    <row r="89" spans="1:8" ht="29.1" customHeight="1" x14ac:dyDescent="0.2">
      <c r="A89" s="8">
        <v>2</v>
      </c>
      <c r="B89" s="9" t="s">
        <v>404</v>
      </c>
      <c r="C89" s="9" t="s">
        <v>405</v>
      </c>
      <c r="D89" s="9" t="s">
        <v>135</v>
      </c>
      <c r="E89" s="10">
        <v>1000</v>
      </c>
      <c r="F89" s="11">
        <v>4761.3450000000003</v>
      </c>
      <c r="G89" s="12">
        <v>2.832465E-2</v>
      </c>
      <c r="H89" s="36">
        <v>7.56</v>
      </c>
    </row>
    <row r="90" spans="1:8" ht="17.100000000000001" customHeight="1" x14ac:dyDescent="0.2">
      <c r="A90" s="8">
        <v>3</v>
      </c>
      <c r="B90" s="9" t="s">
        <v>406</v>
      </c>
      <c r="C90" s="9" t="s">
        <v>407</v>
      </c>
      <c r="D90" s="9" t="s">
        <v>135</v>
      </c>
      <c r="E90" s="10">
        <v>1000</v>
      </c>
      <c r="F90" s="11">
        <v>4740.7950000000001</v>
      </c>
      <c r="G90" s="12">
        <v>2.8202399999999999E-2</v>
      </c>
      <c r="H90" s="36">
        <v>8.35</v>
      </c>
    </row>
    <row r="91" spans="1:8" ht="17.100000000000001" customHeight="1" x14ac:dyDescent="0.2">
      <c r="A91" s="8">
        <v>4</v>
      </c>
      <c r="B91" s="9" t="s">
        <v>408</v>
      </c>
      <c r="C91" s="9" t="s">
        <v>409</v>
      </c>
      <c r="D91" s="9" t="s">
        <v>135</v>
      </c>
      <c r="E91" s="10">
        <v>1000</v>
      </c>
      <c r="F91" s="11">
        <v>4733.42</v>
      </c>
      <c r="G91" s="12">
        <v>2.8158530000000001E-2</v>
      </c>
      <c r="H91" s="36">
        <v>8.125</v>
      </c>
    </row>
    <row r="92" spans="1:8" ht="17.100000000000001" customHeight="1" x14ac:dyDescent="0.2">
      <c r="A92" s="8">
        <v>5</v>
      </c>
      <c r="B92" s="9" t="s">
        <v>185</v>
      </c>
      <c r="C92" s="9" t="s">
        <v>186</v>
      </c>
      <c r="D92" s="9" t="s">
        <v>135</v>
      </c>
      <c r="E92" s="10">
        <v>900</v>
      </c>
      <c r="F92" s="11">
        <v>4424.4674999999997</v>
      </c>
      <c r="G92" s="12">
        <v>2.6320610000000001E-2</v>
      </c>
      <c r="H92" s="36">
        <v>7.1624999999999996</v>
      </c>
    </row>
    <row r="93" spans="1:8" ht="29.1" customHeight="1" x14ac:dyDescent="0.2">
      <c r="A93" s="8">
        <v>6</v>
      </c>
      <c r="B93" s="9" t="s">
        <v>177</v>
      </c>
      <c r="C93" s="9" t="s">
        <v>178</v>
      </c>
      <c r="D93" s="9" t="s">
        <v>135</v>
      </c>
      <c r="E93" s="10">
        <v>800</v>
      </c>
      <c r="F93" s="11">
        <v>3860.5360000000001</v>
      </c>
      <c r="G93" s="12">
        <v>2.2965849999999999E-2</v>
      </c>
      <c r="H93" s="36">
        <v>8.19</v>
      </c>
    </row>
    <row r="94" spans="1:8" ht="29.1" customHeight="1" x14ac:dyDescent="0.2">
      <c r="A94" s="8">
        <v>7</v>
      </c>
      <c r="B94" s="9" t="s">
        <v>340</v>
      </c>
      <c r="C94" s="9" t="s">
        <v>341</v>
      </c>
      <c r="D94" s="9" t="s">
        <v>135</v>
      </c>
      <c r="E94" s="10">
        <v>500</v>
      </c>
      <c r="F94" s="11">
        <v>2478.5475000000001</v>
      </c>
      <c r="G94" s="12">
        <v>1.474457E-2</v>
      </c>
      <c r="H94" s="36">
        <v>8.1</v>
      </c>
    </row>
    <row r="95" spans="1:8" ht="17.100000000000001" customHeight="1" x14ac:dyDescent="0.2">
      <c r="A95" s="8">
        <v>8</v>
      </c>
      <c r="B95" s="9" t="s">
        <v>410</v>
      </c>
      <c r="C95" s="9" t="s">
        <v>411</v>
      </c>
      <c r="D95" s="9" t="s">
        <v>135</v>
      </c>
      <c r="E95" s="10">
        <v>500</v>
      </c>
      <c r="F95" s="11">
        <v>2378.2624999999998</v>
      </c>
      <c r="G95" s="12">
        <v>1.4147989999999999E-2</v>
      </c>
      <c r="H95" s="36">
        <v>7.5949999999999998</v>
      </c>
    </row>
    <row r="96" spans="1:8" ht="29.1" customHeight="1" x14ac:dyDescent="0.2">
      <c r="A96" s="8">
        <v>9</v>
      </c>
      <c r="B96" s="9" t="s">
        <v>412</v>
      </c>
      <c r="C96" s="9" t="s">
        <v>413</v>
      </c>
      <c r="D96" s="9" t="s">
        <v>135</v>
      </c>
      <c r="E96" s="10">
        <v>500</v>
      </c>
      <c r="F96" s="11">
        <v>2357.64</v>
      </c>
      <c r="G96" s="12">
        <v>1.4025309999999999E-2</v>
      </c>
      <c r="H96" s="36">
        <v>8.3800000000000008</v>
      </c>
    </row>
    <row r="97" spans="1:8" ht="17.100000000000001" customHeight="1" x14ac:dyDescent="0.2">
      <c r="A97" s="8">
        <v>10</v>
      </c>
      <c r="B97" s="9" t="s">
        <v>179</v>
      </c>
      <c r="C97" s="9" t="s">
        <v>180</v>
      </c>
      <c r="D97" s="9" t="s">
        <v>135</v>
      </c>
      <c r="E97" s="10">
        <v>300</v>
      </c>
      <c r="F97" s="11">
        <v>1426.0005000000001</v>
      </c>
      <c r="G97" s="12">
        <v>8.4831000000000004E-3</v>
      </c>
      <c r="H97" s="36">
        <v>8.06</v>
      </c>
    </row>
    <row r="98" spans="1:8" ht="29.1" customHeight="1" x14ac:dyDescent="0.2">
      <c r="A98" s="8">
        <v>11</v>
      </c>
      <c r="B98" s="9" t="s">
        <v>231</v>
      </c>
      <c r="C98" s="9" t="s">
        <v>232</v>
      </c>
      <c r="D98" s="9" t="s">
        <v>135</v>
      </c>
      <c r="E98" s="10">
        <v>300</v>
      </c>
      <c r="F98" s="11">
        <v>1425.1724999999999</v>
      </c>
      <c r="G98" s="12">
        <v>8.4781800000000001E-3</v>
      </c>
      <c r="H98" s="36">
        <v>8.1549999999999994</v>
      </c>
    </row>
    <row r="99" spans="1:8" ht="29.1" customHeight="1" x14ac:dyDescent="0.2">
      <c r="A99" s="8">
        <v>12</v>
      </c>
      <c r="B99" s="9" t="s">
        <v>183</v>
      </c>
      <c r="C99" s="9" t="s">
        <v>184</v>
      </c>
      <c r="D99" s="9" t="s">
        <v>135</v>
      </c>
      <c r="E99" s="10">
        <v>300</v>
      </c>
      <c r="F99" s="11">
        <v>1402.3634999999999</v>
      </c>
      <c r="G99" s="12">
        <v>8.3424899999999993E-3</v>
      </c>
      <c r="H99" s="36">
        <v>7.6775000000000002</v>
      </c>
    </row>
    <row r="100" spans="1:8" ht="14.1" customHeight="1" x14ac:dyDescent="0.2">
      <c r="A100" s="1"/>
      <c r="B100" s="1"/>
      <c r="C100" s="2" t="s">
        <v>11</v>
      </c>
      <c r="D100" s="1"/>
      <c r="E100" s="1" t="s">
        <v>12</v>
      </c>
      <c r="F100" s="7">
        <v>38798.595000000001</v>
      </c>
      <c r="G100" s="4">
        <v>0.23080803999999999</v>
      </c>
      <c r="H100" s="36"/>
    </row>
    <row r="101" spans="1:8" ht="14.1" customHeight="1" x14ac:dyDescent="0.2">
      <c r="A101" s="1"/>
      <c r="B101" s="1"/>
      <c r="C101" s="5"/>
      <c r="D101" s="1"/>
      <c r="E101" s="1"/>
      <c r="F101" s="6"/>
      <c r="G101" s="6"/>
      <c r="H101" s="36"/>
    </row>
    <row r="102" spans="1:8" ht="14.1" customHeight="1" x14ac:dyDescent="0.2">
      <c r="A102" s="1"/>
      <c r="B102" s="1"/>
      <c r="C102" s="2" t="s">
        <v>79</v>
      </c>
      <c r="D102" s="1"/>
      <c r="E102" s="1"/>
      <c r="F102" s="6"/>
      <c r="G102" s="6"/>
      <c r="H102" s="36"/>
    </row>
    <row r="103" spans="1:8" ht="17.100000000000001" customHeight="1" x14ac:dyDescent="0.2">
      <c r="A103" s="8">
        <v>1</v>
      </c>
      <c r="B103" s="9" t="s">
        <v>347</v>
      </c>
      <c r="C103" s="9" t="s">
        <v>348</v>
      </c>
      <c r="D103" s="9" t="s">
        <v>67</v>
      </c>
      <c r="E103" s="10">
        <v>5000000</v>
      </c>
      <c r="F103" s="11">
        <v>4958.9750000000004</v>
      </c>
      <c r="G103" s="12">
        <v>2.9500330000000002E-2</v>
      </c>
      <c r="H103" s="36">
        <v>6.71</v>
      </c>
    </row>
    <row r="104" spans="1:8" ht="17.100000000000001" customHeight="1" x14ac:dyDescent="0.2">
      <c r="A104" s="8">
        <v>2</v>
      </c>
      <c r="B104" s="9" t="s">
        <v>414</v>
      </c>
      <c r="C104" s="9" t="s">
        <v>490</v>
      </c>
      <c r="D104" s="9" t="s">
        <v>67</v>
      </c>
      <c r="E104" s="10">
        <v>500000</v>
      </c>
      <c r="F104" s="11">
        <v>491.33249999999998</v>
      </c>
      <c r="G104" s="12">
        <v>2.9228800000000001E-3</v>
      </c>
      <c r="H104" s="36">
        <v>6.85</v>
      </c>
    </row>
    <row r="105" spans="1:8" ht="14.1" customHeight="1" x14ac:dyDescent="0.2">
      <c r="A105" s="1"/>
      <c r="B105" s="1"/>
      <c r="C105" s="2" t="s">
        <v>11</v>
      </c>
      <c r="D105" s="1"/>
      <c r="E105" s="1" t="s">
        <v>12</v>
      </c>
      <c r="F105" s="7">
        <v>5450.3074999999999</v>
      </c>
      <c r="G105" s="4">
        <v>3.2423210000000001E-2</v>
      </c>
      <c r="H105" s="36"/>
    </row>
    <row r="106" spans="1:8" ht="14.1" customHeight="1" x14ac:dyDescent="0.2">
      <c r="A106" s="1"/>
      <c r="B106" s="1"/>
      <c r="C106" s="5"/>
      <c r="D106" s="1"/>
      <c r="E106" s="1"/>
      <c r="F106" s="6"/>
      <c r="G106" s="6"/>
      <c r="H106" s="36"/>
    </row>
    <row r="107" spans="1:8" ht="14.1" customHeight="1" x14ac:dyDescent="0.2">
      <c r="A107" s="1"/>
      <c r="B107" s="1"/>
      <c r="C107" s="2" t="s">
        <v>80</v>
      </c>
      <c r="D107" s="1"/>
      <c r="E107" s="1"/>
      <c r="F107" s="6"/>
      <c r="G107" s="6"/>
      <c r="H107" s="36"/>
    </row>
    <row r="108" spans="1:8" ht="17.100000000000001" customHeight="1" x14ac:dyDescent="0.2">
      <c r="A108" s="8">
        <v>1</v>
      </c>
      <c r="B108" s="9"/>
      <c r="C108" s="9" t="s">
        <v>81</v>
      </c>
      <c r="D108" s="9"/>
      <c r="E108" s="13"/>
      <c r="F108" s="11">
        <v>1298.450258995</v>
      </c>
      <c r="G108" s="12">
        <v>7.7243199999999998E-3</v>
      </c>
      <c r="H108" s="36">
        <v>6.7262665696944239</v>
      </c>
    </row>
    <row r="109" spans="1:8" ht="14.1" customHeight="1" x14ac:dyDescent="0.2">
      <c r="A109" s="1"/>
      <c r="B109" s="1"/>
      <c r="C109" s="2" t="s">
        <v>11</v>
      </c>
      <c r="D109" s="1"/>
      <c r="E109" s="1" t="s">
        <v>12</v>
      </c>
      <c r="F109" s="7">
        <v>1298.450258995</v>
      </c>
      <c r="G109" s="4">
        <v>7.7243199999999998E-3</v>
      </c>
      <c r="H109" s="36"/>
    </row>
    <row r="110" spans="1:8" ht="14.1" customHeight="1" x14ac:dyDescent="0.2">
      <c r="A110" s="1"/>
      <c r="B110" s="1"/>
      <c r="C110" s="5"/>
      <c r="D110" s="1"/>
      <c r="E110" s="1"/>
      <c r="F110" s="6"/>
      <c r="G110" s="6"/>
      <c r="H110" s="36"/>
    </row>
    <row r="111" spans="1:8" ht="14.1" customHeight="1" x14ac:dyDescent="0.2">
      <c r="A111" s="1"/>
      <c r="B111" s="1"/>
      <c r="C111" s="2" t="s">
        <v>82</v>
      </c>
      <c r="D111" s="1"/>
      <c r="E111" s="1"/>
      <c r="F111" s="7">
        <v>140952.312358995</v>
      </c>
      <c r="G111" s="4">
        <v>0.83850791999999996</v>
      </c>
      <c r="H111" s="36"/>
    </row>
    <row r="112" spans="1:8" ht="14.1" customHeight="1" x14ac:dyDescent="0.2">
      <c r="A112" s="1"/>
      <c r="B112" s="1"/>
      <c r="C112" s="6"/>
      <c r="D112" s="1"/>
      <c r="E112" s="1"/>
      <c r="F112" s="1"/>
      <c r="G112" s="1"/>
      <c r="H112" s="36"/>
    </row>
    <row r="113" spans="1:18" ht="14.1" customHeight="1" x14ac:dyDescent="0.2">
      <c r="A113" s="1"/>
      <c r="B113" s="1"/>
      <c r="C113" s="2" t="s">
        <v>83</v>
      </c>
      <c r="D113" s="1"/>
      <c r="E113" s="1"/>
      <c r="F113" s="1"/>
      <c r="G113" s="1"/>
      <c r="H113" s="36"/>
    </row>
    <row r="114" spans="1:18" ht="14.1" customHeight="1" x14ac:dyDescent="0.2">
      <c r="A114" s="1"/>
      <c r="B114" s="1"/>
      <c r="C114" s="2" t="s">
        <v>84</v>
      </c>
      <c r="D114" s="1"/>
      <c r="E114" s="1"/>
      <c r="F114" s="1"/>
      <c r="G114" s="1"/>
      <c r="H114" s="36"/>
    </row>
    <row r="115" spans="1:18" ht="14.1" customHeight="1" x14ac:dyDescent="0.2">
      <c r="A115" s="1"/>
      <c r="B115" s="1"/>
      <c r="C115" s="2" t="s">
        <v>11</v>
      </c>
      <c r="D115" s="1"/>
      <c r="E115" s="1" t="s">
        <v>12</v>
      </c>
      <c r="F115" s="3" t="s">
        <v>13</v>
      </c>
      <c r="G115" s="4">
        <v>0</v>
      </c>
      <c r="H115" s="36"/>
    </row>
    <row r="116" spans="1:18" ht="14.1" customHeight="1" x14ac:dyDescent="0.2">
      <c r="A116" s="1"/>
      <c r="B116" s="1"/>
      <c r="C116" s="5"/>
      <c r="D116" s="1"/>
      <c r="E116" s="1"/>
      <c r="F116" s="6"/>
      <c r="G116" s="6"/>
      <c r="H116" s="36"/>
    </row>
    <row r="117" spans="1:18" ht="14.1" customHeight="1" x14ac:dyDescent="0.2">
      <c r="A117" s="1"/>
      <c r="B117" s="1"/>
      <c r="C117" s="2" t="s">
        <v>87</v>
      </c>
      <c r="D117" s="1"/>
      <c r="E117" s="1"/>
      <c r="F117" s="1"/>
      <c r="G117" s="1"/>
      <c r="H117" s="36"/>
    </row>
    <row r="118" spans="1:18" ht="14.1" customHeight="1" x14ac:dyDescent="0.2">
      <c r="A118" s="1"/>
      <c r="B118" s="1"/>
      <c r="C118" s="2" t="s">
        <v>88</v>
      </c>
      <c r="D118" s="1"/>
      <c r="E118" s="1"/>
      <c r="F118" s="1"/>
      <c r="G118" s="1"/>
      <c r="H118" s="36"/>
    </row>
    <row r="119" spans="1:18" ht="14.1" customHeight="1" x14ac:dyDescent="0.2">
      <c r="A119" s="1"/>
      <c r="B119" s="1"/>
      <c r="C119" s="2" t="s">
        <v>11</v>
      </c>
      <c r="D119" s="1"/>
      <c r="E119" s="1" t="s">
        <v>12</v>
      </c>
      <c r="F119" s="3" t="s">
        <v>13</v>
      </c>
      <c r="G119" s="4">
        <v>0</v>
      </c>
      <c r="H119" s="36"/>
    </row>
    <row r="120" spans="1:18" ht="14.1" customHeight="1" x14ac:dyDescent="0.2">
      <c r="A120" s="1"/>
      <c r="B120" s="1"/>
      <c r="C120" s="5"/>
      <c r="D120" s="1"/>
      <c r="E120" s="1"/>
      <c r="F120" s="6"/>
      <c r="G120" s="6"/>
      <c r="H120" s="36"/>
    </row>
    <row r="121" spans="1:18" ht="24" customHeight="1" x14ac:dyDescent="0.2">
      <c r="A121" s="1"/>
      <c r="B121" s="1"/>
      <c r="C121" s="2" t="s">
        <v>89</v>
      </c>
      <c r="D121" s="1"/>
      <c r="E121" s="1"/>
      <c r="F121" s="6"/>
      <c r="G121" s="6"/>
      <c r="H121" s="36"/>
    </row>
    <row r="122" spans="1:18" ht="14.1" customHeight="1" x14ac:dyDescent="0.2">
      <c r="A122" s="1"/>
      <c r="B122" s="1"/>
      <c r="C122" s="2" t="s">
        <v>11</v>
      </c>
      <c r="D122" s="1"/>
      <c r="E122" s="1" t="s">
        <v>12</v>
      </c>
      <c r="F122" s="3" t="s">
        <v>13</v>
      </c>
      <c r="G122" s="4">
        <v>0</v>
      </c>
      <c r="H122" s="36"/>
    </row>
    <row r="123" spans="1:18" x14ac:dyDescent="0.2">
      <c r="A123" s="33"/>
      <c r="B123" s="33"/>
      <c r="C123" s="34"/>
      <c r="D123" s="33"/>
      <c r="E123" s="33"/>
      <c r="F123" s="35"/>
      <c r="G123" s="35"/>
      <c r="H123" s="36"/>
    </row>
    <row r="124" spans="1:18" ht="25.5" x14ac:dyDescent="0.2">
      <c r="A124" s="38"/>
      <c r="B124" s="38"/>
      <c r="C124" s="39" t="s">
        <v>479</v>
      </c>
      <c r="D124" s="38"/>
      <c r="E124" s="38"/>
      <c r="F124" s="40"/>
      <c r="G124" s="40"/>
      <c r="H124" s="36"/>
      <c r="L124" s="41"/>
      <c r="M124" s="41"/>
      <c r="N124" s="41"/>
      <c r="O124" s="41"/>
      <c r="P124" s="42"/>
      <c r="Q124" s="42"/>
      <c r="R124" s="42"/>
    </row>
    <row r="125" spans="1:18" ht="25.5" x14ac:dyDescent="0.2">
      <c r="A125" s="43">
        <v>1</v>
      </c>
      <c r="B125" s="44" t="s">
        <v>85</v>
      </c>
      <c r="C125" s="44" t="s">
        <v>86</v>
      </c>
      <c r="D125" s="44"/>
      <c r="E125" s="14">
        <v>4528.5039999999999</v>
      </c>
      <c r="F125" s="11">
        <v>465.90984021899999</v>
      </c>
      <c r="G125" s="12">
        <v>2.7716400000000001E-3</v>
      </c>
      <c r="H125" s="36">
        <v>9.9999999999999995E-7</v>
      </c>
    </row>
    <row r="126" spans="1:18" x14ac:dyDescent="0.2">
      <c r="A126" s="33"/>
      <c r="B126" s="33"/>
      <c r="C126" s="45" t="s">
        <v>11</v>
      </c>
      <c r="D126" s="33"/>
      <c r="E126" s="1" t="s">
        <v>12</v>
      </c>
      <c r="F126" s="7">
        <v>465.90984021899999</v>
      </c>
      <c r="G126" s="4">
        <v>2.7716400000000001E-3</v>
      </c>
      <c r="H126" s="36"/>
    </row>
    <row r="127" spans="1:18" ht="14.1" customHeight="1" x14ac:dyDescent="0.2">
      <c r="A127" s="1"/>
      <c r="B127" s="1"/>
      <c r="C127" s="5"/>
      <c r="D127" s="1"/>
      <c r="E127" s="1"/>
      <c r="F127" s="6"/>
      <c r="G127" s="6"/>
      <c r="H127" s="36"/>
    </row>
    <row r="128" spans="1:18" ht="14.1" customHeight="1" x14ac:dyDescent="0.2">
      <c r="A128" s="1"/>
      <c r="B128" s="9"/>
      <c r="C128" s="9"/>
      <c r="D128" s="2"/>
      <c r="E128" s="1"/>
      <c r="F128" s="9"/>
      <c r="G128" s="13"/>
      <c r="H128" s="36"/>
    </row>
    <row r="129" spans="1:11" ht="18" customHeight="1" x14ac:dyDescent="0.2">
      <c r="A129" s="13"/>
      <c r="B129" s="9"/>
      <c r="C129" s="9" t="s">
        <v>90</v>
      </c>
      <c r="D129" s="9"/>
      <c r="E129" s="13"/>
      <c r="F129" s="11">
        <v>758.21812143399995</v>
      </c>
      <c r="G129" s="12">
        <v>4.5105500000000003E-3</v>
      </c>
      <c r="H129" s="36"/>
    </row>
    <row r="130" spans="1:11" ht="14.1" customHeight="1" x14ac:dyDescent="0.2">
      <c r="A130" s="5"/>
      <c r="B130" s="5"/>
      <c r="C130" s="2" t="s">
        <v>91</v>
      </c>
      <c r="D130" s="6"/>
      <c r="E130" s="6"/>
      <c r="F130" s="7">
        <v>168098.96832064801</v>
      </c>
      <c r="G130" s="15">
        <v>1.00000004</v>
      </c>
      <c r="H130" s="36"/>
    </row>
    <row r="131" spans="1:11" ht="14.1" customHeight="1" x14ac:dyDescent="0.2">
      <c r="A131" s="16"/>
      <c r="B131" s="16"/>
      <c r="C131" s="16"/>
      <c r="D131" s="17"/>
      <c r="E131" s="17"/>
      <c r="F131" s="17"/>
      <c r="G131" s="17"/>
    </row>
    <row r="132" spans="1:11" x14ac:dyDescent="0.2">
      <c r="A132" s="46"/>
      <c r="B132" s="108" t="s">
        <v>483</v>
      </c>
      <c r="C132" s="108"/>
      <c r="D132" s="108"/>
      <c r="E132" s="108"/>
      <c r="F132" s="108"/>
      <c r="G132" s="108"/>
      <c r="H132" s="108"/>
    </row>
    <row r="133" spans="1:11" x14ac:dyDescent="0.2">
      <c r="A133" s="46"/>
      <c r="B133" s="108" t="s">
        <v>484</v>
      </c>
      <c r="C133" s="108"/>
      <c r="D133" s="108"/>
      <c r="E133" s="108"/>
      <c r="F133" s="108"/>
      <c r="G133" s="108"/>
      <c r="H133" s="108"/>
    </row>
    <row r="134" spans="1:11" x14ac:dyDescent="0.2">
      <c r="A134" s="46"/>
      <c r="B134" s="108" t="s">
        <v>485</v>
      </c>
      <c r="C134" s="108"/>
      <c r="D134" s="108"/>
      <c r="E134" s="108"/>
      <c r="F134" s="108"/>
      <c r="G134" s="108"/>
      <c r="H134" s="108"/>
      <c r="K134" s="41"/>
    </row>
    <row r="135" spans="1:11" ht="14.1" customHeight="1" x14ac:dyDescent="0.2">
      <c r="A135" s="18"/>
      <c r="B135" s="18"/>
      <c r="C135" s="18"/>
      <c r="D135" s="20"/>
      <c r="E135" s="20"/>
      <c r="F135" s="20"/>
      <c r="G135" s="20"/>
    </row>
    <row r="136" spans="1:11" ht="14.1" customHeight="1" x14ac:dyDescent="0.2">
      <c r="A136" s="18"/>
      <c r="B136" s="114" t="s">
        <v>92</v>
      </c>
      <c r="C136" s="115"/>
      <c r="D136" s="116"/>
      <c r="E136" s="21"/>
      <c r="F136" s="20"/>
      <c r="G136" s="20"/>
    </row>
    <row r="137" spans="1:11" ht="29.1" customHeight="1" x14ac:dyDescent="0.2">
      <c r="A137" s="18"/>
      <c r="B137" s="117" t="s">
        <v>93</v>
      </c>
      <c r="C137" s="118"/>
      <c r="D137" s="2" t="s">
        <v>537</v>
      </c>
      <c r="E137" s="21"/>
      <c r="F137" s="20"/>
      <c r="G137" s="20"/>
    </row>
    <row r="138" spans="1:11" ht="17.100000000000001" customHeight="1" x14ac:dyDescent="0.2">
      <c r="A138" s="18"/>
      <c r="B138" s="117" t="s">
        <v>95</v>
      </c>
      <c r="C138" s="118"/>
      <c r="D138" s="2" t="s">
        <v>94</v>
      </c>
      <c r="E138" s="21"/>
      <c r="F138" s="20"/>
      <c r="G138" s="20"/>
    </row>
    <row r="139" spans="1:11" ht="17.100000000000001" customHeight="1" x14ac:dyDescent="0.2">
      <c r="A139" s="18"/>
      <c r="B139" s="117" t="s">
        <v>96</v>
      </c>
      <c r="C139" s="118"/>
      <c r="D139" s="6" t="s">
        <v>12</v>
      </c>
      <c r="E139" s="21"/>
      <c r="F139" s="20"/>
      <c r="G139" s="20"/>
    </row>
    <row r="140" spans="1:11" ht="24" customHeight="1" x14ac:dyDescent="0.2">
      <c r="A140" s="22"/>
      <c r="B140" s="23" t="s">
        <v>12</v>
      </c>
      <c r="C140" s="23" t="s">
        <v>97</v>
      </c>
      <c r="D140" s="23" t="s">
        <v>98</v>
      </c>
      <c r="E140" s="22"/>
      <c r="F140" s="22"/>
      <c r="G140" s="22"/>
    </row>
    <row r="141" spans="1:11" ht="18" customHeight="1" x14ac:dyDescent="0.2">
      <c r="A141" s="22"/>
      <c r="B141" s="24" t="s">
        <v>99</v>
      </c>
      <c r="C141" s="23" t="s">
        <v>582</v>
      </c>
      <c r="D141" s="23" t="s">
        <v>100</v>
      </c>
      <c r="E141" s="22"/>
      <c r="F141" s="22"/>
      <c r="G141" s="22"/>
    </row>
    <row r="142" spans="1:11" ht="17.100000000000001" customHeight="1" x14ac:dyDescent="0.2">
      <c r="A142" s="22"/>
      <c r="B142" s="9" t="s">
        <v>101</v>
      </c>
      <c r="C142" s="25">
        <v>2699.3463999999999</v>
      </c>
      <c r="D142" s="25">
        <v>2715.8163</v>
      </c>
      <c r="E142" s="22"/>
      <c r="F142" s="19"/>
      <c r="G142" s="26"/>
    </row>
    <row r="143" spans="1:11" ht="29.1" customHeight="1" x14ac:dyDescent="0.2">
      <c r="A143" s="22"/>
      <c r="B143" s="9" t="s">
        <v>552</v>
      </c>
      <c r="C143" s="25">
        <v>1006.1763</v>
      </c>
      <c r="D143" s="13"/>
      <c r="E143" s="22"/>
      <c r="F143" s="19"/>
      <c r="G143" s="26"/>
    </row>
    <row r="144" spans="1:11" ht="29.1" customHeight="1" x14ac:dyDescent="0.2">
      <c r="A144" s="22"/>
      <c r="B144" s="9" t="s">
        <v>558</v>
      </c>
      <c r="C144" s="25">
        <v>1062.7054000000001</v>
      </c>
      <c r="D144" s="13"/>
      <c r="E144" s="22"/>
      <c r="F144" s="19"/>
      <c r="G144" s="26"/>
    </row>
    <row r="145" spans="1:7" ht="29.1" customHeight="1" x14ac:dyDescent="0.2">
      <c r="A145" s="22"/>
      <c r="B145" s="9" t="s">
        <v>543</v>
      </c>
      <c r="C145" s="25">
        <v>1063.3522</v>
      </c>
      <c r="D145" s="25">
        <v>1063.8577</v>
      </c>
      <c r="E145" s="22"/>
      <c r="F145" s="19"/>
      <c r="G145" s="26"/>
    </row>
    <row r="146" spans="1:7" ht="29.1" customHeight="1" x14ac:dyDescent="0.2">
      <c r="A146" s="22"/>
      <c r="B146" s="9" t="s">
        <v>544</v>
      </c>
      <c r="C146" s="25">
        <v>1159.8367000000001</v>
      </c>
      <c r="D146" s="25">
        <v>1159.3484000000001</v>
      </c>
      <c r="E146" s="22"/>
      <c r="F146" s="19"/>
      <c r="G146" s="26"/>
    </row>
    <row r="147" spans="1:7" ht="17.100000000000001" customHeight="1" x14ac:dyDescent="0.2">
      <c r="A147" s="22"/>
      <c r="B147" s="9" t="s">
        <v>102</v>
      </c>
      <c r="C147" s="25">
        <v>2508.4452999999999</v>
      </c>
      <c r="D147" s="25">
        <v>2521.2211000000002</v>
      </c>
      <c r="E147" s="22"/>
      <c r="F147" s="19"/>
      <c r="G147" s="26"/>
    </row>
    <row r="148" spans="1:7" ht="29.1" customHeight="1" x14ac:dyDescent="0.2">
      <c r="A148" s="22"/>
      <c r="B148" s="9" t="s">
        <v>555</v>
      </c>
      <c r="C148" s="25">
        <v>1005.43</v>
      </c>
      <c r="D148" s="13"/>
      <c r="E148" s="22"/>
      <c r="F148" s="19"/>
      <c r="G148" s="26"/>
    </row>
    <row r="149" spans="1:7" ht="29.1" customHeight="1" x14ac:dyDescent="0.2">
      <c r="A149" s="22"/>
      <c r="B149" s="9" t="s">
        <v>556</v>
      </c>
      <c r="C149" s="25">
        <v>1020.2814</v>
      </c>
      <c r="D149" s="13"/>
      <c r="E149" s="22"/>
      <c r="F149" s="19"/>
      <c r="G149" s="26"/>
    </row>
    <row r="150" spans="1:7" ht="29.1" customHeight="1" x14ac:dyDescent="0.2">
      <c r="A150" s="22"/>
      <c r="B150" s="9" t="s">
        <v>557</v>
      </c>
      <c r="C150" s="25">
        <v>1061.1410000000001</v>
      </c>
      <c r="D150" s="13"/>
      <c r="E150" s="22"/>
      <c r="F150" s="19"/>
      <c r="G150" s="26"/>
    </row>
    <row r="151" spans="1:7" ht="29.1" customHeight="1" x14ac:dyDescent="0.2">
      <c r="A151" s="22"/>
      <c r="B151" s="9" t="s">
        <v>547</v>
      </c>
      <c r="C151" s="25">
        <v>1062.4591</v>
      </c>
      <c r="D151" s="25">
        <v>1062.8806999999999</v>
      </c>
      <c r="E151" s="22"/>
      <c r="F151" s="19"/>
      <c r="G151" s="26"/>
    </row>
    <row r="152" spans="1:7" ht="29.1" customHeight="1" x14ac:dyDescent="0.2">
      <c r="A152" s="22"/>
      <c r="B152" s="9" t="s">
        <v>548</v>
      </c>
      <c r="C152" s="25">
        <v>1124.7665999999999</v>
      </c>
      <c r="D152" s="25">
        <v>1122.9670000000001</v>
      </c>
      <c r="E152" s="22"/>
      <c r="F152" s="19"/>
      <c r="G152" s="26"/>
    </row>
    <row r="153" spans="1:7" ht="14.1" customHeight="1" x14ac:dyDescent="0.2">
      <c r="A153" s="22"/>
      <c r="B153" s="22"/>
      <c r="C153" s="22"/>
      <c r="D153" s="22"/>
      <c r="E153" s="22"/>
      <c r="F153" s="22"/>
      <c r="G153" s="22"/>
    </row>
    <row r="154" spans="1:7" ht="17.100000000000001" customHeight="1" x14ac:dyDescent="0.2">
      <c r="A154" s="22"/>
      <c r="B154" s="117" t="s">
        <v>551</v>
      </c>
      <c r="C154" s="118"/>
      <c r="D154" s="2" t="s">
        <v>12</v>
      </c>
      <c r="E154" s="22"/>
      <c r="F154" s="22"/>
      <c r="G154" s="22"/>
    </row>
    <row r="155" spans="1:7" ht="18" customHeight="1" x14ac:dyDescent="0.2">
      <c r="A155" s="22"/>
      <c r="B155" s="27" t="s">
        <v>99</v>
      </c>
      <c r="C155" s="28" t="s">
        <v>103</v>
      </c>
      <c r="D155" s="28" t="s">
        <v>104</v>
      </c>
      <c r="E155" s="22"/>
      <c r="F155" s="22"/>
      <c r="G155" s="22"/>
    </row>
    <row r="156" spans="1:7" ht="29.1" customHeight="1" x14ac:dyDescent="0.2">
      <c r="A156" s="22"/>
      <c r="B156" s="9" t="s">
        <v>552</v>
      </c>
      <c r="C156" s="29">
        <v>5.7192600000000002</v>
      </c>
      <c r="D156" s="13" t="s">
        <v>105</v>
      </c>
      <c r="E156" s="22"/>
      <c r="F156" s="19"/>
      <c r="G156" s="26"/>
    </row>
    <row r="157" spans="1:7" ht="29.1" customHeight="1" x14ac:dyDescent="0.2">
      <c r="A157" s="22"/>
      <c r="B157" s="9" t="s">
        <v>558</v>
      </c>
      <c r="C157" s="29">
        <v>4.7</v>
      </c>
      <c r="D157" s="13" t="s">
        <v>105</v>
      </c>
      <c r="E157" s="22"/>
      <c r="F157" s="19"/>
      <c r="G157" s="26"/>
    </row>
    <row r="158" spans="1:7" ht="29.1" customHeight="1" x14ac:dyDescent="0.2">
      <c r="A158" s="22"/>
      <c r="B158" s="9" t="s">
        <v>543</v>
      </c>
      <c r="C158" s="29">
        <v>5.9715999999999996</v>
      </c>
      <c r="D158" s="13" t="s">
        <v>105</v>
      </c>
      <c r="E158" s="22"/>
      <c r="F158" s="19"/>
      <c r="G158" s="26"/>
    </row>
    <row r="159" spans="1:7" ht="29.1" customHeight="1" x14ac:dyDescent="0.2">
      <c r="A159" s="22"/>
      <c r="B159" s="9" t="s">
        <v>544</v>
      </c>
      <c r="C159" s="29">
        <v>7.5</v>
      </c>
      <c r="D159" s="13" t="s">
        <v>105</v>
      </c>
      <c r="E159" s="22"/>
      <c r="F159" s="19"/>
      <c r="G159" s="26"/>
    </row>
    <row r="160" spans="1:7" ht="29.1" customHeight="1" x14ac:dyDescent="0.2">
      <c r="A160" s="22"/>
      <c r="B160" s="9" t="s">
        <v>555</v>
      </c>
      <c r="C160" s="29">
        <v>4.7765820000000003</v>
      </c>
      <c r="D160" s="13" t="s">
        <v>105</v>
      </c>
      <c r="E160" s="22"/>
      <c r="F160" s="19"/>
      <c r="G160" s="26"/>
    </row>
    <row r="161" spans="1:15" ht="29.1" customHeight="1" x14ac:dyDescent="0.2">
      <c r="A161" s="22"/>
      <c r="B161" s="9" t="s">
        <v>556</v>
      </c>
      <c r="C161" s="29">
        <v>3.6522999999999999</v>
      </c>
      <c r="D161" s="29">
        <v>3.6522999999999999</v>
      </c>
      <c r="E161" s="22"/>
      <c r="F161" s="19"/>
      <c r="G161" s="26"/>
    </row>
    <row r="162" spans="1:15" ht="29.1" customHeight="1" x14ac:dyDescent="0.2">
      <c r="A162" s="22"/>
      <c r="B162" s="9" t="s">
        <v>557</v>
      </c>
      <c r="C162" s="29">
        <v>3.6594000000000002</v>
      </c>
      <c r="D162" s="13" t="s">
        <v>105</v>
      </c>
      <c r="E162" s="22"/>
      <c r="F162" s="19"/>
      <c r="G162" s="26"/>
    </row>
    <row r="163" spans="1:15" ht="29.1" customHeight="1" x14ac:dyDescent="0.2">
      <c r="A163" s="22"/>
      <c r="B163" s="9" t="s">
        <v>547</v>
      </c>
      <c r="C163" s="29">
        <v>4.9771000000000001</v>
      </c>
      <c r="D163" s="29">
        <v>4.9771000000000001</v>
      </c>
      <c r="E163" s="22"/>
      <c r="F163" s="19"/>
      <c r="G163" s="26"/>
    </row>
    <row r="164" spans="1:15" ht="29.1" customHeight="1" x14ac:dyDescent="0.2">
      <c r="A164" s="22"/>
      <c r="B164" s="9" t="s">
        <v>548</v>
      </c>
      <c r="C164" s="29">
        <v>7.5</v>
      </c>
      <c r="D164" s="13" t="s">
        <v>105</v>
      </c>
      <c r="E164" s="22"/>
      <c r="F164" s="19"/>
      <c r="G164" s="26"/>
    </row>
    <row r="165" spans="1:15" s="60" customFormat="1" x14ac:dyDescent="0.2">
      <c r="B165" s="79"/>
      <c r="C165" s="79"/>
      <c r="D165" s="79"/>
      <c r="E165" s="79"/>
      <c r="F165" s="79"/>
      <c r="G165" s="79"/>
      <c r="I165"/>
      <c r="J165" s="37"/>
      <c r="K165" s="41"/>
      <c r="L165" s="41"/>
      <c r="M165" s="41"/>
      <c r="N165" s="41"/>
      <c r="O165" s="59"/>
    </row>
    <row r="166" spans="1:15" s="60" customFormat="1" ht="29.1" customHeight="1" x14ac:dyDescent="0.2">
      <c r="A166" s="58"/>
      <c r="B166" s="112" t="s">
        <v>106</v>
      </c>
      <c r="C166" s="113"/>
      <c r="D166" s="52" t="s">
        <v>94</v>
      </c>
      <c r="E166" s="61"/>
      <c r="F166" s="58"/>
      <c r="G166" s="58"/>
      <c r="I166"/>
      <c r="J166" s="37"/>
      <c r="K166"/>
      <c r="L166" s="41"/>
      <c r="M166" s="41"/>
      <c r="N166" s="41"/>
      <c r="O166" s="59"/>
    </row>
    <row r="167" spans="1:15" s="60" customFormat="1" ht="29.1" customHeight="1" x14ac:dyDescent="0.2">
      <c r="A167" s="58"/>
      <c r="B167" s="112" t="s">
        <v>107</v>
      </c>
      <c r="C167" s="113"/>
      <c r="D167" s="52" t="s">
        <v>94</v>
      </c>
      <c r="E167" s="61"/>
      <c r="F167" s="58"/>
      <c r="G167" s="58"/>
      <c r="I167"/>
      <c r="J167" s="37"/>
      <c r="K167"/>
      <c r="L167" s="41"/>
      <c r="M167" s="41"/>
      <c r="N167" s="41"/>
      <c r="O167" s="59"/>
    </row>
    <row r="168" spans="1:15" s="60" customFormat="1" ht="17.100000000000001" customHeight="1" x14ac:dyDescent="0.2">
      <c r="A168" s="58"/>
      <c r="B168" s="112" t="s">
        <v>503</v>
      </c>
      <c r="C168" s="113"/>
      <c r="D168" s="52" t="s">
        <v>94</v>
      </c>
      <c r="E168" s="61"/>
      <c r="F168" s="58"/>
      <c r="G168" s="58"/>
      <c r="I168"/>
      <c r="J168" s="37"/>
      <c r="K168"/>
      <c r="L168" s="41"/>
      <c r="M168" s="41"/>
      <c r="N168" s="41"/>
      <c r="O168" s="59"/>
    </row>
    <row r="169" spans="1:15" s="60" customFormat="1" x14ac:dyDescent="0.2">
      <c r="I169"/>
      <c r="J169" s="37"/>
      <c r="K169"/>
      <c r="L169" s="41"/>
      <c r="M169" s="41"/>
      <c r="N169" s="41"/>
      <c r="O169" s="59"/>
    </row>
    <row r="170" spans="1:15" s="60" customFormat="1" x14ac:dyDescent="0.2">
      <c r="B170" s="78" t="s">
        <v>581</v>
      </c>
      <c r="C170" s="78"/>
      <c r="D170" s="78"/>
      <c r="E170" s="78"/>
      <c r="F170" s="78"/>
      <c r="G170" s="78"/>
      <c r="I170"/>
      <c r="J170" s="37"/>
      <c r="K170"/>
      <c r="L170" s="41"/>
      <c r="M170" s="41"/>
      <c r="N170" s="41"/>
      <c r="O170" s="59"/>
    </row>
    <row r="171" spans="1:15" s="60" customFormat="1" x14ac:dyDescent="0.2">
      <c r="B171" s="79"/>
      <c r="C171" s="79"/>
      <c r="D171" s="79"/>
      <c r="E171" s="79"/>
      <c r="F171" s="79"/>
      <c r="G171" s="79"/>
      <c r="I171"/>
      <c r="J171" s="37"/>
      <c r="K171"/>
      <c r="L171" s="41"/>
      <c r="M171" s="41"/>
      <c r="N171" s="41"/>
      <c r="O171" s="59"/>
    </row>
    <row r="172" spans="1:15" s="60" customFormat="1" ht="51" x14ac:dyDescent="0.2">
      <c r="B172" s="80" t="s">
        <v>532</v>
      </c>
      <c r="C172" s="80" t="s">
        <v>533</v>
      </c>
      <c r="D172" s="80" t="s">
        <v>520</v>
      </c>
      <c r="E172" s="80" t="s">
        <v>521</v>
      </c>
      <c r="F172" s="80" t="s">
        <v>534</v>
      </c>
      <c r="G172" s="79"/>
      <c r="I172"/>
      <c r="J172" s="37"/>
      <c r="K172"/>
      <c r="L172" s="41"/>
      <c r="M172" s="41"/>
      <c r="N172" s="41"/>
      <c r="O172" s="59"/>
    </row>
    <row r="173" spans="1:15" s="60" customFormat="1" x14ac:dyDescent="0.2">
      <c r="B173" s="81" t="s">
        <v>535</v>
      </c>
      <c r="C173" s="81" t="s">
        <v>536</v>
      </c>
      <c r="D173" s="82">
        <v>0</v>
      </c>
      <c r="E173" s="83">
        <v>0</v>
      </c>
      <c r="F173" s="84">
        <v>500</v>
      </c>
      <c r="G173" s="79"/>
      <c r="I173"/>
      <c r="J173" s="37"/>
      <c r="K173"/>
      <c r="L173" s="41"/>
      <c r="M173" s="41"/>
      <c r="N173" s="41"/>
      <c r="O173" s="59"/>
    </row>
    <row r="174" spans="1:15" s="60" customFormat="1" x14ac:dyDescent="0.2">
      <c r="I174"/>
      <c r="J174" s="37"/>
      <c r="K174"/>
      <c r="L174" s="41"/>
      <c r="M174" s="41"/>
      <c r="N174" s="41"/>
      <c r="O174" s="59"/>
    </row>
    <row r="175" spans="1:15" s="60" customFormat="1" x14ac:dyDescent="0.2">
      <c r="B175" s="109" t="s">
        <v>504</v>
      </c>
      <c r="C175" s="110"/>
      <c r="D175" s="111"/>
      <c r="I175"/>
      <c r="J175" s="37"/>
      <c r="K175"/>
      <c r="L175" s="41"/>
      <c r="M175" s="41"/>
      <c r="N175" s="41"/>
      <c r="O175" s="59"/>
    </row>
    <row r="176" spans="1:15" s="60" customFormat="1" ht="25.5" x14ac:dyDescent="0.2">
      <c r="B176" s="103" t="s">
        <v>505</v>
      </c>
      <c r="C176" s="103"/>
      <c r="D176" s="62" t="s">
        <v>373</v>
      </c>
      <c r="I176"/>
      <c r="J176" s="37"/>
      <c r="K176"/>
      <c r="L176" s="41"/>
      <c r="M176" s="41"/>
      <c r="N176" s="41"/>
      <c r="O176" s="59"/>
    </row>
    <row r="177" spans="2:17" s="60" customFormat="1" x14ac:dyDescent="0.2">
      <c r="B177" s="103" t="s">
        <v>506</v>
      </c>
      <c r="C177" s="103"/>
      <c r="D177" s="63"/>
      <c r="I177"/>
      <c r="J177" s="37"/>
      <c r="K177"/>
      <c r="L177" s="41"/>
      <c r="M177" s="41"/>
      <c r="N177" s="41"/>
      <c r="O177" s="59"/>
    </row>
    <row r="178" spans="2:17" s="60" customFormat="1" x14ac:dyDescent="0.2">
      <c r="B178" s="103"/>
      <c r="C178" s="103"/>
      <c r="D178" s="64"/>
      <c r="I178"/>
      <c r="J178" s="37"/>
      <c r="K178"/>
      <c r="L178" s="41"/>
      <c r="M178" s="41"/>
      <c r="N178" s="41"/>
      <c r="O178" s="59"/>
    </row>
    <row r="179" spans="2:17" s="60" customFormat="1" x14ac:dyDescent="0.2">
      <c r="B179" s="103" t="s">
        <v>507</v>
      </c>
      <c r="C179" s="103"/>
      <c r="D179" s="65">
        <v>7.6656352579939249</v>
      </c>
      <c r="I179"/>
      <c r="J179" s="37"/>
      <c r="K179"/>
      <c r="L179" s="41"/>
      <c r="M179" s="41"/>
      <c r="N179" s="41"/>
      <c r="O179" s="59"/>
    </row>
    <row r="180" spans="2:17" s="60" customFormat="1" x14ac:dyDescent="0.2">
      <c r="B180" s="103"/>
      <c r="C180" s="103"/>
      <c r="D180" s="64"/>
      <c r="I180"/>
      <c r="J180" s="37"/>
      <c r="K180"/>
      <c r="L180" s="41"/>
      <c r="M180" s="41"/>
      <c r="N180" s="41"/>
      <c r="O180" s="59"/>
    </row>
    <row r="181" spans="2:17" s="60" customFormat="1" x14ac:dyDescent="0.2">
      <c r="B181" s="103" t="s">
        <v>530</v>
      </c>
      <c r="C181" s="103"/>
      <c r="D181" s="65">
        <v>0.5853573691432965</v>
      </c>
      <c r="I181"/>
      <c r="J181" s="37"/>
      <c r="K181"/>
      <c r="L181" s="41"/>
      <c r="M181" s="41"/>
      <c r="N181" s="41"/>
      <c r="O181" s="59"/>
    </row>
    <row r="182" spans="2:17" s="60" customFormat="1" x14ac:dyDescent="0.2">
      <c r="B182" s="103" t="s">
        <v>531</v>
      </c>
      <c r="C182" s="103"/>
      <c r="D182" s="65">
        <v>0.59218484217709999</v>
      </c>
      <c r="I182"/>
      <c r="J182" s="37"/>
      <c r="K182"/>
      <c r="L182" s="41"/>
      <c r="M182" s="41"/>
      <c r="N182" s="41"/>
      <c r="O182" s="59"/>
    </row>
    <row r="183" spans="2:17" s="60" customFormat="1" x14ac:dyDescent="0.2">
      <c r="B183" s="103"/>
      <c r="C183" s="103"/>
      <c r="D183" s="64"/>
      <c r="I183"/>
      <c r="J183" s="37"/>
      <c r="K183"/>
      <c r="L183" s="41"/>
      <c r="M183" s="41"/>
      <c r="N183" s="41"/>
      <c r="O183" s="59"/>
    </row>
    <row r="184" spans="2:17" s="60" customFormat="1" x14ac:dyDescent="0.2">
      <c r="B184" s="103" t="s">
        <v>510</v>
      </c>
      <c r="C184" s="103"/>
      <c r="D184" s="66">
        <v>45473</v>
      </c>
      <c r="I184"/>
      <c r="J184" s="37"/>
      <c r="K184"/>
      <c r="L184" s="41"/>
      <c r="M184" s="41"/>
      <c r="N184" s="41"/>
      <c r="O184" s="59"/>
    </row>
    <row r="185" spans="2:17" s="60" customFormat="1" x14ac:dyDescent="0.2">
      <c r="B185" s="104" t="s">
        <v>511</v>
      </c>
      <c r="C185" s="106"/>
      <c r="D185" s="105"/>
      <c r="I185"/>
      <c r="J185" s="37"/>
      <c r="K185"/>
      <c r="L185" s="41"/>
      <c r="M185" s="41"/>
      <c r="N185" s="41"/>
      <c r="O185" s="59"/>
      <c r="P185"/>
      <c r="Q185"/>
    </row>
    <row r="189" spans="2:17" x14ac:dyDescent="0.2">
      <c r="K189" s="41"/>
    </row>
    <row r="190" spans="2:17" x14ac:dyDescent="0.2">
      <c r="K190" s="41"/>
    </row>
    <row r="191" spans="2:17" x14ac:dyDescent="0.2">
      <c r="K191" s="41"/>
    </row>
    <row r="192" spans="2:17" x14ac:dyDescent="0.2">
      <c r="K192" s="41"/>
    </row>
    <row r="193" spans="11:11" x14ac:dyDescent="0.2">
      <c r="K193" s="41"/>
    </row>
    <row r="194" spans="11:11" x14ac:dyDescent="0.2">
      <c r="K194" s="41"/>
    </row>
    <row r="195" spans="11:11" x14ac:dyDescent="0.2">
      <c r="K195" s="41"/>
    </row>
    <row r="196" spans="11:11" x14ac:dyDescent="0.2">
      <c r="K196" s="41"/>
    </row>
    <row r="197" spans="11:11" x14ac:dyDescent="0.2">
      <c r="K197" s="41"/>
    </row>
    <row r="198" spans="11:11" x14ac:dyDescent="0.2">
      <c r="K198" s="41"/>
    </row>
    <row r="199" spans="11:11" x14ac:dyDescent="0.2">
      <c r="K199" s="41"/>
    </row>
    <row r="200" spans="11:11" x14ac:dyDescent="0.2">
      <c r="K200" s="41"/>
    </row>
    <row r="201" spans="11:11" x14ac:dyDescent="0.2">
      <c r="K201" s="41"/>
    </row>
    <row r="202" spans="11:11" x14ac:dyDescent="0.2">
      <c r="K202" s="41"/>
    </row>
    <row r="203" spans="11:11" x14ac:dyDescent="0.2">
      <c r="K203" s="41"/>
    </row>
    <row r="204" spans="11:11" x14ac:dyDescent="0.2">
      <c r="K204" s="41"/>
    </row>
  </sheetData>
  <mergeCells count="25">
    <mergeCell ref="B175:D175"/>
    <mergeCell ref="B134:H134"/>
    <mergeCell ref="B136:D136"/>
    <mergeCell ref="B137:C137"/>
    <mergeCell ref="B138:C138"/>
    <mergeCell ref="B139:C139"/>
    <mergeCell ref="B166:C166"/>
    <mergeCell ref="B167:C167"/>
    <mergeCell ref="B168:C168"/>
    <mergeCell ref="B154:C154"/>
    <mergeCell ref="A1:H1"/>
    <mergeCell ref="A2:H2"/>
    <mergeCell ref="A3:H3"/>
    <mergeCell ref="B132:H132"/>
    <mergeCell ref="B133:H133"/>
    <mergeCell ref="B176:C176"/>
    <mergeCell ref="B177:C177"/>
    <mergeCell ref="B178:C178"/>
    <mergeCell ref="B179:C179"/>
    <mergeCell ref="B180:C180"/>
    <mergeCell ref="B181:C181"/>
    <mergeCell ref="B182:C182"/>
    <mergeCell ref="B183:C183"/>
    <mergeCell ref="B184:C184"/>
    <mergeCell ref="B185:D185"/>
  </mergeCells>
  <hyperlinks>
    <hyperlink ref="I1" location="Index!B8" display="Index" xr:uid="{64A15C80-42E5-4653-98A7-286B194EADA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50E69-164B-44E9-A1F9-A5D3ADAC5968}">
  <sheetPr>
    <outlinePr summaryBelow="0" summaryRight="0"/>
  </sheetPr>
  <dimension ref="A1:R130"/>
  <sheetViews>
    <sheetView showGridLines="0" workbookViewId="0">
      <selection activeCell="B105" sqref="B105"/>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6" bestFit="1" customWidth="1"/>
    <col min="10" max="10" width="50.7109375" style="37" customWidth="1"/>
  </cols>
  <sheetData>
    <row r="1" spans="1:11" ht="18" customHeight="1" x14ac:dyDescent="0.2">
      <c r="A1" s="107" t="s">
        <v>0</v>
      </c>
      <c r="B1" s="107"/>
      <c r="C1" s="107"/>
      <c r="D1" s="107"/>
      <c r="E1" s="107"/>
      <c r="F1" s="107"/>
      <c r="G1" s="107"/>
      <c r="H1" s="107"/>
      <c r="I1" s="92" t="s">
        <v>560</v>
      </c>
    </row>
    <row r="2" spans="1:11" ht="17.100000000000001" customHeight="1" x14ac:dyDescent="0.2">
      <c r="A2" s="107" t="s">
        <v>415</v>
      </c>
      <c r="B2" s="107"/>
      <c r="C2" s="107"/>
      <c r="D2" s="107"/>
      <c r="E2" s="107"/>
      <c r="F2" s="107"/>
      <c r="G2" s="107"/>
      <c r="H2" s="107"/>
      <c r="J2" s="93" t="s">
        <v>561</v>
      </c>
    </row>
    <row r="3" spans="1:11" ht="21" customHeight="1" x14ac:dyDescent="0.2">
      <c r="A3" s="107" t="s">
        <v>588</v>
      </c>
      <c r="B3" s="107"/>
      <c r="C3" s="107"/>
      <c r="D3" s="107"/>
      <c r="E3" s="107"/>
      <c r="F3" s="107"/>
      <c r="G3" s="107"/>
      <c r="H3" s="107"/>
    </row>
    <row r="4" spans="1:11" ht="30" x14ac:dyDescent="0.2">
      <c r="A4" s="53" t="s">
        <v>2</v>
      </c>
      <c r="B4" s="53" t="s">
        <v>3</v>
      </c>
      <c r="C4" s="53" t="s">
        <v>4</v>
      </c>
      <c r="D4" s="53" t="s">
        <v>5</v>
      </c>
      <c r="E4" s="53" t="s">
        <v>6</v>
      </c>
      <c r="F4" s="53" t="s">
        <v>7</v>
      </c>
      <c r="G4" s="53" t="s">
        <v>8</v>
      </c>
      <c r="H4" s="51" t="s">
        <v>500</v>
      </c>
      <c r="I4" s="94"/>
      <c r="K4" s="94"/>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5"/>
    </row>
    <row r="13" spans="1:11" ht="14.1" customHeight="1" x14ac:dyDescent="0.2">
      <c r="A13" s="1"/>
      <c r="B13" s="1"/>
      <c r="C13" s="2" t="s">
        <v>11</v>
      </c>
      <c r="D13" s="1"/>
      <c r="E13" s="1" t="s">
        <v>12</v>
      </c>
      <c r="F13" s="3" t="s">
        <v>13</v>
      </c>
      <c r="G13" s="4">
        <v>0</v>
      </c>
      <c r="H13" s="36"/>
      <c r="J13" s="96"/>
    </row>
    <row r="14" spans="1:11" ht="25.5" x14ac:dyDescent="0.2">
      <c r="A14" s="1"/>
      <c r="B14" s="1"/>
      <c r="C14" s="5"/>
      <c r="D14" s="1"/>
      <c r="E14" s="1"/>
      <c r="F14" s="6"/>
      <c r="G14" s="6"/>
      <c r="H14" s="36"/>
      <c r="J14" s="37" t="s">
        <v>578</v>
      </c>
    </row>
    <row r="15" spans="1:11" ht="14.1" customHeight="1" x14ac:dyDescent="0.2">
      <c r="A15" s="1"/>
      <c r="B15" s="1"/>
      <c r="C15" s="2" t="s">
        <v>16</v>
      </c>
      <c r="D15" s="1"/>
      <c r="E15" s="1"/>
      <c r="F15" s="1"/>
      <c r="G15" s="1"/>
      <c r="H15" s="36"/>
      <c r="J15" s="96"/>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5"/>
    </row>
    <row r="23" spans="1:10" ht="14.1" customHeight="1" x14ac:dyDescent="0.2">
      <c r="A23" s="1"/>
      <c r="B23" s="1"/>
      <c r="C23" s="5"/>
      <c r="D23" s="1"/>
      <c r="E23" s="1"/>
      <c r="F23" s="6"/>
      <c r="G23" s="6"/>
      <c r="H23" s="36"/>
      <c r="J23" s="96"/>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c r="J27" s="37" t="s">
        <v>579</v>
      </c>
    </row>
    <row r="28" spans="1:10" ht="17.100000000000001" customHeight="1" x14ac:dyDescent="0.2">
      <c r="A28" s="8">
        <v>1</v>
      </c>
      <c r="B28" s="9" t="s">
        <v>195</v>
      </c>
      <c r="C28" s="9" t="s">
        <v>196</v>
      </c>
      <c r="D28" s="9" t="s">
        <v>197</v>
      </c>
      <c r="E28" s="10">
        <v>100</v>
      </c>
      <c r="F28" s="11">
        <v>100.19629999999999</v>
      </c>
      <c r="G28" s="12">
        <v>2.3760989999999999E-2</v>
      </c>
      <c r="H28" s="36">
        <v>8.6775000000000002</v>
      </c>
      <c r="J28" s="96"/>
    </row>
    <row r="29" spans="1:10" ht="29.1" customHeight="1" x14ac:dyDescent="0.2">
      <c r="A29" s="8">
        <v>2</v>
      </c>
      <c r="B29" s="9" t="s">
        <v>209</v>
      </c>
      <c r="C29" s="9" t="s">
        <v>210</v>
      </c>
      <c r="D29" s="9" t="s">
        <v>208</v>
      </c>
      <c r="E29" s="10">
        <v>100</v>
      </c>
      <c r="F29" s="11">
        <v>100.015</v>
      </c>
      <c r="G29" s="12">
        <v>2.3717999999999999E-2</v>
      </c>
      <c r="H29" s="36">
        <v>8.3550000000000004</v>
      </c>
    </row>
    <row r="30" spans="1:10" ht="14.1" customHeight="1" x14ac:dyDescent="0.2">
      <c r="A30" s="1"/>
      <c r="B30" s="1"/>
      <c r="C30" s="2" t="s">
        <v>11</v>
      </c>
      <c r="D30" s="1"/>
      <c r="E30" s="1" t="s">
        <v>12</v>
      </c>
      <c r="F30" s="7">
        <v>200.21129999999999</v>
      </c>
      <c r="G30" s="4">
        <v>4.7478989999999999E-2</v>
      </c>
      <c r="H30" s="36"/>
    </row>
    <row r="31" spans="1:10" ht="14.1" customHeight="1" x14ac:dyDescent="0.2">
      <c r="A31" s="1"/>
      <c r="B31" s="1"/>
      <c r="C31" s="5"/>
      <c r="D31" s="1"/>
      <c r="E31" s="1"/>
      <c r="F31" s="6"/>
      <c r="G31" s="6"/>
      <c r="H31" s="36"/>
    </row>
    <row r="32" spans="1:10" ht="14.1" customHeight="1" x14ac:dyDescent="0.2">
      <c r="A32" s="1"/>
      <c r="B32" s="1"/>
      <c r="C32" s="2" t="s">
        <v>63</v>
      </c>
      <c r="D32" s="1"/>
      <c r="E32" s="1"/>
      <c r="F32" s="1"/>
      <c r="G32" s="1"/>
      <c r="H32" s="36"/>
    </row>
    <row r="33" spans="1:8" ht="14.1" customHeight="1" x14ac:dyDescent="0.2">
      <c r="A33" s="1"/>
      <c r="B33" s="1"/>
      <c r="C33" s="2" t="s">
        <v>11</v>
      </c>
      <c r="D33" s="1"/>
      <c r="E33" s="1" t="s">
        <v>12</v>
      </c>
      <c r="F33" s="3" t="s">
        <v>13</v>
      </c>
      <c r="G33" s="4">
        <v>0</v>
      </c>
      <c r="H33" s="36"/>
    </row>
    <row r="34" spans="1:8" ht="14.1" customHeight="1" x14ac:dyDescent="0.2">
      <c r="A34" s="1"/>
      <c r="B34" s="1"/>
      <c r="C34" s="5"/>
      <c r="D34" s="1"/>
      <c r="E34" s="1"/>
      <c r="F34" s="6"/>
      <c r="G34" s="6"/>
      <c r="H34" s="36"/>
    </row>
    <row r="35" spans="1:8" ht="14.1" customHeight="1" x14ac:dyDescent="0.2">
      <c r="A35" s="1"/>
      <c r="B35" s="1"/>
      <c r="C35" s="2" t="s">
        <v>64</v>
      </c>
      <c r="D35" s="1"/>
      <c r="E35" s="1"/>
      <c r="F35" s="1"/>
      <c r="G35" s="1"/>
      <c r="H35" s="36"/>
    </row>
    <row r="36" spans="1:8" ht="29.1" customHeight="1" x14ac:dyDescent="0.2">
      <c r="A36" s="8">
        <v>1</v>
      </c>
      <c r="B36" s="9" t="s">
        <v>65</v>
      </c>
      <c r="C36" s="9" t="s">
        <v>66</v>
      </c>
      <c r="D36" s="9" t="s">
        <v>67</v>
      </c>
      <c r="E36" s="10">
        <v>1500000</v>
      </c>
      <c r="F36" s="11">
        <v>1512.7260000000001</v>
      </c>
      <c r="G36" s="12">
        <v>0.35873451000000001</v>
      </c>
      <c r="H36" s="36">
        <v>7.1749000000000001</v>
      </c>
    </row>
    <row r="37" spans="1:8" ht="29.1" customHeight="1" x14ac:dyDescent="0.2">
      <c r="A37" s="8">
        <v>2</v>
      </c>
      <c r="B37" s="9" t="s">
        <v>416</v>
      </c>
      <c r="C37" s="9" t="s">
        <v>417</v>
      </c>
      <c r="D37" s="9" t="s">
        <v>67</v>
      </c>
      <c r="E37" s="10">
        <v>1500000</v>
      </c>
      <c r="F37" s="11">
        <v>1460.7539999999999</v>
      </c>
      <c r="G37" s="12">
        <v>0.34640964000000002</v>
      </c>
      <c r="H37" s="36">
        <v>7.0719000000000003</v>
      </c>
    </row>
    <row r="38" spans="1:8" ht="29.1" customHeight="1" x14ac:dyDescent="0.2">
      <c r="A38" s="8">
        <v>3</v>
      </c>
      <c r="B38" s="9" t="s">
        <v>370</v>
      </c>
      <c r="C38" s="9" t="s">
        <v>371</v>
      </c>
      <c r="D38" s="9" t="s">
        <v>67</v>
      </c>
      <c r="E38" s="10">
        <v>230000</v>
      </c>
      <c r="F38" s="11">
        <v>231.81861000000001</v>
      </c>
      <c r="G38" s="12">
        <v>5.4974490000000001E-2</v>
      </c>
      <c r="H38" s="36">
        <v>7.4565999999999999</v>
      </c>
    </row>
    <row r="39" spans="1:8" ht="14.1" customHeight="1" x14ac:dyDescent="0.2">
      <c r="A39" s="1"/>
      <c r="B39" s="1"/>
      <c r="C39" s="2" t="s">
        <v>11</v>
      </c>
      <c r="D39" s="1"/>
      <c r="E39" s="1" t="s">
        <v>12</v>
      </c>
      <c r="F39" s="7">
        <v>3205.2986099999998</v>
      </c>
      <c r="G39" s="4">
        <v>0.76011863999999996</v>
      </c>
      <c r="H39" s="36"/>
    </row>
    <row r="40" spans="1:8" ht="14.1" customHeight="1" x14ac:dyDescent="0.2">
      <c r="A40" s="1"/>
      <c r="B40" s="1"/>
      <c r="C40" s="5"/>
      <c r="D40" s="1"/>
      <c r="E40" s="1"/>
      <c r="F40" s="6"/>
      <c r="G40" s="6"/>
      <c r="H40" s="36"/>
    </row>
    <row r="41" spans="1:8" ht="14.1" customHeight="1" x14ac:dyDescent="0.2">
      <c r="A41" s="1"/>
      <c r="B41" s="1"/>
      <c r="C41" s="2" t="s">
        <v>74</v>
      </c>
      <c r="D41" s="1"/>
      <c r="E41" s="1"/>
      <c r="F41" s="6"/>
      <c r="G41" s="6"/>
      <c r="H41" s="36"/>
    </row>
    <row r="42" spans="1:8" ht="14.1" customHeight="1" x14ac:dyDescent="0.2">
      <c r="A42" s="1"/>
      <c r="B42" s="1"/>
      <c r="C42" s="2" t="s">
        <v>11</v>
      </c>
      <c r="D42" s="1"/>
      <c r="E42" s="1" t="s">
        <v>12</v>
      </c>
      <c r="F42" s="3" t="s">
        <v>13</v>
      </c>
      <c r="G42" s="4">
        <v>0</v>
      </c>
      <c r="H42" s="36"/>
    </row>
    <row r="43" spans="1:8" ht="14.1" customHeight="1" x14ac:dyDescent="0.2">
      <c r="A43" s="1"/>
      <c r="B43" s="1"/>
      <c r="C43" s="5"/>
      <c r="D43" s="1"/>
      <c r="E43" s="1"/>
      <c r="F43" s="6"/>
      <c r="G43" s="6"/>
      <c r="H43" s="36"/>
    </row>
    <row r="44" spans="1:8" ht="14.1" customHeight="1" x14ac:dyDescent="0.2">
      <c r="A44" s="1"/>
      <c r="B44" s="1"/>
      <c r="C44" s="2" t="s">
        <v>75</v>
      </c>
      <c r="D44" s="1"/>
      <c r="E44" s="1"/>
      <c r="F44" s="7">
        <v>3405.5099100000002</v>
      </c>
      <c r="G44" s="4">
        <v>0.80759762999999996</v>
      </c>
      <c r="H44" s="36"/>
    </row>
    <row r="45" spans="1:8" ht="14.1" customHeight="1" x14ac:dyDescent="0.2">
      <c r="A45" s="1"/>
      <c r="B45" s="1"/>
      <c r="C45" s="5"/>
      <c r="D45" s="1"/>
      <c r="E45" s="1"/>
      <c r="F45" s="6"/>
      <c r="G45" s="6"/>
      <c r="H45" s="36"/>
    </row>
    <row r="46" spans="1:8" ht="14.1" customHeight="1" x14ac:dyDescent="0.2">
      <c r="A46" s="1"/>
      <c r="B46" s="1"/>
      <c r="C46" s="2" t="s">
        <v>76</v>
      </c>
      <c r="D46" s="1"/>
      <c r="E46" s="1"/>
      <c r="F46" s="6"/>
      <c r="G46" s="6"/>
      <c r="H46" s="36"/>
    </row>
    <row r="47" spans="1:8" ht="14.1" customHeight="1" x14ac:dyDescent="0.2">
      <c r="A47" s="1"/>
      <c r="B47" s="1"/>
      <c r="C47" s="2" t="s">
        <v>77</v>
      </c>
      <c r="D47" s="1"/>
      <c r="E47" s="1"/>
      <c r="F47" s="6"/>
      <c r="G47" s="6"/>
      <c r="H47" s="36"/>
    </row>
    <row r="48" spans="1:8" ht="14.1" customHeight="1" x14ac:dyDescent="0.2">
      <c r="A48" s="1"/>
      <c r="B48" s="1"/>
      <c r="C48" s="2" t="s">
        <v>11</v>
      </c>
      <c r="D48" s="1"/>
      <c r="E48" s="1" t="s">
        <v>12</v>
      </c>
      <c r="F48" s="3" t="s">
        <v>13</v>
      </c>
      <c r="G48" s="4">
        <v>0</v>
      </c>
      <c r="H48" s="36"/>
    </row>
    <row r="49" spans="1:8" ht="14.1" customHeight="1" x14ac:dyDescent="0.2">
      <c r="A49" s="1"/>
      <c r="B49" s="1"/>
      <c r="C49" s="5"/>
      <c r="D49" s="1"/>
      <c r="E49" s="1"/>
      <c r="F49" s="6"/>
      <c r="G49" s="6"/>
      <c r="H49" s="36"/>
    </row>
    <row r="50" spans="1:8" ht="14.1" customHeight="1" x14ac:dyDescent="0.2">
      <c r="A50" s="1"/>
      <c r="B50" s="1"/>
      <c r="C50" s="2" t="s">
        <v>78</v>
      </c>
      <c r="D50" s="1"/>
      <c r="E50" s="1"/>
      <c r="F50" s="6"/>
      <c r="G50" s="6"/>
      <c r="H50" s="36"/>
    </row>
    <row r="51" spans="1:8" ht="14.1" customHeight="1" x14ac:dyDescent="0.2">
      <c r="A51" s="1"/>
      <c r="B51" s="1"/>
      <c r="C51" s="2" t="s">
        <v>11</v>
      </c>
      <c r="D51" s="1"/>
      <c r="E51" s="1" t="s">
        <v>12</v>
      </c>
      <c r="F51" s="3" t="s">
        <v>13</v>
      </c>
      <c r="G51" s="4">
        <v>0</v>
      </c>
      <c r="H51" s="36"/>
    </row>
    <row r="52" spans="1:8" ht="14.1" customHeight="1" x14ac:dyDescent="0.2">
      <c r="A52" s="1"/>
      <c r="B52" s="1"/>
      <c r="C52" s="5"/>
      <c r="D52" s="1"/>
      <c r="E52" s="1"/>
      <c r="F52" s="6"/>
      <c r="G52" s="6"/>
      <c r="H52" s="36"/>
    </row>
    <row r="53" spans="1:8" ht="14.1" customHeight="1" x14ac:dyDescent="0.2">
      <c r="A53" s="1"/>
      <c r="B53" s="1"/>
      <c r="C53" s="2" t="s">
        <v>79</v>
      </c>
      <c r="D53" s="1"/>
      <c r="E53" s="1"/>
      <c r="F53" s="6"/>
      <c r="G53" s="6"/>
      <c r="H53" s="36"/>
    </row>
    <row r="54" spans="1:8" ht="14.1" customHeight="1" x14ac:dyDescent="0.2">
      <c r="A54" s="1"/>
      <c r="B54" s="1"/>
      <c r="C54" s="2" t="s">
        <v>11</v>
      </c>
      <c r="D54" s="1"/>
      <c r="E54" s="1" t="s">
        <v>12</v>
      </c>
      <c r="F54" s="3" t="s">
        <v>13</v>
      </c>
      <c r="G54" s="4">
        <v>0</v>
      </c>
      <c r="H54" s="36"/>
    </row>
    <row r="55" spans="1:8" ht="14.1" customHeight="1" x14ac:dyDescent="0.2">
      <c r="A55" s="1"/>
      <c r="B55" s="1"/>
      <c r="C55" s="5"/>
      <c r="D55" s="1"/>
      <c r="E55" s="1"/>
      <c r="F55" s="6"/>
      <c r="G55" s="6"/>
      <c r="H55" s="36"/>
    </row>
    <row r="56" spans="1:8" ht="14.1" customHeight="1" x14ac:dyDescent="0.2">
      <c r="A56" s="1"/>
      <c r="B56" s="1"/>
      <c r="C56" s="2" t="s">
        <v>80</v>
      </c>
      <c r="D56" s="1"/>
      <c r="E56" s="1"/>
      <c r="F56" s="6"/>
      <c r="G56" s="6"/>
      <c r="H56" s="36"/>
    </row>
    <row r="57" spans="1:8" ht="17.100000000000001" customHeight="1" x14ac:dyDescent="0.2">
      <c r="A57" s="8">
        <v>1</v>
      </c>
      <c r="B57" s="9"/>
      <c r="C57" s="9" t="s">
        <v>81</v>
      </c>
      <c r="D57" s="9"/>
      <c r="E57" s="13"/>
      <c r="F57" s="11">
        <v>734.25077300199996</v>
      </c>
      <c r="G57" s="12">
        <v>0.17412347</v>
      </c>
      <c r="H57" s="36">
        <v>6.7262665696944239</v>
      </c>
    </row>
    <row r="58" spans="1:8" ht="14.1" customHeight="1" x14ac:dyDescent="0.2">
      <c r="A58" s="1"/>
      <c r="B58" s="1"/>
      <c r="C58" s="2" t="s">
        <v>11</v>
      </c>
      <c r="D58" s="1"/>
      <c r="E58" s="1" t="s">
        <v>12</v>
      </c>
      <c r="F58" s="7">
        <v>734.25077300199996</v>
      </c>
      <c r="G58" s="4">
        <v>0.17412347</v>
      </c>
      <c r="H58" s="36"/>
    </row>
    <row r="59" spans="1:8" ht="14.1" customHeight="1" x14ac:dyDescent="0.2">
      <c r="A59" s="1"/>
      <c r="B59" s="1"/>
      <c r="C59" s="5"/>
      <c r="D59" s="1"/>
      <c r="E59" s="1"/>
      <c r="F59" s="6"/>
      <c r="G59" s="6"/>
      <c r="H59" s="36"/>
    </row>
    <row r="60" spans="1:8" ht="14.1" customHeight="1" x14ac:dyDescent="0.2">
      <c r="A60" s="1"/>
      <c r="B60" s="1"/>
      <c r="C60" s="2" t="s">
        <v>82</v>
      </c>
      <c r="D60" s="1"/>
      <c r="E60" s="1"/>
      <c r="F60" s="7">
        <v>734.25077300199996</v>
      </c>
      <c r="G60" s="4">
        <v>0.17412347</v>
      </c>
      <c r="H60" s="36"/>
    </row>
    <row r="61" spans="1:8" ht="14.1" customHeight="1" x14ac:dyDescent="0.2">
      <c r="A61" s="1"/>
      <c r="B61" s="1"/>
      <c r="C61" s="6"/>
      <c r="D61" s="1"/>
      <c r="E61" s="1"/>
      <c r="F61" s="1"/>
      <c r="G61" s="1"/>
      <c r="H61" s="36"/>
    </row>
    <row r="62" spans="1:8" ht="14.1" customHeight="1" x14ac:dyDescent="0.2">
      <c r="A62" s="1"/>
      <c r="B62" s="1"/>
      <c r="C62" s="2" t="s">
        <v>83</v>
      </c>
      <c r="D62" s="1"/>
      <c r="E62" s="1"/>
      <c r="F62" s="1"/>
      <c r="G62" s="1"/>
      <c r="H62" s="36"/>
    </row>
    <row r="63" spans="1:8" ht="14.1" customHeight="1" x14ac:dyDescent="0.2">
      <c r="A63" s="1"/>
      <c r="B63" s="1"/>
      <c r="C63" s="2" t="s">
        <v>84</v>
      </c>
      <c r="D63" s="1"/>
      <c r="E63" s="1"/>
      <c r="F63" s="1"/>
      <c r="G63" s="1"/>
      <c r="H63" s="36"/>
    </row>
    <row r="64" spans="1:8" ht="14.1" customHeight="1" x14ac:dyDescent="0.2">
      <c r="A64" s="1"/>
      <c r="B64" s="1"/>
      <c r="C64" s="2" t="s">
        <v>11</v>
      </c>
      <c r="D64" s="1"/>
      <c r="E64" s="1" t="s">
        <v>12</v>
      </c>
      <c r="F64" s="3" t="s">
        <v>13</v>
      </c>
      <c r="G64" s="4">
        <v>0</v>
      </c>
      <c r="H64" s="36"/>
    </row>
    <row r="65" spans="1:18" ht="14.1" customHeight="1" x14ac:dyDescent="0.2">
      <c r="A65" s="1"/>
      <c r="B65" s="1"/>
      <c r="C65" s="5"/>
      <c r="D65" s="1"/>
      <c r="E65" s="1"/>
      <c r="F65" s="6"/>
      <c r="G65" s="6"/>
      <c r="H65" s="36"/>
    </row>
    <row r="66" spans="1:18" ht="14.1" customHeight="1" x14ac:dyDescent="0.2">
      <c r="A66" s="1"/>
      <c r="B66" s="1"/>
      <c r="C66" s="2" t="s">
        <v>87</v>
      </c>
      <c r="D66" s="1"/>
      <c r="E66" s="1"/>
      <c r="F66" s="1"/>
      <c r="G66" s="1"/>
      <c r="H66" s="36"/>
    </row>
    <row r="67" spans="1:18" ht="14.1" customHeight="1" x14ac:dyDescent="0.2">
      <c r="A67" s="1"/>
      <c r="B67" s="1"/>
      <c r="C67" s="2" t="s">
        <v>88</v>
      </c>
      <c r="D67" s="1"/>
      <c r="E67" s="1"/>
      <c r="F67" s="1"/>
      <c r="G67" s="1"/>
      <c r="H67" s="36"/>
    </row>
    <row r="68" spans="1:18" ht="14.1" customHeight="1" x14ac:dyDescent="0.2">
      <c r="A68" s="1"/>
      <c r="B68" s="1"/>
      <c r="C68" s="2" t="s">
        <v>11</v>
      </c>
      <c r="D68" s="1"/>
      <c r="E68" s="1" t="s">
        <v>12</v>
      </c>
      <c r="F68" s="3" t="s">
        <v>13</v>
      </c>
      <c r="G68" s="4">
        <v>0</v>
      </c>
      <c r="H68" s="36"/>
    </row>
    <row r="69" spans="1:18" ht="14.1" customHeight="1" x14ac:dyDescent="0.2">
      <c r="A69" s="1"/>
      <c r="B69" s="1"/>
      <c r="C69" s="5"/>
      <c r="D69" s="1"/>
      <c r="E69" s="1"/>
      <c r="F69" s="6"/>
      <c r="G69" s="6"/>
      <c r="H69" s="36"/>
    </row>
    <row r="70" spans="1:18" ht="24" customHeight="1" x14ac:dyDescent="0.2">
      <c r="A70" s="1"/>
      <c r="B70" s="1"/>
      <c r="C70" s="2" t="s">
        <v>89</v>
      </c>
      <c r="D70" s="1"/>
      <c r="E70" s="1"/>
      <c r="F70" s="6"/>
      <c r="G70" s="6"/>
      <c r="H70" s="36"/>
    </row>
    <row r="71" spans="1:18" ht="14.1" customHeight="1" x14ac:dyDescent="0.2">
      <c r="A71" s="1"/>
      <c r="B71" s="1"/>
      <c r="C71" s="2" t="s">
        <v>11</v>
      </c>
      <c r="D71" s="1"/>
      <c r="E71" s="1" t="s">
        <v>12</v>
      </c>
      <c r="F71" s="3" t="s">
        <v>13</v>
      </c>
      <c r="G71" s="4">
        <v>0</v>
      </c>
      <c r="H71" s="36"/>
    </row>
    <row r="72" spans="1:18" x14ac:dyDescent="0.2">
      <c r="A72" s="33"/>
      <c r="B72" s="33"/>
      <c r="C72" s="34"/>
      <c r="D72" s="33"/>
      <c r="E72" s="33"/>
      <c r="F72" s="35"/>
      <c r="G72" s="35"/>
      <c r="H72" s="36"/>
    </row>
    <row r="73" spans="1:18" ht="25.5" x14ac:dyDescent="0.2">
      <c r="A73" s="38"/>
      <c r="B73" s="38"/>
      <c r="C73" s="39" t="s">
        <v>479</v>
      </c>
      <c r="D73" s="38"/>
      <c r="E73" s="38"/>
      <c r="F73" s="40"/>
      <c r="G73" s="40"/>
      <c r="H73" s="36"/>
      <c r="L73" s="41"/>
      <c r="M73" s="41"/>
      <c r="N73" s="41"/>
      <c r="O73" s="41"/>
      <c r="P73" s="42"/>
      <c r="Q73" s="42"/>
      <c r="R73" s="42"/>
    </row>
    <row r="74" spans="1:18" ht="25.5" x14ac:dyDescent="0.2">
      <c r="A74" s="43">
        <v>1</v>
      </c>
      <c r="B74" s="44" t="s">
        <v>85</v>
      </c>
      <c r="C74" s="44" t="s">
        <v>86</v>
      </c>
      <c r="D74" s="44"/>
      <c r="E74" s="14">
        <v>112.994</v>
      </c>
      <c r="F74" s="11">
        <v>11.625255599999999</v>
      </c>
      <c r="G74" s="12">
        <v>2.7568599999999999E-3</v>
      </c>
      <c r="H74" s="36">
        <v>9.9999999999999995E-7</v>
      </c>
      <c r="K74" s="41"/>
    </row>
    <row r="75" spans="1:18" x14ac:dyDescent="0.2">
      <c r="A75" s="33"/>
      <c r="B75" s="33"/>
      <c r="C75" s="45" t="s">
        <v>11</v>
      </c>
      <c r="D75" s="33"/>
      <c r="E75" s="1" t="s">
        <v>12</v>
      </c>
      <c r="F75" s="7">
        <v>11.625255599999999</v>
      </c>
      <c r="G75" s="4">
        <v>2.7568599999999999E-3</v>
      </c>
      <c r="H75" s="36"/>
    </row>
    <row r="76" spans="1:18" ht="14.1" customHeight="1" x14ac:dyDescent="0.2">
      <c r="A76" s="1"/>
      <c r="B76" s="1"/>
      <c r="C76" s="5"/>
      <c r="D76" s="1"/>
      <c r="E76" s="1"/>
      <c r="F76" s="6"/>
      <c r="G76" s="6"/>
      <c r="H76" s="36"/>
    </row>
    <row r="77" spans="1:18" ht="14.1" customHeight="1" x14ac:dyDescent="0.2">
      <c r="A77" s="1"/>
      <c r="B77" s="9"/>
      <c r="C77" s="9"/>
      <c r="D77" s="2"/>
      <c r="E77" s="1"/>
      <c r="F77" s="9"/>
      <c r="G77" s="13"/>
      <c r="H77" s="36"/>
    </row>
    <row r="78" spans="1:18" ht="18" customHeight="1" x14ac:dyDescent="0.2">
      <c r="A78" s="13"/>
      <c r="B78" s="9"/>
      <c r="C78" s="9" t="s">
        <v>90</v>
      </c>
      <c r="D78" s="9"/>
      <c r="E78" s="13"/>
      <c r="F78" s="11">
        <v>65.454939928000215</v>
      </c>
      <c r="G78" s="12">
        <v>1.5522040000000001E-2</v>
      </c>
      <c r="H78" s="36"/>
    </row>
    <row r="79" spans="1:18" ht="14.1" customHeight="1" x14ac:dyDescent="0.2">
      <c r="A79" s="5"/>
      <c r="B79" s="5"/>
      <c r="C79" s="2" t="s">
        <v>91</v>
      </c>
      <c r="D79" s="6"/>
      <c r="E79" s="6"/>
      <c r="F79" s="7">
        <v>4216.8408785299998</v>
      </c>
      <c r="G79" s="15">
        <v>1</v>
      </c>
      <c r="H79" s="36"/>
    </row>
    <row r="80" spans="1:18" ht="14.1" customHeight="1" x14ac:dyDescent="0.2">
      <c r="A80" s="16"/>
      <c r="B80" s="16"/>
      <c r="C80" s="16"/>
      <c r="D80" s="17"/>
      <c r="E80" s="17"/>
      <c r="F80" s="17"/>
      <c r="G80" s="17"/>
    </row>
    <row r="81" spans="1:8" x14ac:dyDescent="0.2">
      <c r="A81" s="46"/>
      <c r="B81" s="108" t="s">
        <v>483</v>
      </c>
      <c r="C81" s="108"/>
      <c r="D81" s="108"/>
      <c r="E81" s="108"/>
      <c r="F81" s="108"/>
      <c r="G81" s="108"/>
      <c r="H81" s="108"/>
    </row>
    <row r="82" spans="1:8" x14ac:dyDescent="0.2">
      <c r="A82" s="46"/>
      <c r="B82" s="108" t="s">
        <v>484</v>
      </c>
      <c r="C82" s="108"/>
      <c r="D82" s="108"/>
      <c r="E82" s="108"/>
      <c r="F82" s="108"/>
      <c r="G82" s="108"/>
      <c r="H82" s="108"/>
    </row>
    <row r="83" spans="1:8" x14ac:dyDescent="0.2">
      <c r="A83" s="46"/>
      <c r="B83" s="108" t="s">
        <v>485</v>
      </c>
      <c r="C83" s="108"/>
      <c r="D83" s="108"/>
      <c r="E83" s="108"/>
      <c r="F83" s="108"/>
      <c r="G83" s="108"/>
      <c r="H83" s="108"/>
    </row>
    <row r="84" spans="1:8" ht="14.1" customHeight="1" x14ac:dyDescent="0.2">
      <c r="A84" s="18"/>
      <c r="B84" s="18"/>
      <c r="C84" s="18"/>
      <c r="D84" s="20"/>
      <c r="E84" s="20"/>
      <c r="F84" s="20"/>
      <c r="G84" s="20"/>
    </row>
    <row r="85" spans="1:8" ht="14.1" customHeight="1" x14ac:dyDescent="0.2">
      <c r="A85" s="18"/>
      <c r="B85" s="114" t="s">
        <v>92</v>
      </c>
      <c r="C85" s="115"/>
      <c r="D85" s="116"/>
      <c r="E85" s="21"/>
      <c r="F85" s="20"/>
      <c r="G85" s="20"/>
    </row>
    <row r="86" spans="1:8" ht="29.1" customHeight="1" x14ac:dyDescent="0.2">
      <c r="A86" s="18"/>
      <c r="B86" s="117" t="s">
        <v>93</v>
      </c>
      <c r="C86" s="118"/>
      <c r="D86" s="2" t="s">
        <v>540</v>
      </c>
      <c r="E86" s="21"/>
      <c r="F86" s="20"/>
      <c r="G86" s="20"/>
    </row>
    <row r="87" spans="1:8" ht="17.100000000000001" customHeight="1" x14ac:dyDescent="0.2">
      <c r="A87" s="18"/>
      <c r="B87" s="117" t="s">
        <v>95</v>
      </c>
      <c r="C87" s="118"/>
      <c r="D87" s="2" t="s">
        <v>94</v>
      </c>
      <c r="E87" s="21"/>
      <c r="F87" s="20"/>
      <c r="G87" s="20"/>
    </row>
    <row r="88" spans="1:8" ht="17.100000000000001" customHeight="1" x14ac:dyDescent="0.2">
      <c r="A88" s="18"/>
      <c r="B88" s="117" t="s">
        <v>96</v>
      </c>
      <c r="C88" s="118"/>
      <c r="D88" s="6" t="s">
        <v>12</v>
      </c>
      <c r="E88" s="21"/>
      <c r="F88" s="20"/>
      <c r="G88" s="20"/>
    </row>
    <row r="89" spans="1:8" ht="24" customHeight="1" x14ac:dyDescent="0.2">
      <c r="A89" s="22"/>
      <c r="B89" s="23" t="s">
        <v>12</v>
      </c>
      <c r="C89" s="23" t="s">
        <v>97</v>
      </c>
      <c r="D89" s="23" t="s">
        <v>98</v>
      </c>
      <c r="E89" s="22"/>
      <c r="F89" s="22"/>
      <c r="G89" s="22"/>
    </row>
    <row r="90" spans="1:8" ht="18" customHeight="1" x14ac:dyDescent="0.2">
      <c r="A90" s="22"/>
      <c r="B90" s="24" t="s">
        <v>99</v>
      </c>
      <c r="C90" s="23" t="s">
        <v>582</v>
      </c>
      <c r="D90" s="23" t="s">
        <v>100</v>
      </c>
      <c r="E90" s="22"/>
      <c r="F90" s="22"/>
      <c r="G90" s="22"/>
    </row>
    <row r="91" spans="1:8" ht="17.100000000000001" customHeight="1" x14ac:dyDescent="0.2">
      <c r="A91" s="22"/>
      <c r="B91" s="9" t="s">
        <v>101</v>
      </c>
      <c r="C91" s="25">
        <v>70.942700000000002</v>
      </c>
      <c r="D91" s="25">
        <v>71.306299999999993</v>
      </c>
      <c r="E91" s="22"/>
      <c r="F91" s="19"/>
      <c r="G91" s="26"/>
    </row>
    <row r="92" spans="1:8" ht="29.1" customHeight="1" x14ac:dyDescent="0.2">
      <c r="A92" s="22"/>
      <c r="B92" s="9" t="s">
        <v>544</v>
      </c>
      <c r="C92" s="25">
        <v>25.613800000000001</v>
      </c>
      <c r="D92" s="25">
        <v>25.669699999999999</v>
      </c>
      <c r="E92" s="22"/>
      <c r="F92" s="19"/>
      <c r="G92" s="26"/>
    </row>
    <row r="93" spans="1:8" ht="29.1" customHeight="1" x14ac:dyDescent="0.2">
      <c r="A93" s="22"/>
      <c r="B93" s="9" t="s">
        <v>546</v>
      </c>
      <c r="C93" s="25">
        <v>14.6252</v>
      </c>
      <c r="D93" s="25">
        <v>14.700100000000001</v>
      </c>
      <c r="E93" s="22"/>
      <c r="F93" s="19"/>
      <c r="G93" s="26"/>
    </row>
    <row r="94" spans="1:8" ht="29.1" customHeight="1" x14ac:dyDescent="0.2">
      <c r="A94" s="22"/>
      <c r="B94" s="9" t="s">
        <v>418</v>
      </c>
      <c r="C94" s="25">
        <v>72.472899999999996</v>
      </c>
      <c r="D94" s="25">
        <v>72.789900000000003</v>
      </c>
      <c r="E94" s="22"/>
      <c r="F94" s="19"/>
      <c r="G94" s="26"/>
    </row>
    <row r="95" spans="1:8" ht="17.100000000000001" customHeight="1" x14ac:dyDescent="0.2">
      <c r="A95" s="22"/>
      <c r="B95" s="9" t="s">
        <v>102</v>
      </c>
      <c r="C95" s="25">
        <v>64.134299999999996</v>
      </c>
      <c r="D95" s="25">
        <v>64.4148</v>
      </c>
      <c r="E95" s="22"/>
      <c r="F95" s="19"/>
      <c r="G95" s="26"/>
    </row>
    <row r="96" spans="1:8" ht="17.100000000000001" customHeight="1" x14ac:dyDescent="0.2">
      <c r="A96" s="22"/>
      <c r="B96" s="9" t="s">
        <v>138</v>
      </c>
      <c r="C96" s="25">
        <v>21.9054</v>
      </c>
      <c r="D96" s="25">
        <v>22.001200000000001</v>
      </c>
      <c r="E96" s="22"/>
      <c r="F96" s="19"/>
      <c r="G96" s="26"/>
    </row>
    <row r="97" spans="1:18" ht="29.1" customHeight="1" x14ac:dyDescent="0.2">
      <c r="A97" s="22"/>
      <c r="B97" s="9" t="s">
        <v>585</v>
      </c>
      <c r="C97" s="25">
        <v>12.8591</v>
      </c>
      <c r="D97" s="25">
        <v>12.84</v>
      </c>
      <c r="E97" s="22"/>
      <c r="F97" s="19"/>
      <c r="G97" s="26"/>
    </row>
    <row r="98" spans="1:18" ht="29.1" customHeight="1" x14ac:dyDescent="0.2">
      <c r="A98" s="22"/>
      <c r="B98" s="9" t="s">
        <v>549</v>
      </c>
      <c r="C98" s="25">
        <v>13.1372</v>
      </c>
      <c r="D98" s="25">
        <v>13.194699999999999</v>
      </c>
      <c r="E98" s="22"/>
      <c r="F98" s="19"/>
      <c r="G98" s="26"/>
    </row>
    <row r="99" spans="1:18" ht="29.1" customHeight="1" x14ac:dyDescent="0.2">
      <c r="A99" s="22"/>
      <c r="B99" s="9" t="s">
        <v>550</v>
      </c>
      <c r="C99" s="25">
        <v>13.0349</v>
      </c>
      <c r="D99" s="25">
        <v>13.091900000000001</v>
      </c>
      <c r="E99" s="22"/>
      <c r="F99" s="19"/>
      <c r="G99" s="26"/>
    </row>
    <row r="100" spans="1:18" ht="14.1" customHeight="1" x14ac:dyDescent="0.2">
      <c r="A100" s="22"/>
      <c r="B100" s="22"/>
      <c r="C100" s="22"/>
      <c r="D100" s="22"/>
      <c r="E100" s="22"/>
      <c r="F100" s="22"/>
      <c r="G100" s="22"/>
    </row>
    <row r="101" spans="1:18" ht="17.100000000000001" customHeight="1" x14ac:dyDescent="0.2">
      <c r="A101" s="22"/>
      <c r="B101" s="117" t="s">
        <v>551</v>
      </c>
      <c r="C101" s="118"/>
      <c r="D101" s="2" t="s">
        <v>12</v>
      </c>
      <c r="E101" s="22"/>
      <c r="F101" s="22"/>
      <c r="G101" s="22"/>
    </row>
    <row r="102" spans="1:18" ht="18" customHeight="1" x14ac:dyDescent="0.2">
      <c r="A102" s="22"/>
      <c r="B102" s="27" t="s">
        <v>99</v>
      </c>
      <c r="C102" s="28" t="s">
        <v>103</v>
      </c>
      <c r="D102" s="28" t="s">
        <v>104</v>
      </c>
      <c r="E102" s="22"/>
      <c r="F102" s="22"/>
      <c r="G102" s="22"/>
    </row>
    <row r="103" spans="1:18" ht="29.1" customHeight="1" x14ac:dyDescent="0.2">
      <c r="A103" s="22"/>
      <c r="B103" s="9" t="s">
        <v>544</v>
      </c>
      <c r="C103" s="29">
        <v>7.4999999999999997E-2</v>
      </c>
      <c r="D103" s="13" t="s">
        <v>105</v>
      </c>
      <c r="E103" s="22"/>
      <c r="F103" s="19"/>
      <c r="G103" s="26"/>
    </row>
    <row r="104" spans="1:18" ht="25.5" x14ac:dyDescent="0.2">
      <c r="A104" s="22"/>
      <c r="B104" s="9" t="s">
        <v>548</v>
      </c>
      <c r="C104" s="29">
        <v>7.4999999999999997E-2</v>
      </c>
      <c r="D104" s="29">
        <v>7.4999999999999997E-2</v>
      </c>
      <c r="E104" s="22"/>
      <c r="F104" s="19"/>
      <c r="G104" s="26"/>
    </row>
    <row r="105" spans="1:18" ht="14.1" customHeight="1" x14ac:dyDescent="0.2">
      <c r="A105" s="55"/>
      <c r="B105" s="56"/>
      <c r="C105" s="56"/>
      <c r="D105" s="57"/>
      <c r="E105" s="55"/>
      <c r="F105" s="47"/>
      <c r="G105" s="58"/>
      <c r="P105" s="60"/>
      <c r="Q105" s="60"/>
      <c r="R105" s="60"/>
    </row>
    <row r="106" spans="1:18" s="60" customFormat="1" ht="17.100000000000001" customHeight="1" x14ac:dyDescent="0.25">
      <c r="A106" s="58"/>
      <c r="B106" s="112" t="s">
        <v>514</v>
      </c>
      <c r="C106" s="113"/>
      <c r="D106" s="52" t="s">
        <v>94</v>
      </c>
      <c r="E106" s="58"/>
      <c r="F106" s="47"/>
      <c r="G106" s="58"/>
      <c r="I106"/>
      <c r="J106" s="37"/>
      <c r="K106"/>
      <c r="L106" s="67"/>
      <c r="M106" s="67"/>
      <c r="N106" s="67"/>
      <c r="O106"/>
    </row>
    <row r="107" spans="1:18" s="60" customFormat="1" ht="29.1" customHeight="1" x14ac:dyDescent="0.25">
      <c r="A107" s="58"/>
      <c r="B107" s="112" t="s">
        <v>515</v>
      </c>
      <c r="C107" s="113"/>
      <c r="D107" s="52" t="s">
        <v>94</v>
      </c>
      <c r="E107" s="61"/>
      <c r="F107" s="58"/>
      <c r="G107" s="58"/>
      <c r="I107"/>
      <c r="J107" s="37"/>
      <c r="K107"/>
      <c r="L107" s="67"/>
      <c r="M107" s="67"/>
      <c r="N107" s="67"/>
      <c r="O107"/>
    </row>
    <row r="108" spans="1:18" s="60" customFormat="1" ht="29.1" customHeight="1" x14ac:dyDescent="0.25">
      <c r="A108" s="58"/>
      <c r="B108" s="112" t="s">
        <v>516</v>
      </c>
      <c r="C108" s="113"/>
      <c r="D108" s="52" t="s">
        <v>94</v>
      </c>
      <c r="E108" s="61"/>
      <c r="F108" s="58"/>
      <c r="G108" s="58"/>
      <c r="I108"/>
      <c r="J108" s="37"/>
      <c r="K108"/>
      <c r="L108" s="67"/>
      <c r="M108" s="67"/>
      <c r="N108" s="67"/>
      <c r="O108"/>
    </row>
    <row r="109" spans="1:18" s="60" customFormat="1" ht="17.100000000000001" customHeight="1" x14ac:dyDescent="0.25">
      <c r="A109" s="58"/>
      <c r="B109" s="112" t="s">
        <v>517</v>
      </c>
      <c r="C109" s="113"/>
      <c r="D109" s="52" t="s">
        <v>94</v>
      </c>
      <c r="E109" s="61"/>
      <c r="F109" s="58"/>
      <c r="G109" s="58"/>
      <c r="I109"/>
      <c r="J109" s="37"/>
      <c r="K109" s="67"/>
      <c r="L109" s="67"/>
      <c r="M109" s="67"/>
      <c r="N109" s="67"/>
      <c r="O109"/>
    </row>
    <row r="110" spans="1:18" s="60" customFormat="1" ht="15" x14ac:dyDescent="0.25">
      <c r="I110"/>
      <c r="J110" s="37"/>
      <c r="K110"/>
      <c r="L110" s="68"/>
      <c r="M110" s="68"/>
      <c r="N110" s="67"/>
      <c r="O110"/>
    </row>
    <row r="111" spans="1:18" s="60" customFormat="1" ht="15" x14ac:dyDescent="0.25">
      <c r="B111" s="130" t="s">
        <v>541</v>
      </c>
      <c r="C111" s="131"/>
      <c r="D111" s="131"/>
      <c r="E111" s="131"/>
      <c r="F111" s="131"/>
      <c r="G111" s="132"/>
      <c r="I111"/>
      <c r="J111" s="37"/>
      <c r="K111"/>
      <c r="L111" s="68"/>
      <c r="M111" s="68"/>
      <c r="N111" s="67"/>
      <c r="O111"/>
    </row>
    <row r="112" spans="1:18" s="60" customFormat="1" ht="29.25" customHeight="1" x14ac:dyDescent="0.25">
      <c r="B112" s="69" t="s">
        <v>518</v>
      </c>
      <c r="C112" s="69" t="s">
        <v>519</v>
      </c>
      <c r="D112" s="133" t="s">
        <v>520</v>
      </c>
      <c r="E112" s="134"/>
      <c r="F112" s="129" t="s">
        <v>521</v>
      </c>
      <c r="G112" s="129"/>
      <c r="H112" s="70"/>
      <c r="I112"/>
      <c r="J112" s="37"/>
      <c r="K112"/>
      <c r="L112" s="68"/>
      <c r="M112" s="68"/>
      <c r="N112" s="67"/>
      <c r="O112"/>
    </row>
    <row r="113" spans="2:18" s="60" customFormat="1" ht="25.5" x14ac:dyDescent="0.2">
      <c r="B113" s="71" t="s">
        <v>522</v>
      </c>
      <c r="C113" s="72" t="s">
        <v>523</v>
      </c>
      <c r="D113" s="124">
        <v>0</v>
      </c>
      <c r="E113" s="125"/>
      <c r="F113" s="124">
        <v>0</v>
      </c>
      <c r="G113" s="125"/>
      <c r="H113" s="73"/>
      <c r="I113"/>
      <c r="J113" s="37"/>
      <c r="K113"/>
      <c r="L113"/>
      <c r="M113"/>
      <c r="N113"/>
      <c r="O113"/>
    </row>
    <row r="114" spans="2:18" s="60" customFormat="1" ht="15" x14ac:dyDescent="0.25">
      <c r="B114" s="126" t="s">
        <v>524</v>
      </c>
      <c r="C114" s="127"/>
      <c r="D114" s="127"/>
      <c r="E114" s="127"/>
      <c r="F114" s="127"/>
      <c r="G114" s="128"/>
      <c r="H114" s="73"/>
      <c r="I114"/>
      <c r="J114" s="37"/>
      <c r="K114" s="67"/>
      <c r="L114"/>
      <c r="M114"/>
      <c r="N114"/>
      <c r="O114"/>
    </row>
    <row r="115" spans="2:18" s="60" customFormat="1" ht="15" x14ac:dyDescent="0.25">
      <c r="B115" s="129" t="s">
        <v>518</v>
      </c>
      <c r="C115" s="129" t="s">
        <v>519</v>
      </c>
      <c r="D115" s="126" t="s">
        <v>525</v>
      </c>
      <c r="E115" s="127"/>
      <c r="F115" s="128"/>
      <c r="G115" s="71"/>
      <c r="H115" s="73"/>
      <c r="I115"/>
      <c r="J115" s="37"/>
      <c r="K115" s="67"/>
      <c r="L115"/>
      <c r="M115"/>
      <c r="N115"/>
      <c r="O115"/>
    </row>
    <row r="116" spans="2:18" s="60" customFormat="1" ht="38.25" x14ac:dyDescent="0.25">
      <c r="B116" s="129"/>
      <c r="C116" s="129"/>
      <c r="D116" s="74" t="s">
        <v>526</v>
      </c>
      <c r="E116" s="74" t="s">
        <v>527</v>
      </c>
      <c r="F116" s="74" t="s">
        <v>528</v>
      </c>
      <c r="G116" s="74" t="s">
        <v>542</v>
      </c>
      <c r="H116" s="73"/>
      <c r="I116"/>
      <c r="J116" s="37"/>
      <c r="K116" s="67"/>
      <c r="L116"/>
      <c r="M116"/>
      <c r="N116"/>
      <c r="O116"/>
    </row>
    <row r="117" spans="2:18" s="60" customFormat="1" ht="25.5" x14ac:dyDescent="0.25">
      <c r="B117" s="75" t="s">
        <v>522</v>
      </c>
      <c r="C117" s="72" t="s">
        <v>523</v>
      </c>
      <c r="D117" s="76">
        <v>200</v>
      </c>
      <c r="E117" s="76">
        <v>6.8852450999999997</v>
      </c>
      <c r="F117" s="76">
        <v>206.88524509999999</v>
      </c>
      <c r="G117" s="77">
        <v>4.9061667504067798E-2</v>
      </c>
      <c r="H117" s="73"/>
      <c r="I117"/>
      <c r="J117" s="37"/>
      <c r="K117" s="68"/>
      <c r="L117"/>
      <c r="M117"/>
      <c r="N117"/>
      <c r="O117"/>
    </row>
    <row r="118" spans="2:18" s="60" customFormat="1" ht="27.75" customHeight="1" x14ac:dyDescent="0.25">
      <c r="B118" s="121" t="s">
        <v>529</v>
      </c>
      <c r="C118" s="122"/>
      <c r="D118" s="122"/>
      <c r="E118" s="122"/>
      <c r="F118" s="122"/>
      <c r="G118" s="123"/>
      <c r="H118" s="73"/>
      <c r="I118"/>
      <c r="J118" s="37"/>
      <c r="K118" s="68"/>
      <c r="L118"/>
      <c r="M118"/>
      <c r="N118"/>
      <c r="O118"/>
    </row>
    <row r="119" spans="2:18" s="60" customFormat="1" ht="15" x14ac:dyDescent="0.25">
      <c r="H119" s="73"/>
      <c r="I119"/>
      <c r="J119" s="37"/>
      <c r="K119" s="68"/>
      <c r="L119"/>
      <c r="M119"/>
      <c r="N119"/>
      <c r="O119"/>
    </row>
    <row r="120" spans="2:18" s="60" customFormat="1" x14ac:dyDescent="0.2">
      <c r="B120" s="109" t="s">
        <v>504</v>
      </c>
      <c r="C120" s="110"/>
      <c r="D120" s="111"/>
      <c r="I120"/>
      <c r="J120" s="37"/>
      <c r="K120"/>
      <c r="L120"/>
      <c r="M120"/>
      <c r="N120"/>
      <c r="O120"/>
    </row>
    <row r="121" spans="2:18" s="60" customFormat="1" ht="25.5" x14ac:dyDescent="0.2">
      <c r="B121" s="103" t="s">
        <v>505</v>
      </c>
      <c r="C121" s="103"/>
      <c r="D121" s="62" t="s">
        <v>415</v>
      </c>
      <c r="I121"/>
      <c r="J121" s="37"/>
      <c r="K121"/>
      <c r="L121"/>
      <c r="M121"/>
      <c r="N121"/>
      <c r="O121"/>
    </row>
    <row r="122" spans="2:18" s="60" customFormat="1" x14ac:dyDescent="0.2">
      <c r="B122" s="103" t="s">
        <v>506</v>
      </c>
      <c r="C122" s="103"/>
      <c r="D122" s="63"/>
      <c r="I122"/>
      <c r="J122" s="37"/>
      <c r="K122"/>
      <c r="L122"/>
      <c r="M122"/>
      <c r="N122"/>
      <c r="O122"/>
    </row>
    <row r="123" spans="2:18" s="60" customFormat="1" x14ac:dyDescent="0.2">
      <c r="B123" s="103"/>
      <c r="C123" s="103"/>
      <c r="D123" s="64"/>
      <c r="I123"/>
      <c r="J123" s="37"/>
      <c r="K123"/>
      <c r="L123"/>
      <c r="M123"/>
      <c r="N123"/>
      <c r="O123"/>
    </row>
    <row r="124" spans="2:18" s="60" customFormat="1" x14ac:dyDescent="0.2">
      <c r="B124" s="103" t="s">
        <v>507</v>
      </c>
      <c r="C124" s="103"/>
      <c r="D124" s="65">
        <v>7.1435334390397687</v>
      </c>
      <c r="I124"/>
      <c r="J124" s="37"/>
      <c r="K124"/>
      <c r="L124"/>
      <c r="M124"/>
      <c r="N124"/>
      <c r="O124"/>
    </row>
    <row r="125" spans="2:18" s="60" customFormat="1" x14ac:dyDescent="0.2">
      <c r="B125" s="103"/>
      <c r="C125" s="103"/>
      <c r="D125" s="64"/>
      <c r="I125"/>
      <c r="J125" s="37"/>
      <c r="K125"/>
      <c r="L125"/>
      <c r="M125"/>
      <c r="N125"/>
      <c r="O125"/>
    </row>
    <row r="126" spans="2:18" s="60" customFormat="1" x14ac:dyDescent="0.2">
      <c r="B126" s="103" t="s">
        <v>530</v>
      </c>
      <c r="C126" s="103"/>
      <c r="D126" s="65">
        <v>3.7234244700175787</v>
      </c>
      <c r="I126"/>
      <c r="J126" s="37"/>
      <c r="K126"/>
      <c r="L126"/>
      <c r="M126"/>
      <c r="N126"/>
      <c r="O126"/>
      <c r="P126"/>
      <c r="Q126"/>
      <c r="R126"/>
    </row>
    <row r="127" spans="2:18" s="60" customFormat="1" x14ac:dyDescent="0.2">
      <c r="B127" s="103" t="s">
        <v>531</v>
      </c>
      <c r="C127" s="103"/>
      <c r="D127" s="65">
        <v>4.8423630004798541</v>
      </c>
      <c r="I127"/>
      <c r="J127" s="37"/>
      <c r="K127"/>
      <c r="L127"/>
      <c r="M127"/>
      <c r="N127"/>
      <c r="O127"/>
      <c r="P127"/>
      <c r="Q127"/>
      <c r="R127"/>
    </row>
    <row r="128" spans="2:18" s="60" customFormat="1" x14ac:dyDescent="0.2">
      <c r="B128" s="103"/>
      <c r="C128" s="103"/>
      <c r="D128" s="64"/>
      <c r="I128"/>
      <c r="J128" s="37"/>
      <c r="K128"/>
      <c r="L128"/>
      <c r="M128"/>
      <c r="N128"/>
      <c r="O128"/>
      <c r="P128"/>
      <c r="Q128"/>
      <c r="R128"/>
    </row>
    <row r="129" spans="2:18" s="60" customFormat="1" x14ac:dyDescent="0.2">
      <c r="B129" s="103" t="s">
        <v>510</v>
      </c>
      <c r="C129" s="103"/>
      <c r="D129" s="66">
        <v>45473</v>
      </c>
      <c r="I129"/>
      <c r="J129" s="37"/>
      <c r="K129"/>
      <c r="L129"/>
      <c r="M129"/>
      <c r="N129"/>
      <c r="O129"/>
      <c r="P129"/>
      <c r="Q129"/>
      <c r="R129"/>
    </row>
    <row r="130" spans="2:18" s="60" customFormat="1" x14ac:dyDescent="0.2">
      <c r="B130" s="104" t="s">
        <v>511</v>
      </c>
      <c r="C130" s="106"/>
      <c r="D130" s="105"/>
      <c r="I130"/>
      <c r="J130" s="37"/>
      <c r="K130"/>
      <c r="L130"/>
      <c r="M130"/>
      <c r="N130"/>
      <c r="O130"/>
      <c r="P130"/>
      <c r="Q130"/>
      <c r="R130"/>
    </row>
  </sheetData>
  <mergeCells count="36">
    <mergeCell ref="B108:C108"/>
    <mergeCell ref="B109:C109"/>
    <mergeCell ref="B111:G111"/>
    <mergeCell ref="D112:E112"/>
    <mergeCell ref="F112:G112"/>
    <mergeCell ref="B107:C107"/>
    <mergeCell ref="A1:H1"/>
    <mergeCell ref="A2:H2"/>
    <mergeCell ref="A3:H3"/>
    <mergeCell ref="B81:H81"/>
    <mergeCell ref="B82:H82"/>
    <mergeCell ref="B83:H83"/>
    <mergeCell ref="B106:C106"/>
    <mergeCell ref="B85:D85"/>
    <mergeCell ref="B86:C86"/>
    <mergeCell ref="B87:C87"/>
    <mergeCell ref="B88:C88"/>
    <mergeCell ref="B101:C101"/>
    <mergeCell ref="D113:E113"/>
    <mergeCell ref="F113:G113"/>
    <mergeCell ref="B114:G114"/>
    <mergeCell ref="B115:B116"/>
    <mergeCell ref="C115:C116"/>
    <mergeCell ref="D115:F115"/>
    <mergeCell ref="B118:G118"/>
    <mergeCell ref="B120:D120"/>
    <mergeCell ref="B121:C121"/>
    <mergeCell ref="B122:C122"/>
    <mergeCell ref="B123:C123"/>
    <mergeCell ref="B129:C129"/>
    <mergeCell ref="B130:D130"/>
    <mergeCell ref="B124:C124"/>
    <mergeCell ref="B125:C125"/>
    <mergeCell ref="B126:C126"/>
    <mergeCell ref="B127:C127"/>
    <mergeCell ref="B128:C128"/>
  </mergeCells>
  <hyperlinks>
    <hyperlink ref="I1" location="Index!B9" display="Index" xr:uid="{726273E1-398E-449A-ABCE-797BA740E4C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C79E-B246-43A4-BDFB-5E9D59DA0B2E}">
  <sheetPr>
    <outlinePr summaryBelow="0" summaryRight="0"/>
  </sheetPr>
  <dimension ref="A1:R139"/>
  <sheetViews>
    <sheetView showGridLines="0" workbookViewId="0">
      <selection activeCell="I60" sqref="I1:J1048576"/>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50.7109375" style="37" customWidth="1"/>
  </cols>
  <sheetData>
    <row r="1" spans="1:13" ht="18" customHeight="1" x14ac:dyDescent="0.2">
      <c r="A1" s="107" t="s">
        <v>0</v>
      </c>
      <c r="B1" s="107"/>
      <c r="C1" s="107"/>
      <c r="D1" s="107"/>
      <c r="E1" s="107"/>
      <c r="F1" s="107"/>
      <c r="G1" s="107"/>
      <c r="H1" s="107"/>
      <c r="I1" s="92" t="s">
        <v>560</v>
      </c>
    </row>
    <row r="2" spans="1:13" ht="17.100000000000001" customHeight="1" x14ac:dyDescent="0.2">
      <c r="A2" s="107" t="s">
        <v>419</v>
      </c>
      <c r="B2" s="107"/>
      <c r="C2" s="107"/>
      <c r="D2" s="107"/>
      <c r="E2" s="107"/>
      <c r="F2" s="107"/>
      <c r="G2" s="107"/>
      <c r="H2" s="107"/>
      <c r="J2" s="93" t="s">
        <v>561</v>
      </c>
    </row>
    <row r="3" spans="1:13" ht="21" customHeight="1" x14ac:dyDescent="0.2">
      <c r="A3" s="107" t="s">
        <v>588</v>
      </c>
      <c r="B3" s="107"/>
      <c r="C3" s="107"/>
      <c r="D3" s="107"/>
      <c r="E3" s="107"/>
      <c r="F3" s="107"/>
      <c r="G3" s="107"/>
      <c r="H3" s="107"/>
    </row>
    <row r="4" spans="1:13" ht="30" x14ac:dyDescent="0.2">
      <c r="A4" s="53" t="s">
        <v>2</v>
      </c>
      <c r="B4" s="53" t="s">
        <v>3</v>
      </c>
      <c r="C4" s="53" t="s">
        <v>4</v>
      </c>
      <c r="D4" s="53" t="s">
        <v>5</v>
      </c>
      <c r="E4" s="53" t="s">
        <v>6</v>
      </c>
      <c r="F4" s="53" t="s">
        <v>7</v>
      </c>
      <c r="G4" s="53" t="s">
        <v>8</v>
      </c>
      <c r="H4" s="51" t="s">
        <v>500</v>
      </c>
      <c r="I4" s="94"/>
      <c r="K4" s="94"/>
      <c r="L4" s="94"/>
      <c r="M4" s="94"/>
    </row>
    <row r="5" spans="1:13" ht="14.1" customHeight="1" x14ac:dyDescent="0.2">
      <c r="A5" s="1"/>
      <c r="B5" s="1"/>
      <c r="C5" s="2" t="s">
        <v>9</v>
      </c>
      <c r="D5" s="1"/>
      <c r="E5" s="1"/>
      <c r="F5" s="1"/>
      <c r="G5" s="1"/>
      <c r="H5" s="36"/>
    </row>
    <row r="6" spans="1:13" ht="24" customHeight="1" x14ac:dyDescent="0.2">
      <c r="A6" s="1"/>
      <c r="B6" s="1"/>
      <c r="C6" s="2" t="s">
        <v>10</v>
      </c>
      <c r="D6" s="1"/>
      <c r="E6" s="1"/>
      <c r="F6" s="1"/>
      <c r="G6" s="1"/>
      <c r="H6" s="36"/>
    </row>
    <row r="7" spans="1:13" ht="17.100000000000001" customHeight="1" x14ac:dyDescent="0.2">
      <c r="A7" s="8">
        <v>1</v>
      </c>
      <c r="B7" s="9" t="s">
        <v>420</v>
      </c>
      <c r="C7" s="9" t="s">
        <v>421</v>
      </c>
      <c r="D7" s="9" t="s">
        <v>422</v>
      </c>
      <c r="E7" s="10">
        <v>10000</v>
      </c>
      <c r="F7" s="11">
        <v>119.96</v>
      </c>
      <c r="G7" s="12">
        <v>4.5217460000000001E-2</v>
      </c>
      <c r="H7" s="36"/>
    </row>
    <row r="8" spans="1:13" ht="17.100000000000001" customHeight="1" x14ac:dyDescent="0.2">
      <c r="A8" s="8">
        <v>2</v>
      </c>
      <c r="B8" s="9" t="s">
        <v>423</v>
      </c>
      <c r="C8" s="9" t="s">
        <v>424</v>
      </c>
      <c r="D8" s="9" t="s">
        <v>425</v>
      </c>
      <c r="E8" s="10">
        <v>2400</v>
      </c>
      <c r="F8" s="11">
        <v>75.139200000000002</v>
      </c>
      <c r="G8" s="12">
        <v>2.832281E-2</v>
      </c>
      <c r="H8" s="36"/>
    </row>
    <row r="9" spans="1:13" ht="17.100000000000001" customHeight="1" x14ac:dyDescent="0.2">
      <c r="A9" s="8">
        <v>3</v>
      </c>
      <c r="B9" s="9" t="s">
        <v>426</v>
      </c>
      <c r="C9" s="9" t="s">
        <v>427</v>
      </c>
      <c r="D9" s="9" t="s">
        <v>422</v>
      </c>
      <c r="E9" s="10">
        <v>4400</v>
      </c>
      <c r="F9" s="11">
        <v>74.087199999999996</v>
      </c>
      <c r="G9" s="12">
        <v>2.792627E-2</v>
      </c>
      <c r="H9" s="36"/>
    </row>
    <row r="10" spans="1:13" ht="17.100000000000001" customHeight="1" x14ac:dyDescent="0.2">
      <c r="A10" s="8">
        <v>4</v>
      </c>
      <c r="B10" s="9" t="s">
        <v>428</v>
      </c>
      <c r="C10" s="9" t="s">
        <v>429</v>
      </c>
      <c r="D10" s="9" t="s">
        <v>430</v>
      </c>
      <c r="E10" s="10">
        <v>1750</v>
      </c>
      <c r="F10" s="11">
        <v>62.097875000000002</v>
      </c>
      <c r="G10" s="12">
        <v>2.340704E-2</v>
      </c>
      <c r="H10" s="36"/>
    </row>
    <row r="11" spans="1:13" ht="17.100000000000001" customHeight="1" x14ac:dyDescent="0.2">
      <c r="A11" s="8">
        <v>5</v>
      </c>
      <c r="B11" s="9" t="s">
        <v>431</v>
      </c>
      <c r="C11" s="9" t="s">
        <v>432</v>
      </c>
      <c r="D11" s="9" t="s">
        <v>422</v>
      </c>
      <c r="E11" s="10">
        <v>4750</v>
      </c>
      <c r="F11" s="11">
        <v>60.099375000000002</v>
      </c>
      <c r="G11" s="12">
        <v>2.265373E-2</v>
      </c>
      <c r="H11" s="36"/>
    </row>
    <row r="12" spans="1:13" ht="17.100000000000001" customHeight="1" x14ac:dyDescent="0.2">
      <c r="A12" s="8">
        <v>6</v>
      </c>
      <c r="B12" s="9" t="s">
        <v>433</v>
      </c>
      <c r="C12" s="9" t="s">
        <v>434</v>
      </c>
      <c r="D12" s="9" t="s">
        <v>435</v>
      </c>
      <c r="E12" s="10">
        <v>3000</v>
      </c>
      <c r="F12" s="11">
        <v>48.884999999999998</v>
      </c>
      <c r="G12" s="12">
        <v>1.842661E-2</v>
      </c>
      <c r="H12" s="36"/>
      <c r="J12" s="95"/>
    </row>
    <row r="13" spans="1:13" ht="29.1" customHeight="1" x14ac:dyDescent="0.2">
      <c r="A13" s="8">
        <v>7</v>
      </c>
      <c r="B13" s="9" t="s">
        <v>436</v>
      </c>
      <c r="C13" s="9" t="s">
        <v>437</v>
      </c>
      <c r="D13" s="9" t="s">
        <v>438</v>
      </c>
      <c r="E13" s="10">
        <v>3116</v>
      </c>
      <c r="F13" s="11">
        <v>47.389685999999998</v>
      </c>
      <c r="G13" s="12">
        <v>1.7862969999999999E-2</v>
      </c>
      <c r="H13" s="36"/>
      <c r="J13" s="96"/>
    </row>
    <row r="14" spans="1:13" ht="17.100000000000001" customHeight="1" x14ac:dyDescent="0.2">
      <c r="A14" s="8">
        <v>8</v>
      </c>
      <c r="B14" s="9" t="s">
        <v>439</v>
      </c>
      <c r="C14" s="9" t="s">
        <v>440</v>
      </c>
      <c r="D14" s="9" t="s">
        <v>441</v>
      </c>
      <c r="E14" s="10">
        <v>3000</v>
      </c>
      <c r="F14" s="11">
        <v>43.3215</v>
      </c>
      <c r="G14" s="12">
        <v>1.6329509999999998E-2</v>
      </c>
      <c r="H14" s="36"/>
    </row>
    <row r="15" spans="1:13" ht="29.1" customHeight="1" x14ac:dyDescent="0.2">
      <c r="A15" s="8">
        <v>9</v>
      </c>
      <c r="B15" s="9" t="s">
        <v>496</v>
      </c>
      <c r="C15" s="9" t="s">
        <v>497</v>
      </c>
      <c r="D15" s="9" t="s">
        <v>498</v>
      </c>
      <c r="E15" s="10">
        <v>30000</v>
      </c>
      <c r="F15" s="11">
        <v>28.776000000000003</v>
      </c>
      <c r="G15" s="12">
        <v>1.084676E-2</v>
      </c>
      <c r="H15" s="36"/>
      <c r="J15" s="96" t="s">
        <v>580</v>
      </c>
    </row>
    <row r="16" spans="1:13" ht="17.100000000000001" customHeight="1" x14ac:dyDescent="0.2">
      <c r="A16" s="8">
        <v>10</v>
      </c>
      <c r="B16" s="9" t="s">
        <v>442</v>
      </c>
      <c r="C16" s="9" t="s">
        <v>443</v>
      </c>
      <c r="D16" s="9" t="s">
        <v>499</v>
      </c>
      <c r="E16" s="10">
        <v>1750</v>
      </c>
      <c r="F16" s="11">
        <v>27.418125</v>
      </c>
      <c r="G16" s="12">
        <v>1.0334930000000001E-2</v>
      </c>
      <c r="H16" s="36"/>
    </row>
    <row r="17" spans="1:10" ht="17.100000000000001" customHeight="1" x14ac:dyDescent="0.2">
      <c r="A17" s="8">
        <v>11</v>
      </c>
      <c r="B17" s="9" t="s">
        <v>444</v>
      </c>
      <c r="C17" s="9" t="s">
        <v>445</v>
      </c>
      <c r="D17" s="9" t="s">
        <v>499</v>
      </c>
      <c r="E17" s="10">
        <v>1848</v>
      </c>
      <c r="F17" s="11">
        <v>26.973407999999999</v>
      </c>
      <c r="G17" s="12">
        <v>1.0167300000000001E-2</v>
      </c>
      <c r="H17" s="36"/>
    </row>
    <row r="18" spans="1:10" ht="17.100000000000001" customHeight="1" x14ac:dyDescent="0.2">
      <c r="A18" s="8">
        <v>12</v>
      </c>
      <c r="B18" s="9" t="s">
        <v>446</v>
      </c>
      <c r="C18" s="9" t="s">
        <v>447</v>
      </c>
      <c r="D18" s="9" t="s">
        <v>422</v>
      </c>
      <c r="E18" s="10">
        <v>3000</v>
      </c>
      <c r="F18" s="11">
        <v>25.468499999999999</v>
      </c>
      <c r="G18" s="12">
        <v>9.6000400000000007E-3</v>
      </c>
      <c r="H18" s="36"/>
    </row>
    <row r="19" spans="1:10" ht="29.1" customHeight="1" x14ac:dyDescent="0.2">
      <c r="A19" s="8">
        <v>13</v>
      </c>
      <c r="B19" s="9" t="s">
        <v>448</v>
      </c>
      <c r="C19" s="9" t="s">
        <v>449</v>
      </c>
      <c r="D19" s="9" t="s">
        <v>438</v>
      </c>
      <c r="E19" s="10">
        <v>1000</v>
      </c>
      <c r="F19" s="11">
        <v>14.808</v>
      </c>
      <c r="G19" s="12">
        <v>5.5817000000000002E-3</v>
      </c>
      <c r="H19" s="36"/>
    </row>
    <row r="20" spans="1:10" ht="29.1" customHeight="1" x14ac:dyDescent="0.2">
      <c r="A20" s="8">
        <v>14</v>
      </c>
      <c r="B20" s="9" t="s">
        <v>450</v>
      </c>
      <c r="C20" s="9" t="s">
        <v>451</v>
      </c>
      <c r="D20" s="9" t="s">
        <v>452</v>
      </c>
      <c r="E20" s="10">
        <v>125</v>
      </c>
      <c r="F20" s="11">
        <v>14.584875</v>
      </c>
      <c r="G20" s="12">
        <v>5.4975900000000001E-3</v>
      </c>
      <c r="H20" s="36"/>
    </row>
    <row r="21" spans="1:10" ht="29.1" customHeight="1" x14ac:dyDescent="0.2">
      <c r="A21" s="8">
        <v>15</v>
      </c>
      <c r="B21" s="9" t="s">
        <v>453</v>
      </c>
      <c r="C21" s="9" t="s">
        <v>454</v>
      </c>
      <c r="D21" s="9" t="s">
        <v>452</v>
      </c>
      <c r="E21" s="10">
        <v>450</v>
      </c>
      <c r="F21" s="11">
        <v>12.017025</v>
      </c>
      <c r="G21" s="12">
        <v>4.5296700000000004E-3</v>
      </c>
      <c r="H21" s="36"/>
    </row>
    <row r="22" spans="1:10" ht="17.100000000000001" customHeight="1" x14ac:dyDescent="0.2">
      <c r="A22" s="8">
        <v>16</v>
      </c>
      <c r="B22" s="9" t="s">
        <v>455</v>
      </c>
      <c r="C22" s="9" t="s">
        <v>456</v>
      </c>
      <c r="D22" s="9" t="s">
        <v>435</v>
      </c>
      <c r="E22" s="10">
        <v>900</v>
      </c>
      <c r="F22" s="11">
        <v>11.4885</v>
      </c>
      <c r="G22" s="12">
        <v>4.3304499999999996E-3</v>
      </c>
      <c r="H22" s="36"/>
      <c r="J22" s="95"/>
    </row>
    <row r="23" spans="1:10" ht="17.100000000000001" customHeight="1" x14ac:dyDescent="0.2">
      <c r="A23" s="8">
        <v>17</v>
      </c>
      <c r="B23" s="9" t="s">
        <v>457</v>
      </c>
      <c r="C23" s="50" t="s">
        <v>495</v>
      </c>
      <c r="D23" s="9" t="s">
        <v>441</v>
      </c>
      <c r="E23" s="10">
        <v>218</v>
      </c>
      <c r="F23" s="11">
        <v>2.2735219999999998</v>
      </c>
      <c r="G23" s="12">
        <v>8.5698000000000002E-4</v>
      </c>
      <c r="H23" s="36"/>
      <c r="J23" s="96"/>
    </row>
    <row r="24" spans="1:10" ht="14.1" customHeight="1" x14ac:dyDescent="0.2">
      <c r="A24" s="1"/>
      <c r="B24" s="1"/>
      <c r="C24" s="2" t="s">
        <v>11</v>
      </c>
      <c r="D24" s="1"/>
      <c r="E24" s="1" t="s">
        <v>12</v>
      </c>
      <c r="F24" s="7">
        <f>SUM(F7:F23)</f>
        <v>694.78779099999986</v>
      </c>
      <c r="G24" s="4">
        <f>SUM(G7:G23)</f>
        <v>0.26189182</v>
      </c>
      <c r="H24" s="36"/>
    </row>
    <row r="25" spans="1:10" ht="14.1" customHeight="1" x14ac:dyDescent="0.2">
      <c r="A25" s="1"/>
      <c r="B25" s="1"/>
      <c r="C25" s="5"/>
      <c r="D25" s="1"/>
      <c r="E25" s="1"/>
      <c r="F25" s="6"/>
      <c r="G25" s="6"/>
      <c r="H25" s="36"/>
    </row>
    <row r="26" spans="1:10" ht="14.1" customHeight="1" x14ac:dyDescent="0.2">
      <c r="A26" s="1"/>
      <c r="B26" s="1"/>
      <c r="C26" s="2" t="s">
        <v>14</v>
      </c>
      <c r="D26" s="1"/>
      <c r="E26" s="1"/>
      <c r="F26" s="1"/>
      <c r="G26" s="1"/>
      <c r="H26" s="36"/>
    </row>
    <row r="27" spans="1:10" ht="14.1" customHeight="1" x14ac:dyDescent="0.2">
      <c r="A27" s="1"/>
      <c r="B27" s="1"/>
      <c r="C27" s="2" t="s">
        <v>11</v>
      </c>
      <c r="D27" s="1"/>
      <c r="E27" s="1" t="s">
        <v>12</v>
      </c>
      <c r="F27" s="3" t="s">
        <v>13</v>
      </c>
      <c r="G27" s="4">
        <v>0</v>
      </c>
      <c r="H27" s="36"/>
    </row>
    <row r="28" spans="1:10" ht="14.1" customHeight="1" x14ac:dyDescent="0.2">
      <c r="A28" s="1"/>
      <c r="B28" s="1"/>
      <c r="C28" s="5"/>
      <c r="D28" s="1"/>
      <c r="E28" s="1"/>
      <c r="F28" s="6"/>
      <c r="G28" s="6"/>
      <c r="H28" s="36"/>
      <c r="J28" s="96"/>
    </row>
    <row r="29" spans="1:10" ht="14.1" customHeight="1" x14ac:dyDescent="0.2">
      <c r="A29" s="1"/>
      <c r="B29" s="1"/>
      <c r="C29" s="2" t="s">
        <v>15</v>
      </c>
      <c r="D29" s="1"/>
      <c r="E29" s="1"/>
      <c r="F29" s="1"/>
      <c r="G29" s="1"/>
      <c r="H29" s="36"/>
    </row>
    <row r="30" spans="1:10" ht="14.1" customHeight="1" x14ac:dyDescent="0.2">
      <c r="A30" s="1"/>
      <c r="B30" s="1"/>
      <c r="C30" s="2" t="s">
        <v>11</v>
      </c>
      <c r="D30" s="1"/>
      <c r="E30" s="1" t="s">
        <v>12</v>
      </c>
      <c r="F30" s="3" t="s">
        <v>13</v>
      </c>
      <c r="G30" s="4">
        <v>0</v>
      </c>
      <c r="H30" s="36"/>
    </row>
    <row r="31" spans="1:10" ht="14.1" customHeight="1" x14ac:dyDescent="0.2">
      <c r="A31" s="1"/>
      <c r="B31" s="1"/>
      <c r="C31" s="5"/>
      <c r="D31" s="1"/>
      <c r="E31" s="1"/>
      <c r="F31" s="6"/>
      <c r="G31" s="6"/>
      <c r="H31" s="36"/>
    </row>
    <row r="32" spans="1:10" ht="14.1" customHeight="1" x14ac:dyDescent="0.2">
      <c r="A32" s="1"/>
      <c r="B32" s="1"/>
      <c r="C32" s="2" t="s">
        <v>16</v>
      </c>
      <c r="D32" s="1"/>
      <c r="E32" s="1"/>
      <c r="F32" s="1"/>
      <c r="G32" s="1"/>
      <c r="H32" s="36"/>
    </row>
    <row r="33" spans="1:8" ht="14.1" customHeight="1" x14ac:dyDescent="0.2">
      <c r="A33" s="1"/>
      <c r="B33" s="1"/>
      <c r="C33" s="2" t="s">
        <v>11</v>
      </c>
      <c r="D33" s="1"/>
      <c r="E33" s="1" t="s">
        <v>12</v>
      </c>
      <c r="F33" s="3" t="s">
        <v>13</v>
      </c>
      <c r="G33" s="4">
        <v>0</v>
      </c>
      <c r="H33" s="36"/>
    </row>
    <row r="34" spans="1:8" ht="14.1" customHeight="1" x14ac:dyDescent="0.2">
      <c r="A34" s="1"/>
      <c r="B34" s="1"/>
      <c r="C34" s="5"/>
      <c r="D34" s="1"/>
      <c r="E34" s="1"/>
      <c r="F34" s="6"/>
      <c r="G34" s="6"/>
      <c r="H34" s="36"/>
    </row>
    <row r="35" spans="1:8" ht="14.1" customHeight="1" x14ac:dyDescent="0.2">
      <c r="A35" s="1"/>
      <c r="B35" s="1"/>
      <c r="C35" s="2" t="s">
        <v>17</v>
      </c>
      <c r="D35" s="1"/>
      <c r="E35" s="1"/>
      <c r="F35" s="6"/>
      <c r="G35" s="6"/>
      <c r="H35" s="36"/>
    </row>
    <row r="36" spans="1:8" ht="14.1" customHeight="1" x14ac:dyDescent="0.2">
      <c r="A36" s="1"/>
      <c r="B36" s="1"/>
      <c r="C36" s="2" t="s">
        <v>11</v>
      </c>
      <c r="D36" s="1"/>
      <c r="E36" s="1" t="s">
        <v>12</v>
      </c>
      <c r="F36" s="3" t="s">
        <v>13</v>
      </c>
      <c r="G36" s="4">
        <v>0</v>
      </c>
      <c r="H36" s="36"/>
    </row>
    <row r="37" spans="1:8" ht="14.1" customHeight="1" x14ac:dyDescent="0.2">
      <c r="A37" s="1"/>
      <c r="B37" s="1"/>
      <c r="C37" s="5"/>
      <c r="D37" s="1"/>
      <c r="E37" s="1"/>
      <c r="F37" s="6"/>
      <c r="G37" s="6"/>
      <c r="H37" s="36"/>
    </row>
    <row r="38" spans="1:8" ht="14.1" customHeight="1" x14ac:dyDescent="0.2">
      <c r="A38" s="1"/>
      <c r="B38" s="1"/>
      <c r="C38" s="2" t="s">
        <v>18</v>
      </c>
      <c r="D38" s="1"/>
      <c r="E38" s="1"/>
      <c r="F38" s="6"/>
      <c r="G38" s="6"/>
      <c r="H38" s="36"/>
    </row>
    <row r="39" spans="1:8" ht="14.1" customHeight="1" x14ac:dyDescent="0.2">
      <c r="A39" s="1"/>
      <c r="B39" s="1"/>
      <c r="C39" s="2" t="s">
        <v>11</v>
      </c>
      <c r="D39" s="1"/>
      <c r="E39" s="1" t="s">
        <v>12</v>
      </c>
      <c r="F39" s="3" t="s">
        <v>13</v>
      </c>
      <c r="G39" s="4">
        <v>0</v>
      </c>
      <c r="H39" s="36"/>
    </row>
    <row r="40" spans="1:8" ht="14.1" customHeight="1" x14ac:dyDescent="0.2">
      <c r="A40" s="1"/>
      <c r="B40" s="1"/>
      <c r="C40" s="5"/>
      <c r="D40" s="1"/>
      <c r="E40" s="1"/>
      <c r="F40" s="6"/>
      <c r="G40" s="6"/>
      <c r="H40" s="36"/>
    </row>
    <row r="41" spans="1:8" ht="18" customHeight="1" x14ac:dyDescent="0.2">
      <c r="A41" s="1"/>
      <c r="B41" s="1"/>
      <c r="C41" s="2" t="s">
        <v>19</v>
      </c>
      <c r="D41" s="1"/>
      <c r="E41" s="1"/>
      <c r="F41" s="7">
        <v>694.78779099999986</v>
      </c>
      <c r="G41" s="4">
        <v>0.26189182</v>
      </c>
      <c r="H41" s="36"/>
    </row>
    <row r="42" spans="1:8" ht="14.1" customHeight="1" x14ac:dyDescent="0.2">
      <c r="A42" s="1"/>
      <c r="B42" s="1"/>
      <c r="C42" s="5"/>
      <c r="D42" s="1"/>
      <c r="E42" s="1"/>
      <c r="F42" s="6"/>
      <c r="G42" s="6"/>
      <c r="H42" s="36"/>
    </row>
    <row r="43" spans="1:8" ht="14.1" customHeight="1" x14ac:dyDescent="0.2">
      <c r="A43" s="1"/>
      <c r="B43" s="1"/>
      <c r="C43" s="2" t="s">
        <v>20</v>
      </c>
      <c r="D43" s="1"/>
      <c r="E43" s="1"/>
      <c r="F43" s="6"/>
      <c r="G43" s="6"/>
      <c r="H43" s="36"/>
    </row>
    <row r="44" spans="1:8" ht="24" customHeight="1" x14ac:dyDescent="0.2">
      <c r="A44" s="1"/>
      <c r="B44" s="1"/>
      <c r="C44" s="2" t="s">
        <v>10</v>
      </c>
      <c r="D44" s="1"/>
      <c r="E44" s="1"/>
      <c r="F44" s="6"/>
      <c r="G44" s="6"/>
      <c r="H44" s="36"/>
    </row>
    <row r="45" spans="1:8" ht="14.1" customHeight="1" x14ac:dyDescent="0.2">
      <c r="A45" s="1"/>
      <c r="B45" s="1"/>
      <c r="C45" s="2" t="s">
        <v>11</v>
      </c>
      <c r="D45" s="1"/>
      <c r="E45" s="1" t="s">
        <v>12</v>
      </c>
      <c r="F45" s="3" t="s">
        <v>13</v>
      </c>
      <c r="G45" s="4">
        <v>0</v>
      </c>
      <c r="H45" s="36"/>
    </row>
    <row r="46" spans="1:8" ht="14.1" customHeight="1" x14ac:dyDescent="0.2">
      <c r="A46" s="1"/>
      <c r="B46" s="1"/>
      <c r="C46" s="5"/>
      <c r="D46" s="1"/>
      <c r="E46" s="1"/>
      <c r="F46" s="6"/>
      <c r="G46" s="6"/>
      <c r="H46" s="36"/>
    </row>
    <row r="47" spans="1:8" ht="14.1" customHeight="1" x14ac:dyDescent="0.2">
      <c r="A47" s="1"/>
      <c r="B47" s="1"/>
      <c r="C47" s="2" t="s">
        <v>63</v>
      </c>
      <c r="D47" s="1"/>
      <c r="E47" s="1"/>
      <c r="F47" s="1"/>
      <c r="G47" s="1"/>
      <c r="H47" s="36"/>
    </row>
    <row r="48" spans="1:8" ht="14.1" customHeight="1" x14ac:dyDescent="0.2">
      <c r="A48" s="1"/>
      <c r="B48" s="1"/>
      <c r="C48" s="2" t="s">
        <v>11</v>
      </c>
      <c r="D48" s="1"/>
      <c r="E48" s="1" t="s">
        <v>12</v>
      </c>
      <c r="F48" s="3" t="s">
        <v>13</v>
      </c>
      <c r="G48" s="4">
        <v>0</v>
      </c>
      <c r="H48" s="36"/>
    </row>
    <row r="49" spans="1:8" ht="14.1" customHeight="1" x14ac:dyDescent="0.2">
      <c r="A49" s="1"/>
      <c r="B49" s="1"/>
      <c r="C49" s="5"/>
      <c r="D49" s="1"/>
      <c r="E49" s="1"/>
      <c r="F49" s="6"/>
      <c r="G49" s="6"/>
      <c r="H49" s="36"/>
    </row>
    <row r="50" spans="1:8" ht="14.1" customHeight="1" x14ac:dyDescent="0.2">
      <c r="A50" s="1"/>
      <c r="B50" s="1"/>
      <c r="C50" s="2" t="s">
        <v>64</v>
      </c>
      <c r="D50" s="1"/>
      <c r="E50" s="1"/>
      <c r="F50" s="1"/>
      <c r="G50" s="1"/>
      <c r="H50" s="36"/>
    </row>
    <row r="51" spans="1:8" ht="29.1" customHeight="1" x14ac:dyDescent="0.2">
      <c r="A51" s="8">
        <v>1</v>
      </c>
      <c r="B51" s="9" t="s">
        <v>65</v>
      </c>
      <c r="C51" s="9" t="s">
        <v>66</v>
      </c>
      <c r="D51" s="9" t="s">
        <v>67</v>
      </c>
      <c r="E51" s="10">
        <v>1100000</v>
      </c>
      <c r="F51" s="11">
        <v>1109.3324</v>
      </c>
      <c r="G51" s="12">
        <v>0.41814937000000002</v>
      </c>
      <c r="H51" s="36">
        <v>7.1749000000000001</v>
      </c>
    </row>
    <row r="52" spans="1:8" ht="29.1" customHeight="1" x14ac:dyDescent="0.2">
      <c r="A52" s="8">
        <v>2</v>
      </c>
      <c r="B52" s="9" t="s">
        <v>458</v>
      </c>
      <c r="C52" s="9" t="s">
        <v>459</v>
      </c>
      <c r="D52" s="9" t="s">
        <v>67</v>
      </c>
      <c r="E52" s="10">
        <v>500000</v>
      </c>
      <c r="F52" s="11">
        <v>514.85699999999997</v>
      </c>
      <c r="G52" s="12">
        <v>0.19406909</v>
      </c>
      <c r="H52" s="36">
        <v>7.1820000000000004</v>
      </c>
    </row>
    <row r="53" spans="1:8" ht="14.1" customHeight="1" x14ac:dyDescent="0.2">
      <c r="A53" s="1"/>
      <c r="B53" s="1"/>
      <c r="C53" s="2" t="s">
        <v>11</v>
      </c>
      <c r="D53" s="1"/>
      <c r="E53" s="1" t="s">
        <v>12</v>
      </c>
      <c r="F53" s="7">
        <v>1624.1894</v>
      </c>
      <c r="G53" s="4">
        <v>0.61221846000000002</v>
      </c>
      <c r="H53" s="36"/>
    </row>
    <row r="54" spans="1:8" ht="14.1" customHeight="1" x14ac:dyDescent="0.2">
      <c r="A54" s="1"/>
      <c r="B54" s="1"/>
      <c r="C54" s="5"/>
      <c r="D54" s="1"/>
      <c r="E54" s="1"/>
      <c r="F54" s="6"/>
      <c r="G54" s="6"/>
      <c r="H54" s="36"/>
    </row>
    <row r="55" spans="1:8" ht="14.1" customHeight="1" x14ac:dyDescent="0.2">
      <c r="A55" s="1"/>
      <c r="B55" s="1"/>
      <c r="C55" s="2" t="s">
        <v>74</v>
      </c>
      <c r="D55" s="1"/>
      <c r="E55" s="1"/>
      <c r="F55" s="6"/>
      <c r="G55" s="6"/>
      <c r="H55" s="36"/>
    </row>
    <row r="56" spans="1:8" ht="14.1" customHeight="1" x14ac:dyDescent="0.2">
      <c r="A56" s="1"/>
      <c r="B56" s="1"/>
      <c r="C56" s="2" t="s">
        <v>11</v>
      </c>
      <c r="D56" s="1"/>
      <c r="E56" s="1" t="s">
        <v>12</v>
      </c>
      <c r="F56" s="3" t="s">
        <v>13</v>
      </c>
      <c r="G56" s="4">
        <v>0</v>
      </c>
      <c r="H56" s="36"/>
    </row>
    <row r="57" spans="1:8" ht="14.1" customHeight="1" x14ac:dyDescent="0.2">
      <c r="A57" s="1"/>
      <c r="B57" s="1"/>
      <c r="C57" s="5"/>
      <c r="D57" s="1"/>
      <c r="E57" s="1"/>
      <c r="F57" s="6"/>
      <c r="G57" s="6"/>
      <c r="H57" s="36"/>
    </row>
    <row r="58" spans="1:8" ht="14.1" customHeight="1" x14ac:dyDescent="0.2">
      <c r="A58" s="1"/>
      <c r="B58" s="1"/>
      <c r="C58" s="2" t="s">
        <v>75</v>
      </c>
      <c r="D58" s="1"/>
      <c r="E58" s="1"/>
      <c r="F58" s="7">
        <v>1624.1894</v>
      </c>
      <c r="G58" s="4">
        <v>0.61221846000000002</v>
      </c>
      <c r="H58" s="36"/>
    </row>
    <row r="59" spans="1:8" ht="14.1" customHeight="1" x14ac:dyDescent="0.2">
      <c r="A59" s="1"/>
      <c r="B59" s="1"/>
      <c r="C59" s="5"/>
      <c r="D59" s="1"/>
      <c r="E59" s="1"/>
      <c r="F59" s="6"/>
      <c r="G59" s="6"/>
      <c r="H59" s="36"/>
    </row>
    <row r="60" spans="1:8" ht="14.1" customHeight="1" x14ac:dyDescent="0.2">
      <c r="A60" s="1"/>
      <c r="B60" s="1"/>
      <c r="C60" s="2" t="s">
        <v>76</v>
      </c>
      <c r="D60" s="1"/>
      <c r="E60" s="1"/>
      <c r="F60" s="6"/>
      <c r="G60" s="6"/>
      <c r="H60" s="36"/>
    </row>
    <row r="61" spans="1:8" ht="14.1" customHeight="1" x14ac:dyDescent="0.2">
      <c r="A61" s="1"/>
      <c r="B61" s="1"/>
      <c r="C61" s="2" t="s">
        <v>77</v>
      </c>
      <c r="D61" s="1"/>
      <c r="E61" s="1"/>
      <c r="F61" s="6"/>
      <c r="G61" s="6"/>
      <c r="H61" s="36"/>
    </row>
    <row r="62" spans="1:8" ht="14.1" customHeight="1" x14ac:dyDescent="0.2">
      <c r="A62" s="1"/>
      <c r="B62" s="1"/>
      <c r="C62" s="2" t="s">
        <v>11</v>
      </c>
      <c r="D62" s="1"/>
      <c r="E62" s="1" t="s">
        <v>12</v>
      </c>
      <c r="F62" s="3" t="s">
        <v>13</v>
      </c>
      <c r="G62" s="4">
        <v>0</v>
      </c>
      <c r="H62" s="36"/>
    </row>
    <row r="63" spans="1:8" ht="14.1" customHeight="1" x14ac:dyDescent="0.2">
      <c r="A63" s="1"/>
      <c r="B63" s="1"/>
      <c r="C63" s="5"/>
      <c r="D63" s="1"/>
      <c r="E63" s="1"/>
      <c r="F63" s="6"/>
      <c r="G63" s="6"/>
      <c r="H63" s="36"/>
    </row>
    <row r="64" spans="1:8" ht="14.1" customHeight="1" x14ac:dyDescent="0.2">
      <c r="A64" s="1"/>
      <c r="B64" s="1"/>
      <c r="C64" s="2" t="s">
        <v>78</v>
      </c>
      <c r="D64" s="1"/>
      <c r="E64" s="1"/>
      <c r="F64" s="6"/>
      <c r="G64" s="6"/>
      <c r="H64" s="36"/>
    </row>
    <row r="65" spans="1:8" ht="14.1" customHeight="1" x14ac:dyDescent="0.2">
      <c r="A65" s="1"/>
      <c r="B65" s="1"/>
      <c r="C65" s="2" t="s">
        <v>11</v>
      </c>
      <c r="D65" s="1"/>
      <c r="E65" s="1" t="s">
        <v>12</v>
      </c>
      <c r="F65" s="3" t="s">
        <v>13</v>
      </c>
      <c r="G65" s="4">
        <v>0</v>
      </c>
      <c r="H65" s="36"/>
    </row>
    <row r="66" spans="1:8" ht="14.1" customHeight="1" x14ac:dyDescent="0.2">
      <c r="A66" s="1"/>
      <c r="B66" s="1"/>
      <c r="C66" s="5"/>
      <c r="D66" s="1"/>
      <c r="E66" s="1"/>
      <c r="F66" s="6"/>
      <c r="G66" s="6"/>
      <c r="H66" s="36"/>
    </row>
    <row r="67" spans="1:8" ht="14.1" customHeight="1" x14ac:dyDescent="0.2">
      <c r="A67" s="1"/>
      <c r="B67" s="1"/>
      <c r="C67" s="2" t="s">
        <v>79</v>
      </c>
      <c r="D67" s="1"/>
      <c r="E67" s="1"/>
      <c r="F67" s="6"/>
      <c r="G67" s="6"/>
      <c r="H67" s="36"/>
    </row>
    <row r="68" spans="1:8" ht="14.1" customHeight="1" x14ac:dyDescent="0.2">
      <c r="A68" s="1"/>
      <c r="B68" s="1"/>
      <c r="C68" s="2" t="s">
        <v>11</v>
      </c>
      <c r="D68" s="1"/>
      <c r="E68" s="1" t="s">
        <v>12</v>
      </c>
      <c r="F68" s="3" t="s">
        <v>13</v>
      </c>
      <c r="G68" s="4">
        <v>0</v>
      </c>
      <c r="H68" s="36"/>
    </row>
    <row r="69" spans="1:8" ht="14.1" customHeight="1" x14ac:dyDescent="0.2">
      <c r="A69" s="1"/>
      <c r="B69" s="1"/>
      <c r="C69" s="5"/>
      <c r="D69" s="1"/>
      <c r="E69" s="1"/>
      <c r="F69" s="6"/>
      <c r="G69" s="6"/>
      <c r="H69" s="36"/>
    </row>
    <row r="70" spans="1:8" ht="14.1" customHeight="1" x14ac:dyDescent="0.2">
      <c r="A70" s="1"/>
      <c r="B70" s="1"/>
      <c r="C70" s="2" t="s">
        <v>80</v>
      </c>
      <c r="D70" s="1"/>
      <c r="E70" s="1"/>
      <c r="F70" s="6"/>
      <c r="G70" s="6"/>
      <c r="H70" s="36"/>
    </row>
    <row r="71" spans="1:8" ht="17.100000000000001" customHeight="1" x14ac:dyDescent="0.2">
      <c r="A71" s="8">
        <v>1</v>
      </c>
      <c r="B71" s="9"/>
      <c r="C71" s="9" t="s">
        <v>81</v>
      </c>
      <c r="D71" s="9"/>
      <c r="E71" s="13"/>
      <c r="F71" s="11">
        <v>278.66950499900003</v>
      </c>
      <c r="G71" s="12">
        <v>0.10504108</v>
      </c>
      <c r="H71" s="36">
        <v>6.7262665696944239</v>
      </c>
    </row>
    <row r="72" spans="1:8" ht="14.1" customHeight="1" x14ac:dyDescent="0.2">
      <c r="A72" s="1"/>
      <c r="B72" s="1"/>
      <c r="C72" s="2" t="s">
        <v>11</v>
      </c>
      <c r="D72" s="1"/>
      <c r="E72" s="1" t="s">
        <v>12</v>
      </c>
      <c r="F72" s="7">
        <v>278.66950499900003</v>
      </c>
      <c r="G72" s="4">
        <v>0.10504108</v>
      </c>
      <c r="H72" s="36"/>
    </row>
    <row r="73" spans="1:8" ht="14.1" customHeight="1" x14ac:dyDescent="0.2">
      <c r="A73" s="1"/>
      <c r="B73" s="1"/>
      <c r="C73" s="5"/>
      <c r="D73" s="1"/>
      <c r="E73" s="1"/>
      <c r="F73" s="6"/>
      <c r="G73" s="6"/>
      <c r="H73" s="36"/>
    </row>
    <row r="74" spans="1:8" ht="14.1" customHeight="1" x14ac:dyDescent="0.2">
      <c r="A74" s="1"/>
      <c r="B74" s="1"/>
      <c r="C74" s="2" t="s">
        <v>82</v>
      </c>
      <c r="D74" s="1"/>
      <c r="E74" s="1"/>
      <c r="F74" s="7">
        <v>278.66950499900003</v>
      </c>
      <c r="G74" s="4">
        <v>0.10504108</v>
      </c>
      <c r="H74" s="36"/>
    </row>
    <row r="75" spans="1:8" ht="14.1" customHeight="1" x14ac:dyDescent="0.2">
      <c r="A75" s="1"/>
      <c r="B75" s="1"/>
      <c r="C75" s="6"/>
      <c r="D75" s="1"/>
      <c r="E75" s="1"/>
      <c r="F75" s="1"/>
      <c r="G75" s="1"/>
      <c r="H75" s="36"/>
    </row>
    <row r="76" spans="1:8" ht="14.1" customHeight="1" x14ac:dyDescent="0.2">
      <c r="A76" s="1"/>
      <c r="B76" s="1"/>
      <c r="C76" s="2" t="s">
        <v>83</v>
      </c>
      <c r="D76" s="1"/>
      <c r="E76" s="1"/>
      <c r="F76" s="1"/>
      <c r="G76" s="1"/>
      <c r="H76" s="36"/>
    </row>
    <row r="77" spans="1:8" ht="14.1" customHeight="1" x14ac:dyDescent="0.2">
      <c r="A77" s="1"/>
      <c r="B77" s="1"/>
      <c r="C77" s="2" t="s">
        <v>84</v>
      </c>
      <c r="D77" s="1"/>
      <c r="E77" s="1"/>
      <c r="F77" s="1"/>
      <c r="G77" s="1"/>
      <c r="H77" s="36"/>
    </row>
    <row r="78" spans="1:8" ht="14.1" customHeight="1" x14ac:dyDescent="0.2">
      <c r="A78" s="1"/>
      <c r="B78" s="1"/>
      <c r="C78" s="2" t="s">
        <v>11</v>
      </c>
      <c r="D78" s="1"/>
      <c r="E78" s="1" t="s">
        <v>12</v>
      </c>
      <c r="F78" s="3" t="s">
        <v>13</v>
      </c>
      <c r="G78" s="4">
        <v>0</v>
      </c>
      <c r="H78" s="36"/>
    </row>
    <row r="79" spans="1:8" ht="14.1" customHeight="1" x14ac:dyDescent="0.2">
      <c r="A79" s="1"/>
      <c r="B79" s="1"/>
      <c r="C79" s="5"/>
      <c r="D79" s="1"/>
      <c r="E79" s="1"/>
      <c r="F79" s="6"/>
      <c r="G79" s="6"/>
      <c r="H79" s="36"/>
    </row>
    <row r="80" spans="1:8" ht="14.1" customHeight="1" x14ac:dyDescent="0.2">
      <c r="A80" s="1"/>
      <c r="B80" s="1"/>
      <c r="C80" s="2" t="s">
        <v>87</v>
      </c>
      <c r="D80" s="1"/>
      <c r="E80" s="1"/>
      <c r="F80" s="1"/>
      <c r="G80" s="1"/>
      <c r="H80" s="36"/>
    </row>
    <row r="81" spans="1:18" ht="14.1" customHeight="1" x14ac:dyDescent="0.2">
      <c r="A81" s="1"/>
      <c r="B81" s="1"/>
      <c r="C81" s="2" t="s">
        <v>88</v>
      </c>
      <c r="D81" s="1"/>
      <c r="E81" s="1"/>
      <c r="F81" s="1"/>
      <c r="G81" s="1"/>
      <c r="H81" s="36"/>
    </row>
    <row r="82" spans="1:18" ht="14.1" customHeight="1" x14ac:dyDescent="0.2">
      <c r="A82" s="1"/>
      <c r="B82" s="1"/>
      <c r="C82" s="2" t="s">
        <v>11</v>
      </c>
      <c r="D82" s="1"/>
      <c r="E82" s="1" t="s">
        <v>12</v>
      </c>
      <c r="F82" s="3" t="s">
        <v>13</v>
      </c>
      <c r="G82" s="4">
        <v>0</v>
      </c>
      <c r="H82" s="36"/>
    </row>
    <row r="83" spans="1:18" ht="14.1" customHeight="1" x14ac:dyDescent="0.2">
      <c r="A83" s="1"/>
      <c r="B83" s="1"/>
      <c r="C83" s="5"/>
      <c r="D83" s="1"/>
      <c r="E83" s="1"/>
      <c r="F83" s="6"/>
      <c r="G83" s="6"/>
      <c r="H83" s="36"/>
    </row>
    <row r="84" spans="1:18" ht="24" customHeight="1" x14ac:dyDescent="0.2">
      <c r="A84" s="1"/>
      <c r="B84" s="1"/>
      <c r="C84" s="2" t="s">
        <v>89</v>
      </c>
      <c r="D84" s="1"/>
      <c r="E84" s="1"/>
      <c r="F84" s="6"/>
      <c r="G84" s="6"/>
      <c r="H84" s="36"/>
    </row>
    <row r="85" spans="1:18" ht="14.1" customHeight="1" x14ac:dyDescent="0.2">
      <c r="A85" s="1"/>
      <c r="B85" s="1"/>
      <c r="C85" s="2" t="s">
        <v>11</v>
      </c>
      <c r="D85" s="1"/>
      <c r="E85" s="1" t="s">
        <v>12</v>
      </c>
      <c r="F85" s="3" t="s">
        <v>13</v>
      </c>
      <c r="G85" s="4">
        <v>0</v>
      </c>
      <c r="H85" s="36"/>
    </row>
    <row r="86" spans="1:18" x14ac:dyDescent="0.2">
      <c r="A86" s="33"/>
      <c r="B86" s="33"/>
      <c r="C86" s="34"/>
      <c r="D86" s="33"/>
      <c r="E86" s="33"/>
      <c r="F86" s="35"/>
      <c r="G86" s="35"/>
      <c r="H86" s="36"/>
    </row>
    <row r="87" spans="1:18" ht="25.5" x14ac:dyDescent="0.2">
      <c r="A87" s="38"/>
      <c r="B87" s="38"/>
      <c r="C87" s="39" t="s">
        <v>479</v>
      </c>
      <c r="D87" s="38"/>
      <c r="E87" s="38"/>
      <c r="F87" s="40"/>
      <c r="G87" s="40"/>
      <c r="H87" s="36"/>
      <c r="K87" s="41"/>
      <c r="L87" s="41"/>
      <c r="M87" s="41"/>
      <c r="N87" s="41"/>
      <c r="O87" s="41"/>
      <c r="P87" s="42"/>
      <c r="Q87" s="42"/>
      <c r="R87" s="42"/>
    </row>
    <row r="88" spans="1:18" ht="25.5" x14ac:dyDescent="0.2">
      <c r="A88" s="43">
        <v>1</v>
      </c>
      <c r="B88" s="44" t="s">
        <v>85</v>
      </c>
      <c r="C88" s="44" t="s">
        <v>86</v>
      </c>
      <c r="D88" s="44"/>
      <c r="E88" s="14">
        <v>76.796000000000006</v>
      </c>
      <c r="F88" s="11">
        <v>7.901066685</v>
      </c>
      <c r="G88" s="12">
        <v>2.9782099999999998E-3</v>
      </c>
      <c r="H88" s="36">
        <v>9.9999999999999995E-7</v>
      </c>
    </row>
    <row r="89" spans="1:18" x14ac:dyDescent="0.2">
      <c r="A89" s="33"/>
      <c r="B89" s="33"/>
      <c r="C89" s="45" t="s">
        <v>11</v>
      </c>
      <c r="D89" s="33"/>
      <c r="E89" s="1" t="s">
        <v>12</v>
      </c>
      <c r="F89" s="7">
        <v>7.901066685</v>
      </c>
      <c r="G89" s="4">
        <v>2.9782099999999998E-3</v>
      </c>
      <c r="H89" s="36"/>
    </row>
    <row r="90" spans="1:18" ht="14.1" customHeight="1" x14ac:dyDescent="0.2">
      <c r="A90" s="1"/>
      <c r="B90" s="1"/>
      <c r="C90" s="5"/>
      <c r="D90" s="1"/>
      <c r="E90" s="1"/>
      <c r="F90" s="6"/>
      <c r="G90" s="6"/>
      <c r="H90" s="36"/>
    </row>
    <row r="91" spans="1:18" ht="14.1" customHeight="1" x14ac:dyDescent="0.2">
      <c r="A91" s="1"/>
      <c r="B91" s="9"/>
      <c r="C91" s="9"/>
      <c r="D91" s="2"/>
      <c r="E91" s="1"/>
      <c r="F91" s="9"/>
      <c r="G91" s="13"/>
      <c r="H91" s="36"/>
    </row>
    <row r="92" spans="1:18" ht="18" customHeight="1" x14ac:dyDescent="0.2">
      <c r="A92" s="13"/>
      <c r="B92" s="9"/>
      <c r="C92" s="9" t="s">
        <v>90</v>
      </c>
      <c r="D92" s="9"/>
      <c r="E92" s="13"/>
      <c r="F92" s="11">
        <v>47.409513920000002</v>
      </c>
      <c r="G92" s="12">
        <v>1.7870440000000001E-2</v>
      </c>
      <c r="H92" s="36"/>
    </row>
    <row r="93" spans="1:18" ht="14.1" customHeight="1" x14ac:dyDescent="0.2">
      <c r="A93" s="5"/>
      <c r="B93" s="5"/>
      <c r="C93" s="2" t="s">
        <v>91</v>
      </c>
      <c r="D93" s="6"/>
      <c r="E93" s="6"/>
      <c r="F93" s="7">
        <v>2652.9572766039996</v>
      </c>
      <c r="G93" s="15">
        <v>1.0000000099999999</v>
      </c>
      <c r="H93" s="36"/>
    </row>
    <row r="94" spans="1:18" ht="14.1" customHeight="1" x14ac:dyDescent="0.2">
      <c r="A94" s="16"/>
      <c r="B94" s="16"/>
      <c r="C94" s="16"/>
      <c r="D94" s="17"/>
      <c r="E94" s="17"/>
      <c r="F94" s="17"/>
      <c r="G94" s="17"/>
    </row>
    <row r="95" spans="1:18" x14ac:dyDescent="0.2">
      <c r="A95" s="46"/>
      <c r="B95" s="108" t="s">
        <v>483</v>
      </c>
      <c r="C95" s="108"/>
      <c r="D95" s="108"/>
      <c r="E95" s="108"/>
      <c r="F95" s="108"/>
      <c r="G95" s="108"/>
      <c r="H95" s="108"/>
    </row>
    <row r="96" spans="1:18" x14ac:dyDescent="0.2">
      <c r="A96" s="46"/>
      <c r="B96" s="108" t="s">
        <v>484</v>
      </c>
      <c r="C96" s="108"/>
      <c r="D96" s="108"/>
      <c r="E96" s="108"/>
      <c r="F96" s="108"/>
      <c r="G96" s="108"/>
      <c r="H96" s="108"/>
    </row>
    <row r="97" spans="1:8" x14ac:dyDescent="0.2">
      <c r="A97" s="46"/>
      <c r="B97" s="108" t="s">
        <v>485</v>
      </c>
      <c r="C97" s="108"/>
      <c r="D97" s="108"/>
      <c r="E97" s="108"/>
      <c r="F97" s="108"/>
      <c r="G97" s="108"/>
      <c r="H97" s="108"/>
    </row>
    <row r="98" spans="1:8" ht="14.1" customHeight="1" x14ac:dyDescent="0.2">
      <c r="A98" s="18"/>
      <c r="B98" s="18"/>
      <c r="C98" s="18"/>
      <c r="D98" s="20"/>
      <c r="E98" s="20"/>
      <c r="F98" s="20"/>
      <c r="G98" s="20"/>
    </row>
    <row r="99" spans="1:8" ht="14.1" customHeight="1" x14ac:dyDescent="0.2">
      <c r="A99" s="18"/>
      <c r="B99" s="114" t="s">
        <v>92</v>
      </c>
      <c r="C99" s="115"/>
      <c r="D99" s="116"/>
      <c r="E99" s="21"/>
      <c r="F99" s="20"/>
      <c r="G99" s="20"/>
    </row>
    <row r="100" spans="1:8" ht="29.1" customHeight="1" x14ac:dyDescent="0.2">
      <c r="A100" s="18"/>
      <c r="B100" s="117" t="s">
        <v>93</v>
      </c>
      <c r="C100" s="118"/>
      <c r="D100" s="2" t="s">
        <v>94</v>
      </c>
      <c r="E100" s="21"/>
      <c r="F100" s="20"/>
      <c r="G100" s="20"/>
    </row>
    <row r="101" spans="1:8" ht="17.100000000000001" customHeight="1" x14ac:dyDescent="0.2">
      <c r="A101" s="18"/>
      <c r="B101" s="117" t="s">
        <v>95</v>
      </c>
      <c r="C101" s="118"/>
      <c r="D101" s="2" t="s">
        <v>94</v>
      </c>
      <c r="E101" s="21"/>
      <c r="F101" s="20"/>
      <c r="G101" s="20"/>
    </row>
    <row r="102" spans="1:8" ht="17.100000000000001" customHeight="1" x14ac:dyDescent="0.2">
      <c r="A102" s="18"/>
      <c r="B102" s="117" t="s">
        <v>96</v>
      </c>
      <c r="C102" s="118"/>
      <c r="D102" s="6" t="s">
        <v>12</v>
      </c>
      <c r="E102" s="21"/>
      <c r="F102" s="20"/>
      <c r="G102" s="20"/>
    </row>
    <row r="103" spans="1:8" ht="24" customHeight="1" x14ac:dyDescent="0.2">
      <c r="A103" s="22"/>
      <c r="B103" s="23" t="s">
        <v>12</v>
      </c>
      <c r="C103" s="23" t="s">
        <v>97</v>
      </c>
      <c r="D103" s="23" t="s">
        <v>98</v>
      </c>
      <c r="E103" s="22"/>
      <c r="F103" s="22"/>
      <c r="G103" s="22"/>
    </row>
    <row r="104" spans="1:8" ht="18" customHeight="1" x14ac:dyDescent="0.2">
      <c r="A104" s="22"/>
      <c r="B104" s="24" t="s">
        <v>99</v>
      </c>
      <c r="C104" s="23" t="s">
        <v>582</v>
      </c>
      <c r="D104" s="23" t="s">
        <v>100</v>
      </c>
      <c r="E104" s="22"/>
      <c r="F104" s="22"/>
      <c r="G104" s="22"/>
    </row>
    <row r="105" spans="1:8" ht="17.100000000000001" customHeight="1" x14ac:dyDescent="0.2">
      <c r="A105" s="22"/>
      <c r="B105" s="9" t="s">
        <v>101</v>
      </c>
      <c r="C105" s="25">
        <v>29.944400000000002</v>
      </c>
      <c r="D105" s="25">
        <v>30.578099999999999</v>
      </c>
      <c r="E105" s="22"/>
      <c r="F105" s="19"/>
      <c r="G105" s="26"/>
    </row>
    <row r="106" spans="1:8" ht="29.1" customHeight="1" x14ac:dyDescent="0.2">
      <c r="A106" s="22"/>
      <c r="B106" s="9" t="s">
        <v>543</v>
      </c>
      <c r="C106" s="25">
        <v>13.5634</v>
      </c>
      <c r="D106" s="25">
        <v>13.645799999999999</v>
      </c>
      <c r="E106" s="22"/>
      <c r="F106" s="19"/>
      <c r="G106" s="26"/>
    </row>
    <row r="107" spans="1:8" ht="29.1" customHeight="1" x14ac:dyDescent="0.2">
      <c r="A107" s="22"/>
      <c r="B107" s="9" t="s">
        <v>544</v>
      </c>
      <c r="C107" s="25">
        <v>19.858000000000001</v>
      </c>
      <c r="D107" s="25">
        <v>20.201799999999999</v>
      </c>
      <c r="E107" s="22"/>
      <c r="F107" s="19"/>
      <c r="G107" s="26"/>
    </row>
    <row r="108" spans="1:8" ht="29.1" customHeight="1" x14ac:dyDescent="0.2">
      <c r="A108" s="22"/>
      <c r="B108" s="9" t="s">
        <v>545</v>
      </c>
      <c r="C108" s="25">
        <v>19.765000000000001</v>
      </c>
      <c r="D108" s="25">
        <v>20.183199999999999</v>
      </c>
      <c r="E108" s="22"/>
      <c r="F108" s="19"/>
      <c r="G108" s="26"/>
    </row>
    <row r="109" spans="1:8" ht="17.100000000000001" customHeight="1" x14ac:dyDescent="0.2">
      <c r="A109" s="22"/>
      <c r="B109" s="9" t="s">
        <v>102</v>
      </c>
      <c r="C109" s="25">
        <v>27.4497</v>
      </c>
      <c r="D109" s="25">
        <v>28.006699999999999</v>
      </c>
      <c r="E109" s="22"/>
      <c r="F109" s="19"/>
      <c r="G109" s="26"/>
    </row>
    <row r="110" spans="1:8" ht="29.1" customHeight="1" x14ac:dyDescent="0.2">
      <c r="A110" s="22"/>
      <c r="B110" s="9" t="s">
        <v>547</v>
      </c>
      <c r="C110" s="25">
        <v>13.4565</v>
      </c>
      <c r="D110" s="25">
        <v>13.537599999999999</v>
      </c>
      <c r="E110" s="22"/>
      <c r="F110" s="19"/>
      <c r="G110" s="26"/>
    </row>
    <row r="111" spans="1:8" ht="29.1" customHeight="1" x14ac:dyDescent="0.2">
      <c r="A111" s="22"/>
      <c r="B111" s="9" t="s">
        <v>548</v>
      </c>
      <c r="C111" s="25">
        <v>18.110299999999999</v>
      </c>
      <c r="D111" s="25">
        <v>18.401399999999999</v>
      </c>
      <c r="E111" s="22"/>
      <c r="F111" s="19"/>
      <c r="G111" s="26"/>
    </row>
    <row r="112" spans="1:8" ht="29.1" customHeight="1" x14ac:dyDescent="0.2">
      <c r="A112" s="22"/>
      <c r="B112" s="9" t="s">
        <v>549</v>
      </c>
      <c r="C112" s="25">
        <v>17.9495</v>
      </c>
      <c r="D112" s="25">
        <v>18.313700000000001</v>
      </c>
      <c r="E112" s="22"/>
      <c r="F112" s="19"/>
      <c r="G112" s="26"/>
    </row>
    <row r="113" spans="1:17" ht="14.1" customHeight="1" x14ac:dyDescent="0.2">
      <c r="A113" s="22"/>
      <c r="B113" s="22"/>
      <c r="C113" s="22"/>
      <c r="D113" s="22"/>
      <c r="E113" s="22"/>
      <c r="F113" s="22"/>
      <c r="G113" s="22"/>
    </row>
    <row r="114" spans="1:17" ht="17.100000000000001" customHeight="1" x14ac:dyDescent="0.2">
      <c r="A114" s="22"/>
      <c r="B114" s="117" t="s">
        <v>551</v>
      </c>
      <c r="C114" s="118"/>
      <c r="D114" s="2" t="s">
        <v>12</v>
      </c>
      <c r="E114" s="22"/>
      <c r="F114" s="22"/>
      <c r="G114" s="22"/>
    </row>
    <row r="115" spans="1:17" ht="18" customHeight="1" x14ac:dyDescent="0.2">
      <c r="A115" s="22"/>
      <c r="B115" s="27" t="s">
        <v>99</v>
      </c>
      <c r="C115" s="28" t="s">
        <v>103</v>
      </c>
      <c r="D115" s="28" t="s">
        <v>104</v>
      </c>
      <c r="E115" s="22"/>
      <c r="F115" s="22"/>
      <c r="G115" s="22"/>
    </row>
    <row r="116" spans="1:17" ht="29.1" customHeight="1" x14ac:dyDescent="0.2">
      <c r="A116" s="22"/>
      <c r="B116" s="9" t="s">
        <v>543</v>
      </c>
      <c r="C116" s="29">
        <v>0.2024</v>
      </c>
      <c r="D116" s="13" t="s">
        <v>105</v>
      </c>
      <c r="E116" s="22"/>
      <c r="F116" s="19"/>
      <c r="G116" s="26"/>
    </row>
    <row r="117" spans="1:17" ht="29.1" customHeight="1" x14ac:dyDescent="0.2">
      <c r="A117" s="22"/>
      <c r="B117" s="9" t="s">
        <v>544</v>
      </c>
      <c r="C117" s="29">
        <v>7.4999999999999997E-2</v>
      </c>
      <c r="D117" s="13" t="s">
        <v>105</v>
      </c>
      <c r="E117" s="22"/>
      <c r="F117" s="19"/>
      <c r="G117" s="26"/>
    </row>
    <row r="118" spans="1:17" ht="29.1" customHeight="1" x14ac:dyDescent="0.2">
      <c r="A118" s="22"/>
      <c r="B118" s="9" t="s">
        <v>547</v>
      </c>
      <c r="C118" s="29">
        <v>0.19</v>
      </c>
      <c r="D118" s="13" t="s">
        <v>105</v>
      </c>
      <c r="E118" s="22"/>
      <c r="F118" s="19"/>
      <c r="G118" s="26"/>
    </row>
    <row r="119" spans="1:17" ht="29.1" customHeight="1" x14ac:dyDescent="0.2">
      <c r="A119" s="22"/>
      <c r="B119" s="9" t="s">
        <v>548</v>
      </c>
      <c r="C119" s="29">
        <v>7.4999999999999997E-2</v>
      </c>
      <c r="D119" s="13" t="s">
        <v>105</v>
      </c>
      <c r="E119" s="22"/>
      <c r="F119" s="19"/>
      <c r="G119" s="26"/>
    </row>
    <row r="120" spans="1:17" ht="14.1" customHeight="1" x14ac:dyDescent="0.2">
      <c r="A120" s="55"/>
      <c r="B120" s="56"/>
      <c r="C120" s="56"/>
      <c r="D120" s="57"/>
      <c r="E120" s="55"/>
      <c r="F120" s="47"/>
      <c r="G120" s="58"/>
      <c r="N120" s="41"/>
      <c r="P120" s="60"/>
      <c r="Q120" s="60"/>
    </row>
    <row r="121" spans="1:17" s="60" customFormat="1" ht="29.1" customHeight="1" x14ac:dyDescent="0.2">
      <c r="A121" s="58"/>
      <c r="B121" s="112" t="s">
        <v>106</v>
      </c>
      <c r="C121" s="113"/>
      <c r="D121" s="52" t="s">
        <v>94</v>
      </c>
      <c r="E121" s="61"/>
      <c r="F121" s="58"/>
      <c r="G121" s="58"/>
      <c r="I121"/>
      <c r="J121" s="37"/>
      <c r="K121"/>
      <c r="L121"/>
      <c r="M121"/>
      <c r="N121" s="41"/>
      <c r="O121"/>
    </row>
    <row r="122" spans="1:17" s="60" customFormat="1" ht="29.1" customHeight="1" x14ac:dyDescent="0.2">
      <c r="A122" s="58"/>
      <c r="B122" s="112" t="s">
        <v>107</v>
      </c>
      <c r="C122" s="113"/>
      <c r="D122" s="52" t="s">
        <v>94</v>
      </c>
      <c r="E122" s="61"/>
      <c r="F122" s="58"/>
      <c r="G122" s="58"/>
      <c r="I122"/>
      <c r="J122" s="37"/>
      <c r="K122"/>
      <c r="L122"/>
      <c r="M122"/>
      <c r="N122" s="41"/>
      <c r="O122"/>
    </row>
    <row r="123" spans="1:17" s="60" customFormat="1" ht="17.100000000000001" customHeight="1" x14ac:dyDescent="0.2">
      <c r="A123" s="58"/>
      <c r="B123" s="112" t="s">
        <v>503</v>
      </c>
      <c r="C123" s="113"/>
      <c r="D123" s="52" t="s">
        <v>94</v>
      </c>
      <c r="E123" s="61"/>
      <c r="F123" s="58"/>
      <c r="G123" s="58"/>
      <c r="I123"/>
      <c r="J123" s="37"/>
      <c r="K123"/>
      <c r="L123"/>
      <c r="M123"/>
      <c r="N123" s="41"/>
      <c r="O123"/>
    </row>
    <row r="124" spans="1:17" s="60" customFormat="1" x14ac:dyDescent="0.2">
      <c r="I124"/>
      <c r="J124" s="37"/>
      <c r="K124"/>
      <c r="L124"/>
      <c r="M124"/>
      <c r="N124" s="41"/>
      <c r="O124"/>
    </row>
    <row r="125" spans="1:17" s="60" customFormat="1" x14ac:dyDescent="0.2">
      <c r="B125" s="109" t="s">
        <v>504</v>
      </c>
      <c r="C125" s="110"/>
      <c r="D125" s="111"/>
      <c r="I125"/>
      <c r="J125" s="37"/>
      <c r="K125"/>
      <c r="L125"/>
      <c r="M125"/>
      <c r="N125" s="41"/>
      <c r="O125"/>
    </row>
    <row r="126" spans="1:17" s="60" customFormat="1" ht="38.25" x14ac:dyDescent="0.2">
      <c r="B126" s="103" t="s">
        <v>505</v>
      </c>
      <c r="C126" s="103"/>
      <c r="D126" s="62" t="s">
        <v>419</v>
      </c>
      <c r="I126"/>
      <c r="J126" s="37"/>
      <c r="K126"/>
      <c r="L126"/>
      <c r="M126"/>
      <c r="N126" s="41"/>
      <c r="O126"/>
    </row>
    <row r="127" spans="1:17" s="60" customFormat="1" x14ac:dyDescent="0.2">
      <c r="B127" s="103" t="s">
        <v>506</v>
      </c>
      <c r="C127" s="103"/>
      <c r="D127" s="63"/>
      <c r="I127"/>
      <c r="J127" s="37"/>
      <c r="K127"/>
      <c r="L127"/>
      <c r="M127"/>
      <c r="N127" s="41"/>
      <c r="O127"/>
    </row>
    <row r="128" spans="1:17" s="60" customFormat="1" x14ac:dyDescent="0.2">
      <c r="B128" s="103"/>
      <c r="C128" s="103"/>
      <c r="D128" s="64"/>
      <c r="I128"/>
      <c r="J128" s="37"/>
      <c r="K128"/>
      <c r="L128"/>
      <c r="M128"/>
      <c r="N128" s="41"/>
      <c r="O128"/>
    </row>
    <row r="129" spans="2:17" s="60" customFormat="1" x14ac:dyDescent="0.2">
      <c r="B129" s="103" t="s">
        <v>507</v>
      </c>
      <c r="C129" s="103"/>
      <c r="D129" s="65">
        <v>7.109585318510641</v>
      </c>
      <c r="I129"/>
      <c r="J129" s="37"/>
      <c r="K129" s="41"/>
      <c r="L129" s="41"/>
      <c r="M129" s="41"/>
      <c r="N129" s="41"/>
      <c r="O129" s="59"/>
    </row>
    <row r="130" spans="2:17" s="60" customFormat="1" x14ac:dyDescent="0.2">
      <c r="B130" s="103"/>
      <c r="C130" s="103"/>
      <c r="D130" s="64"/>
      <c r="I130"/>
      <c r="J130" s="37"/>
      <c r="K130" s="41"/>
      <c r="L130" s="41"/>
      <c r="M130" s="41"/>
      <c r="N130" s="41"/>
      <c r="O130"/>
    </row>
    <row r="131" spans="2:17" s="60" customFormat="1" x14ac:dyDescent="0.2">
      <c r="B131" s="103" t="s">
        <v>512</v>
      </c>
      <c r="C131" s="103"/>
      <c r="D131" s="65">
        <v>7.2356018556294739</v>
      </c>
      <c r="I131"/>
      <c r="J131" s="37"/>
      <c r="K131" s="41"/>
      <c r="L131" s="41"/>
      <c r="M131" s="41"/>
      <c r="N131" s="41"/>
      <c r="O131"/>
    </row>
    <row r="132" spans="2:17" s="60" customFormat="1" x14ac:dyDescent="0.2">
      <c r="B132" s="103" t="s">
        <v>513</v>
      </c>
      <c r="C132" s="103"/>
      <c r="D132" s="65">
        <v>13.00518122538881</v>
      </c>
      <c r="I132"/>
      <c r="J132" s="37"/>
      <c r="K132" s="41"/>
      <c r="L132" s="41"/>
      <c r="M132" s="41"/>
      <c r="N132" s="41"/>
      <c r="O132"/>
      <c r="P132"/>
      <c r="Q132"/>
    </row>
    <row r="133" spans="2:17" s="60" customFormat="1" x14ac:dyDescent="0.2">
      <c r="B133" s="103"/>
      <c r="C133" s="103"/>
      <c r="D133" s="64"/>
      <c r="I133"/>
      <c r="J133" s="37"/>
      <c r="K133" s="41"/>
      <c r="L133" s="41"/>
      <c r="M133" s="41"/>
      <c r="N133"/>
      <c r="O133"/>
      <c r="P133"/>
      <c r="Q133"/>
    </row>
    <row r="134" spans="2:17" s="60" customFormat="1" x14ac:dyDescent="0.2">
      <c r="B134" s="103" t="s">
        <v>510</v>
      </c>
      <c r="C134" s="103"/>
      <c r="D134" s="66">
        <v>45473</v>
      </c>
      <c r="I134"/>
      <c r="J134" s="37"/>
      <c r="K134" s="41"/>
      <c r="L134" s="41"/>
      <c r="M134" s="41"/>
      <c r="N134" s="41"/>
      <c r="O134"/>
      <c r="P134"/>
      <c r="Q134"/>
    </row>
    <row r="135" spans="2:17" s="60" customFormat="1" x14ac:dyDescent="0.2">
      <c r="B135" s="104" t="s">
        <v>511</v>
      </c>
      <c r="C135" s="106"/>
      <c r="D135" s="105"/>
      <c r="I135"/>
      <c r="J135" s="37"/>
      <c r="K135" s="41"/>
      <c r="L135" s="41"/>
      <c r="M135" s="41"/>
      <c r="N135" s="41"/>
      <c r="O135"/>
      <c r="P135"/>
      <c r="Q135"/>
    </row>
    <row r="136" spans="2:17" x14ac:dyDescent="0.2">
      <c r="K136" s="41"/>
      <c r="L136" s="41"/>
      <c r="M136" s="41"/>
    </row>
    <row r="137" spans="2:17" x14ac:dyDescent="0.2">
      <c r="K137" s="41"/>
      <c r="L137" s="41"/>
      <c r="M137" s="41"/>
    </row>
    <row r="138" spans="2:17" x14ac:dyDescent="0.2">
      <c r="K138" s="41"/>
      <c r="L138" s="41"/>
      <c r="M138" s="41"/>
    </row>
    <row r="139" spans="2:17" x14ac:dyDescent="0.2">
      <c r="K139" s="41"/>
      <c r="L139" s="41"/>
      <c r="M139" s="41"/>
    </row>
  </sheetData>
  <mergeCells count="25">
    <mergeCell ref="B97:H97"/>
    <mergeCell ref="B123:C123"/>
    <mergeCell ref="B126:C126"/>
    <mergeCell ref="B99:D99"/>
    <mergeCell ref="B100:C100"/>
    <mergeCell ref="B101:C101"/>
    <mergeCell ref="B102:C102"/>
    <mergeCell ref="B122:C122"/>
    <mergeCell ref="B121:C121"/>
    <mergeCell ref="B125:D125"/>
    <mergeCell ref="B114:C114"/>
    <mergeCell ref="A1:H1"/>
    <mergeCell ref="A2:H2"/>
    <mergeCell ref="A3:H3"/>
    <mergeCell ref="B95:H95"/>
    <mergeCell ref="B96:H96"/>
    <mergeCell ref="B132:C132"/>
    <mergeCell ref="B133:C133"/>
    <mergeCell ref="B134:C134"/>
    <mergeCell ref="B135:D135"/>
    <mergeCell ref="B127:C127"/>
    <mergeCell ref="B128:C128"/>
    <mergeCell ref="B129:C129"/>
    <mergeCell ref="B130:C130"/>
    <mergeCell ref="B131:C131"/>
  </mergeCells>
  <hyperlinks>
    <hyperlink ref="I1" location="Index!B10" display="Index" xr:uid="{5B398C49-5FB3-47AC-95FA-B10D492F9B2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7429-88E2-412D-AAE5-F75D042CAAA1}">
  <sheetPr>
    <outlinePr summaryBelow="0" summaryRight="0"/>
  </sheetPr>
  <dimension ref="A1:Q129"/>
  <sheetViews>
    <sheetView showGridLines="0" topLeftCell="C1" workbookViewId="0">
      <selection activeCell="I3" sqref="I3"/>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50.7109375" style="37" customWidth="1"/>
  </cols>
  <sheetData>
    <row r="1" spans="1:11" ht="18" customHeight="1" x14ac:dyDescent="0.2">
      <c r="A1" s="107" t="s">
        <v>0</v>
      </c>
      <c r="B1" s="107"/>
      <c r="C1" s="107"/>
      <c r="D1" s="107"/>
      <c r="E1" s="107"/>
      <c r="F1" s="107"/>
      <c r="G1" s="107"/>
      <c r="H1" s="107"/>
      <c r="I1" s="92" t="s">
        <v>560</v>
      </c>
    </row>
    <row r="2" spans="1:11" ht="17.100000000000001" customHeight="1" x14ac:dyDescent="0.2">
      <c r="A2" s="107" t="s">
        <v>460</v>
      </c>
      <c r="B2" s="107"/>
      <c r="C2" s="107"/>
      <c r="D2" s="107"/>
      <c r="E2" s="107"/>
      <c r="F2" s="107"/>
      <c r="G2" s="107"/>
      <c r="H2" s="107"/>
      <c r="J2" s="93" t="s">
        <v>561</v>
      </c>
    </row>
    <row r="3" spans="1:11" ht="21" customHeight="1" x14ac:dyDescent="0.2">
      <c r="A3" s="107" t="s">
        <v>588</v>
      </c>
      <c r="B3" s="107"/>
      <c r="C3" s="107"/>
      <c r="D3" s="107"/>
      <c r="E3" s="107"/>
      <c r="F3" s="107"/>
      <c r="G3" s="107"/>
      <c r="H3" s="107"/>
    </row>
    <row r="4" spans="1:11" ht="30" x14ac:dyDescent="0.2">
      <c r="A4" s="53" t="s">
        <v>2</v>
      </c>
      <c r="B4" s="53" t="s">
        <v>3</v>
      </c>
      <c r="C4" s="53" t="s">
        <v>4</v>
      </c>
      <c r="D4" s="53" t="s">
        <v>5</v>
      </c>
      <c r="E4" s="53" t="s">
        <v>6</v>
      </c>
      <c r="F4" s="53" t="s">
        <v>7</v>
      </c>
      <c r="G4" s="53" t="s">
        <v>8</v>
      </c>
      <c r="H4" s="51" t="s">
        <v>559</v>
      </c>
      <c r="I4" s="94"/>
      <c r="K4" s="94"/>
    </row>
    <row r="5" spans="1:11" ht="14.1" customHeight="1" x14ac:dyDescent="0.2">
      <c r="A5" s="1"/>
      <c r="B5" s="1"/>
      <c r="C5" s="2" t="s">
        <v>9</v>
      </c>
      <c r="D5" s="1"/>
      <c r="E5" s="1"/>
      <c r="F5" s="1"/>
      <c r="G5" s="1"/>
      <c r="H5" s="36"/>
    </row>
    <row r="6" spans="1:11" ht="24" customHeight="1" x14ac:dyDescent="0.2">
      <c r="A6" s="1"/>
      <c r="B6" s="1"/>
      <c r="C6" s="2" t="s">
        <v>10</v>
      </c>
      <c r="D6" s="1"/>
      <c r="E6" s="1"/>
      <c r="F6" s="1"/>
      <c r="G6" s="1"/>
      <c r="H6" s="36"/>
    </row>
    <row r="7" spans="1:11" ht="14.1" customHeight="1" x14ac:dyDescent="0.2">
      <c r="A7" s="1"/>
      <c r="B7" s="1"/>
      <c r="C7" s="2" t="s">
        <v>11</v>
      </c>
      <c r="D7" s="1"/>
      <c r="E7" s="1" t="s">
        <v>12</v>
      </c>
      <c r="F7" s="3" t="s">
        <v>13</v>
      </c>
      <c r="G7" s="4">
        <v>0</v>
      </c>
      <c r="H7" s="36"/>
    </row>
    <row r="8" spans="1:11" ht="14.1" customHeight="1" x14ac:dyDescent="0.2">
      <c r="A8" s="1"/>
      <c r="B8" s="1"/>
      <c r="C8" s="5"/>
      <c r="D8" s="1"/>
      <c r="E8" s="1"/>
      <c r="F8" s="6"/>
      <c r="G8" s="6"/>
      <c r="H8" s="36"/>
    </row>
    <row r="9" spans="1:11" ht="14.1" customHeight="1" x14ac:dyDescent="0.2">
      <c r="A9" s="1"/>
      <c r="B9" s="1"/>
      <c r="C9" s="2" t="s">
        <v>14</v>
      </c>
      <c r="D9" s="1"/>
      <c r="E9" s="1"/>
      <c r="F9" s="1"/>
      <c r="G9" s="1"/>
      <c r="H9" s="36"/>
    </row>
    <row r="10" spans="1:11" ht="14.1" customHeight="1" x14ac:dyDescent="0.2">
      <c r="A10" s="1"/>
      <c r="B10" s="1"/>
      <c r="C10" s="2" t="s">
        <v>11</v>
      </c>
      <c r="D10" s="1"/>
      <c r="E10" s="1" t="s">
        <v>12</v>
      </c>
      <c r="F10" s="3" t="s">
        <v>13</v>
      </c>
      <c r="G10" s="4">
        <v>0</v>
      </c>
      <c r="H10" s="36"/>
    </row>
    <row r="11" spans="1:11" ht="14.1" customHeight="1" x14ac:dyDescent="0.2">
      <c r="A11" s="1"/>
      <c r="B11" s="1"/>
      <c r="C11" s="5"/>
      <c r="D11" s="1"/>
      <c r="E11" s="1"/>
      <c r="F11" s="6"/>
      <c r="G11" s="6"/>
      <c r="H11" s="36"/>
    </row>
    <row r="12" spans="1:11" ht="14.1" customHeight="1" x14ac:dyDescent="0.2">
      <c r="A12" s="1"/>
      <c r="B12" s="1"/>
      <c r="C12" s="2" t="s">
        <v>15</v>
      </c>
      <c r="D12" s="1"/>
      <c r="E12" s="1"/>
      <c r="F12" s="1"/>
      <c r="G12" s="1"/>
      <c r="H12" s="36"/>
      <c r="J12" s="95"/>
    </row>
    <row r="13" spans="1:11" ht="14.1" customHeight="1" x14ac:dyDescent="0.2">
      <c r="A13" s="1"/>
      <c r="B13" s="1"/>
      <c r="C13" s="2" t="s">
        <v>11</v>
      </c>
      <c r="D13" s="1"/>
      <c r="E13" s="1" t="s">
        <v>12</v>
      </c>
      <c r="F13" s="3" t="s">
        <v>13</v>
      </c>
      <c r="G13" s="4">
        <v>0</v>
      </c>
      <c r="H13" s="36"/>
      <c r="J13" s="96"/>
    </row>
    <row r="14" spans="1:11" ht="14.1" customHeight="1" x14ac:dyDescent="0.2">
      <c r="A14" s="1"/>
      <c r="B14" s="1"/>
      <c r="C14" s="5"/>
      <c r="D14" s="1"/>
      <c r="E14" s="1"/>
      <c r="F14" s="6"/>
      <c r="G14" s="6"/>
      <c r="H14" s="36"/>
      <c r="J14" s="37" t="s">
        <v>564</v>
      </c>
    </row>
    <row r="15" spans="1:11" ht="14.1" customHeight="1" x14ac:dyDescent="0.2">
      <c r="A15" s="1"/>
      <c r="B15" s="1"/>
      <c r="C15" s="2" t="s">
        <v>16</v>
      </c>
      <c r="D15" s="1"/>
      <c r="E15" s="1"/>
      <c r="F15" s="1"/>
      <c r="G15" s="1"/>
      <c r="H15" s="36"/>
      <c r="J15" s="96"/>
    </row>
    <row r="16" spans="1:11" ht="14.1" customHeight="1" x14ac:dyDescent="0.2">
      <c r="A16" s="1"/>
      <c r="B16" s="1"/>
      <c r="C16" s="2" t="s">
        <v>11</v>
      </c>
      <c r="D16" s="1"/>
      <c r="E16" s="1" t="s">
        <v>12</v>
      </c>
      <c r="F16" s="3" t="s">
        <v>13</v>
      </c>
      <c r="G16" s="4">
        <v>0</v>
      </c>
      <c r="H16" s="36"/>
    </row>
    <row r="17" spans="1:10" ht="14.1" customHeight="1" x14ac:dyDescent="0.2">
      <c r="A17" s="1"/>
      <c r="B17" s="1"/>
      <c r="C17" s="5"/>
      <c r="D17" s="1"/>
      <c r="E17" s="1"/>
      <c r="F17" s="6"/>
      <c r="G17" s="6"/>
      <c r="H17" s="36"/>
    </row>
    <row r="18" spans="1:10" ht="14.1" customHeight="1" x14ac:dyDescent="0.2">
      <c r="A18" s="1"/>
      <c r="B18" s="1"/>
      <c r="C18" s="2" t="s">
        <v>17</v>
      </c>
      <c r="D18" s="1"/>
      <c r="E18" s="1"/>
      <c r="F18" s="6"/>
      <c r="G18" s="6"/>
      <c r="H18" s="36"/>
    </row>
    <row r="19" spans="1:10" ht="14.1" customHeight="1" x14ac:dyDescent="0.2">
      <c r="A19" s="1"/>
      <c r="B19" s="1"/>
      <c r="C19" s="2" t="s">
        <v>11</v>
      </c>
      <c r="D19" s="1"/>
      <c r="E19" s="1" t="s">
        <v>12</v>
      </c>
      <c r="F19" s="3" t="s">
        <v>13</v>
      </c>
      <c r="G19" s="4">
        <v>0</v>
      </c>
      <c r="H19" s="36"/>
    </row>
    <row r="20" spans="1:10" ht="14.1" customHeight="1" x14ac:dyDescent="0.2">
      <c r="A20" s="1"/>
      <c r="B20" s="1"/>
      <c r="C20" s="5"/>
      <c r="D20" s="1"/>
      <c r="E20" s="1"/>
      <c r="F20" s="6"/>
      <c r="G20" s="6"/>
      <c r="H20" s="36"/>
    </row>
    <row r="21" spans="1:10" ht="14.1" customHeight="1" x14ac:dyDescent="0.2">
      <c r="A21" s="1"/>
      <c r="B21" s="1"/>
      <c r="C21" s="2" t="s">
        <v>18</v>
      </c>
      <c r="D21" s="1"/>
      <c r="E21" s="1"/>
      <c r="F21" s="6"/>
      <c r="G21" s="6"/>
      <c r="H21" s="36"/>
    </row>
    <row r="22" spans="1:10" ht="14.1" customHeight="1" x14ac:dyDescent="0.2">
      <c r="A22" s="1"/>
      <c r="B22" s="1"/>
      <c r="C22" s="2" t="s">
        <v>11</v>
      </c>
      <c r="D22" s="1"/>
      <c r="E22" s="1" t="s">
        <v>12</v>
      </c>
      <c r="F22" s="3" t="s">
        <v>13</v>
      </c>
      <c r="G22" s="4">
        <v>0</v>
      </c>
      <c r="H22" s="36"/>
      <c r="J22" s="95"/>
    </row>
    <row r="23" spans="1:10" ht="14.1" customHeight="1" x14ac:dyDescent="0.2">
      <c r="A23" s="1"/>
      <c r="B23" s="1"/>
      <c r="C23" s="5"/>
      <c r="D23" s="1"/>
      <c r="E23" s="1"/>
      <c r="F23" s="6"/>
      <c r="G23" s="6"/>
      <c r="H23" s="36"/>
      <c r="J23" s="96"/>
    </row>
    <row r="24" spans="1:10" ht="18" customHeight="1" x14ac:dyDescent="0.2">
      <c r="A24" s="1"/>
      <c r="B24" s="1"/>
      <c r="C24" s="2" t="s">
        <v>19</v>
      </c>
      <c r="D24" s="1"/>
      <c r="E24" s="1"/>
      <c r="F24" s="7">
        <v>0</v>
      </c>
      <c r="G24" s="4">
        <v>0</v>
      </c>
      <c r="H24" s="36"/>
    </row>
    <row r="25" spans="1:10" ht="14.1" customHeight="1" x14ac:dyDescent="0.2">
      <c r="A25" s="1"/>
      <c r="B25" s="1"/>
      <c r="C25" s="5"/>
      <c r="D25" s="1"/>
      <c r="E25" s="1"/>
      <c r="F25" s="6"/>
      <c r="G25" s="6"/>
      <c r="H25" s="36"/>
    </row>
    <row r="26" spans="1:10" ht="14.1" customHeight="1" x14ac:dyDescent="0.2">
      <c r="A26" s="1"/>
      <c r="B26" s="1"/>
      <c r="C26" s="2" t="s">
        <v>20</v>
      </c>
      <c r="D26" s="1"/>
      <c r="E26" s="1"/>
      <c r="F26" s="6"/>
      <c r="G26" s="6"/>
      <c r="H26" s="36"/>
    </row>
    <row r="27" spans="1:10" ht="24" customHeight="1" x14ac:dyDescent="0.2">
      <c r="A27" s="1"/>
      <c r="B27" s="1"/>
      <c r="C27" s="2" t="s">
        <v>10</v>
      </c>
      <c r="D27" s="1"/>
      <c r="E27" s="1"/>
      <c r="F27" s="6"/>
      <c r="G27" s="6"/>
      <c r="H27" s="36"/>
    </row>
    <row r="28" spans="1:10" ht="14.1" customHeight="1" x14ac:dyDescent="0.2">
      <c r="A28" s="1"/>
      <c r="B28" s="1"/>
      <c r="C28" s="2" t="s">
        <v>11</v>
      </c>
      <c r="D28" s="1"/>
      <c r="E28" s="1" t="s">
        <v>12</v>
      </c>
      <c r="F28" s="3" t="s">
        <v>13</v>
      </c>
      <c r="G28" s="4">
        <v>0</v>
      </c>
      <c r="H28" s="36"/>
      <c r="J28" s="96" t="s">
        <v>565</v>
      </c>
    </row>
    <row r="29" spans="1:10" ht="14.1" customHeight="1" x14ac:dyDescent="0.2">
      <c r="A29" s="1"/>
      <c r="B29" s="1"/>
      <c r="C29" s="5"/>
      <c r="D29" s="1"/>
      <c r="E29" s="1"/>
      <c r="F29" s="6"/>
      <c r="G29" s="6"/>
      <c r="H29" s="36"/>
    </row>
    <row r="30" spans="1:10" ht="14.1" customHeight="1" x14ac:dyDescent="0.2">
      <c r="A30" s="1"/>
      <c r="B30" s="1"/>
      <c r="C30" s="2" t="s">
        <v>63</v>
      </c>
      <c r="D30" s="1"/>
      <c r="E30" s="1"/>
      <c r="F30" s="1"/>
      <c r="G30" s="1"/>
      <c r="H30" s="36"/>
    </row>
    <row r="31" spans="1:10" ht="14.1" customHeight="1" x14ac:dyDescent="0.2">
      <c r="A31" s="1"/>
      <c r="B31" s="1"/>
      <c r="C31" s="2" t="s">
        <v>11</v>
      </c>
      <c r="D31" s="1"/>
      <c r="E31" s="1" t="s">
        <v>12</v>
      </c>
      <c r="F31" s="3" t="s">
        <v>13</v>
      </c>
      <c r="G31" s="4">
        <v>0</v>
      </c>
      <c r="H31" s="36"/>
    </row>
    <row r="32" spans="1:10" ht="14.1" customHeight="1" x14ac:dyDescent="0.2">
      <c r="A32" s="1"/>
      <c r="B32" s="1"/>
      <c r="C32" s="5"/>
      <c r="D32" s="1"/>
      <c r="E32" s="1"/>
      <c r="F32" s="6"/>
      <c r="G32" s="6"/>
      <c r="H32" s="36"/>
    </row>
    <row r="33" spans="1:8" ht="14.1" customHeight="1" x14ac:dyDescent="0.2">
      <c r="A33" s="1"/>
      <c r="B33" s="1"/>
      <c r="C33" s="2" t="s">
        <v>64</v>
      </c>
      <c r="D33" s="1"/>
      <c r="E33" s="1"/>
      <c r="F33" s="1"/>
      <c r="G33" s="1"/>
      <c r="H33" s="36"/>
    </row>
    <row r="34" spans="1:8" ht="14.1" customHeight="1" x14ac:dyDescent="0.2">
      <c r="A34" s="1"/>
      <c r="B34" s="1"/>
      <c r="C34" s="2" t="s">
        <v>11</v>
      </c>
      <c r="D34" s="1"/>
      <c r="E34" s="1" t="s">
        <v>12</v>
      </c>
      <c r="F34" s="3" t="s">
        <v>13</v>
      </c>
      <c r="G34" s="4">
        <v>0</v>
      </c>
      <c r="H34" s="36"/>
    </row>
    <row r="35" spans="1:8" ht="14.1" customHeight="1" x14ac:dyDescent="0.2">
      <c r="A35" s="1"/>
      <c r="B35" s="1"/>
      <c r="C35" s="5"/>
      <c r="D35" s="1"/>
      <c r="E35" s="1"/>
      <c r="F35" s="6"/>
      <c r="G35" s="6"/>
      <c r="H35" s="36"/>
    </row>
    <row r="36" spans="1:8" ht="14.1" customHeight="1" x14ac:dyDescent="0.2">
      <c r="A36" s="1"/>
      <c r="B36" s="1"/>
      <c r="C36" s="2" t="s">
        <v>74</v>
      </c>
      <c r="D36" s="1"/>
      <c r="E36" s="1"/>
      <c r="F36" s="6"/>
      <c r="G36" s="6"/>
      <c r="H36" s="36"/>
    </row>
    <row r="37" spans="1:8" ht="14.1" customHeight="1" x14ac:dyDescent="0.2">
      <c r="A37" s="1"/>
      <c r="B37" s="1"/>
      <c r="C37" s="2" t="s">
        <v>11</v>
      </c>
      <c r="D37" s="1"/>
      <c r="E37" s="1" t="s">
        <v>12</v>
      </c>
      <c r="F37" s="3" t="s">
        <v>13</v>
      </c>
      <c r="G37" s="4">
        <v>0</v>
      </c>
      <c r="H37" s="36"/>
    </row>
    <row r="38" spans="1:8" ht="14.1" customHeight="1" x14ac:dyDescent="0.2">
      <c r="A38" s="1"/>
      <c r="B38" s="1"/>
      <c r="C38" s="5"/>
      <c r="D38" s="1"/>
      <c r="E38" s="1"/>
      <c r="F38" s="6"/>
      <c r="G38" s="6"/>
      <c r="H38" s="36"/>
    </row>
    <row r="39" spans="1:8" ht="14.1" customHeight="1" x14ac:dyDescent="0.2">
      <c r="A39" s="1"/>
      <c r="B39" s="1"/>
      <c r="C39" s="2" t="s">
        <v>75</v>
      </c>
      <c r="D39" s="1"/>
      <c r="E39" s="1"/>
      <c r="F39" s="7">
        <v>0</v>
      </c>
      <c r="G39" s="4">
        <v>0</v>
      </c>
      <c r="H39" s="36"/>
    </row>
    <row r="40" spans="1:8" ht="14.1" customHeight="1" x14ac:dyDescent="0.2">
      <c r="A40" s="1"/>
      <c r="B40" s="1"/>
      <c r="C40" s="5"/>
      <c r="D40" s="1"/>
      <c r="E40" s="1"/>
      <c r="F40" s="6"/>
      <c r="G40" s="6"/>
      <c r="H40" s="36"/>
    </row>
    <row r="41" spans="1:8" ht="14.1" customHeight="1" x14ac:dyDescent="0.2">
      <c r="A41" s="1"/>
      <c r="B41" s="1"/>
      <c r="C41" s="2" t="s">
        <v>76</v>
      </c>
      <c r="D41" s="1"/>
      <c r="E41" s="1"/>
      <c r="F41" s="6"/>
      <c r="G41" s="6"/>
      <c r="H41" s="36"/>
    </row>
    <row r="42" spans="1:8" ht="14.1" customHeight="1" x14ac:dyDescent="0.2">
      <c r="A42" s="1"/>
      <c r="B42" s="1"/>
      <c r="C42" s="2" t="s">
        <v>77</v>
      </c>
      <c r="D42" s="1"/>
      <c r="E42" s="1"/>
      <c r="F42" s="6"/>
      <c r="G42" s="6"/>
      <c r="H42" s="36"/>
    </row>
    <row r="43" spans="1:8" ht="14.1" customHeight="1" x14ac:dyDescent="0.2">
      <c r="A43" s="1"/>
      <c r="B43" s="1"/>
      <c r="C43" s="2" t="s">
        <v>11</v>
      </c>
      <c r="D43" s="1"/>
      <c r="E43" s="1" t="s">
        <v>12</v>
      </c>
      <c r="F43" s="3" t="s">
        <v>13</v>
      </c>
      <c r="G43" s="4">
        <v>0</v>
      </c>
      <c r="H43" s="36"/>
    </row>
    <row r="44" spans="1:8" ht="14.1" customHeight="1" x14ac:dyDescent="0.2">
      <c r="A44" s="1"/>
      <c r="B44" s="1"/>
      <c r="C44" s="5"/>
      <c r="D44" s="1"/>
      <c r="E44" s="1"/>
      <c r="F44" s="6"/>
      <c r="G44" s="6"/>
      <c r="H44" s="36"/>
    </row>
    <row r="45" spans="1:8" ht="14.1" customHeight="1" x14ac:dyDescent="0.2">
      <c r="A45" s="1"/>
      <c r="B45" s="1"/>
      <c r="C45" s="2" t="s">
        <v>78</v>
      </c>
      <c r="D45" s="1"/>
      <c r="E45" s="1"/>
      <c r="F45" s="6"/>
      <c r="G45" s="6"/>
      <c r="H45" s="36"/>
    </row>
    <row r="46" spans="1:8" ht="14.1" customHeight="1" x14ac:dyDescent="0.2">
      <c r="A46" s="1"/>
      <c r="B46" s="1"/>
      <c r="C46" s="2" t="s">
        <v>11</v>
      </c>
      <c r="D46" s="1"/>
      <c r="E46" s="1" t="s">
        <v>12</v>
      </c>
      <c r="F46" s="3" t="s">
        <v>13</v>
      </c>
      <c r="G46" s="4">
        <v>0</v>
      </c>
      <c r="H46" s="36"/>
    </row>
    <row r="47" spans="1:8" ht="14.1" customHeight="1" x14ac:dyDescent="0.2">
      <c r="A47" s="1"/>
      <c r="B47" s="1"/>
      <c r="C47" s="5"/>
      <c r="D47" s="1"/>
      <c r="E47" s="1"/>
      <c r="F47" s="6"/>
      <c r="G47" s="6"/>
      <c r="H47" s="36"/>
    </row>
    <row r="48" spans="1:8" ht="14.1" customHeight="1" x14ac:dyDescent="0.2">
      <c r="A48" s="1"/>
      <c r="B48" s="1"/>
      <c r="C48" s="2" t="s">
        <v>79</v>
      </c>
      <c r="D48" s="1"/>
      <c r="E48" s="1"/>
      <c r="F48" s="6"/>
      <c r="G48" s="6"/>
      <c r="H48" s="36"/>
    </row>
    <row r="49" spans="1:8" ht="17.100000000000001" customHeight="1" x14ac:dyDescent="0.2">
      <c r="A49" s="8">
        <v>1</v>
      </c>
      <c r="B49" s="9" t="s">
        <v>461</v>
      </c>
      <c r="C49" s="9" t="s">
        <v>494</v>
      </c>
      <c r="D49" s="9" t="s">
        <v>67</v>
      </c>
      <c r="E49" s="10">
        <v>1000000</v>
      </c>
      <c r="F49" s="11">
        <v>996.74300000000005</v>
      </c>
      <c r="G49" s="12">
        <v>9.5827099999999995E-3</v>
      </c>
      <c r="H49" s="36">
        <v>6.6277999999999997</v>
      </c>
    </row>
    <row r="50" spans="1:8" ht="17.100000000000001" customHeight="1" x14ac:dyDescent="0.2">
      <c r="A50" s="8">
        <v>2</v>
      </c>
      <c r="B50" s="9" t="s">
        <v>462</v>
      </c>
      <c r="C50" s="9" t="s">
        <v>493</v>
      </c>
      <c r="D50" s="9" t="s">
        <v>67</v>
      </c>
      <c r="E50" s="10">
        <v>500000</v>
      </c>
      <c r="F50" s="11">
        <v>499.72899999999998</v>
      </c>
      <c r="G50" s="12">
        <v>4.8044100000000003E-3</v>
      </c>
      <c r="H50" s="36">
        <v>6.6013000000000002</v>
      </c>
    </row>
    <row r="51" spans="1:8" ht="17.100000000000001" customHeight="1" x14ac:dyDescent="0.2">
      <c r="A51" s="8">
        <v>3</v>
      </c>
      <c r="B51" s="9" t="s">
        <v>463</v>
      </c>
      <c r="C51" s="9" t="s">
        <v>492</v>
      </c>
      <c r="D51" s="9" t="s">
        <v>67</v>
      </c>
      <c r="E51" s="10">
        <v>500000</v>
      </c>
      <c r="F51" s="11">
        <v>499.09750000000003</v>
      </c>
      <c r="G51" s="12">
        <v>4.7983399999999999E-3</v>
      </c>
      <c r="H51" s="36">
        <v>6.6</v>
      </c>
    </row>
    <row r="52" spans="1:8" ht="17.100000000000001" customHeight="1" x14ac:dyDescent="0.2">
      <c r="A52" s="8">
        <v>4</v>
      </c>
      <c r="B52" s="9" t="s">
        <v>353</v>
      </c>
      <c r="C52" s="9" t="s">
        <v>354</v>
      </c>
      <c r="D52" s="9" t="s">
        <v>67</v>
      </c>
      <c r="E52" s="10">
        <v>500000</v>
      </c>
      <c r="F52" s="11">
        <v>498.46499999999997</v>
      </c>
      <c r="G52" s="12">
        <v>4.7922599999999996E-3</v>
      </c>
      <c r="H52" s="36">
        <v>6.6116999999999999</v>
      </c>
    </row>
    <row r="53" spans="1:8" ht="17.100000000000001" customHeight="1" x14ac:dyDescent="0.2">
      <c r="A53" s="8">
        <v>5</v>
      </c>
      <c r="B53" s="9" t="s">
        <v>355</v>
      </c>
      <c r="C53" s="9" t="s">
        <v>356</v>
      </c>
      <c r="D53" s="9" t="s">
        <v>67</v>
      </c>
      <c r="E53" s="10">
        <v>500000</v>
      </c>
      <c r="F53" s="11">
        <v>497.83949999999999</v>
      </c>
      <c r="G53" s="12">
        <v>4.7862399999999998E-3</v>
      </c>
      <c r="H53" s="36">
        <v>6.6</v>
      </c>
    </row>
    <row r="54" spans="1:8" ht="17.100000000000001" customHeight="1" x14ac:dyDescent="0.2">
      <c r="A54" s="8">
        <v>6</v>
      </c>
      <c r="B54" s="9" t="s">
        <v>464</v>
      </c>
      <c r="C54" s="9" t="s">
        <v>491</v>
      </c>
      <c r="D54" s="9" t="s">
        <v>67</v>
      </c>
      <c r="E54" s="10">
        <v>500000</v>
      </c>
      <c r="F54" s="11">
        <v>497.83949999999999</v>
      </c>
      <c r="G54" s="12">
        <v>4.7862399999999998E-3</v>
      </c>
      <c r="H54" s="36">
        <v>6.6</v>
      </c>
    </row>
    <row r="55" spans="1:8" ht="14.1" customHeight="1" x14ac:dyDescent="0.2">
      <c r="A55" s="1"/>
      <c r="B55" s="1"/>
      <c r="C55" s="2" t="s">
        <v>11</v>
      </c>
      <c r="D55" s="1"/>
      <c r="E55" s="1" t="s">
        <v>12</v>
      </c>
      <c r="F55" s="7">
        <v>3489.7134999999998</v>
      </c>
      <c r="G55" s="4">
        <v>3.3550200000000002E-2</v>
      </c>
      <c r="H55" s="36"/>
    </row>
    <row r="56" spans="1:8" ht="14.1" customHeight="1" x14ac:dyDescent="0.2">
      <c r="A56" s="1"/>
      <c r="B56" s="1"/>
      <c r="C56" s="5"/>
      <c r="D56" s="1"/>
      <c r="E56" s="1"/>
      <c r="F56" s="6"/>
      <c r="G56" s="6"/>
      <c r="H56" s="36"/>
    </row>
    <row r="57" spans="1:8" ht="14.1" customHeight="1" x14ac:dyDescent="0.2">
      <c r="A57" s="1"/>
      <c r="B57" s="1"/>
      <c r="C57" s="2" t="s">
        <v>80</v>
      </c>
      <c r="D57" s="1"/>
      <c r="E57" s="1"/>
      <c r="F57" s="6"/>
      <c r="G57" s="6"/>
      <c r="H57" s="36"/>
    </row>
    <row r="58" spans="1:8" ht="17.100000000000001" customHeight="1" x14ac:dyDescent="0.2">
      <c r="A58" s="8">
        <v>1</v>
      </c>
      <c r="B58" s="9"/>
      <c r="C58" s="9" t="s">
        <v>465</v>
      </c>
      <c r="D58" s="9"/>
      <c r="E58" s="13"/>
      <c r="F58" s="11">
        <v>49999.104899999998</v>
      </c>
      <c r="G58" s="12">
        <v>0.48069265999999999</v>
      </c>
      <c r="H58" s="36">
        <v>6.78</v>
      </c>
    </row>
    <row r="59" spans="1:8" ht="17.100000000000001" customHeight="1" x14ac:dyDescent="0.2">
      <c r="A59" s="8">
        <v>2</v>
      </c>
      <c r="B59" s="9"/>
      <c r="C59" s="9" t="s">
        <v>81</v>
      </c>
      <c r="D59" s="9"/>
      <c r="E59" s="13"/>
      <c r="F59" s="11">
        <v>49441.318426204001</v>
      </c>
      <c r="G59" s="12">
        <v>0.47533008999999998</v>
      </c>
      <c r="H59" s="36">
        <v>6.7262665696944239</v>
      </c>
    </row>
    <row r="60" spans="1:8" ht="14.1" customHeight="1" x14ac:dyDescent="0.2">
      <c r="A60" s="1"/>
      <c r="B60" s="1"/>
      <c r="C60" s="2" t="s">
        <v>11</v>
      </c>
      <c r="D60" s="1"/>
      <c r="E60" s="1" t="s">
        <v>12</v>
      </c>
      <c r="F60" s="7">
        <v>99440.423326204007</v>
      </c>
      <c r="G60" s="4">
        <v>0.95602275000000003</v>
      </c>
      <c r="H60" s="36"/>
    </row>
    <row r="61" spans="1:8" ht="14.1" customHeight="1" x14ac:dyDescent="0.2">
      <c r="A61" s="1"/>
      <c r="B61" s="1"/>
      <c r="C61" s="5"/>
      <c r="D61" s="1"/>
      <c r="E61" s="1"/>
      <c r="F61" s="6"/>
      <c r="G61" s="6"/>
      <c r="H61" s="36"/>
    </row>
    <row r="62" spans="1:8" ht="14.1" customHeight="1" x14ac:dyDescent="0.2">
      <c r="A62" s="1"/>
      <c r="B62" s="1"/>
      <c r="C62" s="2" t="s">
        <v>82</v>
      </c>
      <c r="D62" s="1"/>
      <c r="E62" s="1"/>
      <c r="F62" s="7">
        <v>102930.13682620401</v>
      </c>
      <c r="G62" s="4">
        <v>0.98957295000000001</v>
      </c>
      <c r="H62" s="36"/>
    </row>
    <row r="63" spans="1:8" ht="14.1" customHeight="1" x14ac:dyDescent="0.2">
      <c r="A63" s="1"/>
      <c r="B63" s="1"/>
      <c r="C63" s="6"/>
      <c r="D63" s="1"/>
      <c r="E63" s="1"/>
      <c r="F63" s="1"/>
      <c r="G63" s="1"/>
      <c r="H63" s="36"/>
    </row>
    <row r="64" spans="1:8" ht="14.1" customHeight="1" x14ac:dyDescent="0.2">
      <c r="A64" s="1"/>
      <c r="B64" s="1"/>
      <c r="C64" s="2" t="s">
        <v>83</v>
      </c>
      <c r="D64" s="1"/>
      <c r="E64" s="1"/>
      <c r="F64" s="1"/>
      <c r="G64" s="1"/>
      <c r="H64" s="36"/>
    </row>
    <row r="65" spans="1:8" ht="14.1" customHeight="1" x14ac:dyDescent="0.2">
      <c r="A65" s="1"/>
      <c r="B65" s="1"/>
      <c r="C65" s="2" t="s">
        <v>84</v>
      </c>
      <c r="D65" s="1"/>
      <c r="E65" s="1"/>
      <c r="F65" s="1"/>
      <c r="G65" s="1"/>
      <c r="H65" s="36"/>
    </row>
    <row r="66" spans="1:8" ht="14.1" customHeight="1" x14ac:dyDescent="0.2">
      <c r="A66" s="1"/>
      <c r="B66" s="1"/>
      <c r="C66" s="2" t="s">
        <v>11</v>
      </c>
      <c r="D66" s="1"/>
      <c r="E66" s="1" t="s">
        <v>12</v>
      </c>
      <c r="F66" s="3" t="s">
        <v>13</v>
      </c>
      <c r="G66" s="4">
        <v>0</v>
      </c>
      <c r="H66" s="36"/>
    </row>
    <row r="67" spans="1:8" ht="14.1" customHeight="1" x14ac:dyDescent="0.2">
      <c r="A67" s="1"/>
      <c r="B67" s="1"/>
      <c r="C67" s="5"/>
      <c r="D67" s="1"/>
      <c r="E67" s="1"/>
      <c r="F67" s="6"/>
      <c r="G67" s="6"/>
      <c r="H67" s="36"/>
    </row>
    <row r="68" spans="1:8" ht="14.1" customHeight="1" x14ac:dyDescent="0.2">
      <c r="A68" s="1"/>
      <c r="B68" s="1"/>
      <c r="C68" s="2" t="s">
        <v>87</v>
      </c>
      <c r="D68" s="1"/>
      <c r="E68" s="1"/>
      <c r="F68" s="1"/>
      <c r="G68" s="1"/>
      <c r="H68" s="36"/>
    </row>
    <row r="69" spans="1:8" ht="14.1" customHeight="1" x14ac:dyDescent="0.2">
      <c r="A69" s="1"/>
      <c r="B69" s="1"/>
      <c r="C69" s="2" t="s">
        <v>88</v>
      </c>
      <c r="D69" s="1"/>
      <c r="E69" s="1"/>
      <c r="F69" s="1"/>
      <c r="G69" s="1"/>
      <c r="H69" s="36"/>
    </row>
    <row r="70" spans="1:8" ht="14.1" customHeight="1" x14ac:dyDescent="0.2">
      <c r="A70" s="1"/>
      <c r="B70" s="1"/>
      <c r="C70" s="2" t="s">
        <v>11</v>
      </c>
      <c r="D70" s="1"/>
      <c r="E70" s="1" t="s">
        <v>12</v>
      </c>
      <c r="F70" s="3" t="s">
        <v>13</v>
      </c>
      <c r="G70" s="4">
        <v>0</v>
      </c>
      <c r="H70" s="36"/>
    </row>
    <row r="71" spans="1:8" ht="14.1" customHeight="1" x14ac:dyDescent="0.2">
      <c r="A71" s="1"/>
      <c r="B71" s="1"/>
      <c r="C71" s="5"/>
      <c r="D71" s="1"/>
      <c r="E71" s="1"/>
      <c r="F71" s="6"/>
      <c r="G71" s="6"/>
      <c r="H71" s="36"/>
    </row>
    <row r="72" spans="1:8" ht="24" customHeight="1" x14ac:dyDescent="0.2">
      <c r="A72" s="1"/>
      <c r="B72" s="1"/>
      <c r="C72" s="2" t="s">
        <v>89</v>
      </c>
      <c r="D72" s="1"/>
      <c r="E72" s="1"/>
      <c r="F72" s="6"/>
      <c r="G72" s="6"/>
      <c r="H72" s="36"/>
    </row>
    <row r="73" spans="1:8" ht="14.1" customHeight="1" x14ac:dyDescent="0.2">
      <c r="A73" s="1"/>
      <c r="B73" s="1"/>
      <c r="C73" s="2" t="s">
        <v>11</v>
      </c>
      <c r="D73" s="1"/>
      <c r="E73" s="1" t="s">
        <v>12</v>
      </c>
      <c r="F73" s="3" t="s">
        <v>13</v>
      </c>
      <c r="G73" s="4">
        <v>0</v>
      </c>
      <c r="H73" s="36"/>
    </row>
    <row r="74" spans="1:8" ht="14.1" customHeight="1" x14ac:dyDescent="0.2">
      <c r="A74" s="1"/>
      <c r="B74" s="1"/>
      <c r="C74" s="5"/>
      <c r="D74" s="1"/>
      <c r="E74" s="1"/>
      <c r="F74" s="6"/>
      <c r="G74" s="6"/>
      <c r="H74" s="36"/>
    </row>
    <row r="75" spans="1:8" ht="14.1" customHeight="1" x14ac:dyDescent="0.2">
      <c r="A75" s="1"/>
      <c r="B75" s="9"/>
      <c r="C75" s="9"/>
      <c r="D75" s="2"/>
      <c r="E75" s="1"/>
      <c r="F75" s="9"/>
      <c r="G75" s="13"/>
      <c r="H75" s="36"/>
    </row>
    <row r="76" spans="1:8" ht="18" customHeight="1" x14ac:dyDescent="0.2">
      <c r="A76" s="13"/>
      <c r="B76" s="9"/>
      <c r="C76" s="9" t="s">
        <v>90</v>
      </c>
      <c r="D76" s="9"/>
      <c r="E76" s="13"/>
      <c r="F76" s="11">
        <v>1084.5672446760002</v>
      </c>
      <c r="G76" s="12">
        <v>1.042706E-2</v>
      </c>
      <c r="H76" s="36"/>
    </row>
    <row r="77" spans="1:8" ht="14.1" customHeight="1" x14ac:dyDescent="0.2">
      <c r="A77" s="5"/>
      <c r="B77" s="5"/>
      <c r="C77" s="2" t="s">
        <v>91</v>
      </c>
      <c r="D77" s="6"/>
      <c r="E77" s="6"/>
      <c r="F77" s="7">
        <v>104014.70407087999</v>
      </c>
      <c r="G77" s="15">
        <v>1.0000000099999999</v>
      </c>
      <c r="H77" s="36"/>
    </row>
    <row r="78" spans="1:8" ht="14.1" customHeight="1" x14ac:dyDescent="0.2">
      <c r="A78" s="16"/>
      <c r="B78" s="16"/>
      <c r="C78" s="16"/>
      <c r="D78" s="17"/>
      <c r="E78" s="17"/>
      <c r="F78" s="17"/>
      <c r="G78" s="17"/>
    </row>
    <row r="79" spans="1:8" x14ac:dyDescent="0.2">
      <c r="A79" s="46"/>
      <c r="B79" s="108" t="s">
        <v>483</v>
      </c>
      <c r="C79" s="108"/>
      <c r="D79" s="108"/>
      <c r="E79" s="108"/>
      <c r="F79" s="108"/>
      <c r="G79" s="108"/>
      <c r="H79" s="108"/>
    </row>
    <row r="80" spans="1:8" x14ac:dyDescent="0.2">
      <c r="A80" s="46"/>
      <c r="B80" s="108" t="s">
        <v>484</v>
      </c>
      <c r="C80" s="108"/>
      <c r="D80" s="108"/>
      <c r="E80" s="108"/>
      <c r="F80" s="108"/>
      <c r="G80" s="108"/>
      <c r="H80" s="108"/>
    </row>
    <row r="81" spans="1:8" x14ac:dyDescent="0.2">
      <c r="A81" s="46"/>
      <c r="B81" s="108" t="s">
        <v>485</v>
      </c>
      <c r="C81" s="108"/>
      <c r="D81" s="108"/>
      <c r="E81" s="108"/>
      <c r="F81" s="108"/>
      <c r="G81" s="108"/>
      <c r="H81" s="108"/>
    </row>
    <row r="82" spans="1:8" ht="14.1" customHeight="1" x14ac:dyDescent="0.2">
      <c r="A82" s="18"/>
      <c r="B82" s="18"/>
      <c r="C82" s="18"/>
      <c r="D82" s="20"/>
      <c r="E82" s="20"/>
      <c r="F82" s="20"/>
      <c r="G82" s="20"/>
    </row>
    <row r="83" spans="1:8" ht="14.1" customHeight="1" x14ac:dyDescent="0.2">
      <c r="A83" s="18"/>
      <c r="B83" s="114" t="s">
        <v>92</v>
      </c>
      <c r="C83" s="115"/>
      <c r="D83" s="116"/>
      <c r="E83" s="21"/>
      <c r="F83" s="20"/>
      <c r="G83" s="20"/>
    </row>
    <row r="84" spans="1:8" ht="29.1" customHeight="1" x14ac:dyDescent="0.2">
      <c r="A84" s="18"/>
      <c r="B84" s="117" t="s">
        <v>93</v>
      </c>
      <c r="C84" s="118"/>
      <c r="D84" s="2" t="s">
        <v>94</v>
      </c>
      <c r="E84" s="21"/>
      <c r="F84" s="20"/>
      <c r="G84" s="20"/>
    </row>
    <row r="85" spans="1:8" ht="17.100000000000001" customHeight="1" x14ac:dyDescent="0.2">
      <c r="A85" s="18"/>
      <c r="B85" s="117" t="s">
        <v>95</v>
      </c>
      <c r="C85" s="118"/>
      <c r="D85" s="2" t="s">
        <v>94</v>
      </c>
      <c r="E85" s="21"/>
      <c r="F85" s="20"/>
      <c r="G85" s="20"/>
    </row>
    <row r="86" spans="1:8" ht="17.100000000000001" customHeight="1" x14ac:dyDescent="0.2">
      <c r="A86" s="18"/>
      <c r="B86" s="117" t="s">
        <v>96</v>
      </c>
      <c r="C86" s="118"/>
      <c r="D86" s="6" t="s">
        <v>12</v>
      </c>
      <c r="E86" s="21"/>
      <c r="F86" s="20"/>
      <c r="G86" s="20"/>
    </row>
    <row r="87" spans="1:8" ht="24" customHeight="1" x14ac:dyDescent="0.2">
      <c r="A87" s="22"/>
      <c r="B87" s="23" t="s">
        <v>12</v>
      </c>
      <c r="C87" s="23" t="s">
        <v>97</v>
      </c>
      <c r="D87" s="23" t="s">
        <v>98</v>
      </c>
      <c r="E87" s="22"/>
      <c r="F87" s="22"/>
      <c r="G87" s="22"/>
    </row>
    <row r="88" spans="1:8" ht="18" customHeight="1" x14ac:dyDescent="0.2">
      <c r="A88" s="22"/>
      <c r="B88" s="24" t="s">
        <v>99</v>
      </c>
      <c r="C88" s="23" t="s">
        <v>582</v>
      </c>
      <c r="D88" s="23" t="s">
        <v>100</v>
      </c>
      <c r="E88" s="22"/>
      <c r="F88" s="22"/>
      <c r="G88" s="22"/>
    </row>
    <row r="89" spans="1:8" ht="17.100000000000001" customHeight="1" x14ac:dyDescent="0.2">
      <c r="A89" s="22"/>
      <c r="B89" s="9" t="s">
        <v>101</v>
      </c>
      <c r="C89" s="25">
        <v>1286.1772000000001</v>
      </c>
      <c r="D89" s="25">
        <v>1293.0832</v>
      </c>
      <c r="E89" s="22"/>
      <c r="F89" s="19"/>
      <c r="G89" s="26"/>
    </row>
    <row r="90" spans="1:8" ht="29.1" customHeight="1" x14ac:dyDescent="0.2">
      <c r="A90" s="22"/>
      <c r="B90" s="9" t="s">
        <v>552</v>
      </c>
      <c r="C90" s="25">
        <v>1000.03</v>
      </c>
      <c r="D90" s="25">
        <v>1000.03</v>
      </c>
      <c r="E90" s="22"/>
      <c r="F90" s="19"/>
      <c r="G90" s="26"/>
    </row>
    <row r="91" spans="1:8" ht="29.1" customHeight="1" x14ac:dyDescent="0.2">
      <c r="A91" s="22"/>
      <c r="B91" s="9" t="s">
        <v>553</v>
      </c>
      <c r="C91" s="25">
        <v>1049.6049</v>
      </c>
      <c r="D91" s="25">
        <v>1048.7022999999999</v>
      </c>
      <c r="E91" s="22"/>
      <c r="F91" s="19"/>
      <c r="G91" s="26"/>
    </row>
    <row r="92" spans="1:8" ht="29.1" customHeight="1" x14ac:dyDescent="0.2">
      <c r="A92" s="22"/>
      <c r="B92" s="9" t="s">
        <v>558</v>
      </c>
      <c r="C92" s="25">
        <v>1064.9096</v>
      </c>
      <c r="D92" s="25">
        <v>1063.9584</v>
      </c>
      <c r="E92" s="22"/>
      <c r="F92" s="19"/>
      <c r="G92" s="26"/>
    </row>
    <row r="93" spans="1:8" ht="29.1" customHeight="1" x14ac:dyDescent="0.2">
      <c r="A93" s="22"/>
      <c r="B93" s="9" t="s">
        <v>543</v>
      </c>
      <c r="C93" s="25">
        <v>1044.9585999999999</v>
      </c>
      <c r="D93" s="25">
        <v>1045.3431</v>
      </c>
      <c r="E93" s="22"/>
      <c r="F93" s="19"/>
      <c r="G93" s="26"/>
    </row>
    <row r="94" spans="1:8" ht="17.100000000000001" customHeight="1" x14ac:dyDescent="0.2">
      <c r="A94" s="22"/>
      <c r="B94" s="9" t="s">
        <v>102</v>
      </c>
      <c r="C94" s="25">
        <v>1279.576</v>
      </c>
      <c r="D94" s="25">
        <v>1286.3303000000001</v>
      </c>
      <c r="E94" s="22"/>
      <c r="F94" s="19"/>
      <c r="G94" s="26"/>
    </row>
    <row r="95" spans="1:8" ht="29.1" customHeight="1" x14ac:dyDescent="0.2">
      <c r="A95" s="22"/>
      <c r="B95" s="9" t="s">
        <v>555</v>
      </c>
      <c r="C95" s="25">
        <v>1000.03</v>
      </c>
      <c r="D95" s="25">
        <v>1000.03</v>
      </c>
      <c r="E95" s="22"/>
      <c r="F95" s="19"/>
      <c r="G95" s="26"/>
    </row>
    <row r="96" spans="1:8" ht="29.1" customHeight="1" x14ac:dyDescent="0.2">
      <c r="A96" s="22"/>
      <c r="B96" s="9" t="s">
        <v>556</v>
      </c>
      <c r="C96" s="25">
        <v>1048.4848</v>
      </c>
      <c r="D96" s="25">
        <v>1047.5454999999999</v>
      </c>
      <c r="E96" s="22"/>
      <c r="F96" s="19"/>
      <c r="G96" s="26"/>
    </row>
    <row r="97" spans="1:7" ht="29.1" customHeight="1" x14ac:dyDescent="0.2">
      <c r="A97" s="22"/>
      <c r="B97" s="9" t="s">
        <v>557</v>
      </c>
      <c r="C97" s="25">
        <v>1066.3092999999999</v>
      </c>
      <c r="D97" s="25">
        <v>1065.3825999999999</v>
      </c>
      <c r="E97" s="22"/>
      <c r="F97" s="19"/>
      <c r="G97" s="26"/>
    </row>
    <row r="98" spans="1:7" ht="29.1" customHeight="1" x14ac:dyDescent="0.2">
      <c r="A98" s="22"/>
      <c r="B98" s="9" t="s">
        <v>547</v>
      </c>
      <c r="C98" s="25">
        <v>1041.1976999999999</v>
      </c>
      <c r="D98" s="25">
        <v>1041.5833</v>
      </c>
      <c r="E98" s="22"/>
      <c r="F98" s="19"/>
      <c r="G98" s="26"/>
    </row>
    <row r="99" spans="1:7" ht="41.1" customHeight="1" x14ac:dyDescent="0.2">
      <c r="A99" s="22"/>
      <c r="B99" s="9" t="s">
        <v>586</v>
      </c>
      <c r="C99" s="25">
        <v>1000</v>
      </c>
      <c r="D99" s="25">
        <v>1000</v>
      </c>
      <c r="E99" s="22"/>
      <c r="F99" s="19"/>
      <c r="G99" s="26"/>
    </row>
    <row r="100" spans="1:7" ht="41.1" customHeight="1" x14ac:dyDescent="0.2">
      <c r="A100" s="22"/>
      <c r="B100" s="9" t="s">
        <v>587</v>
      </c>
      <c r="C100" s="25">
        <v>1145.6015</v>
      </c>
      <c r="D100" s="25">
        <v>1151.7532000000001</v>
      </c>
      <c r="E100" s="22"/>
      <c r="F100" s="19"/>
      <c r="G100" s="26"/>
    </row>
    <row r="101" spans="1:7" ht="41.1" customHeight="1" x14ac:dyDescent="0.2">
      <c r="A101" s="22"/>
      <c r="B101" s="9" t="s">
        <v>583</v>
      </c>
      <c r="C101" s="25">
        <v>1145.5875000000001</v>
      </c>
      <c r="D101" s="25">
        <v>1151.7385999999999</v>
      </c>
      <c r="E101" s="22"/>
      <c r="F101" s="19"/>
      <c r="G101" s="26"/>
    </row>
    <row r="102" spans="1:7" ht="41.1" customHeight="1" x14ac:dyDescent="0.2">
      <c r="A102" s="22"/>
      <c r="B102" s="9" t="s">
        <v>584</v>
      </c>
      <c r="C102" s="25">
        <v>1000</v>
      </c>
      <c r="D102" s="25">
        <v>1000</v>
      </c>
      <c r="E102" s="22"/>
      <c r="F102" s="19"/>
      <c r="G102" s="26"/>
    </row>
    <row r="103" spans="1:7" ht="14.1" customHeight="1" x14ac:dyDescent="0.2">
      <c r="A103" s="22"/>
      <c r="B103" s="22"/>
      <c r="C103" s="22"/>
      <c r="D103" s="22"/>
      <c r="E103" s="22"/>
      <c r="F103" s="22"/>
      <c r="G103" s="22"/>
    </row>
    <row r="104" spans="1:7" ht="17.100000000000001" customHeight="1" x14ac:dyDescent="0.2">
      <c r="A104" s="22"/>
      <c r="B104" s="117" t="s">
        <v>551</v>
      </c>
      <c r="C104" s="118"/>
      <c r="D104" s="2" t="s">
        <v>12</v>
      </c>
      <c r="E104" s="22"/>
      <c r="F104" s="22"/>
      <c r="G104" s="22"/>
    </row>
    <row r="105" spans="1:7" ht="18" customHeight="1" x14ac:dyDescent="0.2">
      <c r="A105" s="22"/>
      <c r="B105" s="27" t="s">
        <v>99</v>
      </c>
      <c r="C105" s="28" t="s">
        <v>103</v>
      </c>
      <c r="D105" s="28" t="s">
        <v>104</v>
      </c>
      <c r="E105" s="22"/>
      <c r="F105" s="22"/>
      <c r="G105" s="22"/>
    </row>
    <row r="106" spans="1:7" ht="29.1" customHeight="1" x14ac:dyDescent="0.2">
      <c r="A106" s="22"/>
      <c r="B106" s="9" t="s">
        <v>552</v>
      </c>
      <c r="C106" s="29">
        <v>5.3483499999999999</v>
      </c>
      <c r="D106" s="13" t="s">
        <v>105</v>
      </c>
      <c r="E106" s="22"/>
      <c r="F106" s="19"/>
      <c r="G106" s="26"/>
    </row>
    <row r="107" spans="1:7" ht="29.1" customHeight="1" x14ac:dyDescent="0.2">
      <c r="A107" s="22"/>
      <c r="B107" s="9" t="s">
        <v>553</v>
      </c>
      <c r="C107" s="29">
        <v>5.2651000000000003</v>
      </c>
      <c r="D107" s="13" t="s">
        <v>105</v>
      </c>
      <c r="E107" s="22"/>
      <c r="F107" s="19"/>
      <c r="G107" s="26"/>
    </row>
    <row r="108" spans="1:7" ht="29.1" customHeight="1" x14ac:dyDescent="0.2">
      <c r="A108" s="22"/>
      <c r="B108" s="9" t="s">
        <v>558</v>
      </c>
      <c r="C108" s="29">
        <v>6.6948999999999996</v>
      </c>
      <c r="D108" s="13" t="s">
        <v>105</v>
      </c>
      <c r="E108" s="22"/>
      <c r="F108" s="19"/>
      <c r="G108" s="26"/>
    </row>
    <row r="109" spans="1:7" ht="29.1" customHeight="1" x14ac:dyDescent="0.2">
      <c r="A109" s="22"/>
      <c r="B109" s="9" t="s">
        <v>543</v>
      </c>
      <c r="C109" s="29">
        <v>5.2229999999999999</v>
      </c>
      <c r="D109" s="13" t="s">
        <v>105</v>
      </c>
      <c r="E109" s="22"/>
      <c r="F109" s="19"/>
      <c r="G109" s="26"/>
    </row>
    <row r="110" spans="1:7" ht="29.1" customHeight="1" x14ac:dyDescent="0.2">
      <c r="A110" s="22"/>
      <c r="B110" s="9" t="s">
        <v>555</v>
      </c>
      <c r="C110" s="29">
        <v>5.2613050000000001</v>
      </c>
      <c r="D110" s="13" t="s">
        <v>105</v>
      </c>
      <c r="E110" s="22"/>
      <c r="F110" s="19"/>
      <c r="G110" s="26"/>
    </row>
    <row r="111" spans="1:7" ht="29.1" customHeight="1" x14ac:dyDescent="0.2">
      <c r="A111" s="22"/>
      <c r="B111" s="9" t="s">
        <v>556</v>
      </c>
      <c r="C111" s="29">
        <v>5.2301000000000002</v>
      </c>
      <c r="D111" s="13" t="s">
        <v>105</v>
      </c>
      <c r="E111" s="22"/>
      <c r="F111" s="19"/>
      <c r="G111" s="26"/>
    </row>
    <row r="112" spans="1:7" ht="29.1" customHeight="1" x14ac:dyDescent="0.2">
      <c r="A112" s="22"/>
      <c r="B112" s="9" t="s">
        <v>557</v>
      </c>
      <c r="C112" s="29">
        <v>6.5437000000000003</v>
      </c>
      <c r="D112" s="13" t="s">
        <v>105</v>
      </c>
      <c r="E112" s="22"/>
      <c r="F112" s="19"/>
      <c r="G112" s="26"/>
    </row>
    <row r="113" spans="1:17" ht="29.1" customHeight="1" x14ac:dyDescent="0.2">
      <c r="A113" s="22"/>
      <c r="B113" s="9" t="s">
        <v>547</v>
      </c>
      <c r="C113" s="29">
        <v>5.0910000000000002</v>
      </c>
      <c r="D113" s="13" t="s">
        <v>105</v>
      </c>
      <c r="E113" s="22"/>
      <c r="F113" s="19"/>
      <c r="G113" s="26"/>
    </row>
    <row r="114" spans="1:17" ht="14.1" customHeight="1" x14ac:dyDescent="0.2">
      <c r="A114" s="55"/>
      <c r="B114" s="47"/>
      <c r="C114" s="47"/>
      <c r="D114" s="55"/>
      <c r="E114" s="55"/>
      <c r="F114" s="55"/>
      <c r="G114" s="55"/>
      <c r="H114" s="55"/>
      <c r="L114" s="41"/>
      <c r="M114" s="41"/>
      <c r="N114" s="41"/>
      <c r="O114" s="59"/>
      <c r="P114" s="60"/>
      <c r="Q114" s="60"/>
    </row>
    <row r="115" spans="1:17" s="60" customFormat="1" ht="29.1" customHeight="1" x14ac:dyDescent="0.2">
      <c r="A115" s="58"/>
      <c r="B115" s="112" t="s">
        <v>106</v>
      </c>
      <c r="C115" s="113"/>
      <c r="D115" s="52" t="s">
        <v>94</v>
      </c>
      <c r="E115" s="58"/>
      <c r="F115" s="58"/>
      <c r="G115" s="58"/>
      <c r="H115" s="58"/>
      <c r="I115"/>
      <c r="J115" s="37"/>
      <c r="K115"/>
      <c r="L115" s="41"/>
      <c r="M115" s="41"/>
      <c r="N115" s="41"/>
      <c r="O115" s="59"/>
    </row>
    <row r="116" spans="1:17" s="60" customFormat="1" ht="29.1" customHeight="1" x14ac:dyDescent="0.2">
      <c r="A116" s="58"/>
      <c r="B116" s="112" t="s">
        <v>107</v>
      </c>
      <c r="C116" s="113"/>
      <c r="D116" s="52" t="s">
        <v>94</v>
      </c>
      <c r="E116" s="61"/>
      <c r="F116" s="58"/>
      <c r="G116" s="58"/>
      <c r="H116" s="58"/>
      <c r="I116"/>
      <c r="J116" s="37"/>
      <c r="K116"/>
      <c r="L116" s="41"/>
      <c r="M116" s="41"/>
      <c r="N116" s="41"/>
      <c r="O116" s="59"/>
    </row>
    <row r="117" spans="1:17" s="60" customFormat="1" ht="17.100000000000001" customHeight="1" x14ac:dyDescent="0.2">
      <c r="A117" s="58"/>
      <c r="B117" s="112" t="s">
        <v>503</v>
      </c>
      <c r="C117" s="113"/>
      <c r="D117" s="52" t="s">
        <v>94</v>
      </c>
      <c r="E117" s="61"/>
      <c r="F117" s="58"/>
      <c r="G117" s="58"/>
      <c r="H117" s="58"/>
      <c r="I117"/>
      <c r="J117" s="37"/>
      <c r="K117"/>
      <c r="L117" s="41"/>
      <c r="M117" s="41"/>
      <c r="N117" s="41"/>
      <c r="O117" s="59"/>
    </row>
    <row r="118" spans="1:17" s="60" customFormat="1" x14ac:dyDescent="0.2">
      <c r="G118" s="58"/>
      <c r="H118" s="58"/>
      <c r="I118"/>
      <c r="J118" s="37"/>
      <c r="K118" s="41"/>
      <c r="L118" s="41"/>
      <c r="M118" s="41"/>
      <c r="N118" s="41"/>
      <c r="O118" s="59"/>
    </row>
    <row r="119" spans="1:17" s="60" customFormat="1" x14ac:dyDescent="0.2">
      <c r="B119" s="109" t="s">
        <v>504</v>
      </c>
      <c r="C119" s="110"/>
      <c r="D119" s="111"/>
      <c r="I119"/>
      <c r="J119" s="37"/>
      <c r="K119" s="41"/>
      <c r="L119" s="41"/>
      <c r="M119" s="41"/>
      <c r="N119" s="41"/>
      <c r="O119" s="59"/>
    </row>
    <row r="120" spans="1:17" s="60" customFormat="1" ht="25.5" x14ac:dyDescent="0.2">
      <c r="B120" s="103" t="s">
        <v>505</v>
      </c>
      <c r="C120" s="103"/>
      <c r="D120" s="62" t="s">
        <v>460</v>
      </c>
      <c r="I120"/>
      <c r="J120" s="37"/>
      <c r="K120" s="41"/>
      <c r="L120" s="41"/>
      <c r="M120" s="41"/>
      <c r="N120" s="41"/>
      <c r="O120" s="59"/>
    </row>
    <row r="121" spans="1:17" s="60" customFormat="1" x14ac:dyDescent="0.2">
      <c r="B121" s="103" t="s">
        <v>506</v>
      </c>
      <c r="C121" s="103"/>
      <c r="D121" s="63"/>
      <c r="I121"/>
      <c r="J121" s="37"/>
      <c r="K121" s="41"/>
      <c r="L121" s="41"/>
      <c r="M121" s="41"/>
      <c r="N121" s="41"/>
      <c r="O121" s="59"/>
    </row>
    <row r="122" spans="1:17" s="60" customFormat="1" x14ac:dyDescent="0.2">
      <c r="B122" s="103"/>
      <c r="C122" s="103"/>
      <c r="D122" s="64"/>
      <c r="I122"/>
      <c r="J122" s="37"/>
      <c r="K122" s="41"/>
      <c r="L122" s="41"/>
      <c r="M122" s="41"/>
      <c r="N122" s="41"/>
      <c r="O122" s="59"/>
    </row>
    <row r="123" spans="1:17" s="60" customFormat="1" x14ac:dyDescent="0.2">
      <c r="B123" s="103" t="s">
        <v>507</v>
      </c>
      <c r="C123" s="103"/>
      <c r="D123" s="65">
        <v>6.7259691021981451</v>
      </c>
      <c r="I123"/>
      <c r="J123" s="37"/>
      <c r="K123" s="41"/>
      <c r="L123" s="41"/>
      <c r="M123" s="41"/>
      <c r="N123" s="41"/>
      <c r="O123" s="59"/>
    </row>
    <row r="124" spans="1:17" s="60" customFormat="1" x14ac:dyDescent="0.2">
      <c r="B124" s="103"/>
      <c r="C124" s="103"/>
      <c r="D124" s="64"/>
      <c r="I124"/>
      <c r="J124" s="37"/>
      <c r="K124" s="41"/>
      <c r="L124" s="41"/>
      <c r="M124" s="41"/>
      <c r="N124" s="41"/>
      <c r="O124"/>
    </row>
    <row r="125" spans="1:17" s="60" customFormat="1" x14ac:dyDescent="0.2">
      <c r="B125" s="103" t="s">
        <v>508</v>
      </c>
      <c r="C125" s="103"/>
      <c r="D125" s="65">
        <v>2</v>
      </c>
      <c r="I125"/>
      <c r="J125" s="37"/>
      <c r="K125" s="41"/>
      <c r="L125" s="41"/>
      <c r="M125" s="41"/>
      <c r="N125" s="41"/>
      <c r="O125"/>
      <c r="P125"/>
      <c r="Q125"/>
    </row>
    <row r="126" spans="1:17" s="60" customFormat="1" x14ac:dyDescent="0.2">
      <c r="B126" s="103" t="s">
        <v>509</v>
      </c>
      <c r="C126" s="103"/>
      <c r="D126" s="65">
        <v>2</v>
      </c>
      <c r="I126"/>
      <c r="J126" s="37"/>
      <c r="K126" s="41"/>
      <c r="L126" s="41"/>
      <c r="M126" s="41"/>
      <c r="N126" s="41"/>
      <c r="O126"/>
      <c r="P126"/>
      <c r="Q126"/>
    </row>
    <row r="127" spans="1:17" s="60" customFormat="1" x14ac:dyDescent="0.2">
      <c r="B127" s="103"/>
      <c r="C127" s="103"/>
      <c r="D127" s="64"/>
      <c r="I127"/>
      <c r="J127" s="37"/>
      <c r="K127" s="41"/>
      <c r="L127" s="41"/>
      <c r="M127" s="41"/>
      <c r="N127" s="41"/>
      <c r="O127"/>
      <c r="P127"/>
      <c r="Q127"/>
    </row>
    <row r="128" spans="1:17" s="60" customFormat="1" x14ac:dyDescent="0.2">
      <c r="B128" s="103" t="s">
        <v>510</v>
      </c>
      <c r="C128" s="103"/>
      <c r="D128" s="66">
        <v>45473</v>
      </c>
      <c r="I128"/>
      <c r="J128" s="37"/>
      <c r="K128" s="41"/>
      <c r="L128" s="41"/>
      <c r="M128" s="41"/>
      <c r="N128" s="41"/>
      <c r="O128"/>
      <c r="P128"/>
      <c r="Q128"/>
    </row>
    <row r="129" spans="2:17" s="60" customFormat="1" x14ac:dyDescent="0.2">
      <c r="B129" s="104" t="s">
        <v>511</v>
      </c>
      <c r="C129" s="106"/>
      <c r="D129" s="105"/>
      <c r="I129"/>
      <c r="J129" s="37"/>
      <c r="K129"/>
      <c r="L129" s="41"/>
      <c r="M129" s="41"/>
      <c r="N129" s="41"/>
      <c r="O129"/>
      <c r="P129"/>
      <c r="Q129"/>
    </row>
  </sheetData>
  <mergeCells count="25">
    <mergeCell ref="B119:D119"/>
    <mergeCell ref="B81:H81"/>
    <mergeCell ref="B116:C116"/>
    <mergeCell ref="B117:C117"/>
    <mergeCell ref="B83:D83"/>
    <mergeCell ref="B84:C84"/>
    <mergeCell ref="B85:C85"/>
    <mergeCell ref="B86:C86"/>
    <mergeCell ref="B115:C115"/>
    <mergeCell ref="B104:C104"/>
    <mergeCell ref="A1:H1"/>
    <mergeCell ref="A2:H2"/>
    <mergeCell ref="A3:H3"/>
    <mergeCell ref="B79:H79"/>
    <mergeCell ref="B80:H80"/>
    <mergeCell ref="B120:C120"/>
    <mergeCell ref="B121:C121"/>
    <mergeCell ref="B122:C122"/>
    <mergeCell ref="B123:C123"/>
    <mergeCell ref="B124:C124"/>
    <mergeCell ref="B125:C125"/>
    <mergeCell ref="B126:C126"/>
    <mergeCell ref="B127:C127"/>
    <mergeCell ref="B128:C128"/>
    <mergeCell ref="B129:D129"/>
  </mergeCells>
  <hyperlinks>
    <hyperlink ref="I1" location="Index!B11" display="Index" xr:uid="{9519180A-7373-4FC6-9A4E-4586545AB4CF}"/>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Swapna.N - Sundaram Mutual</cp:lastModifiedBy>
  <dcterms:created xsi:type="dcterms:W3CDTF">2024-07-03T10:42:34Z</dcterms:created>
  <dcterms:modified xsi:type="dcterms:W3CDTF">2024-07-10T09:11:36Z</dcterms:modified>
</cp:coreProperties>
</file>