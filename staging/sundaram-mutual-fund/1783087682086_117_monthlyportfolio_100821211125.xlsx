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view\2021-22\4. Jul 2021\final\"/>
    </mc:Choice>
  </mc:AlternateContent>
  <xr:revisionPtr revIDLastSave="0" documentId="13_ncr:1_{8BEC5F52-FC32-4434-9062-F4B22B7FE9B3}" xr6:coauthVersionLast="47" xr6:coauthVersionMax="47" xr10:uidLastSave="{00000000-0000-0000-0000-000000000000}"/>
  <bookViews>
    <workbookView xWindow="-120" yWindow="-120" windowWidth="20730" windowHeight="11160" tabRatio="685" xr2:uid="{00000000-000D-0000-FFFF-FFFF00000000}"/>
  </bookViews>
  <sheets>
    <sheet name="Index" sheetId="39" r:id="rId1"/>
    <sheet name="CAPEXG" sheetId="1" r:id="rId2"/>
    <sheet name="MICAP14" sheetId="2" r:id="rId3"/>
    <sheet name="MICAP15" sheetId="3" r:id="rId4"/>
    <sheet name="MICAP16" sheetId="4" r:id="rId5"/>
    <sheet name="MICAP17" sheetId="5" r:id="rId6"/>
    <sheet name="MIDCAP" sheetId="6" r:id="rId7"/>
    <sheet name="MULTI1" sheetId="7" r:id="rId8"/>
    <sheet name="MULTI2" sheetId="8" r:id="rId9"/>
    <sheet name="MULTIP" sheetId="9" r:id="rId10"/>
    <sheet name="SESCAP1" sheetId="10" r:id="rId11"/>
    <sheet name="SESCAP2" sheetId="11" r:id="rId12"/>
    <sheet name="SESCAP3" sheetId="12" r:id="rId13"/>
    <sheet name="SESCAP4" sheetId="13" r:id="rId14"/>
    <sheet name="SESCAP5" sheetId="14" r:id="rId15"/>
    <sheet name="SESCAP6" sheetId="15" r:id="rId16"/>
    <sheet name="SESCAP7" sheetId="16" r:id="rId17"/>
    <sheet name="SFOCUS" sheetId="17" r:id="rId18"/>
    <sheet name="SLTADV3" sheetId="18" r:id="rId19"/>
    <sheet name="SLTADV4" sheetId="19" r:id="rId20"/>
    <sheet name="SLTAX1" sheetId="20" r:id="rId21"/>
    <sheet name="SLTAX2" sheetId="21" r:id="rId22"/>
    <sheet name="SLTAX3" sheetId="22" r:id="rId23"/>
    <sheet name="SLTAX4" sheetId="23" r:id="rId24"/>
    <sheet name="SLTAX5" sheetId="24" r:id="rId25"/>
    <sheet name="SLTAX6" sheetId="25" r:id="rId26"/>
    <sheet name="SMILE" sheetId="26" r:id="rId27"/>
    <sheet name="SRURAL" sheetId="27" r:id="rId28"/>
    <sheet name="SSFUND" sheetId="28" r:id="rId29"/>
    <sheet name="SSN100" sheetId="29" r:id="rId30"/>
    <sheet name="STAX" sheetId="30" r:id="rId31"/>
    <sheet name="SUNARF" sheetId="31" r:id="rId32"/>
    <sheet name="SUNBAF" sheetId="42" r:id="rId33"/>
    <sheet name="SUNBAL" sheetId="43" r:id="rId34"/>
    <sheet name="SUNBCF" sheetId="32" r:id="rId35"/>
    <sheet name="SUNEQF" sheetId="33" r:id="rId36"/>
    <sheet name="SUNESF" sheetId="34" r:id="rId37"/>
    <sheet name="SUNFOP" sheetId="35" r:id="rId38"/>
    <sheet name="SUNVALF10" sheetId="36" r:id="rId39"/>
    <sheet name="SUNVALF7" sheetId="37" r:id="rId40"/>
    <sheet name="SUNVALF9" sheetId="38" r:id="rId41"/>
    <sheet name="GLOB" sheetId="41" r:id="rId42"/>
    <sheet name="Annexure A" sheetId="44" r:id="rId43"/>
    <sheet name="Annexure B" sheetId="40" r:id="rId44"/>
  </sheets>
  <definedNames>
    <definedName name="_xlnm._FilterDatabase" localSheetId="1" hidden="1">CAPEXG!$A$7:$G$46</definedName>
    <definedName name="_xlnm._FilterDatabase" localSheetId="0" hidden="1">Index!$A$1:$C$42</definedName>
    <definedName name="_xlnm._FilterDatabase" localSheetId="2" hidden="1">MICAP14!$A$7:$G$166</definedName>
    <definedName name="_xlnm._FilterDatabase" localSheetId="3" hidden="1">MICAP15!$A$7:$G$165</definedName>
    <definedName name="_xlnm._FilterDatabase" localSheetId="4" hidden="1">MICAP16!$A$7:$G$77</definedName>
    <definedName name="_xlnm._FilterDatabase" localSheetId="5" hidden="1">MICAP17!$A$7:$G$7</definedName>
    <definedName name="_xlnm._FilterDatabase" localSheetId="6" hidden="1">MIDCAP!$A$6:$G$158</definedName>
    <definedName name="_xlnm._FilterDatabase" localSheetId="7" hidden="1">MULTI1!$A$6:$G$147</definedName>
    <definedName name="_xlnm._FilterDatabase" localSheetId="8" hidden="1">MULTI2!$A$7:$G$147</definedName>
    <definedName name="_xlnm._FilterDatabase" localSheetId="9" hidden="1">MULTIP!$A$7:$G$7</definedName>
    <definedName name="_xlnm._FilterDatabase" localSheetId="10" hidden="1">SESCAP1!$A$7:$G$168</definedName>
    <definedName name="_xlnm._FilterDatabase" localSheetId="11" hidden="1">SESCAP2!$A$6:$G$168</definedName>
    <definedName name="_xlnm._FilterDatabase" localSheetId="12" hidden="1">SESCAP3!$A$7:$G$167</definedName>
    <definedName name="_xlnm._FilterDatabase" localSheetId="13" hidden="1">SESCAP4!$A$6:$G$167</definedName>
    <definedName name="_xlnm._FilterDatabase" localSheetId="14" hidden="1">SESCAP5!$A$6:$G$78</definedName>
    <definedName name="_xlnm._FilterDatabase" localSheetId="15" hidden="1">SESCAP6!$A$6:$G$165</definedName>
    <definedName name="_xlnm._FilterDatabase" localSheetId="16" hidden="1">SESCAP7!$A$7:$G$159</definedName>
    <definedName name="_xlnm._FilterDatabase" localSheetId="17" hidden="1">SFOCUS!$A$7:$G$126</definedName>
    <definedName name="_xlnm._FilterDatabase" localSheetId="18" hidden="1">SLTADV3!$A$7:$G$7</definedName>
    <definedName name="_xlnm._FilterDatabase" localSheetId="19" hidden="1">SLTADV4!$A$6:$G$157</definedName>
    <definedName name="_xlnm._FilterDatabase" localSheetId="20" hidden="1">SLTAX1!$A$6:$G$136</definedName>
    <definedName name="_xlnm._FilterDatabase" localSheetId="21" hidden="1">SLTAX2!$A$7:$G$133</definedName>
    <definedName name="_xlnm._FilterDatabase" localSheetId="22" hidden="1">SLTAX3!$A$6:$G$157</definedName>
    <definedName name="_xlnm._FilterDatabase" localSheetId="23" hidden="1">SLTAX4!$A$6:$G$156</definedName>
    <definedName name="_xlnm._FilterDatabase" localSheetId="24" hidden="1">SLTAX5!$A$7:$G$159</definedName>
    <definedName name="_xlnm._FilterDatabase" localSheetId="25" hidden="1">SLTAX6!$A$6:$G$160</definedName>
    <definedName name="_xlnm._FilterDatabase" localSheetId="26" hidden="1">SMILE!$A$7:$G$162</definedName>
    <definedName name="_xlnm._FilterDatabase" localSheetId="27" hidden="1">SRURAL!$A$6:$G$132</definedName>
    <definedName name="_xlnm._FilterDatabase" localSheetId="28" hidden="1">SSFUND!$A$7:$G$57</definedName>
    <definedName name="_xlnm._FilterDatabase" localSheetId="29" hidden="1">'SSN100'!$A$6:$G$196</definedName>
    <definedName name="_xlnm._FilterDatabase" localSheetId="30" hidden="1">STAX!$A$7:$G$144</definedName>
    <definedName name="_xlnm._FilterDatabase" localSheetId="31" hidden="1">SUNARF!$A$7:$G$136</definedName>
    <definedName name="_xlnm._FilterDatabase" localSheetId="32" hidden="1">SUNBAF!$A$6:$G$74</definedName>
    <definedName name="_xlnm._FilterDatabase" localSheetId="33" hidden="1">SUNBAL!$A$76:$G$172</definedName>
    <definedName name="_xlnm._FilterDatabase" localSheetId="34" hidden="1">SUNBCF!$A$7:$G$142</definedName>
    <definedName name="_xlnm._FilterDatabase" localSheetId="35" hidden="1">SUNEQF!$A$7:$G$158</definedName>
    <definedName name="_xlnm._FilterDatabase" localSheetId="36" hidden="1">SUNESF!$A$7:$G$160</definedName>
    <definedName name="_xlnm._FilterDatabase" localSheetId="37" hidden="1">SUNFOP!$A$7:$G$122</definedName>
    <definedName name="_xlnm._FilterDatabase" localSheetId="38" hidden="1">SUNVALF10!$A$6:$G$134</definedName>
    <definedName name="_xlnm._FilterDatabase" localSheetId="39" hidden="1">SUNVALF7!$A$7:$G$130</definedName>
    <definedName name="_xlnm._FilterDatabase" localSheetId="40" hidden="1">SUNVALF9!$A$6:$G$134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3" i="44" l="1"/>
  <c r="G146" i="44"/>
  <c r="G145" i="44"/>
  <c r="G144" i="44"/>
  <c r="G143" i="44"/>
  <c r="G142" i="44"/>
  <c r="G141" i="44"/>
  <c r="G140" i="44"/>
  <c r="G139" i="44"/>
  <c r="G138" i="44"/>
  <c r="G137" i="44"/>
  <c r="G136" i="44"/>
  <c r="G135" i="44"/>
  <c r="G134" i="44"/>
  <c r="G133" i="44"/>
  <c r="G132" i="44"/>
  <c r="G131" i="44"/>
  <c r="G130" i="44"/>
  <c r="G99" i="44"/>
  <c r="G98" i="44"/>
  <c r="G97" i="44"/>
  <c r="G96" i="44"/>
  <c r="G95" i="44"/>
  <c r="G94" i="44"/>
  <c r="G93" i="44"/>
  <c r="G92" i="44"/>
  <c r="G91" i="44"/>
  <c r="G90" i="44"/>
  <c r="G89" i="44"/>
  <c r="G88" i="44"/>
  <c r="G87" i="44"/>
  <c r="G86" i="44"/>
  <c r="G85" i="44"/>
  <c r="G84" i="44"/>
  <c r="G83" i="44"/>
  <c r="B83" i="44"/>
  <c r="G82" i="44"/>
  <c r="B82" i="44"/>
  <c r="G81" i="44"/>
  <c r="G80" i="44"/>
  <c r="G79" i="44"/>
  <c r="G81" i="34"/>
  <c r="F81" i="34"/>
  <c r="G135" i="33"/>
  <c r="F135" i="33"/>
  <c r="F119" i="32"/>
  <c r="F109" i="27"/>
  <c r="F137" i="26"/>
  <c r="F102" i="17"/>
  <c r="G12" i="41" l="1"/>
  <c r="G11" i="41"/>
  <c r="G6" i="41"/>
</calcChain>
</file>

<file path=xl/sharedStrings.xml><?xml version="1.0" encoding="utf-8"?>
<sst xmlns="http://schemas.openxmlformats.org/spreadsheetml/2006/main" count="30008" uniqueCount="1064">
  <si>
    <t>SUNDARAM MUTUAL FUND</t>
  </si>
  <si>
    <t>Sundaram Infrastructure Advantage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</si>
  <si>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</si>
  <si>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</si>
  <si>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</si>
  <si>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</si>
  <si>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</si>
  <si>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</si>
  <si>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</si>
  <si>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/>
  </si>
  <si>
    <t>A) Equity &amp; Equity Related</t>
  </si>
  <si>
    <t>(a) Listed / awaiting listing on Stock Exchange</t>
  </si>
  <si>
    <t>INE018A01030</t>
  </si>
  <si>
    <t>Larsen &amp; Toubro Ltd</t>
  </si>
  <si>
    <t>Construction Project</t>
  </si>
  <si>
    <t>INE002A01018</t>
  </si>
  <si>
    <t>Reliance Industries Ltd</t>
  </si>
  <si>
    <t>Petroleum Products</t>
  </si>
  <si>
    <t>INE331A01037</t>
  </si>
  <si>
    <t>The Ramco Cements Ltd</t>
  </si>
  <si>
    <t>INE090A01021</t>
  </si>
  <si>
    <t>ICICI Bank Ltd</t>
  </si>
  <si>
    <t>Banks</t>
  </si>
  <si>
    <t>INE397D01024</t>
  </si>
  <si>
    <t>Bharti Airtel Ltd</t>
  </si>
  <si>
    <t>Telecom - Services</t>
  </si>
  <si>
    <t>INE536A01023</t>
  </si>
  <si>
    <t>Grindwell Norton Ltd</t>
  </si>
  <si>
    <t>Industrial Products</t>
  </si>
  <si>
    <t>INE823G01014</t>
  </si>
  <si>
    <t>JK Cement Ltd</t>
  </si>
  <si>
    <t>INE455K01017</t>
  </si>
  <si>
    <t>Polycab India Ltd</t>
  </si>
  <si>
    <t>INE481G01011</t>
  </si>
  <si>
    <t>Ultratech Cement Ltd</t>
  </si>
  <si>
    <t>INE791I01019</t>
  </si>
  <si>
    <t>Brigade Enterprises Ltd</t>
  </si>
  <si>
    <t>Construction</t>
  </si>
  <si>
    <t>INE671A01010</t>
  </si>
  <si>
    <t>Honeywell Automation India Ltd</t>
  </si>
  <si>
    <t>Industrial Capital Goods</t>
  </si>
  <si>
    <t>INE999A01015</t>
  </si>
  <si>
    <t>KSB Ltd</t>
  </si>
  <si>
    <t>INE245A01021</t>
  </si>
  <si>
    <t>Tata Power Company Ltd</t>
  </si>
  <si>
    <t>Power</t>
  </si>
  <si>
    <t>INE284A01012</t>
  </si>
  <si>
    <t>ESAB India Ltd</t>
  </si>
  <si>
    <t>INE766P01016</t>
  </si>
  <si>
    <t>Mahindra Logistics Ltd</t>
  </si>
  <si>
    <t>Transportation</t>
  </si>
  <si>
    <t>INE386C01029</t>
  </si>
  <si>
    <t>Astra Microwave Products Ltd</t>
  </si>
  <si>
    <t>INE029A01011</t>
  </si>
  <si>
    <t>Bharat Petroleum Corporation Ltd</t>
  </si>
  <si>
    <t>INE264T01014</t>
  </si>
  <si>
    <t>Capacite Infraprojects Ltd</t>
  </si>
  <si>
    <t>INE114A01011</t>
  </si>
  <si>
    <t>Steel Authority of India Ltd</t>
  </si>
  <si>
    <t>Ferrous Metals</t>
  </si>
  <si>
    <t>INE371P01015</t>
  </si>
  <si>
    <t>Amber Enterprises India Ltd</t>
  </si>
  <si>
    <t>Consumer Durables</t>
  </si>
  <si>
    <t>INE858B01029</t>
  </si>
  <si>
    <t>ISGEC Heavy  Engineering Ltd</t>
  </si>
  <si>
    <t>INE531A01024</t>
  </si>
  <si>
    <t>Kansai Nerolac Paints Ltd</t>
  </si>
  <si>
    <t>Consumer Non Durables</t>
  </si>
  <si>
    <t>INE074A01025</t>
  </si>
  <si>
    <t>Praj Industries Ltd</t>
  </si>
  <si>
    <t>INE541A01023</t>
  </si>
  <si>
    <t>GMM Pfaudler Ltd</t>
  </si>
  <si>
    <t>INE298A01020</t>
  </si>
  <si>
    <t>Cummins India Ltd</t>
  </si>
  <si>
    <t>INE129A01019</t>
  </si>
  <si>
    <t>GAIL (India) Ltd</t>
  </si>
  <si>
    <t>Gas</t>
  </si>
  <si>
    <t>INE08ZM01014</t>
  </si>
  <si>
    <t>Green Panel Industries Ltd</t>
  </si>
  <si>
    <t>INE040A01034</t>
  </si>
  <si>
    <t>HDFC Bank Ltd</t>
  </si>
  <si>
    <t>INE868B01028</t>
  </si>
  <si>
    <t>NCC Ltd</t>
  </si>
  <si>
    <t>INE213A01029</t>
  </si>
  <si>
    <t>Oil &amp; Natural Gas Corporation Ltd</t>
  </si>
  <si>
    <t>Oil</t>
  </si>
  <si>
    <t>INE208A01029</t>
  </si>
  <si>
    <t>Ashok Leyland Ltd</t>
  </si>
  <si>
    <t>Auto</t>
  </si>
  <si>
    <t>INE811K01011</t>
  </si>
  <si>
    <t>Prestige Estates Projects Ltd</t>
  </si>
  <si>
    <t>INE347G01014</t>
  </si>
  <si>
    <t>Petronet LNG Ltd</t>
  </si>
  <si>
    <t>INE513A01014</t>
  </si>
  <si>
    <t>Schaeffler India Ltd</t>
  </si>
  <si>
    <t>INE742F01042</t>
  </si>
  <si>
    <t>Adani Ports and Special Economic Zone Ltd</t>
  </si>
  <si>
    <t>INE324L01013</t>
  </si>
  <si>
    <t>R.P.P. Infra Projects Ltd</t>
  </si>
  <si>
    <t>INE00R701025</t>
  </si>
  <si>
    <t>Dalmia Cement (Bharat) Ltd.</t>
  </si>
  <si>
    <t>INE203G01027</t>
  </si>
  <si>
    <t>Indraprastha Gas Ltd</t>
  </si>
  <si>
    <t>INE246F01010</t>
  </si>
  <si>
    <t>Gujarat State Petronet Ltd</t>
  </si>
  <si>
    <t>INE419M01019</t>
  </si>
  <si>
    <t>TD Power Systems Ltd</t>
  </si>
  <si>
    <t>INE551A01022</t>
  </si>
  <si>
    <t>Engineering Services</t>
  </si>
  <si>
    <t>#</t>
  </si>
  <si>
    <t>Sub Total</t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</si>
  <si>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</si>
  <si>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</si>
  <si>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</si>
  <si>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</si>
  <si>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</si>
  <si>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</si>
  <si>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</si>
  <si>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</si>
  <si>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</si>
  <si>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</si>
  <si>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</si>
  <si>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</si>
  <si>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</si>
  <si>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</si>
  <si>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</si>
  <si>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</si>
  <si>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</si>
  <si>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Reverse Repo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</si>
  <si>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</si>
  <si>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</si>
  <si>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</si>
  <si>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</si>
  <si>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</si>
  <si>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</si>
  <si>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</si>
  <si>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</si>
  <si>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</si>
  <si>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</si>
  <si>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</si>
  <si>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</si>
  <si>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</si>
  <si>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</si>
  <si>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</si>
  <si>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</si>
  <si>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</si>
  <si>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30/06/2021</t>
  </si>
  <si>
    <t>31/07/2021</t>
  </si>
  <si>
    <t>Direct Plan - Growth</t>
  </si>
  <si>
    <t>Regular Plan - Growth</t>
  </si>
  <si>
    <t xml:space="preserve"> 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</si>
  <si>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</si>
  <si>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</si>
  <si>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</si>
  <si>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</si>
  <si>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XIV</t>
  </si>
  <si>
    <t>INE048G01026</t>
  </si>
  <si>
    <t>Navin Fluorine International Ltd</t>
  </si>
  <si>
    <t>Chemicals</t>
  </si>
  <si>
    <t>INE988K01017</t>
  </si>
  <si>
    <t>Equitas Holdings Ltd</t>
  </si>
  <si>
    <t>Finance</t>
  </si>
  <si>
    <t>INE02A801020</t>
  </si>
  <si>
    <t>Rossari Biotech Ltd</t>
  </si>
  <si>
    <t>INE227C01017</t>
  </si>
  <si>
    <t>MM Forgings Ltd</t>
  </si>
  <si>
    <t>INE732I01013</t>
  </si>
  <si>
    <t>Angel Broking ltd</t>
  </si>
  <si>
    <t>INE878B01027</t>
  </si>
  <si>
    <t>KEI Industries Ltd</t>
  </si>
  <si>
    <t>INE296E01026</t>
  </si>
  <si>
    <t>Rajapalayam Mills Ltd</t>
  </si>
  <si>
    <t>Textiles - Cotton</t>
  </si>
  <si>
    <t>INE419U01012</t>
  </si>
  <si>
    <t>Happiest Minds Technologies Limited</t>
  </si>
  <si>
    <t>INE348B01021</t>
  </si>
  <si>
    <t>Century Plyboards (India) Ltd</t>
  </si>
  <si>
    <t>INE04I401011</t>
  </si>
  <si>
    <t>KPIT Technologies Ltd</t>
  </si>
  <si>
    <t>Software</t>
  </si>
  <si>
    <t>INE594H01019</t>
  </si>
  <si>
    <t>Thyrocare Technologies Ltd</t>
  </si>
  <si>
    <t>Healthcare Services</t>
  </si>
  <si>
    <t>INE884B01025</t>
  </si>
  <si>
    <t>Kirloskar Ferrous Ind Ltd</t>
  </si>
  <si>
    <t>INE220B01022</t>
  </si>
  <si>
    <t>Kalpataru Power Transmission Ltd</t>
  </si>
  <si>
    <t>INE075I01017</t>
  </si>
  <si>
    <t>Healthcare Global Enterprises Ltd</t>
  </si>
  <si>
    <t>INE262H01013</t>
  </si>
  <si>
    <t>Persistent Systems Ltd</t>
  </si>
  <si>
    <t>INE578A01017</t>
  </si>
  <si>
    <t>HeidelbergCement India Ltd</t>
  </si>
  <si>
    <t>INE934S01014</t>
  </si>
  <si>
    <t>GNA Axles Ltd</t>
  </si>
  <si>
    <t>Auto Ancillaries</t>
  </si>
  <si>
    <t>INE312H01016</t>
  </si>
  <si>
    <t>INOX Leisure Ltd</t>
  </si>
  <si>
    <t>INE873D01024</t>
  </si>
  <si>
    <t>Indoco Remedies Ltd</t>
  </si>
  <si>
    <t>Pharmaceuticals</t>
  </si>
  <si>
    <t>INE978A01027</t>
  </si>
  <si>
    <t>Heritage Foods Ltd</t>
  </si>
  <si>
    <t>INE136B01020</t>
  </si>
  <si>
    <t>Cyient Ltd</t>
  </si>
  <si>
    <t>INE049A01027</t>
  </si>
  <si>
    <t>Himatsingka Seide Ltd</t>
  </si>
  <si>
    <t>Textile Products</t>
  </si>
  <si>
    <t>INE481N01025</t>
  </si>
  <si>
    <t>Home First Finance Company Ltd</t>
  </si>
  <si>
    <t>INE974X01010</t>
  </si>
  <si>
    <t>Tube Investments of India Ltd</t>
  </si>
  <si>
    <t>INE615P01015</t>
  </si>
  <si>
    <t>Quess Corp Ltd</t>
  </si>
  <si>
    <t>INE00WC01019</t>
  </si>
  <si>
    <t>Affle (India) Ltd</t>
  </si>
  <si>
    <t>INE947Q01028</t>
  </si>
  <si>
    <t>Laurus Labs Ltd</t>
  </si>
  <si>
    <t>INE864I01014</t>
  </si>
  <si>
    <t>MTAR Technologies Ltd</t>
  </si>
  <si>
    <t>INE325A01013</t>
  </si>
  <si>
    <t>Timken India Ltd</t>
  </si>
  <si>
    <t>INE442H01029</t>
  </si>
  <si>
    <t>Ashoka Buildcon Ltd</t>
  </si>
  <si>
    <t>INE477A01020</t>
  </si>
  <si>
    <t>Can Fin Homes Ltd</t>
  </si>
  <si>
    <t>INE782A01015</t>
  </si>
  <si>
    <t>Johnson Controls-Hitachi AirConditioning India Ltd</t>
  </si>
  <si>
    <t>INE00IN01015</t>
  </si>
  <si>
    <t>Stove Kraft Ltd</t>
  </si>
  <si>
    <t>INE834I01025</t>
  </si>
  <si>
    <t>Khadim India Ltd</t>
  </si>
  <si>
    <t>INE211B01039</t>
  </si>
  <si>
    <t>The Phoenix Mills Ltd</t>
  </si>
  <si>
    <t>INE421D01022</t>
  </si>
  <si>
    <t>CCL Products (India) Ltd</t>
  </si>
  <si>
    <t>INE043D01016</t>
  </si>
  <si>
    <t>IDFC Ltd</t>
  </si>
  <si>
    <t>INE092B01025</t>
  </si>
  <si>
    <t>India Nippon Electricals Ltd</t>
  </si>
  <si>
    <t>INE383A01012</t>
  </si>
  <si>
    <t>The India Cements Ltd</t>
  </si>
  <si>
    <t>INE056C01010</t>
  </si>
  <si>
    <t>Tata Metaliks Ltd</t>
  </si>
  <si>
    <t>INE572A01028</t>
  </si>
  <si>
    <t>JB Chemicals &amp; Pharmaceuticals Ltd</t>
  </si>
  <si>
    <t>INE067A01029</t>
  </si>
  <si>
    <t>CG Power and Industrial Solutions Ltd</t>
  </si>
  <si>
    <t>INE126A01031</t>
  </si>
  <si>
    <t>EID Parry India Ltd</t>
  </si>
  <si>
    <t>Fertilisers</t>
  </si>
  <si>
    <t>INE285J01028</t>
  </si>
  <si>
    <t>SIS Ltd</t>
  </si>
  <si>
    <t>Commercial Services</t>
  </si>
  <si>
    <t>INE429E01023</t>
  </si>
  <si>
    <t>Safari Industries (India) Ltd</t>
  </si>
  <si>
    <t>INE274F01020</t>
  </si>
  <si>
    <t>Westlife Development Ltd</t>
  </si>
  <si>
    <t>INE060A01024</t>
  </si>
  <si>
    <t>Navneet Education Ltd</t>
  </si>
  <si>
    <t>INE07O001018</t>
  </si>
  <si>
    <t>Easy Trip Planners Ltd</t>
  </si>
  <si>
    <t>INE113A01013</t>
  </si>
  <si>
    <t>Gujarat Narmada Valley Fertilizers &amp; Chemicals Ltd</t>
  </si>
  <si>
    <t>INE628A01036</t>
  </si>
  <si>
    <t>UPL Ltd</t>
  </si>
  <si>
    <t>Pesticides</t>
  </si>
  <si>
    <t>INE384A01010</t>
  </si>
  <si>
    <t>Rane Holdings Ltd</t>
  </si>
  <si>
    <t>INE03QK01018</t>
  </si>
  <si>
    <t>Suven Pharmaceuticals Ltd</t>
  </si>
  <si>
    <t>INE599M01018</t>
  </si>
  <si>
    <t>Just Dial Ltd</t>
  </si>
  <si>
    <t>INE503A01015</t>
  </si>
  <si>
    <t>DCB Bank Ltd</t>
  </si>
  <si>
    <t>INE435A01028</t>
  </si>
  <si>
    <t>International Paper APPM Ltd</t>
  </si>
  <si>
    <t>Paper</t>
  </si>
  <si>
    <t>INE877F01012</t>
  </si>
  <si>
    <t>PTC India Ltd</t>
  </si>
  <si>
    <t>INE586B01026</t>
  </si>
  <si>
    <t>Taj GVK Hotels &amp; Resorts Ltd</t>
  </si>
  <si>
    <t>INE199A01012</t>
  </si>
  <si>
    <t>Procter &amp; Gamble Health Ltd</t>
  </si>
  <si>
    <t>INE022I01019</t>
  </si>
  <si>
    <t>Asian Granito India Ltd</t>
  </si>
  <si>
    <t>INE745G01035</t>
  </si>
  <si>
    <t>Multi Commodity Exchange of India Ltd</t>
  </si>
  <si>
    <t>INE565V01010</t>
  </si>
  <si>
    <t>Valiant Organics Ltd</t>
  </si>
  <si>
    <t>INE246B01019</t>
  </si>
  <si>
    <t>Ramco Systems Ltd</t>
  </si>
  <si>
    <t>Sundaram Select Micro Cap Series XV</t>
  </si>
  <si>
    <t>INE386A01015</t>
  </si>
  <si>
    <t>Vesuvius India Ltd</t>
  </si>
  <si>
    <t>Sundaram Select Micro Cap Series XVI</t>
  </si>
  <si>
    <t>INE201P01022</t>
  </si>
  <si>
    <t>GR Infraprojects Ltd</t>
  </si>
  <si>
    <t>Sundaram Select Micro Cap Series XVII</t>
  </si>
  <si>
    <t>INE045A01017</t>
  </si>
  <si>
    <t>Ador Welding Ltd</t>
  </si>
  <si>
    <t>INE750A01020</t>
  </si>
  <si>
    <t>Oriental Hotels Ltd</t>
  </si>
  <si>
    <t>Sundaram Mid Cap Fund</t>
  </si>
  <si>
    <t>INE180A01020</t>
  </si>
  <si>
    <t>Max Financial Services Ltd</t>
  </si>
  <si>
    <t>INE018I01017</t>
  </si>
  <si>
    <t>MindTree Ltd</t>
  </si>
  <si>
    <t>INE437A01024</t>
  </si>
  <si>
    <t>Apollo Hospitals Enterprise Ltd</t>
  </si>
  <si>
    <t>INE949L01017</t>
  </si>
  <si>
    <t>AU Small Finance Bank Ltd</t>
  </si>
  <si>
    <t>INE797F01012</t>
  </si>
  <si>
    <t>Jubilant Foodworks Ltd</t>
  </si>
  <si>
    <t>INE121A01024</t>
  </si>
  <si>
    <t>Cholamandalam Investment and Finance Company Ltd</t>
  </si>
  <si>
    <t>INE987B01026</t>
  </si>
  <si>
    <t>Natco Pharma Ltd</t>
  </si>
  <si>
    <t>INE226A01021</t>
  </si>
  <si>
    <t>Voltas Ltd</t>
  </si>
  <si>
    <t>INE647A01010</t>
  </si>
  <si>
    <t>SRF Ltd</t>
  </si>
  <si>
    <t>INE299U01018</t>
  </si>
  <si>
    <t>Crompton Greaves Consumer Electricals Ltd</t>
  </si>
  <si>
    <t>INE548C01032</t>
  </si>
  <si>
    <t>Emami Ltd</t>
  </si>
  <si>
    <t>INE068V01023</t>
  </si>
  <si>
    <t>Gland Pharma Ltd</t>
  </si>
  <si>
    <t>INE603J01030</t>
  </si>
  <si>
    <t>PI Industries Ltd</t>
  </si>
  <si>
    <t>INE761H01022</t>
  </si>
  <si>
    <t>Page Industries Ltd</t>
  </si>
  <si>
    <t>INE749A01030</t>
  </si>
  <si>
    <t>Jindal Steel &amp; Power Ltd</t>
  </si>
  <si>
    <t>INE171A01029</t>
  </si>
  <si>
    <t>The Federal Bank  Ltd</t>
  </si>
  <si>
    <t>INE200M01013</t>
  </si>
  <si>
    <t>Varun Beverages Ltd</t>
  </si>
  <si>
    <t>INE105A01035</t>
  </si>
  <si>
    <t>Sundaram Clayton Ltd</t>
  </si>
  <si>
    <t>INE263A01024</t>
  </si>
  <si>
    <t>Bharat Electronics Ltd</t>
  </si>
  <si>
    <t>INE571A01020</t>
  </si>
  <si>
    <t>IPCA Laboratories Ltd</t>
  </si>
  <si>
    <t>INE849A01020</t>
  </si>
  <si>
    <t>Trent Ltd</t>
  </si>
  <si>
    <t>Retailing</t>
  </si>
  <si>
    <t>INE763G01038</t>
  </si>
  <si>
    <t>ICICI Securities Ltd</t>
  </si>
  <si>
    <t>INE883A01011</t>
  </si>
  <si>
    <t>MRF Ltd</t>
  </si>
  <si>
    <t>INE465A01025</t>
  </si>
  <si>
    <t>Bharat Forge Ltd</t>
  </si>
  <si>
    <t>INE111A01025</t>
  </si>
  <si>
    <t>Container Corporation of India Ltd</t>
  </si>
  <si>
    <t>INE028A01039</t>
  </si>
  <si>
    <t>Bank of Baroda</t>
  </si>
  <si>
    <t>INE238A01034</t>
  </si>
  <si>
    <t>Axis Bank Ltd</t>
  </si>
  <si>
    <t>INE721A01013</t>
  </si>
  <si>
    <t>Shriram Transport Finance Company Ltd</t>
  </si>
  <si>
    <t>INE491A01021</t>
  </si>
  <si>
    <t>City Union Bank Ltd</t>
  </si>
  <si>
    <t>INE769A01020</t>
  </si>
  <si>
    <t>Aarti Industries Ltd</t>
  </si>
  <si>
    <t>INE169A01031</t>
  </si>
  <si>
    <t>Coromandel International Ltd</t>
  </si>
  <si>
    <t>INE010V01017</t>
  </si>
  <si>
    <t>L&amp;T Technology Services Ltd</t>
  </si>
  <si>
    <t>INE935N01020</t>
  </si>
  <si>
    <t>Dixon Technologies (India) Ltd</t>
  </si>
  <si>
    <t>INE860A01027</t>
  </si>
  <si>
    <t>HCL Technologies Ltd</t>
  </si>
  <si>
    <t>INE716A01013</t>
  </si>
  <si>
    <t>Whirlpool of India Ltd</t>
  </si>
  <si>
    <t>INE092T01019</t>
  </si>
  <si>
    <t>IDFC First Bank Ltd</t>
  </si>
  <si>
    <t>INE758T01015</t>
  </si>
  <si>
    <t>Zomato Ltd</t>
  </si>
  <si>
    <t>INE303R01014</t>
  </si>
  <si>
    <t>Kalyan Jewellers India Ltd</t>
  </si>
  <si>
    <t>INE335Y01012</t>
  </si>
  <si>
    <t>Indian Railway Catering &amp; Tourism Corporation Ltd</t>
  </si>
  <si>
    <t>INE115A01026</t>
  </si>
  <si>
    <t>LIC Housing Finance Ltd</t>
  </si>
  <si>
    <t>INE216P01012</t>
  </si>
  <si>
    <t>Aavas Financiers Ltd</t>
  </si>
  <si>
    <t>INE998I01010</t>
  </si>
  <si>
    <t>Mahindra Holidays &amp; Resorts India Ltd</t>
  </si>
  <si>
    <t>INE484J01027</t>
  </si>
  <si>
    <t>Godrej Properties Ltd</t>
  </si>
  <si>
    <t>INE356A01018</t>
  </si>
  <si>
    <t>MphasiS Ltd</t>
  </si>
  <si>
    <t>INE192A01025</t>
  </si>
  <si>
    <t>TATA Consumer Products Ltd</t>
  </si>
  <si>
    <t>INE918I01018</t>
  </si>
  <si>
    <t>Bajaj Finserv Ltd</t>
  </si>
  <si>
    <t>INE405E01023</t>
  </si>
  <si>
    <t>Minda Industries Ltd</t>
  </si>
  <si>
    <t>IN9647O01027</t>
  </si>
  <si>
    <t>Aditya Birla Fashion and Retail Ltd</t>
  </si>
  <si>
    <t>Institutional Plan - Growth</t>
  </si>
  <si>
    <t>Sundaram Multi Cap Fund Series I</t>
  </si>
  <si>
    <t>INE009A01021</t>
  </si>
  <si>
    <t>Infosys Ltd</t>
  </si>
  <si>
    <t>INE001A01036</t>
  </si>
  <si>
    <t>Housing Development Finance Corporation Ltd</t>
  </si>
  <si>
    <t>INE062A01020</t>
  </si>
  <si>
    <t>State Bank of India</t>
  </si>
  <si>
    <t>INE123W01016</t>
  </si>
  <si>
    <t>SBI Life Insurance Company Ltd</t>
  </si>
  <si>
    <t>INE081A01012</t>
  </si>
  <si>
    <t>Tata Steel Ltd</t>
  </si>
  <si>
    <t>INE044A01036</t>
  </si>
  <si>
    <t>Sun Pharmaceutical Industries Ltd</t>
  </si>
  <si>
    <t>INE075A01022</t>
  </si>
  <si>
    <t>Wipro Ltd</t>
  </si>
  <si>
    <t>INE030A01027</t>
  </si>
  <si>
    <t>Hindustan UniLever Ltd</t>
  </si>
  <si>
    <t>INE467B01029</t>
  </si>
  <si>
    <t>Tata Consultancy Services Ltd</t>
  </si>
  <si>
    <t>INE101A01026</t>
  </si>
  <si>
    <t>Mahindra &amp; Mahindra Ltd</t>
  </si>
  <si>
    <t>INE361B01024</t>
  </si>
  <si>
    <t>Divi's Laboratories Ltd</t>
  </si>
  <si>
    <t>INE038A01020</t>
  </si>
  <si>
    <t>Hindalco Industries Ltd</t>
  </si>
  <si>
    <t>Non - Ferrous Metals</t>
  </si>
  <si>
    <t>INE154A01025</t>
  </si>
  <si>
    <t>ITC Ltd</t>
  </si>
  <si>
    <t>INE466L01020</t>
  </si>
  <si>
    <t>IIFL Wealth Management Ltd</t>
  </si>
  <si>
    <t>INE669C01036</t>
  </si>
  <si>
    <t>Tech Mahindra Ltd</t>
  </si>
  <si>
    <t>INE073K01018</t>
  </si>
  <si>
    <t>Sona BLW Precision Forgings Ltd</t>
  </si>
  <si>
    <t>INE237A01028</t>
  </si>
  <si>
    <t>Kotak Mahindra Bank Ltd</t>
  </si>
  <si>
    <t>INE765G01017</t>
  </si>
  <si>
    <t>ICICI Lombard General Insurance Company Ltd</t>
  </si>
  <si>
    <t>Sundaram Multi Cap Fund -Series II</t>
  </si>
  <si>
    <t>Sundaram Large and Mid Cap Fund</t>
  </si>
  <si>
    <t>INE006I01046</t>
  </si>
  <si>
    <t>Astral Ltd</t>
  </si>
  <si>
    <t>INE149A01033</t>
  </si>
  <si>
    <t>Cholamandalam Financial Holdings Ltd</t>
  </si>
  <si>
    <t>INE059A01026</t>
  </si>
  <si>
    <t>Cipla Ltd</t>
  </si>
  <si>
    <t>INE775A01035</t>
  </si>
  <si>
    <t>Motherson Sumi Systems Ltd</t>
  </si>
  <si>
    <t>Sundaram Emerging Small Cap Series I</t>
  </si>
  <si>
    <t>INE142Z01019</t>
  </si>
  <si>
    <t>Orient Electric Ltd</t>
  </si>
  <si>
    <t>INE717A01029</t>
  </si>
  <si>
    <t>Kennametal India Ltd</t>
  </si>
  <si>
    <t>INE472A01039</t>
  </si>
  <si>
    <t>Blue Star Ltd</t>
  </si>
  <si>
    <t>INE688A01022</t>
  </si>
  <si>
    <t>Transport Corporation of India Ltd</t>
  </si>
  <si>
    <t>INE778U01029</t>
  </si>
  <si>
    <t>TCNS Clothing Co. Ltd</t>
  </si>
  <si>
    <t>INE120A01034</t>
  </si>
  <si>
    <t>Carborundum Universal Ltd</t>
  </si>
  <si>
    <t>INE489L01022</t>
  </si>
  <si>
    <t>IIFL Securities Ltd</t>
  </si>
  <si>
    <t>INE741K01010</t>
  </si>
  <si>
    <t>Creditaccess Grameen Ltd</t>
  </si>
  <si>
    <t>INE896L01010</t>
  </si>
  <si>
    <t>Indostar Capital Finance Ltd</t>
  </si>
  <si>
    <t>Sundaram Emerging Small Cap Series II</t>
  </si>
  <si>
    <t>Sundaram Emerging Small Cap Series III</t>
  </si>
  <si>
    <t>INE475B01022</t>
  </si>
  <si>
    <t>Hikal Ltd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</si>
  <si>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</si>
  <si>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</si>
  <si>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</si>
  <si>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</si>
  <si>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INE287B01021</t>
  </si>
  <si>
    <t>Subros Ltd</t>
  </si>
  <si>
    <t>INE182A01018</t>
  </si>
  <si>
    <t>Pfizer Ltd</t>
  </si>
  <si>
    <t>INE058A01010</t>
  </si>
  <si>
    <t>Sanofi India Ltd</t>
  </si>
  <si>
    <t>INE172A01027</t>
  </si>
  <si>
    <t>Castrol India Ltd</t>
  </si>
  <si>
    <t>INE854D01024</t>
  </si>
  <si>
    <t>United Spirits Ltd</t>
  </si>
  <si>
    <t>INE686A01026</t>
  </si>
  <si>
    <t>ITD Cementation India Ltd</t>
  </si>
  <si>
    <t>INE517F01014</t>
  </si>
  <si>
    <t>Gujarat Pipavav Port Ltd</t>
  </si>
  <si>
    <t>INE179A01014</t>
  </si>
  <si>
    <t>Procter &amp; Gamble Hygiene and Health Care Ltd</t>
  </si>
  <si>
    <t>Sundaram Select Focus</t>
  </si>
  <si>
    <t>INE585B01010</t>
  </si>
  <si>
    <t>Maruti Suzuki India Ltd</t>
  </si>
  <si>
    <t>Sundaram Long Term Tax Advantage Fund Series III</t>
  </si>
  <si>
    <t>Sundaram Long Term Tax Advantage Fund Series IV</t>
  </si>
  <si>
    <t>Sundaram Long Term Tax Advantage Fund Series-I</t>
  </si>
  <si>
    <t>INE340A01012</t>
  </si>
  <si>
    <t>Birla Corporation Ltd</t>
  </si>
  <si>
    <t>INE155A01022</t>
  </si>
  <si>
    <t>Tata Motors Ltd</t>
  </si>
  <si>
    <t>INE280A01028</t>
  </si>
  <si>
    <t>Titan Company Ltd</t>
  </si>
  <si>
    <t>INE647O01011</t>
  </si>
  <si>
    <t>INE089A01023</t>
  </si>
  <si>
    <t>Dr. Reddy's Laboratories Ltd</t>
  </si>
  <si>
    <t>Sundaram Long Term Tax Advantage Fund Series-II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</si>
  <si>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</si>
  <si>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</si>
  <si>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</si>
  <si>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</si>
  <si>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Small Cap Fund</t>
  </si>
  <si>
    <t>INE098F01031</t>
  </si>
  <si>
    <t>Amrutanjan Health Care Ltd</t>
  </si>
  <si>
    <t>INE679A01013</t>
  </si>
  <si>
    <t>CSB Bank Ltd</t>
  </si>
  <si>
    <t>INE119A01028</t>
  </si>
  <si>
    <t>Balrampur Chini Mills Ltd</t>
  </si>
  <si>
    <t>INE836A01035</t>
  </si>
  <si>
    <t>Birlasoft Ltd</t>
  </si>
  <si>
    <t>INE295F01017</t>
  </si>
  <si>
    <t>Butterfly Gandhimathi Appliances Ltd</t>
  </si>
  <si>
    <t>INE389H01022</t>
  </si>
  <si>
    <t>KEC International Ltd</t>
  </si>
  <si>
    <t>INE085A01013</t>
  </si>
  <si>
    <t>Chambal Fertilizers &amp; Chemicals Ltd</t>
  </si>
  <si>
    <t>INE136S01016</t>
  </si>
  <si>
    <t>Neogen Chemicals Ltd</t>
  </si>
  <si>
    <t>INE217B01036</t>
  </si>
  <si>
    <t>Kajaria Ceramics Ltd</t>
  </si>
  <si>
    <t>INE743M01012</t>
  </si>
  <si>
    <t>RHI Magnesita India Ltd</t>
  </si>
  <si>
    <t>INE702C01027</t>
  </si>
  <si>
    <t>APL Apollo Tubes Ltd</t>
  </si>
  <si>
    <t>INE970X01018</t>
  </si>
  <si>
    <t>Lemon Tree Hotels Ltd</t>
  </si>
  <si>
    <t>INE177F01017</t>
  </si>
  <si>
    <t>Kovai Medical Center &amp; Hospital Ltd</t>
  </si>
  <si>
    <t>INE930P01018</t>
  </si>
  <si>
    <t>Anupam Rasayan India Ltd</t>
  </si>
  <si>
    <t>INE596I01012</t>
  </si>
  <si>
    <t>Computer Age Management Services Ltd</t>
  </si>
  <si>
    <t>INE355A01028</t>
  </si>
  <si>
    <t>Somany Ceramics Ltd</t>
  </si>
  <si>
    <t>INE562A01011</t>
  </si>
  <si>
    <t>Indian Bank</t>
  </si>
  <si>
    <t>INE146L01010</t>
  </si>
  <si>
    <t>Kirloskar Oil Engines Ltd</t>
  </si>
  <si>
    <t>INE094J01016</t>
  </si>
  <si>
    <t>UTI Asset Management Co Ltd</t>
  </si>
  <si>
    <t>INE418L01021</t>
  </si>
  <si>
    <t>Nazara Technologies Ltd</t>
  </si>
  <si>
    <t>Sundaram Rural and Consumption Fund</t>
  </si>
  <si>
    <t>INE021A01026</t>
  </si>
  <si>
    <t>Asian Paints Ltd</t>
  </si>
  <si>
    <t>INE690A01010</t>
  </si>
  <si>
    <t>TTK Prestige Ltd</t>
  </si>
  <si>
    <t>INE296A01024</t>
  </si>
  <si>
    <t>Bajaj Finance Ltd</t>
  </si>
  <si>
    <t>INE544R01013</t>
  </si>
  <si>
    <t>Greenlam Industries Ltd</t>
  </si>
  <si>
    <t>INE239A01016</t>
  </si>
  <si>
    <t>Nestle India Ltd</t>
  </si>
  <si>
    <t>INE951I01027</t>
  </si>
  <si>
    <t>V-Guard Industries Ltd</t>
  </si>
  <si>
    <t>INE176A01028</t>
  </si>
  <si>
    <t>Bata India Ltd</t>
  </si>
  <si>
    <t>INE917I01010</t>
  </si>
  <si>
    <t>Bajaj Auto Ltd</t>
  </si>
  <si>
    <t>Sundaram Services Fund</t>
  </si>
  <si>
    <t>INE07T201019</t>
  </si>
  <si>
    <t>Burger King India Ltd</t>
  </si>
  <si>
    <t>INE112L01020</t>
  </si>
  <si>
    <t>Metropolis Healthcare Ltd</t>
  </si>
  <si>
    <t>INE933S01016</t>
  </si>
  <si>
    <t>Indiamart Intermesh Ltd</t>
  </si>
  <si>
    <t>INE670A01012</t>
  </si>
  <si>
    <t>Tata Elxsi Ltd</t>
  </si>
  <si>
    <t>INE795G01014</t>
  </si>
  <si>
    <t>HDFC Life Insurance Company Ltd</t>
  </si>
  <si>
    <t>INE663F01024</t>
  </si>
  <si>
    <t>Info Edge (India) Ltd</t>
  </si>
  <si>
    <t>INE192R01011</t>
  </si>
  <si>
    <t>Avenue Supermarts Ltd</t>
  </si>
  <si>
    <t>MU0295S00016</t>
  </si>
  <si>
    <t>Make My Trip Ltd (USD)</t>
  </si>
  <si>
    <t>Sundaram Smart NIFTY 100 Equal Weight Fund</t>
  </si>
  <si>
    <t>INE079A01024</t>
  </si>
  <si>
    <t>Ambuja Cements Ltd</t>
  </si>
  <si>
    <t>INE012A01025</t>
  </si>
  <si>
    <t>ACC Ltd</t>
  </si>
  <si>
    <t>INE176B01034</t>
  </si>
  <si>
    <t>Havells India Ltd</t>
  </si>
  <si>
    <t>INE271C01023</t>
  </si>
  <si>
    <t>DLF Ltd</t>
  </si>
  <si>
    <t>INE205A01025</t>
  </si>
  <si>
    <t>Vedanta Ltd</t>
  </si>
  <si>
    <t>INE358A01014</t>
  </si>
  <si>
    <t>Abbott India Ltd</t>
  </si>
  <si>
    <t>INE102D01028</t>
  </si>
  <si>
    <t>Godrej Consumer Products Ltd</t>
  </si>
  <si>
    <t>INE214T01019</t>
  </si>
  <si>
    <t>Larsen &amp; Toubro Infotech Ltd</t>
  </si>
  <si>
    <t>INE118A01012</t>
  </si>
  <si>
    <t>Bajaj Holdings &amp; Investment Ltd</t>
  </si>
  <si>
    <t>INE540L01014</t>
  </si>
  <si>
    <t>Alkem Laboratories Ltd</t>
  </si>
  <si>
    <t>INE318A01026</t>
  </si>
  <si>
    <t>Pidilite Industries Ltd</t>
  </si>
  <si>
    <t>INE196A01026</t>
  </si>
  <si>
    <t>Marico Ltd</t>
  </si>
  <si>
    <t>INE685A01028</t>
  </si>
  <si>
    <t>Torrent Pharmaceuticals Ltd</t>
  </si>
  <si>
    <t>INE019A01038</t>
  </si>
  <si>
    <t>JSW Steel Ltd</t>
  </si>
  <si>
    <t>INE018E01016</t>
  </si>
  <si>
    <t>SBI Cards and Payment Services Ltd</t>
  </si>
  <si>
    <t>INE016A01026</t>
  </si>
  <si>
    <t>Dabur India Ltd</t>
  </si>
  <si>
    <t>INE414G01012</t>
  </si>
  <si>
    <t>Muthoot Finance Ltd</t>
  </si>
  <si>
    <t>INE463A01038</t>
  </si>
  <si>
    <t>Berger Paints (I) Ltd</t>
  </si>
  <si>
    <t>INE686F01025</t>
  </si>
  <si>
    <t>United Breweries Ltd</t>
  </si>
  <si>
    <t>INE726G01019</t>
  </si>
  <si>
    <t>ICICI Prudential Life Insurance Company Ltd</t>
  </si>
  <si>
    <t>INE047A01021</t>
  </si>
  <si>
    <t>Grasim Industries Ltd</t>
  </si>
  <si>
    <t>INE259A01022</t>
  </si>
  <si>
    <t>Colgate Palmolive (India) Ltd</t>
  </si>
  <si>
    <t>INE584A01023</t>
  </si>
  <si>
    <t>NMDC Ltd</t>
  </si>
  <si>
    <t>Minerals/Mining</t>
  </si>
  <si>
    <t>INE733E01010</t>
  </si>
  <si>
    <t>NTPC Ltd</t>
  </si>
  <si>
    <t>INE752E01010</t>
  </si>
  <si>
    <t>Power Grid Corporation of India Ltd</t>
  </si>
  <si>
    <t>INE070A01015</t>
  </si>
  <si>
    <t>Shree Cement Ltd</t>
  </si>
  <si>
    <t>INE323A01026</t>
  </si>
  <si>
    <t>Bosch Ltd</t>
  </si>
  <si>
    <t>INE376G01013</t>
  </si>
  <si>
    <t>Biocon Ltd</t>
  </si>
  <si>
    <t>INE406A01037</t>
  </si>
  <si>
    <t>Aurobindo Pharma Ltd</t>
  </si>
  <si>
    <t>INE003A01024</t>
  </si>
  <si>
    <t>Siemens Ltd</t>
  </si>
  <si>
    <t>INE095A01012</t>
  </si>
  <si>
    <t>IndusInd Bank Ltd</t>
  </si>
  <si>
    <t>INE522F01014</t>
  </si>
  <si>
    <t>Coal India Ltd</t>
  </si>
  <si>
    <t>INE326A01037</t>
  </si>
  <si>
    <t>Lupin Ltd</t>
  </si>
  <si>
    <t>INE127D01025</t>
  </si>
  <si>
    <t>HDFC Asset Management Company Ltd</t>
  </si>
  <si>
    <t>INE140A01024</t>
  </si>
  <si>
    <t>Piramal Enterprises Ltd</t>
  </si>
  <si>
    <t>INE646L01027</t>
  </si>
  <si>
    <t>Interglobe Aviation Ltd</t>
  </si>
  <si>
    <t>INE158A01026</t>
  </si>
  <si>
    <t>Hero MotoCorp Ltd</t>
  </si>
  <si>
    <t>INE010B01027</t>
  </si>
  <si>
    <t>Cadila Healthcare Ltd</t>
  </si>
  <si>
    <t>INE216A01030</t>
  </si>
  <si>
    <t>Britannia Industries Ltd</t>
  </si>
  <si>
    <t>INE528G01035</t>
  </si>
  <si>
    <t>Yes Bank Ltd</t>
  </si>
  <si>
    <t>INE066A01021</t>
  </si>
  <si>
    <t>Eicher Motors Ltd</t>
  </si>
  <si>
    <t>INE160A01022</t>
  </si>
  <si>
    <t>Punjab National Bank</t>
  </si>
  <si>
    <t>INE423A01024</t>
  </si>
  <si>
    <t>Adani Enterprises</t>
  </si>
  <si>
    <t>INE242A01010</t>
  </si>
  <si>
    <t>Indian Oil Corporation Ltd</t>
  </si>
  <si>
    <t>INE121J01017</t>
  </si>
  <si>
    <t>Indus Towers Ltd (Prev Bharti Infratel Ltd)</t>
  </si>
  <si>
    <t>INE545U01014</t>
  </si>
  <si>
    <t>Bandhan Bank Ltd</t>
  </si>
  <si>
    <t>INE094A01015</t>
  </si>
  <si>
    <t>Hindustan Petroleum Corporation Ltd</t>
  </si>
  <si>
    <t>INE364U01010</t>
  </si>
  <si>
    <t>Adani Green Energy Ltd</t>
  </si>
  <si>
    <t>INE931S01010</t>
  </si>
  <si>
    <t>Adani Transmission Ltd</t>
  </si>
  <si>
    <t>INE216A08027</t>
  </si>
  <si>
    <t>Britannia Industries Ltd - 5.5% - 03/06/2024**</t>
  </si>
  <si>
    <t xml:space="preserve"> CRISIL AAA </t>
  </si>
  <si>
    <t>** Thinly traded / Non Traded Securities</t>
  </si>
  <si>
    <t>Sundaram Diversified Equity</t>
  </si>
  <si>
    <t>Sundaram Arbitrage Fund</t>
  </si>
  <si>
    <t>INE476A01014</t>
  </si>
  <si>
    <t>Canara Bank</t>
  </si>
  <si>
    <t>Stock Future</t>
  </si>
  <si>
    <t>INF903J01QF2</t>
  </si>
  <si>
    <t>Margin Money For Derivatives</t>
  </si>
  <si>
    <t>Sundaram Bluechip Fund</t>
  </si>
  <si>
    <t>Sundaram Equity Fund</t>
  </si>
  <si>
    <t>INE944F01028</t>
  </si>
  <si>
    <t>Radico Khaitan Ltd</t>
  </si>
  <si>
    <t>INE269B01029</t>
  </si>
  <si>
    <t>Lakshmi Machine Works Ltd</t>
  </si>
  <si>
    <t>INE093I01010</t>
  </si>
  <si>
    <t>Oberoi Realty Ltd</t>
  </si>
  <si>
    <t>INE470A01017</t>
  </si>
  <si>
    <t>3M India Ltd</t>
  </si>
  <si>
    <t>INE342J01019</t>
  </si>
  <si>
    <t>Wabco India Ltd</t>
  </si>
  <si>
    <t>Sundaram Equity Savings Fund</t>
  </si>
  <si>
    <t>INE424H01027</t>
  </si>
  <si>
    <t>SUN TV Network Ltd</t>
  </si>
  <si>
    <t>Index Future</t>
  </si>
  <si>
    <t>INE020B08BF0</t>
  </si>
  <si>
    <t>REC Ltd - 8.45% - 22/03/2022**</t>
  </si>
  <si>
    <t>INE001A07RS3</t>
  </si>
  <si>
    <t>Housing Development Finance Corporation Ltd - 8.58% - 18/03/2022**</t>
  </si>
  <si>
    <t>INE020B08AT3</t>
  </si>
  <si>
    <t>REC Ltd - 7.99% - 23/02/2023**</t>
  </si>
  <si>
    <t>IN0020180488</t>
  </si>
  <si>
    <t>Sovereign</t>
  </si>
  <si>
    <t>Sundaram Financial Services Opportunities Fund</t>
  </si>
  <si>
    <t>INE674K01013</t>
  </si>
  <si>
    <t>Aditya Birla Capital Ltd</t>
  </si>
  <si>
    <t>INE780C01023</t>
  </si>
  <si>
    <t>JM Financial Ltd</t>
  </si>
  <si>
    <t>INE774D01024</t>
  </si>
  <si>
    <t>Mahindra &amp; Mahindra Financial Services Ltd</t>
  </si>
  <si>
    <t>Sundaram Value Fund Series X</t>
  </si>
  <si>
    <t>INE955V01021</t>
  </si>
  <si>
    <t>Arvind Fashions Ltd</t>
  </si>
  <si>
    <t>INE825A01012</t>
  </si>
  <si>
    <t>Vardhman Textiles Ltd</t>
  </si>
  <si>
    <t>INE614A01028</t>
  </si>
  <si>
    <t>Ramco Industries Ltd</t>
  </si>
  <si>
    <t>INE008A01015</t>
  </si>
  <si>
    <t>IDBI Bank Ltd</t>
  </si>
  <si>
    <t>Sundaram Value Fund Series VII</t>
  </si>
  <si>
    <t>INE026A01025</t>
  </si>
  <si>
    <t>Gujarat State Fertilizers &amp; Chemicals Ltd</t>
  </si>
  <si>
    <t>INE722A01011</t>
  </si>
  <si>
    <t>Shriram City Union Finance Ltd</t>
  </si>
  <si>
    <t>INE805C01028</t>
  </si>
  <si>
    <t>KCP Ltd</t>
  </si>
  <si>
    <t>INE807K01035</t>
  </si>
  <si>
    <t>S Chand and Company Ltd</t>
  </si>
  <si>
    <t>INE036D01028</t>
  </si>
  <si>
    <t>Karur Vysya Bank Ltd</t>
  </si>
  <si>
    <t>Sundaram Value Fund Series IX</t>
  </si>
  <si>
    <t>S.NO.</t>
  </si>
  <si>
    <t>ACRONYM</t>
  </si>
  <si>
    <t>SCHEME NAME</t>
  </si>
  <si>
    <t>CAPEXG</t>
  </si>
  <si>
    <t>MICAP14</t>
  </si>
  <si>
    <t>MICAP15</t>
  </si>
  <si>
    <t>MICAP16</t>
  </si>
  <si>
    <t>MICAP17</t>
  </si>
  <si>
    <t>MIDCAP</t>
  </si>
  <si>
    <t>MULTI1</t>
  </si>
  <si>
    <t>MULTI2</t>
  </si>
  <si>
    <t>Sundaram Multi Cap Fund Series II</t>
  </si>
  <si>
    <t>MULTIP</t>
  </si>
  <si>
    <t>Sundaram Large And Mid Cap Fund</t>
  </si>
  <si>
    <t>SESCAP1</t>
  </si>
  <si>
    <t>SESCAP2</t>
  </si>
  <si>
    <t>SESCAP3</t>
  </si>
  <si>
    <t>SESCAP4</t>
  </si>
  <si>
    <t>SESCAP5</t>
  </si>
  <si>
    <t>SESCAP6</t>
  </si>
  <si>
    <t>SESCAP7</t>
  </si>
  <si>
    <t>SFOCUS</t>
  </si>
  <si>
    <t>SLTADV3</t>
  </si>
  <si>
    <t>Sundaram Long Term Advantage Fund Series III</t>
  </si>
  <si>
    <t>SLTADV4</t>
  </si>
  <si>
    <t>Sundaram Long Term Advantage Fund Series IV</t>
  </si>
  <si>
    <t>SLTAX1</t>
  </si>
  <si>
    <t>Sundaram Long Term Tax Advantage Fund Series I</t>
  </si>
  <si>
    <t>SLTAX2</t>
  </si>
  <si>
    <t>Sundaram Long Term Tax Advantage Fund Series II</t>
  </si>
  <si>
    <t>SLTAX3</t>
  </si>
  <si>
    <t>SLTAX4</t>
  </si>
  <si>
    <t>SLTAX5</t>
  </si>
  <si>
    <t>SLTAX6</t>
  </si>
  <si>
    <t>SMILE</t>
  </si>
  <si>
    <t>SRURAL</t>
  </si>
  <si>
    <t>Sundaram Rural And Consumption Fund</t>
  </si>
  <si>
    <t>SSFUND</t>
  </si>
  <si>
    <t>Sundaram Service Fund</t>
  </si>
  <si>
    <t>SSN100</t>
  </si>
  <si>
    <t>Sundaram Smart Nifty 100 Equity Weight Fund</t>
  </si>
  <si>
    <t>STAX</t>
  </si>
  <si>
    <t>SUNARF</t>
  </si>
  <si>
    <t>SUNBAF</t>
  </si>
  <si>
    <t>Sundaram Balanced Advantage Fund</t>
  </si>
  <si>
    <t>SUNBAL</t>
  </si>
  <si>
    <t>Sundaram Equity Hybrid Fund</t>
  </si>
  <si>
    <t>SUNBCF</t>
  </si>
  <si>
    <t>SUNEQF</t>
  </si>
  <si>
    <t>SUNESF</t>
  </si>
  <si>
    <t>SUNFOP</t>
  </si>
  <si>
    <t>SUNVALF10</t>
  </si>
  <si>
    <t>SUNVALF7</t>
  </si>
  <si>
    <t>SUNVALF9</t>
  </si>
  <si>
    <t>GLOB</t>
  </si>
  <si>
    <t>Sundaram Global Brand Fund</t>
  </si>
  <si>
    <t>ANNEXURE - B 
SECURITIES CLASSIFIED AS BELOW INVESTMENT GRADE OR DEFAULT</t>
  </si>
  <si>
    <t>SCHEME: SUNDARAM EQUITY HYBRID FUND</t>
  </si>
  <si>
    <t>ISIN</t>
  </si>
  <si>
    <t>NAME OF THE SECURITY</t>
  </si>
  <si>
    <t>VALUE OF THE SECURITY CONSIDERED UNDER NET RECEIVABLES</t>
  </si>
  <si>
    <t>% TO AUM</t>
  </si>
  <si>
    <t>INE528G08394</t>
  </si>
  <si>
    <t>9%-YES BANK LTD-NCD-Call opt-18/10/2022-Perpetual Bond $</t>
  </si>
  <si>
    <t>TOTAL AMOUNT INCLUDING INTEREST DUE TO THE SCHEME</t>
  </si>
  <si>
    <t>TOTAL AMOUNT DUE</t>
  </si>
  <si>
    <t>PRINCIPAL (Rs. in Lacs)</t>
  </si>
  <si>
    <t>Interest Accrued till 05 Mar 2020
(Rs. in Lacs)</t>
  </si>
  <si>
    <t>Interest not accrued upto 31/05/2021 from the default date (Rs. in Lacs)</t>
  </si>
  <si>
    <t>Total 
(Rs. in Lacs)</t>
  </si>
  <si>
    <t>$ Yes Bank Limited Reconstruction Scheme 2020” was notified in the Official Gazette on March 13, 2020. Based on that, the Basel III Additional Tier I Bonds (ISIN - INE528G08394) were written down in the scheme along with the Interest accrued.</t>
  </si>
  <si>
    <t>% to AUM as on 31.07.2021</t>
  </si>
  <si>
    <t>SUNDARAM GLOBAL BRAND FUND</t>
  </si>
  <si>
    <t>S.NO</t>
  </si>
  <si>
    <t>ISIN CODE</t>
  </si>
  <si>
    <t>Name of the Instrument</t>
  </si>
  <si>
    <t>Industry/ Rating</t>
  </si>
  <si>
    <t>YTM (%)</t>
  </si>
  <si>
    <t>A) Investments in Foreign Securities - Units of Mutual Funds</t>
  </si>
  <si>
    <t>SG9999013908</t>
  </si>
  <si>
    <t>SUNDARAM GLOBAL BRAND FUND -MASTER CLASS (Singapore)</t>
  </si>
  <si>
    <t>Mutual Funds</t>
  </si>
  <si>
    <t>Total for Investments in Foreign Securities - Units of Mutual Funds</t>
  </si>
  <si>
    <t>B) Money Market Investments</t>
  </si>
  <si>
    <t>Cash and Other Net Curent Assets</t>
  </si>
  <si>
    <t>a) Total securities below investment grade or default  - Nil</t>
  </si>
  <si>
    <t>b) Total value and percentage of illiquid equity shares - Nil</t>
  </si>
  <si>
    <t>Options</t>
  </si>
  <si>
    <t>Direct Plan - IDCW ^^</t>
  </si>
  <si>
    <t>Regular Plan - IDCW ^^</t>
  </si>
  <si>
    <t>^^ IDCW means Income distribution cum capital withdrawal (Payout/Reinvestment/Transfer)</t>
  </si>
  <si>
    <t>d) IDCW declared during the period (Rupees per unit) - Nil</t>
  </si>
  <si>
    <t>e) Total outstanding exposure in derivative instrumentsat the end of the period - Nil</t>
  </si>
  <si>
    <t>f) Total investments in foreign securities /ADR'S/GDR'S  at the end of the period - Rs. 8,074.60 lacs</t>
  </si>
  <si>
    <t>g) Repo in Corporate Debt - Nil</t>
  </si>
  <si>
    <t>INE001A07RU9</t>
  </si>
  <si>
    <t>Housing Development Finance Corporation Ltd - 8.05% - 20/06/2022**</t>
  </si>
  <si>
    <t>INE094A08085</t>
  </si>
  <si>
    <t>Hindustan Petroleum Corporation Ltd - 4.79% - 23/10/2023**</t>
  </si>
  <si>
    <t>INE261F08CA0</t>
  </si>
  <si>
    <t>National Bank for Agricultural &amp; Rural Development - 6.4% - 31/07/2023**</t>
  </si>
  <si>
    <t>INE115A07OH1</t>
  </si>
  <si>
    <t>LIC Housing Finance Ltd - 7.6% - 22/11/2022**</t>
  </si>
  <si>
    <t>INE020B08CN2</t>
  </si>
  <si>
    <t>REC Ltd - 6.8% - 30/06/2023**</t>
  </si>
  <si>
    <t>INE261F08BW6</t>
  </si>
  <si>
    <t>National Bank for Agricultural &amp; Rural Development - 6.72% - 14/04/2023**</t>
  </si>
  <si>
    <t>INE001A07SH4</t>
  </si>
  <si>
    <t>Housing Development Finance Corporation Ltd - 6.99% - 13/02/2023**</t>
  </si>
  <si>
    <t>INE020B08DC3</t>
  </si>
  <si>
    <t>REC Ltd - 5.69% - 30/09/2023**</t>
  </si>
  <si>
    <t>INE001A07SQ5</t>
  </si>
  <si>
    <t>Housing Development Finance Corporation Ltd - 4.95% - 09/09/2022**</t>
  </si>
  <si>
    <t>INE115A07CY1</t>
  </si>
  <si>
    <t>LIC Housing Finance Ltd - 9.3% - 14/09/2022**</t>
  </si>
  <si>
    <t>INE134E08KJ6</t>
  </si>
  <si>
    <t>Power Finance Corporation Ltd - 7.04% - 14/04/2023**</t>
  </si>
  <si>
    <t>INE020B08CD3</t>
  </si>
  <si>
    <t>REC Ltd - 7.09% - 13/12/2022**</t>
  </si>
  <si>
    <t>INE053F07BZ2</t>
  </si>
  <si>
    <t>Indian Railway Finance Corporation Ltd - 6.59% - 14/04/2023**</t>
  </si>
  <si>
    <t>INE134E08IN2</t>
  </si>
  <si>
    <t>Power Finance Corporation Ltd - 7.27% - 22/12/2021**</t>
  </si>
  <si>
    <t>INE115A14DA5</t>
  </si>
  <si>
    <t>LIC Housing Finance Ltd - 14/02/2022**</t>
  </si>
  <si>
    <t xml:space="preserve"> CRISIL A1+ </t>
  </si>
  <si>
    <t>Cash and Other Net Current Assets^</t>
  </si>
  <si>
    <t>**Non Traded Securities</t>
  </si>
  <si>
    <t>^ Net current assets includes interest accrued on fixed income securities</t>
  </si>
  <si>
    <t>i) Repo in corporate debt</t>
  </si>
  <si>
    <t>INE001A07SD3</t>
  </si>
  <si>
    <t>Housing Development Finance Corporation Ltd - 7.21% - 30/12/2022**</t>
  </si>
  <si>
    <t>INE134E08KO6</t>
  </si>
  <si>
    <t>Power Finance Corporation Ltd - 6.83% - 24/04/2023**</t>
  </si>
  <si>
    <t>INE062A08157</t>
  </si>
  <si>
    <t xml:space="preserve"> CRISIL AA+ </t>
  </si>
  <si>
    <t>INE020B08DR1</t>
  </si>
  <si>
    <t>REC Ltd - 5.74% - 20/06/2024**</t>
  </si>
  <si>
    <t>INE261F08CS2</t>
  </si>
  <si>
    <t>National Bank for Agricultural &amp; Rural Development - 4.6% - 29/07/2022</t>
  </si>
  <si>
    <t>INE040A08377</t>
  </si>
  <si>
    <t>INE514E08FL5</t>
  </si>
  <si>
    <t>INE062A08140</t>
  </si>
  <si>
    <t>INE028A08158</t>
  </si>
  <si>
    <t xml:space="preserve"> IND AAA </t>
  </si>
  <si>
    <t>INE557F08FG1</t>
  </si>
  <si>
    <t>National Housing Bank  - 7.05% - 18/12/2024**</t>
  </si>
  <si>
    <t>INE028A08117</t>
  </si>
  <si>
    <t>INE115A07PE5</t>
  </si>
  <si>
    <t>LIC Housing Finance Ltd - 4.545% - 28/03/2022**</t>
  </si>
  <si>
    <t xml:space="preserve"> CARE AAA </t>
  </si>
  <si>
    <t>INE134E08KD9</t>
  </si>
  <si>
    <t>Power Finance Corporation Ltd - 8.1% - 04/06/2024**</t>
  </si>
  <si>
    <t>INE261F08BK1</t>
  </si>
  <si>
    <t>National Bank for Agricultural &amp; Rural Development - 7.69% - 29/05/2024**</t>
  </si>
  <si>
    <t>INE115A07OJ7</t>
  </si>
  <si>
    <t>LIC Housing Finance Ltd - 7.445% - 13/01/2023**</t>
  </si>
  <si>
    <t>INE090A08TW2</t>
  </si>
  <si>
    <t>INE238A08443</t>
  </si>
  <si>
    <t>INE020B08641</t>
  </si>
  <si>
    <t>REC Ltd - 9.75% - 11/11/2021**</t>
  </si>
  <si>
    <t>INE001A07SC5</t>
  </si>
  <si>
    <t>Housing Development Finance Corporation Ltd - 6.99% - 25/11/2021**</t>
  </si>
  <si>
    <t>INE528G08246</t>
  </si>
  <si>
    <t>Yes Bank Ltd - 9.9% - 31/10/2022**</t>
  </si>
  <si>
    <t>INE895D07487</t>
  </si>
  <si>
    <t>Tata Sons Pvt Ltd - 9.3% - 19/06/2024**</t>
  </si>
  <si>
    <t>IN0020130012</t>
  </si>
  <si>
    <t>IN002021Y080</t>
  </si>
  <si>
    <t>182 Days - T Bill - 25112021</t>
  </si>
  <si>
    <t>Individual &amp; HUF</t>
  </si>
  <si>
    <t>Others</t>
  </si>
  <si>
    <t>7.16% Central Government Securities 20/05/2023</t>
  </si>
  <si>
    <t>7.32% Central Government Securities 28/01/2024</t>
  </si>
  <si>
    <t>Cement &amp; Cement Products</t>
  </si>
  <si>
    <t>Aerospace &amp; Defense</t>
  </si>
  <si>
    <t>Capital Markets</t>
  </si>
  <si>
    <t>Entertainment</t>
  </si>
  <si>
    <t>Other Services</t>
  </si>
  <si>
    <t>Leisure Services</t>
  </si>
  <si>
    <t>Printing &amp; Publication</t>
  </si>
  <si>
    <t>Insurance</t>
  </si>
  <si>
    <t>Bharat Petroleum Corporation Ltd Aug 2021</t>
  </si>
  <si>
    <t>Sun TV Network Limited Aug 2021</t>
  </si>
  <si>
    <t>Bajaj Auto Ltd Aug 2021</t>
  </si>
  <si>
    <t>Federal Bank Aug 2021</t>
  </si>
  <si>
    <t>ITC Ltd Aug 2021</t>
  </si>
  <si>
    <t>Reliance Industries Ltd Aug 2021</t>
  </si>
  <si>
    <t>TATA Consumer Products Ltd Aug 2021</t>
  </si>
  <si>
    <t>Bharti Airtel Ltd Aug 2021</t>
  </si>
  <si>
    <t>United Spirits Ltd Aug 2021</t>
  </si>
  <si>
    <t>Jindal Steel &amp; Power Ltd Aug 2021</t>
  </si>
  <si>
    <t>ICICI Bank Ltd Aug 2021</t>
  </si>
  <si>
    <t>Tech Mahindra Ltd Aug 2021</t>
  </si>
  <si>
    <t>Housing Development Fin Corp Ltd Aug 2021</t>
  </si>
  <si>
    <t>Hindustan Unilever Ltd Aug 2021</t>
  </si>
  <si>
    <t>Page Industries Ltd Aug 2021</t>
  </si>
  <si>
    <t>Motherson Sumi Systems Limited Aug 2021</t>
  </si>
  <si>
    <t>Canara Bank Aug 2021</t>
  </si>
  <si>
    <t>Vedanta Limited Aug 2021</t>
  </si>
  <si>
    <t>Adani Ports &amp; SEZ Ltd Aug 2021</t>
  </si>
  <si>
    <t>HDFC Life Insurance Company Ltd Aug 2021</t>
  </si>
  <si>
    <t>Shriram Transport Finance Company Limited Aug 2021</t>
  </si>
  <si>
    <t>LIC Housing Finance Ltd Aug 2021</t>
  </si>
  <si>
    <t>Bharat Forge Ltd Aug 2021</t>
  </si>
  <si>
    <t>Indraprastha Gas Ltd Aug 2021</t>
  </si>
  <si>
    <t>Axis Bank Ltd Aug 2021</t>
  </si>
  <si>
    <t>Apollo Hospitals Enterprise Limited Aug 2021</t>
  </si>
  <si>
    <t>State Bank of India Aug 2021</t>
  </si>
  <si>
    <t>Bajaj Finserv Limited Aug 2021</t>
  </si>
  <si>
    <t>Punjab National Bank Aug 2021</t>
  </si>
  <si>
    <t>Dr.Reddys Laboratories Ltd Aug 2021</t>
  </si>
  <si>
    <t>TATA Consultancy Services Ltd Aug 2021</t>
  </si>
  <si>
    <t>Pidilite Industries Ltd Aug 2021</t>
  </si>
  <si>
    <t>Steel Authority of India Ltd Aug 2021</t>
  </si>
  <si>
    <t>Marico Ltd Aug 2021</t>
  </si>
  <si>
    <t>Nifty Aug 2021</t>
  </si>
  <si>
    <t>INE0GGX23010</t>
  </si>
  <si>
    <t>Power Grid Infrastructure Investment Trust(InvIT)</t>
  </si>
  <si>
    <t>INE041025011</t>
  </si>
  <si>
    <t>Embassy Office Parks REIT</t>
  </si>
  <si>
    <t>Hindustan Dorr-Oliver Ltd @</t>
  </si>
  <si>
    <t>Refer Annexure B</t>
  </si>
  <si>
    <t>As Per Annexure-A</t>
  </si>
  <si>
    <t>733.09 Lacs</t>
  </si>
  <si>
    <t>J) Portfolio Turnover Ratio</t>
  </si>
  <si>
    <t>g) Average Maturity - only for Debt portion (years)</t>
  </si>
  <si>
    <t>h) Macaulay Duration - only for Debt portion (years)</t>
  </si>
  <si>
    <t>i) Portfolio Turnover Ratio</t>
  </si>
  <si>
    <t>j) Repo in corporate debt</t>
  </si>
  <si>
    <t>b) Total value and percentage of illiquid equity shares @</t>
  </si>
  <si>
    <t>0.00 / #</t>
  </si>
  <si>
    <t xml:space="preserve">Sundaram Money Fund - Direct Growth@@ </t>
  </si>
  <si>
    <t xml:space="preserve"> @@ Placed as margin for derivatives</t>
  </si>
  <si>
    <t xml:space="preserve"> ICRA AAA </t>
  </si>
  <si>
    <t xml:space="preserve"> ICRA AA+ </t>
  </si>
  <si>
    <t xml:space="preserve"> ICRA BBB </t>
  </si>
  <si>
    <t>Monthly Portfolio Statement for the month ended 31 July 2021</t>
  </si>
  <si>
    <t>Monthly Portfolio Statement for the period ended 31 July 2021</t>
  </si>
  <si>
    <t>INE001A13049</t>
  </si>
  <si>
    <t>Housing Development Finance
Corporation Ltd</t>
  </si>
  <si>
    <t>Bank of Baroda - 8.65% - Call Dt 11/08/2022**  (Perpetual Bond under Basel III)</t>
  </si>
  <si>
    <t>Bank of Baroda - 8.55% - Call Dt 14-Feb-2024 (Tier II Bond under Basel III)**</t>
  </si>
  <si>
    <t>HDFC Bank Ltd - 8.85% - Call Dt 12/05/2022** (Perpetual Bond under Basel III)</t>
  </si>
  <si>
    <t>State Bank of India - 8.39% - Call Dt 25/10/2021** (Perpetual Bond under Basel III)</t>
  </si>
  <si>
    <t>State Bank of India - 8.15% - Call Dt 02/08/2022** (Perpetual Bond under Basel III)</t>
  </si>
  <si>
    <t>ICICI Bank Ltd - 9.2% - Call Dt 17/03/2022** (Perpetual Bond under Basel III)</t>
  </si>
  <si>
    <t>Axis Bank Ltd - 8.75% - Call Dt 28/06/2022** (Perpetual Bond under Basel III)</t>
  </si>
  <si>
    <t>Export Import Bank of India - 8.6% - Call Dt 31/03/2022** (Perpetual Bond under Basel III)</t>
  </si>
  <si>
    <t>Aditya Birla Fashion and Retail Ltd (Right Shares)</t>
  </si>
  <si>
    <t>GAIL (India) Ltd @</t>
  </si>
  <si>
    <t>Yield to call date %</t>
  </si>
  <si>
    <t>d) IDCW ^^ declared during the period (Rupees per unit)</t>
  </si>
  <si>
    <t>Institutional Plan - IDCW ^^</t>
  </si>
  <si>
    <t>b) Total value and percentage of illiquid equity share</t>
  </si>
  <si>
    <t>Annexure-A</t>
  </si>
  <si>
    <t>DERIVATIVES DISCLOSURE</t>
  </si>
  <si>
    <t>Disclosure regarding Derivative positions pursuant to SEBI Circular no CIR/IMD/DF/11/2010 dated August18,2010</t>
  </si>
  <si>
    <t>DETAILS OF INVESTMENTS IN DERIVATIVE INSTRUMENTS</t>
  </si>
  <si>
    <t>A. Hedging Positions through Futures as on July 31,2021 :</t>
  </si>
  <si>
    <t>Scheme Name</t>
  </si>
  <si>
    <t>Underlying</t>
  </si>
  <si>
    <t>Long/Short</t>
  </si>
  <si>
    <t>Futures Price When Purchased</t>
  </si>
  <si>
    <t>Current Price of the contract</t>
  </si>
  <si>
    <t>Margin maintained in       (Rs in Lakhs)*</t>
  </si>
  <si>
    <t>Short</t>
  </si>
  <si>
    <t xml:space="preserve">Total percentage of existing assets hedged through futures as a percentage of net assets </t>
  </si>
  <si>
    <t>%</t>
  </si>
  <si>
    <t>For the period ended July 31,2021 following were the hedging transactions through futures which have been squared off/ expired</t>
  </si>
  <si>
    <t>Total Number of contracts where futures were Bought</t>
  </si>
  <si>
    <t>Total Number of contracts where futures were Sold</t>
  </si>
  <si>
    <t>Gross Notional value of contracts where futures were bought                      (Rs. in Lakhs)</t>
  </si>
  <si>
    <t>Gross Notional value of contracts where futures were sold        (Rs. in Lakhs)</t>
  </si>
  <si>
    <t>Net Profit / (Loss) value on all contracts combined       (Rs. in lakhs)</t>
  </si>
  <si>
    <t>Sundaram Select Micro Cap Series IX</t>
  </si>
  <si>
    <t>Sundaram Select Micro Cap Series VIII</t>
  </si>
  <si>
    <t>Sundaram Select Micro Cap Series XII</t>
  </si>
  <si>
    <t>Sundaram Select Micro Cap Series XI</t>
  </si>
  <si>
    <t>Sundaram Select Micro Cap Series X</t>
  </si>
  <si>
    <t>B. Other than hedging positions through futures as on July 31,2021:</t>
  </si>
  <si>
    <t>Margin maintained in       (Rs. in Lakhs) *</t>
  </si>
  <si>
    <t>-</t>
  </si>
  <si>
    <t>LONG</t>
  </si>
  <si>
    <t>Total percentage of existing assets due to non-hedging positions as a percentage of net assets</t>
  </si>
  <si>
    <t>For the period ended July 31,2021 following were the non-hedging transactions through futures which have been squared off / expired</t>
  </si>
  <si>
    <t>Gross Notional value of contracts where futures were sold      ( Rs. in Lakhs)</t>
  </si>
  <si>
    <t>Net Profit / (Loss) value on all contracts combined      (Rs. in lakhs)</t>
  </si>
  <si>
    <t>C. Hedging Positions through Put Options as on July 31,2021:</t>
  </si>
  <si>
    <t>Call/Put</t>
  </si>
  <si>
    <t>Number of Contracts</t>
  </si>
  <si>
    <t>Option Price when purchased</t>
  </si>
  <si>
    <t>Current Option Price</t>
  </si>
  <si>
    <t>Total % of existing assets hedged through Put Options</t>
  </si>
  <si>
    <t>For the period ended  July 31,2021, the following hedging transactions through options which have been already exercised/expired</t>
  </si>
  <si>
    <t>Total Number of contracts entered into</t>
  </si>
  <si>
    <t>Gross Notional value of contracts bought                      (Rs. in Lakhs)</t>
  </si>
  <si>
    <t>Gross Notional value of contracts  sold  (Rs. in Lakhs)</t>
  </si>
  <si>
    <t>Net Profit/(Loss) on all contracts 
(Rs. in Lakhs)</t>
  </si>
  <si>
    <t>D. Other than Hedging Positions through options as on July 31,2021:</t>
  </si>
  <si>
    <t xml:space="preserve">Total Exposure through Options other than hedging as a percentage of net assets </t>
  </si>
  <si>
    <t>For the period ended July 31,2021, the following non hedging transactions through options which have been already exercised/expired</t>
  </si>
  <si>
    <t>Gross Notional value of contracts  bought(Rs. in Lakhs)</t>
  </si>
  <si>
    <t>Gross Notional value of contracts  sold (Rs. in Lakhs)</t>
  </si>
  <si>
    <t>E. Hedging Positions through Swaps as on July 31,2021- Nil</t>
  </si>
  <si>
    <t>F. Hedging Positions through Interest Rate Futures as on July 31,2021:</t>
  </si>
  <si>
    <t xml:space="preserve">Futures Price
When Purchased </t>
  </si>
  <si>
    <t>Current Price of
the contract</t>
  </si>
  <si>
    <t>Margin maintained
in (Rs. in Lakhs)</t>
  </si>
  <si>
    <t>Total percentage of existing assets hedged through Interest Rate Futures a Percentage of net assets</t>
  </si>
  <si>
    <t>For the period ended July 31,2021 following were the hedging transactions through Interest Rate Futures which have been squared off/ expired</t>
  </si>
  <si>
    <t>For the period ended July 31,2021 following were the Non Hedging transactions through Interest Rate Futures which have been squared off/ expired</t>
  </si>
  <si>
    <t>* Note: Margin maintained denotes security specific margin.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</si>
</sst>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;\-#,##0.00"/>
    <numFmt numFmtId="169" formatCode="[$-1014009]#,##0.00%"/>
    <numFmt numFmtId="170" formatCode="[$-1014009]#,##0.0000;\-#,##0.0000"/>
    <numFmt numFmtId="171" formatCode="_(* #,##0.00_);_(* \(#,##0.00\);_(* &quot;-&quot;??_);_(@_)"/>
    <numFmt numFmtId="172" formatCode="0.000"/>
    <numFmt numFmtId="173" formatCode="#,##0.000"/>
    <numFmt numFmtId="174" formatCode="0.00000"/>
    <numFmt numFmtId="175" formatCode="dd\/mm\/yyyy"/>
    <numFmt numFmtId="176" formatCode="0.0000"/>
    <numFmt numFmtId="177" formatCode="[$-1014009]#.0000"/>
    <numFmt numFmtId="178" formatCode="[$-1014009]#,##0.00;\(#,##0.00\)"/>
    <numFmt numFmtId="179" formatCode="[$-1014009]#,##0.000000;\-#,##0.000000"/>
    <numFmt numFmtId="180" formatCode="0.00000000"/>
    <numFmt numFmtId="181" formatCode="0.000000000"/>
    <numFmt numFmtId="182" formatCode="_(* #,##0.0000_);_(* \(#,##0.0000\);_(* &quot;-&quot;??_);_(@_)"/>
    <numFmt numFmtId="183" formatCode="#,##0.0000;\(#,##0.0000\)"/>
    <numFmt numFmtId="184" formatCode="_(* #,##0.000_);_(* \(#,##0.000\);_(* &quot;-&quot;??_);_(@_)"/>
    <numFmt numFmtId="185" formatCode="_(* #,##0_);_(* \(#,##0\);_(* &quot;-&quot;??_);_(@_)"/>
  </numFmts>
  <fonts count="2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8"/>
      <name val="Calibri"/>
      <charset val="1"/>
    </font>
    <font>
      <b/>
      <sz val="10"/>
      <color indexed="8"/>
      <name val="Calibri"/>
      <charset val="1"/>
    </font>
    <font>
      <b/>
      <i/>
      <sz val="10"/>
      <color indexed="8"/>
      <name val="Calibri"/>
      <charset val="1"/>
    </font>
    <font>
      <b/>
      <sz val="10"/>
      <name val="Arial"/>
      <family val="2"/>
    </font>
    <font>
      <sz val="10"/>
      <color theme="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>
      <alignment wrapText="1"/>
    </xf>
    <xf numFmtId="0" fontId="1" fillId="0" borderId="0"/>
    <xf numFmtId="171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0" fontId="13" fillId="0" borderId="0"/>
    <xf numFmtId="43" fontId="1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>
      <alignment wrapText="1"/>
    </xf>
  </cellStyleXfs>
  <cellXfs count="362">
    <xf numFmtId="0" fontId="0" fillId="0" borderId="0" xfId="0">
      <alignment wrapText="1"/>
    </xf>
    <xf numFmtId="0" fontId="2" fillId="2" borderId="4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right" vertical="top" wrapText="1" readingOrder="1"/>
    </xf>
    <xf numFmtId="0" fontId="4" fillId="2" borderId="4" xfId="0" applyFont="1" applyFill="1" applyBorder="1" applyAlignment="1">
      <alignment horizontal="left" vertical="center" wrapText="1" readingOrder="1"/>
    </xf>
    <xf numFmtId="164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left" vertical="center" wrapText="1" readingOrder="1"/>
    </xf>
    <xf numFmtId="165" fontId="3" fillId="2" borderId="4" xfId="0" applyNumberFormat="1" applyFont="1" applyFill="1" applyBorder="1" applyAlignment="1">
      <alignment horizontal="right" vertical="center" wrapText="1" readingOrder="1"/>
    </xf>
    <xf numFmtId="166" fontId="3" fillId="2" borderId="4" xfId="0" applyNumberFormat="1" applyFont="1" applyFill="1" applyBorder="1" applyAlignment="1">
      <alignment horizontal="right" vertical="center" wrapText="1" readingOrder="1"/>
    </xf>
    <xf numFmtId="167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right" vertical="center" wrapText="1" readingOrder="1"/>
    </xf>
    <xf numFmtId="166" fontId="4" fillId="2" borderId="4" xfId="0" applyNumberFormat="1" applyFont="1" applyFill="1" applyBorder="1" applyAlignment="1">
      <alignment horizontal="right" vertical="center" wrapText="1" readingOrder="1"/>
    </xf>
    <xf numFmtId="167" fontId="4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168" fontId="4" fillId="2" borderId="4" xfId="0" applyNumberFormat="1" applyFont="1" applyFill="1" applyBorder="1" applyAlignment="1">
      <alignment horizontal="right" vertical="center" wrapText="1" readingOrder="1"/>
    </xf>
    <xf numFmtId="169" fontId="4" fillId="2" borderId="4" xfId="0" applyNumberFormat="1" applyFont="1" applyFill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left" vertical="center" wrapText="1" readingOrder="1"/>
    </xf>
    <xf numFmtId="0" fontId="5" fillId="2" borderId="5" xfId="0" applyFont="1" applyFill="1" applyBorder="1" applyAlignment="1">
      <alignment horizontal="right" vertical="center" wrapText="1" readingOrder="1"/>
    </xf>
    <xf numFmtId="0" fontId="5" fillId="2" borderId="0" xfId="0" applyFont="1" applyFill="1" applyBorder="1" applyAlignment="1">
      <alignment horizontal="left" vertical="center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5" fillId="2" borderId="0" xfId="0" applyFont="1" applyFill="1" applyBorder="1" applyAlignment="1">
      <alignment horizontal="right" vertical="center" wrapText="1" readingOrder="1"/>
    </xf>
    <xf numFmtId="0" fontId="5" fillId="2" borderId="6" xfId="0" applyFont="1" applyFill="1" applyBorder="1" applyAlignment="1">
      <alignment horizontal="right" vertical="center" wrapText="1" readingOrder="1"/>
    </xf>
    <xf numFmtId="0" fontId="3" fillId="2" borderId="0" xfId="0" applyFont="1" applyFill="1" applyBorder="1" applyAlignment="1">
      <alignment horizontal="right" vertical="top" wrapText="1" readingOrder="1"/>
    </xf>
    <xf numFmtId="0" fontId="4" fillId="2" borderId="4" xfId="0" applyFont="1" applyFill="1" applyBorder="1" applyAlignment="1">
      <alignment horizontal="right" vertical="top" wrapText="1" readingOrder="1"/>
    </xf>
    <xf numFmtId="170" fontId="3" fillId="2" borderId="4" xfId="0" applyNumberFormat="1" applyFont="1" applyFill="1" applyBorder="1" applyAlignment="1">
      <alignment horizontal="right" vertical="center" wrapText="1" readingOrder="1"/>
    </xf>
    <xf numFmtId="0" fontId="3" fillId="2" borderId="0" xfId="0" applyFont="1" applyFill="1" applyBorder="1" applyAlignment="1">
      <alignment horizontal="right" vertical="center" wrapText="1" readingOrder="1"/>
    </xf>
    <xf numFmtId="0" fontId="3" fillId="2" borderId="5" xfId="0" applyFont="1" applyFill="1" applyBorder="1" applyAlignment="1">
      <alignment horizontal="right" vertical="top" wrapText="1" readingOrder="1"/>
    </xf>
    <xf numFmtId="169" fontId="4" fillId="2" borderId="4" xfId="0" applyNumberFormat="1" applyFont="1" applyFill="1" applyBorder="1" applyAlignment="1">
      <alignment horizontal="left" vertical="center" wrapText="1" readingOrder="1"/>
    </xf>
    <xf numFmtId="0" fontId="7" fillId="0" borderId="7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10" fillId="0" borderId="7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7" xfId="1" applyFont="1" applyBorder="1" applyAlignment="1">
      <alignment vertical="center"/>
    </xf>
    <xf numFmtId="0" fontId="1" fillId="0" borderId="0" xfId="1"/>
    <xf numFmtId="0" fontId="6" fillId="0" borderId="0" xfId="1" applyFont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11" fillId="0" borderId="14" xfId="1" applyFont="1" applyBorder="1"/>
    <xf numFmtId="0" fontId="11" fillId="0" borderId="7" xfId="1" applyFont="1" applyBorder="1"/>
    <xf numFmtId="0" fontId="11" fillId="0" borderId="0" xfId="1" applyFont="1"/>
    <xf numFmtId="0" fontId="1" fillId="0" borderId="14" xfId="1" applyBorder="1"/>
    <xf numFmtId="0" fontId="1" fillId="0" borderId="7" xfId="1" applyBorder="1"/>
    <xf numFmtId="0" fontId="1" fillId="0" borderId="15" xfId="1" applyBorder="1"/>
    <xf numFmtId="0" fontId="6" fillId="0" borderId="7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left" vertical="center"/>
    </xf>
    <xf numFmtId="0" fontId="11" fillId="0" borderId="24" xfId="1" applyFont="1" applyBorder="1" applyAlignment="1">
      <alignment horizontal="left" vertical="center"/>
    </xf>
    <xf numFmtId="2" fontId="11" fillId="0" borderId="24" xfId="1" applyNumberFormat="1" applyFont="1" applyBorder="1" applyAlignment="1">
      <alignment horizontal="right" vertical="center" wrapText="1"/>
    </xf>
    <xf numFmtId="171" fontId="11" fillId="0" borderId="24" xfId="2" applyFont="1" applyBorder="1" applyAlignment="1">
      <alignment horizontal="right" vertical="center" wrapText="1"/>
    </xf>
    <xf numFmtId="4" fontId="11" fillId="0" borderId="24" xfId="1" applyNumberFormat="1" applyFont="1" applyBorder="1" applyAlignment="1">
      <alignment horizontal="right"/>
    </xf>
    <xf numFmtId="10" fontId="11" fillId="0" borderId="25" xfId="3" applyNumberFormat="1" applyFont="1" applyBorder="1" applyAlignment="1">
      <alignment wrapText="1"/>
    </xf>
    <xf numFmtId="0" fontId="1" fillId="0" borderId="26" xfId="1" applyBorder="1"/>
    <xf numFmtId="0" fontId="1" fillId="0" borderId="27" xfId="1" applyBorder="1"/>
    <xf numFmtId="4" fontId="1" fillId="0" borderId="27" xfId="1" applyNumberFormat="1" applyBorder="1"/>
    <xf numFmtId="2" fontId="1" fillId="0" borderId="27" xfId="1" applyNumberFormat="1" applyBorder="1"/>
    <xf numFmtId="10" fontId="1" fillId="0" borderId="28" xfId="3" applyNumberFormat="1" applyFont="1" applyBorder="1"/>
    <xf numFmtId="14" fontId="1" fillId="0" borderId="0" xfId="1" applyNumberFormat="1"/>
    <xf numFmtId="4" fontId="1" fillId="0" borderId="0" xfId="1" applyNumberFormat="1"/>
    <xf numFmtId="2" fontId="1" fillId="0" borderId="0" xfId="1" applyNumberFormat="1"/>
    <xf numFmtId="2" fontId="6" fillId="0" borderId="0" xfId="1" applyNumberFormat="1" applyFont="1"/>
    <xf numFmtId="0" fontId="1" fillId="0" borderId="0" xfId="4"/>
    <xf numFmtId="0" fontId="14" fillId="0" borderId="7" xfId="5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 readingOrder="1"/>
    </xf>
    <xf numFmtId="0" fontId="15" fillId="0" borderId="7" xfId="1" applyFont="1" applyBorder="1" applyProtection="1">
      <protection locked="0"/>
    </xf>
    <xf numFmtId="0" fontId="16" fillId="0" borderId="7" xfId="1" applyFont="1" applyBorder="1" applyAlignment="1" applyProtection="1">
      <alignment wrapText="1"/>
      <protection locked="0"/>
    </xf>
    <xf numFmtId="0" fontId="15" fillId="0" borderId="7" xfId="1" applyFont="1" applyBorder="1" applyAlignment="1">
      <alignment horizontal="right"/>
    </xf>
    <xf numFmtId="0" fontId="1" fillId="0" borderId="7" xfId="4" applyBorder="1"/>
    <xf numFmtId="0" fontId="15" fillId="0" borderId="7" xfId="1" applyFont="1" applyBorder="1" applyAlignment="1" applyProtection="1">
      <alignment wrapText="1"/>
      <protection locked="0"/>
    </xf>
    <xf numFmtId="172" fontId="15" fillId="0" borderId="7" xfId="1" applyNumberFormat="1" applyFont="1" applyBorder="1" applyProtection="1">
      <protection locked="0"/>
    </xf>
    <xf numFmtId="43" fontId="15" fillId="0" borderId="7" xfId="6" applyFont="1" applyFill="1" applyBorder="1" applyAlignment="1">
      <alignment horizontal="right"/>
    </xf>
    <xf numFmtId="2" fontId="15" fillId="0" borderId="7" xfId="1" applyNumberFormat="1" applyFont="1" applyBorder="1" applyAlignment="1">
      <alignment horizontal="right"/>
    </xf>
    <xf numFmtId="43" fontId="1" fillId="0" borderId="0" xfId="4" applyNumberFormat="1"/>
    <xf numFmtId="172" fontId="1" fillId="0" borderId="0" xfId="4" applyNumberFormat="1"/>
    <xf numFmtId="0" fontId="15" fillId="0" borderId="7" xfId="1" applyFont="1" applyBorder="1" applyAlignment="1">
      <alignment horizontal="center"/>
    </xf>
    <xf numFmtId="173" fontId="1" fillId="0" borderId="7" xfId="4" applyNumberFormat="1" applyBorder="1"/>
    <xf numFmtId="0" fontId="15" fillId="0" borderId="7" xfId="1" applyFont="1" applyBorder="1"/>
    <xf numFmtId="0" fontId="16" fillId="0" borderId="7" xfId="5" applyFont="1" applyBorder="1" applyAlignment="1">
      <alignment vertical="center" wrapText="1"/>
    </xf>
    <xf numFmtId="172" fontId="16" fillId="0" borderId="7" xfId="5" applyNumberFormat="1" applyFont="1" applyBorder="1" applyAlignment="1">
      <alignment vertical="center" wrapText="1"/>
    </xf>
    <xf numFmtId="171" fontId="16" fillId="0" borderId="7" xfId="7" applyFont="1" applyFill="1" applyBorder="1" applyAlignment="1">
      <alignment vertical="center" wrapText="1"/>
    </xf>
    <xf numFmtId="43" fontId="16" fillId="0" borderId="7" xfId="6" applyFont="1" applyBorder="1" applyAlignment="1">
      <alignment horizontal="right" vertical="center"/>
    </xf>
    <xf numFmtId="10" fontId="1" fillId="0" borderId="7" xfId="4" applyNumberFormat="1" applyBorder="1"/>
    <xf numFmtId="171" fontId="15" fillId="0" borderId="7" xfId="7" applyFont="1" applyFill="1" applyBorder="1" applyAlignment="1">
      <alignment horizontal="right"/>
    </xf>
    <xf numFmtId="0" fontId="16" fillId="0" borderId="7" xfId="1" applyFont="1" applyBorder="1" applyProtection="1">
      <protection locked="0"/>
    </xf>
    <xf numFmtId="171" fontId="15" fillId="0" borderId="7" xfId="7" applyFont="1" applyFill="1" applyBorder="1" applyAlignment="1" applyProtection="1">
      <alignment horizontal="right"/>
      <protection locked="0"/>
    </xf>
    <xf numFmtId="0" fontId="15" fillId="0" borderId="7" xfId="4" applyFont="1" applyBorder="1"/>
    <xf numFmtId="171" fontId="15" fillId="0" borderId="7" xfId="7" applyFont="1" applyFill="1" applyBorder="1"/>
    <xf numFmtId="43" fontId="11" fillId="0" borderId="7" xfId="4" applyNumberFormat="1" applyFont="1" applyBorder="1"/>
    <xf numFmtId="0" fontId="16" fillId="0" borderId="7" xfId="1" applyFont="1" applyBorder="1"/>
    <xf numFmtId="171" fontId="16" fillId="0" borderId="7" xfId="7" applyFont="1" applyFill="1" applyBorder="1" applyAlignment="1">
      <alignment horizontal="right"/>
    </xf>
    <xf numFmtId="43" fontId="1" fillId="0" borderId="7" xfId="4" applyNumberFormat="1" applyBorder="1"/>
    <xf numFmtId="2" fontId="16" fillId="0" borderId="7" xfId="1" applyNumberFormat="1" applyFont="1" applyBorder="1" applyAlignment="1">
      <alignment horizontal="right"/>
    </xf>
    <xf numFmtId="4" fontId="17" fillId="0" borderId="7" xfId="1" applyNumberFormat="1" applyFont="1" applyBorder="1"/>
    <xf numFmtId="4" fontId="1" fillId="0" borderId="0" xfId="4" applyNumberFormat="1"/>
    <xf numFmtId="174" fontId="1" fillId="0" borderId="0" xfId="4" applyNumberFormat="1"/>
    <xf numFmtId="0" fontId="18" fillId="0" borderId="0" xfId="8" applyFont="1" applyAlignment="1">
      <alignment horizontal="left" vertical="center" wrapText="1"/>
    </xf>
    <xf numFmtId="0" fontId="19" fillId="0" borderId="0" xfId="8" applyFont="1" applyAlignment="1">
      <alignment vertical="center"/>
    </xf>
    <xf numFmtId="43" fontId="19" fillId="0" borderId="0" xfId="8" applyNumberFormat="1" applyFont="1" applyAlignment="1">
      <alignment vertical="center"/>
    </xf>
    <xf numFmtId="4" fontId="20" fillId="0" borderId="0" xfId="4" applyNumberFormat="1" applyFont="1"/>
    <xf numFmtId="2" fontId="19" fillId="0" borderId="0" xfId="8" applyNumberFormat="1" applyFont="1" applyAlignment="1">
      <alignment vertical="center"/>
    </xf>
    <xf numFmtId="0" fontId="15" fillId="0" borderId="0" xfId="9" applyFont="1" applyAlignment="1">
      <alignment vertical="center"/>
    </xf>
    <xf numFmtId="0" fontId="19" fillId="0" borderId="0" xfId="8" applyFont="1" applyAlignment="1">
      <alignment horizontal="left" vertical="center"/>
    </xf>
    <xf numFmtId="0" fontId="19" fillId="0" borderId="7" xfId="8" applyFont="1" applyBorder="1" applyAlignment="1">
      <alignment vertical="center"/>
    </xf>
    <xf numFmtId="0" fontId="16" fillId="0" borderId="7" xfId="9" applyFont="1" applyBorder="1" applyAlignment="1">
      <alignment horizontal="center" vertical="center"/>
    </xf>
    <xf numFmtId="0" fontId="18" fillId="0" borderId="0" xfId="8" applyFont="1" applyAlignment="1">
      <alignment vertical="center"/>
    </xf>
    <xf numFmtId="0" fontId="16" fillId="0" borderId="7" xfId="9" applyFont="1" applyBorder="1" applyAlignment="1">
      <alignment vertical="center"/>
    </xf>
    <xf numFmtId="175" fontId="18" fillId="0" borderId="7" xfId="8" applyNumberFormat="1" applyFont="1" applyBorder="1" applyAlignment="1">
      <alignment horizontal="center"/>
    </xf>
    <xf numFmtId="14" fontId="18" fillId="0" borderId="0" xfId="8" applyNumberFormat="1" applyFont="1" applyAlignment="1">
      <alignment horizontal="center"/>
    </xf>
    <xf numFmtId="0" fontId="11" fillId="0" borderId="0" xfId="4" applyFont="1"/>
    <xf numFmtId="0" fontId="19" fillId="0" borderId="7" xfId="8" applyFont="1" applyBorder="1" applyAlignment="1">
      <alignment horizontal="left" vertical="center"/>
    </xf>
    <xf numFmtId="176" fontId="11" fillId="0" borderId="7" xfId="4" applyNumberFormat="1" applyFont="1" applyBorder="1"/>
    <xf numFmtId="176" fontId="11" fillId="0" borderId="0" xfId="4" applyNumberFormat="1" applyFont="1"/>
    <xf numFmtId="0" fontId="3" fillId="0" borderId="4" xfId="1" applyFont="1" applyBorder="1" applyAlignment="1">
      <alignment horizontal="left" vertical="center" wrapText="1" readingOrder="1"/>
    </xf>
    <xf numFmtId="0" fontId="3" fillId="0" borderId="0" xfId="1" applyFont="1" applyAlignment="1">
      <alignment vertical="center" readingOrder="1"/>
    </xf>
    <xf numFmtId="0" fontId="3" fillId="0" borderId="0" xfId="1" applyFont="1" applyAlignment="1">
      <alignment vertical="center" wrapText="1" readingOrder="1"/>
    </xf>
    <xf numFmtId="0" fontId="15" fillId="0" borderId="0" xfId="8" applyFont="1" applyAlignment="1">
      <alignment horizontal="center" vertical="center"/>
    </xf>
    <xf numFmtId="0" fontId="19" fillId="0" borderId="0" xfId="8" quotePrefix="1" applyFont="1" applyAlignment="1">
      <alignment vertical="center"/>
    </xf>
    <xf numFmtId="0" fontId="15" fillId="0" borderId="0" xfId="4" applyFont="1" applyAlignment="1">
      <alignment vertical="center" wrapText="1"/>
    </xf>
    <xf numFmtId="0" fontId="21" fillId="2" borderId="4" xfId="0" applyFont="1" applyFill="1" applyBorder="1" applyAlignment="1">
      <alignment horizontal="right" vertical="top" wrapText="1" readingOrder="1"/>
    </xf>
    <xf numFmtId="0" fontId="22" fillId="2" borderId="4" xfId="0" applyFont="1" applyFill="1" applyBorder="1" applyAlignment="1">
      <alignment horizontal="left" vertical="center" wrapText="1" readingOrder="1"/>
    </xf>
    <xf numFmtId="164" fontId="21" fillId="2" borderId="4" xfId="0" applyNumberFormat="1" applyFont="1" applyFill="1" applyBorder="1" applyAlignment="1">
      <alignment horizontal="right" vertical="center" wrapText="1" readingOrder="1"/>
    </xf>
    <xf numFmtId="0" fontId="21" fillId="2" borderId="4" xfId="0" applyFont="1" applyFill="1" applyBorder="1" applyAlignment="1">
      <alignment horizontal="left" vertical="center" wrapText="1" readingOrder="1"/>
    </xf>
    <xf numFmtId="165" fontId="21" fillId="2" borderId="4" xfId="0" applyNumberFormat="1" applyFont="1" applyFill="1" applyBorder="1" applyAlignment="1">
      <alignment horizontal="right" vertical="center" wrapText="1" readingOrder="1"/>
    </xf>
    <xf numFmtId="166" fontId="21" fillId="2" borderId="4" xfId="0" applyNumberFormat="1" applyFont="1" applyFill="1" applyBorder="1" applyAlignment="1">
      <alignment horizontal="right" vertical="center" wrapText="1" readingOrder="1"/>
    </xf>
    <xf numFmtId="167" fontId="21" fillId="2" borderId="4" xfId="0" applyNumberFormat="1" applyFont="1" applyFill="1" applyBorder="1" applyAlignment="1">
      <alignment horizontal="right" vertical="center" wrapText="1" readingOrder="1"/>
    </xf>
    <xf numFmtId="0" fontId="21" fillId="2" borderId="4" xfId="0" applyFont="1" applyFill="1" applyBorder="1" applyAlignment="1">
      <alignment horizontal="right" vertical="center" wrapText="1" readingOrder="1"/>
    </xf>
    <xf numFmtId="166" fontId="22" fillId="2" borderId="4" xfId="0" applyNumberFormat="1" applyFont="1" applyFill="1" applyBorder="1" applyAlignment="1">
      <alignment horizontal="right" vertical="center" wrapText="1" readingOrder="1"/>
    </xf>
    <xf numFmtId="167" fontId="22" fillId="2" borderId="4" xfId="0" applyNumberFormat="1" applyFont="1" applyFill="1" applyBorder="1" applyAlignment="1">
      <alignment horizontal="right" vertical="center" wrapText="1" readingOrder="1"/>
    </xf>
    <xf numFmtId="0" fontId="23" fillId="2" borderId="4" xfId="0" applyFont="1" applyFill="1" applyBorder="1" applyAlignment="1">
      <alignment horizontal="left" vertical="center" wrapText="1" readingOrder="1"/>
    </xf>
    <xf numFmtId="0" fontId="23" fillId="2" borderId="4" xfId="0" applyFont="1" applyFill="1" applyBorder="1" applyAlignment="1">
      <alignment horizontal="right" vertical="center" wrapText="1" readingOrder="1"/>
    </xf>
    <xf numFmtId="168" fontId="22" fillId="2" borderId="4" xfId="0" applyNumberFormat="1" applyFont="1" applyFill="1" applyBorder="1" applyAlignment="1">
      <alignment horizontal="right" vertical="center" wrapText="1" readingOrder="1"/>
    </xf>
    <xf numFmtId="169" fontId="22" fillId="2" borderId="4" xfId="0" applyNumberFormat="1" applyFont="1" applyFill="1" applyBorder="1" applyAlignment="1">
      <alignment horizontal="right" vertical="center" wrapText="1" readingOrder="1"/>
    </xf>
    <xf numFmtId="0" fontId="23" fillId="2" borderId="5" xfId="0" applyFont="1" applyFill="1" applyBorder="1" applyAlignment="1">
      <alignment horizontal="left" vertical="center" wrapText="1" readingOrder="1"/>
    </xf>
    <xf numFmtId="0" fontId="23" fillId="2" borderId="5" xfId="0" applyFont="1" applyFill="1" applyBorder="1" applyAlignment="1">
      <alignment horizontal="right" vertical="center" wrapText="1" readingOrder="1"/>
    </xf>
    <xf numFmtId="0" fontId="23" fillId="2" borderId="0" xfId="0" applyFont="1" applyFill="1" applyAlignment="1">
      <alignment horizontal="left" vertical="center" wrapText="1" readingOrder="1"/>
    </xf>
    <xf numFmtId="0" fontId="23" fillId="2" borderId="0" xfId="0" applyFont="1" applyFill="1" applyAlignment="1">
      <alignment horizontal="right" vertical="center" wrapText="1" readingOrder="1"/>
    </xf>
    <xf numFmtId="0" fontId="23" fillId="2" borderId="6" xfId="0" applyFont="1" applyFill="1" applyBorder="1" applyAlignment="1">
      <alignment horizontal="right" vertical="center" wrapText="1" readingOrder="1"/>
    </xf>
    <xf numFmtId="0" fontId="21" fillId="2" borderId="0" xfId="0" applyFont="1" applyFill="1" applyAlignment="1">
      <alignment horizontal="right" vertical="top" wrapText="1" readingOrder="1"/>
    </xf>
    <xf numFmtId="0" fontId="22" fillId="2" borderId="4" xfId="0" applyFont="1" applyFill="1" applyBorder="1" applyAlignment="1">
      <alignment horizontal="right" vertical="top" wrapText="1" readingOrder="1"/>
    </xf>
    <xf numFmtId="0" fontId="22" fillId="2" borderId="4" xfId="0" applyFont="1" applyFill="1" applyBorder="1" applyAlignment="1">
      <alignment horizontal="left" vertical="top" wrapText="1" readingOrder="1"/>
    </xf>
    <xf numFmtId="177" fontId="21" fillId="2" borderId="4" xfId="0" applyNumberFormat="1" applyFont="1" applyFill="1" applyBorder="1" applyAlignment="1">
      <alignment horizontal="right" vertical="center" wrapText="1" readingOrder="1"/>
    </xf>
    <xf numFmtId="0" fontId="21" fillId="2" borderId="0" xfId="0" applyFont="1" applyFill="1" applyAlignment="1">
      <alignment horizontal="left" vertical="center" wrapText="1" readingOrder="1"/>
    </xf>
    <xf numFmtId="0" fontId="21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21" fillId="2" borderId="6" xfId="0" applyFont="1" applyFill="1" applyBorder="1" applyAlignment="1">
      <alignment horizontal="right" vertical="top" wrapText="1" readingOrder="1"/>
    </xf>
    <xf numFmtId="178" fontId="22" fillId="2" borderId="4" xfId="0" applyNumberFormat="1" applyFont="1" applyFill="1" applyBorder="1" applyAlignment="1">
      <alignment horizontal="left" vertical="center" wrapText="1" readingOrder="1"/>
    </xf>
    <xf numFmtId="169" fontId="22" fillId="2" borderId="4" xfId="0" applyNumberFormat="1" applyFont="1" applyFill="1" applyBorder="1" applyAlignment="1">
      <alignment horizontal="left" vertical="center" wrapText="1" readingOrder="1"/>
    </xf>
    <xf numFmtId="0" fontId="24" fillId="0" borderId="0" xfId="0" applyFont="1">
      <alignment wrapText="1"/>
    </xf>
    <xf numFmtId="0" fontId="13" fillId="0" borderId="0" xfId="0" applyFont="1">
      <alignment wrapText="1"/>
    </xf>
    <xf numFmtId="0" fontId="13" fillId="0" borderId="0" xfId="10">
      <alignment wrapText="1"/>
    </xf>
    <xf numFmtId="0" fontId="3" fillId="2" borderId="0" xfId="0" applyFont="1" applyFill="1" applyAlignment="1">
      <alignment horizontal="right" vertical="top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3" fillId="2" borderId="0" xfId="0" applyFont="1" applyFill="1" applyAlignment="1">
      <alignment horizontal="right" vertical="center" wrapText="1" readingOrder="1"/>
    </xf>
    <xf numFmtId="2" fontId="4" fillId="2" borderId="4" xfId="0" applyNumberFormat="1" applyFont="1" applyFill="1" applyBorder="1" applyAlignment="1">
      <alignment horizontal="left" vertical="center" wrapText="1" readingOrder="1"/>
    </xf>
    <xf numFmtId="178" fontId="4" fillId="2" borderId="4" xfId="10" applyNumberFormat="1" applyFont="1" applyFill="1" applyBorder="1" applyAlignment="1">
      <alignment horizontal="left" vertical="top" wrapText="1" readingOrder="1"/>
    </xf>
    <xf numFmtId="0" fontId="4" fillId="2" borderId="4" xfId="0" applyFont="1" applyFill="1" applyBorder="1" applyAlignment="1">
      <alignment horizontal="left" vertical="top" readingOrder="1"/>
    </xf>
    <xf numFmtId="164" fontId="3" fillId="0" borderId="4" xfId="0" applyNumberFormat="1" applyFont="1" applyBorder="1" applyAlignment="1">
      <alignment horizontal="righ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165" fontId="3" fillId="0" borderId="4" xfId="0" applyNumberFormat="1" applyFont="1" applyBorder="1" applyAlignment="1">
      <alignment horizontal="right" vertical="center" wrapText="1" readingOrder="1"/>
    </xf>
    <xf numFmtId="166" fontId="3" fillId="0" borderId="4" xfId="0" applyNumberFormat="1" applyFont="1" applyBorder="1" applyAlignment="1">
      <alignment horizontal="right" vertical="center" wrapText="1" readingOrder="1"/>
    </xf>
    <xf numFmtId="167" fontId="3" fillId="0" borderId="4" xfId="10" applyNumberFormat="1" applyFont="1" applyBorder="1" applyAlignment="1">
      <alignment horizontal="right" vertical="center" wrapText="1" readingOrder="1"/>
    </xf>
    <xf numFmtId="0" fontId="25" fillId="0" borderId="7" xfId="4" applyFont="1" applyBorder="1" applyAlignment="1">
      <alignment vertical="center"/>
    </xf>
    <xf numFmtId="180" fontId="23" fillId="2" borderId="0" xfId="0" applyNumberFormat="1" applyFont="1" applyFill="1" applyAlignment="1">
      <alignment horizontal="right" vertical="center" wrapText="1" readingOrder="1"/>
    </xf>
    <xf numFmtId="166" fontId="23" fillId="2" borderId="5" xfId="0" applyNumberFormat="1" applyFont="1" applyFill="1" applyBorder="1" applyAlignment="1">
      <alignment horizontal="right" vertical="center" wrapText="1" readingOrder="1"/>
    </xf>
    <xf numFmtId="167" fontId="22" fillId="0" borderId="4" xfId="0" applyNumberFormat="1" applyFont="1" applyFill="1" applyBorder="1" applyAlignment="1">
      <alignment horizontal="right" vertical="center" wrapText="1" readingOrder="1"/>
    </xf>
    <xf numFmtId="0" fontId="10" fillId="0" borderId="0" xfId="0" applyFont="1" applyAlignment="1">
      <alignment vertical="center" wrapText="1"/>
    </xf>
    <xf numFmtId="0" fontId="0" fillId="0" borderId="0" xfId="0" applyAlignment="1"/>
    <xf numFmtId="0" fontId="8" fillId="0" borderId="22" xfId="4" applyFont="1" applyBorder="1" applyAlignment="1">
      <alignment horizontal="center" vertical="center" wrapText="1" readingOrder="1"/>
    </xf>
    <xf numFmtId="2" fontId="25" fillId="0" borderId="7" xfId="4" applyNumberFormat="1" applyFont="1" applyBorder="1" applyAlignment="1">
      <alignment vertical="center"/>
    </xf>
    <xf numFmtId="0" fontId="0" fillId="0" borderId="0" xfId="0" applyFill="1">
      <alignment wrapText="1"/>
    </xf>
    <xf numFmtId="0" fontId="2" fillId="0" borderId="32" xfId="0" applyFont="1" applyFill="1" applyBorder="1" applyAlignment="1">
      <alignment horizontal="left" vertical="center" wrapText="1" readingOrder="1"/>
    </xf>
    <xf numFmtId="0" fontId="2" fillId="0" borderId="32" xfId="0" applyFont="1" applyFill="1" applyBorder="1" applyAlignment="1">
      <alignment horizontal="right" vertical="center" wrapText="1" readingOrder="1"/>
    </xf>
    <xf numFmtId="0" fontId="8" fillId="0" borderId="22" xfId="4" applyFont="1" applyFill="1" applyBorder="1" applyAlignment="1">
      <alignment horizontal="center" vertical="center" wrapText="1" readingOrder="1"/>
    </xf>
    <xf numFmtId="0" fontId="8" fillId="0" borderId="32" xfId="0" applyFont="1" applyFill="1" applyBorder="1" applyAlignment="1">
      <alignment horizontal="center" vertical="center" wrapText="1" readingOrder="1"/>
    </xf>
    <xf numFmtId="0" fontId="3" fillId="0" borderId="4" xfId="10" applyFont="1" applyFill="1" applyBorder="1" applyAlignment="1">
      <alignment horizontal="right" vertical="top" wrapText="1" readingOrder="1"/>
    </xf>
    <xf numFmtId="0" fontId="4" fillId="0" borderId="4" xfId="10" applyFont="1" applyFill="1" applyBorder="1" applyAlignment="1">
      <alignment horizontal="left" vertical="center" wrapText="1" readingOrder="1"/>
    </xf>
    <xf numFmtId="0" fontId="25" fillId="0" borderId="7" xfId="4" applyFont="1" applyFill="1" applyBorder="1" applyAlignment="1">
      <alignment vertical="center"/>
    </xf>
    <xf numFmtId="166" fontId="3" fillId="0" borderId="4" xfId="0" applyNumberFormat="1" applyFont="1" applyFill="1" applyBorder="1" applyAlignment="1">
      <alignment horizontal="right" vertical="center" wrapText="1" readingOrder="1"/>
    </xf>
    <xf numFmtId="0" fontId="21" fillId="0" borderId="4" xfId="0" applyFont="1" applyFill="1" applyBorder="1" applyAlignment="1">
      <alignment horizontal="right" vertical="top" wrapText="1" readingOrder="1"/>
    </xf>
    <xf numFmtId="0" fontId="22" fillId="0" borderId="4" xfId="0" applyFont="1" applyFill="1" applyBorder="1" applyAlignment="1">
      <alignment horizontal="left" vertical="center" wrapText="1" readingOrder="1"/>
    </xf>
    <xf numFmtId="164" fontId="21" fillId="0" borderId="4" xfId="0" applyNumberFormat="1" applyFont="1" applyFill="1" applyBorder="1" applyAlignment="1">
      <alignment horizontal="right" vertical="center" wrapText="1" readingOrder="1"/>
    </xf>
    <xf numFmtId="0" fontId="21" fillId="0" borderId="4" xfId="0" applyFont="1" applyFill="1" applyBorder="1" applyAlignment="1">
      <alignment horizontal="left" vertical="center" wrapText="1" readingOrder="1"/>
    </xf>
    <xf numFmtId="165" fontId="21" fillId="0" borderId="4" xfId="0" applyNumberFormat="1" applyFont="1" applyFill="1" applyBorder="1" applyAlignment="1">
      <alignment horizontal="right" vertical="center" wrapText="1" readingOrder="1"/>
    </xf>
    <xf numFmtId="166" fontId="21" fillId="0" borderId="4" xfId="0" applyNumberFormat="1" applyFont="1" applyFill="1" applyBorder="1" applyAlignment="1">
      <alignment horizontal="right" vertical="center" wrapText="1" readingOrder="1"/>
    </xf>
    <xf numFmtId="167" fontId="21" fillId="0" borderId="4" xfId="0" applyNumberFormat="1" applyFont="1" applyFill="1" applyBorder="1" applyAlignment="1">
      <alignment horizontal="right" vertical="center" wrapText="1" readingOrder="1"/>
    </xf>
    <xf numFmtId="166" fontId="22" fillId="0" borderId="4" xfId="0" applyNumberFormat="1" applyFont="1" applyFill="1" applyBorder="1" applyAlignment="1">
      <alignment horizontal="right" vertical="center" wrapText="1" readingOrder="1"/>
    </xf>
    <xf numFmtId="0" fontId="23" fillId="0" borderId="4" xfId="0" applyFont="1" applyFill="1" applyBorder="1" applyAlignment="1">
      <alignment horizontal="left" vertical="center" wrapText="1" readingOrder="1"/>
    </xf>
    <xf numFmtId="0" fontId="23" fillId="0" borderId="4" xfId="0" applyFont="1" applyFill="1" applyBorder="1" applyAlignment="1">
      <alignment horizontal="right" vertical="center" wrapText="1" readingOrder="1"/>
    </xf>
    <xf numFmtId="168" fontId="22" fillId="0" borderId="4" xfId="0" applyNumberFormat="1" applyFont="1" applyFill="1" applyBorder="1" applyAlignment="1">
      <alignment horizontal="right" vertical="center" wrapText="1" readingOrder="1"/>
    </xf>
    <xf numFmtId="169" fontId="22" fillId="0" borderId="4" xfId="0" applyNumberFormat="1" applyFont="1" applyFill="1" applyBorder="1" applyAlignment="1">
      <alignment horizontal="right" vertical="center" wrapText="1" readingOrder="1"/>
    </xf>
    <xf numFmtId="2" fontId="25" fillId="0" borderId="7" xfId="4" applyNumberFormat="1" applyFont="1" applyFill="1" applyBorder="1" applyAlignment="1">
      <alignment vertical="center"/>
    </xf>
    <xf numFmtId="0" fontId="3" fillId="0" borderId="4" xfId="10" applyFont="1" applyFill="1" applyBorder="1" applyAlignment="1">
      <alignment horizontal="left" vertical="center" wrapText="1" readingOrder="1"/>
    </xf>
    <xf numFmtId="0" fontId="21" fillId="0" borderId="4" xfId="0" applyFont="1" applyFill="1" applyBorder="1" applyAlignment="1">
      <alignment horizontal="right" vertical="center" wrapText="1" readingOrder="1"/>
    </xf>
    <xf numFmtId="43" fontId="11" fillId="0" borderId="7" xfId="4" applyNumberFormat="1" applyFont="1" applyFill="1" applyBorder="1"/>
    <xf numFmtId="0" fontId="23" fillId="0" borderId="5" xfId="0" applyFont="1" applyFill="1" applyBorder="1" applyAlignment="1">
      <alignment horizontal="left" vertical="center" wrapText="1" readingOrder="1"/>
    </xf>
    <xf numFmtId="0" fontId="23" fillId="0" borderId="5" xfId="0" applyFont="1" applyFill="1" applyBorder="1" applyAlignment="1">
      <alignment horizontal="right" vertical="center" wrapText="1" readingOrder="1"/>
    </xf>
    <xf numFmtId="0" fontId="23" fillId="0" borderId="0" xfId="0" applyFont="1" applyFill="1" applyAlignment="1">
      <alignment horizontal="left" vertical="center" wrapText="1" readingOrder="1"/>
    </xf>
    <xf numFmtId="0" fontId="23" fillId="0" borderId="0" xfId="0" applyFont="1" applyFill="1" applyAlignment="1">
      <alignment horizontal="right" vertical="center" wrapText="1" readingOrder="1"/>
    </xf>
    <xf numFmtId="0" fontId="23" fillId="0" borderId="6" xfId="0" applyFont="1" applyFill="1" applyBorder="1" applyAlignment="1">
      <alignment horizontal="right" vertical="center" wrapText="1" readingOrder="1"/>
    </xf>
    <xf numFmtId="0" fontId="4" fillId="0" borderId="4" xfId="0" applyFont="1" applyFill="1" applyBorder="1" applyAlignment="1">
      <alignment horizontal="left" vertical="center" readingOrder="1"/>
    </xf>
    <xf numFmtId="0" fontId="21" fillId="0" borderId="0" xfId="0" applyFont="1" applyFill="1" applyAlignment="1">
      <alignment horizontal="right" vertical="top" wrapText="1" readingOrder="1"/>
    </xf>
    <xf numFmtId="0" fontId="22" fillId="0" borderId="4" xfId="0" applyFont="1" applyFill="1" applyBorder="1" applyAlignment="1">
      <alignment horizontal="right" vertical="top" wrapText="1" readingOrder="1"/>
    </xf>
    <xf numFmtId="0" fontId="22" fillId="0" borderId="4" xfId="0" applyFont="1" applyFill="1" applyBorder="1" applyAlignment="1">
      <alignment horizontal="left" vertical="top" wrapText="1" readingOrder="1"/>
    </xf>
    <xf numFmtId="177" fontId="21" fillId="0" borderId="4" xfId="0" applyNumberFormat="1" applyFont="1" applyFill="1" applyBorder="1" applyAlignment="1">
      <alignment horizontal="right" vertical="center" wrapText="1" readingOrder="1"/>
    </xf>
    <xf numFmtId="0" fontId="21" fillId="0" borderId="0" xfId="0" applyFont="1" applyFill="1" applyAlignment="1">
      <alignment horizontal="left" vertical="center" wrapText="1" readingOrder="1"/>
    </xf>
    <xf numFmtId="0" fontId="21" fillId="0" borderId="0" xfId="0" applyFont="1" applyFill="1" applyAlignment="1">
      <alignment horizontal="right" vertical="center" wrapText="1" readingOrder="1"/>
    </xf>
    <xf numFmtId="0" fontId="3" fillId="0" borderId="0" xfId="0" applyFont="1" applyFill="1" applyAlignment="1">
      <alignment horizontal="right" vertical="top" wrapText="1" readingOrder="1"/>
    </xf>
    <xf numFmtId="0" fontId="4" fillId="0" borderId="7" xfId="0" applyFont="1" applyFill="1" applyBorder="1" applyAlignment="1">
      <alignment horizontal="left" vertical="center" wrapText="1" readingOrder="1"/>
    </xf>
    <xf numFmtId="0" fontId="13" fillId="0" borderId="0" xfId="10" applyFill="1">
      <alignment wrapText="1"/>
    </xf>
    <xf numFmtId="0" fontId="10" fillId="0" borderId="0" xfId="10" applyFont="1" applyFill="1" applyAlignment="1">
      <alignment vertical="center" wrapText="1"/>
    </xf>
    <xf numFmtId="0" fontId="3" fillId="0" borderId="0" xfId="10" applyFont="1" applyFill="1" applyAlignment="1">
      <alignment horizontal="right" vertical="center" wrapText="1" readingOrder="1"/>
    </xf>
    <xf numFmtId="0" fontId="4" fillId="0" borderId="7" xfId="0" applyFont="1" applyFill="1" applyBorder="1" applyAlignment="1">
      <alignment horizontal="center" vertical="top" readingOrder="1"/>
    </xf>
    <xf numFmtId="0" fontId="3" fillId="0" borderId="7" xfId="0" applyFont="1" applyFill="1" applyBorder="1" applyAlignment="1">
      <alignment horizontal="left" vertical="center" wrapText="1" readingOrder="1"/>
    </xf>
    <xf numFmtId="179" fontId="3" fillId="0" borderId="7" xfId="0" applyNumberFormat="1" applyFont="1" applyFill="1" applyBorder="1" applyAlignment="1">
      <alignment horizontal="right" vertical="center" wrapText="1" readingOrder="1"/>
    </xf>
    <xf numFmtId="0" fontId="3" fillId="0" borderId="0" xfId="0" applyFont="1" applyFill="1" applyAlignment="1">
      <alignment horizontal="left" vertical="center" wrapText="1" readingOrder="1"/>
    </xf>
    <xf numFmtId="0" fontId="3" fillId="0" borderId="0" xfId="0" applyFont="1" applyFill="1" applyAlignment="1">
      <alignment horizontal="right" vertical="center" wrapText="1" readingOrder="1"/>
    </xf>
    <xf numFmtId="0" fontId="21" fillId="0" borderId="5" xfId="0" applyFont="1" applyFill="1" applyBorder="1" applyAlignment="1">
      <alignment horizontal="left" vertical="center" wrapText="1" readingOrder="1"/>
    </xf>
    <xf numFmtId="0" fontId="22" fillId="0" borderId="5" xfId="0" applyFont="1" applyFill="1" applyBorder="1" applyAlignment="1">
      <alignment horizontal="left" vertical="center" wrapText="1" readingOrder="1"/>
    </xf>
    <xf numFmtId="0" fontId="0" fillId="0" borderId="0" xfId="0" applyFill="1" applyAlignment="1"/>
    <xf numFmtId="0" fontId="21" fillId="0" borderId="6" xfId="0" applyFont="1" applyFill="1" applyBorder="1" applyAlignment="1">
      <alignment horizontal="right" vertical="top" wrapText="1" readingOrder="1"/>
    </xf>
    <xf numFmtId="178" fontId="22" fillId="0" borderId="4" xfId="0" applyNumberFormat="1" applyFont="1" applyFill="1" applyBorder="1" applyAlignment="1">
      <alignment horizontal="left" vertical="center" wrapText="1" readingOrder="1"/>
    </xf>
    <xf numFmtId="169" fontId="22" fillId="0" borderId="4" xfId="0" applyNumberFormat="1" applyFont="1" applyFill="1" applyBorder="1" applyAlignment="1">
      <alignment horizontal="left" vertical="center" wrapText="1" readingOrder="1"/>
    </xf>
    <xf numFmtId="0" fontId="0" fillId="0" borderId="0" xfId="0" applyFill="1" applyAlignment="1">
      <alignment horizontal="center" vertical="top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4" fillId="2" borderId="3" xfId="0" applyFont="1" applyFill="1" applyBorder="1" applyAlignment="1">
      <alignment horizontal="left" vertical="center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2" borderId="18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3" fillId="2" borderId="3" xfId="0" applyFont="1" applyFill="1" applyBorder="1" applyAlignment="1">
      <alignment horizontal="left" vertical="top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21" fillId="2" borderId="1" xfId="0" applyFont="1" applyFill="1" applyBorder="1" applyAlignment="1">
      <alignment horizontal="left" vertical="center" wrapText="1" readingOrder="1"/>
    </xf>
    <xf numFmtId="0" fontId="21" fillId="2" borderId="3" xfId="0" applyFont="1" applyFill="1" applyBorder="1" applyAlignment="1">
      <alignment horizontal="left" vertical="center" wrapText="1" readingOrder="1"/>
    </xf>
    <xf numFmtId="0" fontId="21" fillId="2" borderId="0" xfId="0" applyFont="1" applyFill="1" applyAlignment="1">
      <alignment horizontal="left" vertical="center" wrapText="1" readingOrder="1"/>
    </xf>
    <xf numFmtId="0" fontId="22" fillId="2" borderId="1" xfId="0" applyFont="1" applyFill="1" applyBorder="1" applyAlignment="1">
      <alignment horizontal="left" vertical="center" wrapText="1" readingOrder="1"/>
    </xf>
    <xf numFmtId="0" fontId="22" fillId="2" borderId="2" xfId="0" applyFont="1" applyFill="1" applyBorder="1" applyAlignment="1">
      <alignment horizontal="left" vertical="center" wrapText="1" readingOrder="1"/>
    </xf>
    <xf numFmtId="0" fontId="22" fillId="2" borderId="3" xfId="0" applyFont="1" applyFill="1" applyBorder="1" applyAlignment="1">
      <alignment horizontal="left" vertical="center" wrapText="1" readingOrder="1"/>
    </xf>
    <xf numFmtId="0" fontId="21" fillId="0" borderId="1" xfId="0" applyFont="1" applyFill="1" applyBorder="1" applyAlignment="1">
      <alignment horizontal="left" vertical="center" wrapText="1" readingOrder="1"/>
    </xf>
    <xf numFmtId="0" fontId="21" fillId="0" borderId="3" xfId="0" applyFont="1" applyFill="1" applyBorder="1" applyAlignment="1">
      <alignment horizontal="left" vertical="center" wrapText="1" readingOrder="1"/>
    </xf>
    <xf numFmtId="0" fontId="3" fillId="0" borderId="7" xfId="0" applyFont="1" applyFill="1" applyBorder="1" applyAlignment="1">
      <alignment horizontal="left" vertical="center" wrapText="1" readingOrder="1"/>
    </xf>
    <xf numFmtId="0" fontId="2" fillId="0" borderId="7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left" vertical="top" wrapText="1" readingOrder="1"/>
    </xf>
    <xf numFmtId="0" fontId="3" fillId="0" borderId="3" xfId="0" applyFont="1" applyFill="1" applyBorder="1" applyAlignment="1">
      <alignment horizontal="left" vertical="top" wrapText="1" readingOrder="1"/>
    </xf>
    <xf numFmtId="0" fontId="3" fillId="0" borderId="0" xfId="0" applyFont="1" applyFill="1" applyAlignment="1">
      <alignment horizontal="left" vertical="center" wrapText="1" readingOrder="1"/>
    </xf>
    <xf numFmtId="0" fontId="21" fillId="0" borderId="0" xfId="0" applyFont="1" applyFill="1" applyAlignment="1">
      <alignment horizontal="left" vertical="center" wrapText="1" readingOrder="1"/>
    </xf>
    <xf numFmtId="0" fontId="22" fillId="0" borderId="1" xfId="0" applyFont="1" applyFill="1" applyBorder="1" applyAlignment="1">
      <alignment horizontal="left" vertical="center" wrapText="1" readingOrder="1"/>
    </xf>
    <xf numFmtId="0" fontId="22" fillId="0" borderId="2" xfId="0" applyFont="1" applyFill="1" applyBorder="1" applyAlignment="1">
      <alignment horizontal="left" vertical="center" wrapText="1" readingOrder="1"/>
    </xf>
    <xf numFmtId="0" fontId="22" fillId="0" borderId="3" xfId="0" applyFont="1" applyFill="1" applyBorder="1" applyAlignment="1">
      <alignment horizontal="left" vertical="center" wrapText="1" readingOrder="1"/>
    </xf>
    <xf numFmtId="0" fontId="19" fillId="0" borderId="0" xfId="8" applyFont="1" applyAlignment="1">
      <alignment horizontal="left" vertical="center"/>
    </xf>
    <xf numFmtId="0" fontId="11" fillId="0" borderId="0" xfId="4" applyFont="1" applyAlignment="1">
      <alignment horizontal="left"/>
    </xf>
    <xf numFmtId="0" fontId="6" fillId="0" borderId="7" xfId="4" applyFont="1" applyBorder="1" applyAlignment="1">
      <alignment horizontal="center"/>
    </xf>
    <xf numFmtId="0" fontId="14" fillId="0" borderId="7" xfId="5" applyFont="1" applyBorder="1" applyAlignment="1">
      <alignment horizontal="center" vertical="center"/>
    </xf>
    <xf numFmtId="0" fontId="8" fillId="4" borderId="7" xfId="5" applyFont="1" applyFill="1" applyBorder="1" applyAlignment="1">
      <alignment horizontal="center" vertical="center" wrapText="1"/>
    </xf>
    <xf numFmtId="0" fontId="19" fillId="0" borderId="0" xfId="8" applyFont="1" applyAlignment="1">
      <alignment horizontal="left"/>
    </xf>
    <xf numFmtId="0" fontId="6" fillId="3" borderId="8" xfId="1" applyFont="1" applyFill="1" applyBorder="1" applyAlignment="1">
      <alignment horizontal="center" wrapText="1"/>
    </xf>
    <xf numFmtId="0" fontId="6" fillId="3" borderId="9" xfId="1" applyFont="1" applyFill="1" applyBorder="1" applyAlignment="1">
      <alignment horizontal="center" wrapText="1"/>
    </xf>
    <xf numFmtId="0" fontId="6" fillId="3" borderId="10" xfId="1" applyFont="1" applyFill="1" applyBorder="1" applyAlignment="1">
      <alignment horizontal="center" wrapText="1"/>
    </xf>
    <xf numFmtId="0" fontId="6" fillId="0" borderId="11" xfId="1" applyFont="1" applyBorder="1" applyAlignment="1">
      <alignment horizontal="center" wrapText="1"/>
    </xf>
    <xf numFmtId="0" fontId="6" fillId="0" borderId="12" xfId="1" applyFont="1" applyBorder="1" applyAlignment="1">
      <alignment horizontal="center" wrapText="1"/>
    </xf>
    <xf numFmtId="0" fontId="6" fillId="0" borderId="13" xfId="1" applyFont="1" applyBorder="1" applyAlignment="1">
      <alignment horizontal="center" wrapText="1"/>
    </xf>
    <xf numFmtId="0" fontId="6" fillId="0" borderId="7" xfId="1" applyFont="1" applyBorder="1" applyAlignment="1">
      <alignment horizontal="center" wrapText="1"/>
    </xf>
    <xf numFmtId="0" fontId="6" fillId="0" borderId="7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11" fillId="0" borderId="29" xfId="1" applyFont="1" applyBorder="1" applyAlignment="1">
      <alignment horizontal="left" wrapText="1"/>
    </xf>
    <xf numFmtId="0" fontId="11" fillId="0" borderId="30" xfId="1" applyFont="1" applyBorder="1" applyAlignment="1">
      <alignment horizontal="left"/>
    </xf>
    <xf numFmtId="0" fontId="11" fillId="0" borderId="31" xfId="1" applyFont="1" applyBorder="1" applyAlignment="1">
      <alignment horizontal="left"/>
    </xf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19" xfId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6" fillId="0" borderId="19" xfId="1" applyFont="1" applyBorder="1" applyAlignment="1">
      <alignment horizontal="center"/>
    </xf>
    <xf numFmtId="0" fontId="6" fillId="0" borderId="21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15" fillId="0" borderId="0" xfId="0" applyFont="1" applyAlignment="1"/>
    <xf numFmtId="0" fontId="16" fillId="0" borderId="0" xfId="0" applyFont="1" applyAlignment="1"/>
    <xf numFmtId="0" fontId="16" fillId="0" borderId="0" xfId="0" applyFont="1" applyAlignment="1">
      <alignment horizontal="center"/>
    </xf>
    <xf numFmtId="0" fontId="16" fillId="0" borderId="7" xfId="0" applyFont="1" applyBorder="1" applyAlignment="1">
      <alignment horizontal="center" vertical="top"/>
    </xf>
    <xf numFmtId="0" fontId="16" fillId="0" borderId="7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left" vertical="center" readingOrder="1"/>
    </xf>
    <xf numFmtId="0" fontId="15" fillId="0" borderId="7" xfId="0" applyFont="1" applyBorder="1" applyAlignment="1">
      <alignment horizontal="center" vertical="top"/>
    </xf>
    <xf numFmtId="178" fontId="3" fillId="2" borderId="4" xfId="0" applyNumberFormat="1" applyFont="1" applyFill="1" applyBorder="1" applyAlignment="1">
      <alignment horizontal="right" vertical="center" readingOrder="1"/>
    </xf>
    <xf numFmtId="2" fontId="15" fillId="0" borderId="7" xfId="0" applyNumberFormat="1" applyFont="1" applyBorder="1" applyAlignment="1">
      <alignment horizontal="right" vertical="top" wrapText="1"/>
    </xf>
    <xf numFmtId="0" fontId="15" fillId="0" borderId="33" xfId="0" applyFont="1" applyBorder="1" applyAlignment="1">
      <alignment horizontal="left" vertical="top"/>
    </xf>
    <xf numFmtId="0" fontId="3" fillId="2" borderId="34" xfId="0" applyFont="1" applyFill="1" applyBorder="1" applyAlignment="1">
      <alignment horizontal="left" vertical="center" readingOrder="1"/>
    </xf>
    <xf numFmtId="0" fontId="3" fillId="2" borderId="7" xfId="0" applyFont="1" applyFill="1" applyBorder="1" applyAlignment="1">
      <alignment horizontal="left" vertical="center" readingOrder="1"/>
    </xf>
    <xf numFmtId="0" fontId="3" fillId="2" borderId="16" xfId="0" applyFont="1" applyFill="1" applyBorder="1" applyAlignment="1">
      <alignment horizontal="left" vertical="center" readingOrder="1"/>
    </xf>
    <xf numFmtId="0" fontId="26" fillId="0" borderId="16" xfId="5" applyFont="1" applyBorder="1" applyAlignment="1">
      <alignment vertical="center" wrapText="1"/>
    </xf>
    <xf numFmtId="2" fontId="15" fillId="0" borderId="35" xfId="0" applyNumberFormat="1" applyFont="1" applyBorder="1" applyAlignment="1">
      <alignment horizontal="right" vertical="top" wrapText="1"/>
    </xf>
    <xf numFmtId="4" fontId="15" fillId="0" borderId="7" xfId="0" applyNumberFormat="1" applyFont="1" applyBorder="1" applyAlignment="1"/>
    <xf numFmtId="0" fontId="15" fillId="0" borderId="35" xfId="0" applyFont="1" applyBorder="1" applyAlignment="1"/>
    <xf numFmtId="2" fontId="15" fillId="0" borderId="0" xfId="0" applyNumberFormat="1" applyFont="1" applyAlignment="1">
      <alignment horizontal="right" vertical="top" wrapText="1"/>
    </xf>
    <xf numFmtId="0" fontId="15" fillId="0" borderId="36" xfId="0" applyFont="1" applyBorder="1" applyAlignment="1">
      <alignment horizontal="center"/>
    </xf>
    <xf numFmtId="0" fontId="15" fillId="0" borderId="36" xfId="0" applyFont="1" applyBorder="1" applyAlignment="1" applyProtection="1">
      <alignment horizontal="center"/>
      <protection locked="0"/>
    </xf>
    <xf numFmtId="171" fontId="15" fillId="0" borderId="36" xfId="2" applyFont="1" applyFill="1" applyBorder="1" applyAlignment="1" applyProtection="1">
      <alignment horizontal="center"/>
      <protection locked="0"/>
    </xf>
    <xf numFmtId="0" fontId="16" fillId="0" borderId="7" xfId="0" applyFont="1" applyBorder="1" applyAlignment="1">
      <alignment horizontal="center"/>
    </xf>
    <xf numFmtId="2" fontId="15" fillId="0" borderId="7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7" xfId="0" applyFont="1" applyBorder="1" applyAlignment="1"/>
    <xf numFmtId="37" fontId="15" fillId="0" borderId="7" xfId="2" applyNumberFormat="1" applyFont="1" applyFill="1" applyBorder="1" applyAlignment="1">
      <alignment horizontal="center"/>
    </xf>
    <xf numFmtId="171" fontId="15" fillId="0" borderId="7" xfId="2" applyFont="1" applyFill="1" applyBorder="1"/>
    <xf numFmtId="171" fontId="15" fillId="0" borderId="0" xfId="2" applyFont="1" applyFill="1" applyBorder="1"/>
    <xf numFmtId="171" fontId="15" fillId="0" borderId="0" xfId="0" applyNumberFormat="1" applyFont="1" applyAlignment="1"/>
    <xf numFmtId="4" fontId="15" fillId="0" borderId="0" xfId="0" applyNumberFormat="1" applyFont="1" applyAlignment="1"/>
    <xf numFmtId="0" fontId="15" fillId="0" borderId="7" xfId="0" applyFont="1" applyBorder="1" applyAlignment="1">
      <alignment vertical="top" wrapText="1"/>
    </xf>
    <xf numFmtId="0" fontId="15" fillId="0" borderId="7" xfId="2" applyNumberFormat="1" applyFont="1" applyFill="1" applyBorder="1" applyAlignment="1">
      <alignment horizontal="center"/>
    </xf>
    <xf numFmtId="4" fontId="15" fillId="0" borderId="7" xfId="2" applyNumberFormat="1" applyFont="1" applyFill="1" applyBorder="1"/>
    <xf numFmtId="4" fontId="15" fillId="0" borderId="0" xfId="2" applyNumberFormat="1" applyFont="1" applyFill="1" applyBorder="1"/>
    <xf numFmtId="181" fontId="15" fillId="0" borderId="0" xfId="0" applyNumberFormat="1" applyFont="1" applyAlignment="1"/>
    <xf numFmtId="2" fontId="15" fillId="0" borderId="0" xfId="0" applyNumberFormat="1" applyFont="1" applyAlignment="1">
      <alignment vertical="top" wrapText="1"/>
    </xf>
    <xf numFmtId="171" fontId="15" fillId="0" borderId="0" xfId="2" applyFont="1" applyFill="1" applyBorder="1" applyAlignment="1"/>
    <xf numFmtId="0" fontId="15" fillId="0" borderId="0" xfId="0" applyFont="1" applyAlignment="1" applyProtection="1">
      <alignment horizontal="left"/>
      <protection locked="0"/>
    </xf>
    <xf numFmtId="0" fontId="15" fillId="0" borderId="0" xfId="0" applyFont="1" applyAlignment="1">
      <alignment horizontal="center" vertical="top"/>
    </xf>
    <xf numFmtId="171" fontId="15" fillId="0" borderId="0" xfId="2" applyFont="1" applyFill="1" applyBorder="1" applyAlignment="1" applyProtection="1">
      <alignment horizontal="left"/>
      <protection locked="0"/>
    </xf>
    <xf numFmtId="4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left" vertical="top"/>
    </xf>
    <xf numFmtId="10" fontId="15" fillId="0" borderId="0" xfId="0" applyNumberFormat="1" applyFont="1" applyAlignment="1">
      <alignment horizontal="center"/>
    </xf>
    <xf numFmtId="171" fontId="15" fillId="0" borderId="7" xfId="2" applyFont="1" applyFill="1" applyBorder="1" applyAlignment="1">
      <alignment horizontal="center" vertical="top" wrapText="1"/>
    </xf>
    <xf numFmtId="2" fontId="15" fillId="0" borderId="7" xfId="0" applyNumberFormat="1" applyFont="1" applyBorder="1" applyAlignment="1">
      <alignment horizontal="right"/>
    </xf>
    <xf numFmtId="1" fontId="15" fillId="0" borderId="7" xfId="0" applyNumberFormat="1" applyFont="1" applyBorder="1" applyAlignment="1">
      <alignment horizontal="center"/>
    </xf>
    <xf numFmtId="171" fontId="16" fillId="0" borderId="0" xfId="2" applyFont="1" applyFill="1" applyBorder="1"/>
    <xf numFmtId="182" fontId="15" fillId="0" borderId="0" xfId="0" applyNumberFormat="1" applyFont="1" applyAlignment="1"/>
    <xf numFmtId="171" fontId="16" fillId="0" borderId="0" xfId="0" applyNumberFormat="1" applyFont="1" applyAlignment="1"/>
    <xf numFmtId="43" fontId="15" fillId="0" borderId="0" xfId="0" applyNumberFormat="1" applyFont="1" applyAlignment="1"/>
    <xf numFmtId="0" fontId="15" fillId="0" borderId="7" xfId="0" applyFont="1" applyBorder="1" applyAlignment="1">
      <alignment horizontal="left"/>
    </xf>
    <xf numFmtId="0" fontId="16" fillId="0" borderId="0" xfId="0" applyFont="1" applyAlignment="1">
      <alignment vertical="top" wrapText="1"/>
    </xf>
    <xf numFmtId="0" fontId="15" fillId="0" borderId="0" xfId="0" applyFont="1" applyAlignment="1">
      <alignment horizontal="center"/>
    </xf>
    <xf numFmtId="2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 vertical="top" wrapText="1"/>
    </xf>
    <xf numFmtId="0" fontId="15" fillId="0" borderId="7" xfId="0" applyFont="1" applyBorder="1" applyAlignment="1">
      <alignment horizontal="center" vertical="top" wrapText="1"/>
    </xf>
    <xf numFmtId="183" fontId="15" fillId="0" borderId="0" xfId="0" applyNumberFormat="1" applyFont="1" applyAlignment="1">
      <alignment horizontal="right" vertical="top" wrapText="1"/>
    </xf>
    <xf numFmtId="2" fontId="15" fillId="0" borderId="0" xfId="0" applyNumberFormat="1" applyFont="1" applyAlignment="1">
      <alignment horizontal="center"/>
    </xf>
    <xf numFmtId="2" fontId="15" fillId="0" borderId="7" xfId="0" applyNumberFormat="1" applyFont="1" applyBorder="1" applyAlignment="1">
      <alignment horizontal="center" vertical="top"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 vertical="top"/>
    </xf>
    <xf numFmtId="2" fontId="15" fillId="0" borderId="0" xfId="0" applyNumberFormat="1" applyFont="1" applyAlignment="1">
      <alignment horizontal="right" vertical="top"/>
    </xf>
    <xf numFmtId="184" fontId="15" fillId="0" borderId="0" xfId="2" applyNumberFormat="1" applyFont="1" applyFill="1" applyBorder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185" fontId="15" fillId="0" borderId="0" xfId="2" applyNumberFormat="1" applyFont="1" applyFill="1" applyBorder="1" applyAlignment="1">
      <alignment horizontal="right" vertical="top" wrapText="1"/>
    </xf>
    <xf numFmtId="2" fontId="15" fillId="0" borderId="0" xfId="0" applyNumberFormat="1" applyFont="1" applyAlignment="1"/>
    <xf numFmtId="2" fontId="15" fillId="0" borderId="7" xfId="0" applyNumberFormat="1" applyFont="1" applyBorder="1" applyAlignment="1">
      <alignment vertical="top" wrapText="1"/>
    </xf>
    <xf numFmtId="171" fontId="15" fillId="0" borderId="7" xfId="2" applyFont="1" applyFill="1" applyBorder="1" applyAlignment="1"/>
    <xf numFmtId="4" fontId="15" fillId="0" borderId="7" xfId="0" applyNumberFormat="1" applyFont="1" applyBorder="1" applyAlignment="1">
      <alignment horizontal="center"/>
    </xf>
    <xf numFmtId="4" fontId="15" fillId="0" borderId="7" xfId="2" applyNumberFormat="1" applyFont="1" applyFill="1" applyBorder="1" applyAlignment="1">
      <alignment horizontal="center"/>
    </xf>
    <xf numFmtId="4" fontId="16" fillId="0" borderId="7" xfId="0" applyNumberFormat="1" applyFont="1" applyBorder="1" applyAlignment="1">
      <alignment horizontal="center" vertical="top" wrapText="1"/>
    </xf>
    <xf numFmtId="4" fontId="15" fillId="0" borderId="7" xfId="0" applyNumberFormat="1" applyFont="1" applyBorder="1" applyAlignment="1">
      <alignment horizontal="center" vertical="top" wrapText="1"/>
    </xf>
  </cellXfs>
  <cellStyles count="11">
    <cellStyle name="Comma 10" xfId="7" xr:uid="{6BC5A0CB-F361-415F-966E-B45B7179E8CC}"/>
    <cellStyle name="Comma 2" xfId="6" xr:uid="{758882B0-D5A3-4CA3-BD42-996420FBD17B}"/>
    <cellStyle name="Comma 2 2" xfId="2" xr:uid="{601260D8-D2BA-4F4B-B375-0368E2F7E2A4}"/>
    <cellStyle name="Normal" xfId="0" builtinId="0"/>
    <cellStyle name="Normal 2" xfId="10" xr:uid="{BCA9C2B7-CBD9-4F8A-8F41-BB6C8C5D909D}"/>
    <cellStyle name="Normal 2 2 3" xfId="1" xr:uid="{6BE839D5-0B6D-47B5-B92C-70A8C72E577A}"/>
    <cellStyle name="Normal 4" xfId="4" xr:uid="{7CB99087-4F4B-4E67-AAA8-E3DA6B0E396E}"/>
    <cellStyle name="Normal_Bonsaverportfolio 2 2" xfId="5" xr:uid="{FBE3D2C3-F9A6-46D5-8F9A-67DF9B8EE861}"/>
    <cellStyle name="Normal_Halfyearly_Debtholdings_30092011 2" xfId="8" xr:uid="{54D05AEC-58C6-405B-BB4F-194306E1A982}"/>
    <cellStyle name="Normal_Holdingotherschemes new" xfId="9" xr:uid="{D7D8052D-AED7-48F0-BB3C-BD114BAB6402}"/>
    <cellStyle name="Percent 2" xfId="3" xr:uid="{B85A196B-741A-4BFB-B282-FDA3F73CCA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5ED74-CE0F-4CB6-80AC-D9CF5DA18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E2C19E-B2CC-4BC6-B904-BC284644D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370EF-BF3F-4DBF-BF0B-2C0FC0B43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72EF90-2799-4E79-9878-8CF3397A6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367AA-73FE-45C1-B2DC-592144933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BBB39B-8061-4F54-81DC-05C9B3AB0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7F3EF4-04D8-4913-8DC3-460DB3D4F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53626-0362-4735-943F-7C011205D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59B3BA-3EFF-48D0-88F2-6B5E481BD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C51825-F8E8-43B7-85A9-711309975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776257-8C18-42C9-B3AE-6BD9DECCF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39422-7FC4-4A09-9EA3-C12F7BAA3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A563D3-437F-4041-AAD7-4D25924E7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E0D163-6944-40FC-9779-E63EDE26F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2E9020-26C7-4E76-B41E-7A979F8CB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ED76D9-1C68-4C2C-BC4B-EF472B1C0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FC2CC6-7A37-4D90-A2C7-E15823F50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806953-FF3E-4006-8B7A-EFBD44D41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04BE7E-2D2D-4371-A595-BB7239301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4EDDDD-BAA7-4D28-A28B-EBC1E1166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87AB2-01BC-4460-9518-602675745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65264F-B29D-4360-9AD5-47492CB48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C574AE-811B-426A-BBD7-8523D0D2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EBC64-B5B0-4FFF-AB49-8119B16E3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91CDCA-A11E-438E-BCE0-5A70B9DE5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97D731-634C-49E5-813D-1B5B356F8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7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EDC164-DEC0-4607-AF7E-084A0673A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8C3F52-F696-495E-8899-870CBBF95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9AC091-8325-40AB-896D-88492B47E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169267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0C4BA5-6275-4142-AF5B-30048406B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87025" y="0"/>
          <a:ext cx="3283942" cy="200977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13</xdr:col>
      <xdr:colOff>150217</xdr:colOff>
      <xdr:row>9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B1DC6B-CF0C-434A-BC39-CAD011EF0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0" y="0"/>
          <a:ext cx="3179167" cy="20193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298053</xdr:colOff>
      <xdr:row>9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9A0AC1-4FB2-49AC-861F-76FBB62A5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79609" y="0"/>
          <a:ext cx="3324225" cy="204787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15</xdr:col>
      <xdr:colOff>57151</xdr:colOff>
      <xdr:row>10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F16A43-78CC-483A-BF30-FE013FB93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7175" y="0"/>
          <a:ext cx="3105151" cy="20002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779FB-6FAE-40F9-B3F5-E1E753A6E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A968EA-2EE8-44AC-AFEF-2D711348E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12</xdr:col>
      <xdr:colOff>569317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FD8C5F-5786-4533-BEA4-5B18A3292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58600" y="0"/>
          <a:ext cx="3274417" cy="20955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8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2CC62B-1367-4824-AD98-117049EC1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EB5A7A-70FA-4FAA-8507-905610C79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D304D5-5F21-4E1E-A26B-DDAB8AE66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235942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F98897-D773-4E5A-8E98-3C6F0D2AB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3283942" cy="200977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14</xdr:col>
      <xdr:colOff>140692</xdr:colOff>
      <xdr:row>7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5E2734-C8FE-4DDA-B7E9-AC9369325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2975" y="0"/>
          <a:ext cx="3283942" cy="2009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A854-21FB-4875-9DA7-DB02D661B3DF}">
  <dimension ref="A1:C42"/>
  <sheetViews>
    <sheetView tabSelected="1" workbookViewId="0">
      <pane ySplit="1" topLeftCell="A2" activePane="bottomLeft" state="frozen"/>
      <selection activeCell="H6" sqref="H6"/>
      <selection pane="bottomLeft" activeCell="A2" sqref="A2"/>
    </sheetView>
  </sheetViews>
  <sheetFormatPr defaultColWidth="8.85546875" defaultRowHeight="15" x14ac:dyDescent="0.2"/>
  <cols>
    <col min="1" max="1" width="6" style="32" bestFit="1" customWidth="1"/>
    <col min="2" max="2" width="11.140625" style="35" bestFit="1" customWidth="1"/>
    <col min="3" max="3" width="56.42578125" style="35" bestFit="1" customWidth="1"/>
    <col min="4" max="16384" width="8.85546875" style="35"/>
  </cols>
  <sheetData>
    <row r="1" spans="1:3" s="32" customFormat="1" x14ac:dyDescent="0.2">
      <c r="A1" s="30" t="s">
        <v>751</v>
      </c>
      <c r="B1" s="31" t="s">
        <v>752</v>
      </c>
      <c r="C1" s="31" t="s">
        <v>753</v>
      </c>
    </row>
    <row r="2" spans="1:3" x14ac:dyDescent="0.2">
      <c r="A2" s="33">
        <v>1</v>
      </c>
      <c r="B2" s="34" t="s">
        <v>754</v>
      </c>
      <c r="C2" s="34" t="s">
        <v>1</v>
      </c>
    </row>
    <row r="3" spans="1:3" x14ac:dyDescent="0.2">
      <c r="A3" s="33">
        <v>2</v>
      </c>
      <c r="B3" s="34" t="s">
        <v>755</v>
      </c>
      <c r="C3" s="34" t="s">
        <v>155</v>
      </c>
    </row>
    <row r="4" spans="1:3" x14ac:dyDescent="0.2">
      <c r="A4" s="33">
        <v>3</v>
      </c>
      <c r="B4" s="34" t="s">
        <v>756</v>
      </c>
      <c r="C4" s="36" t="s">
        <v>292</v>
      </c>
    </row>
    <row r="5" spans="1:3" x14ac:dyDescent="0.2">
      <c r="A5" s="33">
        <v>4</v>
      </c>
      <c r="B5" s="34" t="s">
        <v>757</v>
      </c>
      <c r="C5" s="36" t="s">
        <v>295</v>
      </c>
    </row>
    <row r="6" spans="1:3" x14ac:dyDescent="0.2">
      <c r="A6" s="33">
        <v>5</v>
      </c>
      <c r="B6" s="34" t="s">
        <v>758</v>
      </c>
      <c r="C6" s="36" t="s">
        <v>298</v>
      </c>
    </row>
    <row r="7" spans="1:3" x14ac:dyDescent="0.2">
      <c r="A7" s="33">
        <v>6</v>
      </c>
      <c r="B7" s="34" t="s">
        <v>759</v>
      </c>
      <c r="C7" s="34" t="s">
        <v>303</v>
      </c>
    </row>
    <row r="8" spans="1:3" x14ac:dyDescent="0.2">
      <c r="A8" s="33">
        <v>7</v>
      </c>
      <c r="B8" s="34" t="s">
        <v>760</v>
      </c>
      <c r="C8" s="34" t="s">
        <v>402</v>
      </c>
    </row>
    <row r="9" spans="1:3" x14ac:dyDescent="0.2">
      <c r="A9" s="33">
        <v>8</v>
      </c>
      <c r="B9" s="34" t="s">
        <v>761</v>
      </c>
      <c r="C9" s="34" t="s">
        <v>762</v>
      </c>
    </row>
    <row r="10" spans="1:3" x14ac:dyDescent="0.2">
      <c r="A10" s="33">
        <v>9</v>
      </c>
      <c r="B10" s="34" t="s">
        <v>763</v>
      </c>
      <c r="C10" s="34" t="s">
        <v>764</v>
      </c>
    </row>
    <row r="11" spans="1:3" x14ac:dyDescent="0.2">
      <c r="A11" s="33">
        <v>10</v>
      </c>
      <c r="B11" s="34" t="s">
        <v>765</v>
      </c>
      <c r="C11" s="34" t="s">
        <v>450</v>
      </c>
    </row>
    <row r="12" spans="1:3" x14ac:dyDescent="0.2">
      <c r="A12" s="33">
        <v>11</v>
      </c>
      <c r="B12" s="34" t="s">
        <v>766</v>
      </c>
      <c r="C12" s="34" t="s">
        <v>469</v>
      </c>
    </row>
    <row r="13" spans="1:3" x14ac:dyDescent="0.2">
      <c r="A13" s="33">
        <v>12</v>
      </c>
      <c r="B13" s="34" t="s">
        <v>767</v>
      </c>
      <c r="C13" s="34" t="s">
        <v>470</v>
      </c>
    </row>
    <row r="14" spans="1:3" x14ac:dyDescent="0.2">
      <c r="A14" s="33">
        <v>13</v>
      </c>
      <c r="B14" s="34" t="s">
        <v>768</v>
      </c>
      <c r="C14" s="34" t="s">
        <v>473</v>
      </c>
    </row>
    <row r="15" spans="1:3" x14ac:dyDescent="0.2">
      <c r="A15" s="33">
        <v>14</v>
      </c>
      <c r="B15" s="34" t="s">
        <v>769</v>
      </c>
      <c r="C15" s="34" t="s">
        <v>474</v>
      </c>
    </row>
    <row r="16" spans="1:3" x14ac:dyDescent="0.2">
      <c r="A16" s="33">
        <v>15</v>
      </c>
      <c r="B16" s="36" t="s">
        <v>770</v>
      </c>
      <c r="C16" s="36" t="s">
        <v>475</v>
      </c>
    </row>
    <row r="17" spans="1:3" x14ac:dyDescent="0.2">
      <c r="A17" s="33">
        <v>16</v>
      </c>
      <c r="B17" s="36" t="s">
        <v>771</v>
      </c>
      <c r="C17" s="36" t="s">
        <v>476</v>
      </c>
    </row>
    <row r="18" spans="1:3" x14ac:dyDescent="0.2">
      <c r="A18" s="33">
        <v>17</v>
      </c>
      <c r="B18" s="36" t="s">
        <v>772</v>
      </c>
      <c r="C18" s="36" t="s">
        <v>493</v>
      </c>
    </row>
    <row r="19" spans="1:3" x14ac:dyDescent="0.2">
      <c r="A19" s="33">
        <v>18</v>
      </c>
      <c r="B19" s="36" t="s">
        <v>773</v>
      </c>
      <c r="C19" s="36" t="s">
        <v>774</v>
      </c>
    </row>
    <row r="20" spans="1:3" x14ac:dyDescent="0.2">
      <c r="A20" s="33">
        <v>19</v>
      </c>
      <c r="B20" s="36" t="s">
        <v>775</v>
      </c>
      <c r="C20" s="36" t="s">
        <v>776</v>
      </c>
    </row>
    <row r="21" spans="1:3" x14ac:dyDescent="0.2">
      <c r="A21" s="33">
        <v>20</v>
      </c>
      <c r="B21" s="36" t="s">
        <v>777</v>
      </c>
      <c r="C21" s="36" t="s">
        <v>778</v>
      </c>
    </row>
    <row r="22" spans="1:3" x14ac:dyDescent="0.2">
      <c r="A22" s="33">
        <v>21</v>
      </c>
      <c r="B22" s="36" t="s">
        <v>779</v>
      </c>
      <c r="C22" s="36" t="s">
        <v>780</v>
      </c>
    </row>
    <row r="23" spans="1:3" x14ac:dyDescent="0.2">
      <c r="A23" s="33">
        <v>22</v>
      </c>
      <c r="B23" s="36" t="s">
        <v>781</v>
      </c>
      <c r="C23" s="36" t="s">
        <v>509</v>
      </c>
    </row>
    <row r="24" spans="1:3" x14ac:dyDescent="0.2">
      <c r="A24" s="33">
        <v>23</v>
      </c>
      <c r="B24" s="36" t="s">
        <v>782</v>
      </c>
      <c r="C24" s="36" t="s">
        <v>510</v>
      </c>
    </row>
    <row r="25" spans="1:3" x14ac:dyDescent="0.2">
      <c r="A25" s="33">
        <v>24</v>
      </c>
      <c r="B25" s="36" t="s">
        <v>783</v>
      </c>
      <c r="C25" s="36" t="s">
        <v>511</v>
      </c>
    </row>
    <row r="26" spans="1:3" x14ac:dyDescent="0.2">
      <c r="A26" s="33">
        <v>25</v>
      </c>
      <c r="B26" s="36" t="s">
        <v>784</v>
      </c>
      <c r="C26" s="36" t="s">
        <v>512</v>
      </c>
    </row>
    <row r="27" spans="1:3" x14ac:dyDescent="0.2">
      <c r="A27" s="33">
        <v>26</v>
      </c>
      <c r="B27" s="36" t="s">
        <v>785</v>
      </c>
      <c r="C27" s="36" t="s">
        <v>513</v>
      </c>
    </row>
    <row r="28" spans="1:3" x14ac:dyDescent="0.2">
      <c r="A28" s="33">
        <v>27</v>
      </c>
      <c r="B28" s="36" t="s">
        <v>786</v>
      </c>
      <c r="C28" s="36" t="s">
        <v>787</v>
      </c>
    </row>
    <row r="29" spans="1:3" x14ac:dyDescent="0.2">
      <c r="A29" s="33">
        <v>28</v>
      </c>
      <c r="B29" s="36" t="s">
        <v>788</v>
      </c>
      <c r="C29" s="36" t="s">
        <v>789</v>
      </c>
    </row>
    <row r="30" spans="1:3" x14ac:dyDescent="0.2">
      <c r="A30" s="33">
        <v>29</v>
      </c>
      <c r="B30" s="36" t="s">
        <v>790</v>
      </c>
      <c r="C30" s="36" t="s">
        <v>791</v>
      </c>
    </row>
    <row r="31" spans="1:3" x14ac:dyDescent="0.2">
      <c r="A31" s="33">
        <v>30</v>
      </c>
      <c r="B31" s="36" t="s">
        <v>792</v>
      </c>
      <c r="C31" s="36" t="s">
        <v>692</v>
      </c>
    </row>
    <row r="32" spans="1:3" x14ac:dyDescent="0.2">
      <c r="A32" s="33">
        <v>31</v>
      </c>
      <c r="B32" s="36" t="s">
        <v>793</v>
      </c>
      <c r="C32" s="36" t="s">
        <v>693</v>
      </c>
    </row>
    <row r="33" spans="1:3" x14ac:dyDescent="0.2">
      <c r="A33" s="33">
        <v>32</v>
      </c>
      <c r="B33" s="36" t="s">
        <v>794</v>
      </c>
      <c r="C33" s="36" t="s">
        <v>795</v>
      </c>
    </row>
    <row r="34" spans="1:3" x14ac:dyDescent="0.2">
      <c r="A34" s="33">
        <v>33</v>
      </c>
      <c r="B34" s="36" t="s">
        <v>796</v>
      </c>
      <c r="C34" s="36" t="s">
        <v>797</v>
      </c>
    </row>
    <row r="35" spans="1:3" x14ac:dyDescent="0.2">
      <c r="A35" s="33">
        <v>34</v>
      </c>
      <c r="B35" s="36" t="s">
        <v>798</v>
      </c>
      <c r="C35" s="36" t="s">
        <v>699</v>
      </c>
    </row>
    <row r="36" spans="1:3" x14ac:dyDescent="0.2">
      <c r="A36" s="33">
        <v>35</v>
      </c>
      <c r="B36" s="36" t="s">
        <v>799</v>
      </c>
      <c r="C36" s="36" t="s">
        <v>700</v>
      </c>
    </row>
    <row r="37" spans="1:3" x14ac:dyDescent="0.2">
      <c r="A37" s="33">
        <v>36</v>
      </c>
      <c r="B37" s="36" t="s">
        <v>800</v>
      </c>
      <c r="C37" s="36" t="s">
        <v>711</v>
      </c>
    </row>
    <row r="38" spans="1:3" x14ac:dyDescent="0.2">
      <c r="A38" s="33">
        <v>37</v>
      </c>
      <c r="B38" s="36" t="s">
        <v>801</v>
      </c>
      <c r="C38" s="36" t="s">
        <v>723</v>
      </c>
    </row>
    <row r="39" spans="1:3" x14ac:dyDescent="0.2">
      <c r="A39" s="33">
        <v>38</v>
      </c>
      <c r="B39" s="36" t="s">
        <v>802</v>
      </c>
      <c r="C39" s="36" t="s">
        <v>730</v>
      </c>
    </row>
    <row r="40" spans="1:3" x14ac:dyDescent="0.2">
      <c r="A40" s="33">
        <v>39</v>
      </c>
      <c r="B40" s="36" t="s">
        <v>803</v>
      </c>
      <c r="C40" s="36" t="s">
        <v>739</v>
      </c>
    </row>
    <row r="41" spans="1:3" x14ac:dyDescent="0.2">
      <c r="A41" s="33">
        <v>40</v>
      </c>
      <c r="B41" s="36" t="s">
        <v>804</v>
      </c>
      <c r="C41" s="36" t="s">
        <v>750</v>
      </c>
    </row>
    <row r="42" spans="1:3" x14ac:dyDescent="0.2">
      <c r="A42" s="33">
        <v>41</v>
      </c>
      <c r="B42" s="36" t="s">
        <v>805</v>
      </c>
      <c r="C42" s="36" t="s">
        <v>806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6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1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12</v>
      </c>
      <c r="C7" s="6" t="s">
        <v>13</v>
      </c>
      <c r="D7" s="6" t="s">
        <v>14</v>
      </c>
      <c r="E7" s="7">
        <v>351301</v>
      </c>
      <c r="F7" s="8">
        <v>5625.9098645000004</v>
      </c>
      <c r="G7" s="9">
        <v>9.2288672000000002E-2</v>
      </c>
      <c r="H7" s="164"/>
    </row>
    <row r="8" spans="1:8" x14ac:dyDescent="0.2">
      <c r="A8" s="5">
        <v>2</v>
      </c>
      <c r="B8" s="6" t="s">
        <v>15</v>
      </c>
      <c r="C8" s="6" t="s">
        <v>16</v>
      </c>
      <c r="D8" s="6" t="s">
        <v>17</v>
      </c>
      <c r="E8" s="7">
        <v>206442</v>
      </c>
      <c r="F8" s="8">
        <v>4201.7140259999996</v>
      </c>
      <c r="G8" s="9">
        <v>6.8925847999999998E-2</v>
      </c>
      <c r="H8" s="164"/>
    </row>
    <row r="9" spans="1:8" ht="25.5" x14ac:dyDescent="0.2">
      <c r="A9" s="5">
        <v>3</v>
      </c>
      <c r="B9" s="6" t="s">
        <v>18</v>
      </c>
      <c r="C9" s="6" t="s">
        <v>19</v>
      </c>
      <c r="D9" s="6" t="s">
        <v>925</v>
      </c>
      <c r="E9" s="7">
        <v>362486</v>
      </c>
      <c r="F9" s="8">
        <v>3962.6969519999998</v>
      </c>
      <c r="G9" s="9">
        <v>6.5004959000000001E-2</v>
      </c>
      <c r="H9" s="164"/>
    </row>
    <row r="10" spans="1:8" x14ac:dyDescent="0.2">
      <c r="A10" s="5">
        <v>4</v>
      </c>
      <c r="B10" s="6" t="s">
        <v>20</v>
      </c>
      <c r="C10" s="6" t="s">
        <v>21</v>
      </c>
      <c r="D10" s="6" t="s">
        <v>22</v>
      </c>
      <c r="E10" s="7">
        <v>498729</v>
      </c>
      <c r="F10" s="8">
        <v>3403.825425</v>
      </c>
      <c r="G10" s="9">
        <v>5.5837106999999997E-2</v>
      </c>
      <c r="H10" s="164"/>
    </row>
    <row r="11" spans="1:8" x14ac:dyDescent="0.2">
      <c r="A11" s="5">
        <v>5</v>
      </c>
      <c r="B11" s="6" t="s">
        <v>23</v>
      </c>
      <c r="C11" s="6" t="s">
        <v>24</v>
      </c>
      <c r="D11" s="6" t="s">
        <v>25</v>
      </c>
      <c r="E11" s="7">
        <v>574661</v>
      </c>
      <c r="F11" s="8">
        <v>3227.5835065000001</v>
      </c>
      <c r="G11" s="9">
        <v>5.2945995000000003E-2</v>
      </c>
      <c r="H11" s="164"/>
    </row>
    <row r="12" spans="1:8" x14ac:dyDescent="0.2">
      <c r="A12" s="5">
        <v>6</v>
      </c>
      <c r="B12" s="6" t="s">
        <v>26</v>
      </c>
      <c r="C12" s="6" t="s">
        <v>27</v>
      </c>
      <c r="D12" s="6" t="s">
        <v>28</v>
      </c>
      <c r="E12" s="7">
        <v>232062</v>
      </c>
      <c r="F12" s="8">
        <v>2905.6483020000001</v>
      </c>
      <c r="G12" s="9">
        <v>4.7664898999999997E-2</v>
      </c>
      <c r="H12" s="164"/>
    </row>
    <row r="13" spans="1:8" ht="25.5" x14ac:dyDescent="0.2">
      <c r="A13" s="5">
        <v>7</v>
      </c>
      <c r="B13" s="6" t="s">
        <v>29</v>
      </c>
      <c r="C13" s="6" t="s">
        <v>30</v>
      </c>
      <c r="D13" s="6" t="s">
        <v>925</v>
      </c>
      <c r="E13" s="7">
        <v>70820</v>
      </c>
      <c r="F13" s="8">
        <v>2308.1300299999998</v>
      </c>
      <c r="G13" s="9">
        <v>3.7863077000000002E-2</v>
      </c>
      <c r="H13" s="164"/>
    </row>
    <row r="14" spans="1:8" x14ac:dyDescent="0.2">
      <c r="A14" s="5">
        <v>8</v>
      </c>
      <c r="B14" s="6" t="s">
        <v>31</v>
      </c>
      <c r="C14" s="6" t="s">
        <v>32</v>
      </c>
      <c r="D14" s="6" t="s">
        <v>28</v>
      </c>
      <c r="E14" s="7">
        <v>118332</v>
      </c>
      <c r="F14" s="8">
        <v>2189.9111579999999</v>
      </c>
      <c r="G14" s="9">
        <v>3.5923787999999998E-2</v>
      </c>
      <c r="H14" s="164"/>
    </row>
    <row r="15" spans="1:8" ht="25.5" x14ac:dyDescent="0.2">
      <c r="A15" s="5">
        <v>9</v>
      </c>
      <c r="B15" s="6" t="s">
        <v>33</v>
      </c>
      <c r="C15" s="6" t="s">
        <v>34</v>
      </c>
      <c r="D15" s="6" t="s">
        <v>925</v>
      </c>
      <c r="E15" s="7">
        <v>28500</v>
      </c>
      <c r="F15" s="8">
        <v>2171.4720000000002</v>
      </c>
      <c r="G15" s="9">
        <v>3.5621307999999997E-2</v>
      </c>
      <c r="H15" s="164"/>
    </row>
    <row r="16" spans="1:8" x14ac:dyDescent="0.2">
      <c r="A16" s="5">
        <v>10</v>
      </c>
      <c r="B16" s="6" t="s">
        <v>35</v>
      </c>
      <c r="C16" s="6" t="s">
        <v>36</v>
      </c>
      <c r="D16" s="6" t="s">
        <v>37</v>
      </c>
      <c r="E16" s="7">
        <v>622845</v>
      </c>
      <c r="F16" s="8">
        <v>2032.0318124999999</v>
      </c>
      <c r="G16" s="9">
        <v>3.33339E-2</v>
      </c>
      <c r="H16" s="164"/>
    </row>
    <row r="17" spans="1:8" ht="25.5" x14ac:dyDescent="0.2">
      <c r="A17" s="5">
        <v>11</v>
      </c>
      <c r="B17" s="6" t="s">
        <v>38</v>
      </c>
      <c r="C17" s="6" t="s">
        <v>39</v>
      </c>
      <c r="D17" s="6" t="s">
        <v>40</v>
      </c>
      <c r="E17" s="7">
        <v>4685</v>
      </c>
      <c r="F17" s="8">
        <v>2001.8489649999999</v>
      </c>
      <c r="G17" s="9">
        <v>3.2838774000000001E-2</v>
      </c>
      <c r="H17" s="164"/>
    </row>
    <row r="18" spans="1:8" x14ac:dyDescent="0.2">
      <c r="A18" s="5">
        <v>12</v>
      </c>
      <c r="B18" s="6" t="s">
        <v>41</v>
      </c>
      <c r="C18" s="6" t="s">
        <v>42</v>
      </c>
      <c r="D18" s="6" t="s">
        <v>28</v>
      </c>
      <c r="E18" s="7">
        <v>152664</v>
      </c>
      <c r="F18" s="8">
        <v>1769.5284240000001</v>
      </c>
      <c r="G18" s="9">
        <v>2.9027735999999998E-2</v>
      </c>
      <c r="H18" s="164"/>
    </row>
    <row r="19" spans="1:8" x14ac:dyDescent="0.2">
      <c r="A19" s="5">
        <v>13</v>
      </c>
      <c r="B19" s="6" t="s">
        <v>43</v>
      </c>
      <c r="C19" s="6" t="s">
        <v>44</v>
      </c>
      <c r="D19" s="6" t="s">
        <v>45</v>
      </c>
      <c r="E19" s="7">
        <v>1356087</v>
      </c>
      <c r="F19" s="8">
        <v>1695.1087500000001</v>
      </c>
      <c r="G19" s="9">
        <v>2.7806939999999999E-2</v>
      </c>
      <c r="H19" s="164"/>
    </row>
    <row r="20" spans="1:8" x14ac:dyDescent="0.2">
      <c r="A20" s="5">
        <v>14</v>
      </c>
      <c r="B20" s="6" t="s">
        <v>46</v>
      </c>
      <c r="C20" s="6" t="s">
        <v>47</v>
      </c>
      <c r="D20" s="6" t="s">
        <v>28</v>
      </c>
      <c r="E20" s="7">
        <v>86944</v>
      </c>
      <c r="F20" s="8">
        <v>1651.849056</v>
      </c>
      <c r="G20" s="9">
        <v>2.7097297999999999E-2</v>
      </c>
      <c r="H20" s="164"/>
    </row>
    <row r="21" spans="1:8" x14ac:dyDescent="0.2">
      <c r="A21" s="5">
        <v>15</v>
      </c>
      <c r="B21" s="6" t="s">
        <v>48</v>
      </c>
      <c r="C21" s="6" t="s">
        <v>49</v>
      </c>
      <c r="D21" s="6" t="s">
        <v>50</v>
      </c>
      <c r="E21" s="7">
        <v>208993</v>
      </c>
      <c r="F21" s="8">
        <v>1564.1036120000001</v>
      </c>
      <c r="G21" s="9">
        <v>2.5657902E-2</v>
      </c>
      <c r="H21" s="164"/>
    </row>
    <row r="22" spans="1:8" x14ac:dyDescent="0.2">
      <c r="A22" s="5">
        <v>16</v>
      </c>
      <c r="B22" s="6" t="s">
        <v>51</v>
      </c>
      <c r="C22" s="6" t="s">
        <v>52</v>
      </c>
      <c r="D22" s="6" t="s">
        <v>926</v>
      </c>
      <c r="E22" s="7">
        <v>895748</v>
      </c>
      <c r="F22" s="8">
        <v>1533.5205759999999</v>
      </c>
      <c r="G22" s="9">
        <v>2.5156211000000001E-2</v>
      </c>
      <c r="H22" s="164"/>
    </row>
    <row r="23" spans="1:8" x14ac:dyDescent="0.2">
      <c r="A23" s="5">
        <v>17</v>
      </c>
      <c r="B23" s="6" t="s">
        <v>53</v>
      </c>
      <c r="C23" s="6" t="s">
        <v>54</v>
      </c>
      <c r="D23" s="6" t="s">
        <v>17</v>
      </c>
      <c r="E23" s="7">
        <v>340747</v>
      </c>
      <c r="F23" s="8">
        <v>1518.027885</v>
      </c>
      <c r="G23" s="9">
        <v>2.4902066E-2</v>
      </c>
      <c r="H23" s="164"/>
    </row>
    <row r="24" spans="1:8" x14ac:dyDescent="0.2">
      <c r="A24" s="5">
        <v>18</v>
      </c>
      <c r="B24" s="6" t="s">
        <v>55</v>
      </c>
      <c r="C24" s="6" t="s">
        <v>56</v>
      </c>
      <c r="D24" s="6" t="s">
        <v>37</v>
      </c>
      <c r="E24" s="7">
        <v>637568</v>
      </c>
      <c r="F24" s="8">
        <v>1457.161664</v>
      </c>
      <c r="G24" s="9">
        <v>2.3903602999999999E-2</v>
      </c>
      <c r="H24" s="164"/>
    </row>
    <row r="25" spans="1:8" x14ac:dyDescent="0.2">
      <c r="A25" s="5">
        <v>19</v>
      </c>
      <c r="B25" s="6" t="s">
        <v>57</v>
      </c>
      <c r="C25" s="6" t="s">
        <v>58</v>
      </c>
      <c r="D25" s="6" t="s">
        <v>59</v>
      </c>
      <c r="E25" s="7">
        <v>1000000</v>
      </c>
      <c r="F25" s="8">
        <v>1420.5</v>
      </c>
      <c r="G25" s="9">
        <v>2.3302197E-2</v>
      </c>
      <c r="H25" s="164"/>
    </row>
    <row r="26" spans="1:8" x14ac:dyDescent="0.2">
      <c r="A26" s="5">
        <v>20</v>
      </c>
      <c r="B26" s="6" t="s">
        <v>60</v>
      </c>
      <c r="C26" s="6" t="s">
        <v>61</v>
      </c>
      <c r="D26" s="6" t="s">
        <v>62</v>
      </c>
      <c r="E26" s="7">
        <v>39548</v>
      </c>
      <c r="F26" s="8">
        <v>1183.157516</v>
      </c>
      <c r="G26" s="9">
        <v>1.9408778000000002E-2</v>
      </c>
      <c r="H26" s="164"/>
    </row>
    <row r="27" spans="1:8" ht="25.5" x14ac:dyDescent="0.2">
      <c r="A27" s="5">
        <v>21</v>
      </c>
      <c r="B27" s="6" t="s">
        <v>63</v>
      </c>
      <c r="C27" s="6" t="s">
        <v>64</v>
      </c>
      <c r="D27" s="6" t="s">
        <v>40</v>
      </c>
      <c r="E27" s="7">
        <v>148252</v>
      </c>
      <c r="F27" s="8">
        <v>1177.4915100000001</v>
      </c>
      <c r="G27" s="9">
        <v>1.9315832000000002E-2</v>
      </c>
      <c r="H27" s="164"/>
    </row>
    <row r="28" spans="1:8" ht="25.5" x14ac:dyDescent="0.2">
      <c r="A28" s="5">
        <v>22</v>
      </c>
      <c r="B28" s="6" t="s">
        <v>65</v>
      </c>
      <c r="C28" s="6" t="s">
        <v>66</v>
      </c>
      <c r="D28" s="6" t="s">
        <v>67</v>
      </c>
      <c r="E28" s="7">
        <v>187344</v>
      </c>
      <c r="F28" s="8">
        <v>1172.679768</v>
      </c>
      <c r="G28" s="9">
        <v>1.9236898999999998E-2</v>
      </c>
      <c r="H28" s="164"/>
    </row>
    <row r="29" spans="1:8" ht="25.5" x14ac:dyDescent="0.2">
      <c r="A29" s="5">
        <v>23</v>
      </c>
      <c r="B29" s="6" t="s">
        <v>68</v>
      </c>
      <c r="C29" s="6" t="s">
        <v>69</v>
      </c>
      <c r="D29" s="6" t="s">
        <v>40</v>
      </c>
      <c r="E29" s="7">
        <v>315302</v>
      </c>
      <c r="F29" s="8">
        <v>1156.685387</v>
      </c>
      <c r="G29" s="9">
        <v>1.8974523E-2</v>
      </c>
      <c r="H29" s="164"/>
    </row>
    <row r="30" spans="1:8" ht="25.5" x14ac:dyDescent="0.2">
      <c r="A30" s="5">
        <v>24</v>
      </c>
      <c r="B30" s="6" t="s">
        <v>70</v>
      </c>
      <c r="C30" s="6" t="s">
        <v>71</v>
      </c>
      <c r="D30" s="6" t="s">
        <v>40</v>
      </c>
      <c r="E30" s="7">
        <v>23847</v>
      </c>
      <c r="F30" s="8">
        <v>1096.318131</v>
      </c>
      <c r="G30" s="9">
        <v>1.7984245999999999E-2</v>
      </c>
      <c r="H30" s="164"/>
    </row>
    <row r="31" spans="1:8" x14ac:dyDescent="0.2">
      <c r="A31" s="5">
        <v>25</v>
      </c>
      <c r="B31" s="6" t="s">
        <v>72</v>
      </c>
      <c r="C31" s="6" t="s">
        <v>73</v>
      </c>
      <c r="D31" s="6" t="s">
        <v>28</v>
      </c>
      <c r="E31" s="7">
        <v>119317</v>
      </c>
      <c r="F31" s="8">
        <v>1017.0581079999999</v>
      </c>
      <c r="G31" s="9">
        <v>1.6684047E-2</v>
      </c>
      <c r="H31" s="164"/>
    </row>
    <row r="32" spans="1:8" x14ac:dyDescent="0.2">
      <c r="A32" s="5">
        <v>26</v>
      </c>
      <c r="B32" s="6" t="s">
        <v>74</v>
      </c>
      <c r="C32" s="6" t="s">
        <v>75</v>
      </c>
      <c r="D32" s="6" t="s">
        <v>76</v>
      </c>
      <c r="E32" s="7">
        <v>716249</v>
      </c>
      <c r="F32" s="8">
        <v>999.52547949999996</v>
      </c>
      <c r="G32" s="9">
        <v>1.6396437E-2</v>
      </c>
      <c r="H32" s="164"/>
    </row>
    <row r="33" spans="1:8" x14ac:dyDescent="0.2">
      <c r="A33" s="5">
        <v>27</v>
      </c>
      <c r="B33" s="6" t="s">
        <v>77</v>
      </c>
      <c r="C33" s="6" t="s">
        <v>78</v>
      </c>
      <c r="D33" s="6" t="s">
        <v>62</v>
      </c>
      <c r="E33" s="7">
        <v>380216</v>
      </c>
      <c r="F33" s="8">
        <v>960.42561599999999</v>
      </c>
      <c r="G33" s="9">
        <v>1.5755035000000001E-2</v>
      </c>
      <c r="H33" s="164"/>
    </row>
    <row r="34" spans="1:8" x14ac:dyDescent="0.2">
      <c r="A34" s="5">
        <v>28</v>
      </c>
      <c r="B34" s="6" t="s">
        <v>79</v>
      </c>
      <c r="C34" s="6" t="s">
        <v>80</v>
      </c>
      <c r="D34" s="6" t="s">
        <v>22</v>
      </c>
      <c r="E34" s="7">
        <v>62795</v>
      </c>
      <c r="F34" s="8">
        <v>895.73927749999996</v>
      </c>
      <c r="G34" s="9">
        <v>1.4693906E-2</v>
      </c>
      <c r="H34" s="164"/>
    </row>
    <row r="35" spans="1:8" x14ac:dyDescent="0.2">
      <c r="A35" s="5">
        <v>29</v>
      </c>
      <c r="B35" s="6" t="s">
        <v>81</v>
      </c>
      <c r="C35" s="6" t="s">
        <v>82</v>
      </c>
      <c r="D35" s="6" t="s">
        <v>14</v>
      </c>
      <c r="E35" s="7">
        <v>978673</v>
      </c>
      <c r="F35" s="8">
        <v>859.27489400000002</v>
      </c>
      <c r="G35" s="9">
        <v>1.4095735999999999E-2</v>
      </c>
      <c r="H35" s="164"/>
    </row>
    <row r="36" spans="1:8" x14ac:dyDescent="0.2">
      <c r="A36" s="5">
        <v>30</v>
      </c>
      <c r="B36" s="6" t="s">
        <v>83</v>
      </c>
      <c r="C36" s="6" t="s">
        <v>84</v>
      </c>
      <c r="D36" s="6" t="s">
        <v>85</v>
      </c>
      <c r="E36" s="7">
        <v>716100</v>
      </c>
      <c r="F36" s="8">
        <v>825.66330000000005</v>
      </c>
      <c r="G36" s="9">
        <v>1.3544364E-2</v>
      </c>
      <c r="H36" s="164"/>
    </row>
    <row r="37" spans="1:8" x14ac:dyDescent="0.2">
      <c r="A37" s="5">
        <v>31</v>
      </c>
      <c r="B37" s="6" t="s">
        <v>86</v>
      </c>
      <c r="C37" s="6" t="s">
        <v>87</v>
      </c>
      <c r="D37" s="6" t="s">
        <v>88</v>
      </c>
      <c r="E37" s="7">
        <v>350000</v>
      </c>
      <c r="F37" s="8">
        <v>464.8</v>
      </c>
      <c r="G37" s="9">
        <v>7.6246819999999998E-3</v>
      </c>
      <c r="H37" s="164"/>
    </row>
    <row r="38" spans="1:8" x14ac:dyDescent="0.2">
      <c r="A38" s="5">
        <v>32</v>
      </c>
      <c r="B38" s="6" t="s">
        <v>89</v>
      </c>
      <c r="C38" s="6" t="s">
        <v>90</v>
      </c>
      <c r="D38" s="6" t="s">
        <v>37</v>
      </c>
      <c r="E38" s="7">
        <v>128986</v>
      </c>
      <c r="F38" s="8">
        <v>439.39080899999999</v>
      </c>
      <c r="G38" s="9">
        <v>7.2078639999999996E-3</v>
      </c>
      <c r="H38" s="164"/>
    </row>
    <row r="39" spans="1:8" x14ac:dyDescent="0.2">
      <c r="A39" s="5">
        <v>33</v>
      </c>
      <c r="B39" s="6" t="s">
        <v>91</v>
      </c>
      <c r="C39" s="6" t="s">
        <v>92</v>
      </c>
      <c r="D39" s="6" t="s">
        <v>76</v>
      </c>
      <c r="E39" s="7">
        <v>199331</v>
      </c>
      <c r="F39" s="8">
        <v>435.03990750000003</v>
      </c>
      <c r="G39" s="9">
        <v>7.136491E-3</v>
      </c>
      <c r="H39" s="164"/>
    </row>
    <row r="40" spans="1:8" x14ac:dyDescent="0.2">
      <c r="A40" s="5">
        <v>34</v>
      </c>
      <c r="B40" s="6" t="s">
        <v>93</v>
      </c>
      <c r="C40" s="6" t="s">
        <v>94</v>
      </c>
      <c r="D40" s="6" t="s">
        <v>28</v>
      </c>
      <c r="E40" s="7">
        <v>5649</v>
      </c>
      <c r="F40" s="8">
        <v>387.70781699999998</v>
      </c>
      <c r="G40" s="9">
        <v>6.3600449999999999E-3</v>
      </c>
      <c r="H40" s="164"/>
    </row>
    <row r="41" spans="1:8" ht="25.5" x14ac:dyDescent="0.2">
      <c r="A41" s="5">
        <v>35</v>
      </c>
      <c r="B41" s="6" t="s">
        <v>95</v>
      </c>
      <c r="C41" s="6" t="s">
        <v>96</v>
      </c>
      <c r="D41" s="6" t="s">
        <v>50</v>
      </c>
      <c r="E41" s="7">
        <v>57455</v>
      </c>
      <c r="F41" s="8">
        <v>387.533975</v>
      </c>
      <c r="G41" s="9">
        <v>6.3571929999999997E-3</v>
      </c>
      <c r="H41" s="164"/>
    </row>
    <row r="42" spans="1:8" x14ac:dyDescent="0.2">
      <c r="A42" s="5">
        <v>36</v>
      </c>
      <c r="B42" s="6" t="s">
        <v>97</v>
      </c>
      <c r="C42" s="6" t="s">
        <v>98</v>
      </c>
      <c r="D42" s="6" t="s">
        <v>37</v>
      </c>
      <c r="E42" s="7">
        <v>397500</v>
      </c>
      <c r="F42" s="8">
        <v>340.45875000000001</v>
      </c>
      <c r="G42" s="9">
        <v>5.5849610000000003E-3</v>
      </c>
      <c r="H42" s="164"/>
    </row>
    <row r="43" spans="1:8" ht="25.5" x14ac:dyDescent="0.2">
      <c r="A43" s="5">
        <v>37</v>
      </c>
      <c r="B43" s="6" t="s">
        <v>99</v>
      </c>
      <c r="C43" s="6" t="s">
        <v>100</v>
      </c>
      <c r="D43" s="6" t="s">
        <v>925</v>
      </c>
      <c r="E43" s="7">
        <v>6000</v>
      </c>
      <c r="F43" s="8">
        <v>128.346</v>
      </c>
      <c r="G43" s="9">
        <v>2.1054160000000001E-3</v>
      </c>
      <c r="H43" s="164"/>
    </row>
    <row r="44" spans="1:8" x14ac:dyDescent="0.2">
      <c r="A44" s="5">
        <v>38</v>
      </c>
      <c r="B44" s="6" t="s">
        <v>101</v>
      </c>
      <c r="C44" s="6" t="s">
        <v>102</v>
      </c>
      <c r="D44" s="6" t="s">
        <v>76</v>
      </c>
      <c r="E44" s="7">
        <v>20000</v>
      </c>
      <c r="F44" s="8">
        <v>111.55</v>
      </c>
      <c r="G44" s="9">
        <v>1.8298909999999999E-3</v>
      </c>
      <c r="H44" s="164"/>
    </row>
    <row r="45" spans="1:8" x14ac:dyDescent="0.2">
      <c r="A45" s="5">
        <v>39</v>
      </c>
      <c r="B45" s="6" t="s">
        <v>103</v>
      </c>
      <c r="C45" s="6" t="s">
        <v>104</v>
      </c>
      <c r="D45" s="6" t="s">
        <v>76</v>
      </c>
      <c r="E45" s="7">
        <v>30000</v>
      </c>
      <c r="F45" s="8">
        <v>103.83</v>
      </c>
      <c r="G45" s="9">
        <v>1.7032499999999999E-3</v>
      </c>
      <c r="H45" s="164"/>
    </row>
    <row r="46" spans="1:8" ht="25.5" x14ac:dyDescent="0.2">
      <c r="A46" s="5">
        <v>40</v>
      </c>
      <c r="B46" s="6" t="s">
        <v>105</v>
      </c>
      <c r="C46" s="6" t="s">
        <v>106</v>
      </c>
      <c r="D46" s="6" t="s">
        <v>40</v>
      </c>
      <c r="E46" s="7">
        <v>8324</v>
      </c>
      <c r="F46" s="8">
        <v>16.061157999999999</v>
      </c>
      <c r="G46" s="9">
        <v>2.6347099999999999E-4</v>
      </c>
      <c r="H46" s="164"/>
    </row>
    <row r="47" spans="1:8" x14ac:dyDescent="0.2">
      <c r="A47" s="3" t="s">
        <v>9</v>
      </c>
      <c r="B47" s="3" t="s">
        <v>9</v>
      </c>
      <c r="C47" s="4" t="s">
        <v>110</v>
      </c>
      <c r="D47" s="3" t="s">
        <v>9</v>
      </c>
      <c r="E47" s="3" t="s">
        <v>9</v>
      </c>
      <c r="F47" s="11">
        <v>60799.309423188999</v>
      </c>
      <c r="G47" s="12">
        <v>0.99736534700000001</v>
      </c>
      <c r="H47" s="164"/>
    </row>
    <row r="48" spans="1:8" x14ac:dyDescent="0.2">
      <c r="A48" s="3" t="s">
        <v>9</v>
      </c>
      <c r="B48" s="3" t="s">
        <v>9</v>
      </c>
      <c r="C48" s="13" t="s">
        <v>9</v>
      </c>
      <c r="D48" s="3" t="s">
        <v>9</v>
      </c>
      <c r="E48" s="3" t="s">
        <v>9</v>
      </c>
      <c r="F48" s="14" t="s">
        <v>9</v>
      </c>
      <c r="G48" s="14" t="s">
        <v>9</v>
      </c>
      <c r="H48" s="164"/>
    </row>
    <row r="49" spans="1:8" x14ac:dyDescent="0.2">
      <c r="A49" s="3" t="s">
        <v>9</v>
      </c>
      <c r="B49" s="3" t="s">
        <v>9</v>
      </c>
      <c r="C49" s="4" t="s">
        <v>111</v>
      </c>
      <c r="D49" s="3" t="s">
        <v>9</v>
      </c>
      <c r="E49" s="3" t="s">
        <v>9</v>
      </c>
      <c r="F49" s="3" t="s">
        <v>9</v>
      </c>
      <c r="G49" s="3" t="s">
        <v>9</v>
      </c>
      <c r="H49" s="164"/>
    </row>
    <row r="50" spans="1:8" x14ac:dyDescent="0.2">
      <c r="A50" s="3" t="s">
        <v>9</v>
      </c>
      <c r="B50" s="3" t="s">
        <v>9</v>
      </c>
      <c r="C50" s="4" t="s">
        <v>110</v>
      </c>
      <c r="D50" s="3" t="s">
        <v>9</v>
      </c>
      <c r="E50" s="3" t="s">
        <v>9</v>
      </c>
      <c r="F50" s="15">
        <v>0</v>
      </c>
      <c r="G50" s="16">
        <v>0</v>
      </c>
      <c r="H50" s="164"/>
    </row>
    <row r="51" spans="1:8" x14ac:dyDescent="0.2">
      <c r="A51" s="3" t="s">
        <v>9</v>
      </c>
      <c r="B51" s="3" t="s">
        <v>9</v>
      </c>
      <c r="C51" s="13" t="s">
        <v>9</v>
      </c>
      <c r="D51" s="3" t="s">
        <v>9</v>
      </c>
      <c r="E51" s="3" t="s">
        <v>9</v>
      </c>
      <c r="F51" s="14" t="s">
        <v>9</v>
      </c>
      <c r="G51" s="14" t="s">
        <v>9</v>
      </c>
      <c r="H51" s="164"/>
    </row>
    <row r="52" spans="1:8" x14ac:dyDescent="0.2">
      <c r="A52" s="3" t="s">
        <v>9</v>
      </c>
      <c r="B52" s="3" t="s">
        <v>9</v>
      </c>
      <c r="C52" s="4" t="s">
        <v>112</v>
      </c>
      <c r="D52" s="3" t="s">
        <v>9</v>
      </c>
      <c r="E52" s="3" t="s">
        <v>9</v>
      </c>
      <c r="F52" s="3" t="s">
        <v>9</v>
      </c>
      <c r="G52" s="3" t="s">
        <v>9</v>
      </c>
      <c r="H52" s="164"/>
    </row>
    <row r="53" spans="1:8" x14ac:dyDescent="0.2">
      <c r="A53" s="5">
        <v>1</v>
      </c>
      <c r="B53" s="6" t="s">
        <v>107</v>
      </c>
      <c r="C53" s="6" t="s">
        <v>972</v>
      </c>
      <c r="D53" s="6" t="s">
        <v>108</v>
      </c>
      <c r="E53" s="7">
        <v>559425</v>
      </c>
      <c r="F53" s="8">
        <v>1.1189000000000001E-5</v>
      </c>
      <c r="G53" s="10" t="s">
        <v>109</v>
      </c>
      <c r="H53" s="164"/>
    </row>
    <row r="54" spans="1:8" x14ac:dyDescent="0.2">
      <c r="A54" s="3" t="s">
        <v>9</v>
      </c>
      <c r="B54" s="3" t="s">
        <v>9</v>
      </c>
      <c r="C54" s="4" t="s">
        <v>110</v>
      </c>
      <c r="D54" s="3" t="s">
        <v>9</v>
      </c>
      <c r="E54" s="3" t="s">
        <v>9</v>
      </c>
      <c r="F54" s="15">
        <v>0</v>
      </c>
      <c r="G54" s="16">
        <v>0</v>
      </c>
      <c r="H54" s="164"/>
    </row>
    <row r="55" spans="1:8" x14ac:dyDescent="0.2">
      <c r="A55" s="3" t="s">
        <v>9</v>
      </c>
      <c r="B55" s="3" t="s">
        <v>9</v>
      </c>
      <c r="C55" s="13" t="s">
        <v>9</v>
      </c>
      <c r="D55" s="3" t="s">
        <v>9</v>
      </c>
      <c r="E55" s="3" t="s">
        <v>9</v>
      </c>
      <c r="F55" s="14" t="s">
        <v>9</v>
      </c>
      <c r="G55" s="14" t="s">
        <v>9</v>
      </c>
      <c r="H55" s="164"/>
    </row>
    <row r="56" spans="1:8" x14ac:dyDescent="0.2">
      <c r="A56" s="3" t="s">
        <v>9</v>
      </c>
      <c r="B56" s="3" t="s">
        <v>9</v>
      </c>
      <c r="C56" s="4" t="s">
        <v>113</v>
      </c>
      <c r="D56" s="3" t="s">
        <v>9</v>
      </c>
      <c r="E56" s="3" t="s">
        <v>9</v>
      </c>
      <c r="F56" s="3" t="s">
        <v>9</v>
      </c>
      <c r="G56" s="3" t="s">
        <v>9</v>
      </c>
      <c r="H56" s="164"/>
    </row>
    <row r="57" spans="1:8" x14ac:dyDescent="0.2">
      <c r="A57" s="3" t="s">
        <v>9</v>
      </c>
      <c r="B57" s="3" t="s">
        <v>9</v>
      </c>
      <c r="C57" s="4" t="s">
        <v>110</v>
      </c>
      <c r="D57" s="3" t="s">
        <v>9</v>
      </c>
      <c r="E57" s="3" t="s">
        <v>9</v>
      </c>
      <c r="F57" s="15">
        <v>0</v>
      </c>
      <c r="G57" s="16">
        <v>0</v>
      </c>
      <c r="H57" s="164"/>
    </row>
    <row r="58" spans="1:8" x14ac:dyDescent="0.2">
      <c r="A58" s="3" t="s">
        <v>9</v>
      </c>
      <c r="B58" s="3" t="s">
        <v>9</v>
      </c>
      <c r="C58" s="13" t="s">
        <v>9</v>
      </c>
      <c r="D58" s="3" t="s">
        <v>9</v>
      </c>
      <c r="E58" s="3" t="s">
        <v>9</v>
      </c>
      <c r="F58" s="14" t="s">
        <v>9</v>
      </c>
      <c r="G58" s="14" t="s">
        <v>9</v>
      </c>
      <c r="H58" s="164"/>
    </row>
    <row r="59" spans="1:8" x14ac:dyDescent="0.2">
      <c r="A59" s="3" t="s">
        <v>9</v>
      </c>
      <c r="B59" s="3" t="s">
        <v>9</v>
      </c>
      <c r="C59" s="4" t="s">
        <v>114</v>
      </c>
      <c r="D59" s="3" t="s">
        <v>9</v>
      </c>
      <c r="E59" s="3" t="s">
        <v>9</v>
      </c>
      <c r="F59" s="14" t="s">
        <v>9</v>
      </c>
      <c r="G59" s="14" t="s">
        <v>9</v>
      </c>
      <c r="H59" s="164"/>
    </row>
    <row r="60" spans="1:8" x14ac:dyDescent="0.2">
      <c r="A60" s="3" t="s">
        <v>9</v>
      </c>
      <c r="B60" s="3" t="s">
        <v>9</v>
      </c>
      <c r="C60" s="4" t="s">
        <v>110</v>
      </c>
      <c r="D60" s="3" t="s">
        <v>9</v>
      </c>
      <c r="E60" s="3" t="s">
        <v>9</v>
      </c>
      <c r="F60" s="15">
        <v>0</v>
      </c>
      <c r="G60" s="16">
        <v>0</v>
      </c>
      <c r="H60" s="164"/>
    </row>
    <row r="61" spans="1:8" x14ac:dyDescent="0.2">
      <c r="A61" s="3" t="s">
        <v>9</v>
      </c>
      <c r="B61" s="3" t="s">
        <v>9</v>
      </c>
      <c r="C61" s="13" t="s">
        <v>9</v>
      </c>
      <c r="D61" s="3" t="s">
        <v>9</v>
      </c>
      <c r="E61" s="3" t="s">
        <v>9</v>
      </c>
      <c r="F61" s="14" t="s">
        <v>9</v>
      </c>
      <c r="G61" s="14" t="s">
        <v>9</v>
      </c>
      <c r="H61" s="164"/>
    </row>
    <row r="62" spans="1:8" x14ac:dyDescent="0.2">
      <c r="A62" s="3" t="s">
        <v>9</v>
      </c>
      <c r="B62" s="3" t="s">
        <v>9</v>
      </c>
      <c r="C62" s="4" t="s">
        <v>115</v>
      </c>
      <c r="D62" s="3" t="s">
        <v>9</v>
      </c>
      <c r="E62" s="3" t="s">
        <v>9</v>
      </c>
      <c r="F62" s="14" t="s">
        <v>9</v>
      </c>
      <c r="G62" s="14" t="s">
        <v>9</v>
      </c>
      <c r="H62" s="164"/>
    </row>
    <row r="63" spans="1:8" x14ac:dyDescent="0.2">
      <c r="A63" s="3" t="s">
        <v>9</v>
      </c>
      <c r="B63" s="3" t="s">
        <v>9</v>
      </c>
      <c r="C63" s="4" t="s">
        <v>110</v>
      </c>
      <c r="D63" s="3" t="s">
        <v>9</v>
      </c>
      <c r="E63" s="3" t="s">
        <v>9</v>
      </c>
      <c r="F63" s="15">
        <v>0</v>
      </c>
      <c r="G63" s="16">
        <v>0</v>
      </c>
      <c r="H63" s="164"/>
    </row>
    <row r="64" spans="1:8" x14ac:dyDescent="0.2">
      <c r="A64" s="3" t="s">
        <v>9</v>
      </c>
      <c r="B64" s="3" t="s">
        <v>9</v>
      </c>
      <c r="C64" s="13" t="s">
        <v>9</v>
      </c>
      <c r="D64" s="3" t="s">
        <v>9</v>
      </c>
      <c r="E64" s="3" t="s">
        <v>9</v>
      </c>
      <c r="F64" s="14" t="s">
        <v>9</v>
      </c>
      <c r="G64" s="14" t="s">
        <v>9</v>
      </c>
      <c r="H64" s="164"/>
    </row>
    <row r="65" spans="1:8" x14ac:dyDescent="0.2">
      <c r="A65" s="3" t="s">
        <v>9</v>
      </c>
      <c r="B65" s="3" t="s">
        <v>9</v>
      </c>
      <c r="C65" s="4" t="s">
        <v>116</v>
      </c>
      <c r="D65" s="3" t="s">
        <v>9</v>
      </c>
      <c r="E65" s="3" t="s">
        <v>9</v>
      </c>
      <c r="F65" s="11">
        <v>60799.309423188999</v>
      </c>
      <c r="G65" s="12">
        <v>0.99736534700000001</v>
      </c>
      <c r="H65" s="164"/>
    </row>
    <row r="66" spans="1:8" x14ac:dyDescent="0.2">
      <c r="A66" s="3" t="s">
        <v>9</v>
      </c>
      <c r="B66" s="3" t="s">
        <v>9</v>
      </c>
      <c r="C66" s="13" t="s">
        <v>9</v>
      </c>
      <c r="D66" s="3" t="s">
        <v>9</v>
      </c>
      <c r="E66" s="3" t="s">
        <v>9</v>
      </c>
      <c r="F66" s="14" t="s">
        <v>9</v>
      </c>
      <c r="G66" s="14" t="s">
        <v>9</v>
      </c>
      <c r="H66" s="164"/>
    </row>
    <row r="67" spans="1:8" x14ac:dyDescent="0.2">
      <c r="A67" s="3" t="s">
        <v>9</v>
      </c>
      <c r="B67" s="3" t="s">
        <v>9</v>
      </c>
      <c r="C67" s="4" t="s">
        <v>117</v>
      </c>
      <c r="D67" s="3" t="s">
        <v>9</v>
      </c>
      <c r="E67" s="3" t="s">
        <v>9</v>
      </c>
      <c r="F67" s="14" t="s">
        <v>9</v>
      </c>
      <c r="G67" s="14" t="s">
        <v>9</v>
      </c>
      <c r="H67" s="164"/>
    </row>
    <row r="68" spans="1:8" ht="25.5" x14ac:dyDescent="0.2">
      <c r="A68" s="3" t="s">
        <v>9</v>
      </c>
      <c r="B68" s="3" t="s">
        <v>9</v>
      </c>
      <c r="C68" s="4" t="s">
        <v>11</v>
      </c>
      <c r="D68" s="3" t="s">
        <v>9</v>
      </c>
      <c r="E68" s="3" t="s">
        <v>9</v>
      </c>
      <c r="F68" s="14" t="s">
        <v>9</v>
      </c>
      <c r="G68" s="14" t="s">
        <v>9</v>
      </c>
      <c r="H68" s="164"/>
    </row>
    <row r="69" spans="1:8" x14ac:dyDescent="0.2">
      <c r="A69" s="3" t="s">
        <v>9</v>
      </c>
      <c r="B69" s="3" t="s">
        <v>9</v>
      </c>
      <c r="C69" s="4" t="s">
        <v>110</v>
      </c>
      <c r="D69" s="3" t="s">
        <v>9</v>
      </c>
      <c r="E69" s="3" t="s">
        <v>9</v>
      </c>
      <c r="F69" s="15">
        <v>0</v>
      </c>
      <c r="G69" s="16">
        <v>0</v>
      </c>
      <c r="H69" s="164"/>
    </row>
    <row r="70" spans="1:8" x14ac:dyDescent="0.2">
      <c r="A70" s="3" t="s">
        <v>9</v>
      </c>
      <c r="B70" s="3" t="s">
        <v>9</v>
      </c>
      <c r="C70" s="13" t="s">
        <v>9</v>
      </c>
      <c r="D70" s="3" t="s">
        <v>9</v>
      </c>
      <c r="E70" s="3" t="s">
        <v>9</v>
      </c>
      <c r="F70" s="14" t="s">
        <v>9</v>
      </c>
      <c r="G70" s="14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118</v>
      </c>
      <c r="D71" s="3" t="s">
        <v>9</v>
      </c>
      <c r="E71" s="3" t="s">
        <v>9</v>
      </c>
      <c r="F71" s="3" t="s">
        <v>9</v>
      </c>
      <c r="G71" s="3" t="s">
        <v>9</v>
      </c>
      <c r="H71" s="164"/>
    </row>
    <row r="72" spans="1:8" x14ac:dyDescent="0.2">
      <c r="A72" s="3" t="s">
        <v>9</v>
      </c>
      <c r="B72" s="3" t="s">
        <v>9</v>
      </c>
      <c r="C72" s="4" t="s">
        <v>110</v>
      </c>
      <c r="D72" s="3" t="s">
        <v>9</v>
      </c>
      <c r="E72" s="3" t="s">
        <v>9</v>
      </c>
      <c r="F72" s="15">
        <v>0</v>
      </c>
      <c r="G72" s="16">
        <v>0</v>
      </c>
      <c r="H72" s="164"/>
    </row>
    <row r="73" spans="1:8" x14ac:dyDescent="0.2">
      <c r="A73" s="3" t="s">
        <v>9</v>
      </c>
      <c r="B73" s="3" t="s">
        <v>9</v>
      </c>
      <c r="C73" s="13" t="s">
        <v>9</v>
      </c>
      <c r="D73" s="3" t="s">
        <v>9</v>
      </c>
      <c r="E73" s="3" t="s">
        <v>9</v>
      </c>
      <c r="F73" s="14" t="s">
        <v>9</v>
      </c>
      <c r="G73" s="14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119</v>
      </c>
      <c r="D74" s="3" t="s">
        <v>9</v>
      </c>
      <c r="E74" s="3" t="s">
        <v>9</v>
      </c>
      <c r="F74" s="3" t="s">
        <v>9</v>
      </c>
      <c r="G74" s="3" t="s">
        <v>9</v>
      </c>
      <c r="H74" s="164"/>
    </row>
    <row r="75" spans="1:8" x14ac:dyDescent="0.2">
      <c r="A75" s="3" t="s">
        <v>9</v>
      </c>
      <c r="B75" s="3" t="s">
        <v>9</v>
      </c>
      <c r="C75" s="4" t="s">
        <v>110</v>
      </c>
      <c r="D75" s="3" t="s">
        <v>9</v>
      </c>
      <c r="E75" s="3" t="s">
        <v>9</v>
      </c>
      <c r="F75" s="15">
        <v>0</v>
      </c>
      <c r="G75" s="16">
        <v>0</v>
      </c>
      <c r="H75" s="164"/>
    </row>
    <row r="76" spans="1:8" x14ac:dyDescent="0.2">
      <c r="A76" s="3" t="s">
        <v>9</v>
      </c>
      <c r="B76" s="3" t="s">
        <v>9</v>
      </c>
      <c r="C76" s="13" t="s">
        <v>9</v>
      </c>
      <c r="D76" s="3" t="s">
        <v>9</v>
      </c>
      <c r="E76" s="3" t="s">
        <v>9</v>
      </c>
      <c r="F76" s="14" t="s">
        <v>9</v>
      </c>
      <c r="G76" s="14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120</v>
      </c>
      <c r="D77" s="3" t="s">
        <v>9</v>
      </c>
      <c r="E77" s="3" t="s">
        <v>9</v>
      </c>
      <c r="F77" s="14" t="s">
        <v>9</v>
      </c>
      <c r="G77" s="14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110</v>
      </c>
      <c r="D78" s="3" t="s">
        <v>9</v>
      </c>
      <c r="E78" s="3" t="s">
        <v>9</v>
      </c>
      <c r="F78" s="15">
        <v>0</v>
      </c>
      <c r="G78" s="16">
        <v>0</v>
      </c>
      <c r="H78" s="164"/>
    </row>
    <row r="79" spans="1:8" x14ac:dyDescent="0.2">
      <c r="A79" s="3" t="s">
        <v>9</v>
      </c>
      <c r="B79" s="3" t="s">
        <v>9</v>
      </c>
      <c r="C79" s="13" t="s">
        <v>9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121</v>
      </c>
      <c r="D80" s="3" t="s">
        <v>9</v>
      </c>
      <c r="E80" s="3" t="s">
        <v>9</v>
      </c>
      <c r="F80" s="11">
        <v>0</v>
      </c>
      <c r="G80" s="12">
        <v>0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122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123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110</v>
      </c>
      <c r="D84" s="3" t="s">
        <v>9</v>
      </c>
      <c r="E84" s="3" t="s">
        <v>9</v>
      </c>
      <c r="F84" s="15">
        <v>0</v>
      </c>
      <c r="G84" s="16">
        <v>0</v>
      </c>
      <c r="H84" s="164"/>
    </row>
    <row r="85" spans="1:8" x14ac:dyDescent="0.2">
      <c r="A85" s="3" t="s">
        <v>9</v>
      </c>
      <c r="B85" s="3" t="s">
        <v>9</v>
      </c>
      <c r="C85" s="13" t="s">
        <v>9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124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110</v>
      </c>
      <c r="D87" s="3" t="s">
        <v>9</v>
      </c>
      <c r="E87" s="3" t="s">
        <v>9</v>
      </c>
      <c r="F87" s="15">
        <v>0</v>
      </c>
      <c r="G87" s="16">
        <v>0</v>
      </c>
      <c r="H87" s="164"/>
    </row>
    <row r="88" spans="1:8" x14ac:dyDescent="0.2">
      <c r="A88" s="3" t="s">
        <v>9</v>
      </c>
      <c r="B88" s="3" t="s">
        <v>9</v>
      </c>
      <c r="C88" s="13" t="s">
        <v>9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125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110</v>
      </c>
      <c r="D90" s="3" t="s">
        <v>9</v>
      </c>
      <c r="E90" s="3" t="s">
        <v>9</v>
      </c>
      <c r="F90" s="15">
        <v>0</v>
      </c>
      <c r="G90" s="16">
        <v>0</v>
      </c>
      <c r="H90" s="164"/>
    </row>
    <row r="91" spans="1:8" x14ac:dyDescent="0.2">
      <c r="A91" s="3" t="s">
        <v>9</v>
      </c>
      <c r="B91" s="3" t="s">
        <v>9</v>
      </c>
      <c r="C91" s="13" t="s">
        <v>9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126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5">
        <v>1</v>
      </c>
      <c r="B93" s="6"/>
      <c r="C93" s="6" t="s">
        <v>127</v>
      </c>
      <c r="D93" s="6"/>
      <c r="E93" s="10" t="s">
        <v>9</v>
      </c>
      <c r="F93" s="8">
        <v>382.83240699999999</v>
      </c>
      <c r="G93" s="9">
        <v>6.2800679999999998E-3</v>
      </c>
      <c r="H93" s="90">
        <v>3.22</v>
      </c>
    </row>
    <row r="94" spans="1:8" x14ac:dyDescent="0.2">
      <c r="A94" s="5">
        <v>2</v>
      </c>
      <c r="B94" s="6"/>
      <c r="C94" s="6" t="s">
        <v>128</v>
      </c>
      <c r="D94" s="6"/>
      <c r="E94" s="10" t="s">
        <v>9</v>
      </c>
      <c r="F94" s="8">
        <v>108.1865607</v>
      </c>
      <c r="G94" s="9">
        <v>1.774716E-3</v>
      </c>
      <c r="H94" s="90">
        <v>3.34</v>
      </c>
    </row>
    <row r="95" spans="1:8" x14ac:dyDescent="0.2">
      <c r="A95" s="3" t="s">
        <v>9</v>
      </c>
      <c r="B95" s="3" t="s">
        <v>9</v>
      </c>
      <c r="C95" s="4" t="s">
        <v>110</v>
      </c>
      <c r="D95" s="3" t="s">
        <v>9</v>
      </c>
      <c r="E95" s="3" t="s">
        <v>9</v>
      </c>
      <c r="F95" s="11">
        <v>491.01896770000002</v>
      </c>
      <c r="G95" s="12">
        <v>8.0547840000000006E-3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129</v>
      </c>
      <c r="D97" s="3" t="s">
        <v>9</v>
      </c>
      <c r="E97" s="3" t="s">
        <v>9</v>
      </c>
      <c r="F97" s="11">
        <v>491.01896770000002</v>
      </c>
      <c r="G97" s="12">
        <v>8.0547840000000006E-3</v>
      </c>
      <c r="H97" s="164"/>
    </row>
    <row r="98" spans="1:8" x14ac:dyDescent="0.2">
      <c r="A98" s="3" t="s">
        <v>9</v>
      </c>
      <c r="B98" s="3" t="s">
        <v>9</v>
      </c>
      <c r="C98" s="14" t="s">
        <v>9</v>
      </c>
      <c r="D98" s="3" t="s">
        <v>9</v>
      </c>
      <c r="E98" s="3" t="s">
        <v>9</v>
      </c>
      <c r="F98" s="3" t="s">
        <v>9</v>
      </c>
      <c r="G98" s="3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130</v>
      </c>
      <c r="D99" s="3" t="s">
        <v>9</v>
      </c>
      <c r="E99" s="3" t="s">
        <v>9</v>
      </c>
      <c r="F99" s="3" t="s">
        <v>9</v>
      </c>
      <c r="G99" s="3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131</v>
      </c>
      <c r="D100" s="3" t="s">
        <v>9</v>
      </c>
      <c r="E100" s="3" t="s">
        <v>9</v>
      </c>
      <c r="F100" s="3" t="s">
        <v>9</v>
      </c>
      <c r="G100" s="3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110</v>
      </c>
      <c r="D101" s="3" t="s">
        <v>9</v>
      </c>
      <c r="E101" s="3" t="s">
        <v>9</v>
      </c>
      <c r="F101" s="15">
        <v>0</v>
      </c>
      <c r="G101" s="16">
        <v>0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132</v>
      </c>
      <c r="D103" s="3" t="s">
        <v>9</v>
      </c>
      <c r="E103" s="3" t="s">
        <v>9</v>
      </c>
      <c r="F103" s="3" t="s">
        <v>9</v>
      </c>
      <c r="G103" s="3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133</v>
      </c>
      <c r="D104" s="3" t="s">
        <v>9</v>
      </c>
      <c r="E104" s="3" t="s">
        <v>9</v>
      </c>
      <c r="F104" s="3" t="s">
        <v>9</v>
      </c>
      <c r="G104" s="3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110</v>
      </c>
      <c r="D105" s="3" t="s">
        <v>9</v>
      </c>
      <c r="E105" s="3" t="s">
        <v>9</v>
      </c>
      <c r="F105" s="15">
        <v>0</v>
      </c>
      <c r="G105" s="16">
        <v>0</v>
      </c>
      <c r="H105" s="164"/>
    </row>
    <row r="106" spans="1:8" x14ac:dyDescent="0.2">
      <c r="A106" s="3" t="s">
        <v>9</v>
      </c>
      <c r="B106" s="3" t="s">
        <v>9</v>
      </c>
      <c r="C106" s="13" t="s">
        <v>9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13" t="s">
        <v>9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ht="25.5" x14ac:dyDescent="0.2">
      <c r="A108" s="3" t="s">
        <v>9</v>
      </c>
      <c r="B108" s="3" t="s">
        <v>9</v>
      </c>
      <c r="C108" s="4" t="s">
        <v>134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110</v>
      </c>
      <c r="D109" s="3" t="s">
        <v>9</v>
      </c>
      <c r="E109" s="3" t="s">
        <v>9</v>
      </c>
      <c r="F109" s="15">
        <v>0</v>
      </c>
      <c r="G109" s="16">
        <v>0</v>
      </c>
      <c r="H109" s="164"/>
    </row>
    <row r="110" spans="1:8" x14ac:dyDescent="0.2">
      <c r="A110" s="3" t="s">
        <v>9</v>
      </c>
      <c r="B110" s="3" t="s">
        <v>9</v>
      </c>
      <c r="C110" s="13" t="s">
        <v>9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6" t="s">
        <v>9</v>
      </c>
      <c r="C111" s="6" t="s">
        <v>9</v>
      </c>
      <c r="D111" s="4" t="s">
        <v>9</v>
      </c>
      <c r="E111" s="3" t="s">
        <v>9</v>
      </c>
      <c r="F111" s="6" t="s">
        <v>9</v>
      </c>
      <c r="G111" s="10" t="s">
        <v>9</v>
      </c>
      <c r="H111" s="164"/>
    </row>
    <row r="112" spans="1:8" x14ac:dyDescent="0.2">
      <c r="A112" s="10" t="s">
        <v>9</v>
      </c>
      <c r="B112" s="6" t="s">
        <v>9</v>
      </c>
      <c r="C112" s="6" t="s">
        <v>135</v>
      </c>
      <c r="D112" s="6" t="s">
        <v>9</v>
      </c>
      <c r="E112" s="10" t="s">
        <v>9</v>
      </c>
      <c r="F112" s="8">
        <v>-330.41070786</v>
      </c>
      <c r="G112" s="9">
        <v>-5.4201300000000004E-3</v>
      </c>
      <c r="H112" s="164"/>
    </row>
    <row r="113" spans="1:8" x14ac:dyDescent="0.2">
      <c r="A113" s="13" t="s">
        <v>9</v>
      </c>
      <c r="B113" s="13" t="s">
        <v>9</v>
      </c>
      <c r="C113" s="4" t="s">
        <v>136</v>
      </c>
      <c r="D113" s="17" t="s">
        <v>9</v>
      </c>
      <c r="E113" s="17" t="s">
        <v>9</v>
      </c>
      <c r="F113" s="11">
        <v>60959.917683029002</v>
      </c>
      <c r="G113" s="12">
        <v>1</v>
      </c>
      <c r="H113" s="164"/>
    </row>
    <row r="114" spans="1:8" ht="14.1" customHeight="1" x14ac:dyDescent="0.2">
      <c r="A114" s="18" t="s">
        <v>9</v>
      </c>
      <c r="B114" s="18" t="s">
        <v>9</v>
      </c>
      <c r="C114" s="18" t="s">
        <v>9</v>
      </c>
      <c r="D114" s="19" t="s">
        <v>9</v>
      </c>
      <c r="E114" s="19" t="s">
        <v>9</v>
      </c>
      <c r="F114" s="19" t="s">
        <v>9</v>
      </c>
      <c r="G114" s="19" t="s">
        <v>9</v>
      </c>
    </row>
    <row r="115" spans="1:8" ht="14.1" customHeight="1" x14ac:dyDescent="0.2">
      <c r="A115" s="20" t="s">
        <v>9</v>
      </c>
      <c r="B115" s="228" t="s">
        <v>9</v>
      </c>
      <c r="C115" s="228"/>
      <c r="D115" s="228"/>
      <c r="E115" s="228"/>
      <c r="F115" s="228"/>
      <c r="G115" s="22" t="s">
        <v>9</v>
      </c>
    </row>
    <row r="116" spans="1:8" ht="17.100000000000001" customHeight="1" x14ac:dyDescent="0.2">
      <c r="A116" s="20" t="s">
        <v>9</v>
      </c>
      <c r="B116" s="228" t="s">
        <v>137</v>
      </c>
      <c r="C116" s="228"/>
      <c r="D116" s="228"/>
      <c r="E116" s="228"/>
      <c r="F116" s="228"/>
      <c r="G116" s="22" t="s">
        <v>9</v>
      </c>
    </row>
    <row r="117" spans="1:8" ht="14.1" customHeight="1" x14ac:dyDescent="0.2">
      <c r="A117" s="20" t="s">
        <v>9</v>
      </c>
      <c r="B117" s="20" t="s">
        <v>9</v>
      </c>
      <c r="C117" s="20" t="s">
        <v>9</v>
      </c>
      <c r="D117" s="22" t="s">
        <v>9</v>
      </c>
      <c r="E117" s="22" t="s">
        <v>9</v>
      </c>
      <c r="F117" s="22" t="s">
        <v>9</v>
      </c>
      <c r="G117" s="22" t="s">
        <v>9</v>
      </c>
    </row>
    <row r="118" spans="1:8" ht="14.1" customHeight="1" x14ac:dyDescent="0.2">
      <c r="A118" s="20" t="s">
        <v>9</v>
      </c>
      <c r="B118" s="226" t="s">
        <v>138</v>
      </c>
      <c r="C118" s="227"/>
      <c r="D118" s="14" t="s">
        <v>9</v>
      </c>
      <c r="E118" s="23" t="s">
        <v>9</v>
      </c>
      <c r="F118" s="22" t="s">
        <v>9</v>
      </c>
      <c r="G118" s="22" t="s">
        <v>9</v>
      </c>
    </row>
    <row r="119" spans="1:8" ht="29.1" customHeight="1" x14ac:dyDescent="0.2">
      <c r="A119" s="20" t="s">
        <v>9</v>
      </c>
      <c r="B119" s="233" t="s">
        <v>139</v>
      </c>
      <c r="C119" s="234"/>
      <c r="D119" s="4" t="s">
        <v>140</v>
      </c>
      <c r="E119" s="23" t="s">
        <v>9</v>
      </c>
      <c r="F119" s="22" t="s">
        <v>9</v>
      </c>
      <c r="G119" s="22" t="s">
        <v>9</v>
      </c>
    </row>
    <row r="120" spans="1:8" ht="17.100000000000001" customHeight="1" x14ac:dyDescent="0.2">
      <c r="A120" s="20" t="s">
        <v>9</v>
      </c>
      <c r="B120" s="233" t="s">
        <v>981</v>
      </c>
      <c r="C120" s="234"/>
      <c r="D120" s="158" t="s">
        <v>982</v>
      </c>
      <c r="E120" s="23" t="s">
        <v>9</v>
      </c>
      <c r="F120" s="22" t="s">
        <v>9</v>
      </c>
      <c r="G120" s="22" t="s">
        <v>9</v>
      </c>
    </row>
    <row r="121" spans="1:8" ht="17.100000000000001" customHeight="1" x14ac:dyDescent="0.2">
      <c r="A121" s="20" t="s">
        <v>9</v>
      </c>
      <c r="B121" s="233" t="s">
        <v>142</v>
      </c>
      <c r="C121" s="234"/>
      <c r="D121" s="14" t="s">
        <v>9</v>
      </c>
      <c r="E121" s="23" t="s">
        <v>9</v>
      </c>
      <c r="F121" s="22" t="s">
        <v>9</v>
      </c>
      <c r="G121" s="22" t="s">
        <v>9</v>
      </c>
    </row>
    <row r="122" spans="1:8" ht="24" customHeight="1" x14ac:dyDescent="0.2">
      <c r="A122" s="24" t="s">
        <v>9</v>
      </c>
      <c r="B122" s="25" t="s">
        <v>9</v>
      </c>
      <c r="C122" s="25" t="s">
        <v>143</v>
      </c>
      <c r="D122" s="25" t="s">
        <v>144</v>
      </c>
      <c r="E122" s="24" t="s">
        <v>9</v>
      </c>
      <c r="F122" s="24" t="s">
        <v>9</v>
      </c>
      <c r="G122" s="24" t="s">
        <v>9</v>
      </c>
    </row>
    <row r="123" spans="1:8" ht="18" customHeight="1" x14ac:dyDescent="0.2">
      <c r="A123" s="24" t="s">
        <v>9</v>
      </c>
      <c r="B123" s="25" t="s">
        <v>145</v>
      </c>
      <c r="C123" s="25" t="s">
        <v>146</v>
      </c>
      <c r="D123" s="25" t="s">
        <v>147</v>
      </c>
      <c r="E123" s="24" t="s">
        <v>9</v>
      </c>
      <c r="F123" s="24" t="s">
        <v>9</v>
      </c>
      <c r="G123" s="24" t="s">
        <v>9</v>
      </c>
    </row>
    <row r="124" spans="1:8" ht="17.100000000000001" customHeight="1" x14ac:dyDescent="0.2">
      <c r="A124" s="24" t="s">
        <v>9</v>
      </c>
      <c r="B124" s="6" t="s">
        <v>148</v>
      </c>
      <c r="C124" s="26">
        <v>46.3217</v>
      </c>
      <c r="D124" s="26">
        <v>48.660400000000003</v>
      </c>
      <c r="E124" s="24" t="s">
        <v>9</v>
      </c>
      <c r="F124" s="21" t="s">
        <v>9</v>
      </c>
      <c r="G124" s="27" t="s">
        <v>9</v>
      </c>
    </row>
    <row r="125" spans="1:8" ht="17.100000000000001" customHeight="1" x14ac:dyDescent="0.2">
      <c r="A125" s="24" t="s">
        <v>9</v>
      </c>
      <c r="B125" s="6" t="s">
        <v>839</v>
      </c>
      <c r="C125" s="26">
        <v>35.738599999999998</v>
      </c>
      <c r="D125" s="26">
        <v>37.542999999999999</v>
      </c>
      <c r="E125" s="24" t="s">
        <v>9</v>
      </c>
      <c r="F125" s="21" t="s">
        <v>9</v>
      </c>
      <c r="G125" s="27" t="s">
        <v>9</v>
      </c>
    </row>
    <row r="126" spans="1:8" ht="17.100000000000001" customHeight="1" x14ac:dyDescent="0.2">
      <c r="A126" s="24" t="s">
        <v>9</v>
      </c>
      <c r="B126" s="6" t="s">
        <v>149</v>
      </c>
      <c r="C126" s="26">
        <v>44.325499999999998</v>
      </c>
      <c r="D126" s="26">
        <v>46.543500000000002</v>
      </c>
      <c r="E126" s="24" t="s">
        <v>9</v>
      </c>
      <c r="F126" s="21" t="s">
        <v>9</v>
      </c>
      <c r="G126" s="27" t="s">
        <v>9</v>
      </c>
    </row>
    <row r="127" spans="1:8" ht="17.100000000000001" customHeight="1" x14ac:dyDescent="0.2">
      <c r="A127" s="24" t="s">
        <v>9</v>
      </c>
      <c r="B127" s="6" t="s">
        <v>840</v>
      </c>
      <c r="C127" s="26">
        <v>34.025599999999997</v>
      </c>
      <c r="D127" s="26">
        <v>35.728200000000001</v>
      </c>
      <c r="E127" s="24" t="s">
        <v>9</v>
      </c>
      <c r="F127" s="21" t="s">
        <v>9</v>
      </c>
      <c r="G127" s="27" t="s">
        <v>9</v>
      </c>
    </row>
    <row r="128" spans="1:8" ht="14.1" customHeight="1" x14ac:dyDescent="0.2">
      <c r="A128" s="24" t="s">
        <v>9</v>
      </c>
      <c r="B128" s="24" t="s">
        <v>9</v>
      </c>
      <c r="C128" s="24" t="s">
        <v>9</v>
      </c>
      <c r="D128" s="24" t="s">
        <v>9</v>
      </c>
      <c r="E128" s="24" t="s">
        <v>9</v>
      </c>
      <c r="F128" s="24" t="s">
        <v>9</v>
      </c>
      <c r="G128" s="24" t="s">
        <v>9</v>
      </c>
    </row>
    <row r="129" spans="1:7" ht="17.100000000000001" customHeight="1" x14ac:dyDescent="0.2">
      <c r="A129" s="24" t="s">
        <v>9</v>
      </c>
      <c r="B129" s="233" t="s">
        <v>1003</v>
      </c>
      <c r="C129" s="234"/>
      <c r="D129" s="4" t="s">
        <v>140</v>
      </c>
      <c r="E129" s="24" t="s">
        <v>9</v>
      </c>
      <c r="F129" s="24" t="s">
        <v>9</v>
      </c>
      <c r="G129" s="24" t="s">
        <v>9</v>
      </c>
    </row>
    <row r="130" spans="1:7" ht="18" customHeight="1" x14ac:dyDescent="0.2">
      <c r="A130" s="24" t="s">
        <v>9</v>
      </c>
      <c r="B130" s="28" t="s">
        <v>150</v>
      </c>
      <c r="C130" s="28" t="s">
        <v>150</v>
      </c>
      <c r="D130" s="28" t="s">
        <v>9</v>
      </c>
      <c r="E130" s="24" t="s">
        <v>9</v>
      </c>
      <c r="F130" s="24" t="s">
        <v>9</v>
      </c>
      <c r="G130" s="24" t="s">
        <v>9</v>
      </c>
    </row>
    <row r="131" spans="1:7" s="169" customFormat="1" x14ac:dyDescent="0.2">
      <c r="B131" s="235" t="s">
        <v>841</v>
      </c>
      <c r="C131" s="235"/>
      <c r="D131" s="235"/>
      <c r="E131" s="235"/>
      <c r="F131" s="235"/>
    </row>
    <row r="132" spans="1:7" ht="14.1" customHeight="1" x14ac:dyDescent="0.2">
      <c r="A132" s="24" t="s">
        <v>9</v>
      </c>
      <c r="B132" s="21" t="s">
        <v>9</v>
      </c>
      <c r="C132" s="21" t="s">
        <v>9</v>
      </c>
      <c r="D132" s="24" t="s">
        <v>9</v>
      </c>
      <c r="E132" s="24" t="s">
        <v>9</v>
      </c>
      <c r="F132" s="24" t="s">
        <v>9</v>
      </c>
      <c r="G132" s="24" t="s">
        <v>9</v>
      </c>
    </row>
    <row r="133" spans="1:7" ht="29.1" customHeight="1" x14ac:dyDescent="0.2">
      <c r="A133" s="24" t="s">
        <v>9</v>
      </c>
      <c r="B133" s="233" t="s">
        <v>151</v>
      </c>
      <c r="C133" s="234"/>
      <c r="D133" s="4" t="s">
        <v>140</v>
      </c>
      <c r="E133" s="24" t="s">
        <v>9</v>
      </c>
      <c r="F133" s="24" t="s">
        <v>9</v>
      </c>
      <c r="G133" s="24" t="s">
        <v>9</v>
      </c>
    </row>
    <row r="134" spans="1:7" ht="29.1" customHeight="1" x14ac:dyDescent="0.2">
      <c r="A134" s="24" t="s">
        <v>9</v>
      </c>
      <c r="B134" s="233" t="s">
        <v>152</v>
      </c>
      <c r="C134" s="234"/>
      <c r="D134" s="4" t="s">
        <v>140</v>
      </c>
      <c r="E134" s="24" t="s">
        <v>9</v>
      </c>
      <c r="F134" s="24" t="s">
        <v>9</v>
      </c>
      <c r="G134" s="24" t="s">
        <v>9</v>
      </c>
    </row>
    <row r="135" spans="1:7" ht="17.100000000000001" customHeight="1" x14ac:dyDescent="0.2">
      <c r="A135" s="24" t="s">
        <v>9</v>
      </c>
      <c r="B135" s="233" t="s">
        <v>153</v>
      </c>
      <c r="C135" s="234"/>
      <c r="D135" s="29">
        <v>0.3839621560872214</v>
      </c>
      <c r="E135" s="24" t="s">
        <v>9</v>
      </c>
      <c r="F135" s="21" t="s">
        <v>9</v>
      </c>
      <c r="G135" s="27" t="s">
        <v>9</v>
      </c>
    </row>
    <row r="136" spans="1:7" ht="17.100000000000001" customHeight="1" x14ac:dyDescent="0.2">
      <c r="A136" s="24" t="s">
        <v>9</v>
      </c>
      <c r="B136" s="233" t="s">
        <v>154</v>
      </c>
      <c r="C136" s="234"/>
      <c r="D136" s="4" t="s">
        <v>140</v>
      </c>
      <c r="E136" s="24" t="s">
        <v>9</v>
      </c>
      <c r="F136" s="24" t="s">
        <v>9</v>
      </c>
      <c r="G136" s="24" t="s">
        <v>9</v>
      </c>
    </row>
  </sheetData>
  <mergeCells count="15">
    <mergeCell ref="B135:C135"/>
    <mergeCell ref="B136:C136"/>
    <mergeCell ref="B119:C119"/>
    <mergeCell ref="B120:C120"/>
    <mergeCell ref="B121:C121"/>
    <mergeCell ref="B129:C129"/>
    <mergeCell ref="B133:C133"/>
    <mergeCell ref="B134:C134"/>
    <mergeCell ref="B131:F131"/>
    <mergeCell ref="B118:C118"/>
    <mergeCell ref="B115:F115"/>
    <mergeCell ref="B116:F11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66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155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50189</v>
      </c>
      <c r="F7" s="8">
        <v>628.41646900000001</v>
      </c>
      <c r="G7" s="9">
        <v>3.1574629E-2</v>
      </c>
      <c r="H7" s="164"/>
    </row>
    <row r="8" spans="1:8" x14ac:dyDescent="0.2">
      <c r="A8" s="5">
        <v>2</v>
      </c>
      <c r="B8" s="6" t="s">
        <v>156</v>
      </c>
      <c r="C8" s="6" t="s">
        <v>157</v>
      </c>
      <c r="D8" s="6" t="s">
        <v>158</v>
      </c>
      <c r="E8" s="7">
        <v>16939</v>
      </c>
      <c r="F8" s="8">
        <v>619.50157750000005</v>
      </c>
      <c r="G8" s="9">
        <v>3.1126701999999999E-2</v>
      </c>
      <c r="H8" s="164"/>
    </row>
    <row r="9" spans="1:8" x14ac:dyDescent="0.2">
      <c r="A9" s="5">
        <v>3</v>
      </c>
      <c r="B9" s="6" t="s">
        <v>159</v>
      </c>
      <c r="C9" s="6" t="s">
        <v>160</v>
      </c>
      <c r="D9" s="6" t="s">
        <v>161</v>
      </c>
      <c r="E9" s="7">
        <v>428006</v>
      </c>
      <c r="F9" s="8">
        <v>551.48573099999999</v>
      </c>
      <c r="G9" s="9">
        <v>2.7709263000000001E-2</v>
      </c>
      <c r="H9" s="164"/>
    </row>
    <row r="10" spans="1:8" x14ac:dyDescent="0.2">
      <c r="A10" s="5">
        <v>4</v>
      </c>
      <c r="B10" s="6" t="s">
        <v>51</v>
      </c>
      <c r="C10" s="6" t="s">
        <v>52</v>
      </c>
      <c r="D10" s="6" t="s">
        <v>926</v>
      </c>
      <c r="E10" s="7">
        <v>278377</v>
      </c>
      <c r="F10" s="8">
        <v>476.58142400000003</v>
      </c>
      <c r="G10" s="9">
        <v>2.3945714999999999E-2</v>
      </c>
      <c r="H10" s="164"/>
    </row>
    <row r="11" spans="1:8" x14ac:dyDescent="0.2">
      <c r="A11" s="5">
        <v>5</v>
      </c>
      <c r="B11" s="6" t="s">
        <v>162</v>
      </c>
      <c r="C11" s="6" t="s">
        <v>163</v>
      </c>
      <c r="D11" s="6" t="s">
        <v>158</v>
      </c>
      <c r="E11" s="7">
        <v>37887</v>
      </c>
      <c r="F11" s="8">
        <v>468.45381149999997</v>
      </c>
      <c r="G11" s="9">
        <v>2.3537345000000001E-2</v>
      </c>
      <c r="H11" s="164"/>
    </row>
    <row r="12" spans="1:8" x14ac:dyDescent="0.2">
      <c r="A12" s="5">
        <v>6</v>
      </c>
      <c r="B12" s="6" t="s">
        <v>164</v>
      </c>
      <c r="C12" s="6" t="s">
        <v>165</v>
      </c>
      <c r="D12" s="6" t="s">
        <v>28</v>
      </c>
      <c r="E12" s="7">
        <v>61176</v>
      </c>
      <c r="F12" s="8">
        <v>467.72110800000002</v>
      </c>
      <c r="G12" s="9">
        <v>2.3500529999999999E-2</v>
      </c>
      <c r="H12" s="164"/>
    </row>
    <row r="13" spans="1:8" x14ac:dyDescent="0.2">
      <c r="A13" s="5">
        <v>7</v>
      </c>
      <c r="B13" s="6" t="s">
        <v>166</v>
      </c>
      <c r="C13" s="6" t="s">
        <v>167</v>
      </c>
      <c r="D13" s="6" t="s">
        <v>927</v>
      </c>
      <c r="E13" s="7">
        <v>38759</v>
      </c>
      <c r="F13" s="8">
        <v>460.16622749999999</v>
      </c>
      <c r="G13" s="9">
        <v>2.3120937000000001E-2</v>
      </c>
      <c r="H13" s="164"/>
    </row>
    <row r="14" spans="1:8" x14ac:dyDescent="0.2">
      <c r="A14" s="5">
        <v>8</v>
      </c>
      <c r="B14" s="6" t="s">
        <v>168</v>
      </c>
      <c r="C14" s="6" t="s">
        <v>169</v>
      </c>
      <c r="D14" s="6" t="s">
        <v>28</v>
      </c>
      <c r="E14" s="7">
        <v>62322</v>
      </c>
      <c r="F14" s="8">
        <v>441.738336</v>
      </c>
      <c r="G14" s="9">
        <v>2.2195032999999999E-2</v>
      </c>
      <c r="H14" s="164"/>
    </row>
    <row r="15" spans="1:8" x14ac:dyDescent="0.2">
      <c r="A15" s="5">
        <v>9</v>
      </c>
      <c r="B15" s="6" t="s">
        <v>170</v>
      </c>
      <c r="C15" s="6" t="s">
        <v>171</v>
      </c>
      <c r="D15" s="6" t="s">
        <v>172</v>
      </c>
      <c r="E15" s="7">
        <v>32673</v>
      </c>
      <c r="F15" s="8">
        <v>407.15458949999999</v>
      </c>
      <c r="G15" s="9">
        <v>2.0457381E-2</v>
      </c>
      <c r="H15" s="164"/>
    </row>
    <row r="16" spans="1:8" ht="25.5" x14ac:dyDescent="0.2">
      <c r="A16" s="5">
        <v>10</v>
      </c>
      <c r="B16" s="6" t="s">
        <v>29</v>
      </c>
      <c r="C16" s="6" t="s">
        <v>30</v>
      </c>
      <c r="D16" s="6" t="s">
        <v>925</v>
      </c>
      <c r="E16" s="7">
        <v>12130</v>
      </c>
      <c r="F16" s="8">
        <v>395.33489500000002</v>
      </c>
      <c r="G16" s="9">
        <v>1.9863503000000001E-2</v>
      </c>
      <c r="H16" s="164"/>
    </row>
    <row r="17" spans="1:8" x14ac:dyDescent="0.2">
      <c r="A17" s="5">
        <v>11</v>
      </c>
      <c r="B17" s="6" t="s">
        <v>173</v>
      </c>
      <c r="C17" s="6" t="s">
        <v>174</v>
      </c>
      <c r="D17" s="6" t="s">
        <v>179</v>
      </c>
      <c r="E17" s="7">
        <v>28103</v>
      </c>
      <c r="F17" s="8">
        <v>382.65044799999998</v>
      </c>
      <c r="G17" s="9">
        <v>1.9226176000000001E-2</v>
      </c>
      <c r="H17" s="164"/>
    </row>
    <row r="18" spans="1:8" x14ac:dyDescent="0.2">
      <c r="A18" s="5">
        <v>12</v>
      </c>
      <c r="B18" s="6" t="s">
        <v>175</v>
      </c>
      <c r="C18" s="6" t="s">
        <v>176</v>
      </c>
      <c r="D18" s="6" t="s">
        <v>62</v>
      </c>
      <c r="E18" s="7">
        <v>87154</v>
      </c>
      <c r="F18" s="8">
        <v>368.39995800000003</v>
      </c>
      <c r="G18" s="9">
        <v>1.8510163999999999E-2</v>
      </c>
      <c r="H18" s="164"/>
    </row>
    <row r="19" spans="1:8" x14ac:dyDescent="0.2">
      <c r="A19" s="5">
        <v>13</v>
      </c>
      <c r="B19" s="6" t="s">
        <v>177</v>
      </c>
      <c r="C19" s="6" t="s">
        <v>178</v>
      </c>
      <c r="D19" s="6" t="s">
        <v>179</v>
      </c>
      <c r="E19" s="7">
        <v>129554</v>
      </c>
      <c r="F19" s="8">
        <v>365.018395</v>
      </c>
      <c r="G19" s="9">
        <v>1.8340258000000002E-2</v>
      </c>
      <c r="H19" s="164"/>
    </row>
    <row r="20" spans="1:8" x14ac:dyDescent="0.2">
      <c r="A20" s="5">
        <v>14</v>
      </c>
      <c r="B20" s="6" t="s">
        <v>180</v>
      </c>
      <c r="C20" s="6" t="s">
        <v>181</v>
      </c>
      <c r="D20" s="6" t="s">
        <v>182</v>
      </c>
      <c r="E20" s="7">
        <v>27282</v>
      </c>
      <c r="F20" s="8">
        <v>356.97132900000003</v>
      </c>
      <c r="G20" s="9">
        <v>1.7935935E-2</v>
      </c>
      <c r="H20" s="164"/>
    </row>
    <row r="21" spans="1:8" x14ac:dyDescent="0.2">
      <c r="A21" s="5">
        <v>15</v>
      </c>
      <c r="B21" s="6" t="s">
        <v>183</v>
      </c>
      <c r="C21" s="6" t="s">
        <v>184</v>
      </c>
      <c r="D21" s="6" t="s">
        <v>59</v>
      </c>
      <c r="E21" s="7">
        <v>116346</v>
      </c>
      <c r="F21" s="8">
        <v>354.09905099999997</v>
      </c>
      <c r="G21" s="9">
        <v>1.7791619000000002E-2</v>
      </c>
      <c r="H21" s="164"/>
    </row>
    <row r="22" spans="1:8" x14ac:dyDescent="0.2">
      <c r="A22" s="5">
        <v>16</v>
      </c>
      <c r="B22" s="6" t="s">
        <v>185</v>
      </c>
      <c r="C22" s="6" t="s">
        <v>186</v>
      </c>
      <c r="D22" s="6" t="s">
        <v>45</v>
      </c>
      <c r="E22" s="7">
        <v>73119</v>
      </c>
      <c r="F22" s="8">
        <v>344.68296600000002</v>
      </c>
      <c r="G22" s="9">
        <v>1.7318509999999999E-2</v>
      </c>
      <c r="H22" s="164"/>
    </row>
    <row r="23" spans="1:8" x14ac:dyDescent="0.2">
      <c r="A23" s="5">
        <v>17</v>
      </c>
      <c r="B23" s="6" t="s">
        <v>187</v>
      </c>
      <c r="C23" s="6" t="s">
        <v>188</v>
      </c>
      <c r="D23" s="6" t="s">
        <v>182</v>
      </c>
      <c r="E23" s="7">
        <v>137606</v>
      </c>
      <c r="F23" s="8">
        <v>344.290212</v>
      </c>
      <c r="G23" s="9">
        <v>1.7298775999999998E-2</v>
      </c>
      <c r="H23" s="164"/>
    </row>
    <row r="24" spans="1:8" x14ac:dyDescent="0.2">
      <c r="A24" s="5">
        <v>18</v>
      </c>
      <c r="B24" s="6" t="s">
        <v>189</v>
      </c>
      <c r="C24" s="6" t="s">
        <v>190</v>
      </c>
      <c r="D24" s="6" t="s">
        <v>179</v>
      </c>
      <c r="E24" s="7">
        <v>10880</v>
      </c>
      <c r="F24" s="8">
        <v>341.98016000000001</v>
      </c>
      <c r="G24" s="9">
        <v>1.7182708000000001E-2</v>
      </c>
      <c r="H24" s="164"/>
    </row>
    <row r="25" spans="1:8" ht="25.5" x14ac:dyDescent="0.2">
      <c r="A25" s="5">
        <v>19</v>
      </c>
      <c r="B25" s="6" t="s">
        <v>191</v>
      </c>
      <c r="C25" s="6" t="s">
        <v>192</v>
      </c>
      <c r="D25" s="6" t="s">
        <v>925</v>
      </c>
      <c r="E25" s="7">
        <v>125135</v>
      </c>
      <c r="F25" s="8">
        <v>331.16977750000001</v>
      </c>
      <c r="G25" s="9">
        <v>1.6639543E-2</v>
      </c>
      <c r="H25" s="164"/>
    </row>
    <row r="26" spans="1:8" x14ac:dyDescent="0.2">
      <c r="A26" s="5">
        <v>20</v>
      </c>
      <c r="B26" s="6" t="s">
        <v>193</v>
      </c>
      <c r="C26" s="6" t="s">
        <v>194</v>
      </c>
      <c r="D26" s="6" t="s">
        <v>195</v>
      </c>
      <c r="E26" s="7">
        <v>49328</v>
      </c>
      <c r="F26" s="8">
        <v>321.12527999999998</v>
      </c>
      <c r="G26" s="9">
        <v>1.6134860000000001E-2</v>
      </c>
      <c r="H26" s="164"/>
    </row>
    <row r="27" spans="1:8" x14ac:dyDescent="0.2">
      <c r="A27" s="5">
        <v>21</v>
      </c>
      <c r="B27" s="6" t="s">
        <v>41</v>
      </c>
      <c r="C27" s="6" t="s">
        <v>42</v>
      </c>
      <c r="D27" s="6" t="s">
        <v>28</v>
      </c>
      <c r="E27" s="7">
        <v>26435</v>
      </c>
      <c r="F27" s="8">
        <v>306.40808500000003</v>
      </c>
      <c r="G27" s="9">
        <v>1.5395397999999999E-2</v>
      </c>
      <c r="H27" s="164"/>
    </row>
    <row r="28" spans="1:8" x14ac:dyDescent="0.2">
      <c r="A28" s="5">
        <v>22</v>
      </c>
      <c r="B28" s="6" t="s">
        <v>196</v>
      </c>
      <c r="C28" s="6" t="s">
        <v>197</v>
      </c>
      <c r="D28" s="6" t="s">
        <v>928</v>
      </c>
      <c r="E28" s="7">
        <v>92489</v>
      </c>
      <c r="F28" s="8">
        <v>301.0979395</v>
      </c>
      <c r="G28" s="9">
        <v>1.5128591E-2</v>
      </c>
      <c r="H28" s="164"/>
    </row>
    <row r="29" spans="1:8" x14ac:dyDescent="0.2">
      <c r="A29" s="5">
        <v>23</v>
      </c>
      <c r="B29" s="6" t="s">
        <v>198</v>
      </c>
      <c r="C29" s="6" t="s">
        <v>199</v>
      </c>
      <c r="D29" s="6" t="s">
        <v>200</v>
      </c>
      <c r="E29" s="7">
        <v>66638</v>
      </c>
      <c r="F29" s="8">
        <v>299.671086</v>
      </c>
      <c r="G29" s="9">
        <v>1.5056899E-2</v>
      </c>
      <c r="H29" s="164"/>
    </row>
    <row r="30" spans="1:8" ht="25.5" x14ac:dyDescent="0.2">
      <c r="A30" s="5">
        <v>24</v>
      </c>
      <c r="B30" s="6" t="s">
        <v>201</v>
      </c>
      <c r="C30" s="6" t="s">
        <v>202</v>
      </c>
      <c r="D30" s="6" t="s">
        <v>67</v>
      </c>
      <c r="E30" s="7">
        <v>59268</v>
      </c>
      <c r="F30" s="8">
        <v>290.50210199999998</v>
      </c>
      <c r="G30" s="9">
        <v>1.4596206E-2</v>
      </c>
      <c r="H30" s="164"/>
    </row>
    <row r="31" spans="1:8" x14ac:dyDescent="0.2">
      <c r="A31" s="5">
        <v>25</v>
      </c>
      <c r="B31" s="6" t="s">
        <v>203</v>
      </c>
      <c r="C31" s="6" t="s">
        <v>204</v>
      </c>
      <c r="D31" s="6" t="s">
        <v>179</v>
      </c>
      <c r="E31" s="7">
        <v>29067</v>
      </c>
      <c r="F31" s="8">
        <v>286.80408899999998</v>
      </c>
      <c r="G31" s="9">
        <v>1.44104E-2</v>
      </c>
      <c r="H31" s="164"/>
    </row>
    <row r="32" spans="1:8" x14ac:dyDescent="0.2">
      <c r="A32" s="5">
        <v>26</v>
      </c>
      <c r="B32" s="6" t="s">
        <v>77</v>
      </c>
      <c r="C32" s="6" t="s">
        <v>78</v>
      </c>
      <c r="D32" s="6" t="s">
        <v>62</v>
      </c>
      <c r="E32" s="7">
        <v>109951</v>
      </c>
      <c r="F32" s="8">
        <v>277.73622599999999</v>
      </c>
      <c r="G32" s="9">
        <v>1.3954787E-2</v>
      </c>
      <c r="H32" s="164"/>
    </row>
    <row r="33" spans="1:8" x14ac:dyDescent="0.2">
      <c r="A33" s="5">
        <v>27</v>
      </c>
      <c r="B33" s="6" t="s">
        <v>205</v>
      </c>
      <c r="C33" s="6" t="s">
        <v>206</v>
      </c>
      <c r="D33" s="6" t="s">
        <v>207</v>
      </c>
      <c r="E33" s="7">
        <v>103185</v>
      </c>
      <c r="F33" s="8">
        <v>277.00013250000001</v>
      </c>
      <c r="G33" s="9">
        <v>1.3917802999999999E-2</v>
      </c>
      <c r="H33" s="164"/>
    </row>
    <row r="34" spans="1:8" x14ac:dyDescent="0.2">
      <c r="A34" s="5">
        <v>28</v>
      </c>
      <c r="B34" s="6" t="s">
        <v>208</v>
      </c>
      <c r="C34" s="6" t="s">
        <v>209</v>
      </c>
      <c r="D34" s="6" t="s">
        <v>161</v>
      </c>
      <c r="E34" s="7">
        <v>44986</v>
      </c>
      <c r="F34" s="8">
        <v>269.98347899999999</v>
      </c>
      <c r="G34" s="9">
        <v>1.3565252999999999E-2</v>
      </c>
      <c r="H34" s="164"/>
    </row>
    <row r="35" spans="1:8" x14ac:dyDescent="0.2">
      <c r="A35" s="5">
        <v>29</v>
      </c>
      <c r="B35" s="6" t="s">
        <v>210</v>
      </c>
      <c r="C35" s="6" t="s">
        <v>211</v>
      </c>
      <c r="D35" s="6" t="s">
        <v>195</v>
      </c>
      <c r="E35" s="7">
        <v>24077</v>
      </c>
      <c r="F35" s="8">
        <v>269.51793800000002</v>
      </c>
      <c r="G35" s="9">
        <v>1.3541862E-2</v>
      </c>
      <c r="H35" s="164"/>
    </row>
    <row r="36" spans="1:8" x14ac:dyDescent="0.2">
      <c r="A36" s="5">
        <v>30</v>
      </c>
      <c r="B36" s="6" t="s">
        <v>212</v>
      </c>
      <c r="C36" s="6" t="s">
        <v>213</v>
      </c>
      <c r="D36" s="6" t="s">
        <v>929</v>
      </c>
      <c r="E36" s="7">
        <v>31000</v>
      </c>
      <c r="F36" s="8">
        <v>269.49849999999998</v>
      </c>
      <c r="G36" s="9">
        <v>1.3540885000000001E-2</v>
      </c>
      <c r="H36" s="164"/>
    </row>
    <row r="37" spans="1:8" x14ac:dyDescent="0.2">
      <c r="A37" s="5">
        <v>31</v>
      </c>
      <c r="B37" s="6" t="s">
        <v>214</v>
      </c>
      <c r="C37" s="6" t="s">
        <v>215</v>
      </c>
      <c r="D37" s="6" t="s">
        <v>179</v>
      </c>
      <c r="E37" s="7">
        <v>6366</v>
      </c>
      <c r="F37" s="8">
        <v>266.43301500000001</v>
      </c>
      <c r="G37" s="9">
        <v>1.338686E-2</v>
      </c>
      <c r="H37" s="164"/>
    </row>
    <row r="38" spans="1:8" x14ac:dyDescent="0.2">
      <c r="A38" s="5">
        <v>32</v>
      </c>
      <c r="B38" s="6" t="s">
        <v>216</v>
      </c>
      <c r="C38" s="6" t="s">
        <v>217</v>
      </c>
      <c r="D38" s="6" t="s">
        <v>200</v>
      </c>
      <c r="E38" s="7">
        <v>40455</v>
      </c>
      <c r="F38" s="8">
        <v>259.51882499999999</v>
      </c>
      <c r="G38" s="9">
        <v>1.3039459E-2</v>
      </c>
      <c r="H38" s="164"/>
    </row>
    <row r="39" spans="1:8" x14ac:dyDescent="0.2">
      <c r="A39" s="5">
        <v>33</v>
      </c>
      <c r="B39" s="6" t="s">
        <v>218</v>
      </c>
      <c r="C39" s="6" t="s">
        <v>219</v>
      </c>
      <c r="D39" s="6" t="s">
        <v>926</v>
      </c>
      <c r="E39" s="7">
        <v>17937</v>
      </c>
      <c r="F39" s="8">
        <v>258.85781550000002</v>
      </c>
      <c r="G39" s="9">
        <v>1.3006246000000001E-2</v>
      </c>
      <c r="H39" s="164"/>
    </row>
    <row r="40" spans="1:8" x14ac:dyDescent="0.2">
      <c r="A40" s="5">
        <v>34</v>
      </c>
      <c r="B40" s="6" t="s">
        <v>220</v>
      </c>
      <c r="C40" s="6" t="s">
        <v>221</v>
      </c>
      <c r="D40" s="6" t="s">
        <v>28</v>
      </c>
      <c r="E40" s="7">
        <v>16344</v>
      </c>
      <c r="F40" s="8">
        <v>255.996072</v>
      </c>
      <c r="G40" s="9">
        <v>1.2862459E-2</v>
      </c>
      <c r="H40" s="164"/>
    </row>
    <row r="41" spans="1:8" x14ac:dyDescent="0.2">
      <c r="A41" s="5">
        <v>35</v>
      </c>
      <c r="B41" s="6" t="s">
        <v>222</v>
      </c>
      <c r="C41" s="6" t="s">
        <v>223</v>
      </c>
      <c r="D41" s="6" t="s">
        <v>37</v>
      </c>
      <c r="E41" s="7">
        <v>234660</v>
      </c>
      <c r="F41" s="8">
        <v>252.02484000000001</v>
      </c>
      <c r="G41" s="9">
        <v>1.2662925E-2</v>
      </c>
      <c r="H41" s="164"/>
    </row>
    <row r="42" spans="1:8" x14ac:dyDescent="0.2">
      <c r="A42" s="5">
        <v>36</v>
      </c>
      <c r="B42" s="6" t="s">
        <v>35</v>
      </c>
      <c r="C42" s="6" t="s">
        <v>36</v>
      </c>
      <c r="D42" s="6" t="s">
        <v>37</v>
      </c>
      <c r="E42" s="7">
        <v>74785</v>
      </c>
      <c r="F42" s="8">
        <v>243.9860625</v>
      </c>
      <c r="G42" s="9">
        <v>1.2259018999999999E-2</v>
      </c>
      <c r="H42" s="164"/>
    </row>
    <row r="43" spans="1:8" x14ac:dyDescent="0.2">
      <c r="A43" s="5">
        <v>37</v>
      </c>
      <c r="B43" s="6" t="s">
        <v>224</v>
      </c>
      <c r="C43" s="6" t="s">
        <v>225</v>
      </c>
      <c r="D43" s="6" t="s">
        <v>161</v>
      </c>
      <c r="E43" s="7">
        <v>44944</v>
      </c>
      <c r="F43" s="8">
        <v>242.60771199999999</v>
      </c>
      <c r="G43" s="9">
        <v>1.2189764000000001E-2</v>
      </c>
      <c r="H43" s="164"/>
    </row>
    <row r="44" spans="1:8" ht="25.5" x14ac:dyDescent="0.2">
      <c r="A44" s="5">
        <v>38</v>
      </c>
      <c r="B44" s="6" t="s">
        <v>226</v>
      </c>
      <c r="C44" s="6" t="s">
        <v>227</v>
      </c>
      <c r="D44" s="6" t="s">
        <v>62</v>
      </c>
      <c r="E44" s="7">
        <v>10523</v>
      </c>
      <c r="F44" s="8">
        <v>241.218729</v>
      </c>
      <c r="G44" s="9">
        <v>1.2119975E-2</v>
      </c>
      <c r="H44" s="164"/>
    </row>
    <row r="45" spans="1:8" x14ac:dyDescent="0.2">
      <c r="A45" s="5">
        <v>39</v>
      </c>
      <c r="B45" s="6" t="s">
        <v>228</v>
      </c>
      <c r="C45" s="6" t="s">
        <v>229</v>
      </c>
      <c r="D45" s="6" t="s">
        <v>62</v>
      </c>
      <c r="E45" s="7">
        <v>30856</v>
      </c>
      <c r="F45" s="8">
        <v>238.501452</v>
      </c>
      <c r="G45" s="9">
        <v>1.1983446E-2</v>
      </c>
      <c r="H45" s="164"/>
    </row>
    <row r="46" spans="1:8" x14ac:dyDescent="0.2">
      <c r="A46" s="5">
        <v>40</v>
      </c>
      <c r="B46" s="6" t="s">
        <v>230</v>
      </c>
      <c r="C46" s="6" t="s">
        <v>231</v>
      </c>
      <c r="D46" s="6" t="s">
        <v>62</v>
      </c>
      <c r="E46" s="7">
        <v>76732</v>
      </c>
      <c r="F46" s="8">
        <v>225.361884</v>
      </c>
      <c r="G46" s="9">
        <v>1.1323252000000001E-2</v>
      </c>
      <c r="H46" s="164"/>
    </row>
    <row r="47" spans="1:8" ht="25.5" x14ac:dyDescent="0.2">
      <c r="A47" s="5">
        <v>41</v>
      </c>
      <c r="B47" s="6" t="s">
        <v>63</v>
      </c>
      <c r="C47" s="6" t="s">
        <v>64</v>
      </c>
      <c r="D47" s="6" t="s">
        <v>40</v>
      </c>
      <c r="E47" s="7">
        <v>28364</v>
      </c>
      <c r="F47" s="8">
        <v>225.28107</v>
      </c>
      <c r="G47" s="9">
        <v>1.1319190999999999E-2</v>
      </c>
      <c r="H47" s="164"/>
    </row>
    <row r="48" spans="1:8" x14ac:dyDescent="0.2">
      <c r="A48" s="5">
        <v>42</v>
      </c>
      <c r="B48" s="6" t="s">
        <v>232</v>
      </c>
      <c r="C48" s="6" t="s">
        <v>233</v>
      </c>
      <c r="D48" s="6" t="s">
        <v>37</v>
      </c>
      <c r="E48" s="7">
        <v>25501</v>
      </c>
      <c r="F48" s="8">
        <v>220.23938649999999</v>
      </c>
      <c r="G48" s="9">
        <v>1.1065873E-2</v>
      </c>
      <c r="H48" s="164"/>
    </row>
    <row r="49" spans="1:8" ht="25.5" x14ac:dyDescent="0.2">
      <c r="A49" s="5">
        <v>43</v>
      </c>
      <c r="B49" s="6" t="s">
        <v>234</v>
      </c>
      <c r="C49" s="6" t="s">
        <v>235</v>
      </c>
      <c r="D49" s="6" t="s">
        <v>67</v>
      </c>
      <c r="E49" s="7">
        <v>48460</v>
      </c>
      <c r="F49" s="8">
        <v>214.43549999999999</v>
      </c>
      <c r="G49" s="9">
        <v>1.0774258E-2</v>
      </c>
      <c r="H49" s="164"/>
    </row>
    <row r="50" spans="1:8" x14ac:dyDescent="0.2">
      <c r="A50" s="5">
        <v>44</v>
      </c>
      <c r="B50" s="6" t="s">
        <v>236</v>
      </c>
      <c r="C50" s="6" t="s">
        <v>237</v>
      </c>
      <c r="D50" s="6" t="s">
        <v>161</v>
      </c>
      <c r="E50" s="7">
        <v>369714</v>
      </c>
      <c r="F50" s="8">
        <v>214.43412000000001</v>
      </c>
      <c r="G50" s="9">
        <v>1.0774189E-2</v>
      </c>
      <c r="H50" s="164"/>
    </row>
    <row r="51" spans="1:8" x14ac:dyDescent="0.2">
      <c r="A51" s="5">
        <v>45</v>
      </c>
      <c r="B51" s="6" t="s">
        <v>238</v>
      </c>
      <c r="C51" s="6" t="s">
        <v>239</v>
      </c>
      <c r="D51" s="6" t="s">
        <v>195</v>
      </c>
      <c r="E51" s="7">
        <v>51255</v>
      </c>
      <c r="F51" s="8">
        <v>211.88817</v>
      </c>
      <c r="G51" s="9">
        <v>1.0646268E-2</v>
      </c>
      <c r="H51" s="164"/>
    </row>
    <row r="52" spans="1:8" ht="25.5" x14ac:dyDescent="0.2">
      <c r="A52" s="5">
        <v>46</v>
      </c>
      <c r="B52" s="6" t="s">
        <v>240</v>
      </c>
      <c r="C52" s="6" t="s">
        <v>241</v>
      </c>
      <c r="D52" s="6" t="s">
        <v>925</v>
      </c>
      <c r="E52" s="7">
        <v>110156</v>
      </c>
      <c r="F52" s="8">
        <v>211.66475399999999</v>
      </c>
      <c r="G52" s="9">
        <v>1.0635043E-2</v>
      </c>
      <c r="H52" s="164"/>
    </row>
    <row r="53" spans="1:8" x14ac:dyDescent="0.2">
      <c r="A53" s="5">
        <v>47</v>
      </c>
      <c r="B53" s="6" t="s">
        <v>242</v>
      </c>
      <c r="C53" s="6" t="s">
        <v>243</v>
      </c>
      <c r="D53" s="6" t="s">
        <v>59</v>
      </c>
      <c r="E53" s="7">
        <v>15808</v>
      </c>
      <c r="F53" s="8">
        <v>208.815776</v>
      </c>
      <c r="G53" s="9">
        <v>1.0491897E-2</v>
      </c>
      <c r="H53" s="164"/>
    </row>
    <row r="54" spans="1:8" x14ac:dyDescent="0.2">
      <c r="A54" s="5">
        <v>48</v>
      </c>
      <c r="B54" s="6" t="s">
        <v>244</v>
      </c>
      <c r="C54" s="6" t="s">
        <v>245</v>
      </c>
      <c r="D54" s="6" t="s">
        <v>200</v>
      </c>
      <c r="E54" s="7">
        <v>11356</v>
      </c>
      <c r="F54" s="8">
        <v>205.91266999999999</v>
      </c>
      <c r="G54" s="9">
        <v>1.0346031E-2</v>
      </c>
      <c r="H54" s="164"/>
    </row>
    <row r="55" spans="1:8" ht="25.5" x14ac:dyDescent="0.2">
      <c r="A55" s="5">
        <v>49</v>
      </c>
      <c r="B55" s="6" t="s">
        <v>246</v>
      </c>
      <c r="C55" s="6" t="s">
        <v>247</v>
      </c>
      <c r="D55" s="6" t="s">
        <v>40</v>
      </c>
      <c r="E55" s="7">
        <v>260091</v>
      </c>
      <c r="F55" s="8">
        <v>203.91134400000001</v>
      </c>
      <c r="G55" s="9">
        <v>1.0245475E-2</v>
      </c>
      <c r="H55" s="164"/>
    </row>
    <row r="56" spans="1:8" ht="25.5" x14ac:dyDescent="0.2">
      <c r="A56" s="5">
        <v>50</v>
      </c>
      <c r="B56" s="6" t="s">
        <v>248</v>
      </c>
      <c r="C56" s="6" t="s">
        <v>249</v>
      </c>
      <c r="D56" s="6" t="s">
        <v>67</v>
      </c>
      <c r="E56" s="7">
        <v>46200</v>
      </c>
      <c r="F56" s="8">
        <v>201.89400000000001</v>
      </c>
      <c r="G56" s="9">
        <v>1.0144113999999999E-2</v>
      </c>
      <c r="H56" s="164"/>
    </row>
    <row r="57" spans="1:8" x14ac:dyDescent="0.2">
      <c r="A57" s="5">
        <v>51</v>
      </c>
      <c r="B57" s="6" t="s">
        <v>251</v>
      </c>
      <c r="C57" s="6" t="s">
        <v>252</v>
      </c>
      <c r="D57" s="6" t="s">
        <v>253</v>
      </c>
      <c r="E57" s="7">
        <v>41913</v>
      </c>
      <c r="F57" s="8">
        <v>201.4967475</v>
      </c>
      <c r="G57" s="9">
        <v>1.0124154E-2</v>
      </c>
      <c r="H57" s="164"/>
    </row>
    <row r="58" spans="1:8" x14ac:dyDescent="0.2">
      <c r="A58" s="5">
        <v>52</v>
      </c>
      <c r="B58" s="6" t="s">
        <v>254</v>
      </c>
      <c r="C58" s="6" t="s">
        <v>255</v>
      </c>
      <c r="D58" s="6" t="s">
        <v>62</v>
      </c>
      <c r="E58" s="7">
        <v>26372</v>
      </c>
      <c r="F58" s="8">
        <v>195.58793800000001</v>
      </c>
      <c r="G58" s="9">
        <v>9.8272670000000006E-3</v>
      </c>
      <c r="H58" s="164"/>
    </row>
    <row r="59" spans="1:8" x14ac:dyDescent="0.2">
      <c r="A59" s="5">
        <v>53</v>
      </c>
      <c r="B59" s="6" t="s">
        <v>256</v>
      </c>
      <c r="C59" s="6" t="s">
        <v>257</v>
      </c>
      <c r="D59" s="6" t="s">
        <v>930</v>
      </c>
      <c r="E59" s="7">
        <v>33060</v>
      </c>
      <c r="F59" s="8">
        <v>185.21865</v>
      </c>
      <c r="G59" s="9">
        <v>9.3062649999999993E-3</v>
      </c>
      <c r="H59" s="164"/>
    </row>
    <row r="60" spans="1:8" ht="25.5" x14ac:dyDescent="0.2">
      <c r="A60" s="5">
        <v>54</v>
      </c>
      <c r="B60" s="6" t="s">
        <v>258</v>
      </c>
      <c r="C60" s="6" t="s">
        <v>259</v>
      </c>
      <c r="D60" s="6" t="s">
        <v>931</v>
      </c>
      <c r="E60" s="7">
        <v>185657</v>
      </c>
      <c r="F60" s="8">
        <v>185.10002900000001</v>
      </c>
      <c r="G60" s="9">
        <v>9.300305E-3</v>
      </c>
      <c r="H60" s="164"/>
    </row>
    <row r="61" spans="1:8" x14ac:dyDescent="0.2">
      <c r="A61" s="5">
        <v>55</v>
      </c>
      <c r="B61" s="6" t="s">
        <v>260</v>
      </c>
      <c r="C61" s="6" t="s">
        <v>261</v>
      </c>
      <c r="D61" s="6" t="s">
        <v>930</v>
      </c>
      <c r="E61" s="7">
        <v>44235</v>
      </c>
      <c r="F61" s="8">
        <v>180.965385</v>
      </c>
      <c r="G61" s="9">
        <v>9.0925610000000007E-3</v>
      </c>
      <c r="H61" s="164"/>
    </row>
    <row r="62" spans="1:8" ht="25.5" x14ac:dyDescent="0.2">
      <c r="A62" s="5">
        <v>56</v>
      </c>
      <c r="B62" s="6" t="s">
        <v>262</v>
      </c>
      <c r="C62" s="6" t="s">
        <v>263</v>
      </c>
      <c r="D62" s="6" t="s">
        <v>158</v>
      </c>
      <c r="E62" s="7">
        <v>46362</v>
      </c>
      <c r="F62" s="8">
        <v>178.354614</v>
      </c>
      <c r="G62" s="9">
        <v>8.9613829999999998E-3</v>
      </c>
      <c r="H62" s="164"/>
    </row>
    <row r="63" spans="1:8" x14ac:dyDescent="0.2">
      <c r="A63" s="5">
        <v>57</v>
      </c>
      <c r="B63" s="6" t="s">
        <v>60</v>
      </c>
      <c r="C63" s="6" t="s">
        <v>61</v>
      </c>
      <c r="D63" s="6" t="s">
        <v>62</v>
      </c>
      <c r="E63" s="7">
        <v>5800</v>
      </c>
      <c r="F63" s="8">
        <v>173.51859999999999</v>
      </c>
      <c r="G63" s="9">
        <v>8.7183989999999999E-3</v>
      </c>
      <c r="H63" s="164"/>
    </row>
    <row r="64" spans="1:8" x14ac:dyDescent="0.2">
      <c r="A64" s="5">
        <v>58</v>
      </c>
      <c r="B64" s="6" t="s">
        <v>264</v>
      </c>
      <c r="C64" s="6" t="s">
        <v>265</v>
      </c>
      <c r="D64" s="6" t="s">
        <v>266</v>
      </c>
      <c r="E64" s="7">
        <v>21457</v>
      </c>
      <c r="F64" s="8">
        <v>173.49057350000001</v>
      </c>
      <c r="G64" s="9">
        <v>8.7169910000000003E-3</v>
      </c>
      <c r="H64" s="164"/>
    </row>
    <row r="65" spans="1:8" x14ac:dyDescent="0.2">
      <c r="A65" s="5">
        <v>59</v>
      </c>
      <c r="B65" s="6" t="s">
        <v>267</v>
      </c>
      <c r="C65" s="6" t="s">
        <v>268</v>
      </c>
      <c r="D65" s="6" t="s">
        <v>195</v>
      </c>
      <c r="E65" s="7">
        <v>23266</v>
      </c>
      <c r="F65" s="8">
        <v>172.529023</v>
      </c>
      <c r="G65" s="9">
        <v>8.6686780000000008E-3</v>
      </c>
      <c r="H65" s="164"/>
    </row>
    <row r="66" spans="1:8" x14ac:dyDescent="0.2">
      <c r="A66" s="5">
        <v>60</v>
      </c>
      <c r="B66" s="6" t="s">
        <v>269</v>
      </c>
      <c r="C66" s="6" t="s">
        <v>270</v>
      </c>
      <c r="D66" s="6" t="s">
        <v>200</v>
      </c>
      <c r="E66" s="7">
        <v>33629</v>
      </c>
      <c r="F66" s="8">
        <v>170.26362700000001</v>
      </c>
      <c r="G66" s="9">
        <v>8.5548540000000006E-3</v>
      </c>
      <c r="H66" s="164"/>
    </row>
    <row r="67" spans="1:8" x14ac:dyDescent="0.2">
      <c r="A67" s="5">
        <v>61</v>
      </c>
      <c r="B67" s="6" t="s">
        <v>271</v>
      </c>
      <c r="C67" s="6" t="s">
        <v>272</v>
      </c>
      <c r="D67" s="6" t="s">
        <v>346</v>
      </c>
      <c r="E67" s="7">
        <v>17099</v>
      </c>
      <c r="F67" s="8">
        <v>164.86000849999999</v>
      </c>
      <c r="G67" s="9">
        <v>8.2833500000000001E-3</v>
      </c>
      <c r="H67" s="164"/>
    </row>
    <row r="68" spans="1:8" x14ac:dyDescent="0.2">
      <c r="A68" s="5">
        <v>62</v>
      </c>
      <c r="B68" s="6" t="s">
        <v>273</v>
      </c>
      <c r="C68" s="6" t="s">
        <v>274</v>
      </c>
      <c r="D68" s="6" t="s">
        <v>22</v>
      </c>
      <c r="E68" s="7">
        <v>139624</v>
      </c>
      <c r="F68" s="8">
        <v>146.6052</v>
      </c>
      <c r="G68" s="9">
        <v>7.366142E-3</v>
      </c>
      <c r="H68" s="164"/>
    </row>
    <row r="69" spans="1:8" x14ac:dyDescent="0.2">
      <c r="A69" s="5">
        <v>63</v>
      </c>
      <c r="B69" s="6" t="s">
        <v>275</v>
      </c>
      <c r="C69" s="6" t="s">
        <v>276</v>
      </c>
      <c r="D69" s="6" t="s">
        <v>277</v>
      </c>
      <c r="E69" s="7">
        <v>56338</v>
      </c>
      <c r="F69" s="8">
        <v>146.056265</v>
      </c>
      <c r="G69" s="9">
        <v>7.3385610000000004E-3</v>
      </c>
      <c r="H69" s="164"/>
    </row>
    <row r="70" spans="1:8" x14ac:dyDescent="0.2">
      <c r="A70" s="5">
        <v>64</v>
      </c>
      <c r="B70" s="6" t="s">
        <v>278</v>
      </c>
      <c r="C70" s="6" t="s">
        <v>279</v>
      </c>
      <c r="D70" s="6" t="s">
        <v>45</v>
      </c>
      <c r="E70" s="7">
        <v>143614</v>
      </c>
      <c r="F70" s="8">
        <v>144.69110499999999</v>
      </c>
      <c r="G70" s="9">
        <v>7.2699690000000003E-3</v>
      </c>
      <c r="H70" s="164"/>
    </row>
    <row r="71" spans="1:8" x14ac:dyDescent="0.2">
      <c r="A71" s="5">
        <v>65</v>
      </c>
      <c r="B71" s="6" t="s">
        <v>280</v>
      </c>
      <c r="C71" s="6" t="s">
        <v>281</v>
      </c>
      <c r="D71" s="6" t="s">
        <v>930</v>
      </c>
      <c r="E71" s="7">
        <v>96898</v>
      </c>
      <c r="F71" s="8">
        <v>127.372421</v>
      </c>
      <c r="G71" s="9">
        <v>6.3997960000000001E-3</v>
      </c>
      <c r="H71" s="164"/>
    </row>
    <row r="72" spans="1:8" x14ac:dyDescent="0.2">
      <c r="A72" s="5">
        <v>66</v>
      </c>
      <c r="B72" s="6" t="s">
        <v>282</v>
      </c>
      <c r="C72" s="6" t="s">
        <v>283</v>
      </c>
      <c r="D72" s="6" t="s">
        <v>200</v>
      </c>
      <c r="E72" s="7">
        <v>2332</v>
      </c>
      <c r="F72" s="8">
        <v>124.934568</v>
      </c>
      <c r="G72" s="9">
        <v>6.2773059999999999E-3</v>
      </c>
      <c r="H72" s="164"/>
    </row>
    <row r="73" spans="1:8" x14ac:dyDescent="0.2">
      <c r="A73" s="5">
        <v>67</v>
      </c>
      <c r="B73" s="6" t="s">
        <v>284</v>
      </c>
      <c r="C73" s="6" t="s">
        <v>285</v>
      </c>
      <c r="D73" s="6" t="s">
        <v>62</v>
      </c>
      <c r="E73" s="7">
        <v>65000</v>
      </c>
      <c r="F73" s="8">
        <v>114.75749999999999</v>
      </c>
      <c r="G73" s="9">
        <v>5.7659620000000003E-3</v>
      </c>
      <c r="H73" s="164"/>
    </row>
    <row r="74" spans="1:8" x14ac:dyDescent="0.2">
      <c r="A74" s="5">
        <v>68</v>
      </c>
      <c r="B74" s="6" t="s">
        <v>286</v>
      </c>
      <c r="C74" s="6" t="s">
        <v>287</v>
      </c>
      <c r="D74" s="6" t="s">
        <v>927</v>
      </c>
      <c r="E74" s="7">
        <v>7069</v>
      </c>
      <c r="F74" s="8">
        <v>113.3337425</v>
      </c>
      <c r="G74" s="9">
        <v>5.6944259999999998E-3</v>
      </c>
      <c r="H74" s="164"/>
    </row>
    <row r="75" spans="1:8" x14ac:dyDescent="0.2">
      <c r="A75" s="5">
        <v>69</v>
      </c>
      <c r="B75" s="6" t="s">
        <v>55</v>
      </c>
      <c r="C75" s="6" t="s">
        <v>56</v>
      </c>
      <c r="D75" s="6" t="s">
        <v>37</v>
      </c>
      <c r="E75" s="7">
        <v>45310</v>
      </c>
      <c r="F75" s="8">
        <v>103.556005</v>
      </c>
      <c r="G75" s="9">
        <v>5.2031459999999996E-3</v>
      </c>
      <c r="H75" s="164"/>
    </row>
    <row r="76" spans="1:8" x14ac:dyDescent="0.2">
      <c r="A76" s="5">
        <v>70</v>
      </c>
      <c r="B76" s="6" t="s">
        <v>288</v>
      </c>
      <c r="C76" s="6" t="s">
        <v>289</v>
      </c>
      <c r="D76" s="6" t="s">
        <v>158</v>
      </c>
      <c r="E76" s="7">
        <v>6312</v>
      </c>
      <c r="F76" s="8">
        <v>87.294960000000003</v>
      </c>
      <c r="G76" s="9">
        <v>4.386114E-3</v>
      </c>
      <c r="H76" s="164"/>
    </row>
    <row r="77" spans="1:8" x14ac:dyDescent="0.2">
      <c r="A77" s="5">
        <v>71</v>
      </c>
      <c r="B77" s="6" t="s">
        <v>290</v>
      </c>
      <c r="C77" s="6" t="s">
        <v>291</v>
      </c>
      <c r="D77" s="6" t="s">
        <v>179</v>
      </c>
      <c r="E77" s="7">
        <v>15744</v>
      </c>
      <c r="F77" s="8">
        <v>83.734464000000003</v>
      </c>
      <c r="G77" s="9">
        <v>4.2072170000000001E-3</v>
      </c>
      <c r="H77" s="164"/>
    </row>
    <row r="78" spans="1:8" x14ac:dyDescent="0.2">
      <c r="A78" s="3" t="s">
        <v>9</v>
      </c>
      <c r="B78" s="3" t="s">
        <v>9</v>
      </c>
      <c r="C78" s="4" t="s">
        <v>110</v>
      </c>
      <c r="D78" s="3" t="s">
        <v>9</v>
      </c>
      <c r="E78" s="3" t="s">
        <v>9</v>
      </c>
      <c r="F78" s="11">
        <v>19051.865946000002</v>
      </c>
      <c r="G78" s="12">
        <v>0.95725626100000005</v>
      </c>
      <c r="H78" s="164"/>
    </row>
    <row r="79" spans="1:8" x14ac:dyDescent="0.2">
      <c r="A79" s="3" t="s">
        <v>9</v>
      </c>
      <c r="B79" s="3" t="s">
        <v>9</v>
      </c>
      <c r="C79" s="13" t="s">
        <v>9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111</v>
      </c>
      <c r="D80" s="3" t="s">
        <v>9</v>
      </c>
      <c r="E80" s="3" t="s">
        <v>9</v>
      </c>
      <c r="F80" s="3" t="s">
        <v>9</v>
      </c>
      <c r="G80" s="3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110</v>
      </c>
      <c r="D81" s="3" t="s">
        <v>9</v>
      </c>
      <c r="E81" s="3" t="s">
        <v>9</v>
      </c>
      <c r="F81" s="15">
        <v>0</v>
      </c>
      <c r="G81" s="16">
        <v>0</v>
      </c>
      <c r="H81" s="164"/>
    </row>
    <row r="82" spans="1:8" x14ac:dyDescent="0.2">
      <c r="A82" s="3" t="s">
        <v>9</v>
      </c>
      <c r="B82" s="3" t="s">
        <v>9</v>
      </c>
      <c r="C82" s="13" t="s">
        <v>9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112</v>
      </c>
      <c r="D83" s="3" t="s">
        <v>9</v>
      </c>
      <c r="E83" s="3" t="s">
        <v>9</v>
      </c>
      <c r="F83" s="3" t="s">
        <v>9</v>
      </c>
      <c r="G83" s="3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110</v>
      </c>
      <c r="D84" s="3" t="s">
        <v>9</v>
      </c>
      <c r="E84" s="3" t="s">
        <v>9</v>
      </c>
      <c r="F84" s="15">
        <v>0</v>
      </c>
      <c r="G84" s="16">
        <v>0</v>
      </c>
      <c r="H84" s="164"/>
    </row>
    <row r="85" spans="1:8" x14ac:dyDescent="0.2">
      <c r="A85" s="3" t="s">
        <v>9</v>
      </c>
      <c r="B85" s="3" t="s">
        <v>9</v>
      </c>
      <c r="C85" s="13" t="s">
        <v>9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113</v>
      </c>
      <c r="D86" s="3" t="s">
        <v>9</v>
      </c>
      <c r="E86" s="3" t="s">
        <v>9</v>
      </c>
      <c r="F86" s="3" t="s">
        <v>9</v>
      </c>
      <c r="G86" s="3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110</v>
      </c>
      <c r="D87" s="3" t="s">
        <v>9</v>
      </c>
      <c r="E87" s="3" t="s">
        <v>9</v>
      </c>
      <c r="F87" s="15">
        <v>0</v>
      </c>
      <c r="G87" s="16">
        <v>0</v>
      </c>
      <c r="H87" s="164"/>
    </row>
    <row r="88" spans="1:8" x14ac:dyDescent="0.2">
      <c r="A88" s="3" t="s">
        <v>9</v>
      </c>
      <c r="B88" s="3" t="s">
        <v>9</v>
      </c>
      <c r="C88" s="13" t="s">
        <v>9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114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110</v>
      </c>
      <c r="D90" s="3" t="s">
        <v>9</v>
      </c>
      <c r="E90" s="3" t="s">
        <v>9</v>
      </c>
      <c r="F90" s="15">
        <v>0</v>
      </c>
      <c r="G90" s="16">
        <v>0</v>
      </c>
      <c r="H90" s="164"/>
    </row>
    <row r="91" spans="1:8" x14ac:dyDescent="0.2">
      <c r="A91" s="3" t="s">
        <v>9</v>
      </c>
      <c r="B91" s="3" t="s">
        <v>9</v>
      </c>
      <c r="C91" s="13" t="s">
        <v>9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115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110</v>
      </c>
      <c r="D93" s="3" t="s">
        <v>9</v>
      </c>
      <c r="E93" s="3" t="s">
        <v>9</v>
      </c>
      <c r="F93" s="15">
        <v>0</v>
      </c>
      <c r="G93" s="16">
        <v>0</v>
      </c>
      <c r="H93" s="164"/>
    </row>
    <row r="94" spans="1:8" x14ac:dyDescent="0.2">
      <c r="A94" s="3" t="s">
        <v>9</v>
      </c>
      <c r="B94" s="3" t="s">
        <v>9</v>
      </c>
      <c r="C94" s="13" t="s">
        <v>9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116</v>
      </c>
      <c r="D95" s="3" t="s">
        <v>9</v>
      </c>
      <c r="E95" s="3" t="s">
        <v>9</v>
      </c>
      <c r="F95" s="11">
        <v>19051.865946000002</v>
      </c>
      <c r="G95" s="12">
        <v>0.95725626100000005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117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ht="25.5" x14ac:dyDescent="0.2">
      <c r="A98" s="3" t="s">
        <v>9</v>
      </c>
      <c r="B98" s="3" t="s">
        <v>9</v>
      </c>
      <c r="C98" s="4" t="s">
        <v>11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110</v>
      </c>
      <c r="D99" s="3" t="s">
        <v>9</v>
      </c>
      <c r="E99" s="3" t="s">
        <v>9</v>
      </c>
      <c r="F99" s="15">
        <v>0</v>
      </c>
      <c r="G99" s="16">
        <v>0</v>
      </c>
      <c r="H99" s="164"/>
    </row>
    <row r="100" spans="1:8" x14ac:dyDescent="0.2">
      <c r="A100" s="3" t="s">
        <v>9</v>
      </c>
      <c r="B100" s="3" t="s">
        <v>9</v>
      </c>
      <c r="C100" s="13" t="s">
        <v>9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118</v>
      </c>
      <c r="D101" s="3" t="s">
        <v>9</v>
      </c>
      <c r="E101" s="3" t="s">
        <v>9</v>
      </c>
      <c r="F101" s="3" t="s">
        <v>9</v>
      </c>
      <c r="G101" s="3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110</v>
      </c>
      <c r="D102" s="3" t="s">
        <v>9</v>
      </c>
      <c r="E102" s="3" t="s">
        <v>9</v>
      </c>
      <c r="F102" s="15">
        <v>0</v>
      </c>
      <c r="G102" s="16">
        <v>0</v>
      </c>
      <c r="H102" s="164"/>
    </row>
    <row r="103" spans="1:8" x14ac:dyDescent="0.2">
      <c r="A103" s="3" t="s">
        <v>9</v>
      </c>
      <c r="B103" s="3" t="s">
        <v>9</v>
      </c>
      <c r="C103" s="13" t="s">
        <v>9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119</v>
      </c>
      <c r="D104" s="3" t="s">
        <v>9</v>
      </c>
      <c r="E104" s="3" t="s">
        <v>9</v>
      </c>
      <c r="F104" s="3" t="s">
        <v>9</v>
      </c>
      <c r="G104" s="3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110</v>
      </c>
      <c r="D105" s="3" t="s">
        <v>9</v>
      </c>
      <c r="E105" s="3" t="s">
        <v>9</v>
      </c>
      <c r="F105" s="15">
        <v>0</v>
      </c>
      <c r="G105" s="16">
        <v>0</v>
      </c>
      <c r="H105" s="164"/>
    </row>
    <row r="106" spans="1:8" x14ac:dyDescent="0.2">
      <c r="A106" s="3" t="s">
        <v>9</v>
      </c>
      <c r="B106" s="3" t="s">
        <v>9</v>
      </c>
      <c r="C106" s="13" t="s">
        <v>9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120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110</v>
      </c>
      <c r="D108" s="3" t="s">
        <v>9</v>
      </c>
      <c r="E108" s="3" t="s">
        <v>9</v>
      </c>
      <c r="F108" s="15">
        <v>0</v>
      </c>
      <c r="G108" s="16">
        <v>0</v>
      </c>
      <c r="H108" s="164"/>
    </row>
    <row r="109" spans="1:8" x14ac:dyDescent="0.2">
      <c r="A109" s="3" t="s">
        <v>9</v>
      </c>
      <c r="B109" s="3" t="s">
        <v>9</v>
      </c>
      <c r="C109" s="13" t="s">
        <v>9</v>
      </c>
      <c r="D109" s="3" t="s">
        <v>9</v>
      </c>
      <c r="E109" s="3" t="s">
        <v>9</v>
      </c>
      <c r="F109" s="14" t="s">
        <v>9</v>
      </c>
      <c r="G109" s="14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121</v>
      </c>
      <c r="D110" s="3" t="s">
        <v>9</v>
      </c>
      <c r="E110" s="3" t="s">
        <v>9</v>
      </c>
      <c r="F110" s="11">
        <v>0</v>
      </c>
      <c r="G110" s="12">
        <v>0</v>
      </c>
      <c r="H110" s="164"/>
    </row>
    <row r="111" spans="1:8" x14ac:dyDescent="0.2">
      <c r="A111" s="3" t="s">
        <v>9</v>
      </c>
      <c r="B111" s="3" t="s">
        <v>9</v>
      </c>
      <c r="C111" s="13" t="s">
        <v>9</v>
      </c>
      <c r="D111" s="3" t="s">
        <v>9</v>
      </c>
      <c r="E111" s="3" t="s">
        <v>9</v>
      </c>
      <c r="F111" s="14" t="s">
        <v>9</v>
      </c>
      <c r="G111" s="14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122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123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3" t="s">
        <v>9</v>
      </c>
      <c r="B114" s="3" t="s">
        <v>9</v>
      </c>
      <c r="C114" s="4" t="s">
        <v>110</v>
      </c>
      <c r="D114" s="3" t="s">
        <v>9</v>
      </c>
      <c r="E114" s="3" t="s">
        <v>9</v>
      </c>
      <c r="F114" s="15">
        <v>0</v>
      </c>
      <c r="G114" s="16">
        <v>0</v>
      </c>
      <c r="H114" s="164"/>
    </row>
    <row r="115" spans="1:8" x14ac:dyDescent="0.2">
      <c r="A115" s="3" t="s">
        <v>9</v>
      </c>
      <c r="B115" s="3" t="s">
        <v>9</v>
      </c>
      <c r="C115" s="13" t="s">
        <v>9</v>
      </c>
      <c r="D115" s="3" t="s">
        <v>9</v>
      </c>
      <c r="E115" s="3" t="s">
        <v>9</v>
      </c>
      <c r="F115" s="14" t="s">
        <v>9</v>
      </c>
      <c r="G115" s="14" t="s">
        <v>9</v>
      </c>
      <c r="H115" s="164"/>
    </row>
    <row r="116" spans="1:8" x14ac:dyDescent="0.2">
      <c r="A116" s="3" t="s">
        <v>9</v>
      </c>
      <c r="B116" s="3" t="s">
        <v>9</v>
      </c>
      <c r="C116" s="4" t="s">
        <v>124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3" t="s">
        <v>9</v>
      </c>
      <c r="B117" s="3" t="s">
        <v>9</v>
      </c>
      <c r="C117" s="4" t="s">
        <v>110</v>
      </c>
      <c r="D117" s="3" t="s">
        <v>9</v>
      </c>
      <c r="E117" s="3" t="s">
        <v>9</v>
      </c>
      <c r="F117" s="15">
        <v>0</v>
      </c>
      <c r="G117" s="16">
        <v>0</v>
      </c>
      <c r="H117" s="164"/>
    </row>
    <row r="118" spans="1:8" x14ac:dyDescent="0.2">
      <c r="A118" s="3" t="s">
        <v>9</v>
      </c>
      <c r="B118" s="3" t="s">
        <v>9</v>
      </c>
      <c r="C118" s="13" t="s">
        <v>9</v>
      </c>
      <c r="D118" s="3" t="s">
        <v>9</v>
      </c>
      <c r="E118" s="3" t="s">
        <v>9</v>
      </c>
      <c r="F118" s="14" t="s">
        <v>9</v>
      </c>
      <c r="G118" s="14" t="s">
        <v>9</v>
      </c>
      <c r="H118" s="164"/>
    </row>
    <row r="119" spans="1:8" x14ac:dyDescent="0.2">
      <c r="A119" s="3" t="s">
        <v>9</v>
      </c>
      <c r="B119" s="3" t="s">
        <v>9</v>
      </c>
      <c r="C119" s="4" t="s">
        <v>125</v>
      </c>
      <c r="D119" s="3" t="s">
        <v>9</v>
      </c>
      <c r="E119" s="3" t="s">
        <v>9</v>
      </c>
      <c r="F119" s="14" t="s">
        <v>9</v>
      </c>
      <c r="G119" s="14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110</v>
      </c>
      <c r="D120" s="3" t="s">
        <v>9</v>
      </c>
      <c r="E120" s="3" t="s">
        <v>9</v>
      </c>
      <c r="F120" s="15">
        <v>0</v>
      </c>
      <c r="G120" s="16">
        <v>0</v>
      </c>
      <c r="H120" s="164"/>
    </row>
    <row r="121" spans="1:8" x14ac:dyDescent="0.2">
      <c r="A121" s="3" t="s">
        <v>9</v>
      </c>
      <c r="B121" s="3" t="s">
        <v>9</v>
      </c>
      <c r="C121" s="13" t="s">
        <v>9</v>
      </c>
      <c r="D121" s="3" t="s">
        <v>9</v>
      </c>
      <c r="E121" s="3" t="s">
        <v>9</v>
      </c>
      <c r="F121" s="14" t="s">
        <v>9</v>
      </c>
      <c r="G121" s="14" t="s">
        <v>9</v>
      </c>
      <c r="H121" s="164"/>
    </row>
    <row r="122" spans="1:8" x14ac:dyDescent="0.2">
      <c r="A122" s="3" t="s">
        <v>9</v>
      </c>
      <c r="B122" s="3" t="s">
        <v>9</v>
      </c>
      <c r="C122" s="4" t="s">
        <v>126</v>
      </c>
      <c r="D122" s="3" t="s">
        <v>9</v>
      </c>
      <c r="E122" s="3" t="s">
        <v>9</v>
      </c>
      <c r="F122" s="14" t="s">
        <v>9</v>
      </c>
      <c r="G122" s="14" t="s">
        <v>9</v>
      </c>
      <c r="H122" s="164"/>
    </row>
    <row r="123" spans="1:8" x14ac:dyDescent="0.2">
      <c r="A123" s="5">
        <v>1</v>
      </c>
      <c r="B123" s="6"/>
      <c r="C123" s="6" t="s">
        <v>127</v>
      </c>
      <c r="D123" s="6"/>
      <c r="E123" s="10" t="s">
        <v>9</v>
      </c>
      <c r="F123" s="8">
        <v>595.57881650000002</v>
      </c>
      <c r="G123" s="9">
        <v>2.9924709000000001E-2</v>
      </c>
      <c r="H123" s="90">
        <v>3.22</v>
      </c>
    </row>
    <row r="124" spans="1:8" x14ac:dyDescent="0.2">
      <c r="A124" s="5">
        <v>2</v>
      </c>
      <c r="B124" s="6"/>
      <c r="C124" s="6" t="s">
        <v>128</v>
      </c>
      <c r="D124" s="6"/>
      <c r="E124" s="10" t="s">
        <v>9</v>
      </c>
      <c r="F124" s="8">
        <v>168.30766109999999</v>
      </c>
      <c r="G124" s="9">
        <v>8.4565760000000004E-3</v>
      </c>
      <c r="H124" s="90">
        <v>3.34</v>
      </c>
    </row>
    <row r="125" spans="1:8" x14ac:dyDescent="0.2">
      <c r="A125" s="3" t="s">
        <v>9</v>
      </c>
      <c r="B125" s="3" t="s">
        <v>9</v>
      </c>
      <c r="C125" s="4" t="s">
        <v>110</v>
      </c>
      <c r="D125" s="3" t="s">
        <v>9</v>
      </c>
      <c r="E125" s="3" t="s">
        <v>9</v>
      </c>
      <c r="F125" s="11">
        <v>763.88647760000003</v>
      </c>
      <c r="G125" s="12">
        <v>3.8381285000000001E-2</v>
      </c>
      <c r="H125" s="164"/>
    </row>
    <row r="126" spans="1:8" x14ac:dyDescent="0.2">
      <c r="A126" s="3" t="s">
        <v>9</v>
      </c>
      <c r="B126" s="3" t="s">
        <v>9</v>
      </c>
      <c r="C126" s="13" t="s">
        <v>9</v>
      </c>
      <c r="D126" s="3" t="s">
        <v>9</v>
      </c>
      <c r="E126" s="3" t="s">
        <v>9</v>
      </c>
      <c r="F126" s="14" t="s">
        <v>9</v>
      </c>
      <c r="G126" s="14" t="s">
        <v>9</v>
      </c>
      <c r="H126" s="164"/>
    </row>
    <row r="127" spans="1:8" x14ac:dyDescent="0.2">
      <c r="A127" s="3" t="s">
        <v>9</v>
      </c>
      <c r="B127" s="3" t="s">
        <v>9</v>
      </c>
      <c r="C127" s="4" t="s">
        <v>129</v>
      </c>
      <c r="D127" s="3" t="s">
        <v>9</v>
      </c>
      <c r="E127" s="3" t="s">
        <v>9</v>
      </c>
      <c r="F127" s="11">
        <v>763.88647760000003</v>
      </c>
      <c r="G127" s="12">
        <v>3.8381285000000001E-2</v>
      </c>
      <c r="H127" s="164"/>
    </row>
    <row r="128" spans="1:8" x14ac:dyDescent="0.2">
      <c r="A128" s="3" t="s">
        <v>9</v>
      </c>
      <c r="B128" s="3" t="s">
        <v>9</v>
      </c>
      <c r="C128" s="14" t="s">
        <v>9</v>
      </c>
      <c r="D128" s="3" t="s">
        <v>9</v>
      </c>
      <c r="E128" s="3" t="s">
        <v>9</v>
      </c>
      <c r="F128" s="3" t="s">
        <v>9</v>
      </c>
      <c r="G128" s="3" t="s">
        <v>9</v>
      </c>
      <c r="H128" s="164"/>
    </row>
    <row r="129" spans="1:8" x14ac:dyDescent="0.2">
      <c r="A129" s="3" t="s">
        <v>9</v>
      </c>
      <c r="B129" s="3" t="s">
        <v>9</v>
      </c>
      <c r="C129" s="4" t="s">
        <v>130</v>
      </c>
      <c r="D129" s="3" t="s">
        <v>9</v>
      </c>
      <c r="E129" s="3" t="s">
        <v>9</v>
      </c>
      <c r="F129" s="3" t="s">
        <v>9</v>
      </c>
      <c r="G129" s="3" t="s">
        <v>9</v>
      </c>
      <c r="H129" s="164"/>
    </row>
    <row r="130" spans="1:8" x14ac:dyDescent="0.2">
      <c r="A130" s="3" t="s">
        <v>9</v>
      </c>
      <c r="B130" s="3" t="s">
        <v>9</v>
      </c>
      <c r="C130" s="4" t="s">
        <v>131</v>
      </c>
      <c r="D130" s="3" t="s">
        <v>9</v>
      </c>
      <c r="E130" s="3" t="s">
        <v>9</v>
      </c>
      <c r="F130" s="3" t="s">
        <v>9</v>
      </c>
      <c r="G130" s="3" t="s">
        <v>9</v>
      </c>
      <c r="H130" s="164"/>
    </row>
    <row r="131" spans="1:8" x14ac:dyDescent="0.2">
      <c r="A131" s="3" t="s">
        <v>9</v>
      </c>
      <c r="B131" s="3" t="s">
        <v>9</v>
      </c>
      <c r="C131" s="4" t="s">
        <v>110</v>
      </c>
      <c r="D131" s="3" t="s">
        <v>9</v>
      </c>
      <c r="E131" s="3" t="s">
        <v>9</v>
      </c>
      <c r="F131" s="15">
        <v>0</v>
      </c>
      <c r="G131" s="16">
        <v>0</v>
      </c>
      <c r="H131" s="164"/>
    </row>
    <row r="132" spans="1:8" x14ac:dyDescent="0.2">
      <c r="A132" s="3" t="s">
        <v>9</v>
      </c>
      <c r="B132" s="3" t="s">
        <v>9</v>
      </c>
      <c r="C132" s="13" t="s">
        <v>9</v>
      </c>
      <c r="D132" s="3" t="s">
        <v>9</v>
      </c>
      <c r="E132" s="3" t="s">
        <v>9</v>
      </c>
      <c r="F132" s="14" t="s">
        <v>9</v>
      </c>
      <c r="G132" s="14" t="s">
        <v>9</v>
      </c>
      <c r="H132" s="164"/>
    </row>
    <row r="133" spans="1:8" x14ac:dyDescent="0.2">
      <c r="A133" s="3" t="s">
        <v>9</v>
      </c>
      <c r="B133" s="3" t="s">
        <v>9</v>
      </c>
      <c r="C133" s="4" t="s">
        <v>132</v>
      </c>
      <c r="D133" s="3" t="s">
        <v>9</v>
      </c>
      <c r="E133" s="3" t="s">
        <v>9</v>
      </c>
      <c r="F133" s="3" t="s">
        <v>9</v>
      </c>
      <c r="G133" s="3" t="s">
        <v>9</v>
      </c>
      <c r="H133" s="164"/>
    </row>
    <row r="134" spans="1:8" x14ac:dyDescent="0.2">
      <c r="A134" s="3" t="s">
        <v>9</v>
      </c>
      <c r="B134" s="3" t="s">
        <v>9</v>
      </c>
      <c r="C134" s="4" t="s">
        <v>133</v>
      </c>
      <c r="D134" s="3" t="s">
        <v>9</v>
      </c>
      <c r="E134" s="3" t="s">
        <v>9</v>
      </c>
      <c r="F134" s="3" t="s">
        <v>9</v>
      </c>
      <c r="G134" s="3" t="s">
        <v>9</v>
      </c>
      <c r="H134" s="164"/>
    </row>
    <row r="135" spans="1:8" x14ac:dyDescent="0.2">
      <c r="A135" s="3" t="s">
        <v>9</v>
      </c>
      <c r="B135" s="3" t="s">
        <v>9</v>
      </c>
      <c r="C135" s="4" t="s">
        <v>110</v>
      </c>
      <c r="D135" s="3" t="s">
        <v>9</v>
      </c>
      <c r="E135" s="3" t="s">
        <v>9</v>
      </c>
      <c r="F135" s="15">
        <v>0</v>
      </c>
      <c r="G135" s="16">
        <v>0</v>
      </c>
      <c r="H135" s="164"/>
    </row>
    <row r="136" spans="1:8" x14ac:dyDescent="0.2">
      <c r="A136" s="3" t="s">
        <v>9</v>
      </c>
      <c r="B136" s="3" t="s">
        <v>9</v>
      </c>
      <c r="C136" s="13" t="s">
        <v>9</v>
      </c>
      <c r="D136" s="3" t="s">
        <v>9</v>
      </c>
      <c r="E136" s="3" t="s">
        <v>9</v>
      </c>
      <c r="F136" s="14" t="s">
        <v>9</v>
      </c>
      <c r="G136" s="14" t="s">
        <v>9</v>
      </c>
      <c r="H136" s="164"/>
    </row>
    <row r="137" spans="1:8" x14ac:dyDescent="0.2">
      <c r="A137" s="3" t="s">
        <v>9</v>
      </c>
      <c r="B137" s="3" t="s">
        <v>9</v>
      </c>
      <c r="C137" s="13" t="s">
        <v>9</v>
      </c>
      <c r="D137" s="3" t="s">
        <v>9</v>
      </c>
      <c r="E137" s="3" t="s">
        <v>9</v>
      </c>
      <c r="F137" s="14" t="s">
        <v>9</v>
      </c>
      <c r="G137" s="14" t="s">
        <v>9</v>
      </c>
      <c r="H137" s="164"/>
    </row>
    <row r="138" spans="1:8" ht="25.5" x14ac:dyDescent="0.2">
      <c r="A138" s="3" t="s">
        <v>9</v>
      </c>
      <c r="B138" s="3" t="s">
        <v>9</v>
      </c>
      <c r="C138" s="4" t="s">
        <v>134</v>
      </c>
      <c r="D138" s="3" t="s">
        <v>9</v>
      </c>
      <c r="E138" s="3" t="s">
        <v>9</v>
      </c>
      <c r="F138" s="14" t="s">
        <v>9</v>
      </c>
      <c r="G138" s="14" t="s">
        <v>9</v>
      </c>
      <c r="H138" s="164"/>
    </row>
    <row r="139" spans="1:8" x14ac:dyDescent="0.2">
      <c r="A139" s="3" t="s">
        <v>9</v>
      </c>
      <c r="B139" s="3" t="s">
        <v>9</v>
      </c>
      <c r="C139" s="4" t="s">
        <v>110</v>
      </c>
      <c r="D139" s="3" t="s">
        <v>9</v>
      </c>
      <c r="E139" s="3" t="s">
        <v>9</v>
      </c>
      <c r="F139" s="15">
        <v>0</v>
      </c>
      <c r="G139" s="16">
        <v>0</v>
      </c>
      <c r="H139" s="164"/>
    </row>
    <row r="140" spans="1:8" x14ac:dyDescent="0.2">
      <c r="A140" s="3" t="s">
        <v>9</v>
      </c>
      <c r="B140" s="3" t="s">
        <v>9</v>
      </c>
      <c r="C140" s="13" t="s">
        <v>9</v>
      </c>
      <c r="D140" s="3" t="s">
        <v>9</v>
      </c>
      <c r="E140" s="3" t="s">
        <v>9</v>
      </c>
      <c r="F140" s="14" t="s">
        <v>9</v>
      </c>
      <c r="G140" s="14" t="s">
        <v>9</v>
      </c>
      <c r="H140" s="164"/>
    </row>
    <row r="141" spans="1:8" x14ac:dyDescent="0.2">
      <c r="A141" s="3" t="s">
        <v>9</v>
      </c>
      <c r="B141" s="6" t="s">
        <v>9</v>
      </c>
      <c r="C141" s="6" t="s">
        <v>9</v>
      </c>
      <c r="D141" s="4" t="s">
        <v>9</v>
      </c>
      <c r="E141" s="3" t="s">
        <v>9</v>
      </c>
      <c r="F141" s="6" t="s">
        <v>9</v>
      </c>
      <c r="G141" s="10" t="s">
        <v>9</v>
      </c>
      <c r="H141" s="164"/>
    </row>
    <row r="142" spans="1:8" x14ac:dyDescent="0.2">
      <c r="A142" s="10" t="s">
        <v>9</v>
      </c>
      <c r="B142" s="6" t="s">
        <v>9</v>
      </c>
      <c r="C142" s="6" t="s">
        <v>135</v>
      </c>
      <c r="D142" s="6" t="s">
        <v>9</v>
      </c>
      <c r="E142" s="10" t="s">
        <v>9</v>
      </c>
      <c r="F142" s="8">
        <v>86.824160590000005</v>
      </c>
      <c r="G142" s="9">
        <v>4.3624579999999996E-3</v>
      </c>
      <c r="H142" s="164"/>
    </row>
    <row r="143" spans="1:8" x14ac:dyDescent="0.2">
      <c r="A143" s="13" t="s">
        <v>9</v>
      </c>
      <c r="B143" s="13" t="s">
        <v>9</v>
      </c>
      <c r="C143" s="4" t="s">
        <v>136</v>
      </c>
      <c r="D143" s="17" t="s">
        <v>9</v>
      </c>
      <c r="E143" s="17" t="s">
        <v>9</v>
      </c>
      <c r="F143" s="11">
        <v>19902.576584189999</v>
      </c>
      <c r="G143" s="12">
        <v>1.0000000040000001</v>
      </c>
      <c r="H143" s="164"/>
    </row>
    <row r="144" spans="1:8" ht="14.1" customHeight="1" x14ac:dyDescent="0.2">
      <c r="A144" s="18" t="s">
        <v>9</v>
      </c>
      <c r="B144" s="18" t="s">
        <v>9</v>
      </c>
      <c r="C144" s="18" t="s">
        <v>9</v>
      </c>
      <c r="D144" s="19" t="s">
        <v>9</v>
      </c>
      <c r="E144" s="19" t="s">
        <v>9</v>
      </c>
      <c r="F144" s="19" t="s">
        <v>9</v>
      </c>
      <c r="G144" s="19" t="s">
        <v>9</v>
      </c>
    </row>
    <row r="145" spans="1:7" ht="14.1" customHeight="1" x14ac:dyDescent="0.2">
      <c r="A145" s="20" t="s">
        <v>9</v>
      </c>
      <c r="B145" s="228" t="s">
        <v>9</v>
      </c>
      <c r="C145" s="228"/>
      <c r="D145" s="228"/>
      <c r="E145" s="228"/>
      <c r="F145" s="228"/>
      <c r="G145" s="22" t="s">
        <v>9</v>
      </c>
    </row>
    <row r="146" spans="1:7" ht="14.1" customHeight="1" x14ac:dyDescent="0.2">
      <c r="A146" s="20" t="s">
        <v>9</v>
      </c>
      <c r="B146" s="228" t="s">
        <v>9</v>
      </c>
      <c r="C146" s="228"/>
      <c r="D146" s="228"/>
      <c r="E146" s="228"/>
      <c r="F146" s="228"/>
      <c r="G146" s="22" t="s">
        <v>9</v>
      </c>
    </row>
    <row r="147" spans="1:7" ht="14.1" customHeight="1" x14ac:dyDescent="0.2">
      <c r="A147" s="20" t="s">
        <v>9</v>
      </c>
      <c r="B147" s="20" t="s">
        <v>9</v>
      </c>
      <c r="C147" s="20" t="s">
        <v>9</v>
      </c>
      <c r="D147" s="22" t="s">
        <v>9</v>
      </c>
      <c r="E147" s="22" t="s">
        <v>9</v>
      </c>
      <c r="F147" s="22" t="s">
        <v>9</v>
      </c>
      <c r="G147" s="22" t="s">
        <v>9</v>
      </c>
    </row>
    <row r="148" spans="1:7" ht="14.1" customHeight="1" x14ac:dyDescent="0.2">
      <c r="A148" s="20" t="s">
        <v>9</v>
      </c>
      <c r="B148" s="226" t="s">
        <v>138</v>
      </c>
      <c r="C148" s="227"/>
      <c r="D148" s="14" t="s">
        <v>9</v>
      </c>
      <c r="E148" s="23" t="s">
        <v>9</v>
      </c>
      <c r="F148" s="22" t="s">
        <v>9</v>
      </c>
      <c r="G148" s="22" t="s">
        <v>9</v>
      </c>
    </row>
    <row r="149" spans="1:7" ht="29.1" customHeight="1" x14ac:dyDescent="0.2">
      <c r="A149" s="20" t="s">
        <v>9</v>
      </c>
      <c r="B149" s="233" t="s">
        <v>139</v>
      </c>
      <c r="C149" s="234"/>
      <c r="D149" s="4" t="s">
        <v>140</v>
      </c>
      <c r="E149" s="23" t="s">
        <v>9</v>
      </c>
      <c r="F149" s="22" t="s">
        <v>9</v>
      </c>
      <c r="G149" s="22" t="s">
        <v>9</v>
      </c>
    </row>
    <row r="150" spans="1:7" ht="17.100000000000001" customHeight="1" x14ac:dyDescent="0.2">
      <c r="A150" s="20" t="s">
        <v>9</v>
      </c>
      <c r="B150" s="233" t="s">
        <v>141</v>
      </c>
      <c r="C150" s="234"/>
      <c r="D150" s="4" t="s">
        <v>140</v>
      </c>
      <c r="E150" s="23" t="s">
        <v>9</v>
      </c>
      <c r="F150" s="22" t="s">
        <v>9</v>
      </c>
      <c r="G150" s="22" t="s">
        <v>9</v>
      </c>
    </row>
    <row r="151" spans="1:7" ht="17.100000000000001" customHeight="1" x14ac:dyDescent="0.2">
      <c r="A151" s="20" t="s">
        <v>9</v>
      </c>
      <c r="B151" s="233" t="s">
        <v>142</v>
      </c>
      <c r="C151" s="234"/>
      <c r="D151" s="14" t="s">
        <v>9</v>
      </c>
      <c r="E151" s="23" t="s">
        <v>9</v>
      </c>
      <c r="F151" s="22" t="s">
        <v>9</v>
      </c>
      <c r="G151" s="22" t="s">
        <v>9</v>
      </c>
    </row>
    <row r="152" spans="1:7" ht="24" customHeight="1" x14ac:dyDescent="0.2">
      <c r="A152" s="24" t="s">
        <v>9</v>
      </c>
      <c r="B152" s="25" t="s">
        <v>9</v>
      </c>
      <c r="C152" s="25" t="s">
        <v>143</v>
      </c>
      <c r="D152" s="25" t="s">
        <v>144</v>
      </c>
      <c r="E152" s="24" t="s">
        <v>9</v>
      </c>
      <c r="F152" s="24" t="s">
        <v>9</v>
      </c>
      <c r="G152" s="24" t="s">
        <v>9</v>
      </c>
    </row>
    <row r="153" spans="1:7" ht="18" customHeight="1" x14ac:dyDescent="0.2">
      <c r="A153" s="24" t="s">
        <v>9</v>
      </c>
      <c r="B153" s="25" t="s">
        <v>145</v>
      </c>
      <c r="C153" s="25" t="s">
        <v>146</v>
      </c>
      <c r="D153" s="25" t="s">
        <v>147</v>
      </c>
      <c r="E153" s="24" t="s">
        <v>9</v>
      </c>
      <c r="F153" s="24" t="s">
        <v>9</v>
      </c>
      <c r="G153" s="24" t="s">
        <v>9</v>
      </c>
    </row>
    <row r="154" spans="1:7" ht="17.100000000000001" customHeight="1" x14ac:dyDescent="0.2">
      <c r="A154" s="24" t="s">
        <v>9</v>
      </c>
      <c r="B154" s="6" t="s">
        <v>148</v>
      </c>
      <c r="C154" s="26">
        <v>14.1275</v>
      </c>
      <c r="D154" s="26">
        <v>15.3818</v>
      </c>
      <c r="E154" s="24" t="s">
        <v>9</v>
      </c>
      <c r="F154" s="21" t="s">
        <v>9</v>
      </c>
      <c r="G154" s="27" t="s">
        <v>9</v>
      </c>
    </row>
    <row r="155" spans="1:7" ht="17.100000000000001" customHeight="1" x14ac:dyDescent="0.2">
      <c r="A155" s="24" t="s">
        <v>9</v>
      </c>
      <c r="B155" s="6" t="s">
        <v>839</v>
      </c>
      <c r="C155" s="26">
        <v>14.1275</v>
      </c>
      <c r="D155" s="26">
        <v>15.3818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149</v>
      </c>
      <c r="C156" s="26">
        <v>13.766</v>
      </c>
      <c r="D156" s="26">
        <v>14.9803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6" t="s">
        <v>840</v>
      </c>
      <c r="C157" s="26">
        <v>13.766</v>
      </c>
      <c r="D157" s="26">
        <v>14.9803</v>
      </c>
      <c r="E157" s="24" t="s">
        <v>9</v>
      </c>
      <c r="F157" s="21" t="s">
        <v>9</v>
      </c>
      <c r="G157" s="27" t="s">
        <v>9</v>
      </c>
    </row>
    <row r="158" spans="1:7" ht="14.1" customHeight="1" x14ac:dyDescent="0.2">
      <c r="A158" s="24" t="s">
        <v>9</v>
      </c>
      <c r="B158" s="24" t="s">
        <v>9</v>
      </c>
      <c r="C158" s="24" t="s">
        <v>9</v>
      </c>
      <c r="D158" s="24" t="s">
        <v>9</v>
      </c>
      <c r="E158" s="24" t="s">
        <v>9</v>
      </c>
      <c r="F158" s="24" t="s">
        <v>9</v>
      </c>
      <c r="G158" s="24" t="s">
        <v>9</v>
      </c>
    </row>
    <row r="159" spans="1:7" ht="17.100000000000001" customHeight="1" x14ac:dyDescent="0.2">
      <c r="A159" s="24" t="s">
        <v>9</v>
      </c>
      <c r="B159" s="233" t="s">
        <v>1003</v>
      </c>
      <c r="C159" s="234"/>
      <c r="D159" s="4" t="s">
        <v>140</v>
      </c>
      <c r="E159" s="24" t="s">
        <v>9</v>
      </c>
      <c r="F159" s="24" t="s">
        <v>9</v>
      </c>
      <c r="G159" s="24" t="s">
        <v>9</v>
      </c>
    </row>
    <row r="160" spans="1:7" ht="18" customHeight="1" x14ac:dyDescent="0.2">
      <c r="A160" s="24" t="s">
        <v>9</v>
      </c>
      <c r="B160" s="28" t="s">
        <v>150</v>
      </c>
      <c r="C160" s="28" t="s">
        <v>150</v>
      </c>
      <c r="D160" s="28" t="s">
        <v>9</v>
      </c>
      <c r="E160" s="24" t="s">
        <v>9</v>
      </c>
      <c r="F160" s="24" t="s">
        <v>9</v>
      </c>
      <c r="G160" s="24" t="s">
        <v>9</v>
      </c>
    </row>
    <row r="161" spans="1:7" s="169" customFormat="1" x14ac:dyDescent="0.2">
      <c r="B161" s="235" t="s">
        <v>841</v>
      </c>
      <c r="C161" s="235"/>
      <c r="D161" s="235"/>
      <c r="E161" s="235"/>
      <c r="F161" s="235"/>
    </row>
    <row r="162" spans="1:7" ht="14.1" customHeight="1" x14ac:dyDescent="0.2">
      <c r="A162" s="24" t="s">
        <v>9</v>
      </c>
      <c r="B162" s="21" t="s">
        <v>9</v>
      </c>
      <c r="C162" s="21" t="s">
        <v>9</v>
      </c>
      <c r="D162" s="24" t="s">
        <v>9</v>
      </c>
      <c r="E162" s="24" t="s">
        <v>9</v>
      </c>
      <c r="F162" s="24" t="s">
        <v>9</v>
      </c>
      <c r="G162" s="24" t="s">
        <v>9</v>
      </c>
    </row>
    <row r="163" spans="1:7" ht="29.1" customHeight="1" x14ac:dyDescent="0.2">
      <c r="A163" s="24" t="s">
        <v>9</v>
      </c>
      <c r="B163" s="233" t="s">
        <v>151</v>
      </c>
      <c r="C163" s="234"/>
      <c r="D163" s="4" t="s">
        <v>140</v>
      </c>
      <c r="E163" s="24" t="s">
        <v>9</v>
      </c>
      <c r="F163" s="24" t="s">
        <v>9</v>
      </c>
      <c r="G163" s="24" t="s">
        <v>9</v>
      </c>
    </row>
    <row r="164" spans="1:7" ht="29.1" customHeight="1" x14ac:dyDescent="0.2">
      <c r="A164" s="24" t="s">
        <v>9</v>
      </c>
      <c r="B164" s="233" t="s">
        <v>152</v>
      </c>
      <c r="C164" s="234"/>
      <c r="D164" s="4" t="s">
        <v>140</v>
      </c>
      <c r="E164" s="24" t="s">
        <v>9</v>
      </c>
      <c r="F164" s="24" t="s">
        <v>9</v>
      </c>
      <c r="G164" s="24" t="s">
        <v>9</v>
      </c>
    </row>
    <row r="165" spans="1:7" ht="17.100000000000001" customHeight="1" x14ac:dyDescent="0.2">
      <c r="A165" s="24" t="s">
        <v>9</v>
      </c>
      <c r="B165" s="233" t="s">
        <v>153</v>
      </c>
      <c r="C165" s="234"/>
      <c r="D165" s="29">
        <v>0.52955605401146777</v>
      </c>
      <c r="E165" s="24" t="s">
        <v>9</v>
      </c>
      <c r="F165" s="21" t="s">
        <v>9</v>
      </c>
      <c r="G165" s="27" t="s">
        <v>9</v>
      </c>
    </row>
    <row r="166" spans="1:7" ht="17.100000000000001" customHeight="1" x14ac:dyDescent="0.2">
      <c r="A166" s="24" t="s">
        <v>9</v>
      </c>
      <c r="B166" s="233" t="s">
        <v>154</v>
      </c>
      <c r="C166" s="234"/>
      <c r="D166" s="4" t="s">
        <v>140</v>
      </c>
      <c r="E166" s="24" t="s">
        <v>9</v>
      </c>
      <c r="F166" s="24" t="s">
        <v>9</v>
      </c>
      <c r="G166" s="24" t="s">
        <v>9</v>
      </c>
    </row>
  </sheetData>
  <mergeCells count="15">
    <mergeCell ref="B165:C165"/>
    <mergeCell ref="B166:C166"/>
    <mergeCell ref="B149:C149"/>
    <mergeCell ref="B150:C150"/>
    <mergeCell ref="B151:C151"/>
    <mergeCell ref="B159:C159"/>
    <mergeCell ref="B163:C163"/>
    <mergeCell ref="B164:C164"/>
    <mergeCell ref="B161:F161"/>
    <mergeCell ref="B148:C148"/>
    <mergeCell ref="B145:F145"/>
    <mergeCell ref="B146:F14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65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292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48045</v>
      </c>
      <c r="F7" s="8">
        <v>601.57144500000004</v>
      </c>
      <c r="G7" s="9">
        <v>3.1598924E-2</v>
      </c>
      <c r="H7" s="164"/>
    </row>
    <row r="8" spans="1:8" x14ac:dyDescent="0.2">
      <c r="A8" s="5">
        <v>2</v>
      </c>
      <c r="B8" s="6" t="s">
        <v>156</v>
      </c>
      <c r="C8" s="6" t="s">
        <v>157</v>
      </c>
      <c r="D8" s="6" t="s">
        <v>158</v>
      </c>
      <c r="E8" s="7">
        <v>16191</v>
      </c>
      <c r="F8" s="8">
        <v>592.14534749999996</v>
      </c>
      <c r="G8" s="9">
        <v>3.1103796E-2</v>
      </c>
      <c r="H8" s="164"/>
    </row>
    <row r="9" spans="1:8" x14ac:dyDescent="0.2">
      <c r="A9" s="5">
        <v>3</v>
      </c>
      <c r="B9" s="6" t="s">
        <v>159</v>
      </c>
      <c r="C9" s="6" t="s">
        <v>160</v>
      </c>
      <c r="D9" s="6" t="s">
        <v>161</v>
      </c>
      <c r="E9" s="7">
        <v>410889</v>
      </c>
      <c r="F9" s="8">
        <v>529.43047650000005</v>
      </c>
      <c r="G9" s="9">
        <v>2.7809553000000001E-2</v>
      </c>
      <c r="H9" s="164"/>
    </row>
    <row r="10" spans="1:8" x14ac:dyDescent="0.2">
      <c r="A10" s="5">
        <v>4</v>
      </c>
      <c r="B10" s="6" t="s">
        <v>162</v>
      </c>
      <c r="C10" s="6" t="s">
        <v>163</v>
      </c>
      <c r="D10" s="6" t="s">
        <v>158</v>
      </c>
      <c r="E10" s="7">
        <v>42588</v>
      </c>
      <c r="F10" s="8">
        <v>526.57932600000004</v>
      </c>
      <c r="G10" s="9">
        <v>2.765979E-2</v>
      </c>
      <c r="H10" s="164"/>
    </row>
    <row r="11" spans="1:8" x14ac:dyDescent="0.2">
      <c r="A11" s="5">
        <v>5</v>
      </c>
      <c r="B11" s="6" t="s">
        <v>51</v>
      </c>
      <c r="C11" s="6" t="s">
        <v>52</v>
      </c>
      <c r="D11" s="6" t="s">
        <v>926</v>
      </c>
      <c r="E11" s="7">
        <v>273864</v>
      </c>
      <c r="F11" s="8">
        <v>468.85516799999999</v>
      </c>
      <c r="G11" s="9">
        <v>2.4627696000000001E-2</v>
      </c>
      <c r="H11" s="164"/>
    </row>
    <row r="12" spans="1:8" x14ac:dyDescent="0.2">
      <c r="A12" s="5">
        <v>6</v>
      </c>
      <c r="B12" s="6" t="s">
        <v>164</v>
      </c>
      <c r="C12" s="6" t="s">
        <v>165</v>
      </c>
      <c r="D12" s="6" t="s">
        <v>28</v>
      </c>
      <c r="E12" s="7">
        <v>60820</v>
      </c>
      <c r="F12" s="8">
        <v>464.99930999999998</v>
      </c>
      <c r="G12" s="9">
        <v>2.4425157999999999E-2</v>
      </c>
      <c r="H12" s="164"/>
    </row>
    <row r="13" spans="1:8" x14ac:dyDescent="0.2">
      <c r="A13" s="5">
        <v>7</v>
      </c>
      <c r="B13" s="6" t="s">
        <v>166</v>
      </c>
      <c r="C13" s="6" t="s">
        <v>167</v>
      </c>
      <c r="D13" s="6" t="s">
        <v>927</v>
      </c>
      <c r="E13" s="7">
        <v>37436</v>
      </c>
      <c r="F13" s="8">
        <v>444.45891</v>
      </c>
      <c r="G13" s="9">
        <v>2.3346226000000001E-2</v>
      </c>
      <c r="H13" s="164"/>
    </row>
    <row r="14" spans="1:8" x14ac:dyDescent="0.2">
      <c r="A14" s="5">
        <v>8</v>
      </c>
      <c r="B14" s="6" t="s">
        <v>168</v>
      </c>
      <c r="C14" s="6" t="s">
        <v>169</v>
      </c>
      <c r="D14" s="6" t="s">
        <v>28</v>
      </c>
      <c r="E14" s="7">
        <v>61203</v>
      </c>
      <c r="F14" s="8">
        <v>433.80686400000002</v>
      </c>
      <c r="G14" s="9">
        <v>2.2786702999999998E-2</v>
      </c>
      <c r="H14" s="164"/>
    </row>
    <row r="15" spans="1:8" x14ac:dyDescent="0.2">
      <c r="A15" s="5">
        <v>9</v>
      </c>
      <c r="B15" s="6" t="s">
        <v>170</v>
      </c>
      <c r="C15" s="6" t="s">
        <v>171</v>
      </c>
      <c r="D15" s="6" t="s">
        <v>172</v>
      </c>
      <c r="E15" s="7">
        <v>31547</v>
      </c>
      <c r="F15" s="8">
        <v>393.12294050000003</v>
      </c>
      <c r="G15" s="9">
        <v>2.0649687E-2</v>
      </c>
      <c r="H15" s="164"/>
    </row>
    <row r="16" spans="1:8" ht="25.5" x14ac:dyDescent="0.2">
      <c r="A16" s="5">
        <v>10</v>
      </c>
      <c r="B16" s="6" t="s">
        <v>29</v>
      </c>
      <c r="C16" s="6" t="s">
        <v>30</v>
      </c>
      <c r="D16" s="6" t="s">
        <v>925</v>
      </c>
      <c r="E16" s="7">
        <v>11597</v>
      </c>
      <c r="F16" s="8">
        <v>377.96362549999998</v>
      </c>
      <c r="G16" s="9">
        <v>1.9853408999999999E-2</v>
      </c>
      <c r="H16" s="164"/>
    </row>
    <row r="17" spans="1:8" x14ac:dyDescent="0.2">
      <c r="A17" s="5">
        <v>11</v>
      </c>
      <c r="B17" s="6" t="s">
        <v>173</v>
      </c>
      <c r="C17" s="6" t="s">
        <v>174</v>
      </c>
      <c r="D17" s="6" t="s">
        <v>179</v>
      </c>
      <c r="E17" s="7">
        <v>26888</v>
      </c>
      <c r="F17" s="8">
        <v>366.10700800000001</v>
      </c>
      <c r="G17" s="9">
        <v>1.9230613000000001E-2</v>
      </c>
      <c r="H17" s="164"/>
    </row>
    <row r="18" spans="1:8" x14ac:dyDescent="0.2">
      <c r="A18" s="5">
        <v>12</v>
      </c>
      <c r="B18" s="6" t="s">
        <v>175</v>
      </c>
      <c r="C18" s="6" t="s">
        <v>176</v>
      </c>
      <c r="D18" s="6" t="s">
        <v>62</v>
      </c>
      <c r="E18" s="7">
        <v>84039</v>
      </c>
      <c r="F18" s="8">
        <v>355.23285299999998</v>
      </c>
      <c r="G18" s="9">
        <v>1.8659423000000001E-2</v>
      </c>
      <c r="H18" s="164"/>
    </row>
    <row r="19" spans="1:8" x14ac:dyDescent="0.2">
      <c r="A19" s="5">
        <v>13</v>
      </c>
      <c r="B19" s="6" t="s">
        <v>177</v>
      </c>
      <c r="C19" s="6" t="s">
        <v>178</v>
      </c>
      <c r="D19" s="6" t="s">
        <v>179</v>
      </c>
      <c r="E19" s="7">
        <v>125031</v>
      </c>
      <c r="F19" s="8">
        <v>352.27484249999998</v>
      </c>
      <c r="G19" s="9">
        <v>1.8504046E-2</v>
      </c>
      <c r="H19" s="164"/>
    </row>
    <row r="20" spans="1:8" x14ac:dyDescent="0.2">
      <c r="A20" s="5">
        <v>14</v>
      </c>
      <c r="B20" s="6" t="s">
        <v>180</v>
      </c>
      <c r="C20" s="6" t="s">
        <v>181</v>
      </c>
      <c r="D20" s="6" t="s">
        <v>182</v>
      </c>
      <c r="E20" s="7">
        <v>26113</v>
      </c>
      <c r="F20" s="8">
        <v>341.67554849999999</v>
      </c>
      <c r="G20" s="9">
        <v>1.7947293999999999E-2</v>
      </c>
      <c r="H20" s="164"/>
    </row>
    <row r="21" spans="1:8" x14ac:dyDescent="0.2">
      <c r="A21" s="5">
        <v>15</v>
      </c>
      <c r="B21" s="6" t="s">
        <v>205</v>
      </c>
      <c r="C21" s="6" t="s">
        <v>206</v>
      </c>
      <c r="D21" s="6" t="s">
        <v>207</v>
      </c>
      <c r="E21" s="7">
        <v>125377</v>
      </c>
      <c r="F21" s="8">
        <v>336.57455650000003</v>
      </c>
      <c r="G21" s="9">
        <v>1.7679352999999998E-2</v>
      </c>
      <c r="H21" s="164"/>
    </row>
    <row r="22" spans="1:8" x14ac:dyDescent="0.2">
      <c r="A22" s="5">
        <v>16</v>
      </c>
      <c r="B22" s="6" t="s">
        <v>185</v>
      </c>
      <c r="C22" s="6" t="s">
        <v>186</v>
      </c>
      <c r="D22" s="6" t="s">
        <v>45</v>
      </c>
      <c r="E22" s="7">
        <v>70480</v>
      </c>
      <c r="F22" s="8">
        <v>332.24272000000002</v>
      </c>
      <c r="G22" s="9">
        <v>1.7451813E-2</v>
      </c>
      <c r="H22" s="164"/>
    </row>
    <row r="23" spans="1:8" x14ac:dyDescent="0.2">
      <c r="A23" s="5">
        <v>17</v>
      </c>
      <c r="B23" s="6" t="s">
        <v>187</v>
      </c>
      <c r="C23" s="6" t="s">
        <v>188</v>
      </c>
      <c r="D23" s="6" t="s">
        <v>182</v>
      </c>
      <c r="E23" s="7">
        <v>132103</v>
      </c>
      <c r="F23" s="8">
        <v>330.52170599999999</v>
      </c>
      <c r="G23" s="9">
        <v>1.7361412999999999E-2</v>
      </c>
      <c r="H23" s="164"/>
    </row>
    <row r="24" spans="1:8" x14ac:dyDescent="0.2">
      <c r="A24" s="5">
        <v>18</v>
      </c>
      <c r="B24" s="6" t="s">
        <v>189</v>
      </c>
      <c r="C24" s="6" t="s">
        <v>190</v>
      </c>
      <c r="D24" s="6" t="s">
        <v>179</v>
      </c>
      <c r="E24" s="7">
        <v>10499</v>
      </c>
      <c r="F24" s="8">
        <v>330.00456800000001</v>
      </c>
      <c r="G24" s="9">
        <v>1.7334248999999999E-2</v>
      </c>
      <c r="H24" s="164"/>
    </row>
    <row r="25" spans="1:8" ht="25.5" x14ac:dyDescent="0.2">
      <c r="A25" s="5">
        <v>19</v>
      </c>
      <c r="B25" s="6" t="s">
        <v>191</v>
      </c>
      <c r="C25" s="6" t="s">
        <v>192</v>
      </c>
      <c r="D25" s="6" t="s">
        <v>925</v>
      </c>
      <c r="E25" s="7">
        <v>120862</v>
      </c>
      <c r="F25" s="8">
        <v>319.86128300000001</v>
      </c>
      <c r="G25" s="9">
        <v>1.6801449999999999E-2</v>
      </c>
      <c r="H25" s="164"/>
    </row>
    <row r="26" spans="1:8" x14ac:dyDescent="0.2">
      <c r="A26" s="5">
        <v>20</v>
      </c>
      <c r="B26" s="6" t="s">
        <v>193</v>
      </c>
      <c r="C26" s="6" t="s">
        <v>194</v>
      </c>
      <c r="D26" s="6" t="s">
        <v>195</v>
      </c>
      <c r="E26" s="7">
        <v>48550</v>
      </c>
      <c r="F26" s="8">
        <v>316.06049999999999</v>
      </c>
      <c r="G26" s="9">
        <v>1.6601805000000001E-2</v>
      </c>
      <c r="H26" s="164"/>
    </row>
    <row r="27" spans="1:8" x14ac:dyDescent="0.2">
      <c r="A27" s="5">
        <v>21</v>
      </c>
      <c r="B27" s="6" t="s">
        <v>41</v>
      </c>
      <c r="C27" s="6" t="s">
        <v>42</v>
      </c>
      <c r="D27" s="6" t="s">
        <v>28</v>
      </c>
      <c r="E27" s="7">
        <v>25282</v>
      </c>
      <c r="F27" s="8">
        <v>293.04366199999998</v>
      </c>
      <c r="G27" s="9">
        <v>1.5392792000000001E-2</v>
      </c>
      <c r="H27" s="164"/>
    </row>
    <row r="28" spans="1:8" x14ac:dyDescent="0.2">
      <c r="A28" s="5">
        <v>22</v>
      </c>
      <c r="B28" s="6" t="s">
        <v>218</v>
      </c>
      <c r="C28" s="6" t="s">
        <v>219</v>
      </c>
      <c r="D28" s="6" t="s">
        <v>926</v>
      </c>
      <c r="E28" s="7">
        <v>20147</v>
      </c>
      <c r="F28" s="8">
        <v>290.75143050000003</v>
      </c>
      <c r="G28" s="9">
        <v>1.5272388E-2</v>
      </c>
      <c r="H28" s="164"/>
    </row>
    <row r="29" spans="1:8" x14ac:dyDescent="0.2">
      <c r="A29" s="5">
        <v>23</v>
      </c>
      <c r="B29" s="6" t="s">
        <v>198</v>
      </c>
      <c r="C29" s="6" t="s">
        <v>199</v>
      </c>
      <c r="D29" s="6" t="s">
        <v>200</v>
      </c>
      <c r="E29" s="7">
        <v>64323</v>
      </c>
      <c r="F29" s="8">
        <v>289.26053100000001</v>
      </c>
      <c r="G29" s="9">
        <v>1.5194075E-2</v>
      </c>
      <c r="H29" s="164"/>
    </row>
    <row r="30" spans="1:8" x14ac:dyDescent="0.2">
      <c r="A30" s="5">
        <v>24</v>
      </c>
      <c r="B30" s="6" t="s">
        <v>196</v>
      </c>
      <c r="C30" s="6" t="s">
        <v>197</v>
      </c>
      <c r="D30" s="6" t="s">
        <v>928</v>
      </c>
      <c r="E30" s="7">
        <v>88565</v>
      </c>
      <c r="F30" s="8">
        <v>288.32335749999999</v>
      </c>
      <c r="G30" s="9">
        <v>1.5144846999999999E-2</v>
      </c>
      <c r="H30" s="164"/>
    </row>
    <row r="31" spans="1:8" ht="25.5" x14ac:dyDescent="0.2">
      <c r="A31" s="5">
        <v>25</v>
      </c>
      <c r="B31" s="6" t="s">
        <v>201</v>
      </c>
      <c r="C31" s="6" t="s">
        <v>202</v>
      </c>
      <c r="D31" s="6" t="s">
        <v>67</v>
      </c>
      <c r="E31" s="7">
        <v>57162</v>
      </c>
      <c r="F31" s="8">
        <v>280.17954300000002</v>
      </c>
      <c r="G31" s="9">
        <v>1.4717075E-2</v>
      </c>
      <c r="H31" s="164"/>
    </row>
    <row r="32" spans="1:8" x14ac:dyDescent="0.2">
      <c r="A32" s="5">
        <v>26</v>
      </c>
      <c r="B32" s="6" t="s">
        <v>203</v>
      </c>
      <c r="C32" s="6" t="s">
        <v>204</v>
      </c>
      <c r="D32" s="6" t="s">
        <v>179</v>
      </c>
      <c r="E32" s="7">
        <v>27880</v>
      </c>
      <c r="F32" s="8">
        <v>275.09195999999997</v>
      </c>
      <c r="G32" s="9">
        <v>1.4449838E-2</v>
      </c>
      <c r="H32" s="164"/>
    </row>
    <row r="33" spans="1:8" x14ac:dyDescent="0.2">
      <c r="A33" s="5">
        <v>27</v>
      </c>
      <c r="B33" s="6" t="s">
        <v>77</v>
      </c>
      <c r="C33" s="6" t="s">
        <v>78</v>
      </c>
      <c r="D33" s="6" t="s">
        <v>62</v>
      </c>
      <c r="E33" s="7">
        <v>105203</v>
      </c>
      <c r="F33" s="8">
        <v>265.74277799999999</v>
      </c>
      <c r="G33" s="9">
        <v>1.3958751E-2</v>
      </c>
      <c r="H33" s="164"/>
    </row>
    <row r="34" spans="1:8" x14ac:dyDescent="0.2">
      <c r="A34" s="5">
        <v>28</v>
      </c>
      <c r="B34" s="6" t="s">
        <v>214</v>
      </c>
      <c r="C34" s="6" t="s">
        <v>215</v>
      </c>
      <c r="D34" s="6" t="s">
        <v>179</v>
      </c>
      <c r="E34" s="7">
        <v>6240</v>
      </c>
      <c r="F34" s="8">
        <v>261.15960000000001</v>
      </c>
      <c r="G34" s="9">
        <v>1.3718009E-2</v>
      </c>
      <c r="H34" s="164"/>
    </row>
    <row r="35" spans="1:8" x14ac:dyDescent="0.2">
      <c r="A35" s="5">
        <v>29</v>
      </c>
      <c r="B35" s="6" t="s">
        <v>212</v>
      </c>
      <c r="C35" s="6" t="s">
        <v>213</v>
      </c>
      <c r="D35" s="6" t="s">
        <v>929</v>
      </c>
      <c r="E35" s="7">
        <v>30000</v>
      </c>
      <c r="F35" s="8">
        <v>260.80500000000001</v>
      </c>
      <c r="G35" s="9">
        <v>1.3699382E-2</v>
      </c>
      <c r="H35" s="164"/>
    </row>
    <row r="36" spans="1:8" x14ac:dyDescent="0.2">
      <c r="A36" s="5">
        <v>30</v>
      </c>
      <c r="B36" s="6" t="s">
        <v>210</v>
      </c>
      <c r="C36" s="6" t="s">
        <v>211</v>
      </c>
      <c r="D36" s="6" t="s">
        <v>195</v>
      </c>
      <c r="E36" s="7">
        <v>23138</v>
      </c>
      <c r="F36" s="8">
        <v>259.00677200000001</v>
      </c>
      <c r="G36" s="9">
        <v>1.3604926E-2</v>
      </c>
      <c r="H36" s="164"/>
    </row>
    <row r="37" spans="1:8" x14ac:dyDescent="0.2">
      <c r="A37" s="5">
        <v>31</v>
      </c>
      <c r="B37" s="6" t="s">
        <v>208</v>
      </c>
      <c r="C37" s="6" t="s">
        <v>209</v>
      </c>
      <c r="D37" s="6" t="s">
        <v>161</v>
      </c>
      <c r="E37" s="7">
        <v>43024</v>
      </c>
      <c r="F37" s="8">
        <v>258.20853599999998</v>
      </c>
      <c r="G37" s="9">
        <v>1.3562997E-2</v>
      </c>
      <c r="H37" s="164"/>
    </row>
    <row r="38" spans="1:8" x14ac:dyDescent="0.2">
      <c r="A38" s="5">
        <v>32</v>
      </c>
      <c r="B38" s="6" t="s">
        <v>222</v>
      </c>
      <c r="C38" s="6" t="s">
        <v>223</v>
      </c>
      <c r="D38" s="6" t="s">
        <v>37</v>
      </c>
      <c r="E38" s="7">
        <v>234585</v>
      </c>
      <c r="F38" s="8">
        <v>251.94429</v>
      </c>
      <c r="G38" s="9">
        <v>1.3233953E-2</v>
      </c>
      <c r="H38" s="164"/>
    </row>
    <row r="39" spans="1:8" x14ac:dyDescent="0.2">
      <c r="A39" s="5">
        <v>33</v>
      </c>
      <c r="B39" s="6" t="s">
        <v>216</v>
      </c>
      <c r="C39" s="6" t="s">
        <v>217</v>
      </c>
      <c r="D39" s="6" t="s">
        <v>200</v>
      </c>
      <c r="E39" s="7">
        <v>38836</v>
      </c>
      <c r="F39" s="8">
        <v>249.13293999999999</v>
      </c>
      <c r="G39" s="9">
        <v>1.3086281E-2</v>
      </c>
      <c r="H39" s="164"/>
    </row>
    <row r="40" spans="1:8" x14ac:dyDescent="0.2">
      <c r="A40" s="5">
        <v>34</v>
      </c>
      <c r="B40" s="6" t="s">
        <v>220</v>
      </c>
      <c r="C40" s="6" t="s">
        <v>221</v>
      </c>
      <c r="D40" s="6" t="s">
        <v>28</v>
      </c>
      <c r="E40" s="7">
        <v>15668</v>
      </c>
      <c r="F40" s="8">
        <v>245.407884</v>
      </c>
      <c r="G40" s="9">
        <v>1.2890614E-2</v>
      </c>
      <c r="H40" s="164"/>
    </row>
    <row r="41" spans="1:8" ht="25.5" x14ac:dyDescent="0.2">
      <c r="A41" s="5">
        <v>35</v>
      </c>
      <c r="B41" s="6" t="s">
        <v>226</v>
      </c>
      <c r="C41" s="6" t="s">
        <v>227</v>
      </c>
      <c r="D41" s="6" t="s">
        <v>62</v>
      </c>
      <c r="E41" s="7">
        <v>10136</v>
      </c>
      <c r="F41" s="8">
        <v>232.34752800000001</v>
      </c>
      <c r="G41" s="9">
        <v>1.2204588000000001E-2</v>
      </c>
      <c r="H41" s="164"/>
    </row>
    <row r="42" spans="1:8" x14ac:dyDescent="0.2">
      <c r="A42" s="5">
        <v>36</v>
      </c>
      <c r="B42" s="6" t="s">
        <v>224</v>
      </c>
      <c r="C42" s="6" t="s">
        <v>225</v>
      </c>
      <c r="D42" s="6" t="s">
        <v>161</v>
      </c>
      <c r="E42" s="7">
        <v>43018</v>
      </c>
      <c r="F42" s="8">
        <v>232.211164</v>
      </c>
      <c r="G42" s="9">
        <v>1.2197425E-2</v>
      </c>
      <c r="H42" s="164"/>
    </row>
    <row r="43" spans="1:8" x14ac:dyDescent="0.2">
      <c r="A43" s="5">
        <v>37</v>
      </c>
      <c r="B43" s="6" t="s">
        <v>228</v>
      </c>
      <c r="C43" s="6" t="s">
        <v>229</v>
      </c>
      <c r="D43" s="6" t="s">
        <v>62</v>
      </c>
      <c r="E43" s="7">
        <v>29640</v>
      </c>
      <c r="F43" s="8">
        <v>229.10238000000001</v>
      </c>
      <c r="G43" s="9">
        <v>1.2034128999999999E-2</v>
      </c>
      <c r="H43" s="164"/>
    </row>
    <row r="44" spans="1:8" x14ac:dyDescent="0.2">
      <c r="A44" s="5">
        <v>38</v>
      </c>
      <c r="B44" s="6" t="s">
        <v>35</v>
      </c>
      <c r="C44" s="6" t="s">
        <v>36</v>
      </c>
      <c r="D44" s="6" t="s">
        <v>37</v>
      </c>
      <c r="E44" s="7">
        <v>68767</v>
      </c>
      <c r="F44" s="8">
        <v>224.3523375</v>
      </c>
      <c r="G44" s="9">
        <v>1.1784622999999999E-2</v>
      </c>
      <c r="H44" s="164"/>
    </row>
    <row r="45" spans="1:8" x14ac:dyDescent="0.2">
      <c r="A45" s="5">
        <v>39</v>
      </c>
      <c r="B45" s="6" t="s">
        <v>232</v>
      </c>
      <c r="C45" s="6" t="s">
        <v>233</v>
      </c>
      <c r="D45" s="6" t="s">
        <v>37</v>
      </c>
      <c r="E45" s="7">
        <v>25533</v>
      </c>
      <c r="F45" s="8">
        <v>220.51575450000001</v>
      </c>
      <c r="G45" s="9">
        <v>1.1583097000000001E-2</v>
      </c>
      <c r="H45" s="164"/>
    </row>
    <row r="46" spans="1:8" x14ac:dyDescent="0.2">
      <c r="A46" s="5">
        <v>40</v>
      </c>
      <c r="B46" s="6" t="s">
        <v>230</v>
      </c>
      <c r="C46" s="6" t="s">
        <v>231</v>
      </c>
      <c r="D46" s="6" t="s">
        <v>62</v>
      </c>
      <c r="E46" s="7">
        <v>73734</v>
      </c>
      <c r="F46" s="8">
        <v>216.556758</v>
      </c>
      <c r="G46" s="9">
        <v>1.1375142E-2</v>
      </c>
      <c r="H46" s="164"/>
    </row>
    <row r="47" spans="1:8" ht="25.5" x14ac:dyDescent="0.2">
      <c r="A47" s="5">
        <v>41</v>
      </c>
      <c r="B47" s="6" t="s">
        <v>63</v>
      </c>
      <c r="C47" s="6" t="s">
        <v>64</v>
      </c>
      <c r="D47" s="6" t="s">
        <v>40</v>
      </c>
      <c r="E47" s="7">
        <v>27102</v>
      </c>
      <c r="F47" s="8">
        <v>215.25763499999999</v>
      </c>
      <c r="G47" s="9">
        <v>1.1306902000000001E-2</v>
      </c>
      <c r="H47" s="164"/>
    </row>
    <row r="48" spans="1:8" x14ac:dyDescent="0.2">
      <c r="A48" s="5">
        <v>42</v>
      </c>
      <c r="B48" s="6" t="s">
        <v>236</v>
      </c>
      <c r="C48" s="6" t="s">
        <v>237</v>
      </c>
      <c r="D48" s="6" t="s">
        <v>161</v>
      </c>
      <c r="E48" s="7">
        <v>355896</v>
      </c>
      <c r="F48" s="8">
        <v>206.41968</v>
      </c>
      <c r="G48" s="9">
        <v>1.0842668E-2</v>
      </c>
      <c r="H48" s="164"/>
    </row>
    <row r="49" spans="1:8" ht="25.5" x14ac:dyDescent="0.2">
      <c r="A49" s="5">
        <v>43</v>
      </c>
      <c r="B49" s="6" t="s">
        <v>234</v>
      </c>
      <c r="C49" s="6" t="s">
        <v>235</v>
      </c>
      <c r="D49" s="6" t="s">
        <v>67</v>
      </c>
      <c r="E49" s="7">
        <v>46339</v>
      </c>
      <c r="F49" s="8">
        <v>205.05007499999999</v>
      </c>
      <c r="G49" s="9">
        <v>1.0770727000000001E-2</v>
      </c>
      <c r="H49" s="164"/>
    </row>
    <row r="50" spans="1:8" x14ac:dyDescent="0.2">
      <c r="A50" s="5">
        <v>44</v>
      </c>
      <c r="B50" s="6" t="s">
        <v>238</v>
      </c>
      <c r="C50" s="6" t="s">
        <v>239</v>
      </c>
      <c r="D50" s="6" t="s">
        <v>195</v>
      </c>
      <c r="E50" s="7">
        <v>49282</v>
      </c>
      <c r="F50" s="8">
        <v>203.73178799999999</v>
      </c>
      <c r="G50" s="9">
        <v>1.0701481000000001E-2</v>
      </c>
      <c r="H50" s="164"/>
    </row>
    <row r="51" spans="1:8" x14ac:dyDescent="0.2">
      <c r="A51" s="5">
        <v>45</v>
      </c>
      <c r="B51" s="6" t="s">
        <v>242</v>
      </c>
      <c r="C51" s="6" t="s">
        <v>243</v>
      </c>
      <c r="D51" s="6" t="s">
        <v>59</v>
      </c>
      <c r="E51" s="7">
        <v>15128</v>
      </c>
      <c r="F51" s="8">
        <v>199.833316</v>
      </c>
      <c r="G51" s="9">
        <v>1.0496705E-2</v>
      </c>
      <c r="H51" s="164"/>
    </row>
    <row r="52" spans="1:8" x14ac:dyDescent="0.2">
      <c r="A52" s="5">
        <v>46</v>
      </c>
      <c r="B52" s="6" t="s">
        <v>244</v>
      </c>
      <c r="C52" s="6" t="s">
        <v>245</v>
      </c>
      <c r="D52" s="6" t="s">
        <v>200</v>
      </c>
      <c r="E52" s="7">
        <v>10907</v>
      </c>
      <c r="F52" s="8">
        <v>197.77117749999999</v>
      </c>
      <c r="G52" s="9">
        <v>1.0388385999999999E-2</v>
      </c>
      <c r="H52" s="164"/>
    </row>
    <row r="53" spans="1:8" ht="25.5" x14ac:dyDescent="0.2">
      <c r="A53" s="5">
        <v>47</v>
      </c>
      <c r="B53" s="6" t="s">
        <v>246</v>
      </c>
      <c r="C53" s="6" t="s">
        <v>247</v>
      </c>
      <c r="D53" s="6" t="s">
        <v>40</v>
      </c>
      <c r="E53" s="7">
        <v>249487</v>
      </c>
      <c r="F53" s="8">
        <v>195.59780799999999</v>
      </c>
      <c r="G53" s="9">
        <v>1.0274225E-2</v>
      </c>
      <c r="H53" s="164"/>
    </row>
    <row r="54" spans="1:8" ht="25.5" x14ac:dyDescent="0.2">
      <c r="A54" s="5">
        <v>48</v>
      </c>
      <c r="B54" s="6" t="s">
        <v>248</v>
      </c>
      <c r="C54" s="6" t="s">
        <v>249</v>
      </c>
      <c r="D54" s="6" t="s">
        <v>67</v>
      </c>
      <c r="E54" s="7">
        <v>44258</v>
      </c>
      <c r="F54" s="8">
        <v>193.40745999999999</v>
      </c>
      <c r="G54" s="9">
        <v>1.0159171999999999E-2</v>
      </c>
      <c r="H54" s="164"/>
    </row>
    <row r="55" spans="1:8" x14ac:dyDescent="0.2">
      <c r="A55" s="5">
        <v>49</v>
      </c>
      <c r="B55" s="6" t="s">
        <v>251</v>
      </c>
      <c r="C55" s="6" t="s">
        <v>252</v>
      </c>
      <c r="D55" s="6" t="s">
        <v>253</v>
      </c>
      <c r="E55" s="7">
        <v>40158</v>
      </c>
      <c r="F55" s="8">
        <v>193.059585</v>
      </c>
      <c r="G55" s="9">
        <v>1.0140899E-2</v>
      </c>
      <c r="H55" s="164"/>
    </row>
    <row r="56" spans="1:8" ht="25.5" x14ac:dyDescent="0.2">
      <c r="A56" s="5">
        <v>50</v>
      </c>
      <c r="B56" s="6" t="s">
        <v>240</v>
      </c>
      <c r="C56" s="6" t="s">
        <v>241</v>
      </c>
      <c r="D56" s="6" t="s">
        <v>925</v>
      </c>
      <c r="E56" s="7">
        <v>96599</v>
      </c>
      <c r="F56" s="8">
        <v>185.61497850000001</v>
      </c>
      <c r="G56" s="9">
        <v>9.7498540000000005E-3</v>
      </c>
      <c r="H56" s="164"/>
    </row>
    <row r="57" spans="1:8" ht="25.5" x14ac:dyDescent="0.2">
      <c r="A57" s="5">
        <v>51</v>
      </c>
      <c r="B57" s="6" t="s">
        <v>258</v>
      </c>
      <c r="C57" s="6" t="s">
        <v>259</v>
      </c>
      <c r="D57" s="6" t="s">
        <v>931</v>
      </c>
      <c r="E57" s="7">
        <v>183660</v>
      </c>
      <c r="F57" s="8">
        <v>183.10901999999999</v>
      </c>
      <c r="G57" s="9">
        <v>9.6182219999999992E-3</v>
      </c>
      <c r="H57" s="164"/>
    </row>
    <row r="58" spans="1:8" x14ac:dyDescent="0.2">
      <c r="A58" s="5">
        <v>52</v>
      </c>
      <c r="B58" s="6" t="s">
        <v>256</v>
      </c>
      <c r="C58" s="6" t="s">
        <v>257</v>
      </c>
      <c r="D58" s="6" t="s">
        <v>930</v>
      </c>
      <c r="E58" s="7">
        <v>31743</v>
      </c>
      <c r="F58" s="8">
        <v>177.8401575</v>
      </c>
      <c r="G58" s="9">
        <v>9.3414629999999995E-3</v>
      </c>
      <c r="H58" s="164"/>
    </row>
    <row r="59" spans="1:8" x14ac:dyDescent="0.2">
      <c r="A59" s="5">
        <v>53</v>
      </c>
      <c r="B59" s="6" t="s">
        <v>260</v>
      </c>
      <c r="C59" s="6" t="s">
        <v>261</v>
      </c>
      <c r="D59" s="6" t="s">
        <v>930</v>
      </c>
      <c r="E59" s="7">
        <v>42364</v>
      </c>
      <c r="F59" s="8">
        <v>173.31112400000001</v>
      </c>
      <c r="G59" s="9">
        <v>9.1035649999999992E-3</v>
      </c>
      <c r="H59" s="164"/>
    </row>
    <row r="60" spans="1:8" ht="25.5" x14ac:dyDescent="0.2">
      <c r="A60" s="5">
        <v>54</v>
      </c>
      <c r="B60" s="6" t="s">
        <v>262</v>
      </c>
      <c r="C60" s="6" t="s">
        <v>263</v>
      </c>
      <c r="D60" s="6" t="s">
        <v>158</v>
      </c>
      <c r="E60" s="7">
        <v>44330</v>
      </c>
      <c r="F60" s="8">
        <v>170.53751</v>
      </c>
      <c r="G60" s="9">
        <v>8.9578750000000006E-3</v>
      </c>
      <c r="H60" s="164"/>
    </row>
    <row r="61" spans="1:8" x14ac:dyDescent="0.2">
      <c r="A61" s="5">
        <v>55</v>
      </c>
      <c r="B61" s="6" t="s">
        <v>60</v>
      </c>
      <c r="C61" s="6" t="s">
        <v>61</v>
      </c>
      <c r="D61" s="6" t="s">
        <v>62</v>
      </c>
      <c r="E61" s="7">
        <v>5600</v>
      </c>
      <c r="F61" s="8">
        <v>167.5352</v>
      </c>
      <c r="G61" s="9">
        <v>8.8001720000000002E-3</v>
      </c>
      <c r="H61" s="164"/>
    </row>
    <row r="62" spans="1:8" x14ac:dyDescent="0.2">
      <c r="A62" s="5">
        <v>56</v>
      </c>
      <c r="B62" s="6" t="s">
        <v>267</v>
      </c>
      <c r="C62" s="6" t="s">
        <v>268</v>
      </c>
      <c r="D62" s="6" t="s">
        <v>195</v>
      </c>
      <c r="E62" s="7">
        <v>22382</v>
      </c>
      <c r="F62" s="8">
        <v>165.97372100000001</v>
      </c>
      <c r="G62" s="9">
        <v>8.7181510000000004E-3</v>
      </c>
      <c r="H62" s="164"/>
    </row>
    <row r="63" spans="1:8" x14ac:dyDescent="0.2">
      <c r="A63" s="5">
        <v>57</v>
      </c>
      <c r="B63" s="6" t="s">
        <v>264</v>
      </c>
      <c r="C63" s="6" t="s">
        <v>265</v>
      </c>
      <c r="D63" s="6" t="s">
        <v>266</v>
      </c>
      <c r="E63" s="7">
        <v>20512</v>
      </c>
      <c r="F63" s="8">
        <v>165.84977599999999</v>
      </c>
      <c r="G63" s="9">
        <v>8.7116409999999991E-3</v>
      </c>
      <c r="H63" s="164"/>
    </row>
    <row r="64" spans="1:8" x14ac:dyDescent="0.2">
      <c r="A64" s="5">
        <v>58</v>
      </c>
      <c r="B64" s="6" t="s">
        <v>269</v>
      </c>
      <c r="C64" s="6" t="s">
        <v>270</v>
      </c>
      <c r="D64" s="6" t="s">
        <v>200</v>
      </c>
      <c r="E64" s="7">
        <v>32168</v>
      </c>
      <c r="F64" s="8">
        <v>162.86658399999999</v>
      </c>
      <c r="G64" s="9">
        <v>8.5549419999999994E-3</v>
      </c>
      <c r="H64" s="164"/>
    </row>
    <row r="65" spans="1:8" x14ac:dyDescent="0.2">
      <c r="A65" s="5">
        <v>59</v>
      </c>
      <c r="B65" s="6" t="s">
        <v>271</v>
      </c>
      <c r="C65" s="6" t="s">
        <v>272</v>
      </c>
      <c r="D65" s="6" t="s">
        <v>346</v>
      </c>
      <c r="E65" s="7">
        <v>16364</v>
      </c>
      <c r="F65" s="8">
        <v>157.773506</v>
      </c>
      <c r="G65" s="9">
        <v>8.2874160000000006E-3</v>
      </c>
      <c r="H65" s="164"/>
    </row>
    <row r="66" spans="1:8" x14ac:dyDescent="0.2">
      <c r="A66" s="5">
        <v>60</v>
      </c>
      <c r="B66" s="6" t="s">
        <v>278</v>
      </c>
      <c r="C66" s="6" t="s">
        <v>279</v>
      </c>
      <c r="D66" s="6" t="s">
        <v>45</v>
      </c>
      <c r="E66" s="7">
        <v>142112</v>
      </c>
      <c r="F66" s="8">
        <v>143.17784</v>
      </c>
      <c r="G66" s="9">
        <v>7.5207449999999997E-3</v>
      </c>
      <c r="H66" s="164"/>
    </row>
    <row r="67" spans="1:8" x14ac:dyDescent="0.2">
      <c r="A67" s="5">
        <v>61</v>
      </c>
      <c r="B67" s="6" t="s">
        <v>273</v>
      </c>
      <c r="C67" s="6" t="s">
        <v>274</v>
      </c>
      <c r="D67" s="6" t="s">
        <v>22</v>
      </c>
      <c r="E67" s="7">
        <v>135178</v>
      </c>
      <c r="F67" s="8">
        <v>141.93690000000001</v>
      </c>
      <c r="G67" s="9">
        <v>7.4555619999999998E-3</v>
      </c>
      <c r="H67" s="164"/>
    </row>
    <row r="68" spans="1:8" x14ac:dyDescent="0.2">
      <c r="A68" s="5">
        <v>62</v>
      </c>
      <c r="B68" s="6" t="s">
        <v>275</v>
      </c>
      <c r="C68" s="6" t="s">
        <v>276</v>
      </c>
      <c r="D68" s="6" t="s">
        <v>277</v>
      </c>
      <c r="E68" s="7">
        <v>54097</v>
      </c>
      <c r="F68" s="8">
        <v>140.24647250000001</v>
      </c>
      <c r="G68" s="9">
        <v>7.3667689999999996E-3</v>
      </c>
      <c r="H68" s="164"/>
    </row>
    <row r="69" spans="1:8" x14ac:dyDescent="0.2">
      <c r="A69" s="5">
        <v>63</v>
      </c>
      <c r="B69" s="6" t="s">
        <v>293</v>
      </c>
      <c r="C69" s="6" t="s">
        <v>294</v>
      </c>
      <c r="D69" s="6" t="s">
        <v>28</v>
      </c>
      <c r="E69" s="7">
        <v>9729</v>
      </c>
      <c r="F69" s="8">
        <v>128.27686499999999</v>
      </c>
      <c r="G69" s="9">
        <v>6.7380369999999997E-3</v>
      </c>
      <c r="H69" s="164"/>
    </row>
    <row r="70" spans="1:8" x14ac:dyDescent="0.2">
      <c r="A70" s="5">
        <v>64</v>
      </c>
      <c r="B70" s="6" t="s">
        <v>280</v>
      </c>
      <c r="C70" s="6" t="s">
        <v>281</v>
      </c>
      <c r="D70" s="6" t="s">
        <v>930</v>
      </c>
      <c r="E70" s="7">
        <v>92831</v>
      </c>
      <c r="F70" s="8">
        <v>122.02634949999999</v>
      </c>
      <c r="G70" s="9">
        <v>6.4097149999999999E-3</v>
      </c>
      <c r="H70" s="164"/>
    </row>
    <row r="71" spans="1:8" x14ac:dyDescent="0.2">
      <c r="A71" s="5">
        <v>65</v>
      </c>
      <c r="B71" s="6" t="s">
        <v>282</v>
      </c>
      <c r="C71" s="6" t="s">
        <v>283</v>
      </c>
      <c r="D71" s="6" t="s">
        <v>200</v>
      </c>
      <c r="E71" s="7">
        <v>2229</v>
      </c>
      <c r="F71" s="8">
        <v>119.41644599999999</v>
      </c>
      <c r="G71" s="9">
        <v>6.2726229999999997E-3</v>
      </c>
      <c r="H71" s="164"/>
    </row>
    <row r="72" spans="1:8" x14ac:dyDescent="0.2">
      <c r="A72" s="5">
        <v>66</v>
      </c>
      <c r="B72" s="6" t="s">
        <v>284</v>
      </c>
      <c r="C72" s="6" t="s">
        <v>285</v>
      </c>
      <c r="D72" s="6" t="s">
        <v>62</v>
      </c>
      <c r="E72" s="7">
        <v>65000</v>
      </c>
      <c r="F72" s="8">
        <v>114.75749999999999</v>
      </c>
      <c r="G72" s="9">
        <v>6.0279019999999999E-3</v>
      </c>
      <c r="H72" s="164"/>
    </row>
    <row r="73" spans="1:8" x14ac:dyDescent="0.2">
      <c r="A73" s="5">
        <v>67</v>
      </c>
      <c r="B73" s="6" t="s">
        <v>286</v>
      </c>
      <c r="C73" s="6" t="s">
        <v>287</v>
      </c>
      <c r="D73" s="6" t="s">
        <v>927</v>
      </c>
      <c r="E73" s="7">
        <v>6788</v>
      </c>
      <c r="F73" s="8">
        <v>108.82861</v>
      </c>
      <c r="G73" s="9">
        <v>5.7164729999999997E-3</v>
      </c>
      <c r="H73" s="164"/>
    </row>
    <row r="74" spans="1:8" x14ac:dyDescent="0.2">
      <c r="A74" s="5">
        <v>68</v>
      </c>
      <c r="B74" s="6" t="s">
        <v>55</v>
      </c>
      <c r="C74" s="6" t="s">
        <v>56</v>
      </c>
      <c r="D74" s="6" t="s">
        <v>37</v>
      </c>
      <c r="E74" s="7">
        <v>44443</v>
      </c>
      <c r="F74" s="8">
        <v>101.5744765</v>
      </c>
      <c r="G74" s="9">
        <v>5.3354329999999997E-3</v>
      </c>
      <c r="H74" s="164"/>
    </row>
    <row r="75" spans="1:8" x14ac:dyDescent="0.2">
      <c r="A75" s="5">
        <v>69</v>
      </c>
      <c r="B75" s="6" t="s">
        <v>288</v>
      </c>
      <c r="C75" s="6" t="s">
        <v>289</v>
      </c>
      <c r="D75" s="6" t="s">
        <v>158</v>
      </c>
      <c r="E75" s="7">
        <v>6090</v>
      </c>
      <c r="F75" s="8">
        <v>84.224699999999999</v>
      </c>
      <c r="G75" s="9">
        <v>4.4240959999999998E-3</v>
      </c>
      <c r="H75" s="164"/>
    </row>
    <row r="76" spans="1:8" x14ac:dyDescent="0.2">
      <c r="A76" s="5">
        <v>70</v>
      </c>
      <c r="B76" s="6" t="s">
        <v>290</v>
      </c>
      <c r="C76" s="6" t="s">
        <v>291</v>
      </c>
      <c r="D76" s="6" t="s">
        <v>179</v>
      </c>
      <c r="E76" s="7">
        <v>15051</v>
      </c>
      <c r="F76" s="8">
        <v>80.0487435</v>
      </c>
      <c r="G76" s="9">
        <v>4.2047439999999998E-3</v>
      </c>
      <c r="H76" s="164"/>
    </row>
    <row r="77" spans="1:8" x14ac:dyDescent="0.2">
      <c r="A77" s="3" t="s">
        <v>9</v>
      </c>
      <c r="B77" s="3" t="s">
        <v>9</v>
      </c>
      <c r="C77" s="4" t="s">
        <v>110</v>
      </c>
      <c r="D77" s="3" t="s">
        <v>9</v>
      </c>
      <c r="E77" s="3" t="s">
        <v>9</v>
      </c>
      <c r="F77" s="11">
        <v>18141.688209</v>
      </c>
      <c r="G77" s="12">
        <v>0.95293389799999995</v>
      </c>
      <c r="H77" s="164"/>
    </row>
    <row r="78" spans="1:8" x14ac:dyDescent="0.2">
      <c r="A78" s="3" t="s">
        <v>9</v>
      </c>
      <c r="B78" s="3" t="s">
        <v>9</v>
      </c>
      <c r="C78" s="13" t="s">
        <v>9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x14ac:dyDescent="0.2">
      <c r="A79" s="3" t="s">
        <v>9</v>
      </c>
      <c r="B79" s="3" t="s">
        <v>9</v>
      </c>
      <c r="C79" s="4" t="s">
        <v>111</v>
      </c>
      <c r="D79" s="3" t="s">
        <v>9</v>
      </c>
      <c r="E79" s="3" t="s">
        <v>9</v>
      </c>
      <c r="F79" s="3" t="s">
        <v>9</v>
      </c>
      <c r="G79" s="3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110</v>
      </c>
      <c r="D80" s="3" t="s">
        <v>9</v>
      </c>
      <c r="E80" s="3" t="s">
        <v>9</v>
      </c>
      <c r="F80" s="15">
        <v>0</v>
      </c>
      <c r="G80" s="16">
        <v>0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112</v>
      </c>
      <c r="D82" s="3" t="s">
        <v>9</v>
      </c>
      <c r="E82" s="3" t="s">
        <v>9</v>
      </c>
      <c r="F82" s="3" t="s">
        <v>9</v>
      </c>
      <c r="G82" s="3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113</v>
      </c>
      <c r="D85" s="3" t="s">
        <v>9</v>
      </c>
      <c r="E85" s="3" t="s">
        <v>9</v>
      </c>
      <c r="F85" s="3" t="s">
        <v>9</v>
      </c>
      <c r="G85" s="3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110</v>
      </c>
      <c r="D86" s="3" t="s">
        <v>9</v>
      </c>
      <c r="E86" s="3" t="s">
        <v>9</v>
      </c>
      <c r="F86" s="15">
        <v>0</v>
      </c>
      <c r="G86" s="16">
        <v>0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114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110</v>
      </c>
      <c r="D89" s="3" t="s">
        <v>9</v>
      </c>
      <c r="E89" s="3" t="s">
        <v>9</v>
      </c>
      <c r="F89" s="15">
        <v>0</v>
      </c>
      <c r="G89" s="16">
        <v>0</v>
      </c>
      <c r="H89" s="164"/>
    </row>
    <row r="90" spans="1:8" x14ac:dyDescent="0.2">
      <c r="A90" s="3" t="s">
        <v>9</v>
      </c>
      <c r="B90" s="3" t="s">
        <v>9</v>
      </c>
      <c r="C90" s="13" t="s">
        <v>9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115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110</v>
      </c>
      <c r="D92" s="3" t="s">
        <v>9</v>
      </c>
      <c r="E92" s="3" t="s">
        <v>9</v>
      </c>
      <c r="F92" s="15">
        <v>0</v>
      </c>
      <c r="G92" s="16">
        <v>0</v>
      </c>
      <c r="H92" s="164"/>
    </row>
    <row r="93" spans="1:8" x14ac:dyDescent="0.2">
      <c r="A93" s="3" t="s">
        <v>9</v>
      </c>
      <c r="B93" s="3" t="s">
        <v>9</v>
      </c>
      <c r="C93" s="13" t="s">
        <v>9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116</v>
      </c>
      <c r="D94" s="3" t="s">
        <v>9</v>
      </c>
      <c r="E94" s="3" t="s">
        <v>9</v>
      </c>
      <c r="F94" s="11">
        <v>18141.688209</v>
      </c>
      <c r="G94" s="12">
        <v>0.95293389799999995</v>
      </c>
      <c r="H94" s="164"/>
    </row>
    <row r="95" spans="1:8" x14ac:dyDescent="0.2">
      <c r="A95" s="3" t="s">
        <v>9</v>
      </c>
      <c r="B95" s="3" t="s">
        <v>9</v>
      </c>
      <c r="C95" s="13" t="s">
        <v>9</v>
      </c>
      <c r="D95" s="3" t="s">
        <v>9</v>
      </c>
      <c r="E95" s="3" t="s">
        <v>9</v>
      </c>
      <c r="F95" s="14" t="s">
        <v>9</v>
      </c>
      <c r="G95" s="14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117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ht="25.5" x14ac:dyDescent="0.2">
      <c r="A97" s="3" t="s">
        <v>9</v>
      </c>
      <c r="B97" s="3" t="s">
        <v>9</v>
      </c>
      <c r="C97" s="4" t="s">
        <v>11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110</v>
      </c>
      <c r="D98" s="3" t="s">
        <v>9</v>
      </c>
      <c r="E98" s="3" t="s">
        <v>9</v>
      </c>
      <c r="F98" s="15">
        <v>0</v>
      </c>
      <c r="G98" s="16">
        <v>0</v>
      </c>
      <c r="H98" s="164"/>
    </row>
    <row r="99" spans="1:8" x14ac:dyDescent="0.2">
      <c r="A99" s="3" t="s">
        <v>9</v>
      </c>
      <c r="B99" s="3" t="s">
        <v>9</v>
      </c>
      <c r="C99" s="13" t="s">
        <v>9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118</v>
      </c>
      <c r="D100" s="3" t="s">
        <v>9</v>
      </c>
      <c r="E100" s="3" t="s">
        <v>9</v>
      </c>
      <c r="F100" s="3" t="s">
        <v>9</v>
      </c>
      <c r="G100" s="3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110</v>
      </c>
      <c r="D101" s="3" t="s">
        <v>9</v>
      </c>
      <c r="E101" s="3" t="s">
        <v>9</v>
      </c>
      <c r="F101" s="15">
        <v>0</v>
      </c>
      <c r="G101" s="16">
        <v>0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119</v>
      </c>
      <c r="D103" s="3" t="s">
        <v>9</v>
      </c>
      <c r="E103" s="3" t="s">
        <v>9</v>
      </c>
      <c r="F103" s="3" t="s">
        <v>9</v>
      </c>
      <c r="G103" s="3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110</v>
      </c>
      <c r="D104" s="3" t="s">
        <v>9</v>
      </c>
      <c r="E104" s="3" t="s">
        <v>9</v>
      </c>
      <c r="F104" s="15">
        <v>0</v>
      </c>
      <c r="G104" s="16">
        <v>0</v>
      </c>
      <c r="H104" s="164"/>
    </row>
    <row r="105" spans="1:8" x14ac:dyDescent="0.2">
      <c r="A105" s="3" t="s">
        <v>9</v>
      </c>
      <c r="B105" s="3" t="s">
        <v>9</v>
      </c>
      <c r="C105" s="13" t="s">
        <v>9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120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110</v>
      </c>
      <c r="D107" s="3" t="s">
        <v>9</v>
      </c>
      <c r="E107" s="3" t="s">
        <v>9</v>
      </c>
      <c r="F107" s="15">
        <v>0</v>
      </c>
      <c r="G107" s="16">
        <v>0</v>
      </c>
      <c r="H107" s="164"/>
    </row>
    <row r="108" spans="1:8" x14ac:dyDescent="0.2">
      <c r="A108" s="3" t="s">
        <v>9</v>
      </c>
      <c r="B108" s="3" t="s">
        <v>9</v>
      </c>
      <c r="C108" s="13" t="s">
        <v>9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121</v>
      </c>
      <c r="D109" s="3" t="s">
        <v>9</v>
      </c>
      <c r="E109" s="3" t="s">
        <v>9</v>
      </c>
      <c r="F109" s="11">
        <v>0</v>
      </c>
      <c r="G109" s="12">
        <v>0</v>
      </c>
      <c r="H109" s="164"/>
    </row>
    <row r="110" spans="1:8" x14ac:dyDescent="0.2">
      <c r="A110" s="3" t="s">
        <v>9</v>
      </c>
      <c r="B110" s="3" t="s">
        <v>9</v>
      </c>
      <c r="C110" s="13" t="s">
        <v>9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122</v>
      </c>
      <c r="D111" s="3" t="s">
        <v>9</v>
      </c>
      <c r="E111" s="3" t="s">
        <v>9</v>
      </c>
      <c r="F111" s="14" t="s">
        <v>9</v>
      </c>
      <c r="G111" s="14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123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110</v>
      </c>
      <c r="D113" s="3" t="s">
        <v>9</v>
      </c>
      <c r="E113" s="3" t="s">
        <v>9</v>
      </c>
      <c r="F113" s="15">
        <v>0</v>
      </c>
      <c r="G113" s="16">
        <v>0</v>
      </c>
      <c r="H113" s="164"/>
    </row>
    <row r="114" spans="1:8" x14ac:dyDescent="0.2">
      <c r="A114" s="3" t="s">
        <v>9</v>
      </c>
      <c r="B114" s="3" t="s">
        <v>9</v>
      </c>
      <c r="C114" s="13" t="s">
        <v>9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124</v>
      </c>
      <c r="D115" s="3" t="s">
        <v>9</v>
      </c>
      <c r="E115" s="3" t="s">
        <v>9</v>
      </c>
      <c r="F115" s="14" t="s">
        <v>9</v>
      </c>
      <c r="G115" s="14" t="s">
        <v>9</v>
      </c>
      <c r="H115" s="164"/>
    </row>
    <row r="116" spans="1:8" x14ac:dyDescent="0.2">
      <c r="A116" s="3" t="s">
        <v>9</v>
      </c>
      <c r="B116" s="3" t="s">
        <v>9</v>
      </c>
      <c r="C116" s="4" t="s">
        <v>110</v>
      </c>
      <c r="D116" s="3" t="s">
        <v>9</v>
      </c>
      <c r="E116" s="3" t="s">
        <v>9</v>
      </c>
      <c r="F116" s="15">
        <v>0</v>
      </c>
      <c r="G116" s="16">
        <v>0</v>
      </c>
      <c r="H116" s="164"/>
    </row>
    <row r="117" spans="1:8" x14ac:dyDescent="0.2">
      <c r="A117" s="3" t="s">
        <v>9</v>
      </c>
      <c r="B117" s="3" t="s">
        <v>9</v>
      </c>
      <c r="C117" s="13" t="s">
        <v>9</v>
      </c>
      <c r="D117" s="3" t="s">
        <v>9</v>
      </c>
      <c r="E117" s="3" t="s">
        <v>9</v>
      </c>
      <c r="F117" s="14" t="s">
        <v>9</v>
      </c>
      <c r="G117" s="14" t="s">
        <v>9</v>
      </c>
      <c r="H117" s="164"/>
    </row>
    <row r="118" spans="1:8" x14ac:dyDescent="0.2">
      <c r="A118" s="3" t="s">
        <v>9</v>
      </c>
      <c r="B118" s="3" t="s">
        <v>9</v>
      </c>
      <c r="C118" s="4" t="s">
        <v>125</v>
      </c>
      <c r="D118" s="3" t="s">
        <v>9</v>
      </c>
      <c r="E118" s="3" t="s">
        <v>9</v>
      </c>
      <c r="F118" s="14" t="s">
        <v>9</v>
      </c>
      <c r="G118" s="14" t="s">
        <v>9</v>
      </c>
      <c r="H118" s="164"/>
    </row>
    <row r="119" spans="1:8" x14ac:dyDescent="0.2">
      <c r="A119" s="3" t="s">
        <v>9</v>
      </c>
      <c r="B119" s="3" t="s">
        <v>9</v>
      </c>
      <c r="C119" s="4" t="s">
        <v>110</v>
      </c>
      <c r="D119" s="3" t="s">
        <v>9</v>
      </c>
      <c r="E119" s="3" t="s">
        <v>9</v>
      </c>
      <c r="F119" s="15">
        <v>0</v>
      </c>
      <c r="G119" s="16">
        <v>0</v>
      </c>
      <c r="H119" s="164"/>
    </row>
    <row r="120" spans="1:8" x14ac:dyDescent="0.2">
      <c r="A120" s="3" t="s">
        <v>9</v>
      </c>
      <c r="B120" s="3" t="s">
        <v>9</v>
      </c>
      <c r="C120" s="13" t="s">
        <v>9</v>
      </c>
      <c r="D120" s="3" t="s">
        <v>9</v>
      </c>
      <c r="E120" s="3" t="s">
        <v>9</v>
      </c>
      <c r="F120" s="14" t="s">
        <v>9</v>
      </c>
      <c r="G120" s="14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126</v>
      </c>
      <c r="D121" s="3" t="s">
        <v>9</v>
      </c>
      <c r="E121" s="3" t="s">
        <v>9</v>
      </c>
      <c r="F121" s="14" t="s">
        <v>9</v>
      </c>
      <c r="G121" s="14" t="s">
        <v>9</v>
      </c>
      <c r="H121" s="164"/>
    </row>
    <row r="122" spans="1:8" x14ac:dyDescent="0.2">
      <c r="A122" s="5">
        <v>1</v>
      </c>
      <c r="B122" s="6"/>
      <c r="C122" s="6" t="s">
        <v>127</v>
      </c>
      <c r="D122" s="6"/>
      <c r="E122" s="10" t="s">
        <v>9</v>
      </c>
      <c r="F122" s="8">
        <v>632.13424450000002</v>
      </c>
      <c r="G122" s="9">
        <v>3.3204305000000003E-2</v>
      </c>
      <c r="H122" s="90">
        <v>3.22</v>
      </c>
    </row>
    <row r="123" spans="1:8" x14ac:dyDescent="0.2">
      <c r="A123" s="5">
        <v>2</v>
      </c>
      <c r="B123" s="6"/>
      <c r="C123" s="6" t="s">
        <v>128</v>
      </c>
      <c r="D123" s="6"/>
      <c r="E123" s="10" t="s">
        <v>9</v>
      </c>
      <c r="F123" s="8">
        <v>178.6380552</v>
      </c>
      <c r="G123" s="9">
        <v>9.3833749999999994E-3</v>
      </c>
      <c r="H123" s="90">
        <v>3.34</v>
      </c>
    </row>
    <row r="124" spans="1:8" x14ac:dyDescent="0.2">
      <c r="A124" s="3" t="s">
        <v>9</v>
      </c>
      <c r="B124" s="3" t="s">
        <v>9</v>
      </c>
      <c r="C124" s="4" t="s">
        <v>110</v>
      </c>
      <c r="D124" s="3" t="s">
        <v>9</v>
      </c>
      <c r="E124" s="3" t="s">
        <v>9</v>
      </c>
      <c r="F124" s="11">
        <v>810.77229969999996</v>
      </c>
      <c r="G124" s="12">
        <v>4.2587680000000003E-2</v>
      </c>
      <c r="H124" s="164"/>
    </row>
    <row r="125" spans="1:8" x14ac:dyDescent="0.2">
      <c r="A125" s="3" t="s">
        <v>9</v>
      </c>
      <c r="B125" s="3" t="s">
        <v>9</v>
      </c>
      <c r="C125" s="13" t="s">
        <v>9</v>
      </c>
      <c r="D125" s="3" t="s">
        <v>9</v>
      </c>
      <c r="E125" s="3" t="s">
        <v>9</v>
      </c>
      <c r="F125" s="14" t="s">
        <v>9</v>
      </c>
      <c r="G125" s="14" t="s">
        <v>9</v>
      </c>
      <c r="H125" s="164"/>
    </row>
    <row r="126" spans="1:8" x14ac:dyDescent="0.2">
      <c r="A126" s="3" t="s">
        <v>9</v>
      </c>
      <c r="B126" s="3" t="s">
        <v>9</v>
      </c>
      <c r="C126" s="4" t="s">
        <v>129</v>
      </c>
      <c r="D126" s="3" t="s">
        <v>9</v>
      </c>
      <c r="E126" s="3" t="s">
        <v>9</v>
      </c>
      <c r="F126" s="11">
        <v>810.77229969999996</v>
      </c>
      <c r="G126" s="12">
        <v>4.2587680000000003E-2</v>
      </c>
      <c r="H126" s="164"/>
    </row>
    <row r="127" spans="1:8" x14ac:dyDescent="0.2">
      <c r="A127" s="3" t="s">
        <v>9</v>
      </c>
      <c r="B127" s="3" t="s">
        <v>9</v>
      </c>
      <c r="C127" s="14" t="s">
        <v>9</v>
      </c>
      <c r="D127" s="3" t="s">
        <v>9</v>
      </c>
      <c r="E127" s="3" t="s">
        <v>9</v>
      </c>
      <c r="F127" s="3" t="s">
        <v>9</v>
      </c>
      <c r="G127" s="3" t="s">
        <v>9</v>
      </c>
      <c r="H127" s="164"/>
    </row>
    <row r="128" spans="1:8" x14ac:dyDescent="0.2">
      <c r="A128" s="3" t="s">
        <v>9</v>
      </c>
      <c r="B128" s="3" t="s">
        <v>9</v>
      </c>
      <c r="C128" s="4" t="s">
        <v>130</v>
      </c>
      <c r="D128" s="3" t="s">
        <v>9</v>
      </c>
      <c r="E128" s="3" t="s">
        <v>9</v>
      </c>
      <c r="F128" s="3" t="s">
        <v>9</v>
      </c>
      <c r="G128" s="3" t="s">
        <v>9</v>
      </c>
      <c r="H128" s="164"/>
    </row>
    <row r="129" spans="1:8" x14ac:dyDescent="0.2">
      <c r="A129" s="3" t="s">
        <v>9</v>
      </c>
      <c r="B129" s="3" t="s">
        <v>9</v>
      </c>
      <c r="C129" s="4" t="s">
        <v>131</v>
      </c>
      <c r="D129" s="3" t="s">
        <v>9</v>
      </c>
      <c r="E129" s="3" t="s">
        <v>9</v>
      </c>
      <c r="F129" s="3" t="s">
        <v>9</v>
      </c>
      <c r="G129" s="3" t="s">
        <v>9</v>
      </c>
      <c r="H129" s="164"/>
    </row>
    <row r="130" spans="1:8" x14ac:dyDescent="0.2">
      <c r="A130" s="3" t="s">
        <v>9</v>
      </c>
      <c r="B130" s="3" t="s">
        <v>9</v>
      </c>
      <c r="C130" s="4" t="s">
        <v>110</v>
      </c>
      <c r="D130" s="3" t="s">
        <v>9</v>
      </c>
      <c r="E130" s="3" t="s">
        <v>9</v>
      </c>
      <c r="F130" s="15">
        <v>0</v>
      </c>
      <c r="G130" s="16">
        <v>0</v>
      </c>
      <c r="H130" s="164"/>
    </row>
    <row r="131" spans="1:8" x14ac:dyDescent="0.2">
      <c r="A131" s="3" t="s">
        <v>9</v>
      </c>
      <c r="B131" s="3" t="s">
        <v>9</v>
      </c>
      <c r="C131" s="13" t="s">
        <v>9</v>
      </c>
      <c r="D131" s="3" t="s">
        <v>9</v>
      </c>
      <c r="E131" s="3" t="s">
        <v>9</v>
      </c>
      <c r="F131" s="14" t="s">
        <v>9</v>
      </c>
      <c r="G131" s="14" t="s">
        <v>9</v>
      </c>
      <c r="H131" s="164"/>
    </row>
    <row r="132" spans="1:8" x14ac:dyDescent="0.2">
      <c r="A132" s="3" t="s">
        <v>9</v>
      </c>
      <c r="B132" s="3" t="s">
        <v>9</v>
      </c>
      <c r="C132" s="4" t="s">
        <v>132</v>
      </c>
      <c r="D132" s="3" t="s">
        <v>9</v>
      </c>
      <c r="E132" s="3" t="s">
        <v>9</v>
      </c>
      <c r="F132" s="3" t="s">
        <v>9</v>
      </c>
      <c r="G132" s="3" t="s">
        <v>9</v>
      </c>
      <c r="H132" s="164"/>
    </row>
    <row r="133" spans="1:8" x14ac:dyDescent="0.2">
      <c r="A133" s="3" t="s">
        <v>9</v>
      </c>
      <c r="B133" s="3" t="s">
        <v>9</v>
      </c>
      <c r="C133" s="4" t="s">
        <v>133</v>
      </c>
      <c r="D133" s="3" t="s">
        <v>9</v>
      </c>
      <c r="E133" s="3" t="s">
        <v>9</v>
      </c>
      <c r="F133" s="3" t="s">
        <v>9</v>
      </c>
      <c r="G133" s="3" t="s">
        <v>9</v>
      </c>
      <c r="H133" s="164"/>
    </row>
    <row r="134" spans="1:8" x14ac:dyDescent="0.2">
      <c r="A134" s="3" t="s">
        <v>9</v>
      </c>
      <c r="B134" s="3" t="s">
        <v>9</v>
      </c>
      <c r="C134" s="4" t="s">
        <v>110</v>
      </c>
      <c r="D134" s="3" t="s">
        <v>9</v>
      </c>
      <c r="E134" s="3" t="s">
        <v>9</v>
      </c>
      <c r="F134" s="15">
        <v>0</v>
      </c>
      <c r="G134" s="16">
        <v>0</v>
      </c>
      <c r="H134" s="164"/>
    </row>
    <row r="135" spans="1:8" x14ac:dyDescent="0.2">
      <c r="A135" s="3" t="s">
        <v>9</v>
      </c>
      <c r="B135" s="3" t="s">
        <v>9</v>
      </c>
      <c r="C135" s="13" t="s">
        <v>9</v>
      </c>
      <c r="D135" s="3" t="s">
        <v>9</v>
      </c>
      <c r="E135" s="3" t="s">
        <v>9</v>
      </c>
      <c r="F135" s="14" t="s">
        <v>9</v>
      </c>
      <c r="G135" s="14" t="s">
        <v>9</v>
      </c>
      <c r="H135" s="164"/>
    </row>
    <row r="136" spans="1:8" x14ac:dyDescent="0.2">
      <c r="A136" s="3" t="s">
        <v>9</v>
      </c>
      <c r="B136" s="3" t="s">
        <v>9</v>
      </c>
      <c r="C136" s="13" t="s">
        <v>9</v>
      </c>
      <c r="D136" s="3" t="s">
        <v>9</v>
      </c>
      <c r="E136" s="3" t="s">
        <v>9</v>
      </c>
      <c r="F136" s="14" t="s">
        <v>9</v>
      </c>
      <c r="G136" s="14" t="s">
        <v>9</v>
      </c>
      <c r="H136" s="164"/>
    </row>
    <row r="137" spans="1:8" ht="25.5" x14ac:dyDescent="0.2">
      <c r="A137" s="3" t="s">
        <v>9</v>
      </c>
      <c r="B137" s="3" t="s">
        <v>9</v>
      </c>
      <c r="C137" s="4" t="s">
        <v>134</v>
      </c>
      <c r="D137" s="3" t="s">
        <v>9</v>
      </c>
      <c r="E137" s="3" t="s">
        <v>9</v>
      </c>
      <c r="F137" s="14" t="s">
        <v>9</v>
      </c>
      <c r="G137" s="14" t="s">
        <v>9</v>
      </c>
      <c r="H137" s="164"/>
    </row>
    <row r="138" spans="1:8" x14ac:dyDescent="0.2">
      <c r="A138" s="3" t="s">
        <v>9</v>
      </c>
      <c r="B138" s="3" t="s">
        <v>9</v>
      </c>
      <c r="C138" s="4" t="s">
        <v>110</v>
      </c>
      <c r="D138" s="3" t="s">
        <v>9</v>
      </c>
      <c r="E138" s="3" t="s">
        <v>9</v>
      </c>
      <c r="F138" s="15">
        <v>0</v>
      </c>
      <c r="G138" s="16">
        <v>0</v>
      </c>
      <c r="H138" s="164"/>
    </row>
    <row r="139" spans="1:8" x14ac:dyDescent="0.2">
      <c r="A139" s="3" t="s">
        <v>9</v>
      </c>
      <c r="B139" s="3" t="s">
        <v>9</v>
      </c>
      <c r="C139" s="13" t="s">
        <v>9</v>
      </c>
      <c r="D139" s="3" t="s">
        <v>9</v>
      </c>
      <c r="E139" s="3" t="s">
        <v>9</v>
      </c>
      <c r="F139" s="14" t="s">
        <v>9</v>
      </c>
      <c r="G139" s="14" t="s">
        <v>9</v>
      </c>
      <c r="H139" s="164"/>
    </row>
    <row r="140" spans="1:8" x14ac:dyDescent="0.2">
      <c r="A140" s="3" t="s">
        <v>9</v>
      </c>
      <c r="B140" s="6" t="s">
        <v>9</v>
      </c>
      <c r="C140" s="6" t="s">
        <v>9</v>
      </c>
      <c r="D140" s="4" t="s">
        <v>9</v>
      </c>
      <c r="E140" s="3" t="s">
        <v>9</v>
      </c>
      <c r="F140" s="6" t="s">
        <v>9</v>
      </c>
      <c r="G140" s="10" t="s">
        <v>9</v>
      </c>
      <c r="H140" s="164"/>
    </row>
    <row r="141" spans="1:8" x14ac:dyDescent="0.2">
      <c r="A141" s="10" t="s">
        <v>9</v>
      </c>
      <c r="B141" s="6" t="s">
        <v>9</v>
      </c>
      <c r="C141" s="6" t="s">
        <v>135</v>
      </c>
      <c r="D141" s="6" t="s">
        <v>9</v>
      </c>
      <c r="E141" s="10" t="s">
        <v>9</v>
      </c>
      <c r="F141" s="8">
        <v>85.258953899999995</v>
      </c>
      <c r="G141" s="9">
        <v>4.4784229999999996E-3</v>
      </c>
      <c r="H141" s="164"/>
    </row>
    <row r="142" spans="1:8" x14ac:dyDescent="0.2">
      <c r="A142" s="13" t="s">
        <v>9</v>
      </c>
      <c r="B142" s="13" t="s">
        <v>9</v>
      </c>
      <c r="C142" s="4" t="s">
        <v>136</v>
      </c>
      <c r="D142" s="17" t="s">
        <v>9</v>
      </c>
      <c r="E142" s="17" t="s">
        <v>9</v>
      </c>
      <c r="F142" s="11">
        <v>19037.719462599998</v>
      </c>
      <c r="G142" s="12">
        <v>1.0000000010000001</v>
      </c>
      <c r="H142" s="164"/>
    </row>
    <row r="143" spans="1:8" ht="14.1" customHeight="1" x14ac:dyDescent="0.2">
      <c r="A143" s="18" t="s">
        <v>9</v>
      </c>
      <c r="B143" s="18" t="s">
        <v>9</v>
      </c>
      <c r="C143" s="18" t="s">
        <v>9</v>
      </c>
      <c r="D143" s="19" t="s">
        <v>9</v>
      </c>
      <c r="E143" s="19" t="s">
        <v>9</v>
      </c>
      <c r="F143" s="19" t="s">
        <v>9</v>
      </c>
      <c r="G143" s="19" t="s">
        <v>9</v>
      </c>
    </row>
    <row r="144" spans="1:8" ht="14.1" customHeight="1" x14ac:dyDescent="0.2">
      <c r="A144" s="20" t="s">
        <v>9</v>
      </c>
      <c r="B144" s="228" t="s">
        <v>9</v>
      </c>
      <c r="C144" s="228"/>
      <c r="D144" s="228"/>
      <c r="E144" s="228"/>
      <c r="F144" s="228"/>
      <c r="G144" s="22" t="s">
        <v>9</v>
      </c>
    </row>
    <row r="145" spans="1:7" ht="14.1" customHeight="1" x14ac:dyDescent="0.2">
      <c r="A145" s="20" t="s">
        <v>9</v>
      </c>
      <c r="B145" s="228" t="s">
        <v>9</v>
      </c>
      <c r="C145" s="228"/>
      <c r="D145" s="228"/>
      <c r="E145" s="228"/>
      <c r="F145" s="228"/>
      <c r="G145" s="22" t="s">
        <v>9</v>
      </c>
    </row>
    <row r="146" spans="1:7" ht="14.1" customHeight="1" x14ac:dyDescent="0.2">
      <c r="A146" s="20" t="s">
        <v>9</v>
      </c>
      <c r="B146" s="20" t="s">
        <v>9</v>
      </c>
      <c r="C146" s="20" t="s">
        <v>9</v>
      </c>
      <c r="D146" s="22" t="s">
        <v>9</v>
      </c>
      <c r="E146" s="22" t="s">
        <v>9</v>
      </c>
      <c r="F146" s="22" t="s">
        <v>9</v>
      </c>
      <c r="G146" s="22" t="s">
        <v>9</v>
      </c>
    </row>
    <row r="147" spans="1:7" ht="14.1" customHeight="1" x14ac:dyDescent="0.2">
      <c r="A147" s="20" t="s">
        <v>9</v>
      </c>
      <c r="B147" s="226" t="s">
        <v>138</v>
      </c>
      <c r="C147" s="227"/>
      <c r="D147" s="14" t="s">
        <v>9</v>
      </c>
      <c r="E147" s="23" t="s">
        <v>9</v>
      </c>
      <c r="F147" s="22" t="s">
        <v>9</v>
      </c>
      <c r="G147" s="22" t="s">
        <v>9</v>
      </c>
    </row>
    <row r="148" spans="1:7" ht="29.1" customHeight="1" x14ac:dyDescent="0.2">
      <c r="A148" s="20" t="s">
        <v>9</v>
      </c>
      <c r="B148" s="233" t="s">
        <v>139</v>
      </c>
      <c r="C148" s="234"/>
      <c r="D148" s="4" t="s">
        <v>140</v>
      </c>
      <c r="E148" s="23" t="s">
        <v>9</v>
      </c>
      <c r="F148" s="22" t="s">
        <v>9</v>
      </c>
      <c r="G148" s="22" t="s">
        <v>9</v>
      </c>
    </row>
    <row r="149" spans="1:7" ht="17.100000000000001" customHeight="1" x14ac:dyDescent="0.2">
      <c r="A149" s="20" t="s">
        <v>9</v>
      </c>
      <c r="B149" s="233" t="s">
        <v>141</v>
      </c>
      <c r="C149" s="234"/>
      <c r="D149" s="4" t="s">
        <v>140</v>
      </c>
      <c r="E149" s="23" t="s">
        <v>9</v>
      </c>
      <c r="F149" s="22" t="s">
        <v>9</v>
      </c>
      <c r="G149" s="22" t="s">
        <v>9</v>
      </c>
    </row>
    <row r="150" spans="1:7" ht="17.100000000000001" customHeight="1" x14ac:dyDescent="0.2">
      <c r="A150" s="20" t="s">
        <v>9</v>
      </c>
      <c r="B150" s="233" t="s">
        <v>142</v>
      </c>
      <c r="C150" s="234"/>
      <c r="D150" s="14" t="s">
        <v>9</v>
      </c>
      <c r="E150" s="23" t="s">
        <v>9</v>
      </c>
      <c r="F150" s="22" t="s">
        <v>9</v>
      </c>
      <c r="G150" s="22" t="s">
        <v>9</v>
      </c>
    </row>
    <row r="151" spans="1:7" ht="24" customHeight="1" x14ac:dyDescent="0.2">
      <c r="A151" s="24" t="s">
        <v>9</v>
      </c>
      <c r="B151" s="25" t="s">
        <v>9</v>
      </c>
      <c r="C151" s="25" t="s">
        <v>143</v>
      </c>
      <c r="D151" s="25" t="s">
        <v>144</v>
      </c>
      <c r="E151" s="24" t="s">
        <v>9</v>
      </c>
      <c r="F151" s="24" t="s">
        <v>9</v>
      </c>
      <c r="G151" s="24" t="s">
        <v>9</v>
      </c>
    </row>
    <row r="152" spans="1:7" ht="18" customHeight="1" x14ac:dyDescent="0.2">
      <c r="A152" s="24" t="s">
        <v>9</v>
      </c>
      <c r="B152" s="25" t="s">
        <v>145</v>
      </c>
      <c r="C152" s="25" t="s">
        <v>146</v>
      </c>
      <c r="D152" s="25" t="s">
        <v>147</v>
      </c>
      <c r="E152" s="24" t="s">
        <v>9</v>
      </c>
      <c r="F152" s="24" t="s">
        <v>9</v>
      </c>
      <c r="G152" s="24" t="s">
        <v>9</v>
      </c>
    </row>
    <row r="153" spans="1:7" ht="17.100000000000001" customHeight="1" x14ac:dyDescent="0.2">
      <c r="A153" s="24" t="s">
        <v>9</v>
      </c>
      <c r="B153" s="6" t="s">
        <v>148</v>
      </c>
      <c r="C153" s="26">
        <v>13.5465</v>
      </c>
      <c r="D153" s="26">
        <v>14.7643</v>
      </c>
      <c r="E153" s="24" t="s">
        <v>9</v>
      </c>
      <c r="F153" s="21" t="s">
        <v>9</v>
      </c>
      <c r="G153" s="27" t="s">
        <v>9</v>
      </c>
    </row>
    <row r="154" spans="1:7" ht="17.100000000000001" customHeight="1" x14ac:dyDescent="0.2">
      <c r="A154" s="24" t="s">
        <v>9</v>
      </c>
      <c r="B154" s="6" t="s">
        <v>839</v>
      </c>
      <c r="C154" s="26">
        <v>13.5464</v>
      </c>
      <c r="D154" s="26">
        <v>14.764200000000001</v>
      </c>
      <c r="E154" s="24" t="s">
        <v>9</v>
      </c>
      <c r="F154" s="21" t="s">
        <v>9</v>
      </c>
      <c r="G154" s="27" t="s">
        <v>9</v>
      </c>
    </row>
    <row r="155" spans="1:7" ht="17.100000000000001" customHeight="1" x14ac:dyDescent="0.2">
      <c r="A155" s="24" t="s">
        <v>9</v>
      </c>
      <c r="B155" s="6" t="s">
        <v>149</v>
      </c>
      <c r="C155" s="26">
        <v>13.098699999999999</v>
      </c>
      <c r="D155" s="26">
        <v>14.2683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840</v>
      </c>
      <c r="C156" s="26">
        <v>13.098800000000001</v>
      </c>
      <c r="D156" s="26">
        <v>14.2683</v>
      </c>
      <c r="E156" s="24" t="s">
        <v>9</v>
      </c>
      <c r="F156" s="21" t="s">
        <v>9</v>
      </c>
      <c r="G156" s="27" t="s">
        <v>9</v>
      </c>
    </row>
    <row r="157" spans="1:7" ht="14.1" customHeight="1" x14ac:dyDescent="0.2">
      <c r="A157" s="24" t="s">
        <v>9</v>
      </c>
      <c r="B157" s="24" t="s">
        <v>9</v>
      </c>
      <c r="C157" s="24" t="s">
        <v>9</v>
      </c>
      <c r="D157" s="24" t="s">
        <v>9</v>
      </c>
      <c r="E157" s="24" t="s">
        <v>9</v>
      </c>
      <c r="F157" s="24" t="s">
        <v>9</v>
      </c>
      <c r="G157" s="24" t="s">
        <v>9</v>
      </c>
    </row>
    <row r="158" spans="1:7" ht="17.100000000000001" customHeight="1" x14ac:dyDescent="0.2">
      <c r="A158" s="24" t="s">
        <v>9</v>
      </c>
      <c r="B158" s="233" t="s">
        <v>1003</v>
      </c>
      <c r="C158" s="234"/>
      <c r="D158" s="4" t="s">
        <v>140</v>
      </c>
      <c r="E158" s="24" t="s">
        <v>9</v>
      </c>
      <c r="F158" s="24" t="s">
        <v>9</v>
      </c>
      <c r="G158" s="24" t="s">
        <v>9</v>
      </c>
    </row>
    <row r="159" spans="1:7" ht="18" customHeight="1" x14ac:dyDescent="0.2">
      <c r="A159" s="24" t="s">
        <v>9</v>
      </c>
      <c r="B159" s="28" t="s">
        <v>150</v>
      </c>
      <c r="C159" s="28" t="s">
        <v>150</v>
      </c>
      <c r="D159" s="28" t="s">
        <v>9</v>
      </c>
      <c r="E159" s="24" t="s">
        <v>9</v>
      </c>
      <c r="F159" s="24" t="s">
        <v>9</v>
      </c>
      <c r="G159" s="24" t="s">
        <v>9</v>
      </c>
    </row>
    <row r="160" spans="1:7" s="169" customFormat="1" x14ac:dyDescent="0.2">
      <c r="B160" s="235" t="s">
        <v>841</v>
      </c>
      <c r="C160" s="235"/>
      <c r="D160" s="235"/>
      <c r="E160" s="235"/>
      <c r="F160" s="235"/>
    </row>
    <row r="161" spans="1:7" ht="14.1" customHeight="1" x14ac:dyDescent="0.2">
      <c r="A161" s="24" t="s">
        <v>9</v>
      </c>
      <c r="B161" s="21" t="s">
        <v>9</v>
      </c>
      <c r="C161" s="21" t="s">
        <v>9</v>
      </c>
      <c r="D161" s="24" t="s">
        <v>9</v>
      </c>
      <c r="E161" s="24" t="s">
        <v>9</v>
      </c>
      <c r="F161" s="24" t="s">
        <v>9</v>
      </c>
      <c r="G161" s="24" t="s">
        <v>9</v>
      </c>
    </row>
    <row r="162" spans="1:7" ht="29.1" customHeight="1" x14ac:dyDescent="0.2">
      <c r="A162" s="24" t="s">
        <v>9</v>
      </c>
      <c r="B162" s="233" t="s">
        <v>151</v>
      </c>
      <c r="C162" s="234"/>
      <c r="D162" s="4" t="s">
        <v>140</v>
      </c>
      <c r="E162" s="24" t="s">
        <v>9</v>
      </c>
      <c r="F162" s="24" t="s">
        <v>9</v>
      </c>
      <c r="G162" s="24" t="s">
        <v>9</v>
      </c>
    </row>
    <row r="163" spans="1:7" ht="29.1" customHeight="1" x14ac:dyDescent="0.2">
      <c r="A163" s="24" t="s">
        <v>9</v>
      </c>
      <c r="B163" s="233" t="s">
        <v>152</v>
      </c>
      <c r="C163" s="234"/>
      <c r="D163" s="4" t="s">
        <v>140</v>
      </c>
      <c r="E163" s="24" t="s">
        <v>9</v>
      </c>
      <c r="F163" s="24" t="s">
        <v>9</v>
      </c>
      <c r="G163" s="24" t="s">
        <v>9</v>
      </c>
    </row>
    <row r="164" spans="1:7" ht="17.100000000000001" customHeight="1" x14ac:dyDescent="0.2">
      <c r="A164" s="24" t="s">
        <v>9</v>
      </c>
      <c r="B164" s="233" t="s">
        <v>153</v>
      </c>
      <c r="C164" s="234"/>
      <c r="D164" s="29">
        <v>0.50589672060550306</v>
      </c>
      <c r="E164" s="24" t="s">
        <v>9</v>
      </c>
      <c r="F164" s="21" t="s">
        <v>9</v>
      </c>
      <c r="G164" s="27" t="s">
        <v>9</v>
      </c>
    </row>
    <row r="165" spans="1:7" ht="17.100000000000001" customHeight="1" x14ac:dyDescent="0.2">
      <c r="A165" s="24" t="s">
        <v>9</v>
      </c>
      <c r="B165" s="233" t="s">
        <v>154</v>
      </c>
      <c r="C165" s="234"/>
      <c r="D165" s="4" t="s">
        <v>140</v>
      </c>
      <c r="E165" s="24" t="s">
        <v>9</v>
      </c>
      <c r="F165" s="24" t="s">
        <v>9</v>
      </c>
      <c r="G165" s="24" t="s">
        <v>9</v>
      </c>
    </row>
  </sheetData>
  <mergeCells count="15">
    <mergeCell ref="B164:C164"/>
    <mergeCell ref="B165:C165"/>
    <mergeCell ref="B148:C148"/>
    <mergeCell ref="B149:C149"/>
    <mergeCell ref="B150:C150"/>
    <mergeCell ref="B158:C158"/>
    <mergeCell ref="B162:C162"/>
    <mergeCell ref="B163:C163"/>
    <mergeCell ref="B160:F160"/>
    <mergeCell ref="B147:C147"/>
    <mergeCell ref="B144:F144"/>
    <mergeCell ref="B145:F14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66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295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31951</v>
      </c>
      <c r="F7" s="8">
        <v>400.058471</v>
      </c>
      <c r="G7" s="9">
        <v>3.1370006999999998E-2</v>
      </c>
      <c r="H7" s="164"/>
    </row>
    <row r="8" spans="1:8" x14ac:dyDescent="0.2">
      <c r="A8" s="5">
        <v>2</v>
      </c>
      <c r="B8" s="6" t="s">
        <v>156</v>
      </c>
      <c r="C8" s="6" t="s">
        <v>157</v>
      </c>
      <c r="D8" s="6" t="s">
        <v>158</v>
      </c>
      <c r="E8" s="7">
        <v>10791</v>
      </c>
      <c r="F8" s="8">
        <v>394.65384749999998</v>
      </c>
      <c r="G8" s="9">
        <v>3.0946211000000001E-2</v>
      </c>
      <c r="H8" s="164"/>
    </row>
    <row r="9" spans="1:8" x14ac:dyDescent="0.2">
      <c r="A9" s="5">
        <v>3</v>
      </c>
      <c r="B9" s="6" t="s">
        <v>162</v>
      </c>
      <c r="C9" s="6" t="s">
        <v>163</v>
      </c>
      <c r="D9" s="6" t="s">
        <v>158</v>
      </c>
      <c r="E9" s="7">
        <v>30824</v>
      </c>
      <c r="F9" s="8">
        <v>381.12334800000002</v>
      </c>
      <c r="G9" s="9">
        <v>2.9885235999999999E-2</v>
      </c>
      <c r="H9" s="164"/>
    </row>
    <row r="10" spans="1:8" x14ac:dyDescent="0.2">
      <c r="A10" s="5">
        <v>4</v>
      </c>
      <c r="B10" s="6" t="s">
        <v>159</v>
      </c>
      <c r="C10" s="6" t="s">
        <v>160</v>
      </c>
      <c r="D10" s="6" t="s">
        <v>161</v>
      </c>
      <c r="E10" s="7">
        <v>272803</v>
      </c>
      <c r="F10" s="8">
        <v>351.5066655</v>
      </c>
      <c r="G10" s="9">
        <v>2.7562887000000001E-2</v>
      </c>
      <c r="H10" s="164"/>
    </row>
    <row r="11" spans="1:8" x14ac:dyDescent="0.2">
      <c r="A11" s="5">
        <v>5</v>
      </c>
      <c r="B11" s="6" t="s">
        <v>164</v>
      </c>
      <c r="C11" s="6" t="s">
        <v>165</v>
      </c>
      <c r="D11" s="6" t="s">
        <v>28</v>
      </c>
      <c r="E11" s="7">
        <v>39478</v>
      </c>
      <c r="F11" s="8">
        <v>301.829049</v>
      </c>
      <c r="G11" s="9">
        <v>2.3667489E-2</v>
      </c>
      <c r="H11" s="164"/>
    </row>
    <row r="12" spans="1:8" x14ac:dyDescent="0.2">
      <c r="A12" s="5">
        <v>6</v>
      </c>
      <c r="B12" s="6" t="s">
        <v>166</v>
      </c>
      <c r="C12" s="6" t="s">
        <v>167</v>
      </c>
      <c r="D12" s="6" t="s">
        <v>927</v>
      </c>
      <c r="E12" s="7">
        <v>24353</v>
      </c>
      <c r="F12" s="8">
        <v>289.13099249999999</v>
      </c>
      <c r="G12" s="9">
        <v>2.2671789000000001E-2</v>
      </c>
      <c r="H12" s="164"/>
    </row>
    <row r="13" spans="1:8" x14ac:dyDescent="0.2">
      <c r="A13" s="5">
        <v>7</v>
      </c>
      <c r="B13" s="6" t="s">
        <v>168</v>
      </c>
      <c r="C13" s="6" t="s">
        <v>169</v>
      </c>
      <c r="D13" s="6" t="s">
        <v>28</v>
      </c>
      <c r="E13" s="7">
        <v>38777</v>
      </c>
      <c r="F13" s="8">
        <v>274.85137600000002</v>
      </c>
      <c r="G13" s="9">
        <v>2.1552073000000001E-2</v>
      </c>
      <c r="H13" s="164"/>
    </row>
    <row r="14" spans="1:8" x14ac:dyDescent="0.2">
      <c r="A14" s="5">
        <v>8</v>
      </c>
      <c r="B14" s="6" t="s">
        <v>296</v>
      </c>
      <c r="C14" s="6" t="s">
        <v>297</v>
      </c>
      <c r="D14" s="6" t="s">
        <v>37</v>
      </c>
      <c r="E14" s="7">
        <v>15135</v>
      </c>
      <c r="F14" s="8">
        <v>262.183605</v>
      </c>
      <c r="G14" s="9">
        <v>2.0558748000000002E-2</v>
      </c>
      <c r="H14" s="164"/>
    </row>
    <row r="15" spans="1:8" ht="25.5" x14ac:dyDescent="0.2">
      <c r="A15" s="5">
        <v>9</v>
      </c>
      <c r="B15" s="6" t="s">
        <v>29</v>
      </c>
      <c r="C15" s="6" t="s">
        <v>30</v>
      </c>
      <c r="D15" s="6" t="s">
        <v>925</v>
      </c>
      <c r="E15" s="7">
        <v>7730</v>
      </c>
      <c r="F15" s="8">
        <v>251.93229500000001</v>
      </c>
      <c r="G15" s="9">
        <v>1.9754906999999999E-2</v>
      </c>
      <c r="H15" s="164"/>
    </row>
    <row r="16" spans="1:8" x14ac:dyDescent="0.2">
      <c r="A16" s="5">
        <v>10</v>
      </c>
      <c r="B16" s="6" t="s">
        <v>173</v>
      </c>
      <c r="C16" s="6" t="s">
        <v>174</v>
      </c>
      <c r="D16" s="6" t="s">
        <v>179</v>
      </c>
      <c r="E16" s="7">
        <v>18453</v>
      </c>
      <c r="F16" s="8">
        <v>251.25604799999999</v>
      </c>
      <c r="G16" s="9">
        <v>1.9701880000000001E-2</v>
      </c>
      <c r="H16" s="164"/>
    </row>
    <row r="17" spans="1:8" x14ac:dyDescent="0.2">
      <c r="A17" s="5">
        <v>11</v>
      </c>
      <c r="B17" s="6" t="s">
        <v>185</v>
      </c>
      <c r="C17" s="6" t="s">
        <v>186</v>
      </c>
      <c r="D17" s="6" t="s">
        <v>45</v>
      </c>
      <c r="E17" s="7">
        <v>51485</v>
      </c>
      <c r="F17" s="8">
        <v>242.70029</v>
      </c>
      <c r="G17" s="9">
        <v>1.9030992E-2</v>
      </c>
      <c r="H17" s="164"/>
    </row>
    <row r="18" spans="1:8" x14ac:dyDescent="0.2">
      <c r="A18" s="5">
        <v>12</v>
      </c>
      <c r="B18" s="6" t="s">
        <v>183</v>
      </c>
      <c r="C18" s="6" t="s">
        <v>184</v>
      </c>
      <c r="D18" s="6" t="s">
        <v>59</v>
      </c>
      <c r="E18" s="7">
        <v>79570</v>
      </c>
      <c r="F18" s="8">
        <v>242.17129499999999</v>
      </c>
      <c r="G18" s="9">
        <v>1.8989512E-2</v>
      </c>
      <c r="H18" s="164"/>
    </row>
    <row r="19" spans="1:8" x14ac:dyDescent="0.2">
      <c r="A19" s="5">
        <v>13</v>
      </c>
      <c r="B19" s="6" t="s">
        <v>175</v>
      </c>
      <c r="C19" s="6" t="s">
        <v>176</v>
      </c>
      <c r="D19" s="6" t="s">
        <v>62</v>
      </c>
      <c r="E19" s="7">
        <v>54740</v>
      </c>
      <c r="F19" s="8">
        <v>231.38597999999999</v>
      </c>
      <c r="G19" s="9">
        <v>1.8143797E-2</v>
      </c>
      <c r="H19" s="164"/>
    </row>
    <row r="20" spans="1:8" x14ac:dyDescent="0.2">
      <c r="A20" s="5">
        <v>14</v>
      </c>
      <c r="B20" s="6" t="s">
        <v>177</v>
      </c>
      <c r="C20" s="6" t="s">
        <v>178</v>
      </c>
      <c r="D20" s="6" t="s">
        <v>179</v>
      </c>
      <c r="E20" s="7">
        <v>81496</v>
      </c>
      <c r="F20" s="8">
        <v>229.61498</v>
      </c>
      <c r="G20" s="9">
        <v>1.8004927E-2</v>
      </c>
      <c r="H20" s="164"/>
    </row>
    <row r="21" spans="1:8" x14ac:dyDescent="0.2">
      <c r="A21" s="5">
        <v>15</v>
      </c>
      <c r="B21" s="6" t="s">
        <v>180</v>
      </c>
      <c r="C21" s="6" t="s">
        <v>181</v>
      </c>
      <c r="D21" s="6" t="s">
        <v>182</v>
      </c>
      <c r="E21" s="7">
        <v>17340</v>
      </c>
      <c r="F21" s="8">
        <v>226.88523000000001</v>
      </c>
      <c r="G21" s="9">
        <v>1.7790877E-2</v>
      </c>
      <c r="H21" s="164"/>
    </row>
    <row r="22" spans="1:8" x14ac:dyDescent="0.2">
      <c r="A22" s="5">
        <v>16</v>
      </c>
      <c r="B22" s="6" t="s">
        <v>187</v>
      </c>
      <c r="C22" s="6" t="s">
        <v>188</v>
      </c>
      <c r="D22" s="6" t="s">
        <v>182</v>
      </c>
      <c r="E22" s="7">
        <v>86836</v>
      </c>
      <c r="F22" s="8">
        <v>217.26367200000001</v>
      </c>
      <c r="G22" s="9">
        <v>1.7036417000000002E-2</v>
      </c>
      <c r="H22" s="164"/>
    </row>
    <row r="23" spans="1:8" x14ac:dyDescent="0.2">
      <c r="A23" s="5">
        <v>17</v>
      </c>
      <c r="B23" s="6" t="s">
        <v>189</v>
      </c>
      <c r="C23" s="6" t="s">
        <v>190</v>
      </c>
      <c r="D23" s="6" t="s">
        <v>179</v>
      </c>
      <c r="E23" s="7">
        <v>6844</v>
      </c>
      <c r="F23" s="8">
        <v>215.120608</v>
      </c>
      <c r="G23" s="9">
        <v>1.6868372E-2</v>
      </c>
      <c r="H23" s="164"/>
    </row>
    <row r="24" spans="1:8" ht="25.5" x14ac:dyDescent="0.2">
      <c r="A24" s="5">
        <v>18</v>
      </c>
      <c r="B24" s="6" t="s">
        <v>191</v>
      </c>
      <c r="C24" s="6" t="s">
        <v>192</v>
      </c>
      <c r="D24" s="6" t="s">
        <v>925</v>
      </c>
      <c r="E24" s="7">
        <v>78693</v>
      </c>
      <c r="F24" s="8">
        <v>208.26102449999999</v>
      </c>
      <c r="G24" s="9">
        <v>1.6330487000000001E-2</v>
      </c>
      <c r="H24" s="164"/>
    </row>
    <row r="25" spans="1:8" x14ac:dyDescent="0.2">
      <c r="A25" s="5">
        <v>19</v>
      </c>
      <c r="B25" s="6" t="s">
        <v>193</v>
      </c>
      <c r="C25" s="6" t="s">
        <v>194</v>
      </c>
      <c r="D25" s="6" t="s">
        <v>195</v>
      </c>
      <c r="E25" s="7">
        <v>31377</v>
      </c>
      <c r="F25" s="8">
        <v>204.26427000000001</v>
      </c>
      <c r="G25" s="9">
        <v>1.6017086999999999E-2</v>
      </c>
      <c r="H25" s="164"/>
    </row>
    <row r="26" spans="1:8" x14ac:dyDescent="0.2">
      <c r="A26" s="5">
        <v>20</v>
      </c>
      <c r="B26" s="6" t="s">
        <v>41</v>
      </c>
      <c r="C26" s="6" t="s">
        <v>42</v>
      </c>
      <c r="D26" s="6" t="s">
        <v>28</v>
      </c>
      <c r="E26" s="7">
        <v>16846</v>
      </c>
      <c r="F26" s="8">
        <v>195.26198600000001</v>
      </c>
      <c r="G26" s="9">
        <v>1.5311185999999999E-2</v>
      </c>
      <c r="H26" s="164"/>
    </row>
    <row r="27" spans="1:8" x14ac:dyDescent="0.2">
      <c r="A27" s="5">
        <v>21</v>
      </c>
      <c r="B27" s="6" t="s">
        <v>293</v>
      </c>
      <c r="C27" s="6" t="s">
        <v>294</v>
      </c>
      <c r="D27" s="6" t="s">
        <v>28</v>
      </c>
      <c r="E27" s="7">
        <v>14769</v>
      </c>
      <c r="F27" s="8">
        <v>194.729265</v>
      </c>
      <c r="G27" s="9">
        <v>1.5269414E-2</v>
      </c>
      <c r="H27" s="164"/>
    </row>
    <row r="28" spans="1:8" x14ac:dyDescent="0.2">
      <c r="A28" s="5">
        <v>22</v>
      </c>
      <c r="B28" s="6" t="s">
        <v>218</v>
      </c>
      <c r="C28" s="6" t="s">
        <v>219</v>
      </c>
      <c r="D28" s="6" t="s">
        <v>926</v>
      </c>
      <c r="E28" s="7">
        <v>13303</v>
      </c>
      <c r="F28" s="8">
        <v>191.98224450000001</v>
      </c>
      <c r="G28" s="9">
        <v>1.505401E-2</v>
      </c>
      <c r="H28" s="164"/>
    </row>
    <row r="29" spans="1:8" x14ac:dyDescent="0.2">
      <c r="A29" s="5">
        <v>23</v>
      </c>
      <c r="B29" s="6" t="s">
        <v>196</v>
      </c>
      <c r="C29" s="6" t="s">
        <v>197</v>
      </c>
      <c r="D29" s="6" t="s">
        <v>928</v>
      </c>
      <c r="E29" s="7">
        <v>58726</v>
      </c>
      <c r="F29" s="8">
        <v>191.18249299999999</v>
      </c>
      <c r="G29" s="9">
        <v>1.4991299E-2</v>
      </c>
      <c r="H29" s="164"/>
    </row>
    <row r="30" spans="1:8" x14ac:dyDescent="0.2">
      <c r="A30" s="5">
        <v>24</v>
      </c>
      <c r="B30" s="6" t="s">
        <v>198</v>
      </c>
      <c r="C30" s="6" t="s">
        <v>199</v>
      </c>
      <c r="D30" s="6" t="s">
        <v>200</v>
      </c>
      <c r="E30" s="7">
        <v>41878</v>
      </c>
      <c r="F30" s="8">
        <v>188.325366</v>
      </c>
      <c r="G30" s="9">
        <v>1.4767261E-2</v>
      </c>
      <c r="H30" s="164"/>
    </row>
    <row r="31" spans="1:8" ht="25.5" x14ac:dyDescent="0.2">
      <c r="A31" s="5">
        <v>25</v>
      </c>
      <c r="B31" s="6" t="s">
        <v>201</v>
      </c>
      <c r="C31" s="6" t="s">
        <v>202</v>
      </c>
      <c r="D31" s="6" t="s">
        <v>67</v>
      </c>
      <c r="E31" s="7">
        <v>37245</v>
      </c>
      <c r="F31" s="8">
        <v>182.55636749999999</v>
      </c>
      <c r="G31" s="9">
        <v>1.4314894E-2</v>
      </c>
      <c r="H31" s="164"/>
    </row>
    <row r="32" spans="1:8" x14ac:dyDescent="0.2">
      <c r="A32" s="5">
        <v>26</v>
      </c>
      <c r="B32" s="6" t="s">
        <v>203</v>
      </c>
      <c r="C32" s="6" t="s">
        <v>204</v>
      </c>
      <c r="D32" s="6" t="s">
        <v>179</v>
      </c>
      <c r="E32" s="7">
        <v>18324</v>
      </c>
      <c r="F32" s="8">
        <v>180.802908</v>
      </c>
      <c r="G32" s="9">
        <v>1.4177399E-2</v>
      </c>
      <c r="H32" s="164"/>
    </row>
    <row r="33" spans="1:8" x14ac:dyDescent="0.2">
      <c r="A33" s="5">
        <v>27</v>
      </c>
      <c r="B33" s="6" t="s">
        <v>205</v>
      </c>
      <c r="C33" s="6" t="s">
        <v>206</v>
      </c>
      <c r="D33" s="6" t="s">
        <v>207</v>
      </c>
      <c r="E33" s="7">
        <v>67193</v>
      </c>
      <c r="F33" s="8">
        <v>180.37960849999999</v>
      </c>
      <c r="G33" s="9">
        <v>1.4144205999999999E-2</v>
      </c>
      <c r="H33" s="164"/>
    </row>
    <row r="34" spans="1:8" x14ac:dyDescent="0.2">
      <c r="A34" s="5">
        <v>28</v>
      </c>
      <c r="B34" s="6" t="s">
        <v>77</v>
      </c>
      <c r="C34" s="6" t="s">
        <v>78</v>
      </c>
      <c r="D34" s="6" t="s">
        <v>62</v>
      </c>
      <c r="E34" s="7">
        <v>70161</v>
      </c>
      <c r="F34" s="8">
        <v>177.226686</v>
      </c>
      <c r="G34" s="9">
        <v>1.3896973999999999E-2</v>
      </c>
      <c r="H34" s="164"/>
    </row>
    <row r="35" spans="1:8" x14ac:dyDescent="0.2">
      <c r="A35" s="5">
        <v>29</v>
      </c>
      <c r="B35" s="6" t="s">
        <v>212</v>
      </c>
      <c r="C35" s="6" t="s">
        <v>213</v>
      </c>
      <c r="D35" s="6" t="s">
        <v>929</v>
      </c>
      <c r="E35" s="7">
        <v>20000</v>
      </c>
      <c r="F35" s="8">
        <v>173.87</v>
      </c>
      <c r="G35" s="9">
        <v>1.3633765000000001E-2</v>
      </c>
      <c r="H35" s="164"/>
    </row>
    <row r="36" spans="1:8" x14ac:dyDescent="0.2">
      <c r="A36" s="5">
        <v>30</v>
      </c>
      <c r="B36" s="6" t="s">
        <v>208</v>
      </c>
      <c r="C36" s="6" t="s">
        <v>209</v>
      </c>
      <c r="D36" s="6" t="s">
        <v>161</v>
      </c>
      <c r="E36" s="7">
        <v>28656</v>
      </c>
      <c r="F36" s="8">
        <v>171.978984</v>
      </c>
      <c r="G36" s="9">
        <v>1.3485482999999999E-2</v>
      </c>
      <c r="H36" s="164"/>
    </row>
    <row r="37" spans="1:8" x14ac:dyDescent="0.2">
      <c r="A37" s="5">
        <v>31</v>
      </c>
      <c r="B37" s="6" t="s">
        <v>214</v>
      </c>
      <c r="C37" s="6" t="s">
        <v>215</v>
      </c>
      <c r="D37" s="6" t="s">
        <v>179</v>
      </c>
      <c r="E37" s="7">
        <v>3989</v>
      </c>
      <c r="F37" s="8">
        <v>166.9496225</v>
      </c>
      <c r="G37" s="9">
        <v>1.3091113E-2</v>
      </c>
      <c r="H37" s="164"/>
    </row>
    <row r="38" spans="1:8" x14ac:dyDescent="0.2">
      <c r="A38" s="5">
        <v>32</v>
      </c>
      <c r="B38" s="6" t="s">
        <v>222</v>
      </c>
      <c r="C38" s="6" t="s">
        <v>223</v>
      </c>
      <c r="D38" s="6" t="s">
        <v>37</v>
      </c>
      <c r="E38" s="7">
        <v>155009</v>
      </c>
      <c r="F38" s="8">
        <v>166.47966600000001</v>
      </c>
      <c r="G38" s="9">
        <v>1.3054262000000001E-2</v>
      </c>
      <c r="H38" s="164"/>
    </row>
    <row r="39" spans="1:8" x14ac:dyDescent="0.2">
      <c r="A39" s="5">
        <v>33</v>
      </c>
      <c r="B39" s="6" t="s">
        <v>210</v>
      </c>
      <c r="C39" s="6" t="s">
        <v>211</v>
      </c>
      <c r="D39" s="6" t="s">
        <v>195</v>
      </c>
      <c r="E39" s="7">
        <v>14694</v>
      </c>
      <c r="F39" s="8">
        <v>164.48463599999999</v>
      </c>
      <c r="G39" s="9">
        <v>1.2897825E-2</v>
      </c>
      <c r="H39" s="164"/>
    </row>
    <row r="40" spans="1:8" x14ac:dyDescent="0.2">
      <c r="A40" s="5">
        <v>34</v>
      </c>
      <c r="B40" s="6" t="s">
        <v>220</v>
      </c>
      <c r="C40" s="6" t="s">
        <v>221</v>
      </c>
      <c r="D40" s="6" t="s">
        <v>28</v>
      </c>
      <c r="E40" s="7">
        <v>10412</v>
      </c>
      <c r="F40" s="8">
        <v>163.083156</v>
      </c>
      <c r="G40" s="9">
        <v>1.2787929999999999E-2</v>
      </c>
      <c r="H40" s="164"/>
    </row>
    <row r="41" spans="1:8" x14ac:dyDescent="0.2">
      <c r="A41" s="5">
        <v>35</v>
      </c>
      <c r="B41" s="6" t="s">
        <v>216</v>
      </c>
      <c r="C41" s="6" t="s">
        <v>217</v>
      </c>
      <c r="D41" s="6" t="s">
        <v>200</v>
      </c>
      <c r="E41" s="7">
        <v>25404</v>
      </c>
      <c r="F41" s="8">
        <v>162.96665999999999</v>
      </c>
      <c r="G41" s="9">
        <v>1.2778795000000001E-2</v>
      </c>
      <c r="H41" s="164"/>
    </row>
    <row r="42" spans="1:8" x14ac:dyDescent="0.2">
      <c r="A42" s="5">
        <v>36</v>
      </c>
      <c r="B42" s="6" t="s">
        <v>51</v>
      </c>
      <c r="C42" s="6" t="s">
        <v>52</v>
      </c>
      <c r="D42" s="6" t="s">
        <v>926</v>
      </c>
      <c r="E42" s="7">
        <v>92000</v>
      </c>
      <c r="F42" s="8">
        <v>157.50399999999999</v>
      </c>
      <c r="G42" s="9">
        <v>1.2350448E-2</v>
      </c>
      <c r="H42" s="164"/>
    </row>
    <row r="43" spans="1:8" x14ac:dyDescent="0.2">
      <c r="A43" s="5">
        <v>37</v>
      </c>
      <c r="B43" s="6" t="s">
        <v>224</v>
      </c>
      <c r="C43" s="6" t="s">
        <v>225</v>
      </c>
      <c r="D43" s="6" t="s">
        <v>161</v>
      </c>
      <c r="E43" s="7">
        <v>28818</v>
      </c>
      <c r="F43" s="8">
        <v>155.55956399999999</v>
      </c>
      <c r="G43" s="9">
        <v>1.2197978E-2</v>
      </c>
      <c r="H43" s="164"/>
    </row>
    <row r="44" spans="1:8" x14ac:dyDescent="0.2">
      <c r="A44" s="5">
        <v>38</v>
      </c>
      <c r="B44" s="6" t="s">
        <v>35</v>
      </c>
      <c r="C44" s="6" t="s">
        <v>36</v>
      </c>
      <c r="D44" s="6" t="s">
        <v>37</v>
      </c>
      <c r="E44" s="7">
        <v>46942</v>
      </c>
      <c r="F44" s="8">
        <v>153.14827500000001</v>
      </c>
      <c r="G44" s="9">
        <v>1.2008901000000001E-2</v>
      </c>
      <c r="H44" s="164"/>
    </row>
    <row r="45" spans="1:8" x14ac:dyDescent="0.2">
      <c r="A45" s="5">
        <v>39</v>
      </c>
      <c r="B45" s="6" t="s">
        <v>228</v>
      </c>
      <c r="C45" s="6" t="s">
        <v>229</v>
      </c>
      <c r="D45" s="6" t="s">
        <v>62</v>
      </c>
      <c r="E45" s="7">
        <v>19380</v>
      </c>
      <c r="F45" s="8">
        <v>149.79771</v>
      </c>
      <c r="G45" s="9">
        <v>1.1746171E-2</v>
      </c>
      <c r="H45" s="164"/>
    </row>
    <row r="46" spans="1:8" ht="25.5" x14ac:dyDescent="0.2">
      <c r="A46" s="5">
        <v>40</v>
      </c>
      <c r="B46" s="6" t="s">
        <v>226</v>
      </c>
      <c r="C46" s="6" t="s">
        <v>227</v>
      </c>
      <c r="D46" s="6" t="s">
        <v>62</v>
      </c>
      <c r="E46" s="7">
        <v>6492</v>
      </c>
      <c r="F46" s="8">
        <v>148.81611599999999</v>
      </c>
      <c r="G46" s="9">
        <v>1.1669201000000001E-2</v>
      </c>
      <c r="H46" s="164"/>
    </row>
    <row r="47" spans="1:8" ht="25.5" x14ac:dyDescent="0.2">
      <c r="A47" s="5">
        <v>41</v>
      </c>
      <c r="B47" s="6" t="s">
        <v>240</v>
      </c>
      <c r="C47" s="6" t="s">
        <v>241</v>
      </c>
      <c r="D47" s="6" t="s">
        <v>925</v>
      </c>
      <c r="E47" s="7">
        <v>75946</v>
      </c>
      <c r="F47" s="8">
        <v>145.930239</v>
      </c>
      <c r="G47" s="9">
        <v>1.1442908999999999E-2</v>
      </c>
      <c r="H47" s="164"/>
    </row>
    <row r="48" spans="1:8" x14ac:dyDescent="0.2">
      <c r="A48" s="5">
        <v>42</v>
      </c>
      <c r="B48" s="6" t="s">
        <v>232</v>
      </c>
      <c r="C48" s="6" t="s">
        <v>233</v>
      </c>
      <c r="D48" s="6" t="s">
        <v>37</v>
      </c>
      <c r="E48" s="7">
        <v>16637</v>
      </c>
      <c r="F48" s="8">
        <v>143.6854505</v>
      </c>
      <c r="G48" s="9">
        <v>1.1266887E-2</v>
      </c>
      <c r="H48" s="164"/>
    </row>
    <row r="49" spans="1:8" x14ac:dyDescent="0.2">
      <c r="A49" s="5">
        <v>43</v>
      </c>
      <c r="B49" s="6" t="s">
        <v>230</v>
      </c>
      <c r="C49" s="6" t="s">
        <v>231</v>
      </c>
      <c r="D49" s="6" t="s">
        <v>62</v>
      </c>
      <c r="E49" s="7">
        <v>48497</v>
      </c>
      <c r="F49" s="8">
        <v>142.435689</v>
      </c>
      <c r="G49" s="9">
        <v>1.1168889E-2</v>
      </c>
      <c r="H49" s="164"/>
    </row>
    <row r="50" spans="1:8" ht="25.5" x14ac:dyDescent="0.2">
      <c r="A50" s="5">
        <v>44</v>
      </c>
      <c r="B50" s="6" t="s">
        <v>63</v>
      </c>
      <c r="C50" s="6" t="s">
        <v>64</v>
      </c>
      <c r="D50" s="6" t="s">
        <v>40</v>
      </c>
      <c r="E50" s="7">
        <v>17853</v>
      </c>
      <c r="F50" s="8">
        <v>141.79745249999999</v>
      </c>
      <c r="G50" s="9">
        <v>1.1118842E-2</v>
      </c>
      <c r="H50" s="164"/>
    </row>
    <row r="51" spans="1:8" ht="25.5" x14ac:dyDescent="0.2">
      <c r="A51" s="5">
        <v>45</v>
      </c>
      <c r="B51" s="6" t="s">
        <v>234</v>
      </c>
      <c r="C51" s="6" t="s">
        <v>235</v>
      </c>
      <c r="D51" s="6" t="s">
        <v>67</v>
      </c>
      <c r="E51" s="7">
        <v>30826</v>
      </c>
      <c r="F51" s="8">
        <v>136.40504999999999</v>
      </c>
      <c r="G51" s="9">
        <v>1.0696005E-2</v>
      </c>
      <c r="H51" s="164"/>
    </row>
    <row r="52" spans="1:8" x14ac:dyDescent="0.2">
      <c r="A52" s="5">
        <v>46</v>
      </c>
      <c r="B52" s="6" t="s">
        <v>236</v>
      </c>
      <c r="C52" s="6" t="s">
        <v>237</v>
      </c>
      <c r="D52" s="6" t="s">
        <v>161</v>
      </c>
      <c r="E52" s="7">
        <v>233311</v>
      </c>
      <c r="F52" s="8">
        <v>135.32038</v>
      </c>
      <c r="G52" s="9">
        <v>1.0610952E-2</v>
      </c>
      <c r="H52" s="164"/>
    </row>
    <row r="53" spans="1:8" x14ac:dyDescent="0.2">
      <c r="A53" s="5">
        <v>47</v>
      </c>
      <c r="B53" s="6" t="s">
        <v>238</v>
      </c>
      <c r="C53" s="6" t="s">
        <v>239</v>
      </c>
      <c r="D53" s="6" t="s">
        <v>195</v>
      </c>
      <c r="E53" s="7">
        <v>32351</v>
      </c>
      <c r="F53" s="8">
        <v>133.739034</v>
      </c>
      <c r="G53" s="9">
        <v>1.0486953E-2</v>
      </c>
      <c r="H53" s="164"/>
    </row>
    <row r="54" spans="1:8" x14ac:dyDescent="0.2">
      <c r="A54" s="5">
        <v>48</v>
      </c>
      <c r="B54" s="6" t="s">
        <v>242</v>
      </c>
      <c r="C54" s="6" t="s">
        <v>243</v>
      </c>
      <c r="D54" s="6" t="s">
        <v>59</v>
      </c>
      <c r="E54" s="7">
        <v>9967</v>
      </c>
      <c r="F54" s="8">
        <v>131.6590865</v>
      </c>
      <c r="G54" s="9">
        <v>1.0323857000000001E-2</v>
      </c>
      <c r="H54" s="164"/>
    </row>
    <row r="55" spans="1:8" x14ac:dyDescent="0.2">
      <c r="A55" s="5">
        <v>49</v>
      </c>
      <c r="B55" s="6" t="s">
        <v>244</v>
      </c>
      <c r="C55" s="6" t="s">
        <v>245</v>
      </c>
      <c r="D55" s="6" t="s">
        <v>200</v>
      </c>
      <c r="E55" s="7">
        <v>7157</v>
      </c>
      <c r="F55" s="8">
        <v>129.7743025</v>
      </c>
      <c r="G55" s="9">
        <v>1.0176064E-2</v>
      </c>
      <c r="H55" s="164"/>
    </row>
    <row r="56" spans="1:8" ht="25.5" x14ac:dyDescent="0.2">
      <c r="A56" s="5">
        <v>50</v>
      </c>
      <c r="B56" s="6" t="s">
        <v>246</v>
      </c>
      <c r="C56" s="6" t="s">
        <v>247</v>
      </c>
      <c r="D56" s="6" t="s">
        <v>40</v>
      </c>
      <c r="E56" s="7">
        <v>164348</v>
      </c>
      <c r="F56" s="8">
        <v>128.84883199999999</v>
      </c>
      <c r="G56" s="9">
        <v>1.0103495000000001E-2</v>
      </c>
      <c r="H56" s="164"/>
    </row>
    <row r="57" spans="1:8" ht="25.5" x14ac:dyDescent="0.2">
      <c r="A57" s="5">
        <v>51</v>
      </c>
      <c r="B57" s="6" t="s">
        <v>248</v>
      </c>
      <c r="C57" s="6" t="s">
        <v>249</v>
      </c>
      <c r="D57" s="6" t="s">
        <v>67</v>
      </c>
      <c r="E57" s="7">
        <v>29335</v>
      </c>
      <c r="F57" s="8">
        <v>128.19395</v>
      </c>
      <c r="G57" s="9">
        <v>1.0052142999999999E-2</v>
      </c>
      <c r="H57" s="164"/>
    </row>
    <row r="58" spans="1:8" x14ac:dyDescent="0.2">
      <c r="A58" s="5">
        <v>52</v>
      </c>
      <c r="B58" s="6" t="s">
        <v>251</v>
      </c>
      <c r="C58" s="6" t="s">
        <v>252</v>
      </c>
      <c r="D58" s="6" t="s">
        <v>253</v>
      </c>
      <c r="E58" s="7">
        <v>26600</v>
      </c>
      <c r="F58" s="8">
        <v>127.87949999999999</v>
      </c>
      <c r="G58" s="9">
        <v>1.0027486E-2</v>
      </c>
      <c r="H58" s="164"/>
    </row>
    <row r="59" spans="1:8" ht="25.5" x14ac:dyDescent="0.2">
      <c r="A59" s="5">
        <v>53</v>
      </c>
      <c r="B59" s="6" t="s">
        <v>258</v>
      </c>
      <c r="C59" s="6" t="s">
        <v>259</v>
      </c>
      <c r="D59" s="6" t="s">
        <v>931</v>
      </c>
      <c r="E59" s="7">
        <v>118261</v>
      </c>
      <c r="F59" s="8">
        <v>117.906217</v>
      </c>
      <c r="G59" s="9">
        <v>9.2454459999999992E-3</v>
      </c>
      <c r="H59" s="164"/>
    </row>
    <row r="60" spans="1:8" x14ac:dyDescent="0.2">
      <c r="A60" s="5">
        <v>54</v>
      </c>
      <c r="B60" s="6" t="s">
        <v>256</v>
      </c>
      <c r="C60" s="6" t="s">
        <v>257</v>
      </c>
      <c r="D60" s="6" t="s">
        <v>930</v>
      </c>
      <c r="E60" s="7">
        <v>20824</v>
      </c>
      <c r="F60" s="8">
        <v>116.66646</v>
      </c>
      <c r="G60" s="9">
        <v>9.1482319999999992E-3</v>
      </c>
      <c r="H60" s="164"/>
    </row>
    <row r="61" spans="1:8" x14ac:dyDescent="0.2">
      <c r="A61" s="5">
        <v>55</v>
      </c>
      <c r="B61" s="6" t="s">
        <v>260</v>
      </c>
      <c r="C61" s="6" t="s">
        <v>261</v>
      </c>
      <c r="D61" s="6" t="s">
        <v>930</v>
      </c>
      <c r="E61" s="7">
        <v>28064</v>
      </c>
      <c r="F61" s="8">
        <v>114.80982400000001</v>
      </c>
      <c r="G61" s="9">
        <v>9.0026459999999996E-3</v>
      </c>
      <c r="H61" s="164"/>
    </row>
    <row r="62" spans="1:8" ht="25.5" x14ac:dyDescent="0.2">
      <c r="A62" s="5">
        <v>56</v>
      </c>
      <c r="B62" s="6" t="s">
        <v>262</v>
      </c>
      <c r="C62" s="6" t="s">
        <v>263</v>
      </c>
      <c r="D62" s="6" t="s">
        <v>158</v>
      </c>
      <c r="E62" s="7">
        <v>29589</v>
      </c>
      <c r="F62" s="8">
        <v>113.828883</v>
      </c>
      <c r="G62" s="9">
        <v>8.9257269999999996E-3</v>
      </c>
      <c r="H62" s="164"/>
    </row>
    <row r="63" spans="1:8" x14ac:dyDescent="0.2">
      <c r="A63" s="5">
        <v>57</v>
      </c>
      <c r="B63" s="6" t="s">
        <v>264</v>
      </c>
      <c r="C63" s="6" t="s">
        <v>265</v>
      </c>
      <c r="D63" s="6" t="s">
        <v>266</v>
      </c>
      <c r="E63" s="7">
        <v>13683</v>
      </c>
      <c r="F63" s="8">
        <v>110.63389650000001</v>
      </c>
      <c r="G63" s="9">
        <v>8.6751970000000008E-3</v>
      </c>
      <c r="H63" s="164"/>
    </row>
    <row r="64" spans="1:8" x14ac:dyDescent="0.2">
      <c r="A64" s="5">
        <v>58</v>
      </c>
      <c r="B64" s="6" t="s">
        <v>269</v>
      </c>
      <c r="C64" s="6" t="s">
        <v>270</v>
      </c>
      <c r="D64" s="6" t="s">
        <v>200</v>
      </c>
      <c r="E64" s="7">
        <v>21563</v>
      </c>
      <c r="F64" s="8">
        <v>109.173469</v>
      </c>
      <c r="G64" s="9">
        <v>8.5606799999999993E-3</v>
      </c>
      <c r="H64" s="164"/>
    </row>
    <row r="65" spans="1:8" x14ac:dyDescent="0.2">
      <c r="A65" s="5">
        <v>59</v>
      </c>
      <c r="B65" s="6" t="s">
        <v>267</v>
      </c>
      <c r="C65" s="6" t="s">
        <v>268</v>
      </c>
      <c r="D65" s="6" t="s">
        <v>195</v>
      </c>
      <c r="E65" s="7">
        <v>14660</v>
      </c>
      <c r="F65" s="8">
        <v>108.71123</v>
      </c>
      <c r="G65" s="9">
        <v>8.5244339999999991E-3</v>
      </c>
      <c r="H65" s="164"/>
    </row>
    <row r="66" spans="1:8" x14ac:dyDescent="0.2">
      <c r="A66" s="5">
        <v>60</v>
      </c>
      <c r="B66" s="6" t="s">
        <v>60</v>
      </c>
      <c r="C66" s="6" t="s">
        <v>61</v>
      </c>
      <c r="D66" s="6" t="s">
        <v>62</v>
      </c>
      <c r="E66" s="7">
        <v>3600</v>
      </c>
      <c r="F66" s="8">
        <v>107.7012</v>
      </c>
      <c r="G66" s="9">
        <v>8.4452339999999994E-3</v>
      </c>
      <c r="H66" s="164"/>
    </row>
    <row r="67" spans="1:8" x14ac:dyDescent="0.2">
      <c r="A67" s="5">
        <v>61</v>
      </c>
      <c r="B67" s="6" t="s">
        <v>271</v>
      </c>
      <c r="C67" s="6" t="s">
        <v>272</v>
      </c>
      <c r="D67" s="6" t="s">
        <v>346</v>
      </c>
      <c r="E67" s="7">
        <v>10781</v>
      </c>
      <c r="F67" s="8">
        <v>103.94501150000001</v>
      </c>
      <c r="G67" s="9">
        <v>8.1506979999999996E-3</v>
      </c>
      <c r="H67" s="164"/>
    </row>
    <row r="68" spans="1:8" x14ac:dyDescent="0.2">
      <c r="A68" s="5">
        <v>62</v>
      </c>
      <c r="B68" s="6" t="s">
        <v>275</v>
      </c>
      <c r="C68" s="6" t="s">
        <v>276</v>
      </c>
      <c r="D68" s="6" t="s">
        <v>277</v>
      </c>
      <c r="E68" s="7">
        <v>35518</v>
      </c>
      <c r="F68" s="8">
        <v>92.080415000000002</v>
      </c>
      <c r="G68" s="9">
        <v>7.2203529999999997E-3</v>
      </c>
      <c r="H68" s="164"/>
    </row>
    <row r="69" spans="1:8" x14ac:dyDescent="0.2">
      <c r="A69" s="5">
        <v>63</v>
      </c>
      <c r="B69" s="6" t="s">
        <v>278</v>
      </c>
      <c r="C69" s="6" t="s">
        <v>279</v>
      </c>
      <c r="D69" s="6" t="s">
        <v>45</v>
      </c>
      <c r="E69" s="7">
        <v>90749</v>
      </c>
      <c r="F69" s="8">
        <v>91.429617500000006</v>
      </c>
      <c r="G69" s="9">
        <v>7.1693210000000002E-3</v>
      </c>
      <c r="H69" s="164"/>
    </row>
    <row r="70" spans="1:8" x14ac:dyDescent="0.2">
      <c r="A70" s="5">
        <v>64</v>
      </c>
      <c r="B70" s="6" t="s">
        <v>273</v>
      </c>
      <c r="C70" s="6" t="s">
        <v>274</v>
      </c>
      <c r="D70" s="6" t="s">
        <v>22</v>
      </c>
      <c r="E70" s="7">
        <v>86786</v>
      </c>
      <c r="F70" s="8">
        <v>91.125299999999996</v>
      </c>
      <c r="G70" s="9">
        <v>7.1454589999999998E-3</v>
      </c>
      <c r="H70" s="164"/>
    </row>
    <row r="71" spans="1:8" x14ac:dyDescent="0.2">
      <c r="A71" s="5">
        <v>65</v>
      </c>
      <c r="B71" s="6" t="s">
        <v>282</v>
      </c>
      <c r="C71" s="6" t="s">
        <v>283</v>
      </c>
      <c r="D71" s="6" t="s">
        <v>200</v>
      </c>
      <c r="E71" s="7">
        <v>1484</v>
      </c>
      <c r="F71" s="8">
        <v>79.503816</v>
      </c>
      <c r="G71" s="9">
        <v>6.2341769999999996E-3</v>
      </c>
      <c r="H71" s="164"/>
    </row>
    <row r="72" spans="1:8" x14ac:dyDescent="0.2">
      <c r="A72" s="5">
        <v>66</v>
      </c>
      <c r="B72" s="6" t="s">
        <v>286</v>
      </c>
      <c r="C72" s="6" t="s">
        <v>287</v>
      </c>
      <c r="D72" s="6" t="s">
        <v>927</v>
      </c>
      <c r="E72" s="7">
        <v>4500</v>
      </c>
      <c r="F72" s="8">
        <v>72.146249999999995</v>
      </c>
      <c r="G72" s="9">
        <v>5.6572439999999996E-3</v>
      </c>
      <c r="H72" s="164"/>
    </row>
    <row r="73" spans="1:8" x14ac:dyDescent="0.2">
      <c r="A73" s="5">
        <v>67</v>
      </c>
      <c r="B73" s="6" t="s">
        <v>284</v>
      </c>
      <c r="C73" s="6" t="s">
        <v>285</v>
      </c>
      <c r="D73" s="6" t="s">
        <v>62</v>
      </c>
      <c r="E73" s="7">
        <v>40000</v>
      </c>
      <c r="F73" s="8">
        <v>70.62</v>
      </c>
      <c r="G73" s="9">
        <v>5.5375650000000004E-3</v>
      </c>
      <c r="H73" s="164"/>
    </row>
    <row r="74" spans="1:8" x14ac:dyDescent="0.2">
      <c r="A74" s="5">
        <v>68</v>
      </c>
      <c r="B74" s="6" t="s">
        <v>280</v>
      </c>
      <c r="C74" s="6" t="s">
        <v>281</v>
      </c>
      <c r="D74" s="6" t="s">
        <v>930</v>
      </c>
      <c r="E74" s="7">
        <v>50412</v>
      </c>
      <c r="F74" s="8">
        <v>66.266574000000006</v>
      </c>
      <c r="G74" s="9">
        <v>5.196198E-3</v>
      </c>
      <c r="H74" s="164"/>
    </row>
    <row r="75" spans="1:8" x14ac:dyDescent="0.2">
      <c r="A75" s="5">
        <v>69</v>
      </c>
      <c r="B75" s="6" t="s">
        <v>55</v>
      </c>
      <c r="C75" s="6" t="s">
        <v>56</v>
      </c>
      <c r="D75" s="6" t="s">
        <v>37</v>
      </c>
      <c r="E75" s="7">
        <v>27635</v>
      </c>
      <c r="F75" s="8">
        <v>63.159792500000002</v>
      </c>
      <c r="G75" s="9">
        <v>4.9525840000000003E-3</v>
      </c>
      <c r="H75" s="164"/>
    </row>
    <row r="76" spans="1:8" x14ac:dyDescent="0.2">
      <c r="A76" s="5">
        <v>70</v>
      </c>
      <c r="B76" s="6" t="s">
        <v>288</v>
      </c>
      <c r="C76" s="6" t="s">
        <v>289</v>
      </c>
      <c r="D76" s="6" t="s">
        <v>158</v>
      </c>
      <c r="E76" s="7">
        <v>3966</v>
      </c>
      <c r="F76" s="8">
        <v>54.849780000000003</v>
      </c>
      <c r="G76" s="9">
        <v>4.3009659999999998E-3</v>
      </c>
      <c r="H76" s="164"/>
    </row>
    <row r="77" spans="1:8" x14ac:dyDescent="0.2">
      <c r="A77" s="5">
        <v>71</v>
      </c>
      <c r="B77" s="6" t="s">
        <v>290</v>
      </c>
      <c r="C77" s="6" t="s">
        <v>291</v>
      </c>
      <c r="D77" s="6" t="s">
        <v>179</v>
      </c>
      <c r="E77" s="7">
        <v>10040</v>
      </c>
      <c r="F77" s="8">
        <v>53.397739999999999</v>
      </c>
      <c r="G77" s="9">
        <v>4.1871069999999998E-3</v>
      </c>
      <c r="H77" s="164"/>
    </row>
    <row r="78" spans="1:8" x14ac:dyDescent="0.2">
      <c r="A78" s="3" t="s">
        <v>9</v>
      </c>
      <c r="B78" s="3" t="s">
        <v>9</v>
      </c>
      <c r="C78" s="4" t="s">
        <v>110</v>
      </c>
      <c r="D78" s="3" t="s">
        <v>9</v>
      </c>
      <c r="E78" s="3" t="s">
        <v>9</v>
      </c>
      <c r="F78" s="11">
        <v>12156.902803000001</v>
      </c>
      <c r="G78" s="12">
        <v>0.95326595999999997</v>
      </c>
      <c r="H78" s="164"/>
    </row>
    <row r="79" spans="1:8" x14ac:dyDescent="0.2">
      <c r="A79" s="3" t="s">
        <v>9</v>
      </c>
      <c r="B79" s="3" t="s">
        <v>9</v>
      </c>
      <c r="C79" s="13" t="s">
        <v>9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111</v>
      </c>
      <c r="D80" s="3" t="s">
        <v>9</v>
      </c>
      <c r="E80" s="3" t="s">
        <v>9</v>
      </c>
      <c r="F80" s="3" t="s">
        <v>9</v>
      </c>
      <c r="G80" s="3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110</v>
      </c>
      <c r="D81" s="3" t="s">
        <v>9</v>
      </c>
      <c r="E81" s="3" t="s">
        <v>9</v>
      </c>
      <c r="F81" s="15">
        <v>0</v>
      </c>
      <c r="G81" s="16">
        <v>0</v>
      </c>
      <c r="H81" s="164"/>
    </row>
    <row r="82" spans="1:8" x14ac:dyDescent="0.2">
      <c r="A82" s="3" t="s">
        <v>9</v>
      </c>
      <c r="B82" s="3" t="s">
        <v>9</v>
      </c>
      <c r="C82" s="13" t="s">
        <v>9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112</v>
      </c>
      <c r="D83" s="3" t="s">
        <v>9</v>
      </c>
      <c r="E83" s="3" t="s">
        <v>9</v>
      </c>
      <c r="F83" s="3" t="s">
        <v>9</v>
      </c>
      <c r="G83" s="3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110</v>
      </c>
      <c r="D84" s="3" t="s">
        <v>9</v>
      </c>
      <c r="E84" s="3" t="s">
        <v>9</v>
      </c>
      <c r="F84" s="15">
        <v>0</v>
      </c>
      <c r="G84" s="16">
        <v>0</v>
      </c>
      <c r="H84" s="164"/>
    </row>
    <row r="85" spans="1:8" x14ac:dyDescent="0.2">
      <c r="A85" s="3" t="s">
        <v>9</v>
      </c>
      <c r="B85" s="3" t="s">
        <v>9</v>
      </c>
      <c r="C85" s="13" t="s">
        <v>9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113</v>
      </c>
      <c r="D86" s="3" t="s">
        <v>9</v>
      </c>
      <c r="E86" s="3" t="s">
        <v>9</v>
      </c>
      <c r="F86" s="3" t="s">
        <v>9</v>
      </c>
      <c r="G86" s="3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110</v>
      </c>
      <c r="D87" s="3" t="s">
        <v>9</v>
      </c>
      <c r="E87" s="3" t="s">
        <v>9</v>
      </c>
      <c r="F87" s="15">
        <v>0</v>
      </c>
      <c r="G87" s="16">
        <v>0</v>
      </c>
      <c r="H87" s="164"/>
    </row>
    <row r="88" spans="1:8" x14ac:dyDescent="0.2">
      <c r="A88" s="3" t="s">
        <v>9</v>
      </c>
      <c r="B88" s="3" t="s">
        <v>9</v>
      </c>
      <c r="C88" s="13" t="s">
        <v>9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114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110</v>
      </c>
      <c r="D90" s="3" t="s">
        <v>9</v>
      </c>
      <c r="E90" s="3" t="s">
        <v>9</v>
      </c>
      <c r="F90" s="15">
        <v>0</v>
      </c>
      <c r="G90" s="16">
        <v>0</v>
      </c>
      <c r="H90" s="164"/>
    </row>
    <row r="91" spans="1:8" x14ac:dyDescent="0.2">
      <c r="A91" s="3" t="s">
        <v>9</v>
      </c>
      <c r="B91" s="3" t="s">
        <v>9</v>
      </c>
      <c r="C91" s="13" t="s">
        <v>9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115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110</v>
      </c>
      <c r="D93" s="3" t="s">
        <v>9</v>
      </c>
      <c r="E93" s="3" t="s">
        <v>9</v>
      </c>
      <c r="F93" s="15">
        <v>0</v>
      </c>
      <c r="G93" s="16">
        <v>0</v>
      </c>
      <c r="H93" s="164"/>
    </row>
    <row r="94" spans="1:8" x14ac:dyDescent="0.2">
      <c r="A94" s="3" t="s">
        <v>9</v>
      </c>
      <c r="B94" s="3" t="s">
        <v>9</v>
      </c>
      <c r="C94" s="13" t="s">
        <v>9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116</v>
      </c>
      <c r="D95" s="3" t="s">
        <v>9</v>
      </c>
      <c r="E95" s="3" t="s">
        <v>9</v>
      </c>
      <c r="F95" s="11">
        <v>12156.902803000001</v>
      </c>
      <c r="G95" s="12">
        <v>0.95326595999999997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117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ht="25.5" x14ac:dyDescent="0.2">
      <c r="A98" s="3" t="s">
        <v>9</v>
      </c>
      <c r="B98" s="3" t="s">
        <v>9</v>
      </c>
      <c r="C98" s="4" t="s">
        <v>11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110</v>
      </c>
      <c r="D99" s="3" t="s">
        <v>9</v>
      </c>
      <c r="E99" s="3" t="s">
        <v>9</v>
      </c>
      <c r="F99" s="15">
        <v>0</v>
      </c>
      <c r="G99" s="16">
        <v>0</v>
      </c>
      <c r="H99" s="164"/>
    </row>
    <row r="100" spans="1:8" x14ac:dyDescent="0.2">
      <c r="A100" s="3" t="s">
        <v>9</v>
      </c>
      <c r="B100" s="3" t="s">
        <v>9</v>
      </c>
      <c r="C100" s="13" t="s">
        <v>9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118</v>
      </c>
      <c r="D101" s="3" t="s">
        <v>9</v>
      </c>
      <c r="E101" s="3" t="s">
        <v>9</v>
      </c>
      <c r="F101" s="3" t="s">
        <v>9</v>
      </c>
      <c r="G101" s="3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110</v>
      </c>
      <c r="D102" s="3" t="s">
        <v>9</v>
      </c>
      <c r="E102" s="3" t="s">
        <v>9</v>
      </c>
      <c r="F102" s="15">
        <v>0</v>
      </c>
      <c r="G102" s="16">
        <v>0</v>
      </c>
      <c r="H102" s="164"/>
    </row>
    <row r="103" spans="1:8" x14ac:dyDescent="0.2">
      <c r="A103" s="3" t="s">
        <v>9</v>
      </c>
      <c r="B103" s="3" t="s">
        <v>9</v>
      </c>
      <c r="C103" s="13" t="s">
        <v>9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119</v>
      </c>
      <c r="D104" s="3" t="s">
        <v>9</v>
      </c>
      <c r="E104" s="3" t="s">
        <v>9</v>
      </c>
      <c r="F104" s="3" t="s">
        <v>9</v>
      </c>
      <c r="G104" s="3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110</v>
      </c>
      <c r="D105" s="3" t="s">
        <v>9</v>
      </c>
      <c r="E105" s="3" t="s">
        <v>9</v>
      </c>
      <c r="F105" s="15">
        <v>0</v>
      </c>
      <c r="G105" s="16">
        <v>0</v>
      </c>
      <c r="H105" s="164"/>
    </row>
    <row r="106" spans="1:8" x14ac:dyDescent="0.2">
      <c r="A106" s="3" t="s">
        <v>9</v>
      </c>
      <c r="B106" s="3" t="s">
        <v>9</v>
      </c>
      <c r="C106" s="13" t="s">
        <v>9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120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110</v>
      </c>
      <c r="D108" s="3" t="s">
        <v>9</v>
      </c>
      <c r="E108" s="3" t="s">
        <v>9</v>
      </c>
      <c r="F108" s="15">
        <v>0</v>
      </c>
      <c r="G108" s="16">
        <v>0</v>
      </c>
      <c r="H108" s="164"/>
    </row>
    <row r="109" spans="1:8" x14ac:dyDescent="0.2">
      <c r="A109" s="3" t="s">
        <v>9</v>
      </c>
      <c r="B109" s="3" t="s">
        <v>9</v>
      </c>
      <c r="C109" s="13" t="s">
        <v>9</v>
      </c>
      <c r="D109" s="3" t="s">
        <v>9</v>
      </c>
      <c r="E109" s="3" t="s">
        <v>9</v>
      </c>
      <c r="F109" s="14" t="s">
        <v>9</v>
      </c>
      <c r="G109" s="14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121</v>
      </c>
      <c r="D110" s="3" t="s">
        <v>9</v>
      </c>
      <c r="E110" s="3" t="s">
        <v>9</v>
      </c>
      <c r="F110" s="11">
        <v>0</v>
      </c>
      <c r="G110" s="12">
        <v>0</v>
      </c>
      <c r="H110" s="164"/>
    </row>
    <row r="111" spans="1:8" x14ac:dyDescent="0.2">
      <c r="A111" s="3" t="s">
        <v>9</v>
      </c>
      <c r="B111" s="3" t="s">
        <v>9</v>
      </c>
      <c r="C111" s="13" t="s">
        <v>9</v>
      </c>
      <c r="D111" s="3" t="s">
        <v>9</v>
      </c>
      <c r="E111" s="3" t="s">
        <v>9</v>
      </c>
      <c r="F111" s="14" t="s">
        <v>9</v>
      </c>
      <c r="G111" s="14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122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123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3" t="s">
        <v>9</v>
      </c>
      <c r="B114" s="3" t="s">
        <v>9</v>
      </c>
      <c r="C114" s="4" t="s">
        <v>110</v>
      </c>
      <c r="D114" s="3" t="s">
        <v>9</v>
      </c>
      <c r="E114" s="3" t="s">
        <v>9</v>
      </c>
      <c r="F114" s="15">
        <v>0</v>
      </c>
      <c r="G114" s="16">
        <v>0</v>
      </c>
      <c r="H114" s="164"/>
    </row>
    <row r="115" spans="1:8" x14ac:dyDescent="0.2">
      <c r="A115" s="3" t="s">
        <v>9</v>
      </c>
      <c r="B115" s="3" t="s">
        <v>9</v>
      </c>
      <c r="C115" s="13" t="s">
        <v>9</v>
      </c>
      <c r="D115" s="3" t="s">
        <v>9</v>
      </c>
      <c r="E115" s="3" t="s">
        <v>9</v>
      </c>
      <c r="F115" s="14" t="s">
        <v>9</v>
      </c>
      <c r="G115" s="14" t="s">
        <v>9</v>
      </c>
      <c r="H115" s="164"/>
    </row>
    <row r="116" spans="1:8" x14ac:dyDescent="0.2">
      <c r="A116" s="3" t="s">
        <v>9</v>
      </c>
      <c r="B116" s="3" t="s">
        <v>9</v>
      </c>
      <c r="C116" s="4" t="s">
        <v>124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3" t="s">
        <v>9</v>
      </c>
      <c r="B117" s="3" t="s">
        <v>9</v>
      </c>
      <c r="C117" s="4" t="s">
        <v>110</v>
      </c>
      <c r="D117" s="3" t="s">
        <v>9</v>
      </c>
      <c r="E117" s="3" t="s">
        <v>9</v>
      </c>
      <c r="F117" s="15">
        <v>0</v>
      </c>
      <c r="G117" s="16">
        <v>0</v>
      </c>
      <c r="H117" s="164"/>
    </row>
    <row r="118" spans="1:8" x14ac:dyDescent="0.2">
      <c r="A118" s="3" t="s">
        <v>9</v>
      </c>
      <c r="B118" s="3" t="s">
        <v>9</v>
      </c>
      <c r="C118" s="13" t="s">
        <v>9</v>
      </c>
      <c r="D118" s="3" t="s">
        <v>9</v>
      </c>
      <c r="E118" s="3" t="s">
        <v>9</v>
      </c>
      <c r="F118" s="14" t="s">
        <v>9</v>
      </c>
      <c r="G118" s="14" t="s">
        <v>9</v>
      </c>
      <c r="H118" s="164"/>
    </row>
    <row r="119" spans="1:8" x14ac:dyDescent="0.2">
      <c r="A119" s="3" t="s">
        <v>9</v>
      </c>
      <c r="B119" s="3" t="s">
        <v>9</v>
      </c>
      <c r="C119" s="4" t="s">
        <v>125</v>
      </c>
      <c r="D119" s="3" t="s">
        <v>9</v>
      </c>
      <c r="E119" s="3" t="s">
        <v>9</v>
      </c>
      <c r="F119" s="14" t="s">
        <v>9</v>
      </c>
      <c r="G119" s="14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110</v>
      </c>
      <c r="D120" s="3" t="s">
        <v>9</v>
      </c>
      <c r="E120" s="3" t="s">
        <v>9</v>
      </c>
      <c r="F120" s="15">
        <v>0</v>
      </c>
      <c r="G120" s="16">
        <v>0</v>
      </c>
      <c r="H120" s="164"/>
    </row>
    <row r="121" spans="1:8" x14ac:dyDescent="0.2">
      <c r="A121" s="3" t="s">
        <v>9</v>
      </c>
      <c r="B121" s="3" t="s">
        <v>9</v>
      </c>
      <c r="C121" s="13" t="s">
        <v>9</v>
      </c>
      <c r="D121" s="3" t="s">
        <v>9</v>
      </c>
      <c r="E121" s="3" t="s">
        <v>9</v>
      </c>
      <c r="F121" s="14" t="s">
        <v>9</v>
      </c>
      <c r="G121" s="14" t="s">
        <v>9</v>
      </c>
      <c r="H121" s="164"/>
    </row>
    <row r="122" spans="1:8" x14ac:dyDescent="0.2">
      <c r="A122" s="3" t="s">
        <v>9</v>
      </c>
      <c r="B122" s="3" t="s">
        <v>9</v>
      </c>
      <c r="C122" s="4" t="s">
        <v>126</v>
      </c>
      <c r="D122" s="3" t="s">
        <v>9</v>
      </c>
      <c r="E122" s="3" t="s">
        <v>9</v>
      </c>
      <c r="F122" s="14" t="s">
        <v>9</v>
      </c>
      <c r="G122" s="14" t="s">
        <v>9</v>
      </c>
      <c r="H122" s="164"/>
    </row>
    <row r="123" spans="1:8" x14ac:dyDescent="0.2">
      <c r="A123" s="5">
        <v>1</v>
      </c>
      <c r="B123" s="6"/>
      <c r="C123" s="6" t="s">
        <v>127</v>
      </c>
      <c r="D123" s="6"/>
      <c r="E123" s="10" t="s">
        <v>9</v>
      </c>
      <c r="F123" s="8">
        <v>419.01333390000002</v>
      </c>
      <c r="G123" s="9">
        <v>3.2856324999999999E-2</v>
      </c>
      <c r="H123" s="90">
        <v>3.22</v>
      </c>
    </row>
    <row r="124" spans="1:8" x14ac:dyDescent="0.2">
      <c r="A124" s="5">
        <v>2</v>
      </c>
      <c r="B124" s="6"/>
      <c r="C124" s="6" t="s">
        <v>128</v>
      </c>
      <c r="D124" s="6"/>
      <c r="E124" s="10" t="s">
        <v>9</v>
      </c>
      <c r="F124" s="8">
        <v>118.41117149999999</v>
      </c>
      <c r="G124" s="9">
        <v>9.2850410000000008E-3</v>
      </c>
      <c r="H124" s="90">
        <v>3.34</v>
      </c>
    </row>
    <row r="125" spans="1:8" x14ac:dyDescent="0.2">
      <c r="A125" s="3" t="s">
        <v>9</v>
      </c>
      <c r="B125" s="3" t="s">
        <v>9</v>
      </c>
      <c r="C125" s="4" t="s">
        <v>110</v>
      </c>
      <c r="D125" s="3" t="s">
        <v>9</v>
      </c>
      <c r="E125" s="3" t="s">
        <v>9</v>
      </c>
      <c r="F125" s="11">
        <v>537.42450540000004</v>
      </c>
      <c r="G125" s="12">
        <v>4.2141366E-2</v>
      </c>
      <c r="H125" s="164"/>
    </row>
    <row r="126" spans="1:8" x14ac:dyDescent="0.2">
      <c r="A126" s="3" t="s">
        <v>9</v>
      </c>
      <c r="B126" s="3" t="s">
        <v>9</v>
      </c>
      <c r="C126" s="13" t="s">
        <v>9</v>
      </c>
      <c r="D126" s="3" t="s">
        <v>9</v>
      </c>
      <c r="E126" s="3" t="s">
        <v>9</v>
      </c>
      <c r="F126" s="14" t="s">
        <v>9</v>
      </c>
      <c r="G126" s="14" t="s">
        <v>9</v>
      </c>
      <c r="H126" s="164"/>
    </row>
    <row r="127" spans="1:8" x14ac:dyDescent="0.2">
      <c r="A127" s="3" t="s">
        <v>9</v>
      </c>
      <c r="B127" s="3" t="s">
        <v>9</v>
      </c>
      <c r="C127" s="4" t="s">
        <v>129</v>
      </c>
      <c r="D127" s="3" t="s">
        <v>9</v>
      </c>
      <c r="E127" s="3" t="s">
        <v>9</v>
      </c>
      <c r="F127" s="11">
        <v>537.42450540000004</v>
      </c>
      <c r="G127" s="12">
        <v>4.2141366E-2</v>
      </c>
      <c r="H127" s="164"/>
    </row>
    <row r="128" spans="1:8" x14ac:dyDescent="0.2">
      <c r="A128" s="3" t="s">
        <v>9</v>
      </c>
      <c r="B128" s="3" t="s">
        <v>9</v>
      </c>
      <c r="C128" s="14" t="s">
        <v>9</v>
      </c>
      <c r="D128" s="3" t="s">
        <v>9</v>
      </c>
      <c r="E128" s="3" t="s">
        <v>9</v>
      </c>
      <c r="F128" s="3" t="s">
        <v>9</v>
      </c>
      <c r="G128" s="3" t="s">
        <v>9</v>
      </c>
      <c r="H128" s="164"/>
    </row>
    <row r="129" spans="1:8" x14ac:dyDescent="0.2">
      <c r="A129" s="3" t="s">
        <v>9</v>
      </c>
      <c r="B129" s="3" t="s">
        <v>9</v>
      </c>
      <c r="C129" s="4" t="s">
        <v>130</v>
      </c>
      <c r="D129" s="3" t="s">
        <v>9</v>
      </c>
      <c r="E129" s="3" t="s">
        <v>9</v>
      </c>
      <c r="F129" s="3" t="s">
        <v>9</v>
      </c>
      <c r="G129" s="3" t="s">
        <v>9</v>
      </c>
      <c r="H129" s="164"/>
    </row>
    <row r="130" spans="1:8" x14ac:dyDescent="0.2">
      <c r="A130" s="3" t="s">
        <v>9</v>
      </c>
      <c r="B130" s="3" t="s">
        <v>9</v>
      </c>
      <c r="C130" s="4" t="s">
        <v>131</v>
      </c>
      <c r="D130" s="3" t="s">
        <v>9</v>
      </c>
      <c r="E130" s="3" t="s">
        <v>9</v>
      </c>
      <c r="F130" s="3" t="s">
        <v>9</v>
      </c>
      <c r="G130" s="3" t="s">
        <v>9</v>
      </c>
      <c r="H130" s="164"/>
    </row>
    <row r="131" spans="1:8" x14ac:dyDescent="0.2">
      <c r="A131" s="3" t="s">
        <v>9</v>
      </c>
      <c r="B131" s="3" t="s">
        <v>9</v>
      </c>
      <c r="C131" s="4" t="s">
        <v>110</v>
      </c>
      <c r="D131" s="3" t="s">
        <v>9</v>
      </c>
      <c r="E131" s="3" t="s">
        <v>9</v>
      </c>
      <c r="F131" s="15">
        <v>0</v>
      </c>
      <c r="G131" s="16">
        <v>0</v>
      </c>
      <c r="H131" s="164"/>
    </row>
    <row r="132" spans="1:8" x14ac:dyDescent="0.2">
      <c r="A132" s="3" t="s">
        <v>9</v>
      </c>
      <c r="B132" s="3" t="s">
        <v>9</v>
      </c>
      <c r="C132" s="13" t="s">
        <v>9</v>
      </c>
      <c r="D132" s="3" t="s">
        <v>9</v>
      </c>
      <c r="E132" s="3" t="s">
        <v>9</v>
      </c>
      <c r="F132" s="14" t="s">
        <v>9</v>
      </c>
      <c r="G132" s="14" t="s">
        <v>9</v>
      </c>
      <c r="H132" s="164"/>
    </row>
    <row r="133" spans="1:8" x14ac:dyDescent="0.2">
      <c r="A133" s="3" t="s">
        <v>9</v>
      </c>
      <c r="B133" s="3" t="s">
        <v>9</v>
      </c>
      <c r="C133" s="4" t="s">
        <v>132</v>
      </c>
      <c r="D133" s="3" t="s">
        <v>9</v>
      </c>
      <c r="E133" s="3" t="s">
        <v>9</v>
      </c>
      <c r="F133" s="3" t="s">
        <v>9</v>
      </c>
      <c r="G133" s="3" t="s">
        <v>9</v>
      </c>
      <c r="H133" s="164"/>
    </row>
    <row r="134" spans="1:8" x14ac:dyDescent="0.2">
      <c r="A134" s="3" t="s">
        <v>9</v>
      </c>
      <c r="B134" s="3" t="s">
        <v>9</v>
      </c>
      <c r="C134" s="4" t="s">
        <v>133</v>
      </c>
      <c r="D134" s="3" t="s">
        <v>9</v>
      </c>
      <c r="E134" s="3" t="s">
        <v>9</v>
      </c>
      <c r="F134" s="3" t="s">
        <v>9</v>
      </c>
      <c r="G134" s="3" t="s">
        <v>9</v>
      </c>
      <c r="H134" s="164"/>
    </row>
    <row r="135" spans="1:8" x14ac:dyDescent="0.2">
      <c r="A135" s="3" t="s">
        <v>9</v>
      </c>
      <c r="B135" s="3" t="s">
        <v>9</v>
      </c>
      <c r="C135" s="4" t="s">
        <v>110</v>
      </c>
      <c r="D135" s="3" t="s">
        <v>9</v>
      </c>
      <c r="E135" s="3" t="s">
        <v>9</v>
      </c>
      <c r="F135" s="15">
        <v>0</v>
      </c>
      <c r="G135" s="16">
        <v>0</v>
      </c>
      <c r="H135" s="164"/>
    </row>
    <row r="136" spans="1:8" x14ac:dyDescent="0.2">
      <c r="A136" s="3" t="s">
        <v>9</v>
      </c>
      <c r="B136" s="3" t="s">
        <v>9</v>
      </c>
      <c r="C136" s="13" t="s">
        <v>9</v>
      </c>
      <c r="D136" s="3" t="s">
        <v>9</v>
      </c>
      <c r="E136" s="3" t="s">
        <v>9</v>
      </c>
      <c r="F136" s="14" t="s">
        <v>9</v>
      </c>
      <c r="G136" s="14" t="s">
        <v>9</v>
      </c>
      <c r="H136" s="164"/>
    </row>
    <row r="137" spans="1:8" x14ac:dyDescent="0.2">
      <c r="A137" s="3" t="s">
        <v>9</v>
      </c>
      <c r="B137" s="3" t="s">
        <v>9</v>
      </c>
      <c r="C137" s="13" t="s">
        <v>9</v>
      </c>
      <c r="D137" s="3" t="s">
        <v>9</v>
      </c>
      <c r="E137" s="3" t="s">
        <v>9</v>
      </c>
      <c r="F137" s="14" t="s">
        <v>9</v>
      </c>
      <c r="G137" s="14" t="s">
        <v>9</v>
      </c>
      <c r="H137" s="164"/>
    </row>
    <row r="138" spans="1:8" ht="25.5" x14ac:dyDescent="0.2">
      <c r="A138" s="3" t="s">
        <v>9</v>
      </c>
      <c r="B138" s="3" t="s">
        <v>9</v>
      </c>
      <c r="C138" s="4" t="s">
        <v>134</v>
      </c>
      <c r="D138" s="3" t="s">
        <v>9</v>
      </c>
      <c r="E138" s="3" t="s">
        <v>9</v>
      </c>
      <c r="F138" s="14" t="s">
        <v>9</v>
      </c>
      <c r="G138" s="14" t="s">
        <v>9</v>
      </c>
      <c r="H138" s="164"/>
    </row>
    <row r="139" spans="1:8" x14ac:dyDescent="0.2">
      <c r="A139" s="3" t="s">
        <v>9</v>
      </c>
      <c r="B139" s="3" t="s">
        <v>9</v>
      </c>
      <c r="C139" s="4" t="s">
        <v>110</v>
      </c>
      <c r="D139" s="3" t="s">
        <v>9</v>
      </c>
      <c r="E139" s="3" t="s">
        <v>9</v>
      </c>
      <c r="F139" s="15">
        <v>0</v>
      </c>
      <c r="G139" s="16">
        <v>0</v>
      </c>
      <c r="H139" s="164"/>
    </row>
    <row r="140" spans="1:8" x14ac:dyDescent="0.2">
      <c r="A140" s="3" t="s">
        <v>9</v>
      </c>
      <c r="B140" s="3" t="s">
        <v>9</v>
      </c>
      <c r="C140" s="13" t="s">
        <v>9</v>
      </c>
      <c r="D140" s="3" t="s">
        <v>9</v>
      </c>
      <c r="E140" s="3" t="s">
        <v>9</v>
      </c>
      <c r="F140" s="14" t="s">
        <v>9</v>
      </c>
      <c r="G140" s="14" t="s">
        <v>9</v>
      </c>
      <c r="H140" s="164"/>
    </row>
    <row r="141" spans="1:8" x14ac:dyDescent="0.2">
      <c r="A141" s="3" t="s">
        <v>9</v>
      </c>
      <c r="B141" s="6" t="s">
        <v>9</v>
      </c>
      <c r="C141" s="6" t="s">
        <v>9</v>
      </c>
      <c r="D141" s="4" t="s">
        <v>9</v>
      </c>
      <c r="E141" s="3" t="s">
        <v>9</v>
      </c>
      <c r="F141" s="6" t="s">
        <v>9</v>
      </c>
      <c r="G141" s="10" t="s">
        <v>9</v>
      </c>
      <c r="H141" s="164"/>
    </row>
    <row r="142" spans="1:8" x14ac:dyDescent="0.2">
      <c r="A142" s="10" t="s">
        <v>9</v>
      </c>
      <c r="B142" s="6" t="s">
        <v>9</v>
      </c>
      <c r="C142" s="6" t="s">
        <v>135</v>
      </c>
      <c r="D142" s="6" t="s">
        <v>9</v>
      </c>
      <c r="E142" s="10" t="s">
        <v>9</v>
      </c>
      <c r="F142" s="8">
        <v>58.5699057</v>
      </c>
      <c r="G142" s="9">
        <v>4.5926739999999997E-3</v>
      </c>
      <c r="H142" s="164"/>
    </row>
    <row r="143" spans="1:8" x14ac:dyDescent="0.2">
      <c r="A143" s="13" t="s">
        <v>9</v>
      </c>
      <c r="B143" s="13" t="s">
        <v>9</v>
      </c>
      <c r="C143" s="4" t="s">
        <v>136</v>
      </c>
      <c r="D143" s="17" t="s">
        <v>9</v>
      </c>
      <c r="E143" s="17" t="s">
        <v>9</v>
      </c>
      <c r="F143" s="11">
        <v>12752.897214099999</v>
      </c>
      <c r="G143" s="12">
        <v>1</v>
      </c>
      <c r="H143" s="164"/>
    </row>
    <row r="144" spans="1:8" ht="14.1" customHeight="1" x14ac:dyDescent="0.2">
      <c r="A144" s="18" t="s">
        <v>9</v>
      </c>
      <c r="B144" s="18" t="s">
        <v>9</v>
      </c>
      <c r="C144" s="18" t="s">
        <v>9</v>
      </c>
      <c r="D144" s="19" t="s">
        <v>9</v>
      </c>
      <c r="E144" s="19" t="s">
        <v>9</v>
      </c>
      <c r="F144" s="19" t="s">
        <v>9</v>
      </c>
      <c r="G144" s="19" t="s">
        <v>9</v>
      </c>
    </row>
    <row r="145" spans="1:7" ht="14.1" customHeight="1" x14ac:dyDescent="0.2">
      <c r="A145" s="20" t="s">
        <v>9</v>
      </c>
      <c r="B145" s="228" t="s">
        <v>9</v>
      </c>
      <c r="C145" s="228"/>
      <c r="D145" s="228"/>
      <c r="E145" s="228"/>
      <c r="F145" s="228"/>
      <c r="G145" s="22" t="s">
        <v>9</v>
      </c>
    </row>
    <row r="146" spans="1:7" ht="14.1" customHeight="1" x14ac:dyDescent="0.2">
      <c r="A146" s="20" t="s">
        <v>9</v>
      </c>
      <c r="B146" s="228" t="s">
        <v>9</v>
      </c>
      <c r="C146" s="228"/>
      <c r="D146" s="228"/>
      <c r="E146" s="228"/>
      <c r="F146" s="228"/>
      <c r="G146" s="22" t="s">
        <v>9</v>
      </c>
    </row>
    <row r="147" spans="1:7" ht="14.1" customHeight="1" x14ac:dyDescent="0.2">
      <c r="A147" s="20" t="s">
        <v>9</v>
      </c>
      <c r="B147" s="20" t="s">
        <v>9</v>
      </c>
      <c r="C147" s="20" t="s">
        <v>9</v>
      </c>
      <c r="D147" s="22" t="s">
        <v>9</v>
      </c>
      <c r="E147" s="22" t="s">
        <v>9</v>
      </c>
      <c r="F147" s="22" t="s">
        <v>9</v>
      </c>
      <c r="G147" s="22" t="s">
        <v>9</v>
      </c>
    </row>
    <row r="148" spans="1:7" ht="14.1" customHeight="1" x14ac:dyDescent="0.2">
      <c r="A148" s="20" t="s">
        <v>9</v>
      </c>
      <c r="B148" s="226" t="s">
        <v>138</v>
      </c>
      <c r="C148" s="227"/>
      <c r="D148" s="14" t="s">
        <v>9</v>
      </c>
      <c r="E148" s="23" t="s">
        <v>9</v>
      </c>
      <c r="F148" s="22" t="s">
        <v>9</v>
      </c>
      <c r="G148" s="22" t="s">
        <v>9</v>
      </c>
    </row>
    <row r="149" spans="1:7" ht="29.1" customHeight="1" x14ac:dyDescent="0.2">
      <c r="A149" s="20" t="s">
        <v>9</v>
      </c>
      <c r="B149" s="233" t="s">
        <v>139</v>
      </c>
      <c r="C149" s="234"/>
      <c r="D149" s="4" t="s">
        <v>140</v>
      </c>
      <c r="E149" s="23" t="s">
        <v>9</v>
      </c>
      <c r="F149" s="22" t="s">
        <v>9</v>
      </c>
      <c r="G149" s="22" t="s">
        <v>9</v>
      </c>
    </row>
    <row r="150" spans="1:7" ht="17.100000000000001" customHeight="1" x14ac:dyDescent="0.2">
      <c r="A150" s="20" t="s">
        <v>9</v>
      </c>
      <c r="B150" s="233" t="s">
        <v>141</v>
      </c>
      <c r="C150" s="234"/>
      <c r="D150" s="4" t="s">
        <v>140</v>
      </c>
      <c r="E150" s="23" t="s">
        <v>9</v>
      </c>
      <c r="F150" s="22" t="s">
        <v>9</v>
      </c>
      <c r="G150" s="22" t="s">
        <v>9</v>
      </c>
    </row>
    <row r="151" spans="1:7" ht="17.100000000000001" customHeight="1" x14ac:dyDescent="0.2">
      <c r="A151" s="20" t="s">
        <v>9</v>
      </c>
      <c r="B151" s="233" t="s">
        <v>142</v>
      </c>
      <c r="C151" s="234"/>
      <c r="D151" s="14" t="s">
        <v>9</v>
      </c>
      <c r="E151" s="23" t="s">
        <v>9</v>
      </c>
      <c r="F151" s="22" t="s">
        <v>9</v>
      </c>
      <c r="G151" s="22" t="s">
        <v>9</v>
      </c>
    </row>
    <row r="152" spans="1:7" ht="24" customHeight="1" x14ac:dyDescent="0.2">
      <c r="A152" s="24" t="s">
        <v>9</v>
      </c>
      <c r="B152" s="25" t="s">
        <v>9</v>
      </c>
      <c r="C152" s="25" t="s">
        <v>143</v>
      </c>
      <c r="D152" s="25" t="s">
        <v>144</v>
      </c>
      <c r="E152" s="24" t="s">
        <v>9</v>
      </c>
      <c r="F152" s="24" t="s">
        <v>9</v>
      </c>
      <c r="G152" s="24" t="s">
        <v>9</v>
      </c>
    </row>
    <row r="153" spans="1:7" ht="18" customHeight="1" x14ac:dyDescent="0.2">
      <c r="A153" s="24" t="s">
        <v>9</v>
      </c>
      <c r="B153" s="25" t="s">
        <v>145</v>
      </c>
      <c r="C153" s="25" t="s">
        <v>146</v>
      </c>
      <c r="D153" s="25" t="s">
        <v>147</v>
      </c>
      <c r="E153" s="24" t="s">
        <v>9</v>
      </c>
      <c r="F153" s="24" t="s">
        <v>9</v>
      </c>
      <c r="G153" s="24" t="s">
        <v>9</v>
      </c>
    </row>
    <row r="154" spans="1:7" ht="17.100000000000001" customHeight="1" x14ac:dyDescent="0.2">
      <c r="A154" s="24" t="s">
        <v>9</v>
      </c>
      <c r="B154" s="6" t="s">
        <v>148</v>
      </c>
      <c r="C154" s="26">
        <v>13.0885</v>
      </c>
      <c r="D154" s="26">
        <v>14.3515</v>
      </c>
      <c r="E154" s="24" t="s">
        <v>9</v>
      </c>
      <c r="F154" s="21" t="s">
        <v>9</v>
      </c>
      <c r="G154" s="27" t="s">
        <v>9</v>
      </c>
    </row>
    <row r="155" spans="1:7" ht="17.100000000000001" customHeight="1" x14ac:dyDescent="0.2">
      <c r="A155" s="24" t="s">
        <v>9</v>
      </c>
      <c r="B155" s="6" t="s">
        <v>839</v>
      </c>
      <c r="C155" s="26">
        <v>13.0885</v>
      </c>
      <c r="D155" s="26">
        <v>14.3515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149</v>
      </c>
      <c r="C156" s="26">
        <v>12.798400000000001</v>
      </c>
      <c r="D156" s="26">
        <v>14.0265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6" t="s">
        <v>840</v>
      </c>
      <c r="C157" s="26">
        <v>12.798400000000001</v>
      </c>
      <c r="D157" s="26">
        <v>14.0265</v>
      </c>
      <c r="E157" s="24" t="s">
        <v>9</v>
      </c>
      <c r="F157" s="21" t="s">
        <v>9</v>
      </c>
      <c r="G157" s="27" t="s">
        <v>9</v>
      </c>
    </row>
    <row r="158" spans="1:7" ht="14.1" customHeight="1" x14ac:dyDescent="0.2">
      <c r="A158" s="24" t="s">
        <v>9</v>
      </c>
      <c r="B158" s="24" t="s">
        <v>9</v>
      </c>
      <c r="C158" s="24" t="s">
        <v>9</v>
      </c>
      <c r="D158" s="24" t="s">
        <v>9</v>
      </c>
      <c r="E158" s="24" t="s">
        <v>9</v>
      </c>
      <c r="F158" s="24" t="s">
        <v>9</v>
      </c>
      <c r="G158" s="24" t="s">
        <v>9</v>
      </c>
    </row>
    <row r="159" spans="1:7" ht="17.100000000000001" customHeight="1" x14ac:dyDescent="0.2">
      <c r="A159" s="24" t="s">
        <v>9</v>
      </c>
      <c r="B159" s="233" t="s">
        <v>1003</v>
      </c>
      <c r="C159" s="234"/>
      <c r="D159" s="4" t="s">
        <v>140</v>
      </c>
      <c r="E159" s="24" t="s">
        <v>9</v>
      </c>
      <c r="F159" s="24" t="s">
        <v>9</v>
      </c>
      <c r="G159" s="24" t="s">
        <v>9</v>
      </c>
    </row>
    <row r="160" spans="1:7" ht="18" customHeight="1" x14ac:dyDescent="0.2">
      <c r="A160" s="24" t="s">
        <v>9</v>
      </c>
      <c r="B160" s="28" t="s">
        <v>150</v>
      </c>
      <c r="C160" s="28" t="s">
        <v>150</v>
      </c>
      <c r="D160" s="28" t="s">
        <v>9</v>
      </c>
      <c r="E160" s="24" t="s">
        <v>9</v>
      </c>
      <c r="F160" s="24" t="s">
        <v>9</v>
      </c>
      <c r="G160" s="24" t="s">
        <v>9</v>
      </c>
    </row>
    <row r="161" spans="1:7" s="169" customFormat="1" x14ac:dyDescent="0.2">
      <c r="B161" s="235" t="s">
        <v>841</v>
      </c>
      <c r="C161" s="235"/>
      <c r="D161" s="235"/>
      <c r="E161" s="235"/>
      <c r="F161" s="235"/>
    </row>
    <row r="162" spans="1:7" ht="14.1" customHeight="1" x14ac:dyDescent="0.2">
      <c r="A162" s="24" t="s">
        <v>9</v>
      </c>
      <c r="B162" s="21" t="s">
        <v>9</v>
      </c>
      <c r="C162" s="21" t="s">
        <v>9</v>
      </c>
      <c r="D162" s="24" t="s">
        <v>9</v>
      </c>
      <c r="E162" s="24" t="s">
        <v>9</v>
      </c>
      <c r="F162" s="24" t="s">
        <v>9</v>
      </c>
      <c r="G162" s="24" t="s">
        <v>9</v>
      </c>
    </row>
    <row r="163" spans="1:7" ht="29.1" customHeight="1" x14ac:dyDescent="0.2">
      <c r="A163" s="24" t="s">
        <v>9</v>
      </c>
      <c r="B163" s="233" t="s">
        <v>151</v>
      </c>
      <c r="C163" s="234"/>
      <c r="D163" s="4" t="s">
        <v>140</v>
      </c>
      <c r="E163" s="24" t="s">
        <v>9</v>
      </c>
      <c r="F163" s="24" t="s">
        <v>9</v>
      </c>
      <c r="G163" s="24" t="s">
        <v>9</v>
      </c>
    </row>
    <row r="164" spans="1:7" ht="29.1" customHeight="1" x14ac:dyDescent="0.2">
      <c r="A164" s="24" t="s">
        <v>9</v>
      </c>
      <c r="B164" s="233" t="s">
        <v>152</v>
      </c>
      <c r="C164" s="234"/>
      <c r="D164" s="4" t="s">
        <v>140</v>
      </c>
      <c r="E164" s="24" t="s">
        <v>9</v>
      </c>
      <c r="F164" s="24" t="s">
        <v>9</v>
      </c>
      <c r="G164" s="24" t="s">
        <v>9</v>
      </c>
    </row>
    <row r="165" spans="1:7" ht="17.100000000000001" customHeight="1" x14ac:dyDescent="0.2">
      <c r="A165" s="24" t="s">
        <v>9</v>
      </c>
      <c r="B165" s="233" t="s">
        <v>153</v>
      </c>
      <c r="C165" s="234"/>
      <c r="D165" s="29">
        <v>0.52478570511222034</v>
      </c>
      <c r="E165" s="24" t="s">
        <v>9</v>
      </c>
      <c r="F165" s="21" t="s">
        <v>9</v>
      </c>
      <c r="G165" s="27" t="s">
        <v>9</v>
      </c>
    </row>
    <row r="166" spans="1:7" ht="17.100000000000001" customHeight="1" x14ac:dyDescent="0.2">
      <c r="A166" s="24" t="s">
        <v>9</v>
      </c>
      <c r="B166" s="233" t="s">
        <v>154</v>
      </c>
      <c r="C166" s="234"/>
      <c r="D166" s="4" t="s">
        <v>140</v>
      </c>
      <c r="E166" s="24" t="s">
        <v>9</v>
      </c>
      <c r="F166" s="24" t="s">
        <v>9</v>
      </c>
      <c r="G166" s="24" t="s">
        <v>9</v>
      </c>
    </row>
  </sheetData>
  <mergeCells count="15">
    <mergeCell ref="B165:C165"/>
    <mergeCell ref="B166:C166"/>
    <mergeCell ref="B149:C149"/>
    <mergeCell ref="B150:C150"/>
    <mergeCell ref="B151:C151"/>
    <mergeCell ref="B159:C159"/>
    <mergeCell ref="B163:C163"/>
    <mergeCell ref="B164:C164"/>
    <mergeCell ref="B161:F161"/>
    <mergeCell ref="B148:C148"/>
    <mergeCell ref="B145:F145"/>
    <mergeCell ref="B146:F14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67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298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26959</v>
      </c>
      <c r="F7" s="8">
        <v>337.55363899999998</v>
      </c>
      <c r="G7" s="9">
        <v>3.1298648999999998E-2</v>
      </c>
      <c r="H7" s="164"/>
    </row>
    <row r="8" spans="1:8" x14ac:dyDescent="0.2">
      <c r="A8" s="5">
        <v>2</v>
      </c>
      <c r="B8" s="6" t="s">
        <v>156</v>
      </c>
      <c r="C8" s="6" t="s">
        <v>157</v>
      </c>
      <c r="D8" s="6" t="s">
        <v>158</v>
      </c>
      <c r="E8" s="7">
        <v>9140</v>
      </c>
      <c r="F8" s="8">
        <v>334.27265</v>
      </c>
      <c r="G8" s="9">
        <v>3.0994429E-2</v>
      </c>
      <c r="H8" s="164"/>
    </row>
    <row r="9" spans="1:8" x14ac:dyDescent="0.2">
      <c r="A9" s="5">
        <v>3</v>
      </c>
      <c r="B9" s="6" t="s">
        <v>162</v>
      </c>
      <c r="C9" s="6" t="s">
        <v>163</v>
      </c>
      <c r="D9" s="6" t="s">
        <v>158</v>
      </c>
      <c r="E9" s="7">
        <v>26544</v>
      </c>
      <c r="F9" s="8">
        <v>328.20328799999999</v>
      </c>
      <c r="G9" s="9">
        <v>3.0431665E-2</v>
      </c>
      <c r="H9" s="164"/>
    </row>
    <row r="10" spans="1:8" x14ac:dyDescent="0.2">
      <c r="A10" s="5">
        <v>4</v>
      </c>
      <c r="B10" s="6" t="s">
        <v>159</v>
      </c>
      <c r="C10" s="6" t="s">
        <v>160</v>
      </c>
      <c r="D10" s="6" t="s">
        <v>161</v>
      </c>
      <c r="E10" s="7">
        <v>229363</v>
      </c>
      <c r="F10" s="8">
        <v>295.53422549999999</v>
      </c>
      <c r="G10" s="9">
        <v>2.7402525E-2</v>
      </c>
      <c r="H10" s="164"/>
    </row>
    <row r="11" spans="1:8" x14ac:dyDescent="0.2">
      <c r="A11" s="5">
        <v>5</v>
      </c>
      <c r="B11" s="6" t="s">
        <v>164</v>
      </c>
      <c r="C11" s="6" t="s">
        <v>165</v>
      </c>
      <c r="D11" s="6" t="s">
        <v>28</v>
      </c>
      <c r="E11" s="7">
        <v>32892</v>
      </c>
      <c r="F11" s="8">
        <v>251.475786</v>
      </c>
      <c r="G11" s="9">
        <v>2.3317338E-2</v>
      </c>
      <c r="H11" s="164"/>
    </row>
    <row r="12" spans="1:8" x14ac:dyDescent="0.2">
      <c r="A12" s="5">
        <v>6</v>
      </c>
      <c r="B12" s="6" t="s">
        <v>166</v>
      </c>
      <c r="C12" s="6" t="s">
        <v>167</v>
      </c>
      <c r="D12" s="6" t="s">
        <v>927</v>
      </c>
      <c r="E12" s="7">
        <v>20482</v>
      </c>
      <c r="F12" s="8">
        <v>243.17254500000001</v>
      </c>
      <c r="G12" s="9">
        <v>2.2547444999999999E-2</v>
      </c>
      <c r="H12" s="164"/>
    </row>
    <row r="13" spans="1:8" x14ac:dyDescent="0.2">
      <c r="A13" s="5">
        <v>7</v>
      </c>
      <c r="B13" s="6" t="s">
        <v>168</v>
      </c>
      <c r="C13" s="6" t="s">
        <v>169</v>
      </c>
      <c r="D13" s="6" t="s">
        <v>28</v>
      </c>
      <c r="E13" s="7">
        <v>32056</v>
      </c>
      <c r="F13" s="8">
        <v>227.21292800000001</v>
      </c>
      <c r="G13" s="9">
        <v>2.1067637E-2</v>
      </c>
      <c r="H13" s="164"/>
    </row>
    <row r="14" spans="1:8" x14ac:dyDescent="0.2">
      <c r="A14" s="5">
        <v>8</v>
      </c>
      <c r="B14" s="6" t="s">
        <v>296</v>
      </c>
      <c r="C14" s="6" t="s">
        <v>297</v>
      </c>
      <c r="D14" s="6" t="s">
        <v>37</v>
      </c>
      <c r="E14" s="7">
        <v>12753</v>
      </c>
      <c r="F14" s="8">
        <v>220.920219</v>
      </c>
      <c r="G14" s="9">
        <v>2.0484164999999999E-2</v>
      </c>
      <c r="H14" s="164"/>
    </row>
    <row r="15" spans="1:8" ht="25.5" x14ac:dyDescent="0.2">
      <c r="A15" s="5">
        <v>9</v>
      </c>
      <c r="B15" s="6" t="s">
        <v>29</v>
      </c>
      <c r="C15" s="6" t="s">
        <v>30</v>
      </c>
      <c r="D15" s="6" t="s">
        <v>925</v>
      </c>
      <c r="E15" s="7">
        <v>6541</v>
      </c>
      <c r="F15" s="8">
        <v>213.18100150000001</v>
      </c>
      <c r="G15" s="9">
        <v>1.9766569000000001E-2</v>
      </c>
      <c r="H15" s="164"/>
    </row>
    <row r="16" spans="1:8" x14ac:dyDescent="0.2">
      <c r="A16" s="5">
        <v>10</v>
      </c>
      <c r="B16" s="6" t="s">
        <v>173</v>
      </c>
      <c r="C16" s="6" t="s">
        <v>174</v>
      </c>
      <c r="D16" s="6" t="s">
        <v>179</v>
      </c>
      <c r="E16" s="7">
        <v>15077</v>
      </c>
      <c r="F16" s="8">
        <v>205.288432</v>
      </c>
      <c r="G16" s="9">
        <v>1.9034754000000001E-2</v>
      </c>
      <c r="H16" s="164"/>
    </row>
    <row r="17" spans="1:8" x14ac:dyDescent="0.2">
      <c r="A17" s="5">
        <v>11</v>
      </c>
      <c r="B17" s="6" t="s">
        <v>183</v>
      </c>
      <c r="C17" s="6" t="s">
        <v>184</v>
      </c>
      <c r="D17" s="6" t="s">
        <v>59</v>
      </c>
      <c r="E17" s="7">
        <v>66223</v>
      </c>
      <c r="F17" s="8">
        <v>201.5497005</v>
      </c>
      <c r="G17" s="9">
        <v>1.8688091E-2</v>
      </c>
      <c r="H17" s="164"/>
    </row>
    <row r="18" spans="1:8" x14ac:dyDescent="0.2">
      <c r="A18" s="5">
        <v>12</v>
      </c>
      <c r="B18" s="6" t="s">
        <v>175</v>
      </c>
      <c r="C18" s="6" t="s">
        <v>176</v>
      </c>
      <c r="D18" s="6" t="s">
        <v>62</v>
      </c>
      <c r="E18" s="7">
        <v>45924</v>
      </c>
      <c r="F18" s="8">
        <v>194.12074799999999</v>
      </c>
      <c r="G18" s="9">
        <v>1.7999264000000001E-2</v>
      </c>
      <c r="H18" s="164"/>
    </row>
    <row r="19" spans="1:8" x14ac:dyDescent="0.2">
      <c r="A19" s="5">
        <v>13</v>
      </c>
      <c r="B19" s="6" t="s">
        <v>177</v>
      </c>
      <c r="C19" s="6" t="s">
        <v>178</v>
      </c>
      <c r="D19" s="6" t="s">
        <v>179</v>
      </c>
      <c r="E19" s="7">
        <v>68359</v>
      </c>
      <c r="F19" s="8">
        <v>192.6014825</v>
      </c>
      <c r="G19" s="9">
        <v>1.7858394999999999E-2</v>
      </c>
      <c r="H19" s="164"/>
    </row>
    <row r="20" spans="1:8" x14ac:dyDescent="0.2">
      <c r="A20" s="5">
        <v>14</v>
      </c>
      <c r="B20" s="6" t="s">
        <v>180</v>
      </c>
      <c r="C20" s="6" t="s">
        <v>181</v>
      </c>
      <c r="D20" s="6" t="s">
        <v>182</v>
      </c>
      <c r="E20" s="7">
        <v>14678</v>
      </c>
      <c r="F20" s="8">
        <v>192.05429100000001</v>
      </c>
      <c r="G20" s="9">
        <v>1.7807658000000001E-2</v>
      </c>
      <c r="H20" s="164"/>
    </row>
    <row r="21" spans="1:8" x14ac:dyDescent="0.2">
      <c r="A21" s="5">
        <v>15</v>
      </c>
      <c r="B21" s="6" t="s">
        <v>185</v>
      </c>
      <c r="C21" s="6" t="s">
        <v>186</v>
      </c>
      <c r="D21" s="6" t="s">
        <v>45</v>
      </c>
      <c r="E21" s="7">
        <v>40089</v>
      </c>
      <c r="F21" s="8">
        <v>188.979546</v>
      </c>
      <c r="G21" s="9">
        <v>1.7522561999999998E-2</v>
      </c>
      <c r="H21" s="164"/>
    </row>
    <row r="22" spans="1:8" x14ac:dyDescent="0.2">
      <c r="A22" s="5">
        <v>16</v>
      </c>
      <c r="B22" s="6" t="s">
        <v>187</v>
      </c>
      <c r="C22" s="6" t="s">
        <v>188</v>
      </c>
      <c r="D22" s="6" t="s">
        <v>182</v>
      </c>
      <c r="E22" s="7">
        <v>72801</v>
      </c>
      <c r="F22" s="8">
        <v>182.14810199999999</v>
      </c>
      <c r="G22" s="9">
        <v>1.6889135999999999E-2</v>
      </c>
      <c r="H22" s="164"/>
    </row>
    <row r="23" spans="1:8" x14ac:dyDescent="0.2">
      <c r="A23" s="5">
        <v>17</v>
      </c>
      <c r="B23" s="6" t="s">
        <v>189</v>
      </c>
      <c r="C23" s="6" t="s">
        <v>190</v>
      </c>
      <c r="D23" s="6" t="s">
        <v>179</v>
      </c>
      <c r="E23" s="7">
        <v>5738</v>
      </c>
      <c r="F23" s="8">
        <v>180.35681600000001</v>
      </c>
      <c r="G23" s="9">
        <v>1.6723044999999999E-2</v>
      </c>
      <c r="H23" s="164"/>
    </row>
    <row r="24" spans="1:8" ht="25.5" x14ac:dyDescent="0.2">
      <c r="A24" s="5">
        <v>18</v>
      </c>
      <c r="B24" s="6" t="s">
        <v>191</v>
      </c>
      <c r="C24" s="6" t="s">
        <v>192</v>
      </c>
      <c r="D24" s="6" t="s">
        <v>925</v>
      </c>
      <c r="E24" s="7">
        <v>66035</v>
      </c>
      <c r="F24" s="8">
        <v>174.7616275</v>
      </c>
      <c r="G24" s="9">
        <v>1.6204248000000001E-2</v>
      </c>
      <c r="H24" s="164"/>
    </row>
    <row r="25" spans="1:8" x14ac:dyDescent="0.2">
      <c r="A25" s="5">
        <v>19</v>
      </c>
      <c r="B25" s="6" t="s">
        <v>299</v>
      </c>
      <c r="C25" s="6" t="s">
        <v>300</v>
      </c>
      <c r="D25" s="6" t="s">
        <v>28</v>
      </c>
      <c r="E25" s="7">
        <v>23981</v>
      </c>
      <c r="F25" s="8">
        <v>173.14282</v>
      </c>
      <c r="G25" s="9">
        <v>1.6054149E-2</v>
      </c>
      <c r="H25" s="164"/>
    </row>
    <row r="26" spans="1:8" x14ac:dyDescent="0.2">
      <c r="A26" s="5">
        <v>20</v>
      </c>
      <c r="B26" s="6" t="s">
        <v>293</v>
      </c>
      <c r="C26" s="6" t="s">
        <v>294</v>
      </c>
      <c r="D26" s="6" t="s">
        <v>28</v>
      </c>
      <c r="E26" s="7">
        <v>12647</v>
      </c>
      <c r="F26" s="8">
        <v>166.75069500000001</v>
      </c>
      <c r="G26" s="9">
        <v>1.5461458000000001E-2</v>
      </c>
      <c r="H26" s="164"/>
    </row>
    <row r="27" spans="1:8" x14ac:dyDescent="0.2">
      <c r="A27" s="5">
        <v>21</v>
      </c>
      <c r="B27" s="6" t="s">
        <v>205</v>
      </c>
      <c r="C27" s="6" t="s">
        <v>206</v>
      </c>
      <c r="D27" s="6" t="s">
        <v>207</v>
      </c>
      <c r="E27" s="7">
        <v>61316</v>
      </c>
      <c r="F27" s="8">
        <v>164.602802</v>
      </c>
      <c r="G27" s="9">
        <v>1.5262301000000001E-2</v>
      </c>
      <c r="H27" s="164"/>
    </row>
    <row r="28" spans="1:8" x14ac:dyDescent="0.2">
      <c r="A28" s="5">
        <v>22</v>
      </c>
      <c r="B28" s="6" t="s">
        <v>41</v>
      </c>
      <c r="C28" s="6" t="s">
        <v>42</v>
      </c>
      <c r="D28" s="6" t="s">
        <v>28</v>
      </c>
      <c r="E28" s="7">
        <v>14186</v>
      </c>
      <c r="F28" s="8">
        <v>164.42992599999999</v>
      </c>
      <c r="G28" s="9">
        <v>1.5246272E-2</v>
      </c>
      <c r="H28" s="164"/>
    </row>
    <row r="29" spans="1:8" x14ac:dyDescent="0.2">
      <c r="A29" s="5">
        <v>23</v>
      </c>
      <c r="B29" s="6" t="s">
        <v>196</v>
      </c>
      <c r="C29" s="6" t="s">
        <v>197</v>
      </c>
      <c r="D29" s="6" t="s">
        <v>928</v>
      </c>
      <c r="E29" s="7">
        <v>49783</v>
      </c>
      <c r="F29" s="8">
        <v>162.0685565</v>
      </c>
      <c r="G29" s="9">
        <v>1.5027321E-2</v>
      </c>
      <c r="H29" s="164"/>
    </row>
    <row r="30" spans="1:8" x14ac:dyDescent="0.2">
      <c r="A30" s="5">
        <v>24</v>
      </c>
      <c r="B30" s="6" t="s">
        <v>218</v>
      </c>
      <c r="C30" s="6" t="s">
        <v>219</v>
      </c>
      <c r="D30" s="6" t="s">
        <v>926</v>
      </c>
      <c r="E30" s="7">
        <v>11058</v>
      </c>
      <c r="F30" s="8">
        <v>159.583527</v>
      </c>
      <c r="G30" s="9">
        <v>1.4796904E-2</v>
      </c>
      <c r="H30" s="164"/>
    </row>
    <row r="31" spans="1:8" x14ac:dyDescent="0.2">
      <c r="A31" s="5">
        <v>25</v>
      </c>
      <c r="B31" s="6" t="s">
        <v>198</v>
      </c>
      <c r="C31" s="6" t="s">
        <v>199</v>
      </c>
      <c r="D31" s="6" t="s">
        <v>200</v>
      </c>
      <c r="E31" s="7">
        <v>35139</v>
      </c>
      <c r="F31" s="8">
        <v>158.020083</v>
      </c>
      <c r="G31" s="9">
        <v>1.4651938E-2</v>
      </c>
      <c r="H31" s="164"/>
    </row>
    <row r="32" spans="1:8" ht="25.5" x14ac:dyDescent="0.2">
      <c r="A32" s="5">
        <v>26</v>
      </c>
      <c r="B32" s="6" t="s">
        <v>201</v>
      </c>
      <c r="C32" s="6" t="s">
        <v>202</v>
      </c>
      <c r="D32" s="6" t="s">
        <v>67</v>
      </c>
      <c r="E32" s="7">
        <v>31242</v>
      </c>
      <c r="F32" s="8">
        <v>153.13266300000001</v>
      </c>
      <c r="G32" s="9">
        <v>1.4198766999999999E-2</v>
      </c>
      <c r="H32" s="164"/>
    </row>
    <row r="33" spans="1:8" x14ac:dyDescent="0.2">
      <c r="A33" s="5">
        <v>27</v>
      </c>
      <c r="B33" s="6" t="s">
        <v>203</v>
      </c>
      <c r="C33" s="6" t="s">
        <v>204</v>
      </c>
      <c r="D33" s="6" t="s">
        <v>179</v>
      </c>
      <c r="E33" s="7">
        <v>15313</v>
      </c>
      <c r="F33" s="8">
        <v>151.09337099999999</v>
      </c>
      <c r="G33" s="9">
        <v>1.400968E-2</v>
      </c>
      <c r="H33" s="164"/>
    </row>
    <row r="34" spans="1:8" x14ac:dyDescent="0.2">
      <c r="A34" s="5">
        <v>28</v>
      </c>
      <c r="B34" s="6" t="s">
        <v>77</v>
      </c>
      <c r="C34" s="6" t="s">
        <v>78</v>
      </c>
      <c r="D34" s="6" t="s">
        <v>62</v>
      </c>
      <c r="E34" s="7">
        <v>59366</v>
      </c>
      <c r="F34" s="8">
        <v>149.958516</v>
      </c>
      <c r="G34" s="9">
        <v>1.3904454E-2</v>
      </c>
      <c r="H34" s="164"/>
    </row>
    <row r="35" spans="1:8" x14ac:dyDescent="0.2">
      <c r="A35" s="5">
        <v>29</v>
      </c>
      <c r="B35" s="6" t="s">
        <v>208</v>
      </c>
      <c r="C35" s="6" t="s">
        <v>209</v>
      </c>
      <c r="D35" s="6" t="s">
        <v>161</v>
      </c>
      <c r="E35" s="7">
        <v>24243</v>
      </c>
      <c r="F35" s="8">
        <v>145.49436449999999</v>
      </c>
      <c r="G35" s="9">
        <v>1.3490528999999999E-2</v>
      </c>
      <c r="H35" s="164"/>
    </row>
    <row r="36" spans="1:8" x14ac:dyDescent="0.2">
      <c r="A36" s="5">
        <v>30</v>
      </c>
      <c r="B36" s="6" t="s">
        <v>214</v>
      </c>
      <c r="C36" s="6" t="s">
        <v>215</v>
      </c>
      <c r="D36" s="6" t="s">
        <v>179</v>
      </c>
      <c r="E36" s="7">
        <v>3348</v>
      </c>
      <c r="F36" s="8">
        <v>140.12217000000001</v>
      </c>
      <c r="G36" s="9">
        <v>1.2992408E-2</v>
      </c>
      <c r="H36" s="164"/>
    </row>
    <row r="37" spans="1:8" x14ac:dyDescent="0.2">
      <c r="A37" s="5">
        <v>31</v>
      </c>
      <c r="B37" s="6" t="s">
        <v>212</v>
      </c>
      <c r="C37" s="6" t="s">
        <v>213</v>
      </c>
      <c r="D37" s="6" t="s">
        <v>929</v>
      </c>
      <c r="E37" s="7">
        <v>16000</v>
      </c>
      <c r="F37" s="8">
        <v>139.096</v>
      </c>
      <c r="G37" s="9">
        <v>1.2897258999999999E-2</v>
      </c>
      <c r="H37" s="164"/>
    </row>
    <row r="38" spans="1:8" x14ac:dyDescent="0.2">
      <c r="A38" s="5">
        <v>32</v>
      </c>
      <c r="B38" s="6" t="s">
        <v>210</v>
      </c>
      <c r="C38" s="6" t="s">
        <v>211</v>
      </c>
      <c r="D38" s="6" t="s">
        <v>195</v>
      </c>
      <c r="E38" s="7">
        <v>12373</v>
      </c>
      <c r="F38" s="8">
        <v>138.50336200000001</v>
      </c>
      <c r="G38" s="9">
        <v>1.2842309E-2</v>
      </c>
      <c r="H38" s="164"/>
    </row>
    <row r="39" spans="1:8" x14ac:dyDescent="0.2">
      <c r="A39" s="5">
        <v>33</v>
      </c>
      <c r="B39" s="6" t="s">
        <v>222</v>
      </c>
      <c r="C39" s="6" t="s">
        <v>223</v>
      </c>
      <c r="D39" s="6" t="s">
        <v>37</v>
      </c>
      <c r="E39" s="7">
        <v>128038</v>
      </c>
      <c r="F39" s="8">
        <v>137.512812</v>
      </c>
      <c r="G39" s="9">
        <v>1.2750463E-2</v>
      </c>
      <c r="H39" s="164"/>
    </row>
    <row r="40" spans="1:8" x14ac:dyDescent="0.2">
      <c r="A40" s="5">
        <v>34</v>
      </c>
      <c r="B40" s="6" t="s">
        <v>220</v>
      </c>
      <c r="C40" s="6" t="s">
        <v>221</v>
      </c>
      <c r="D40" s="6" t="s">
        <v>28</v>
      </c>
      <c r="E40" s="7">
        <v>8762</v>
      </c>
      <c r="F40" s="8">
        <v>137.239206</v>
      </c>
      <c r="G40" s="9">
        <v>1.2725093999999999E-2</v>
      </c>
      <c r="H40" s="164"/>
    </row>
    <row r="41" spans="1:8" x14ac:dyDescent="0.2">
      <c r="A41" s="5">
        <v>35</v>
      </c>
      <c r="B41" s="6" t="s">
        <v>216</v>
      </c>
      <c r="C41" s="6" t="s">
        <v>217</v>
      </c>
      <c r="D41" s="6" t="s">
        <v>200</v>
      </c>
      <c r="E41" s="7">
        <v>21308</v>
      </c>
      <c r="F41" s="8">
        <v>136.69082</v>
      </c>
      <c r="G41" s="9">
        <v>1.2674246E-2</v>
      </c>
      <c r="H41" s="164"/>
    </row>
    <row r="42" spans="1:8" x14ac:dyDescent="0.2">
      <c r="A42" s="5">
        <v>36</v>
      </c>
      <c r="B42" s="6" t="s">
        <v>51</v>
      </c>
      <c r="C42" s="6" t="s">
        <v>52</v>
      </c>
      <c r="D42" s="6" t="s">
        <v>926</v>
      </c>
      <c r="E42" s="7">
        <v>79000</v>
      </c>
      <c r="F42" s="8">
        <v>135.24799999999999</v>
      </c>
      <c r="G42" s="9">
        <v>1.2540465000000001E-2</v>
      </c>
      <c r="H42" s="164"/>
    </row>
    <row r="43" spans="1:8" x14ac:dyDescent="0.2">
      <c r="A43" s="5">
        <v>37</v>
      </c>
      <c r="B43" s="6" t="s">
        <v>224</v>
      </c>
      <c r="C43" s="6" t="s">
        <v>225</v>
      </c>
      <c r="D43" s="6" t="s">
        <v>161</v>
      </c>
      <c r="E43" s="7">
        <v>24381</v>
      </c>
      <c r="F43" s="8">
        <v>131.60863800000001</v>
      </c>
      <c r="G43" s="9">
        <v>1.2203016000000001E-2</v>
      </c>
      <c r="H43" s="164"/>
    </row>
    <row r="44" spans="1:8" x14ac:dyDescent="0.2">
      <c r="A44" s="5">
        <v>38</v>
      </c>
      <c r="B44" s="6" t="s">
        <v>193</v>
      </c>
      <c r="C44" s="6" t="s">
        <v>194</v>
      </c>
      <c r="D44" s="6" t="s">
        <v>195</v>
      </c>
      <c r="E44" s="7">
        <v>20028</v>
      </c>
      <c r="F44" s="8">
        <v>130.38228000000001</v>
      </c>
      <c r="G44" s="9">
        <v>1.2089305999999999E-2</v>
      </c>
      <c r="H44" s="164"/>
    </row>
    <row r="45" spans="1:8" x14ac:dyDescent="0.2">
      <c r="A45" s="5">
        <v>39</v>
      </c>
      <c r="B45" s="6" t="s">
        <v>35</v>
      </c>
      <c r="C45" s="6" t="s">
        <v>36</v>
      </c>
      <c r="D45" s="6" t="s">
        <v>37</v>
      </c>
      <c r="E45" s="7">
        <v>39179</v>
      </c>
      <c r="F45" s="8">
        <v>127.8214875</v>
      </c>
      <c r="G45" s="9">
        <v>1.1851864E-2</v>
      </c>
      <c r="H45" s="164"/>
    </row>
    <row r="46" spans="1:8" x14ac:dyDescent="0.2">
      <c r="A46" s="5">
        <v>40</v>
      </c>
      <c r="B46" s="6" t="s">
        <v>228</v>
      </c>
      <c r="C46" s="6" t="s">
        <v>229</v>
      </c>
      <c r="D46" s="6" t="s">
        <v>62</v>
      </c>
      <c r="E46" s="7">
        <v>16226</v>
      </c>
      <c r="F46" s="8">
        <v>125.41886700000001</v>
      </c>
      <c r="G46" s="9">
        <v>1.1629087999999999E-2</v>
      </c>
      <c r="H46" s="164"/>
    </row>
    <row r="47" spans="1:8" x14ac:dyDescent="0.2">
      <c r="A47" s="5">
        <v>41</v>
      </c>
      <c r="B47" s="6" t="s">
        <v>232</v>
      </c>
      <c r="C47" s="6" t="s">
        <v>233</v>
      </c>
      <c r="D47" s="6" t="s">
        <v>37</v>
      </c>
      <c r="E47" s="7">
        <v>13938</v>
      </c>
      <c r="F47" s="8">
        <v>120.37553699999999</v>
      </c>
      <c r="G47" s="9">
        <v>1.1161460999999999E-2</v>
      </c>
      <c r="H47" s="164"/>
    </row>
    <row r="48" spans="1:8" ht="25.5" x14ac:dyDescent="0.2">
      <c r="A48" s="5">
        <v>42</v>
      </c>
      <c r="B48" s="6" t="s">
        <v>63</v>
      </c>
      <c r="C48" s="6" t="s">
        <v>64</v>
      </c>
      <c r="D48" s="6" t="s">
        <v>40</v>
      </c>
      <c r="E48" s="7">
        <v>15103</v>
      </c>
      <c r="F48" s="8">
        <v>119.9555775</v>
      </c>
      <c r="G48" s="9">
        <v>1.1122521E-2</v>
      </c>
      <c r="H48" s="164"/>
    </row>
    <row r="49" spans="1:8" x14ac:dyDescent="0.2">
      <c r="A49" s="5">
        <v>43</v>
      </c>
      <c r="B49" s="6" t="s">
        <v>230</v>
      </c>
      <c r="C49" s="6" t="s">
        <v>231</v>
      </c>
      <c r="D49" s="6" t="s">
        <v>62</v>
      </c>
      <c r="E49" s="7">
        <v>40563</v>
      </c>
      <c r="F49" s="8">
        <v>119.133531</v>
      </c>
      <c r="G49" s="9">
        <v>1.1046299000000001E-2</v>
      </c>
      <c r="H49" s="164"/>
    </row>
    <row r="50" spans="1:8" ht="25.5" x14ac:dyDescent="0.2">
      <c r="A50" s="5">
        <v>44</v>
      </c>
      <c r="B50" s="6" t="s">
        <v>234</v>
      </c>
      <c r="C50" s="6" t="s">
        <v>235</v>
      </c>
      <c r="D50" s="6" t="s">
        <v>67</v>
      </c>
      <c r="E50" s="7">
        <v>25988</v>
      </c>
      <c r="F50" s="8">
        <v>114.9969</v>
      </c>
      <c r="G50" s="9">
        <v>1.0662743000000001E-2</v>
      </c>
      <c r="H50" s="164"/>
    </row>
    <row r="51" spans="1:8" x14ac:dyDescent="0.2">
      <c r="A51" s="5">
        <v>45</v>
      </c>
      <c r="B51" s="6" t="s">
        <v>236</v>
      </c>
      <c r="C51" s="6" t="s">
        <v>237</v>
      </c>
      <c r="D51" s="6" t="s">
        <v>161</v>
      </c>
      <c r="E51" s="7">
        <v>195431</v>
      </c>
      <c r="F51" s="8">
        <v>113.34998</v>
      </c>
      <c r="G51" s="9">
        <v>1.0510037E-2</v>
      </c>
      <c r="H51" s="164"/>
    </row>
    <row r="52" spans="1:8" x14ac:dyDescent="0.2">
      <c r="A52" s="5">
        <v>46</v>
      </c>
      <c r="B52" s="6" t="s">
        <v>238</v>
      </c>
      <c r="C52" s="6" t="s">
        <v>239</v>
      </c>
      <c r="D52" s="6" t="s">
        <v>195</v>
      </c>
      <c r="E52" s="7">
        <v>27074</v>
      </c>
      <c r="F52" s="8">
        <v>111.92391600000001</v>
      </c>
      <c r="G52" s="9">
        <v>1.0377809E-2</v>
      </c>
      <c r="H52" s="164"/>
    </row>
    <row r="53" spans="1:8" x14ac:dyDescent="0.2">
      <c r="A53" s="5">
        <v>47</v>
      </c>
      <c r="B53" s="6" t="s">
        <v>242</v>
      </c>
      <c r="C53" s="6" t="s">
        <v>243</v>
      </c>
      <c r="D53" s="6" t="s">
        <v>59</v>
      </c>
      <c r="E53" s="7">
        <v>8427</v>
      </c>
      <c r="F53" s="8">
        <v>111.3164565</v>
      </c>
      <c r="G53" s="9">
        <v>1.0321485E-2</v>
      </c>
      <c r="H53" s="164"/>
    </row>
    <row r="54" spans="1:8" x14ac:dyDescent="0.2">
      <c r="A54" s="5">
        <v>48</v>
      </c>
      <c r="B54" s="6" t="s">
        <v>244</v>
      </c>
      <c r="C54" s="6" t="s">
        <v>245</v>
      </c>
      <c r="D54" s="6" t="s">
        <v>200</v>
      </c>
      <c r="E54" s="7">
        <v>5980</v>
      </c>
      <c r="F54" s="8">
        <v>108.43235</v>
      </c>
      <c r="G54" s="9">
        <v>1.0054064E-2</v>
      </c>
      <c r="H54" s="164"/>
    </row>
    <row r="55" spans="1:8" ht="25.5" x14ac:dyDescent="0.2">
      <c r="A55" s="5">
        <v>49</v>
      </c>
      <c r="B55" s="6" t="s">
        <v>248</v>
      </c>
      <c r="C55" s="6" t="s">
        <v>249</v>
      </c>
      <c r="D55" s="6" t="s">
        <v>67</v>
      </c>
      <c r="E55" s="7">
        <v>24808</v>
      </c>
      <c r="F55" s="8">
        <v>108.41096</v>
      </c>
      <c r="G55" s="9">
        <v>1.0052080999999999E-2</v>
      </c>
      <c r="H55" s="164"/>
    </row>
    <row r="56" spans="1:8" x14ac:dyDescent="0.2">
      <c r="A56" s="5">
        <v>50</v>
      </c>
      <c r="B56" s="6" t="s">
        <v>251</v>
      </c>
      <c r="C56" s="6" t="s">
        <v>252</v>
      </c>
      <c r="D56" s="6" t="s">
        <v>253</v>
      </c>
      <c r="E56" s="7">
        <v>22498</v>
      </c>
      <c r="F56" s="8">
        <v>108.15913500000001</v>
      </c>
      <c r="G56" s="9">
        <v>1.0028731000000001E-2</v>
      </c>
      <c r="H56" s="164"/>
    </row>
    <row r="57" spans="1:8" ht="25.5" x14ac:dyDescent="0.2">
      <c r="A57" s="5">
        <v>51</v>
      </c>
      <c r="B57" s="6" t="s">
        <v>246</v>
      </c>
      <c r="C57" s="6" t="s">
        <v>247</v>
      </c>
      <c r="D57" s="6" t="s">
        <v>40</v>
      </c>
      <c r="E57" s="7">
        <v>137334</v>
      </c>
      <c r="F57" s="8">
        <v>107.669856</v>
      </c>
      <c r="G57" s="9">
        <v>9.9833639999999998E-3</v>
      </c>
      <c r="H57" s="164"/>
    </row>
    <row r="58" spans="1:8" ht="25.5" x14ac:dyDescent="0.2">
      <c r="A58" s="5">
        <v>52</v>
      </c>
      <c r="B58" s="6" t="s">
        <v>226</v>
      </c>
      <c r="C58" s="6" t="s">
        <v>227</v>
      </c>
      <c r="D58" s="6" t="s">
        <v>62</v>
      </c>
      <c r="E58" s="7">
        <v>4600</v>
      </c>
      <c r="F58" s="8">
        <v>105.44580000000001</v>
      </c>
      <c r="G58" s="9">
        <v>9.7771460000000004E-3</v>
      </c>
      <c r="H58" s="164"/>
    </row>
    <row r="59" spans="1:8" x14ac:dyDescent="0.2">
      <c r="A59" s="5">
        <v>53</v>
      </c>
      <c r="B59" s="6" t="s">
        <v>301</v>
      </c>
      <c r="C59" s="6" t="s">
        <v>302</v>
      </c>
      <c r="D59" s="6" t="s">
        <v>930</v>
      </c>
      <c r="E59" s="7">
        <v>270455</v>
      </c>
      <c r="F59" s="8">
        <v>101.15017</v>
      </c>
      <c r="G59" s="9">
        <v>9.3788459999999997E-3</v>
      </c>
      <c r="H59" s="164"/>
    </row>
    <row r="60" spans="1:8" ht="25.5" x14ac:dyDescent="0.2">
      <c r="A60" s="5">
        <v>54</v>
      </c>
      <c r="B60" s="6" t="s">
        <v>258</v>
      </c>
      <c r="C60" s="6" t="s">
        <v>259</v>
      </c>
      <c r="D60" s="6" t="s">
        <v>931</v>
      </c>
      <c r="E60" s="7">
        <v>100256</v>
      </c>
      <c r="F60" s="8">
        <v>99.955231999999995</v>
      </c>
      <c r="G60" s="9">
        <v>9.2680490000000004E-3</v>
      </c>
      <c r="H60" s="164"/>
    </row>
    <row r="61" spans="1:8" x14ac:dyDescent="0.2">
      <c r="A61" s="5">
        <v>55</v>
      </c>
      <c r="B61" s="6" t="s">
        <v>256</v>
      </c>
      <c r="C61" s="6" t="s">
        <v>257</v>
      </c>
      <c r="D61" s="6" t="s">
        <v>930</v>
      </c>
      <c r="E61" s="7">
        <v>17394</v>
      </c>
      <c r="F61" s="8">
        <v>97.449884999999995</v>
      </c>
      <c r="G61" s="9">
        <v>9.0357479999999997E-3</v>
      </c>
      <c r="H61" s="164"/>
    </row>
    <row r="62" spans="1:8" x14ac:dyDescent="0.2">
      <c r="A62" s="5">
        <v>56</v>
      </c>
      <c r="B62" s="6" t="s">
        <v>260</v>
      </c>
      <c r="C62" s="6" t="s">
        <v>261</v>
      </c>
      <c r="D62" s="6" t="s">
        <v>930</v>
      </c>
      <c r="E62" s="7">
        <v>23750</v>
      </c>
      <c r="F62" s="8">
        <v>97.161249999999995</v>
      </c>
      <c r="G62" s="9">
        <v>9.0089850000000006E-3</v>
      </c>
      <c r="H62" s="164"/>
    </row>
    <row r="63" spans="1:8" ht="25.5" x14ac:dyDescent="0.2">
      <c r="A63" s="5">
        <v>57</v>
      </c>
      <c r="B63" s="6" t="s">
        <v>262</v>
      </c>
      <c r="C63" s="6" t="s">
        <v>263</v>
      </c>
      <c r="D63" s="6" t="s">
        <v>158</v>
      </c>
      <c r="E63" s="7">
        <v>24937</v>
      </c>
      <c r="F63" s="8">
        <v>95.932638999999995</v>
      </c>
      <c r="G63" s="9">
        <v>8.8950660000000001E-3</v>
      </c>
      <c r="H63" s="164"/>
    </row>
    <row r="64" spans="1:8" x14ac:dyDescent="0.2">
      <c r="A64" s="5">
        <v>58</v>
      </c>
      <c r="B64" s="6" t="s">
        <v>264</v>
      </c>
      <c r="C64" s="6" t="s">
        <v>265</v>
      </c>
      <c r="D64" s="6" t="s">
        <v>266</v>
      </c>
      <c r="E64" s="7">
        <v>11527</v>
      </c>
      <c r="F64" s="8">
        <v>93.201558500000004</v>
      </c>
      <c r="G64" s="9">
        <v>8.6418350000000005E-3</v>
      </c>
      <c r="H64" s="164"/>
    </row>
    <row r="65" spans="1:8" x14ac:dyDescent="0.2">
      <c r="A65" s="5">
        <v>59</v>
      </c>
      <c r="B65" s="6" t="s">
        <v>269</v>
      </c>
      <c r="C65" s="6" t="s">
        <v>270</v>
      </c>
      <c r="D65" s="6" t="s">
        <v>200</v>
      </c>
      <c r="E65" s="7">
        <v>18233</v>
      </c>
      <c r="F65" s="8">
        <v>92.313678999999993</v>
      </c>
      <c r="G65" s="9">
        <v>8.5595089999999999E-3</v>
      </c>
      <c r="H65" s="164"/>
    </row>
    <row r="66" spans="1:8" x14ac:dyDescent="0.2">
      <c r="A66" s="5">
        <v>60</v>
      </c>
      <c r="B66" s="6" t="s">
        <v>267</v>
      </c>
      <c r="C66" s="6" t="s">
        <v>268</v>
      </c>
      <c r="D66" s="6" t="s">
        <v>195</v>
      </c>
      <c r="E66" s="7">
        <v>12261</v>
      </c>
      <c r="F66" s="8">
        <v>90.921445500000004</v>
      </c>
      <c r="G66" s="9">
        <v>8.4304180000000003E-3</v>
      </c>
      <c r="H66" s="164"/>
    </row>
    <row r="67" spans="1:8" x14ac:dyDescent="0.2">
      <c r="A67" s="5">
        <v>61</v>
      </c>
      <c r="B67" s="6" t="s">
        <v>60</v>
      </c>
      <c r="C67" s="6" t="s">
        <v>61</v>
      </c>
      <c r="D67" s="6" t="s">
        <v>62</v>
      </c>
      <c r="E67" s="7">
        <v>3000</v>
      </c>
      <c r="F67" s="8">
        <v>89.751000000000005</v>
      </c>
      <c r="G67" s="9">
        <v>8.3218919999999991E-3</v>
      </c>
      <c r="H67" s="164"/>
    </row>
    <row r="68" spans="1:8" x14ac:dyDescent="0.2">
      <c r="A68" s="5">
        <v>62</v>
      </c>
      <c r="B68" s="6" t="s">
        <v>271</v>
      </c>
      <c r="C68" s="6" t="s">
        <v>272</v>
      </c>
      <c r="D68" s="6" t="s">
        <v>346</v>
      </c>
      <c r="E68" s="7">
        <v>9115</v>
      </c>
      <c r="F68" s="8">
        <v>87.882272499999999</v>
      </c>
      <c r="G68" s="9">
        <v>8.1486200000000005E-3</v>
      </c>
      <c r="H68" s="164"/>
    </row>
    <row r="69" spans="1:8" x14ac:dyDescent="0.2">
      <c r="A69" s="5">
        <v>63</v>
      </c>
      <c r="B69" s="6" t="s">
        <v>278</v>
      </c>
      <c r="C69" s="6" t="s">
        <v>279</v>
      </c>
      <c r="D69" s="6" t="s">
        <v>45</v>
      </c>
      <c r="E69" s="7">
        <v>76703</v>
      </c>
      <c r="F69" s="8">
        <v>77.2782725</v>
      </c>
      <c r="G69" s="9">
        <v>7.1653960000000001E-3</v>
      </c>
      <c r="H69" s="164"/>
    </row>
    <row r="70" spans="1:8" x14ac:dyDescent="0.2">
      <c r="A70" s="5">
        <v>64</v>
      </c>
      <c r="B70" s="6" t="s">
        <v>275</v>
      </c>
      <c r="C70" s="6" t="s">
        <v>276</v>
      </c>
      <c r="D70" s="6" t="s">
        <v>277</v>
      </c>
      <c r="E70" s="7">
        <v>29657</v>
      </c>
      <c r="F70" s="8">
        <v>76.885772500000002</v>
      </c>
      <c r="G70" s="9">
        <v>7.1290030000000001E-3</v>
      </c>
      <c r="H70" s="164"/>
    </row>
    <row r="71" spans="1:8" x14ac:dyDescent="0.2">
      <c r="A71" s="5">
        <v>65</v>
      </c>
      <c r="B71" s="6" t="s">
        <v>273</v>
      </c>
      <c r="C71" s="6" t="s">
        <v>274</v>
      </c>
      <c r="D71" s="6" t="s">
        <v>22</v>
      </c>
      <c r="E71" s="7">
        <v>71994</v>
      </c>
      <c r="F71" s="8">
        <v>75.593699999999998</v>
      </c>
      <c r="G71" s="9">
        <v>7.0091989999999998E-3</v>
      </c>
      <c r="H71" s="164"/>
    </row>
    <row r="72" spans="1:8" x14ac:dyDescent="0.2">
      <c r="A72" s="5">
        <v>66</v>
      </c>
      <c r="B72" s="6" t="s">
        <v>282</v>
      </c>
      <c r="C72" s="6" t="s">
        <v>283</v>
      </c>
      <c r="D72" s="6" t="s">
        <v>200</v>
      </c>
      <c r="E72" s="7">
        <v>1256</v>
      </c>
      <c r="F72" s="8">
        <v>67.288944000000001</v>
      </c>
      <c r="G72" s="9">
        <v>6.2391649999999996E-3</v>
      </c>
      <c r="H72" s="164"/>
    </row>
    <row r="73" spans="1:8" x14ac:dyDescent="0.2">
      <c r="A73" s="5">
        <v>67</v>
      </c>
      <c r="B73" s="6" t="s">
        <v>286</v>
      </c>
      <c r="C73" s="6" t="s">
        <v>287</v>
      </c>
      <c r="D73" s="6" t="s">
        <v>927</v>
      </c>
      <c r="E73" s="7">
        <v>3777</v>
      </c>
      <c r="F73" s="8">
        <v>60.554752499999999</v>
      </c>
      <c r="G73" s="9">
        <v>5.6147580000000001E-3</v>
      </c>
      <c r="H73" s="164"/>
    </row>
    <row r="74" spans="1:8" x14ac:dyDescent="0.2">
      <c r="A74" s="5">
        <v>68</v>
      </c>
      <c r="B74" s="6" t="s">
        <v>284</v>
      </c>
      <c r="C74" s="6" t="s">
        <v>285</v>
      </c>
      <c r="D74" s="6" t="s">
        <v>62</v>
      </c>
      <c r="E74" s="7">
        <v>34000</v>
      </c>
      <c r="F74" s="8">
        <v>60.027000000000001</v>
      </c>
      <c r="G74" s="9">
        <v>5.5658239999999996E-3</v>
      </c>
      <c r="H74" s="164"/>
    </row>
    <row r="75" spans="1:8" x14ac:dyDescent="0.2">
      <c r="A75" s="5">
        <v>69</v>
      </c>
      <c r="B75" s="6" t="s">
        <v>280</v>
      </c>
      <c r="C75" s="6" t="s">
        <v>281</v>
      </c>
      <c r="D75" s="6" t="s">
        <v>930</v>
      </c>
      <c r="E75" s="7">
        <v>42305</v>
      </c>
      <c r="F75" s="8">
        <v>55.609922500000003</v>
      </c>
      <c r="G75" s="9">
        <v>5.1562630000000003E-3</v>
      </c>
      <c r="H75" s="164"/>
    </row>
    <row r="76" spans="1:8" x14ac:dyDescent="0.2">
      <c r="A76" s="5">
        <v>70</v>
      </c>
      <c r="B76" s="6" t="s">
        <v>55</v>
      </c>
      <c r="C76" s="6" t="s">
        <v>56</v>
      </c>
      <c r="D76" s="6" t="s">
        <v>37</v>
      </c>
      <c r="E76" s="7">
        <v>24117</v>
      </c>
      <c r="F76" s="8">
        <v>55.119403499999997</v>
      </c>
      <c r="G76" s="9">
        <v>5.110781E-3</v>
      </c>
      <c r="H76" s="164"/>
    </row>
    <row r="77" spans="1:8" x14ac:dyDescent="0.2">
      <c r="A77" s="5">
        <v>71</v>
      </c>
      <c r="B77" s="6" t="s">
        <v>288</v>
      </c>
      <c r="C77" s="6" t="s">
        <v>289</v>
      </c>
      <c r="D77" s="6" t="s">
        <v>158</v>
      </c>
      <c r="E77" s="7">
        <v>3329</v>
      </c>
      <c r="F77" s="8">
        <v>46.04007</v>
      </c>
      <c r="G77" s="9">
        <v>4.2689269999999996E-3</v>
      </c>
      <c r="H77" s="164"/>
    </row>
    <row r="78" spans="1:8" x14ac:dyDescent="0.2">
      <c r="A78" s="5">
        <v>72</v>
      </c>
      <c r="B78" s="6" t="s">
        <v>290</v>
      </c>
      <c r="C78" s="6" t="s">
        <v>291</v>
      </c>
      <c r="D78" s="6" t="s">
        <v>179</v>
      </c>
      <c r="E78" s="7">
        <v>8458</v>
      </c>
      <c r="F78" s="8">
        <v>44.983873000000003</v>
      </c>
      <c r="G78" s="9">
        <v>4.1709950000000003E-3</v>
      </c>
      <c r="H78" s="164"/>
    </row>
    <row r="79" spans="1:8" x14ac:dyDescent="0.2">
      <c r="A79" s="3" t="s">
        <v>9</v>
      </c>
      <c r="B79" s="3" t="s">
        <v>9</v>
      </c>
      <c r="C79" s="4" t="s">
        <v>110</v>
      </c>
      <c r="D79" s="3" t="s">
        <v>9</v>
      </c>
      <c r="E79" s="3" t="s">
        <v>9</v>
      </c>
      <c r="F79" s="11">
        <v>10305.578835</v>
      </c>
      <c r="G79" s="12">
        <v>0.95555388600000002</v>
      </c>
      <c r="H79" s="164"/>
    </row>
    <row r="80" spans="1:8" x14ac:dyDescent="0.2">
      <c r="A80" s="3" t="s">
        <v>9</v>
      </c>
      <c r="B80" s="3" t="s">
        <v>9</v>
      </c>
      <c r="C80" s="13" t="s">
        <v>9</v>
      </c>
      <c r="D80" s="3" t="s">
        <v>9</v>
      </c>
      <c r="E80" s="3" t="s">
        <v>9</v>
      </c>
      <c r="F80" s="14" t="s">
        <v>9</v>
      </c>
      <c r="G80" s="14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111</v>
      </c>
      <c r="D81" s="3" t="s">
        <v>9</v>
      </c>
      <c r="E81" s="3" t="s">
        <v>9</v>
      </c>
      <c r="F81" s="3" t="s">
        <v>9</v>
      </c>
      <c r="G81" s="3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110</v>
      </c>
      <c r="D82" s="3" t="s">
        <v>9</v>
      </c>
      <c r="E82" s="3" t="s">
        <v>9</v>
      </c>
      <c r="F82" s="15">
        <v>0</v>
      </c>
      <c r="G82" s="16">
        <v>0</v>
      </c>
      <c r="H82" s="164"/>
    </row>
    <row r="83" spans="1:8" x14ac:dyDescent="0.2">
      <c r="A83" s="3" t="s">
        <v>9</v>
      </c>
      <c r="B83" s="3" t="s">
        <v>9</v>
      </c>
      <c r="C83" s="13" t="s">
        <v>9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112</v>
      </c>
      <c r="D84" s="3" t="s">
        <v>9</v>
      </c>
      <c r="E84" s="3" t="s">
        <v>9</v>
      </c>
      <c r="F84" s="3" t="s">
        <v>9</v>
      </c>
      <c r="G84" s="3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110</v>
      </c>
      <c r="D85" s="3" t="s">
        <v>9</v>
      </c>
      <c r="E85" s="3" t="s">
        <v>9</v>
      </c>
      <c r="F85" s="15">
        <v>0</v>
      </c>
      <c r="G85" s="16">
        <v>0</v>
      </c>
      <c r="H85" s="164"/>
    </row>
    <row r="86" spans="1:8" x14ac:dyDescent="0.2">
      <c r="A86" s="3" t="s">
        <v>9</v>
      </c>
      <c r="B86" s="3" t="s">
        <v>9</v>
      </c>
      <c r="C86" s="13" t="s">
        <v>9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113</v>
      </c>
      <c r="D87" s="3" t="s">
        <v>9</v>
      </c>
      <c r="E87" s="3" t="s">
        <v>9</v>
      </c>
      <c r="F87" s="3" t="s">
        <v>9</v>
      </c>
      <c r="G87" s="3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110</v>
      </c>
      <c r="D88" s="3" t="s">
        <v>9</v>
      </c>
      <c r="E88" s="3" t="s">
        <v>9</v>
      </c>
      <c r="F88" s="15">
        <v>0</v>
      </c>
      <c r="G88" s="16">
        <v>0</v>
      </c>
      <c r="H88" s="164"/>
    </row>
    <row r="89" spans="1:8" x14ac:dyDescent="0.2">
      <c r="A89" s="3" t="s">
        <v>9</v>
      </c>
      <c r="B89" s="3" t="s">
        <v>9</v>
      </c>
      <c r="C89" s="13" t="s">
        <v>9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114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110</v>
      </c>
      <c r="D91" s="3" t="s">
        <v>9</v>
      </c>
      <c r="E91" s="3" t="s">
        <v>9</v>
      </c>
      <c r="F91" s="15">
        <v>0</v>
      </c>
      <c r="G91" s="16">
        <v>0</v>
      </c>
      <c r="H91" s="164"/>
    </row>
    <row r="92" spans="1:8" x14ac:dyDescent="0.2">
      <c r="A92" s="3" t="s">
        <v>9</v>
      </c>
      <c r="B92" s="3" t="s">
        <v>9</v>
      </c>
      <c r="C92" s="13" t="s">
        <v>9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115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110</v>
      </c>
      <c r="D94" s="3" t="s">
        <v>9</v>
      </c>
      <c r="E94" s="3" t="s">
        <v>9</v>
      </c>
      <c r="F94" s="15">
        <v>0</v>
      </c>
      <c r="G94" s="16">
        <v>0</v>
      </c>
      <c r="H94" s="164"/>
    </row>
    <row r="95" spans="1:8" x14ac:dyDescent="0.2">
      <c r="A95" s="3" t="s">
        <v>9</v>
      </c>
      <c r="B95" s="3" t="s">
        <v>9</v>
      </c>
      <c r="C95" s="13" t="s">
        <v>9</v>
      </c>
      <c r="D95" s="3" t="s">
        <v>9</v>
      </c>
      <c r="E95" s="3" t="s">
        <v>9</v>
      </c>
      <c r="F95" s="14" t="s">
        <v>9</v>
      </c>
      <c r="G95" s="14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116</v>
      </c>
      <c r="D96" s="3" t="s">
        <v>9</v>
      </c>
      <c r="E96" s="3" t="s">
        <v>9</v>
      </c>
      <c r="F96" s="11">
        <v>10305.578835</v>
      </c>
      <c r="G96" s="12">
        <v>0.95555388600000002</v>
      </c>
      <c r="H96" s="164"/>
    </row>
    <row r="97" spans="1:8" x14ac:dyDescent="0.2">
      <c r="A97" s="3" t="s">
        <v>9</v>
      </c>
      <c r="B97" s="3" t="s">
        <v>9</v>
      </c>
      <c r="C97" s="13" t="s">
        <v>9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117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ht="25.5" x14ac:dyDescent="0.2">
      <c r="A99" s="3" t="s">
        <v>9</v>
      </c>
      <c r="B99" s="3" t="s">
        <v>9</v>
      </c>
      <c r="C99" s="4" t="s">
        <v>11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110</v>
      </c>
      <c r="D100" s="3" t="s">
        <v>9</v>
      </c>
      <c r="E100" s="3" t="s">
        <v>9</v>
      </c>
      <c r="F100" s="15">
        <v>0</v>
      </c>
      <c r="G100" s="16">
        <v>0</v>
      </c>
      <c r="H100" s="164"/>
    </row>
    <row r="101" spans="1:8" x14ac:dyDescent="0.2">
      <c r="A101" s="3" t="s">
        <v>9</v>
      </c>
      <c r="B101" s="3" t="s">
        <v>9</v>
      </c>
      <c r="C101" s="13" t="s">
        <v>9</v>
      </c>
      <c r="D101" s="3" t="s">
        <v>9</v>
      </c>
      <c r="E101" s="3" t="s">
        <v>9</v>
      </c>
      <c r="F101" s="14" t="s">
        <v>9</v>
      </c>
      <c r="G101" s="14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118</v>
      </c>
      <c r="D102" s="3" t="s">
        <v>9</v>
      </c>
      <c r="E102" s="3" t="s">
        <v>9</v>
      </c>
      <c r="F102" s="3" t="s">
        <v>9</v>
      </c>
      <c r="G102" s="3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110</v>
      </c>
      <c r="D103" s="3" t="s">
        <v>9</v>
      </c>
      <c r="E103" s="3" t="s">
        <v>9</v>
      </c>
      <c r="F103" s="15">
        <v>0</v>
      </c>
      <c r="G103" s="16">
        <v>0</v>
      </c>
      <c r="H103" s="164"/>
    </row>
    <row r="104" spans="1:8" x14ac:dyDescent="0.2">
      <c r="A104" s="3" t="s">
        <v>9</v>
      </c>
      <c r="B104" s="3" t="s">
        <v>9</v>
      </c>
      <c r="C104" s="13" t="s">
        <v>9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119</v>
      </c>
      <c r="D105" s="3" t="s">
        <v>9</v>
      </c>
      <c r="E105" s="3" t="s">
        <v>9</v>
      </c>
      <c r="F105" s="3" t="s">
        <v>9</v>
      </c>
      <c r="G105" s="3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110</v>
      </c>
      <c r="D106" s="3" t="s">
        <v>9</v>
      </c>
      <c r="E106" s="3" t="s">
        <v>9</v>
      </c>
      <c r="F106" s="15">
        <v>0</v>
      </c>
      <c r="G106" s="16">
        <v>0</v>
      </c>
      <c r="H106" s="164"/>
    </row>
    <row r="107" spans="1:8" x14ac:dyDescent="0.2">
      <c r="A107" s="3" t="s">
        <v>9</v>
      </c>
      <c r="B107" s="3" t="s">
        <v>9</v>
      </c>
      <c r="C107" s="13" t="s">
        <v>9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120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110</v>
      </c>
      <c r="D109" s="3" t="s">
        <v>9</v>
      </c>
      <c r="E109" s="3" t="s">
        <v>9</v>
      </c>
      <c r="F109" s="15">
        <v>0</v>
      </c>
      <c r="G109" s="16">
        <v>0</v>
      </c>
      <c r="H109" s="164"/>
    </row>
    <row r="110" spans="1:8" x14ac:dyDescent="0.2">
      <c r="A110" s="3" t="s">
        <v>9</v>
      </c>
      <c r="B110" s="3" t="s">
        <v>9</v>
      </c>
      <c r="C110" s="13" t="s">
        <v>9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121</v>
      </c>
      <c r="D111" s="3" t="s">
        <v>9</v>
      </c>
      <c r="E111" s="3" t="s">
        <v>9</v>
      </c>
      <c r="F111" s="11">
        <v>0</v>
      </c>
      <c r="G111" s="12">
        <v>0</v>
      </c>
      <c r="H111" s="164"/>
    </row>
    <row r="112" spans="1:8" x14ac:dyDescent="0.2">
      <c r="A112" s="3" t="s">
        <v>9</v>
      </c>
      <c r="B112" s="3" t="s">
        <v>9</v>
      </c>
      <c r="C112" s="13" t="s">
        <v>9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122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3" t="s">
        <v>9</v>
      </c>
      <c r="B114" s="3" t="s">
        <v>9</v>
      </c>
      <c r="C114" s="4" t="s">
        <v>123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110</v>
      </c>
      <c r="D115" s="3" t="s">
        <v>9</v>
      </c>
      <c r="E115" s="3" t="s">
        <v>9</v>
      </c>
      <c r="F115" s="15">
        <v>0</v>
      </c>
      <c r="G115" s="16">
        <v>0</v>
      </c>
      <c r="H115" s="164"/>
    </row>
    <row r="116" spans="1:8" x14ac:dyDescent="0.2">
      <c r="A116" s="3" t="s">
        <v>9</v>
      </c>
      <c r="B116" s="3" t="s">
        <v>9</v>
      </c>
      <c r="C116" s="13" t="s">
        <v>9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3" t="s">
        <v>9</v>
      </c>
      <c r="B117" s="3" t="s">
        <v>9</v>
      </c>
      <c r="C117" s="4" t="s">
        <v>124</v>
      </c>
      <c r="D117" s="3" t="s">
        <v>9</v>
      </c>
      <c r="E117" s="3" t="s">
        <v>9</v>
      </c>
      <c r="F117" s="14" t="s">
        <v>9</v>
      </c>
      <c r="G117" s="14" t="s">
        <v>9</v>
      </c>
      <c r="H117" s="164"/>
    </row>
    <row r="118" spans="1:8" x14ac:dyDescent="0.2">
      <c r="A118" s="3" t="s">
        <v>9</v>
      </c>
      <c r="B118" s="3" t="s">
        <v>9</v>
      </c>
      <c r="C118" s="4" t="s">
        <v>110</v>
      </c>
      <c r="D118" s="3" t="s">
        <v>9</v>
      </c>
      <c r="E118" s="3" t="s">
        <v>9</v>
      </c>
      <c r="F118" s="15">
        <v>0</v>
      </c>
      <c r="G118" s="16">
        <v>0</v>
      </c>
      <c r="H118" s="164"/>
    </row>
    <row r="119" spans="1:8" x14ac:dyDescent="0.2">
      <c r="A119" s="3" t="s">
        <v>9</v>
      </c>
      <c r="B119" s="3" t="s">
        <v>9</v>
      </c>
      <c r="C119" s="13" t="s">
        <v>9</v>
      </c>
      <c r="D119" s="3" t="s">
        <v>9</v>
      </c>
      <c r="E119" s="3" t="s">
        <v>9</v>
      </c>
      <c r="F119" s="14" t="s">
        <v>9</v>
      </c>
      <c r="G119" s="14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125</v>
      </c>
      <c r="D120" s="3" t="s">
        <v>9</v>
      </c>
      <c r="E120" s="3" t="s">
        <v>9</v>
      </c>
      <c r="F120" s="14" t="s">
        <v>9</v>
      </c>
      <c r="G120" s="14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110</v>
      </c>
      <c r="D121" s="3" t="s">
        <v>9</v>
      </c>
      <c r="E121" s="3" t="s">
        <v>9</v>
      </c>
      <c r="F121" s="15">
        <v>0</v>
      </c>
      <c r="G121" s="16">
        <v>0</v>
      </c>
      <c r="H121" s="164"/>
    </row>
    <row r="122" spans="1:8" x14ac:dyDescent="0.2">
      <c r="A122" s="3" t="s">
        <v>9</v>
      </c>
      <c r="B122" s="3" t="s">
        <v>9</v>
      </c>
      <c r="C122" s="13" t="s">
        <v>9</v>
      </c>
      <c r="D122" s="3" t="s">
        <v>9</v>
      </c>
      <c r="E122" s="3" t="s">
        <v>9</v>
      </c>
      <c r="F122" s="14" t="s">
        <v>9</v>
      </c>
      <c r="G122" s="14" t="s">
        <v>9</v>
      </c>
      <c r="H122" s="164"/>
    </row>
    <row r="123" spans="1:8" x14ac:dyDescent="0.2">
      <c r="A123" s="3" t="s">
        <v>9</v>
      </c>
      <c r="B123" s="3" t="s">
        <v>9</v>
      </c>
      <c r="C123" s="4" t="s">
        <v>126</v>
      </c>
      <c r="D123" s="3" t="s">
        <v>9</v>
      </c>
      <c r="E123" s="3" t="s">
        <v>9</v>
      </c>
      <c r="F123" s="14" t="s">
        <v>9</v>
      </c>
      <c r="G123" s="14" t="s">
        <v>9</v>
      </c>
      <c r="H123" s="164"/>
    </row>
    <row r="124" spans="1:8" x14ac:dyDescent="0.2">
      <c r="A124" s="5">
        <v>1</v>
      </c>
      <c r="B124" s="6"/>
      <c r="C124" s="6" t="s">
        <v>127</v>
      </c>
      <c r="D124" s="6"/>
      <c r="E124" s="10" t="s">
        <v>9</v>
      </c>
      <c r="F124" s="8">
        <v>339.50547069999999</v>
      </c>
      <c r="G124" s="9">
        <v>3.1479625999999997E-2</v>
      </c>
      <c r="H124" s="90">
        <v>3.22</v>
      </c>
    </row>
    <row r="125" spans="1:8" x14ac:dyDescent="0.2">
      <c r="A125" s="5">
        <v>2</v>
      </c>
      <c r="B125" s="6"/>
      <c r="C125" s="6" t="s">
        <v>128</v>
      </c>
      <c r="D125" s="6"/>
      <c r="E125" s="10" t="s">
        <v>9</v>
      </c>
      <c r="F125" s="8">
        <v>95.942648800000001</v>
      </c>
      <c r="G125" s="9">
        <v>8.8959940000000008E-3</v>
      </c>
      <c r="H125" s="90">
        <v>3.34</v>
      </c>
    </row>
    <row r="126" spans="1:8" x14ac:dyDescent="0.2">
      <c r="A126" s="3" t="s">
        <v>9</v>
      </c>
      <c r="B126" s="3" t="s">
        <v>9</v>
      </c>
      <c r="C126" s="4" t="s">
        <v>110</v>
      </c>
      <c r="D126" s="3" t="s">
        <v>9</v>
      </c>
      <c r="E126" s="3" t="s">
        <v>9</v>
      </c>
      <c r="F126" s="11">
        <v>435.44811950000002</v>
      </c>
      <c r="G126" s="12">
        <v>4.0375620000000001E-2</v>
      </c>
      <c r="H126" s="164"/>
    </row>
    <row r="127" spans="1:8" x14ac:dyDescent="0.2">
      <c r="A127" s="3" t="s">
        <v>9</v>
      </c>
      <c r="B127" s="3" t="s">
        <v>9</v>
      </c>
      <c r="C127" s="13" t="s">
        <v>9</v>
      </c>
      <c r="D127" s="3" t="s">
        <v>9</v>
      </c>
      <c r="E127" s="3" t="s">
        <v>9</v>
      </c>
      <c r="F127" s="14" t="s">
        <v>9</v>
      </c>
      <c r="G127" s="14" t="s">
        <v>9</v>
      </c>
      <c r="H127" s="164"/>
    </row>
    <row r="128" spans="1:8" x14ac:dyDescent="0.2">
      <c r="A128" s="3" t="s">
        <v>9</v>
      </c>
      <c r="B128" s="3" t="s">
        <v>9</v>
      </c>
      <c r="C128" s="4" t="s">
        <v>129</v>
      </c>
      <c r="D128" s="3" t="s">
        <v>9</v>
      </c>
      <c r="E128" s="3" t="s">
        <v>9</v>
      </c>
      <c r="F128" s="11">
        <v>435.44811950000002</v>
      </c>
      <c r="G128" s="12">
        <v>4.0375620000000001E-2</v>
      </c>
      <c r="H128" s="164"/>
    </row>
    <row r="129" spans="1:8" x14ac:dyDescent="0.2">
      <c r="A129" s="3" t="s">
        <v>9</v>
      </c>
      <c r="B129" s="3" t="s">
        <v>9</v>
      </c>
      <c r="C129" s="14" t="s">
        <v>9</v>
      </c>
      <c r="D129" s="3" t="s">
        <v>9</v>
      </c>
      <c r="E129" s="3" t="s">
        <v>9</v>
      </c>
      <c r="F129" s="3" t="s">
        <v>9</v>
      </c>
      <c r="G129" s="3" t="s">
        <v>9</v>
      </c>
      <c r="H129" s="164"/>
    </row>
    <row r="130" spans="1:8" x14ac:dyDescent="0.2">
      <c r="A130" s="3" t="s">
        <v>9</v>
      </c>
      <c r="B130" s="3" t="s">
        <v>9</v>
      </c>
      <c r="C130" s="4" t="s">
        <v>130</v>
      </c>
      <c r="D130" s="3" t="s">
        <v>9</v>
      </c>
      <c r="E130" s="3" t="s">
        <v>9</v>
      </c>
      <c r="F130" s="3" t="s">
        <v>9</v>
      </c>
      <c r="G130" s="3" t="s">
        <v>9</v>
      </c>
      <c r="H130" s="164"/>
    </row>
    <row r="131" spans="1:8" x14ac:dyDescent="0.2">
      <c r="A131" s="3" t="s">
        <v>9</v>
      </c>
      <c r="B131" s="3" t="s">
        <v>9</v>
      </c>
      <c r="C131" s="4" t="s">
        <v>131</v>
      </c>
      <c r="D131" s="3" t="s">
        <v>9</v>
      </c>
      <c r="E131" s="3" t="s">
        <v>9</v>
      </c>
      <c r="F131" s="3" t="s">
        <v>9</v>
      </c>
      <c r="G131" s="3" t="s">
        <v>9</v>
      </c>
      <c r="H131" s="164"/>
    </row>
    <row r="132" spans="1:8" x14ac:dyDescent="0.2">
      <c r="A132" s="3" t="s">
        <v>9</v>
      </c>
      <c r="B132" s="3" t="s">
        <v>9</v>
      </c>
      <c r="C132" s="4" t="s">
        <v>110</v>
      </c>
      <c r="D132" s="3" t="s">
        <v>9</v>
      </c>
      <c r="E132" s="3" t="s">
        <v>9</v>
      </c>
      <c r="F132" s="15">
        <v>0</v>
      </c>
      <c r="G132" s="16">
        <v>0</v>
      </c>
      <c r="H132" s="164"/>
    </row>
    <row r="133" spans="1:8" x14ac:dyDescent="0.2">
      <c r="A133" s="3" t="s">
        <v>9</v>
      </c>
      <c r="B133" s="3" t="s">
        <v>9</v>
      </c>
      <c r="C133" s="13" t="s">
        <v>9</v>
      </c>
      <c r="D133" s="3" t="s">
        <v>9</v>
      </c>
      <c r="E133" s="3" t="s">
        <v>9</v>
      </c>
      <c r="F133" s="14" t="s">
        <v>9</v>
      </c>
      <c r="G133" s="14" t="s">
        <v>9</v>
      </c>
      <c r="H133" s="164"/>
    </row>
    <row r="134" spans="1:8" x14ac:dyDescent="0.2">
      <c r="A134" s="3" t="s">
        <v>9</v>
      </c>
      <c r="B134" s="3" t="s">
        <v>9</v>
      </c>
      <c r="C134" s="4" t="s">
        <v>132</v>
      </c>
      <c r="D134" s="3" t="s">
        <v>9</v>
      </c>
      <c r="E134" s="3" t="s">
        <v>9</v>
      </c>
      <c r="F134" s="3" t="s">
        <v>9</v>
      </c>
      <c r="G134" s="3" t="s">
        <v>9</v>
      </c>
      <c r="H134" s="164"/>
    </row>
    <row r="135" spans="1:8" x14ac:dyDescent="0.2">
      <c r="A135" s="3" t="s">
        <v>9</v>
      </c>
      <c r="B135" s="3" t="s">
        <v>9</v>
      </c>
      <c r="C135" s="4" t="s">
        <v>133</v>
      </c>
      <c r="D135" s="3" t="s">
        <v>9</v>
      </c>
      <c r="E135" s="3" t="s">
        <v>9</v>
      </c>
      <c r="F135" s="3" t="s">
        <v>9</v>
      </c>
      <c r="G135" s="3" t="s">
        <v>9</v>
      </c>
      <c r="H135" s="164"/>
    </row>
    <row r="136" spans="1:8" x14ac:dyDescent="0.2">
      <c r="A136" s="3" t="s">
        <v>9</v>
      </c>
      <c r="B136" s="3" t="s">
        <v>9</v>
      </c>
      <c r="C136" s="4" t="s">
        <v>110</v>
      </c>
      <c r="D136" s="3" t="s">
        <v>9</v>
      </c>
      <c r="E136" s="3" t="s">
        <v>9</v>
      </c>
      <c r="F136" s="15">
        <v>0</v>
      </c>
      <c r="G136" s="16">
        <v>0</v>
      </c>
      <c r="H136" s="164"/>
    </row>
    <row r="137" spans="1:8" x14ac:dyDescent="0.2">
      <c r="A137" s="3" t="s">
        <v>9</v>
      </c>
      <c r="B137" s="3" t="s">
        <v>9</v>
      </c>
      <c r="C137" s="13" t="s">
        <v>9</v>
      </c>
      <c r="D137" s="3" t="s">
        <v>9</v>
      </c>
      <c r="E137" s="3" t="s">
        <v>9</v>
      </c>
      <c r="F137" s="14" t="s">
        <v>9</v>
      </c>
      <c r="G137" s="14" t="s">
        <v>9</v>
      </c>
      <c r="H137" s="164"/>
    </row>
    <row r="138" spans="1:8" x14ac:dyDescent="0.2">
      <c r="A138" s="3" t="s">
        <v>9</v>
      </c>
      <c r="B138" s="3" t="s">
        <v>9</v>
      </c>
      <c r="C138" s="13" t="s">
        <v>9</v>
      </c>
      <c r="D138" s="3" t="s">
        <v>9</v>
      </c>
      <c r="E138" s="3" t="s">
        <v>9</v>
      </c>
      <c r="F138" s="14" t="s">
        <v>9</v>
      </c>
      <c r="G138" s="14" t="s">
        <v>9</v>
      </c>
      <c r="H138" s="164"/>
    </row>
    <row r="139" spans="1:8" ht="25.5" x14ac:dyDescent="0.2">
      <c r="A139" s="3" t="s">
        <v>9</v>
      </c>
      <c r="B139" s="3" t="s">
        <v>9</v>
      </c>
      <c r="C139" s="4" t="s">
        <v>134</v>
      </c>
      <c r="D139" s="3" t="s">
        <v>9</v>
      </c>
      <c r="E139" s="3" t="s">
        <v>9</v>
      </c>
      <c r="F139" s="14" t="s">
        <v>9</v>
      </c>
      <c r="G139" s="14" t="s">
        <v>9</v>
      </c>
      <c r="H139" s="164"/>
    </row>
    <row r="140" spans="1:8" x14ac:dyDescent="0.2">
      <c r="A140" s="3" t="s">
        <v>9</v>
      </c>
      <c r="B140" s="3" t="s">
        <v>9</v>
      </c>
      <c r="C140" s="4" t="s">
        <v>110</v>
      </c>
      <c r="D140" s="3" t="s">
        <v>9</v>
      </c>
      <c r="E140" s="3" t="s">
        <v>9</v>
      </c>
      <c r="F140" s="15">
        <v>0</v>
      </c>
      <c r="G140" s="16">
        <v>0</v>
      </c>
      <c r="H140" s="164"/>
    </row>
    <row r="141" spans="1:8" x14ac:dyDescent="0.2">
      <c r="A141" s="3" t="s">
        <v>9</v>
      </c>
      <c r="B141" s="3" t="s">
        <v>9</v>
      </c>
      <c r="C141" s="13" t="s">
        <v>9</v>
      </c>
      <c r="D141" s="3" t="s">
        <v>9</v>
      </c>
      <c r="E141" s="3" t="s">
        <v>9</v>
      </c>
      <c r="F141" s="14" t="s">
        <v>9</v>
      </c>
      <c r="G141" s="14" t="s">
        <v>9</v>
      </c>
      <c r="H141" s="164"/>
    </row>
    <row r="142" spans="1:8" x14ac:dyDescent="0.2">
      <c r="A142" s="3" t="s">
        <v>9</v>
      </c>
      <c r="B142" s="6" t="s">
        <v>9</v>
      </c>
      <c r="C142" s="6" t="s">
        <v>9</v>
      </c>
      <c r="D142" s="4" t="s">
        <v>9</v>
      </c>
      <c r="E142" s="3" t="s">
        <v>9</v>
      </c>
      <c r="F142" s="6" t="s">
        <v>9</v>
      </c>
      <c r="G142" s="10" t="s">
        <v>9</v>
      </c>
      <c r="H142" s="164"/>
    </row>
    <row r="143" spans="1:8" x14ac:dyDescent="0.2">
      <c r="A143" s="10" t="s">
        <v>9</v>
      </c>
      <c r="B143" s="6" t="s">
        <v>9</v>
      </c>
      <c r="C143" s="6" t="s">
        <v>135</v>
      </c>
      <c r="D143" s="6" t="s">
        <v>9</v>
      </c>
      <c r="E143" s="10" t="s">
        <v>9</v>
      </c>
      <c r="F143" s="8">
        <v>43.899987690000003</v>
      </c>
      <c r="G143" s="9">
        <v>4.0704950000000004E-3</v>
      </c>
      <c r="H143" s="164"/>
    </row>
    <row r="144" spans="1:8" x14ac:dyDescent="0.2">
      <c r="A144" s="13" t="s">
        <v>9</v>
      </c>
      <c r="B144" s="13" t="s">
        <v>9</v>
      </c>
      <c r="C144" s="4" t="s">
        <v>136</v>
      </c>
      <c r="D144" s="17" t="s">
        <v>9</v>
      </c>
      <c r="E144" s="17" t="s">
        <v>9</v>
      </c>
      <c r="F144" s="11">
        <v>10784.926942190001</v>
      </c>
      <c r="G144" s="12">
        <v>1.0000000010000001</v>
      </c>
      <c r="H144" s="164"/>
    </row>
    <row r="145" spans="1:7" ht="14.1" customHeight="1" x14ac:dyDescent="0.2">
      <c r="A145" s="18" t="s">
        <v>9</v>
      </c>
      <c r="B145" s="18" t="s">
        <v>9</v>
      </c>
      <c r="C145" s="18" t="s">
        <v>9</v>
      </c>
      <c r="D145" s="19" t="s">
        <v>9</v>
      </c>
      <c r="E145" s="19" t="s">
        <v>9</v>
      </c>
      <c r="F145" s="19" t="s">
        <v>9</v>
      </c>
      <c r="G145" s="19" t="s">
        <v>9</v>
      </c>
    </row>
    <row r="146" spans="1:7" ht="14.1" customHeight="1" x14ac:dyDescent="0.2">
      <c r="A146" s="20" t="s">
        <v>9</v>
      </c>
      <c r="B146" s="228" t="s">
        <v>9</v>
      </c>
      <c r="C146" s="228"/>
      <c r="D146" s="228"/>
      <c r="E146" s="228"/>
      <c r="F146" s="228"/>
      <c r="G146" s="22" t="s">
        <v>9</v>
      </c>
    </row>
    <row r="147" spans="1:7" ht="14.1" customHeight="1" x14ac:dyDescent="0.2">
      <c r="A147" s="20" t="s">
        <v>9</v>
      </c>
      <c r="B147" s="228" t="s">
        <v>9</v>
      </c>
      <c r="C147" s="228"/>
      <c r="D147" s="228"/>
      <c r="E147" s="228"/>
      <c r="F147" s="228"/>
      <c r="G147" s="22" t="s">
        <v>9</v>
      </c>
    </row>
    <row r="148" spans="1:7" ht="14.1" customHeight="1" x14ac:dyDescent="0.2">
      <c r="A148" s="20" t="s">
        <v>9</v>
      </c>
      <c r="B148" s="20" t="s">
        <v>9</v>
      </c>
      <c r="C148" s="20" t="s">
        <v>9</v>
      </c>
      <c r="D148" s="22" t="s">
        <v>9</v>
      </c>
      <c r="E148" s="22" t="s">
        <v>9</v>
      </c>
      <c r="F148" s="22" t="s">
        <v>9</v>
      </c>
      <c r="G148" s="22" t="s">
        <v>9</v>
      </c>
    </row>
    <row r="149" spans="1:7" ht="14.1" customHeight="1" x14ac:dyDescent="0.2">
      <c r="A149" s="20" t="s">
        <v>9</v>
      </c>
      <c r="B149" s="226" t="s">
        <v>138</v>
      </c>
      <c r="C149" s="227"/>
      <c r="D149" s="14" t="s">
        <v>9</v>
      </c>
      <c r="E149" s="23" t="s">
        <v>9</v>
      </c>
      <c r="F149" s="22" t="s">
        <v>9</v>
      </c>
      <c r="G149" s="22" t="s">
        <v>9</v>
      </c>
    </row>
    <row r="150" spans="1:7" ht="29.1" customHeight="1" x14ac:dyDescent="0.2">
      <c r="A150" s="20" t="s">
        <v>9</v>
      </c>
      <c r="B150" s="233" t="s">
        <v>139</v>
      </c>
      <c r="C150" s="234"/>
      <c r="D150" s="4" t="s">
        <v>140</v>
      </c>
      <c r="E150" s="23" t="s">
        <v>9</v>
      </c>
      <c r="F150" s="22" t="s">
        <v>9</v>
      </c>
      <c r="G150" s="22" t="s">
        <v>9</v>
      </c>
    </row>
    <row r="151" spans="1:7" ht="17.100000000000001" customHeight="1" x14ac:dyDescent="0.2">
      <c r="A151" s="20" t="s">
        <v>9</v>
      </c>
      <c r="B151" s="233" t="s">
        <v>141</v>
      </c>
      <c r="C151" s="234"/>
      <c r="D151" s="4" t="s">
        <v>140</v>
      </c>
      <c r="E151" s="23" t="s">
        <v>9</v>
      </c>
      <c r="F151" s="22" t="s">
        <v>9</v>
      </c>
      <c r="G151" s="22" t="s">
        <v>9</v>
      </c>
    </row>
    <row r="152" spans="1:7" ht="17.100000000000001" customHeight="1" x14ac:dyDescent="0.2">
      <c r="A152" s="20" t="s">
        <v>9</v>
      </c>
      <c r="B152" s="233" t="s">
        <v>142</v>
      </c>
      <c r="C152" s="234"/>
      <c r="D152" s="14" t="s">
        <v>9</v>
      </c>
      <c r="E152" s="23" t="s">
        <v>9</v>
      </c>
      <c r="F152" s="22" t="s">
        <v>9</v>
      </c>
      <c r="G152" s="22" t="s">
        <v>9</v>
      </c>
    </row>
    <row r="153" spans="1:7" ht="24" customHeight="1" x14ac:dyDescent="0.2">
      <c r="A153" s="24" t="s">
        <v>9</v>
      </c>
      <c r="B153" s="25" t="s">
        <v>9</v>
      </c>
      <c r="C153" s="25" t="s">
        <v>143</v>
      </c>
      <c r="D153" s="25" t="s">
        <v>144</v>
      </c>
      <c r="E153" s="24" t="s">
        <v>9</v>
      </c>
      <c r="F153" s="24" t="s">
        <v>9</v>
      </c>
      <c r="G153" s="24" t="s">
        <v>9</v>
      </c>
    </row>
    <row r="154" spans="1:7" ht="18" customHeight="1" x14ac:dyDescent="0.2">
      <c r="A154" s="24" t="s">
        <v>9</v>
      </c>
      <c r="B154" s="25" t="s">
        <v>145</v>
      </c>
      <c r="C154" s="25" t="s">
        <v>146</v>
      </c>
      <c r="D154" s="25" t="s">
        <v>147</v>
      </c>
      <c r="E154" s="24" t="s">
        <v>9</v>
      </c>
      <c r="F154" s="24" t="s">
        <v>9</v>
      </c>
      <c r="G154" s="24" t="s">
        <v>9</v>
      </c>
    </row>
    <row r="155" spans="1:7" ht="17.100000000000001" customHeight="1" x14ac:dyDescent="0.2">
      <c r="A155" s="24" t="s">
        <v>9</v>
      </c>
      <c r="B155" s="6" t="s">
        <v>148</v>
      </c>
      <c r="C155" s="26">
        <v>12.6221</v>
      </c>
      <c r="D155" s="26">
        <v>13.8215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839</v>
      </c>
      <c r="C156" s="26">
        <v>12.6221</v>
      </c>
      <c r="D156" s="26">
        <v>13.8215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6" t="s">
        <v>149</v>
      </c>
      <c r="C157" s="26">
        <v>12.178100000000001</v>
      </c>
      <c r="D157" s="26">
        <v>13.3292</v>
      </c>
      <c r="E157" s="24" t="s">
        <v>9</v>
      </c>
      <c r="F157" s="21" t="s">
        <v>9</v>
      </c>
      <c r="G157" s="27" t="s">
        <v>9</v>
      </c>
    </row>
    <row r="158" spans="1:7" ht="17.100000000000001" customHeight="1" x14ac:dyDescent="0.2">
      <c r="A158" s="24" t="s">
        <v>9</v>
      </c>
      <c r="B158" s="6" t="s">
        <v>840</v>
      </c>
      <c r="C158" s="26">
        <v>12.178100000000001</v>
      </c>
      <c r="D158" s="26">
        <v>13.3292</v>
      </c>
      <c r="E158" s="24" t="s">
        <v>9</v>
      </c>
      <c r="F158" s="21" t="s">
        <v>9</v>
      </c>
      <c r="G158" s="27" t="s">
        <v>9</v>
      </c>
    </row>
    <row r="159" spans="1:7" ht="14.1" customHeight="1" x14ac:dyDescent="0.2">
      <c r="A159" s="24" t="s">
        <v>9</v>
      </c>
      <c r="B159" s="24" t="s">
        <v>9</v>
      </c>
      <c r="C159" s="24" t="s">
        <v>9</v>
      </c>
      <c r="D159" s="24" t="s">
        <v>9</v>
      </c>
      <c r="E159" s="24" t="s">
        <v>9</v>
      </c>
      <c r="F159" s="24" t="s">
        <v>9</v>
      </c>
      <c r="G159" s="24" t="s">
        <v>9</v>
      </c>
    </row>
    <row r="160" spans="1:7" ht="17.100000000000001" customHeight="1" x14ac:dyDescent="0.2">
      <c r="A160" s="24" t="s">
        <v>9</v>
      </c>
      <c r="B160" s="233" t="s">
        <v>1003</v>
      </c>
      <c r="C160" s="234"/>
      <c r="D160" s="4" t="s">
        <v>140</v>
      </c>
      <c r="E160" s="24" t="s">
        <v>9</v>
      </c>
      <c r="F160" s="24" t="s">
        <v>9</v>
      </c>
      <c r="G160" s="24" t="s">
        <v>9</v>
      </c>
    </row>
    <row r="161" spans="1:7" ht="18" customHeight="1" x14ac:dyDescent="0.2">
      <c r="A161" s="24" t="s">
        <v>9</v>
      </c>
      <c r="B161" s="28" t="s">
        <v>150</v>
      </c>
      <c r="C161" s="28" t="s">
        <v>150</v>
      </c>
      <c r="D161" s="28" t="s">
        <v>9</v>
      </c>
      <c r="E161" s="24" t="s">
        <v>9</v>
      </c>
      <c r="F161" s="24" t="s">
        <v>9</v>
      </c>
      <c r="G161" s="24" t="s">
        <v>9</v>
      </c>
    </row>
    <row r="162" spans="1:7" s="169" customFormat="1" x14ac:dyDescent="0.2">
      <c r="B162" s="235" t="s">
        <v>841</v>
      </c>
      <c r="C162" s="235"/>
      <c r="D162" s="235"/>
      <c r="E162" s="235"/>
      <c r="F162" s="235"/>
    </row>
    <row r="163" spans="1:7" ht="14.1" customHeight="1" x14ac:dyDescent="0.2">
      <c r="A163" s="24" t="s">
        <v>9</v>
      </c>
      <c r="B163" s="21" t="s">
        <v>9</v>
      </c>
      <c r="C163" s="21" t="s">
        <v>9</v>
      </c>
      <c r="D163" s="24" t="s">
        <v>9</v>
      </c>
      <c r="E163" s="24" t="s">
        <v>9</v>
      </c>
      <c r="F163" s="24" t="s">
        <v>9</v>
      </c>
      <c r="G163" s="24" t="s">
        <v>9</v>
      </c>
    </row>
    <row r="164" spans="1:7" ht="29.1" customHeight="1" x14ac:dyDescent="0.2">
      <c r="A164" s="24" t="s">
        <v>9</v>
      </c>
      <c r="B164" s="233" t="s">
        <v>151</v>
      </c>
      <c r="C164" s="234"/>
      <c r="D164" s="4" t="s">
        <v>140</v>
      </c>
      <c r="E164" s="24" t="s">
        <v>9</v>
      </c>
      <c r="F164" s="24" t="s">
        <v>9</v>
      </c>
      <c r="G164" s="24" t="s">
        <v>9</v>
      </c>
    </row>
    <row r="165" spans="1:7" ht="29.1" customHeight="1" x14ac:dyDescent="0.2">
      <c r="A165" s="24" t="s">
        <v>9</v>
      </c>
      <c r="B165" s="233" t="s">
        <v>152</v>
      </c>
      <c r="C165" s="234"/>
      <c r="D165" s="4" t="s">
        <v>140</v>
      </c>
      <c r="E165" s="24" t="s">
        <v>9</v>
      </c>
      <c r="F165" s="24" t="s">
        <v>9</v>
      </c>
      <c r="G165" s="24" t="s">
        <v>9</v>
      </c>
    </row>
    <row r="166" spans="1:7" ht="17.100000000000001" customHeight="1" x14ac:dyDescent="0.2">
      <c r="A166" s="24" t="s">
        <v>9</v>
      </c>
      <c r="B166" s="233" t="s">
        <v>153</v>
      </c>
      <c r="C166" s="234"/>
      <c r="D166" s="29">
        <v>0.53346283264543226</v>
      </c>
      <c r="E166" s="24" t="s">
        <v>9</v>
      </c>
      <c r="F166" s="21" t="s">
        <v>9</v>
      </c>
      <c r="G166" s="27" t="s">
        <v>9</v>
      </c>
    </row>
    <row r="167" spans="1:7" ht="17.100000000000001" customHeight="1" x14ac:dyDescent="0.2">
      <c r="A167" s="24" t="s">
        <v>9</v>
      </c>
      <c r="B167" s="233" t="s">
        <v>154</v>
      </c>
      <c r="C167" s="234"/>
      <c r="D167" s="4" t="s">
        <v>140</v>
      </c>
      <c r="E167" s="24" t="s">
        <v>9</v>
      </c>
      <c r="F167" s="24" t="s">
        <v>9</v>
      </c>
      <c r="G167" s="24" t="s">
        <v>9</v>
      </c>
    </row>
  </sheetData>
  <mergeCells count="15">
    <mergeCell ref="B166:C166"/>
    <mergeCell ref="B167:C167"/>
    <mergeCell ref="B150:C150"/>
    <mergeCell ref="B151:C151"/>
    <mergeCell ref="B152:C152"/>
    <mergeCell ref="B160:C160"/>
    <mergeCell ref="B164:C164"/>
    <mergeCell ref="B165:C165"/>
    <mergeCell ref="B162:F162"/>
    <mergeCell ref="B149:C149"/>
    <mergeCell ref="B146:F146"/>
    <mergeCell ref="B147:F14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58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303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304</v>
      </c>
      <c r="C7" s="6" t="s">
        <v>305</v>
      </c>
      <c r="D7" s="6" t="s">
        <v>932</v>
      </c>
      <c r="E7" s="7">
        <v>2027701</v>
      </c>
      <c r="F7" s="8">
        <v>22752.832921000001</v>
      </c>
      <c r="G7" s="9">
        <v>3.3541255999999998E-2</v>
      </c>
      <c r="H7" s="164"/>
    </row>
    <row r="8" spans="1:8" x14ac:dyDescent="0.2">
      <c r="A8" s="5">
        <v>2</v>
      </c>
      <c r="B8" s="6" t="s">
        <v>306</v>
      </c>
      <c r="C8" s="6" t="s">
        <v>307</v>
      </c>
      <c r="D8" s="6" t="s">
        <v>179</v>
      </c>
      <c r="E8" s="7">
        <v>736918</v>
      </c>
      <c r="F8" s="8">
        <v>21114.174535999999</v>
      </c>
      <c r="G8" s="9">
        <v>3.1125615999999998E-2</v>
      </c>
      <c r="H8" s="164"/>
    </row>
    <row r="9" spans="1:8" x14ac:dyDescent="0.2">
      <c r="A9" s="5">
        <v>3</v>
      </c>
      <c r="B9" s="6" t="s">
        <v>308</v>
      </c>
      <c r="C9" s="6" t="s">
        <v>309</v>
      </c>
      <c r="D9" s="6" t="s">
        <v>182</v>
      </c>
      <c r="E9" s="7">
        <v>510000</v>
      </c>
      <c r="F9" s="8">
        <v>20578.5</v>
      </c>
      <c r="G9" s="9">
        <v>3.0335946999999999E-2</v>
      </c>
      <c r="H9" s="164"/>
    </row>
    <row r="10" spans="1:8" ht="25.5" x14ac:dyDescent="0.2">
      <c r="A10" s="5">
        <v>4</v>
      </c>
      <c r="B10" s="6" t="s">
        <v>18</v>
      </c>
      <c r="C10" s="6" t="s">
        <v>19</v>
      </c>
      <c r="D10" s="6" t="s">
        <v>925</v>
      </c>
      <c r="E10" s="7">
        <v>1752194</v>
      </c>
      <c r="F10" s="8">
        <v>19154.984808000001</v>
      </c>
      <c r="G10" s="9">
        <v>2.8237462000000001E-2</v>
      </c>
      <c r="H10" s="164"/>
    </row>
    <row r="11" spans="1:8" x14ac:dyDescent="0.2">
      <c r="A11" s="5">
        <v>5</v>
      </c>
      <c r="B11" s="6" t="s">
        <v>26</v>
      </c>
      <c r="C11" s="6" t="s">
        <v>27</v>
      </c>
      <c r="D11" s="6" t="s">
        <v>28</v>
      </c>
      <c r="E11" s="7">
        <v>1509528</v>
      </c>
      <c r="F11" s="8">
        <v>18900.800088</v>
      </c>
      <c r="G11" s="9">
        <v>2.7862754E-2</v>
      </c>
      <c r="H11" s="164"/>
    </row>
    <row r="12" spans="1:8" x14ac:dyDescent="0.2">
      <c r="A12" s="5">
        <v>6</v>
      </c>
      <c r="B12" s="6" t="s">
        <v>72</v>
      </c>
      <c r="C12" s="6" t="s">
        <v>73</v>
      </c>
      <c r="D12" s="6" t="s">
        <v>28</v>
      </c>
      <c r="E12" s="7">
        <v>2145000</v>
      </c>
      <c r="F12" s="8">
        <v>18283.98</v>
      </c>
      <c r="G12" s="9">
        <v>2.6953464E-2</v>
      </c>
      <c r="H12" s="164"/>
    </row>
    <row r="13" spans="1:8" x14ac:dyDescent="0.2">
      <c r="A13" s="5">
        <v>7</v>
      </c>
      <c r="B13" s="6" t="s">
        <v>156</v>
      </c>
      <c r="C13" s="6" t="s">
        <v>157</v>
      </c>
      <c r="D13" s="6" t="s">
        <v>158</v>
      </c>
      <c r="E13" s="7">
        <v>480000</v>
      </c>
      <c r="F13" s="8">
        <v>17554.8</v>
      </c>
      <c r="G13" s="9">
        <v>2.5878538E-2</v>
      </c>
      <c r="H13" s="164"/>
    </row>
    <row r="14" spans="1:8" x14ac:dyDescent="0.2">
      <c r="A14" s="5">
        <v>8</v>
      </c>
      <c r="B14" s="6" t="s">
        <v>310</v>
      </c>
      <c r="C14" s="6" t="s">
        <v>311</v>
      </c>
      <c r="D14" s="6" t="s">
        <v>22</v>
      </c>
      <c r="E14" s="7">
        <v>1386152</v>
      </c>
      <c r="F14" s="8">
        <v>16906.895944</v>
      </c>
      <c r="G14" s="9">
        <v>2.4923424999999999E-2</v>
      </c>
      <c r="H14" s="164"/>
    </row>
    <row r="15" spans="1:8" x14ac:dyDescent="0.2">
      <c r="A15" s="5">
        <v>9</v>
      </c>
      <c r="B15" s="6" t="s">
        <v>93</v>
      </c>
      <c r="C15" s="6" t="s">
        <v>94</v>
      </c>
      <c r="D15" s="6" t="s">
        <v>28</v>
      </c>
      <c r="E15" s="7">
        <v>237000</v>
      </c>
      <c r="F15" s="8">
        <v>16266.021000000001</v>
      </c>
      <c r="G15" s="9">
        <v>2.3978675000000001E-2</v>
      </c>
      <c r="H15" s="164"/>
    </row>
    <row r="16" spans="1:8" x14ac:dyDescent="0.2">
      <c r="A16" s="5">
        <v>10</v>
      </c>
      <c r="B16" s="6" t="s">
        <v>312</v>
      </c>
      <c r="C16" s="6" t="s">
        <v>313</v>
      </c>
      <c r="D16" s="6" t="s">
        <v>930</v>
      </c>
      <c r="E16" s="7">
        <v>429478</v>
      </c>
      <c r="F16" s="8">
        <v>16213.438717000001</v>
      </c>
      <c r="G16" s="9">
        <v>2.3901160000000001E-2</v>
      </c>
      <c r="H16" s="164"/>
    </row>
    <row r="17" spans="1:8" ht="25.5" x14ac:dyDescent="0.2">
      <c r="A17" s="5">
        <v>11</v>
      </c>
      <c r="B17" s="6" t="s">
        <v>314</v>
      </c>
      <c r="C17" s="6" t="s">
        <v>315</v>
      </c>
      <c r="D17" s="6" t="s">
        <v>161</v>
      </c>
      <c r="E17" s="7">
        <v>3220000</v>
      </c>
      <c r="F17" s="8">
        <v>15319.15</v>
      </c>
      <c r="G17" s="9">
        <v>2.2582838000000001E-2</v>
      </c>
      <c r="H17" s="164"/>
    </row>
    <row r="18" spans="1:8" x14ac:dyDescent="0.2">
      <c r="A18" s="5">
        <v>12</v>
      </c>
      <c r="B18" s="6" t="s">
        <v>316</v>
      </c>
      <c r="C18" s="6" t="s">
        <v>317</v>
      </c>
      <c r="D18" s="6" t="s">
        <v>200</v>
      </c>
      <c r="E18" s="7">
        <v>1454822</v>
      </c>
      <c r="F18" s="8">
        <v>14898.104691</v>
      </c>
      <c r="G18" s="9">
        <v>2.1962150999999999E-2</v>
      </c>
      <c r="H18" s="164"/>
    </row>
    <row r="19" spans="1:8" x14ac:dyDescent="0.2">
      <c r="A19" s="5">
        <v>13</v>
      </c>
      <c r="B19" s="6" t="s">
        <v>318</v>
      </c>
      <c r="C19" s="6" t="s">
        <v>319</v>
      </c>
      <c r="D19" s="6" t="s">
        <v>62</v>
      </c>
      <c r="E19" s="7">
        <v>1386681</v>
      </c>
      <c r="F19" s="8">
        <v>14687.725152000001</v>
      </c>
      <c r="G19" s="9">
        <v>2.1652017999999999E-2</v>
      </c>
      <c r="H19" s="164"/>
    </row>
    <row r="20" spans="1:8" x14ac:dyDescent="0.2">
      <c r="A20" s="5">
        <v>14</v>
      </c>
      <c r="B20" s="6" t="s">
        <v>320</v>
      </c>
      <c r="C20" s="6" t="s">
        <v>321</v>
      </c>
      <c r="D20" s="6" t="s">
        <v>158</v>
      </c>
      <c r="E20" s="7">
        <v>162707</v>
      </c>
      <c r="F20" s="8">
        <v>14088.311008999999</v>
      </c>
      <c r="G20" s="9">
        <v>2.0768387999999999E-2</v>
      </c>
      <c r="H20" s="164"/>
    </row>
    <row r="21" spans="1:8" ht="25.5" x14ac:dyDescent="0.2">
      <c r="A21" s="5">
        <v>15</v>
      </c>
      <c r="B21" s="6" t="s">
        <v>322</v>
      </c>
      <c r="C21" s="6" t="s">
        <v>323</v>
      </c>
      <c r="D21" s="6" t="s">
        <v>62</v>
      </c>
      <c r="E21" s="7">
        <v>2819006</v>
      </c>
      <c r="F21" s="8">
        <v>13731.378226000001</v>
      </c>
      <c r="G21" s="9">
        <v>2.0242211999999999E-2</v>
      </c>
      <c r="H21" s="164"/>
    </row>
    <row r="22" spans="1:8" ht="25.5" x14ac:dyDescent="0.2">
      <c r="A22" s="5">
        <v>16</v>
      </c>
      <c r="B22" s="6" t="s">
        <v>324</v>
      </c>
      <c r="C22" s="6" t="s">
        <v>325</v>
      </c>
      <c r="D22" s="6" t="s">
        <v>67</v>
      </c>
      <c r="E22" s="7">
        <v>2403433</v>
      </c>
      <c r="F22" s="8">
        <v>13431.5853205</v>
      </c>
      <c r="G22" s="9">
        <v>1.9800271000000001E-2</v>
      </c>
      <c r="H22" s="164"/>
    </row>
    <row r="23" spans="1:8" x14ac:dyDescent="0.2">
      <c r="A23" s="5">
        <v>17</v>
      </c>
      <c r="B23" s="6" t="s">
        <v>326</v>
      </c>
      <c r="C23" s="6" t="s">
        <v>327</v>
      </c>
      <c r="D23" s="6" t="s">
        <v>200</v>
      </c>
      <c r="E23" s="7">
        <v>341452</v>
      </c>
      <c r="F23" s="8">
        <v>13420.600134</v>
      </c>
      <c r="G23" s="9">
        <v>1.9784077000000001E-2</v>
      </c>
      <c r="H23" s="164"/>
    </row>
    <row r="24" spans="1:8" x14ac:dyDescent="0.2">
      <c r="A24" s="5">
        <v>18</v>
      </c>
      <c r="B24" s="6" t="s">
        <v>328</v>
      </c>
      <c r="C24" s="6" t="s">
        <v>329</v>
      </c>
      <c r="D24" s="6" t="s">
        <v>266</v>
      </c>
      <c r="E24" s="7">
        <v>452166</v>
      </c>
      <c r="F24" s="8">
        <v>13339.801331999999</v>
      </c>
      <c r="G24" s="9">
        <v>1.9664965999999999E-2</v>
      </c>
      <c r="H24" s="164"/>
    </row>
    <row r="25" spans="1:8" x14ac:dyDescent="0.2">
      <c r="A25" s="5">
        <v>19</v>
      </c>
      <c r="B25" s="6" t="s">
        <v>330</v>
      </c>
      <c r="C25" s="6" t="s">
        <v>331</v>
      </c>
      <c r="D25" s="6" t="s">
        <v>207</v>
      </c>
      <c r="E25" s="7">
        <v>41292</v>
      </c>
      <c r="F25" s="8">
        <v>13007.847132000001</v>
      </c>
      <c r="G25" s="9">
        <v>1.9175614000000001E-2</v>
      </c>
      <c r="H25" s="164"/>
    </row>
    <row r="26" spans="1:8" x14ac:dyDescent="0.2">
      <c r="A26" s="5">
        <v>20</v>
      </c>
      <c r="B26" s="6" t="s">
        <v>332</v>
      </c>
      <c r="C26" s="6" t="s">
        <v>333</v>
      </c>
      <c r="D26" s="6" t="s">
        <v>59</v>
      </c>
      <c r="E26" s="7">
        <v>3005217</v>
      </c>
      <c r="F26" s="8">
        <v>12975.024397499999</v>
      </c>
      <c r="G26" s="9">
        <v>1.9127228E-2</v>
      </c>
      <c r="H26" s="164"/>
    </row>
    <row r="27" spans="1:8" x14ac:dyDescent="0.2">
      <c r="A27" s="5">
        <v>21</v>
      </c>
      <c r="B27" s="6" t="s">
        <v>334</v>
      </c>
      <c r="C27" s="6" t="s">
        <v>335</v>
      </c>
      <c r="D27" s="6" t="s">
        <v>22</v>
      </c>
      <c r="E27" s="7">
        <v>14804336</v>
      </c>
      <c r="F27" s="8">
        <v>12946.391831999999</v>
      </c>
      <c r="G27" s="9">
        <v>1.9085019000000002E-2</v>
      </c>
      <c r="H27" s="164"/>
    </row>
    <row r="28" spans="1:8" ht="25.5" x14ac:dyDescent="0.2">
      <c r="A28" s="5">
        <v>22</v>
      </c>
      <c r="B28" s="6" t="s">
        <v>336</v>
      </c>
      <c r="C28" s="6" t="s">
        <v>337</v>
      </c>
      <c r="D28" s="6" t="s">
        <v>67</v>
      </c>
      <c r="E28" s="7">
        <v>1689169</v>
      </c>
      <c r="F28" s="8">
        <v>12868.089442</v>
      </c>
      <c r="G28" s="9">
        <v>1.8969588999999999E-2</v>
      </c>
      <c r="H28" s="164"/>
    </row>
    <row r="29" spans="1:8" x14ac:dyDescent="0.2">
      <c r="A29" s="5">
        <v>23</v>
      </c>
      <c r="B29" s="6" t="s">
        <v>338</v>
      </c>
      <c r="C29" s="6" t="s">
        <v>339</v>
      </c>
      <c r="D29" s="6" t="s">
        <v>195</v>
      </c>
      <c r="E29" s="7">
        <v>341413</v>
      </c>
      <c r="F29" s="8">
        <v>12473.865368000001</v>
      </c>
      <c r="G29" s="9">
        <v>1.8388440999999998E-2</v>
      </c>
      <c r="H29" s="164"/>
    </row>
    <row r="30" spans="1:8" x14ac:dyDescent="0.2">
      <c r="A30" s="5">
        <v>24</v>
      </c>
      <c r="B30" s="6" t="s">
        <v>340</v>
      </c>
      <c r="C30" s="6" t="s">
        <v>341</v>
      </c>
      <c r="D30" s="6" t="s">
        <v>926</v>
      </c>
      <c r="E30" s="7">
        <v>6700000</v>
      </c>
      <c r="F30" s="8">
        <v>12371.55</v>
      </c>
      <c r="G30" s="9">
        <v>1.8237612E-2</v>
      </c>
      <c r="H30" s="164"/>
    </row>
    <row r="31" spans="1:8" x14ac:dyDescent="0.2">
      <c r="A31" s="5">
        <v>25</v>
      </c>
      <c r="B31" s="6" t="s">
        <v>342</v>
      </c>
      <c r="C31" s="6" t="s">
        <v>343</v>
      </c>
      <c r="D31" s="6" t="s">
        <v>200</v>
      </c>
      <c r="E31" s="7">
        <v>587800</v>
      </c>
      <c r="F31" s="8">
        <v>12369.663200000001</v>
      </c>
      <c r="G31" s="9">
        <v>1.823483E-2</v>
      </c>
      <c r="H31" s="164"/>
    </row>
    <row r="32" spans="1:8" x14ac:dyDescent="0.2">
      <c r="A32" s="5">
        <v>26</v>
      </c>
      <c r="B32" s="6" t="s">
        <v>212</v>
      </c>
      <c r="C32" s="6" t="s">
        <v>213</v>
      </c>
      <c r="D32" s="6" t="s">
        <v>929</v>
      </c>
      <c r="E32" s="7">
        <v>1415997</v>
      </c>
      <c r="F32" s="8">
        <v>12309.969919499999</v>
      </c>
      <c r="G32" s="9">
        <v>1.8146833000000001E-2</v>
      </c>
      <c r="H32" s="164"/>
    </row>
    <row r="33" spans="1:8" x14ac:dyDescent="0.2">
      <c r="A33" s="5">
        <v>27</v>
      </c>
      <c r="B33" s="6" t="s">
        <v>101</v>
      </c>
      <c r="C33" s="6" t="s">
        <v>102</v>
      </c>
      <c r="D33" s="6" t="s">
        <v>76</v>
      </c>
      <c r="E33" s="7">
        <v>2155766</v>
      </c>
      <c r="F33" s="8">
        <v>12023.784865</v>
      </c>
      <c r="G33" s="9">
        <v>1.7724950999999999E-2</v>
      </c>
      <c r="H33" s="164"/>
    </row>
    <row r="34" spans="1:8" x14ac:dyDescent="0.2">
      <c r="A34" s="5">
        <v>28</v>
      </c>
      <c r="B34" s="6" t="s">
        <v>344</v>
      </c>
      <c r="C34" s="6" t="s">
        <v>345</v>
      </c>
      <c r="D34" s="6" t="s">
        <v>346</v>
      </c>
      <c r="E34" s="7">
        <v>1300000</v>
      </c>
      <c r="F34" s="8">
        <v>11997.7</v>
      </c>
      <c r="G34" s="9">
        <v>1.7686497999999998E-2</v>
      </c>
      <c r="H34" s="164"/>
    </row>
    <row r="35" spans="1:8" x14ac:dyDescent="0.2">
      <c r="A35" s="5">
        <v>29</v>
      </c>
      <c r="B35" s="6" t="s">
        <v>347</v>
      </c>
      <c r="C35" s="6" t="s">
        <v>348</v>
      </c>
      <c r="D35" s="6" t="s">
        <v>927</v>
      </c>
      <c r="E35" s="7">
        <v>1646891</v>
      </c>
      <c r="F35" s="8">
        <v>11939.95975</v>
      </c>
      <c r="G35" s="9">
        <v>1.760138E-2</v>
      </c>
      <c r="H35" s="164"/>
    </row>
    <row r="36" spans="1:8" x14ac:dyDescent="0.2">
      <c r="A36" s="5">
        <v>30</v>
      </c>
      <c r="B36" s="6" t="s">
        <v>349</v>
      </c>
      <c r="C36" s="6" t="s">
        <v>350</v>
      </c>
      <c r="D36" s="6" t="s">
        <v>195</v>
      </c>
      <c r="E36" s="7">
        <v>13981</v>
      </c>
      <c r="F36" s="8">
        <v>11171.8605845</v>
      </c>
      <c r="G36" s="9">
        <v>1.6469081E-2</v>
      </c>
      <c r="H36" s="164"/>
    </row>
    <row r="37" spans="1:8" x14ac:dyDescent="0.2">
      <c r="A37" s="5">
        <v>31</v>
      </c>
      <c r="B37" s="6" t="s">
        <v>351</v>
      </c>
      <c r="C37" s="6" t="s">
        <v>352</v>
      </c>
      <c r="D37" s="6" t="s">
        <v>28</v>
      </c>
      <c r="E37" s="7">
        <v>1410000</v>
      </c>
      <c r="F37" s="8">
        <v>10880.264999999999</v>
      </c>
      <c r="G37" s="9">
        <v>1.6039222999999998E-2</v>
      </c>
      <c r="H37" s="164"/>
    </row>
    <row r="38" spans="1:8" ht="25.5" x14ac:dyDescent="0.2">
      <c r="A38" s="5">
        <v>32</v>
      </c>
      <c r="B38" s="6" t="s">
        <v>38</v>
      </c>
      <c r="C38" s="6" t="s">
        <v>39</v>
      </c>
      <c r="D38" s="6" t="s">
        <v>40</v>
      </c>
      <c r="E38" s="7">
        <v>24800</v>
      </c>
      <c r="F38" s="8">
        <v>10596.7672</v>
      </c>
      <c r="G38" s="9">
        <v>1.5621302E-2</v>
      </c>
      <c r="H38" s="164"/>
    </row>
    <row r="39" spans="1:8" x14ac:dyDescent="0.2">
      <c r="A39" s="5">
        <v>33</v>
      </c>
      <c r="B39" s="6" t="s">
        <v>86</v>
      </c>
      <c r="C39" s="6" t="s">
        <v>87</v>
      </c>
      <c r="D39" s="6" t="s">
        <v>88</v>
      </c>
      <c r="E39" s="7">
        <v>7942374</v>
      </c>
      <c r="F39" s="8">
        <v>10547.472672</v>
      </c>
      <c r="G39" s="9">
        <v>1.5548635E-2</v>
      </c>
      <c r="H39" s="164"/>
    </row>
    <row r="40" spans="1:8" x14ac:dyDescent="0.2">
      <c r="A40" s="5">
        <v>34</v>
      </c>
      <c r="B40" s="6" t="s">
        <v>353</v>
      </c>
      <c r="C40" s="6" t="s">
        <v>354</v>
      </c>
      <c r="D40" s="6" t="s">
        <v>50</v>
      </c>
      <c r="E40" s="7">
        <v>1629770</v>
      </c>
      <c r="F40" s="8">
        <v>10494.089029999999</v>
      </c>
      <c r="G40" s="9">
        <v>1.5469939E-2</v>
      </c>
      <c r="H40" s="164"/>
    </row>
    <row r="41" spans="1:8" x14ac:dyDescent="0.2">
      <c r="A41" s="5">
        <v>35</v>
      </c>
      <c r="B41" s="6" t="s">
        <v>355</v>
      </c>
      <c r="C41" s="6" t="s">
        <v>356</v>
      </c>
      <c r="D41" s="6" t="s">
        <v>22</v>
      </c>
      <c r="E41" s="7">
        <v>12521988</v>
      </c>
      <c r="F41" s="8">
        <v>10055.156364</v>
      </c>
      <c r="G41" s="9">
        <v>1.4822883E-2</v>
      </c>
      <c r="H41" s="164"/>
    </row>
    <row r="42" spans="1:8" x14ac:dyDescent="0.2">
      <c r="A42" s="5">
        <v>36</v>
      </c>
      <c r="B42" s="6" t="s">
        <v>357</v>
      </c>
      <c r="C42" s="6" t="s">
        <v>358</v>
      </c>
      <c r="D42" s="6" t="s">
        <v>22</v>
      </c>
      <c r="E42" s="7">
        <v>1353477</v>
      </c>
      <c r="F42" s="8">
        <v>9594.7984529999994</v>
      </c>
      <c r="G42" s="9">
        <v>1.4144243000000001E-2</v>
      </c>
      <c r="H42" s="164"/>
    </row>
    <row r="43" spans="1:8" x14ac:dyDescent="0.2">
      <c r="A43" s="5">
        <v>37</v>
      </c>
      <c r="B43" s="6" t="s">
        <v>359</v>
      </c>
      <c r="C43" s="6" t="s">
        <v>360</v>
      </c>
      <c r="D43" s="6" t="s">
        <v>161</v>
      </c>
      <c r="E43" s="7">
        <v>686067</v>
      </c>
      <c r="F43" s="8">
        <v>9537.0173670000004</v>
      </c>
      <c r="G43" s="9">
        <v>1.4059064E-2</v>
      </c>
      <c r="H43" s="164"/>
    </row>
    <row r="44" spans="1:8" x14ac:dyDescent="0.2">
      <c r="A44" s="5">
        <v>38</v>
      </c>
      <c r="B44" s="6" t="s">
        <v>361</v>
      </c>
      <c r="C44" s="6" t="s">
        <v>362</v>
      </c>
      <c r="D44" s="6" t="s">
        <v>22</v>
      </c>
      <c r="E44" s="7">
        <v>6263179</v>
      </c>
      <c r="F44" s="8">
        <v>9410.4264475</v>
      </c>
      <c r="G44" s="9">
        <v>1.387245E-2</v>
      </c>
      <c r="H44" s="164"/>
    </row>
    <row r="45" spans="1:8" x14ac:dyDescent="0.2">
      <c r="A45" s="5">
        <v>39</v>
      </c>
      <c r="B45" s="6" t="s">
        <v>363</v>
      </c>
      <c r="C45" s="6" t="s">
        <v>364</v>
      </c>
      <c r="D45" s="6" t="s">
        <v>158</v>
      </c>
      <c r="E45" s="7">
        <v>1006398</v>
      </c>
      <c r="F45" s="8">
        <v>9407.8085040000005</v>
      </c>
      <c r="G45" s="9">
        <v>1.386859E-2</v>
      </c>
      <c r="H45" s="164"/>
    </row>
    <row r="46" spans="1:8" x14ac:dyDescent="0.2">
      <c r="A46" s="5">
        <v>40</v>
      </c>
      <c r="B46" s="6" t="s">
        <v>365</v>
      </c>
      <c r="C46" s="6" t="s">
        <v>366</v>
      </c>
      <c r="D46" s="6" t="s">
        <v>250</v>
      </c>
      <c r="E46" s="7">
        <v>1004036</v>
      </c>
      <c r="F46" s="8">
        <v>9217.0504799999999</v>
      </c>
      <c r="G46" s="9">
        <v>1.3587383E-2</v>
      </c>
      <c r="H46" s="164"/>
    </row>
    <row r="47" spans="1:8" x14ac:dyDescent="0.2">
      <c r="A47" s="5">
        <v>41</v>
      </c>
      <c r="B47" s="6" t="s">
        <v>367</v>
      </c>
      <c r="C47" s="6" t="s">
        <v>368</v>
      </c>
      <c r="D47" s="6" t="s">
        <v>179</v>
      </c>
      <c r="E47" s="7">
        <v>236000</v>
      </c>
      <c r="F47" s="8">
        <v>8746.6319999999996</v>
      </c>
      <c r="G47" s="9">
        <v>1.2893912E-2</v>
      </c>
      <c r="H47" s="164"/>
    </row>
    <row r="48" spans="1:8" x14ac:dyDescent="0.2">
      <c r="A48" s="5">
        <v>42</v>
      </c>
      <c r="B48" s="6" t="s">
        <v>369</v>
      </c>
      <c r="C48" s="6" t="s">
        <v>370</v>
      </c>
      <c r="D48" s="6" t="s">
        <v>62</v>
      </c>
      <c r="E48" s="7">
        <v>197110</v>
      </c>
      <c r="F48" s="8">
        <v>8484.7970600000008</v>
      </c>
      <c r="G48" s="9">
        <v>1.2507926000000001E-2</v>
      </c>
      <c r="H48" s="164"/>
    </row>
    <row r="49" spans="1:8" x14ac:dyDescent="0.2">
      <c r="A49" s="5">
        <v>43</v>
      </c>
      <c r="B49" s="6" t="s">
        <v>371</v>
      </c>
      <c r="C49" s="6" t="s">
        <v>372</v>
      </c>
      <c r="D49" s="6" t="s">
        <v>179</v>
      </c>
      <c r="E49" s="7">
        <v>745534</v>
      </c>
      <c r="F49" s="8">
        <v>7641.3507330000002</v>
      </c>
      <c r="G49" s="9">
        <v>1.1264554E-2</v>
      </c>
      <c r="H49" s="164"/>
    </row>
    <row r="50" spans="1:8" x14ac:dyDescent="0.2">
      <c r="A50" s="5">
        <v>44</v>
      </c>
      <c r="B50" s="6" t="s">
        <v>373</v>
      </c>
      <c r="C50" s="6" t="s">
        <v>374</v>
      </c>
      <c r="D50" s="6" t="s">
        <v>62</v>
      </c>
      <c r="E50" s="7">
        <v>328770</v>
      </c>
      <c r="F50" s="8">
        <v>7242.638715</v>
      </c>
      <c r="G50" s="9">
        <v>1.0676789000000001E-2</v>
      </c>
      <c r="H50" s="164"/>
    </row>
    <row r="51" spans="1:8" x14ac:dyDescent="0.2">
      <c r="A51" s="5">
        <v>45</v>
      </c>
      <c r="B51" s="6" t="s">
        <v>375</v>
      </c>
      <c r="C51" s="6" t="s">
        <v>376</v>
      </c>
      <c r="D51" s="6" t="s">
        <v>22</v>
      </c>
      <c r="E51" s="7">
        <v>13425645</v>
      </c>
      <c r="F51" s="8">
        <v>6981.3353999999999</v>
      </c>
      <c r="G51" s="9">
        <v>1.0291587E-2</v>
      </c>
      <c r="H51" s="164"/>
    </row>
    <row r="52" spans="1:8" x14ac:dyDescent="0.2">
      <c r="A52" s="5">
        <v>46</v>
      </c>
      <c r="B52" s="6" t="s">
        <v>377</v>
      </c>
      <c r="C52" s="6" t="s">
        <v>378</v>
      </c>
      <c r="D52" s="6" t="s">
        <v>346</v>
      </c>
      <c r="E52" s="7">
        <v>5066827</v>
      </c>
      <c r="F52" s="8">
        <v>6764.2140449999997</v>
      </c>
      <c r="G52" s="9">
        <v>9.9715159999999997E-3</v>
      </c>
      <c r="H52" s="164"/>
    </row>
    <row r="53" spans="1:8" x14ac:dyDescent="0.2">
      <c r="A53" s="5">
        <v>47</v>
      </c>
      <c r="B53" s="6" t="s">
        <v>379</v>
      </c>
      <c r="C53" s="6" t="s">
        <v>380</v>
      </c>
      <c r="D53" s="6" t="s">
        <v>62</v>
      </c>
      <c r="E53" s="7">
        <v>9515827</v>
      </c>
      <c r="F53" s="8">
        <v>6751.4792564999998</v>
      </c>
      <c r="G53" s="9">
        <v>9.952743E-3</v>
      </c>
      <c r="H53" s="164"/>
    </row>
    <row r="54" spans="1:8" ht="25.5" x14ac:dyDescent="0.2">
      <c r="A54" s="5">
        <v>48</v>
      </c>
      <c r="B54" s="6" t="s">
        <v>381</v>
      </c>
      <c r="C54" s="6" t="s">
        <v>382</v>
      </c>
      <c r="D54" s="6" t="s">
        <v>50</v>
      </c>
      <c r="E54" s="7">
        <v>278020</v>
      </c>
      <c r="F54" s="8">
        <v>6481.4802600000003</v>
      </c>
      <c r="G54" s="9">
        <v>9.5547219999999999E-3</v>
      </c>
      <c r="H54" s="164"/>
    </row>
    <row r="55" spans="1:8" x14ac:dyDescent="0.2">
      <c r="A55" s="5">
        <v>49</v>
      </c>
      <c r="B55" s="6" t="s">
        <v>383</v>
      </c>
      <c r="C55" s="6" t="s">
        <v>384</v>
      </c>
      <c r="D55" s="6" t="s">
        <v>161</v>
      </c>
      <c r="E55" s="7">
        <v>1534714</v>
      </c>
      <c r="F55" s="8">
        <v>6299.2336130000003</v>
      </c>
      <c r="G55" s="9">
        <v>9.2860619999999994E-3</v>
      </c>
      <c r="H55" s="164"/>
    </row>
    <row r="56" spans="1:8" x14ac:dyDescent="0.2">
      <c r="A56" s="5">
        <v>50</v>
      </c>
      <c r="B56" s="6" t="s">
        <v>385</v>
      </c>
      <c r="C56" s="6" t="s">
        <v>386</v>
      </c>
      <c r="D56" s="6" t="s">
        <v>161</v>
      </c>
      <c r="E56" s="7">
        <v>236361</v>
      </c>
      <c r="F56" s="8">
        <v>5960.315337</v>
      </c>
      <c r="G56" s="9">
        <v>8.7864429999999997E-3</v>
      </c>
      <c r="H56" s="164"/>
    </row>
    <row r="57" spans="1:8" x14ac:dyDescent="0.2">
      <c r="A57" s="5">
        <v>51</v>
      </c>
      <c r="B57" s="6" t="s">
        <v>387</v>
      </c>
      <c r="C57" s="6" t="s">
        <v>388</v>
      </c>
      <c r="D57" s="6" t="s">
        <v>930</v>
      </c>
      <c r="E57" s="7">
        <v>1917957</v>
      </c>
      <c r="F57" s="8">
        <v>5936.0769149999996</v>
      </c>
      <c r="G57" s="9">
        <v>8.7507120000000008E-3</v>
      </c>
      <c r="H57" s="164"/>
    </row>
    <row r="58" spans="1:8" x14ac:dyDescent="0.2">
      <c r="A58" s="5">
        <v>52</v>
      </c>
      <c r="B58" s="6" t="s">
        <v>103</v>
      </c>
      <c r="C58" s="6" t="s">
        <v>104</v>
      </c>
      <c r="D58" s="6" t="s">
        <v>76</v>
      </c>
      <c r="E58" s="7">
        <v>1693103</v>
      </c>
      <c r="F58" s="8">
        <v>5859.8294830000004</v>
      </c>
      <c r="G58" s="9">
        <v>8.6383109999999992E-3</v>
      </c>
      <c r="H58" s="164"/>
    </row>
    <row r="59" spans="1:8" x14ac:dyDescent="0.2">
      <c r="A59" s="5">
        <v>53</v>
      </c>
      <c r="B59" s="6" t="s">
        <v>389</v>
      </c>
      <c r="C59" s="6" t="s">
        <v>390</v>
      </c>
      <c r="D59" s="6" t="s">
        <v>37</v>
      </c>
      <c r="E59" s="7">
        <v>357033</v>
      </c>
      <c r="F59" s="8">
        <v>5720.9182755000002</v>
      </c>
      <c r="G59" s="9">
        <v>8.4335339999999995E-3</v>
      </c>
      <c r="H59" s="164"/>
    </row>
    <row r="60" spans="1:8" x14ac:dyDescent="0.2">
      <c r="A60" s="5">
        <v>54</v>
      </c>
      <c r="B60" s="6" t="s">
        <v>391</v>
      </c>
      <c r="C60" s="6" t="s">
        <v>392</v>
      </c>
      <c r="D60" s="6" t="s">
        <v>179</v>
      </c>
      <c r="E60" s="7">
        <v>210807</v>
      </c>
      <c r="F60" s="8">
        <v>5480.4549825000004</v>
      </c>
      <c r="G60" s="9">
        <v>8.0790529999999992E-3</v>
      </c>
      <c r="H60" s="164"/>
    </row>
    <row r="61" spans="1:8" ht="25.5" x14ac:dyDescent="0.2">
      <c r="A61" s="5">
        <v>55</v>
      </c>
      <c r="B61" s="6" t="s">
        <v>99</v>
      </c>
      <c r="C61" s="6" t="s">
        <v>100</v>
      </c>
      <c r="D61" s="6" t="s">
        <v>925</v>
      </c>
      <c r="E61" s="7">
        <v>250213</v>
      </c>
      <c r="F61" s="8">
        <v>5352.3062829999999</v>
      </c>
      <c r="G61" s="9">
        <v>7.8901419999999993E-3</v>
      </c>
      <c r="H61" s="164"/>
    </row>
    <row r="62" spans="1:8" ht="25.5" x14ac:dyDescent="0.2">
      <c r="A62" s="5">
        <v>56</v>
      </c>
      <c r="B62" s="6" t="s">
        <v>393</v>
      </c>
      <c r="C62" s="6" t="s">
        <v>394</v>
      </c>
      <c r="D62" s="6" t="s">
        <v>67</v>
      </c>
      <c r="E62" s="7">
        <v>690170</v>
      </c>
      <c r="F62" s="8">
        <v>5219.4106250000004</v>
      </c>
      <c r="G62" s="9">
        <v>7.694233E-3</v>
      </c>
      <c r="H62" s="164"/>
    </row>
    <row r="63" spans="1:8" x14ac:dyDescent="0.2">
      <c r="A63" s="5">
        <v>57</v>
      </c>
      <c r="B63" s="6" t="s">
        <v>395</v>
      </c>
      <c r="C63" s="6" t="s">
        <v>396</v>
      </c>
      <c r="D63" s="6" t="s">
        <v>932</v>
      </c>
      <c r="E63" s="7">
        <v>33061</v>
      </c>
      <c r="F63" s="8">
        <v>4702.001542</v>
      </c>
      <c r="G63" s="9">
        <v>6.9314900000000002E-3</v>
      </c>
      <c r="H63" s="164"/>
    </row>
    <row r="64" spans="1:8" x14ac:dyDescent="0.2">
      <c r="A64" s="5">
        <v>58</v>
      </c>
      <c r="B64" s="6" t="s">
        <v>216</v>
      </c>
      <c r="C64" s="6" t="s">
        <v>217</v>
      </c>
      <c r="D64" s="6" t="s">
        <v>200</v>
      </c>
      <c r="E64" s="7">
        <v>427848</v>
      </c>
      <c r="F64" s="8">
        <v>2744.6449200000002</v>
      </c>
      <c r="G64" s="9">
        <v>4.0460390000000004E-3</v>
      </c>
      <c r="H64" s="164"/>
    </row>
    <row r="65" spans="1:8" ht="25.5" x14ac:dyDescent="0.2">
      <c r="A65" s="5">
        <v>59</v>
      </c>
      <c r="B65" s="6" t="s">
        <v>399</v>
      </c>
      <c r="C65" s="6" t="s">
        <v>1000</v>
      </c>
      <c r="D65" s="6" t="s">
        <v>346</v>
      </c>
      <c r="E65" s="7">
        <v>1200000</v>
      </c>
      <c r="F65" s="8">
        <v>2691</v>
      </c>
      <c r="G65" s="9">
        <v>3.9669570000000001E-3</v>
      </c>
      <c r="H65" s="164"/>
    </row>
    <row r="66" spans="1:8" x14ac:dyDescent="0.2">
      <c r="A66" s="5">
        <v>60</v>
      </c>
      <c r="B66" s="6" t="s">
        <v>210</v>
      </c>
      <c r="C66" s="6" t="s">
        <v>211</v>
      </c>
      <c r="D66" s="6" t="s">
        <v>195</v>
      </c>
      <c r="E66" s="7">
        <v>186036</v>
      </c>
      <c r="F66" s="8">
        <v>2082.4869840000001</v>
      </c>
      <c r="G66" s="9">
        <v>3.069914E-3</v>
      </c>
      <c r="H66" s="164"/>
    </row>
    <row r="67" spans="1:8" x14ac:dyDescent="0.2">
      <c r="A67" s="5">
        <v>61</v>
      </c>
      <c r="B67" s="6" t="s">
        <v>397</v>
      </c>
      <c r="C67" s="6" t="s">
        <v>398</v>
      </c>
      <c r="D67" s="6" t="s">
        <v>195</v>
      </c>
      <c r="E67" s="7">
        <v>128889</v>
      </c>
      <c r="F67" s="8">
        <v>959.96527200000003</v>
      </c>
      <c r="G67" s="9">
        <v>1.4151400000000001E-3</v>
      </c>
      <c r="H67" s="164"/>
    </row>
    <row r="68" spans="1:8" x14ac:dyDescent="0.2">
      <c r="A68" s="3" t="s">
        <v>9</v>
      </c>
      <c r="B68" s="3" t="s">
        <v>9</v>
      </c>
      <c r="C68" s="4" t="s">
        <v>110</v>
      </c>
      <c r="D68" s="3" t="s">
        <v>9</v>
      </c>
      <c r="E68" s="3" t="s">
        <v>9</v>
      </c>
      <c r="F68" s="11">
        <v>666942.21358799981</v>
      </c>
      <c r="G68" s="12">
        <v>0.98317778500000041</v>
      </c>
      <c r="H68" s="164"/>
    </row>
    <row r="69" spans="1:8" x14ac:dyDescent="0.2">
      <c r="A69" s="3" t="s">
        <v>9</v>
      </c>
      <c r="B69" s="3" t="s">
        <v>9</v>
      </c>
      <c r="C69" s="13" t="s">
        <v>9</v>
      </c>
      <c r="D69" s="3" t="s">
        <v>9</v>
      </c>
      <c r="E69" s="3" t="s">
        <v>9</v>
      </c>
      <c r="F69" s="14" t="s">
        <v>9</v>
      </c>
      <c r="G69" s="14" t="s">
        <v>9</v>
      </c>
      <c r="H69" s="164"/>
    </row>
    <row r="70" spans="1:8" x14ac:dyDescent="0.2">
      <c r="A70" s="3" t="s">
        <v>9</v>
      </c>
      <c r="B70" s="3" t="s">
        <v>9</v>
      </c>
      <c r="C70" s="4" t="s">
        <v>111</v>
      </c>
      <c r="D70" s="3" t="s">
        <v>9</v>
      </c>
      <c r="E70" s="3" t="s">
        <v>9</v>
      </c>
      <c r="F70" s="3" t="s">
        <v>9</v>
      </c>
      <c r="G70" s="3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110</v>
      </c>
      <c r="D71" s="3" t="s">
        <v>9</v>
      </c>
      <c r="E71" s="3" t="s">
        <v>9</v>
      </c>
      <c r="F71" s="15">
        <v>0</v>
      </c>
      <c r="G71" s="16">
        <v>0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112</v>
      </c>
      <c r="D73" s="3" t="s">
        <v>9</v>
      </c>
      <c r="E73" s="3" t="s">
        <v>9</v>
      </c>
      <c r="F73" s="3" t="s">
        <v>9</v>
      </c>
      <c r="G73" s="3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110</v>
      </c>
      <c r="D74" s="3" t="s">
        <v>9</v>
      </c>
      <c r="E74" s="3" t="s">
        <v>9</v>
      </c>
      <c r="F74" s="15">
        <v>0</v>
      </c>
      <c r="G74" s="16">
        <v>0</v>
      </c>
      <c r="H74" s="164"/>
    </row>
    <row r="75" spans="1:8" x14ac:dyDescent="0.2">
      <c r="A75" s="3" t="s">
        <v>9</v>
      </c>
      <c r="B75" s="3" t="s">
        <v>9</v>
      </c>
      <c r="C75" s="13" t="s">
        <v>9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113</v>
      </c>
      <c r="D76" s="3" t="s">
        <v>9</v>
      </c>
      <c r="E76" s="3" t="s">
        <v>9</v>
      </c>
      <c r="F76" s="3" t="s">
        <v>9</v>
      </c>
      <c r="G76" s="3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110</v>
      </c>
      <c r="D77" s="3" t="s">
        <v>9</v>
      </c>
      <c r="E77" s="3" t="s">
        <v>9</v>
      </c>
      <c r="F77" s="11">
        <v>0</v>
      </c>
      <c r="G77" s="12">
        <v>0</v>
      </c>
      <c r="H77" s="164"/>
    </row>
    <row r="78" spans="1:8" x14ac:dyDescent="0.2">
      <c r="A78" s="3" t="s">
        <v>9</v>
      </c>
      <c r="B78" s="3" t="s">
        <v>9</v>
      </c>
      <c r="C78" s="13" t="s">
        <v>9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x14ac:dyDescent="0.2">
      <c r="A79" s="3" t="s">
        <v>9</v>
      </c>
      <c r="B79" s="3" t="s">
        <v>9</v>
      </c>
      <c r="C79" s="4" t="s">
        <v>114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110</v>
      </c>
      <c r="D80" s="3" t="s">
        <v>9</v>
      </c>
      <c r="E80" s="3" t="s">
        <v>9</v>
      </c>
      <c r="F80" s="15">
        <v>0</v>
      </c>
      <c r="G80" s="16">
        <v>0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115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116</v>
      </c>
      <c r="D85" s="3" t="s">
        <v>9</v>
      </c>
      <c r="E85" s="3" t="s">
        <v>9</v>
      </c>
      <c r="F85" s="11">
        <v>666942.21358800004</v>
      </c>
      <c r="G85" s="12">
        <v>0.98317778499999997</v>
      </c>
      <c r="H85" s="164"/>
    </row>
    <row r="86" spans="1:8" x14ac:dyDescent="0.2">
      <c r="A86" s="3" t="s">
        <v>9</v>
      </c>
      <c r="B86" s="3" t="s">
        <v>9</v>
      </c>
      <c r="C86" s="13" t="s">
        <v>9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117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ht="25.5" x14ac:dyDescent="0.2">
      <c r="A88" s="3" t="s">
        <v>9</v>
      </c>
      <c r="B88" s="3" t="s">
        <v>9</v>
      </c>
      <c r="C88" s="4" t="s">
        <v>11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110</v>
      </c>
      <c r="D89" s="3" t="s">
        <v>9</v>
      </c>
      <c r="E89" s="3" t="s">
        <v>9</v>
      </c>
      <c r="F89" s="15">
        <v>0</v>
      </c>
      <c r="G89" s="16">
        <v>0</v>
      </c>
      <c r="H89" s="164"/>
    </row>
    <row r="90" spans="1:8" x14ac:dyDescent="0.2">
      <c r="A90" s="3" t="s">
        <v>9</v>
      </c>
      <c r="B90" s="3" t="s">
        <v>9</v>
      </c>
      <c r="C90" s="13" t="s">
        <v>9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118</v>
      </c>
      <c r="D91" s="3" t="s">
        <v>9</v>
      </c>
      <c r="E91" s="3" t="s">
        <v>9</v>
      </c>
      <c r="F91" s="3" t="s">
        <v>9</v>
      </c>
      <c r="G91" s="3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110</v>
      </c>
      <c r="D92" s="3" t="s">
        <v>9</v>
      </c>
      <c r="E92" s="3" t="s">
        <v>9</v>
      </c>
      <c r="F92" s="15">
        <v>0</v>
      </c>
      <c r="G92" s="16">
        <v>0</v>
      </c>
      <c r="H92" s="164"/>
    </row>
    <row r="93" spans="1:8" x14ac:dyDescent="0.2">
      <c r="A93" s="3" t="s">
        <v>9</v>
      </c>
      <c r="B93" s="3" t="s">
        <v>9</v>
      </c>
      <c r="C93" s="13" t="s">
        <v>9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119</v>
      </c>
      <c r="D94" s="3" t="s">
        <v>9</v>
      </c>
      <c r="E94" s="3" t="s">
        <v>9</v>
      </c>
      <c r="F94" s="3" t="s">
        <v>9</v>
      </c>
      <c r="G94" s="3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110</v>
      </c>
      <c r="D95" s="3" t="s">
        <v>9</v>
      </c>
      <c r="E95" s="3" t="s">
        <v>9</v>
      </c>
      <c r="F95" s="15">
        <v>0</v>
      </c>
      <c r="G95" s="16">
        <v>0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120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110</v>
      </c>
      <c r="D98" s="3" t="s">
        <v>9</v>
      </c>
      <c r="E98" s="3" t="s">
        <v>9</v>
      </c>
      <c r="F98" s="15">
        <v>0</v>
      </c>
      <c r="G98" s="16">
        <v>0</v>
      </c>
      <c r="H98" s="164"/>
    </row>
    <row r="99" spans="1:8" x14ac:dyDescent="0.2">
      <c r="A99" s="3" t="s">
        <v>9</v>
      </c>
      <c r="B99" s="3" t="s">
        <v>9</v>
      </c>
      <c r="C99" s="13" t="s">
        <v>9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121</v>
      </c>
      <c r="D100" s="3" t="s">
        <v>9</v>
      </c>
      <c r="E100" s="3" t="s">
        <v>9</v>
      </c>
      <c r="F100" s="11">
        <v>0</v>
      </c>
      <c r="G100" s="12">
        <v>0</v>
      </c>
      <c r="H100" s="164"/>
    </row>
    <row r="101" spans="1:8" x14ac:dyDescent="0.2">
      <c r="A101" s="3" t="s">
        <v>9</v>
      </c>
      <c r="B101" s="3" t="s">
        <v>9</v>
      </c>
      <c r="C101" s="13" t="s">
        <v>9</v>
      </c>
      <c r="D101" s="3" t="s">
        <v>9</v>
      </c>
      <c r="E101" s="3" t="s">
        <v>9</v>
      </c>
      <c r="F101" s="14" t="s">
        <v>9</v>
      </c>
      <c r="G101" s="14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122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123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110</v>
      </c>
      <c r="D104" s="3" t="s">
        <v>9</v>
      </c>
      <c r="E104" s="3" t="s">
        <v>9</v>
      </c>
      <c r="F104" s="15">
        <v>0</v>
      </c>
      <c r="G104" s="16">
        <v>0</v>
      </c>
      <c r="H104" s="164"/>
    </row>
    <row r="105" spans="1:8" x14ac:dyDescent="0.2">
      <c r="A105" s="3" t="s">
        <v>9</v>
      </c>
      <c r="B105" s="3" t="s">
        <v>9</v>
      </c>
      <c r="C105" s="13" t="s">
        <v>9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124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110</v>
      </c>
      <c r="D107" s="3" t="s">
        <v>9</v>
      </c>
      <c r="E107" s="3" t="s">
        <v>9</v>
      </c>
      <c r="F107" s="15">
        <v>0</v>
      </c>
      <c r="G107" s="16">
        <v>0</v>
      </c>
      <c r="H107" s="164"/>
    </row>
    <row r="108" spans="1:8" x14ac:dyDescent="0.2">
      <c r="A108" s="3" t="s">
        <v>9</v>
      </c>
      <c r="B108" s="3" t="s">
        <v>9</v>
      </c>
      <c r="C108" s="13" t="s">
        <v>9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125</v>
      </c>
      <c r="D109" s="3" t="s">
        <v>9</v>
      </c>
      <c r="E109" s="3" t="s">
        <v>9</v>
      </c>
      <c r="F109" s="14" t="s">
        <v>9</v>
      </c>
      <c r="G109" s="14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110</v>
      </c>
      <c r="D110" s="3" t="s">
        <v>9</v>
      </c>
      <c r="E110" s="3" t="s">
        <v>9</v>
      </c>
      <c r="F110" s="15">
        <v>0</v>
      </c>
      <c r="G110" s="16">
        <v>0</v>
      </c>
      <c r="H110" s="164"/>
    </row>
    <row r="111" spans="1:8" x14ac:dyDescent="0.2">
      <c r="A111" s="3" t="s">
        <v>9</v>
      </c>
      <c r="B111" s="3" t="s">
        <v>9</v>
      </c>
      <c r="C111" s="13" t="s">
        <v>9</v>
      </c>
      <c r="D111" s="3" t="s">
        <v>9</v>
      </c>
      <c r="E111" s="3" t="s">
        <v>9</v>
      </c>
      <c r="F111" s="14" t="s">
        <v>9</v>
      </c>
      <c r="G111" s="14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126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5">
        <v>1</v>
      </c>
      <c r="B113" s="6"/>
      <c r="C113" s="6" t="s">
        <v>127</v>
      </c>
      <c r="D113" s="6"/>
      <c r="E113" s="10" t="s">
        <v>9</v>
      </c>
      <c r="F113" s="8">
        <v>6846.2368631999998</v>
      </c>
      <c r="G113" s="9">
        <v>1.0092431000000001E-2</v>
      </c>
      <c r="H113" s="90">
        <v>3.22</v>
      </c>
    </row>
    <row r="114" spans="1:8" x14ac:dyDescent="0.2">
      <c r="A114" s="5">
        <v>2</v>
      </c>
      <c r="B114" s="6"/>
      <c r="C114" s="6" t="s">
        <v>128</v>
      </c>
      <c r="D114" s="6"/>
      <c r="E114" s="10" t="s">
        <v>9</v>
      </c>
      <c r="F114" s="8">
        <v>1934.7133873</v>
      </c>
      <c r="G114" s="9">
        <v>2.8520720000000002E-3</v>
      </c>
      <c r="H114" s="90">
        <v>3.34</v>
      </c>
    </row>
    <row r="115" spans="1:8" x14ac:dyDescent="0.2">
      <c r="A115" s="3" t="s">
        <v>9</v>
      </c>
      <c r="B115" s="3" t="s">
        <v>9</v>
      </c>
      <c r="C115" s="4" t="s">
        <v>110</v>
      </c>
      <c r="D115" s="3" t="s">
        <v>9</v>
      </c>
      <c r="E115" s="3" t="s">
        <v>9</v>
      </c>
      <c r="F115" s="11">
        <v>8780.9502505</v>
      </c>
      <c r="G115" s="12">
        <v>1.2944503E-2</v>
      </c>
      <c r="H115" s="164"/>
    </row>
    <row r="116" spans="1:8" x14ac:dyDescent="0.2">
      <c r="A116" s="3" t="s">
        <v>9</v>
      </c>
      <c r="B116" s="3" t="s">
        <v>9</v>
      </c>
      <c r="C116" s="13" t="s">
        <v>9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3" t="s">
        <v>9</v>
      </c>
      <c r="B117" s="3" t="s">
        <v>9</v>
      </c>
      <c r="C117" s="4" t="s">
        <v>129</v>
      </c>
      <c r="D117" s="3" t="s">
        <v>9</v>
      </c>
      <c r="E117" s="3" t="s">
        <v>9</v>
      </c>
      <c r="F117" s="11">
        <v>8780.9502505</v>
      </c>
      <c r="G117" s="12">
        <v>1.2944503E-2</v>
      </c>
      <c r="H117" s="164"/>
    </row>
    <row r="118" spans="1:8" x14ac:dyDescent="0.2">
      <c r="A118" s="3" t="s">
        <v>9</v>
      </c>
      <c r="B118" s="3" t="s">
        <v>9</v>
      </c>
      <c r="C118" s="14" t="s">
        <v>9</v>
      </c>
      <c r="D118" s="3" t="s">
        <v>9</v>
      </c>
      <c r="E118" s="3" t="s">
        <v>9</v>
      </c>
      <c r="F118" s="3" t="s">
        <v>9</v>
      </c>
      <c r="G118" s="3" t="s">
        <v>9</v>
      </c>
      <c r="H118" s="164"/>
    </row>
    <row r="119" spans="1:8" x14ac:dyDescent="0.2">
      <c r="A119" s="3" t="s">
        <v>9</v>
      </c>
      <c r="B119" s="3" t="s">
        <v>9</v>
      </c>
      <c r="C119" s="4" t="s">
        <v>130</v>
      </c>
      <c r="D119" s="3" t="s">
        <v>9</v>
      </c>
      <c r="E119" s="3" t="s">
        <v>9</v>
      </c>
      <c r="F119" s="3" t="s">
        <v>9</v>
      </c>
      <c r="G119" s="3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131</v>
      </c>
      <c r="D120" s="3" t="s">
        <v>9</v>
      </c>
      <c r="E120" s="3" t="s">
        <v>9</v>
      </c>
      <c r="F120" s="3" t="s">
        <v>9</v>
      </c>
      <c r="G120" s="3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110</v>
      </c>
      <c r="D121" s="3" t="s">
        <v>9</v>
      </c>
      <c r="E121" s="3" t="s">
        <v>9</v>
      </c>
      <c r="F121" s="15">
        <v>0</v>
      </c>
      <c r="G121" s="16">
        <v>0</v>
      </c>
      <c r="H121" s="164"/>
    </row>
    <row r="122" spans="1:8" x14ac:dyDescent="0.2">
      <c r="A122" s="3" t="s">
        <v>9</v>
      </c>
      <c r="B122" s="3" t="s">
        <v>9</v>
      </c>
      <c r="C122" s="13" t="s">
        <v>9</v>
      </c>
      <c r="D122" s="3" t="s">
        <v>9</v>
      </c>
      <c r="E122" s="3" t="s">
        <v>9</v>
      </c>
      <c r="F122" s="14" t="s">
        <v>9</v>
      </c>
      <c r="G122" s="14" t="s">
        <v>9</v>
      </c>
      <c r="H122" s="164"/>
    </row>
    <row r="123" spans="1:8" x14ac:dyDescent="0.2">
      <c r="A123" s="3" t="s">
        <v>9</v>
      </c>
      <c r="B123" s="3" t="s">
        <v>9</v>
      </c>
      <c r="C123" s="4" t="s">
        <v>132</v>
      </c>
      <c r="D123" s="3" t="s">
        <v>9</v>
      </c>
      <c r="E123" s="3" t="s">
        <v>9</v>
      </c>
      <c r="F123" s="3" t="s">
        <v>9</v>
      </c>
      <c r="G123" s="3" t="s">
        <v>9</v>
      </c>
      <c r="H123" s="164"/>
    </row>
    <row r="124" spans="1:8" x14ac:dyDescent="0.2">
      <c r="A124" s="3" t="s">
        <v>9</v>
      </c>
      <c r="B124" s="3" t="s">
        <v>9</v>
      </c>
      <c r="C124" s="4" t="s">
        <v>133</v>
      </c>
      <c r="D124" s="3" t="s">
        <v>9</v>
      </c>
      <c r="E124" s="3" t="s">
        <v>9</v>
      </c>
      <c r="F124" s="3" t="s">
        <v>9</v>
      </c>
      <c r="G124" s="3" t="s">
        <v>9</v>
      </c>
      <c r="H124" s="164"/>
    </row>
    <row r="125" spans="1:8" x14ac:dyDescent="0.2">
      <c r="A125" s="3" t="s">
        <v>9</v>
      </c>
      <c r="B125" s="3" t="s">
        <v>9</v>
      </c>
      <c r="C125" s="4" t="s">
        <v>110</v>
      </c>
      <c r="D125" s="3" t="s">
        <v>9</v>
      </c>
      <c r="E125" s="3" t="s">
        <v>9</v>
      </c>
      <c r="F125" s="15">
        <v>0</v>
      </c>
      <c r="G125" s="16">
        <v>0</v>
      </c>
      <c r="H125" s="164"/>
    </row>
    <row r="126" spans="1:8" x14ac:dyDescent="0.2">
      <c r="A126" s="3" t="s">
        <v>9</v>
      </c>
      <c r="B126" s="3" t="s">
        <v>9</v>
      </c>
      <c r="C126" s="13" t="s">
        <v>9</v>
      </c>
      <c r="D126" s="3" t="s">
        <v>9</v>
      </c>
      <c r="E126" s="3" t="s">
        <v>9</v>
      </c>
      <c r="F126" s="14" t="s">
        <v>9</v>
      </c>
      <c r="G126" s="14" t="s">
        <v>9</v>
      </c>
      <c r="H126" s="164"/>
    </row>
    <row r="127" spans="1:8" x14ac:dyDescent="0.2">
      <c r="A127" s="3" t="s">
        <v>9</v>
      </c>
      <c r="B127" s="3" t="s">
        <v>9</v>
      </c>
      <c r="C127" s="13" t="s">
        <v>9</v>
      </c>
      <c r="D127" s="3" t="s">
        <v>9</v>
      </c>
      <c r="E127" s="3" t="s">
        <v>9</v>
      </c>
      <c r="F127" s="14" t="s">
        <v>9</v>
      </c>
      <c r="G127" s="14" t="s">
        <v>9</v>
      </c>
      <c r="H127" s="164"/>
    </row>
    <row r="128" spans="1:8" ht="25.5" x14ac:dyDescent="0.2">
      <c r="A128" s="3" t="s">
        <v>9</v>
      </c>
      <c r="B128" s="3" t="s">
        <v>9</v>
      </c>
      <c r="C128" s="4" t="s">
        <v>134</v>
      </c>
      <c r="D128" s="3" t="s">
        <v>9</v>
      </c>
      <c r="E128" s="3" t="s">
        <v>9</v>
      </c>
      <c r="F128" s="14" t="s">
        <v>9</v>
      </c>
      <c r="G128" s="14" t="s">
        <v>9</v>
      </c>
      <c r="H128" s="164"/>
    </row>
    <row r="129" spans="1:8" x14ac:dyDescent="0.2">
      <c r="A129" s="3" t="s">
        <v>9</v>
      </c>
      <c r="B129" s="3" t="s">
        <v>9</v>
      </c>
      <c r="C129" s="4" t="s">
        <v>110</v>
      </c>
      <c r="D129" s="3" t="s">
        <v>9</v>
      </c>
      <c r="E129" s="3" t="s">
        <v>9</v>
      </c>
      <c r="F129" s="15">
        <v>0</v>
      </c>
      <c r="G129" s="16">
        <v>0</v>
      </c>
      <c r="H129" s="164"/>
    </row>
    <row r="130" spans="1:8" x14ac:dyDescent="0.2">
      <c r="A130" s="3" t="s">
        <v>9</v>
      </c>
      <c r="B130" s="3" t="s">
        <v>9</v>
      </c>
      <c r="C130" s="13" t="s">
        <v>9</v>
      </c>
      <c r="D130" s="3" t="s">
        <v>9</v>
      </c>
      <c r="E130" s="3" t="s">
        <v>9</v>
      </c>
      <c r="F130" s="14" t="s">
        <v>9</v>
      </c>
      <c r="G130" s="14" t="s">
        <v>9</v>
      </c>
      <c r="H130" s="164"/>
    </row>
    <row r="131" spans="1:8" x14ac:dyDescent="0.2">
      <c r="A131" s="3" t="s">
        <v>9</v>
      </c>
      <c r="B131" s="6" t="s">
        <v>9</v>
      </c>
      <c r="C131" s="6" t="s">
        <v>9</v>
      </c>
      <c r="D131" s="4" t="s">
        <v>9</v>
      </c>
      <c r="E131" s="3" t="s">
        <v>9</v>
      </c>
      <c r="F131" s="6" t="s">
        <v>9</v>
      </c>
      <c r="G131" s="10" t="s">
        <v>9</v>
      </c>
      <c r="H131" s="164"/>
    </row>
    <row r="132" spans="1:8" x14ac:dyDescent="0.2">
      <c r="A132" s="10" t="s">
        <v>9</v>
      </c>
      <c r="B132" s="6" t="s">
        <v>9</v>
      </c>
      <c r="C132" s="6" t="s">
        <v>135</v>
      </c>
      <c r="D132" s="6" t="s">
        <v>9</v>
      </c>
      <c r="E132" s="10" t="s">
        <v>9</v>
      </c>
      <c r="F132" s="8">
        <v>2630.4631803100001</v>
      </c>
      <c r="G132" s="9">
        <v>3.8777170000000001E-3</v>
      </c>
      <c r="H132" s="164"/>
    </row>
    <row r="133" spans="1:8" x14ac:dyDescent="0.2">
      <c r="A133" s="13" t="s">
        <v>9</v>
      </c>
      <c r="B133" s="13" t="s">
        <v>9</v>
      </c>
      <c r="C133" s="4" t="s">
        <v>136</v>
      </c>
      <c r="D133" s="17" t="s">
        <v>9</v>
      </c>
      <c r="E133" s="17" t="s">
        <v>9</v>
      </c>
      <c r="F133" s="11">
        <v>678353.62701881002</v>
      </c>
      <c r="G133" s="12">
        <v>1.000000005</v>
      </c>
      <c r="H133" s="164"/>
    </row>
    <row r="134" spans="1:8" ht="14.1" customHeight="1" x14ac:dyDescent="0.2">
      <c r="A134" s="18" t="s">
        <v>9</v>
      </c>
      <c r="B134" s="18" t="s">
        <v>9</v>
      </c>
      <c r="C134" s="18" t="s">
        <v>9</v>
      </c>
      <c r="D134" s="19" t="s">
        <v>9</v>
      </c>
      <c r="E134" s="19" t="s">
        <v>9</v>
      </c>
      <c r="F134" s="19" t="s">
        <v>9</v>
      </c>
      <c r="G134" s="19" t="s">
        <v>9</v>
      </c>
    </row>
    <row r="135" spans="1:8" ht="14.1" customHeight="1" x14ac:dyDescent="0.2">
      <c r="A135" s="20" t="s">
        <v>9</v>
      </c>
      <c r="B135" s="228" t="s">
        <v>9</v>
      </c>
      <c r="C135" s="228"/>
      <c r="D135" s="228"/>
      <c r="E135" s="228"/>
      <c r="F135" s="228"/>
      <c r="G135" s="22" t="s">
        <v>9</v>
      </c>
    </row>
    <row r="136" spans="1:8" ht="14.1" customHeight="1" x14ac:dyDescent="0.2">
      <c r="A136" s="20" t="s">
        <v>9</v>
      </c>
      <c r="B136" s="228" t="s">
        <v>9</v>
      </c>
      <c r="C136" s="228"/>
      <c r="D136" s="228"/>
      <c r="E136" s="228"/>
      <c r="F136" s="228"/>
      <c r="G136" s="22" t="s">
        <v>9</v>
      </c>
    </row>
    <row r="137" spans="1:8" ht="14.1" customHeight="1" x14ac:dyDescent="0.2">
      <c r="A137" s="20" t="s">
        <v>9</v>
      </c>
      <c r="B137" s="20" t="s">
        <v>9</v>
      </c>
      <c r="C137" s="20" t="s">
        <v>9</v>
      </c>
      <c r="D137" s="22" t="s">
        <v>9</v>
      </c>
      <c r="E137" s="22" t="s">
        <v>9</v>
      </c>
      <c r="F137" s="22" t="s">
        <v>9</v>
      </c>
      <c r="G137" s="22" t="s">
        <v>9</v>
      </c>
    </row>
    <row r="138" spans="1:8" ht="14.1" customHeight="1" x14ac:dyDescent="0.2">
      <c r="A138" s="20" t="s">
        <v>9</v>
      </c>
      <c r="B138" s="226" t="s">
        <v>138</v>
      </c>
      <c r="C138" s="227"/>
      <c r="D138" s="14" t="s">
        <v>9</v>
      </c>
      <c r="E138" s="23" t="s">
        <v>9</v>
      </c>
      <c r="F138" s="22" t="s">
        <v>9</v>
      </c>
      <c r="G138" s="22" t="s">
        <v>9</v>
      </c>
    </row>
    <row r="139" spans="1:8" ht="29.1" customHeight="1" x14ac:dyDescent="0.2">
      <c r="A139" s="20" t="s">
        <v>9</v>
      </c>
      <c r="B139" s="233" t="s">
        <v>139</v>
      </c>
      <c r="C139" s="234"/>
      <c r="D139" s="4" t="s">
        <v>140</v>
      </c>
      <c r="E139" s="23" t="s">
        <v>9</v>
      </c>
      <c r="F139" s="22" t="s">
        <v>9</v>
      </c>
      <c r="G139" s="22" t="s">
        <v>9</v>
      </c>
    </row>
    <row r="140" spans="1:8" ht="17.100000000000001" customHeight="1" x14ac:dyDescent="0.2">
      <c r="A140" s="20" t="s">
        <v>9</v>
      </c>
      <c r="B140" s="233" t="s">
        <v>141</v>
      </c>
      <c r="C140" s="234"/>
      <c r="D140" s="4" t="s">
        <v>140</v>
      </c>
      <c r="E140" s="23" t="s">
        <v>9</v>
      </c>
      <c r="F140" s="22" t="s">
        <v>9</v>
      </c>
      <c r="G140" s="22" t="s">
        <v>9</v>
      </c>
    </row>
    <row r="141" spans="1:8" ht="17.100000000000001" customHeight="1" x14ac:dyDescent="0.2">
      <c r="A141" s="20" t="s">
        <v>9</v>
      </c>
      <c r="B141" s="233" t="s">
        <v>142</v>
      </c>
      <c r="C141" s="234"/>
      <c r="D141" s="14" t="s">
        <v>9</v>
      </c>
      <c r="E141" s="23" t="s">
        <v>9</v>
      </c>
      <c r="F141" s="22" t="s">
        <v>9</v>
      </c>
      <c r="G141" s="22" t="s">
        <v>9</v>
      </c>
    </row>
    <row r="142" spans="1:8" ht="24" customHeight="1" x14ac:dyDescent="0.2">
      <c r="A142" s="24" t="s">
        <v>9</v>
      </c>
      <c r="B142" s="25" t="s">
        <v>9</v>
      </c>
      <c r="C142" s="25" t="s">
        <v>143</v>
      </c>
      <c r="D142" s="25" t="s">
        <v>144</v>
      </c>
      <c r="E142" s="24" t="s">
        <v>9</v>
      </c>
      <c r="F142" s="24" t="s">
        <v>9</v>
      </c>
      <c r="G142" s="24" t="s">
        <v>9</v>
      </c>
    </row>
    <row r="143" spans="1:8" ht="18" customHeight="1" x14ac:dyDescent="0.2">
      <c r="A143" s="24" t="s">
        <v>9</v>
      </c>
      <c r="B143" s="25" t="s">
        <v>145</v>
      </c>
      <c r="C143" s="25" t="s">
        <v>146</v>
      </c>
      <c r="D143" s="25" t="s">
        <v>147</v>
      </c>
      <c r="E143" s="24" t="s">
        <v>9</v>
      </c>
      <c r="F143" s="24" t="s">
        <v>9</v>
      </c>
      <c r="G143" s="24" t="s">
        <v>9</v>
      </c>
    </row>
    <row r="144" spans="1:8" ht="17.100000000000001" customHeight="1" x14ac:dyDescent="0.2">
      <c r="A144" s="24" t="s">
        <v>9</v>
      </c>
      <c r="B144" s="6" t="s">
        <v>148</v>
      </c>
      <c r="C144" s="26">
        <v>669.00869999999998</v>
      </c>
      <c r="D144" s="26">
        <v>700.13329999999996</v>
      </c>
      <c r="E144" s="24" t="s">
        <v>9</v>
      </c>
      <c r="F144" s="21" t="s">
        <v>9</v>
      </c>
      <c r="G144" s="27" t="s">
        <v>9</v>
      </c>
    </row>
    <row r="145" spans="1:7" ht="17.100000000000001" customHeight="1" x14ac:dyDescent="0.2">
      <c r="A145" s="24" t="s">
        <v>9</v>
      </c>
      <c r="B145" s="6" t="s">
        <v>839</v>
      </c>
      <c r="C145" s="26">
        <v>41.972299999999997</v>
      </c>
      <c r="D145" s="26">
        <v>43.924999999999997</v>
      </c>
      <c r="E145" s="24" t="s">
        <v>9</v>
      </c>
      <c r="F145" s="21" t="s">
        <v>9</v>
      </c>
      <c r="G145" s="27" t="s">
        <v>9</v>
      </c>
    </row>
    <row r="146" spans="1:7" ht="29.1" customHeight="1" x14ac:dyDescent="0.2">
      <c r="A146" s="24" t="s">
        <v>9</v>
      </c>
      <c r="B146" s="6" t="s">
        <v>401</v>
      </c>
      <c r="C146" s="26">
        <v>682.85220000000004</v>
      </c>
      <c r="D146" s="26">
        <v>714.62059999999997</v>
      </c>
      <c r="E146" s="24" t="s">
        <v>9</v>
      </c>
      <c r="F146" s="21" t="s">
        <v>9</v>
      </c>
      <c r="G146" s="27" t="s">
        <v>9</v>
      </c>
    </row>
    <row r="147" spans="1:7" ht="29.1" customHeight="1" x14ac:dyDescent="0.2">
      <c r="A147" s="24" t="s">
        <v>9</v>
      </c>
      <c r="B147" s="6" t="s">
        <v>1004</v>
      </c>
      <c r="C147" s="26">
        <v>36.173900000000003</v>
      </c>
      <c r="D147" s="26">
        <v>37.857300000000002</v>
      </c>
      <c r="E147" s="24" t="s">
        <v>9</v>
      </c>
      <c r="F147" s="21" t="s">
        <v>9</v>
      </c>
      <c r="G147" s="27" t="s">
        <v>9</v>
      </c>
    </row>
    <row r="148" spans="1:7" ht="17.100000000000001" customHeight="1" x14ac:dyDescent="0.2">
      <c r="A148" s="24" t="s">
        <v>9</v>
      </c>
      <c r="B148" s="6" t="s">
        <v>149</v>
      </c>
      <c r="C148" s="26">
        <v>634.18910000000005</v>
      </c>
      <c r="D148" s="26">
        <v>663.24950000000001</v>
      </c>
      <c r="E148" s="24" t="s">
        <v>9</v>
      </c>
      <c r="F148" s="21" t="s">
        <v>9</v>
      </c>
      <c r="G148" s="27" t="s">
        <v>9</v>
      </c>
    </row>
    <row r="149" spans="1:7" ht="17.100000000000001" customHeight="1" x14ac:dyDescent="0.2">
      <c r="A149" s="24" t="s">
        <v>9</v>
      </c>
      <c r="B149" s="6" t="s">
        <v>840</v>
      </c>
      <c r="C149" s="26">
        <v>39.231699999999996</v>
      </c>
      <c r="D149" s="26">
        <v>41.029499999999999</v>
      </c>
      <c r="E149" s="24" t="s">
        <v>9</v>
      </c>
      <c r="F149" s="21" t="s">
        <v>9</v>
      </c>
      <c r="G149" s="27" t="s">
        <v>9</v>
      </c>
    </row>
    <row r="150" spans="1:7" ht="14.1" customHeight="1" x14ac:dyDescent="0.2">
      <c r="A150" s="24" t="s">
        <v>9</v>
      </c>
      <c r="B150" s="24" t="s">
        <v>9</v>
      </c>
      <c r="C150" s="24" t="s">
        <v>9</v>
      </c>
      <c r="D150" s="24" t="s">
        <v>9</v>
      </c>
      <c r="E150" s="24" t="s">
        <v>9</v>
      </c>
      <c r="F150" s="24" t="s">
        <v>9</v>
      </c>
      <c r="G150" s="24" t="s">
        <v>9</v>
      </c>
    </row>
    <row r="151" spans="1:7" ht="17.100000000000001" customHeight="1" x14ac:dyDescent="0.2">
      <c r="A151" s="24" t="s">
        <v>9</v>
      </c>
      <c r="B151" s="233" t="s">
        <v>1003</v>
      </c>
      <c r="C151" s="234"/>
      <c r="D151" s="4" t="s">
        <v>140</v>
      </c>
      <c r="E151" s="24" t="s">
        <v>9</v>
      </c>
      <c r="F151" s="24" t="s">
        <v>9</v>
      </c>
      <c r="G151" s="24" t="s">
        <v>9</v>
      </c>
    </row>
    <row r="152" spans="1:7" ht="18" customHeight="1" x14ac:dyDescent="0.2">
      <c r="A152" s="24" t="s">
        <v>9</v>
      </c>
      <c r="B152" s="28" t="s">
        <v>150</v>
      </c>
      <c r="C152" s="28" t="s">
        <v>150</v>
      </c>
      <c r="D152" s="28" t="s">
        <v>9</v>
      </c>
      <c r="E152" s="24" t="s">
        <v>9</v>
      </c>
      <c r="F152" s="24" t="s">
        <v>9</v>
      </c>
      <c r="G152" s="24" t="s">
        <v>9</v>
      </c>
    </row>
    <row r="153" spans="1:7" s="169" customFormat="1" x14ac:dyDescent="0.2">
      <c r="B153" s="235" t="s">
        <v>841</v>
      </c>
      <c r="C153" s="235"/>
      <c r="D153" s="235"/>
      <c r="E153" s="235"/>
      <c r="F153" s="235"/>
    </row>
    <row r="154" spans="1:7" ht="14.1" customHeight="1" x14ac:dyDescent="0.2">
      <c r="A154" s="24" t="s">
        <v>9</v>
      </c>
      <c r="B154" s="21" t="s">
        <v>9</v>
      </c>
      <c r="C154" s="21" t="s">
        <v>9</v>
      </c>
      <c r="D154" s="24" t="s">
        <v>9</v>
      </c>
      <c r="E154" s="24" t="s">
        <v>9</v>
      </c>
      <c r="F154" s="24" t="s">
        <v>9</v>
      </c>
      <c r="G154" s="24" t="s">
        <v>9</v>
      </c>
    </row>
    <row r="155" spans="1:7" ht="29.1" customHeight="1" x14ac:dyDescent="0.2">
      <c r="A155" s="24" t="s">
        <v>9</v>
      </c>
      <c r="B155" s="233" t="s">
        <v>151</v>
      </c>
      <c r="C155" s="234"/>
      <c r="D155" s="4" t="s">
        <v>140</v>
      </c>
      <c r="E155" s="24" t="s">
        <v>9</v>
      </c>
      <c r="F155" s="24" t="s">
        <v>9</v>
      </c>
      <c r="G155" s="24" t="s">
        <v>9</v>
      </c>
    </row>
    <row r="156" spans="1:7" ht="29.1" customHeight="1" x14ac:dyDescent="0.2">
      <c r="A156" s="24" t="s">
        <v>9</v>
      </c>
      <c r="B156" s="233" t="s">
        <v>152</v>
      </c>
      <c r="C156" s="234"/>
      <c r="D156" s="4" t="s">
        <v>140</v>
      </c>
      <c r="E156" s="24" t="s">
        <v>9</v>
      </c>
      <c r="F156" s="24" t="s">
        <v>9</v>
      </c>
      <c r="G156" s="24" t="s">
        <v>9</v>
      </c>
    </row>
    <row r="157" spans="1:7" ht="17.100000000000001" customHeight="1" x14ac:dyDescent="0.2">
      <c r="A157" s="24" t="s">
        <v>9</v>
      </c>
      <c r="B157" s="233" t="s">
        <v>153</v>
      </c>
      <c r="C157" s="234"/>
      <c r="D157" s="29">
        <v>0.50080665669415847</v>
      </c>
      <c r="E157" s="24" t="s">
        <v>9</v>
      </c>
      <c r="F157" s="21" t="s">
        <v>9</v>
      </c>
      <c r="G157" s="27" t="s">
        <v>9</v>
      </c>
    </row>
    <row r="158" spans="1:7" ht="17.100000000000001" customHeight="1" x14ac:dyDescent="0.2">
      <c r="A158" s="24" t="s">
        <v>9</v>
      </c>
      <c r="B158" s="233" t="s">
        <v>154</v>
      </c>
      <c r="C158" s="234"/>
      <c r="D158" s="4" t="s">
        <v>140</v>
      </c>
      <c r="E158" s="24" t="s">
        <v>9</v>
      </c>
      <c r="F158" s="24" t="s">
        <v>9</v>
      </c>
      <c r="G158" s="24" t="s">
        <v>9</v>
      </c>
    </row>
  </sheetData>
  <mergeCells count="15">
    <mergeCell ref="B157:C157"/>
    <mergeCell ref="B158:C158"/>
    <mergeCell ref="B139:C139"/>
    <mergeCell ref="B140:C140"/>
    <mergeCell ref="B141:C141"/>
    <mergeCell ref="B151:C151"/>
    <mergeCell ref="B155:C155"/>
    <mergeCell ref="B156:C156"/>
    <mergeCell ref="B153:F153"/>
    <mergeCell ref="B138:C138"/>
    <mergeCell ref="B135:F135"/>
    <mergeCell ref="B136:F13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47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402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20</v>
      </c>
      <c r="C7" s="6" t="s">
        <v>21</v>
      </c>
      <c r="D7" s="6" t="s">
        <v>22</v>
      </c>
      <c r="E7" s="7">
        <v>129309</v>
      </c>
      <c r="F7" s="8">
        <v>882.53392499999995</v>
      </c>
      <c r="G7" s="9">
        <v>6.5804715999999999E-2</v>
      </c>
      <c r="H7" s="164"/>
    </row>
    <row r="8" spans="1:8" x14ac:dyDescent="0.2">
      <c r="A8" s="5">
        <v>2</v>
      </c>
      <c r="B8" s="6" t="s">
        <v>79</v>
      </c>
      <c r="C8" s="6" t="s">
        <v>80</v>
      </c>
      <c r="D8" s="6" t="s">
        <v>22</v>
      </c>
      <c r="E8" s="7">
        <v>56172</v>
      </c>
      <c r="F8" s="8">
        <v>801.26549399999999</v>
      </c>
      <c r="G8" s="9">
        <v>5.9745066999999999E-2</v>
      </c>
      <c r="H8" s="164"/>
    </row>
    <row r="9" spans="1:8" x14ac:dyDescent="0.2">
      <c r="A9" s="5">
        <v>3</v>
      </c>
      <c r="B9" s="6" t="s">
        <v>15</v>
      </c>
      <c r="C9" s="6" t="s">
        <v>16</v>
      </c>
      <c r="D9" s="6" t="s">
        <v>17</v>
      </c>
      <c r="E9" s="7">
        <v>37364</v>
      </c>
      <c r="F9" s="8">
        <v>760.46949199999995</v>
      </c>
      <c r="G9" s="9">
        <v>5.6703178999999999E-2</v>
      </c>
      <c r="H9" s="164"/>
    </row>
    <row r="10" spans="1:8" x14ac:dyDescent="0.2">
      <c r="A10" s="5">
        <v>4</v>
      </c>
      <c r="B10" s="6" t="s">
        <v>403</v>
      </c>
      <c r="C10" s="6" t="s">
        <v>404</v>
      </c>
      <c r="D10" s="6" t="s">
        <v>179</v>
      </c>
      <c r="E10" s="7">
        <v>41823</v>
      </c>
      <c r="F10" s="8">
        <v>673.55941499999994</v>
      </c>
      <c r="G10" s="9">
        <v>5.0222870000000003E-2</v>
      </c>
      <c r="H10" s="164"/>
    </row>
    <row r="11" spans="1:8" x14ac:dyDescent="0.2">
      <c r="A11" s="5">
        <v>5</v>
      </c>
      <c r="B11" s="6" t="s">
        <v>156</v>
      </c>
      <c r="C11" s="6" t="s">
        <v>157</v>
      </c>
      <c r="D11" s="6" t="s">
        <v>158</v>
      </c>
      <c r="E11" s="7">
        <v>17146</v>
      </c>
      <c r="F11" s="8">
        <v>627.07208500000002</v>
      </c>
      <c r="G11" s="9">
        <v>4.6756617E-2</v>
      </c>
      <c r="H11" s="164"/>
    </row>
    <row r="12" spans="1:8" ht="25.5" x14ac:dyDescent="0.2">
      <c r="A12" s="5">
        <v>6</v>
      </c>
      <c r="B12" s="6" t="s">
        <v>405</v>
      </c>
      <c r="C12" s="6" t="s">
        <v>406</v>
      </c>
      <c r="D12" s="6" t="s">
        <v>161</v>
      </c>
      <c r="E12" s="7">
        <v>20809</v>
      </c>
      <c r="F12" s="8">
        <v>507.9789035</v>
      </c>
      <c r="G12" s="9">
        <v>3.7876625999999997E-2</v>
      </c>
      <c r="H12" s="164"/>
    </row>
    <row r="13" spans="1:8" x14ac:dyDescent="0.2">
      <c r="A13" s="5">
        <v>7</v>
      </c>
      <c r="B13" s="6" t="s">
        <v>407</v>
      </c>
      <c r="C13" s="6" t="s">
        <v>408</v>
      </c>
      <c r="D13" s="6" t="s">
        <v>22</v>
      </c>
      <c r="E13" s="7">
        <v>99454</v>
      </c>
      <c r="F13" s="8">
        <v>429.44237199999998</v>
      </c>
      <c r="G13" s="9">
        <v>3.2020676999999997E-2</v>
      </c>
      <c r="H13" s="164"/>
    </row>
    <row r="14" spans="1:8" x14ac:dyDescent="0.2">
      <c r="A14" s="5">
        <v>8</v>
      </c>
      <c r="B14" s="6" t="s">
        <v>357</v>
      </c>
      <c r="C14" s="6" t="s">
        <v>358</v>
      </c>
      <c r="D14" s="6" t="s">
        <v>22</v>
      </c>
      <c r="E14" s="7">
        <v>57031</v>
      </c>
      <c r="F14" s="8">
        <v>404.29275899999999</v>
      </c>
      <c r="G14" s="9">
        <v>3.0145436000000001E-2</v>
      </c>
      <c r="H14" s="164"/>
    </row>
    <row r="15" spans="1:8" x14ac:dyDescent="0.2">
      <c r="A15" s="5">
        <v>9</v>
      </c>
      <c r="B15" s="6" t="s">
        <v>26</v>
      </c>
      <c r="C15" s="6" t="s">
        <v>27</v>
      </c>
      <c r="D15" s="6" t="s">
        <v>28</v>
      </c>
      <c r="E15" s="7">
        <v>31150</v>
      </c>
      <c r="F15" s="8">
        <v>390.02915000000002</v>
      </c>
      <c r="G15" s="9">
        <v>2.9081893000000001E-2</v>
      </c>
      <c r="H15" s="164"/>
    </row>
    <row r="16" spans="1:8" ht="25.5" x14ac:dyDescent="0.2">
      <c r="A16" s="5">
        <v>10</v>
      </c>
      <c r="B16" s="6" t="s">
        <v>336</v>
      </c>
      <c r="C16" s="6" t="s">
        <v>337</v>
      </c>
      <c r="D16" s="6" t="s">
        <v>67</v>
      </c>
      <c r="E16" s="7">
        <v>50430</v>
      </c>
      <c r="F16" s="8">
        <v>384.17574000000002</v>
      </c>
      <c r="G16" s="9">
        <v>2.8645443E-2</v>
      </c>
      <c r="H16" s="164"/>
    </row>
    <row r="17" spans="1:8" x14ac:dyDescent="0.2">
      <c r="A17" s="5">
        <v>11</v>
      </c>
      <c r="B17" s="6" t="s">
        <v>347</v>
      </c>
      <c r="C17" s="6" t="s">
        <v>348</v>
      </c>
      <c r="D17" s="6" t="s">
        <v>927</v>
      </c>
      <c r="E17" s="7">
        <v>50010</v>
      </c>
      <c r="F17" s="8">
        <v>362.57249999999999</v>
      </c>
      <c r="G17" s="9">
        <v>2.7034632999999999E-2</v>
      </c>
      <c r="H17" s="164"/>
    </row>
    <row r="18" spans="1:8" x14ac:dyDescent="0.2">
      <c r="A18" s="5">
        <v>12</v>
      </c>
      <c r="B18" s="6" t="s">
        <v>312</v>
      </c>
      <c r="C18" s="6" t="s">
        <v>313</v>
      </c>
      <c r="D18" s="6" t="s">
        <v>930</v>
      </c>
      <c r="E18" s="7">
        <v>9189</v>
      </c>
      <c r="F18" s="8">
        <v>346.89853349999998</v>
      </c>
      <c r="G18" s="9">
        <v>2.5865928999999999E-2</v>
      </c>
      <c r="H18" s="164"/>
    </row>
    <row r="19" spans="1:8" x14ac:dyDescent="0.2">
      <c r="A19" s="5">
        <v>13</v>
      </c>
      <c r="B19" s="6" t="s">
        <v>409</v>
      </c>
      <c r="C19" s="6" t="s">
        <v>410</v>
      </c>
      <c r="D19" s="6" t="s">
        <v>932</v>
      </c>
      <c r="E19" s="7">
        <v>30074</v>
      </c>
      <c r="F19" s="8">
        <v>330.39296400000001</v>
      </c>
      <c r="G19" s="9">
        <v>2.4635218E-2</v>
      </c>
      <c r="H19" s="164"/>
    </row>
    <row r="20" spans="1:8" ht="25.5" x14ac:dyDescent="0.2">
      <c r="A20" s="5">
        <v>14</v>
      </c>
      <c r="B20" s="6" t="s">
        <v>33</v>
      </c>
      <c r="C20" s="6" t="s">
        <v>34</v>
      </c>
      <c r="D20" s="6" t="s">
        <v>925</v>
      </c>
      <c r="E20" s="7">
        <v>4173</v>
      </c>
      <c r="F20" s="8">
        <v>317.94921599999998</v>
      </c>
      <c r="G20" s="9">
        <v>2.3707369999999998E-2</v>
      </c>
      <c r="H20" s="164"/>
    </row>
    <row r="21" spans="1:8" ht="25.5" x14ac:dyDescent="0.2">
      <c r="A21" s="5">
        <v>15</v>
      </c>
      <c r="B21" s="6" t="s">
        <v>322</v>
      </c>
      <c r="C21" s="6" t="s">
        <v>323</v>
      </c>
      <c r="D21" s="6" t="s">
        <v>62</v>
      </c>
      <c r="E21" s="7">
        <v>62892</v>
      </c>
      <c r="F21" s="8">
        <v>306.34693199999998</v>
      </c>
      <c r="G21" s="9">
        <v>2.2842264000000001E-2</v>
      </c>
      <c r="H21" s="164"/>
    </row>
    <row r="22" spans="1:8" x14ac:dyDescent="0.2">
      <c r="A22" s="5">
        <v>16</v>
      </c>
      <c r="B22" s="6" t="s">
        <v>12</v>
      </c>
      <c r="C22" s="6" t="s">
        <v>13</v>
      </c>
      <c r="D22" s="6" t="s">
        <v>14</v>
      </c>
      <c r="E22" s="7">
        <v>18120</v>
      </c>
      <c r="F22" s="8">
        <v>290.18274000000002</v>
      </c>
      <c r="G22" s="9">
        <v>2.1637007E-2</v>
      </c>
      <c r="H22" s="164"/>
    </row>
    <row r="23" spans="1:8" x14ac:dyDescent="0.2">
      <c r="A23" s="5">
        <v>17</v>
      </c>
      <c r="B23" s="6" t="s">
        <v>212</v>
      </c>
      <c r="C23" s="6" t="s">
        <v>213</v>
      </c>
      <c r="D23" s="6" t="s">
        <v>929</v>
      </c>
      <c r="E23" s="7">
        <v>32477</v>
      </c>
      <c r="F23" s="8">
        <v>282.33879949999999</v>
      </c>
      <c r="G23" s="9">
        <v>2.1052135999999999E-2</v>
      </c>
      <c r="H23" s="164"/>
    </row>
    <row r="24" spans="1:8" x14ac:dyDescent="0.2">
      <c r="A24" s="5">
        <v>18</v>
      </c>
      <c r="B24" s="6" t="s">
        <v>23</v>
      </c>
      <c r="C24" s="6" t="s">
        <v>24</v>
      </c>
      <c r="D24" s="6" t="s">
        <v>25</v>
      </c>
      <c r="E24" s="7">
        <v>45416</v>
      </c>
      <c r="F24" s="8">
        <v>255.07896400000001</v>
      </c>
      <c r="G24" s="9">
        <v>1.9019550999999999E-2</v>
      </c>
      <c r="H24" s="164"/>
    </row>
    <row r="25" spans="1:8" x14ac:dyDescent="0.2">
      <c r="A25" s="5">
        <v>19</v>
      </c>
      <c r="B25" s="6" t="s">
        <v>411</v>
      </c>
      <c r="C25" s="6" t="s">
        <v>412</v>
      </c>
      <c r="D25" s="6" t="s">
        <v>59</v>
      </c>
      <c r="E25" s="7">
        <v>17000</v>
      </c>
      <c r="F25" s="8">
        <v>243.83099999999999</v>
      </c>
      <c r="G25" s="9">
        <v>1.8180865000000001E-2</v>
      </c>
      <c r="H25" s="164"/>
    </row>
    <row r="26" spans="1:8" x14ac:dyDescent="0.2">
      <c r="A26" s="5">
        <v>20</v>
      </c>
      <c r="B26" s="6" t="s">
        <v>413</v>
      </c>
      <c r="C26" s="6" t="s">
        <v>414</v>
      </c>
      <c r="D26" s="6" t="s">
        <v>200</v>
      </c>
      <c r="E26" s="7">
        <v>30197</v>
      </c>
      <c r="F26" s="8">
        <v>233.70968149999999</v>
      </c>
      <c r="G26" s="9">
        <v>1.7426185E-2</v>
      </c>
      <c r="H26" s="164"/>
    </row>
    <row r="27" spans="1:8" ht="25.5" x14ac:dyDescent="0.2">
      <c r="A27" s="5">
        <v>21</v>
      </c>
      <c r="B27" s="6" t="s">
        <v>226</v>
      </c>
      <c r="C27" s="6" t="s">
        <v>227</v>
      </c>
      <c r="D27" s="6" t="s">
        <v>62</v>
      </c>
      <c r="E27" s="7">
        <v>10000</v>
      </c>
      <c r="F27" s="8">
        <v>229.23</v>
      </c>
      <c r="G27" s="9">
        <v>1.7092164999999999E-2</v>
      </c>
      <c r="H27" s="164"/>
    </row>
    <row r="28" spans="1:8" x14ac:dyDescent="0.2">
      <c r="A28" s="5">
        <v>22</v>
      </c>
      <c r="B28" s="6" t="s">
        <v>415</v>
      </c>
      <c r="C28" s="6" t="s">
        <v>416</v>
      </c>
      <c r="D28" s="6" t="s">
        <v>179</v>
      </c>
      <c r="E28" s="7">
        <v>39000</v>
      </c>
      <c r="F28" s="8">
        <v>228.98849999999999</v>
      </c>
      <c r="G28" s="9">
        <v>1.7074157999999999E-2</v>
      </c>
      <c r="H28" s="164"/>
    </row>
    <row r="29" spans="1:8" x14ac:dyDescent="0.2">
      <c r="A29" s="5">
        <v>23</v>
      </c>
      <c r="B29" s="6" t="s">
        <v>72</v>
      </c>
      <c r="C29" s="6" t="s">
        <v>73</v>
      </c>
      <c r="D29" s="6" t="s">
        <v>28</v>
      </c>
      <c r="E29" s="7">
        <v>25977</v>
      </c>
      <c r="F29" s="8">
        <v>221.42794799999999</v>
      </c>
      <c r="G29" s="9">
        <v>1.6510416999999999E-2</v>
      </c>
      <c r="H29" s="164"/>
    </row>
    <row r="30" spans="1:8" ht="25.5" x14ac:dyDescent="0.2">
      <c r="A30" s="5">
        <v>24</v>
      </c>
      <c r="B30" s="6" t="s">
        <v>417</v>
      </c>
      <c r="C30" s="6" t="s">
        <v>418</v>
      </c>
      <c r="D30" s="6" t="s">
        <v>67</v>
      </c>
      <c r="E30" s="7">
        <v>9125</v>
      </c>
      <c r="F30" s="8">
        <v>212.913625</v>
      </c>
      <c r="G30" s="9">
        <v>1.587556E-2</v>
      </c>
      <c r="H30" s="164"/>
    </row>
    <row r="31" spans="1:8" x14ac:dyDescent="0.2">
      <c r="A31" s="5">
        <v>25</v>
      </c>
      <c r="B31" s="6" t="s">
        <v>419</v>
      </c>
      <c r="C31" s="6" t="s">
        <v>420</v>
      </c>
      <c r="D31" s="6" t="s">
        <v>179</v>
      </c>
      <c r="E31" s="7">
        <v>6466</v>
      </c>
      <c r="F31" s="8">
        <v>204.80731700000001</v>
      </c>
      <c r="G31" s="9">
        <v>1.5271127000000001E-2</v>
      </c>
      <c r="H31" s="164"/>
    </row>
    <row r="32" spans="1:8" x14ac:dyDescent="0.2">
      <c r="A32" s="5">
        <v>26</v>
      </c>
      <c r="B32" s="6" t="s">
        <v>373</v>
      </c>
      <c r="C32" s="6" t="s">
        <v>374</v>
      </c>
      <c r="D32" s="6" t="s">
        <v>62</v>
      </c>
      <c r="E32" s="7">
        <v>8763</v>
      </c>
      <c r="F32" s="8">
        <v>193.04450850000001</v>
      </c>
      <c r="G32" s="9">
        <v>1.4394051999999999E-2</v>
      </c>
      <c r="H32" s="164"/>
    </row>
    <row r="33" spans="1:8" x14ac:dyDescent="0.2">
      <c r="A33" s="5">
        <v>27</v>
      </c>
      <c r="B33" s="6" t="s">
        <v>371</v>
      </c>
      <c r="C33" s="6" t="s">
        <v>372</v>
      </c>
      <c r="D33" s="6" t="s">
        <v>179</v>
      </c>
      <c r="E33" s="7">
        <v>18271</v>
      </c>
      <c r="F33" s="8">
        <v>187.26861450000001</v>
      </c>
      <c r="G33" s="9">
        <v>1.3963382E-2</v>
      </c>
      <c r="H33" s="164"/>
    </row>
    <row r="34" spans="1:8" x14ac:dyDescent="0.2">
      <c r="A34" s="5">
        <v>28</v>
      </c>
      <c r="B34" s="6" t="s">
        <v>421</v>
      </c>
      <c r="C34" s="6" t="s">
        <v>422</v>
      </c>
      <c r="D34" s="6" t="s">
        <v>88</v>
      </c>
      <c r="E34" s="7">
        <v>24448</v>
      </c>
      <c r="F34" s="8">
        <v>181.67308800000001</v>
      </c>
      <c r="G34" s="9">
        <v>1.354616E-2</v>
      </c>
      <c r="H34" s="164"/>
    </row>
    <row r="35" spans="1:8" x14ac:dyDescent="0.2">
      <c r="A35" s="5">
        <v>29</v>
      </c>
      <c r="B35" s="6" t="s">
        <v>344</v>
      </c>
      <c r="C35" s="6" t="s">
        <v>345</v>
      </c>
      <c r="D35" s="6" t="s">
        <v>346</v>
      </c>
      <c r="E35" s="7">
        <v>19336</v>
      </c>
      <c r="F35" s="8">
        <v>178.451944</v>
      </c>
      <c r="G35" s="9">
        <v>1.3305981E-2</v>
      </c>
      <c r="H35" s="164"/>
    </row>
    <row r="36" spans="1:8" x14ac:dyDescent="0.2">
      <c r="A36" s="5">
        <v>30</v>
      </c>
      <c r="B36" s="6" t="s">
        <v>423</v>
      </c>
      <c r="C36" s="6" t="s">
        <v>424</v>
      </c>
      <c r="D36" s="6" t="s">
        <v>200</v>
      </c>
      <c r="E36" s="7">
        <v>3376</v>
      </c>
      <c r="F36" s="8">
        <v>165.62993599999999</v>
      </c>
      <c r="G36" s="9">
        <v>1.2349929000000001E-2</v>
      </c>
      <c r="H36" s="164"/>
    </row>
    <row r="37" spans="1:8" x14ac:dyDescent="0.2">
      <c r="A37" s="5">
        <v>31</v>
      </c>
      <c r="B37" s="6" t="s">
        <v>53</v>
      </c>
      <c r="C37" s="6" t="s">
        <v>54</v>
      </c>
      <c r="D37" s="6" t="s">
        <v>17</v>
      </c>
      <c r="E37" s="7">
        <v>37123</v>
      </c>
      <c r="F37" s="8">
        <v>165.38296500000001</v>
      </c>
      <c r="G37" s="9">
        <v>1.2331514E-2</v>
      </c>
      <c r="H37" s="164"/>
    </row>
    <row r="38" spans="1:8" x14ac:dyDescent="0.2">
      <c r="A38" s="5">
        <v>32</v>
      </c>
      <c r="B38" s="6" t="s">
        <v>326</v>
      </c>
      <c r="C38" s="6" t="s">
        <v>327</v>
      </c>
      <c r="D38" s="6" t="s">
        <v>200</v>
      </c>
      <c r="E38" s="7">
        <v>4108</v>
      </c>
      <c r="F38" s="8">
        <v>161.462886</v>
      </c>
      <c r="G38" s="9">
        <v>1.2039219E-2</v>
      </c>
      <c r="H38" s="164"/>
    </row>
    <row r="39" spans="1:8" x14ac:dyDescent="0.2">
      <c r="A39" s="5">
        <v>33</v>
      </c>
      <c r="B39" s="6" t="s">
        <v>264</v>
      </c>
      <c r="C39" s="6" t="s">
        <v>265</v>
      </c>
      <c r="D39" s="6" t="s">
        <v>266</v>
      </c>
      <c r="E39" s="7">
        <v>18817</v>
      </c>
      <c r="F39" s="8">
        <v>152.14485350000001</v>
      </c>
      <c r="G39" s="9">
        <v>1.1344435E-2</v>
      </c>
      <c r="H39" s="164"/>
    </row>
    <row r="40" spans="1:8" x14ac:dyDescent="0.2">
      <c r="A40" s="5">
        <v>34</v>
      </c>
      <c r="B40" s="6" t="s">
        <v>365</v>
      </c>
      <c r="C40" s="6" t="s">
        <v>366</v>
      </c>
      <c r="D40" s="6" t="s">
        <v>250</v>
      </c>
      <c r="E40" s="7">
        <v>16000</v>
      </c>
      <c r="F40" s="8">
        <v>146.88</v>
      </c>
      <c r="G40" s="9">
        <v>1.0951870000000001E-2</v>
      </c>
      <c r="H40" s="164"/>
    </row>
    <row r="41" spans="1:8" x14ac:dyDescent="0.2">
      <c r="A41" s="5">
        <v>35</v>
      </c>
      <c r="B41" s="6" t="s">
        <v>349</v>
      </c>
      <c r="C41" s="6" t="s">
        <v>350</v>
      </c>
      <c r="D41" s="6" t="s">
        <v>195</v>
      </c>
      <c r="E41" s="7">
        <v>175</v>
      </c>
      <c r="F41" s="8">
        <v>139.83803750000001</v>
      </c>
      <c r="G41" s="9">
        <v>1.0426797E-2</v>
      </c>
      <c r="H41" s="164"/>
    </row>
    <row r="42" spans="1:8" ht="25.5" x14ac:dyDescent="0.2">
      <c r="A42" s="5">
        <v>36</v>
      </c>
      <c r="B42" s="6" t="s">
        <v>240</v>
      </c>
      <c r="C42" s="6" t="s">
        <v>241</v>
      </c>
      <c r="D42" s="6" t="s">
        <v>925</v>
      </c>
      <c r="E42" s="7">
        <v>67360</v>
      </c>
      <c r="F42" s="8">
        <v>129.43224000000001</v>
      </c>
      <c r="G42" s="9">
        <v>9.6509060000000008E-3</v>
      </c>
      <c r="H42" s="164"/>
    </row>
    <row r="43" spans="1:8" x14ac:dyDescent="0.2">
      <c r="A43" s="5">
        <v>37</v>
      </c>
      <c r="B43" s="6" t="s">
        <v>355</v>
      </c>
      <c r="C43" s="6" t="s">
        <v>356</v>
      </c>
      <c r="D43" s="6" t="s">
        <v>22</v>
      </c>
      <c r="E43" s="7">
        <v>160000</v>
      </c>
      <c r="F43" s="8">
        <v>128.47999999999999</v>
      </c>
      <c r="G43" s="9">
        <v>9.5799040000000002E-3</v>
      </c>
      <c r="H43" s="164"/>
    </row>
    <row r="44" spans="1:8" x14ac:dyDescent="0.2">
      <c r="A44" s="5">
        <v>38</v>
      </c>
      <c r="B44" s="6" t="s">
        <v>353</v>
      </c>
      <c r="C44" s="6" t="s">
        <v>354</v>
      </c>
      <c r="D44" s="6" t="s">
        <v>50</v>
      </c>
      <c r="E44" s="7">
        <v>18750</v>
      </c>
      <c r="F44" s="8">
        <v>120.73125</v>
      </c>
      <c r="G44" s="9">
        <v>9.002131E-3</v>
      </c>
      <c r="H44" s="164"/>
    </row>
    <row r="45" spans="1:8" x14ac:dyDescent="0.2">
      <c r="A45" s="5">
        <v>39</v>
      </c>
      <c r="B45" s="6" t="s">
        <v>304</v>
      </c>
      <c r="C45" s="6" t="s">
        <v>305</v>
      </c>
      <c r="D45" s="6" t="s">
        <v>932</v>
      </c>
      <c r="E45" s="7">
        <v>10058</v>
      </c>
      <c r="F45" s="8">
        <v>112.86081799999999</v>
      </c>
      <c r="G45" s="9">
        <v>8.4152849999999998E-3</v>
      </c>
      <c r="H45" s="164"/>
    </row>
    <row r="46" spans="1:8" x14ac:dyDescent="0.2">
      <c r="A46" s="5">
        <v>40</v>
      </c>
      <c r="B46" s="6" t="s">
        <v>332</v>
      </c>
      <c r="C46" s="6" t="s">
        <v>333</v>
      </c>
      <c r="D46" s="6" t="s">
        <v>59</v>
      </c>
      <c r="E46" s="7">
        <v>26000</v>
      </c>
      <c r="F46" s="8">
        <v>112.255</v>
      </c>
      <c r="G46" s="9">
        <v>8.3701130000000002E-3</v>
      </c>
      <c r="H46" s="164"/>
    </row>
    <row r="47" spans="1:8" x14ac:dyDescent="0.2">
      <c r="A47" s="5">
        <v>41</v>
      </c>
      <c r="B47" s="6" t="s">
        <v>93</v>
      </c>
      <c r="C47" s="6" t="s">
        <v>94</v>
      </c>
      <c r="D47" s="6" t="s">
        <v>28</v>
      </c>
      <c r="E47" s="7">
        <v>1626</v>
      </c>
      <c r="F47" s="8">
        <v>111.597258</v>
      </c>
      <c r="G47" s="9">
        <v>8.3210690000000004E-3</v>
      </c>
      <c r="H47" s="164"/>
    </row>
    <row r="48" spans="1:8" x14ac:dyDescent="0.2">
      <c r="A48" s="5">
        <v>42</v>
      </c>
      <c r="B48" s="6" t="s">
        <v>425</v>
      </c>
      <c r="C48" s="6" t="s">
        <v>426</v>
      </c>
      <c r="D48" s="6" t="s">
        <v>427</v>
      </c>
      <c r="E48" s="7">
        <v>25042</v>
      </c>
      <c r="F48" s="8">
        <v>111.386816</v>
      </c>
      <c r="G48" s="9">
        <v>8.3053780000000004E-3</v>
      </c>
      <c r="H48" s="164"/>
    </row>
    <row r="49" spans="1:8" ht="25.5" x14ac:dyDescent="0.2">
      <c r="A49" s="5">
        <v>43</v>
      </c>
      <c r="B49" s="6" t="s">
        <v>428</v>
      </c>
      <c r="C49" s="6" t="s">
        <v>429</v>
      </c>
      <c r="D49" s="6" t="s">
        <v>67</v>
      </c>
      <c r="E49" s="7">
        <v>53592</v>
      </c>
      <c r="F49" s="8">
        <v>109.836804</v>
      </c>
      <c r="G49" s="9">
        <v>8.1898040000000002E-3</v>
      </c>
      <c r="H49" s="164"/>
    </row>
    <row r="50" spans="1:8" ht="25.5" x14ac:dyDescent="0.2">
      <c r="A50" s="5">
        <v>44</v>
      </c>
      <c r="B50" s="6" t="s">
        <v>201</v>
      </c>
      <c r="C50" s="6" t="s">
        <v>202</v>
      </c>
      <c r="D50" s="6" t="s">
        <v>67</v>
      </c>
      <c r="E50" s="7">
        <v>21952</v>
      </c>
      <c r="F50" s="8">
        <v>107.597728</v>
      </c>
      <c r="G50" s="9">
        <v>8.0228509999999992E-3</v>
      </c>
      <c r="H50" s="164"/>
    </row>
    <row r="51" spans="1:8" x14ac:dyDescent="0.2">
      <c r="A51" s="5">
        <v>45</v>
      </c>
      <c r="B51" s="6" t="s">
        <v>430</v>
      </c>
      <c r="C51" s="6" t="s">
        <v>431</v>
      </c>
      <c r="D51" s="6" t="s">
        <v>161</v>
      </c>
      <c r="E51" s="7">
        <v>7523</v>
      </c>
      <c r="F51" s="8">
        <v>106.172099</v>
      </c>
      <c r="G51" s="9">
        <v>7.9165510000000008E-3</v>
      </c>
      <c r="H51" s="164"/>
    </row>
    <row r="52" spans="1:8" x14ac:dyDescent="0.2">
      <c r="A52" s="5">
        <v>46</v>
      </c>
      <c r="B52" s="6" t="s">
        <v>267</v>
      </c>
      <c r="C52" s="6" t="s">
        <v>268</v>
      </c>
      <c r="D52" s="6" t="s">
        <v>195</v>
      </c>
      <c r="E52" s="7">
        <v>14000</v>
      </c>
      <c r="F52" s="8">
        <v>103.81699999999999</v>
      </c>
      <c r="G52" s="9">
        <v>7.7409469999999998E-3</v>
      </c>
      <c r="H52" s="164"/>
    </row>
    <row r="53" spans="1:8" x14ac:dyDescent="0.2">
      <c r="A53" s="5">
        <v>47</v>
      </c>
      <c r="B53" s="6" t="s">
        <v>432</v>
      </c>
      <c r="C53" s="6" t="s">
        <v>433</v>
      </c>
      <c r="D53" s="6" t="s">
        <v>179</v>
      </c>
      <c r="E53" s="7">
        <v>7700</v>
      </c>
      <c r="F53" s="8">
        <v>93.135350000000003</v>
      </c>
      <c r="G53" s="9">
        <v>6.9444870000000001E-3</v>
      </c>
      <c r="H53" s="164"/>
    </row>
    <row r="54" spans="1:8" x14ac:dyDescent="0.2">
      <c r="A54" s="5">
        <v>48</v>
      </c>
      <c r="B54" s="6" t="s">
        <v>74</v>
      </c>
      <c r="C54" s="6" t="s">
        <v>75</v>
      </c>
      <c r="D54" s="6" t="s">
        <v>76</v>
      </c>
      <c r="E54" s="7">
        <v>63169</v>
      </c>
      <c r="F54" s="8">
        <v>88.152339499999997</v>
      </c>
      <c r="G54" s="9">
        <v>6.5729370000000001E-3</v>
      </c>
      <c r="H54" s="164"/>
    </row>
    <row r="55" spans="1:8" x14ac:dyDescent="0.2">
      <c r="A55" s="5">
        <v>49</v>
      </c>
      <c r="B55" s="6" t="s">
        <v>434</v>
      </c>
      <c r="C55" s="6" t="s">
        <v>435</v>
      </c>
      <c r="D55" s="6" t="s">
        <v>195</v>
      </c>
      <c r="E55" s="7">
        <v>19492</v>
      </c>
      <c r="F55" s="8">
        <v>85.618610000000004</v>
      </c>
      <c r="G55" s="9">
        <v>6.384013E-3</v>
      </c>
      <c r="H55" s="164"/>
    </row>
    <row r="56" spans="1:8" x14ac:dyDescent="0.2">
      <c r="A56" s="5">
        <v>50</v>
      </c>
      <c r="B56" s="6" t="s">
        <v>436</v>
      </c>
      <c r="C56" s="6" t="s">
        <v>437</v>
      </c>
      <c r="D56" s="6" t="s">
        <v>22</v>
      </c>
      <c r="E56" s="7">
        <v>4709</v>
      </c>
      <c r="F56" s="8">
        <v>77.924531999999999</v>
      </c>
      <c r="G56" s="9">
        <v>5.8103169999999997E-3</v>
      </c>
      <c r="H56" s="164"/>
    </row>
    <row r="57" spans="1:8" ht="25.5" x14ac:dyDescent="0.2">
      <c r="A57" s="5">
        <v>51</v>
      </c>
      <c r="B57" s="6" t="s">
        <v>438</v>
      </c>
      <c r="C57" s="6" t="s">
        <v>439</v>
      </c>
      <c r="D57" s="6" t="s">
        <v>932</v>
      </c>
      <c r="E57" s="7">
        <v>4332</v>
      </c>
      <c r="F57" s="8">
        <v>63.929490000000001</v>
      </c>
      <c r="G57" s="9">
        <v>4.7667990000000004E-3</v>
      </c>
      <c r="H57" s="164"/>
    </row>
    <row r="58" spans="1:8" x14ac:dyDescent="0.2">
      <c r="A58" s="5">
        <v>52</v>
      </c>
      <c r="B58" s="6" t="s">
        <v>379</v>
      </c>
      <c r="C58" s="6" t="s">
        <v>380</v>
      </c>
      <c r="D58" s="6" t="s">
        <v>62</v>
      </c>
      <c r="E58" s="7">
        <v>78585</v>
      </c>
      <c r="F58" s="8">
        <v>55.756057499999997</v>
      </c>
      <c r="G58" s="9">
        <v>4.1573599999999997E-3</v>
      </c>
      <c r="H58" s="164"/>
    </row>
    <row r="59" spans="1:8" x14ac:dyDescent="0.2">
      <c r="A59" s="3" t="s">
        <v>9</v>
      </c>
      <c r="B59" s="3" t="s">
        <v>9</v>
      </c>
      <c r="C59" s="4" t="s">
        <v>110</v>
      </c>
      <c r="D59" s="3" t="s">
        <v>9</v>
      </c>
      <c r="E59" s="3" t="s">
        <v>9</v>
      </c>
      <c r="F59" s="11">
        <v>13317.948281000001</v>
      </c>
      <c r="G59" s="12">
        <v>0.99303129999999995</v>
      </c>
      <c r="H59" s="164"/>
    </row>
    <row r="60" spans="1:8" x14ac:dyDescent="0.2">
      <c r="A60" s="3" t="s">
        <v>9</v>
      </c>
      <c r="B60" s="3" t="s">
        <v>9</v>
      </c>
      <c r="C60" s="13" t="s">
        <v>9</v>
      </c>
      <c r="D60" s="3" t="s">
        <v>9</v>
      </c>
      <c r="E60" s="3" t="s">
        <v>9</v>
      </c>
      <c r="F60" s="14" t="s">
        <v>9</v>
      </c>
      <c r="G60" s="14" t="s">
        <v>9</v>
      </c>
      <c r="H60" s="164"/>
    </row>
    <row r="61" spans="1:8" x14ac:dyDescent="0.2">
      <c r="A61" s="3" t="s">
        <v>9</v>
      </c>
      <c r="B61" s="3" t="s">
        <v>9</v>
      </c>
      <c r="C61" s="4" t="s">
        <v>111</v>
      </c>
      <c r="D61" s="3" t="s">
        <v>9</v>
      </c>
      <c r="E61" s="3" t="s">
        <v>9</v>
      </c>
      <c r="F61" s="3" t="s">
        <v>9</v>
      </c>
      <c r="G61" s="3" t="s">
        <v>9</v>
      </c>
      <c r="H61" s="164"/>
    </row>
    <row r="62" spans="1:8" x14ac:dyDescent="0.2">
      <c r="A62" s="3" t="s">
        <v>9</v>
      </c>
      <c r="B62" s="3" t="s">
        <v>9</v>
      </c>
      <c r="C62" s="4" t="s">
        <v>110</v>
      </c>
      <c r="D62" s="3" t="s">
        <v>9</v>
      </c>
      <c r="E62" s="3" t="s">
        <v>9</v>
      </c>
      <c r="F62" s="15">
        <v>0</v>
      </c>
      <c r="G62" s="16">
        <v>0</v>
      </c>
      <c r="H62" s="164"/>
    </row>
    <row r="63" spans="1:8" x14ac:dyDescent="0.2">
      <c r="A63" s="3" t="s">
        <v>9</v>
      </c>
      <c r="B63" s="3" t="s">
        <v>9</v>
      </c>
      <c r="C63" s="13" t="s">
        <v>9</v>
      </c>
      <c r="D63" s="3" t="s">
        <v>9</v>
      </c>
      <c r="E63" s="3" t="s">
        <v>9</v>
      </c>
      <c r="F63" s="14" t="s">
        <v>9</v>
      </c>
      <c r="G63" s="14" t="s">
        <v>9</v>
      </c>
      <c r="H63" s="164"/>
    </row>
    <row r="64" spans="1:8" x14ac:dyDescent="0.2">
      <c r="A64" s="3" t="s">
        <v>9</v>
      </c>
      <c r="B64" s="3" t="s">
        <v>9</v>
      </c>
      <c r="C64" s="4" t="s">
        <v>112</v>
      </c>
      <c r="D64" s="3" t="s">
        <v>9</v>
      </c>
      <c r="E64" s="3" t="s">
        <v>9</v>
      </c>
      <c r="F64" s="3" t="s">
        <v>9</v>
      </c>
      <c r="G64" s="3" t="s">
        <v>9</v>
      </c>
      <c r="H64" s="164"/>
    </row>
    <row r="65" spans="1:8" x14ac:dyDescent="0.2">
      <c r="A65" s="3" t="s">
        <v>9</v>
      </c>
      <c r="B65" s="3" t="s">
        <v>9</v>
      </c>
      <c r="C65" s="4" t="s">
        <v>110</v>
      </c>
      <c r="D65" s="3" t="s">
        <v>9</v>
      </c>
      <c r="E65" s="3" t="s">
        <v>9</v>
      </c>
      <c r="F65" s="15">
        <v>0</v>
      </c>
      <c r="G65" s="16">
        <v>0</v>
      </c>
      <c r="H65" s="164"/>
    </row>
    <row r="66" spans="1:8" x14ac:dyDescent="0.2">
      <c r="A66" s="3" t="s">
        <v>9</v>
      </c>
      <c r="B66" s="3" t="s">
        <v>9</v>
      </c>
      <c r="C66" s="13" t="s">
        <v>9</v>
      </c>
      <c r="D66" s="3" t="s">
        <v>9</v>
      </c>
      <c r="E66" s="3" t="s">
        <v>9</v>
      </c>
      <c r="F66" s="14" t="s">
        <v>9</v>
      </c>
      <c r="G66" s="14" t="s">
        <v>9</v>
      </c>
      <c r="H66" s="164"/>
    </row>
    <row r="67" spans="1:8" x14ac:dyDescent="0.2">
      <c r="A67" s="3" t="s">
        <v>9</v>
      </c>
      <c r="B67" s="3" t="s">
        <v>9</v>
      </c>
      <c r="C67" s="4" t="s">
        <v>113</v>
      </c>
      <c r="D67" s="3" t="s">
        <v>9</v>
      </c>
      <c r="E67" s="3" t="s">
        <v>9</v>
      </c>
      <c r="F67" s="3" t="s">
        <v>9</v>
      </c>
      <c r="G67" s="3" t="s">
        <v>9</v>
      </c>
      <c r="H67" s="164"/>
    </row>
    <row r="68" spans="1:8" x14ac:dyDescent="0.2">
      <c r="A68" s="3" t="s">
        <v>9</v>
      </c>
      <c r="B68" s="3" t="s">
        <v>9</v>
      </c>
      <c r="C68" s="4" t="s">
        <v>110</v>
      </c>
      <c r="D68" s="3" t="s">
        <v>9</v>
      </c>
      <c r="E68" s="3" t="s">
        <v>9</v>
      </c>
      <c r="F68" s="15">
        <v>0</v>
      </c>
      <c r="G68" s="16">
        <v>0</v>
      </c>
      <c r="H68" s="164"/>
    </row>
    <row r="69" spans="1:8" x14ac:dyDescent="0.2">
      <c r="A69" s="3" t="s">
        <v>9</v>
      </c>
      <c r="B69" s="3" t="s">
        <v>9</v>
      </c>
      <c r="C69" s="13" t="s">
        <v>9</v>
      </c>
      <c r="D69" s="3" t="s">
        <v>9</v>
      </c>
      <c r="E69" s="3" t="s">
        <v>9</v>
      </c>
      <c r="F69" s="14" t="s">
        <v>9</v>
      </c>
      <c r="G69" s="14" t="s">
        <v>9</v>
      </c>
      <c r="H69" s="164"/>
    </row>
    <row r="70" spans="1:8" x14ac:dyDescent="0.2">
      <c r="A70" s="3" t="s">
        <v>9</v>
      </c>
      <c r="B70" s="3" t="s">
        <v>9</v>
      </c>
      <c r="C70" s="4" t="s">
        <v>114</v>
      </c>
      <c r="D70" s="3" t="s">
        <v>9</v>
      </c>
      <c r="E70" s="3" t="s">
        <v>9</v>
      </c>
      <c r="F70" s="14" t="s">
        <v>9</v>
      </c>
      <c r="G70" s="14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110</v>
      </c>
      <c r="D71" s="3" t="s">
        <v>9</v>
      </c>
      <c r="E71" s="3" t="s">
        <v>9</v>
      </c>
      <c r="F71" s="15">
        <v>0</v>
      </c>
      <c r="G71" s="16">
        <v>0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115</v>
      </c>
      <c r="D73" s="3" t="s">
        <v>9</v>
      </c>
      <c r="E73" s="3" t="s">
        <v>9</v>
      </c>
      <c r="F73" s="14" t="s">
        <v>9</v>
      </c>
      <c r="G73" s="14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110</v>
      </c>
      <c r="D74" s="3" t="s">
        <v>9</v>
      </c>
      <c r="E74" s="3" t="s">
        <v>9</v>
      </c>
      <c r="F74" s="15">
        <v>0</v>
      </c>
      <c r="G74" s="16">
        <v>0</v>
      </c>
      <c r="H74" s="164"/>
    </row>
    <row r="75" spans="1:8" x14ac:dyDescent="0.2">
      <c r="A75" s="3" t="s">
        <v>9</v>
      </c>
      <c r="B75" s="3" t="s">
        <v>9</v>
      </c>
      <c r="C75" s="13" t="s">
        <v>9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116</v>
      </c>
      <c r="D76" s="3" t="s">
        <v>9</v>
      </c>
      <c r="E76" s="3" t="s">
        <v>9</v>
      </c>
      <c r="F76" s="11">
        <v>13317.948281000001</v>
      </c>
      <c r="G76" s="12">
        <v>0.99303129999999995</v>
      </c>
      <c r="H76" s="164"/>
    </row>
    <row r="77" spans="1:8" x14ac:dyDescent="0.2">
      <c r="A77" s="3" t="s">
        <v>9</v>
      </c>
      <c r="B77" s="3" t="s">
        <v>9</v>
      </c>
      <c r="C77" s="13" t="s">
        <v>9</v>
      </c>
      <c r="D77" s="3" t="s">
        <v>9</v>
      </c>
      <c r="E77" s="3" t="s">
        <v>9</v>
      </c>
      <c r="F77" s="14" t="s">
        <v>9</v>
      </c>
      <c r="G77" s="14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117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ht="25.5" x14ac:dyDescent="0.2">
      <c r="A79" s="3" t="s">
        <v>9</v>
      </c>
      <c r="B79" s="3" t="s">
        <v>9</v>
      </c>
      <c r="C79" s="4" t="s">
        <v>11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110</v>
      </c>
      <c r="D80" s="3" t="s">
        <v>9</v>
      </c>
      <c r="E80" s="3" t="s">
        <v>9</v>
      </c>
      <c r="F80" s="15">
        <v>0</v>
      </c>
      <c r="G80" s="16">
        <v>0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118</v>
      </c>
      <c r="D82" s="3" t="s">
        <v>9</v>
      </c>
      <c r="E82" s="3" t="s">
        <v>9</v>
      </c>
      <c r="F82" s="3" t="s">
        <v>9</v>
      </c>
      <c r="G82" s="3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119</v>
      </c>
      <c r="D85" s="3" t="s">
        <v>9</v>
      </c>
      <c r="E85" s="3" t="s">
        <v>9</v>
      </c>
      <c r="F85" s="3" t="s">
        <v>9</v>
      </c>
      <c r="G85" s="3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110</v>
      </c>
      <c r="D86" s="3" t="s">
        <v>9</v>
      </c>
      <c r="E86" s="3" t="s">
        <v>9</v>
      </c>
      <c r="F86" s="15">
        <v>0</v>
      </c>
      <c r="G86" s="16">
        <v>0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120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110</v>
      </c>
      <c r="D89" s="3" t="s">
        <v>9</v>
      </c>
      <c r="E89" s="3" t="s">
        <v>9</v>
      </c>
      <c r="F89" s="15">
        <v>0</v>
      </c>
      <c r="G89" s="16">
        <v>0</v>
      </c>
      <c r="H89" s="164"/>
    </row>
    <row r="90" spans="1:8" x14ac:dyDescent="0.2">
      <c r="A90" s="3" t="s">
        <v>9</v>
      </c>
      <c r="B90" s="3" t="s">
        <v>9</v>
      </c>
      <c r="C90" s="13" t="s">
        <v>9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121</v>
      </c>
      <c r="D91" s="3" t="s">
        <v>9</v>
      </c>
      <c r="E91" s="3" t="s">
        <v>9</v>
      </c>
      <c r="F91" s="11">
        <v>0</v>
      </c>
      <c r="G91" s="12">
        <v>0</v>
      </c>
      <c r="H91" s="164"/>
    </row>
    <row r="92" spans="1:8" x14ac:dyDescent="0.2">
      <c r="A92" s="3" t="s">
        <v>9</v>
      </c>
      <c r="B92" s="3" t="s">
        <v>9</v>
      </c>
      <c r="C92" s="13" t="s">
        <v>9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122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123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110</v>
      </c>
      <c r="D95" s="3" t="s">
        <v>9</v>
      </c>
      <c r="E95" s="3" t="s">
        <v>9</v>
      </c>
      <c r="F95" s="15">
        <v>0</v>
      </c>
      <c r="G95" s="16">
        <v>0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124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110</v>
      </c>
      <c r="D98" s="3" t="s">
        <v>9</v>
      </c>
      <c r="E98" s="3" t="s">
        <v>9</v>
      </c>
      <c r="F98" s="15">
        <v>0</v>
      </c>
      <c r="G98" s="16">
        <v>0</v>
      </c>
      <c r="H98" s="164"/>
    </row>
    <row r="99" spans="1:8" x14ac:dyDescent="0.2">
      <c r="A99" s="3" t="s">
        <v>9</v>
      </c>
      <c r="B99" s="3" t="s">
        <v>9</v>
      </c>
      <c r="C99" s="13" t="s">
        <v>9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125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110</v>
      </c>
      <c r="D101" s="3" t="s">
        <v>9</v>
      </c>
      <c r="E101" s="3" t="s">
        <v>9</v>
      </c>
      <c r="F101" s="15">
        <v>0</v>
      </c>
      <c r="G101" s="16">
        <v>0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126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x14ac:dyDescent="0.2">
      <c r="A104" s="5">
        <v>1</v>
      </c>
      <c r="B104" s="6"/>
      <c r="C104" s="6" t="s">
        <v>127</v>
      </c>
      <c r="D104" s="6"/>
      <c r="E104" s="10" t="s">
        <v>9</v>
      </c>
      <c r="F104" s="8">
        <v>97.4223231</v>
      </c>
      <c r="G104" s="9">
        <v>7.2641379999999998E-3</v>
      </c>
      <c r="H104" s="90">
        <v>3.22</v>
      </c>
    </row>
    <row r="105" spans="1:8" x14ac:dyDescent="0.2">
      <c r="A105" s="5">
        <v>2</v>
      </c>
      <c r="B105" s="6"/>
      <c r="C105" s="6" t="s">
        <v>128</v>
      </c>
      <c r="D105" s="6"/>
      <c r="E105" s="10" t="s">
        <v>9</v>
      </c>
      <c r="F105" s="8">
        <v>27.5310782</v>
      </c>
      <c r="G105" s="9">
        <v>2.05281E-3</v>
      </c>
      <c r="H105" s="90">
        <v>3.34</v>
      </c>
    </row>
    <row r="106" spans="1:8" x14ac:dyDescent="0.2">
      <c r="A106" s="3" t="s">
        <v>9</v>
      </c>
      <c r="B106" s="3" t="s">
        <v>9</v>
      </c>
      <c r="C106" s="4" t="s">
        <v>110</v>
      </c>
      <c r="D106" s="3" t="s">
        <v>9</v>
      </c>
      <c r="E106" s="3" t="s">
        <v>9</v>
      </c>
      <c r="F106" s="11">
        <v>124.9534013</v>
      </c>
      <c r="G106" s="12">
        <v>9.3169480000000002E-3</v>
      </c>
      <c r="H106" s="164"/>
    </row>
    <row r="107" spans="1:8" x14ac:dyDescent="0.2">
      <c r="A107" s="3" t="s">
        <v>9</v>
      </c>
      <c r="B107" s="3" t="s">
        <v>9</v>
      </c>
      <c r="C107" s="13" t="s">
        <v>9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129</v>
      </c>
      <c r="D108" s="3" t="s">
        <v>9</v>
      </c>
      <c r="E108" s="3" t="s">
        <v>9</v>
      </c>
      <c r="F108" s="11">
        <v>124.9534013</v>
      </c>
      <c r="G108" s="12">
        <v>9.3169480000000002E-3</v>
      </c>
      <c r="H108" s="164"/>
    </row>
    <row r="109" spans="1:8" x14ac:dyDescent="0.2">
      <c r="A109" s="3" t="s">
        <v>9</v>
      </c>
      <c r="B109" s="3" t="s">
        <v>9</v>
      </c>
      <c r="C109" s="14" t="s">
        <v>9</v>
      </c>
      <c r="D109" s="3" t="s">
        <v>9</v>
      </c>
      <c r="E109" s="3" t="s">
        <v>9</v>
      </c>
      <c r="F109" s="3" t="s">
        <v>9</v>
      </c>
      <c r="G109" s="3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130</v>
      </c>
      <c r="D110" s="3" t="s">
        <v>9</v>
      </c>
      <c r="E110" s="3" t="s">
        <v>9</v>
      </c>
      <c r="F110" s="3" t="s">
        <v>9</v>
      </c>
      <c r="G110" s="3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131</v>
      </c>
      <c r="D111" s="3" t="s">
        <v>9</v>
      </c>
      <c r="E111" s="3" t="s">
        <v>9</v>
      </c>
      <c r="F111" s="3" t="s">
        <v>9</v>
      </c>
      <c r="G111" s="3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110</v>
      </c>
      <c r="D112" s="3" t="s">
        <v>9</v>
      </c>
      <c r="E112" s="3" t="s">
        <v>9</v>
      </c>
      <c r="F112" s="15">
        <v>0</v>
      </c>
      <c r="G112" s="16">
        <v>0</v>
      </c>
      <c r="H112" s="164"/>
    </row>
    <row r="113" spans="1:8" x14ac:dyDescent="0.2">
      <c r="A113" s="3" t="s">
        <v>9</v>
      </c>
      <c r="B113" s="3" t="s">
        <v>9</v>
      </c>
      <c r="C113" s="13" t="s">
        <v>9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3" t="s">
        <v>9</v>
      </c>
      <c r="B114" s="3" t="s">
        <v>9</v>
      </c>
      <c r="C114" s="4" t="s">
        <v>132</v>
      </c>
      <c r="D114" s="3" t="s">
        <v>9</v>
      </c>
      <c r="E114" s="3" t="s">
        <v>9</v>
      </c>
      <c r="F114" s="3" t="s">
        <v>9</v>
      </c>
      <c r="G114" s="3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133</v>
      </c>
      <c r="D115" s="3" t="s">
        <v>9</v>
      </c>
      <c r="E115" s="3" t="s">
        <v>9</v>
      </c>
      <c r="F115" s="3" t="s">
        <v>9</v>
      </c>
      <c r="G115" s="3" t="s">
        <v>9</v>
      </c>
      <c r="H115" s="164"/>
    </row>
    <row r="116" spans="1:8" x14ac:dyDescent="0.2">
      <c r="A116" s="3" t="s">
        <v>9</v>
      </c>
      <c r="B116" s="3" t="s">
        <v>9</v>
      </c>
      <c r="C116" s="4" t="s">
        <v>110</v>
      </c>
      <c r="D116" s="3" t="s">
        <v>9</v>
      </c>
      <c r="E116" s="3" t="s">
        <v>9</v>
      </c>
      <c r="F116" s="15">
        <v>0</v>
      </c>
      <c r="G116" s="16">
        <v>0</v>
      </c>
      <c r="H116" s="164"/>
    </row>
    <row r="117" spans="1:8" x14ac:dyDescent="0.2">
      <c r="A117" s="3" t="s">
        <v>9</v>
      </c>
      <c r="B117" s="3" t="s">
        <v>9</v>
      </c>
      <c r="C117" s="13" t="s">
        <v>9</v>
      </c>
      <c r="D117" s="3" t="s">
        <v>9</v>
      </c>
      <c r="E117" s="3" t="s">
        <v>9</v>
      </c>
      <c r="F117" s="14" t="s">
        <v>9</v>
      </c>
      <c r="G117" s="14" t="s">
        <v>9</v>
      </c>
      <c r="H117" s="164"/>
    </row>
    <row r="118" spans="1:8" x14ac:dyDescent="0.2">
      <c r="A118" s="3" t="s">
        <v>9</v>
      </c>
      <c r="B118" s="3" t="s">
        <v>9</v>
      </c>
      <c r="C118" s="13" t="s">
        <v>9</v>
      </c>
      <c r="D118" s="3" t="s">
        <v>9</v>
      </c>
      <c r="E118" s="3" t="s">
        <v>9</v>
      </c>
      <c r="F118" s="14" t="s">
        <v>9</v>
      </c>
      <c r="G118" s="14" t="s">
        <v>9</v>
      </c>
      <c r="H118" s="164"/>
    </row>
    <row r="119" spans="1:8" ht="25.5" x14ac:dyDescent="0.2">
      <c r="A119" s="3" t="s">
        <v>9</v>
      </c>
      <c r="B119" s="3" t="s">
        <v>9</v>
      </c>
      <c r="C119" s="4" t="s">
        <v>134</v>
      </c>
      <c r="D119" s="3" t="s">
        <v>9</v>
      </c>
      <c r="E119" s="3" t="s">
        <v>9</v>
      </c>
      <c r="F119" s="14" t="s">
        <v>9</v>
      </c>
      <c r="G119" s="14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110</v>
      </c>
      <c r="D120" s="3" t="s">
        <v>9</v>
      </c>
      <c r="E120" s="3" t="s">
        <v>9</v>
      </c>
      <c r="F120" s="15">
        <v>0</v>
      </c>
      <c r="G120" s="16">
        <v>0</v>
      </c>
      <c r="H120" s="164"/>
    </row>
    <row r="121" spans="1:8" x14ac:dyDescent="0.2">
      <c r="A121" s="3" t="s">
        <v>9</v>
      </c>
      <c r="B121" s="3" t="s">
        <v>9</v>
      </c>
      <c r="C121" s="13" t="s">
        <v>9</v>
      </c>
      <c r="D121" s="3" t="s">
        <v>9</v>
      </c>
      <c r="E121" s="3" t="s">
        <v>9</v>
      </c>
      <c r="F121" s="14" t="s">
        <v>9</v>
      </c>
      <c r="G121" s="14" t="s">
        <v>9</v>
      </c>
      <c r="H121" s="164"/>
    </row>
    <row r="122" spans="1:8" x14ac:dyDescent="0.2">
      <c r="A122" s="3" t="s">
        <v>9</v>
      </c>
      <c r="B122" s="6" t="s">
        <v>9</v>
      </c>
      <c r="C122" s="6" t="s">
        <v>9</v>
      </c>
      <c r="D122" s="4" t="s">
        <v>9</v>
      </c>
      <c r="E122" s="3" t="s">
        <v>9</v>
      </c>
      <c r="F122" s="6" t="s">
        <v>9</v>
      </c>
      <c r="G122" s="10" t="s">
        <v>9</v>
      </c>
      <c r="H122" s="164"/>
    </row>
    <row r="123" spans="1:8" x14ac:dyDescent="0.2">
      <c r="A123" s="10" t="s">
        <v>9</v>
      </c>
      <c r="B123" s="6" t="s">
        <v>9</v>
      </c>
      <c r="C123" s="6" t="s">
        <v>135</v>
      </c>
      <c r="D123" s="6" t="s">
        <v>9</v>
      </c>
      <c r="E123" s="10" t="s">
        <v>9</v>
      </c>
      <c r="F123" s="8">
        <v>-31.493308620000001</v>
      </c>
      <c r="G123" s="9">
        <v>-2.3482479999999998E-3</v>
      </c>
      <c r="H123" s="164"/>
    </row>
    <row r="124" spans="1:8" x14ac:dyDescent="0.2">
      <c r="A124" s="13" t="s">
        <v>9</v>
      </c>
      <c r="B124" s="13" t="s">
        <v>9</v>
      </c>
      <c r="C124" s="4" t="s">
        <v>136</v>
      </c>
      <c r="D124" s="17" t="s">
        <v>9</v>
      </c>
      <c r="E124" s="17" t="s">
        <v>9</v>
      </c>
      <c r="F124" s="11">
        <v>13411.40837368</v>
      </c>
      <c r="G124" s="12">
        <v>1</v>
      </c>
      <c r="H124" s="164"/>
    </row>
    <row r="125" spans="1:8" ht="14.1" customHeight="1" x14ac:dyDescent="0.2">
      <c r="A125" s="18" t="s">
        <v>9</v>
      </c>
      <c r="B125" s="18" t="s">
        <v>9</v>
      </c>
      <c r="C125" s="18" t="s">
        <v>9</v>
      </c>
      <c r="D125" s="19" t="s">
        <v>9</v>
      </c>
      <c r="E125" s="19" t="s">
        <v>9</v>
      </c>
      <c r="F125" s="19" t="s">
        <v>9</v>
      </c>
      <c r="G125" s="19" t="s">
        <v>9</v>
      </c>
    </row>
    <row r="126" spans="1:8" ht="14.1" customHeight="1" x14ac:dyDescent="0.2">
      <c r="A126" s="20" t="s">
        <v>9</v>
      </c>
      <c r="B126" s="228" t="s">
        <v>9</v>
      </c>
      <c r="C126" s="228"/>
      <c r="D126" s="228"/>
      <c r="E126" s="228"/>
      <c r="F126" s="228"/>
      <c r="G126" s="22" t="s">
        <v>9</v>
      </c>
    </row>
    <row r="127" spans="1:8" ht="14.1" customHeight="1" x14ac:dyDescent="0.2">
      <c r="A127" s="20" t="s">
        <v>9</v>
      </c>
      <c r="B127" s="228" t="s">
        <v>9</v>
      </c>
      <c r="C127" s="228"/>
      <c r="D127" s="228"/>
      <c r="E127" s="228"/>
      <c r="F127" s="228"/>
      <c r="G127" s="22" t="s">
        <v>9</v>
      </c>
    </row>
    <row r="128" spans="1:8" ht="14.1" customHeight="1" x14ac:dyDescent="0.2">
      <c r="A128" s="20" t="s">
        <v>9</v>
      </c>
      <c r="B128" s="20" t="s">
        <v>9</v>
      </c>
      <c r="C128" s="20" t="s">
        <v>9</v>
      </c>
      <c r="D128" s="22" t="s">
        <v>9</v>
      </c>
      <c r="E128" s="22" t="s">
        <v>9</v>
      </c>
      <c r="F128" s="22" t="s">
        <v>9</v>
      </c>
      <c r="G128" s="22" t="s">
        <v>9</v>
      </c>
    </row>
    <row r="129" spans="1:7" ht="14.1" customHeight="1" x14ac:dyDescent="0.2">
      <c r="A129" s="20" t="s">
        <v>9</v>
      </c>
      <c r="B129" s="226" t="s">
        <v>138</v>
      </c>
      <c r="C129" s="227"/>
      <c r="D129" s="14" t="s">
        <v>9</v>
      </c>
      <c r="E129" s="23" t="s">
        <v>9</v>
      </c>
      <c r="F129" s="22" t="s">
        <v>9</v>
      </c>
      <c r="G129" s="22" t="s">
        <v>9</v>
      </c>
    </row>
    <row r="130" spans="1:7" ht="29.1" customHeight="1" x14ac:dyDescent="0.2">
      <c r="A130" s="20" t="s">
        <v>9</v>
      </c>
      <c r="B130" s="233" t="s">
        <v>139</v>
      </c>
      <c r="C130" s="234"/>
      <c r="D130" s="4" t="s">
        <v>140</v>
      </c>
      <c r="E130" s="23" t="s">
        <v>9</v>
      </c>
      <c r="F130" s="22" t="s">
        <v>9</v>
      </c>
      <c r="G130" s="22" t="s">
        <v>9</v>
      </c>
    </row>
    <row r="131" spans="1:7" ht="17.100000000000001" customHeight="1" x14ac:dyDescent="0.2">
      <c r="A131" s="20" t="s">
        <v>9</v>
      </c>
      <c r="B131" s="233" t="s">
        <v>141</v>
      </c>
      <c r="C131" s="234"/>
      <c r="D131" s="4" t="s">
        <v>140</v>
      </c>
      <c r="E131" s="23" t="s">
        <v>9</v>
      </c>
      <c r="F131" s="22" t="s">
        <v>9</v>
      </c>
      <c r="G131" s="22" t="s">
        <v>9</v>
      </c>
    </row>
    <row r="132" spans="1:7" ht="17.100000000000001" customHeight="1" x14ac:dyDescent="0.2">
      <c r="A132" s="20" t="s">
        <v>9</v>
      </c>
      <c r="B132" s="233" t="s">
        <v>142</v>
      </c>
      <c r="C132" s="234"/>
      <c r="D132" s="14" t="s">
        <v>9</v>
      </c>
      <c r="E132" s="23" t="s">
        <v>9</v>
      </c>
      <c r="F132" s="22" t="s">
        <v>9</v>
      </c>
      <c r="G132" s="22" t="s">
        <v>9</v>
      </c>
    </row>
    <row r="133" spans="1:7" ht="24" customHeight="1" x14ac:dyDescent="0.2">
      <c r="A133" s="24" t="s">
        <v>9</v>
      </c>
      <c r="B133" s="25" t="s">
        <v>9</v>
      </c>
      <c r="C133" s="25" t="s">
        <v>143</v>
      </c>
      <c r="D133" s="25" t="s">
        <v>144</v>
      </c>
      <c r="E133" s="24" t="s">
        <v>9</v>
      </c>
      <c r="F133" s="24" t="s">
        <v>9</v>
      </c>
      <c r="G133" s="24" t="s">
        <v>9</v>
      </c>
    </row>
    <row r="134" spans="1:7" ht="18" customHeight="1" x14ac:dyDescent="0.2">
      <c r="A134" s="24" t="s">
        <v>9</v>
      </c>
      <c r="B134" s="25" t="s">
        <v>145</v>
      </c>
      <c r="C134" s="25" t="s">
        <v>146</v>
      </c>
      <c r="D134" s="25" t="s">
        <v>147</v>
      </c>
      <c r="E134" s="24" t="s">
        <v>9</v>
      </c>
      <c r="F134" s="24" t="s">
        <v>9</v>
      </c>
      <c r="G134" s="24" t="s">
        <v>9</v>
      </c>
    </row>
    <row r="135" spans="1:7" ht="17.100000000000001" customHeight="1" x14ac:dyDescent="0.2">
      <c r="A135" s="24" t="s">
        <v>9</v>
      </c>
      <c r="B135" s="6" t="s">
        <v>148</v>
      </c>
      <c r="C135" s="26">
        <v>15.5679</v>
      </c>
      <c r="D135" s="26">
        <v>16.103400000000001</v>
      </c>
      <c r="E135" s="24" t="s">
        <v>9</v>
      </c>
      <c r="F135" s="21" t="s">
        <v>9</v>
      </c>
      <c r="G135" s="27" t="s">
        <v>9</v>
      </c>
    </row>
    <row r="136" spans="1:7" ht="17.100000000000001" customHeight="1" x14ac:dyDescent="0.2">
      <c r="A136" s="24" t="s">
        <v>9</v>
      </c>
      <c r="B136" s="6" t="s">
        <v>839</v>
      </c>
      <c r="C136" s="26">
        <v>14.807399999999999</v>
      </c>
      <c r="D136" s="26">
        <v>15.316700000000001</v>
      </c>
      <c r="E136" s="24" t="s">
        <v>9</v>
      </c>
      <c r="F136" s="21" t="s">
        <v>9</v>
      </c>
      <c r="G136" s="27" t="s">
        <v>9</v>
      </c>
    </row>
    <row r="137" spans="1:7" ht="17.100000000000001" customHeight="1" x14ac:dyDescent="0.2">
      <c r="A137" s="24" t="s">
        <v>9</v>
      </c>
      <c r="B137" s="6" t="s">
        <v>149</v>
      </c>
      <c r="C137" s="26">
        <v>15.298299999999999</v>
      </c>
      <c r="D137" s="26">
        <v>15.8169</v>
      </c>
      <c r="E137" s="24" t="s">
        <v>9</v>
      </c>
      <c r="F137" s="21" t="s">
        <v>9</v>
      </c>
      <c r="G137" s="27" t="s">
        <v>9</v>
      </c>
    </row>
    <row r="138" spans="1:7" ht="17.100000000000001" customHeight="1" x14ac:dyDescent="0.2">
      <c r="A138" s="24" t="s">
        <v>9</v>
      </c>
      <c r="B138" s="6" t="s">
        <v>840</v>
      </c>
      <c r="C138" s="26">
        <v>14.7179</v>
      </c>
      <c r="D138" s="26">
        <v>15.216799999999999</v>
      </c>
      <c r="E138" s="24" t="s">
        <v>9</v>
      </c>
      <c r="F138" s="21" t="s">
        <v>9</v>
      </c>
      <c r="G138" s="27" t="s">
        <v>9</v>
      </c>
    </row>
    <row r="139" spans="1:7" ht="14.1" customHeight="1" x14ac:dyDescent="0.2">
      <c r="A139" s="24" t="s">
        <v>9</v>
      </c>
      <c r="B139" s="24" t="s">
        <v>9</v>
      </c>
      <c r="C139" s="24" t="s">
        <v>9</v>
      </c>
      <c r="D139" s="24" t="s">
        <v>9</v>
      </c>
      <c r="E139" s="24" t="s">
        <v>9</v>
      </c>
      <c r="F139" s="24" t="s">
        <v>9</v>
      </c>
      <c r="G139" s="24" t="s">
        <v>9</v>
      </c>
    </row>
    <row r="140" spans="1:7" ht="17.100000000000001" customHeight="1" x14ac:dyDescent="0.2">
      <c r="A140" s="24" t="s">
        <v>9</v>
      </c>
      <c r="B140" s="233" t="s">
        <v>1003</v>
      </c>
      <c r="C140" s="234"/>
      <c r="D140" s="4" t="s">
        <v>140</v>
      </c>
      <c r="E140" s="24" t="s">
        <v>9</v>
      </c>
      <c r="F140" s="24" t="s">
        <v>9</v>
      </c>
      <c r="G140" s="24" t="s">
        <v>9</v>
      </c>
    </row>
    <row r="141" spans="1:7" ht="18" customHeight="1" x14ac:dyDescent="0.2">
      <c r="A141" s="24" t="s">
        <v>9</v>
      </c>
      <c r="B141" s="28" t="s">
        <v>150</v>
      </c>
      <c r="C141" s="28" t="s">
        <v>150</v>
      </c>
      <c r="D141" s="28" t="s">
        <v>9</v>
      </c>
      <c r="E141" s="24" t="s">
        <v>9</v>
      </c>
      <c r="F141" s="24" t="s">
        <v>9</v>
      </c>
      <c r="G141" s="24" t="s">
        <v>9</v>
      </c>
    </row>
    <row r="142" spans="1:7" s="169" customFormat="1" x14ac:dyDescent="0.2">
      <c r="B142" s="235" t="s">
        <v>841</v>
      </c>
      <c r="C142" s="235"/>
      <c r="D142" s="235"/>
      <c r="E142" s="235"/>
      <c r="F142" s="235"/>
    </row>
    <row r="143" spans="1:7" ht="14.1" customHeight="1" x14ac:dyDescent="0.2">
      <c r="A143" s="24" t="s">
        <v>9</v>
      </c>
      <c r="B143" s="21" t="s">
        <v>9</v>
      </c>
      <c r="C143" s="21" t="s">
        <v>9</v>
      </c>
      <c r="D143" s="24" t="s">
        <v>9</v>
      </c>
      <c r="E143" s="24" t="s">
        <v>9</v>
      </c>
      <c r="F143" s="24" t="s">
        <v>9</v>
      </c>
      <c r="G143" s="24" t="s">
        <v>9</v>
      </c>
    </row>
    <row r="144" spans="1:7" ht="29.1" customHeight="1" x14ac:dyDescent="0.2">
      <c r="A144" s="24" t="s">
        <v>9</v>
      </c>
      <c r="B144" s="233" t="s">
        <v>151</v>
      </c>
      <c r="C144" s="234"/>
      <c r="D144" s="4" t="s">
        <v>140</v>
      </c>
      <c r="E144" s="24" t="s">
        <v>9</v>
      </c>
      <c r="F144" s="24" t="s">
        <v>9</v>
      </c>
      <c r="G144" s="24" t="s">
        <v>9</v>
      </c>
    </row>
    <row r="145" spans="1:7" ht="29.1" customHeight="1" x14ac:dyDescent="0.2">
      <c r="A145" s="24" t="s">
        <v>9</v>
      </c>
      <c r="B145" s="233" t="s">
        <v>152</v>
      </c>
      <c r="C145" s="234"/>
      <c r="D145" s="4" t="s">
        <v>140</v>
      </c>
      <c r="E145" s="24" t="s">
        <v>9</v>
      </c>
      <c r="F145" s="24" t="s">
        <v>9</v>
      </c>
      <c r="G145" s="24" t="s">
        <v>9</v>
      </c>
    </row>
    <row r="146" spans="1:7" ht="17.100000000000001" customHeight="1" x14ac:dyDescent="0.2">
      <c r="A146" s="24" t="s">
        <v>9</v>
      </c>
      <c r="B146" s="233" t="s">
        <v>153</v>
      </c>
      <c r="C146" s="234"/>
      <c r="D146" s="29">
        <v>0.33634990753223837</v>
      </c>
      <c r="E146" s="24" t="s">
        <v>9</v>
      </c>
      <c r="F146" s="21" t="s">
        <v>9</v>
      </c>
      <c r="G146" s="27" t="s">
        <v>9</v>
      </c>
    </row>
    <row r="147" spans="1:7" ht="17.100000000000001" customHeight="1" x14ac:dyDescent="0.2">
      <c r="A147" s="24" t="s">
        <v>9</v>
      </c>
      <c r="B147" s="233" t="s">
        <v>154</v>
      </c>
      <c r="C147" s="234"/>
      <c r="D147" s="4" t="s">
        <v>140</v>
      </c>
      <c r="E147" s="24" t="s">
        <v>9</v>
      </c>
      <c r="F147" s="24" t="s">
        <v>9</v>
      </c>
      <c r="G147" s="24" t="s">
        <v>9</v>
      </c>
    </row>
  </sheetData>
  <mergeCells count="15">
    <mergeCell ref="B146:C146"/>
    <mergeCell ref="B147:C147"/>
    <mergeCell ref="B130:C130"/>
    <mergeCell ref="B131:C131"/>
    <mergeCell ref="B132:C132"/>
    <mergeCell ref="B140:C140"/>
    <mergeCell ref="B144:C144"/>
    <mergeCell ref="B145:C145"/>
    <mergeCell ref="B142:F142"/>
    <mergeCell ref="B129:C129"/>
    <mergeCell ref="B126:F126"/>
    <mergeCell ref="B127:F12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47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440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20</v>
      </c>
      <c r="C7" s="6" t="s">
        <v>21</v>
      </c>
      <c r="D7" s="6" t="s">
        <v>22</v>
      </c>
      <c r="E7" s="7">
        <v>75948</v>
      </c>
      <c r="F7" s="8">
        <v>518.3451</v>
      </c>
      <c r="G7" s="9">
        <v>6.5752083000000003E-2</v>
      </c>
      <c r="H7" s="164"/>
    </row>
    <row r="8" spans="1:8" x14ac:dyDescent="0.2">
      <c r="A8" s="5">
        <v>2</v>
      </c>
      <c r="B8" s="6" t="s">
        <v>79</v>
      </c>
      <c r="C8" s="6" t="s">
        <v>80</v>
      </c>
      <c r="D8" s="6" t="s">
        <v>22</v>
      </c>
      <c r="E8" s="7">
        <v>33012</v>
      </c>
      <c r="F8" s="8">
        <v>470.899674</v>
      </c>
      <c r="G8" s="9">
        <v>5.9733630000000003E-2</v>
      </c>
      <c r="H8" s="164"/>
    </row>
    <row r="9" spans="1:8" x14ac:dyDescent="0.2">
      <c r="A9" s="5">
        <v>3</v>
      </c>
      <c r="B9" s="6" t="s">
        <v>15</v>
      </c>
      <c r="C9" s="6" t="s">
        <v>16</v>
      </c>
      <c r="D9" s="6" t="s">
        <v>17</v>
      </c>
      <c r="E9" s="7">
        <v>22017</v>
      </c>
      <c r="F9" s="8">
        <v>448.11200100000002</v>
      </c>
      <c r="G9" s="9">
        <v>5.6843012999999998E-2</v>
      </c>
      <c r="H9" s="164"/>
    </row>
    <row r="10" spans="1:8" x14ac:dyDescent="0.2">
      <c r="A10" s="5">
        <v>4</v>
      </c>
      <c r="B10" s="6" t="s">
        <v>403</v>
      </c>
      <c r="C10" s="6" t="s">
        <v>404</v>
      </c>
      <c r="D10" s="6" t="s">
        <v>179</v>
      </c>
      <c r="E10" s="7">
        <v>24647</v>
      </c>
      <c r="F10" s="8">
        <v>396.93993499999999</v>
      </c>
      <c r="G10" s="9">
        <v>5.0351835999999997E-2</v>
      </c>
      <c r="H10" s="164"/>
    </row>
    <row r="11" spans="1:8" x14ac:dyDescent="0.2">
      <c r="A11" s="5">
        <v>5</v>
      </c>
      <c r="B11" s="6" t="s">
        <v>156</v>
      </c>
      <c r="C11" s="6" t="s">
        <v>157</v>
      </c>
      <c r="D11" s="6" t="s">
        <v>158</v>
      </c>
      <c r="E11" s="7">
        <v>10061</v>
      </c>
      <c r="F11" s="8">
        <v>367.95592249999999</v>
      </c>
      <c r="G11" s="9">
        <v>4.6675214E-2</v>
      </c>
      <c r="H11" s="164"/>
    </row>
    <row r="12" spans="1:8" ht="25.5" x14ac:dyDescent="0.2">
      <c r="A12" s="5">
        <v>6</v>
      </c>
      <c r="B12" s="6" t="s">
        <v>405</v>
      </c>
      <c r="C12" s="6" t="s">
        <v>406</v>
      </c>
      <c r="D12" s="6" t="s">
        <v>161</v>
      </c>
      <c r="E12" s="7">
        <v>12284</v>
      </c>
      <c r="F12" s="8">
        <v>299.87086599999998</v>
      </c>
      <c r="G12" s="9">
        <v>3.8038623000000001E-2</v>
      </c>
      <c r="H12" s="164"/>
    </row>
    <row r="13" spans="1:8" x14ac:dyDescent="0.2">
      <c r="A13" s="5">
        <v>7</v>
      </c>
      <c r="B13" s="6" t="s">
        <v>407</v>
      </c>
      <c r="C13" s="6" t="s">
        <v>408</v>
      </c>
      <c r="D13" s="6" t="s">
        <v>22</v>
      </c>
      <c r="E13" s="7">
        <v>58550</v>
      </c>
      <c r="F13" s="8">
        <v>252.81890000000001</v>
      </c>
      <c r="G13" s="9">
        <v>3.2070081E-2</v>
      </c>
      <c r="H13" s="164"/>
    </row>
    <row r="14" spans="1:8" x14ac:dyDescent="0.2">
      <c r="A14" s="5">
        <v>8</v>
      </c>
      <c r="B14" s="6" t="s">
        <v>357</v>
      </c>
      <c r="C14" s="6" t="s">
        <v>358</v>
      </c>
      <c r="D14" s="6" t="s">
        <v>22</v>
      </c>
      <c r="E14" s="7">
        <v>33477</v>
      </c>
      <c r="F14" s="8">
        <v>237.31845300000001</v>
      </c>
      <c r="G14" s="9">
        <v>3.0103848999999998E-2</v>
      </c>
      <c r="H14" s="164"/>
    </row>
    <row r="15" spans="1:8" x14ac:dyDescent="0.2">
      <c r="A15" s="5">
        <v>9</v>
      </c>
      <c r="B15" s="6" t="s">
        <v>26</v>
      </c>
      <c r="C15" s="6" t="s">
        <v>27</v>
      </c>
      <c r="D15" s="6" t="s">
        <v>28</v>
      </c>
      <c r="E15" s="7">
        <v>18316</v>
      </c>
      <c r="F15" s="8">
        <v>229.33463599999999</v>
      </c>
      <c r="G15" s="9">
        <v>2.9091102000000001E-2</v>
      </c>
      <c r="H15" s="164"/>
    </row>
    <row r="16" spans="1:8" ht="25.5" x14ac:dyDescent="0.2">
      <c r="A16" s="5">
        <v>10</v>
      </c>
      <c r="B16" s="6" t="s">
        <v>336</v>
      </c>
      <c r="C16" s="6" t="s">
        <v>337</v>
      </c>
      <c r="D16" s="6" t="s">
        <v>67</v>
      </c>
      <c r="E16" s="7">
        <v>29686</v>
      </c>
      <c r="F16" s="8">
        <v>226.14794800000001</v>
      </c>
      <c r="G16" s="9">
        <v>2.868687E-2</v>
      </c>
      <c r="H16" s="164"/>
    </row>
    <row r="17" spans="1:8" x14ac:dyDescent="0.2">
      <c r="A17" s="5">
        <v>11</v>
      </c>
      <c r="B17" s="6" t="s">
        <v>347</v>
      </c>
      <c r="C17" s="6" t="s">
        <v>348</v>
      </c>
      <c r="D17" s="6" t="s">
        <v>927</v>
      </c>
      <c r="E17" s="7">
        <v>29796</v>
      </c>
      <c r="F17" s="8">
        <v>216.02099999999999</v>
      </c>
      <c r="G17" s="9">
        <v>2.7402267000000001E-2</v>
      </c>
      <c r="H17" s="164"/>
    </row>
    <row r="18" spans="1:8" x14ac:dyDescent="0.2">
      <c r="A18" s="5">
        <v>12</v>
      </c>
      <c r="B18" s="6" t="s">
        <v>312</v>
      </c>
      <c r="C18" s="6" t="s">
        <v>313</v>
      </c>
      <c r="D18" s="6" t="s">
        <v>930</v>
      </c>
      <c r="E18" s="7">
        <v>5403</v>
      </c>
      <c r="F18" s="8">
        <v>203.97135449999999</v>
      </c>
      <c r="G18" s="9">
        <v>2.5873769000000001E-2</v>
      </c>
      <c r="H18" s="164"/>
    </row>
    <row r="19" spans="1:8" x14ac:dyDescent="0.2">
      <c r="A19" s="5">
        <v>13</v>
      </c>
      <c r="B19" s="6" t="s">
        <v>409</v>
      </c>
      <c r="C19" s="6" t="s">
        <v>410</v>
      </c>
      <c r="D19" s="6" t="s">
        <v>932</v>
      </c>
      <c r="E19" s="7">
        <v>17710</v>
      </c>
      <c r="F19" s="8">
        <v>194.56206</v>
      </c>
      <c r="G19" s="9">
        <v>2.4680199999999999E-2</v>
      </c>
      <c r="H19" s="164"/>
    </row>
    <row r="20" spans="1:8" ht="25.5" x14ac:dyDescent="0.2">
      <c r="A20" s="5">
        <v>14</v>
      </c>
      <c r="B20" s="6" t="s">
        <v>33</v>
      </c>
      <c r="C20" s="6" t="s">
        <v>34</v>
      </c>
      <c r="D20" s="6" t="s">
        <v>925</v>
      </c>
      <c r="E20" s="7">
        <v>2453</v>
      </c>
      <c r="F20" s="8">
        <v>186.898976</v>
      </c>
      <c r="G20" s="9">
        <v>2.3708138E-2</v>
      </c>
      <c r="H20" s="164"/>
    </row>
    <row r="21" spans="1:8" ht="25.5" x14ac:dyDescent="0.2">
      <c r="A21" s="5">
        <v>15</v>
      </c>
      <c r="B21" s="6" t="s">
        <v>322</v>
      </c>
      <c r="C21" s="6" t="s">
        <v>323</v>
      </c>
      <c r="D21" s="6" t="s">
        <v>62</v>
      </c>
      <c r="E21" s="7">
        <v>37015</v>
      </c>
      <c r="F21" s="8">
        <v>180.30006499999999</v>
      </c>
      <c r="G21" s="9">
        <v>2.2871065999999999E-2</v>
      </c>
      <c r="H21" s="164"/>
    </row>
    <row r="22" spans="1:8" x14ac:dyDescent="0.2">
      <c r="A22" s="5">
        <v>16</v>
      </c>
      <c r="B22" s="6" t="s">
        <v>12</v>
      </c>
      <c r="C22" s="6" t="s">
        <v>13</v>
      </c>
      <c r="D22" s="6" t="s">
        <v>14</v>
      </c>
      <c r="E22" s="7">
        <v>10691</v>
      </c>
      <c r="F22" s="8">
        <v>171.21101949999999</v>
      </c>
      <c r="G22" s="9">
        <v>2.171812E-2</v>
      </c>
      <c r="H22" s="164"/>
    </row>
    <row r="23" spans="1:8" x14ac:dyDescent="0.2">
      <c r="A23" s="5">
        <v>17</v>
      </c>
      <c r="B23" s="6" t="s">
        <v>212</v>
      </c>
      <c r="C23" s="6" t="s">
        <v>213</v>
      </c>
      <c r="D23" s="6" t="s">
        <v>929</v>
      </c>
      <c r="E23" s="7">
        <v>19626</v>
      </c>
      <c r="F23" s="8">
        <v>170.61863099999999</v>
      </c>
      <c r="G23" s="9">
        <v>2.1642976000000001E-2</v>
      </c>
      <c r="H23" s="164"/>
    </row>
    <row r="24" spans="1:8" x14ac:dyDescent="0.2">
      <c r="A24" s="5">
        <v>18</v>
      </c>
      <c r="B24" s="6" t="s">
        <v>23</v>
      </c>
      <c r="C24" s="6" t="s">
        <v>24</v>
      </c>
      <c r="D24" s="6" t="s">
        <v>25</v>
      </c>
      <c r="E24" s="7">
        <v>26720</v>
      </c>
      <c r="F24" s="8">
        <v>150.07288</v>
      </c>
      <c r="G24" s="9">
        <v>1.9036747E-2</v>
      </c>
      <c r="H24" s="164"/>
    </row>
    <row r="25" spans="1:8" x14ac:dyDescent="0.2">
      <c r="A25" s="5">
        <v>19</v>
      </c>
      <c r="B25" s="6" t="s">
        <v>411</v>
      </c>
      <c r="C25" s="6" t="s">
        <v>412</v>
      </c>
      <c r="D25" s="6" t="s">
        <v>59</v>
      </c>
      <c r="E25" s="7">
        <v>10000</v>
      </c>
      <c r="F25" s="8">
        <v>143.43</v>
      </c>
      <c r="G25" s="9">
        <v>1.8194096999999999E-2</v>
      </c>
      <c r="H25" s="164"/>
    </row>
    <row r="26" spans="1:8" x14ac:dyDescent="0.2">
      <c r="A26" s="5">
        <v>20</v>
      </c>
      <c r="B26" s="6" t="s">
        <v>413</v>
      </c>
      <c r="C26" s="6" t="s">
        <v>414</v>
      </c>
      <c r="D26" s="6" t="s">
        <v>200</v>
      </c>
      <c r="E26" s="7">
        <v>17804</v>
      </c>
      <c r="F26" s="8">
        <v>137.79405800000001</v>
      </c>
      <c r="G26" s="9">
        <v>1.7479178000000001E-2</v>
      </c>
      <c r="H26" s="164"/>
    </row>
    <row r="27" spans="1:8" ht="25.5" x14ac:dyDescent="0.2">
      <c r="A27" s="5">
        <v>21</v>
      </c>
      <c r="B27" s="6" t="s">
        <v>226</v>
      </c>
      <c r="C27" s="6" t="s">
        <v>227</v>
      </c>
      <c r="D27" s="6" t="s">
        <v>62</v>
      </c>
      <c r="E27" s="7">
        <v>6000</v>
      </c>
      <c r="F27" s="8">
        <v>137.53800000000001</v>
      </c>
      <c r="G27" s="9">
        <v>1.7446697000000001E-2</v>
      </c>
      <c r="H27" s="164"/>
    </row>
    <row r="28" spans="1:8" x14ac:dyDescent="0.2">
      <c r="A28" s="5">
        <v>22</v>
      </c>
      <c r="B28" s="6" t="s">
        <v>415</v>
      </c>
      <c r="C28" s="6" t="s">
        <v>416</v>
      </c>
      <c r="D28" s="6" t="s">
        <v>179</v>
      </c>
      <c r="E28" s="7">
        <v>23000</v>
      </c>
      <c r="F28" s="8">
        <v>135.0445</v>
      </c>
      <c r="G28" s="9">
        <v>1.7130396999999999E-2</v>
      </c>
      <c r="H28" s="164"/>
    </row>
    <row r="29" spans="1:8" x14ac:dyDescent="0.2">
      <c r="A29" s="5">
        <v>23</v>
      </c>
      <c r="B29" s="6" t="s">
        <v>72</v>
      </c>
      <c r="C29" s="6" t="s">
        <v>73</v>
      </c>
      <c r="D29" s="6" t="s">
        <v>28</v>
      </c>
      <c r="E29" s="7">
        <v>15282</v>
      </c>
      <c r="F29" s="8">
        <v>130.263768</v>
      </c>
      <c r="G29" s="9">
        <v>1.6523961E-2</v>
      </c>
      <c r="H29" s="164"/>
    </row>
    <row r="30" spans="1:8" ht="25.5" x14ac:dyDescent="0.2">
      <c r="A30" s="5">
        <v>24</v>
      </c>
      <c r="B30" s="6" t="s">
        <v>417</v>
      </c>
      <c r="C30" s="6" t="s">
        <v>418</v>
      </c>
      <c r="D30" s="6" t="s">
        <v>67</v>
      </c>
      <c r="E30" s="7">
        <v>5409</v>
      </c>
      <c r="F30" s="8">
        <v>126.208197</v>
      </c>
      <c r="G30" s="9">
        <v>1.6009511000000001E-2</v>
      </c>
      <c r="H30" s="164"/>
    </row>
    <row r="31" spans="1:8" x14ac:dyDescent="0.2">
      <c r="A31" s="5">
        <v>25</v>
      </c>
      <c r="B31" s="6" t="s">
        <v>419</v>
      </c>
      <c r="C31" s="6" t="s">
        <v>420</v>
      </c>
      <c r="D31" s="6" t="s">
        <v>179</v>
      </c>
      <c r="E31" s="7">
        <v>3810</v>
      </c>
      <c r="F31" s="8">
        <v>120.679845</v>
      </c>
      <c r="G31" s="9">
        <v>1.5308240000000001E-2</v>
      </c>
      <c r="H31" s="164"/>
    </row>
    <row r="32" spans="1:8" x14ac:dyDescent="0.2">
      <c r="A32" s="5">
        <v>26</v>
      </c>
      <c r="B32" s="6" t="s">
        <v>373</v>
      </c>
      <c r="C32" s="6" t="s">
        <v>374</v>
      </c>
      <c r="D32" s="6" t="s">
        <v>62</v>
      </c>
      <c r="E32" s="7">
        <v>5154</v>
      </c>
      <c r="F32" s="8">
        <v>113.540043</v>
      </c>
      <c r="G32" s="9">
        <v>1.4402556E-2</v>
      </c>
      <c r="H32" s="164"/>
    </row>
    <row r="33" spans="1:8" x14ac:dyDescent="0.2">
      <c r="A33" s="5">
        <v>27</v>
      </c>
      <c r="B33" s="6" t="s">
        <v>371</v>
      </c>
      <c r="C33" s="6" t="s">
        <v>372</v>
      </c>
      <c r="D33" s="6" t="s">
        <v>179</v>
      </c>
      <c r="E33" s="7">
        <v>10771</v>
      </c>
      <c r="F33" s="8">
        <v>110.39736449999999</v>
      </c>
      <c r="G33" s="9">
        <v>1.4003906999999999E-2</v>
      </c>
      <c r="H33" s="164"/>
    </row>
    <row r="34" spans="1:8" x14ac:dyDescent="0.2">
      <c r="A34" s="5">
        <v>28</v>
      </c>
      <c r="B34" s="6" t="s">
        <v>421</v>
      </c>
      <c r="C34" s="6" t="s">
        <v>422</v>
      </c>
      <c r="D34" s="6" t="s">
        <v>88</v>
      </c>
      <c r="E34" s="7">
        <v>14328</v>
      </c>
      <c r="F34" s="8">
        <v>106.471368</v>
      </c>
      <c r="G34" s="9">
        <v>1.3505893999999999E-2</v>
      </c>
      <c r="H34" s="164"/>
    </row>
    <row r="35" spans="1:8" x14ac:dyDescent="0.2">
      <c r="A35" s="5">
        <v>29</v>
      </c>
      <c r="B35" s="6" t="s">
        <v>344</v>
      </c>
      <c r="C35" s="6" t="s">
        <v>345</v>
      </c>
      <c r="D35" s="6" t="s">
        <v>346</v>
      </c>
      <c r="E35" s="7">
        <v>11381</v>
      </c>
      <c r="F35" s="8">
        <v>105.03524899999999</v>
      </c>
      <c r="G35" s="9">
        <v>1.3323723000000001E-2</v>
      </c>
      <c r="H35" s="164"/>
    </row>
    <row r="36" spans="1:8" x14ac:dyDescent="0.2">
      <c r="A36" s="5">
        <v>30</v>
      </c>
      <c r="B36" s="6" t="s">
        <v>423</v>
      </c>
      <c r="C36" s="6" t="s">
        <v>424</v>
      </c>
      <c r="D36" s="6" t="s">
        <v>200</v>
      </c>
      <c r="E36" s="7">
        <v>1992</v>
      </c>
      <c r="F36" s="8">
        <v>97.729512</v>
      </c>
      <c r="G36" s="9">
        <v>1.239699E-2</v>
      </c>
      <c r="H36" s="164"/>
    </row>
    <row r="37" spans="1:8" x14ac:dyDescent="0.2">
      <c r="A37" s="5">
        <v>31</v>
      </c>
      <c r="B37" s="6" t="s">
        <v>53</v>
      </c>
      <c r="C37" s="6" t="s">
        <v>54</v>
      </c>
      <c r="D37" s="6" t="s">
        <v>17</v>
      </c>
      <c r="E37" s="7">
        <v>21882</v>
      </c>
      <c r="F37" s="8">
        <v>97.484309999999994</v>
      </c>
      <c r="G37" s="9">
        <v>1.2365886E-2</v>
      </c>
      <c r="H37" s="164"/>
    </row>
    <row r="38" spans="1:8" x14ac:dyDescent="0.2">
      <c r="A38" s="5">
        <v>32</v>
      </c>
      <c r="B38" s="6" t="s">
        <v>326</v>
      </c>
      <c r="C38" s="6" t="s">
        <v>327</v>
      </c>
      <c r="D38" s="6" t="s">
        <v>200</v>
      </c>
      <c r="E38" s="7">
        <v>2422</v>
      </c>
      <c r="F38" s="8">
        <v>95.195498999999998</v>
      </c>
      <c r="G38" s="9">
        <v>1.2075550000000001E-2</v>
      </c>
      <c r="H38" s="164"/>
    </row>
    <row r="39" spans="1:8" x14ac:dyDescent="0.2">
      <c r="A39" s="5">
        <v>33</v>
      </c>
      <c r="B39" s="6" t="s">
        <v>264</v>
      </c>
      <c r="C39" s="6" t="s">
        <v>265</v>
      </c>
      <c r="D39" s="6" t="s">
        <v>266</v>
      </c>
      <c r="E39" s="7">
        <v>11011</v>
      </c>
      <c r="F39" s="8">
        <v>89.029440500000007</v>
      </c>
      <c r="G39" s="9">
        <v>1.1293386000000001E-2</v>
      </c>
      <c r="H39" s="164"/>
    </row>
    <row r="40" spans="1:8" x14ac:dyDescent="0.2">
      <c r="A40" s="5">
        <v>34</v>
      </c>
      <c r="B40" s="6" t="s">
        <v>365</v>
      </c>
      <c r="C40" s="6" t="s">
        <v>366</v>
      </c>
      <c r="D40" s="6" t="s">
        <v>250</v>
      </c>
      <c r="E40" s="7">
        <v>9400</v>
      </c>
      <c r="F40" s="8">
        <v>86.292000000000002</v>
      </c>
      <c r="G40" s="9">
        <v>1.0946141E-2</v>
      </c>
      <c r="H40" s="164"/>
    </row>
    <row r="41" spans="1:8" x14ac:dyDescent="0.2">
      <c r="A41" s="5">
        <v>35</v>
      </c>
      <c r="B41" s="6" t="s">
        <v>349</v>
      </c>
      <c r="C41" s="6" t="s">
        <v>350</v>
      </c>
      <c r="D41" s="6" t="s">
        <v>195</v>
      </c>
      <c r="E41" s="7">
        <v>104</v>
      </c>
      <c r="F41" s="8">
        <v>83.103747999999996</v>
      </c>
      <c r="G41" s="9">
        <v>1.0541712E-2</v>
      </c>
      <c r="H41" s="164"/>
    </row>
    <row r="42" spans="1:8" x14ac:dyDescent="0.2">
      <c r="A42" s="5">
        <v>36</v>
      </c>
      <c r="B42" s="6" t="s">
        <v>355</v>
      </c>
      <c r="C42" s="6" t="s">
        <v>356</v>
      </c>
      <c r="D42" s="6" t="s">
        <v>22</v>
      </c>
      <c r="E42" s="7">
        <v>96000</v>
      </c>
      <c r="F42" s="8">
        <v>77.087999999999994</v>
      </c>
      <c r="G42" s="9">
        <v>9.7786139999999997E-3</v>
      </c>
      <c r="H42" s="164"/>
    </row>
    <row r="43" spans="1:8" ht="25.5" x14ac:dyDescent="0.2">
      <c r="A43" s="5">
        <v>37</v>
      </c>
      <c r="B43" s="6" t="s">
        <v>240</v>
      </c>
      <c r="C43" s="6" t="s">
        <v>241</v>
      </c>
      <c r="D43" s="6" t="s">
        <v>925</v>
      </c>
      <c r="E43" s="7">
        <v>39711</v>
      </c>
      <c r="F43" s="8">
        <v>76.304686500000003</v>
      </c>
      <c r="G43" s="9">
        <v>9.6792500000000004E-3</v>
      </c>
      <c r="H43" s="164"/>
    </row>
    <row r="44" spans="1:8" x14ac:dyDescent="0.2">
      <c r="A44" s="5">
        <v>38</v>
      </c>
      <c r="B44" s="6" t="s">
        <v>353</v>
      </c>
      <c r="C44" s="6" t="s">
        <v>354</v>
      </c>
      <c r="D44" s="6" t="s">
        <v>50</v>
      </c>
      <c r="E44" s="7">
        <v>11000</v>
      </c>
      <c r="F44" s="8">
        <v>70.828999999999994</v>
      </c>
      <c r="G44" s="9">
        <v>8.9846600000000002E-3</v>
      </c>
      <c r="H44" s="164"/>
    </row>
    <row r="45" spans="1:8" x14ac:dyDescent="0.2">
      <c r="A45" s="5">
        <v>39</v>
      </c>
      <c r="B45" s="6" t="s">
        <v>425</v>
      </c>
      <c r="C45" s="6" t="s">
        <v>426</v>
      </c>
      <c r="D45" s="6" t="s">
        <v>427</v>
      </c>
      <c r="E45" s="7">
        <v>15027</v>
      </c>
      <c r="F45" s="8">
        <v>66.840096000000003</v>
      </c>
      <c r="G45" s="9">
        <v>8.4786670000000005E-3</v>
      </c>
      <c r="H45" s="164"/>
    </row>
    <row r="46" spans="1:8" x14ac:dyDescent="0.2">
      <c r="A46" s="5">
        <v>40</v>
      </c>
      <c r="B46" s="6" t="s">
        <v>304</v>
      </c>
      <c r="C46" s="6" t="s">
        <v>305</v>
      </c>
      <c r="D46" s="6" t="s">
        <v>932</v>
      </c>
      <c r="E46" s="7">
        <v>5927</v>
      </c>
      <c r="F46" s="8">
        <v>66.506867</v>
      </c>
      <c r="G46" s="9">
        <v>8.436397E-3</v>
      </c>
      <c r="H46" s="164"/>
    </row>
    <row r="47" spans="1:8" x14ac:dyDescent="0.2">
      <c r="A47" s="5">
        <v>41</v>
      </c>
      <c r="B47" s="6" t="s">
        <v>93</v>
      </c>
      <c r="C47" s="6" t="s">
        <v>94</v>
      </c>
      <c r="D47" s="6" t="s">
        <v>28</v>
      </c>
      <c r="E47" s="7">
        <v>956</v>
      </c>
      <c r="F47" s="8">
        <v>65.613147999999995</v>
      </c>
      <c r="G47" s="9">
        <v>8.3230289999999992E-3</v>
      </c>
      <c r="H47" s="164"/>
    </row>
    <row r="48" spans="1:8" x14ac:dyDescent="0.2">
      <c r="A48" s="5">
        <v>42</v>
      </c>
      <c r="B48" s="6" t="s">
        <v>332</v>
      </c>
      <c r="C48" s="6" t="s">
        <v>333</v>
      </c>
      <c r="D48" s="6" t="s">
        <v>59</v>
      </c>
      <c r="E48" s="7">
        <v>15000</v>
      </c>
      <c r="F48" s="8">
        <v>64.762500000000003</v>
      </c>
      <c r="G48" s="9">
        <v>8.2151240000000007E-3</v>
      </c>
      <c r="H48" s="164"/>
    </row>
    <row r="49" spans="1:8" ht="25.5" x14ac:dyDescent="0.2">
      <c r="A49" s="5">
        <v>43</v>
      </c>
      <c r="B49" s="6" t="s">
        <v>428</v>
      </c>
      <c r="C49" s="6" t="s">
        <v>429</v>
      </c>
      <c r="D49" s="6" t="s">
        <v>67</v>
      </c>
      <c r="E49" s="7">
        <v>31300</v>
      </c>
      <c r="F49" s="8">
        <v>64.149349999999998</v>
      </c>
      <c r="G49" s="9">
        <v>8.1373460000000002E-3</v>
      </c>
      <c r="H49" s="164"/>
    </row>
    <row r="50" spans="1:8" ht="25.5" x14ac:dyDescent="0.2">
      <c r="A50" s="5">
        <v>44</v>
      </c>
      <c r="B50" s="6" t="s">
        <v>201</v>
      </c>
      <c r="C50" s="6" t="s">
        <v>202</v>
      </c>
      <c r="D50" s="6" t="s">
        <v>67</v>
      </c>
      <c r="E50" s="7">
        <v>12929</v>
      </c>
      <c r="F50" s="8">
        <v>63.3714935</v>
      </c>
      <c r="G50" s="9">
        <v>8.0386750000000003E-3</v>
      </c>
      <c r="H50" s="164"/>
    </row>
    <row r="51" spans="1:8" x14ac:dyDescent="0.2">
      <c r="A51" s="5">
        <v>45</v>
      </c>
      <c r="B51" s="6" t="s">
        <v>430</v>
      </c>
      <c r="C51" s="6" t="s">
        <v>431</v>
      </c>
      <c r="D51" s="6" t="s">
        <v>161</v>
      </c>
      <c r="E51" s="7">
        <v>4434</v>
      </c>
      <c r="F51" s="8">
        <v>62.577041999999999</v>
      </c>
      <c r="G51" s="9">
        <v>7.937899E-3</v>
      </c>
      <c r="H51" s="164"/>
    </row>
    <row r="52" spans="1:8" x14ac:dyDescent="0.2">
      <c r="A52" s="5">
        <v>46</v>
      </c>
      <c r="B52" s="6" t="s">
        <v>267</v>
      </c>
      <c r="C52" s="6" t="s">
        <v>268</v>
      </c>
      <c r="D52" s="6" t="s">
        <v>195</v>
      </c>
      <c r="E52" s="7">
        <v>8000</v>
      </c>
      <c r="F52" s="8">
        <v>59.323999999999998</v>
      </c>
      <c r="G52" s="9">
        <v>7.5252499999999998E-3</v>
      </c>
      <c r="H52" s="164"/>
    </row>
    <row r="53" spans="1:8" x14ac:dyDescent="0.2">
      <c r="A53" s="5">
        <v>47</v>
      </c>
      <c r="B53" s="6" t="s">
        <v>434</v>
      </c>
      <c r="C53" s="6" t="s">
        <v>435</v>
      </c>
      <c r="D53" s="6" t="s">
        <v>195</v>
      </c>
      <c r="E53" s="7">
        <v>12994</v>
      </c>
      <c r="F53" s="8">
        <v>57.076144999999997</v>
      </c>
      <c r="G53" s="9">
        <v>7.2401100000000001E-3</v>
      </c>
      <c r="H53" s="164"/>
    </row>
    <row r="54" spans="1:8" x14ac:dyDescent="0.2">
      <c r="A54" s="5">
        <v>48</v>
      </c>
      <c r="B54" s="6" t="s">
        <v>432</v>
      </c>
      <c r="C54" s="6" t="s">
        <v>433</v>
      </c>
      <c r="D54" s="6" t="s">
        <v>179</v>
      </c>
      <c r="E54" s="7">
        <v>4500</v>
      </c>
      <c r="F54" s="8">
        <v>54.429749999999999</v>
      </c>
      <c r="G54" s="9">
        <v>6.9044149999999997E-3</v>
      </c>
      <c r="H54" s="164"/>
    </row>
    <row r="55" spans="1:8" x14ac:dyDescent="0.2">
      <c r="A55" s="5">
        <v>49</v>
      </c>
      <c r="B55" s="6" t="s">
        <v>74</v>
      </c>
      <c r="C55" s="6" t="s">
        <v>75</v>
      </c>
      <c r="D55" s="6" t="s">
        <v>76</v>
      </c>
      <c r="E55" s="7">
        <v>36861</v>
      </c>
      <c r="F55" s="8">
        <v>51.439525500000002</v>
      </c>
      <c r="G55" s="9">
        <v>6.5251040000000003E-3</v>
      </c>
      <c r="H55" s="164"/>
    </row>
    <row r="56" spans="1:8" x14ac:dyDescent="0.2">
      <c r="A56" s="5">
        <v>50</v>
      </c>
      <c r="B56" s="6" t="s">
        <v>436</v>
      </c>
      <c r="C56" s="6" t="s">
        <v>437</v>
      </c>
      <c r="D56" s="6" t="s">
        <v>22</v>
      </c>
      <c r="E56" s="7">
        <v>2804</v>
      </c>
      <c r="F56" s="8">
        <v>46.400592000000003</v>
      </c>
      <c r="G56" s="9">
        <v>5.8859159999999997E-3</v>
      </c>
      <c r="H56" s="164"/>
    </row>
    <row r="57" spans="1:8" ht="25.5" x14ac:dyDescent="0.2">
      <c r="A57" s="5">
        <v>51</v>
      </c>
      <c r="B57" s="6" t="s">
        <v>438</v>
      </c>
      <c r="C57" s="6" t="s">
        <v>439</v>
      </c>
      <c r="D57" s="6" t="s">
        <v>932</v>
      </c>
      <c r="E57" s="7">
        <v>2580</v>
      </c>
      <c r="F57" s="8">
        <v>38.074350000000003</v>
      </c>
      <c r="G57" s="9">
        <v>4.8297319999999998E-3</v>
      </c>
      <c r="H57" s="164"/>
    </row>
    <row r="58" spans="1:8" x14ac:dyDescent="0.2">
      <c r="A58" s="5">
        <v>52</v>
      </c>
      <c r="B58" s="6" t="s">
        <v>379</v>
      </c>
      <c r="C58" s="6" t="s">
        <v>380</v>
      </c>
      <c r="D58" s="6" t="s">
        <v>62</v>
      </c>
      <c r="E58" s="7">
        <v>46331</v>
      </c>
      <c r="F58" s="8">
        <v>32.871844500000002</v>
      </c>
      <c r="G58" s="9">
        <v>4.1697940000000001E-3</v>
      </c>
      <c r="H58" s="164"/>
    </row>
    <row r="59" spans="1:8" x14ac:dyDescent="0.2">
      <c r="A59" s="3" t="s">
        <v>9</v>
      </c>
      <c r="B59" s="3" t="s">
        <v>9</v>
      </c>
      <c r="C59" s="4" t="s">
        <v>110</v>
      </c>
      <c r="D59" s="3" t="s">
        <v>9</v>
      </c>
      <c r="E59" s="3" t="s">
        <v>9</v>
      </c>
      <c r="F59" s="11">
        <v>7854.2947135000004</v>
      </c>
      <c r="G59" s="12">
        <v>0.99631739200000002</v>
      </c>
      <c r="H59" s="164"/>
    </row>
    <row r="60" spans="1:8" x14ac:dyDescent="0.2">
      <c r="A60" s="3" t="s">
        <v>9</v>
      </c>
      <c r="B60" s="3" t="s">
        <v>9</v>
      </c>
      <c r="C60" s="13" t="s">
        <v>9</v>
      </c>
      <c r="D60" s="3" t="s">
        <v>9</v>
      </c>
      <c r="E60" s="3" t="s">
        <v>9</v>
      </c>
      <c r="F60" s="14" t="s">
        <v>9</v>
      </c>
      <c r="G60" s="14" t="s">
        <v>9</v>
      </c>
      <c r="H60" s="164"/>
    </row>
    <row r="61" spans="1:8" x14ac:dyDescent="0.2">
      <c r="A61" s="3" t="s">
        <v>9</v>
      </c>
      <c r="B61" s="3" t="s">
        <v>9</v>
      </c>
      <c r="C61" s="4" t="s">
        <v>111</v>
      </c>
      <c r="D61" s="3" t="s">
        <v>9</v>
      </c>
      <c r="E61" s="3" t="s">
        <v>9</v>
      </c>
      <c r="F61" s="3" t="s">
        <v>9</v>
      </c>
      <c r="G61" s="3" t="s">
        <v>9</v>
      </c>
      <c r="H61" s="164"/>
    </row>
    <row r="62" spans="1:8" x14ac:dyDescent="0.2">
      <c r="A62" s="3" t="s">
        <v>9</v>
      </c>
      <c r="B62" s="3" t="s">
        <v>9</v>
      </c>
      <c r="C62" s="4" t="s">
        <v>110</v>
      </c>
      <c r="D62" s="3" t="s">
        <v>9</v>
      </c>
      <c r="E62" s="3" t="s">
        <v>9</v>
      </c>
      <c r="F62" s="15">
        <v>0</v>
      </c>
      <c r="G62" s="16">
        <v>0</v>
      </c>
      <c r="H62" s="164"/>
    </row>
    <row r="63" spans="1:8" x14ac:dyDescent="0.2">
      <c r="A63" s="3" t="s">
        <v>9</v>
      </c>
      <c r="B63" s="3" t="s">
        <v>9</v>
      </c>
      <c r="C63" s="13" t="s">
        <v>9</v>
      </c>
      <c r="D63" s="3" t="s">
        <v>9</v>
      </c>
      <c r="E63" s="3" t="s">
        <v>9</v>
      </c>
      <c r="F63" s="14" t="s">
        <v>9</v>
      </c>
      <c r="G63" s="14" t="s">
        <v>9</v>
      </c>
      <c r="H63" s="164"/>
    </row>
    <row r="64" spans="1:8" x14ac:dyDescent="0.2">
      <c r="A64" s="3" t="s">
        <v>9</v>
      </c>
      <c r="B64" s="3" t="s">
        <v>9</v>
      </c>
      <c r="C64" s="4" t="s">
        <v>112</v>
      </c>
      <c r="D64" s="3" t="s">
        <v>9</v>
      </c>
      <c r="E64" s="3" t="s">
        <v>9</v>
      </c>
      <c r="F64" s="3" t="s">
        <v>9</v>
      </c>
      <c r="G64" s="3" t="s">
        <v>9</v>
      </c>
      <c r="H64" s="164"/>
    </row>
    <row r="65" spans="1:8" x14ac:dyDescent="0.2">
      <c r="A65" s="3" t="s">
        <v>9</v>
      </c>
      <c r="B65" s="3" t="s">
        <v>9</v>
      </c>
      <c r="C65" s="4" t="s">
        <v>110</v>
      </c>
      <c r="D65" s="3" t="s">
        <v>9</v>
      </c>
      <c r="E65" s="3" t="s">
        <v>9</v>
      </c>
      <c r="F65" s="15">
        <v>0</v>
      </c>
      <c r="G65" s="16">
        <v>0</v>
      </c>
      <c r="H65" s="164"/>
    </row>
    <row r="66" spans="1:8" x14ac:dyDescent="0.2">
      <c r="A66" s="3" t="s">
        <v>9</v>
      </c>
      <c r="B66" s="3" t="s">
        <v>9</v>
      </c>
      <c r="C66" s="13" t="s">
        <v>9</v>
      </c>
      <c r="D66" s="3" t="s">
        <v>9</v>
      </c>
      <c r="E66" s="3" t="s">
        <v>9</v>
      </c>
      <c r="F66" s="14" t="s">
        <v>9</v>
      </c>
      <c r="G66" s="14" t="s">
        <v>9</v>
      </c>
      <c r="H66" s="164"/>
    </row>
    <row r="67" spans="1:8" x14ac:dyDescent="0.2">
      <c r="A67" s="3" t="s">
        <v>9</v>
      </c>
      <c r="B67" s="3" t="s">
        <v>9</v>
      </c>
      <c r="C67" s="4" t="s">
        <v>113</v>
      </c>
      <c r="D67" s="3" t="s">
        <v>9</v>
      </c>
      <c r="E67" s="3" t="s">
        <v>9</v>
      </c>
      <c r="F67" s="3" t="s">
        <v>9</v>
      </c>
      <c r="G67" s="3" t="s">
        <v>9</v>
      </c>
      <c r="H67" s="164"/>
    </row>
    <row r="68" spans="1:8" x14ac:dyDescent="0.2">
      <c r="A68" s="3" t="s">
        <v>9</v>
      </c>
      <c r="B68" s="3" t="s">
        <v>9</v>
      </c>
      <c r="C68" s="4" t="s">
        <v>110</v>
      </c>
      <c r="D68" s="3" t="s">
        <v>9</v>
      </c>
      <c r="E68" s="3" t="s">
        <v>9</v>
      </c>
      <c r="F68" s="15">
        <v>0</v>
      </c>
      <c r="G68" s="16">
        <v>0</v>
      </c>
      <c r="H68" s="164"/>
    </row>
    <row r="69" spans="1:8" x14ac:dyDescent="0.2">
      <c r="A69" s="3" t="s">
        <v>9</v>
      </c>
      <c r="B69" s="3" t="s">
        <v>9</v>
      </c>
      <c r="C69" s="13" t="s">
        <v>9</v>
      </c>
      <c r="D69" s="3" t="s">
        <v>9</v>
      </c>
      <c r="E69" s="3" t="s">
        <v>9</v>
      </c>
      <c r="F69" s="14" t="s">
        <v>9</v>
      </c>
      <c r="G69" s="14" t="s">
        <v>9</v>
      </c>
      <c r="H69" s="164"/>
    </row>
    <row r="70" spans="1:8" x14ac:dyDescent="0.2">
      <c r="A70" s="3" t="s">
        <v>9</v>
      </c>
      <c r="B70" s="3" t="s">
        <v>9</v>
      </c>
      <c r="C70" s="4" t="s">
        <v>114</v>
      </c>
      <c r="D70" s="3" t="s">
        <v>9</v>
      </c>
      <c r="E70" s="3" t="s">
        <v>9</v>
      </c>
      <c r="F70" s="14" t="s">
        <v>9</v>
      </c>
      <c r="G70" s="14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110</v>
      </c>
      <c r="D71" s="3" t="s">
        <v>9</v>
      </c>
      <c r="E71" s="3" t="s">
        <v>9</v>
      </c>
      <c r="F71" s="15">
        <v>0</v>
      </c>
      <c r="G71" s="16">
        <v>0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115</v>
      </c>
      <c r="D73" s="3" t="s">
        <v>9</v>
      </c>
      <c r="E73" s="3" t="s">
        <v>9</v>
      </c>
      <c r="F73" s="14" t="s">
        <v>9</v>
      </c>
      <c r="G73" s="14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110</v>
      </c>
      <c r="D74" s="3" t="s">
        <v>9</v>
      </c>
      <c r="E74" s="3" t="s">
        <v>9</v>
      </c>
      <c r="F74" s="15">
        <v>0</v>
      </c>
      <c r="G74" s="16">
        <v>0</v>
      </c>
      <c r="H74" s="164"/>
    </row>
    <row r="75" spans="1:8" x14ac:dyDescent="0.2">
      <c r="A75" s="3" t="s">
        <v>9</v>
      </c>
      <c r="B75" s="3" t="s">
        <v>9</v>
      </c>
      <c r="C75" s="13" t="s">
        <v>9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116</v>
      </c>
      <c r="D76" s="3" t="s">
        <v>9</v>
      </c>
      <c r="E76" s="3" t="s">
        <v>9</v>
      </c>
      <c r="F76" s="11">
        <v>7854.2947135000004</v>
      </c>
      <c r="G76" s="12">
        <v>0.99631739200000002</v>
      </c>
      <c r="H76" s="164"/>
    </row>
    <row r="77" spans="1:8" x14ac:dyDescent="0.2">
      <c r="A77" s="3" t="s">
        <v>9</v>
      </c>
      <c r="B77" s="3" t="s">
        <v>9</v>
      </c>
      <c r="C77" s="13" t="s">
        <v>9</v>
      </c>
      <c r="D77" s="3" t="s">
        <v>9</v>
      </c>
      <c r="E77" s="3" t="s">
        <v>9</v>
      </c>
      <c r="F77" s="14" t="s">
        <v>9</v>
      </c>
      <c r="G77" s="14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117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ht="25.5" x14ac:dyDescent="0.2">
      <c r="A79" s="3" t="s">
        <v>9</v>
      </c>
      <c r="B79" s="3" t="s">
        <v>9</v>
      </c>
      <c r="C79" s="4" t="s">
        <v>11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110</v>
      </c>
      <c r="D80" s="3" t="s">
        <v>9</v>
      </c>
      <c r="E80" s="3" t="s">
        <v>9</v>
      </c>
      <c r="F80" s="15">
        <v>0</v>
      </c>
      <c r="G80" s="16">
        <v>0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118</v>
      </c>
      <c r="D82" s="3" t="s">
        <v>9</v>
      </c>
      <c r="E82" s="3" t="s">
        <v>9</v>
      </c>
      <c r="F82" s="3" t="s">
        <v>9</v>
      </c>
      <c r="G82" s="3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119</v>
      </c>
      <c r="D85" s="3" t="s">
        <v>9</v>
      </c>
      <c r="E85" s="3" t="s">
        <v>9</v>
      </c>
      <c r="F85" s="3" t="s">
        <v>9</v>
      </c>
      <c r="G85" s="3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110</v>
      </c>
      <c r="D86" s="3" t="s">
        <v>9</v>
      </c>
      <c r="E86" s="3" t="s">
        <v>9</v>
      </c>
      <c r="F86" s="15">
        <v>0</v>
      </c>
      <c r="G86" s="16">
        <v>0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120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110</v>
      </c>
      <c r="D89" s="3" t="s">
        <v>9</v>
      </c>
      <c r="E89" s="3" t="s">
        <v>9</v>
      </c>
      <c r="F89" s="15">
        <v>0</v>
      </c>
      <c r="G89" s="16">
        <v>0</v>
      </c>
      <c r="H89" s="164"/>
    </row>
    <row r="90" spans="1:8" x14ac:dyDescent="0.2">
      <c r="A90" s="3" t="s">
        <v>9</v>
      </c>
      <c r="B90" s="3" t="s">
        <v>9</v>
      </c>
      <c r="C90" s="13" t="s">
        <v>9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121</v>
      </c>
      <c r="D91" s="3" t="s">
        <v>9</v>
      </c>
      <c r="E91" s="3" t="s">
        <v>9</v>
      </c>
      <c r="F91" s="11">
        <v>0</v>
      </c>
      <c r="G91" s="12">
        <v>0</v>
      </c>
      <c r="H91" s="164"/>
    </row>
    <row r="92" spans="1:8" x14ac:dyDescent="0.2">
      <c r="A92" s="3" t="s">
        <v>9</v>
      </c>
      <c r="B92" s="3" t="s">
        <v>9</v>
      </c>
      <c r="C92" s="13" t="s">
        <v>9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122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123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110</v>
      </c>
      <c r="D95" s="3" t="s">
        <v>9</v>
      </c>
      <c r="E95" s="3" t="s">
        <v>9</v>
      </c>
      <c r="F95" s="15">
        <v>0</v>
      </c>
      <c r="G95" s="16">
        <v>0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124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110</v>
      </c>
      <c r="D98" s="3" t="s">
        <v>9</v>
      </c>
      <c r="E98" s="3" t="s">
        <v>9</v>
      </c>
      <c r="F98" s="15">
        <v>0</v>
      </c>
      <c r="G98" s="16">
        <v>0</v>
      </c>
      <c r="H98" s="164"/>
    </row>
    <row r="99" spans="1:8" x14ac:dyDescent="0.2">
      <c r="A99" s="3" t="s">
        <v>9</v>
      </c>
      <c r="B99" s="3" t="s">
        <v>9</v>
      </c>
      <c r="C99" s="13" t="s">
        <v>9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125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110</v>
      </c>
      <c r="D101" s="3" t="s">
        <v>9</v>
      </c>
      <c r="E101" s="3" t="s">
        <v>9</v>
      </c>
      <c r="F101" s="15">
        <v>0</v>
      </c>
      <c r="G101" s="16">
        <v>0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126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x14ac:dyDescent="0.2">
      <c r="A104" s="5">
        <v>1</v>
      </c>
      <c r="B104" s="6"/>
      <c r="C104" s="6" t="s">
        <v>127</v>
      </c>
      <c r="D104" s="6"/>
      <c r="E104" s="10" t="s">
        <v>9</v>
      </c>
      <c r="F104" s="8">
        <v>31.6240326</v>
      </c>
      <c r="G104" s="9">
        <v>4.0115089999999999E-3</v>
      </c>
      <c r="H104" s="90">
        <v>3.22</v>
      </c>
    </row>
    <row r="105" spans="1:8" x14ac:dyDescent="0.2">
      <c r="A105" s="5">
        <v>2</v>
      </c>
      <c r="B105" s="6"/>
      <c r="C105" s="6" t="s">
        <v>128</v>
      </c>
      <c r="D105" s="6"/>
      <c r="E105" s="10" t="s">
        <v>9</v>
      </c>
      <c r="F105" s="8">
        <v>8.9368163000000003</v>
      </c>
      <c r="G105" s="9">
        <v>1.133635E-3</v>
      </c>
      <c r="H105" s="90">
        <v>3.34</v>
      </c>
    </row>
    <row r="106" spans="1:8" x14ac:dyDescent="0.2">
      <c r="A106" s="3" t="s">
        <v>9</v>
      </c>
      <c r="B106" s="3" t="s">
        <v>9</v>
      </c>
      <c r="C106" s="4" t="s">
        <v>110</v>
      </c>
      <c r="D106" s="3" t="s">
        <v>9</v>
      </c>
      <c r="E106" s="3" t="s">
        <v>9</v>
      </c>
      <c r="F106" s="11">
        <v>40.560848900000003</v>
      </c>
      <c r="G106" s="12">
        <v>5.1451439999999999E-3</v>
      </c>
      <c r="H106" s="164"/>
    </row>
    <row r="107" spans="1:8" x14ac:dyDescent="0.2">
      <c r="A107" s="3" t="s">
        <v>9</v>
      </c>
      <c r="B107" s="3" t="s">
        <v>9</v>
      </c>
      <c r="C107" s="13" t="s">
        <v>9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129</v>
      </c>
      <c r="D108" s="3" t="s">
        <v>9</v>
      </c>
      <c r="E108" s="3" t="s">
        <v>9</v>
      </c>
      <c r="F108" s="11">
        <v>40.560848900000003</v>
      </c>
      <c r="G108" s="12">
        <v>5.1451439999999999E-3</v>
      </c>
      <c r="H108" s="164"/>
    </row>
    <row r="109" spans="1:8" x14ac:dyDescent="0.2">
      <c r="A109" s="3" t="s">
        <v>9</v>
      </c>
      <c r="B109" s="3" t="s">
        <v>9</v>
      </c>
      <c r="C109" s="14" t="s">
        <v>9</v>
      </c>
      <c r="D109" s="3" t="s">
        <v>9</v>
      </c>
      <c r="E109" s="3" t="s">
        <v>9</v>
      </c>
      <c r="F109" s="3" t="s">
        <v>9</v>
      </c>
      <c r="G109" s="3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130</v>
      </c>
      <c r="D110" s="3" t="s">
        <v>9</v>
      </c>
      <c r="E110" s="3" t="s">
        <v>9</v>
      </c>
      <c r="F110" s="3" t="s">
        <v>9</v>
      </c>
      <c r="G110" s="3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131</v>
      </c>
      <c r="D111" s="3" t="s">
        <v>9</v>
      </c>
      <c r="E111" s="3" t="s">
        <v>9</v>
      </c>
      <c r="F111" s="3" t="s">
        <v>9</v>
      </c>
      <c r="G111" s="3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110</v>
      </c>
      <c r="D112" s="3" t="s">
        <v>9</v>
      </c>
      <c r="E112" s="3" t="s">
        <v>9</v>
      </c>
      <c r="F112" s="15">
        <v>0</v>
      </c>
      <c r="G112" s="16">
        <v>0</v>
      </c>
      <c r="H112" s="164"/>
    </row>
    <row r="113" spans="1:8" x14ac:dyDescent="0.2">
      <c r="A113" s="3" t="s">
        <v>9</v>
      </c>
      <c r="B113" s="3" t="s">
        <v>9</v>
      </c>
      <c r="C113" s="13" t="s">
        <v>9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3" t="s">
        <v>9</v>
      </c>
      <c r="B114" s="3" t="s">
        <v>9</v>
      </c>
      <c r="C114" s="4" t="s">
        <v>132</v>
      </c>
      <c r="D114" s="3" t="s">
        <v>9</v>
      </c>
      <c r="E114" s="3" t="s">
        <v>9</v>
      </c>
      <c r="F114" s="3" t="s">
        <v>9</v>
      </c>
      <c r="G114" s="3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133</v>
      </c>
      <c r="D115" s="3" t="s">
        <v>9</v>
      </c>
      <c r="E115" s="3" t="s">
        <v>9</v>
      </c>
      <c r="F115" s="3" t="s">
        <v>9</v>
      </c>
      <c r="G115" s="3" t="s">
        <v>9</v>
      </c>
      <c r="H115" s="164"/>
    </row>
    <row r="116" spans="1:8" x14ac:dyDescent="0.2">
      <c r="A116" s="3" t="s">
        <v>9</v>
      </c>
      <c r="B116" s="3" t="s">
        <v>9</v>
      </c>
      <c r="C116" s="4" t="s">
        <v>110</v>
      </c>
      <c r="D116" s="3" t="s">
        <v>9</v>
      </c>
      <c r="E116" s="3" t="s">
        <v>9</v>
      </c>
      <c r="F116" s="15">
        <v>0</v>
      </c>
      <c r="G116" s="16">
        <v>0</v>
      </c>
      <c r="H116" s="164"/>
    </row>
    <row r="117" spans="1:8" x14ac:dyDescent="0.2">
      <c r="A117" s="3" t="s">
        <v>9</v>
      </c>
      <c r="B117" s="3" t="s">
        <v>9</v>
      </c>
      <c r="C117" s="13" t="s">
        <v>9</v>
      </c>
      <c r="D117" s="3" t="s">
        <v>9</v>
      </c>
      <c r="E117" s="3" t="s">
        <v>9</v>
      </c>
      <c r="F117" s="14" t="s">
        <v>9</v>
      </c>
      <c r="G117" s="14" t="s">
        <v>9</v>
      </c>
      <c r="H117" s="164"/>
    </row>
    <row r="118" spans="1:8" x14ac:dyDescent="0.2">
      <c r="A118" s="3" t="s">
        <v>9</v>
      </c>
      <c r="B118" s="3" t="s">
        <v>9</v>
      </c>
      <c r="C118" s="13" t="s">
        <v>9</v>
      </c>
      <c r="D118" s="3" t="s">
        <v>9</v>
      </c>
      <c r="E118" s="3" t="s">
        <v>9</v>
      </c>
      <c r="F118" s="14" t="s">
        <v>9</v>
      </c>
      <c r="G118" s="14" t="s">
        <v>9</v>
      </c>
      <c r="H118" s="164"/>
    </row>
    <row r="119" spans="1:8" ht="25.5" x14ac:dyDescent="0.2">
      <c r="A119" s="3" t="s">
        <v>9</v>
      </c>
      <c r="B119" s="3" t="s">
        <v>9</v>
      </c>
      <c r="C119" s="4" t="s">
        <v>134</v>
      </c>
      <c r="D119" s="3" t="s">
        <v>9</v>
      </c>
      <c r="E119" s="3" t="s">
        <v>9</v>
      </c>
      <c r="F119" s="14" t="s">
        <v>9</v>
      </c>
      <c r="G119" s="14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110</v>
      </c>
      <c r="D120" s="3" t="s">
        <v>9</v>
      </c>
      <c r="E120" s="3" t="s">
        <v>9</v>
      </c>
      <c r="F120" s="15">
        <v>0</v>
      </c>
      <c r="G120" s="16">
        <v>0</v>
      </c>
      <c r="H120" s="164"/>
    </row>
    <row r="121" spans="1:8" x14ac:dyDescent="0.2">
      <c r="A121" s="3" t="s">
        <v>9</v>
      </c>
      <c r="B121" s="3" t="s">
        <v>9</v>
      </c>
      <c r="C121" s="13" t="s">
        <v>9</v>
      </c>
      <c r="D121" s="3" t="s">
        <v>9</v>
      </c>
      <c r="E121" s="3" t="s">
        <v>9</v>
      </c>
      <c r="F121" s="14" t="s">
        <v>9</v>
      </c>
      <c r="G121" s="14" t="s">
        <v>9</v>
      </c>
      <c r="H121" s="164"/>
    </row>
    <row r="122" spans="1:8" x14ac:dyDescent="0.2">
      <c r="A122" s="3" t="s">
        <v>9</v>
      </c>
      <c r="B122" s="6" t="s">
        <v>9</v>
      </c>
      <c r="C122" s="6" t="s">
        <v>9</v>
      </c>
      <c r="D122" s="4" t="s">
        <v>9</v>
      </c>
      <c r="E122" s="3" t="s">
        <v>9</v>
      </c>
      <c r="F122" s="6" t="s">
        <v>9</v>
      </c>
      <c r="G122" s="10" t="s">
        <v>9</v>
      </c>
      <c r="H122" s="164"/>
    </row>
    <row r="123" spans="1:8" x14ac:dyDescent="0.2">
      <c r="A123" s="10" t="s">
        <v>9</v>
      </c>
      <c r="B123" s="6" t="s">
        <v>9</v>
      </c>
      <c r="C123" s="6" t="s">
        <v>135</v>
      </c>
      <c r="D123" s="6" t="s">
        <v>9</v>
      </c>
      <c r="E123" s="10" t="s">
        <v>9</v>
      </c>
      <c r="F123" s="8">
        <v>-11.529616000000001</v>
      </c>
      <c r="G123" s="9">
        <v>-1.4625319999999999E-3</v>
      </c>
      <c r="H123" s="164"/>
    </row>
    <row r="124" spans="1:8" x14ac:dyDescent="0.2">
      <c r="A124" s="13" t="s">
        <v>9</v>
      </c>
      <c r="B124" s="13" t="s">
        <v>9</v>
      </c>
      <c r="C124" s="4" t="s">
        <v>136</v>
      </c>
      <c r="D124" s="17" t="s">
        <v>9</v>
      </c>
      <c r="E124" s="17" t="s">
        <v>9</v>
      </c>
      <c r="F124" s="11">
        <v>7883.3259464000002</v>
      </c>
      <c r="G124" s="12">
        <v>1.0000000040000001</v>
      </c>
      <c r="H124" s="164"/>
    </row>
    <row r="125" spans="1:8" ht="14.1" customHeight="1" x14ac:dyDescent="0.2">
      <c r="A125" s="18" t="s">
        <v>9</v>
      </c>
      <c r="B125" s="18" t="s">
        <v>9</v>
      </c>
      <c r="C125" s="18" t="s">
        <v>9</v>
      </c>
      <c r="D125" s="19" t="s">
        <v>9</v>
      </c>
      <c r="E125" s="19" t="s">
        <v>9</v>
      </c>
      <c r="F125" s="19" t="s">
        <v>9</v>
      </c>
      <c r="G125" s="19" t="s">
        <v>9</v>
      </c>
    </row>
    <row r="126" spans="1:8" ht="14.1" customHeight="1" x14ac:dyDescent="0.2">
      <c r="A126" s="20" t="s">
        <v>9</v>
      </c>
      <c r="B126" s="228" t="s">
        <v>9</v>
      </c>
      <c r="C126" s="228"/>
      <c r="D126" s="228"/>
      <c r="E126" s="228"/>
      <c r="F126" s="228"/>
      <c r="G126" s="22" t="s">
        <v>9</v>
      </c>
    </row>
    <row r="127" spans="1:8" ht="14.1" customHeight="1" x14ac:dyDescent="0.2">
      <c r="A127" s="20" t="s">
        <v>9</v>
      </c>
      <c r="B127" s="228" t="s">
        <v>9</v>
      </c>
      <c r="C127" s="228"/>
      <c r="D127" s="228"/>
      <c r="E127" s="228"/>
      <c r="F127" s="228"/>
      <c r="G127" s="22" t="s">
        <v>9</v>
      </c>
    </row>
    <row r="128" spans="1:8" ht="14.1" customHeight="1" x14ac:dyDescent="0.2">
      <c r="A128" s="20" t="s">
        <v>9</v>
      </c>
      <c r="B128" s="20" t="s">
        <v>9</v>
      </c>
      <c r="C128" s="20" t="s">
        <v>9</v>
      </c>
      <c r="D128" s="22" t="s">
        <v>9</v>
      </c>
      <c r="E128" s="22" t="s">
        <v>9</v>
      </c>
      <c r="F128" s="22" t="s">
        <v>9</v>
      </c>
      <c r="G128" s="22" t="s">
        <v>9</v>
      </c>
    </row>
    <row r="129" spans="1:7" ht="14.1" customHeight="1" x14ac:dyDescent="0.2">
      <c r="A129" s="20" t="s">
        <v>9</v>
      </c>
      <c r="B129" s="226" t="s">
        <v>138</v>
      </c>
      <c r="C129" s="227"/>
      <c r="D129" s="14" t="s">
        <v>9</v>
      </c>
      <c r="E129" s="23" t="s">
        <v>9</v>
      </c>
      <c r="F129" s="22" t="s">
        <v>9</v>
      </c>
      <c r="G129" s="22" t="s">
        <v>9</v>
      </c>
    </row>
    <row r="130" spans="1:7" ht="29.1" customHeight="1" x14ac:dyDescent="0.2">
      <c r="A130" s="20" t="s">
        <v>9</v>
      </c>
      <c r="B130" s="233" t="s">
        <v>139</v>
      </c>
      <c r="C130" s="234"/>
      <c r="D130" s="4" t="s">
        <v>140</v>
      </c>
      <c r="E130" s="23" t="s">
        <v>9</v>
      </c>
      <c r="F130" s="22" t="s">
        <v>9</v>
      </c>
      <c r="G130" s="22" t="s">
        <v>9</v>
      </c>
    </row>
    <row r="131" spans="1:7" ht="17.100000000000001" customHeight="1" x14ac:dyDescent="0.2">
      <c r="A131" s="20" t="s">
        <v>9</v>
      </c>
      <c r="B131" s="233" t="s">
        <v>141</v>
      </c>
      <c r="C131" s="234"/>
      <c r="D131" s="4" t="s">
        <v>140</v>
      </c>
      <c r="E131" s="23" t="s">
        <v>9</v>
      </c>
      <c r="F131" s="22" t="s">
        <v>9</v>
      </c>
      <c r="G131" s="22" t="s">
        <v>9</v>
      </c>
    </row>
    <row r="132" spans="1:7" ht="17.100000000000001" customHeight="1" x14ac:dyDescent="0.2">
      <c r="A132" s="20" t="s">
        <v>9</v>
      </c>
      <c r="B132" s="233" t="s">
        <v>142</v>
      </c>
      <c r="C132" s="234"/>
      <c r="D132" s="14" t="s">
        <v>9</v>
      </c>
      <c r="E132" s="23" t="s">
        <v>9</v>
      </c>
      <c r="F132" s="22" t="s">
        <v>9</v>
      </c>
      <c r="G132" s="22" t="s">
        <v>9</v>
      </c>
    </row>
    <row r="133" spans="1:7" ht="24" customHeight="1" x14ac:dyDescent="0.2">
      <c r="A133" s="24" t="s">
        <v>9</v>
      </c>
      <c r="B133" s="25" t="s">
        <v>9</v>
      </c>
      <c r="C133" s="25" t="s">
        <v>143</v>
      </c>
      <c r="D133" s="25" t="s">
        <v>144</v>
      </c>
      <c r="E133" s="24" t="s">
        <v>9</v>
      </c>
      <c r="F133" s="24" t="s">
        <v>9</v>
      </c>
      <c r="G133" s="24" t="s">
        <v>9</v>
      </c>
    </row>
    <row r="134" spans="1:7" ht="18" customHeight="1" x14ac:dyDescent="0.2">
      <c r="A134" s="24" t="s">
        <v>9</v>
      </c>
      <c r="B134" s="25" t="s">
        <v>145</v>
      </c>
      <c r="C134" s="25" t="s">
        <v>146</v>
      </c>
      <c r="D134" s="25" t="s">
        <v>147</v>
      </c>
      <c r="E134" s="24" t="s">
        <v>9</v>
      </c>
      <c r="F134" s="24" t="s">
        <v>9</v>
      </c>
      <c r="G134" s="24" t="s">
        <v>9</v>
      </c>
    </row>
    <row r="135" spans="1:7" ht="17.100000000000001" customHeight="1" x14ac:dyDescent="0.2">
      <c r="A135" s="24" t="s">
        <v>9</v>
      </c>
      <c r="B135" s="6" t="s">
        <v>148</v>
      </c>
      <c r="C135" s="26">
        <v>15.5527</v>
      </c>
      <c r="D135" s="26">
        <v>16.091999999999999</v>
      </c>
      <c r="E135" s="24" t="s">
        <v>9</v>
      </c>
      <c r="F135" s="21" t="s">
        <v>9</v>
      </c>
      <c r="G135" s="27" t="s">
        <v>9</v>
      </c>
    </row>
    <row r="136" spans="1:7" ht="17.100000000000001" customHeight="1" x14ac:dyDescent="0.2">
      <c r="A136" s="24" t="s">
        <v>9</v>
      </c>
      <c r="B136" s="6" t="s">
        <v>839</v>
      </c>
      <c r="C136" s="26">
        <v>14.802099999999999</v>
      </c>
      <c r="D136" s="26">
        <v>15.3154</v>
      </c>
      <c r="E136" s="24" t="s">
        <v>9</v>
      </c>
      <c r="F136" s="21" t="s">
        <v>9</v>
      </c>
      <c r="G136" s="27" t="s">
        <v>9</v>
      </c>
    </row>
    <row r="137" spans="1:7" ht="17.100000000000001" customHeight="1" x14ac:dyDescent="0.2">
      <c r="A137" s="24" t="s">
        <v>9</v>
      </c>
      <c r="B137" s="6" t="s">
        <v>149</v>
      </c>
      <c r="C137" s="26">
        <v>15.272600000000001</v>
      </c>
      <c r="D137" s="26">
        <v>15.794700000000001</v>
      </c>
      <c r="E137" s="24" t="s">
        <v>9</v>
      </c>
      <c r="F137" s="21" t="s">
        <v>9</v>
      </c>
      <c r="G137" s="27" t="s">
        <v>9</v>
      </c>
    </row>
    <row r="138" spans="1:7" ht="17.100000000000001" customHeight="1" x14ac:dyDescent="0.2">
      <c r="A138" s="24" t="s">
        <v>9</v>
      </c>
      <c r="B138" s="6" t="s">
        <v>840</v>
      </c>
      <c r="C138" s="26">
        <v>14.702199999999999</v>
      </c>
      <c r="D138" s="26">
        <v>15.204800000000001</v>
      </c>
      <c r="E138" s="24" t="s">
        <v>9</v>
      </c>
      <c r="F138" s="21" t="s">
        <v>9</v>
      </c>
      <c r="G138" s="27" t="s">
        <v>9</v>
      </c>
    </row>
    <row r="139" spans="1:7" ht="14.1" customHeight="1" x14ac:dyDescent="0.2">
      <c r="A139" s="24" t="s">
        <v>9</v>
      </c>
      <c r="B139" s="24" t="s">
        <v>9</v>
      </c>
      <c r="C139" s="24" t="s">
        <v>9</v>
      </c>
      <c r="D139" s="24" t="s">
        <v>9</v>
      </c>
      <c r="E139" s="24" t="s">
        <v>9</v>
      </c>
      <c r="F139" s="24" t="s">
        <v>9</v>
      </c>
      <c r="G139" s="24" t="s">
        <v>9</v>
      </c>
    </row>
    <row r="140" spans="1:7" ht="17.100000000000001" customHeight="1" x14ac:dyDescent="0.2">
      <c r="A140" s="24" t="s">
        <v>9</v>
      </c>
      <c r="B140" s="233" t="s">
        <v>1003</v>
      </c>
      <c r="C140" s="234"/>
      <c r="D140" s="4" t="s">
        <v>140</v>
      </c>
      <c r="E140" s="24" t="s">
        <v>9</v>
      </c>
      <c r="F140" s="24" t="s">
        <v>9</v>
      </c>
      <c r="G140" s="24" t="s">
        <v>9</v>
      </c>
    </row>
    <row r="141" spans="1:7" ht="18" customHeight="1" x14ac:dyDescent="0.2">
      <c r="A141" s="24" t="s">
        <v>9</v>
      </c>
      <c r="B141" s="28" t="s">
        <v>150</v>
      </c>
      <c r="C141" s="28" t="s">
        <v>150</v>
      </c>
      <c r="D141" s="28" t="s">
        <v>9</v>
      </c>
      <c r="E141" s="24" t="s">
        <v>9</v>
      </c>
      <c r="F141" s="24" t="s">
        <v>9</v>
      </c>
      <c r="G141" s="24" t="s">
        <v>9</v>
      </c>
    </row>
    <row r="142" spans="1:7" s="169" customFormat="1" x14ac:dyDescent="0.2">
      <c r="B142" s="235" t="s">
        <v>841</v>
      </c>
      <c r="C142" s="235"/>
      <c r="D142" s="235"/>
      <c r="E142" s="235"/>
      <c r="F142" s="235"/>
    </row>
    <row r="143" spans="1:7" ht="14.1" customHeight="1" x14ac:dyDescent="0.2">
      <c r="A143" s="24" t="s">
        <v>9</v>
      </c>
      <c r="B143" s="21" t="s">
        <v>9</v>
      </c>
      <c r="C143" s="21" t="s">
        <v>9</v>
      </c>
      <c r="D143" s="24" t="s">
        <v>9</v>
      </c>
      <c r="E143" s="24" t="s">
        <v>9</v>
      </c>
      <c r="F143" s="24" t="s">
        <v>9</v>
      </c>
      <c r="G143" s="24" t="s">
        <v>9</v>
      </c>
    </row>
    <row r="144" spans="1:7" ht="29.1" customHeight="1" x14ac:dyDescent="0.2">
      <c r="A144" s="24" t="s">
        <v>9</v>
      </c>
      <c r="B144" s="233" t="s">
        <v>151</v>
      </c>
      <c r="C144" s="234"/>
      <c r="D144" s="4" t="s">
        <v>140</v>
      </c>
      <c r="E144" s="24" t="s">
        <v>9</v>
      </c>
      <c r="F144" s="24" t="s">
        <v>9</v>
      </c>
      <c r="G144" s="24" t="s">
        <v>9</v>
      </c>
    </row>
    <row r="145" spans="1:7" ht="29.1" customHeight="1" x14ac:dyDescent="0.2">
      <c r="A145" s="24" t="s">
        <v>9</v>
      </c>
      <c r="B145" s="233" t="s">
        <v>152</v>
      </c>
      <c r="C145" s="234"/>
      <c r="D145" s="4" t="s">
        <v>140</v>
      </c>
      <c r="E145" s="24" t="s">
        <v>9</v>
      </c>
      <c r="F145" s="24" t="s">
        <v>9</v>
      </c>
      <c r="G145" s="24" t="s">
        <v>9</v>
      </c>
    </row>
    <row r="146" spans="1:7" ht="17.100000000000001" customHeight="1" x14ac:dyDescent="0.2">
      <c r="A146" s="24" t="s">
        <v>9</v>
      </c>
      <c r="B146" s="233" t="s">
        <v>153</v>
      </c>
      <c r="C146" s="234"/>
      <c r="D146" s="29">
        <v>0.33633616175319864</v>
      </c>
      <c r="E146" s="24" t="s">
        <v>9</v>
      </c>
      <c r="F146" s="21" t="s">
        <v>9</v>
      </c>
      <c r="G146" s="27" t="s">
        <v>9</v>
      </c>
    </row>
    <row r="147" spans="1:7" ht="17.100000000000001" customHeight="1" x14ac:dyDescent="0.2">
      <c r="A147" s="24" t="s">
        <v>9</v>
      </c>
      <c r="B147" s="233" t="s">
        <v>154</v>
      </c>
      <c r="C147" s="234"/>
      <c r="D147" s="4" t="s">
        <v>140</v>
      </c>
      <c r="E147" s="24" t="s">
        <v>9</v>
      </c>
      <c r="F147" s="24" t="s">
        <v>9</v>
      </c>
      <c r="G147" s="24" t="s">
        <v>9</v>
      </c>
    </row>
  </sheetData>
  <mergeCells count="15">
    <mergeCell ref="B146:C146"/>
    <mergeCell ref="B147:C147"/>
    <mergeCell ref="B130:C130"/>
    <mergeCell ref="B131:C131"/>
    <mergeCell ref="B132:C132"/>
    <mergeCell ref="B140:C140"/>
    <mergeCell ref="B144:C144"/>
    <mergeCell ref="B145:C145"/>
    <mergeCell ref="B142:F142"/>
    <mergeCell ref="B129:C129"/>
    <mergeCell ref="B126:F126"/>
    <mergeCell ref="B127:F12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42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441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403</v>
      </c>
      <c r="C7" s="6" t="s">
        <v>404</v>
      </c>
      <c r="D7" s="6" t="s">
        <v>179</v>
      </c>
      <c r="E7" s="7">
        <v>621607</v>
      </c>
      <c r="F7" s="8">
        <v>10010.980734999999</v>
      </c>
      <c r="G7" s="9">
        <v>5.9418090999999999E-2</v>
      </c>
      <c r="H7" s="164"/>
    </row>
    <row r="8" spans="1:8" x14ac:dyDescent="0.2">
      <c r="A8" s="5">
        <v>2</v>
      </c>
      <c r="B8" s="6" t="s">
        <v>20</v>
      </c>
      <c r="C8" s="6" t="s">
        <v>21</v>
      </c>
      <c r="D8" s="6" t="s">
        <v>22</v>
      </c>
      <c r="E8" s="7">
        <v>1055895</v>
      </c>
      <c r="F8" s="8">
        <v>7206.4833749999998</v>
      </c>
      <c r="G8" s="9">
        <v>4.2772580999999997E-2</v>
      </c>
      <c r="H8" s="164"/>
    </row>
    <row r="9" spans="1:8" x14ac:dyDescent="0.2">
      <c r="A9" s="5">
        <v>3</v>
      </c>
      <c r="B9" s="6" t="s">
        <v>306</v>
      </c>
      <c r="C9" s="6" t="s">
        <v>307</v>
      </c>
      <c r="D9" s="6" t="s">
        <v>179</v>
      </c>
      <c r="E9" s="7">
        <v>223002</v>
      </c>
      <c r="F9" s="8">
        <v>6389.4533039999997</v>
      </c>
      <c r="G9" s="9">
        <v>3.7923269000000003E-2</v>
      </c>
      <c r="H9" s="164"/>
    </row>
    <row r="10" spans="1:8" x14ac:dyDescent="0.2">
      <c r="A10" s="5">
        <v>4</v>
      </c>
      <c r="B10" s="6" t="s">
        <v>79</v>
      </c>
      <c r="C10" s="6" t="s">
        <v>80</v>
      </c>
      <c r="D10" s="6" t="s">
        <v>22</v>
      </c>
      <c r="E10" s="7">
        <v>447548</v>
      </c>
      <c r="F10" s="8">
        <v>6384.0484459999998</v>
      </c>
      <c r="G10" s="9">
        <v>3.7891189999999998E-2</v>
      </c>
      <c r="H10" s="164"/>
    </row>
    <row r="11" spans="1:8" x14ac:dyDescent="0.2">
      <c r="A11" s="5">
        <v>5</v>
      </c>
      <c r="B11" s="6" t="s">
        <v>407</v>
      </c>
      <c r="C11" s="6" t="s">
        <v>408</v>
      </c>
      <c r="D11" s="6" t="s">
        <v>22</v>
      </c>
      <c r="E11" s="7">
        <v>1464373</v>
      </c>
      <c r="F11" s="8">
        <v>6323.1626139999998</v>
      </c>
      <c r="G11" s="9">
        <v>3.7529814000000002E-2</v>
      </c>
      <c r="H11" s="164"/>
    </row>
    <row r="12" spans="1:8" x14ac:dyDescent="0.2">
      <c r="A12" s="5">
        <v>6</v>
      </c>
      <c r="B12" s="6" t="s">
        <v>12</v>
      </c>
      <c r="C12" s="6" t="s">
        <v>13</v>
      </c>
      <c r="D12" s="6" t="s">
        <v>14</v>
      </c>
      <c r="E12" s="7">
        <v>380598</v>
      </c>
      <c r="F12" s="8">
        <v>6095.086671</v>
      </c>
      <c r="G12" s="9">
        <v>3.6176117000000001E-2</v>
      </c>
      <c r="H12" s="164"/>
    </row>
    <row r="13" spans="1:8" x14ac:dyDescent="0.2">
      <c r="A13" s="5">
        <v>7</v>
      </c>
      <c r="B13" s="6" t="s">
        <v>328</v>
      </c>
      <c r="C13" s="6" t="s">
        <v>329</v>
      </c>
      <c r="D13" s="6" t="s">
        <v>266</v>
      </c>
      <c r="E13" s="7">
        <v>179565</v>
      </c>
      <c r="F13" s="8">
        <v>5297.5266300000003</v>
      </c>
      <c r="G13" s="9">
        <v>3.1442365999999999E-2</v>
      </c>
      <c r="H13" s="164"/>
    </row>
    <row r="14" spans="1:8" x14ac:dyDescent="0.2">
      <c r="A14" s="5">
        <v>8</v>
      </c>
      <c r="B14" s="6" t="s">
        <v>93</v>
      </c>
      <c r="C14" s="6" t="s">
        <v>94</v>
      </c>
      <c r="D14" s="6" t="s">
        <v>28</v>
      </c>
      <c r="E14" s="7">
        <v>71500</v>
      </c>
      <c r="F14" s="8">
        <v>4907.2595000000001</v>
      </c>
      <c r="G14" s="9">
        <v>2.9126016000000001E-2</v>
      </c>
      <c r="H14" s="164"/>
    </row>
    <row r="15" spans="1:8" x14ac:dyDescent="0.2">
      <c r="A15" s="5">
        <v>9</v>
      </c>
      <c r="B15" s="6" t="s">
        <v>308</v>
      </c>
      <c r="C15" s="6" t="s">
        <v>309</v>
      </c>
      <c r="D15" s="6" t="s">
        <v>182</v>
      </c>
      <c r="E15" s="7">
        <v>116303</v>
      </c>
      <c r="F15" s="8">
        <v>4692.8260499999997</v>
      </c>
      <c r="G15" s="9">
        <v>2.7853290999999999E-2</v>
      </c>
      <c r="H15" s="164"/>
    </row>
    <row r="16" spans="1:8" x14ac:dyDescent="0.2">
      <c r="A16" s="5">
        <v>10</v>
      </c>
      <c r="B16" s="6" t="s">
        <v>357</v>
      </c>
      <c r="C16" s="6" t="s">
        <v>358</v>
      </c>
      <c r="D16" s="6" t="s">
        <v>22</v>
      </c>
      <c r="E16" s="7">
        <v>659600</v>
      </c>
      <c r="F16" s="8">
        <v>4675.9044000000004</v>
      </c>
      <c r="G16" s="9">
        <v>2.7752855999999999E-2</v>
      </c>
      <c r="H16" s="164"/>
    </row>
    <row r="17" spans="1:8" x14ac:dyDescent="0.2">
      <c r="A17" s="5">
        <v>11</v>
      </c>
      <c r="B17" s="6" t="s">
        <v>15</v>
      </c>
      <c r="C17" s="6" t="s">
        <v>16</v>
      </c>
      <c r="D17" s="6" t="s">
        <v>17</v>
      </c>
      <c r="E17" s="7">
        <v>227576</v>
      </c>
      <c r="F17" s="8">
        <v>4631.8543280000004</v>
      </c>
      <c r="G17" s="9">
        <v>2.7491405999999999E-2</v>
      </c>
      <c r="H17" s="164"/>
    </row>
    <row r="18" spans="1:8" x14ac:dyDescent="0.2">
      <c r="A18" s="5">
        <v>12</v>
      </c>
      <c r="B18" s="6" t="s">
        <v>442</v>
      </c>
      <c r="C18" s="6" t="s">
        <v>443</v>
      </c>
      <c r="D18" s="6" t="s">
        <v>28</v>
      </c>
      <c r="E18" s="7">
        <v>207750</v>
      </c>
      <c r="F18" s="8">
        <v>4324.8356249999997</v>
      </c>
      <c r="G18" s="9">
        <v>2.5669160999999999E-2</v>
      </c>
      <c r="H18" s="164"/>
    </row>
    <row r="19" spans="1:8" x14ac:dyDescent="0.2">
      <c r="A19" s="5">
        <v>13</v>
      </c>
      <c r="B19" s="6" t="s">
        <v>326</v>
      </c>
      <c r="C19" s="6" t="s">
        <v>327</v>
      </c>
      <c r="D19" s="6" t="s">
        <v>200</v>
      </c>
      <c r="E19" s="7">
        <v>106366</v>
      </c>
      <c r="F19" s="8">
        <v>4180.6624469999997</v>
      </c>
      <c r="G19" s="9">
        <v>2.4813451E-2</v>
      </c>
      <c r="H19" s="164"/>
    </row>
    <row r="20" spans="1:8" ht="25.5" x14ac:dyDescent="0.2">
      <c r="A20" s="5">
        <v>14</v>
      </c>
      <c r="B20" s="6" t="s">
        <v>336</v>
      </c>
      <c r="C20" s="6" t="s">
        <v>337</v>
      </c>
      <c r="D20" s="6" t="s">
        <v>67</v>
      </c>
      <c r="E20" s="7">
        <v>539841</v>
      </c>
      <c r="F20" s="8">
        <v>4112.5087380000004</v>
      </c>
      <c r="G20" s="9">
        <v>2.4408939000000001E-2</v>
      </c>
      <c r="H20" s="164"/>
    </row>
    <row r="21" spans="1:8" x14ac:dyDescent="0.2">
      <c r="A21" s="5">
        <v>15</v>
      </c>
      <c r="B21" s="6" t="s">
        <v>395</v>
      </c>
      <c r="C21" s="6" t="s">
        <v>396</v>
      </c>
      <c r="D21" s="6" t="s">
        <v>932</v>
      </c>
      <c r="E21" s="7">
        <v>28683</v>
      </c>
      <c r="F21" s="8">
        <v>4079.3536260000001</v>
      </c>
      <c r="G21" s="9">
        <v>2.4212154E-2</v>
      </c>
      <c r="H21" s="164"/>
    </row>
    <row r="22" spans="1:8" x14ac:dyDescent="0.2">
      <c r="A22" s="5">
        <v>16</v>
      </c>
      <c r="B22" s="6" t="s">
        <v>310</v>
      </c>
      <c r="C22" s="6" t="s">
        <v>311</v>
      </c>
      <c r="D22" s="6" t="s">
        <v>22</v>
      </c>
      <c r="E22" s="7">
        <v>330173</v>
      </c>
      <c r="F22" s="8">
        <v>4027.120081</v>
      </c>
      <c r="G22" s="9">
        <v>2.3902132E-2</v>
      </c>
      <c r="H22" s="164"/>
    </row>
    <row r="23" spans="1:8" ht="25.5" x14ac:dyDescent="0.2">
      <c r="A23" s="5">
        <v>17</v>
      </c>
      <c r="B23" s="6" t="s">
        <v>33</v>
      </c>
      <c r="C23" s="6" t="s">
        <v>34</v>
      </c>
      <c r="D23" s="6" t="s">
        <v>925</v>
      </c>
      <c r="E23" s="7">
        <v>51856</v>
      </c>
      <c r="F23" s="8">
        <v>3951.0123520000002</v>
      </c>
      <c r="G23" s="9">
        <v>2.3450411000000001E-2</v>
      </c>
      <c r="H23" s="164"/>
    </row>
    <row r="24" spans="1:8" x14ac:dyDescent="0.2">
      <c r="A24" s="5">
        <v>18</v>
      </c>
      <c r="B24" s="6" t="s">
        <v>304</v>
      </c>
      <c r="C24" s="6" t="s">
        <v>305</v>
      </c>
      <c r="D24" s="6" t="s">
        <v>932</v>
      </c>
      <c r="E24" s="7">
        <v>346051</v>
      </c>
      <c r="F24" s="8">
        <v>3883.0382709999999</v>
      </c>
      <c r="G24" s="9">
        <v>2.3046964999999999E-2</v>
      </c>
      <c r="H24" s="164"/>
    </row>
    <row r="25" spans="1:8" x14ac:dyDescent="0.2">
      <c r="A25" s="5">
        <v>19</v>
      </c>
      <c r="B25" s="6" t="s">
        <v>101</v>
      </c>
      <c r="C25" s="6" t="s">
        <v>102</v>
      </c>
      <c r="D25" s="6" t="s">
        <v>76</v>
      </c>
      <c r="E25" s="7">
        <v>671108</v>
      </c>
      <c r="F25" s="8">
        <v>3743.1048700000001</v>
      </c>
      <c r="G25" s="9">
        <v>2.2216419000000001E-2</v>
      </c>
      <c r="H25" s="164"/>
    </row>
    <row r="26" spans="1:8" ht="25.5" x14ac:dyDescent="0.2">
      <c r="A26" s="5">
        <v>20</v>
      </c>
      <c r="B26" s="6" t="s">
        <v>405</v>
      </c>
      <c r="C26" s="6" t="s">
        <v>406</v>
      </c>
      <c r="D26" s="6" t="s">
        <v>161</v>
      </c>
      <c r="E26" s="7">
        <v>152311</v>
      </c>
      <c r="F26" s="8">
        <v>3718.1399765000001</v>
      </c>
      <c r="G26" s="9">
        <v>2.2068245E-2</v>
      </c>
      <c r="H26" s="164"/>
    </row>
    <row r="27" spans="1:8" ht="25.5" x14ac:dyDescent="0.2">
      <c r="A27" s="5">
        <v>21</v>
      </c>
      <c r="B27" s="6" t="s">
        <v>322</v>
      </c>
      <c r="C27" s="6" t="s">
        <v>323</v>
      </c>
      <c r="D27" s="6" t="s">
        <v>62</v>
      </c>
      <c r="E27" s="7">
        <v>748756</v>
      </c>
      <c r="F27" s="8">
        <v>3647.1904760000002</v>
      </c>
      <c r="G27" s="9">
        <v>2.1647138999999999E-2</v>
      </c>
      <c r="H27" s="164"/>
    </row>
    <row r="28" spans="1:8" x14ac:dyDescent="0.2">
      <c r="A28" s="5">
        <v>22</v>
      </c>
      <c r="B28" s="6" t="s">
        <v>371</v>
      </c>
      <c r="C28" s="6" t="s">
        <v>372</v>
      </c>
      <c r="D28" s="6" t="s">
        <v>179</v>
      </c>
      <c r="E28" s="7">
        <v>353677</v>
      </c>
      <c r="F28" s="8">
        <v>3625.0124114999999</v>
      </c>
      <c r="G28" s="9">
        <v>2.1515506E-2</v>
      </c>
      <c r="H28" s="164"/>
    </row>
    <row r="29" spans="1:8" x14ac:dyDescent="0.2">
      <c r="A29" s="5">
        <v>23</v>
      </c>
      <c r="B29" s="6" t="s">
        <v>53</v>
      </c>
      <c r="C29" s="6" t="s">
        <v>54</v>
      </c>
      <c r="D29" s="6" t="s">
        <v>17</v>
      </c>
      <c r="E29" s="7">
        <v>802261</v>
      </c>
      <c r="F29" s="8">
        <v>3574.0727550000001</v>
      </c>
      <c r="G29" s="9">
        <v>2.1213164E-2</v>
      </c>
      <c r="H29" s="164"/>
    </row>
    <row r="30" spans="1:8" x14ac:dyDescent="0.2">
      <c r="A30" s="5">
        <v>24</v>
      </c>
      <c r="B30" s="6" t="s">
        <v>391</v>
      </c>
      <c r="C30" s="6" t="s">
        <v>392</v>
      </c>
      <c r="D30" s="6" t="s">
        <v>179</v>
      </c>
      <c r="E30" s="7">
        <v>134132</v>
      </c>
      <c r="F30" s="8">
        <v>3487.0966699999999</v>
      </c>
      <c r="G30" s="9">
        <v>2.0696935999999999E-2</v>
      </c>
      <c r="H30" s="164"/>
    </row>
    <row r="31" spans="1:8" ht="25.5" x14ac:dyDescent="0.2">
      <c r="A31" s="5">
        <v>25</v>
      </c>
      <c r="B31" s="6" t="s">
        <v>393</v>
      </c>
      <c r="C31" s="6" t="s">
        <v>394</v>
      </c>
      <c r="D31" s="6" t="s">
        <v>67</v>
      </c>
      <c r="E31" s="7">
        <v>441591</v>
      </c>
      <c r="F31" s="8">
        <v>3339.5319374999999</v>
      </c>
      <c r="G31" s="9">
        <v>1.9821096E-2</v>
      </c>
      <c r="H31" s="164"/>
    </row>
    <row r="32" spans="1:8" x14ac:dyDescent="0.2">
      <c r="A32" s="5">
        <v>26</v>
      </c>
      <c r="B32" s="6" t="s">
        <v>434</v>
      </c>
      <c r="C32" s="6" t="s">
        <v>435</v>
      </c>
      <c r="D32" s="6" t="s">
        <v>195</v>
      </c>
      <c r="E32" s="7">
        <v>748945</v>
      </c>
      <c r="F32" s="8">
        <v>3289.7409124999999</v>
      </c>
      <c r="G32" s="9">
        <v>1.9525572000000001E-2</v>
      </c>
      <c r="H32" s="164"/>
    </row>
    <row r="33" spans="1:8" x14ac:dyDescent="0.2">
      <c r="A33" s="5">
        <v>27</v>
      </c>
      <c r="B33" s="6" t="s">
        <v>86</v>
      </c>
      <c r="C33" s="6" t="s">
        <v>87</v>
      </c>
      <c r="D33" s="6" t="s">
        <v>88</v>
      </c>
      <c r="E33" s="7">
        <v>2408106</v>
      </c>
      <c r="F33" s="8">
        <v>3197.9647679999998</v>
      </c>
      <c r="G33" s="9">
        <v>1.8980853999999998E-2</v>
      </c>
      <c r="H33" s="164"/>
    </row>
    <row r="34" spans="1:8" x14ac:dyDescent="0.2">
      <c r="A34" s="5">
        <v>28</v>
      </c>
      <c r="B34" s="6" t="s">
        <v>425</v>
      </c>
      <c r="C34" s="6" t="s">
        <v>426</v>
      </c>
      <c r="D34" s="6" t="s">
        <v>427</v>
      </c>
      <c r="E34" s="7">
        <v>715000</v>
      </c>
      <c r="F34" s="8">
        <v>3180.32</v>
      </c>
      <c r="G34" s="9">
        <v>1.8876126999999999E-2</v>
      </c>
      <c r="H34" s="164"/>
    </row>
    <row r="35" spans="1:8" x14ac:dyDescent="0.2">
      <c r="A35" s="5">
        <v>29</v>
      </c>
      <c r="B35" s="6" t="s">
        <v>359</v>
      </c>
      <c r="C35" s="6" t="s">
        <v>360</v>
      </c>
      <c r="D35" s="6" t="s">
        <v>161</v>
      </c>
      <c r="E35" s="7">
        <v>199718</v>
      </c>
      <c r="F35" s="8">
        <v>2776.2799180000002</v>
      </c>
      <c r="G35" s="9">
        <v>1.6478031000000001E-2</v>
      </c>
      <c r="H35" s="164"/>
    </row>
    <row r="36" spans="1:8" ht="25.5" x14ac:dyDescent="0.2">
      <c r="A36" s="5">
        <v>30</v>
      </c>
      <c r="B36" s="6" t="s">
        <v>381</v>
      </c>
      <c r="C36" s="6" t="s">
        <v>382</v>
      </c>
      <c r="D36" s="6" t="s">
        <v>50</v>
      </c>
      <c r="E36" s="7">
        <v>111832</v>
      </c>
      <c r="F36" s="8">
        <v>2607.139416</v>
      </c>
      <c r="G36" s="9">
        <v>1.5474132999999999E-2</v>
      </c>
      <c r="H36" s="164"/>
    </row>
    <row r="37" spans="1:8" x14ac:dyDescent="0.2">
      <c r="A37" s="5">
        <v>31</v>
      </c>
      <c r="B37" s="6" t="s">
        <v>423</v>
      </c>
      <c r="C37" s="6" t="s">
        <v>424</v>
      </c>
      <c r="D37" s="6" t="s">
        <v>200</v>
      </c>
      <c r="E37" s="7">
        <v>51253</v>
      </c>
      <c r="F37" s="8">
        <v>2514.5234329999998</v>
      </c>
      <c r="G37" s="9">
        <v>1.4924430000000001E-2</v>
      </c>
      <c r="H37" s="164"/>
    </row>
    <row r="38" spans="1:8" x14ac:dyDescent="0.2">
      <c r="A38" s="5">
        <v>32</v>
      </c>
      <c r="B38" s="6" t="s">
        <v>23</v>
      </c>
      <c r="C38" s="6" t="s">
        <v>24</v>
      </c>
      <c r="D38" s="6" t="s">
        <v>25</v>
      </c>
      <c r="E38" s="7">
        <v>445934</v>
      </c>
      <c r="F38" s="8">
        <v>2504.588311</v>
      </c>
      <c r="G38" s="9">
        <v>1.4865461999999999E-2</v>
      </c>
      <c r="H38" s="164"/>
    </row>
    <row r="39" spans="1:8" x14ac:dyDescent="0.2">
      <c r="A39" s="5">
        <v>33</v>
      </c>
      <c r="B39" s="6" t="s">
        <v>72</v>
      </c>
      <c r="C39" s="6" t="s">
        <v>73</v>
      </c>
      <c r="D39" s="6" t="s">
        <v>28</v>
      </c>
      <c r="E39" s="7">
        <v>286278</v>
      </c>
      <c r="F39" s="8">
        <v>2440.2336719999998</v>
      </c>
      <c r="G39" s="9">
        <v>1.4483499E-2</v>
      </c>
      <c r="H39" s="164"/>
    </row>
    <row r="40" spans="1:8" x14ac:dyDescent="0.2">
      <c r="A40" s="5">
        <v>34</v>
      </c>
      <c r="B40" s="6" t="s">
        <v>444</v>
      </c>
      <c r="C40" s="6" t="s">
        <v>445</v>
      </c>
      <c r="D40" s="6" t="s">
        <v>161</v>
      </c>
      <c r="E40" s="7">
        <v>351207</v>
      </c>
      <c r="F40" s="8">
        <v>2324.6391330000001</v>
      </c>
      <c r="G40" s="9">
        <v>1.3797411000000001E-2</v>
      </c>
      <c r="H40" s="164"/>
    </row>
    <row r="41" spans="1:8" x14ac:dyDescent="0.2">
      <c r="A41" s="5">
        <v>35</v>
      </c>
      <c r="B41" s="6" t="s">
        <v>446</v>
      </c>
      <c r="C41" s="6" t="s">
        <v>447</v>
      </c>
      <c r="D41" s="6" t="s">
        <v>200</v>
      </c>
      <c r="E41" s="7">
        <v>242316</v>
      </c>
      <c r="F41" s="8">
        <v>2229.4283580000001</v>
      </c>
      <c r="G41" s="9">
        <v>1.3232308E-2</v>
      </c>
      <c r="H41" s="164"/>
    </row>
    <row r="42" spans="1:8" x14ac:dyDescent="0.2">
      <c r="A42" s="5">
        <v>36</v>
      </c>
      <c r="B42" s="6" t="s">
        <v>312</v>
      </c>
      <c r="C42" s="6" t="s">
        <v>313</v>
      </c>
      <c r="D42" s="6" t="s">
        <v>930</v>
      </c>
      <c r="E42" s="7">
        <v>53969</v>
      </c>
      <c r="F42" s="8">
        <v>2037.4107035</v>
      </c>
      <c r="G42" s="9">
        <v>1.2092627E-2</v>
      </c>
      <c r="H42" s="164"/>
    </row>
    <row r="43" spans="1:8" x14ac:dyDescent="0.2">
      <c r="A43" s="5">
        <v>37</v>
      </c>
      <c r="B43" s="6" t="s">
        <v>316</v>
      </c>
      <c r="C43" s="6" t="s">
        <v>317</v>
      </c>
      <c r="D43" s="6" t="s">
        <v>200</v>
      </c>
      <c r="E43" s="7">
        <v>197997</v>
      </c>
      <c r="F43" s="8">
        <v>2027.5882784999999</v>
      </c>
      <c r="G43" s="9">
        <v>1.2034328E-2</v>
      </c>
      <c r="H43" s="164"/>
    </row>
    <row r="44" spans="1:8" ht="25.5" x14ac:dyDescent="0.2">
      <c r="A44" s="5">
        <v>38</v>
      </c>
      <c r="B44" s="6" t="s">
        <v>65</v>
      </c>
      <c r="C44" s="6" t="s">
        <v>66</v>
      </c>
      <c r="D44" s="6" t="s">
        <v>67</v>
      </c>
      <c r="E44" s="7">
        <v>300000</v>
      </c>
      <c r="F44" s="8">
        <v>1877.85</v>
      </c>
      <c r="G44" s="9">
        <v>1.1145587E-2</v>
      </c>
      <c r="H44" s="164"/>
    </row>
    <row r="45" spans="1:8" ht="25.5" x14ac:dyDescent="0.2">
      <c r="A45" s="5">
        <v>39</v>
      </c>
      <c r="B45" s="6" t="s">
        <v>99</v>
      </c>
      <c r="C45" s="6" t="s">
        <v>100</v>
      </c>
      <c r="D45" s="6" t="s">
        <v>925</v>
      </c>
      <c r="E45" s="7">
        <v>86758</v>
      </c>
      <c r="F45" s="8">
        <v>1855.8403780000001</v>
      </c>
      <c r="G45" s="9">
        <v>1.1014954E-2</v>
      </c>
      <c r="H45" s="164"/>
    </row>
    <row r="46" spans="1:8" x14ac:dyDescent="0.2">
      <c r="A46" s="5">
        <v>40</v>
      </c>
      <c r="B46" s="6" t="s">
        <v>344</v>
      </c>
      <c r="C46" s="6" t="s">
        <v>345</v>
      </c>
      <c r="D46" s="6" t="s">
        <v>346</v>
      </c>
      <c r="E46" s="7">
        <v>175633</v>
      </c>
      <c r="F46" s="8">
        <v>1620.9169569999999</v>
      </c>
      <c r="G46" s="9">
        <v>9.6206150000000008E-3</v>
      </c>
      <c r="H46" s="164"/>
    </row>
    <row r="47" spans="1:8" x14ac:dyDescent="0.2">
      <c r="A47" s="5">
        <v>41</v>
      </c>
      <c r="B47" s="6" t="s">
        <v>373</v>
      </c>
      <c r="C47" s="6" t="s">
        <v>374</v>
      </c>
      <c r="D47" s="6" t="s">
        <v>62</v>
      </c>
      <c r="E47" s="7">
        <v>70780</v>
      </c>
      <c r="F47" s="8">
        <v>1559.24801</v>
      </c>
      <c r="G47" s="9">
        <v>9.2545920000000007E-3</v>
      </c>
      <c r="H47" s="164"/>
    </row>
    <row r="48" spans="1:8" x14ac:dyDescent="0.2">
      <c r="A48" s="5">
        <v>42</v>
      </c>
      <c r="B48" s="6" t="s">
        <v>318</v>
      </c>
      <c r="C48" s="6" t="s">
        <v>319</v>
      </c>
      <c r="D48" s="6" t="s">
        <v>62</v>
      </c>
      <c r="E48" s="7">
        <v>145523</v>
      </c>
      <c r="F48" s="8">
        <v>1541.3796159999999</v>
      </c>
      <c r="G48" s="9">
        <v>9.1485379999999995E-3</v>
      </c>
      <c r="H48" s="164"/>
    </row>
    <row r="49" spans="1:8" x14ac:dyDescent="0.2">
      <c r="A49" s="5">
        <v>43</v>
      </c>
      <c r="B49" s="6" t="s">
        <v>377</v>
      </c>
      <c r="C49" s="6" t="s">
        <v>378</v>
      </c>
      <c r="D49" s="6" t="s">
        <v>346</v>
      </c>
      <c r="E49" s="7">
        <v>627759</v>
      </c>
      <c r="F49" s="8">
        <v>838.05826500000001</v>
      </c>
      <c r="G49" s="9">
        <v>4.9741200000000003E-3</v>
      </c>
      <c r="H49" s="164"/>
    </row>
    <row r="50" spans="1:8" x14ac:dyDescent="0.2">
      <c r="A50" s="5">
        <v>44</v>
      </c>
      <c r="B50" s="6" t="s">
        <v>448</v>
      </c>
      <c r="C50" s="6" t="s">
        <v>449</v>
      </c>
      <c r="D50" s="6" t="s">
        <v>195</v>
      </c>
      <c r="E50" s="7">
        <v>350118</v>
      </c>
      <c r="F50" s="8">
        <v>820.50153299999999</v>
      </c>
      <c r="G50" s="9">
        <v>4.8699160000000002E-3</v>
      </c>
      <c r="H50" s="164"/>
    </row>
    <row r="51" spans="1:8" ht="25.5" x14ac:dyDescent="0.2">
      <c r="A51" s="5">
        <v>45</v>
      </c>
      <c r="B51" s="6" t="s">
        <v>438</v>
      </c>
      <c r="C51" s="6" t="s">
        <v>439</v>
      </c>
      <c r="D51" s="6" t="s">
        <v>932</v>
      </c>
      <c r="E51" s="7">
        <v>55259</v>
      </c>
      <c r="F51" s="8">
        <v>815.48469250000005</v>
      </c>
      <c r="G51" s="9">
        <v>4.8401399999999997E-3</v>
      </c>
      <c r="H51" s="164"/>
    </row>
    <row r="52" spans="1:8" x14ac:dyDescent="0.2">
      <c r="A52" s="5">
        <v>46</v>
      </c>
      <c r="B52" s="6" t="s">
        <v>430</v>
      </c>
      <c r="C52" s="6" t="s">
        <v>431</v>
      </c>
      <c r="D52" s="6" t="s">
        <v>161</v>
      </c>
      <c r="E52" s="7">
        <v>50988</v>
      </c>
      <c r="F52" s="8">
        <v>719.59364400000004</v>
      </c>
      <c r="G52" s="9">
        <v>4.2709979999999998E-3</v>
      </c>
      <c r="H52" s="164"/>
    </row>
    <row r="53" spans="1:8" x14ac:dyDescent="0.2">
      <c r="A53" s="5">
        <v>47</v>
      </c>
      <c r="B53" s="6" t="s">
        <v>232</v>
      </c>
      <c r="C53" s="6" t="s">
        <v>233</v>
      </c>
      <c r="D53" s="6" t="s">
        <v>37</v>
      </c>
      <c r="E53" s="7">
        <v>74438</v>
      </c>
      <c r="F53" s="8">
        <v>642.88378699999998</v>
      </c>
      <c r="G53" s="9">
        <v>3.8157030000000002E-3</v>
      </c>
      <c r="H53" s="164"/>
    </row>
    <row r="54" spans="1:8" x14ac:dyDescent="0.2">
      <c r="A54" s="3" t="s">
        <v>9</v>
      </c>
      <c r="B54" s="3" t="s">
        <v>9</v>
      </c>
      <c r="C54" s="4" t="s">
        <v>110</v>
      </c>
      <c r="D54" s="3" t="s">
        <v>9</v>
      </c>
      <c r="E54" s="3" t="s">
        <v>9</v>
      </c>
      <c r="F54" s="11">
        <v>163728.8800755</v>
      </c>
      <c r="G54" s="12">
        <v>0.97177866000000002</v>
      </c>
      <c r="H54" s="164"/>
    </row>
    <row r="55" spans="1:8" x14ac:dyDescent="0.2">
      <c r="A55" s="3" t="s">
        <v>9</v>
      </c>
      <c r="B55" s="3" t="s">
        <v>9</v>
      </c>
      <c r="C55" s="13" t="s">
        <v>9</v>
      </c>
      <c r="D55" s="3" t="s">
        <v>9</v>
      </c>
      <c r="E55" s="3" t="s">
        <v>9</v>
      </c>
      <c r="F55" s="14" t="s">
        <v>9</v>
      </c>
      <c r="G55" s="14" t="s">
        <v>9</v>
      </c>
      <c r="H55" s="164"/>
    </row>
    <row r="56" spans="1:8" x14ac:dyDescent="0.2">
      <c r="A56" s="3" t="s">
        <v>9</v>
      </c>
      <c r="B56" s="3" t="s">
        <v>9</v>
      </c>
      <c r="C56" s="4" t="s">
        <v>111</v>
      </c>
      <c r="D56" s="3" t="s">
        <v>9</v>
      </c>
      <c r="E56" s="3" t="s">
        <v>9</v>
      </c>
      <c r="F56" s="3" t="s">
        <v>9</v>
      </c>
      <c r="G56" s="3" t="s">
        <v>9</v>
      </c>
      <c r="H56" s="164"/>
    </row>
    <row r="57" spans="1:8" x14ac:dyDescent="0.2">
      <c r="A57" s="3" t="s">
        <v>9</v>
      </c>
      <c r="B57" s="3" t="s">
        <v>9</v>
      </c>
      <c r="C57" s="4" t="s">
        <v>110</v>
      </c>
      <c r="D57" s="3" t="s">
        <v>9</v>
      </c>
      <c r="E57" s="3" t="s">
        <v>9</v>
      </c>
      <c r="F57" s="15">
        <v>0</v>
      </c>
      <c r="G57" s="16">
        <v>0</v>
      </c>
      <c r="H57" s="164"/>
    </row>
    <row r="58" spans="1:8" x14ac:dyDescent="0.2">
      <c r="A58" s="3" t="s">
        <v>9</v>
      </c>
      <c r="B58" s="3" t="s">
        <v>9</v>
      </c>
      <c r="C58" s="13" t="s">
        <v>9</v>
      </c>
      <c r="D58" s="3" t="s">
        <v>9</v>
      </c>
      <c r="E58" s="3" t="s">
        <v>9</v>
      </c>
      <c r="F58" s="14" t="s">
        <v>9</v>
      </c>
      <c r="G58" s="14" t="s">
        <v>9</v>
      </c>
      <c r="H58" s="164"/>
    </row>
    <row r="59" spans="1:8" x14ac:dyDescent="0.2">
      <c r="A59" s="3" t="s">
        <v>9</v>
      </c>
      <c r="B59" s="3" t="s">
        <v>9</v>
      </c>
      <c r="C59" s="4" t="s">
        <v>112</v>
      </c>
      <c r="D59" s="3" t="s">
        <v>9</v>
      </c>
      <c r="E59" s="3" t="s">
        <v>9</v>
      </c>
      <c r="F59" s="3" t="s">
        <v>9</v>
      </c>
      <c r="G59" s="3" t="s">
        <v>9</v>
      </c>
      <c r="H59" s="164"/>
    </row>
    <row r="60" spans="1:8" x14ac:dyDescent="0.2">
      <c r="A60" s="3" t="s">
        <v>9</v>
      </c>
      <c r="B60" s="3" t="s">
        <v>9</v>
      </c>
      <c r="C60" s="4" t="s">
        <v>110</v>
      </c>
      <c r="D60" s="3" t="s">
        <v>9</v>
      </c>
      <c r="E60" s="3" t="s">
        <v>9</v>
      </c>
      <c r="F60" s="15">
        <v>0</v>
      </c>
      <c r="G60" s="16">
        <v>0</v>
      </c>
      <c r="H60" s="164"/>
    </row>
    <row r="61" spans="1:8" x14ac:dyDescent="0.2">
      <c r="A61" s="3" t="s">
        <v>9</v>
      </c>
      <c r="B61" s="3" t="s">
        <v>9</v>
      </c>
      <c r="C61" s="13" t="s">
        <v>9</v>
      </c>
      <c r="D61" s="3" t="s">
        <v>9</v>
      </c>
      <c r="E61" s="3" t="s">
        <v>9</v>
      </c>
      <c r="F61" s="14" t="s">
        <v>9</v>
      </c>
      <c r="G61" s="14" t="s">
        <v>9</v>
      </c>
      <c r="H61" s="164"/>
    </row>
    <row r="62" spans="1:8" x14ac:dyDescent="0.2">
      <c r="A62" s="3" t="s">
        <v>9</v>
      </c>
      <c r="B62" s="3" t="s">
        <v>9</v>
      </c>
      <c r="C62" s="4" t="s">
        <v>113</v>
      </c>
      <c r="D62" s="3" t="s">
        <v>9</v>
      </c>
      <c r="E62" s="3" t="s">
        <v>9</v>
      </c>
      <c r="F62" s="3" t="s">
        <v>9</v>
      </c>
      <c r="G62" s="3" t="s">
        <v>9</v>
      </c>
      <c r="H62" s="164"/>
    </row>
    <row r="63" spans="1:8" x14ac:dyDescent="0.2">
      <c r="A63" s="3" t="s">
        <v>9</v>
      </c>
      <c r="B63" s="3" t="s">
        <v>9</v>
      </c>
      <c r="C63" s="4" t="s">
        <v>110</v>
      </c>
      <c r="D63" s="3" t="s">
        <v>9</v>
      </c>
      <c r="E63" s="3" t="s">
        <v>9</v>
      </c>
      <c r="F63" s="15">
        <v>0</v>
      </c>
      <c r="G63" s="16">
        <v>0</v>
      </c>
      <c r="H63" s="164"/>
    </row>
    <row r="64" spans="1:8" x14ac:dyDescent="0.2">
      <c r="A64" s="3" t="s">
        <v>9</v>
      </c>
      <c r="B64" s="3" t="s">
        <v>9</v>
      </c>
      <c r="C64" s="13" t="s">
        <v>9</v>
      </c>
      <c r="D64" s="3" t="s">
        <v>9</v>
      </c>
      <c r="E64" s="3" t="s">
        <v>9</v>
      </c>
      <c r="F64" s="14" t="s">
        <v>9</v>
      </c>
      <c r="G64" s="14" t="s">
        <v>9</v>
      </c>
      <c r="H64" s="164"/>
    </row>
    <row r="65" spans="1:8" x14ac:dyDescent="0.2">
      <c r="A65" s="3" t="s">
        <v>9</v>
      </c>
      <c r="B65" s="3" t="s">
        <v>9</v>
      </c>
      <c r="C65" s="4" t="s">
        <v>114</v>
      </c>
      <c r="D65" s="3" t="s">
        <v>9</v>
      </c>
      <c r="E65" s="3" t="s">
        <v>9</v>
      </c>
      <c r="F65" s="14" t="s">
        <v>9</v>
      </c>
      <c r="G65" s="14" t="s">
        <v>9</v>
      </c>
      <c r="H65" s="164"/>
    </row>
    <row r="66" spans="1:8" x14ac:dyDescent="0.2">
      <c r="A66" s="3" t="s">
        <v>9</v>
      </c>
      <c r="B66" s="3" t="s">
        <v>9</v>
      </c>
      <c r="C66" s="4" t="s">
        <v>110</v>
      </c>
      <c r="D66" s="3" t="s">
        <v>9</v>
      </c>
      <c r="E66" s="3" t="s">
        <v>9</v>
      </c>
      <c r="F66" s="15">
        <v>0</v>
      </c>
      <c r="G66" s="16">
        <v>0</v>
      </c>
      <c r="H66" s="164"/>
    </row>
    <row r="67" spans="1:8" x14ac:dyDescent="0.2">
      <c r="A67" s="3" t="s">
        <v>9</v>
      </c>
      <c r="B67" s="3" t="s">
        <v>9</v>
      </c>
      <c r="C67" s="13" t="s">
        <v>9</v>
      </c>
      <c r="D67" s="3" t="s">
        <v>9</v>
      </c>
      <c r="E67" s="3" t="s">
        <v>9</v>
      </c>
      <c r="F67" s="14" t="s">
        <v>9</v>
      </c>
      <c r="G67" s="14" t="s">
        <v>9</v>
      </c>
      <c r="H67" s="164"/>
    </row>
    <row r="68" spans="1:8" x14ac:dyDescent="0.2">
      <c r="A68" s="3" t="s">
        <v>9</v>
      </c>
      <c r="B68" s="3" t="s">
        <v>9</v>
      </c>
      <c r="C68" s="4" t="s">
        <v>115</v>
      </c>
      <c r="D68" s="3" t="s">
        <v>9</v>
      </c>
      <c r="E68" s="3" t="s">
        <v>9</v>
      </c>
      <c r="F68" s="14" t="s">
        <v>9</v>
      </c>
      <c r="G68" s="14" t="s">
        <v>9</v>
      </c>
      <c r="H68" s="164"/>
    </row>
    <row r="69" spans="1:8" x14ac:dyDescent="0.2">
      <c r="A69" s="3" t="s">
        <v>9</v>
      </c>
      <c r="B69" s="3" t="s">
        <v>9</v>
      </c>
      <c r="C69" s="4" t="s">
        <v>110</v>
      </c>
      <c r="D69" s="3" t="s">
        <v>9</v>
      </c>
      <c r="E69" s="3" t="s">
        <v>9</v>
      </c>
      <c r="F69" s="15">
        <v>0</v>
      </c>
      <c r="G69" s="16">
        <v>0</v>
      </c>
      <c r="H69" s="164"/>
    </row>
    <row r="70" spans="1:8" x14ac:dyDescent="0.2">
      <c r="A70" s="3" t="s">
        <v>9</v>
      </c>
      <c r="B70" s="3" t="s">
        <v>9</v>
      </c>
      <c r="C70" s="13" t="s">
        <v>9</v>
      </c>
      <c r="D70" s="3" t="s">
        <v>9</v>
      </c>
      <c r="E70" s="3" t="s">
        <v>9</v>
      </c>
      <c r="F70" s="14" t="s">
        <v>9</v>
      </c>
      <c r="G70" s="14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116</v>
      </c>
      <c r="D71" s="3" t="s">
        <v>9</v>
      </c>
      <c r="E71" s="3" t="s">
        <v>9</v>
      </c>
      <c r="F71" s="11">
        <v>163728.8800755</v>
      </c>
      <c r="G71" s="12">
        <v>0.97177866000000002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117</v>
      </c>
      <c r="D73" s="3" t="s">
        <v>9</v>
      </c>
      <c r="E73" s="3" t="s">
        <v>9</v>
      </c>
      <c r="F73" s="14" t="s">
        <v>9</v>
      </c>
      <c r="G73" s="14" t="s">
        <v>9</v>
      </c>
      <c r="H73" s="164"/>
    </row>
    <row r="74" spans="1:8" ht="25.5" x14ac:dyDescent="0.2">
      <c r="A74" s="3" t="s">
        <v>9</v>
      </c>
      <c r="B74" s="3" t="s">
        <v>9</v>
      </c>
      <c r="C74" s="4" t="s">
        <v>11</v>
      </c>
      <c r="D74" s="3" t="s">
        <v>9</v>
      </c>
      <c r="E74" s="3" t="s">
        <v>9</v>
      </c>
      <c r="F74" s="14" t="s">
        <v>9</v>
      </c>
      <c r="G74" s="14" t="s">
        <v>9</v>
      </c>
      <c r="H74" s="164"/>
    </row>
    <row r="75" spans="1:8" x14ac:dyDescent="0.2">
      <c r="A75" s="3" t="s">
        <v>9</v>
      </c>
      <c r="B75" s="3" t="s">
        <v>9</v>
      </c>
      <c r="C75" s="4" t="s">
        <v>110</v>
      </c>
      <c r="D75" s="3" t="s">
        <v>9</v>
      </c>
      <c r="E75" s="3" t="s">
        <v>9</v>
      </c>
      <c r="F75" s="15">
        <v>0</v>
      </c>
      <c r="G75" s="16">
        <v>0</v>
      </c>
      <c r="H75" s="164"/>
    </row>
    <row r="76" spans="1:8" x14ac:dyDescent="0.2">
      <c r="A76" s="3" t="s">
        <v>9</v>
      </c>
      <c r="B76" s="3" t="s">
        <v>9</v>
      </c>
      <c r="C76" s="13" t="s">
        <v>9</v>
      </c>
      <c r="D76" s="3" t="s">
        <v>9</v>
      </c>
      <c r="E76" s="3" t="s">
        <v>9</v>
      </c>
      <c r="F76" s="14" t="s">
        <v>9</v>
      </c>
      <c r="G76" s="14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118</v>
      </c>
      <c r="D77" s="3" t="s">
        <v>9</v>
      </c>
      <c r="E77" s="3" t="s">
        <v>9</v>
      </c>
      <c r="F77" s="3" t="s">
        <v>9</v>
      </c>
      <c r="G77" s="3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110</v>
      </c>
      <c r="D78" s="3" t="s">
        <v>9</v>
      </c>
      <c r="E78" s="3" t="s">
        <v>9</v>
      </c>
      <c r="F78" s="15">
        <v>0</v>
      </c>
      <c r="G78" s="16">
        <v>0</v>
      </c>
      <c r="H78" s="164"/>
    </row>
    <row r="79" spans="1:8" x14ac:dyDescent="0.2">
      <c r="A79" s="3" t="s">
        <v>9</v>
      </c>
      <c r="B79" s="3" t="s">
        <v>9</v>
      </c>
      <c r="C79" s="13" t="s">
        <v>9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119</v>
      </c>
      <c r="D80" s="3" t="s">
        <v>9</v>
      </c>
      <c r="E80" s="3" t="s">
        <v>9</v>
      </c>
      <c r="F80" s="3" t="s">
        <v>9</v>
      </c>
      <c r="G80" s="3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110</v>
      </c>
      <c r="D81" s="3" t="s">
        <v>9</v>
      </c>
      <c r="E81" s="3" t="s">
        <v>9</v>
      </c>
      <c r="F81" s="15">
        <v>0</v>
      </c>
      <c r="G81" s="16">
        <v>0</v>
      </c>
      <c r="H81" s="164"/>
    </row>
    <row r="82" spans="1:8" x14ac:dyDescent="0.2">
      <c r="A82" s="3" t="s">
        <v>9</v>
      </c>
      <c r="B82" s="3" t="s">
        <v>9</v>
      </c>
      <c r="C82" s="13" t="s">
        <v>9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120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110</v>
      </c>
      <c r="D84" s="3" t="s">
        <v>9</v>
      </c>
      <c r="E84" s="3" t="s">
        <v>9</v>
      </c>
      <c r="F84" s="15">
        <v>0</v>
      </c>
      <c r="G84" s="16">
        <v>0</v>
      </c>
      <c r="H84" s="164"/>
    </row>
    <row r="85" spans="1:8" x14ac:dyDescent="0.2">
      <c r="A85" s="3" t="s">
        <v>9</v>
      </c>
      <c r="B85" s="3" t="s">
        <v>9</v>
      </c>
      <c r="C85" s="13" t="s">
        <v>9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121</v>
      </c>
      <c r="D86" s="3" t="s">
        <v>9</v>
      </c>
      <c r="E86" s="3" t="s">
        <v>9</v>
      </c>
      <c r="F86" s="11">
        <v>0</v>
      </c>
      <c r="G86" s="12">
        <v>0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122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123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110</v>
      </c>
      <c r="D90" s="3" t="s">
        <v>9</v>
      </c>
      <c r="E90" s="3" t="s">
        <v>9</v>
      </c>
      <c r="F90" s="15">
        <v>0</v>
      </c>
      <c r="G90" s="16">
        <v>0</v>
      </c>
      <c r="H90" s="164"/>
    </row>
    <row r="91" spans="1:8" x14ac:dyDescent="0.2">
      <c r="A91" s="3" t="s">
        <v>9</v>
      </c>
      <c r="B91" s="3" t="s">
        <v>9</v>
      </c>
      <c r="C91" s="13" t="s">
        <v>9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124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110</v>
      </c>
      <c r="D93" s="3" t="s">
        <v>9</v>
      </c>
      <c r="E93" s="3" t="s">
        <v>9</v>
      </c>
      <c r="F93" s="15">
        <v>0</v>
      </c>
      <c r="G93" s="16">
        <v>0</v>
      </c>
      <c r="H93" s="164"/>
    </row>
    <row r="94" spans="1:8" x14ac:dyDescent="0.2">
      <c r="A94" s="3" t="s">
        <v>9</v>
      </c>
      <c r="B94" s="3" t="s">
        <v>9</v>
      </c>
      <c r="C94" s="13" t="s">
        <v>9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125</v>
      </c>
      <c r="D95" s="3" t="s">
        <v>9</v>
      </c>
      <c r="E95" s="3" t="s">
        <v>9</v>
      </c>
      <c r="F95" s="14" t="s">
        <v>9</v>
      </c>
      <c r="G95" s="14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110</v>
      </c>
      <c r="D96" s="3" t="s">
        <v>9</v>
      </c>
      <c r="E96" s="3" t="s">
        <v>9</v>
      </c>
      <c r="F96" s="15">
        <v>0</v>
      </c>
      <c r="G96" s="16">
        <v>0</v>
      </c>
      <c r="H96" s="164"/>
    </row>
    <row r="97" spans="1:8" x14ac:dyDescent="0.2">
      <c r="A97" s="3" t="s">
        <v>9</v>
      </c>
      <c r="B97" s="3" t="s">
        <v>9</v>
      </c>
      <c r="C97" s="13" t="s">
        <v>9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126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x14ac:dyDescent="0.2">
      <c r="A99" s="5">
        <v>1</v>
      </c>
      <c r="B99" s="6"/>
      <c r="C99" s="6" t="s">
        <v>127</v>
      </c>
      <c r="D99" s="6"/>
      <c r="E99" s="10" t="s">
        <v>9</v>
      </c>
      <c r="F99" s="8">
        <v>4539.2456671</v>
      </c>
      <c r="G99" s="9">
        <v>2.6941746999999999E-2</v>
      </c>
      <c r="H99" s="90">
        <v>3.22</v>
      </c>
    </row>
    <row r="100" spans="1:8" x14ac:dyDescent="0.2">
      <c r="A100" s="5">
        <v>2</v>
      </c>
      <c r="B100" s="6"/>
      <c r="C100" s="6" t="s">
        <v>128</v>
      </c>
      <c r="D100" s="6"/>
      <c r="E100" s="10" t="s">
        <v>9</v>
      </c>
      <c r="F100" s="8">
        <v>1282.7688579999999</v>
      </c>
      <c r="G100" s="9">
        <v>7.6136069999999997E-3</v>
      </c>
      <c r="H100" s="90">
        <v>3.34</v>
      </c>
    </row>
    <row r="101" spans="1:8" x14ac:dyDescent="0.2">
      <c r="A101" s="3" t="s">
        <v>9</v>
      </c>
      <c r="B101" s="3" t="s">
        <v>9</v>
      </c>
      <c r="C101" s="4" t="s">
        <v>110</v>
      </c>
      <c r="D101" s="3" t="s">
        <v>9</v>
      </c>
      <c r="E101" s="3" t="s">
        <v>9</v>
      </c>
      <c r="F101" s="11">
        <v>5822.0145251000004</v>
      </c>
      <c r="G101" s="12">
        <v>3.4555354000000003E-2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129</v>
      </c>
      <c r="D103" s="3" t="s">
        <v>9</v>
      </c>
      <c r="E103" s="3" t="s">
        <v>9</v>
      </c>
      <c r="F103" s="11">
        <v>5822.0145251000004</v>
      </c>
      <c r="G103" s="12">
        <v>3.4555354000000003E-2</v>
      </c>
      <c r="H103" s="164"/>
    </row>
    <row r="104" spans="1:8" x14ac:dyDescent="0.2">
      <c r="A104" s="3" t="s">
        <v>9</v>
      </c>
      <c r="B104" s="3" t="s">
        <v>9</v>
      </c>
      <c r="C104" s="14" t="s">
        <v>9</v>
      </c>
      <c r="D104" s="3" t="s">
        <v>9</v>
      </c>
      <c r="E104" s="3" t="s">
        <v>9</v>
      </c>
      <c r="F104" s="3" t="s">
        <v>9</v>
      </c>
      <c r="G104" s="3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130</v>
      </c>
      <c r="D105" s="3" t="s">
        <v>9</v>
      </c>
      <c r="E105" s="3" t="s">
        <v>9</v>
      </c>
      <c r="F105" s="3" t="s">
        <v>9</v>
      </c>
      <c r="G105" s="3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131</v>
      </c>
      <c r="D106" s="3" t="s">
        <v>9</v>
      </c>
      <c r="E106" s="3" t="s">
        <v>9</v>
      </c>
      <c r="F106" s="3" t="s">
        <v>9</v>
      </c>
      <c r="G106" s="3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110</v>
      </c>
      <c r="D107" s="3" t="s">
        <v>9</v>
      </c>
      <c r="E107" s="3" t="s">
        <v>9</v>
      </c>
      <c r="F107" s="15">
        <v>0</v>
      </c>
      <c r="G107" s="16">
        <v>0</v>
      </c>
      <c r="H107" s="164"/>
    </row>
    <row r="108" spans="1:8" x14ac:dyDescent="0.2">
      <c r="A108" s="3" t="s">
        <v>9</v>
      </c>
      <c r="B108" s="3" t="s">
        <v>9</v>
      </c>
      <c r="C108" s="13" t="s">
        <v>9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132</v>
      </c>
      <c r="D109" s="3" t="s">
        <v>9</v>
      </c>
      <c r="E109" s="3" t="s">
        <v>9</v>
      </c>
      <c r="F109" s="3" t="s">
        <v>9</v>
      </c>
      <c r="G109" s="3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133</v>
      </c>
      <c r="D110" s="3" t="s">
        <v>9</v>
      </c>
      <c r="E110" s="3" t="s">
        <v>9</v>
      </c>
      <c r="F110" s="3" t="s">
        <v>9</v>
      </c>
      <c r="G110" s="3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110</v>
      </c>
      <c r="D111" s="3" t="s">
        <v>9</v>
      </c>
      <c r="E111" s="3" t="s">
        <v>9</v>
      </c>
      <c r="F111" s="15">
        <v>0</v>
      </c>
      <c r="G111" s="16">
        <v>0</v>
      </c>
      <c r="H111" s="164"/>
    </row>
    <row r="112" spans="1:8" x14ac:dyDescent="0.2">
      <c r="A112" s="3" t="s">
        <v>9</v>
      </c>
      <c r="B112" s="3" t="s">
        <v>9</v>
      </c>
      <c r="C112" s="13" t="s">
        <v>9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13" t="s">
        <v>9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ht="25.5" x14ac:dyDescent="0.2">
      <c r="A114" s="3" t="s">
        <v>9</v>
      </c>
      <c r="B114" s="3" t="s">
        <v>9</v>
      </c>
      <c r="C114" s="4" t="s">
        <v>134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110</v>
      </c>
      <c r="D115" s="3" t="s">
        <v>9</v>
      </c>
      <c r="E115" s="3" t="s">
        <v>9</v>
      </c>
      <c r="F115" s="15">
        <v>0</v>
      </c>
      <c r="G115" s="16">
        <v>0</v>
      </c>
      <c r="H115" s="164"/>
    </row>
    <row r="116" spans="1:8" x14ac:dyDescent="0.2">
      <c r="A116" s="3" t="s">
        <v>9</v>
      </c>
      <c r="B116" s="3" t="s">
        <v>9</v>
      </c>
      <c r="C116" s="13" t="s">
        <v>9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3" t="s">
        <v>9</v>
      </c>
      <c r="B117" s="6" t="s">
        <v>9</v>
      </c>
      <c r="C117" s="6" t="s">
        <v>9</v>
      </c>
      <c r="D117" s="4" t="s">
        <v>9</v>
      </c>
      <c r="E117" s="3" t="s">
        <v>9</v>
      </c>
      <c r="F117" s="6" t="s">
        <v>9</v>
      </c>
      <c r="G117" s="10" t="s">
        <v>9</v>
      </c>
      <c r="H117" s="164"/>
    </row>
    <row r="118" spans="1:8" x14ac:dyDescent="0.2">
      <c r="A118" s="10" t="s">
        <v>9</v>
      </c>
      <c r="B118" s="6" t="s">
        <v>9</v>
      </c>
      <c r="C118" s="6" t="s">
        <v>135</v>
      </c>
      <c r="D118" s="6" t="s">
        <v>9</v>
      </c>
      <c r="E118" s="10" t="s">
        <v>9</v>
      </c>
      <c r="F118" s="8">
        <v>-1067.17802297</v>
      </c>
      <c r="G118" s="9">
        <v>-6.3340130000000003E-3</v>
      </c>
      <c r="H118" s="164"/>
    </row>
    <row r="119" spans="1:8" x14ac:dyDescent="0.2">
      <c r="A119" s="13" t="s">
        <v>9</v>
      </c>
      <c r="B119" s="13" t="s">
        <v>9</v>
      </c>
      <c r="C119" s="4" t="s">
        <v>136</v>
      </c>
      <c r="D119" s="17" t="s">
        <v>9</v>
      </c>
      <c r="E119" s="17" t="s">
        <v>9</v>
      </c>
      <c r="F119" s="11">
        <v>168483.71657763</v>
      </c>
      <c r="G119" s="12">
        <v>1.0000000010000001</v>
      </c>
      <c r="H119" s="164"/>
    </row>
    <row r="120" spans="1:8" ht="14.1" customHeight="1" x14ac:dyDescent="0.2">
      <c r="A120" s="18" t="s">
        <v>9</v>
      </c>
      <c r="B120" s="18" t="s">
        <v>9</v>
      </c>
      <c r="C120" s="18" t="s">
        <v>9</v>
      </c>
      <c r="D120" s="19" t="s">
        <v>9</v>
      </c>
      <c r="E120" s="19" t="s">
        <v>9</v>
      </c>
      <c r="F120" s="19" t="s">
        <v>9</v>
      </c>
      <c r="G120" s="19" t="s">
        <v>9</v>
      </c>
    </row>
    <row r="121" spans="1:8" ht="14.1" customHeight="1" x14ac:dyDescent="0.2">
      <c r="A121" s="20" t="s">
        <v>9</v>
      </c>
      <c r="B121" s="228" t="s">
        <v>9</v>
      </c>
      <c r="C121" s="228"/>
      <c r="D121" s="228"/>
      <c r="E121" s="228"/>
      <c r="F121" s="228"/>
      <c r="G121" s="22" t="s">
        <v>9</v>
      </c>
    </row>
    <row r="122" spans="1:8" ht="14.1" customHeight="1" x14ac:dyDescent="0.2">
      <c r="A122" s="20" t="s">
        <v>9</v>
      </c>
      <c r="B122" s="228" t="s">
        <v>9</v>
      </c>
      <c r="C122" s="228"/>
      <c r="D122" s="228"/>
      <c r="E122" s="228"/>
      <c r="F122" s="228"/>
      <c r="G122" s="22" t="s">
        <v>9</v>
      </c>
    </row>
    <row r="123" spans="1:8" ht="14.1" customHeight="1" x14ac:dyDescent="0.2">
      <c r="A123" s="20" t="s">
        <v>9</v>
      </c>
      <c r="B123" s="20" t="s">
        <v>9</v>
      </c>
      <c r="C123" s="20" t="s">
        <v>9</v>
      </c>
      <c r="D123" s="22" t="s">
        <v>9</v>
      </c>
      <c r="E123" s="22" t="s">
        <v>9</v>
      </c>
      <c r="F123" s="22" t="s">
        <v>9</v>
      </c>
      <c r="G123" s="22" t="s">
        <v>9</v>
      </c>
    </row>
    <row r="124" spans="1:8" ht="14.1" customHeight="1" x14ac:dyDescent="0.2">
      <c r="A124" s="20" t="s">
        <v>9</v>
      </c>
      <c r="B124" s="226" t="s">
        <v>138</v>
      </c>
      <c r="C124" s="227"/>
      <c r="D124" s="14" t="s">
        <v>9</v>
      </c>
      <c r="E124" s="23" t="s">
        <v>9</v>
      </c>
      <c r="F124" s="22" t="s">
        <v>9</v>
      </c>
      <c r="G124" s="22" t="s">
        <v>9</v>
      </c>
    </row>
    <row r="125" spans="1:8" ht="29.1" customHeight="1" x14ac:dyDescent="0.2">
      <c r="A125" s="20" t="s">
        <v>9</v>
      </c>
      <c r="B125" s="233" t="s">
        <v>139</v>
      </c>
      <c r="C125" s="234"/>
      <c r="D125" s="4" t="s">
        <v>140</v>
      </c>
      <c r="E125" s="23" t="s">
        <v>9</v>
      </c>
      <c r="F125" s="22" t="s">
        <v>9</v>
      </c>
      <c r="G125" s="22" t="s">
        <v>9</v>
      </c>
    </row>
    <row r="126" spans="1:8" ht="17.100000000000001" customHeight="1" x14ac:dyDescent="0.2">
      <c r="A126" s="20" t="s">
        <v>9</v>
      </c>
      <c r="B126" s="233" t="s">
        <v>141</v>
      </c>
      <c r="C126" s="234"/>
      <c r="D126" s="4" t="s">
        <v>140</v>
      </c>
      <c r="E126" s="23" t="s">
        <v>9</v>
      </c>
      <c r="F126" s="22" t="s">
        <v>9</v>
      </c>
      <c r="G126" s="22" t="s">
        <v>9</v>
      </c>
    </row>
    <row r="127" spans="1:8" ht="17.100000000000001" customHeight="1" x14ac:dyDescent="0.2">
      <c r="A127" s="20" t="s">
        <v>9</v>
      </c>
      <c r="B127" s="233" t="s">
        <v>142</v>
      </c>
      <c r="C127" s="234"/>
      <c r="D127" s="14" t="s">
        <v>9</v>
      </c>
      <c r="E127" s="23" t="s">
        <v>9</v>
      </c>
      <c r="F127" s="22" t="s">
        <v>9</v>
      </c>
      <c r="G127" s="22" t="s">
        <v>9</v>
      </c>
    </row>
    <row r="128" spans="1:8" ht="24" customHeight="1" x14ac:dyDescent="0.2">
      <c r="A128" s="24" t="s">
        <v>9</v>
      </c>
      <c r="B128" s="25" t="s">
        <v>9</v>
      </c>
      <c r="C128" s="25" t="s">
        <v>143</v>
      </c>
      <c r="D128" s="25" t="s">
        <v>144</v>
      </c>
      <c r="E128" s="24" t="s">
        <v>9</v>
      </c>
      <c r="F128" s="24" t="s">
        <v>9</v>
      </c>
      <c r="G128" s="24" t="s">
        <v>9</v>
      </c>
    </row>
    <row r="129" spans="1:7" ht="18" customHeight="1" x14ac:dyDescent="0.2">
      <c r="A129" s="24" t="s">
        <v>9</v>
      </c>
      <c r="B129" s="25" t="s">
        <v>145</v>
      </c>
      <c r="C129" s="25" t="s">
        <v>146</v>
      </c>
      <c r="D129" s="25" t="s">
        <v>147</v>
      </c>
      <c r="E129" s="24" t="s">
        <v>9</v>
      </c>
      <c r="F129" s="24" t="s">
        <v>9</v>
      </c>
      <c r="G129" s="24" t="s">
        <v>9</v>
      </c>
    </row>
    <row r="130" spans="1:7" ht="17.100000000000001" customHeight="1" x14ac:dyDescent="0.2">
      <c r="A130" s="24" t="s">
        <v>9</v>
      </c>
      <c r="B130" s="6" t="s">
        <v>148</v>
      </c>
      <c r="C130" s="26">
        <v>51.023899999999998</v>
      </c>
      <c r="D130" s="26">
        <v>53.905500000000004</v>
      </c>
      <c r="E130" s="24" t="s">
        <v>9</v>
      </c>
      <c r="F130" s="21" t="s">
        <v>9</v>
      </c>
      <c r="G130" s="27" t="s">
        <v>9</v>
      </c>
    </row>
    <row r="131" spans="1:7" ht="17.100000000000001" customHeight="1" x14ac:dyDescent="0.2">
      <c r="A131" s="24" t="s">
        <v>9</v>
      </c>
      <c r="B131" s="6" t="s">
        <v>839</v>
      </c>
      <c r="C131" s="26">
        <v>23.617100000000001</v>
      </c>
      <c r="D131" s="26">
        <v>24.950900000000001</v>
      </c>
      <c r="E131" s="24" t="s">
        <v>9</v>
      </c>
      <c r="F131" s="21" t="s">
        <v>9</v>
      </c>
      <c r="G131" s="27" t="s">
        <v>9</v>
      </c>
    </row>
    <row r="132" spans="1:7" ht="17.100000000000001" customHeight="1" x14ac:dyDescent="0.2">
      <c r="A132" s="24" t="s">
        <v>9</v>
      </c>
      <c r="B132" s="6" t="s">
        <v>149</v>
      </c>
      <c r="C132" s="26">
        <v>47.484299999999998</v>
      </c>
      <c r="D132" s="26">
        <v>50.111600000000003</v>
      </c>
      <c r="E132" s="24" t="s">
        <v>9</v>
      </c>
      <c r="F132" s="21" t="s">
        <v>9</v>
      </c>
      <c r="G132" s="27" t="s">
        <v>9</v>
      </c>
    </row>
    <row r="133" spans="1:7" ht="17.100000000000001" customHeight="1" x14ac:dyDescent="0.2">
      <c r="A133" s="24" t="s">
        <v>9</v>
      </c>
      <c r="B133" s="6" t="s">
        <v>840</v>
      </c>
      <c r="C133" s="26">
        <v>21.516400000000001</v>
      </c>
      <c r="D133" s="26">
        <v>22.706900000000001</v>
      </c>
      <c r="E133" s="24" t="s">
        <v>9</v>
      </c>
      <c r="F133" s="21" t="s">
        <v>9</v>
      </c>
      <c r="G133" s="27" t="s">
        <v>9</v>
      </c>
    </row>
    <row r="134" spans="1:7" ht="14.1" customHeight="1" x14ac:dyDescent="0.2">
      <c r="A134" s="24" t="s">
        <v>9</v>
      </c>
      <c r="B134" s="24" t="s">
        <v>9</v>
      </c>
      <c r="C134" s="24" t="s">
        <v>9</v>
      </c>
      <c r="D134" s="24" t="s">
        <v>9</v>
      </c>
      <c r="E134" s="24" t="s">
        <v>9</v>
      </c>
      <c r="F134" s="24" t="s">
        <v>9</v>
      </c>
      <c r="G134" s="24" t="s">
        <v>9</v>
      </c>
    </row>
    <row r="135" spans="1:7" ht="17.100000000000001" customHeight="1" x14ac:dyDescent="0.2">
      <c r="A135" s="24" t="s">
        <v>9</v>
      </c>
      <c r="B135" s="233" t="s">
        <v>1003</v>
      </c>
      <c r="C135" s="234"/>
      <c r="D135" s="4" t="s">
        <v>140</v>
      </c>
      <c r="E135" s="24" t="s">
        <v>9</v>
      </c>
      <c r="F135" s="24" t="s">
        <v>9</v>
      </c>
      <c r="G135" s="24" t="s">
        <v>9</v>
      </c>
    </row>
    <row r="136" spans="1:7" ht="18" customHeight="1" x14ac:dyDescent="0.2">
      <c r="A136" s="24" t="s">
        <v>9</v>
      </c>
      <c r="B136" s="28" t="s">
        <v>150</v>
      </c>
      <c r="C136" s="28" t="s">
        <v>150</v>
      </c>
      <c r="D136" s="28" t="s">
        <v>9</v>
      </c>
      <c r="E136" s="24" t="s">
        <v>9</v>
      </c>
      <c r="F136" s="24" t="s">
        <v>9</v>
      </c>
      <c r="G136" s="24" t="s">
        <v>9</v>
      </c>
    </row>
    <row r="137" spans="1:7" s="169" customFormat="1" x14ac:dyDescent="0.2">
      <c r="B137" s="235" t="s">
        <v>841</v>
      </c>
      <c r="C137" s="235"/>
      <c r="D137" s="235"/>
      <c r="E137" s="235"/>
      <c r="F137" s="235"/>
    </row>
    <row r="138" spans="1:7" ht="14.1" customHeight="1" x14ac:dyDescent="0.2">
      <c r="A138" s="24" t="s">
        <v>9</v>
      </c>
      <c r="B138" s="21" t="s">
        <v>9</v>
      </c>
      <c r="C138" s="21" t="s">
        <v>9</v>
      </c>
      <c r="D138" s="24" t="s">
        <v>9</v>
      </c>
      <c r="E138" s="24" t="s">
        <v>9</v>
      </c>
      <c r="F138" s="24" t="s">
        <v>9</v>
      </c>
      <c r="G138" s="24" t="s">
        <v>9</v>
      </c>
    </row>
    <row r="139" spans="1:7" ht="29.1" customHeight="1" x14ac:dyDescent="0.2">
      <c r="A139" s="24" t="s">
        <v>9</v>
      </c>
      <c r="B139" s="233" t="s">
        <v>151</v>
      </c>
      <c r="C139" s="234"/>
      <c r="D139" s="4" t="s">
        <v>140</v>
      </c>
      <c r="E139" s="24" t="s">
        <v>9</v>
      </c>
      <c r="F139" s="24" t="s">
        <v>9</v>
      </c>
      <c r="G139" s="24" t="s">
        <v>9</v>
      </c>
    </row>
    <row r="140" spans="1:7" ht="29.1" customHeight="1" x14ac:dyDescent="0.2">
      <c r="A140" s="24" t="s">
        <v>9</v>
      </c>
      <c r="B140" s="233" t="s">
        <v>152</v>
      </c>
      <c r="C140" s="234"/>
      <c r="D140" s="4" t="s">
        <v>140</v>
      </c>
      <c r="E140" s="24" t="s">
        <v>9</v>
      </c>
      <c r="F140" s="24" t="s">
        <v>9</v>
      </c>
      <c r="G140" s="24" t="s">
        <v>9</v>
      </c>
    </row>
    <row r="141" spans="1:7" ht="17.100000000000001" customHeight="1" x14ac:dyDescent="0.2">
      <c r="A141" s="24" t="s">
        <v>9</v>
      </c>
      <c r="B141" s="233" t="s">
        <v>153</v>
      </c>
      <c r="C141" s="234"/>
      <c r="D141" s="29">
        <v>0.85764705575043565</v>
      </c>
      <c r="E141" s="24" t="s">
        <v>9</v>
      </c>
      <c r="F141" s="21" t="s">
        <v>9</v>
      </c>
      <c r="G141" s="27" t="s">
        <v>9</v>
      </c>
    </row>
    <row r="142" spans="1:7" ht="17.100000000000001" customHeight="1" x14ac:dyDescent="0.2">
      <c r="A142" s="24" t="s">
        <v>9</v>
      </c>
      <c r="B142" s="233" t="s">
        <v>154</v>
      </c>
      <c r="C142" s="234"/>
      <c r="D142" s="4" t="s">
        <v>140</v>
      </c>
      <c r="E142" s="24" t="s">
        <v>9</v>
      </c>
      <c r="F142" s="24" t="s">
        <v>9</v>
      </c>
      <c r="G142" s="24" t="s">
        <v>9</v>
      </c>
    </row>
  </sheetData>
  <mergeCells count="15">
    <mergeCell ref="B141:C141"/>
    <mergeCell ref="B142:C142"/>
    <mergeCell ref="B125:C125"/>
    <mergeCell ref="B126:C126"/>
    <mergeCell ref="B127:C127"/>
    <mergeCell ref="B135:C135"/>
    <mergeCell ref="B139:C139"/>
    <mergeCell ref="B140:C140"/>
    <mergeCell ref="B137:F137"/>
    <mergeCell ref="B124:C124"/>
    <mergeCell ref="B121:F121"/>
    <mergeCell ref="B122:F122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68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450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65309</v>
      </c>
      <c r="F7" s="8">
        <v>817.73398899999995</v>
      </c>
      <c r="G7" s="9">
        <v>3.1710874E-2</v>
      </c>
      <c r="H7" s="164"/>
    </row>
    <row r="8" spans="1:8" x14ac:dyDescent="0.2">
      <c r="A8" s="5">
        <v>2</v>
      </c>
      <c r="B8" s="6" t="s">
        <v>156</v>
      </c>
      <c r="C8" s="6" t="s">
        <v>157</v>
      </c>
      <c r="D8" s="6" t="s">
        <v>158</v>
      </c>
      <c r="E8" s="7">
        <v>21994</v>
      </c>
      <c r="F8" s="8">
        <v>804.37556500000005</v>
      </c>
      <c r="G8" s="9">
        <v>3.1192847999999999E-2</v>
      </c>
      <c r="H8" s="164"/>
    </row>
    <row r="9" spans="1:8" x14ac:dyDescent="0.2">
      <c r="A9" s="5">
        <v>3</v>
      </c>
      <c r="B9" s="6" t="s">
        <v>159</v>
      </c>
      <c r="C9" s="6" t="s">
        <v>160</v>
      </c>
      <c r="D9" s="6" t="s">
        <v>161</v>
      </c>
      <c r="E9" s="7">
        <v>564175</v>
      </c>
      <c r="F9" s="8">
        <v>726.93948750000004</v>
      </c>
      <c r="G9" s="9">
        <v>2.8189958000000001E-2</v>
      </c>
      <c r="H9" s="164"/>
    </row>
    <row r="10" spans="1:8" x14ac:dyDescent="0.2">
      <c r="A10" s="5">
        <v>4</v>
      </c>
      <c r="B10" s="6" t="s">
        <v>299</v>
      </c>
      <c r="C10" s="6" t="s">
        <v>300</v>
      </c>
      <c r="D10" s="6" t="s">
        <v>28</v>
      </c>
      <c r="E10" s="7">
        <v>89666</v>
      </c>
      <c r="F10" s="8">
        <v>647.38851999999997</v>
      </c>
      <c r="G10" s="9">
        <v>2.5105054000000002E-2</v>
      </c>
      <c r="H10" s="164"/>
    </row>
    <row r="11" spans="1:8" x14ac:dyDescent="0.2">
      <c r="A11" s="5">
        <v>5</v>
      </c>
      <c r="B11" s="6" t="s">
        <v>41</v>
      </c>
      <c r="C11" s="6" t="s">
        <v>42</v>
      </c>
      <c r="D11" s="6" t="s">
        <v>28</v>
      </c>
      <c r="E11" s="7">
        <v>51448</v>
      </c>
      <c r="F11" s="8">
        <v>596.33376799999996</v>
      </c>
      <c r="G11" s="9">
        <v>2.3125204E-2</v>
      </c>
      <c r="H11" s="164"/>
    </row>
    <row r="12" spans="1:8" x14ac:dyDescent="0.2">
      <c r="A12" s="5">
        <v>6</v>
      </c>
      <c r="B12" s="6" t="s">
        <v>164</v>
      </c>
      <c r="C12" s="6" t="s">
        <v>165</v>
      </c>
      <c r="D12" s="6" t="s">
        <v>28</v>
      </c>
      <c r="E12" s="7">
        <v>77404</v>
      </c>
      <c r="F12" s="8">
        <v>591.792282</v>
      </c>
      <c r="G12" s="9">
        <v>2.2949089999999998E-2</v>
      </c>
      <c r="H12" s="164"/>
    </row>
    <row r="13" spans="1:8" x14ac:dyDescent="0.2">
      <c r="A13" s="5">
        <v>7</v>
      </c>
      <c r="B13" s="6" t="s">
        <v>162</v>
      </c>
      <c r="C13" s="6" t="s">
        <v>163</v>
      </c>
      <c r="D13" s="6" t="s">
        <v>158</v>
      </c>
      <c r="E13" s="7">
        <v>44471</v>
      </c>
      <c r="F13" s="8">
        <v>549.86167950000004</v>
      </c>
      <c r="G13" s="9">
        <v>2.1323063999999999E-2</v>
      </c>
      <c r="H13" s="164"/>
    </row>
    <row r="14" spans="1:8" x14ac:dyDescent="0.2">
      <c r="A14" s="5">
        <v>8</v>
      </c>
      <c r="B14" s="6" t="s">
        <v>168</v>
      </c>
      <c r="C14" s="6" t="s">
        <v>169</v>
      </c>
      <c r="D14" s="6" t="s">
        <v>28</v>
      </c>
      <c r="E14" s="7">
        <v>76859</v>
      </c>
      <c r="F14" s="8">
        <v>544.77659200000005</v>
      </c>
      <c r="G14" s="9">
        <v>2.1125870000000001E-2</v>
      </c>
      <c r="H14" s="164"/>
    </row>
    <row r="15" spans="1:8" x14ac:dyDescent="0.2">
      <c r="A15" s="5">
        <v>9</v>
      </c>
      <c r="B15" s="6" t="s">
        <v>296</v>
      </c>
      <c r="C15" s="6" t="s">
        <v>297</v>
      </c>
      <c r="D15" s="6" t="s">
        <v>37</v>
      </c>
      <c r="E15" s="7">
        <v>31039</v>
      </c>
      <c r="F15" s="8">
        <v>537.68859699999996</v>
      </c>
      <c r="G15" s="9">
        <v>2.0851004999999999E-2</v>
      </c>
      <c r="H15" s="164"/>
    </row>
    <row r="16" spans="1:8" x14ac:dyDescent="0.2">
      <c r="A16" s="5">
        <v>10</v>
      </c>
      <c r="B16" s="6" t="s">
        <v>451</v>
      </c>
      <c r="C16" s="6" t="s">
        <v>452</v>
      </c>
      <c r="D16" s="6" t="s">
        <v>62</v>
      </c>
      <c r="E16" s="7">
        <v>161016</v>
      </c>
      <c r="F16" s="8">
        <v>518.14948800000002</v>
      </c>
      <c r="G16" s="9">
        <v>2.0093298999999998E-2</v>
      </c>
      <c r="H16" s="164"/>
    </row>
    <row r="17" spans="1:8" ht="25.5" x14ac:dyDescent="0.2">
      <c r="A17" s="5">
        <v>11</v>
      </c>
      <c r="B17" s="6" t="s">
        <v>29</v>
      </c>
      <c r="C17" s="6" t="s">
        <v>30</v>
      </c>
      <c r="D17" s="6" t="s">
        <v>925</v>
      </c>
      <c r="E17" s="7">
        <v>15633</v>
      </c>
      <c r="F17" s="8">
        <v>509.50291950000002</v>
      </c>
      <c r="G17" s="9">
        <v>1.9757994000000001E-2</v>
      </c>
      <c r="H17" s="164"/>
    </row>
    <row r="18" spans="1:8" x14ac:dyDescent="0.2">
      <c r="A18" s="5">
        <v>12</v>
      </c>
      <c r="B18" s="6" t="s">
        <v>175</v>
      </c>
      <c r="C18" s="6" t="s">
        <v>176</v>
      </c>
      <c r="D18" s="6" t="s">
        <v>62</v>
      </c>
      <c r="E18" s="7">
        <v>116159</v>
      </c>
      <c r="F18" s="8">
        <v>491.00409300000001</v>
      </c>
      <c r="G18" s="9">
        <v>1.9040628E-2</v>
      </c>
      <c r="H18" s="164"/>
    </row>
    <row r="19" spans="1:8" x14ac:dyDescent="0.2">
      <c r="A19" s="5">
        <v>13</v>
      </c>
      <c r="B19" s="6" t="s">
        <v>177</v>
      </c>
      <c r="C19" s="6" t="s">
        <v>178</v>
      </c>
      <c r="D19" s="6" t="s">
        <v>179</v>
      </c>
      <c r="E19" s="7">
        <v>173848</v>
      </c>
      <c r="F19" s="8">
        <v>489.81673999999998</v>
      </c>
      <c r="G19" s="9">
        <v>1.8994583999999998E-2</v>
      </c>
      <c r="H19" s="164"/>
    </row>
    <row r="20" spans="1:8" x14ac:dyDescent="0.2">
      <c r="A20" s="5">
        <v>14</v>
      </c>
      <c r="B20" s="6" t="s">
        <v>180</v>
      </c>
      <c r="C20" s="6" t="s">
        <v>181</v>
      </c>
      <c r="D20" s="6" t="s">
        <v>182</v>
      </c>
      <c r="E20" s="7">
        <v>35594</v>
      </c>
      <c r="F20" s="8">
        <v>465.729693</v>
      </c>
      <c r="G20" s="9">
        <v>1.8060513E-2</v>
      </c>
      <c r="H20" s="164"/>
    </row>
    <row r="21" spans="1:8" x14ac:dyDescent="0.2">
      <c r="A21" s="5">
        <v>15</v>
      </c>
      <c r="B21" s="6" t="s">
        <v>189</v>
      </c>
      <c r="C21" s="6" t="s">
        <v>190</v>
      </c>
      <c r="D21" s="6" t="s">
        <v>179</v>
      </c>
      <c r="E21" s="7">
        <v>14600</v>
      </c>
      <c r="F21" s="8">
        <v>458.90719999999999</v>
      </c>
      <c r="G21" s="9">
        <v>1.7795944000000001E-2</v>
      </c>
      <c r="H21" s="164"/>
    </row>
    <row r="22" spans="1:8" x14ac:dyDescent="0.2">
      <c r="A22" s="5">
        <v>16</v>
      </c>
      <c r="B22" s="6" t="s">
        <v>187</v>
      </c>
      <c r="C22" s="6" t="s">
        <v>188</v>
      </c>
      <c r="D22" s="6" t="s">
        <v>182</v>
      </c>
      <c r="E22" s="7">
        <v>178406</v>
      </c>
      <c r="F22" s="8">
        <v>446.37181199999998</v>
      </c>
      <c r="G22" s="9">
        <v>1.7309834999999999E-2</v>
      </c>
      <c r="H22" s="164"/>
    </row>
    <row r="23" spans="1:8" x14ac:dyDescent="0.2">
      <c r="A23" s="5">
        <v>17</v>
      </c>
      <c r="B23" s="6" t="s">
        <v>338</v>
      </c>
      <c r="C23" s="6" t="s">
        <v>339</v>
      </c>
      <c r="D23" s="6" t="s">
        <v>195</v>
      </c>
      <c r="E23" s="7">
        <v>11524</v>
      </c>
      <c r="F23" s="8">
        <v>421.040864</v>
      </c>
      <c r="G23" s="9">
        <v>1.6327527000000001E-2</v>
      </c>
      <c r="H23" s="164"/>
    </row>
    <row r="24" spans="1:8" ht="25.5" x14ac:dyDescent="0.2">
      <c r="A24" s="5">
        <v>18</v>
      </c>
      <c r="B24" s="6" t="s">
        <v>191</v>
      </c>
      <c r="C24" s="6" t="s">
        <v>192</v>
      </c>
      <c r="D24" s="6" t="s">
        <v>925</v>
      </c>
      <c r="E24" s="7">
        <v>154145</v>
      </c>
      <c r="F24" s="8">
        <v>407.94474250000002</v>
      </c>
      <c r="G24" s="9">
        <v>1.5819672999999999E-2</v>
      </c>
      <c r="H24" s="164"/>
    </row>
    <row r="25" spans="1:8" x14ac:dyDescent="0.2">
      <c r="A25" s="5">
        <v>19</v>
      </c>
      <c r="B25" s="6" t="s">
        <v>198</v>
      </c>
      <c r="C25" s="6" t="s">
        <v>199</v>
      </c>
      <c r="D25" s="6" t="s">
        <v>200</v>
      </c>
      <c r="E25" s="7">
        <v>88782</v>
      </c>
      <c r="F25" s="8">
        <v>399.25265400000001</v>
      </c>
      <c r="G25" s="9">
        <v>1.5482602999999999E-2</v>
      </c>
      <c r="H25" s="164"/>
    </row>
    <row r="26" spans="1:8" x14ac:dyDescent="0.2">
      <c r="A26" s="5">
        <v>20</v>
      </c>
      <c r="B26" s="6" t="s">
        <v>196</v>
      </c>
      <c r="C26" s="6" t="s">
        <v>197</v>
      </c>
      <c r="D26" s="6" t="s">
        <v>928</v>
      </c>
      <c r="E26" s="7">
        <v>121208</v>
      </c>
      <c r="F26" s="8">
        <v>394.59264400000001</v>
      </c>
      <c r="G26" s="9">
        <v>1.5301893E-2</v>
      </c>
      <c r="H26" s="164"/>
    </row>
    <row r="27" spans="1:8" ht="25.5" x14ac:dyDescent="0.2">
      <c r="A27" s="5">
        <v>21</v>
      </c>
      <c r="B27" s="6" t="s">
        <v>201</v>
      </c>
      <c r="C27" s="6" t="s">
        <v>202</v>
      </c>
      <c r="D27" s="6" t="s">
        <v>67</v>
      </c>
      <c r="E27" s="7">
        <v>79781</v>
      </c>
      <c r="F27" s="8">
        <v>391.04657150000003</v>
      </c>
      <c r="G27" s="9">
        <v>1.516438E-2</v>
      </c>
      <c r="H27" s="164"/>
    </row>
    <row r="28" spans="1:8" x14ac:dyDescent="0.2">
      <c r="A28" s="5">
        <v>22</v>
      </c>
      <c r="B28" s="6" t="s">
        <v>203</v>
      </c>
      <c r="C28" s="6" t="s">
        <v>204</v>
      </c>
      <c r="D28" s="6" t="s">
        <v>179</v>
      </c>
      <c r="E28" s="7">
        <v>38730</v>
      </c>
      <c r="F28" s="8">
        <v>382.14891</v>
      </c>
      <c r="G28" s="9">
        <v>1.4819337E-2</v>
      </c>
      <c r="H28" s="164"/>
    </row>
    <row r="29" spans="1:8" ht="25.5" x14ac:dyDescent="0.2">
      <c r="A29" s="5">
        <v>23</v>
      </c>
      <c r="B29" s="6" t="s">
        <v>453</v>
      </c>
      <c r="C29" s="6" t="s">
        <v>454</v>
      </c>
      <c r="D29" s="6" t="s">
        <v>40</v>
      </c>
      <c r="E29" s="7">
        <v>29564</v>
      </c>
      <c r="F29" s="8">
        <v>371.39774999999997</v>
      </c>
      <c r="G29" s="9">
        <v>1.4402419E-2</v>
      </c>
      <c r="H29" s="164"/>
    </row>
    <row r="30" spans="1:8" x14ac:dyDescent="0.2">
      <c r="A30" s="5">
        <v>24</v>
      </c>
      <c r="B30" s="6" t="s">
        <v>212</v>
      </c>
      <c r="C30" s="6" t="s">
        <v>213</v>
      </c>
      <c r="D30" s="6" t="s">
        <v>929</v>
      </c>
      <c r="E30" s="7">
        <v>42000</v>
      </c>
      <c r="F30" s="8">
        <v>365.12700000000001</v>
      </c>
      <c r="G30" s="9">
        <v>1.4159246E-2</v>
      </c>
      <c r="H30" s="164"/>
    </row>
    <row r="31" spans="1:8" x14ac:dyDescent="0.2">
      <c r="A31" s="5">
        <v>25</v>
      </c>
      <c r="B31" s="6" t="s">
        <v>77</v>
      </c>
      <c r="C31" s="6" t="s">
        <v>78</v>
      </c>
      <c r="D31" s="6" t="s">
        <v>62</v>
      </c>
      <c r="E31" s="7">
        <v>143231</v>
      </c>
      <c r="F31" s="8">
        <v>361.80150600000002</v>
      </c>
      <c r="G31" s="9">
        <v>1.4030285999999999E-2</v>
      </c>
      <c r="H31" s="164"/>
    </row>
    <row r="32" spans="1:8" x14ac:dyDescent="0.2">
      <c r="A32" s="5">
        <v>26</v>
      </c>
      <c r="B32" s="6" t="s">
        <v>185</v>
      </c>
      <c r="C32" s="6" t="s">
        <v>186</v>
      </c>
      <c r="D32" s="6" t="s">
        <v>45</v>
      </c>
      <c r="E32" s="7">
        <v>76646</v>
      </c>
      <c r="F32" s="8">
        <v>361.30924399999998</v>
      </c>
      <c r="G32" s="9">
        <v>1.4011197E-2</v>
      </c>
      <c r="H32" s="164"/>
    </row>
    <row r="33" spans="1:8" x14ac:dyDescent="0.2">
      <c r="A33" s="5">
        <v>27</v>
      </c>
      <c r="B33" s="6" t="s">
        <v>210</v>
      </c>
      <c r="C33" s="6" t="s">
        <v>211</v>
      </c>
      <c r="D33" s="6" t="s">
        <v>195</v>
      </c>
      <c r="E33" s="7">
        <v>31765</v>
      </c>
      <c r="F33" s="8">
        <v>355.57740999999999</v>
      </c>
      <c r="G33" s="9">
        <v>1.3788922E-2</v>
      </c>
      <c r="H33" s="164"/>
    </row>
    <row r="34" spans="1:8" x14ac:dyDescent="0.2">
      <c r="A34" s="5">
        <v>28</v>
      </c>
      <c r="B34" s="6" t="s">
        <v>35</v>
      </c>
      <c r="C34" s="6" t="s">
        <v>36</v>
      </c>
      <c r="D34" s="6" t="s">
        <v>37</v>
      </c>
      <c r="E34" s="7">
        <v>108670</v>
      </c>
      <c r="F34" s="8">
        <v>354.53587499999998</v>
      </c>
      <c r="G34" s="9">
        <v>1.3748533E-2</v>
      </c>
      <c r="H34" s="164"/>
    </row>
    <row r="35" spans="1:8" x14ac:dyDescent="0.2">
      <c r="A35" s="5">
        <v>29</v>
      </c>
      <c r="B35" s="6" t="s">
        <v>208</v>
      </c>
      <c r="C35" s="6" t="s">
        <v>209</v>
      </c>
      <c r="D35" s="6" t="s">
        <v>161</v>
      </c>
      <c r="E35" s="7">
        <v>58045</v>
      </c>
      <c r="F35" s="8">
        <v>348.35706750000003</v>
      </c>
      <c r="G35" s="9">
        <v>1.3508925E-2</v>
      </c>
      <c r="H35" s="164"/>
    </row>
    <row r="36" spans="1:8" x14ac:dyDescent="0.2">
      <c r="A36" s="5">
        <v>30</v>
      </c>
      <c r="B36" s="6" t="s">
        <v>205</v>
      </c>
      <c r="C36" s="6" t="s">
        <v>206</v>
      </c>
      <c r="D36" s="6" t="s">
        <v>207</v>
      </c>
      <c r="E36" s="7">
        <v>129053</v>
      </c>
      <c r="F36" s="8">
        <v>346.44277849999997</v>
      </c>
      <c r="G36" s="9">
        <v>1.3434691E-2</v>
      </c>
      <c r="H36" s="164"/>
    </row>
    <row r="37" spans="1:8" x14ac:dyDescent="0.2">
      <c r="A37" s="5">
        <v>31</v>
      </c>
      <c r="B37" s="6" t="s">
        <v>216</v>
      </c>
      <c r="C37" s="6" t="s">
        <v>217</v>
      </c>
      <c r="D37" s="6" t="s">
        <v>200</v>
      </c>
      <c r="E37" s="7">
        <v>53835</v>
      </c>
      <c r="F37" s="8">
        <v>345.35152499999998</v>
      </c>
      <c r="G37" s="9">
        <v>1.3392373000000001E-2</v>
      </c>
      <c r="H37" s="164"/>
    </row>
    <row r="38" spans="1:8" x14ac:dyDescent="0.2">
      <c r="A38" s="5">
        <v>32</v>
      </c>
      <c r="B38" s="6" t="s">
        <v>220</v>
      </c>
      <c r="C38" s="6" t="s">
        <v>221</v>
      </c>
      <c r="D38" s="6" t="s">
        <v>28</v>
      </c>
      <c r="E38" s="7">
        <v>21494</v>
      </c>
      <c r="F38" s="8">
        <v>336.66052200000001</v>
      </c>
      <c r="G38" s="9">
        <v>1.3055344999999999E-2</v>
      </c>
      <c r="H38" s="164"/>
    </row>
    <row r="39" spans="1:8" x14ac:dyDescent="0.2">
      <c r="A39" s="5">
        <v>33</v>
      </c>
      <c r="B39" s="6" t="s">
        <v>170</v>
      </c>
      <c r="C39" s="6" t="s">
        <v>171</v>
      </c>
      <c r="D39" s="6" t="s">
        <v>172</v>
      </c>
      <c r="E39" s="7">
        <v>26884</v>
      </c>
      <c r="F39" s="8">
        <v>335.01496600000002</v>
      </c>
      <c r="G39" s="9">
        <v>1.2991532E-2</v>
      </c>
      <c r="H39" s="164"/>
    </row>
    <row r="40" spans="1:8" x14ac:dyDescent="0.2">
      <c r="A40" s="5">
        <v>34</v>
      </c>
      <c r="B40" s="6" t="s">
        <v>214</v>
      </c>
      <c r="C40" s="6" t="s">
        <v>215</v>
      </c>
      <c r="D40" s="6" t="s">
        <v>179</v>
      </c>
      <c r="E40" s="7">
        <v>7989</v>
      </c>
      <c r="F40" s="8">
        <v>334.3596225</v>
      </c>
      <c r="G40" s="9">
        <v>1.2966119E-2</v>
      </c>
      <c r="H40" s="164"/>
    </row>
    <row r="41" spans="1:8" x14ac:dyDescent="0.2">
      <c r="A41" s="5">
        <v>35</v>
      </c>
      <c r="B41" s="6" t="s">
        <v>222</v>
      </c>
      <c r="C41" s="6" t="s">
        <v>223</v>
      </c>
      <c r="D41" s="6" t="s">
        <v>37</v>
      </c>
      <c r="E41" s="7">
        <v>307287</v>
      </c>
      <c r="F41" s="8">
        <v>330.02623799999998</v>
      </c>
      <c r="G41" s="9">
        <v>1.2798074E-2</v>
      </c>
      <c r="H41" s="164"/>
    </row>
    <row r="42" spans="1:8" x14ac:dyDescent="0.2">
      <c r="A42" s="5">
        <v>36</v>
      </c>
      <c r="B42" s="6" t="s">
        <v>224</v>
      </c>
      <c r="C42" s="6" t="s">
        <v>225</v>
      </c>
      <c r="D42" s="6" t="s">
        <v>161</v>
      </c>
      <c r="E42" s="7">
        <v>58366</v>
      </c>
      <c r="F42" s="8">
        <v>315.05966799999999</v>
      </c>
      <c r="G42" s="9">
        <v>1.2217686E-2</v>
      </c>
      <c r="H42" s="164"/>
    </row>
    <row r="43" spans="1:8" x14ac:dyDescent="0.2">
      <c r="A43" s="5">
        <v>37</v>
      </c>
      <c r="B43" s="6" t="s">
        <v>230</v>
      </c>
      <c r="C43" s="6" t="s">
        <v>231</v>
      </c>
      <c r="D43" s="6" t="s">
        <v>62</v>
      </c>
      <c r="E43" s="7">
        <v>102433</v>
      </c>
      <c r="F43" s="8">
        <v>300.84572100000003</v>
      </c>
      <c r="G43" s="9">
        <v>1.1666484E-2</v>
      </c>
      <c r="H43" s="164"/>
    </row>
    <row r="44" spans="1:8" x14ac:dyDescent="0.2">
      <c r="A44" s="5">
        <v>38</v>
      </c>
      <c r="B44" s="6" t="s">
        <v>455</v>
      </c>
      <c r="C44" s="6" t="s">
        <v>456</v>
      </c>
      <c r="D44" s="6" t="s">
        <v>62</v>
      </c>
      <c r="E44" s="7">
        <v>34343</v>
      </c>
      <c r="F44" s="8">
        <v>289.49431850000002</v>
      </c>
      <c r="G44" s="9">
        <v>1.1226289E-2</v>
      </c>
      <c r="H44" s="164"/>
    </row>
    <row r="45" spans="1:8" x14ac:dyDescent="0.2">
      <c r="A45" s="5">
        <v>39</v>
      </c>
      <c r="B45" s="6" t="s">
        <v>457</v>
      </c>
      <c r="C45" s="6" t="s">
        <v>458</v>
      </c>
      <c r="D45" s="6" t="s">
        <v>50</v>
      </c>
      <c r="E45" s="7">
        <v>68578</v>
      </c>
      <c r="F45" s="8">
        <v>289.15913699999999</v>
      </c>
      <c r="G45" s="9">
        <v>1.1213291E-2</v>
      </c>
      <c r="H45" s="164"/>
    </row>
    <row r="46" spans="1:8" x14ac:dyDescent="0.2">
      <c r="A46" s="5">
        <v>40</v>
      </c>
      <c r="B46" s="6" t="s">
        <v>236</v>
      </c>
      <c r="C46" s="6" t="s">
        <v>237</v>
      </c>
      <c r="D46" s="6" t="s">
        <v>161</v>
      </c>
      <c r="E46" s="7">
        <v>497258</v>
      </c>
      <c r="F46" s="8">
        <v>288.40964000000002</v>
      </c>
      <c r="G46" s="9">
        <v>1.1184226E-2</v>
      </c>
      <c r="H46" s="164"/>
    </row>
    <row r="47" spans="1:8" x14ac:dyDescent="0.2">
      <c r="A47" s="5">
        <v>41</v>
      </c>
      <c r="B47" s="6" t="s">
        <v>293</v>
      </c>
      <c r="C47" s="6" t="s">
        <v>294</v>
      </c>
      <c r="D47" s="6" t="s">
        <v>28</v>
      </c>
      <c r="E47" s="7">
        <v>21807</v>
      </c>
      <c r="F47" s="8">
        <v>287.52529500000003</v>
      </c>
      <c r="G47" s="9">
        <v>1.1149932E-2</v>
      </c>
      <c r="H47" s="164"/>
    </row>
    <row r="48" spans="1:8" x14ac:dyDescent="0.2">
      <c r="A48" s="5">
        <v>42</v>
      </c>
      <c r="B48" s="6" t="s">
        <v>228</v>
      </c>
      <c r="C48" s="6" t="s">
        <v>229</v>
      </c>
      <c r="D48" s="6" t="s">
        <v>62</v>
      </c>
      <c r="E48" s="7">
        <v>36672</v>
      </c>
      <c r="F48" s="8">
        <v>283.45622400000002</v>
      </c>
      <c r="G48" s="9">
        <v>1.0992138E-2</v>
      </c>
      <c r="H48" s="164"/>
    </row>
    <row r="49" spans="1:8" ht="25.5" x14ac:dyDescent="0.2">
      <c r="A49" s="5">
        <v>43</v>
      </c>
      <c r="B49" s="6" t="s">
        <v>226</v>
      </c>
      <c r="C49" s="6" t="s">
        <v>227</v>
      </c>
      <c r="D49" s="6" t="s">
        <v>62</v>
      </c>
      <c r="E49" s="7">
        <v>12284</v>
      </c>
      <c r="F49" s="8">
        <v>281.58613200000002</v>
      </c>
      <c r="G49" s="9">
        <v>1.0919617E-2</v>
      </c>
      <c r="H49" s="164"/>
    </row>
    <row r="50" spans="1:8" x14ac:dyDescent="0.2">
      <c r="A50" s="5">
        <v>44</v>
      </c>
      <c r="B50" s="6" t="s">
        <v>238</v>
      </c>
      <c r="C50" s="6" t="s">
        <v>239</v>
      </c>
      <c r="D50" s="6" t="s">
        <v>195</v>
      </c>
      <c r="E50" s="7">
        <v>68046</v>
      </c>
      <c r="F50" s="8">
        <v>281.302164</v>
      </c>
      <c r="G50" s="9">
        <v>1.0908606E-2</v>
      </c>
      <c r="H50" s="164"/>
    </row>
    <row r="51" spans="1:8" ht="25.5" x14ac:dyDescent="0.2">
      <c r="A51" s="5">
        <v>45</v>
      </c>
      <c r="B51" s="6" t="s">
        <v>234</v>
      </c>
      <c r="C51" s="6" t="s">
        <v>235</v>
      </c>
      <c r="D51" s="6" t="s">
        <v>67</v>
      </c>
      <c r="E51" s="7">
        <v>63174</v>
      </c>
      <c r="F51" s="8">
        <v>279.54494999999997</v>
      </c>
      <c r="G51" s="9">
        <v>1.0840463E-2</v>
      </c>
      <c r="H51" s="164"/>
    </row>
    <row r="52" spans="1:8" x14ac:dyDescent="0.2">
      <c r="A52" s="5">
        <v>46</v>
      </c>
      <c r="B52" s="6" t="s">
        <v>244</v>
      </c>
      <c r="C52" s="6" t="s">
        <v>245</v>
      </c>
      <c r="D52" s="6" t="s">
        <v>200</v>
      </c>
      <c r="E52" s="7">
        <v>15127</v>
      </c>
      <c r="F52" s="8">
        <v>274.29032749999999</v>
      </c>
      <c r="G52" s="9">
        <v>1.0636694E-2</v>
      </c>
      <c r="H52" s="164"/>
    </row>
    <row r="53" spans="1:8" ht="25.5" x14ac:dyDescent="0.2">
      <c r="A53" s="5">
        <v>47</v>
      </c>
      <c r="B53" s="6" t="s">
        <v>246</v>
      </c>
      <c r="C53" s="6" t="s">
        <v>247</v>
      </c>
      <c r="D53" s="6" t="s">
        <v>40</v>
      </c>
      <c r="E53" s="7">
        <v>348703</v>
      </c>
      <c r="F53" s="8">
        <v>273.383152</v>
      </c>
      <c r="G53" s="9">
        <v>1.0601513999999999E-2</v>
      </c>
      <c r="H53" s="164"/>
    </row>
    <row r="54" spans="1:8" x14ac:dyDescent="0.2">
      <c r="A54" s="5">
        <v>48</v>
      </c>
      <c r="B54" s="6" t="s">
        <v>232</v>
      </c>
      <c r="C54" s="6" t="s">
        <v>233</v>
      </c>
      <c r="D54" s="6" t="s">
        <v>37</v>
      </c>
      <c r="E54" s="7">
        <v>31488</v>
      </c>
      <c r="F54" s="8">
        <v>271.94611200000003</v>
      </c>
      <c r="G54" s="9">
        <v>1.0545788E-2</v>
      </c>
      <c r="H54" s="164"/>
    </row>
    <row r="55" spans="1:8" x14ac:dyDescent="0.2">
      <c r="A55" s="5">
        <v>49</v>
      </c>
      <c r="B55" s="6" t="s">
        <v>459</v>
      </c>
      <c r="C55" s="6" t="s">
        <v>460</v>
      </c>
      <c r="D55" s="6" t="s">
        <v>207</v>
      </c>
      <c r="E55" s="7">
        <v>45800</v>
      </c>
      <c r="F55" s="8">
        <v>268.06740000000002</v>
      </c>
      <c r="G55" s="9">
        <v>1.0395375E-2</v>
      </c>
      <c r="H55" s="164"/>
    </row>
    <row r="56" spans="1:8" x14ac:dyDescent="0.2">
      <c r="A56" s="5">
        <v>50</v>
      </c>
      <c r="B56" s="6" t="s">
        <v>242</v>
      </c>
      <c r="C56" s="6" t="s">
        <v>243</v>
      </c>
      <c r="D56" s="6" t="s">
        <v>59</v>
      </c>
      <c r="E56" s="7">
        <v>20203</v>
      </c>
      <c r="F56" s="8">
        <v>266.87152850000001</v>
      </c>
      <c r="G56" s="9">
        <v>1.0349000000000001E-2</v>
      </c>
      <c r="H56" s="164"/>
    </row>
    <row r="57" spans="1:8" ht="25.5" x14ac:dyDescent="0.2">
      <c r="A57" s="5">
        <v>51</v>
      </c>
      <c r="B57" s="6" t="s">
        <v>248</v>
      </c>
      <c r="C57" s="6" t="s">
        <v>249</v>
      </c>
      <c r="D57" s="6" t="s">
        <v>67</v>
      </c>
      <c r="E57" s="7">
        <v>60329</v>
      </c>
      <c r="F57" s="8">
        <v>263.63772999999998</v>
      </c>
      <c r="G57" s="9">
        <v>1.0223596999999999E-2</v>
      </c>
      <c r="H57" s="164"/>
    </row>
    <row r="58" spans="1:8" x14ac:dyDescent="0.2">
      <c r="A58" s="5">
        <v>52</v>
      </c>
      <c r="B58" s="6" t="s">
        <v>251</v>
      </c>
      <c r="C58" s="6" t="s">
        <v>252</v>
      </c>
      <c r="D58" s="6" t="s">
        <v>253</v>
      </c>
      <c r="E58" s="7">
        <v>54261</v>
      </c>
      <c r="F58" s="8">
        <v>260.8597575</v>
      </c>
      <c r="G58" s="9">
        <v>1.0115870000000001E-2</v>
      </c>
      <c r="H58" s="164"/>
    </row>
    <row r="59" spans="1:8" x14ac:dyDescent="0.2">
      <c r="A59" s="5">
        <v>53</v>
      </c>
      <c r="B59" s="6" t="s">
        <v>46</v>
      </c>
      <c r="C59" s="6" t="s">
        <v>47</v>
      </c>
      <c r="D59" s="6" t="s">
        <v>28</v>
      </c>
      <c r="E59" s="7">
        <v>13463</v>
      </c>
      <c r="F59" s="8">
        <v>255.783537</v>
      </c>
      <c r="G59" s="9">
        <v>9.9190200000000006E-3</v>
      </c>
      <c r="H59" s="164"/>
    </row>
    <row r="60" spans="1:8" x14ac:dyDescent="0.2">
      <c r="A60" s="5">
        <v>54</v>
      </c>
      <c r="B60" s="6" t="s">
        <v>461</v>
      </c>
      <c r="C60" s="6" t="s">
        <v>462</v>
      </c>
      <c r="D60" s="6" t="s">
        <v>28</v>
      </c>
      <c r="E60" s="7">
        <v>37025</v>
      </c>
      <c r="F60" s="8">
        <v>249.15973750000001</v>
      </c>
      <c r="G60" s="9">
        <v>9.6621559999999999E-3</v>
      </c>
      <c r="H60" s="164"/>
    </row>
    <row r="61" spans="1:8" x14ac:dyDescent="0.2">
      <c r="A61" s="5">
        <v>55</v>
      </c>
      <c r="B61" s="6" t="s">
        <v>256</v>
      </c>
      <c r="C61" s="6" t="s">
        <v>257</v>
      </c>
      <c r="D61" s="6" t="s">
        <v>930</v>
      </c>
      <c r="E61" s="7">
        <v>44268</v>
      </c>
      <c r="F61" s="8">
        <v>248.01147</v>
      </c>
      <c r="G61" s="9">
        <v>9.6176270000000001E-3</v>
      </c>
      <c r="H61" s="164"/>
    </row>
    <row r="62" spans="1:8" ht="25.5" x14ac:dyDescent="0.2">
      <c r="A62" s="5">
        <v>56</v>
      </c>
      <c r="B62" s="6" t="s">
        <v>258</v>
      </c>
      <c r="C62" s="6" t="s">
        <v>259</v>
      </c>
      <c r="D62" s="6" t="s">
        <v>931</v>
      </c>
      <c r="E62" s="7">
        <v>244575</v>
      </c>
      <c r="F62" s="8">
        <v>243.841275</v>
      </c>
      <c r="G62" s="9">
        <v>9.4559109999999991E-3</v>
      </c>
      <c r="H62" s="164"/>
    </row>
    <row r="63" spans="1:8" x14ac:dyDescent="0.2">
      <c r="A63" s="5">
        <v>57</v>
      </c>
      <c r="B63" s="6" t="s">
        <v>260</v>
      </c>
      <c r="C63" s="6" t="s">
        <v>261</v>
      </c>
      <c r="D63" s="6" t="s">
        <v>930</v>
      </c>
      <c r="E63" s="7">
        <v>57937</v>
      </c>
      <c r="F63" s="8">
        <v>237.02026699999999</v>
      </c>
      <c r="G63" s="9">
        <v>9.1914000000000006E-3</v>
      </c>
      <c r="H63" s="164"/>
    </row>
    <row r="64" spans="1:8" x14ac:dyDescent="0.2">
      <c r="A64" s="5">
        <v>58</v>
      </c>
      <c r="B64" s="6" t="s">
        <v>267</v>
      </c>
      <c r="C64" s="6" t="s">
        <v>268</v>
      </c>
      <c r="D64" s="6" t="s">
        <v>195</v>
      </c>
      <c r="E64" s="7">
        <v>31011</v>
      </c>
      <c r="F64" s="8">
        <v>229.96207050000001</v>
      </c>
      <c r="G64" s="9">
        <v>8.9176900000000007E-3</v>
      </c>
      <c r="H64" s="164"/>
    </row>
    <row r="65" spans="1:8" x14ac:dyDescent="0.2">
      <c r="A65" s="5">
        <v>59</v>
      </c>
      <c r="B65" s="6" t="s">
        <v>264</v>
      </c>
      <c r="C65" s="6" t="s">
        <v>265</v>
      </c>
      <c r="D65" s="6" t="s">
        <v>266</v>
      </c>
      <c r="E65" s="7">
        <v>27872</v>
      </c>
      <c r="F65" s="8">
        <v>225.35905600000001</v>
      </c>
      <c r="G65" s="9">
        <v>8.7391900000000008E-3</v>
      </c>
      <c r="H65" s="164"/>
    </row>
    <row r="66" spans="1:8" x14ac:dyDescent="0.2">
      <c r="A66" s="5">
        <v>60</v>
      </c>
      <c r="B66" s="6" t="s">
        <v>193</v>
      </c>
      <c r="C66" s="6" t="s">
        <v>194</v>
      </c>
      <c r="D66" s="6" t="s">
        <v>195</v>
      </c>
      <c r="E66" s="7">
        <v>32954</v>
      </c>
      <c r="F66" s="8">
        <v>214.53054</v>
      </c>
      <c r="G66" s="9">
        <v>8.3192709999999996E-3</v>
      </c>
      <c r="H66" s="164"/>
    </row>
    <row r="67" spans="1:8" x14ac:dyDescent="0.2">
      <c r="A67" s="5">
        <v>61</v>
      </c>
      <c r="B67" s="6" t="s">
        <v>273</v>
      </c>
      <c r="C67" s="6" t="s">
        <v>274</v>
      </c>
      <c r="D67" s="6" t="s">
        <v>22</v>
      </c>
      <c r="E67" s="7">
        <v>201808</v>
      </c>
      <c r="F67" s="8">
        <v>211.89840000000001</v>
      </c>
      <c r="G67" s="9">
        <v>8.2171999999999992E-3</v>
      </c>
      <c r="H67" s="164"/>
    </row>
    <row r="68" spans="1:8" x14ac:dyDescent="0.2">
      <c r="A68" s="5">
        <v>62</v>
      </c>
      <c r="B68" s="6" t="s">
        <v>271</v>
      </c>
      <c r="C68" s="6" t="s">
        <v>272</v>
      </c>
      <c r="D68" s="6" t="s">
        <v>346</v>
      </c>
      <c r="E68" s="7">
        <v>21854</v>
      </c>
      <c r="F68" s="8">
        <v>210.705341</v>
      </c>
      <c r="G68" s="9">
        <v>8.1709339999999995E-3</v>
      </c>
      <c r="H68" s="164"/>
    </row>
    <row r="69" spans="1:8" x14ac:dyDescent="0.2">
      <c r="A69" s="5">
        <v>63</v>
      </c>
      <c r="B69" s="6" t="s">
        <v>463</v>
      </c>
      <c r="C69" s="6" t="s">
        <v>464</v>
      </c>
      <c r="D69" s="6" t="s">
        <v>927</v>
      </c>
      <c r="E69" s="7">
        <v>187131</v>
      </c>
      <c r="F69" s="8">
        <v>209.4931545</v>
      </c>
      <c r="G69" s="9">
        <v>8.1239269999999995E-3</v>
      </c>
      <c r="H69" s="164"/>
    </row>
    <row r="70" spans="1:8" x14ac:dyDescent="0.2">
      <c r="A70" s="5">
        <v>64</v>
      </c>
      <c r="B70" s="6" t="s">
        <v>275</v>
      </c>
      <c r="C70" s="6" t="s">
        <v>276</v>
      </c>
      <c r="D70" s="6" t="s">
        <v>277</v>
      </c>
      <c r="E70" s="7">
        <v>75410</v>
      </c>
      <c r="F70" s="8">
        <v>195.50042500000001</v>
      </c>
      <c r="G70" s="9">
        <v>7.5813030000000002E-3</v>
      </c>
      <c r="H70" s="164"/>
    </row>
    <row r="71" spans="1:8" x14ac:dyDescent="0.2">
      <c r="A71" s="5">
        <v>65</v>
      </c>
      <c r="B71" s="6" t="s">
        <v>173</v>
      </c>
      <c r="C71" s="6" t="s">
        <v>174</v>
      </c>
      <c r="D71" s="6" t="s">
        <v>179</v>
      </c>
      <c r="E71" s="7">
        <v>13443</v>
      </c>
      <c r="F71" s="8">
        <v>183.03988799999999</v>
      </c>
      <c r="G71" s="9">
        <v>7.0980970000000003E-3</v>
      </c>
      <c r="H71" s="164"/>
    </row>
    <row r="72" spans="1:8" x14ac:dyDescent="0.2">
      <c r="A72" s="5">
        <v>66</v>
      </c>
      <c r="B72" s="6" t="s">
        <v>465</v>
      </c>
      <c r="C72" s="6" t="s">
        <v>466</v>
      </c>
      <c r="D72" s="6" t="s">
        <v>161</v>
      </c>
      <c r="E72" s="7">
        <v>25528</v>
      </c>
      <c r="F72" s="8">
        <v>169.73567199999999</v>
      </c>
      <c r="G72" s="9">
        <v>6.5821730000000002E-3</v>
      </c>
      <c r="H72" s="164"/>
    </row>
    <row r="73" spans="1:8" x14ac:dyDescent="0.2">
      <c r="A73" s="5">
        <v>67</v>
      </c>
      <c r="B73" s="6" t="s">
        <v>282</v>
      </c>
      <c r="C73" s="6" t="s">
        <v>283</v>
      </c>
      <c r="D73" s="6" t="s">
        <v>200</v>
      </c>
      <c r="E73" s="7">
        <v>3032</v>
      </c>
      <c r="F73" s="8">
        <v>162.43636799999999</v>
      </c>
      <c r="G73" s="9">
        <v>6.2991139999999998E-3</v>
      </c>
      <c r="H73" s="164"/>
    </row>
    <row r="74" spans="1:8" x14ac:dyDescent="0.2">
      <c r="A74" s="5">
        <v>68</v>
      </c>
      <c r="B74" s="6" t="s">
        <v>254</v>
      </c>
      <c r="C74" s="6" t="s">
        <v>255</v>
      </c>
      <c r="D74" s="6" t="s">
        <v>62</v>
      </c>
      <c r="E74" s="7">
        <v>21557</v>
      </c>
      <c r="F74" s="8">
        <v>159.87749049999999</v>
      </c>
      <c r="G74" s="9">
        <v>6.1998829999999998E-3</v>
      </c>
      <c r="H74" s="164"/>
    </row>
    <row r="75" spans="1:8" x14ac:dyDescent="0.2">
      <c r="A75" s="5">
        <v>69</v>
      </c>
      <c r="B75" s="6" t="s">
        <v>286</v>
      </c>
      <c r="C75" s="6" t="s">
        <v>287</v>
      </c>
      <c r="D75" s="6" t="s">
        <v>927</v>
      </c>
      <c r="E75" s="7">
        <v>9296</v>
      </c>
      <c r="F75" s="8">
        <v>149.03811999999999</v>
      </c>
      <c r="G75" s="9">
        <v>5.7795429999999998E-3</v>
      </c>
      <c r="H75" s="164"/>
    </row>
    <row r="76" spans="1:8" x14ac:dyDescent="0.2">
      <c r="A76" s="5">
        <v>70</v>
      </c>
      <c r="B76" s="6" t="s">
        <v>301</v>
      </c>
      <c r="C76" s="6" t="s">
        <v>302</v>
      </c>
      <c r="D76" s="6" t="s">
        <v>930</v>
      </c>
      <c r="E76" s="7">
        <v>379760</v>
      </c>
      <c r="F76" s="8">
        <v>142.03023999999999</v>
      </c>
      <c r="G76" s="9">
        <v>5.5077850000000003E-3</v>
      </c>
      <c r="H76" s="164"/>
    </row>
    <row r="77" spans="1:8" x14ac:dyDescent="0.2">
      <c r="A77" s="5">
        <v>71</v>
      </c>
      <c r="B77" s="6" t="s">
        <v>288</v>
      </c>
      <c r="C77" s="6" t="s">
        <v>289</v>
      </c>
      <c r="D77" s="6" t="s">
        <v>158</v>
      </c>
      <c r="E77" s="7">
        <v>9154</v>
      </c>
      <c r="F77" s="8">
        <v>126.59981999999999</v>
      </c>
      <c r="G77" s="9">
        <v>4.909409E-3</v>
      </c>
      <c r="H77" s="164"/>
    </row>
    <row r="78" spans="1:8" x14ac:dyDescent="0.2">
      <c r="A78" s="5">
        <v>72</v>
      </c>
      <c r="B78" s="6" t="s">
        <v>290</v>
      </c>
      <c r="C78" s="6" t="s">
        <v>291</v>
      </c>
      <c r="D78" s="6" t="s">
        <v>179</v>
      </c>
      <c r="E78" s="7">
        <v>20451</v>
      </c>
      <c r="F78" s="8">
        <v>108.7686435</v>
      </c>
      <c r="G78" s="9">
        <v>4.2179349999999999E-3</v>
      </c>
      <c r="H78" s="164"/>
    </row>
    <row r="79" spans="1:8" x14ac:dyDescent="0.2">
      <c r="A79" s="5">
        <v>73</v>
      </c>
      <c r="B79" s="6" t="s">
        <v>467</v>
      </c>
      <c r="C79" s="6" t="s">
        <v>468</v>
      </c>
      <c r="D79" s="6" t="s">
        <v>161</v>
      </c>
      <c r="E79" s="7">
        <v>6911</v>
      </c>
      <c r="F79" s="8">
        <v>23.404101499999999</v>
      </c>
      <c r="G79" s="9">
        <v>9.0758699999999996E-4</v>
      </c>
      <c r="H79" s="164"/>
    </row>
    <row r="80" spans="1:8" x14ac:dyDescent="0.2">
      <c r="A80" s="3" t="s">
        <v>9</v>
      </c>
      <c r="B80" s="3" t="s">
        <v>9</v>
      </c>
      <c r="C80" s="4" t="s">
        <v>110</v>
      </c>
      <c r="D80" s="3" t="s">
        <v>9</v>
      </c>
      <c r="E80" s="3" t="s">
        <v>9</v>
      </c>
      <c r="F80" s="11">
        <v>24869.995190000001</v>
      </c>
      <c r="G80" s="12">
        <v>0.96443256399999999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111</v>
      </c>
      <c r="D82" s="3" t="s">
        <v>9</v>
      </c>
      <c r="E82" s="3" t="s">
        <v>9</v>
      </c>
      <c r="F82" s="3" t="s">
        <v>9</v>
      </c>
      <c r="G82" s="3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112</v>
      </c>
      <c r="D85" s="3" t="s">
        <v>9</v>
      </c>
      <c r="E85" s="3" t="s">
        <v>9</v>
      </c>
      <c r="F85" s="3" t="s">
        <v>9</v>
      </c>
      <c r="G85" s="3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110</v>
      </c>
      <c r="D86" s="3" t="s">
        <v>9</v>
      </c>
      <c r="E86" s="3" t="s">
        <v>9</v>
      </c>
      <c r="F86" s="15">
        <v>0</v>
      </c>
      <c r="G86" s="16">
        <v>0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113</v>
      </c>
      <c r="D88" s="3" t="s">
        <v>9</v>
      </c>
      <c r="E88" s="3" t="s">
        <v>9</v>
      </c>
      <c r="F88" s="3" t="s">
        <v>9</v>
      </c>
      <c r="G88" s="3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110</v>
      </c>
      <c r="D89" s="3" t="s">
        <v>9</v>
      </c>
      <c r="E89" s="3" t="s">
        <v>9</v>
      </c>
      <c r="F89" s="15">
        <v>0</v>
      </c>
      <c r="G89" s="16">
        <v>0</v>
      </c>
      <c r="H89" s="164"/>
    </row>
    <row r="90" spans="1:8" x14ac:dyDescent="0.2">
      <c r="A90" s="3" t="s">
        <v>9</v>
      </c>
      <c r="B90" s="3" t="s">
        <v>9</v>
      </c>
      <c r="C90" s="13" t="s">
        <v>9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114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110</v>
      </c>
      <c r="D92" s="3" t="s">
        <v>9</v>
      </c>
      <c r="E92" s="3" t="s">
        <v>9</v>
      </c>
      <c r="F92" s="15">
        <v>0</v>
      </c>
      <c r="G92" s="16">
        <v>0</v>
      </c>
      <c r="H92" s="164"/>
    </row>
    <row r="93" spans="1:8" x14ac:dyDescent="0.2">
      <c r="A93" s="3" t="s">
        <v>9</v>
      </c>
      <c r="B93" s="3" t="s">
        <v>9</v>
      </c>
      <c r="C93" s="13" t="s">
        <v>9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115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110</v>
      </c>
      <c r="D95" s="3" t="s">
        <v>9</v>
      </c>
      <c r="E95" s="3" t="s">
        <v>9</v>
      </c>
      <c r="F95" s="15">
        <v>0</v>
      </c>
      <c r="G95" s="16">
        <v>0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116</v>
      </c>
      <c r="D97" s="3" t="s">
        <v>9</v>
      </c>
      <c r="E97" s="3" t="s">
        <v>9</v>
      </c>
      <c r="F97" s="11">
        <v>24869.995190000001</v>
      </c>
      <c r="G97" s="12">
        <v>0.96443256399999999</v>
      </c>
      <c r="H97" s="164"/>
    </row>
    <row r="98" spans="1:8" x14ac:dyDescent="0.2">
      <c r="A98" s="3" t="s">
        <v>9</v>
      </c>
      <c r="B98" s="3" t="s">
        <v>9</v>
      </c>
      <c r="C98" s="13" t="s">
        <v>9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117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ht="25.5" x14ac:dyDescent="0.2">
      <c r="A100" s="3" t="s">
        <v>9</v>
      </c>
      <c r="B100" s="3" t="s">
        <v>9</v>
      </c>
      <c r="C100" s="4" t="s">
        <v>11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110</v>
      </c>
      <c r="D101" s="3" t="s">
        <v>9</v>
      </c>
      <c r="E101" s="3" t="s">
        <v>9</v>
      </c>
      <c r="F101" s="15">
        <v>0</v>
      </c>
      <c r="G101" s="16">
        <v>0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118</v>
      </c>
      <c r="D103" s="3" t="s">
        <v>9</v>
      </c>
      <c r="E103" s="3" t="s">
        <v>9</v>
      </c>
      <c r="F103" s="3" t="s">
        <v>9</v>
      </c>
      <c r="G103" s="3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110</v>
      </c>
      <c r="D104" s="3" t="s">
        <v>9</v>
      </c>
      <c r="E104" s="3" t="s">
        <v>9</v>
      </c>
      <c r="F104" s="15">
        <v>0</v>
      </c>
      <c r="G104" s="16">
        <v>0</v>
      </c>
      <c r="H104" s="164"/>
    </row>
    <row r="105" spans="1:8" x14ac:dyDescent="0.2">
      <c r="A105" s="3" t="s">
        <v>9</v>
      </c>
      <c r="B105" s="3" t="s">
        <v>9</v>
      </c>
      <c r="C105" s="13" t="s">
        <v>9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119</v>
      </c>
      <c r="D106" s="3" t="s">
        <v>9</v>
      </c>
      <c r="E106" s="3" t="s">
        <v>9</v>
      </c>
      <c r="F106" s="3" t="s">
        <v>9</v>
      </c>
      <c r="G106" s="3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110</v>
      </c>
      <c r="D107" s="3" t="s">
        <v>9</v>
      </c>
      <c r="E107" s="3" t="s">
        <v>9</v>
      </c>
      <c r="F107" s="15">
        <v>0</v>
      </c>
      <c r="G107" s="16">
        <v>0</v>
      </c>
      <c r="H107" s="164"/>
    </row>
    <row r="108" spans="1:8" x14ac:dyDescent="0.2">
      <c r="A108" s="3" t="s">
        <v>9</v>
      </c>
      <c r="B108" s="3" t="s">
        <v>9</v>
      </c>
      <c r="C108" s="13" t="s">
        <v>9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120</v>
      </c>
      <c r="D109" s="3" t="s">
        <v>9</v>
      </c>
      <c r="E109" s="3" t="s">
        <v>9</v>
      </c>
      <c r="F109" s="14" t="s">
        <v>9</v>
      </c>
      <c r="G109" s="14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110</v>
      </c>
      <c r="D110" s="3" t="s">
        <v>9</v>
      </c>
      <c r="E110" s="3" t="s">
        <v>9</v>
      </c>
      <c r="F110" s="15">
        <v>0</v>
      </c>
      <c r="G110" s="16">
        <v>0</v>
      </c>
      <c r="H110" s="164"/>
    </row>
    <row r="111" spans="1:8" x14ac:dyDescent="0.2">
      <c r="A111" s="3" t="s">
        <v>9</v>
      </c>
      <c r="B111" s="3" t="s">
        <v>9</v>
      </c>
      <c r="C111" s="13" t="s">
        <v>9</v>
      </c>
      <c r="D111" s="3" t="s">
        <v>9</v>
      </c>
      <c r="E111" s="3" t="s">
        <v>9</v>
      </c>
      <c r="F111" s="14" t="s">
        <v>9</v>
      </c>
      <c r="G111" s="14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121</v>
      </c>
      <c r="D112" s="3" t="s">
        <v>9</v>
      </c>
      <c r="E112" s="3" t="s">
        <v>9</v>
      </c>
      <c r="F112" s="11">
        <v>0</v>
      </c>
      <c r="G112" s="12">
        <v>0</v>
      </c>
      <c r="H112" s="164"/>
    </row>
    <row r="113" spans="1:8" x14ac:dyDescent="0.2">
      <c r="A113" s="3" t="s">
        <v>9</v>
      </c>
      <c r="B113" s="3" t="s">
        <v>9</v>
      </c>
      <c r="C113" s="13" t="s">
        <v>9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3" t="s">
        <v>9</v>
      </c>
      <c r="B114" s="3" t="s">
        <v>9</v>
      </c>
      <c r="C114" s="4" t="s">
        <v>122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123</v>
      </c>
      <c r="D115" s="3" t="s">
        <v>9</v>
      </c>
      <c r="E115" s="3" t="s">
        <v>9</v>
      </c>
      <c r="F115" s="14" t="s">
        <v>9</v>
      </c>
      <c r="G115" s="14" t="s">
        <v>9</v>
      </c>
      <c r="H115" s="164"/>
    </row>
    <row r="116" spans="1:8" x14ac:dyDescent="0.2">
      <c r="A116" s="3" t="s">
        <v>9</v>
      </c>
      <c r="B116" s="3" t="s">
        <v>9</v>
      </c>
      <c r="C116" s="4" t="s">
        <v>110</v>
      </c>
      <c r="D116" s="3" t="s">
        <v>9</v>
      </c>
      <c r="E116" s="3" t="s">
        <v>9</v>
      </c>
      <c r="F116" s="15">
        <v>0</v>
      </c>
      <c r="G116" s="16">
        <v>0</v>
      </c>
      <c r="H116" s="164"/>
    </row>
    <row r="117" spans="1:8" x14ac:dyDescent="0.2">
      <c r="A117" s="3" t="s">
        <v>9</v>
      </c>
      <c r="B117" s="3" t="s">
        <v>9</v>
      </c>
      <c r="C117" s="13" t="s">
        <v>9</v>
      </c>
      <c r="D117" s="3" t="s">
        <v>9</v>
      </c>
      <c r="E117" s="3" t="s">
        <v>9</v>
      </c>
      <c r="F117" s="14" t="s">
        <v>9</v>
      </c>
      <c r="G117" s="14" t="s">
        <v>9</v>
      </c>
      <c r="H117" s="164"/>
    </row>
    <row r="118" spans="1:8" x14ac:dyDescent="0.2">
      <c r="A118" s="3" t="s">
        <v>9</v>
      </c>
      <c r="B118" s="3" t="s">
        <v>9</v>
      </c>
      <c r="C118" s="4" t="s">
        <v>124</v>
      </c>
      <c r="D118" s="3" t="s">
        <v>9</v>
      </c>
      <c r="E118" s="3" t="s">
        <v>9</v>
      </c>
      <c r="F118" s="14" t="s">
        <v>9</v>
      </c>
      <c r="G118" s="14" t="s">
        <v>9</v>
      </c>
      <c r="H118" s="164"/>
    </row>
    <row r="119" spans="1:8" x14ac:dyDescent="0.2">
      <c r="A119" s="3" t="s">
        <v>9</v>
      </c>
      <c r="B119" s="3" t="s">
        <v>9</v>
      </c>
      <c r="C119" s="4" t="s">
        <v>110</v>
      </c>
      <c r="D119" s="3" t="s">
        <v>9</v>
      </c>
      <c r="E119" s="3" t="s">
        <v>9</v>
      </c>
      <c r="F119" s="15">
        <v>0</v>
      </c>
      <c r="G119" s="16">
        <v>0</v>
      </c>
      <c r="H119" s="164"/>
    </row>
    <row r="120" spans="1:8" x14ac:dyDescent="0.2">
      <c r="A120" s="3" t="s">
        <v>9</v>
      </c>
      <c r="B120" s="3" t="s">
        <v>9</v>
      </c>
      <c r="C120" s="13" t="s">
        <v>9</v>
      </c>
      <c r="D120" s="3" t="s">
        <v>9</v>
      </c>
      <c r="E120" s="3" t="s">
        <v>9</v>
      </c>
      <c r="F120" s="14" t="s">
        <v>9</v>
      </c>
      <c r="G120" s="14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125</v>
      </c>
      <c r="D121" s="3" t="s">
        <v>9</v>
      </c>
      <c r="E121" s="3" t="s">
        <v>9</v>
      </c>
      <c r="F121" s="14" t="s">
        <v>9</v>
      </c>
      <c r="G121" s="14" t="s">
        <v>9</v>
      </c>
      <c r="H121" s="164"/>
    </row>
    <row r="122" spans="1:8" x14ac:dyDescent="0.2">
      <c r="A122" s="3" t="s">
        <v>9</v>
      </c>
      <c r="B122" s="3" t="s">
        <v>9</v>
      </c>
      <c r="C122" s="4" t="s">
        <v>110</v>
      </c>
      <c r="D122" s="3" t="s">
        <v>9</v>
      </c>
      <c r="E122" s="3" t="s">
        <v>9</v>
      </c>
      <c r="F122" s="15">
        <v>0</v>
      </c>
      <c r="G122" s="16">
        <v>0</v>
      </c>
      <c r="H122" s="164"/>
    </row>
    <row r="123" spans="1:8" x14ac:dyDescent="0.2">
      <c r="A123" s="3" t="s">
        <v>9</v>
      </c>
      <c r="B123" s="3" t="s">
        <v>9</v>
      </c>
      <c r="C123" s="13" t="s">
        <v>9</v>
      </c>
      <c r="D123" s="3" t="s">
        <v>9</v>
      </c>
      <c r="E123" s="3" t="s">
        <v>9</v>
      </c>
      <c r="F123" s="14" t="s">
        <v>9</v>
      </c>
      <c r="G123" s="14" t="s">
        <v>9</v>
      </c>
      <c r="H123" s="164"/>
    </row>
    <row r="124" spans="1:8" x14ac:dyDescent="0.2">
      <c r="A124" s="3" t="s">
        <v>9</v>
      </c>
      <c r="B124" s="3" t="s">
        <v>9</v>
      </c>
      <c r="C124" s="4" t="s">
        <v>126</v>
      </c>
      <c r="D124" s="3" t="s">
        <v>9</v>
      </c>
      <c r="E124" s="3" t="s">
        <v>9</v>
      </c>
      <c r="F124" s="14" t="s">
        <v>9</v>
      </c>
      <c r="G124" s="14" t="s">
        <v>9</v>
      </c>
      <c r="H124" s="164"/>
    </row>
    <row r="125" spans="1:8" x14ac:dyDescent="0.2">
      <c r="A125" s="5">
        <v>1</v>
      </c>
      <c r="B125" s="6"/>
      <c r="C125" s="6" t="s">
        <v>127</v>
      </c>
      <c r="D125" s="6"/>
      <c r="E125" s="10" t="s">
        <v>9</v>
      </c>
      <c r="F125" s="8">
        <v>691.86783969999999</v>
      </c>
      <c r="G125" s="9">
        <v>2.6829915999999999E-2</v>
      </c>
      <c r="H125" s="90">
        <v>3.22</v>
      </c>
    </row>
    <row r="126" spans="1:8" x14ac:dyDescent="0.2">
      <c r="A126" s="5">
        <v>2</v>
      </c>
      <c r="B126" s="6"/>
      <c r="C126" s="6" t="s">
        <v>128</v>
      </c>
      <c r="D126" s="6"/>
      <c r="E126" s="10" t="s">
        <v>9</v>
      </c>
      <c r="F126" s="8">
        <v>195.5184725</v>
      </c>
      <c r="G126" s="9">
        <v>7.5820030000000004E-3</v>
      </c>
      <c r="H126" s="90">
        <v>3.34</v>
      </c>
    </row>
    <row r="127" spans="1:8" x14ac:dyDescent="0.2">
      <c r="A127" s="3" t="s">
        <v>9</v>
      </c>
      <c r="B127" s="3" t="s">
        <v>9</v>
      </c>
      <c r="C127" s="4" t="s">
        <v>110</v>
      </c>
      <c r="D127" s="3" t="s">
        <v>9</v>
      </c>
      <c r="E127" s="3" t="s">
        <v>9</v>
      </c>
      <c r="F127" s="11">
        <v>887.38631220000002</v>
      </c>
      <c r="G127" s="12">
        <v>3.4411918999999999E-2</v>
      </c>
      <c r="H127" s="164"/>
    </row>
    <row r="128" spans="1:8" x14ac:dyDescent="0.2">
      <c r="A128" s="3" t="s">
        <v>9</v>
      </c>
      <c r="B128" s="3" t="s">
        <v>9</v>
      </c>
      <c r="C128" s="13" t="s">
        <v>9</v>
      </c>
      <c r="D128" s="3" t="s">
        <v>9</v>
      </c>
      <c r="E128" s="3" t="s">
        <v>9</v>
      </c>
      <c r="F128" s="14" t="s">
        <v>9</v>
      </c>
      <c r="G128" s="14" t="s">
        <v>9</v>
      </c>
      <c r="H128" s="164"/>
    </row>
    <row r="129" spans="1:8" x14ac:dyDescent="0.2">
      <c r="A129" s="3" t="s">
        <v>9</v>
      </c>
      <c r="B129" s="3" t="s">
        <v>9</v>
      </c>
      <c r="C129" s="4" t="s">
        <v>129</v>
      </c>
      <c r="D129" s="3" t="s">
        <v>9</v>
      </c>
      <c r="E129" s="3" t="s">
        <v>9</v>
      </c>
      <c r="F129" s="11">
        <v>887.38631220000002</v>
      </c>
      <c r="G129" s="12">
        <v>3.4411918999999999E-2</v>
      </c>
      <c r="H129" s="164"/>
    </row>
    <row r="130" spans="1:8" x14ac:dyDescent="0.2">
      <c r="A130" s="3" t="s">
        <v>9</v>
      </c>
      <c r="B130" s="3" t="s">
        <v>9</v>
      </c>
      <c r="C130" s="14" t="s">
        <v>9</v>
      </c>
      <c r="D130" s="3" t="s">
        <v>9</v>
      </c>
      <c r="E130" s="3" t="s">
        <v>9</v>
      </c>
      <c r="F130" s="3" t="s">
        <v>9</v>
      </c>
      <c r="G130" s="3" t="s">
        <v>9</v>
      </c>
      <c r="H130" s="164"/>
    </row>
    <row r="131" spans="1:8" x14ac:dyDescent="0.2">
      <c r="A131" s="3" t="s">
        <v>9</v>
      </c>
      <c r="B131" s="3" t="s">
        <v>9</v>
      </c>
      <c r="C131" s="4" t="s">
        <v>130</v>
      </c>
      <c r="D131" s="3" t="s">
        <v>9</v>
      </c>
      <c r="E131" s="3" t="s">
        <v>9</v>
      </c>
      <c r="F131" s="3" t="s">
        <v>9</v>
      </c>
      <c r="G131" s="3" t="s">
        <v>9</v>
      </c>
      <c r="H131" s="164"/>
    </row>
    <row r="132" spans="1:8" x14ac:dyDescent="0.2">
      <c r="A132" s="3" t="s">
        <v>9</v>
      </c>
      <c r="B132" s="3" t="s">
        <v>9</v>
      </c>
      <c r="C132" s="4" t="s">
        <v>131</v>
      </c>
      <c r="D132" s="3" t="s">
        <v>9</v>
      </c>
      <c r="E132" s="3" t="s">
        <v>9</v>
      </c>
      <c r="F132" s="3" t="s">
        <v>9</v>
      </c>
      <c r="G132" s="3" t="s">
        <v>9</v>
      </c>
      <c r="H132" s="164"/>
    </row>
    <row r="133" spans="1:8" x14ac:dyDescent="0.2">
      <c r="A133" s="3" t="s">
        <v>9</v>
      </c>
      <c r="B133" s="3" t="s">
        <v>9</v>
      </c>
      <c r="C133" s="4" t="s">
        <v>110</v>
      </c>
      <c r="D133" s="3" t="s">
        <v>9</v>
      </c>
      <c r="E133" s="3" t="s">
        <v>9</v>
      </c>
      <c r="F133" s="15">
        <v>0</v>
      </c>
      <c r="G133" s="16">
        <v>0</v>
      </c>
      <c r="H133" s="164"/>
    </row>
    <row r="134" spans="1:8" x14ac:dyDescent="0.2">
      <c r="A134" s="3" t="s">
        <v>9</v>
      </c>
      <c r="B134" s="3" t="s">
        <v>9</v>
      </c>
      <c r="C134" s="13" t="s">
        <v>9</v>
      </c>
      <c r="D134" s="3" t="s">
        <v>9</v>
      </c>
      <c r="E134" s="3" t="s">
        <v>9</v>
      </c>
      <c r="F134" s="14" t="s">
        <v>9</v>
      </c>
      <c r="G134" s="14" t="s">
        <v>9</v>
      </c>
      <c r="H134" s="164"/>
    </row>
    <row r="135" spans="1:8" x14ac:dyDescent="0.2">
      <c r="A135" s="3" t="s">
        <v>9</v>
      </c>
      <c r="B135" s="3" t="s">
        <v>9</v>
      </c>
      <c r="C135" s="4" t="s">
        <v>132</v>
      </c>
      <c r="D135" s="3" t="s">
        <v>9</v>
      </c>
      <c r="E135" s="3" t="s">
        <v>9</v>
      </c>
      <c r="F135" s="3" t="s">
        <v>9</v>
      </c>
      <c r="G135" s="3" t="s">
        <v>9</v>
      </c>
      <c r="H135" s="164"/>
    </row>
    <row r="136" spans="1:8" x14ac:dyDescent="0.2">
      <c r="A136" s="3" t="s">
        <v>9</v>
      </c>
      <c r="B136" s="3" t="s">
        <v>9</v>
      </c>
      <c r="C136" s="4" t="s">
        <v>133</v>
      </c>
      <c r="D136" s="3" t="s">
        <v>9</v>
      </c>
      <c r="E136" s="3" t="s">
        <v>9</v>
      </c>
      <c r="F136" s="3" t="s">
        <v>9</v>
      </c>
      <c r="G136" s="3" t="s">
        <v>9</v>
      </c>
      <c r="H136" s="164"/>
    </row>
    <row r="137" spans="1:8" x14ac:dyDescent="0.2">
      <c r="A137" s="3" t="s">
        <v>9</v>
      </c>
      <c r="B137" s="3" t="s">
        <v>9</v>
      </c>
      <c r="C137" s="4" t="s">
        <v>110</v>
      </c>
      <c r="D137" s="3" t="s">
        <v>9</v>
      </c>
      <c r="E137" s="3" t="s">
        <v>9</v>
      </c>
      <c r="F137" s="15">
        <v>0</v>
      </c>
      <c r="G137" s="16">
        <v>0</v>
      </c>
      <c r="H137" s="164"/>
    </row>
    <row r="138" spans="1:8" x14ac:dyDescent="0.2">
      <c r="A138" s="3" t="s">
        <v>9</v>
      </c>
      <c r="B138" s="3" t="s">
        <v>9</v>
      </c>
      <c r="C138" s="13" t="s">
        <v>9</v>
      </c>
      <c r="D138" s="3" t="s">
        <v>9</v>
      </c>
      <c r="E138" s="3" t="s">
        <v>9</v>
      </c>
      <c r="F138" s="14" t="s">
        <v>9</v>
      </c>
      <c r="G138" s="14" t="s">
        <v>9</v>
      </c>
      <c r="H138" s="164"/>
    </row>
    <row r="139" spans="1:8" x14ac:dyDescent="0.2">
      <c r="A139" s="3" t="s">
        <v>9</v>
      </c>
      <c r="B139" s="3" t="s">
        <v>9</v>
      </c>
      <c r="C139" s="13" t="s">
        <v>9</v>
      </c>
      <c r="D139" s="3" t="s">
        <v>9</v>
      </c>
      <c r="E139" s="3" t="s">
        <v>9</v>
      </c>
      <c r="F139" s="14" t="s">
        <v>9</v>
      </c>
      <c r="G139" s="14" t="s">
        <v>9</v>
      </c>
      <c r="H139" s="164"/>
    </row>
    <row r="140" spans="1:8" ht="25.5" x14ac:dyDescent="0.2">
      <c r="A140" s="3" t="s">
        <v>9</v>
      </c>
      <c r="B140" s="3" t="s">
        <v>9</v>
      </c>
      <c r="C140" s="4" t="s">
        <v>134</v>
      </c>
      <c r="D140" s="3" t="s">
        <v>9</v>
      </c>
      <c r="E140" s="3" t="s">
        <v>9</v>
      </c>
      <c r="F140" s="14" t="s">
        <v>9</v>
      </c>
      <c r="G140" s="14" t="s">
        <v>9</v>
      </c>
      <c r="H140" s="164"/>
    </row>
    <row r="141" spans="1:8" x14ac:dyDescent="0.2">
      <c r="A141" s="3" t="s">
        <v>9</v>
      </c>
      <c r="B141" s="3" t="s">
        <v>9</v>
      </c>
      <c r="C141" s="4" t="s">
        <v>110</v>
      </c>
      <c r="D141" s="3" t="s">
        <v>9</v>
      </c>
      <c r="E141" s="3" t="s">
        <v>9</v>
      </c>
      <c r="F141" s="15">
        <v>0</v>
      </c>
      <c r="G141" s="16">
        <v>0</v>
      </c>
      <c r="H141" s="164"/>
    </row>
    <row r="142" spans="1:8" x14ac:dyDescent="0.2">
      <c r="A142" s="3" t="s">
        <v>9</v>
      </c>
      <c r="B142" s="3" t="s">
        <v>9</v>
      </c>
      <c r="C142" s="13" t="s">
        <v>9</v>
      </c>
      <c r="D142" s="3" t="s">
        <v>9</v>
      </c>
      <c r="E142" s="3" t="s">
        <v>9</v>
      </c>
      <c r="F142" s="14" t="s">
        <v>9</v>
      </c>
      <c r="G142" s="14" t="s">
        <v>9</v>
      </c>
      <c r="H142" s="164"/>
    </row>
    <row r="143" spans="1:8" x14ac:dyDescent="0.2">
      <c r="A143" s="3" t="s">
        <v>9</v>
      </c>
      <c r="B143" s="6" t="s">
        <v>9</v>
      </c>
      <c r="C143" s="6" t="s">
        <v>9</v>
      </c>
      <c r="D143" s="4" t="s">
        <v>9</v>
      </c>
      <c r="E143" s="3" t="s">
        <v>9</v>
      </c>
      <c r="F143" s="6" t="s">
        <v>9</v>
      </c>
      <c r="G143" s="10" t="s">
        <v>9</v>
      </c>
      <c r="H143" s="164"/>
    </row>
    <row r="144" spans="1:8" x14ac:dyDescent="0.2">
      <c r="A144" s="10" t="s">
        <v>9</v>
      </c>
      <c r="B144" s="6" t="s">
        <v>9</v>
      </c>
      <c r="C144" s="6" t="s">
        <v>135</v>
      </c>
      <c r="D144" s="6" t="s">
        <v>9</v>
      </c>
      <c r="E144" s="10" t="s">
        <v>9</v>
      </c>
      <c r="F144" s="8">
        <v>29.797591799999999</v>
      </c>
      <c r="G144" s="9">
        <v>1.1555199999999999E-3</v>
      </c>
      <c r="H144" s="164"/>
    </row>
    <row r="145" spans="1:8" x14ac:dyDescent="0.2">
      <c r="A145" s="13" t="s">
        <v>9</v>
      </c>
      <c r="B145" s="13" t="s">
        <v>9</v>
      </c>
      <c r="C145" s="4" t="s">
        <v>136</v>
      </c>
      <c r="D145" s="17" t="s">
        <v>9</v>
      </c>
      <c r="E145" s="17" t="s">
        <v>9</v>
      </c>
      <c r="F145" s="11">
        <v>25787.179093999999</v>
      </c>
      <c r="G145" s="12">
        <v>1.000000003</v>
      </c>
      <c r="H145" s="164"/>
    </row>
    <row r="146" spans="1:8" ht="14.1" customHeight="1" x14ac:dyDescent="0.2">
      <c r="A146" s="18" t="s">
        <v>9</v>
      </c>
      <c r="B146" s="18" t="s">
        <v>9</v>
      </c>
      <c r="C146" s="18" t="s">
        <v>9</v>
      </c>
      <c r="D146" s="19" t="s">
        <v>9</v>
      </c>
      <c r="E146" s="19" t="s">
        <v>9</v>
      </c>
      <c r="F146" s="19" t="s">
        <v>9</v>
      </c>
      <c r="G146" s="19" t="s">
        <v>9</v>
      </c>
    </row>
    <row r="147" spans="1:8" ht="14.1" customHeight="1" x14ac:dyDescent="0.2">
      <c r="A147" s="20" t="s">
        <v>9</v>
      </c>
      <c r="B147" s="228" t="s">
        <v>9</v>
      </c>
      <c r="C147" s="228"/>
      <c r="D147" s="228"/>
      <c r="E147" s="228"/>
      <c r="F147" s="228"/>
      <c r="G147" s="22" t="s">
        <v>9</v>
      </c>
    </row>
    <row r="148" spans="1:8" ht="14.1" customHeight="1" x14ac:dyDescent="0.2">
      <c r="A148" s="20" t="s">
        <v>9</v>
      </c>
      <c r="B148" s="228" t="s">
        <v>9</v>
      </c>
      <c r="C148" s="228"/>
      <c r="D148" s="228"/>
      <c r="E148" s="228"/>
      <c r="F148" s="228"/>
      <c r="G148" s="22" t="s">
        <v>9</v>
      </c>
    </row>
    <row r="149" spans="1:8" ht="14.1" customHeight="1" x14ac:dyDescent="0.2">
      <c r="A149" s="20" t="s">
        <v>9</v>
      </c>
      <c r="B149" s="20" t="s">
        <v>9</v>
      </c>
      <c r="C149" s="20" t="s">
        <v>9</v>
      </c>
      <c r="D149" s="22" t="s">
        <v>9</v>
      </c>
      <c r="E149" s="22" t="s">
        <v>9</v>
      </c>
      <c r="F149" s="22" t="s">
        <v>9</v>
      </c>
      <c r="G149" s="22" t="s">
        <v>9</v>
      </c>
    </row>
    <row r="150" spans="1:8" ht="14.1" customHeight="1" x14ac:dyDescent="0.2">
      <c r="A150" s="20" t="s">
        <v>9</v>
      </c>
      <c r="B150" s="226" t="s">
        <v>138</v>
      </c>
      <c r="C150" s="227"/>
      <c r="D150" s="14" t="s">
        <v>9</v>
      </c>
      <c r="E150" s="23" t="s">
        <v>9</v>
      </c>
      <c r="F150" s="22" t="s">
        <v>9</v>
      </c>
      <c r="G150" s="22" t="s">
        <v>9</v>
      </c>
    </row>
    <row r="151" spans="1:8" ht="29.1" customHeight="1" x14ac:dyDescent="0.2">
      <c r="A151" s="20" t="s">
        <v>9</v>
      </c>
      <c r="B151" s="233" t="s">
        <v>139</v>
      </c>
      <c r="C151" s="234"/>
      <c r="D151" s="4" t="s">
        <v>140</v>
      </c>
      <c r="E151" s="23" t="s">
        <v>9</v>
      </c>
      <c r="F151" s="22" t="s">
        <v>9</v>
      </c>
      <c r="G151" s="22" t="s">
        <v>9</v>
      </c>
    </row>
    <row r="152" spans="1:8" ht="17.100000000000001" customHeight="1" x14ac:dyDescent="0.2">
      <c r="A152" s="20" t="s">
        <v>9</v>
      </c>
      <c r="B152" s="233" t="s">
        <v>141</v>
      </c>
      <c r="C152" s="234"/>
      <c r="D152" s="4" t="s">
        <v>140</v>
      </c>
      <c r="E152" s="23" t="s">
        <v>9</v>
      </c>
      <c r="F152" s="22" t="s">
        <v>9</v>
      </c>
      <c r="G152" s="22" t="s">
        <v>9</v>
      </c>
    </row>
    <row r="153" spans="1:8" ht="17.100000000000001" customHeight="1" x14ac:dyDescent="0.2">
      <c r="A153" s="20" t="s">
        <v>9</v>
      </c>
      <c r="B153" s="233" t="s">
        <v>142</v>
      </c>
      <c r="C153" s="234"/>
      <c r="D153" s="14" t="s">
        <v>9</v>
      </c>
      <c r="E153" s="23" t="s">
        <v>9</v>
      </c>
      <c r="F153" s="22" t="s">
        <v>9</v>
      </c>
      <c r="G153" s="22" t="s">
        <v>9</v>
      </c>
    </row>
    <row r="154" spans="1:8" ht="24" customHeight="1" x14ac:dyDescent="0.2">
      <c r="A154" s="24" t="s">
        <v>9</v>
      </c>
      <c r="B154" s="25" t="s">
        <v>9</v>
      </c>
      <c r="C154" s="25" t="s">
        <v>143</v>
      </c>
      <c r="D154" s="25" t="s">
        <v>144</v>
      </c>
      <c r="E154" s="24" t="s">
        <v>9</v>
      </c>
      <c r="F154" s="24" t="s">
        <v>9</v>
      </c>
      <c r="G154" s="24" t="s">
        <v>9</v>
      </c>
    </row>
    <row r="155" spans="1:8" ht="18" customHeight="1" x14ac:dyDescent="0.2">
      <c r="A155" s="24" t="s">
        <v>9</v>
      </c>
      <c r="B155" s="25" t="s">
        <v>145</v>
      </c>
      <c r="C155" s="25" t="s">
        <v>146</v>
      </c>
      <c r="D155" s="25" t="s">
        <v>147</v>
      </c>
      <c r="E155" s="24" t="s">
        <v>9</v>
      </c>
      <c r="F155" s="24" t="s">
        <v>9</v>
      </c>
      <c r="G155" s="24" t="s">
        <v>9</v>
      </c>
    </row>
    <row r="156" spans="1:8" ht="17.100000000000001" customHeight="1" x14ac:dyDescent="0.2">
      <c r="A156" s="24" t="s">
        <v>9</v>
      </c>
      <c r="B156" s="6" t="s">
        <v>148</v>
      </c>
      <c r="C156" s="26">
        <v>13.126200000000001</v>
      </c>
      <c r="D156" s="26">
        <v>14.242699999999999</v>
      </c>
      <c r="E156" s="24" t="s">
        <v>9</v>
      </c>
      <c r="F156" s="21" t="s">
        <v>9</v>
      </c>
      <c r="G156" s="27" t="s">
        <v>9</v>
      </c>
    </row>
    <row r="157" spans="1:8" ht="17.100000000000001" customHeight="1" x14ac:dyDescent="0.2">
      <c r="A157" s="24" t="s">
        <v>9</v>
      </c>
      <c r="B157" s="6" t="s">
        <v>839</v>
      </c>
      <c r="C157" s="26">
        <v>13.126200000000001</v>
      </c>
      <c r="D157" s="26">
        <v>14.242699999999999</v>
      </c>
      <c r="E157" s="24" t="s">
        <v>9</v>
      </c>
      <c r="F157" s="21" t="s">
        <v>9</v>
      </c>
      <c r="G157" s="27" t="s">
        <v>9</v>
      </c>
    </row>
    <row r="158" spans="1:8" ht="17.100000000000001" customHeight="1" x14ac:dyDescent="0.2">
      <c r="A158" s="24" t="s">
        <v>9</v>
      </c>
      <c r="B158" s="6" t="s">
        <v>149</v>
      </c>
      <c r="C158" s="26">
        <v>12.8117</v>
      </c>
      <c r="D158" s="26">
        <v>13.8962</v>
      </c>
      <c r="E158" s="24" t="s">
        <v>9</v>
      </c>
      <c r="F158" s="21" t="s">
        <v>9</v>
      </c>
      <c r="G158" s="27" t="s">
        <v>9</v>
      </c>
    </row>
    <row r="159" spans="1:8" ht="17.100000000000001" customHeight="1" x14ac:dyDescent="0.2">
      <c r="A159" s="24" t="s">
        <v>9</v>
      </c>
      <c r="B159" s="6" t="s">
        <v>840</v>
      </c>
      <c r="C159" s="26">
        <v>12.8117</v>
      </c>
      <c r="D159" s="26">
        <v>13.8962</v>
      </c>
      <c r="E159" s="24" t="s">
        <v>9</v>
      </c>
      <c r="F159" s="21" t="s">
        <v>9</v>
      </c>
      <c r="G159" s="27" t="s">
        <v>9</v>
      </c>
    </row>
    <row r="160" spans="1:8" ht="14.1" customHeight="1" x14ac:dyDescent="0.2">
      <c r="A160" s="24" t="s">
        <v>9</v>
      </c>
      <c r="B160" s="24" t="s">
        <v>9</v>
      </c>
      <c r="C160" s="24" t="s">
        <v>9</v>
      </c>
      <c r="D160" s="24" t="s">
        <v>9</v>
      </c>
      <c r="E160" s="24" t="s">
        <v>9</v>
      </c>
      <c r="F160" s="24" t="s">
        <v>9</v>
      </c>
      <c r="G160" s="24" t="s">
        <v>9</v>
      </c>
    </row>
    <row r="161" spans="1:7" ht="17.100000000000001" customHeight="1" x14ac:dyDescent="0.2">
      <c r="A161" s="24" t="s">
        <v>9</v>
      </c>
      <c r="B161" s="233" t="s">
        <v>1003</v>
      </c>
      <c r="C161" s="234"/>
      <c r="D161" s="4" t="s">
        <v>140</v>
      </c>
      <c r="E161" s="24" t="s">
        <v>9</v>
      </c>
      <c r="F161" s="24" t="s">
        <v>9</v>
      </c>
      <c r="G161" s="24" t="s">
        <v>9</v>
      </c>
    </row>
    <row r="162" spans="1:7" ht="18" customHeight="1" x14ac:dyDescent="0.2">
      <c r="A162" s="24" t="s">
        <v>9</v>
      </c>
      <c r="B162" s="28" t="s">
        <v>150</v>
      </c>
      <c r="C162" s="28" t="s">
        <v>150</v>
      </c>
      <c r="D162" s="28" t="s">
        <v>9</v>
      </c>
      <c r="E162" s="24" t="s">
        <v>9</v>
      </c>
      <c r="F162" s="24" t="s">
        <v>9</v>
      </c>
      <c r="G162" s="24" t="s">
        <v>9</v>
      </c>
    </row>
    <row r="163" spans="1:7" s="169" customFormat="1" x14ac:dyDescent="0.2">
      <c r="B163" s="235" t="s">
        <v>841</v>
      </c>
      <c r="C163" s="235"/>
      <c r="D163" s="235"/>
      <c r="E163" s="235"/>
      <c r="F163" s="235"/>
    </row>
    <row r="164" spans="1:7" ht="14.1" customHeight="1" x14ac:dyDescent="0.2">
      <c r="A164" s="24" t="s">
        <v>9</v>
      </c>
      <c r="B164" s="21" t="s">
        <v>9</v>
      </c>
      <c r="C164" s="21" t="s">
        <v>9</v>
      </c>
      <c r="D164" s="24" t="s">
        <v>9</v>
      </c>
      <c r="E164" s="24" t="s">
        <v>9</v>
      </c>
      <c r="F164" s="24" t="s">
        <v>9</v>
      </c>
      <c r="G164" s="24" t="s">
        <v>9</v>
      </c>
    </row>
    <row r="165" spans="1:7" ht="29.1" customHeight="1" x14ac:dyDescent="0.2">
      <c r="A165" s="24" t="s">
        <v>9</v>
      </c>
      <c r="B165" s="233" t="s">
        <v>151</v>
      </c>
      <c r="C165" s="234"/>
      <c r="D165" s="4" t="s">
        <v>140</v>
      </c>
      <c r="E165" s="24" t="s">
        <v>9</v>
      </c>
      <c r="F165" s="24" t="s">
        <v>9</v>
      </c>
      <c r="G165" s="24" t="s">
        <v>9</v>
      </c>
    </row>
    <row r="166" spans="1:7" ht="29.1" customHeight="1" x14ac:dyDescent="0.2">
      <c r="A166" s="24" t="s">
        <v>9</v>
      </c>
      <c r="B166" s="233" t="s">
        <v>152</v>
      </c>
      <c r="C166" s="234"/>
      <c r="D166" s="4" t="s">
        <v>140</v>
      </c>
      <c r="E166" s="24" t="s">
        <v>9</v>
      </c>
      <c r="F166" s="24" t="s">
        <v>9</v>
      </c>
      <c r="G166" s="24" t="s">
        <v>9</v>
      </c>
    </row>
    <row r="167" spans="1:7" ht="17.100000000000001" customHeight="1" x14ac:dyDescent="0.2">
      <c r="A167" s="24" t="s">
        <v>9</v>
      </c>
      <c r="B167" s="233" t="s">
        <v>153</v>
      </c>
      <c r="C167" s="234"/>
      <c r="D167" s="29">
        <v>0.4630808873702833</v>
      </c>
      <c r="E167" s="24" t="s">
        <v>9</v>
      </c>
      <c r="F167" s="21" t="s">
        <v>9</v>
      </c>
      <c r="G167" s="27" t="s">
        <v>9</v>
      </c>
    </row>
    <row r="168" spans="1:7" ht="17.100000000000001" customHeight="1" x14ac:dyDescent="0.2">
      <c r="A168" s="24" t="s">
        <v>9</v>
      </c>
      <c r="B168" s="233" t="s">
        <v>154</v>
      </c>
      <c r="C168" s="234"/>
      <c r="D168" s="4" t="s">
        <v>140</v>
      </c>
      <c r="E168" s="24" t="s">
        <v>9</v>
      </c>
      <c r="F168" s="24" t="s">
        <v>9</v>
      </c>
      <c r="G168" s="24" t="s">
        <v>9</v>
      </c>
    </row>
  </sheetData>
  <mergeCells count="15">
    <mergeCell ref="B167:C167"/>
    <mergeCell ref="B168:C168"/>
    <mergeCell ref="B151:C151"/>
    <mergeCell ref="B152:C152"/>
    <mergeCell ref="B153:C153"/>
    <mergeCell ref="B161:C161"/>
    <mergeCell ref="B165:C165"/>
    <mergeCell ref="B166:C166"/>
    <mergeCell ref="B163:F163"/>
    <mergeCell ref="B150:C150"/>
    <mergeCell ref="B147:F147"/>
    <mergeCell ref="B148:F148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68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469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70838</v>
      </c>
      <c r="F7" s="8">
        <v>886.96259799999996</v>
      </c>
      <c r="G7" s="9">
        <v>3.1970457000000001E-2</v>
      </c>
      <c r="H7" s="164"/>
    </row>
    <row r="8" spans="1:8" x14ac:dyDescent="0.2">
      <c r="A8" s="5">
        <v>2</v>
      </c>
      <c r="B8" s="6" t="s">
        <v>156</v>
      </c>
      <c r="C8" s="6" t="s">
        <v>157</v>
      </c>
      <c r="D8" s="6" t="s">
        <v>158</v>
      </c>
      <c r="E8" s="7">
        <v>23878</v>
      </c>
      <c r="F8" s="8">
        <v>873.27815499999997</v>
      </c>
      <c r="G8" s="9">
        <v>3.1477203000000002E-2</v>
      </c>
      <c r="H8" s="164"/>
    </row>
    <row r="9" spans="1:8" x14ac:dyDescent="0.2">
      <c r="A9" s="5">
        <v>3</v>
      </c>
      <c r="B9" s="6" t="s">
        <v>159</v>
      </c>
      <c r="C9" s="6" t="s">
        <v>160</v>
      </c>
      <c r="D9" s="6" t="s">
        <v>161</v>
      </c>
      <c r="E9" s="7">
        <v>611133</v>
      </c>
      <c r="F9" s="8">
        <v>787.44487049999998</v>
      </c>
      <c r="G9" s="9">
        <v>2.8383353E-2</v>
      </c>
      <c r="H9" s="164"/>
    </row>
    <row r="10" spans="1:8" x14ac:dyDescent="0.2">
      <c r="A10" s="5">
        <v>4</v>
      </c>
      <c r="B10" s="6" t="s">
        <v>299</v>
      </c>
      <c r="C10" s="6" t="s">
        <v>300</v>
      </c>
      <c r="D10" s="6" t="s">
        <v>28</v>
      </c>
      <c r="E10" s="7">
        <v>98456</v>
      </c>
      <c r="F10" s="8">
        <v>710.85231999999996</v>
      </c>
      <c r="G10" s="9">
        <v>2.5622584E-2</v>
      </c>
      <c r="H10" s="164"/>
    </row>
    <row r="11" spans="1:8" x14ac:dyDescent="0.2">
      <c r="A11" s="5">
        <v>5</v>
      </c>
      <c r="B11" s="6" t="s">
        <v>164</v>
      </c>
      <c r="C11" s="6" t="s">
        <v>165</v>
      </c>
      <c r="D11" s="6" t="s">
        <v>28</v>
      </c>
      <c r="E11" s="7">
        <v>90886</v>
      </c>
      <c r="F11" s="8">
        <v>694.86891300000002</v>
      </c>
      <c r="G11" s="9">
        <v>2.5046464000000001E-2</v>
      </c>
      <c r="H11" s="164"/>
    </row>
    <row r="12" spans="1:8" x14ac:dyDescent="0.2">
      <c r="A12" s="5">
        <v>6</v>
      </c>
      <c r="B12" s="6" t="s">
        <v>41</v>
      </c>
      <c r="C12" s="6" t="s">
        <v>42</v>
      </c>
      <c r="D12" s="6" t="s">
        <v>28</v>
      </c>
      <c r="E12" s="7">
        <v>55216</v>
      </c>
      <c r="F12" s="8">
        <v>640.00865599999997</v>
      </c>
      <c r="G12" s="9">
        <v>2.3069032999999999E-2</v>
      </c>
      <c r="H12" s="164"/>
    </row>
    <row r="13" spans="1:8" x14ac:dyDescent="0.2">
      <c r="A13" s="5">
        <v>7</v>
      </c>
      <c r="B13" s="6" t="s">
        <v>168</v>
      </c>
      <c r="C13" s="6" t="s">
        <v>169</v>
      </c>
      <c r="D13" s="6" t="s">
        <v>28</v>
      </c>
      <c r="E13" s="7">
        <v>84041</v>
      </c>
      <c r="F13" s="8">
        <v>595.68260799999996</v>
      </c>
      <c r="G13" s="9">
        <v>2.1471305999999999E-2</v>
      </c>
      <c r="H13" s="164"/>
    </row>
    <row r="14" spans="1:8" x14ac:dyDescent="0.2">
      <c r="A14" s="5">
        <v>8</v>
      </c>
      <c r="B14" s="6" t="s">
        <v>451</v>
      </c>
      <c r="C14" s="6" t="s">
        <v>452</v>
      </c>
      <c r="D14" s="6" t="s">
        <v>62</v>
      </c>
      <c r="E14" s="7">
        <v>175415</v>
      </c>
      <c r="F14" s="8">
        <v>564.48546999999996</v>
      </c>
      <c r="G14" s="9">
        <v>2.0346809E-2</v>
      </c>
      <c r="H14" s="164"/>
    </row>
    <row r="15" spans="1:8" ht="25.5" x14ac:dyDescent="0.2">
      <c r="A15" s="5">
        <v>9</v>
      </c>
      <c r="B15" s="6" t="s">
        <v>29</v>
      </c>
      <c r="C15" s="6" t="s">
        <v>30</v>
      </c>
      <c r="D15" s="6" t="s">
        <v>925</v>
      </c>
      <c r="E15" s="7">
        <v>16973</v>
      </c>
      <c r="F15" s="8">
        <v>553.17552950000004</v>
      </c>
      <c r="G15" s="9">
        <v>1.9939143999999999E-2</v>
      </c>
      <c r="H15" s="164"/>
    </row>
    <row r="16" spans="1:8" x14ac:dyDescent="0.2">
      <c r="A16" s="5">
        <v>10</v>
      </c>
      <c r="B16" s="6" t="s">
        <v>175</v>
      </c>
      <c r="C16" s="6" t="s">
        <v>176</v>
      </c>
      <c r="D16" s="6" t="s">
        <v>62</v>
      </c>
      <c r="E16" s="7">
        <v>126176</v>
      </c>
      <c r="F16" s="8">
        <v>533.34595200000001</v>
      </c>
      <c r="G16" s="9">
        <v>1.9224389000000001E-2</v>
      </c>
      <c r="H16" s="164"/>
    </row>
    <row r="17" spans="1:8" x14ac:dyDescent="0.2">
      <c r="A17" s="5">
        <v>11</v>
      </c>
      <c r="B17" s="6" t="s">
        <v>177</v>
      </c>
      <c r="C17" s="6" t="s">
        <v>178</v>
      </c>
      <c r="D17" s="6" t="s">
        <v>179</v>
      </c>
      <c r="E17" s="7">
        <v>188785</v>
      </c>
      <c r="F17" s="8">
        <v>531.90173749999997</v>
      </c>
      <c r="G17" s="9">
        <v>1.9172332E-2</v>
      </c>
      <c r="H17" s="164"/>
    </row>
    <row r="18" spans="1:8" x14ac:dyDescent="0.2">
      <c r="A18" s="5">
        <v>12</v>
      </c>
      <c r="B18" s="6" t="s">
        <v>180</v>
      </c>
      <c r="C18" s="6" t="s">
        <v>181</v>
      </c>
      <c r="D18" s="6" t="s">
        <v>182</v>
      </c>
      <c r="E18" s="7">
        <v>38624</v>
      </c>
      <c r="F18" s="8">
        <v>505.37572799999998</v>
      </c>
      <c r="G18" s="9">
        <v>1.8216205999999999E-2</v>
      </c>
      <c r="H18" s="164"/>
    </row>
    <row r="19" spans="1:8" x14ac:dyDescent="0.2">
      <c r="A19" s="5">
        <v>13</v>
      </c>
      <c r="B19" s="6" t="s">
        <v>189</v>
      </c>
      <c r="C19" s="6" t="s">
        <v>190</v>
      </c>
      <c r="D19" s="6" t="s">
        <v>179</v>
      </c>
      <c r="E19" s="7">
        <v>15854</v>
      </c>
      <c r="F19" s="8">
        <v>498.32292799999999</v>
      </c>
      <c r="G19" s="9">
        <v>1.7961988000000002E-2</v>
      </c>
      <c r="H19" s="164"/>
    </row>
    <row r="20" spans="1:8" x14ac:dyDescent="0.2">
      <c r="A20" s="5">
        <v>14</v>
      </c>
      <c r="B20" s="6" t="s">
        <v>187</v>
      </c>
      <c r="C20" s="6" t="s">
        <v>188</v>
      </c>
      <c r="D20" s="6" t="s">
        <v>182</v>
      </c>
      <c r="E20" s="7">
        <v>194334</v>
      </c>
      <c r="F20" s="8">
        <v>486.22366799999998</v>
      </c>
      <c r="G20" s="9">
        <v>1.7525872000000001E-2</v>
      </c>
      <c r="H20" s="164"/>
    </row>
    <row r="21" spans="1:8" ht="25.5" x14ac:dyDescent="0.2">
      <c r="A21" s="5">
        <v>15</v>
      </c>
      <c r="B21" s="6" t="s">
        <v>191</v>
      </c>
      <c r="C21" s="6" t="s">
        <v>192</v>
      </c>
      <c r="D21" s="6" t="s">
        <v>925</v>
      </c>
      <c r="E21" s="7">
        <v>174815</v>
      </c>
      <c r="F21" s="8">
        <v>462.6478975</v>
      </c>
      <c r="G21" s="9">
        <v>1.6676086E-2</v>
      </c>
      <c r="H21" s="164"/>
    </row>
    <row r="22" spans="1:8" x14ac:dyDescent="0.2">
      <c r="A22" s="5">
        <v>16</v>
      </c>
      <c r="B22" s="6" t="s">
        <v>338</v>
      </c>
      <c r="C22" s="6" t="s">
        <v>339</v>
      </c>
      <c r="D22" s="6" t="s">
        <v>195</v>
      </c>
      <c r="E22" s="7">
        <v>12356</v>
      </c>
      <c r="F22" s="8">
        <v>451.43881599999997</v>
      </c>
      <c r="G22" s="9">
        <v>1.6272056E-2</v>
      </c>
      <c r="H22" s="164"/>
    </row>
    <row r="23" spans="1:8" x14ac:dyDescent="0.2">
      <c r="A23" s="5">
        <v>17</v>
      </c>
      <c r="B23" s="6" t="s">
        <v>198</v>
      </c>
      <c r="C23" s="6" t="s">
        <v>199</v>
      </c>
      <c r="D23" s="6" t="s">
        <v>200</v>
      </c>
      <c r="E23" s="7">
        <v>96348</v>
      </c>
      <c r="F23" s="8">
        <v>433.27695599999998</v>
      </c>
      <c r="G23" s="9">
        <v>1.5617414E-2</v>
      </c>
      <c r="H23" s="164"/>
    </row>
    <row r="24" spans="1:8" x14ac:dyDescent="0.2">
      <c r="A24" s="5">
        <v>18</v>
      </c>
      <c r="B24" s="6" t="s">
        <v>196</v>
      </c>
      <c r="C24" s="6" t="s">
        <v>197</v>
      </c>
      <c r="D24" s="6" t="s">
        <v>928</v>
      </c>
      <c r="E24" s="7">
        <v>131301</v>
      </c>
      <c r="F24" s="8">
        <v>427.45040549999999</v>
      </c>
      <c r="G24" s="9">
        <v>1.5407397E-2</v>
      </c>
      <c r="H24" s="164"/>
    </row>
    <row r="25" spans="1:8" ht="25.5" x14ac:dyDescent="0.2">
      <c r="A25" s="5">
        <v>19</v>
      </c>
      <c r="B25" s="6" t="s">
        <v>201</v>
      </c>
      <c r="C25" s="6" t="s">
        <v>202</v>
      </c>
      <c r="D25" s="6" t="s">
        <v>67</v>
      </c>
      <c r="E25" s="7">
        <v>86680</v>
      </c>
      <c r="F25" s="8">
        <v>424.86201999999997</v>
      </c>
      <c r="G25" s="9">
        <v>1.5314098999999999E-2</v>
      </c>
      <c r="H25" s="164"/>
    </row>
    <row r="26" spans="1:8" x14ac:dyDescent="0.2">
      <c r="A26" s="5">
        <v>20</v>
      </c>
      <c r="B26" s="6" t="s">
        <v>203</v>
      </c>
      <c r="C26" s="6" t="s">
        <v>204</v>
      </c>
      <c r="D26" s="6" t="s">
        <v>179</v>
      </c>
      <c r="E26" s="7">
        <v>42130</v>
      </c>
      <c r="F26" s="8">
        <v>415.69671</v>
      </c>
      <c r="G26" s="9">
        <v>1.4983735999999999E-2</v>
      </c>
      <c r="H26" s="164"/>
    </row>
    <row r="27" spans="1:8" x14ac:dyDescent="0.2">
      <c r="A27" s="5">
        <v>21</v>
      </c>
      <c r="B27" s="6" t="s">
        <v>35</v>
      </c>
      <c r="C27" s="6" t="s">
        <v>36</v>
      </c>
      <c r="D27" s="6" t="s">
        <v>37</v>
      </c>
      <c r="E27" s="7">
        <v>125724</v>
      </c>
      <c r="F27" s="8">
        <v>410.17455000000001</v>
      </c>
      <c r="G27" s="9">
        <v>1.4784691000000001E-2</v>
      </c>
      <c r="H27" s="164"/>
    </row>
    <row r="28" spans="1:8" x14ac:dyDescent="0.2">
      <c r="A28" s="5">
        <v>22</v>
      </c>
      <c r="B28" s="6" t="s">
        <v>212</v>
      </c>
      <c r="C28" s="6" t="s">
        <v>213</v>
      </c>
      <c r="D28" s="6" t="s">
        <v>929</v>
      </c>
      <c r="E28" s="7">
        <v>46000</v>
      </c>
      <c r="F28" s="8">
        <v>399.90100000000001</v>
      </c>
      <c r="G28" s="9">
        <v>1.4414382E-2</v>
      </c>
      <c r="H28" s="164"/>
    </row>
    <row r="29" spans="1:8" x14ac:dyDescent="0.2">
      <c r="A29" s="5">
        <v>23</v>
      </c>
      <c r="B29" s="6" t="s">
        <v>170</v>
      </c>
      <c r="C29" s="6" t="s">
        <v>171</v>
      </c>
      <c r="D29" s="6" t="s">
        <v>172</v>
      </c>
      <c r="E29" s="7">
        <v>31437</v>
      </c>
      <c r="F29" s="8">
        <v>391.75217550000002</v>
      </c>
      <c r="G29" s="9">
        <v>1.4120659000000001E-2</v>
      </c>
      <c r="H29" s="164"/>
    </row>
    <row r="30" spans="1:8" x14ac:dyDescent="0.2">
      <c r="A30" s="5">
        <v>24</v>
      </c>
      <c r="B30" s="6" t="s">
        <v>77</v>
      </c>
      <c r="C30" s="6" t="s">
        <v>78</v>
      </c>
      <c r="D30" s="6" t="s">
        <v>62</v>
      </c>
      <c r="E30" s="7">
        <v>154536</v>
      </c>
      <c r="F30" s="8">
        <v>390.357936</v>
      </c>
      <c r="G30" s="9">
        <v>1.4070404E-2</v>
      </c>
      <c r="H30" s="164"/>
    </row>
    <row r="31" spans="1:8" x14ac:dyDescent="0.2">
      <c r="A31" s="5">
        <v>25</v>
      </c>
      <c r="B31" s="6" t="s">
        <v>185</v>
      </c>
      <c r="C31" s="6" t="s">
        <v>186</v>
      </c>
      <c r="D31" s="6" t="s">
        <v>45</v>
      </c>
      <c r="E31" s="7">
        <v>81720</v>
      </c>
      <c r="F31" s="8">
        <v>385.22807999999998</v>
      </c>
      <c r="G31" s="9">
        <v>1.3885498E-2</v>
      </c>
      <c r="H31" s="164"/>
    </row>
    <row r="32" spans="1:8" x14ac:dyDescent="0.2">
      <c r="A32" s="5">
        <v>26</v>
      </c>
      <c r="B32" s="6" t="s">
        <v>210</v>
      </c>
      <c r="C32" s="6" t="s">
        <v>211</v>
      </c>
      <c r="D32" s="6" t="s">
        <v>195</v>
      </c>
      <c r="E32" s="7">
        <v>34302</v>
      </c>
      <c r="F32" s="8">
        <v>383.97658799999999</v>
      </c>
      <c r="G32" s="9">
        <v>1.3840389E-2</v>
      </c>
      <c r="H32" s="164"/>
    </row>
    <row r="33" spans="1:8" x14ac:dyDescent="0.2">
      <c r="A33" s="5">
        <v>27</v>
      </c>
      <c r="B33" s="6" t="s">
        <v>208</v>
      </c>
      <c r="C33" s="6" t="s">
        <v>209</v>
      </c>
      <c r="D33" s="6" t="s">
        <v>161</v>
      </c>
      <c r="E33" s="7">
        <v>62966</v>
      </c>
      <c r="F33" s="8">
        <v>377.89044899999999</v>
      </c>
      <c r="G33" s="9">
        <v>1.3621014000000001E-2</v>
      </c>
      <c r="H33" s="164"/>
    </row>
    <row r="34" spans="1:8" x14ac:dyDescent="0.2">
      <c r="A34" s="5">
        <v>28</v>
      </c>
      <c r="B34" s="6" t="s">
        <v>205</v>
      </c>
      <c r="C34" s="6" t="s">
        <v>206</v>
      </c>
      <c r="D34" s="6" t="s">
        <v>207</v>
      </c>
      <c r="E34" s="7">
        <v>140250</v>
      </c>
      <c r="F34" s="8">
        <v>376.501125</v>
      </c>
      <c r="G34" s="9">
        <v>1.3570936E-2</v>
      </c>
      <c r="H34" s="164"/>
    </row>
    <row r="35" spans="1:8" x14ac:dyDescent="0.2">
      <c r="A35" s="5">
        <v>29</v>
      </c>
      <c r="B35" s="6" t="s">
        <v>216</v>
      </c>
      <c r="C35" s="6" t="s">
        <v>217</v>
      </c>
      <c r="D35" s="6" t="s">
        <v>200</v>
      </c>
      <c r="E35" s="7">
        <v>58282</v>
      </c>
      <c r="F35" s="8">
        <v>373.87903</v>
      </c>
      <c r="G35" s="9">
        <v>1.3476423E-2</v>
      </c>
      <c r="H35" s="164"/>
    </row>
    <row r="36" spans="1:8" x14ac:dyDescent="0.2">
      <c r="A36" s="5">
        <v>30</v>
      </c>
      <c r="B36" s="6" t="s">
        <v>220</v>
      </c>
      <c r="C36" s="6" t="s">
        <v>221</v>
      </c>
      <c r="D36" s="6" t="s">
        <v>28</v>
      </c>
      <c r="E36" s="7">
        <v>23281</v>
      </c>
      <c r="F36" s="8">
        <v>364.65030300000001</v>
      </c>
      <c r="G36" s="9">
        <v>1.3143775E-2</v>
      </c>
      <c r="H36" s="164"/>
    </row>
    <row r="37" spans="1:8" x14ac:dyDescent="0.2">
      <c r="A37" s="5">
        <v>31</v>
      </c>
      <c r="B37" s="6" t="s">
        <v>214</v>
      </c>
      <c r="C37" s="6" t="s">
        <v>215</v>
      </c>
      <c r="D37" s="6" t="s">
        <v>179</v>
      </c>
      <c r="E37" s="7">
        <v>8654</v>
      </c>
      <c r="F37" s="8">
        <v>362.19153499999999</v>
      </c>
      <c r="G37" s="9">
        <v>1.3055149E-2</v>
      </c>
      <c r="H37" s="164"/>
    </row>
    <row r="38" spans="1:8" x14ac:dyDescent="0.2">
      <c r="A38" s="5">
        <v>32</v>
      </c>
      <c r="B38" s="6" t="s">
        <v>193</v>
      </c>
      <c r="C38" s="6" t="s">
        <v>194</v>
      </c>
      <c r="D38" s="6" t="s">
        <v>195</v>
      </c>
      <c r="E38" s="7">
        <v>54815</v>
      </c>
      <c r="F38" s="8">
        <v>356.84564999999998</v>
      </c>
      <c r="G38" s="9">
        <v>1.2862457000000001E-2</v>
      </c>
      <c r="H38" s="164"/>
    </row>
    <row r="39" spans="1:8" x14ac:dyDescent="0.2">
      <c r="A39" s="5">
        <v>33</v>
      </c>
      <c r="B39" s="6" t="s">
        <v>222</v>
      </c>
      <c r="C39" s="6" t="s">
        <v>223</v>
      </c>
      <c r="D39" s="6" t="s">
        <v>37</v>
      </c>
      <c r="E39" s="7">
        <v>332221</v>
      </c>
      <c r="F39" s="8">
        <v>356.80535400000002</v>
      </c>
      <c r="G39" s="9">
        <v>1.2861005E-2</v>
      </c>
      <c r="H39" s="164"/>
    </row>
    <row r="40" spans="1:8" x14ac:dyDescent="0.2">
      <c r="A40" s="5">
        <v>34</v>
      </c>
      <c r="B40" s="6" t="s">
        <v>224</v>
      </c>
      <c r="C40" s="6" t="s">
        <v>225</v>
      </c>
      <c r="D40" s="6" t="s">
        <v>161</v>
      </c>
      <c r="E40" s="7">
        <v>62701</v>
      </c>
      <c r="F40" s="8">
        <v>338.45999799999998</v>
      </c>
      <c r="G40" s="9">
        <v>1.2199748999999999E-2</v>
      </c>
      <c r="H40" s="164"/>
    </row>
    <row r="41" spans="1:8" ht="25.5" x14ac:dyDescent="0.2">
      <c r="A41" s="5">
        <v>35</v>
      </c>
      <c r="B41" s="6" t="s">
        <v>453</v>
      </c>
      <c r="C41" s="6" t="s">
        <v>454</v>
      </c>
      <c r="D41" s="6" t="s">
        <v>40</v>
      </c>
      <c r="E41" s="7">
        <v>26488</v>
      </c>
      <c r="F41" s="8">
        <v>332.75549999999998</v>
      </c>
      <c r="G41" s="9">
        <v>1.1994131E-2</v>
      </c>
      <c r="H41" s="164"/>
    </row>
    <row r="42" spans="1:8" x14ac:dyDescent="0.2">
      <c r="A42" s="5">
        <v>36</v>
      </c>
      <c r="B42" s="6" t="s">
        <v>230</v>
      </c>
      <c r="C42" s="6" t="s">
        <v>231</v>
      </c>
      <c r="D42" s="6" t="s">
        <v>62</v>
      </c>
      <c r="E42" s="7">
        <v>111421</v>
      </c>
      <c r="F42" s="8">
        <v>327.24347699999998</v>
      </c>
      <c r="G42" s="9">
        <v>1.1795451E-2</v>
      </c>
      <c r="H42" s="164"/>
    </row>
    <row r="43" spans="1:8" x14ac:dyDescent="0.2">
      <c r="A43" s="5">
        <v>37</v>
      </c>
      <c r="B43" s="6" t="s">
        <v>457</v>
      </c>
      <c r="C43" s="6" t="s">
        <v>458</v>
      </c>
      <c r="D43" s="6" t="s">
        <v>50</v>
      </c>
      <c r="E43" s="7">
        <v>75234</v>
      </c>
      <c r="F43" s="8">
        <v>317.22416099999998</v>
      </c>
      <c r="G43" s="9">
        <v>1.1434306E-2</v>
      </c>
      <c r="H43" s="164"/>
    </row>
    <row r="44" spans="1:8" x14ac:dyDescent="0.2">
      <c r="A44" s="5">
        <v>38</v>
      </c>
      <c r="B44" s="6" t="s">
        <v>293</v>
      </c>
      <c r="C44" s="6" t="s">
        <v>294</v>
      </c>
      <c r="D44" s="6" t="s">
        <v>28</v>
      </c>
      <c r="E44" s="7">
        <v>23876</v>
      </c>
      <c r="F44" s="8">
        <v>314.80506000000003</v>
      </c>
      <c r="G44" s="9">
        <v>1.1347108999999999E-2</v>
      </c>
      <c r="H44" s="164"/>
    </row>
    <row r="45" spans="1:8" x14ac:dyDescent="0.2">
      <c r="A45" s="5">
        <v>39</v>
      </c>
      <c r="B45" s="6" t="s">
        <v>455</v>
      </c>
      <c r="C45" s="6" t="s">
        <v>456</v>
      </c>
      <c r="D45" s="6" t="s">
        <v>62</v>
      </c>
      <c r="E45" s="7">
        <v>37170</v>
      </c>
      <c r="F45" s="8">
        <v>313.32451500000002</v>
      </c>
      <c r="G45" s="9">
        <v>1.1293743E-2</v>
      </c>
      <c r="H45" s="164"/>
    </row>
    <row r="46" spans="1:8" x14ac:dyDescent="0.2">
      <c r="A46" s="5">
        <v>40</v>
      </c>
      <c r="B46" s="6" t="s">
        <v>236</v>
      </c>
      <c r="C46" s="6" t="s">
        <v>237</v>
      </c>
      <c r="D46" s="6" t="s">
        <v>161</v>
      </c>
      <c r="E46" s="7">
        <v>539678</v>
      </c>
      <c r="F46" s="8">
        <v>313.01324</v>
      </c>
      <c r="G46" s="9">
        <v>1.1282524E-2</v>
      </c>
      <c r="H46" s="164"/>
    </row>
    <row r="47" spans="1:8" x14ac:dyDescent="0.2">
      <c r="A47" s="5">
        <v>41</v>
      </c>
      <c r="B47" s="6" t="s">
        <v>162</v>
      </c>
      <c r="C47" s="6" t="s">
        <v>163</v>
      </c>
      <c r="D47" s="6" t="s">
        <v>158</v>
      </c>
      <c r="E47" s="7">
        <v>24941</v>
      </c>
      <c r="F47" s="8">
        <v>308.3829945</v>
      </c>
      <c r="G47" s="9">
        <v>1.1115626999999999E-2</v>
      </c>
      <c r="H47" s="164"/>
    </row>
    <row r="48" spans="1:8" x14ac:dyDescent="0.2">
      <c r="A48" s="5">
        <v>42</v>
      </c>
      <c r="B48" s="6" t="s">
        <v>228</v>
      </c>
      <c r="C48" s="6" t="s">
        <v>229</v>
      </c>
      <c r="D48" s="6" t="s">
        <v>62</v>
      </c>
      <c r="E48" s="7">
        <v>39831</v>
      </c>
      <c r="F48" s="8">
        <v>307.87371450000001</v>
      </c>
      <c r="G48" s="9">
        <v>1.1097269999999999E-2</v>
      </c>
      <c r="H48" s="164"/>
    </row>
    <row r="49" spans="1:8" x14ac:dyDescent="0.2">
      <c r="A49" s="5">
        <v>43</v>
      </c>
      <c r="B49" s="6" t="s">
        <v>238</v>
      </c>
      <c r="C49" s="6" t="s">
        <v>239</v>
      </c>
      <c r="D49" s="6" t="s">
        <v>195</v>
      </c>
      <c r="E49" s="7">
        <v>73821</v>
      </c>
      <c r="F49" s="8">
        <v>305.17601400000001</v>
      </c>
      <c r="G49" s="9">
        <v>1.1000032E-2</v>
      </c>
      <c r="H49" s="164"/>
    </row>
    <row r="50" spans="1:8" ht="25.5" x14ac:dyDescent="0.2">
      <c r="A50" s="5">
        <v>44</v>
      </c>
      <c r="B50" s="6" t="s">
        <v>234</v>
      </c>
      <c r="C50" s="6" t="s">
        <v>235</v>
      </c>
      <c r="D50" s="6" t="s">
        <v>67</v>
      </c>
      <c r="E50" s="7">
        <v>68454</v>
      </c>
      <c r="F50" s="8">
        <v>302.90895</v>
      </c>
      <c r="G50" s="9">
        <v>1.0918316000000001E-2</v>
      </c>
      <c r="H50" s="164"/>
    </row>
    <row r="51" spans="1:8" x14ac:dyDescent="0.2">
      <c r="A51" s="5">
        <v>45</v>
      </c>
      <c r="B51" s="6" t="s">
        <v>244</v>
      </c>
      <c r="C51" s="6" t="s">
        <v>245</v>
      </c>
      <c r="D51" s="6" t="s">
        <v>200</v>
      </c>
      <c r="E51" s="7">
        <v>16433</v>
      </c>
      <c r="F51" s="8">
        <v>297.97137249999997</v>
      </c>
      <c r="G51" s="9">
        <v>1.0740341E-2</v>
      </c>
      <c r="H51" s="164"/>
    </row>
    <row r="52" spans="1:8" ht="25.5" x14ac:dyDescent="0.2">
      <c r="A52" s="5">
        <v>46</v>
      </c>
      <c r="B52" s="6" t="s">
        <v>246</v>
      </c>
      <c r="C52" s="6" t="s">
        <v>247</v>
      </c>
      <c r="D52" s="6" t="s">
        <v>40</v>
      </c>
      <c r="E52" s="7">
        <v>378656</v>
      </c>
      <c r="F52" s="8">
        <v>296.86630400000001</v>
      </c>
      <c r="G52" s="9">
        <v>1.0700509E-2</v>
      </c>
      <c r="H52" s="164"/>
    </row>
    <row r="53" spans="1:8" x14ac:dyDescent="0.2">
      <c r="A53" s="5">
        <v>47</v>
      </c>
      <c r="B53" s="6" t="s">
        <v>232</v>
      </c>
      <c r="C53" s="6" t="s">
        <v>233</v>
      </c>
      <c r="D53" s="6" t="s">
        <v>37</v>
      </c>
      <c r="E53" s="7">
        <v>34149</v>
      </c>
      <c r="F53" s="8">
        <v>294.92783850000001</v>
      </c>
      <c r="G53" s="9">
        <v>1.0630637E-2</v>
      </c>
      <c r="H53" s="164"/>
    </row>
    <row r="54" spans="1:8" x14ac:dyDescent="0.2">
      <c r="A54" s="5">
        <v>48</v>
      </c>
      <c r="B54" s="6" t="s">
        <v>459</v>
      </c>
      <c r="C54" s="6" t="s">
        <v>460</v>
      </c>
      <c r="D54" s="6" t="s">
        <v>207</v>
      </c>
      <c r="E54" s="7">
        <v>50258</v>
      </c>
      <c r="F54" s="8">
        <v>294.16007400000001</v>
      </c>
      <c r="G54" s="9">
        <v>1.0602963E-2</v>
      </c>
      <c r="H54" s="164"/>
    </row>
    <row r="55" spans="1:8" x14ac:dyDescent="0.2">
      <c r="A55" s="5">
        <v>49</v>
      </c>
      <c r="B55" s="6" t="s">
        <v>242</v>
      </c>
      <c r="C55" s="6" t="s">
        <v>243</v>
      </c>
      <c r="D55" s="6" t="s">
        <v>59</v>
      </c>
      <c r="E55" s="7">
        <v>22179</v>
      </c>
      <c r="F55" s="8">
        <v>292.9735005</v>
      </c>
      <c r="G55" s="9">
        <v>1.0560194E-2</v>
      </c>
      <c r="H55" s="164"/>
    </row>
    <row r="56" spans="1:8" ht="25.5" x14ac:dyDescent="0.2">
      <c r="A56" s="5">
        <v>50</v>
      </c>
      <c r="B56" s="6" t="s">
        <v>248</v>
      </c>
      <c r="C56" s="6" t="s">
        <v>249</v>
      </c>
      <c r="D56" s="6" t="s">
        <v>67</v>
      </c>
      <c r="E56" s="7">
        <v>65469</v>
      </c>
      <c r="F56" s="8">
        <v>286.09953000000002</v>
      </c>
      <c r="G56" s="9">
        <v>1.0312422E-2</v>
      </c>
      <c r="H56" s="164"/>
    </row>
    <row r="57" spans="1:8" x14ac:dyDescent="0.2">
      <c r="A57" s="5">
        <v>51</v>
      </c>
      <c r="B57" s="6" t="s">
        <v>251</v>
      </c>
      <c r="C57" s="6" t="s">
        <v>252</v>
      </c>
      <c r="D57" s="6" t="s">
        <v>253</v>
      </c>
      <c r="E57" s="7">
        <v>58883</v>
      </c>
      <c r="F57" s="8">
        <v>283.08002249999998</v>
      </c>
      <c r="G57" s="9">
        <v>1.0203584E-2</v>
      </c>
      <c r="H57" s="164"/>
    </row>
    <row r="58" spans="1:8" x14ac:dyDescent="0.2">
      <c r="A58" s="5">
        <v>52</v>
      </c>
      <c r="B58" s="6" t="s">
        <v>46</v>
      </c>
      <c r="C58" s="6" t="s">
        <v>47</v>
      </c>
      <c r="D58" s="6" t="s">
        <v>28</v>
      </c>
      <c r="E58" s="7">
        <v>14667</v>
      </c>
      <c r="F58" s="8">
        <v>278.65833300000003</v>
      </c>
      <c r="G58" s="9">
        <v>1.0044205E-2</v>
      </c>
      <c r="H58" s="164"/>
    </row>
    <row r="59" spans="1:8" x14ac:dyDescent="0.2">
      <c r="A59" s="5">
        <v>53</v>
      </c>
      <c r="B59" s="6" t="s">
        <v>461</v>
      </c>
      <c r="C59" s="6" t="s">
        <v>462</v>
      </c>
      <c r="D59" s="6" t="s">
        <v>28</v>
      </c>
      <c r="E59" s="7">
        <v>40294</v>
      </c>
      <c r="F59" s="8">
        <v>271.15847300000001</v>
      </c>
      <c r="G59" s="9">
        <v>9.7738740000000001E-3</v>
      </c>
      <c r="H59" s="164"/>
    </row>
    <row r="60" spans="1:8" x14ac:dyDescent="0.2">
      <c r="A60" s="5">
        <v>54</v>
      </c>
      <c r="B60" s="6" t="s">
        <v>256</v>
      </c>
      <c r="C60" s="6" t="s">
        <v>257</v>
      </c>
      <c r="D60" s="6" t="s">
        <v>930</v>
      </c>
      <c r="E60" s="7">
        <v>48094</v>
      </c>
      <c r="F60" s="8">
        <v>269.44663500000001</v>
      </c>
      <c r="G60" s="9">
        <v>9.7121710000000003E-3</v>
      </c>
      <c r="H60" s="164"/>
    </row>
    <row r="61" spans="1:8" ht="25.5" x14ac:dyDescent="0.2">
      <c r="A61" s="5">
        <v>55</v>
      </c>
      <c r="B61" s="6" t="s">
        <v>258</v>
      </c>
      <c r="C61" s="6" t="s">
        <v>259</v>
      </c>
      <c r="D61" s="6" t="s">
        <v>931</v>
      </c>
      <c r="E61" s="7">
        <v>265375</v>
      </c>
      <c r="F61" s="8">
        <v>264.57887499999998</v>
      </c>
      <c r="G61" s="9">
        <v>9.5367130000000005E-3</v>
      </c>
      <c r="H61" s="164"/>
    </row>
    <row r="62" spans="1:8" x14ac:dyDescent="0.2">
      <c r="A62" s="5">
        <v>56</v>
      </c>
      <c r="B62" s="6" t="s">
        <v>260</v>
      </c>
      <c r="C62" s="6" t="s">
        <v>261</v>
      </c>
      <c r="D62" s="6" t="s">
        <v>930</v>
      </c>
      <c r="E62" s="7">
        <v>62864</v>
      </c>
      <c r="F62" s="8">
        <v>257.176624</v>
      </c>
      <c r="G62" s="9">
        <v>9.2698999999999993E-3</v>
      </c>
      <c r="H62" s="164"/>
    </row>
    <row r="63" spans="1:8" x14ac:dyDescent="0.2">
      <c r="A63" s="5">
        <v>57</v>
      </c>
      <c r="B63" s="6" t="s">
        <v>267</v>
      </c>
      <c r="C63" s="6" t="s">
        <v>268</v>
      </c>
      <c r="D63" s="6" t="s">
        <v>195</v>
      </c>
      <c r="E63" s="7">
        <v>33763</v>
      </c>
      <c r="F63" s="8">
        <v>250.36952650000001</v>
      </c>
      <c r="G63" s="9">
        <v>9.0245389999999998E-3</v>
      </c>
      <c r="H63" s="164"/>
    </row>
    <row r="64" spans="1:8" x14ac:dyDescent="0.2">
      <c r="A64" s="5">
        <v>58</v>
      </c>
      <c r="B64" s="6" t="s">
        <v>264</v>
      </c>
      <c r="C64" s="6" t="s">
        <v>265</v>
      </c>
      <c r="D64" s="6" t="s">
        <v>266</v>
      </c>
      <c r="E64" s="7">
        <v>30195</v>
      </c>
      <c r="F64" s="8">
        <v>244.1416725</v>
      </c>
      <c r="G64" s="9">
        <v>8.8000560000000005E-3</v>
      </c>
      <c r="H64" s="164"/>
    </row>
    <row r="65" spans="1:8" x14ac:dyDescent="0.2">
      <c r="A65" s="5">
        <v>59</v>
      </c>
      <c r="B65" s="6" t="s">
        <v>271</v>
      </c>
      <c r="C65" s="6" t="s">
        <v>272</v>
      </c>
      <c r="D65" s="6" t="s">
        <v>346</v>
      </c>
      <c r="E65" s="7">
        <v>23991</v>
      </c>
      <c r="F65" s="8">
        <v>231.30922649999999</v>
      </c>
      <c r="G65" s="9">
        <v>8.337512E-3</v>
      </c>
      <c r="H65" s="164"/>
    </row>
    <row r="66" spans="1:8" x14ac:dyDescent="0.2">
      <c r="A66" s="5">
        <v>60</v>
      </c>
      <c r="B66" s="6" t="s">
        <v>273</v>
      </c>
      <c r="C66" s="6" t="s">
        <v>274</v>
      </c>
      <c r="D66" s="6" t="s">
        <v>22</v>
      </c>
      <c r="E66" s="7">
        <v>216684</v>
      </c>
      <c r="F66" s="8">
        <v>227.51820000000001</v>
      </c>
      <c r="G66" s="9">
        <v>8.2008649999999999E-3</v>
      </c>
      <c r="H66" s="164"/>
    </row>
    <row r="67" spans="1:8" ht="25.5" x14ac:dyDescent="0.2">
      <c r="A67" s="5">
        <v>61</v>
      </c>
      <c r="B67" s="6" t="s">
        <v>240</v>
      </c>
      <c r="C67" s="6" t="s">
        <v>241</v>
      </c>
      <c r="D67" s="6" t="s">
        <v>925</v>
      </c>
      <c r="E67" s="7">
        <v>117212</v>
      </c>
      <c r="F67" s="8">
        <v>225.222858</v>
      </c>
      <c r="G67" s="9">
        <v>8.1181299999999994E-3</v>
      </c>
      <c r="H67" s="164"/>
    </row>
    <row r="68" spans="1:8" x14ac:dyDescent="0.2">
      <c r="A68" s="5">
        <v>62</v>
      </c>
      <c r="B68" s="6" t="s">
        <v>463</v>
      </c>
      <c r="C68" s="6" t="s">
        <v>464</v>
      </c>
      <c r="D68" s="6" t="s">
        <v>927</v>
      </c>
      <c r="E68" s="7">
        <v>199749</v>
      </c>
      <c r="F68" s="8">
        <v>223.61900549999999</v>
      </c>
      <c r="G68" s="9">
        <v>8.0603189999999998E-3</v>
      </c>
      <c r="H68" s="164"/>
    </row>
    <row r="69" spans="1:8" ht="25.5" x14ac:dyDescent="0.2">
      <c r="A69" s="5">
        <v>63</v>
      </c>
      <c r="B69" s="6" t="s">
        <v>226</v>
      </c>
      <c r="C69" s="6" t="s">
        <v>227</v>
      </c>
      <c r="D69" s="6" t="s">
        <v>62</v>
      </c>
      <c r="E69" s="7">
        <v>9707</v>
      </c>
      <c r="F69" s="8">
        <v>222.51356100000001</v>
      </c>
      <c r="G69" s="9">
        <v>8.0204739999999997E-3</v>
      </c>
      <c r="H69" s="164"/>
    </row>
    <row r="70" spans="1:8" x14ac:dyDescent="0.2">
      <c r="A70" s="5">
        <v>64</v>
      </c>
      <c r="B70" s="6" t="s">
        <v>275</v>
      </c>
      <c r="C70" s="6" t="s">
        <v>276</v>
      </c>
      <c r="D70" s="6" t="s">
        <v>277</v>
      </c>
      <c r="E70" s="7">
        <v>81931</v>
      </c>
      <c r="F70" s="8">
        <v>212.40611749999999</v>
      </c>
      <c r="G70" s="9">
        <v>7.6561520000000003E-3</v>
      </c>
      <c r="H70" s="164"/>
    </row>
    <row r="71" spans="1:8" x14ac:dyDescent="0.2">
      <c r="A71" s="5">
        <v>65</v>
      </c>
      <c r="B71" s="6" t="s">
        <v>173</v>
      </c>
      <c r="C71" s="6" t="s">
        <v>174</v>
      </c>
      <c r="D71" s="6" t="s">
        <v>179</v>
      </c>
      <c r="E71" s="7">
        <v>14757</v>
      </c>
      <c r="F71" s="8">
        <v>200.93131199999999</v>
      </c>
      <c r="G71" s="9">
        <v>7.2425440000000001E-3</v>
      </c>
      <c r="H71" s="164"/>
    </row>
    <row r="72" spans="1:8" x14ac:dyDescent="0.2">
      <c r="A72" s="5">
        <v>66</v>
      </c>
      <c r="B72" s="6" t="s">
        <v>465</v>
      </c>
      <c r="C72" s="6" t="s">
        <v>466</v>
      </c>
      <c r="D72" s="6" t="s">
        <v>161</v>
      </c>
      <c r="E72" s="7">
        <v>30109</v>
      </c>
      <c r="F72" s="8">
        <v>200.19474099999999</v>
      </c>
      <c r="G72" s="9">
        <v>7.2159950000000002E-3</v>
      </c>
      <c r="H72" s="164"/>
    </row>
    <row r="73" spans="1:8" x14ac:dyDescent="0.2">
      <c r="A73" s="5">
        <v>67</v>
      </c>
      <c r="B73" s="6" t="s">
        <v>282</v>
      </c>
      <c r="C73" s="6" t="s">
        <v>283</v>
      </c>
      <c r="D73" s="6" t="s">
        <v>200</v>
      </c>
      <c r="E73" s="7">
        <v>3290</v>
      </c>
      <c r="F73" s="8">
        <v>176.25846000000001</v>
      </c>
      <c r="G73" s="9">
        <v>6.3532140000000003E-3</v>
      </c>
      <c r="H73" s="164"/>
    </row>
    <row r="74" spans="1:8" x14ac:dyDescent="0.2">
      <c r="A74" s="5">
        <v>68</v>
      </c>
      <c r="B74" s="6" t="s">
        <v>254</v>
      </c>
      <c r="C74" s="6" t="s">
        <v>255</v>
      </c>
      <c r="D74" s="6" t="s">
        <v>62</v>
      </c>
      <c r="E74" s="7">
        <v>23426</v>
      </c>
      <c r="F74" s="8">
        <v>173.73892900000001</v>
      </c>
      <c r="G74" s="9">
        <v>6.2623979999999997E-3</v>
      </c>
      <c r="H74" s="164"/>
    </row>
    <row r="75" spans="1:8" x14ac:dyDescent="0.2">
      <c r="A75" s="5">
        <v>69</v>
      </c>
      <c r="B75" s="6" t="s">
        <v>286</v>
      </c>
      <c r="C75" s="6" t="s">
        <v>287</v>
      </c>
      <c r="D75" s="6" t="s">
        <v>927</v>
      </c>
      <c r="E75" s="7">
        <v>10084</v>
      </c>
      <c r="F75" s="8">
        <v>161.67173</v>
      </c>
      <c r="G75" s="9">
        <v>5.8274379999999999E-3</v>
      </c>
      <c r="H75" s="164"/>
    </row>
    <row r="76" spans="1:8" x14ac:dyDescent="0.2">
      <c r="A76" s="5">
        <v>70</v>
      </c>
      <c r="B76" s="6" t="s">
        <v>301</v>
      </c>
      <c r="C76" s="6" t="s">
        <v>302</v>
      </c>
      <c r="D76" s="6" t="s">
        <v>930</v>
      </c>
      <c r="E76" s="7">
        <v>402399</v>
      </c>
      <c r="F76" s="8">
        <v>150.49722600000001</v>
      </c>
      <c r="G76" s="9">
        <v>5.4246540000000001E-3</v>
      </c>
      <c r="H76" s="164"/>
    </row>
    <row r="77" spans="1:8" x14ac:dyDescent="0.2">
      <c r="A77" s="5">
        <v>71</v>
      </c>
      <c r="B77" s="6" t="s">
        <v>288</v>
      </c>
      <c r="C77" s="6" t="s">
        <v>289</v>
      </c>
      <c r="D77" s="6" t="s">
        <v>158</v>
      </c>
      <c r="E77" s="7">
        <v>9638</v>
      </c>
      <c r="F77" s="8">
        <v>133.29354000000001</v>
      </c>
      <c r="G77" s="9">
        <v>4.804549E-3</v>
      </c>
      <c r="H77" s="164"/>
    </row>
    <row r="78" spans="1:8" x14ac:dyDescent="0.2">
      <c r="A78" s="5">
        <v>72</v>
      </c>
      <c r="B78" s="6" t="s">
        <v>290</v>
      </c>
      <c r="C78" s="6" t="s">
        <v>291</v>
      </c>
      <c r="D78" s="6" t="s">
        <v>179</v>
      </c>
      <c r="E78" s="7">
        <v>22156</v>
      </c>
      <c r="F78" s="8">
        <v>117.836686</v>
      </c>
      <c r="G78" s="9">
        <v>4.2474089999999997E-3</v>
      </c>
      <c r="H78" s="164"/>
    </row>
    <row r="79" spans="1:8" ht="25.5" x14ac:dyDescent="0.2">
      <c r="A79" s="5">
        <v>73</v>
      </c>
      <c r="B79" s="6" t="s">
        <v>262</v>
      </c>
      <c r="C79" s="6" t="s">
        <v>263</v>
      </c>
      <c r="D79" s="6" t="s">
        <v>158</v>
      </c>
      <c r="E79" s="7">
        <v>23130</v>
      </c>
      <c r="F79" s="8">
        <v>88.981110000000001</v>
      </c>
      <c r="G79" s="9">
        <v>3.2073129999999998E-3</v>
      </c>
      <c r="H79" s="164"/>
    </row>
    <row r="80" spans="1:8" x14ac:dyDescent="0.2">
      <c r="A80" s="3" t="s">
        <v>9</v>
      </c>
      <c r="B80" s="3" t="s">
        <v>9</v>
      </c>
      <c r="C80" s="4" t="s">
        <v>110</v>
      </c>
      <c r="D80" s="3" t="s">
        <v>9</v>
      </c>
      <c r="E80" s="3" t="s">
        <v>9</v>
      </c>
      <c r="F80" s="11">
        <v>26516.2248215</v>
      </c>
      <c r="G80" s="12">
        <v>0.95577404200000005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111</v>
      </c>
      <c r="D82" s="3" t="s">
        <v>9</v>
      </c>
      <c r="E82" s="3" t="s">
        <v>9</v>
      </c>
      <c r="F82" s="3" t="s">
        <v>9</v>
      </c>
      <c r="G82" s="3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112</v>
      </c>
      <c r="D85" s="3" t="s">
        <v>9</v>
      </c>
      <c r="E85" s="3" t="s">
        <v>9</v>
      </c>
      <c r="F85" s="3" t="s">
        <v>9</v>
      </c>
      <c r="G85" s="3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110</v>
      </c>
      <c r="D86" s="3" t="s">
        <v>9</v>
      </c>
      <c r="E86" s="3" t="s">
        <v>9</v>
      </c>
      <c r="F86" s="15">
        <v>0</v>
      </c>
      <c r="G86" s="16">
        <v>0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113</v>
      </c>
      <c r="D88" s="3" t="s">
        <v>9</v>
      </c>
      <c r="E88" s="3" t="s">
        <v>9</v>
      </c>
      <c r="F88" s="3" t="s">
        <v>9</v>
      </c>
      <c r="G88" s="3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110</v>
      </c>
      <c r="D89" s="3" t="s">
        <v>9</v>
      </c>
      <c r="E89" s="3" t="s">
        <v>9</v>
      </c>
      <c r="F89" s="15">
        <v>0</v>
      </c>
      <c r="G89" s="16">
        <v>0</v>
      </c>
      <c r="H89" s="164"/>
    </row>
    <row r="90" spans="1:8" x14ac:dyDescent="0.2">
      <c r="A90" s="3" t="s">
        <v>9</v>
      </c>
      <c r="B90" s="3" t="s">
        <v>9</v>
      </c>
      <c r="C90" s="13" t="s">
        <v>9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114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110</v>
      </c>
      <c r="D92" s="3" t="s">
        <v>9</v>
      </c>
      <c r="E92" s="3" t="s">
        <v>9</v>
      </c>
      <c r="F92" s="15">
        <v>0</v>
      </c>
      <c r="G92" s="16">
        <v>0</v>
      </c>
      <c r="H92" s="164"/>
    </row>
    <row r="93" spans="1:8" x14ac:dyDescent="0.2">
      <c r="A93" s="3" t="s">
        <v>9</v>
      </c>
      <c r="B93" s="3" t="s">
        <v>9</v>
      </c>
      <c r="C93" s="13" t="s">
        <v>9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115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110</v>
      </c>
      <c r="D95" s="3" t="s">
        <v>9</v>
      </c>
      <c r="E95" s="3" t="s">
        <v>9</v>
      </c>
      <c r="F95" s="15">
        <v>0</v>
      </c>
      <c r="G95" s="16">
        <v>0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116</v>
      </c>
      <c r="D97" s="3" t="s">
        <v>9</v>
      </c>
      <c r="E97" s="3" t="s">
        <v>9</v>
      </c>
      <c r="F97" s="11">
        <v>26516.2248215</v>
      </c>
      <c r="G97" s="12">
        <v>0.95577404200000005</v>
      </c>
      <c r="H97" s="164"/>
    </row>
    <row r="98" spans="1:8" x14ac:dyDescent="0.2">
      <c r="A98" s="3" t="s">
        <v>9</v>
      </c>
      <c r="B98" s="3" t="s">
        <v>9</v>
      </c>
      <c r="C98" s="13" t="s">
        <v>9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117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ht="25.5" x14ac:dyDescent="0.2">
      <c r="A100" s="3" t="s">
        <v>9</v>
      </c>
      <c r="B100" s="3" t="s">
        <v>9</v>
      </c>
      <c r="C100" s="4" t="s">
        <v>11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110</v>
      </c>
      <c r="D101" s="3" t="s">
        <v>9</v>
      </c>
      <c r="E101" s="3" t="s">
        <v>9</v>
      </c>
      <c r="F101" s="15">
        <v>0</v>
      </c>
      <c r="G101" s="16">
        <v>0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118</v>
      </c>
      <c r="D103" s="3" t="s">
        <v>9</v>
      </c>
      <c r="E103" s="3" t="s">
        <v>9</v>
      </c>
      <c r="F103" s="3" t="s">
        <v>9</v>
      </c>
      <c r="G103" s="3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110</v>
      </c>
      <c r="D104" s="3" t="s">
        <v>9</v>
      </c>
      <c r="E104" s="3" t="s">
        <v>9</v>
      </c>
      <c r="F104" s="15">
        <v>0</v>
      </c>
      <c r="G104" s="16">
        <v>0</v>
      </c>
      <c r="H104" s="164"/>
    </row>
    <row r="105" spans="1:8" x14ac:dyDescent="0.2">
      <c r="A105" s="3" t="s">
        <v>9</v>
      </c>
      <c r="B105" s="3" t="s">
        <v>9</v>
      </c>
      <c r="C105" s="13" t="s">
        <v>9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119</v>
      </c>
      <c r="D106" s="3" t="s">
        <v>9</v>
      </c>
      <c r="E106" s="3" t="s">
        <v>9</v>
      </c>
      <c r="F106" s="3" t="s">
        <v>9</v>
      </c>
      <c r="G106" s="3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110</v>
      </c>
      <c r="D107" s="3" t="s">
        <v>9</v>
      </c>
      <c r="E107" s="3" t="s">
        <v>9</v>
      </c>
      <c r="F107" s="15">
        <v>0</v>
      </c>
      <c r="G107" s="16">
        <v>0</v>
      </c>
      <c r="H107" s="164"/>
    </row>
    <row r="108" spans="1:8" x14ac:dyDescent="0.2">
      <c r="A108" s="3" t="s">
        <v>9</v>
      </c>
      <c r="B108" s="3" t="s">
        <v>9</v>
      </c>
      <c r="C108" s="13" t="s">
        <v>9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120</v>
      </c>
      <c r="D109" s="3" t="s">
        <v>9</v>
      </c>
      <c r="E109" s="3" t="s">
        <v>9</v>
      </c>
      <c r="F109" s="14" t="s">
        <v>9</v>
      </c>
      <c r="G109" s="14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110</v>
      </c>
      <c r="D110" s="3" t="s">
        <v>9</v>
      </c>
      <c r="E110" s="3" t="s">
        <v>9</v>
      </c>
      <c r="F110" s="15">
        <v>0</v>
      </c>
      <c r="G110" s="16">
        <v>0</v>
      </c>
      <c r="H110" s="164"/>
    </row>
    <row r="111" spans="1:8" x14ac:dyDescent="0.2">
      <c r="A111" s="3" t="s">
        <v>9</v>
      </c>
      <c r="B111" s="3" t="s">
        <v>9</v>
      </c>
      <c r="C111" s="13" t="s">
        <v>9</v>
      </c>
      <c r="D111" s="3" t="s">
        <v>9</v>
      </c>
      <c r="E111" s="3" t="s">
        <v>9</v>
      </c>
      <c r="F111" s="14" t="s">
        <v>9</v>
      </c>
      <c r="G111" s="14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121</v>
      </c>
      <c r="D112" s="3" t="s">
        <v>9</v>
      </c>
      <c r="E112" s="3" t="s">
        <v>9</v>
      </c>
      <c r="F112" s="11">
        <v>0</v>
      </c>
      <c r="G112" s="12">
        <v>0</v>
      </c>
      <c r="H112" s="164"/>
    </row>
    <row r="113" spans="1:8" x14ac:dyDescent="0.2">
      <c r="A113" s="3" t="s">
        <v>9</v>
      </c>
      <c r="B113" s="3" t="s">
        <v>9</v>
      </c>
      <c r="C113" s="13" t="s">
        <v>9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3" t="s">
        <v>9</v>
      </c>
      <c r="B114" s="3" t="s">
        <v>9</v>
      </c>
      <c r="C114" s="4" t="s">
        <v>122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123</v>
      </c>
      <c r="D115" s="3" t="s">
        <v>9</v>
      </c>
      <c r="E115" s="3" t="s">
        <v>9</v>
      </c>
      <c r="F115" s="14" t="s">
        <v>9</v>
      </c>
      <c r="G115" s="14" t="s">
        <v>9</v>
      </c>
      <c r="H115" s="164"/>
    </row>
    <row r="116" spans="1:8" x14ac:dyDescent="0.2">
      <c r="A116" s="3" t="s">
        <v>9</v>
      </c>
      <c r="B116" s="3" t="s">
        <v>9</v>
      </c>
      <c r="C116" s="4" t="s">
        <v>110</v>
      </c>
      <c r="D116" s="3" t="s">
        <v>9</v>
      </c>
      <c r="E116" s="3" t="s">
        <v>9</v>
      </c>
      <c r="F116" s="15">
        <v>0</v>
      </c>
      <c r="G116" s="16">
        <v>0</v>
      </c>
      <c r="H116" s="164"/>
    </row>
    <row r="117" spans="1:8" x14ac:dyDescent="0.2">
      <c r="A117" s="3" t="s">
        <v>9</v>
      </c>
      <c r="B117" s="3" t="s">
        <v>9</v>
      </c>
      <c r="C117" s="13" t="s">
        <v>9</v>
      </c>
      <c r="D117" s="3" t="s">
        <v>9</v>
      </c>
      <c r="E117" s="3" t="s">
        <v>9</v>
      </c>
      <c r="F117" s="14" t="s">
        <v>9</v>
      </c>
      <c r="G117" s="14" t="s">
        <v>9</v>
      </c>
      <c r="H117" s="164"/>
    </row>
    <row r="118" spans="1:8" x14ac:dyDescent="0.2">
      <c r="A118" s="3" t="s">
        <v>9</v>
      </c>
      <c r="B118" s="3" t="s">
        <v>9</v>
      </c>
      <c r="C118" s="4" t="s">
        <v>124</v>
      </c>
      <c r="D118" s="3" t="s">
        <v>9</v>
      </c>
      <c r="E118" s="3" t="s">
        <v>9</v>
      </c>
      <c r="F118" s="14" t="s">
        <v>9</v>
      </c>
      <c r="G118" s="14" t="s">
        <v>9</v>
      </c>
      <c r="H118" s="164"/>
    </row>
    <row r="119" spans="1:8" x14ac:dyDescent="0.2">
      <c r="A119" s="3" t="s">
        <v>9</v>
      </c>
      <c r="B119" s="3" t="s">
        <v>9</v>
      </c>
      <c r="C119" s="4" t="s">
        <v>110</v>
      </c>
      <c r="D119" s="3" t="s">
        <v>9</v>
      </c>
      <c r="E119" s="3" t="s">
        <v>9</v>
      </c>
      <c r="F119" s="15">
        <v>0</v>
      </c>
      <c r="G119" s="16">
        <v>0</v>
      </c>
      <c r="H119" s="164"/>
    </row>
    <row r="120" spans="1:8" x14ac:dyDescent="0.2">
      <c r="A120" s="3" t="s">
        <v>9</v>
      </c>
      <c r="B120" s="3" t="s">
        <v>9</v>
      </c>
      <c r="C120" s="13" t="s">
        <v>9</v>
      </c>
      <c r="D120" s="3" t="s">
        <v>9</v>
      </c>
      <c r="E120" s="3" t="s">
        <v>9</v>
      </c>
      <c r="F120" s="14" t="s">
        <v>9</v>
      </c>
      <c r="G120" s="14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125</v>
      </c>
      <c r="D121" s="3" t="s">
        <v>9</v>
      </c>
      <c r="E121" s="3" t="s">
        <v>9</v>
      </c>
      <c r="F121" s="14" t="s">
        <v>9</v>
      </c>
      <c r="G121" s="14" t="s">
        <v>9</v>
      </c>
      <c r="H121" s="164"/>
    </row>
    <row r="122" spans="1:8" x14ac:dyDescent="0.2">
      <c r="A122" s="3" t="s">
        <v>9</v>
      </c>
      <c r="B122" s="3" t="s">
        <v>9</v>
      </c>
      <c r="C122" s="4" t="s">
        <v>110</v>
      </c>
      <c r="D122" s="3" t="s">
        <v>9</v>
      </c>
      <c r="E122" s="3" t="s">
        <v>9</v>
      </c>
      <c r="F122" s="15">
        <v>0</v>
      </c>
      <c r="G122" s="16">
        <v>0</v>
      </c>
      <c r="H122" s="164"/>
    </row>
    <row r="123" spans="1:8" x14ac:dyDescent="0.2">
      <c r="A123" s="3" t="s">
        <v>9</v>
      </c>
      <c r="B123" s="3" t="s">
        <v>9</v>
      </c>
      <c r="C123" s="13" t="s">
        <v>9</v>
      </c>
      <c r="D123" s="3" t="s">
        <v>9</v>
      </c>
      <c r="E123" s="3" t="s">
        <v>9</v>
      </c>
      <c r="F123" s="14" t="s">
        <v>9</v>
      </c>
      <c r="G123" s="14" t="s">
        <v>9</v>
      </c>
      <c r="H123" s="164"/>
    </row>
    <row r="124" spans="1:8" x14ac:dyDescent="0.2">
      <c r="A124" s="3" t="s">
        <v>9</v>
      </c>
      <c r="B124" s="3" t="s">
        <v>9</v>
      </c>
      <c r="C124" s="4" t="s">
        <v>126</v>
      </c>
      <c r="D124" s="3" t="s">
        <v>9</v>
      </c>
      <c r="E124" s="3" t="s">
        <v>9</v>
      </c>
      <c r="F124" s="14" t="s">
        <v>9</v>
      </c>
      <c r="G124" s="14" t="s">
        <v>9</v>
      </c>
      <c r="H124" s="164"/>
    </row>
    <row r="125" spans="1:8" x14ac:dyDescent="0.2">
      <c r="A125" s="5">
        <v>1</v>
      </c>
      <c r="B125" s="6"/>
      <c r="C125" s="6" t="s">
        <v>127</v>
      </c>
      <c r="D125" s="6"/>
      <c r="E125" s="10" t="s">
        <v>9</v>
      </c>
      <c r="F125" s="8">
        <v>851.57308339999997</v>
      </c>
      <c r="G125" s="9">
        <v>3.0694846000000001E-2</v>
      </c>
      <c r="H125" s="90">
        <v>3.22</v>
      </c>
    </row>
    <row r="126" spans="1:8" x14ac:dyDescent="0.2">
      <c r="A126" s="5">
        <v>2</v>
      </c>
      <c r="B126" s="6"/>
      <c r="C126" s="6" t="s">
        <v>128</v>
      </c>
      <c r="D126" s="6"/>
      <c r="E126" s="10" t="s">
        <v>9</v>
      </c>
      <c r="F126" s="8">
        <v>240.65044829999999</v>
      </c>
      <c r="G126" s="9">
        <v>8.6742160000000002E-3</v>
      </c>
      <c r="H126" s="90">
        <v>3.34</v>
      </c>
    </row>
    <row r="127" spans="1:8" x14ac:dyDescent="0.2">
      <c r="A127" s="3" t="s">
        <v>9</v>
      </c>
      <c r="B127" s="3" t="s">
        <v>9</v>
      </c>
      <c r="C127" s="4" t="s">
        <v>110</v>
      </c>
      <c r="D127" s="3" t="s">
        <v>9</v>
      </c>
      <c r="E127" s="3" t="s">
        <v>9</v>
      </c>
      <c r="F127" s="11">
        <v>1092.2235317</v>
      </c>
      <c r="G127" s="12">
        <v>3.9369062000000003E-2</v>
      </c>
      <c r="H127" s="164"/>
    </row>
    <row r="128" spans="1:8" x14ac:dyDescent="0.2">
      <c r="A128" s="3" t="s">
        <v>9</v>
      </c>
      <c r="B128" s="3" t="s">
        <v>9</v>
      </c>
      <c r="C128" s="13" t="s">
        <v>9</v>
      </c>
      <c r="D128" s="3" t="s">
        <v>9</v>
      </c>
      <c r="E128" s="3" t="s">
        <v>9</v>
      </c>
      <c r="F128" s="14" t="s">
        <v>9</v>
      </c>
      <c r="G128" s="14" t="s">
        <v>9</v>
      </c>
      <c r="H128" s="164"/>
    </row>
    <row r="129" spans="1:8" x14ac:dyDescent="0.2">
      <c r="A129" s="3" t="s">
        <v>9</v>
      </c>
      <c r="B129" s="3" t="s">
        <v>9</v>
      </c>
      <c r="C129" s="4" t="s">
        <v>129</v>
      </c>
      <c r="D129" s="3" t="s">
        <v>9</v>
      </c>
      <c r="E129" s="3" t="s">
        <v>9</v>
      </c>
      <c r="F129" s="11">
        <v>1092.2235317</v>
      </c>
      <c r="G129" s="12">
        <v>3.9369062000000003E-2</v>
      </c>
      <c r="H129" s="164"/>
    </row>
    <row r="130" spans="1:8" x14ac:dyDescent="0.2">
      <c r="A130" s="3" t="s">
        <v>9</v>
      </c>
      <c r="B130" s="3" t="s">
        <v>9</v>
      </c>
      <c r="C130" s="14" t="s">
        <v>9</v>
      </c>
      <c r="D130" s="3" t="s">
        <v>9</v>
      </c>
      <c r="E130" s="3" t="s">
        <v>9</v>
      </c>
      <c r="F130" s="3" t="s">
        <v>9</v>
      </c>
      <c r="G130" s="3" t="s">
        <v>9</v>
      </c>
      <c r="H130" s="164"/>
    </row>
    <row r="131" spans="1:8" x14ac:dyDescent="0.2">
      <c r="A131" s="3" t="s">
        <v>9</v>
      </c>
      <c r="B131" s="3" t="s">
        <v>9</v>
      </c>
      <c r="C131" s="4" t="s">
        <v>130</v>
      </c>
      <c r="D131" s="3" t="s">
        <v>9</v>
      </c>
      <c r="E131" s="3" t="s">
        <v>9</v>
      </c>
      <c r="F131" s="3" t="s">
        <v>9</v>
      </c>
      <c r="G131" s="3" t="s">
        <v>9</v>
      </c>
      <c r="H131" s="164"/>
    </row>
    <row r="132" spans="1:8" x14ac:dyDescent="0.2">
      <c r="A132" s="3" t="s">
        <v>9</v>
      </c>
      <c r="B132" s="3" t="s">
        <v>9</v>
      </c>
      <c r="C132" s="4" t="s">
        <v>131</v>
      </c>
      <c r="D132" s="3" t="s">
        <v>9</v>
      </c>
      <c r="E132" s="3" t="s">
        <v>9</v>
      </c>
      <c r="F132" s="3" t="s">
        <v>9</v>
      </c>
      <c r="G132" s="3" t="s">
        <v>9</v>
      </c>
      <c r="H132" s="164"/>
    </row>
    <row r="133" spans="1:8" x14ac:dyDescent="0.2">
      <c r="A133" s="3" t="s">
        <v>9</v>
      </c>
      <c r="B133" s="3" t="s">
        <v>9</v>
      </c>
      <c r="C133" s="4" t="s">
        <v>110</v>
      </c>
      <c r="D133" s="3" t="s">
        <v>9</v>
      </c>
      <c r="E133" s="3" t="s">
        <v>9</v>
      </c>
      <c r="F133" s="15">
        <v>0</v>
      </c>
      <c r="G133" s="16">
        <v>0</v>
      </c>
      <c r="H133" s="164"/>
    </row>
    <row r="134" spans="1:8" x14ac:dyDescent="0.2">
      <c r="A134" s="3" t="s">
        <v>9</v>
      </c>
      <c r="B134" s="3" t="s">
        <v>9</v>
      </c>
      <c r="C134" s="13" t="s">
        <v>9</v>
      </c>
      <c r="D134" s="3" t="s">
        <v>9</v>
      </c>
      <c r="E134" s="3" t="s">
        <v>9</v>
      </c>
      <c r="F134" s="14" t="s">
        <v>9</v>
      </c>
      <c r="G134" s="14" t="s">
        <v>9</v>
      </c>
      <c r="H134" s="164"/>
    </row>
    <row r="135" spans="1:8" x14ac:dyDescent="0.2">
      <c r="A135" s="3" t="s">
        <v>9</v>
      </c>
      <c r="B135" s="3" t="s">
        <v>9</v>
      </c>
      <c r="C135" s="4" t="s">
        <v>132</v>
      </c>
      <c r="D135" s="3" t="s">
        <v>9</v>
      </c>
      <c r="E135" s="3" t="s">
        <v>9</v>
      </c>
      <c r="F135" s="3" t="s">
        <v>9</v>
      </c>
      <c r="G135" s="3" t="s">
        <v>9</v>
      </c>
      <c r="H135" s="164"/>
    </row>
    <row r="136" spans="1:8" x14ac:dyDescent="0.2">
      <c r="A136" s="3" t="s">
        <v>9</v>
      </c>
      <c r="B136" s="3" t="s">
        <v>9</v>
      </c>
      <c r="C136" s="4" t="s">
        <v>133</v>
      </c>
      <c r="D136" s="3" t="s">
        <v>9</v>
      </c>
      <c r="E136" s="3" t="s">
        <v>9</v>
      </c>
      <c r="F136" s="3" t="s">
        <v>9</v>
      </c>
      <c r="G136" s="3" t="s">
        <v>9</v>
      </c>
      <c r="H136" s="164"/>
    </row>
    <row r="137" spans="1:8" x14ac:dyDescent="0.2">
      <c r="A137" s="3" t="s">
        <v>9</v>
      </c>
      <c r="B137" s="3" t="s">
        <v>9</v>
      </c>
      <c r="C137" s="4" t="s">
        <v>110</v>
      </c>
      <c r="D137" s="3" t="s">
        <v>9</v>
      </c>
      <c r="E137" s="3" t="s">
        <v>9</v>
      </c>
      <c r="F137" s="15">
        <v>0</v>
      </c>
      <c r="G137" s="16">
        <v>0</v>
      </c>
      <c r="H137" s="164"/>
    </row>
    <row r="138" spans="1:8" x14ac:dyDescent="0.2">
      <c r="A138" s="3" t="s">
        <v>9</v>
      </c>
      <c r="B138" s="3" t="s">
        <v>9</v>
      </c>
      <c r="C138" s="13" t="s">
        <v>9</v>
      </c>
      <c r="D138" s="3" t="s">
        <v>9</v>
      </c>
      <c r="E138" s="3" t="s">
        <v>9</v>
      </c>
      <c r="F138" s="14" t="s">
        <v>9</v>
      </c>
      <c r="G138" s="14" t="s">
        <v>9</v>
      </c>
      <c r="H138" s="164"/>
    </row>
    <row r="139" spans="1:8" x14ac:dyDescent="0.2">
      <c r="A139" s="3" t="s">
        <v>9</v>
      </c>
      <c r="B139" s="3" t="s">
        <v>9</v>
      </c>
      <c r="C139" s="13" t="s">
        <v>9</v>
      </c>
      <c r="D139" s="3" t="s">
        <v>9</v>
      </c>
      <c r="E139" s="3" t="s">
        <v>9</v>
      </c>
      <c r="F139" s="14" t="s">
        <v>9</v>
      </c>
      <c r="G139" s="14" t="s">
        <v>9</v>
      </c>
      <c r="H139" s="164"/>
    </row>
    <row r="140" spans="1:8" ht="25.5" x14ac:dyDescent="0.2">
      <c r="A140" s="3" t="s">
        <v>9</v>
      </c>
      <c r="B140" s="3" t="s">
        <v>9</v>
      </c>
      <c r="C140" s="4" t="s">
        <v>134</v>
      </c>
      <c r="D140" s="3" t="s">
        <v>9</v>
      </c>
      <c r="E140" s="3" t="s">
        <v>9</v>
      </c>
      <c r="F140" s="14" t="s">
        <v>9</v>
      </c>
      <c r="G140" s="14" t="s">
        <v>9</v>
      </c>
      <c r="H140" s="164"/>
    </row>
    <row r="141" spans="1:8" x14ac:dyDescent="0.2">
      <c r="A141" s="3" t="s">
        <v>9</v>
      </c>
      <c r="B141" s="3" t="s">
        <v>9</v>
      </c>
      <c r="C141" s="4" t="s">
        <v>110</v>
      </c>
      <c r="D141" s="3" t="s">
        <v>9</v>
      </c>
      <c r="E141" s="3" t="s">
        <v>9</v>
      </c>
      <c r="F141" s="15">
        <v>0</v>
      </c>
      <c r="G141" s="16">
        <v>0</v>
      </c>
      <c r="H141" s="164"/>
    </row>
    <row r="142" spans="1:8" x14ac:dyDescent="0.2">
      <c r="A142" s="3" t="s">
        <v>9</v>
      </c>
      <c r="B142" s="3" t="s">
        <v>9</v>
      </c>
      <c r="C142" s="13" t="s">
        <v>9</v>
      </c>
      <c r="D142" s="3" t="s">
        <v>9</v>
      </c>
      <c r="E142" s="3" t="s">
        <v>9</v>
      </c>
      <c r="F142" s="14" t="s">
        <v>9</v>
      </c>
      <c r="G142" s="14" t="s">
        <v>9</v>
      </c>
      <c r="H142" s="164"/>
    </row>
    <row r="143" spans="1:8" x14ac:dyDescent="0.2">
      <c r="A143" s="3" t="s">
        <v>9</v>
      </c>
      <c r="B143" s="6" t="s">
        <v>9</v>
      </c>
      <c r="C143" s="6" t="s">
        <v>9</v>
      </c>
      <c r="D143" s="4" t="s">
        <v>9</v>
      </c>
      <c r="E143" s="3" t="s">
        <v>9</v>
      </c>
      <c r="F143" s="6" t="s">
        <v>9</v>
      </c>
      <c r="G143" s="10" t="s">
        <v>9</v>
      </c>
      <c r="H143" s="164"/>
    </row>
    <row r="144" spans="1:8" x14ac:dyDescent="0.2">
      <c r="A144" s="10" t="s">
        <v>9</v>
      </c>
      <c r="B144" s="6" t="s">
        <v>9</v>
      </c>
      <c r="C144" s="6" t="s">
        <v>135</v>
      </c>
      <c r="D144" s="6" t="s">
        <v>9</v>
      </c>
      <c r="E144" s="10" t="s">
        <v>9</v>
      </c>
      <c r="F144" s="8">
        <v>134.74578249000001</v>
      </c>
      <c r="G144" s="9">
        <v>4.856895E-3</v>
      </c>
      <c r="H144" s="164"/>
    </row>
    <row r="145" spans="1:8" x14ac:dyDescent="0.2">
      <c r="A145" s="13" t="s">
        <v>9</v>
      </c>
      <c r="B145" s="13" t="s">
        <v>9</v>
      </c>
      <c r="C145" s="4" t="s">
        <v>136</v>
      </c>
      <c r="D145" s="17" t="s">
        <v>9</v>
      </c>
      <c r="E145" s="17" t="s">
        <v>9</v>
      </c>
      <c r="F145" s="11">
        <v>27743.194135689999</v>
      </c>
      <c r="G145" s="12">
        <v>0.99999999900000003</v>
      </c>
      <c r="H145" s="164"/>
    </row>
    <row r="146" spans="1:8" ht="14.1" customHeight="1" x14ac:dyDescent="0.2">
      <c r="A146" s="18" t="s">
        <v>9</v>
      </c>
      <c r="B146" s="18" t="s">
        <v>9</v>
      </c>
      <c r="C146" s="18" t="s">
        <v>9</v>
      </c>
      <c r="D146" s="19" t="s">
        <v>9</v>
      </c>
      <c r="E146" s="19" t="s">
        <v>9</v>
      </c>
      <c r="F146" s="19" t="s">
        <v>9</v>
      </c>
      <c r="G146" s="19" t="s">
        <v>9</v>
      </c>
    </row>
    <row r="147" spans="1:8" ht="14.1" customHeight="1" x14ac:dyDescent="0.2">
      <c r="A147" s="20" t="s">
        <v>9</v>
      </c>
      <c r="B147" s="228" t="s">
        <v>9</v>
      </c>
      <c r="C147" s="228"/>
      <c r="D147" s="228"/>
      <c r="E147" s="228"/>
      <c r="F147" s="228"/>
      <c r="G147" s="22" t="s">
        <v>9</v>
      </c>
    </row>
    <row r="148" spans="1:8" ht="14.1" customHeight="1" x14ac:dyDescent="0.2">
      <c r="A148" s="20" t="s">
        <v>9</v>
      </c>
      <c r="B148" s="228" t="s">
        <v>9</v>
      </c>
      <c r="C148" s="228"/>
      <c r="D148" s="228"/>
      <c r="E148" s="228"/>
      <c r="F148" s="228"/>
      <c r="G148" s="22" t="s">
        <v>9</v>
      </c>
    </row>
    <row r="149" spans="1:8" ht="14.1" customHeight="1" x14ac:dyDescent="0.2">
      <c r="A149" s="20" t="s">
        <v>9</v>
      </c>
      <c r="B149" s="20" t="s">
        <v>9</v>
      </c>
      <c r="C149" s="20" t="s">
        <v>9</v>
      </c>
      <c r="D149" s="22" t="s">
        <v>9</v>
      </c>
      <c r="E149" s="22" t="s">
        <v>9</v>
      </c>
      <c r="F149" s="22" t="s">
        <v>9</v>
      </c>
      <c r="G149" s="22" t="s">
        <v>9</v>
      </c>
    </row>
    <row r="150" spans="1:8" ht="14.1" customHeight="1" x14ac:dyDescent="0.2">
      <c r="A150" s="20" t="s">
        <v>9</v>
      </c>
      <c r="B150" s="226" t="s">
        <v>138</v>
      </c>
      <c r="C150" s="227"/>
      <c r="D150" s="14" t="s">
        <v>9</v>
      </c>
      <c r="E150" s="23" t="s">
        <v>9</v>
      </c>
      <c r="F150" s="22" t="s">
        <v>9</v>
      </c>
      <c r="G150" s="22" t="s">
        <v>9</v>
      </c>
    </row>
    <row r="151" spans="1:8" ht="29.1" customHeight="1" x14ac:dyDescent="0.2">
      <c r="A151" s="20" t="s">
        <v>9</v>
      </c>
      <c r="B151" s="233" t="s">
        <v>139</v>
      </c>
      <c r="C151" s="234"/>
      <c r="D151" s="4" t="s">
        <v>140</v>
      </c>
      <c r="E151" s="23" t="s">
        <v>9</v>
      </c>
      <c r="F151" s="22" t="s">
        <v>9</v>
      </c>
      <c r="G151" s="22" t="s">
        <v>9</v>
      </c>
    </row>
    <row r="152" spans="1:8" ht="17.100000000000001" customHeight="1" x14ac:dyDescent="0.2">
      <c r="A152" s="20" t="s">
        <v>9</v>
      </c>
      <c r="B152" s="233" t="s">
        <v>141</v>
      </c>
      <c r="C152" s="234"/>
      <c r="D152" s="4" t="s">
        <v>140</v>
      </c>
      <c r="E152" s="23" t="s">
        <v>9</v>
      </c>
      <c r="F152" s="22" t="s">
        <v>9</v>
      </c>
      <c r="G152" s="22" t="s">
        <v>9</v>
      </c>
    </row>
    <row r="153" spans="1:8" ht="17.100000000000001" customHeight="1" x14ac:dyDescent="0.2">
      <c r="A153" s="20" t="s">
        <v>9</v>
      </c>
      <c r="B153" s="233" t="s">
        <v>142</v>
      </c>
      <c r="C153" s="234"/>
      <c r="D153" s="14" t="s">
        <v>9</v>
      </c>
      <c r="E153" s="23" t="s">
        <v>9</v>
      </c>
      <c r="F153" s="22" t="s">
        <v>9</v>
      </c>
      <c r="G153" s="22" t="s">
        <v>9</v>
      </c>
    </row>
    <row r="154" spans="1:8" ht="24" customHeight="1" x14ac:dyDescent="0.2">
      <c r="A154" s="24" t="s">
        <v>9</v>
      </c>
      <c r="B154" s="25" t="s">
        <v>9</v>
      </c>
      <c r="C154" s="25" t="s">
        <v>143</v>
      </c>
      <c r="D154" s="25" t="s">
        <v>144</v>
      </c>
      <c r="E154" s="24" t="s">
        <v>9</v>
      </c>
      <c r="F154" s="24" t="s">
        <v>9</v>
      </c>
      <c r="G154" s="24" t="s">
        <v>9</v>
      </c>
    </row>
    <row r="155" spans="1:8" ht="18" customHeight="1" x14ac:dyDescent="0.2">
      <c r="A155" s="24" t="s">
        <v>9</v>
      </c>
      <c r="B155" s="25" t="s">
        <v>145</v>
      </c>
      <c r="C155" s="25" t="s">
        <v>146</v>
      </c>
      <c r="D155" s="25" t="s">
        <v>147</v>
      </c>
      <c r="E155" s="24" t="s">
        <v>9</v>
      </c>
      <c r="F155" s="24" t="s">
        <v>9</v>
      </c>
      <c r="G155" s="24" t="s">
        <v>9</v>
      </c>
    </row>
    <row r="156" spans="1:8" ht="17.100000000000001" customHeight="1" x14ac:dyDescent="0.2">
      <c r="A156" s="24" t="s">
        <v>9</v>
      </c>
      <c r="B156" s="6" t="s">
        <v>148</v>
      </c>
      <c r="C156" s="26">
        <v>13.6122</v>
      </c>
      <c r="D156" s="26">
        <v>14.6463</v>
      </c>
      <c r="E156" s="24" t="s">
        <v>9</v>
      </c>
      <c r="F156" s="21" t="s">
        <v>9</v>
      </c>
      <c r="G156" s="27" t="s">
        <v>9</v>
      </c>
    </row>
    <row r="157" spans="1:8" ht="17.100000000000001" customHeight="1" x14ac:dyDescent="0.2">
      <c r="A157" s="24" t="s">
        <v>9</v>
      </c>
      <c r="B157" s="6" t="s">
        <v>839</v>
      </c>
      <c r="C157" s="26">
        <v>13.6122</v>
      </c>
      <c r="D157" s="26">
        <v>14.6462</v>
      </c>
      <c r="E157" s="24" t="s">
        <v>9</v>
      </c>
      <c r="F157" s="21" t="s">
        <v>9</v>
      </c>
      <c r="G157" s="27" t="s">
        <v>9</v>
      </c>
    </row>
    <row r="158" spans="1:8" ht="17.100000000000001" customHeight="1" x14ac:dyDescent="0.2">
      <c r="A158" s="24" t="s">
        <v>9</v>
      </c>
      <c r="B158" s="6" t="s">
        <v>149</v>
      </c>
      <c r="C158" s="26">
        <v>13.1677</v>
      </c>
      <c r="D158" s="26">
        <v>14.1586</v>
      </c>
      <c r="E158" s="24" t="s">
        <v>9</v>
      </c>
      <c r="F158" s="21" t="s">
        <v>9</v>
      </c>
      <c r="G158" s="27" t="s">
        <v>9</v>
      </c>
    </row>
    <row r="159" spans="1:8" ht="17.100000000000001" customHeight="1" x14ac:dyDescent="0.2">
      <c r="A159" s="24" t="s">
        <v>9</v>
      </c>
      <c r="B159" s="6" t="s">
        <v>840</v>
      </c>
      <c r="C159" s="26">
        <v>13.1677</v>
      </c>
      <c r="D159" s="26">
        <v>14.1586</v>
      </c>
      <c r="E159" s="24" t="s">
        <v>9</v>
      </c>
      <c r="F159" s="21" t="s">
        <v>9</v>
      </c>
      <c r="G159" s="27" t="s">
        <v>9</v>
      </c>
    </row>
    <row r="160" spans="1:8" ht="14.1" customHeight="1" x14ac:dyDescent="0.2">
      <c r="A160" s="24" t="s">
        <v>9</v>
      </c>
      <c r="B160" s="24" t="s">
        <v>9</v>
      </c>
      <c r="C160" s="24" t="s">
        <v>9</v>
      </c>
      <c r="D160" s="24" t="s">
        <v>9</v>
      </c>
      <c r="E160" s="24" t="s">
        <v>9</v>
      </c>
      <c r="F160" s="24" t="s">
        <v>9</v>
      </c>
      <c r="G160" s="24" t="s">
        <v>9</v>
      </c>
    </row>
    <row r="161" spans="1:7" ht="17.100000000000001" customHeight="1" x14ac:dyDescent="0.2">
      <c r="A161" s="24" t="s">
        <v>9</v>
      </c>
      <c r="B161" s="233" t="s">
        <v>1003</v>
      </c>
      <c r="C161" s="234"/>
      <c r="D161" s="4" t="s">
        <v>140</v>
      </c>
      <c r="E161" s="24" t="s">
        <v>9</v>
      </c>
      <c r="F161" s="24" t="s">
        <v>9</v>
      </c>
      <c r="G161" s="24" t="s">
        <v>9</v>
      </c>
    </row>
    <row r="162" spans="1:7" ht="18" customHeight="1" x14ac:dyDescent="0.2">
      <c r="A162" s="24" t="s">
        <v>9</v>
      </c>
      <c r="B162" s="28" t="s">
        <v>150</v>
      </c>
      <c r="C162" s="28" t="s">
        <v>150</v>
      </c>
      <c r="D162" s="28" t="s">
        <v>9</v>
      </c>
      <c r="E162" s="24" t="s">
        <v>9</v>
      </c>
      <c r="F162" s="24" t="s">
        <v>9</v>
      </c>
      <c r="G162" s="24" t="s">
        <v>9</v>
      </c>
    </row>
    <row r="163" spans="1:7" s="169" customFormat="1" x14ac:dyDescent="0.2">
      <c r="B163" s="235" t="s">
        <v>841</v>
      </c>
      <c r="C163" s="235"/>
      <c r="D163" s="235"/>
      <c r="E163" s="235"/>
      <c r="F163" s="235"/>
    </row>
    <row r="164" spans="1:7" ht="14.1" customHeight="1" x14ac:dyDescent="0.2">
      <c r="A164" s="24" t="s">
        <v>9</v>
      </c>
      <c r="B164" s="21" t="s">
        <v>9</v>
      </c>
      <c r="C164" s="21" t="s">
        <v>9</v>
      </c>
      <c r="D164" s="24" t="s">
        <v>9</v>
      </c>
      <c r="E164" s="24" t="s">
        <v>9</v>
      </c>
      <c r="F164" s="24" t="s">
        <v>9</v>
      </c>
      <c r="G164" s="24" t="s">
        <v>9</v>
      </c>
    </row>
    <row r="165" spans="1:7" ht="29.1" customHeight="1" x14ac:dyDescent="0.2">
      <c r="A165" s="24" t="s">
        <v>9</v>
      </c>
      <c r="B165" s="233" t="s">
        <v>151</v>
      </c>
      <c r="C165" s="234"/>
      <c r="D165" s="4" t="s">
        <v>140</v>
      </c>
      <c r="E165" s="24" t="s">
        <v>9</v>
      </c>
      <c r="F165" s="24" t="s">
        <v>9</v>
      </c>
      <c r="G165" s="24" t="s">
        <v>9</v>
      </c>
    </row>
    <row r="166" spans="1:7" ht="29.1" customHeight="1" x14ac:dyDescent="0.2">
      <c r="A166" s="24" t="s">
        <v>9</v>
      </c>
      <c r="B166" s="233" t="s">
        <v>152</v>
      </c>
      <c r="C166" s="234"/>
      <c r="D166" s="4" t="s">
        <v>140</v>
      </c>
      <c r="E166" s="24" t="s">
        <v>9</v>
      </c>
      <c r="F166" s="24" t="s">
        <v>9</v>
      </c>
      <c r="G166" s="24" t="s">
        <v>9</v>
      </c>
    </row>
    <row r="167" spans="1:7" ht="17.100000000000001" customHeight="1" x14ac:dyDescent="0.2">
      <c r="A167" s="24" t="s">
        <v>9</v>
      </c>
      <c r="B167" s="233" t="s">
        <v>153</v>
      </c>
      <c r="C167" s="234"/>
      <c r="D167" s="29">
        <v>0.44812198941021097</v>
      </c>
      <c r="E167" s="24" t="s">
        <v>9</v>
      </c>
      <c r="F167" s="21" t="s">
        <v>9</v>
      </c>
      <c r="G167" s="27" t="s">
        <v>9</v>
      </c>
    </row>
    <row r="168" spans="1:7" ht="17.100000000000001" customHeight="1" x14ac:dyDescent="0.2">
      <c r="A168" s="24" t="s">
        <v>9</v>
      </c>
      <c r="B168" s="233" t="s">
        <v>154</v>
      </c>
      <c r="C168" s="234"/>
      <c r="D168" s="4" t="s">
        <v>140</v>
      </c>
      <c r="E168" s="24" t="s">
        <v>9</v>
      </c>
      <c r="F168" s="24" t="s">
        <v>9</v>
      </c>
      <c r="G168" s="24" t="s">
        <v>9</v>
      </c>
    </row>
  </sheetData>
  <mergeCells count="15">
    <mergeCell ref="B167:C167"/>
    <mergeCell ref="B168:C168"/>
    <mergeCell ref="B151:C151"/>
    <mergeCell ref="B152:C152"/>
    <mergeCell ref="B153:C153"/>
    <mergeCell ref="B161:C161"/>
    <mergeCell ref="B165:C165"/>
    <mergeCell ref="B166:C166"/>
    <mergeCell ref="B163:F163"/>
    <mergeCell ref="B150:C150"/>
    <mergeCell ref="B147:F147"/>
    <mergeCell ref="B148:F148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67"/>
  <sheetViews>
    <sheetView showGridLines="0" workbookViewId="0">
      <selection activeCell="J1" sqref="J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470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63030</v>
      </c>
      <c r="F7" s="8">
        <v>789.19862999999998</v>
      </c>
      <c r="G7" s="9">
        <v>3.1880306999999997E-2</v>
      </c>
      <c r="H7" s="164"/>
    </row>
    <row r="8" spans="1:8" x14ac:dyDescent="0.2">
      <c r="A8" s="5">
        <v>2</v>
      </c>
      <c r="B8" s="6" t="s">
        <v>156</v>
      </c>
      <c r="C8" s="6" t="s">
        <v>157</v>
      </c>
      <c r="D8" s="6" t="s">
        <v>158</v>
      </c>
      <c r="E8" s="7">
        <v>21251</v>
      </c>
      <c r="F8" s="8">
        <v>777.20219750000001</v>
      </c>
      <c r="G8" s="9">
        <v>3.1395701999999998E-2</v>
      </c>
      <c r="H8" s="164"/>
    </row>
    <row r="9" spans="1:8" x14ac:dyDescent="0.2">
      <c r="A9" s="5">
        <v>3</v>
      </c>
      <c r="B9" s="6" t="s">
        <v>159</v>
      </c>
      <c r="C9" s="6" t="s">
        <v>160</v>
      </c>
      <c r="D9" s="6" t="s">
        <v>161</v>
      </c>
      <c r="E9" s="7">
        <v>541813</v>
      </c>
      <c r="F9" s="8">
        <v>698.12605050000002</v>
      </c>
      <c r="G9" s="9">
        <v>2.8201357999999999E-2</v>
      </c>
      <c r="H9" s="164"/>
    </row>
    <row r="10" spans="1:8" x14ac:dyDescent="0.2">
      <c r="A10" s="5">
        <v>4</v>
      </c>
      <c r="B10" s="6" t="s">
        <v>299</v>
      </c>
      <c r="C10" s="6" t="s">
        <v>300</v>
      </c>
      <c r="D10" s="6" t="s">
        <v>28</v>
      </c>
      <c r="E10" s="7">
        <v>87229</v>
      </c>
      <c r="F10" s="8">
        <v>629.79337999999996</v>
      </c>
      <c r="G10" s="9">
        <v>2.5441004999999999E-2</v>
      </c>
      <c r="H10" s="164"/>
    </row>
    <row r="11" spans="1:8" x14ac:dyDescent="0.2">
      <c r="A11" s="5">
        <v>5</v>
      </c>
      <c r="B11" s="6" t="s">
        <v>164</v>
      </c>
      <c r="C11" s="6" t="s">
        <v>165</v>
      </c>
      <c r="D11" s="6" t="s">
        <v>28</v>
      </c>
      <c r="E11" s="7">
        <v>74492</v>
      </c>
      <c r="F11" s="8">
        <v>569.52858600000002</v>
      </c>
      <c r="G11" s="9">
        <v>2.3006560999999998E-2</v>
      </c>
      <c r="H11" s="164"/>
    </row>
    <row r="12" spans="1:8" x14ac:dyDescent="0.2">
      <c r="A12" s="5">
        <v>6</v>
      </c>
      <c r="B12" s="6" t="s">
        <v>41</v>
      </c>
      <c r="C12" s="6" t="s">
        <v>42</v>
      </c>
      <c r="D12" s="6" t="s">
        <v>28</v>
      </c>
      <c r="E12" s="7">
        <v>48732</v>
      </c>
      <c r="F12" s="8">
        <v>564.85261200000002</v>
      </c>
      <c r="G12" s="9">
        <v>2.2817671000000001E-2</v>
      </c>
      <c r="H12" s="164"/>
    </row>
    <row r="13" spans="1:8" x14ac:dyDescent="0.2">
      <c r="A13" s="5">
        <v>7</v>
      </c>
      <c r="B13" s="6" t="s">
        <v>451</v>
      </c>
      <c r="C13" s="6" t="s">
        <v>452</v>
      </c>
      <c r="D13" s="6" t="s">
        <v>62</v>
      </c>
      <c r="E13" s="7">
        <v>164997</v>
      </c>
      <c r="F13" s="8">
        <v>530.96034599999996</v>
      </c>
      <c r="G13" s="9">
        <v>2.1448565999999999E-2</v>
      </c>
      <c r="H13" s="164"/>
    </row>
    <row r="14" spans="1:8" x14ac:dyDescent="0.2">
      <c r="A14" s="5">
        <v>8</v>
      </c>
      <c r="B14" s="6" t="s">
        <v>168</v>
      </c>
      <c r="C14" s="6" t="s">
        <v>169</v>
      </c>
      <c r="D14" s="6" t="s">
        <v>28</v>
      </c>
      <c r="E14" s="7">
        <v>73643</v>
      </c>
      <c r="F14" s="8">
        <v>521.981584</v>
      </c>
      <c r="G14" s="9">
        <v>2.1085862E-2</v>
      </c>
      <c r="H14" s="164"/>
    </row>
    <row r="15" spans="1:8" ht="25.5" x14ac:dyDescent="0.2">
      <c r="A15" s="5">
        <v>9</v>
      </c>
      <c r="B15" s="6" t="s">
        <v>29</v>
      </c>
      <c r="C15" s="6" t="s">
        <v>30</v>
      </c>
      <c r="D15" s="6" t="s">
        <v>925</v>
      </c>
      <c r="E15" s="7">
        <v>15140</v>
      </c>
      <c r="F15" s="8">
        <v>493.43531000000002</v>
      </c>
      <c r="G15" s="9">
        <v>1.9932712000000002E-2</v>
      </c>
      <c r="H15" s="164"/>
    </row>
    <row r="16" spans="1:8" x14ac:dyDescent="0.2">
      <c r="A16" s="5">
        <v>10</v>
      </c>
      <c r="B16" s="6" t="s">
        <v>175</v>
      </c>
      <c r="C16" s="6" t="s">
        <v>176</v>
      </c>
      <c r="D16" s="6" t="s">
        <v>62</v>
      </c>
      <c r="E16" s="7">
        <v>111247</v>
      </c>
      <c r="F16" s="8">
        <v>470.24106899999998</v>
      </c>
      <c r="G16" s="9">
        <v>1.8995762999999999E-2</v>
      </c>
      <c r="H16" s="164"/>
    </row>
    <row r="17" spans="1:8" x14ac:dyDescent="0.2">
      <c r="A17" s="5">
        <v>11</v>
      </c>
      <c r="B17" s="6" t="s">
        <v>177</v>
      </c>
      <c r="C17" s="6" t="s">
        <v>178</v>
      </c>
      <c r="D17" s="6" t="s">
        <v>179</v>
      </c>
      <c r="E17" s="7">
        <v>166257</v>
      </c>
      <c r="F17" s="8">
        <v>468.42909750000001</v>
      </c>
      <c r="G17" s="9">
        <v>1.8922565999999998E-2</v>
      </c>
      <c r="H17" s="164"/>
    </row>
    <row r="18" spans="1:8" x14ac:dyDescent="0.2">
      <c r="A18" s="5">
        <v>12</v>
      </c>
      <c r="B18" s="6" t="s">
        <v>471</v>
      </c>
      <c r="C18" s="6" t="s">
        <v>472</v>
      </c>
      <c r="D18" s="6" t="s">
        <v>200</v>
      </c>
      <c r="E18" s="7">
        <v>84664</v>
      </c>
      <c r="F18" s="8">
        <v>453.03706399999999</v>
      </c>
      <c r="G18" s="9">
        <v>1.8300792999999999E-2</v>
      </c>
      <c r="H18" s="164"/>
    </row>
    <row r="19" spans="1:8" x14ac:dyDescent="0.2">
      <c r="A19" s="5">
        <v>13</v>
      </c>
      <c r="B19" s="6" t="s">
        <v>180</v>
      </c>
      <c r="C19" s="6" t="s">
        <v>181</v>
      </c>
      <c r="D19" s="6" t="s">
        <v>182</v>
      </c>
      <c r="E19" s="7">
        <v>34336</v>
      </c>
      <c r="F19" s="8">
        <v>449.26939199999998</v>
      </c>
      <c r="G19" s="9">
        <v>1.8148595E-2</v>
      </c>
      <c r="H19" s="164"/>
    </row>
    <row r="20" spans="1:8" x14ac:dyDescent="0.2">
      <c r="A20" s="5">
        <v>14</v>
      </c>
      <c r="B20" s="6" t="s">
        <v>210</v>
      </c>
      <c r="C20" s="6" t="s">
        <v>211</v>
      </c>
      <c r="D20" s="6" t="s">
        <v>195</v>
      </c>
      <c r="E20" s="7">
        <v>39769</v>
      </c>
      <c r="F20" s="8">
        <v>445.17418600000002</v>
      </c>
      <c r="G20" s="9">
        <v>1.7983165999999998E-2</v>
      </c>
      <c r="H20" s="164"/>
    </row>
    <row r="21" spans="1:8" x14ac:dyDescent="0.2">
      <c r="A21" s="5">
        <v>15</v>
      </c>
      <c r="B21" s="6" t="s">
        <v>189</v>
      </c>
      <c r="C21" s="6" t="s">
        <v>190</v>
      </c>
      <c r="D21" s="6" t="s">
        <v>179</v>
      </c>
      <c r="E21" s="7">
        <v>13964</v>
      </c>
      <c r="F21" s="8">
        <v>438.916448</v>
      </c>
      <c r="G21" s="9">
        <v>1.773038E-2</v>
      </c>
      <c r="H21" s="164"/>
    </row>
    <row r="22" spans="1:8" x14ac:dyDescent="0.2">
      <c r="A22" s="5">
        <v>16</v>
      </c>
      <c r="B22" s="6" t="s">
        <v>187</v>
      </c>
      <c r="C22" s="6" t="s">
        <v>188</v>
      </c>
      <c r="D22" s="6" t="s">
        <v>182</v>
      </c>
      <c r="E22" s="7">
        <v>171020</v>
      </c>
      <c r="F22" s="8">
        <v>427.89204000000001</v>
      </c>
      <c r="G22" s="9">
        <v>1.7285040000000002E-2</v>
      </c>
      <c r="H22" s="164"/>
    </row>
    <row r="23" spans="1:8" ht="25.5" x14ac:dyDescent="0.2">
      <c r="A23" s="5">
        <v>17</v>
      </c>
      <c r="B23" s="6" t="s">
        <v>191</v>
      </c>
      <c r="C23" s="6" t="s">
        <v>192</v>
      </c>
      <c r="D23" s="6" t="s">
        <v>925</v>
      </c>
      <c r="E23" s="7">
        <v>151609</v>
      </c>
      <c r="F23" s="8">
        <v>401.23321850000002</v>
      </c>
      <c r="G23" s="9">
        <v>1.6208134999999999E-2</v>
      </c>
      <c r="H23" s="164"/>
    </row>
    <row r="24" spans="1:8" x14ac:dyDescent="0.2">
      <c r="A24" s="5">
        <v>18</v>
      </c>
      <c r="B24" s="6" t="s">
        <v>198</v>
      </c>
      <c r="C24" s="6" t="s">
        <v>199</v>
      </c>
      <c r="D24" s="6" t="s">
        <v>200</v>
      </c>
      <c r="E24" s="7">
        <v>84682</v>
      </c>
      <c r="F24" s="8">
        <v>380.814954</v>
      </c>
      <c r="G24" s="9">
        <v>1.5383323000000001E-2</v>
      </c>
      <c r="H24" s="164"/>
    </row>
    <row r="25" spans="1:8" x14ac:dyDescent="0.2">
      <c r="A25" s="5">
        <v>19</v>
      </c>
      <c r="B25" s="6" t="s">
        <v>196</v>
      </c>
      <c r="C25" s="6" t="s">
        <v>197</v>
      </c>
      <c r="D25" s="6" t="s">
        <v>928</v>
      </c>
      <c r="E25" s="7">
        <v>116812</v>
      </c>
      <c r="F25" s="8">
        <v>380.28146600000002</v>
      </c>
      <c r="G25" s="9">
        <v>1.5361773E-2</v>
      </c>
      <c r="H25" s="164"/>
    </row>
    <row r="26" spans="1:8" x14ac:dyDescent="0.2">
      <c r="A26" s="5">
        <v>20</v>
      </c>
      <c r="B26" s="6" t="s">
        <v>338</v>
      </c>
      <c r="C26" s="6" t="s">
        <v>339</v>
      </c>
      <c r="D26" s="6" t="s">
        <v>195</v>
      </c>
      <c r="E26" s="7">
        <v>10312</v>
      </c>
      <c r="F26" s="8">
        <v>376.759232</v>
      </c>
      <c r="G26" s="9">
        <v>1.5219488999999999E-2</v>
      </c>
      <c r="H26" s="164"/>
    </row>
    <row r="27" spans="1:8" ht="25.5" x14ac:dyDescent="0.2">
      <c r="A27" s="5">
        <v>21</v>
      </c>
      <c r="B27" s="6" t="s">
        <v>201</v>
      </c>
      <c r="C27" s="6" t="s">
        <v>202</v>
      </c>
      <c r="D27" s="6" t="s">
        <v>67</v>
      </c>
      <c r="E27" s="7">
        <v>76500</v>
      </c>
      <c r="F27" s="8">
        <v>374.96474999999998</v>
      </c>
      <c r="G27" s="9">
        <v>1.5147000000000001E-2</v>
      </c>
      <c r="H27" s="164"/>
    </row>
    <row r="28" spans="1:8" x14ac:dyDescent="0.2">
      <c r="A28" s="5">
        <v>22</v>
      </c>
      <c r="B28" s="6" t="s">
        <v>203</v>
      </c>
      <c r="C28" s="6" t="s">
        <v>204</v>
      </c>
      <c r="D28" s="6" t="s">
        <v>179</v>
      </c>
      <c r="E28" s="7">
        <v>37221</v>
      </c>
      <c r="F28" s="8">
        <v>367.25960700000002</v>
      </c>
      <c r="G28" s="9">
        <v>1.4835744E-2</v>
      </c>
      <c r="H28" s="164"/>
    </row>
    <row r="29" spans="1:8" x14ac:dyDescent="0.2">
      <c r="A29" s="5">
        <v>23</v>
      </c>
      <c r="B29" s="6" t="s">
        <v>35</v>
      </c>
      <c r="C29" s="6" t="s">
        <v>36</v>
      </c>
      <c r="D29" s="6" t="s">
        <v>37</v>
      </c>
      <c r="E29" s="7">
        <v>110331</v>
      </c>
      <c r="F29" s="8">
        <v>359.95488749999998</v>
      </c>
      <c r="G29" s="9">
        <v>1.4540664E-2</v>
      </c>
      <c r="H29" s="164"/>
    </row>
    <row r="30" spans="1:8" x14ac:dyDescent="0.2">
      <c r="A30" s="5">
        <v>24</v>
      </c>
      <c r="B30" s="6" t="s">
        <v>170</v>
      </c>
      <c r="C30" s="6" t="s">
        <v>171</v>
      </c>
      <c r="D30" s="6" t="s">
        <v>172</v>
      </c>
      <c r="E30" s="7">
        <v>28480</v>
      </c>
      <c r="F30" s="8">
        <v>354.90352000000001</v>
      </c>
      <c r="G30" s="9">
        <v>1.433661E-2</v>
      </c>
      <c r="H30" s="164"/>
    </row>
    <row r="31" spans="1:8" x14ac:dyDescent="0.2">
      <c r="A31" s="5">
        <v>25</v>
      </c>
      <c r="B31" s="6" t="s">
        <v>212</v>
      </c>
      <c r="C31" s="6" t="s">
        <v>213</v>
      </c>
      <c r="D31" s="6" t="s">
        <v>929</v>
      </c>
      <c r="E31" s="7">
        <v>40169</v>
      </c>
      <c r="F31" s="8">
        <v>349.20920150000001</v>
      </c>
      <c r="G31" s="9">
        <v>1.4106584E-2</v>
      </c>
      <c r="H31" s="164"/>
    </row>
    <row r="32" spans="1:8" x14ac:dyDescent="0.2">
      <c r="A32" s="5">
        <v>26</v>
      </c>
      <c r="B32" s="6" t="s">
        <v>459</v>
      </c>
      <c r="C32" s="6" t="s">
        <v>460</v>
      </c>
      <c r="D32" s="6" t="s">
        <v>207</v>
      </c>
      <c r="E32" s="7">
        <v>59631</v>
      </c>
      <c r="F32" s="8">
        <v>349.02024299999999</v>
      </c>
      <c r="G32" s="9">
        <v>1.4098951E-2</v>
      </c>
      <c r="H32" s="164"/>
    </row>
    <row r="33" spans="1:8" x14ac:dyDescent="0.2">
      <c r="A33" s="5">
        <v>27</v>
      </c>
      <c r="B33" s="6" t="s">
        <v>77</v>
      </c>
      <c r="C33" s="6" t="s">
        <v>78</v>
      </c>
      <c r="D33" s="6" t="s">
        <v>62</v>
      </c>
      <c r="E33" s="7">
        <v>137599</v>
      </c>
      <c r="F33" s="8">
        <v>347.57507399999997</v>
      </c>
      <c r="G33" s="9">
        <v>1.4040571999999999E-2</v>
      </c>
      <c r="H33" s="164"/>
    </row>
    <row r="34" spans="1:8" x14ac:dyDescent="0.2">
      <c r="A34" s="5">
        <v>28</v>
      </c>
      <c r="B34" s="6" t="s">
        <v>208</v>
      </c>
      <c r="C34" s="6" t="s">
        <v>209</v>
      </c>
      <c r="D34" s="6" t="s">
        <v>161</v>
      </c>
      <c r="E34" s="7">
        <v>56118</v>
      </c>
      <c r="F34" s="8">
        <v>336.79217699999998</v>
      </c>
      <c r="G34" s="9">
        <v>1.3604988E-2</v>
      </c>
      <c r="H34" s="164"/>
    </row>
    <row r="35" spans="1:8" x14ac:dyDescent="0.2">
      <c r="A35" s="5">
        <v>29</v>
      </c>
      <c r="B35" s="6" t="s">
        <v>205</v>
      </c>
      <c r="C35" s="6" t="s">
        <v>206</v>
      </c>
      <c r="D35" s="6" t="s">
        <v>207</v>
      </c>
      <c r="E35" s="7">
        <v>123782</v>
      </c>
      <c r="F35" s="8">
        <v>332.292779</v>
      </c>
      <c r="G35" s="9">
        <v>1.3423231000000001E-2</v>
      </c>
      <c r="H35" s="164"/>
    </row>
    <row r="36" spans="1:8" x14ac:dyDescent="0.2">
      <c r="A36" s="5">
        <v>30</v>
      </c>
      <c r="B36" s="6" t="s">
        <v>216</v>
      </c>
      <c r="C36" s="6" t="s">
        <v>217</v>
      </c>
      <c r="D36" s="6" t="s">
        <v>200</v>
      </c>
      <c r="E36" s="7">
        <v>51431</v>
      </c>
      <c r="F36" s="8">
        <v>329.92986500000001</v>
      </c>
      <c r="G36" s="9">
        <v>1.3327779999999999E-2</v>
      </c>
      <c r="H36" s="164"/>
    </row>
    <row r="37" spans="1:8" x14ac:dyDescent="0.2">
      <c r="A37" s="5">
        <v>31</v>
      </c>
      <c r="B37" s="6" t="s">
        <v>220</v>
      </c>
      <c r="C37" s="6" t="s">
        <v>221</v>
      </c>
      <c r="D37" s="6" t="s">
        <v>28</v>
      </c>
      <c r="E37" s="7">
        <v>20665</v>
      </c>
      <c r="F37" s="8">
        <v>323.67589500000003</v>
      </c>
      <c r="G37" s="9">
        <v>1.3075145999999999E-2</v>
      </c>
      <c r="H37" s="164"/>
    </row>
    <row r="38" spans="1:8" x14ac:dyDescent="0.2">
      <c r="A38" s="5">
        <v>32</v>
      </c>
      <c r="B38" s="6" t="s">
        <v>214</v>
      </c>
      <c r="C38" s="6" t="s">
        <v>215</v>
      </c>
      <c r="D38" s="6" t="s">
        <v>179</v>
      </c>
      <c r="E38" s="7">
        <v>7685</v>
      </c>
      <c r="F38" s="8">
        <v>321.63646249999999</v>
      </c>
      <c r="G38" s="9">
        <v>1.2992761E-2</v>
      </c>
      <c r="H38" s="164"/>
    </row>
    <row r="39" spans="1:8" x14ac:dyDescent="0.2">
      <c r="A39" s="5">
        <v>33</v>
      </c>
      <c r="B39" s="6" t="s">
        <v>232</v>
      </c>
      <c r="C39" s="6" t="s">
        <v>233</v>
      </c>
      <c r="D39" s="6" t="s">
        <v>37</v>
      </c>
      <c r="E39" s="7">
        <v>36572</v>
      </c>
      <c r="F39" s="8">
        <v>315.85407800000002</v>
      </c>
      <c r="G39" s="9">
        <v>1.2759177E-2</v>
      </c>
      <c r="H39" s="164"/>
    </row>
    <row r="40" spans="1:8" x14ac:dyDescent="0.2">
      <c r="A40" s="5">
        <v>34</v>
      </c>
      <c r="B40" s="6" t="s">
        <v>222</v>
      </c>
      <c r="C40" s="6" t="s">
        <v>223</v>
      </c>
      <c r="D40" s="6" t="s">
        <v>37</v>
      </c>
      <c r="E40" s="7">
        <v>288303</v>
      </c>
      <c r="F40" s="8">
        <v>309.63742200000002</v>
      </c>
      <c r="G40" s="9">
        <v>1.250805E-2</v>
      </c>
      <c r="H40" s="164"/>
    </row>
    <row r="41" spans="1:8" x14ac:dyDescent="0.2">
      <c r="A41" s="5">
        <v>35</v>
      </c>
      <c r="B41" s="6" t="s">
        <v>193</v>
      </c>
      <c r="C41" s="6" t="s">
        <v>194</v>
      </c>
      <c r="D41" s="6" t="s">
        <v>195</v>
      </c>
      <c r="E41" s="7">
        <v>46515</v>
      </c>
      <c r="F41" s="8">
        <v>302.81265000000002</v>
      </c>
      <c r="G41" s="9">
        <v>1.2232358E-2</v>
      </c>
      <c r="H41" s="164"/>
    </row>
    <row r="42" spans="1:8" x14ac:dyDescent="0.2">
      <c r="A42" s="5">
        <v>36</v>
      </c>
      <c r="B42" s="6" t="s">
        <v>224</v>
      </c>
      <c r="C42" s="6" t="s">
        <v>225</v>
      </c>
      <c r="D42" s="6" t="s">
        <v>161</v>
      </c>
      <c r="E42" s="7">
        <v>55940</v>
      </c>
      <c r="F42" s="8">
        <v>301.96411999999998</v>
      </c>
      <c r="G42" s="9">
        <v>1.2198081E-2</v>
      </c>
      <c r="H42" s="164"/>
    </row>
    <row r="43" spans="1:8" ht="25.5" x14ac:dyDescent="0.2">
      <c r="A43" s="5">
        <v>37</v>
      </c>
      <c r="B43" s="6" t="s">
        <v>453</v>
      </c>
      <c r="C43" s="6" t="s">
        <v>454</v>
      </c>
      <c r="D43" s="6" t="s">
        <v>40</v>
      </c>
      <c r="E43" s="7">
        <v>23869</v>
      </c>
      <c r="F43" s="8">
        <v>299.85431249999999</v>
      </c>
      <c r="G43" s="9">
        <v>1.2112853999999999E-2</v>
      </c>
      <c r="H43" s="164"/>
    </row>
    <row r="44" spans="1:8" x14ac:dyDescent="0.2">
      <c r="A44" s="5">
        <v>38</v>
      </c>
      <c r="B44" s="6" t="s">
        <v>228</v>
      </c>
      <c r="C44" s="6" t="s">
        <v>229</v>
      </c>
      <c r="D44" s="6" t="s">
        <v>62</v>
      </c>
      <c r="E44" s="7">
        <v>38005</v>
      </c>
      <c r="F44" s="8">
        <v>293.75964750000003</v>
      </c>
      <c r="G44" s="9">
        <v>1.1866655E-2</v>
      </c>
      <c r="H44" s="164"/>
    </row>
    <row r="45" spans="1:8" x14ac:dyDescent="0.2">
      <c r="A45" s="5">
        <v>39</v>
      </c>
      <c r="B45" s="6" t="s">
        <v>463</v>
      </c>
      <c r="C45" s="6" t="s">
        <v>464</v>
      </c>
      <c r="D45" s="6" t="s">
        <v>927</v>
      </c>
      <c r="E45" s="7">
        <v>262344</v>
      </c>
      <c r="F45" s="8">
        <v>293.69410800000003</v>
      </c>
      <c r="G45" s="9">
        <v>1.1864006999999999E-2</v>
      </c>
      <c r="H45" s="164"/>
    </row>
    <row r="46" spans="1:8" x14ac:dyDescent="0.2">
      <c r="A46" s="5">
        <v>40</v>
      </c>
      <c r="B46" s="6" t="s">
        <v>230</v>
      </c>
      <c r="C46" s="6" t="s">
        <v>231</v>
      </c>
      <c r="D46" s="6" t="s">
        <v>62</v>
      </c>
      <c r="E46" s="7">
        <v>98339</v>
      </c>
      <c r="F46" s="8">
        <v>288.82164299999999</v>
      </c>
      <c r="G46" s="9">
        <v>1.1667179999999999E-2</v>
      </c>
      <c r="H46" s="164"/>
    </row>
    <row r="47" spans="1:8" x14ac:dyDescent="0.2">
      <c r="A47" s="5">
        <v>41</v>
      </c>
      <c r="B47" s="6" t="s">
        <v>293</v>
      </c>
      <c r="C47" s="6" t="s">
        <v>294</v>
      </c>
      <c r="D47" s="6" t="s">
        <v>28</v>
      </c>
      <c r="E47" s="7">
        <v>21594</v>
      </c>
      <c r="F47" s="8">
        <v>284.71688999999998</v>
      </c>
      <c r="G47" s="9">
        <v>1.1501366000000001E-2</v>
      </c>
      <c r="H47" s="164"/>
    </row>
    <row r="48" spans="1:8" x14ac:dyDescent="0.2">
      <c r="A48" s="5">
        <v>42</v>
      </c>
      <c r="B48" s="6" t="s">
        <v>457</v>
      </c>
      <c r="C48" s="6" t="s">
        <v>458</v>
      </c>
      <c r="D48" s="6" t="s">
        <v>50</v>
      </c>
      <c r="E48" s="7">
        <v>66186</v>
      </c>
      <c r="F48" s="8">
        <v>279.07326899999998</v>
      </c>
      <c r="G48" s="9">
        <v>1.1273386999999999E-2</v>
      </c>
      <c r="H48" s="164"/>
    </row>
    <row r="49" spans="1:8" x14ac:dyDescent="0.2">
      <c r="A49" s="5">
        <v>43</v>
      </c>
      <c r="B49" s="6" t="s">
        <v>236</v>
      </c>
      <c r="C49" s="6" t="s">
        <v>237</v>
      </c>
      <c r="D49" s="6" t="s">
        <v>161</v>
      </c>
      <c r="E49" s="7">
        <v>476454</v>
      </c>
      <c r="F49" s="8">
        <v>276.34332000000001</v>
      </c>
      <c r="G49" s="9">
        <v>1.1163108999999999E-2</v>
      </c>
      <c r="H49" s="164"/>
    </row>
    <row r="50" spans="1:8" x14ac:dyDescent="0.2">
      <c r="A50" s="5">
        <v>44</v>
      </c>
      <c r="B50" s="6" t="s">
        <v>455</v>
      </c>
      <c r="C50" s="6" t="s">
        <v>456</v>
      </c>
      <c r="D50" s="6" t="s">
        <v>62</v>
      </c>
      <c r="E50" s="7">
        <v>32427</v>
      </c>
      <c r="F50" s="8">
        <v>273.34339649999998</v>
      </c>
      <c r="G50" s="9">
        <v>1.1041924E-2</v>
      </c>
      <c r="H50" s="164"/>
    </row>
    <row r="51" spans="1:8" x14ac:dyDescent="0.2">
      <c r="A51" s="5">
        <v>45</v>
      </c>
      <c r="B51" s="6" t="s">
        <v>238</v>
      </c>
      <c r="C51" s="6" t="s">
        <v>239</v>
      </c>
      <c r="D51" s="6" t="s">
        <v>195</v>
      </c>
      <c r="E51" s="7">
        <v>65216</v>
      </c>
      <c r="F51" s="8">
        <v>269.60294399999998</v>
      </c>
      <c r="G51" s="9">
        <v>1.0890825999999999E-2</v>
      </c>
      <c r="H51" s="164"/>
    </row>
    <row r="52" spans="1:8" ht="25.5" x14ac:dyDescent="0.2">
      <c r="A52" s="5">
        <v>46</v>
      </c>
      <c r="B52" s="6" t="s">
        <v>234</v>
      </c>
      <c r="C52" s="6" t="s">
        <v>235</v>
      </c>
      <c r="D52" s="6" t="s">
        <v>67</v>
      </c>
      <c r="E52" s="7">
        <v>60710</v>
      </c>
      <c r="F52" s="8">
        <v>268.64175</v>
      </c>
      <c r="G52" s="9">
        <v>1.0851997E-2</v>
      </c>
      <c r="H52" s="164"/>
    </row>
    <row r="53" spans="1:8" x14ac:dyDescent="0.2">
      <c r="A53" s="5">
        <v>47</v>
      </c>
      <c r="B53" s="6" t="s">
        <v>244</v>
      </c>
      <c r="C53" s="6" t="s">
        <v>245</v>
      </c>
      <c r="D53" s="6" t="s">
        <v>200</v>
      </c>
      <c r="E53" s="7">
        <v>14493</v>
      </c>
      <c r="F53" s="8">
        <v>262.79432250000002</v>
      </c>
      <c r="G53" s="9">
        <v>1.0615786E-2</v>
      </c>
      <c r="H53" s="164"/>
    </row>
    <row r="54" spans="1:8" ht="25.5" x14ac:dyDescent="0.2">
      <c r="A54" s="5">
        <v>48</v>
      </c>
      <c r="B54" s="6" t="s">
        <v>246</v>
      </c>
      <c r="C54" s="6" t="s">
        <v>247</v>
      </c>
      <c r="D54" s="6" t="s">
        <v>40</v>
      </c>
      <c r="E54" s="7">
        <v>334561</v>
      </c>
      <c r="F54" s="8">
        <v>262.29582399999998</v>
      </c>
      <c r="G54" s="9">
        <v>1.0595649E-2</v>
      </c>
      <c r="H54" s="164"/>
    </row>
    <row r="55" spans="1:8" x14ac:dyDescent="0.2">
      <c r="A55" s="5">
        <v>49</v>
      </c>
      <c r="B55" s="6" t="s">
        <v>242</v>
      </c>
      <c r="C55" s="6" t="s">
        <v>243</v>
      </c>
      <c r="D55" s="6" t="s">
        <v>59</v>
      </c>
      <c r="E55" s="7">
        <v>19778</v>
      </c>
      <c r="F55" s="8">
        <v>261.25749100000002</v>
      </c>
      <c r="G55" s="9">
        <v>1.0553704000000001E-2</v>
      </c>
      <c r="H55" s="164"/>
    </row>
    <row r="56" spans="1:8" ht="25.5" x14ac:dyDescent="0.2">
      <c r="A56" s="5">
        <v>50</v>
      </c>
      <c r="B56" s="6" t="s">
        <v>248</v>
      </c>
      <c r="C56" s="6" t="s">
        <v>249</v>
      </c>
      <c r="D56" s="6" t="s">
        <v>67</v>
      </c>
      <c r="E56" s="7">
        <v>58166</v>
      </c>
      <c r="F56" s="8">
        <v>254.18541999999999</v>
      </c>
      <c r="G56" s="9">
        <v>1.0268022E-2</v>
      </c>
      <c r="H56" s="164"/>
    </row>
    <row r="57" spans="1:8" x14ac:dyDescent="0.2">
      <c r="A57" s="5">
        <v>51</v>
      </c>
      <c r="B57" s="6" t="s">
        <v>254</v>
      </c>
      <c r="C57" s="6" t="s">
        <v>255</v>
      </c>
      <c r="D57" s="6" t="s">
        <v>62</v>
      </c>
      <c r="E57" s="7">
        <v>34229</v>
      </c>
      <c r="F57" s="8">
        <v>253.85937849999999</v>
      </c>
      <c r="G57" s="9">
        <v>1.0254852E-2</v>
      </c>
      <c r="H57" s="164"/>
    </row>
    <row r="58" spans="1:8" x14ac:dyDescent="0.2">
      <c r="A58" s="5">
        <v>52</v>
      </c>
      <c r="B58" s="6" t="s">
        <v>185</v>
      </c>
      <c r="C58" s="6" t="s">
        <v>186</v>
      </c>
      <c r="D58" s="6" t="s">
        <v>45</v>
      </c>
      <c r="E58" s="7">
        <v>53690</v>
      </c>
      <c r="F58" s="8">
        <v>253.09466</v>
      </c>
      <c r="G58" s="9">
        <v>1.0223960000000001E-2</v>
      </c>
      <c r="H58" s="164"/>
    </row>
    <row r="59" spans="1:8" x14ac:dyDescent="0.2">
      <c r="A59" s="5">
        <v>53</v>
      </c>
      <c r="B59" s="6" t="s">
        <v>251</v>
      </c>
      <c r="C59" s="6" t="s">
        <v>252</v>
      </c>
      <c r="D59" s="6" t="s">
        <v>253</v>
      </c>
      <c r="E59" s="7">
        <v>52315</v>
      </c>
      <c r="F59" s="8">
        <v>251.50436250000001</v>
      </c>
      <c r="G59" s="9">
        <v>1.0159718999999999E-2</v>
      </c>
      <c r="H59" s="164"/>
    </row>
    <row r="60" spans="1:8" x14ac:dyDescent="0.2">
      <c r="A60" s="5">
        <v>54</v>
      </c>
      <c r="B60" s="6" t="s">
        <v>46</v>
      </c>
      <c r="C60" s="6" t="s">
        <v>47</v>
      </c>
      <c r="D60" s="6" t="s">
        <v>28</v>
      </c>
      <c r="E60" s="7">
        <v>12880</v>
      </c>
      <c r="F60" s="8">
        <v>244.70712</v>
      </c>
      <c r="G60" s="9">
        <v>9.8851389999999994E-3</v>
      </c>
      <c r="H60" s="164"/>
    </row>
    <row r="61" spans="1:8" x14ac:dyDescent="0.2">
      <c r="A61" s="5">
        <v>55</v>
      </c>
      <c r="B61" s="6" t="s">
        <v>461</v>
      </c>
      <c r="C61" s="6" t="s">
        <v>462</v>
      </c>
      <c r="D61" s="6" t="s">
        <v>28</v>
      </c>
      <c r="E61" s="7">
        <v>35318</v>
      </c>
      <c r="F61" s="8">
        <v>237.672481</v>
      </c>
      <c r="G61" s="9">
        <v>9.6009690000000009E-3</v>
      </c>
      <c r="H61" s="164"/>
    </row>
    <row r="62" spans="1:8" x14ac:dyDescent="0.2">
      <c r="A62" s="5">
        <v>56</v>
      </c>
      <c r="B62" s="6" t="s">
        <v>256</v>
      </c>
      <c r="C62" s="6" t="s">
        <v>257</v>
      </c>
      <c r="D62" s="6" t="s">
        <v>930</v>
      </c>
      <c r="E62" s="7">
        <v>42347</v>
      </c>
      <c r="F62" s="8">
        <v>237.2490675</v>
      </c>
      <c r="G62" s="9">
        <v>9.5838650000000004E-3</v>
      </c>
      <c r="H62" s="164"/>
    </row>
    <row r="63" spans="1:8" ht="25.5" x14ac:dyDescent="0.2">
      <c r="A63" s="5">
        <v>57</v>
      </c>
      <c r="B63" s="6" t="s">
        <v>258</v>
      </c>
      <c r="C63" s="6" t="s">
        <v>259</v>
      </c>
      <c r="D63" s="6" t="s">
        <v>931</v>
      </c>
      <c r="E63" s="7">
        <v>235730</v>
      </c>
      <c r="F63" s="8">
        <v>235.02280999999999</v>
      </c>
      <c r="G63" s="9">
        <v>9.4939340000000007E-3</v>
      </c>
      <c r="H63" s="164"/>
    </row>
    <row r="64" spans="1:8" x14ac:dyDescent="0.2">
      <c r="A64" s="5">
        <v>58</v>
      </c>
      <c r="B64" s="6" t="s">
        <v>260</v>
      </c>
      <c r="C64" s="6" t="s">
        <v>261</v>
      </c>
      <c r="D64" s="6" t="s">
        <v>930</v>
      </c>
      <c r="E64" s="7">
        <v>55842</v>
      </c>
      <c r="F64" s="8">
        <v>228.44962200000001</v>
      </c>
      <c r="G64" s="9">
        <v>9.2284040000000008E-3</v>
      </c>
      <c r="H64" s="164"/>
    </row>
    <row r="65" spans="1:8" x14ac:dyDescent="0.2">
      <c r="A65" s="5">
        <v>59</v>
      </c>
      <c r="B65" s="6" t="s">
        <v>267</v>
      </c>
      <c r="C65" s="6" t="s">
        <v>268</v>
      </c>
      <c r="D65" s="6" t="s">
        <v>195</v>
      </c>
      <c r="E65" s="7">
        <v>29625</v>
      </c>
      <c r="F65" s="8">
        <v>219.68418750000001</v>
      </c>
      <c r="G65" s="9">
        <v>8.8743180000000008E-3</v>
      </c>
      <c r="H65" s="164"/>
    </row>
    <row r="66" spans="1:8" x14ac:dyDescent="0.2">
      <c r="A66" s="5">
        <v>60</v>
      </c>
      <c r="B66" s="6" t="s">
        <v>264</v>
      </c>
      <c r="C66" s="6" t="s">
        <v>265</v>
      </c>
      <c r="D66" s="6" t="s">
        <v>266</v>
      </c>
      <c r="E66" s="7">
        <v>26891</v>
      </c>
      <c r="F66" s="8">
        <v>217.42718049999999</v>
      </c>
      <c r="G66" s="9">
        <v>8.7831439999999997E-3</v>
      </c>
      <c r="H66" s="164"/>
    </row>
    <row r="67" spans="1:8" x14ac:dyDescent="0.2">
      <c r="A67" s="5">
        <v>61</v>
      </c>
      <c r="B67" s="6" t="s">
        <v>271</v>
      </c>
      <c r="C67" s="6" t="s">
        <v>272</v>
      </c>
      <c r="D67" s="6" t="s">
        <v>346</v>
      </c>
      <c r="E67" s="7">
        <v>21394</v>
      </c>
      <c r="F67" s="8">
        <v>206.270251</v>
      </c>
      <c r="G67" s="9">
        <v>8.3324509999999994E-3</v>
      </c>
      <c r="H67" s="164"/>
    </row>
    <row r="68" spans="1:8" x14ac:dyDescent="0.2">
      <c r="A68" s="5">
        <v>62</v>
      </c>
      <c r="B68" s="6" t="s">
        <v>273</v>
      </c>
      <c r="C68" s="6" t="s">
        <v>274</v>
      </c>
      <c r="D68" s="6" t="s">
        <v>22</v>
      </c>
      <c r="E68" s="7">
        <v>191773</v>
      </c>
      <c r="F68" s="8">
        <v>201.36165</v>
      </c>
      <c r="G68" s="9">
        <v>8.1341639999999993E-3</v>
      </c>
      <c r="H68" s="164"/>
    </row>
    <row r="69" spans="1:8" ht="25.5" x14ac:dyDescent="0.2">
      <c r="A69" s="5">
        <v>63</v>
      </c>
      <c r="B69" s="6" t="s">
        <v>226</v>
      </c>
      <c r="C69" s="6" t="s">
        <v>227</v>
      </c>
      <c r="D69" s="6" t="s">
        <v>62</v>
      </c>
      <c r="E69" s="7">
        <v>8392</v>
      </c>
      <c r="F69" s="8">
        <v>192.36981599999999</v>
      </c>
      <c r="G69" s="9">
        <v>7.7709320000000004E-3</v>
      </c>
      <c r="H69" s="164"/>
    </row>
    <row r="70" spans="1:8" x14ac:dyDescent="0.2">
      <c r="A70" s="5">
        <v>64</v>
      </c>
      <c r="B70" s="6" t="s">
        <v>275</v>
      </c>
      <c r="C70" s="6" t="s">
        <v>276</v>
      </c>
      <c r="D70" s="6" t="s">
        <v>277</v>
      </c>
      <c r="E70" s="7">
        <v>72207</v>
      </c>
      <c r="F70" s="8">
        <v>187.19664750000001</v>
      </c>
      <c r="G70" s="9">
        <v>7.5619579999999997E-3</v>
      </c>
      <c r="H70" s="164"/>
    </row>
    <row r="71" spans="1:8" x14ac:dyDescent="0.2">
      <c r="A71" s="5">
        <v>65</v>
      </c>
      <c r="B71" s="6" t="s">
        <v>173</v>
      </c>
      <c r="C71" s="6" t="s">
        <v>174</v>
      </c>
      <c r="D71" s="6" t="s">
        <v>179</v>
      </c>
      <c r="E71" s="7">
        <v>13157</v>
      </c>
      <c r="F71" s="8">
        <v>179.145712</v>
      </c>
      <c r="G71" s="9">
        <v>7.2367339999999999E-3</v>
      </c>
      <c r="H71" s="164"/>
    </row>
    <row r="72" spans="1:8" x14ac:dyDescent="0.2">
      <c r="A72" s="5">
        <v>66</v>
      </c>
      <c r="B72" s="6" t="s">
        <v>465</v>
      </c>
      <c r="C72" s="6" t="s">
        <v>466</v>
      </c>
      <c r="D72" s="6" t="s">
        <v>161</v>
      </c>
      <c r="E72" s="7">
        <v>26475</v>
      </c>
      <c r="F72" s="8">
        <v>176.032275</v>
      </c>
      <c r="G72" s="9">
        <v>7.110964E-3</v>
      </c>
      <c r="H72" s="164"/>
    </row>
    <row r="73" spans="1:8" x14ac:dyDescent="0.2">
      <c r="A73" s="5">
        <v>67</v>
      </c>
      <c r="B73" s="6" t="s">
        <v>282</v>
      </c>
      <c r="C73" s="6" t="s">
        <v>283</v>
      </c>
      <c r="D73" s="6" t="s">
        <v>200</v>
      </c>
      <c r="E73" s="7">
        <v>2928</v>
      </c>
      <c r="F73" s="8">
        <v>156.86467200000001</v>
      </c>
      <c r="G73" s="9">
        <v>6.3366730000000001E-3</v>
      </c>
      <c r="H73" s="164"/>
    </row>
    <row r="74" spans="1:8" x14ac:dyDescent="0.2">
      <c r="A74" s="5">
        <v>68</v>
      </c>
      <c r="B74" s="6" t="s">
        <v>286</v>
      </c>
      <c r="C74" s="6" t="s">
        <v>287</v>
      </c>
      <c r="D74" s="6" t="s">
        <v>927</v>
      </c>
      <c r="E74" s="7">
        <v>8929</v>
      </c>
      <c r="F74" s="8">
        <v>143.15419249999999</v>
      </c>
      <c r="G74" s="9">
        <v>5.7828280000000003E-3</v>
      </c>
      <c r="H74" s="164"/>
    </row>
    <row r="75" spans="1:8" x14ac:dyDescent="0.2">
      <c r="A75" s="5">
        <v>69</v>
      </c>
      <c r="B75" s="6" t="s">
        <v>301</v>
      </c>
      <c r="C75" s="6" t="s">
        <v>302</v>
      </c>
      <c r="D75" s="6" t="s">
        <v>930</v>
      </c>
      <c r="E75" s="7">
        <v>319686</v>
      </c>
      <c r="F75" s="8">
        <v>119.56256399999999</v>
      </c>
      <c r="G75" s="9">
        <v>4.8298250000000003E-3</v>
      </c>
      <c r="H75" s="164"/>
    </row>
    <row r="76" spans="1:8" x14ac:dyDescent="0.2">
      <c r="A76" s="5">
        <v>70</v>
      </c>
      <c r="B76" s="6" t="s">
        <v>288</v>
      </c>
      <c r="C76" s="6" t="s">
        <v>289</v>
      </c>
      <c r="D76" s="6" t="s">
        <v>158</v>
      </c>
      <c r="E76" s="7">
        <v>8196</v>
      </c>
      <c r="F76" s="8">
        <v>113.35068</v>
      </c>
      <c r="G76" s="9">
        <v>4.5788909999999999E-3</v>
      </c>
      <c r="H76" s="164"/>
    </row>
    <row r="77" spans="1:8" x14ac:dyDescent="0.2">
      <c r="A77" s="5">
        <v>71</v>
      </c>
      <c r="B77" s="6" t="s">
        <v>290</v>
      </c>
      <c r="C77" s="6" t="s">
        <v>291</v>
      </c>
      <c r="D77" s="6" t="s">
        <v>179</v>
      </c>
      <c r="E77" s="7">
        <v>19732</v>
      </c>
      <c r="F77" s="8">
        <v>104.944642</v>
      </c>
      <c r="G77" s="9">
        <v>4.2393220000000002E-3</v>
      </c>
      <c r="H77" s="164"/>
    </row>
    <row r="78" spans="1:8" ht="25.5" x14ac:dyDescent="0.2">
      <c r="A78" s="5">
        <v>72</v>
      </c>
      <c r="B78" s="6" t="s">
        <v>262</v>
      </c>
      <c r="C78" s="6" t="s">
        <v>263</v>
      </c>
      <c r="D78" s="6" t="s">
        <v>158</v>
      </c>
      <c r="E78" s="7">
        <v>20506</v>
      </c>
      <c r="F78" s="8">
        <v>78.886582000000004</v>
      </c>
      <c r="G78" s="9">
        <v>3.1866860000000002E-3</v>
      </c>
      <c r="H78" s="164"/>
    </row>
    <row r="79" spans="1:8" x14ac:dyDescent="0.2">
      <c r="A79" s="3" t="s">
        <v>9</v>
      </c>
      <c r="B79" s="3" t="s">
        <v>9</v>
      </c>
      <c r="C79" s="4" t="s">
        <v>110</v>
      </c>
      <c r="D79" s="3" t="s">
        <v>9</v>
      </c>
      <c r="E79" s="3" t="s">
        <v>9</v>
      </c>
      <c r="F79" s="11">
        <v>23750.804486000001</v>
      </c>
      <c r="G79" s="12">
        <v>0.95943266199999999</v>
      </c>
      <c r="H79" s="164"/>
    </row>
    <row r="80" spans="1:8" x14ac:dyDescent="0.2">
      <c r="A80" s="3" t="s">
        <v>9</v>
      </c>
      <c r="B80" s="3" t="s">
        <v>9</v>
      </c>
      <c r="C80" s="13" t="s">
        <v>9</v>
      </c>
      <c r="D80" s="3" t="s">
        <v>9</v>
      </c>
      <c r="E80" s="3" t="s">
        <v>9</v>
      </c>
      <c r="F80" s="14" t="s">
        <v>9</v>
      </c>
      <c r="G80" s="14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111</v>
      </c>
      <c r="D81" s="3" t="s">
        <v>9</v>
      </c>
      <c r="E81" s="3" t="s">
        <v>9</v>
      </c>
      <c r="F81" s="3" t="s">
        <v>9</v>
      </c>
      <c r="G81" s="3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110</v>
      </c>
      <c r="D82" s="3" t="s">
        <v>9</v>
      </c>
      <c r="E82" s="3" t="s">
        <v>9</v>
      </c>
      <c r="F82" s="15">
        <v>0</v>
      </c>
      <c r="G82" s="16">
        <v>0</v>
      </c>
      <c r="H82" s="164"/>
    </row>
    <row r="83" spans="1:8" x14ac:dyDescent="0.2">
      <c r="A83" s="3" t="s">
        <v>9</v>
      </c>
      <c r="B83" s="3" t="s">
        <v>9</v>
      </c>
      <c r="C83" s="13" t="s">
        <v>9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112</v>
      </c>
      <c r="D84" s="3" t="s">
        <v>9</v>
      </c>
      <c r="E84" s="3" t="s">
        <v>9</v>
      </c>
      <c r="F84" s="3" t="s">
        <v>9</v>
      </c>
      <c r="G84" s="3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110</v>
      </c>
      <c r="D85" s="3" t="s">
        <v>9</v>
      </c>
      <c r="E85" s="3" t="s">
        <v>9</v>
      </c>
      <c r="F85" s="15">
        <v>0</v>
      </c>
      <c r="G85" s="16">
        <v>0</v>
      </c>
      <c r="H85" s="164"/>
    </row>
    <row r="86" spans="1:8" x14ac:dyDescent="0.2">
      <c r="A86" s="3" t="s">
        <v>9</v>
      </c>
      <c r="B86" s="3" t="s">
        <v>9</v>
      </c>
      <c r="C86" s="13" t="s">
        <v>9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113</v>
      </c>
      <c r="D87" s="3" t="s">
        <v>9</v>
      </c>
      <c r="E87" s="3" t="s">
        <v>9</v>
      </c>
      <c r="F87" s="3" t="s">
        <v>9</v>
      </c>
      <c r="G87" s="3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110</v>
      </c>
      <c r="D88" s="3" t="s">
        <v>9</v>
      </c>
      <c r="E88" s="3" t="s">
        <v>9</v>
      </c>
      <c r="F88" s="15">
        <v>0</v>
      </c>
      <c r="G88" s="16">
        <v>0</v>
      </c>
      <c r="H88" s="164"/>
    </row>
    <row r="89" spans="1:8" x14ac:dyDescent="0.2">
      <c r="A89" s="3" t="s">
        <v>9</v>
      </c>
      <c r="B89" s="3" t="s">
        <v>9</v>
      </c>
      <c r="C89" s="13" t="s">
        <v>9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114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110</v>
      </c>
      <c r="D91" s="3" t="s">
        <v>9</v>
      </c>
      <c r="E91" s="3" t="s">
        <v>9</v>
      </c>
      <c r="F91" s="15">
        <v>0</v>
      </c>
      <c r="G91" s="16">
        <v>0</v>
      </c>
      <c r="H91" s="164"/>
    </row>
    <row r="92" spans="1:8" x14ac:dyDescent="0.2">
      <c r="A92" s="3" t="s">
        <v>9</v>
      </c>
      <c r="B92" s="3" t="s">
        <v>9</v>
      </c>
      <c r="C92" s="13" t="s">
        <v>9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115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110</v>
      </c>
      <c r="D94" s="3" t="s">
        <v>9</v>
      </c>
      <c r="E94" s="3" t="s">
        <v>9</v>
      </c>
      <c r="F94" s="15">
        <v>0</v>
      </c>
      <c r="G94" s="16">
        <v>0</v>
      </c>
      <c r="H94" s="164"/>
    </row>
    <row r="95" spans="1:8" x14ac:dyDescent="0.2">
      <c r="A95" s="3" t="s">
        <v>9</v>
      </c>
      <c r="B95" s="3" t="s">
        <v>9</v>
      </c>
      <c r="C95" s="13" t="s">
        <v>9</v>
      </c>
      <c r="D95" s="3" t="s">
        <v>9</v>
      </c>
      <c r="E95" s="3" t="s">
        <v>9</v>
      </c>
      <c r="F95" s="14" t="s">
        <v>9</v>
      </c>
      <c r="G95" s="14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116</v>
      </c>
      <c r="D96" s="3" t="s">
        <v>9</v>
      </c>
      <c r="E96" s="3" t="s">
        <v>9</v>
      </c>
      <c r="F96" s="11">
        <v>23750.804486000001</v>
      </c>
      <c r="G96" s="12">
        <v>0.95943266199999999</v>
      </c>
      <c r="H96" s="164"/>
    </row>
    <row r="97" spans="1:8" x14ac:dyDescent="0.2">
      <c r="A97" s="3" t="s">
        <v>9</v>
      </c>
      <c r="B97" s="3" t="s">
        <v>9</v>
      </c>
      <c r="C97" s="13" t="s">
        <v>9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117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ht="25.5" x14ac:dyDescent="0.2">
      <c r="A99" s="3" t="s">
        <v>9</v>
      </c>
      <c r="B99" s="3" t="s">
        <v>9</v>
      </c>
      <c r="C99" s="4" t="s">
        <v>11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110</v>
      </c>
      <c r="D100" s="3" t="s">
        <v>9</v>
      </c>
      <c r="E100" s="3" t="s">
        <v>9</v>
      </c>
      <c r="F100" s="15">
        <v>0</v>
      </c>
      <c r="G100" s="16">
        <v>0</v>
      </c>
      <c r="H100" s="164"/>
    </row>
    <row r="101" spans="1:8" x14ac:dyDescent="0.2">
      <c r="A101" s="3" t="s">
        <v>9</v>
      </c>
      <c r="B101" s="3" t="s">
        <v>9</v>
      </c>
      <c r="C101" s="13" t="s">
        <v>9</v>
      </c>
      <c r="D101" s="3" t="s">
        <v>9</v>
      </c>
      <c r="E101" s="3" t="s">
        <v>9</v>
      </c>
      <c r="F101" s="14" t="s">
        <v>9</v>
      </c>
      <c r="G101" s="14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118</v>
      </c>
      <c r="D102" s="3" t="s">
        <v>9</v>
      </c>
      <c r="E102" s="3" t="s">
        <v>9</v>
      </c>
      <c r="F102" s="3" t="s">
        <v>9</v>
      </c>
      <c r="G102" s="3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110</v>
      </c>
      <c r="D103" s="3" t="s">
        <v>9</v>
      </c>
      <c r="E103" s="3" t="s">
        <v>9</v>
      </c>
      <c r="F103" s="15">
        <v>0</v>
      </c>
      <c r="G103" s="16">
        <v>0</v>
      </c>
      <c r="H103" s="164"/>
    </row>
    <row r="104" spans="1:8" x14ac:dyDescent="0.2">
      <c r="A104" s="3" t="s">
        <v>9</v>
      </c>
      <c r="B104" s="3" t="s">
        <v>9</v>
      </c>
      <c r="C104" s="13" t="s">
        <v>9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119</v>
      </c>
      <c r="D105" s="3" t="s">
        <v>9</v>
      </c>
      <c r="E105" s="3" t="s">
        <v>9</v>
      </c>
      <c r="F105" s="3" t="s">
        <v>9</v>
      </c>
      <c r="G105" s="3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110</v>
      </c>
      <c r="D106" s="3" t="s">
        <v>9</v>
      </c>
      <c r="E106" s="3" t="s">
        <v>9</v>
      </c>
      <c r="F106" s="15">
        <v>0</v>
      </c>
      <c r="G106" s="16">
        <v>0</v>
      </c>
      <c r="H106" s="164"/>
    </row>
    <row r="107" spans="1:8" x14ac:dyDescent="0.2">
      <c r="A107" s="3" t="s">
        <v>9</v>
      </c>
      <c r="B107" s="3" t="s">
        <v>9</v>
      </c>
      <c r="C107" s="13" t="s">
        <v>9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120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110</v>
      </c>
      <c r="D109" s="3" t="s">
        <v>9</v>
      </c>
      <c r="E109" s="3" t="s">
        <v>9</v>
      </c>
      <c r="F109" s="15">
        <v>0</v>
      </c>
      <c r="G109" s="16">
        <v>0</v>
      </c>
      <c r="H109" s="164"/>
    </row>
    <row r="110" spans="1:8" x14ac:dyDescent="0.2">
      <c r="A110" s="3" t="s">
        <v>9</v>
      </c>
      <c r="B110" s="3" t="s">
        <v>9</v>
      </c>
      <c r="C110" s="13" t="s">
        <v>9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121</v>
      </c>
      <c r="D111" s="3" t="s">
        <v>9</v>
      </c>
      <c r="E111" s="3" t="s">
        <v>9</v>
      </c>
      <c r="F111" s="11">
        <v>0</v>
      </c>
      <c r="G111" s="12">
        <v>0</v>
      </c>
      <c r="H111" s="164"/>
    </row>
    <row r="112" spans="1:8" x14ac:dyDescent="0.2">
      <c r="A112" s="3" t="s">
        <v>9</v>
      </c>
      <c r="B112" s="3" t="s">
        <v>9</v>
      </c>
      <c r="C112" s="13" t="s">
        <v>9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122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3" t="s">
        <v>9</v>
      </c>
      <c r="B114" s="3" t="s">
        <v>9</v>
      </c>
      <c r="C114" s="4" t="s">
        <v>123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110</v>
      </c>
      <c r="D115" s="3" t="s">
        <v>9</v>
      </c>
      <c r="E115" s="3" t="s">
        <v>9</v>
      </c>
      <c r="F115" s="15">
        <v>0</v>
      </c>
      <c r="G115" s="16">
        <v>0</v>
      </c>
      <c r="H115" s="164"/>
    </row>
    <row r="116" spans="1:8" x14ac:dyDescent="0.2">
      <c r="A116" s="3" t="s">
        <v>9</v>
      </c>
      <c r="B116" s="3" t="s">
        <v>9</v>
      </c>
      <c r="C116" s="13" t="s">
        <v>9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3" t="s">
        <v>9</v>
      </c>
      <c r="B117" s="3" t="s">
        <v>9</v>
      </c>
      <c r="C117" s="4" t="s">
        <v>124</v>
      </c>
      <c r="D117" s="3" t="s">
        <v>9</v>
      </c>
      <c r="E117" s="3" t="s">
        <v>9</v>
      </c>
      <c r="F117" s="14" t="s">
        <v>9</v>
      </c>
      <c r="G117" s="14" t="s">
        <v>9</v>
      </c>
      <c r="H117" s="164"/>
    </row>
    <row r="118" spans="1:8" x14ac:dyDescent="0.2">
      <c r="A118" s="3" t="s">
        <v>9</v>
      </c>
      <c r="B118" s="3" t="s">
        <v>9</v>
      </c>
      <c r="C118" s="4" t="s">
        <v>110</v>
      </c>
      <c r="D118" s="3" t="s">
        <v>9</v>
      </c>
      <c r="E118" s="3" t="s">
        <v>9</v>
      </c>
      <c r="F118" s="15">
        <v>0</v>
      </c>
      <c r="G118" s="16">
        <v>0</v>
      </c>
      <c r="H118" s="164"/>
    </row>
    <row r="119" spans="1:8" x14ac:dyDescent="0.2">
      <c r="A119" s="3" t="s">
        <v>9</v>
      </c>
      <c r="B119" s="3" t="s">
        <v>9</v>
      </c>
      <c r="C119" s="13" t="s">
        <v>9</v>
      </c>
      <c r="D119" s="3" t="s">
        <v>9</v>
      </c>
      <c r="E119" s="3" t="s">
        <v>9</v>
      </c>
      <c r="F119" s="14" t="s">
        <v>9</v>
      </c>
      <c r="G119" s="14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125</v>
      </c>
      <c r="D120" s="3" t="s">
        <v>9</v>
      </c>
      <c r="E120" s="3" t="s">
        <v>9</v>
      </c>
      <c r="F120" s="14" t="s">
        <v>9</v>
      </c>
      <c r="G120" s="14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110</v>
      </c>
      <c r="D121" s="3" t="s">
        <v>9</v>
      </c>
      <c r="E121" s="3" t="s">
        <v>9</v>
      </c>
      <c r="F121" s="15">
        <v>0</v>
      </c>
      <c r="G121" s="16">
        <v>0</v>
      </c>
      <c r="H121" s="164"/>
    </row>
    <row r="122" spans="1:8" x14ac:dyDescent="0.2">
      <c r="A122" s="3" t="s">
        <v>9</v>
      </c>
      <c r="B122" s="3" t="s">
        <v>9</v>
      </c>
      <c r="C122" s="13" t="s">
        <v>9</v>
      </c>
      <c r="D122" s="3" t="s">
        <v>9</v>
      </c>
      <c r="E122" s="3" t="s">
        <v>9</v>
      </c>
      <c r="F122" s="14" t="s">
        <v>9</v>
      </c>
      <c r="G122" s="14" t="s">
        <v>9</v>
      </c>
      <c r="H122" s="164"/>
    </row>
    <row r="123" spans="1:8" x14ac:dyDescent="0.2">
      <c r="A123" s="3" t="s">
        <v>9</v>
      </c>
      <c r="B123" s="3" t="s">
        <v>9</v>
      </c>
      <c r="C123" s="4" t="s">
        <v>126</v>
      </c>
      <c r="D123" s="3" t="s">
        <v>9</v>
      </c>
      <c r="E123" s="3" t="s">
        <v>9</v>
      </c>
      <c r="F123" s="14" t="s">
        <v>9</v>
      </c>
      <c r="G123" s="14" t="s">
        <v>9</v>
      </c>
      <c r="H123" s="164"/>
    </row>
    <row r="124" spans="1:8" x14ac:dyDescent="0.2">
      <c r="A124" s="5">
        <v>1</v>
      </c>
      <c r="B124" s="6"/>
      <c r="C124" s="6" t="s">
        <v>127</v>
      </c>
      <c r="D124" s="6"/>
      <c r="E124" s="10" t="s">
        <v>9</v>
      </c>
      <c r="F124" s="8">
        <v>692.36310860000003</v>
      </c>
      <c r="G124" s="9">
        <v>2.7968559E-2</v>
      </c>
      <c r="H124" s="90">
        <v>3.22</v>
      </c>
    </row>
    <row r="125" spans="1:8" x14ac:dyDescent="0.2">
      <c r="A125" s="5">
        <v>2</v>
      </c>
      <c r="B125" s="6"/>
      <c r="C125" s="6" t="s">
        <v>128</v>
      </c>
      <c r="D125" s="6"/>
      <c r="E125" s="10" t="s">
        <v>9</v>
      </c>
      <c r="F125" s="8">
        <v>195.6584527</v>
      </c>
      <c r="G125" s="9">
        <v>7.9037789999999997E-3</v>
      </c>
      <c r="H125" s="90">
        <v>3.34</v>
      </c>
    </row>
    <row r="126" spans="1:8" x14ac:dyDescent="0.2">
      <c r="A126" s="3" t="s">
        <v>9</v>
      </c>
      <c r="B126" s="3" t="s">
        <v>9</v>
      </c>
      <c r="C126" s="4" t="s">
        <v>110</v>
      </c>
      <c r="D126" s="3" t="s">
        <v>9</v>
      </c>
      <c r="E126" s="3" t="s">
        <v>9</v>
      </c>
      <c r="F126" s="11">
        <v>888.02156130000003</v>
      </c>
      <c r="G126" s="12">
        <v>3.5872337999999997E-2</v>
      </c>
      <c r="H126" s="164"/>
    </row>
    <row r="127" spans="1:8" x14ac:dyDescent="0.2">
      <c r="A127" s="3" t="s">
        <v>9</v>
      </c>
      <c r="B127" s="3" t="s">
        <v>9</v>
      </c>
      <c r="C127" s="13" t="s">
        <v>9</v>
      </c>
      <c r="D127" s="3" t="s">
        <v>9</v>
      </c>
      <c r="E127" s="3" t="s">
        <v>9</v>
      </c>
      <c r="F127" s="14" t="s">
        <v>9</v>
      </c>
      <c r="G127" s="14" t="s">
        <v>9</v>
      </c>
      <c r="H127" s="164"/>
    </row>
    <row r="128" spans="1:8" x14ac:dyDescent="0.2">
      <c r="A128" s="3" t="s">
        <v>9</v>
      </c>
      <c r="B128" s="3" t="s">
        <v>9</v>
      </c>
      <c r="C128" s="4" t="s">
        <v>129</v>
      </c>
      <c r="D128" s="3" t="s">
        <v>9</v>
      </c>
      <c r="E128" s="3" t="s">
        <v>9</v>
      </c>
      <c r="F128" s="11">
        <v>888.02156130000003</v>
      </c>
      <c r="G128" s="12">
        <v>3.5872337999999997E-2</v>
      </c>
      <c r="H128" s="164"/>
    </row>
    <row r="129" spans="1:8" x14ac:dyDescent="0.2">
      <c r="A129" s="3" t="s">
        <v>9</v>
      </c>
      <c r="B129" s="3" t="s">
        <v>9</v>
      </c>
      <c r="C129" s="14" t="s">
        <v>9</v>
      </c>
      <c r="D129" s="3" t="s">
        <v>9</v>
      </c>
      <c r="E129" s="3" t="s">
        <v>9</v>
      </c>
      <c r="F129" s="3" t="s">
        <v>9</v>
      </c>
      <c r="G129" s="3" t="s">
        <v>9</v>
      </c>
      <c r="H129" s="164"/>
    </row>
    <row r="130" spans="1:8" x14ac:dyDescent="0.2">
      <c r="A130" s="3" t="s">
        <v>9</v>
      </c>
      <c r="B130" s="3" t="s">
        <v>9</v>
      </c>
      <c r="C130" s="4" t="s">
        <v>130</v>
      </c>
      <c r="D130" s="3" t="s">
        <v>9</v>
      </c>
      <c r="E130" s="3" t="s">
        <v>9</v>
      </c>
      <c r="F130" s="3" t="s">
        <v>9</v>
      </c>
      <c r="G130" s="3" t="s">
        <v>9</v>
      </c>
      <c r="H130" s="164"/>
    </row>
    <row r="131" spans="1:8" x14ac:dyDescent="0.2">
      <c r="A131" s="3" t="s">
        <v>9</v>
      </c>
      <c r="B131" s="3" t="s">
        <v>9</v>
      </c>
      <c r="C131" s="4" t="s">
        <v>131</v>
      </c>
      <c r="D131" s="3" t="s">
        <v>9</v>
      </c>
      <c r="E131" s="3" t="s">
        <v>9</v>
      </c>
      <c r="F131" s="3" t="s">
        <v>9</v>
      </c>
      <c r="G131" s="3" t="s">
        <v>9</v>
      </c>
      <c r="H131" s="164"/>
    </row>
    <row r="132" spans="1:8" x14ac:dyDescent="0.2">
      <c r="A132" s="3" t="s">
        <v>9</v>
      </c>
      <c r="B132" s="3" t="s">
        <v>9</v>
      </c>
      <c r="C132" s="4" t="s">
        <v>110</v>
      </c>
      <c r="D132" s="3" t="s">
        <v>9</v>
      </c>
      <c r="E132" s="3" t="s">
        <v>9</v>
      </c>
      <c r="F132" s="15">
        <v>0</v>
      </c>
      <c r="G132" s="16">
        <v>0</v>
      </c>
      <c r="H132" s="164"/>
    </row>
    <row r="133" spans="1:8" x14ac:dyDescent="0.2">
      <c r="A133" s="3" t="s">
        <v>9</v>
      </c>
      <c r="B133" s="3" t="s">
        <v>9</v>
      </c>
      <c r="C133" s="13" t="s">
        <v>9</v>
      </c>
      <c r="D133" s="3" t="s">
        <v>9</v>
      </c>
      <c r="E133" s="3" t="s">
        <v>9</v>
      </c>
      <c r="F133" s="14" t="s">
        <v>9</v>
      </c>
      <c r="G133" s="14" t="s">
        <v>9</v>
      </c>
      <c r="H133" s="164"/>
    </row>
    <row r="134" spans="1:8" x14ac:dyDescent="0.2">
      <c r="A134" s="3" t="s">
        <v>9</v>
      </c>
      <c r="B134" s="3" t="s">
        <v>9</v>
      </c>
      <c r="C134" s="4" t="s">
        <v>132</v>
      </c>
      <c r="D134" s="3" t="s">
        <v>9</v>
      </c>
      <c r="E134" s="3" t="s">
        <v>9</v>
      </c>
      <c r="F134" s="3" t="s">
        <v>9</v>
      </c>
      <c r="G134" s="3" t="s">
        <v>9</v>
      </c>
      <c r="H134" s="164"/>
    </row>
    <row r="135" spans="1:8" x14ac:dyDescent="0.2">
      <c r="A135" s="3" t="s">
        <v>9</v>
      </c>
      <c r="B135" s="3" t="s">
        <v>9</v>
      </c>
      <c r="C135" s="4" t="s">
        <v>133</v>
      </c>
      <c r="D135" s="3" t="s">
        <v>9</v>
      </c>
      <c r="E135" s="3" t="s">
        <v>9</v>
      </c>
      <c r="F135" s="3" t="s">
        <v>9</v>
      </c>
      <c r="G135" s="3" t="s">
        <v>9</v>
      </c>
      <c r="H135" s="164"/>
    </row>
    <row r="136" spans="1:8" x14ac:dyDescent="0.2">
      <c r="A136" s="3" t="s">
        <v>9</v>
      </c>
      <c r="B136" s="3" t="s">
        <v>9</v>
      </c>
      <c r="C136" s="4" t="s">
        <v>110</v>
      </c>
      <c r="D136" s="3" t="s">
        <v>9</v>
      </c>
      <c r="E136" s="3" t="s">
        <v>9</v>
      </c>
      <c r="F136" s="15">
        <v>0</v>
      </c>
      <c r="G136" s="16">
        <v>0</v>
      </c>
      <c r="H136" s="164"/>
    </row>
    <row r="137" spans="1:8" x14ac:dyDescent="0.2">
      <c r="A137" s="3" t="s">
        <v>9</v>
      </c>
      <c r="B137" s="3" t="s">
        <v>9</v>
      </c>
      <c r="C137" s="13" t="s">
        <v>9</v>
      </c>
      <c r="D137" s="3" t="s">
        <v>9</v>
      </c>
      <c r="E137" s="3" t="s">
        <v>9</v>
      </c>
      <c r="F137" s="14" t="s">
        <v>9</v>
      </c>
      <c r="G137" s="14" t="s">
        <v>9</v>
      </c>
      <c r="H137" s="164"/>
    </row>
    <row r="138" spans="1:8" x14ac:dyDescent="0.2">
      <c r="A138" s="3" t="s">
        <v>9</v>
      </c>
      <c r="B138" s="3" t="s">
        <v>9</v>
      </c>
      <c r="C138" s="13" t="s">
        <v>9</v>
      </c>
      <c r="D138" s="3" t="s">
        <v>9</v>
      </c>
      <c r="E138" s="3" t="s">
        <v>9</v>
      </c>
      <c r="F138" s="14" t="s">
        <v>9</v>
      </c>
      <c r="G138" s="14" t="s">
        <v>9</v>
      </c>
      <c r="H138" s="164"/>
    </row>
    <row r="139" spans="1:8" ht="25.5" x14ac:dyDescent="0.2">
      <c r="A139" s="3" t="s">
        <v>9</v>
      </c>
      <c r="B139" s="3" t="s">
        <v>9</v>
      </c>
      <c r="C139" s="4" t="s">
        <v>134</v>
      </c>
      <c r="D139" s="3" t="s">
        <v>9</v>
      </c>
      <c r="E139" s="3" t="s">
        <v>9</v>
      </c>
      <c r="F139" s="14" t="s">
        <v>9</v>
      </c>
      <c r="G139" s="14" t="s">
        <v>9</v>
      </c>
      <c r="H139" s="164"/>
    </row>
    <row r="140" spans="1:8" x14ac:dyDescent="0.2">
      <c r="A140" s="3" t="s">
        <v>9</v>
      </c>
      <c r="B140" s="3" t="s">
        <v>9</v>
      </c>
      <c r="C140" s="4" t="s">
        <v>110</v>
      </c>
      <c r="D140" s="3" t="s">
        <v>9</v>
      </c>
      <c r="E140" s="3" t="s">
        <v>9</v>
      </c>
      <c r="F140" s="15">
        <v>0</v>
      </c>
      <c r="G140" s="16">
        <v>0</v>
      </c>
      <c r="H140" s="164"/>
    </row>
    <row r="141" spans="1:8" x14ac:dyDescent="0.2">
      <c r="A141" s="3" t="s">
        <v>9</v>
      </c>
      <c r="B141" s="3" t="s">
        <v>9</v>
      </c>
      <c r="C141" s="13" t="s">
        <v>9</v>
      </c>
      <c r="D141" s="3" t="s">
        <v>9</v>
      </c>
      <c r="E141" s="3" t="s">
        <v>9</v>
      </c>
      <c r="F141" s="14" t="s">
        <v>9</v>
      </c>
      <c r="G141" s="14" t="s">
        <v>9</v>
      </c>
      <c r="H141" s="164"/>
    </row>
    <row r="142" spans="1:8" x14ac:dyDescent="0.2">
      <c r="A142" s="3" t="s">
        <v>9</v>
      </c>
      <c r="B142" s="6" t="s">
        <v>9</v>
      </c>
      <c r="C142" s="6" t="s">
        <v>9</v>
      </c>
      <c r="D142" s="4" t="s">
        <v>9</v>
      </c>
      <c r="E142" s="3" t="s">
        <v>9</v>
      </c>
      <c r="F142" s="6" t="s">
        <v>9</v>
      </c>
      <c r="G142" s="10" t="s">
        <v>9</v>
      </c>
      <c r="H142" s="164"/>
    </row>
    <row r="143" spans="1:8" x14ac:dyDescent="0.2">
      <c r="A143" s="10" t="s">
        <v>9</v>
      </c>
      <c r="B143" s="6" t="s">
        <v>9</v>
      </c>
      <c r="C143" s="6" t="s">
        <v>135</v>
      </c>
      <c r="D143" s="6" t="s">
        <v>9</v>
      </c>
      <c r="E143" s="10" t="s">
        <v>9</v>
      </c>
      <c r="F143" s="8">
        <v>116.22490529</v>
      </c>
      <c r="G143" s="9">
        <v>4.6949979999999997E-3</v>
      </c>
      <c r="H143" s="164"/>
    </row>
    <row r="144" spans="1:8" x14ac:dyDescent="0.2">
      <c r="A144" s="13" t="s">
        <v>9</v>
      </c>
      <c r="B144" s="13" t="s">
        <v>9</v>
      </c>
      <c r="C144" s="4" t="s">
        <v>136</v>
      </c>
      <c r="D144" s="17" t="s">
        <v>9</v>
      </c>
      <c r="E144" s="17" t="s">
        <v>9</v>
      </c>
      <c r="F144" s="11">
        <v>24755.050952590002</v>
      </c>
      <c r="G144" s="12">
        <v>0.99999999799999995</v>
      </c>
      <c r="H144" s="164"/>
    </row>
    <row r="145" spans="1:7" ht="14.1" customHeight="1" x14ac:dyDescent="0.2">
      <c r="A145" s="18" t="s">
        <v>9</v>
      </c>
      <c r="B145" s="18" t="s">
        <v>9</v>
      </c>
      <c r="C145" s="18" t="s">
        <v>9</v>
      </c>
      <c r="D145" s="19" t="s">
        <v>9</v>
      </c>
      <c r="E145" s="19" t="s">
        <v>9</v>
      </c>
      <c r="F145" s="19" t="s">
        <v>9</v>
      </c>
      <c r="G145" s="19" t="s">
        <v>9</v>
      </c>
    </row>
    <row r="146" spans="1:7" ht="14.1" customHeight="1" x14ac:dyDescent="0.2">
      <c r="A146" s="20" t="s">
        <v>9</v>
      </c>
      <c r="B146" s="228" t="s">
        <v>9</v>
      </c>
      <c r="C146" s="228"/>
      <c r="D146" s="228"/>
      <c r="E146" s="228"/>
      <c r="F146" s="228"/>
      <c r="G146" s="22" t="s">
        <v>9</v>
      </c>
    </row>
    <row r="147" spans="1:7" ht="14.1" customHeight="1" x14ac:dyDescent="0.2">
      <c r="A147" s="20" t="s">
        <v>9</v>
      </c>
      <c r="B147" s="228" t="s">
        <v>9</v>
      </c>
      <c r="C147" s="228"/>
      <c r="D147" s="228"/>
      <c r="E147" s="228"/>
      <c r="F147" s="228"/>
      <c r="G147" s="22" t="s">
        <v>9</v>
      </c>
    </row>
    <row r="148" spans="1:7" ht="14.1" customHeight="1" x14ac:dyDescent="0.2">
      <c r="A148" s="20" t="s">
        <v>9</v>
      </c>
      <c r="B148" s="20" t="s">
        <v>9</v>
      </c>
      <c r="C148" s="20" t="s">
        <v>9</v>
      </c>
      <c r="D148" s="22" t="s">
        <v>9</v>
      </c>
      <c r="E148" s="22" t="s">
        <v>9</v>
      </c>
      <c r="F148" s="22" t="s">
        <v>9</v>
      </c>
      <c r="G148" s="22" t="s">
        <v>9</v>
      </c>
    </row>
    <row r="149" spans="1:7" ht="14.1" customHeight="1" x14ac:dyDescent="0.2">
      <c r="A149" s="20" t="s">
        <v>9</v>
      </c>
      <c r="B149" s="226" t="s">
        <v>138</v>
      </c>
      <c r="C149" s="227"/>
      <c r="D149" s="14" t="s">
        <v>9</v>
      </c>
      <c r="E149" s="23" t="s">
        <v>9</v>
      </c>
      <c r="F149" s="22" t="s">
        <v>9</v>
      </c>
      <c r="G149" s="22" t="s">
        <v>9</v>
      </c>
    </row>
    <row r="150" spans="1:7" ht="29.1" customHeight="1" x14ac:dyDescent="0.2">
      <c r="A150" s="20" t="s">
        <v>9</v>
      </c>
      <c r="B150" s="233" t="s">
        <v>139</v>
      </c>
      <c r="C150" s="234"/>
      <c r="D150" s="4" t="s">
        <v>140</v>
      </c>
      <c r="E150" s="23" t="s">
        <v>9</v>
      </c>
      <c r="F150" s="22" t="s">
        <v>9</v>
      </c>
      <c r="G150" s="22" t="s">
        <v>9</v>
      </c>
    </row>
    <row r="151" spans="1:7" ht="17.100000000000001" customHeight="1" x14ac:dyDescent="0.2">
      <c r="A151" s="20" t="s">
        <v>9</v>
      </c>
      <c r="B151" s="233" t="s">
        <v>141</v>
      </c>
      <c r="C151" s="234"/>
      <c r="D151" s="4" t="s">
        <v>140</v>
      </c>
      <c r="E151" s="23" t="s">
        <v>9</v>
      </c>
      <c r="F151" s="22" t="s">
        <v>9</v>
      </c>
      <c r="G151" s="22" t="s">
        <v>9</v>
      </c>
    </row>
    <row r="152" spans="1:7" ht="17.100000000000001" customHeight="1" x14ac:dyDescent="0.2">
      <c r="A152" s="20" t="s">
        <v>9</v>
      </c>
      <c r="B152" s="233" t="s">
        <v>142</v>
      </c>
      <c r="C152" s="234"/>
      <c r="D152" s="14" t="s">
        <v>9</v>
      </c>
      <c r="E152" s="23" t="s">
        <v>9</v>
      </c>
      <c r="F152" s="22" t="s">
        <v>9</v>
      </c>
      <c r="G152" s="22" t="s">
        <v>9</v>
      </c>
    </row>
    <row r="153" spans="1:7" ht="24" customHeight="1" x14ac:dyDescent="0.2">
      <c r="A153" s="24" t="s">
        <v>9</v>
      </c>
      <c r="B153" s="25" t="s">
        <v>9</v>
      </c>
      <c r="C153" s="25" t="s">
        <v>143</v>
      </c>
      <c r="D153" s="25" t="s">
        <v>144</v>
      </c>
      <c r="E153" s="24" t="s">
        <v>9</v>
      </c>
      <c r="F153" s="24" t="s">
        <v>9</v>
      </c>
      <c r="G153" s="24" t="s">
        <v>9</v>
      </c>
    </row>
    <row r="154" spans="1:7" ht="18" customHeight="1" x14ac:dyDescent="0.2">
      <c r="A154" s="24" t="s">
        <v>9</v>
      </c>
      <c r="B154" s="25" t="s">
        <v>145</v>
      </c>
      <c r="C154" s="25" t="s">
        <v>146</v>
      </c>
      <c r="D154" s="25" t="s">
        <v>147</v>
      </c>
      <c r="E154" s="24" t="s">
        <v>9</v>
      </c>
      <c r="F154" s="24" t="s">
        <v>9</v>
      </c>
      <c r="G154" s="24" t="s">
        <v>9</v>
      </c>
    </row>
    <row r="155" spans="1:7" ht="17.100000000000001" customHeight="1" x14ac:dyDescent="0.2">
      <c r="A155" s="24" t="s">
        <v>9</v>
      </c>
      <c r="B155" s="6" t="s">
        <v>148</v>
      </c>
      <c r="C155" s="26">
        <v>15.064500000000001</v>
      </c>
      <c r="D155" s="26">
        <v>16.249300000000002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839</v>
      </c>
      <c r="C156" s="26">
        <v>14.7879</v>
      </c>
      <c r="D156" s="26">
        <v>15.951000000000001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6" t="s">
        <v>149</v>
      </c>
      <c r="C157" s="26">
        <v>14.6751</v>
      </c>
      <c r="D157" s="26">
        <v>15.821199999999999</v>
      </c>
      <c r="E157" s="24" t="s">
        <v>9</v>
      </c>
      <c r="F157" s="21" t="s">
        <v>9</v>
      </c>
      <c r="G157" s="27" t="s">
        <v>9</v>
      </c>
    </row>
    <row r="158" spans="1:7" ht="17.100000000000001" customHeight="1" x14ac:dyDescent="0.2">
      <c r="A158" s="24" t="s">
        <v>9</v>
      </c>
      <c r="B158" s="6" t="s">
        <v>840</v>
      </c>
      <c r="C158" s="26">
        <v>14.3986</v>
      </c>
      <c r="D158" s="26">
        <v>15.523099999999999</v>
      </c>
      <c r="E158" s="24" t="s">
        <v>9</v>
      </c>
      <c r="F158" s="21" t="s">
        <v>9</v>
      </c>
      <c r="G158" s="27" t="s">
        <v>9</v>
      </c>
    </row>
    <row r="159" spans="1:7" ht="14.1" customHeight="1" x14ac:dyDescent="0.2">
      <c r="A159" s="24" t="s">
        <v>9</v>
      </c>
      <c r="B159" s="24" t="s">
        <v>9</v>
      </c>
      <c r="C159" s="24" t="s">
        <v>9</v>
      </c>
      <c r="D159" s="24" t="s">
        <v>9</v>
      </c>
      <c r="E159" s="24" t="s">
        <v>9</v>
      </c>
      <c r="F159" s="24" t="s">
        <v>9</v>
      </c>
      <c r="G159" s="24" t="s">
        <v>9</v>
      </c>
    </row>
    <row r="160" spans="1:7" ht="17.100000000000001" customHeight="1" x14ac:dyDescent="0.2">
      <c r="A160" s="24" t="s">
        <v>9</v>
      </c>
      <c r="B160" s="233" t="s">
        <v>1003</v>
      </c>
      <c r="C160" s="234"/>
      <c r="D160" s="4" t="s">
        <v>140</v>
      </c>
      <c r="E160" s="24" t="s">
        <v>9</v>
      </c>
      <c r="F160" s="24" t="s">
        <v>9</v>
      </c>
      <c r="G160" s="24" t="s">
        <v>9</v>
      </c>
    </row>
    <row r="161" spans="1:7" ht="18" customHeight="1" x14ac:dyDescent="0.2">
      <c r="A161" s="24" t="s">
        <v>9</v>
      </c>
      <c r="B161" s="28" t="s">
        <v>150</v>
      </c>
      <c r="C161" s="28" t="s">
        <v>150</v>
      </c>
      <c r="D161" s="28" t="s">
        <v>9</v>
      </c>
      <c r="E161" s="24" t="s">
        <v>9</v>
      </c>
      <c r="F161" s="24" t="s">
        <v>9</v>
      </c>
      <c r="G161" s="24" t="s">
        <v>9</v>
      </c>
    </row>
    <row r="162" spans="1:7" s="169" customFormat="1" x14ac:dyDescent="0.2">
      <c r="B162" s="235" t="s">
        <v>841</v>
      </c>
      <c r="C162" s="235"/>
      <c r="D162" s="235"/>
      <c r="E162" s="235"/>
      <c r="F162" s="235"/>
    </row>
    <row r="163" spans="1:7" ht="14.1" customHeight="1" x14ac:dyDescent="0.2">
      <c r="A163" s="24" t="s">
        <v>9</v>
      </c>
      <c r="B163" s="21" t="s">
        <v>9</v>
      </c>
      <c r="C163" s="21" t="s">
        <v>9</v>
      </c>
      <c r="D163" s="24" t="s">
        <v>9</v>
      </c>
      <c r="E163" s="24" t="s">
        <v>9</v>
      </c>
      <c r="F163" s="24" t="s">
        <v>9</v>
      </c>
      <c r="G163" s="24" t="s">
        <v>9</v>
      </c>
    </row>
    <row r="164" spans="1:7" ht="29.1" customHeight="1" x14ac:dyDescent="0.2">
      <c r="A164" s="24" t="s">
        <v>9</v>
      </c>
      <c r="B164" s="233" t="s">
        <v>151</v>
      </c>
      <c r="C164" s="234"/>
      <c r="D164" s="4" t="s">
        <v>140</v>
      </c>
      <c r="E164" s="24" t="s">
        <v>9</v>
      </c>
      <c r="F164" s="24" t="s">
        <v>9</v>
      </c>
      <c r="G164" s="24" t="s">
        <v>9</v>
      </c>
    </row>
    <row r="165" spans="1:7" ht="29.1" customHeight="1" x14ac:dyDescent="0.2">
      <c r="A165" s="24" t="s">
        <v>9</v>
      </c>
      <c r="B165" s="233" t="s">
        <v>152</v>
      </c>
      <c r="C165" s="234"/>
      <c r="D165" s="4" t="s">
        <v>140</v>
      </c>
      <c r="E165" s="24" t="s">
        <v>9</v>
      </c>
      <c r="F165" s="24" t="s">
        <v>9</v>
      </c>
      <c r="G165" s="24" t="s">
        <v>9</v>
      </c>
    </row>
    <row r="166" spans="1:7" ht="17.100000000000001" customHeight="1" x14ac:dyDescent="0.2">
      <c r="A166" s="24" t="s">
        <v>9</v>
      </c>
      <c r="B166" s="233" t="s">
        <v>153</v>
      </c>
      <c r="C166" s="234"/>
      <c r="D166" s="29">
        <v>0.47517439719236571</v>
      </c>
      <c r="E166" s="24" t="s">
        <v>9</v>
      </c>
      <c r="F166" s="21" t="s">
        <v>9</v>
      </c>
      <c r="G166" s="27" t="s">
        <v>9</v>
      </c>
    </row>
    <row r="167" spans="1:7" ht="17.100000000000001" customHeight="1" x14ac:dyDescent="0.2">
      <c r="A167" s="24" t="s">
        <v>9</v>
      </c>
      <c r="B167" s="233" t="s">
        <v>154</v>
      </c>
      <c r="C167" s="234"/>
      <c r="D167" s="4" t="s">
        <v>140</v>
      </c>
      <c r="E167" s="24" t="s">
        <v>9</v>
      </c>
      <c r="F167" s="24" t="s">
        <v>9</v>
      </c>
      <c r="G167" s="24" t="s">
        <v>9</v>
      </c>
    </row>
  </sheetData>
  <mergeCells count="15">
    <mergeCell ref="B166:C166"/>
    <mergeCell ref="B167:C167"/>
    <mergeCell ref="B150:C150"/>
    <mergeCell ref="B151:C151"/>
    <mergeCell ref="B152:C152"/>
    <mergeCell ref="B160:C160"/>
    <mergeCell ref="B164:C164"/>
    <mergeCell ref="B165:C165"/>
    <mergeCell ref="B162:F162"/>
    <mergeCell ref="B149:C149"/>
    <mergeCell ref="B146:F146"/>
    <mergeCell ref="B147:F14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67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473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45249</v>
      </c>
      <c r="F7" s="8">
        <v>566.56272899999999</v>
      </c>
      <c r="G7" s="9">
        <v>3.1980298999999997E-2</v>
      </c>
      <c r="H7" s="164"/>
    </row>
    <row r="8" spans="1:8" x14ac:dyDescent="0.2">
      <c r="A8" s="5">
        <v>2</v>
      </c>
      <c r="B8" s="6" t="s">
        <v>156</v>
      </c>
      <c r="C8" s="6" t="s">
        <v>157</v>
      </c>
      <c r="D8" s="6" t="s">
        <v>158</v>
      </c>
      <c r="E8" s="7">
        <v>15229</v>
      </c>
      <c r="F8" s="8">
        <v>556.9626025</v>
      </c>
      <c r="G8" s="9">
        <v>3.1438409E-2</v>
      </c>
      <c r="H8" s="164"/>
    </row>
    <row r="9" spans="1:8" x14ac:dyDescent="0.2">
      <c r="A9" s="5">
        <v>3</v>
      </c>
      <c r="B9" s="6" t="s">
        <v>159</v>
      </c>
      <c r="C9" s="6" t="s">
        <v>160</v>
      </c>
      <c r="D9" s="6" t="s">
        <v>161</v>
      </c>
      <c r="E9" s="7">
        <v>389455</v>
      </c>
      <c r="F9" s="8">
        <v>501.81276750000001</v>
      </c>
      <c r="G9" s="9">
        <v>2.8325411000000002E-2</v>
      </c>
      <c r="H9" s="164"/>
    </row>
    <row r="10" spans="1:8" x14ac:dyDescent="0.2">
      <c r="A10" s="5">
        <v>4</v>
      </c>
      <c r="B10" s="6" t="s">
        <v>299</v>
      </c>
      <c r="C10" s="6" t="s">
        <v>300</v>
      </c>
      <c r="D10" s="6" t="s">
        <v>28</v>
      </c>
      <c r="E10" s="7">
        <v>64998</v>
      </c>
      <c r="F10" s="8">
        <v>469.28555999999998</v>
      </c>
      <c r="G10" s="9">
        <v>2.6489374999999999E-2</v>
      </c>
      <c r="H10" s="164"/>
    </row>
    <row r="11" spans="1:8" x14ac:dyDescent="0.2">
      <c r="A11" s="5">
        <v>5</v>
      </c>
      <c r="B11" s="6" t="s">
        <v>164</v>
      </c>
      <c r="C11" s="6" t="s">
        <v>165</v>
      </c>
      <c r="D11" s="6" t="s">
        <v>28</v>
      </c>
      <c r="E11" s="7">
        <v>55758</v>
      </c>
      <c r="F11" s="8">
        <v>426.29778900000002</v>
      </c>
      <c r="G11" s="9">
        <v>2.4062879999999998E-2</v>
      </c>
      <c r="H11" s="164"/>
    </row>
    <row r="12" spans="1:8" x14ac:dyDescent="0.2">
      <c r="A12" s="5">
        <v>6</v>
      </c>
      <c r="B12" s="6" t="s">
        <v>168</v>
      </c>
      <c r="C12" s="6" t="s">
        <v>169</v>
      </c>
      <c r="D12" s="6" t="s">
        <v>28</v>
      </c>
      <c r="E12" s="7">
        <v>58698</v>
      </c>
      <c r="F12" s="8">
        <v>416.051424</v>
      </c>
      <c r="G12" s="9">
        <v>2.3484511E-2</v>
      </c>
      <c r="H12" s="164"/>
    </row>
    <row r="13" spans="1:8" x14ac:dyDescent="0.2">
      <c r="A13" s="5">
        <v>7</v>
      </c>
      <c r="B13" s="6" t="s">
        <v>41</v>
      </c>
      <c r="C13" s="6" t="s">
        <v>42</v>
      </c>
      <c r="D13" s="6" t="s">
        <v>28</v>
      </c>
      <c r="E13" s="7">
        <v>31667</v>
      </c>
      <c r="F13" s="8">
        <v>367.05219699999998</v>
      </c>
      <c r="G13" s="9">
        <v>2.0718693E-2</v>
      </c>
      <c r="H13" s="164"/>
    </row>
    <row r="14" spans="1:8" ht="25.5" x14ac:dyDescent="0.2">
      <c r="A14" s="5">
        <v>8</v>
      </c>
      <c r="B14" s="6" t="s">
        <v>29</v>
      </c>
      <c r="C14" s="6" t="s">
        <v>30</v>
      </c>
      <c r="D14" s="6" t="s">
        <v>925</v>
      </c>
      <c r="E14" s="7">
        <v>10852</v>
      </c>
      <c r="F14" s="8">
        <v>353.68295799999999</v>
      </c>
      <c r="G14" s="9">
        <v>1.9964050000000001E-2</v>
      </c>
      <c r="H14" s="164"/>
    </row>
    <row r="15" spans="1:8" x14ac:dyDescent="0.2">
      <c r="A15" s="5">
        <v>9</v>
      </c>
      <c r="B15" s="6" t="s">
        <v>175</v>
      </c>
      <c r="C15" s="6" t="s">
        <v>176</v>
      </c>
      <c r="D15" s="6" t="s">
        <v>62</v>
      </c>
      <c r="E15" s="7">
        <v>80777</v>
      </c>
      <c r="F15" s="8">
        <v>341.44437900000003</v>
      </c>
      <c r="G15" s="9">
        <v>1.9273228999999999E-2</v>
      </c>
      <c r="H15" s="164"/>
    </row>
    <row r="16" spans="1:8" x14ac:dyDescent="0.2">
      <c r="A16" s="5">
        <v>10</v>
      </c>
      <c r="B16" s="6" t="s">
        <v>177</v>
      </c>
      <c r="C16" s="6" t="s">
        <v>178</v>
      </c>
      <c r="D16" s="6" t="s">
        <v>179</v>
      </c>
      <c r="E16" s="7">
        <v>120968</v>
      </c>
      <c r="F16" s="8">
        <v>340.82733999999999</v>
      </c>
      <c r="G16" s="9">
        <v>1.9238399999999999E-2</v>
      </c>
      <c r="H16" s="164"/>
    </row>
    <row r="17" spans="1:8" x14ac:dyDescent="0.2">
      <c r="A17" s="5">
        <v>11</v>
      </c>
      <c r="B17" s="6" t="s">
        <v>471</v>
      </c>
      <c r="C17" s="6" t="s">
        <v>472</v>
      </c>
      <c r="D17" s="6" t="s">
        <v>200</v>
      </c>
      <c r="E17" s="7">
        <v>62069</v>
      </c>
      <c r="F17" s="8">
        <v>332.13121899999999</v>
      </c>
      <c r="G17" s="9">
        <v>1.8747537000000002E-2</v>
      </c>
      <c r="H17" s="164"/>
    </row>
    <row r="18" spans="1:8" x14ac:dyDescent="0.2">
      <c r="A18" s="5">
        <v>12</v>
      </c>
      <c r="B18" s="6" t="s">
        <v>451</v>
      </c>
      <c r="C18" s="6" t="s">
        <v>452</v>
      </c>
      <c r="D18" s="6" t="s">
        <v>62</v>
      </c>
      <c r="E18" s="7">
        <v>101250</v>
      </c>
      <c r="F18" s="8">
        <v>325.82249999999999</v>
      </c>
      <c r="G18" s="9">
        <v>1.8391434000000002E-2</v>
      </c>
      <c r="H18" s="164"/>
    </row>
    <row r="19" spans="1:8" x14ac:dyDescent="0.2">
      <c r="A19" s="5">
        <v>13</v>
      </c>
      <c r="B19" s="6" t="s">
        <v>180</v>
      </c>
      <c r="C19" s="6" t="s">
        <v>181</v>
      </c>
      <c r="D19" s="6" t="s">
        <v>182</v>
      </c>
      <c r="E19" s="7">
        <v>24588</v>
      </c>
      <c r="F19" s="8">
        <v>321.72168599999998</v>
      </c>
      <c r="G19" s="9">
        <v>1.8159959E-2</v>
      </c>
      <c r="H19" s="164"/>
    </row>
    <row r="20" spans="1:8" x14ac:dyDescent="0.2">
      <c r="A20" s="5">
        <v>14</v>
      </c>
      <c r="B20" s="6" t="s">
        <v>189</v>
      </c>
      <c r="C20" s="6" t="s">
        <v>190</v>
      </c>
      <c r="D20" s="6" t="s">
        <v>179</v>
      </c>
      <c r="E20" s="7">
        <v>10158</v>
      </c>
      <c r="F20" s="8">
        <v>319.28625599999998</v>
      </c>
      <c r="G20" s="9">
        <v>1.8022488E-2</v>
      </c>
      <c r="H20" s="164"/>
    </row>
    <row r="21" spans="1:8" x14ac:dyDescent="0.2">
      <c r="A21" s="5">
        <v>15</v>
      </c>
      <c r="B21" s="6" t="s">
        <v>187</v>
      </c>
      <c r="C21" s="6" t="s">
        <v>188</v>
      </c>
      <c r="D21" s="6" t="s">
        <v>182</v>
      </c>
      <c r="E21" s="7">
        <v>124748</v>
      </c>
      <c r="F21" s="8">
        <v>312.11949600000003</v>
      </c>
      <c r="G21" s="9">
        <v>1.7617951999999999E-2</v>
      </c>
      <c r="H21" s="164"/>
    </row>
    <row r="22" spans="1:8" ht="25.5" x14ac:dyDescent="0.2">
      <c r="A22" s="5">
        <v>16</v>
      </c>
      <c r="B22" s="6" t="s">
        <v>191</v>
      </c>
      <c r="C22" s="6" t="s">
        <v>192</v>
      </c>
      <c r="D22" s="6" t="s">
        <v>925</v>
      </c>
      <c r="E22" s="7">
        <v>111054</v>
      </c>
      <c r="F22" s="8">
        <v>293.90441099999998</v>
      </c>
      <c r="G22" s="9">
        <v>1.6589779999999998E-2</v>
      </c>
      <c r="H22" s="164"/>
    </row>
    <row r="23" spans="1:8" x14ac:dyDescent="0.2">
      <c r="A23" s="5">
        <v>17</v>
      </c>
      <c r="B23" s="6" t="s">
        <v>198</v>
      </c>
      <c r="C23" s="6" t="s">
        <v>199</v>
      </c>
      <c r="D23" s="6" t="s">
        <v>200</v>
      </c>
      <c r="E23" s="7">
        <v>61648</v>
      </c>
      <c r="F23" s="8">
        <v>277.23105600000002</v>
      </c>
      <c r="G23" s="9">
        <v>1.5648632999999999E-2</v>
      </c>
      <c r="H23" s="164"/>
    </row>
    <row r="24" spans="1:8" ht="25.5" x14ac:dyDescent="0.2">
      <c r="A24" s="5">
        <v>18</v>
      </c>
      <c r="B24" s="6" t="s">
        <v>201</v>
      </c>
      <c r="C24" s="6" t="s">
        <v>202</v>
      </c>
      <c r="D24" s="6" t="s">
        <v>67</v>
      </c>
      <c r="E24" s="7">
        <v>55539</v>
      </c>
      <c r="F24" s="8">
        <v>272.22440849999998</v>
      </c>
      <c r="G24" s="9">
        <v>1.5366027000000001E-2</v>
      </c>
      <c r="H24" s="164"/>
    </row>
    <row r="25" spans="1:8" x14ac:dyDescent="0.2">
      <c r="A25" s="5">
        <v>19</v>
      </c>
      <c r="B25" s="6" t="s">
        <v>196</v>
      </c>
      <c r="C25" s="6" t="s">
        <v>197</v>
      </c>
      <c r="D25" s="6" t="s">
        <v>928</v>
      </c>
      <c r="E25" s="7">
        <v>83551</v>
      </c>
      <c r="F25" s="8">
        <v>272.00028049999997</v>
      </c>
      <c r="G25" s="9">
        <v>1.5353375000000001E-2</v>
      </c>
      <c r="H25" s="164"/>
    </row>
    <row r="26" spans="1:8" x14ac:dyDescent="0.2">
      <c r="A26" s="5">
        <v>20</v>
      </c>
      <c r="B26" s="6" t="s">
        <v>203</v>
      </c>
      <c r="C26" s="6" t="s">
        <v>204</v>
      </c>
      <c r="D26" s="6" t="s">
        <v>179</v>
      </c>
      <c r="E26" s="7">
        <v>26792</v>
      </c>
      <c r="F26" s="8">
        <v>264.35666400000002</v>
      </c>
      <c r="G26" s="9">
        <v>1.4921923E-2</v>
      </c>
      <c r="H26" s="164"/>
    </row>
    <row r="27" spans="1:8" x14ac:dyDescent="0.2">
      <c r="A27" s="5">
        <v>21</v>
      </c>
      <c r="B27" s="6" t="s">
        <v>212</v>
      </c>
      <c r="C27" s="6" t="s">
        <v>213</v>
      </c>
      <c r="D27" s="6" t="s">
        <v>929</v>
      </c>
      <c r="E27" s="7">
        <v>30000</v>
      </c>
      <c r="F27" s="8">
        <v>260.80500000000001</v>
      </c>
      <c r="G27" s="9">
        <v>1.4721445E-2</v>
      </c>
      <c r="H27" s="164"/>
    </row>
    <row r="28" spans="1:8" x14ac:dyDescent="0.2">
      <c r="A28" s="5">
        <v>22</v>
      </c>
      <c r="B28" s="6" t="s">
        <v>459</v>
      </c>
      <c r="C28" s="6" t="s">
        <v>460</v>
      </c>
      <c r="D28" s="6" t="s">
        <v>207</v>
      </c>
      <c r="E28" s="7">
        <v>43487</v>
      </c>
      <c r="F28" s="8">
        <v>254.52941100000001</v>
      </c>
      <c r="G28" s="9">
        <v>1.4367212000000001E-2</v>
      </c>
      <c r="H28" s="164"/>
    </row>
    <row r="29" spans="1:8" x14ac:dyDescent="0.2">
      <c r="A29" s="5">
        <v>23</v>
      </c>
      <c r="B29" s="6" t="s">
        <v>77</v>
      </c>
      <c r="C29" s="6" t="s">
        <v>78</v>
      </c>
      <c r="D29" s="6" t="s">
        <v>62</v>
      </c>
      <c r="E29" s="7">
        <v>98478</v>
      </c>
      <c r="F29" s="8">
        <v>248.75542799999999</v>
      </c>
      <c r="G29" s="9">
        <v>1.4041292E-2</v>
      </c>
      <c r="H29" s="164"/>
    </row>
    <row r="30" spans="1:8" x14ac:dyDescent="0.2">
      <c r="A30" s="5">
        <v>24</v>
      </c>
      <c r="B30" s="6" t="s">
        <v>210</v>
      </c>
      <c r="C30" s="6" t="s">
        <v>211</v>
      </c>
      <c r="D30" s="6" t="s">
        <v>195</v>
      </c>
      <c r="E30" s="7">
        <v>22184</v>
      </c>
      <c r="F30" s="8">
        <v>248.327696</v>
      </c>
      <c r="G30" s="9">
        <v>1.4017149E-2</v>
      </c>
      <c r="H30" s="164"/>
    </row>
    <row r="31" spans="1:8" x14ac:dyDescent="0.2">
      <c r="A31" s="5">
        <v>25</v>
      </c>
      <c r="B31" s="6" t="s">
        <v>338</v>
      </c>
      <c r="C31" s="6" t="s">
        <v>339</v>
      </c>
      <c r="D31" s="6" t="s">
        <v>195</v>
      </c>
      <c r="E31" s="7">
        <v>6790</v>
      </c>
      <c r="F31" s="8">
        <v>248.07944000000001</v>
      </c>
      <c r="G31" s="9">
        <v>1.4003135E-2</v>
      </c>
      <c r="H31" s="164"/>
    </row>
    <row r="32" spans="1:8" x14ac:dyDescent="0.2">
      <c r="A32" s="5">
        <v>26</v>
      </c>
      <c r="B32" s="6" t="s">
        <v>170</v>
      </c>
      <c r="C32" s="6" t="s">
        <v>171</v>
      </c>
      <c r="D32" s="6" t="s">
        <v>172</v>
      </c>
      <c r="E32" s="7">
        <v>19644</v>
      </c>
      <c r="F32" s="8">
        <v>244.79370599999999</v>
      </c>
      <c r="G32" s="9">
        <v>1.3817668E-2</v>
      </c>
      <c r="H32" s="164"/>
    </row>
    <row r="33" spans="1:8" ht="25.5" x14ac:dyDescent="0.2">
      <c r="A33" s="5">
        <v>27</v>
      </c>
      <c r="B33" s="6" t="s">
        <v>226</v>
      </c>
      <c r="C33" s="6" t="s">
        <v>227</v>
      </c>
      <c r="D33" s="6" t="s">
        <v>62</v>
      </c>
      <c r="E33" s="7">
        <v>10609</v>
      </c>
      <c r="F33" s="8">
        <v>243.19010700000001</v>
      </c>
      <c r="G33" s="9">
        <v>1.3727151E-2</v>
      </c>
      <c r="H33" s="164"/>
    </row>
    <row r="34" spans="1:8" x14ac:dyDescent="0.2">
      <c r="A34" s="5">
        <v>28</v>
      </c>
      <c r="B34" s="6" t="s">
        <v>208</v>
      </c>
      <c r="C34" s="6" t="s">
        <v>209</v>
      </c>
      <c r="D34" s="6" t="s">
        <v>161</v>
      </c>
      <c r="E34" s="7">
        <v>40208</v>
      </c>
      <c r="F34" s="8">
        <v>241.308312</v>
      </c>
      <c r="G34" s="9">
        <v>1.3620930999999999E-2</v>
      </c>
      <c r="H34" s="164"/>
    </row>
    <row r="35" spans="1:8" x14ac:dyDescent="0.2">
      <c r="A35" s="5">
        <v>29</v>
      </c>
      <c r="B35" s="6" t="s">
        <v>205</v>
      </c>
      <c r="C35" s="6" t="s">
        <v>206</v>
      </c>
      <c r="D35" s="6" t="s">
        <v>207</v>
      </c>
      <c r="E35" s="7">
        <v>89345</v>
      </c>
      <c r="F35" s="8">
        <v>239.8466525</v>
      </c>
      <c r="G35" s="9">
        <v>1.3538425999999999E-2</v>
      </c>
      <c r="H35" s="164"/>
    </row>
    <row r="36" spans="1:8" x14ac:dyDescent="0.2">
      <c r="A36" s="5">
        <v>30</v>
      </c>
      <c r="B36" s="6" t="s">
        <v>216</v>
      </c>
      <c r="C36" s="6" t="s">
        <v>217</v>
      </c>
      <c r="D36" s="6" t="s">
        <v>200</v>
      </c>
      <c r="E36" s="7">
        <v>37335</v>
      </c>
      <c r="F36" s="8">
        <v>239.50402500000001</v>
      </c>
      <c r="G36" s="9">
        <v>1.3519086E-2</v>
      </c>
      <c r="H36" s="164"/>
    </row>
    <row r="37" spans="1:8" x14ac:dyDescent="0.2">
      <c r="A37" s="5">
        <v>31</v>
      </c>
      <c r="B37" s="6" t="s">
        <v>220</v>
      </c>
      <c r="C37" s="6" t="s">
        <v>221</v>
      </c>
      <c r="D37" s="6" t="s">
        <v>28</v>
      </c>
      <c r="E37" s="7">
        <v>14859</v>
      </c>
      <c r="F37" s="8">
        <v>232.73651699999999</v>
      </c>
      <c r="G37" s="9">
        <v>1.3137085999999999E-2</v>
      </c>
      <c r="H37" s="164"/>
    </row>
    <row r="38" spans="1:8" x14ac:dyDescent="0.2">
      <c r="A38" s="5">
        <v>32</v>
      </c>
      <c r="B38" s="6" t="s">
        <v>214</v>
      </c>
      <c r="C38" s="6" t="s">
        <v>215</v>
      </c>
      <c r="D38" s="6" t="s">
        <v>179</v>
      </c>
      <c r="E38" s="7">
        <v>5528</v>
      </c>
      <c r="F38" s="8">
        <v>231.36062000000001</v>
      </c>
      <c r="G38" s="9">
        <v>1.3059421999999999E-2</v>
      </c>
      <c r="H38" s="164"/>
    </row>
    <row r="39" spans="1:8" x14ac:dyDescent="0.2">
      <c r="A39" s="5">
        <v>33</v>
      </c>
      <c r="B39" s="6" t="s">
        <v>232</v>
      </c>
      <c r="C39" s="6" t="s">
        <v>233</v>
      </c>
      <c r="D39" s="6" t="s">
        <v>37</v>
      </c>
      <c r="E39" s="7">
        <v>26331</v>
      </c>
      <c r="F39" s="8">
        <v>227.4076815</v>
      </c>
      <c r="G39" s="9">
        <v>1.2836294E-2</v>
      </c>
      <c r="H39" s="164"/>
    </row>
    <row r="40" spans="1:8" ht="25.5" x14ac:dyDescent="0.2">
      <c r="A40" s="5">
        <v>34</v>
      </c>
      <c r="B40" s="6" t="s">
        <v>453</v>
      </c>
      <c r="C40" s="6" t="s">
        <v>454</v>
      </c>
      <c r="D40" s="6" t="s">
        <v>40</v>
      </c>
      <c r="E40" s="7">
        <v>17534</v>
      </c>
      <c r="F40" s="8">
        <v>220.27087499999999</v>
      </c>
      <c r="G40" s="9">
        <v>1.2433448E-2</v>
      </c>
      <c r="H40" s="164"/>
    </row>
    <row r="41" spans="1:8" x14ac:dyDescent="0.2">
      <c r="A41" s="5">
        <v>35</v>
      </c>
      <c r="B41" s="6" t="s">
        <v>222</v>
      </c>
      <c r="C41" s="6" t="s">
        <v>223</v>
      </c>
      <c r="D41" s="6" t="s">
        <v>37</v>
      </c>
      <c r="E41" s="7">
        <v>203257</v>
      </c>
      <c r="F41" s="8">
        <v>218.29801800000001</v>
      </c>
      <c r="G41" s="9">
        <v>1.2322088E-2</v>
      </c>
      <c r="H41" s="164"/>
    </row>
    <row r="42" spans="1:8" x14ac:dyDescent="0.2">
      <c r="A42" s="5">
        <v>36</v>
      </c>
      <c r="B42" s="6" t="s">
        <v>224</v>
      </c>
      <c r="C42" s="6" t="s">
        <v>225</v>
      </c>
      <c r="D42" s="6" t="s">
        <v>161</v>
      </c>
      <c r="E42" s="7">
        <v>40036</v>
      </c>
      <c r="F42" s="8">
        <v>216.114328</v>
      </c>
      <c r="G42" s="9">
        <v>1.2198827000000001E-2</v>
      </c>
      <c r="H42" s="164"/>
    </row>
    <row r="43" spans="1:8" x14ac:dyDescent="0.2">
      <c r="A43" s="5">
        <v>37</v>
      </c>
      <c r="B43" s="6" t="s">
        <v>193</v>
      </c>
      <c r="C43" s="6" t="s">
        <v>194</v>
      </c>
      <c r="D43" s="6" t="s">
        <v>195</v>
      </c>
      <c r="E43" s="7">
        <v>32998</v>
      </c>
      <c r="F43" s="8">
        <v>214.81698</v>
      </c>
      <c r="G43" s="9">
        <v>1.2125597E-2</v>
      </c>
      <c r="H43" s="164"/>
    </row>
    <row r="44" spans="1:8" x14ac:dyDescent="0.2">
      <c r="A44" s="5">
        <v>38</v>
      </c>
      <c r="B44" s="6" t="s">
        <v>463</v>
      </c>
      <c r="C44" s="6" t="s">
        <v>464</v>
      </c>
      <c r="D44" s="6" t="s">
        <v>927</v>
      </c>
      <c r="E44" s="7">
        <v>190295</v>
      </c>
      <c r="F44" s="8">
        <v>213.03525250000001</v>
      </c>
      <c r="G44" s="9">
        <v>1.2025025E-2</v>
      </c>
      <c r="H44" s="164"/>
    </row>
    <row r="45" spans="1:8" x14ac:dyDescent="0.2">
      <c r="A45" s="5">
        <v>39</v>
      </c>
      <c r="B45" s="6" t="s">
        <v>238</v>
      </c>
      <c r="C45" s="6" t="s">
        <v>239</v>
      </c>
      <c r="D45" s="6" t="s">
        <v>195</v>
      </c>
      <c r="E45" s="7">
        <v>50534</v>
      </c>
      <c r="F45" s="8">
        <v>208.907556</v>
      </c>
      <c r="G45" s="9">
        <v>1.1792031999999999E-2</v>
      </c>
      <c r="H45" s="164"/>
    </row>
    <row r="46" spans="1:8" x14ac:dyDescent="0.2">
      <c r="A46" s="5">
        <v>40</v>
      </c>
      <c r="B46" s="6" t="s">
        <v>230</v>
      </c>
      <c r="C46" s="6" t="s">
        <v>231</v>
      </c>
      <c r="D46" s="6" t="s">
        <v>62</v>
      </c>
      <c r="E46" s="7">
        <v>70796</v>
      </c>
      <c r="F46" s="8">
        <v>207.927852</v>
      </c>
      <c r="G46" s="9">
        <v>1.1736732E-2</v>
      </c>
      <c r="H46" s="164"/>
    </row>
    <row r="47" spans="1:8" x14ac:dyDescent="0.2">
      <c r="A47" s="5">
        <v>41</v>
      </c>
      <c r="B47" s="6" t="s">
        <v>455</v>
      </c>
      <c r="C47" s="6" t="s">
        <v>456</v>
      </c>
      <c r="D47" s="6" t="s">
        <v>62</v>
      </c>
      <c r="E47" s="7">
        <v>24137</v>
      </c>
      <c r="F47" s="8">
        <v>203.4628415</v>
      </c>
      <c r="G47" s="9">
        <v>1.1484698999999999E-2</v>
      </c>
      <c r="H47" s="164"/>
    </row>
    <row r="48" spans="1:8" x14ac:dyDescent="0.2">
      <c r="A48" s="5">
        <v>42</v>
      </c>
      <c r="B48" s="6" t="s">
        <v>457</v>
      </c>
      <c r="C48" s="6" t="s">
        <v>458</v>
      </c>
      <c r="D48" s="6" t="s">
        <v>50</v>
      </c>
      <c r="E48" s="7">
        <v>47887</v>
      </c>
      <c r="F48" s="8">
        <v>201.9155355</v>
      </c>
      <c r="G48" s="9">
        <v>1.139736E-2</v>
      </c>
      <c r="H48" s="164"/>
    </row>
    <row r="49" spans="1:8" x14ac:dyDescent="0.2">
      <c r="A49" s="5">
        <v>43</v>
      </c>
      <c r="B49" s="6" t="s">
        <v>293</v>
      </c>
      <c r="C49" s="6" t="s">
        <v>294</v>
      </c>
      <c r="D49" s="6" t="s">
        <v>28</v>
      </c>
      <c r="E49" s="7">
        <v>15183</v>
      </c>
      <c r="F49" s="8">
        <v>200.18785500000001</v>
      </c>
      <c r="G49" s="9">
        <v>1.1299839000000001E-2</v>
      </c>
      <c r="H49" s="164"/>
    </row>
    <row r="50" spans="1:8" x14ac:dyDescent="0.2">
      <c r="A50" s="5">
        <v>44</v>
      </c>
      <c r="B50" s="6" t="s">
        <v>236</v>
      </c>
      <c r="C50" s="6" t="s">
        <v>237</v>
      </c>
      <c r="D50" s="6" t="s">
        <v>161</v>
      </c>
      <c r="E50" s="7">
        <v>343505</v>
      </c>
      <c r="F50" s="8">
        <v>199.2329</v>
      </c>
      <c r="G50" s="9">
        <v>1.1245935E-2</v>
      </c>
      <c r="H50" s="164"/>
    </row>
    <row r="51" spans="1:8" x14ac:dyDescent="0.2">
      <c r="A51" s="5">
        <v>45</v>
      </c>
      <c r="B51" s="6" t="s">
        <v>228</v>
      </c>
      <c r="C51" s="6" t="s">
        <v>229</v>
      </c>
      <c r="D51" s="6" t="s">
        <v>62</v>
      </c>
      <c r="E51" s="7">
        <v>25415</v>
      </c>
      <c r="F51" s="8">
        <v>196.44524250000001</v>
      </c>
      <c r="G51" s="9">
        <v>1.1088583000000001E-2</v>
      </c>
      <c r="H51" s="164"/>
    </row>
    <row r="52" spans="1:8" ht="25.5" x14ac:dyDescent="0.2">
      <c r="A52" s="5">
        <v>46</v>
      </c>
      <c r="B52" s="6" t="s">
        <v>234</v>
      </c>
      <c r="C52" s="6" t="s">
        <v>235</v>
      </c>
      <c r="D52" s="6" t="s">
        <v>67</v>
      </c>
      <c r="E52" s="7">
        <v>43436</v>
      </c>
      <c r="F52" s="8">
        <v>192.20429999999999</v>
      </c>
      <c r="G52" s="9">
        <v>1.0849197999999999E-2</v>
      </c>
      <c r="H52" s="164"/>
    </row>
    <row r="53" spans="1:8" x14ac:dyDescent="0.2">
      <c r="A53" s="5">
        <v>47</v>
      </c>
      <c r="B53" s="6" t="s">
        <v>244</v>
      </c>
      <c r="C53" s="6" t="s">
        <v>245</v>
      </c>
      <c r="D53" s="6" t="s">
        <v>200</v>
      </c>
      <c r="E53" s="7">
        <v>10472</v>
      </c>
      <c r="F53" s="8">
        <v>189.88354000000001</v>
      </c>
      <c r="G53" s="9">
        <v>1.0718200000000001E-2</v>
      </c>
      <c r="H53" s="164"/>
    </row>
    <row r="54" spans="1:8" ht="25.5" x14ac:dyDescent="0.2">
      <c r="A54" s="5">
        <v>48</v>
      </c>
      <c r="B54" s="6" t="s">
        <v>246</v>
      </c>
      <c r="C54" s="6" t="s">
        <v>247</v>
      </c>
      <c r="D54" s="6" t="s">
        <v>40</v>
      </c>
      <c r="E54" s="7">
        <v>240780</v>
      </c>
      <c r="F54" s="8">
        <v>188.77152000000001</v>
      </c>
      <c r="G54" s="9">
        <v>1.065543E-2</v>
      </c>
      <c r="H54" s="164"/>
    </row>
    <row r="55" spans="1:8" x14ac:dyDescent="0.2">
      <c r="A55" s="5">
        <v>49</v>
      </c>
      <c r="B55" s="6" t="s">
        <v>185</v>
      </c>
      <c r="C55" s="6" t="s">
        <v>186</v>
      </c>
      <c r="D55" s="6" t="s">
        <v>45</v>
      </c>
      <c r="E55" s="7">
        <v>39951</v>
      </c>
      <c r="F55" s="8">
        <v>188.329014</v>
      </c>
      <c r="G55" s="9">
        <v>1.0630452E-2</v>
      </c>
      <c r="H55" s="164"/>
    </row>
    <row r="56" spans="1:8" x14ac:dyDescent="0.2">
      <c r="A56" s="5">
        <v>50</v>
      </c>
      <c r="B56" s="6" t="s">
        <v>242</v>
      </c>
      <c r="C56" s="6" t="s">
        <v>243</v>
      </c>
      <c r="D56" s="6" t="s">
        <v>59</v>
      </c>
      <c r="E56" s="7">
        <v>14169</v>
      </c>
      <c r="F56" s="8">
        <v>187.16540549999999</v>
      </c>
      <c r="G56" s="9">
        <v>1.0564771000000001E-2</v>
      </c>
      <c r="H56" s="164"/>
    </row>
    <row r="57" spans="1:8" ht="25.5" x14ac:dyDescent="0.2">
      <c r="A57" s="5">
        <v>51</v>
      </c>
      <c r="B57" s="6" t="s">
        <v>248</v>
      </c>
      <c r="C57" s="6" t="s">
        <v>249</v>
      </c>
      <c r="D57" s="6" t="s">
        <v>67</v>
      </c>
      <c r="E57" s="7">
        <v>41627</v>
      </c>
      <c r="F57" s="8">
        <v>181.90998999999999</v>
      </c>
      <c r="G57" s="9">
        <v>1.0268123000000001E-2</v>
      </c>
      <c r="H57" s="164"/>
    </row>
    <row r="58" spans="1:8" x14ac:dyDescent="0.2">
      <c r="A58" s="5">
        <v>52</v>
      </c>
      <c r="B58" s="6" t="s">
        <v>254</v>
      </c>
      <c r="C58" s="6" t="s">
        <v>255</v>
      </c>
      <c r="D58" s="6" t="s">
        <v>62</v>
      </c>
      <c r="E58" s="7">
        <v>24424</v>
      </c>
      <c r="F58" s="8">
        <v>181.14059599999999</v>
      </c>
      <c r="G58" s="9">
        <v>1.0224693999999999E-2</v>
      </c>
      <c r="H58" s="164"/>
    </row>
    <row r="59" spans="1:8" x14ac:dyDescent="0.2">
      <c r="A59" s="5">
        <v>53</v>
      </c>
      <c r="B59" s="6" t="s">
        <v>251</v>
      </c>
      <c r="C59" s="6" t="s">
        <v>252</v>
      </c>
      <c r="D59" s="6" t="s">
        <v>253</v>
      </c>
      <c r="E59" s="7">
        <v>37439</v>
      </c>
      <c r="F59" s="8">
        <v>179.98799249999999</v>
      </c>
      <c r="G59" s="9">
        <v>1.0159634000000001E-2</v>
      </c>
      <c r="H59" s="164"/>
    </row>
    <row r="60" spans="1:8" x14ac:dyDescent="0.2">
      <c r="A60" s="5">
        <v>54</v>
      </c>
      <c r="B60" s="6" t="s">
        <v>46</v>
      </c>
      <c r="C60" s="6" t="s">
        <v>47</v>
      </c>
      <c r="D60" s="6" t="s">
        <v>28</v>
      </c>
      <c r="E60" s="7">
        <v>9344</v>
      </c>
      <c r="F60" s="8">
        <v>177.526656</v>
      </c>
      <c r="G60" s="9">
        <v>1.0020701E-2</v>
      </c>
      <c r="H60" s="164"/>
    </row>
    <row r="61" spans="1:8" x14ac:dyDescent="0.2">
      <c r="A61" s="5">
        <v>55</v>
      </c>
      <c r="B61" s="6" t="s">
        <v>461</v>
      </c>
      <c r="C61" s="6" t="s">
        <v>462</v>
      </c>
      <c r="D61" s="6" t="s">
        <v>28</v>
      </c>
      <c r="E61" s="7">
        <v>25628</v>
      </c>
      <c r="F61" s="8">
        <v>172.463626</v>
      </c>
      <c r="G61" s="9">
        <v>9.7349120000000001E-3</v>
      </c>
      <c r="H61" s="164"/>
    </row>
    <row r="62" spans="1:8" x14ac:dyDescent="0.2">
      <c r="A62" s="5">
        <v>56</v>
      </c>
      <c r="B62" s="6" t="s">
        <v>256</v>
      </c>
      <c r="C62" s="6" t="s">
        <v>257</v>
      </c>
      <c r="D62" s="6" t="s">
        <v>930</v>
      </c>
      <c r="E62" s="7">
        <v>30619</v>
      </c>
      <c r="F62" s="8">
        <v>171.5429475</v>
      </c>
      <c r="G62" s="9">
        <v>9.6829429999999994E-3</v>
      </c>
      <c r="H62" s="164"/>
    </row>
    <row r="63" spans="1:8" ht="25.5" x14ac:dyDescent="0.2">
      <c r="A63" s="5">
        <v>57</v>
      </c>
      <c r="B63" s="6" t="s">
        <v>258</v>
      </c>
      <c r="C63" s="6" t="s">
        <v>259</v>
      </c>
      <c r="D63" s="6" t="s">
        <v>931</v>
      </c>
      <c r="E63" s="7">
        <v>168751</v>
      </c>
      <c r="F63" s="8">
        <v>168.24474699999999</v>
      </c>
      <c r="G63" s="9">
        <v>9.4967720000000005E-3</v>
      </c>
      <c r="H63" s="164"/>
    </row>
    <row r="64" spans="1:8" x14ac:dyDescent="0.2">
      <c r="A64" s="5">
        <v>58</v>
      </c>
      <c r="B64" s="6" t="s">
        <v>260</v>
      </c>
      <c r="C64" s="6" t="s">
        <v>261</v>
      </c>
      <c r="D64" s="6" t="s">
        <v>930</v>
      </c>
      <c r="E64" s="7">
        <v>39975</v>
      </c>
      <c r="F64" s="8">
        <v>163.53772499999999</v>
      </c>
      <c r="G64" s="9">
        <v>9.2310789999999997E-3</v>
      </c>
      <c r="H64" s="164"/>
    </row>
    <row r="65" spans="1:8" x14ac:dyDescent="0.2">
      <c r="A65" s="5">
        <v>59</v>
      </c>
      <c r="B65" s="6" t="s">
        <v>267</v>
      </c>
      <c r="C65" s="6" t="s">
        <v>268</v>
      </c>
      <c r="D65" s="6" t="s">
        <v>195</v>
      </c>
      <c r="E65" s="7">
        <v>21471</v>
      </c>
      <c r="F65" s="8">
        <v>159.21820049999999</v>
      </c>
      <c r="G65" s="9">
        <v>8.9872579999999997E-3</v>
      </c>
      <c r="H65" s="164"/>
    </row>
    <row r="66" spans="1:8" x14ac:dyDescent="0.2">
      <c r="A66" s="5">
        <v>60</v>
      </c>
      <c r="B66" s="6" t="s">
        <v>264</v>
      </c>
      <c r="C66" s="6" t="s">
        <v>265</v>
      </c>
      <c r="D66" s="6" t="s">
        <v>266</v>
      </c>
      <c r="E66" s="7">
        <v>19334</v>
      </c>
      <c r="F66" s="8">
        <v>156.32505699999999</v>
      </c>
      <c r="G66" s="9">
        <v>8.8239519999999995E-3</v>
      </c>
      <c r="H66" s="164"/>
    </row>
    <row r="67" spans="1:8" x14ac:dyDescent="0.2">
      <c r="A67" s="5">
        <v>61</v>
      </c>
      <c r="B67" s="6" t="s">
        <v>271</v>
      </c>
      <c r="C67" s="6" t="s">
        <v>272</v>
      </c>
      <c r="D67" s="6" t="s">
        <v>346</v>
      </c>
      <c r="E67" s="7">
        <v>15326</v>
      </c>
      <c r="F67" s="8">
        <v>147.76562899999999</v>
      </c>
      <c r="G67" s="9">
        <v>8.3408049999999997E-3</v>
      </c>
      <c r="H67" s="164"/>
    </row>
    <row r="68" spans="1:8" x14ac:dyDescent="0.2">
      <c r="A68" s="5">
        <v>62</v>
      </c>
      <c r="B68" s="6" t="s">
        <v>273</v>
      </c>
      <c r="C68" s="6" t="s">
        <v>274</v>
      </c>
      <c r="D68" s="6" t="s">
        <v>22</v>
      </c>
      <c r="E68" s="7">
        <v>140383</v>
      </c>
      <c r="F68" s="8">
        <v>147.40215000000001</v>
      </c>
      <c r="G68" s="9">
        <v>8.3202880000000003E-3</v>
      </c>
      <c r="H68" s="164"/>
    </row>
    <row r="69" spans="1:8" x14ac:dyDescent="0.2">
      <c r="A69" s="5">
        <v>63</v>
      </c>
      <c r="B69" s="6" t="s">
        <v>275</v>
      </c>
      <c r="C69" s="6" t="s">
        <v>276</v>
      </c>
      <c r="D69" s="6" t="s">
        <v>277</v>
      </c>
      <c r="E69" s="7">
        <v>52168</v>
      </c>
      <c r="F69" s="8">
        <v>135.24554000000001</v>
      </c>
      <c r="G69" s="9">
        <v>7.6340929999999998E-3</v>
      </c>
      <c r="H69" s="164"/>
    </row>
    <row r="70" spans="1:8" x14ac:dyDescent="0.2">
      <c r="A70" s="5">
        <v>64</v>
      </c>
      <c r="B70" s="6" t="s">
        <v>35</v>
      </c>
      <c r="C70" s="6" t="s">
        <v>36</v>
      </c>
      <c r="D70" s="6" t="s">
        <v>37</v>
      </c>
      <c r="E70" s="7">
        <v>40384</v>
      </c>
      <c r="F70" s="8">
        <v>131.75280000000001</v>
      </c>
      <c r="G70" s="9">
        <v>7.4369420000000002E-3</v>
      </c>
      <c r="H70" s="164"/>
    </row>
    <row r="71" spans="1:8" x14ac:dyDescent="0.2">
      <c r="A71" s="5">
        <v>65</v>
      </c>
      <c r="B71" s="6" t="s">
        <v>173</v>
      </c>
      <c r="C71" s="6" t="s">
        <v>174</v>
      </c>
      <c r="D71" s="6" t="s">
        <v>179</v>
      </c>
      <c r="E71" s="7">
        <v>9429</v>
      </c>
      <c r="F71" s="8">
        <v>128.38526400000001</v>
      </c>
      <c r="G71" s="9">
        <v>7.2468569999999998E-3</v>
      </c>
      <c r="H71" s="164"/>
    </row>
    <row r="72" spans="1:8" x14ac:dyDescent="0.2">
      <c r="A72" s="5">
        <v>66</v>
      </c>
      <c r="B72" s="6" t="s">
        <v>465</v>
      </c>
      <c r="C72" s="6" t="s">
        <v>466</v>
      </c>
      <c r="D72" s="6" t="s">
        <v>161</v>
      </c>
      <c r="E72" s="7">
        <v>19196</v>
      </c>
      <c r="F72" s="8">
        <v>127.634204</v>
      </c>
      <c r="G72" s="9">
        <v>7.2044630000000004E-3</v>
      </c>
      <c r="H72" s="164"/>
    </row>
    <row r="73" spans="1:8" x14ac:dyDescent="0.2">
      <c r="A73" s="5">
        <v>67</v>
      </c>
      <c r="B73" s="6" t="s">
        <v>282</v>
      </c>
      <c r="C73" s="6" t="s">
        <v>283</v>
      </c>
      <c r="D73" s="6" t="s">
        <v>200</v>
      </c>
      <c r="E73" s="7">
        <v>2097</v>
      </c>
      <c r="F73" s="8">
        <v>112.344678</v>
      </c>
      <c r="G73" s="9">
        <v>6.3414270000000002E-3</v>
      </c>
      <c r="H73" s="164"/>
    </row>
    <row r="74" spans="1:8" x14ac:dyDescent="0.2">
      <c r="A74" s="5">
        <v>68</v>
      </c>
      <c r="B74" s="6" t="s">
        <v>286</v>
      </c>
      <c r="C74" s="6" t="s">
        <v>287</v>
      </c>
      <c r="D74" s="6" t="s">
        <v>927</v>
      </c>
      <c r="E74" s="7">
        <v>6421</v>
      </c>
      <c r="F74" s="8">
        <v>102.9446825</v>
      </c>
      <c r="G74" s="9">
        <v>5.810834E-3</v>
      </c>
      <c r="H74" s="164"/>
    </row>
    <row r="75" spans="1:8" x14ac:dyDescent="0.2">
      <c r="A75" s="5">
        <v>69</v>
      </c>
      <c r="B75" s="6" t="s">
        <v>301</v>
      </c>
      <c r="C75" s="6" t="s">
        <v>302</v>
      </c>
      <c r="D75" s="6" t="s">
        <v>930</v>
      </c>
      <c r="E75" s="7">
        <v>244905</v>
      </c>
      <c r="F75" s="8">
        <v>91.594470000000001</v>
      </c>
      <c r="G75" s="9">
        <v>5.1701569999999999E-3</v>
      </c>
      <c r="H75" s="164"/>
    </row>
    <row r="76" spans="1:8" x14ac:dyDescent="0.2">
      <c r="A76" s="5">
        <v>70</v>
      </c>
      <c r="B76" s="6" t="s">
        <v>288</v>
      </c>
      <c r="C76" s="6" t="s">
        <v>289</v>
      </c>
      <c r="D76" s="6" t="s">
        <v>158</v>
      </c>
      <c r="E76" s="7">
        <v>6324</v>
      </c>
      <c r="F76" s="8">
        <v>87.460920000000002</v>
      </c>
      <c r="G76" s="9">
        <v>4.9368340000000002E-3</v>
      </c>
      <c r="H76" s="164"/>
    </row>
    <row r="77" spans="1:8" x14ac:dyDescent="0.2">
      <c r="A77" s="5">
        <v>71</v>
      </c>
      <c r="B77" s="6" t="s">
        <v>290</v>
      </c>
      <c r="C77" s="6" t="s">
        <v>291</v>
      </c>
      <c r="D77" s="6" t="s">
        <v>179</v>
      </c>
      <c r="E77" s="7">
        <v>14186</v>
      </c>
      <c r="F77" s="8">
        <v>75.448240999999996</v>
      </c>
      <c r="G77" s="9">
        <v>4.2587650000000003E-3</v>
      </c>
      <c r="H77" s="164"/>
    </row>
    <row r="78" spans="1:8" ht="25.5" x14ac:dyDescent="0.2">
      <c r="A78" s="5">
        <v>72</v>
      </c>
      <c r="B78" s="6" t="s">
        <v>262</v>
      </c>
      <c r="C78" s="6" t="s">
        <v>263</v>
      </c>
      <c r="D78" s="6" t="s">
        <v>158</v>
      </c>
      <c r="E78" s="7">
        <v>14670</v>
      </c>
      <c r="F78" s="8">
        <v>56.435490000000001</v>
      </c>
      <c r="G78" s="9">
        <v>3.1855680000000002E-3</v>
      </c>
      <c r="H78" s="164"/>
    </row>
    <row r="79" spans="1:8" x14ac:dyDescent="0.2">
      <c r="A79" s="3" t="s">
        <v>9</v>
      </c>
      <c r="B79" s="3" t="s">
        <v>9</v>
      </c>
      <c r="C79" s="4" t="s">
        <v>110</v>
      </c>
      <c r="D79" s="3" t="s">
        <v>9</v>
      </c>
      <c r="E79" s="3" t="s">
        <v>9</v>
      </c>
      <c r="F79" s="11">
        <v>16994.702940499999</v>
      </c>
      <c r="G79" s="12">
        <v>0.95928597900000001</v>
      </c>
      <c r="H79" s="164"/>
    </row>
    <row r="80" spans="1:8" x14ac:dyDescent="0.2">
      <c r="A80" s="3" t="s">
        <v>9</v>
      </c>
      <c r="B80" s="3" t="s">
        <v>9</v>
      </c>
      <c r="C80" s="13" t="s">
        <v>9</v>
      </c>
      <c r="D80" s="3" t="s">
        <v>9</v>
      </c>
      <c r="E80" s="3" t="s">
        <v>9</v>
      </c>
      <c r="F80" s="14" t="s">
        <v>9</v>
      </c>
      <c r="G80" s="14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111</v>
      </c>
      <c r="D81" s="3" t="s">
        <v>9</v>
      </c>
      <c r="E81" s="3" t="s">
        <v>9</v>
      </c>
      <c r="F81" s="3" t="s">
        <v>9</v>
      </c>
      <c r="G81" s="3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110</v>
      </c>
      <c r="D82" s="3" t="s">
        <v>9</v>
      </c>
      <c r="E82" s="3" t="s">
        <v>9</v>
      </c>
      <c r="F82" s="15">
        <v>0</v>
      </c>
      <c r="G82" s="16">
        <v>0</v>
      </c>
      <c r="H82" s="164"/>
    </row>
    <row r="83" spans="1:8" x14ac:dyDescent="0.2">
      <c r="A83" s="3" t="s">
        <v>9</v>
      </c>
      <c r="B83" s="3" t="s">
        <v>9</v>
      </c>
      <c r="C83" s="13" t="s">
        <v>9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112</v>
      </c>
      <c r="D84" s="3" t="s">
        <v>9</v>
      </c>
      <c r="E84" s="3" t="s">
        <v>9</v>
      </c>
      <c r="F84" s="3" t="s">
        <v>9</v>
      </c>
      <c r="G84" s="3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110</v>
      </c>
      <c r="D85" s="3" t="s">
        <v>9</v>
      </c>
      <c r="E85" s="3" t="s">
        <v>9</v>
      </c>
      <c r="F85" s="15">
        <v>0</v>
      </c>
      <c r="G85" s="16">
        <v>0</v>
      </c>
      <c r="H85" s="164"/>
    </row>
    <row r="86" spans="1:8" x14ac:dyDescent="0.2">
      <c r="A86" s="3" t="s">
        <v>9</v>
      </c>
      <c r="B86" s="3" t="s">
        <v>9</v>
      </c>
      <c r="C86" s="13" t="s">
        <v>9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113</v>
      </c>
      <c r="D87" s="3" t="s">
        <v>9</v>
      </c>
      <c r="E87" s="3" t="s">
        <v>9</v>
      </c>
      <c r="F87" s="3" t="s">
        <v>9</v>
      </c>
      <c r="G87" s="3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110</v>
      </c>
      <c r="D88" s="3" t="s">
        <v>9</v>
      </c>
      <c r="E88" s="3" t="s">
        <v>9</v>
      </c>
      <c r="F88" s="15">
        <v>0</v>
      </c>
      <c r="G88" s="16">
        <v>0</v>
      </c>
      <c r="H88" s="164"/>
    </row>
    <row r="89" spans="1:8" x14ac:dyDescent="0.2">
      <c r="A89" s="3" t="s">
        <v>9</v>
      </c>
      <c r="B89" s="3" t="s">
        <v>9</v>
      </c>
      <c r="C89" s="13" t="s">
        <v>9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114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110</v>
      </c>
      <c r="D91" s="3" t="s">
        <v>9</v>
      </c>
      <c r="E91" s="3" t="s">
        <v>9</v>
      </c>
      <c r="F91" s="15">
        <v>0</v>
      </c>
      <c r="G91" s="16">
        <v>0</v>
      </c>
      <c r="H91" s="164"/>
    </row>
    <row r="92" spans="1:8" x14ac:dyDescent="0.2">
      <c r="A92" s="3" t="s">
        <v>9</v>
      </c>
      <c r="B92" s="3" t="s">
        <v>9</v>
      </c>
      <c r="C92" s="13" t="s">
        <v>9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115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110</v>
      </c>
      <c r="D94" s="3" t="s">
        <v>9</v>
      </c>
      <c r="E94" s="3" t="s">
        <v>9</v>
      </c>
      <c r="F94" s="15">
        <v>0</v>
      </c>
      <c r="G94" s="16">
        <v>0</v>
      </c>
      <c r="H94" s="164"/>
    </row>
    <row r="95" spans="1:8" x14ac:dyDescent="0.2">
      <c r="A95" s="3" t="s">
        <v>9</v>
      </c>
      <c r="B95" s="3" t="s">
        <v>9</v>
      </c>
      <c r="C95" s="13" t="s">
        <v>9</v>
      </c>
      <c r="D95" s="3" t="s">
        <v>9</v>
      </c>
      <c r="E95" s="3" t="s">
        <v>9</v>
      </c>
      <c r="F95" s="14" t="s">
        <v>9</v>
      </c>
      <c r="G95" s="14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116</v>
      </c>
      <c r="D96" s="3" t="s">
        <v>9</v>
      </c>
      <c r="E96" s="3" t="s">
        <v>9</v>
      </c>
      <c r="F96" s="11">
        <v>16994.702940499999</v>
      </c>
      <c r="G96" s="12">
        <v>0.95928597900000001</v>
      </c>
      <c r="H96" s="164"/>
    </row>
    <row r="97" spans="1:8" x14ac:dyDescent="0.2">
      <c r="A97" s="3" t="s">
        <v>9</v>
      </c>
      <c r="B97" s="3" t="s">
        <v>9</v>
      </c>
      <c r="C97" s="13" t="s">
        <v>9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117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ht="25.5" x14ac:dyDescent="0.2">
      <c r="A99" s="3" t="s">
        <v>9</v>
      </c>
      <c r="B99" s="3" t="s">
        <v>9</v>
      </c>
      <c r="C99" s="4" t="s">
        <v>11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110</v>
      </c>
      <c r="D100" s="3" t="s">
        <v>9</v>
      </c>
      <c r="E100" s="3" t="s">
        <v>9</v>
      </c>
      <c r="F100" s="15">
        <v>0</v>
      </c>
      <c r="G100" s="16">
        <v>0</v>
      </c>
      <c r="H100" s="164"/>
    </row>
    <row r="101" spans="1:8" x14ac:dyDescent="0.2">
      <c r="A101" s="3" t="s">
        <v>9</v>
      </c>
      <c r="B101" s="3" t="s">
        <v>9</v>
      </c>
      <c r="C101" s="13" t="s">
        <v>9</v>
      </c>
      <c r="D101" s="3" t="s">
        <v>9</v>
      </c>
      <c r="E101" s="3" t="s">
        <v>9</v>
      </c>
      <c r="F101" s="14" t="s">
        <v>9</v>
      </c>
      <c r="G101" s="14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118</v>
      </c>
      <c r="D102" s="3" t="s">
        <v>9</v>
      </c>
      <c r="E102" s="3" t="s">
        <v>9</v>
      </c>
      <c r="F102" s="3" t="s">
        <v>9</v>
      </c>
      <c r="G102" s="3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110</v>
      </c>
      <c r="D103" s="3" t="s">
        <v>9</v>
      </c>
      <c r="E103" s="3" t="s">
        <v>9</v>
      </c>
      <c r="F103" s="15">
        <v>0</v>
      </c>
      <c r="G103" s="16">
        <v>0</v>
      </c>
      <c r="H103" s="164"/>
    </row>
    <row r="104" spans="1:8" x14ac:dyDescent="0.2">
      <c r="A104" s="3" t="s">
        <v>9</v>
      </c>
      <c r="B104" s="3" t="s">
        <v>9</v>
      </c>
      <c r="C104" s="13" t="s">
        <v>9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119</v>
      </c>
      <c r="D105" s="3" t="s">
        <v>9</v>
      </c>
      <c r="E105" s="3" t="s">
        <v>9</v>
      </c>
      <c r="F105" s="3" t="s">
        <v>9</v>
      </c>
      <c r="G105" s="3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110</v>
      </c>
      <c r="D106" s="3" t="s">
        <v>9</v>
      </c>
      <c r="E106" s="3" t="s">
        <v>9</v>
      </c>
      <c r="F106" s="15">
        <v>0</v>
      </c>
      <c r="G106" s="16">
        <v>0</v>
      </c>
      <c r="H106" s="164"/>
    </row>
    <row r="107" spans="1:8" x14ac:dyDescent="0.2">
      <c r="A107" s="3" t="s">
        <v>9</v>
      </c>
      <c r="B107" s="3" t="s">
        <v>9</v>
      </c>
      <c r="C107" s="13" t="s">
        <v>9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120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110</v>
      </c>
      <c r="D109" s="3" t="s">
        <v>9</v>
      </c>
      <c r="E109" s="3" t="s">
        <v>9</v>
      </c>
      <c r="F109" s="15">
        <v>0</v>
      </c>
      <c r="G109" s="16">
        <v>0</v>
      </c>
      <c r="H109" s="164"/>
    </row>
    <row r="110" spans="1:8" x14ac:dyDescent="0.2">
      <c r="A110" s="3" t="s">
        <v>9</v>
      </c>
      <c r="B110" s="3" t="s">
        <v>9</v>
      </c>
      <c r="C110" s="13" t="s">
        <v>9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121</v>
      </c>
      <c r="D111" s="3" t="s">
        <v>9</v>
      </c>
      <c r="E111" s="3" t="s">
        <v>9</v>
      </c>
      <c r="F111" s="11">
        <v>0</v>
      </c>
      <c r="G111" s="12">
        <v>0</v>
      </c>
      <c r="H111" s="164"/>
    </row>
    <row r="112" spans="1:8" x14ac:dyDescent="0.2">
      <c r="A112" s="3" t="s">
        <v>9</v>
      </c>
      <c r="B112" s="3" t="s">
        <v>9</v>
      </c>
      <c r="C112" s="13" t="s">
        <v>9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122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3" t="s">
        <v>9</v>
      </c>
      <c r="B114" s="3" t="s">
        <v>9</v>
      </c>
      <c r="C114" s="4" t="s">
        <v>123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110</v>
      </c>
      <c r="D115" s="3" t="s">
        <v>9</v>
      </c>
      <c r="E115" s="3" t="s">
        <v>9</v>
      </c>
      <c r="F115" s="15">
        <v>0</v>
      </c>
      <c r="G115" s="16">
        <v>0</v>
      </c>
      <c r="H115" s="164"/>
    </row>
    <row r="116" spans="1:8" x14ac:dyDescent="0.2">
      <c r="A116" s="3" t="s">
        <v>9</v>
      </c>
      <c r="B116" s="3" t="s">
        <v>9</v>
      </c>
      <c r="C116" s="13" t="s">
        <v>9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3" t="s">
        <v>9</v>
      </c>
      <c r="B117" s="3" t="s">
        <v>9</v>
      </c>
      <c r="C117" s="4" t="s">
        <v>124</v>
      </c>
      <c r="D117" s="3" t="s">
        <v>9</v>
      </c>
      <c r="E117" s="3" t="s">
        <v>9</v>
      </c>
      <c r="F117" s="14" t="s">
        <v>9</v>
      </c>
      <c r="G117" s="14" t="s">
        <v>9</v>
      </c>
      <c r="H117" s="164"/>
    </row>
    <row r="118" spans="1:8" x14ac:dyDescent="0.2">
      <c r="A118" s="3" t="s">
        <v>9</v>
      </c>
      <c r="B118" s="3" t="s">
        <v>9</v>
      </c>
      <c r="C118" s="4" t="s">
        <v>110</v>
      </c>
      <c r="D118" s="3" t="s">
        <v>9</v>
      </c>
      <c r="E118" s="3" t="s">
        <v>9</v>
      </c>
      <c r="F118" s="15">
        <v>0</v>
      </c>
      <c r="G118" s="16">
        <v>0</v>
      </c>
      <c r="H118" s="164"/>
    </row>
    <row r="119" spans="1:8" x14ac:dyDescent="0.2">
      <c r="A119" s="3" t="s">
        <v>9</v>
      </c>
      <c r="B119" s="3" t="s">
        <v>9</v>
      </c>
      <c r="C119" s="13" t="s">
        <v>9</v>
      </c>
      <c r="D119" s="3" t="s">
        <v>9</v>
      </c>
      <c r="E119" s="3" t="s">
        <v>9</v>
      </c>
      <c r="F119" s="14" t="s">
        <v>9</v>
      </c>
      <c r="G119" s="14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125</v>
      </c>
      <c r="D120" s="3" t="s">
        <v>9</v>
      </c>
      <c r="E120" s="3" t="s">
        <v>9</v>
      </c>
      <c r="F120" s="14" t="s">
        <v>9</v>
      </c>
      <c r="G120" s="14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110</v>
      </c>
      <c r="D121" s="3" t="s">
        <v>9</v>
      </c>
      <c r="E121" s="3" t="s">
        <v>9</v>
      </c>
      <c r="F121" s="15">
        <v>0</v>
      </c>
      <c r="G121" s="16">
        <v>0</v>
      </c>
      <c r="H121" s="164"/>
    </row>
    <row r="122" spans="1:8" x14ac:dyDescent="0.2">
      <c r="A122" s="3" t="s">
        <v>9</v>
      </c>
      <c r="B122" s="3" t="s">
        <v>9</v>
      </c>
      <c r="C122" s="13" t="s">
        <v>9</v>
      </c>
      <c r="D122" s="3" t="s">
        <v>9</v>
      </c>
      <c r="E122" s="3" t="s">
        <v>9</v>
      </c>
      <c r="F122" s="14" t="s">
        <v>9</v>
      </c>
      <c r="G122" s="14" t="s">
        <v>9</v>
      </c>
      <c r="H122" s="164"/>
    </row>
    <row r="123" spans="1:8" x14ac:dyDescent="0.2">
      <c r="A123" s="3" t="s">
        <v>9</v>
      </c>
      <c r="B123" s="3" t="s">
        <v>9</v>
      </c>
      <c r="C123" s="4" t="s">
        <v>126</v>
      </c>
      <c r="D123" s="3" t="s">
        <v>9</v>
      </c>
      <c r="E123" s="3" t="s">
        <v>9</v>
      </c>
      <c r="F123" s="14" t="s">
        <v>9</v>
      </c>
      <c r="G123" s="14" t="s">
        <v>9</v>
      </c>
      <c r="H123" s="164"/>
    </row>
    <row r="124" spans="1:8" x14ac:dyDescent="0.2">
      <c r="A124" s="5">
        <v>1</v>
      </c>
      <c r="B124" s="6"/>
      <c r="C124" s="6" t="s">
        <v>127</v>
      </c>
      <c r="D124" s="6"/>
      <c r="E124" s="10" t="s">
        <v>9</v>
      </c>
      <c r="F124" s="8">
        <v>496.90792370000003</v>
      </c>
      <c r="G124" s="9">
        <v>2.8048552000000001E-2</v>
      </c>
      <c r="H124" s="90">
        <v>3.22</v>
      </c>
    </row>
    <row r="125" spans="1:8" x14ac:dyDescent="0.2">
      <c r="A125" s="5">
        <v>2</v>
      </c>
      <c r="B125" s="6"/>
      <c r="C125" s="6" t="s">
        <v>128</v>
      </c>
      <c r="D125" s="6"/>
      <c r="E125" s="10" t="s">
        <v>9</v>
      </c>
      <c r="F125" s="8">
        <v>140.4237565</v>
      </c>
      <c r="G125" s="9">
        <v>7.9263839999999999E-3</v>
      </c>
      <c r="H125" s="90">
        <v>3.34</v>
      </c>
    </row>
    <row r="126" spans="1:8" x14ac:dyDescent="0.2">
      <c r="A126" s="3" t="s">
        <v>9</v>
      </c>
      <c r="B126" s="3" t="s">
        <v>9</v>
      </c>
      <c r="C126" s="4" t="s">
        <v>110</v>
      </c>
      <c r="D126" s="3" t="s">
        <v>9</v>
      </c>
      <c r="E126" s="3" t="s">
        <v>9</v>
      </c>
      <c r="F126" s="11">
        <v>637.33168020000005</v>
      </c>
      <c r="G126" s="12">
        <v>3.5974935999999999E-2</v>
      </c>
      <c r="H126" s="164"/>
    </row>
    <row r="127" spans="1:8" x14ac:dyDescent="0.2">
      <c r="A127" s="3" t="s">
        <v>9</v>
      </c>
      <c r="B127" s="3" t="s">
        <v>9</v>
      </c>
      <c r="C127" s="13" t="s">
        <v>9</v>
      </c>
      <c r="D127" s="3" t="s">
        <v>9</v>
      </c>
      <c r="E127" s="3" t="s">
        <v>9</v>
      </c>
      <c r="F127" s="14" t="s">
        <v>9</v>
      </c>
      <c r="G127" s="14" t="s">
        <v>9</v>
      </c>
      <c r="H127" s="164"/>
    </row>
    <row r="128" spans="1:8" x14ac:dyDescent="0.2">
      <c r="A128" s="3" t="s">
        <v>9</v>
      </c>
      <c r="B128" s="3" t="s">
        <v>9</v>
      </c>
      <c r="C128" s="4" t="s">
        <v>129</v>
      </c>
      <c r="D128" s="3" t="s">
        <v>9</v>
      </c>
      <c r="E128" s="3" t="s">
        <v>9</v>
      </c>
      <c r="F128" s="11">
        <v>637.33168020000005</v>
      </c>
      <c r="G128" s="12">
        <v>3.5974935999999999E-2</v>
      </c>
      <c r="H128" s="164"/>
    </row>
    <row r="129" spans="1:8" x14ac:dyDescent="0.2">
      <c r="A129" s="3" t="s">
        <v>9</v>
      </c>
      <c r="B129" s="3" t="s">
        <v>9</v>
      </c>
      <c r="C129" s="14" t="s">
        <v>9</v>
      </c>
      <c r="D129" s="3" t="s">
        <v>9</v>
      </c>
      <c r="E129" s="3" t="s">
        <v>9</v>
      </c>
      <c r="F129" s="3" t="s">
        <v>9</v>
      </c>
      <c r="G129" s="3" t="s">
        <v>9</v>
      </c>
      <c r="H129" s="164"/>
    </row>
    <row r="130" spans="1:8" x14ac:dyDescent="0.2">
      <c r="A130" s="3" t="s">
        <v>9</v>
      </c>
      <c r="B130" s="3" t="s">
        <v>9</v>
      </c>
      <c r="C130" s="4" t="s">
        <v>130</v>
      </c>
      <c r="D130" s="3" t="s">
        <v>9</v>
      </c>
      <c r="E130" s="3" t="s">
        <v>9</v>
      </c>
      <c r="F130" s="3" t="s">
        <v>9</v>
      </c>
      <c r="G130" s="3" t="s">
        <v>9</v>
      </c>
      <c r="H130" s="164"/>
    </row>
    <row r="131" spans="1:8" x14ac:dyDescent="0.2">
      <c r="A131" s="3" t="s">
        <v>9</v>
      </c>
      <c r="B131" s="3" t="s">
        <v>9</v>
      </c>
      <c r="C131" s="4" t="s">
        <v>131</v>
      </c>
      <c r="D131" s="3" t="s">
        <v>9</v>
      </c>
      <c r="E131" s="3" t="s">
        <v>9</v>
      </c>
      <c r="F131" s="3" t="s">
        <v>9</v>
      </c>
      <c r="G131" s="3" t="s">
        <v>9</v>
      </c>
      <c r="H131" s="164"/>
    </row>
    <row r="132" spans="1:8" x14ac:dyDescent="0.2">
      <c r="A132" s="3" t="s">
        <v>9</v>
      </c>
      <c r="B132" s="3" t="s">
        <v>9</v>
      </c>
      <c r="C132" s="4" t="s">
        <v>110</v>
      </c>
      <c r="D132" s="3" t="s">
        <v>9</v>
      </c>
      <c r="E132" s="3" t="s">
        <v>9</v>
      </c>
      <c r="F132" s="15">
        <v>0</v>
      </c>
      <c r="G132" s="16">
        <v>0</v>
      </c>
      <c r="H132" s="164"/>
    </row>
    <row r="133" spans="1:8" x14ac:dyDescent="0.2">
      <c r="A133" s="3" t="s">
        <v>9</v>
      </c>
      <c r="B133" s="3" t="s">
        <v>9</v>
      </c>
      <c r="C133" s="13" t="s">
        <v>9</v>
      </c>
      <c r="D133" s="3" t="s">
        <v>9</v>
      </c>
      <c r="E133" s="3" t="s">
        <v>9</v>
      </c>
      <c r="F133" s="14" t="s">
        <v>9</v>
      </c>
      <c r="G133" s="14" t="s">
        <v>9</v>
      </c>
      <c r="H133" s="164"/>
    </row>
    <row r="134" spans="1:8" x14ac:dyDescent="0.2">
      <c r="A134" s="3" t="s">
        <v>9</v>
      </c>
      <c r="B134" s="3" t="s">
        <v>9</v>
      </c>
      <c r="C134" s="4" t="s">
        <v>132</v>
      </c>
      <c r="D134" s="3" t="s">
        <v>9</v>
      </c>
      <c r="E134" s="3" t="s">
        <v>9</v>
      </c>
      <c r="F134" s="3" t="s">
        <v>9</v>
      </c>
      <c r="G134" s="3" t="s">
        <v>9</v>
      </c>
      <c r="H134" s="164"/>
    </row>
    <row r="135" spans="1:8" x14ac:dyDescent="0.2">
      <c r="A135" s="3" t="s">
        <v>9</v>
      </c>
      <c r="B135" s="3" t="s">
        <v>9</v>
      </c>
      <c r="C135" s="4" t="s">
        <v>133</v>
      </c>
      <c r="D135" s="3" t="s">
        <v>9</v>
      </c>
      <c r="E135" s="3" t="s">
        <v>9</v>
      </c>
      <c r="F135" s="3" t="s">
        <v>9</v>
      </c>
      <c r="G135" s="3" t="s">
        <v>9</v>
      </c>
      <c r="H135" s="164"/>
    </row>
    <row r="136" spans="1:8" x14ac:dyDescent="0.2">
      <c r="A136" s="3" t="s">
        <v>9</v>
      </c>
      <c r="B136" s="3" t="s">
        <v>9</v>
      </c>
      <c r="C136" s="4" t="s">
        <v>110</v>
      </c>
      <c r="D136" s="3" t="s">
        <v>9</v>
      </c>
      <c r="E136" s="3" t="s">
        <v>9</v>
      </c>
      <c r="F136" s="15">
        <v>0</v>
      </c>
      <c r="G136" s="16">
        <v>0</v>
      </c>
      <c r="H136" s="164"/>
    </row>
    <row r="137" spans="1:8" x14ac:dyDescent="0.2">
      <c r="A137" s="3" t="s">
        <v>9</v>
      </c>
      <c r="B137" s="3" t="s">
        <v>9</v>
      </c>
      <c r="C137" s="13" t="s">
        <v>9</v>
      </c>
      <c r="D137" s="3" t="s">
        <v>9</v>
      </c>
      <c r="E137" s="3" t="s">
        <v>9</v>
      </c>
      <c r="F137" s="14" t="s">
        <v>9</v>
      </c>
      <c r="G137" s="14" t="s">
        <v>9</v>
      </c>
      <c r="H137" s="164"/>
    </row>
    <row r="138" spans="1:8" x14ac:dyDescent="0.2">
      <c r="A138" s="3" t="s">
        <v>9</v>
      </c>
      <c r="B138" s="3" t="s">
        <v>9</v>
      </c>
      <c r="C138" s="13" t="s">
        <v>9</v>
      </c>
      <c r="D138" s="3" t="s">
        <v>9</v>
      </c>
      <c r="E138" s="3" t="s">
        <v>9</v>
      </c>
      <c r="F138" s="14" t="s">
        <v>9</v>
      </c>
      <c r="G138" s="14" t="s">
        <v>9</v>
      </c>
      <c r="H138" s="164"/>
    </row>
    <row r="139" spans="1:8" ht="25.5" x14ac:dyDescent="0.2">
      <c r="A139" s="3" t="s">
        <v>9</v>
      </c>
      <c r="B139" s="3" t="s">
        <v>9</v>
      </c>
      <c r="C139" s="4" t="s">
        <v>134</v>
      </c>
      <c r="D139" s="3" t="s">
        <v>9</v>
      </c>
      <c r="E139" s="3" t="s">
        <v>9</v>
      </c>
      <c r="F139" s="14" t="s">
        <v>9</v>
      </c>
      <c r="G139" s="14" t="s">
        <v>9</v>
      </c>
      <c r="H139" s="164"/>
    </row>
    <row r="140" spans="1:8" x14ac:dyDescent="0.2">
      <c r="A140" s="3" t="s">
        <v>9</v>
      </c>
      <c r="B140" s="3" t="s">
        <v>9</v>
      </c>
      <c r="C140" s="4" t="s">
        <v>110</v>
      </c>
      <c r="D140" s="3" t="s">
        <v>9</v>
      </c>
      <c r="E140" s="3" t="s">
        <v>9</v>
      </c>
      <c r="F140" s="15">
        <v>0</v>
      </c>
      <c r="G140" s="16">
        <v>0</v>
      </c>
      <c r="H140" s="164"/>
    </row>
    <row r="141" spans="1:8" x14ac:dyDescent="0.2">
      <c r="A141" s="3" t="s">
        <v>9</v>
      </c>
      <c r="B141" s="3" t="s">
        <v>9</v>
      </c>
      <c r="C141" s="13" t="s">
        <v>9</v>
      </c>
      <c r="D141" s="3" t="s">
        <v>9</v>
      </c>
      <c r="E141" s="3" t="s">
        <v>9</v>
      </c>
      <c r="F141" s="14" t="s">
        <v>9</v>
      </c>
      <c r="G141" s="14" t="s">
        <v>9</v>
      </c>
      <c r="H141" s="164"/>
    </row>
    <row r="142" spans="1:8" x14ac:dyDescent="0.2">
      <c r="A142" s="3" t="s">
        <v>9</v>
      </c>
      <c r="B142" s="6" t="s">
        <v>9</v>
      </c>
      <c r="C142" s="6" t="s">
        <v>9</v>
      </c>
      <c r="D142" s="4" t="s">
        <v>9</v>
      </c>
      <c r="E142" s="3" t="s">
        <v>9</v>
      </c>
      <c r="F142" s="6" t="s">
        <v>9</v>
      </c>
      <c r="G142" s="10" t="s">
        <v>9</v>
      </c>
      <c r="H142" s="164"/>
    </row>
    <row r="143" spans="1:8" x14ac:dyDescent="0.2">
      <c r="A143" s="10" t="s">
        <v>9</v>
      </c>
      <c r="B143" s="6" t="s">
        <v>9</v>
      </c>
      <c r="C143" s="6" t="s">
        <v>135</v>
      </c>
      <c r="D143" s="6" t="s">
        <v>9</v>
      </c>
      <c r="E143" s="10" t="s">
        <v>9</v>
      </c>
      <c r="F143" s="8">
        <v>83.957656</v>
      </c>
      <c r="G143" s="9">
        <v>4.7390890000000001E-3</v>
      </c>
      <c r="H143" s="164"/>
    </row>
    <row r="144" spans="1:8" x14ac:dyDescent="0.2">
      <c r="A144" s="13" t="s">
        <v>9</v>
      </c>
      <c r="B144" s="13" t="s">
        <v>9</v>
      </c>
      <c r="C144" s="4" t="s">
        <v>136</v>
      </c>
      <c r="D144" s="17" t="s">
        <v>9</v>
      </c>
      <c r="E144" s="17" t="s">
        <v>9</v>
      </c>
      <c r="F144" s="11">
        <v>17715.992276699999</v>
      </c>
      <c r="G144" s="12">
        <v>1.0000000040000001</v>
      </c>
      <c r="H144" s="164"/>
    </row>
    <row r="145" spans="1:7" ht="14.1" customHeight="1" x14ac:dyDescent="0.2">
      <c r="A145" s="18" t="s">
        <v>9</v>
      </c>
      <c r="B145" s="18" t="s">
        <v>9</v>
      </c>
      <c r="C145" s="18" t="s">
        <v>9</v>
      </c>
      <c r="D145" s="19" t="s">
        <v>9</v>
      </c>
      <c r="E145" s="19" t="s">
        <v>9</v>
      </c>
      <c r="F145" s="19" t="s">
        <v>9</v>
      </c>
      <c r="G145" s="19" t="s">
        <v>9</v>
      </c>
    </row>
    <row r="146" spans="1:7" ht="14.1" customHeight="1" x14ac:dyDescent="0.2">
      <c r="A146" s="20" t="s">
        <v>9</v>
      </c>
      <c r="B146" s="228" t="s">
        <v>9</v>
      </c>
      <c r="C146" s="228"/>
      <c r="D146" s="228"/>
      <c r="E146" s="228"/>
      <c r="F146" s="228"/>
      <c r="G146" s="22" t="s">
        <v>9</v>
      </c>
    </row>
    <row r="147" spans="1:7" ht="14.1" customHeight="1" x14ac:dyDescent="0.2">
      <c r="A147" s="20" t="s">
        <v>9</v>
      </c>
      <c r="B147" s="228" t="s">
        <v>9</v>
      </c>
      <c r="C147" s="228"/>
      <c r="D147" s="228"/>
      <c r="E147" s="228"/>
      <c r="F147" s="228"/>
      <c r="G147" s="22" t="s">
        <v>9</v>
      </c>
    </row>
    <row r="148" spans="1:7" ht="14.1" customHeight="1" x14ac:dyDescent="0.2">
      <c r="A148" s="20" t="s">
        <v>9</v>
      </c>
      <c r="B148" s="20" t="s">
        <v>9</v>
      </c>
      <c r="C148" s="20" t="s">
        <v>9</v>
      </c>
      <c r="D148" s="22" t="s">
        <v>9</v>
      </c>
      <c r="E148" s="22" t="s">
        <v>9</v>
      </c>
      <c r="F148" s="22" t="s">
        <v>9</v>
      </c>
      <c r="G148" s="22" t="s">
        <v>9</v>
      </c>
    </row>
    <row r="149" spans="1:7" ht="14.1" customHeight="1" x14ac:dyDescent="0.2">
      <c r="A149" s="20" t="s">
        <v>9</v>
      </c>
      <c r="B149" s="226" t="s">
        <v>138</v>
      </c>
      <c r="C149" s="227"/>
      <c r="D149" s="14" t="s">
        <v>9</v>
      </c>
      <c r="E149" s="23" t="s">
        <v>9</v>
      </c>
      <c r="F149" s="22" t="s">
        <v>9</v>
      </c>
      <c r="G149" s="22" t="s">
        <v>9</v>
      </c>
    </row>
    <row r="150" spans="1:7" ht="29.1" customHeight="1" x14ac:dyDescent="0.2">
      <c r="A150" s="20" t="s">
        <v>9</v>
      </c>
      <c r="B150" s="233" t="s">
        <v>139</v>
      </c>
      <c r="C150" s="234"/>
      <c r="D150" s="4" t="s">
        <v>140</v>
      </c>
      <c r="E150" s="23" t="s">
        <v>9</v>
      </c>
      <c r="F150" s="22" t="s">
        <v>9</v>
      </c>
      <c r="G150" s="22" t="s">
        <v>9</v>
      </c>
    </row>
    <row r="151" spans="1:7" ht="17.100000000000001" customHeight="1" x14ac:dyDescent="0.2">
      <c r="A151" s="20" t="s">
        <v>9</v>
      </c>
      <c r="B151" s="233" t="s">
        <v>141</v>
      </c>
      <c r="C151" s="234"/>
      <c r="D151" s="4" t="s">
        <v>140</v>
      </c>
      <c r="E151" s="23" t="s">
        <v>9</v>
      </c>
      <c r="F151" s="22" t="s">
        <v>9</v>
      </c>
      <c r="G151" s="22" t="s">
        <v>9</v>
      </c>
    </row>
    <row r="152" spans="1:7" ht="17.100000000000001" customHeight="1" x14ac:dyDescent="0.2">
      <c r="A152" s="20" t="s">
        <v>9</v>
      </c>
      <c r="B152" s="233" t="s">
        <v>142</v>
      </c>
      <c r="C152" s="234"/>
      <c r="D152" s="14" t="s">
        <v>9</v>
      </c>
      <c r="E152" s="23" t="s">
        <v>9</v>
      </c>
      <c r="F152" s="22" t="s">
        <v>9</v>
      </c>
      <c r="G152" s="22" t="s">
        <v>9</v>
      </c>
    </row>
    <row r="153" spans="1:7" ht="24" customHeight="1" x14ac:dyDescent="0.2">
      <c r="A153" s="24" t="s">
        <v>9</v>
      </c>
      <c r="B153" s="25" t="s">
        <v>9</v>
      </c>
      <c r="C153" s="25" t="s">
        <v>143</v>
      </c>
      <c r="D153" s="25" t="s">
        <v>144</v>
      </c>
      <c r="E153" s="24" t="s">
        <v>9</v>
      </c>
      <c r="F153" s="24" t="s">
        <v>9</v>
      </c>
      <c r="G153" s="24" t="s">
        <v>9</v>
      </c>
    </row>
    <row r="154" spans="1:7" ht="18" customHeight="1" x14ac:dyDescent="0.2">
      <c r="A154" s="24" t="s">
        <v>9</v>
      </c>
      <c r="B154" s="25" t="s">
        <v>145</v>
      </c>
      <c r="C154" s="25" t="s">
        <v>146</v>
      </c>
      <c r="D154" s="25" t="s">
        <v>147</v>
      </c>
      <c r="E154" s="24" t="s">
        <v>9</v>
      </c>
      <c r="F154" s="24" t="s">
        <v>9</v>
      </c>
      <c r="G154" s="24" t="s">
        <v>9</v>
      </c>
    </row>
    <row r="155" spans="1:7" ht="17.100000000000001" customHeight="1" x14ac:dyDescent="0.2">
      <c r="A155" s="24" t="s">
        <v>9</v>
      </c>
      <c r="B155" s="6" t="s">
        <v>148</v>
      </c>
      <c r="C155" s="26">
        <v>15.5352</v>
      </c>
      <c r="D155" s="26">
        <v>16.7471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839</v>
      </c>
      <c r="C156" s="26">
        <v>14.9809</v>
      </c>
      <c r="D156" s="26">
        <v>16.1495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6" t="s">
        <v>149</v>
      </c>
      <c r="C157" s="26">
        <v>15.128299999999999</v>
      </c>
      <c r="D157" s="26">
        <v>16.3001</v>
      </c>
      <c r="E157" s="24" t="s">
        <v>9</v>
      </c>
      <c r="F157" s="21" t="s">
        <v>9</v>
      </c>
      <c r="G157" s="27" t="s">
        <v>9</v>
      </c>
    </row>
    <row r="158" spans="1:7" ht="17.100000000000001" customHeight="1" x14ac:dyDescent="0.2">
      <c r="A158" s="24" t="s">
        <v>9</v>
      </c>
      <c r="B158" s="6" t="s">
        <v>840</v>
      </c>
      <c r="C158" s="26">
        <v>14.5745</v>
      </c>
      <c r="D158" s="26">
        <v>15.7034</v>
      </c>
      <c r="E158" s="24" t="s">
        <v>9</v>
      </c>
      <c r="F158" s="21" t="s">
        <v>9</v>
      </c>
      <c r="G158" s="27" t="s">
        <v>9</v>
      </c>
    </row>
    <row r="159" spans="1:7" ht="14.1" customHeight="1" x14ac:dyDescent="0.2">
      <c r="A159" s="24" t="s">
        <v>9</v>
      </c>
      <c r="B159" s="24" t="s">
        <v>9</v>
      </c>
      <c r="C159" s="24" t="s">
        <v>9</v>
      </c>
      <c r="D159" s="24" t="s">
        <v>9</v>
      </c>
      <c r="E159" s="24" t="s">
        <v>9</v>
      </c>
      <c r="F159" s="24" t="s">
        <v>9</v>
      </c>
      <c r="G159" s="24" t="s">
        <v>9</v>
      </c>
    </row>
    <row r="160" spans="1:7" ht="17.100000000000001" customHeight="1" x14ac:dyDescent="0.2">
      <c r="A160" s="24" t="s">
        <v>9</v>
      </c>
      <c r="B160" s="233" t="s">
        <v>1003</v>
      </c>
      <c r="C160" s="234"/>
      <c r="D160" s="4" t="s">
        <v>140</v>
      </c>
      <c r="E160" s="24" t="s">
        <v>9</v>
      </c>
      <c r="F160" s="24" t="s">
        <v>9</v>
      </c>
      <c r="G160" s="24" t="s">
        <v>9</v>
      </c>
    </row>
    <row r="161" spans="1:7" ht="18" customHeight="1" x14ac:dyDescent="0.2">
      <c r="A161" s="24" t="s">
        <v>9</v>
      </c>
      <c r="B161" s="28" t="s">
        <v>150</v>
      </c>
      <c r="C161" s="28" t="s">
        <v>150</v>
      </c>
      <c r="D161" s="28" t="s">
        <v>9</v>
      </c>
      <c r="E161" s="24" t="s">
        <v>9</v>
      </c>
      <c r="F161" s="24" t="s">
        <v>9</v>
      </c>
      <c r="G161" s="24" t="s">
        <v>9</v>
      </c>
    </row>
    <row r="162" spans="1:7" s="169" customFormat="1" x14ac:dyDescent="0.2">
      <c r="B162" s="235" t="s">
        <v>841</v>
      </c>
      <c r="C162" s="235"/>
      <c r="D162" s="235"/>
      <c r="E162" s="235"/>
      <c r="F162" s="235"/>
    </row>
    <row r="163" spans="1:7" ht="14.1" customHeight="1" x14ac:dyDescent="0.2">
      <c r="A163" s="24" t="s">
        <v>9</v>
      </c>
      <c r="B163" s="21" t="s">
        <v>9</v>
      </c>
      <c r="C163" s="21" t="s">
        <v>9</v>
      </c>
      <c r="D163" s="24" t="s">
        <v>9</v>
      </c>
      <c r="E163" s="24" t="s">
        <v>9</v>
      </c>
      <c r="F163" s="24" t="s">
        <v>9</v>
      </c>
      <c r="G163" s="24" t="s">
        <v>9</v>
      </c>
    </row>
    <row r="164" spans="1:7" ht="29.1" customHeight="1" x14ac:dyDescent="0.2">
      <c r="A164" s="24" t="s">
        <v>9</v>
      </c>
      <c r="B164" s="233" t="s">
        <v>151</v>
      </c>
      <c r="C164" s="234"/>
      <c r="D164" s="4" t="s">
        <v>140</v>
      </c>
      <c r="E164" s="24" t="s">
        <v>9</v>
      </c>
      <c r="F164" s="24" t="s">
        <v>9</v>
      </c>
      <c r="G164" s="24" t="s">
        <v>9</v>
      </c>
    </row>
    <row r="165" spans="1:7" ht="29.1" customHeight="1" x14ac:dyDescent="0.2">
      <c r="A165" s="24" t="s">
        <v>9</v>
      </c>
      <c r="B165" s="233" t="s">
        <v>152</v>
      </c>
      <c r="C165" s="234"/>
      <c r="D165" s="4" t="s">
        <v>140</v>
      </c>
      <c r="E165" s="24" t="s">
        <v>9</v>
      </c>
      <c r="F165" s="24" t="s">
        <v>9</v>
      </c>
      <c r="G165" s="24" t="s">
        <v>9</v>
      </c>
    </row>
    <row r="166" spans="1:7" ht="17.100000000000001" customHeight="1" x14ac:dyDescent="0.2">
      <c r="A166" s="24" t="s">
        <v>9</v>
      </c>
      <c r="B166" s="233" t="s">
        <v>153</v>
      </c>
      <c r="C166" s="234"/>
      <c r="D166" s="29">
        <v>0.48068571401121085</v>
      </c>
      <c r="E166" s="24" t="s">
        <v>9</v>
      </c>
      <c r="F166" s="21" t="s">
        <v>9</v>
      </c>
      <c r="G166" s="27" t="s">
        <v>9</v>
      </c>
    </row>
    <row r="167" spans="1:7" ht="17.100000000000001" customHeight="1" x14ac:dyDescent="0.2">
      <c r="A167" s="24" t="s">
        <v>9</v>
      </c>
      <c r="B167" s="233" t="s">
        <v>154</v>
      </c>
      <c r="C167" s="234"/>
      <c r="D167" s="4" t="s">
        <v>140</v>
      </c>
      <c r="E167" s="24" t="s">
        <v>9</v>
      </c>
      <c r="F167" s="24" t="s">
        <v>9</v>
      </c>
      <c r="G167" s="24" t="s">
        <v>9</v>
      </c>
    </row>
  </sheetData>
  <mergeCells count="15">
    <mergeCell ref="B166:C166"/>
    <mergeCell ref="B167:C167"/>
    <mergeCell ref="B150:C150"/>
    <mergeCell ref="B151:C151"/>
    <mergeCell ref="B152:C152"/>
    <mergeCell ref="B160:C160"/>
    <mergeCell ref="B164:C164"/>
    <mergeCell ref="B165:C165"/>
    <mergeCell ref="B162:F162"/>
    <mergeCell ref="B149:C149"/>
    <mergeCell ref="B146:F146"/>
    <mergeCell ref="B147:F14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67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474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17048</v>
      </c>
      <c r="F7" s="8">
        <v>213.45800800000001</v>
      </c>
      <c r="G7" s="9">
        <v>3.1781537999999998E-2</v>
      </c>
      <c r="H7" s="164"/>
    </row>
    <row r="8" spans="1:8" x14ac:dyDescent="0.2">
      <c r="A8" s="5">
        <v>2</v>
      </c>
      <c r="B8" s="6" t="s">
        <v>156</v>
      </c>
      <c r="C8" s="6" t="s">
        <v>157</v>
      </c>
      <c r="D8" s="6" t="s">
        <v>158</v>
      </c>
      <c r="E8" s="7">
        <v>5761</v>
      </c>
      <c r="F8" s="8">
        <v>210.69417250000001</v>
      </c>
      <c r="G8" s="9">
        <v>3.1370032999999999E-2</v>
      </c>
      <c r="H8" s="164"/>
    </row>
    <row r="9" spans="1:8" x14ac:dyDescent="0.2">
      <c r="A9" s="5">
        <v>3</v>
      </c>
      <c r="B9" s="6" t="s">
        <v>159</v>
      </c>
      <c r="C9" s="6" t="s">
        <v>160</v>
      </c>
      <c r="D9" s="6" t="s">
        <v>161</v>
      </c>
      <c r="E9" s="7">
        <v>145875</v>
      </c>
      <c r="F9" s="8">
        <v>187.9599375</v>
      </c>
      <c r="G9" s="9">
        <v>2.7985157E-2</v>
      </c>
      <c r="H9" s="164"/>
    </row>
    <row r="10" spans="1:8" x14ac:dyDescent="0.2">
      <c r="A10" s="5">
        <v>4</v>
      </c>
      <c r="B10" s="6" t="s">
        <v>471</v>
      </c>
      <c r="C10" s="6" t="s">
        <v>472</v>
      </c>
      <c r="D10" s="6" t="s">
        <v>200</v>
      </c>
      <c r="E10" s="7">
        <v>35102</v>
      </c>
      <c r="F10" s="8">
        <v>187.83080200000001</v>
      </c>
      <c r="G10" s="9">
        <v>2.796593E-2</v>
      </c>
      <c r="H10" s="164"/>
    </row>
    <row r="11" spans="1:8" x14ac:dyDescent="0.2">
      <c r="A11" s="5">
        <v>5</v>
      </c>
      <c r="B11" s="6" t="s">
        <v>299</v>
      </c>
      <c r="C11" s="6" t="s">
        <v>300</v>
      </c>
      <c r="D11" s="6" t="s">
        <v>28</v>
      </c>
      <c r="E11" s="7">
        <v>24026</v>
      </c>
      <c r="F11" s="8">
        <v>173.46772000000001</v>
      </c>
      <c r="G11" s="9">
        <v>2.5827426000000001E-2</v>
      </c>
      <c r="H11" s="164"/>
    </row>
    <row r="12" spans="1:8" x14ac:dyDescent="0.2">
      <c r="A12" s="5">
        <v>6</v>
      </c>
      <c r="B12" s="6" t="s">
        <v>164</v>
      </c>
      <c r="C12" s="6" t="s">
        <v>165</v>
      </c>
      <c r="D12" s="6" t="s">
        <v>28</v>
      </c>
      <c r="E12" s="7">
        <v>21271</v>
      </c>
      <c r="F12" s="8">
        <v>162.6274305</v>
      </c>
      <c r="G12" s="9">
        <v>2.4213426999999999E-2</v>
      </c>
      <c r="H12" s="164"/>
    </row>
    <row r="13" spans="1:8" x14ac:dyDescent="0.2">
      <c r="A13" s="5">
        <v>7</v>
      </c>
      <c r="B13" s="6" t="s">
        <v>168</v>
      </c>
      <c r="C13" s="6" t="s">
        <v>169</v>
      </c>
      <c r="D13" s="6" t="s">
        <v>28</v>
      </c>
      <c r="E13" s="7">
        <v>22067</v>
      </c>
      <c r="F13" s="8">
        <v>156.41089600000001</v>
      </c>
      <c r="G13" s="9">
        <v>2.3287853000000001E-2</v>
      </c>
      <c r="H13" s="164"/>
    </row>
    <row r="14" spans="1:8" x14ac:dyDescent="0.2">
      <c r="A14" s="5">
        <v>8</v>
      </c>
      <c r="B14" s="6" t="s">
        <v>41</v>
      </c>
      <c r="C14" s="6" t="s">
        <v>42</v>
      </c>
      <c r="D14" s="6" t="s">
        <v>28</v>
      </c>
      <c r="E14" s="7">
        <v>12093</v>
      </c>
      <c r="F14" s="8">
        <v>140.169963</v>
      </c>
      <c r="G14" s="9">
        <v>2.0869757999999999E-2</v>
      </c>
      <c r="H14" s="164"/>
    </row>
    <row r="15" spans="1:8" ht="25.5" x14ac:dyDescent="0.2">
      <c r="A15" s="5">
        <v>9</v>
      </c>
      <c r="B15" s="6" t="s">
        <v>29</v>
      </c>
      <c r="C15" s="6" t="s">
        <v>30</v>
      </c>
      <c r="D15" s="6" t="s">
        <v>925</v>
      </c>
      <c r="E15" s="7">
        <v>4110</v>
      </c>
      <c r="F15" s="8">
        <v>133.951065</v>
      </c>
      <c r="G15" s="9">
        <v>1.9943833000000001E-2</v>
      </c>
      <c r="H15" s="164"/>
    </row>
    <row r="16" spans="1:8" x14ac:dyDescent="0.2">
      <c r="A16" s="5">
        <v>10</v>
      </c>
      <c r="B16" s="6" t="s">
        <v>177</v>
      </c>
      <c r="C16" s="6" t="s">
        <v>178</v>
      </c>
      <c r="D16" s="6" t="s">
        <v>179</v>
      </c>
      <c r="E16" s="7">
        <v>45429</v>
      </c>
      <c r="F16" s="8">
        <v>127.9962075</v>
      </c>
      <c r="G16" s="9">
        <v>1.905722E-2</v>
      </c>
      <c r="H16" s="164"/>
    </row>
    <row r="17" spans="1:8" x14ac:dyDescent="0.2">
      <c r="A17" s="5">
        <v>11</v>
      </c>
      <c r="B17" s="6" t="s">
        <v>175</v>
      </c>
      <c r="C17" s="6" t="s">
        <v>176</v>
      </c>
      <c r="D17" s="6" t="s">
        <v>62</v>
      </c>
      <c r="E17" s="7">
        <v>30178</v>
      </c>
      <c r="F17" s="8">
        <v>127.562406</v>
      </c>
      <c r="G17" s="9">
        <v>1.8992631999999999E-2</v>
      </c>
      <c r="H17" s="164"/>
    </row>
    <row r="18" spans="1:8" x14ac:dyDescent="0.2">
      <c r="A18" s="5">
        <v>12</v>
      </c>
      <c r="B18" s="6" t="s">
        <v>180</v>
      </c>
      <c r="C18" s="6" t="s">
        <v>181</v>
      </c>
      <c r="D18" s="6" t="s">
        <v>182</v>
      </c>
      <c r="E18" s="7">
        <v>9293</v>
      </c>
      <c r="F18" s="8">
        <v>121.5942585</v>
      </c>
      <c r="G18" s="9">
        <v>1.8104041000000001E-2</v>
      </c>
      <c r="H18" s="164"/>
    </row>
    <row r="19" spans="1:8" x14ac:dyDescent="0.2">
      <c r="A19" s="5">
        <v>13</v>
      </c>
      <c r="B19" s="6" t="s">
        <v>189</v>
      </c>
      <c r="C19" s="6" t="s">
        <v>190</v>
      </c>
      <c r="D19" s="6" t="s">
        <v>179</v>
      </c>
      <c r="E19" s="7">
        <v>3812</v>
      </c>
      <c r="F19" s="8">
        <v>119.81878399999999</v>
      </c>
      <c r="G19" s="9">
        <v>1.7839692000000001E-2</v>
      </c>
      <c r="H19" s="164"/>
    </row>
    <row r="20" spans="1:8" x14ac:dyDescent="0.2">
      <c r="A20" s="5">
        <v>14</v>
      </c>
      <c r="B20" s="6" t="s">
        <v>187</v>
      </c>
      <c r="C20" s="6" t="s">
        <v>188</v>
      </c>
      <c r="D20" s="6" t="s">
        <v>182</v>
      </c>
      <c r="E20" s="7">
        <v>46520</v>
      </c>
      <c r="F20" s="8">
        <v>116.39304</v>
      </c>
      <c r="G20" s="9">
        <v>1.7329636999999998E-2</v>
      </c>
      <c r="H20" s="164"/>
    </row>
    <row r="21" spans="1:8" x14ac:dyDescent="0.2">
      <c r="A21" s="5">
        <v>15</v>
      </c>
      <c r="B21" s="6" t="s">
        <v>338</v>
      </c>
      <c r="C21" s="6" t="s">
        <v>339</v>
      </c>
      <c r="D21" s="6" t="s">
        <v>195</v>
      </c>
      <c r="E21" s="7">
        <v>3172</v>
      </c>
      <c r="F21" s="8">
        <v>115.89219199999999</v>
      </c>
      <c r="G21" s="9">
        <v>1.7255065999999999E-2</v>
      </c>
      <c r="H21" s="164"/>
    </row>
    <row r="22" spans="1:8" ht="25.5" x14ac:dyDescent="0.2">
      <c r="A22" s="5">
        <v>16</v>
      </c>
      <c r="B22" s="6" t="s">
        <v>191</v>
      </c>
      <c r="C22" s="6" t="s">
        <v>192</v>
      </c>
      <c r="D22" s="6" t="s">
        <v>925</v>
      </c>
      <c r="E22" s="7">
        <v>42002</v>
      </c>
      <c r="F22" s="8">
        <v>111.158293</v>
      </c>
      <c r="G22" s="9">
        <v>1.6550241E-2</v>
      </c>
      <c r="H22" s="164"/>
    </row>
    <row r="23" spans="1:8" x14ac:dyDescent="0.2">
      <c r="A23" s="5">
        <v>17</v>
      </c>
      <c r="B23" s="6" t="s">
        <v>463</v>
      </c>
      <c r="C23" s="6" t="s">
        <v>464</v>
      </c>
      <c r="D23" s="6" t="s">
        <v>927</v>
      </c>
      <c r="E23" s="7">
        <v>95295</v>
      </c>
      <c r="F23" s="8">
        <v>106.68275250000001</v>
      </c>
      <c r="G23" s="9">
        <v>1.5883881999999998E-2</v>
      </c>
      <c r="H23" s="164"/>
    </row>
    <row r="24" spans="1:8" x14ac:dyDescent="0.2">
      <c r="A24" s="5">
        <v>18</v>
      </c>
      <c r="B24" s="6" t="s">
        <v>198</v>
      </c>
      <c r="C24" s="6" t="s">
        <v>199</v>
      </c>
      <c r="D24" s="6" t="s">
        <v>200</v>
      </c>
      <c r="E24" s="7">
        <v>23104</v>
      </c>
      <c r="F24" s="8">
        <v>103.89868800000001</v>
      </c>
      <c r="G24" s="9">
        <v>1.5469366E-2</v>
      </c>
      <c r="H24" s="164"/>
    </row>
    <row r="25" spans="1:8" x14ac:dyDescent="0.2">
      <c r="A25" s="5">
        <v>19</v>
      </c>
      <c r="B25" s="6" t="s">
        <v>196</v>
      </c>
      <c r="C25" s="6" t="s">
        <v>197</v>
      </c>
      <c r="D25" s="6" t="s">
        <v>928</v>
      </c>
      <c r="E25" s="7">
        <v>31617</v>
      </c>
      <c r="F25" s="8">
        <v>102.9291435</v>
      </c>
      <c r="G25" s="9">
        <v>1.5325012000000001E-2</v>
      </c>
      <c r="H25" s="164"/>
    </row>
    <row r="26" spans="1:8" ht="25.5" x14ac:dyDescent="0.2">
      <c r="A26" s="5">
        <v>20</v>
      </c>
      <c r="B26" s="6" t="s">
        <v>201</v>
      </c>
      <c r="C26" s="6" t="s">
        <v>202</v>
      </c>
      <c r="D26" s="6" t="s">
        <v>67</v>
      </c>
      <c r="E26" s="7">
        <v>20765</v>
      </c>
      <c r="F26" s="8">
        <v>101.7796475</v>
      </c>
      <c r="G26" s="9">
        <v>1.5153864E-2</v>
      </c>
      <c r="H26" s="164"/>
    </row>
    <row r="27" spans="1:8" x14ac:dyDescent="0.2">
      <c r="A27" s="5">
        <v>21</v>
      </c>
      <c r="B27" s="6" t="s">
        <v>203</v>
      </c>
      <c r="C27" s="6" t="s">
        <v>204</v>
      </c>
      <c r="D27" s="6" t="s">
        <v>179</v>
      </c>
      <c r="E27" s="7">
        <v>10021</v>
      </c>
      <c r="F27" s="8">
        <v>98.877206999999999</v>
      </c>
      <c r="G27" s="9">
        <v>1.4721723000000001E-2</v>
      </c>
      <c r="H27" s="164"/>
    </row>
    <row r="28" spans="1:8" x14ac:dyDescent="0.2">
      <c r="A28" s="5">
        <v>22</v>
      </c>
      <c r="B28" s="6" t="s">
        <v>459</v>
      </c>
      <c r="C28" s="6" t="s">
        <v>460</v>
      </c>
      <c r="D28" s="6" t="s">
        <v>207</v>
      </c>
      <c r="E28" s="7">
        <v>16417</v>
      </c>
      <c r="F28" s="8">
        <v>96.088701</v>
      </c>
      <c r="G28" s="9">
        <v>1.4306545E-2</v>
      </c>
      <c r="H28" s="164"/>
    </row>
    <row r="29" spans="1:8" x14ac:dyDescent="0.2">
      <c r="A29" s="5">
        <v>23</v>
      </c>
      <c r="B29" s="6" t="s">
        <v>212</v>
      </c>
      <c r="C29" s="6" t="s">
        <v>213</v>
      </c>
      <c r="D29" s="6" t="s">
        <v>929</v>
      </c>
      <c r="E29" s="7">
        <v>11000</v>
      </c>
      <c r="F29" s="8">
        <v>95.628500000000003</v>
      </c>
      <c r="G29" s="9">
        <v>1.4238026000000001E-2</v>
      </c>
      <c r="H29" s="164"/>
    </row>
    <row r="30" spans="1:8" x14ac:dyDescent="0.2">
      <c r="A30" s="5">
        <v>24</v>
      </c>
      <c r="B30" s="6" t="s">
        <v>77</v>
      </c>
      <c r="C30" s="6" t="s">
        <v>78</v>
      </c>
      <c r="D30" s="6" t="s">
        <v>62</v>
      </c>
      <c r="E30" s="7">
        <v>37234</v>
      </c>
      <c r="F30" s="8">
        <v>94.053083999999998</v>
      </c>
      <c r="G30" s="9">
        <v>1.4003464E-2</v>
      </c>
      <c r="H30" s="164"/>
    </row>
    <row r="31" spans="1:8" x14ac:dyDescent="0.2">
      <c r="A31" s="5">
        <v>25</v>
      </c>
      <c r="B31" s="6" t="s">
        <v>210</v>
      </c>
      <c r="C31" s="6" t="s">
        <v>211</v>
      </c>
      <c r="D31" s="6" t="s">
        <v>195</v>
      </c>
      <c r="E31" s="7">
        <v>8296</v>
      </c>
      <c r="F31" s="8">
        <v>92.865424000000004</v>
      </c>
      <c r="G31" s="9">
        <v>1.3826635E-2</v>
      </c>
      <c r="H31" s="164"/>
    </row>
    <row r="32" spans="1:8" x14ac:dyDescent="0.2">
      <c r="A32" s="5">
        <v>26</v>
      </c>
      <c r="B32" s="6" t="s">
        <v>170</v>
      </c>
      <c r="C32" s="6" t="s">
        <v>171</v>
      </c>
      <c r="D32" s="6" t="s">
        <v>172</v>
      </c>
      <c r="E32" s="7">
        <v>7374</v>
      </c>
      <c r="F32" s="8">
        <v>91.891101000000006</v>
      </c>
      <c r="G32" s="9">
        <v>1.3681568999999999E-2</v>
      </c>
      <c r="H32" s="164"/>
    </row>
    <row r="33" spans="1:8" x14ac:dyDescent="0.2">
      <c r="A33" s="5">
        <v>27</v>
      </c>
      <c r="B33" s="6" t="s">
        <v>208</v>
      </c>
      <c r="C33" s="6" t="s">
        <v>209</v>
      </c>
      <c r="D33" s="6" t="s">
        <v>161</v>
      </c>
      <c r="E33" s="7">
        <v>15225</v>
      </c>
      <c r="F33" s="8">
        <v>91.372837500000003</v>
      </c>
      <c r="G33" s="9">
        <v>1.3604405E-2</v>
      </c>
      <c r="H33" s="164"/>
    </row>
    <row r="34" spans="1:8" ht="25.5" x14ac:dyDescent="0.2">
      <c r="A34" s="5">
        <v>28</v>
      </c>
      <c r="B34" s="6" t="s">
        <v>226</v>
      </c>
      <c r="C34" s="6" t="s">
        <v>227</v>
      </c>
      <c r="D34" s="6" t="s">
        <v>62</v>
      </c>
      <c r="E34" s="7">
        <v>3957</v>
      </c>
      <c r="F34" s="8">
        <v>90.706310999999999</v>
      </c>
      <c r="G34" s="9">
        <v>1.3505167E-2</v>
      </c>
      <c r="H34" s="164"/>
    </row>
    <row r="35" spans="1:8" x14ac:dyDescent="0.2">
      <c r="A35" s="5">
        <v>29</v>
      </c>
      <c r="B35" s="6" t="s">
        <v>205</v>
      </c>
      <c r="C35" s="6" t="s">
        <v>206</v>
      </c>
      <c r="D35" s="6" t="s">
        <v>207</v>
      </c>
      <c r="E35" s="7">
        <v>33456</v>
      </c>
      <c r="F35" s="8">
        <v>89.812631999999994</v>
      </c>
      <c r="G35" s="9">
        <v>1.3372108000000001E-2</v>
      </c>
      <c r="H35" s="164"/>
    </row>
    <row r="36" spans="1:8" x14ac:dyDescent="0.2">
      <c r="A36" s="5">
        <v>30</v>
      </c>
      <c r="B36" s="6" t="s">
        <v>216</v>
      </c>
      <c r="C36" s="6" t="s">
        <v>217</v>
      </c>
      <c r="D36" s="6" t="s">
        <v>200</v>
      </c>
      <c r="E36" s="7">
        <v>13902</v>
      </c>
      <c r="F36" s="8">
        <v>89.181330000000003</v>
      </c>
      <c r="G36" s="9">
        <v>1.3278114000000001E-2</v>
      </c>
      <c r="H36" s="164"/>
    </row>
    <row r="37" spans="1:8" x14ac:dyDescent="0.2">
      <c r="A37" s="5">
        <v>31</v>
      </c>
      <c r="B37" s="6" t="s">
        <v>220</v>
      </c>
      <c r="C37" s="6" t="s">
        <v>221</v>
      </c>
      <c r="D37" s="6" t="s">
        <v>28</v>
      </c>
      <c r="E37" s="7">
        <v>5569</v>
      </c>
      <c r="F37" s="8">
        <v>87.227247000000006</v>
      </c>
      <c r="G37" s="9">
        <v>1.2987172999999999E-2</v>
      </c>
      <c r="H37" s="164"/>
    </row>
    <row r="38" spans="1:8" x14ac:dyDescent="0.2">
      <c r="A38" s="5">
        <v>32</v>
      </c>
      <c r="B38" s="6" t="s">
        <v>214</v>
      </c>
      <c r="C38" s="6" t="s">
        <v>215</v>
      </c>
      <c r="D38" s="6" t="s">
        <v>179</v>
      </c>
      <c r="E38" s="7">
        <v>2070</v>
      </c>
      <c r="F38" s="8">
        <v>86.634675000000001</v>
      </c>
      <c r="G38" s="9">
        <v>1.2898945E-2</v>
      </c>
      <c r="H38" s="164"/>
    </row>
    <row r="39" spans="1:8" ht="25.5" x14ac:dyDescent="0.2">
      <c r="A39" s="5">
        <v>33</v>
      </c>
      <c r="B39" s="6" t="s">
        <v>453</v>
      </c>
      <c r="C39" s="6" t="s">
        <v>454</v>
      </c>
      <c r="D39" s="6" t="s">
        <v>40</v>
      </c>
      <c r="E39" s="7">
        <v>6784</v>
      </c>
      <c r="F39" s="8">
        <v>85.224000000000004</v>
      </c>
      <c r="G39" s="9">
        <v>1.2688911000000001E-2</v>
      </c>
      <c r="H39" s="164"/>
    </row>
    <row r="40" spans="1:8" x14ac:dyDescent="0.2">
      <c r="A40" s="5">
        <v>34</v>
      </c>
      <c r="B40" s="6" t="s">
        <v>232</v>
      </c>
      <c r="C40" s="6" t="s">
        <v>233</v>
      </c>
      <c r="D40" s="6" t="s">
        <v>37</v>
      </c>
      <c r="E40" s="7">
        <v>9799</v>
      </c>
      <c r="F40" s="8">
        <v>84.629063500000001</v>
      </c>
      <c r="G40" s="9">
        <v>1.2600332000000001E-2</v>
      </c>
      <c r="H40" s="164"/>
    </row>
    <row r="41" spans="1:8" x14ac:dyDescent="0.2">
      <c r="A41" s="5">
        <v>35</v>
      </c>
      <c r="B41" s="6" t="s">
        <v>224</v>
      </c>
      <c r="C41" s="6" t="s">
        <v>225</v>
      </c>
      <c r="D41" s="6" t="s">
        <v>161</v>
      </c>
      <c r="E41" s="7">
        <v>15169</v>
      </c>
      <c r="F41" s="8">
        <v>81.882261999999997</v>
      </c>
      <c r="G41" s="9">
        <v>1.2191364E-2</v>
      </c>
      <c r="H41" s="164"/>
    </row>
    <row r="42" spans="1:8" x14ac:dyDescent="0.2">
      <c r="A42" s="5">
        <v>36</v>
      </c>
      <c r="B42" s="6" t="s">
        <v>173</v>
      </c>
      <c r="C42" s="6" t="s">
        <v>174</v>
      </c>
      <c r="D42" s="6" t="s">
        <v>179</v>
      </c>
      <c r="E42" s="7">
        <v>5955</v>
      </c>
      <c r="F42" s="8">
        <v>81.083280000000002</v>
      </c>
      <c r="G42" s="9">
        <v>1.2072404E-2</v>
      </c>
      <c r="H42" s="164"/>
    </row>
    <row r="43" spans="1:8" x14ac:dyDescent="0.2">
      <c r="A43" s="5">
        <v>37</v>
      </c>
      <c r="B43" s="6" t="s">
        <v>222</v>
      </c>
      <c r="C43" s="6" t="s">
        <v>223</v>
      </c>
      <c r="D43" s="6" t="s">
        <v>37</v>
      </c>
      <c r="E43" s="7">
        <v>75207</v>
      </c>
      <c r="F43" s="8">
        <v>80.772317999999999</v>
      </c>
      <c r="G43" s="9">
        <v>1.2026105E-2</v>
      </c>
      <c r="H43" s="164"/>
    </row>
    <row r="44" spans="1:8" x14ac:dyDescent="0.2">
      <c r="A44" s="5">
        <v>38</v>
      </c>
      <c r="B44" s="6" t="s">
        <v>193</v>
      </c>
      <c r="C44" s="6" t="s">
        <v>194</v>
      </c>
      <c r="D44" s="6" t="s">
        <v>195</v>
      </c>
      <c r="E44" s="7">
        <v>12334</v>
      </c>
      <c r="F44" s="8">
        <v>80.294340000000005</v>
      </c>
      <c r="G44" s="9">
        <v>1.1954940000000001E-2</v>
      </c>
      <c r="H44" s="164"/>
    </row>
    <row r="45" spans="1:8" x14ac:dyDescent="0.2">
      <c r="A45" s="5">
        <v>39</v>
      </c>
      <c r="B45" s="6" t="s">
        <v>230</v>
      </c>
      <c r="C45" s="6" t="s">
        <v>231</v>
      </c>
      <c r="D45" s="6" t="s">
        <v>62</v>
      </c>
      <c r="E45" s="7">
        <v>26481</v>
      </c>
      <c r="F45" s="8">
        <v>77.774697000000003</v>
      </c>
      <c r="G45" s="9">
        <v>1.1579793E-2</v>
      </c>
      <c r="H45" s="164"/>
    </row>
    <row r="46" spans="1:8" x14ac:dyDescent="0.2">
      <c r="A46" s="5">
        <v>40</v>
      </c>
      <c r="B46" s="6" t="s">
        <v>457</v>
      </c>
      <c r="C46" s="6" t="s">
        <v>458</v>
      </c>
      <c r="D46" s="6" t="s">
        <v>50</v>
      </c>
      <c r="E46" s="7">
        <v>18007</v>
      </c>
      <c r="F46" s="8">
        <v>75.926515499999994</v>
      </c>
      <c r="G46" s="9">
        <v>1.1304619E-2</v>
      </c>
      <c r="H46" s="164"/>
    </row>
    <row r="47" spans="1:8" x14ac:dyDescent="0.2">
      <c r="A47" s="5">
        <v>41</v>
      </c>
      <c r="B47" s="6" t="s">
        <v>455</v>
      </c>
      <c r="C47" s="6" t="s">
        <v>456</v>
      </c>
      <c r="D47" s="6" t="s">
        <v>62</v>
      </c>
      <c r="E47" s="7">
        <v>8981</v>
      </c>
      <c r="F47" s="8">
        <v>75.705339499999994</v>
      </c>
      <c r="G47" s="9">
        <v>1.1271688E-2</v>
      </c>
      <c r="H47" s="164"/>
    </row>
    <row r="48" spans="1:8" x14ac:dyDescent="0.2">
      <c r="A48" s="5">
        <v>42</v>
      </c>
      <c r="B48" s="6" t="s">
        <v>293</v>
      </c>
      <c r="C48" s="6" t="s">
        <v>294</v>
      </c>
      <c r="D48" s="6" t="s">
        <v>28</v>
      </c>
      <c r="E48" s="7">
        <v>5669</v>
      </c>
      <c r="F48" s="8">
        <v>74.745765000000006</v>
      </c>
      <c r="G48" s="9">
        <v>1.1128818E-2</v>
      </c>
      <c r="H48" s="164"/>
    </row>
    <row r="49" spans="1:8" x14ac:dyDescent="0.2">
      <c r="A49" s="5">
        <v>43</v>
      </c>
      <c r="B49" s="6" t="s">
        <v>236</v>
      </c>
      <c r="C49" s="6" t="s">
        <v>237</v>
      </c>
      <c r="D49" s="6" t="s">
        <v>161</v>
      </c>
      <c r="E49" s="7">
        <v>128598</v>
      </c>
      <c r="F49" s="8">
        <v>74.586839999999995</v>
      </c>
      <c r="G49" s="9">
        <v>1.1105156E-2</v>
      </c>
      <c r="H49" s="164"/>
    </row>
    <row r="50" spans="1:8" x14ac:dyDescent="0.2">
      <c r="A50" s="5">
        <v>44</v>
      </c>
      <c r="B50" s="6" t="s">
        <v>228</v>
      </c>
      <c r="C50" s="6" t="s">
        <v>229</v>
      </c>
      <c r="D50" s="6" t="s">
        <v>62</v>
      </c>
      <c r="E50" s="7">
        <v>9562</v>
      </c>
      <c r="F50" s="8">
        <v>73.909479000000005</v>
      </c>
      <c r="G50" s="9">
        <v>1.1004303999999999E-2</v>
      </c>
      <c r="H50" s="164"/>
    </row>
    <row r="51" spans="1:8" ht="25.5" x14ac:dyDescent="0.2">
      <c r="A51" s="5">
        <v>45</v>
      </c>
      <c r="B51" s="6" t="s">
        <v>234</v>
      </c>
      <c r="C51" s="6" t="s">
        <v>235</v>
      </c>
      <c r="D51" s="6" t="s">
        <v>67</v>
      </c>
      <c r="E51" s="7">
        <v>16397</v>
      </c>
      <c r="F51" s="8">
        <v>72.556725</v>
      </c>
      <c r="G51" s="9">
        <v>1.0802894E-2</v>
      </c>
      <c r="H51" s="164"/>
    </row>
    <row r="52" spans="1:8" x14ac:dyDescent="0.2">
      <c r="A52" s="5">
        <v>46</v>
      </c>
      <c r="B52" s="6" t="s">
        <v>238</v>
      </c>
      <c r="C52" s="6" t="s">
        <v>239</v>
      </c>
      <c r="D52" s="6" t="s">
        <v>195</v>
      </c>
      <c r="E52" s="7">
        <v>17494</v>
      </c>
      <c r="F52" s="8">
        <v>72.320195999999996</v>
      </c>
      <c r="G52" s="9">
        <v>1.0767677999999999E-2</v>
      </c>
      <c r="H52" s="164"/>
    </row>
    <row r="53" spans="1:8" x14ac:dyDescent="0.2">
      <c r="A53" s="5">
        <v>47</v>
      </c>
      <c r="B53" s="6" t="s">
        <v>244</v>
      </c>
      <c r="C53" s="6" t="s">
        <v>245</v>
      </c>
      <c r="D53" s="6" t="s">
        <v>200</v>
      </c>
      <c r="E53" s="7">
        <v>3920</v>
      </c>
      <c r="F53" s="8">
        <v>71.079400000000007</v>
      </c>
      <c r="G53" s="9">
        <v>1.0582937000000001E-2</v>
      </c>
      <c r="H53" s="164"/>
    </row>
    <row r="54" spans="1:8" x14ac:dyDescent="0.2">
      <c r="A54" s="5">
        <v>48</v>
      </c>
      <c r="B54" s="6" t="s">
        <v>242</v>
      </c>
      <c r="C54" s="6" t="s">
        <v>243</v>
      </c>
      <c r="D54" s="6" t="s">
        <v>59</v>
      </c>
      <c r="E54" s="7">
        <v>5369</v>
      </c>
      <c r="F54" s="8">
        <v>70.921805500000005</v>
      </c>
      <c r="G54" s="9">
        <v>1.0559473E-2</v>
      </c>
      <c r="H54" s="164"/>
    </row>
    <row r="55" spans="1:8" x14ac:dyDescent="0.2">
      <c r="A55" s="5">
        <v>49</v>
      </c>
      <c r="B55" s="6" t="s">
        <v>185</v>
      </c>
      <c r="C55" s="6" t="s">
        <v>186</v>
      </c>
      <c r="D55" s="6" t="s">
        <v>45</v>
      </c>
      <c r="E55" s="7">
        <v>15004</v>
      </c>
      <c r="F55" s="8">
        <v>70.728855999999993</v>
      </c>
      <c r="G55" s="9">
        <v>1.0530744999999999E-2</v>
      </c>
      <c r="H55" s="164"/>
    </row>
    <row r="56" spans="1:8" ht="25.5" x14ac:dyDescent="0.2">
      <c r="A56" s="5">
        <v>50</v>
      </c>
      <c r="B56" s="6" t="s">
        <v>246</v>
      </c>
      <c r="C56" s="6" t="s">
        <v>247</v>
      </c>
      <c r="D56" s="6" t="s">
        <v>40</v>
      </c>
      <c r="E56" s="7">
        <v>90123</v>
      </c>
      <c r="F56" s="8">
        <v>70.656431999999995</v>
      </c>
      <c r="G56" s="9">
        <v>1.0519962000000001E-2</v>
      </c>
      <c r="H56" s="164"/>
    </row>
    <row r="57" spans="1:8" ht="25.5" x14ac:dyDescent="0.2">
      <c r="A57" s="5">
        <v>51</v>
      </c>
      <c r="B57" s="6" t="s">
        <v>248</v>
      </c>
      <c r="C57" s="6" t="s">
        <v>249</v>
      </c>
      <c r="D57" s="6" t="s">
        <v>67</v>
      </c>
      <c r="E57" s="7">
        <v>15722</v>
      </c>
      <c r="F57" s="8">
        <v>68.70514</v>
      </c>
      <c r="G57" s="9">
        <v>1.0229436E-2</v>
      </c>
      <c r="H57" s="164"/>
    </row>
    <row r="58" spans="1:8" x14ac:dyDescent="0.2">
      <c r="A58" s="5">
        <v>52</v>
      </c>
      <c r="B58" s="6" t="s">
        <v>251</v>
      </c>
      <c r="C58" s="6" t="s">
        <v>252</v>
      </c>
      <c r="D58" s="6" t="s">
        <v>253</v>
      </c>
      <c r="E58" s="7">
        <v>14140</v>
      </c>
      <c r="F58" s="8">
        <v>67.978049999999996</v>
      </c>
      <c r="G58" s="9">
        <v>1.012118E-2</v>
      </c>
      <c r="H58" s="164"/>
    </row>
    <row r="59" spans="1:8" x14ac:dyDescent="0.2">
      <c r="A59" s="5">
        <v>53</v>
      </c>
      <c r="B59" s="6" t="s">
        <v>254</v>
      </c>
      <c r="C59" s="6" t="s">
        <v>255</v>
      </c>
      <c r="D59" s="6" t="s">
        <v>62</v>
      </c>
      <c r="E59" s="7">
        <v>9133</v>
      </c>
      <c r="F59" s="8">
        <v>67.734894499999996</v>
      </c>
      <c r="G59" s="9">
        <v>1.0084977E-2</v>
      </c>
      <c r="H59" s="164"/>
    </row>
    <row r="60" spans="1:8" x14ac:dyDescent="0.2">
      <c r="A60" s="5">
        <v>54</v>
      </c>
      <c r="B60" s="6" t="s">
        <v>46</v>
      </c>
      <c r="C60" s="6" t="s">
        <v>47</v>
      </c>
      <c r="D60" s="6" t="s">
        <v>28</v>
      </c>
      <c r="E60" s="7">
        <v>3518</v>
      </c>
      <c r="F60" s="8">
        <v>66.838481999999999</v>
      </c>
      <c r="G60" s="9">
        <v>9.9515109999999997E-3</v>
      </c>
      <c r="H60" s="164"/>
    </row>
    <row r="61" spans="1:8" x14ac:dyDescent="0.2">
      <c r="A61" s="5">
        <v>55</v>
      </c>
      <c r="B61" s="6" t="s">
        <v>461</v>
      </c>
      <c r="C61" s="6" t="s">
        <v>462</v>
      </c>
      <c r="D61" s="6" t="s">
        <v>28</v>
      </c>
      <c r="E61" s="7">
        <v>9582</v>
      </c>
      <c r="F61" s="8">
        <v>64.482068999999996</v>
      </c>
      <c r="G61" s="9">
        <v>9.6006670000000002E-3</v>
      </c>
      <c r="H61" s="164"/>
    </row>
    <row r="62" spans="1:8" x14ac:dyDescent="0.2">
      <c r="A62" s="5">
        <v>56</v>
      </c>
      <c r="B62" s="6" t="s">
        <v>256</v>
      </c>
      <c r="C62" s="6" t="s">
        <v>257</v>
      </c>
      <c r="D62" s="6" t="s">
        <v>930</v>
      </c>
      <c r="E62" s="7">
        <v>11454</v>
      </c>
      <c r="F62" s="8">
        <v>64.171035000000003</v>
      </c>
      <c r="G62" s="9">
        <v>9.5543580000000006E-3</v>
      </c>
      <c r="H62" s="164"/>
    </row>
    <row r="63" spans="1:8" ht="25.5" x14ac:dyDescent="0.2">
      <c r="A63" s="5">
        <v>57</v>
      </c>
      <c r="B63" s="6" t="s">
        <v>258</v>
      </c>
      <c r="C63" s="6" t="s">
        <v>259</v>
      </c>
      <c r="D63" s="6" t="s">
        <v>931</v>
      </c>
      <c r="E63" s="7">
        <v>63692</v>
      </c>
      <c r="F63" s="8">
        <v>63.500923999999998</v>
      </c>
      <c r="G63" s="9">
        <v>9.4545859999999992E-3</v>
      </c>
      <c r="H63" s="164"/>
    </row>
    <row r="64" spans="1:8" x14ac:dyDescent="0.2">
      <c r="A64" s="5">
        <v>58</v>
      </c>
      <c r="B64" s="6" t="s">
        <v>260</v>
      </c>
      <c r="C64" s="6" t="s">
        <v>261</v>
      </c>
      <c r="D64" s="6" t="s">
        <v>930</v>
      </c>
      <c r="E64" s="7">
        <v>15088</v>
      </c>
      <c r="F64" s="8">
        <v>61.725008000000003</v>
      </c>
      <c r="G64" s="9">
        <v>9.1901710000000005E-3</v>
      </c>
      <c r="H64" s="164"/>
    </row>
    <row r="65" spans="1:8" x14ac:dyDescent="0.2">
      <c r="A65" s="5">
        <v>59</v>
      </c>
      <c r="B65" s="6" t="s">
        <v>267</v>
      </c>
      <c r="C65" s="6" t="s">
        <v>268</v>
      </c>
      <c r="D65" s="6" t="s">
        <v>195</v>
      </c>
      <c r="E65" s="7">
        <v>8028</v>
      </c>
      <c r="F65" s="8">
        <v>59.531633999999997</v>
      </c>
      <c r="G65" s="9">
        <v>8.8636019999999999E-3</v>
      </c>
      <c r="H65" s="164"/>
    </row>
    <row r="66" spans="1:8" x14ac:dyDescent="0.2">
      <c r="A66" s="5">
        <v>60</v>
      </c>
      <c r="B66" s="6" t="s">
        <v>264</v>
      </c>
      <c r="C66" s="6" t="s">
        <v>265</v>
      </c>
      <c r="D66" s="6" t="s">
        <v>266</v>
      </c>
      <c r="E66" s="7">
        <v>7257</v>
      </c>
      <c r="F66" s="8">
        <v>58.6764735</v>
      </c>
      <c r="G66" s="9">
        <v>8.7362780000000001E-3</v>
      </c>
      <c r="H66" s="164"/>
    </row>
    <row r="67" spans="1:8" x14ac:dyDescent="0.2">
      <c r="A67" s="5">
        <v>61</v>
      </c>
      <c r="B67" s="6" t="s">
        <v>271</v>
      </c>
      <c r="C67" s="6" t="s">
        <v>272</v>
      </c>
      <c r="D67" s="6" t="s">
        <v>346</v>
      </c>
      <c r="E67" s="7">
        <v>5807</v>
      </c>
      <c r="F67" s="8">
        <v>55.988190500000002</v>
      </c>
      <c r="G67" s="9">
        <v>8.3360229999999997E-3</v>
      </c>
      <c r="H67" s="164"/>
    </row>
    <row r="68" spans="1:8" x14ac:dyDescent="0.2">
      <c r="A68" s="5">
        <v>62</v>
      </c>
      <c r="B68" s="6" t="s">
        <v>273</v>
      </c>
      <c r="C68" s="6" t="s">
        <v>274</v>
      </c>
      <c r="D68" s="6" t="s">
        <v>22</v>
      </c>
      <c r="E68" s="7">
        <v>52374</v>
      </c>
      <c r="F68" s="8">
        <v>54.992699999999999</v>
      </c>
      <c r="G68" s="9">
        <v>8.1878049999999994E-3</v>
      </c>
      <c r="H68" s="164"/>
    </row>
    <row r="69" spans="1:8" x14ac:dyDescent="0.2">
      <c r="A69" s="5">
        <v>63</v>
      </c>
      <c r="B69" s="6" t="s">
        <v>275</v>
      </c>
      <c r="C69" s="6" t="s">
        <v>276</v>
      </c>
      <c r="D69" s="6" t="s">
        <v>277</v>
      </c>
      <c r="E69" s="7">
        <v>19523</v>
      </c>
      <c r="F69" s="8">
        <v>50.613377499999999</v>
      </c>
      <c r="G69" s="9">
        <v>7.5357719999999996E-3</v>
      </c>
      <c r="H69" s="164"/>
    </row>
    <row r="70" spans="1:8" x14ac:dyDescent="0.2">
      <c r="A70" s="5">
        <v>64</v>
      </c>
      <c r="B70" s="6" t="s">
        <v>465</v>
      </c>
      <c r="C70" s="6" t="s">
        <v>466</v>
      </c>
      <c r="D70" s="6" t="s">
        <v>161</v>
      </c>
      <c r="E70" s="7">
        <v>7194</v>
      </c>
      <c r="F70" s="8">
        <v>47.832906000000001</v>
      </c>
      <c r="G70" s="9">
        <v>7.1217909999999997E-3</v>
      </c>
      <c r="H70" s="164"/>
    </row>
    <row r="71" spans="1:8" x14ac:dyDescent="0.2">
      <c r="A71" s="5">
        <v>65</v>
      </c>
      <c r="B71" s="6" t="s">
        <v>282</v>
      </c>
      <c r="C71" s="6" t="s">
        <v>283</v>
      </c>
      <c r="D71" s="6" t="s">
        <v>200</v>
      </c>
      <c r="E71" s="7">
        <v>792</v>
      </c>
      <c r="F71" s="8">
        <v>42.430607999999999</v>
      </c>
      <c r="G71" s="9">
        <v>6.3174479999999998E-3</v>
      </c>
      <c r="H71" s="164"/>
    </row>
    <row r="72" spans="1:8" x14ac:dyDescent="0.2">
      <c r="A72" s="5">
        <v>66</v>
      </c>
      <c r="B72" s="6" t="s">
        <v>286</v>
      </c>
      <c r="C72" s="6" t="s">
        <v>287</v>
      </c>
      <c r="D72" s="6" t="s">
        <v>927</v>
      </c>
      <c r="E72" s="7">
        <v>2402</v>
      </c>
      <c r="F72" s="8">
        <v>38.510064999999997</v>
      </c>
      <c r="G72" s="9">
        <v>5.7337229999999996E-3</v>
      </c>
      <c r="H72" s="164"/>
    </row>
    <row r="73" spans="1:8" x14ac:dyDescent="0.2">
      <c r="A73" s="5">
        <v>67</v>
      </c>
      <c r="B73" s="6" t="s">
        <v>35</v>
      </c>
      <c r="C73" s="6" t="s">
        <v>36</v>
      </c>
      <c r="D73" s="6" t="s">
        <v>37</v>
      </c>
      <c r="E73" s="7">
        <v>10971</v>
      </c>
      <c r="F73" s="8">
        <v>35.792887499999999</v>
      </c>
      <c r="G73" s="9">
        <v>5.3291650000000003E-3</v>
      </c>
      <c r="H73" s="164"/>
    </row>
    <row r="74" spans="1:8" x14ac:dyDescent="0.2">
      <c r="A74" s="5">
        <v>68</v>
      </c>
      <c r="B74" s="6" t="s">
        <v>301</v>
      </c>
      <c r="C74" s="6" t="s">
        <v>302</v>
      </c>
      <c r="D74" s="6" t="s">
        <v>930</v>
      </c>
      <c r="E74" s="7">
        <v>93287</v>
      </c>
      <c r="F74" s="8">
        <v>34.889338000000002</v>
      </c>
      <c r="G74" s="9">
        <v>5.1946370000000002E-3</v>
      </c>
      <c r="H74" s="164"/>
    </row>
    <row r="75" spans="1:8" x14ac:dyDescent="0.2">
      <c r="A75" s="5">
        <v>69</v>
      </c>
      <c r="B75" s="6" t="s">
        <v>290</v>
      </c>
      <c r="C75" s="6" t="s">
        <v>291</v>
      </c>
      <c r="D75" s="6" t="s">
        <v>179</v>
      </c>
      <c r="E75" s="7">
        <v>5325</v>
      </c>
      <c r="F75" s="8">
        <v>28.321012499999998</v>
      </c>
      <c r="G75" s="9">
        <v>4.2166859999999999E-3</v>
      </c>
      <c r="H75" s="164"/>
    </row>
    <row r="76" spans="1:8" x14ac:dyDescent="0.2">
      <c r="A76" s="5">
        <v>70</v>
      </c>
      <c r="B76" s="6" t="s">
        <v>451</v>
      </c>
      <c r="C76" s="6" t="s">
        <v>452</v>
      </c>
      <c r="D76" s="6" t="s">
        <v>62</v>
      </c>
      <c r="E76" s="7">
        <v>8699</v>
      </c>
      <c r="F76" s="8">
        <v>27.993382</v>
      </c>
      <c r="G76" s="9">
        <v>4.1679050000000004E-3</v>
      </c>
      <c r="H76" s="164"/>
    </row>
    <row r="77" spans="1:8" x14ac:dyDescent="0.2">
      <c r="A77" s="5">
        <v>71</v>
      </c>
      <c r="B77" s="6" t="s">
        <v>288</v>
      </c>
      <c r="C77" s="6" t="s">
        <v>289</v>
      </c>
      <c r="D77" s="6" t="s">
        <v>158</v>
      </c>
      <c r="E77" s="7">
        <v>1852</v>
      </c>
      <c r="F77" s="8">
        <v>25.613160000000001</v>
      </c>
      <c r="G77" s="9">
        <v>3.8135159999999999E-3</v>
      </c>
      <c r="H77" s="164"/>
    </row>
    <row r="78" spans="1:8" ht="25.5" x14ac:dyDescent="0.2">
      <c r="A78" s="5">
        <v>72</v>
      </c>
      <c r="B78" s="6" t="s">
        <v>262</v>
      </c>
      <c r="C78" s="6" t="s">
        <v>263</v>
      </c>
      <c r="D78" s="6" t="s">
        <v>158</v>
      </c>
      <c r="E78" s="7">
        <v>5545</v>
      </c>
      <c r="F78" s="8">
        <v>21.331614999999999</v>
      </c>
      <c r="G78" s="9">
        <v>3.176042E-3</v>
      </c>
      <c r="H78" s="164"/>
    </row>
    <row r="79" spans="1:8" x14ac:dyDescent="0.2">
      <c r="A79" s="3" t="s">
        <v>9</v>
      </c>
      <c r="B79" s="3" t="s">
        <v>9</v>
      </c>
      <c r="C79" s="4" t="s">
        <v>110</v>
      </c>
      <c r="D79" s="3" t="s">
        <v>9</v>
      </c>
      <c r="E79" s="3" t="s">
        <v>9</v>
      </c>
      <c r="F79" s="11">
        <v>6409.0647225000002</v>
      </c>
      <c r="G79" s="12">
        <v>0.95423888400000001</v>
      </c>
      <c r="H79" s="164"/>
    </row>
    <row r="80" spans="1:8" x14ac:dyDescent="0.2">
      <c r="A80" s="3" t="s">
        <v>9</v>
      </c>
      <c r="B80" s="3" t="s">
        <v>9</v>
      </c>
      <c r="C80" s="13" t="s">
        <v>9</v>
      </c>
      <c r="D80" s="3" t="s">
        <v>9</v>
      </c>
      <c r="E80" s="3" t="s">
        <v>9</v>
      </c>
      <c r="F80" s="14" t="s">
        <v>9</v>
      </c>
      <c r="G80" s="14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111</v>
      </c>
      <c r="D81" s="3" t="s">
        <v>9</v>
      </c>
      <c r="E81" s="3" t="s">
        <v>9</v>
      </c>
      <c r="F81" s="3" t="s">
        <v>9</v>
      </c>
      <c r="G81" s="3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110</v>
      </c>
      <c r="D82" s="3" t="s">
        <v>9</v>
      </c>
      <c r="E82" s="3" t="s">
        <v>9</v>
      </c>
      <c r="F82" s="15">
        <v>0</v>
      </c>
      <c r="G82" s="16">
        <v>0</v>
      </c>
      <c r="H82" s="164"/>
    </row>
    <row r="83" spans="1:8" x14ac:dyDescent="0.2">
      <c r="A83" s="3" t="s">
        <v>9</v>
      </c>
      <c r="B83" s="3" t="s">
        <v>9</v>
      </c>
      <c r="C83" s="13" t="s">
        <v>9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112</v>
      </c>
      <c r="D84" s="3" t="s">
        <v>9</v>
      </c>
      <c r="E84" s="3" t="s">
        <v>9</v>
      </c>
      <c r="F84" s="3" t="s">
        <v>9</v>
      </c>
      <c r="G84" s="3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110</v>
      </c>
      <c r="D85" s="3" t="s">
        <v>9</v>
      </c>
      <c r="E85" s="3" t="s">
        <v>9</v>
      </c>
      <c r="F85" s="15">
        <v>0</v>
      </c>
      <c r="G85" s="16">
        <v>0</v>
      </c>
      <c r="H85" s="164"/>
    </row>
    <row r="86" spans="1:8" x14ac:dyDescent="0.2">
      <c r="A86" s="3" t="s">
        <v>9</v>
      </c>
      <c r="B86" s="3" t="s">
        <v>9</v>
      </c>
      <c r="C86" s="13" t="s">
        <v>9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113</v>
      </c>
      <c r="D87" s="3" t="s">
        <v>9</v>
      </c>
      <c r="E87" s="3" t="s">
        <v>9</v>
      </c>
      <c r="F87" s="3" t="s">
        <v>9</v>
      </c>
      <c r="G87" s="3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110</v>
      </c>
      <c r="D88" s="3" t="s">
        <v>9</v>
      </c>
      <c r="E88" s="3" t="s">
        <v>9</v>
      </c>
      <c r="F88" s="15">
        <v>0</v>
      </c>
      <c r="G88" s="16">
        <v>0</v>
      </c>
      <c r="H88" s="164"/>
    </row>
    <row r="89" spans="1:8" x14ac:dyDescent="0.2">
      <c r="A89" s="3" t="s">
        <v>9</v>
      </c>
      <c r="B89" s="3" t="s">
        <v>9</v>
      </c>
      <c r="C89" s="13" t="s">
        <v>9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114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110</v>
      </c>
      <c r="D91" s="3" t="s">
        <v>9</v>
      </c>
      <c r="E91" s="3" t="s">
        <v>9</v>
      </c>
      <c r="F91" s="15">
        <v>0</v>
      </c>
      <c r="G91" s="16">
        <v>0</v>
      </c>
      <c r="H91" s="164"/>
    </row>
    <row r="92" spans="1:8" x14ac:dyDescent="0.2">
      <c r="A92" s="3" t="s">
        <v>9</v>
      </c>
      <c r="B92" s="3" t="s">
        <v>9</v>
      </c>
      <c r="C92" s="13" t="s">
        <v>9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115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110</v>
      </c>
      <c r="D94" s="3" t="s">
        <v>9</v>
      </c>
      <c r="E94" s="3" t="s">
        <v>9</v>
      </c>
      <c r="F94" s="15">
        <v>0</v>
      </c>
      <c r="G94" s="16">
        <v>0</v>
      </c>
      <c r="H94" s="164"/>
    </row>
    <row r="95" spans="1:8" x14ac:dyDescent="0.2">
      <c r="A95" s="3" t="s">
        <v>9</v>
      </c>
      <c r="B95" s="3" t="s">
        <v>9</v>
      </c>
      <c r="C95" s="13" t="s">
        <v>9</v>
      </c>
      <c r="D95" s="3" t="s">
        <v>9</v>
      </c>
      <c r="E95" s="3" t="s">
        <v>9</v>
      </c>
      <c r="F95" s="14" t="s">
        <v>9</v>
      </c>
      <c r="G95" s="14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116</v>
      </c>
      <c r="D96" s="3" t="s">
        <v>9</v>
      </c>
      <c r="E96" s="3" t="s">
        <v>9</v>
      </c>
      <c r="F96" s="11">
        <v>6409.0647225000002</v>
      </c>
      <c r="G96" s="12">
        <v>0.95423888400000001</v>
      </c>
      <c r="H96" s="164"/>
    </row>
    <row r="97" spans="1:8" x14ac:dyDescent="0.2">
      <c r="A97" s="3" t="s">
        <v>9</v>
      </c>
      <c r="B97" s="3" t="s">
        <v>9</v>
      </c>
      <c r="C97" s="13" t="s">
        <v>9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117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ht="25.5" x14ac:dyDescent="0.2">
      <c r="A99" s="3" t="s">
        <v>9</v>
      </c>
      <c r="B99" s="3" t="s">
        <v>9</v>
      </c>
      <c r="C99" s="4" t="s">
        <v>11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110</v>
      </c>
      <c r="D100" s="3" t="s">
        <v>9</v>
      </c>
      <c r="E100" s="3" t="s">
        <v>9</v>
      </c>
      <c r="F100" s="15">
        <v>0</v>
      </c>
      <c r="G100" s="16">
        <v>0</v>
      </c>
      <c r="H100" s="164"/>
    </row>
    <row r="101" spans="1:8" x14ac:dyDescent="0.2">
      <c r="A101" s="3" t="s">
        <v>9</v>
      </c>
      <c r="B101" s="3" t="s">
        <v>9</v>
      </c>
      <c r="C101" s="13" t="s">
        <v>9</v>
      </c>
      <c r="D101" s="3" t="s">
        <v>9</v>
      </c>
      <c r="E101" s="3" t="s">
        <v>9</v>
      </c>
      <c r="F101" s="14" t="s">
        <v>9</v>
      </c>
      <c r="G101" s="14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118</v>
      </c>
      <c r="D102" s="3" t="s">
        <v>9</v>
      </c>
      <c r="E102" s="3" t="s">
        <v>9</v>
      </c>
      <c r="F102" s="3" t="s">
        <v>9</v>
      </c>
      <c r="G102" s="3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110</v>
      </c>
      <c r="D103" s="3" t="s">
        <v>9</v>
      </c>
      <c r="E103" s="3" t="s">
        <v>9</v>
      </c>
      <c r="F103" s="15">
        <v>0</v>
      </c>
      <c r="G103" s="16">
        <v>0</v>
      </c>
      <c r="H103" s="164"/>
    </row>
    <row r="104" spans="1:8" x14ac:dyDescent="0.2">
      <c r="A104" s="3" t="s">
        <v>9</v>
      </c>
      <c r="B104" s="3" t="s">
        <v>9</v>
      </c>
      <c r="C104" s="13" t="s">
        <v>9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119</v>
      </c>
      <c r="D105" s="3" t="s">
        <v>9</v>
      </c>
      <c r="E105" s="3" t="s">
        <v>9</v>
      </c>
      <c r="F105" s="3" t="s">
        <v>9</v>
      </c>
      <c r="G105" s="3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110</v>
      </c>
      <c r="D106" s="3" t="s">
        <v>9</v>
      </c>
      <c r="E106" s="3" t="s">
        <v>9</v>
      </c>
      <c r="F106" s="15">
        <v>0</v>
      </c>
      <c r="G106" s="16">
        <v>0</v>
      </c>
      <c r="H106" s="164"/>
    </row>
    <row r="107" spans="1:8" x14ac:dyDescent="0.2">
      <c r="A107" s="3" t="s">
        <v>9</v>
      </c>
      <c r="B107" s="3" t="s">
        <v>9</v>
      </c>
      <c r="C107" s="13" t="s">
        <v>9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120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110</v>
      </c>
      <c r="D109" s="3" t="s">
        <v>9</v>
      </c>
      <c r="E109" s="3" t="s">
        <v>9</v>
      </c>
      <c r="F109" s="15">
        <v>0</v>
      </c>
      <c r="G109" s="16">
        <v>0</v>
      </c>
      <c r="H109" s="164"/>
    </row>
    <row r="110" spans="1:8" x14ac:dyDescent="0.2">
      <c r="A110" s="3" t="s">
        <v>9</v>
      </c>
      <c r="B110" s="3" t="s">
        <v>9</v>
      </c>
      <c r="C110" s="13" t="s">
        <v>9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121</v>
      </c>
      <c r="D111" s="3" t="s">
        <v>9</v>
      </c>
      <c r="E111" s="3" t="s">
        <v>9</v>
      </c>
      <c r="F111" s="11">
        <v>0</v>
      </c>
      <c r="G111" s="12">
        <v>0</v>
      </c>
      <c r="H111" s="164"/>
    </row>
    <row r="112" spans="1:8" x14ac:dyDescent="0.2">
      <c r="A112" s="3" t="s">
        <v>9</v>
      </c>
      <c r="B112" s="3" t="s">
        <v>9</v>
      </c>
      <c r="C112" s="13" t="s">
        <v>9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122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3" t="s">
        <v>9</v>
      </c>
      <c r="B114" s="3" t="s">
        <v>9</v>
      </c>
      <c r="C114" s="4" t="s">
        <v>123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110</v>
      </c>
      <c r="D115" s="3" t="s">
        <v>9</v>
      </c>
      <c r="E115" s="3" t="s">
        <v>9</v>
      </c>
      <c r="F115" s="15">
        <v>0</v>
      </c>
      <c r="G115" s="16">
        <v>0</v>
      </c>
      <c r="H115" s="164"/>
    </row>
    <row r="116" spans="1:8" x14ac:dyDescent="0.2">
      <c r="A116" s="3" t="s">
        <v>9</v>
      </c>
      <c r="B116" s="3" t="s">
        <v>9</v>
      </c>
      <c r="C116" s="13" t="s">
        <v>9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3" t="s">
        <v>9</v>
      </c>
      <c r="B117" s="3" t="s">
        <v>9</v>
      </c>
      <c r="C117" s="4" t="s">
        <v>124</v>
      </c>
      <c r="D117" s="3" t="s">
        <v>9</v>
      </c>
      <c r="E117" s="3" t="s">
        <v>9</v>
      </c>
      <c r="F117" s="14" t="s">
        <v>9</v>
      </c>
      <c r="G117" s="14" t="s">
        <v>9</v>
      </c>
      <c r="H117" s="164"/>
    </row>
    <row r="118" spans="1:8" x14ac:dyDescent="0.2">
      <c r="A118" s="3" t="s">
        <v>9</v>
      </c>
      <c r="B118" s="3" t="s">
        <v>9</v>
      </c>
      <c r="C118" s="4" t="s">
        <v>110</v>
      </c>
      <c r="D118" s="3" t="s">
        <v>9</v>
      </c>
      <c r="E118" s="3" t="s">
        <v>9</v>
      </c>
      <c r="F118" s="15">
        <v>0</v>
      </c>
      <c r="G118" s="16">
        <v>0</v>
      </c>
      <c r="H118" s="164"/>
    </row>
    <row r="119" spans="1:8" x14ac:dyDescent="0.2">
      <c r="A119" s="3" t="s">
        <v>9</v>
      </c>
      <c r="B119" s="3" t="s">
        <v>9</v>
      </c>
      <c r="C119" s="13" t="s">
        <v>9</v>
      </c>
      <c r="D119" s="3" t="s">
        <v>9</v>
      </c>
      <c r="E119" s="3" t="s">
        <v>9</v>
      </c>
      <c r="F119" s="14" t="s">
        <v>9</v>
      </c>
      <c r="G119" s="14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125</v>
      </c>
      <c r="D120" s="3" t="s">
        <v>9</v>
      </c>
      <c r="E120" s="3" t="s">
        <v>9</v>
      </c>
      <c r="F120" s="14" t="s">
        <v>9</v>
      </c>
      <c r="G120" s="14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110</v>
      </c>
      <c r="D121" s="3" t="s">
        <v>9</v>
      </c>
      <c r="E121" s="3" t="s">
        <v>9</v>
      </c>
      <c r="F121" s="15">
        <v>0</v>
      </c>
      <c r="G121" s="16">
        <v>0</v>
      </c>
      <c r="H121" s="164"/>
    </row>
    <row r="122" spans="1:8" x14ac:dyDescent="0.2">
      <c r="A122" s="3" t="s">
        <v>9</v>
      </c>
      <c r="B122" s="3" t="s">
        <v>9</v>
      </c>
      <c r="C122" s="13" t="s">
        <v>9</v>
      </c>
      <c r="D122" s="3" t="s">
        <v>9</v>
      </c>
      <c r="E122" s="3" t="s">
        <v>9</v>
      </c>
      <c r="F122" s="14" t="s">
        <v>9</v>
      </c>
      <c r="G122" s="14" t="s">
        <v>9</v>
      </c>
      <c r="H122" s="164"/>
    </row>
    <row r="123" spans="1:8" x14ac:dyDescent="0.2">
      <c r="A123" s="3" t="s">
        <v>9</v>
      </c>
      <c r="B123" s="3" t="s">
        <v>9</v>
      </c>
      <c r="C123" s="4" t="s">
        <v>126</v>
      </c>
      <c r="D123" s="3" t="s">
        <v>9</v>
      </c>
      <c r="E123" s="3" t="s">
        <v>9</v>
      </c>
      <c r="F123" s="14" t="s">
        <v>9</v>
      </c>
      <c r="G123" s="14" t="s">
        <v>9</v>
      </c>
      <c r="H123" s="164"/>
    </row>
    <row r="124" spans="1:8" x14ac:dyDescent="0.2">
      <c r="A124" s="5">
        <v>1</v>
      </c>
      <c r="B124" s="6"/>
      <c r="C124" s="6" t="s">
        <v>127</v>
      </c>
      <c r="D124" s="6"/>
      <c r="E124" s="10" t="s">
        <v>9</v>
      </c>
      <c r="F124" s="8">
        <v>213.8536167</v>
      </c>
      <c r="G124" s="9">
        <v>3.1840438999999998E-2</v>
      </c>
      <c r="H124" s="90">
        <v>3.22</v>
      </c>
    </row>
    <row r="125" spans="1:8" x14ac:dyDescent="0.2">
      <c r="A125" s="5">
        <v>2</v>
      </c>
      <c r="B125" s="6"/>
      <c r="C125" s="6" t="s">
        <v>128</v>
      </c>
      <c r="D125" s="6"/>
      <c r="E125" s="10" t="s">
        <v>9</v>
      </c>
      <c r="F125" s="8">
        <v>60.434003099999998</v>
      </c>
      <c r="G125" s="9">
        <v>8.9979550000000002E-3</v>
      </c>
      <c r="H125" s="90">
        <v>3.34</v>
      </c>
    </row>
    <row r="126" spans="1:8" x14ac:dyDescent="0.2">
      <c r="A126" s="3" t="s">
        <v>9</v>
      </c>
      <c r="B126" s="3" t="s">
        <v>9</v>
      </c>
      <c r="C126" s="4" t="s">
        <v>110</v>
      </c>
      <c r="D126" s="3" t="s">
        <v>9</v>
      </c>
      <c r="E126" s="3" t="s">
        <v>9</v>
      </c>
      <c r="F126" s="11">
        <v>274.28761980000002</v>
      </c>
      <c r="G126" s="12">
        <v>4.0838394E-2</v>
      </c>
      <c r="H126" s="164"/>
    </row>
    <row r="127" spans="1:8" x14ac:dyDescent="0.2">
      <c r="A127" s="3" t="s">
        <v>9</v>
      </c>
      <c r="B127" s="3" t="s">
        <v>9</v>
      </c>
      <c r="C127" s="13" t="s">
        <v>9</v>
      </c>
      <c r="D127" s="3" t="s">
        <v>9</v>
      </c>
      <c r="E127" s="3" t="s">
        <v>9</v>
      </c>
      <c r="F127" s="14" t="s">
        <v>9</v>
      </c>
      <c r="G127" s="14" t="s">
        <v>9</v>
      </c>
      <c r="H127" s="164"/>
    </row>
    <row r="128" spans="1:8" x14ac:dyDescent="0.2">
      <c r="A128" s="3" t="s">
        <v>9</v>
      </c>
      <c r="B128" s="3" t="s">
        <v>9</v>
      </c>
      <c r="C128" s="4" t="s">
        <v>129</v>
      </c>
      <c r="D128" s="3" t="s">
        <v>9</v>
      </c>
      <c r="E128" s="3" t="s">
        <v>9</v>
      </c>
      <c r="F128" s="11">
        <v>274.28761980000002</v>
      </c>
      <c r="G128" s="12">
        <v>4.0838394E-2</v>
      </c>
      <c r="H128" s="164"/>
    </row>
    <row r="129" spans="1:8" x14ac:dyDescent="0.2">
      <c r="A129" s="3" t="s">
        <v>9</v>
      </c>
      <c r="B129" s="3" t="s">
        <v>9</v>
      </c>
      <c r="C129" s="14" t="s">
        <v>9</v>
      </c>
      <c r="D129" s="3" t="s">
        <v>9</v>
      </c>
      <c r="E129" s="3" t="s">
        <v>9</v>
      </c>
      <c r="F129" s="3" t="s">
        <v>9</v>
      </c>
      <c r="G129" s="3" t="s">
        <v>9</v>
      </c>
      <c r="H129" s="164"/>
    </row>
    <row r="130" spans="1:8" x14ac:dyDescent="0.2">
      <c r="A130" s="3" t="s">
        <v>9</v>
      </c>
      <c r="B130" s="3" t="s">
        <v>9</v>
      </c>
      <c r="C130" s="4" t="s">
        <v>130</v>
      </c>
      <c r="D130" s="3" t="s">
        <v>9</v>
      </c>
      <c r="E130" s="3" t="s">
        <v>9</v>
      </c>
      <c r="F130" s="3" t="s">
        <v>9</v>
      </c>
      <c r="G130" s="3" t="s">
        <v>9</v>
      </c>
      <c r="H130" s="164"/>
    </row>
    <row r="131" spans="1:8" x14ac:dyDescent="0.2">
      <c r="A131" s="3" t="s">
        <v>9</v>
      </c>
      <c r="B131" s="3" t="s">
        <v>9</v>
      </c>
      <c r="C131" s="4" t="s">
        <v>131</v>
      </c>
      <c r="D131" s="3" t="s">
        <v>9</v>
      </c>
      <c r="E131" s="3" t="s">
        <v>9</v>
      </c>
      <c r="F131" s="3" t="s">
        <v>9</v>
      </c>
      <c r="G131" s="3" t="s">
        <v>9</v>
      </c>
      <c r="H131" s="164"/>
    </row>
    <row r="132" spans="1:8" x14ac:dyDescent="0.2">
      <c r="A132" s="3" t="s">
        <v>9</v>
      </c>
      <c r="B132" s="3" t="s">
        <v>9</v>
      </c>
      <c r="C132" s="4" t="s">
        <v>110</v>
      </c>
      <c r="D132" s="3" t="s">
        <v>9</v>
      </c>
      <c r="E132" s="3" t="s">
        <v>9</v>
      </c>
      <c r="F132" s="15">
        <v>0</v>
      </c>
      <c r="G132" s="16">
        <v>0</v>
      </c>
      <c r="H132" s="164"/>
    </row>
    <row r="133" spans="1:8" x14ac:dyDescent="0.2">
      <c r="A133" s="3" t="s">
        <v>9</v>
      </c>
      <c r="B133" s="3" t="s">
        <v>9</v>
      </c>
      <c r="C133" s="13" t="s">
        <v>9</v>
      </c>
      <c r="D133" s="3" t="s">
        <v>9</v>
      </c>
      <c r="E133" s="3" t="s">
        <v>9</v>
      </c>
      <c r="F133" s="14" t="s">
        <v>9</v>
      </c>
      <c r="G133" s="14" t="s">
        <v>9</v>
      </c>
      <c r="H133" s="164"/>
    </row>
    <row r="134" spans="1:8" x14ac:dyDescent="0.2">
      <c r="A134" s="3" t="s">
        <v>9</v>
      </c>
      <c r="B134" s="3" t="s">
        <v>9</v>
      </c>
      <c r="C134" s="4" t="s">
        <v>132</v>
      </c>
      <c r="D134" s="3" t="s">
        <v>9</v>
      </c>
      <c r="E134" s="3" t="s">
        <v>9</v>
      </c>
      <c r="F134" s="3" t="s">
        <v>9</v>
      </c>
      <c r="G134" s="3" t="s">
        <v>9</v>
      </c>
      <c r="H134" s="164"/>
    </row>
    <row r="135" spans="1:8" x14ac:dyDescent="0.2">
      <c r="A135" s="3" t="s">
        <v>9</v>
      </c>
      <c r="B135" s="3" t="s">
        <v>9</v>
      </c>
      <c r="C135" s="4" t="s">
        <v>133</v>
      </c>
      <c r="D135" s="3" t="s">
        <v>9</v>
      </c>
      <c r="E135" s="3" t="s">
        <v>9</v>
      </c>
      <c r="F135" s="3" t="s">
        <v>9</v>
      </c>
      <c r="G135" s="3" t="s">
        <v>9</v>
      </c>
      <c r="H135" s="164"/>
    </row>
    <row r="136" spans="1:8" x14ac:dyDescent="0.2">
      <c r="A136" s="3" t="s">
        <v>9</v>
      </c>
      <c r="B136" s="3" t="s">
        <v>9</v>
      </c>
      <c r="C136" s="4" t="s">
        <v>110</v>
      </c>
      <c r="D136" s="3" t="s">
        <v>9</v>
      </c>
      <c r="E136" s="3" t="s">
        <v>9</v>
      </c>
      <c r="F136" s="15">
        <v>0</v>
      </c>
      <c r="G136" s="16">
        <v>0</v>
      </c>
      <c r="H136" s="164"/>
    </row>
    <row r="137" spans="1:8" x14ac:dyDescent="0.2">
      <c r="A137" s="3" t="s">
        <v>9</v>
      </c>
      <c r="B137" s="3" t="s">
        <v>9</v>
      </c>
      <c r="C137" s="13" t="s">
        <v>9</v>
      </c>
      <c r="D137" s="3" t="s">
        <v>9</v>
      </c>
      <c r="E137" s="3" t="s">
        <v>9</v>
      </c>
      <c r="F137" s="14" t="s">
        <v>9</v>
      </c>
      <c r="G137" s="14" t="s">
        <v>9</v>
      </c>
      <c r="H137" s="164"/>
    </row>
    <row r="138" spans="1:8" x14ac:dyDescent="0.2">
      <c r="A138" s="3" t="s">
        <v>9</v>
      </c>
      <c r="B138" s="3" t="s">
        <v>9</v>
      </c>
      <c r="C138" s="13" t="s">
        <v>9</v>
      </c>
      <c r="D138" s="3" t="s">
        <v>9</v>
      </c>
      <c r="E138" s="3" t="s">
        <v>9</v>
      </c>
      <c r="F138" s="14" t="s">
        <v>9</v>
      </c>
      <c r="G138" s="14" t="s">
        <v>9</v>
      </c>
      <c r="H138" s="164"/>
    </row>
    <row r="139" spans="1:8" ht="25.5" x14ac:dyDescent="0.2">
      <c r="A139" s="3" t="s">
        <v>9</v>
      </c>
      <c r="B139" s="3" t="s">
        <v>9</v>
      </c>
      <c r="C139" s="4" t="s">
        <v>134</v>
      </c>
      <c r="D139" s="3" t="s">
        <v>9</v>
      </c>
      <c r="E139" s="3" t="s">
        <v>9</v>
      </c>
      <c r="F139" s="14" t="s">
        <v>9</v>
      </c>
      <c r="G139" s="14" t="s">
        <v>9</v>
      </c>
      <c r="H139" s="164"/>
    </row>
    <row r="140" spans="1:8" x14ac:dyDescent="0.2">
      <c r="A140" s="3" t="s">
        <v>9</v>
      </c>
      <c r="B140" s="3" t="s">
        <v>9</v>
      </c>
      <c r="C140" s="4" t="s">
        <v>110</v>
      </c>
      <c r="D140" s="3" t="s">
        <v>9</v>
      </c>
      <c r="E140" s="3" t="s">
        <v>9</v>
      </c>
      <c r="F140" s="15">
        <v>0</v>
      </c>
      <c r="G140" s="16">
        <v>0</v>
      </c>
      <c r="H140" s="164"/>
    </row>
    <row r="141" spans="1:8" x14ac:dyDescent="0.2">
      <c r="A141" s="3" t="s">
        <v>9</v>
      </c>
      <c r="B141" s="3" t="s">
        <v>9</v>
      </c>
      <c r="C141" s="13" t="s">
        <v>9</v>
      </c>
      <c r="D141" s="3" t="s">
        <v>9</v>
      </c>
      <c r="E141" s="3" t="s">
        <v>9</v>
      </c>
      <c r="F141" s="14" t="s">
        <v>9</v>
      </c>
      <c r="G141" s="14" t="s">
        <v>9</v>
      </c>
      <c r="H141" s="164"/>
    </row>
    <row r="142" spans="1:8" x14ac:dyDescent="0.2">
      <c r="A142" s="3" t="s">
        <v>9</v>
      </c>
      <c r="B142" s="6" t="s">
        <v>9</v>
      </c>
      <c r="C142" s="6" t="s">
        <v>9</v>
      </c>
      <c r="D142" s="4" t="s">
        <v>9</v>
      </c>
      <c r="E142" s="3" t="s">
        <v>9</v>
      </c>
      <c r="F142" s="6" t="s">
        <v>9</v>
      </c>
      <c r="G142" s="10" t="s">
        <v>9</v>
      </c>
      <c r="H142" s="164"/>
    </row>
    <row r="143" spans="1:8" x14ac:dyDescent="0.2">
      <c r="A143" s="10" t="s">
        <v>9</v>
      </c>
      <c r="B143" s="6" t="s">
        <v>9</v>
      </c>
      <c r="C143" s="6" t="s">
        <v>135</v>
      </c>
      <c r="D143" s="6" t="s">
        <v>9</v>
      </c>
      <c r="E143" s="10" t="s">
        <v>9</v>
      </c>
      <c r="F143" s="8">
        <v>33.063037100000003</v>
      </c>
      <c r="G143" s="9">
        <v>4.9227209999999997E-3</v>
      </c>
      <c r="H143" s="164"/>
    </row>
    <row r="144" spans="1:8" x14ac:dyDescent="0.2">
      <c r="A144" s="13" t="s">
        <v>9</v>
      </c>
      <c r="B144" s="13" t="s">
        <v>9</v>
      </c>
      <c r="C144" s="4" t="s">
        <v>136</v>
      </c>
      <c r="D144" s="17" t="s">
        <v>9</v>
      </c>
      <c r="E144" s="17" t="s">
        <v>9</v>
      </c>
      <c r="F144" s="11">
        <v>6716.4153990000004</v>
      </c>
      <c r="G144" s="12">
        <v>1.0000000019999999</v>
      </c>
      <c r="H144" s="164"/>
    </row>
    <row r="145" spans="1:7" ht="14.1" customHeight="1" x14ac:dyDescent="0.2">
      <c r="A145" s="18" t="s">
        <v>9</v>
      </c>
      <c r="B145" s="18" t="s">
        <v>9</v>
      </c>
      <c r="C145" s="18" t="s">
        <v>9</v>
      </c>
      <c r="D145" s="19" t="s">
        <v>9</v>
      </c>
      <c r="E145" s="19" t="s">
        <v>9</v>
      </c>
      <c r="F145" s="19" t="s">
        <v>9</v>
      </c>
      <c r="G145" s="19" t="s">
        <v>9</v>
      </c>
    </row>
    <row r="146" spans="1:7" ht="14.1" customHeight="1" x14ac:dyDescent="0.2">
      <c r="A146" s="20" t="s">
        <v>9</v>
      </c>
      <c r="B146" s="228" t="s">
        <v>9</v>
      </c>
      <c r="C146" s="228"/>
      <c r="D146" s="228"/>
      <c r="E146" s="228"/>
      <c r="F146" s="228"/>
      <c r="G146" s="22" t="s">
        <v>9</v>
      </c>
    </row>
    <row r="147" spans="1:7" ht="17.100000000000001" customHeight="1" x14ac:dyDescent="0.2">
      <c r="A147" s="20" t="s">
        <v>9</v>
      </c>
      <c r="B147" s="228" t="s">
        <v>137</v>
      </c>
      <c r="C147" s="228"/>
      <c r="D147" s="228"/>
      <c r="E147" s="228"/>
      <c r="F147" s="228"/>
      <c r="G147" s="22" t="s">
        <v>9</v>
      </c>
    </row>
    <row r="148" spans="1:7" ht="14.1" customHeight="1" x14ac:dyDescent="0.2">
      <c r="A148" s="20" t="s">
        <v>9</v>
      </c>
      <c r="B148" s="20" t="s">
        <v>9</v>
      </c>
      <c r="C148" s="20" t="s">
        <v>9</v>
      </c>
      <c r="D148" s="22" t="s">
        <v>9</v>
      </c>
      <c r="E148" s="22" t="s">
        <v>9</v>
      </c>
      <c r="F148" s="22" t="s">
        <v>9</v>
      </c>
      <c r="G148" s="22" t="s">
        <v>9</v>
      </c>
    </row>
    <row r="149" spans="1:7" ht="14.1" customHeight="1" x14ac:dyDescent="0.2">
      <c r="A149" s="20" t="s">
        <v>9</v>
      </c>
      <c r="B149" s="226" t="s">
        <v>138</v>
      </c>
      <c r="C149" s="227"/>
      <c r="D149" s="14" t="s">
        <v>9</v>
      </c>
      <c r="E149" s="23" t="s">
        <v>9</v>
      </c>
      <c r="F149" s="22" t="s">
        <v>9</v>
      </c>
      <c r="G149" s="22" t="s">
        <v>9</v>
      </c>
    </row>
    <row r="150" spans="1:7" ht="29.1" customHeight="1" x14ac:dyDescent="0.2">
      <c r="A150" s="20" t="s">
        <v>9</v>
      </c>
      <c r="B150" s="233" t="s">
        <v>139</v>
      </c>
      <c r="C150" s="234"/>
      <c r="D150" s="4" t="s">
        <v>140</v>
      </c>
      <c r="E150" s="23" t="s">
        <v>9</v>
      </c>
      <c r="F150" s="22" t="s">
        <v>9</v>
      </c>
      <c r="G150" s="22" t="s">
        <v>9</v>
      </c>
    </row>
    <row r="151" spans="1:7" ht="17.100000000000001" customHeight="1" x14ac:dyDescent="0.2">
      <c r="A151" s="20" t="s">
        <v>9</v>
      </c>
      <c r="B151" s="233" t="s">
        <v>141</v>
      </c>
      <c r="C151" s="234"/>
      <c r="D151" s="4" t="s">
        <v>140</v>
      </c>
      <c r="E151" s="23" t="s">
        <v>9</v>
      </c>
      <c r="F151" s="22" t="s">
        <v>9</v>
      </c>
      <c r="G151" s="22" t="s">
        <v>9</v>
      </c>
    </row>
    <row r="152" spans="1:7" ht="17.100000000000001" customHeight="1" x14ac:dyDescent="0.2">
      <c r="A152" s="20" t="s">
        <v>9</v>
      </c>
      <c r="B152" s="233" t="s">
        <v>142</v>
      </c>
      <c r="C152" s="234"/>
      <c r="D152" s="14" t="s">
        <v>9</v>
      </c>
      <c r="E152" s="23" t="s">
        <v>9</v>
      </c>
      <c r="F152" s="22" t="s">
        <v>9</v>
      </c>
      <c r="G152" s="22" t="s">
        <v>9</v>
      </c>
    </row>
    <row r="153" spans="1:7" ht="24" customHeight="1" x14ac:dyDescent="0.2">
      <c r="A153" s="24" t="s">
        <v>9</v>
      </c>
      <c r="B153" s="25" t="s">
        <v>9</v>
      </c>
      <c r="C153" s="25" t="s">
        <v>143</v>
      </c>
      <c r="D153" s="25" t="s">
        <v>144</v>
      </c>
      <c r="E153" s="24" t="s">
        <v>9</v>
      </c>
      <c r="F153" s="24" t="s">
        <v>9</v>
      </c>
      <c r="G153" s="24" t="s">
        <v>9</v>
      </c>
    </row>
    <row r="154" spans="1:7" ht="18" customHeight="1" x14ac:dyDescent="0.2">
      <c r="A154" s="24" t="s">
        <v>9</v>
      </c>
      <c r="B154" s="25" t="s">
        <v>145</v>
      </c>
      <c r="C154" s="25" t="s">
        <v>146</v>
      </c>
      <c r="D154" s="25" t="s">
        <v>147</v>
      </c>
      <c r="E154" s="24" t="s">
        <v>9</v>
      </c>
      <c r="F154" s="24" t="s">
        <v>9</v>
      </c>
      <c r="G154" s="24" t="s">
        <v>9</v>
      </c>
    </row>
    <row r="155" spans="1:7" ht="17.100000000000001" customHeight="1" x14ac:dyDescent="0.2">
      <c r="A155" s="24" t="s">
        <v>9</v>
      </c>
      <c r="B155" s="6" t="s">
        <v>148</v>
      </c>
      <c r="C155" s="26">
        <v>15.614699999999999</v>
      </c>
      <c r="D155" s="26">
        <v>16.883700000000001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839</v>
      </c>
      <c r="C156" s="26">
        <v>15.0595</v>
      </c>
      <c r="D156" s="26">
        <v>16.283300000000001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6" t="s">
        <v>149</v>
      </c>
      <c r="C157" s="26">
        <v>15.343500000000001</v>
      </c>
      <c r="D157" s="26">
        <v>16.5825</v>
      </c>
      <c r="E157" s="24" t="s">
        <v>9</v>
      </c>
      <c r="F157" s="21" t="s">
        <v>9</v>
      </c>
      <c r="G157" s="27" t="s">
        <v>9</v>
      </c>
    </row>
    <row r="158" spans="1:7" ht="17.100000000000001" customHeight="1" x14ac:dyDescent="0.2">
      <c r="A158" s="24" t="s">
        <v>9</v>
      </c>
      <c r="B158" s="6" t="s">
        <v>840</v>
      </c>
      <c r="C158" s="26">
        <v>14.7887</v>
      </c>
      <c r="D158" s="26">
        <v>15.982900000000001</v>
      </c>
      <c r="E158" s="24" t="s">
        <v>9</v>
      </c>
      <c r="F158" s="21" t="s">
        <v>9</v>
      </c>
      <c r="G158" s="27" t="s">
        <v>9</v>
      </c>
    </row>
    <row r="159" spans="1:7" ht="14.1" customHeight="1" x14ac:dyDescent="0.2">
      <c r="A159" s="24" t="s">
        <v>9</v>
      </c>
      <c r="B159" s="24" t="s">
        <v>9</v>
      </c>
      <c r="C159" s="24" t="s">
        <v>9</v>
      </c>
      <c r="D159" s="24" t="s">
        <v>9</v>
      </c>
      <c r="E159" s="24" t="s">
        <v>9</v>
      </c>
      <c r="F159" s="24" t="s">
        <v>9</v>
      </c>
      <c r="G159" s="24" t="s">
        <v>9</v>
      </c>
    </row>
    <row r="160" spans="1:7" ht="17.100000000000001" customHeight="1" x14ac:dyDescent="0.2">
      <c r="A160" s="24" t="s">
        <v>9</v>
      </c>
      <c r="B160" s="233" t="s">
        <v>1003</v>
      </c>
      <c r="C160" s="234"/>
      <c r="D160" s="4" t="s">
        <v>140</v>
      </c>
      <c r="E160" s="24" t="s">
        <v>9</v>
      </c>
      <c r="F160" s="24" t="s">
        <v>9</v>
      </c>
      <c r="G160" s="24" t="s">
        <v>9</v>
      </c>
    </row>
    <row r="161" spans="1:7" ht="18" customHeight="1" x14ac:dyDescent="0.2">
      <c r="A161" s="24" t="s">
        <v>9</v>
      </c>
      <c r="B161" s="28" t="s">
        <v>150</v>
      </c>
      <c r="C161" s="28" t="s">
        <v>150</v>
      </c>
      <c r="D161" s="28" t="s">
        <v>9</v>
      </c>
      <c r="E161" s="24" t="s">
        <v>9</v>
      </c>
      <c r="F161" s="24" t="s">
        <v>9</v>
      </c>
      <c r="G161" s="24" t="s">
        <v>9</v>
      </c>
    </row>
    <row r="162" spans="1:7" s="169" customFormat="1" x14ac:dyDescent="0.2">
      <c r="B162" s="235" t="s">
        <v>841</v>
      </c>
      <c r="C162" s="235"/>
      <c r="D162" s="235"/>
      <c r="E162" s="235"/>
      <c r="F162" s="235"/>
    </row>
    <row r="163" spans="1:7" ht="14.1" customHeight="1" x14ac:dyDescent="0.2">
      <c r="A163" s="24" t="s">
        <v>9</v>
      </c>
      <c r="B163" s="21" t="s">
        <v>9</v>
      </c>
      <c r="C163" s="21" t="s">
        <v>9</v>
      </c>
      <c r="D163" s="24" t="s">
        <v>9</v>
      </c>
      <c r="E163" s="24" t="s">
        <v>9</v>
      </c>
      <c r="F163" s="24" t="s">
        <v>9</v>
      </c>
      <c r="G163" s="24" t="s">
        <v>9</v>
      </c>
    </row>
    <row r="164" spans="1:7" ht="29.1" customHeight="1" x14ac:dyDescent="0.2">
      <c r="A164" s="24" t="s">
        <v>9</v>
      </c>
      <c r="B164" s="233" t="s">
        <v>151</v>
      </c>
      <c r="C164" s="234"/>
      <c r="D164" s="4" t="s">
        <v>140</v>
      </c>
      <c r="E164" s="24" t="s">
        <v>9</v>
      </c>
      <c r="F164" s="24" t="s">
        <v>9</v>
      </c>
      <c r="G164" s="24" t="s">
        <v>9</v>
      </c>
    </row>
    <row r="165" spans="1:7" ht="29.1" customHeight="1" x14ac:dyDescent="0.2">
      <c r="A165" s="24" t="s">
        <v>9</v>
      </c>
      <c r="B165" s="233" t="s">
        <v>152</v>
      </c>
      <c r="C165" s="234"/>
      <c r="D165" s="4" t="s">
        <v>140</v>
      </c>
      <c r="E165" s="24" t="s">
        <v>9</v>
      </c>
      <c r="F165" s="24" t="s">
        <v>9</v>
      </c>
      <c r="G165" s="24" t="s">
        <v>9</v>
      </c>
    </row>
    <row r="166" spans="1:7" ht="17.100000000000001" customHeight="1" x14ac:dyDescent="0.2">
      <c r="A166" s="24" t="s">
        <v>9</v>
      </c>
      <c r="B166" s="233" t="s">
        <v>153</v>
      </c>
      <c r="C166" s="234"/>
      <c r="D166" s="29">
        <v>0.47195844821437682</v>
      </c>
      <c r="E166" s="24" t="s">
        <v>9</v>
      </c>
      <c r="F166" s="21" t="s">
        <v>9</v>
      </c>
      <c r="G166" s="27" t="s">
        <v>9</v>
      </c>
    </row>
    <row r="167" spans="1:7" ht="17.100000000000001" customHeight="1" x14ac:dyDescent="0.2">
      <c r="A167" s="24" t="s">
        <v>9</v>
      </c>
      <c r="B167" s="233" t="s">
        <v>154</v>
      </c>
      <c r="C167" s="234"/>
      <c r="D167" s="4" t="s">
        <v>140</v>
      </c>
      <c r="E167" s="24" t="s">
        <v>9</v>
      </c>
      <c r="F167" s="24" t="s">
        <v>9</v>
      </c>
      <c r="G167" s="24" t="s">
        <v>9</v>
      </c>
    </row>
  </sheetData>
  <mergeCells count="15">
    <mergeCell ref="B166:C166"/>
    <mergeCell ref="B167:C167"/>
    <mergeCell ref="B150:C150"/>
    <mergeCell ref="B151:C151"/>
    <mergeCell ref="B152:C152"/>
    <mergeCell ref="B160:C160"/>
    <mergeCell ref="B164:C164"/>
    <mergeCell ref="B165:C165"/>
    <mergeCell ref="B162:F162"/>
    <mergeCell ref="B149:C149"/>
    <mergeCell ref="B146:F146"/>
    <mergeCell ref="B147:F14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65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475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8950</v>
      </c>
      <c r="F7" s="8">
        <v>112.06295</v>
      </c>
      <c r="G7" s="9">
        <v>3.2185261E-2</v>
      </c>
      <c r="H7" s="164"/>
    </row>
    <row r="8" spans="1:8" x14ac:dyDescent="0.2">
      <c r="A8" s="5">
        <v>2</v>
      </c>
      <c r="B8" s="6" t="s">
        <v>156</v>
      </c>
      <c r="C8" s="6" t="s">
        <v>157</v>
      </c>
      <c r="D8" s="6" t="s">
        <v>158</v>
      </c>
      <c r="E8" s="7">
        <v>2987</v>
      </c>
      <c r="F8" s="8">
        <v>109.2420575</v>
      </c>
      <c r="G8" s="9">
        <v>3.1375080999999999E-2</v>
      </c>
      <c r="H8" s="164"/>
    </row>
    <row r="9" spans="1:8" x14ac:dyDescent="0.2">
      <c r="A9" s="5">
        <v>3</v>
      </c>
      <c r="B9" s="6" t="s">
        <v>159</v>
      </c>
      <c r="C9" s="6" t="s">
        <v>160</v>
      </c>
      <c r="D9" s="6" t="s">
        <v>161</v>
      </c>
      <c r="E9" s="7">
        <v>77537</v>
      </c>
      <c r="F9" s="8">
        <v>99.9064245</v>
      </c>
      <c r="G9" s="9">
        <v>2.8693822000000001E-2</v>
      </c>
      <c r="H9" s="164"/>
    </row>
    <row r="10" spans="1:8" x14ac:dyDescent="0.2">
      <c r="A10" s="5">
        <v>4</v>
      </c>
      <c r="B10" s="6" t="s">
        <v>471</v>
      </c>
      <c r="C10" s="6" t="s">
        <v>472</v>
      </c>
      <c r="D10" s="6" t="s">
        <v>200</v>
      </c>
      <c r="E10" s="7">
        <v>18056</v>
      </c>
      <c r="F10" s="8">
        <v>96.617655999999997</v>
      </c>
      <c r="G10" s="9">
        <v>2.7749264999999999E-2</v>
      </c>
      <c r="H10" s="164"/>
    </row>
    <row r="11" spans="1:8" x14ac:dyDescent="0.2">
      <c r="A11" s="5">
        <v>5</v>
      </c>
      <c r="B11" s="6" t="s">
        <v>164</v>
      </c>
      <c r="C11" s="6" t="s">
        <v>165</v>
      </c>
      <c r="D11" s="6" t="s">
        <v>28</v>
      </c>
      <c r="E11" s="7">
        <v>12363</v>
      </c>
      <c r="F11" s="8">
        <v>94.521316499999998</v>
      </c>
      <c r="G11" s="9">
        <v>2.7147181999999999E-2</v>
      </c>
      <c r="H11" s="164"/>
    </row>
    <row r="12" spans="1:8" x14ac:dyDescent="0.2">
      <c r="A12" s="5">
        <v>6</v>
      </c>
      <c r="B12" s="6" t="s">
        <v>168</v>
      </c>
      <c r="C12" s="6" t="s">
        <v>169</v>
      </c>
      <c r="D12" s="6" t="s">
        <v>28</v>
      </c>
      <c r="E12" s="7">
        <v>12939</v>
      </c>
      <c r="F12" s="8">
        <v>91.711631999999994</v>
      </c>
      <c r="G12" s="9">
        <v>2.6340221E-2</v>
      </c>
      <c r="H12" s="164"/>
    </row>
    <row r="13" spans="1:8" x14ac:dyDescent="0.2">
      <c r="A13" s="5">
        <v>7</v>
      </c>
      <c r="B13" s="6" t="s">
        <v>41</v>
      </c>
      <c r="C13" s="6" t="s">
        <v>42</v>
      </c>
      <c r="D13" s="6" t="s">
        <v>28</v>
      </c>
      <c r="E13" s="7">
        <v>7409</v>
      </c>
      <c r="F13" s="8">
        <v>85.877718999999999</v>
      </c>
      <c r="G13" s="9">
        <v>2.4664680000000001E-2</v>
      </c>
      <c r="H13" s="164"/>
    </row>
    <row r="14" spans="1:8" x14ac:dyDescent="0.2">
      <c r="A14" s="5">
        <v>8</v>
      </c>
      <c r="B14" s="6" t="s">
        <v>451</v>
      </c>
      <c r="C14" s="6" t="s">
        <v>452</v>
      </c>
      <c r="D14" s="6" t="s">
        <v>62</v>
      </c>
      <c r="E14" s="7">
        <v>22660</v>
      </c>
      <c r="F14" s="8">
        <v>72.919880000000006</v>
      </c>
      <c r="G14" s="9">
        <v>2.0943098E-2</v>
      </c>
      <c r="H14" s="164"/>
    </row>
    <row r="15" spans="1:8" ht="25.5" x14ac:dyDescent="0.2">
      <c r="A15" s="5">
        <v>9</v>
      </c>
      <c r="B15" s="6" t="s">
        <v>29</v>
      </c>
      <c r="C15" s="6" t="s">
        <v>30</v>
      </c>
      <c r="D15" s="6" t="s">
        <v>925</v>
      </c>
      <c r="E15" s="7">
        <v>2132</v>
      </c>
      <c r="F15" s="8">
        <v>69.485078000000001</v>
      </c>
      <c r="G15" s="9">
        <v>1.9956598999999998E-2</v>
      </c>
      <c r="H15" s="164"/>
    </row>
    <row r="16" spans="1:8" x14ac:dyDescent="0.2">
      <c r="A16" s="5">
        <v>10</v>
      </c>
      <c r="B16" s="6" t="s">
        <v>177</v>
      </c>
      <c r="C16" s="6" t="s">
        <v>178</v>
      </c>
      <c r="D16" s="6" t="s">
        <v>179</v>
      </c>
      <c r="E16" s="7">
        <v>24091</v>
      </c>
      <c r="F16" s="8">
        <v>67.876392499999994</v>
      </c>
      <c r="G16" s="9">
        <v>1.9494573000000001E-2</v>
      </c>
      <c r="H16" s="164"/>
    </row>
    <row r="17" spans="1:8" x14ac:dyDescent="0.2">
      <c r="A17" s="5">
        <v>11</v>
      </c>
      <c r="B17" s="6" t="s">
        <v>175</v>
      </c>
      <c r="C17" s="6" t="s">
        <v>176</v>
      </c>
      <c r="D17" s="6" t="s">
        <v>62</v>
      </c>
      <c r="E17" s="7">
        <v>16012</v>
      </c>
      <c r="F17" s="8">
        <v>67.682723999999993</v>
      </c>
      <c r="G17" s="9">
        <v>1.9438950999999999E-2</v>
      </c>
      <c r="H17" s="164"/>
    </row>
    <row r="18" spans="1:8" x14ac:dyDescent="0.2">
      <c r="A18" s="5">
        <v>12</v>
      </c>
      <c r="B18" s="6" t="s">
        <v>189</v>
      </c>
      <c r="C18" s="6" t="s">
        <v>190</v>
      </c>
      <c r="D18" s="6" t="s">
        <v>179</v>
      </c>
      <c r="E18" s="7">
        <v>2021</v>
      </c>
      <c r="F18" s="8">
        <v>63.524071999999997</v>
      </c>
      <c r="G18" s="9">
        <v>1.8244557000000002E-2</v>
      </c>
      <c r="H18" s="164"/>
    </row>
    <row r="19" spans="1:8" x14ac:dyDescent="0.2">
      <c r="A19" s="5">
        <v>13</v>
      </c>
      <c r="B19" s="6" t="s">
        <v>180</v>
      </c>
      <c r="C19" s="6" t="s">
        <v>181</v>
      </c>
      <c r="D19" s="6" t="s">
        <v>182</v>
      </c>
      <c r="E19" s="7">
        <v>4825</v>
      </c>
      <c r="F19" s="8">
        <v>63.132712499999997</v>
      </c>
      <c r="G19" s="9">
        <v>1.8132155E-2</v>
      </c>
      <c r="H19" s="164"/>
    </row>
    <row r="20" spans="1:8" x14ac:dyDescent="0.2">
      <c r="A20" s="5">
        <v>14</v>
      </c>
      <c r="B20" s="6" t="s">
        <v>187</v>
      </c>
      <c r="C20" s="6" t="s">
        <v>188</v>
      </c>
      <c r="D20" s="6" t="s">
        <v>182</v>
      </c>
      <c r="E20" s="7">
        <v>24683</v>
      </c>
      <c r="F20" s="8">
        <v>61.756866000000002</v>
      </c>
      <c r="G20" s="9">
        <v>1.7737003000000001E-2</v>
      </c>
      <c r="H20" s="164"/>
    </row>
    <row r="21" spans="1:8" x14ac:dyDescent="0.2">
      <c r="A21" s="5">
        <v>15</v>
      </c>
      <c r="B21" s="6" t="s">
        <v>170</v>
      </c>
      <c r="C21" s="6" t="s">
        <v>171</v>
      </c>
      <c r="D21" s="6" t="s">
        <v>172</v>
      </c>
      <c r="E21" s="7">
        <v>4863</v>
      </c>
      <c r="F21" s="8">
        <v>60.600274499999998</v>
      </c>
      <c r="G21" s="9">
        <v>1.7404822E-2</v>
      </c>
      <c r="H21" s="164"/>
    </row>
    <row r="22" spans="1:8" x14ac:dyDescent="0.2">
      <c r="A22" s="5">
        <v>16</v>
      </c>
      <c r="B22" s="6" t="s">
        <v>338</v>
      </c>
      <c r="C22" s="6" t="s">
        <v>339</v>
      </c>
      <c r="D22" s="6" t="s">
        <v>195</v>
      </c>
      <c r="E22" s="7">
        <v>1632</v>
      </c>
      <c r="F22" s="8">
        <v>59.626752000000003</v>
      </c>
      <c r="G22" s="9">
        <v>1.7125219000000001E-2</v>
      </c>
      <c r="H22" s="164"/>
    </row>
    <row r="23" spans="1:8" ht="25.5" x14ac:dyDescent="0.2">
      <c r="A23" s="5">
        <v>17</v>
      </c>
      <c r="B23" s="6" t="s">
        <v>191</v>
      </c>
      <c r="C23" s="6" t="s">
        <v>192</v>
      </c>
      <c r="D23" s="6" t="s">
        <v>925</v>
      </c>
      <c r="E23" s="7">
        <v>22301</v>
      </c>
      <c r="F23" s="8">
        <v>59.019596499999999</v>
      </c>
      <c r="G23" s="9">
        <v>1.6950839999999998E-2</v>
      </c>
      <c r="H23" s="164"/>
    </row>
    <row r="24" spans="1:8" x14ac:dyDescent="0.2">
      <c r="A24" s="5">
        <v>18</v>
      </c>
      <c r="B24" s="6" t="s">
        <v>463</v>
      </c>
      <c r="C24" s="6" t="s">
        <v>464</v>
      </c>
      <c r="D24" s="6" t="s">
        <v>927</v>
      </c>
      <c r="E24" s="7">
        <v>49937</v>
      </c>
      <c r="F24" s="8">
        <v>55.9044715</v>
      </c>
      <c r="G24" s="9">
        <v>1.6056154E-2</v>
      </c>
      <c r="H24" s="164"/>
    </row>
    <row r="25" spans="1:8" x14ac:dyDescent="0.2">
      <c r="A25" s="5">
        <v>19</v>
      </c>
      <c r="B25" s="6" t="s">
        <v>198</v>
      </c>
      <c r="C25" s="6" t="s">
        <v>199</v>
      </c>
      <c r="D25" s="6" t="s">
        <v>200</v>
      </c>
      <c r="E25" s="7">
        <v>12247</v>
      </c>
      <c r="F25" s="8">
        <v>55.074759</v>
      </c>
      <c r="G25" s="9">
        <v>1.5817854999999999E-2</v>
      </c>
      <c r="H25" s="164"/>
    </row>
    <row r="26" spans="1:8" ht="25.5" x14ac:dyDescent="0.2">
      <c r="A26" s="5">
        <v>20</v>
      </c>
      <c r="B26" s="6" t="s">
        <v>201</v>
      </c>
      <c r="C26" s="6" t="s">
        <v>202</v>
      </c>
      <c r="D26" s="6" t="s">
        <v>67</v>
      </c>
      <c r="E26" s="7">
        <v>11014</v>
      </c>
      <c r="F26" s="8">
        <v>53.985120999999999</v>
      </c>
      <c r="G26" s="9">
        <v>1.5504903E-2</v>
      </c>
      <c r="H26" s="164"/>
    </row>
    <row r="27" spans="1:8" x14ac:dyDescent="0.2">
      <c r="A27" s="5">
        <v>21</v>
      </c>
      <c r="B27" s="6" t="s">
        <v>196</v>
      </c>
      <c r="C27" s="6" t="s">
        <v>197</v>
      </c>
      <c r="D27" s="6" t="s">
        <v>928</v>
      </c>
      <c r="E27" s="7">
        <v>16438</v>
      </c>
      <c r="F27" s="8">
        <v>53.513908999999998</v>
      </c>
      <c r="G27" s="9">
        <v>1.5369568E-2</v>
      </c>
      <c r="H27" s="164"/>
    </row>
    <row r="28" spans="1:8" x14ac:dyDescent="0.2">
      <c r="A28" s="5">
        <v>22</v>
      </c>
      <c r="B28" s="6" t="s">
        <v>459</v>
      </c>
      <c r="C28" s="6" t="s">
        <v>460</v>
      </c>
      <c r="D28" s="6" t="s">
        <v>207</v>
      </c>
      <c r="E28" s="7">
        <v>9098</v>
      </c>
      <c r="F28" s="8">
        <v>53.250594</v>
      </c>
      <c r="G28" s="9">
        <v>1.5293942E-2</v>
      </c>
      <c r="H28" s="164"/>
    </row>
    <row r="29" spans="1:8" ht="25.5" x14ac:dyDescent="0.2">
      <c r="A29" s="5">
        <v>23</v>
      </c>
      <c r="B29" s="6" t="s">
        <v>226</v>
      </c>
      <c r="C29" s="6" t="s">
        <v>227</v>
      </c>
      <c r="D29" s="6" t="s">
        <v>62</v>
      </c>
      <c r="E29" s="7">
        <v>2300</v>
      </c>
      <c r="F29" s="8">
        <v>52.722900000000003</v>
      </c>
      <c r="G29" s="9">
        <v>1.5142385E-2</v>
      </c>
      <c r="H29" s="164"/>
    </row>
    <row r="30" spans="1:8" x14ac:dyDescent="0.2">
      <c r="A30" s="5">
        <v>24</v>
      </c>
      <c r="B30" s="6" t="s">
        <v>203</v>
      </c>
      <c r="C30" s="6" t="s">
        <v>204</v>
      </c>
      <c r="D30" s="6" t="s">
        <v>179</v>
      </c>
      <c r="E30" s="7">
        <v>5305</v>
      </c>
      <c r="F30" s="8">
        <v>52.344434999999997</v>
      </c>
      <c r="G30" s="9">
        <v>1.5033687E-2</v>
      </c>
      <c r="H30" s="164"/>
    </row>
    <row r="31" spans="1:8" x14ac:dyDescent="0.2">
      <c r="A31" s="5">
        <v>25</v>
      </c>
      <c r="B31" s="6" t="s">
        <v>212</v>
      </c>
      <c r="C31" s="6" t="s">
        <v>213</v>
      </c>
      <c r="D31" s="6" t="s">
        <v>929</v>
      </c>
      <c r="E31" s="7">
        <v>6000</v>
      </c>
      <c r="F31" s="8">
        <v>52.161000000000001</v>
      </c>
      <c r="G31" s="9">
        <v>1.4981003E-2</v>
      </c>
      <c r="H31" s="164"/>
    </row>
    <row r="32" spans="1:8" x14ac:dyDescent="0.2">
      <c r="A32" s="5">
        <v>26</v>
      </c>
      <c r="B32" s="6" t="s">
        <v>210</v>
      </c>
      <c r="C32" s="6" t="s">
        <v>211</v>
      </c>
      <c r="D32" s="6" t="s">
        <v>195</v>
      </c>
      <c r="E32" s="7">
        <v>4415</v>
      </c>
      <c r="F32" s="8">
        <v>49.421509999999998</v>
      </c>
      <c r="G32" s="9">
        <v>1.4194202E-2</v>
      </c>
      <c r="H32" s="164"/>
    </row>
    <row r="33" spans="1:8" x14ac:dyDescent="0.2">
      <c r="A33" s="5">
        <v>27</v>
      </c>
      <c r="B33" s="6" t="s">
        <v>77</v>
      </c>
      <c r="C33" s="6" t="s">
        <v>78</v>
      </c>
      <c r="D33" s="6" t="s">
        <v>62</v>
      </c>
      <c r="E33" s="7">
        <v>19368</v>
      </c>
      <c r="F33" s="8">
        <v>48.923568000000003</v>
      </c>
      <c r="G33" s="9">
        <v>1.405119E-2</v>
      </c>
      <c r="H33" s="164"/>
    </row>
    <row r="34" spans="1:8" x14ac:dyDescent="0.2">
      <c r="A34" s="5">
        <v>28</v>
      </c>
      <c r="B34" s="6" t="s">
        <v>205</v>
      </c>
      <c r="C34" s="6" t="s">
        <v>206</v>
      </c>
      <c r="D34" s="6" t="s">
        <v>207</v>
      </c>
      <c r="E34" s="7">
        <v>17729</v>
      </c>
      <c r="F34" s="8">
        <v>47.593500499999998</v>
      </c>
      <c r="G34" s="9">
        <v>1.3669185E-2</v>
      </c>
      <c r="H34" s="164"/>
    </row>
    <row r="35" spans="1:8" x14ac:dyDescent="0.2">
      <c r="A35" s="5">
        <v>29</v>
      </c>
      <c r="B35" s="6" t="s">
        <v>208</v>
      </c>
      <c r="C35" s="6" t="s">
        <v>209</v>
      </c>
      <c r="D35" s="6" t="s">
        <v>161</v>
      </c>
      <c r="E35" s="7">
        <v>7896</v>
      </c>
      <c r="F35" s="8">
        <v>47.387844000000001</v>
      </c>
      <c r="G35" s="9">
        <v>1.3610119E-2</v>
      </c>
      <c r="H35" s="164"/>
    </row>
    <row r="36" spans="1:8" x14ac:dyDescent="0.2">
      <c r="A36" s="5">
        <v>30</v>
      </c>
      <c r="B36" s="6" t="s">
        <v>216</v>
      </c>
      <c r="C36" s="6" t="s">
        <v>217</v>
      </c>
      <c r="D36" s="6" t="s">
        <v>200</v>
      </c>
      <c r="E36" s="7">
        <v>7372</v>
      </c>
      <c r="F36" s="8">
        <v>47.291379999999997</v>
      </c>
      <c r="G36" s="9">
        <v>1.3582413999999999E-2</v>
      </c>
      <c r="H36" s="164"/>
    </row>
    <row r="37" spans="1:8" x14ac:dyDescent="0.2">
      <c r="A37" s="5">
        <v>31</v>
      </c>
      <c r="B37" s="6" t="s">
        <v>232</v>
      </c>
      <c r="C37" s="6" t="s">
        <v>233</v>
      </c>
      <c r="D37" s="6" t="s">
        <v>37</v>
      </c>
      <c r="E37" s="7">
        <v>5426</v>
      </c>
      <c r="F37" s="8">
        <v>46.861649</v>
      </c>
      <c r="G37" s="9">
        <v>1.3458993000000001E-2</v>
      </c>
      <c r="H37" s="164"/>
    </row>
    <row r="38" spans="1:8" x14ac:dyDescent="0.2">
      <c r="A38" s="5">
        <v>32</v>
      </c>
      <c r="B38" s="6" t="s">
        <v>220</v>
      </c>
      <c r="C38" s="6" t="s">
        <v>221</v>
      </c>
      <c r="D38" s="6" t="s">
        <v>28</v>
      </c>
      <c r="E38" s="7">
        <v>2958</v>
      </c>
      <c r="F38" s="8">
        <v>46.331153999999998</v>
      </c>
      <c r="G38" s="9">
        <v>1.3306630999999999E-2</v>
      </c>
      <c r="H38" s="164"/>
    </row>
    <row r="39" spans="1:8" x14ac:dyDescent="0.2">
      <c r="A39" s="5">
        <v>33</v>
      </c>
      <c r="B39" s="6" t="s">
        <v>214</v>
      </c>
      <c r="C39" s="6" t="s">
        <v>215</v>
      </c>
      <c r="D39" s="6" t="s">
        <v>179</v>
      </c>
      <c r="E39" s="7">
        <v>1104</v>
      </c>
      <c r="F39" s="8">
        <v>46.205159999999999</v>
      </c>
      <c r="G39" s="9">
        <v>1.3270443999999999E-2</v>
      </c>
      <c r="H39" s="164"/>
    </row>
    <row r="40" spans="1:8" ht="25.5" x14ac:dyDescent="0.2">
      <c r="A40" s="5">
        <v>34</v>
      </c>
      <c r="B40" s="6" t="s">
        <v>453</v>
      </c>
      <c r="C40" s="6" t="s">
        <v>454</v>
      </c>
      <c r="D40" s="6" t="s">
        <v>40</v>
      </c>
      <c r="E40" s="7">
        <v>3630</v>
      </c>
      <c r="F40" s="8">
        <v>45.601875</v>
      </c>
      <c r="G40" s="9">
        <v>1.3097177E-2</v>
      </c>
      <c r="H40" s="164"/>
    </row>
    <row r="41" spans="1:8" x14ac:dyDescent="0.2">
      <c r="A41" s="5">
        <v>35</v>
      </c>
      <c r="B41" s="6" t="s">
        <v>224</v>
      </c>
      <c r="C41" s="6" t="s">
        <v>225</v>
      </c>
      <c r="D41" s="6" t="s">
        <v>161</v>
      </c>
      <c r="E41" s="7">
        <v>7884</v>
      </c>
      <c r="F41" s="8">
        <v>42.557831999999998</v>
      </c>
      <c r="G41" s="9">
        <v>1.2222906E-2</v>
      </c>
      <c r="H41" s="164"/>
    </row>
    <row r="42" spans="1:8" x14ac:dyDescent="0.2">
      <c r="A42" s="5">
        <v>36</v>
      </c>
      <c r="B42" s="6" t="s">
        <v>173</v>
      </c>
      <c r="C42" s="6" t="s">
        <v>174</v>
      </c>
      <c r="D42" s="6" t="s">
        <v>179</v>
      </c>
      <c r="E42" s="7">
        <v>3090</v>
      </c>
      <c r="F42" s="8">
        <v>42.073439999999998</v>
      </c>
      <c r="G42" s="9">
        <v>1.2083785E-2</v>
      </c>
      <c r="H42" s="164"/>
    </row>
    <row r="43" spans="1:8" x14ac:dyDescent="0.2">
      <c r="A43" s="5">
        <v>37</v>
      </c>
      <c r="B43" s="6" t="s">
        <v>299</v>
      </c>
      <c r="C43" s="6" t="s">
        <v>300</v>
      </c>
      <c r="D43" s="6" t="s">
        <v>28</v>
      </c>
      <c r="E43" s="7">
        <v>5737</v>
      </c>
      <c r="F43" s="8">
        <v>41.421140000000001</v>
      </c>
      <c r="G43" s="9">
        <v>1.1896439999999999E-2</v>
      </c>
      <c r="H43" s="164"/>
    </row>
    <row r="44" spans="1:8" x14ac:dyDescent="0.2">
      <c r="A44" s="5">
        <v>38</v>
      </c>
      <c r="B44" s="6" t="s">
        <v>230</v>
      </c>
      <c r="C44" s="6" t="s">
        <v>231</v>
      </c>
      <c r="D44" s="6" t="s">
        <v>62</v>
      </c>
      <c r="E44" s="7">
        <v>14021</v>
      </c>
      <c r="F44" s="8">
        <v>41.179676999999998</v>
      </c>
      <c r="G44" s="9">
        <v>1.1827091E-2</v>
      </c>
      <c r="H44" s="164"/>
    </row>
    <row r="45" spans="1:8" x14ac:dyDescent="0.2">
      <c r="A45" s="5">
        <v>39</v>
      </c>
      <c r="B45" s="6" t="s">
        <v>293</v>
      </c>
      <c r="C45" s="6" t="s">
        <v>294</v>
      </c>
      <c r="D45" s="6" t="s">
        <v>28</v>
      </c>
      <c r="E45" s="7">
        <v>3047</v>
      </c>
      <c r="F45" s="8">
        <v>40.174695</v>
      </c>
      <c r="G45" s="9">
        <v>1.1538453000000001E-2</v>
      </c>
      <c r="H45" s="164"/>
    </row>
    <row r="46" spans="1:8" x14ac:dyDescent="0.2">
      <c r="A46" s="5">
        <v>40</v>
      </c>
      <c r="B46" s="6" t="s">
        <v>455</v>
      </c>
      <c r="C46" s="6" t="s">
        <v>456</v>
      </c>
      <c r="D46" s="6" t="s">
        <v>62</v>
      </c>
      <c r="E46" s="7">
        <v>4749</v>
      </c>
      <c r="F46" s="8">
        <v>40.031695499999998</v>
      </c>
      <c r="G46" s="9">
        <v>1.1497382E-2</v>
      </c>
      <c r="H46" s="164"/>
    </row>
    <row r="47" spans="1:8" x14ac:dyDescent="0.2">
      <c r="A47" s="5">
        <v>41</v>
      </c>
      <c r="B47" s="6" t="s">
        <v>457</v>
      </c>
      <c r="C47" s="6" t="s">
        <v>458</v>
      </c>
      <c r="D47" s="6" t="s">
        <v>50</v>
      </c>
      <c r="E47" s="7">
        <v>9464</v>
      </c>
      <c r="F47" s="8">
        <v>39.904955999999999</v>
      </c>
      <c r="G47" s="9">
        <v>1.1460982E-2</v>
      </c>
      <c r="H47" s="164"/>
    </row>
    <row r="48" spans="1:8" x14ac:dyDescent="0.2">
      <c r="A48" s="5">
        <v>42</v>
      </c>
      <c r="B48" s="6" t="s">
        <v>236</v>
      </c>
      <c r="C48" s="6" t="s">
        <v>237</v>
      </c>
      <c r="D48" s="6" t="s">
        <v>161</v>
      </c>
      <c r="E48" s="7">
        <v>68251</v>
      </c>
      <c r="F48" s="8">
        <v>39.58558</v>
      </c>
      <c r="G48" s="9">
        <v>1.1369255E-2</v>
      </c>
      <c r="H48" s="164"/>
    </row>
    <row r="49" spans="1:8" x14ac:dyDescent="0.2">
      <c r="A49" s="5">
        <v>43</v>
      </c>
      <c r="B49" s="6" t="s">
        <v>256</v>
      </c>
      <c r="C49" s="6" t="s">
        <v>257</v>
      </c>
      <c r="D49" s="6" t="s">
        <v>930</v>
      </c>
      <c r="E49" s="7">
        <v>7009</v>
      </c>
      <c r="F49" s="8">
        <v>39.267922499999997</v>
      </c>
      <c r="G49" s="9">
        <v>1.1278020999999999E-2</v>
      </c>
      <c r="H49" s="164"/>
    </row>
    <row r="50" spans="1:8" x14ac:dyDescent="0.2">
      <c r="A50" s="5">
        <v>44</v>
      </c>
      <c r="B50" s="6" t="s">
        <v>238</v>
      </c>
      <c r="C50" s="6" t="s">
        <v>239</v>
      </c>
      <c r="D50" s="6" t="s">
        <v>195</v>
      </c>
      <c r="E50" s="7">
        <v>9322</v>
      </c>
      <c r="F50" s="8">
        <v>38.537148000000002</v>
      </c>
      <c r="G50" s="9">
        <v>1.1068138E-2</v>
      </c>
      <c r="H50" s="164"/>
    </row>
    <row r="51" spans="1:8" x14ac:dyDescent="0.2">
      <c r="A51" s="5">
        <v>45</v>
      </c>
      <c r="B51" s="6" t="s">
        <v>185</v>
      </c>
      <c r="C51" s="6" t="s">
        <v>186</v>
      </c>
      <c r="D51" s="6" t="s">
        <v>45</v>
      </c>
      <c r="E51" s="7">
        <v>8109</v>
      </c>
      <c r="F51" s="8">
        <v>38.225825999999998</v>
      </c>
      <c r="G51" s="9">
        <v>1.0978724E-2</v>
      </c>
      <c r="H51" s="164"/>
    </row>
    <row r="52" spans="1:8" ht="25.5" x14ac:dyDescent="0.2">
      <c r="A52" s="5">
        <v>46</v>
      </c>
      <c r="B52" s="6" t="s">
        <v>234</v>
      </c>
      <c r="C52" s="6" t="s">
        <v>235</v>
      </c>
      <c r="D52" s="6" t="s">
        <v>67</v>
      </c>
      <c r="E52" s="7">
        <v>8568</v>
      </c>
      <c r="F52" s="8">
        <v>37.913400000000003</v>
      </c>
      <c r="G52" s="9">
        <v>1.0888993E-2</v>
      </c>
      <c r="H52" s="164"/>
    </row>
    <row r="53" spans="1:8" x14ac:dyDescent="0.2">
      <c r="A53" s="5">
        <v>47</v>
      </c>
      <c r="B53" s="6" t="s">
        <v>244</v>
      </c>
      <c r="C53" s="6" t="s">
        <v>245</v>
      </c>
      <c r="D53" s="6" t="s">
        <v>200</v>
      </c>
      <c r="E53" s="7">
        <v>2084</v>
      </c>
      <c r="F53" s="8">
        <v>37.788130000000002</v>
      </c>
      <c r="G53" s="9">
        <v>1.0853015000000001E-2</v>
      </c>
      <c r="H53" s="164"/>
    </row>
    <row r="54" spans="1:8" x14ac:dyDescent="0.2">
      <c r="A54" s="5">
        <v>48</v>
      </c>
      <c r="B54" s="6" t="s">
        <v>242</v>
      </c>
      <c r="C54" s="6" t="s">
        <v>243</v>
      </c>
      <c r="D54" s="6" t="s">
        <v>59</v>
      </c>
      <c r="E54" s="7">
        <v>2788</v>
      </c>
      <c r="F54" s="8">
        <v>36.828085999999999</v>
      </c>
      <c r="G54" s="9">
        <v>1.0577283E-2</v>
      </c>
      <c r="H54" s="164"/>
    </row>
    <row r="55" spans="1:8" x14ac:dyDescent="0.2">
      <c r="A55" s="5">
        <v>49</v>
      </c>
      <c r="B55" s="6" t="s">
        <v>254</v>
      </c>
      <c r="C55" s="6" t="s">
        <v>255</v>
      </c>
      <c r="D55" s="6" t="s">
        <v>62</v>
      </c>
      <c r="E55" s="7">
        <v>4838</v>
      </c>
      <c r="F55" s="8">
        <v>35.881027000000003</v>
      </c>
      <c r="G55" s="9">
        <v>1.0305280999999999E-2</v>
      </c>
      <c r="H55" s="164"/>
    </row>
    <row r="56" spans="1:8" ht="25.5" x14ac:dyDescent="0.2">
      <c r="A56" s="5">
        <v>50</v>
      </c>
      <c r="B56" s="6" t="s">
        <v>248</v>
      </c>
      <c r="C56" s="6" t="s">
        <v>249</v>
      </c>
      <c r="D56" s="6" t="s">
        <v>67</v>
      </c>
      <c r="E56" s="7">
        <v>8180</v>
      </c>
      <c r="F56" s="8">
        <v>35.746600000000001</v>
      </c>
      <c r="G56" s="9">
        <v>1.0266673E-2</v>
      </c>
      <c r="H56" s="164"/>
    </row>
    <row r="57" spans="1:8" x14ac:dyDescent="0.2">
      <c r="A57" s="5">
        <v>51</v>
      </c>
      <c r="B57" s="6" t="s">
        <v>251</v>
      </c>
      <c r="C57" s="6" t="s">
        <v>252</v>
      </c>
      <c r="D57" s="6" t="s">
        <v>253</v>
      </c>
      <c r="E57" s="7">
        <v>7357</v>
      </c>
      <c r="F57" s="8">
        <v>35.3687775</v>
      </c>
      <c r="G57" s="9">
        <v>1.0158159999999999E-2</v>
      </c>
      <c r="H57" s="164"/>
    </row>
    <row r="58" spans="1:8" ht="25.5" x14ac:dyDescent="0.2">
      <c r="A58" s="5">
        <v>52</v>
      </c>
      <c r="B58" s="6" t="s">
        <v>246</v>
      </c>
      <c r="C58" s="6" t="s">
        <v>247</v>
      </c>
      <c r="D58" s="6" t="s">
        <v>40</v>
      </c>
      <c r="E58" s="7">
        <v>44355</v>
      </c>
      <c r="F58" s="8">
        <v>34.774320000000003</v>
      </c>
      <c r="G58" s="9">
        <v>9.9874270000000001E-3</v>
      </c>
      <c r="H58" s="164"/>
    </row>
    <row r="59" spans="1:8" x14ac:dyDescent="0.2">
      <c r="A59" s="5">
        <v>53</v>
      </c>
      <c r="B59" s="6" t="s">
        <v>228</v>
      </c>
      <c r="C59" s="6" t="s">
        <v>229</v>
      </c>
      <c r="D59" s="6" t="s">
        <v>62</v>
      </c>
      <c r="E59" s="7">
        <v>4496</v>
      </c>
      <c r="F59" s="8">
        <v>34.751832</v>
      </c>
      <c r="G59" s="9">
        <v>9.9809689999999993E-3</v>
      </c>
      <c r="H59" s="164"/>
    </row>
    <row r="60" spans="1:8" x14ac:dyDescent="0.2">
      <c r="A60" s="5">
        <v>54</v>
      </c>
      <c r="B60" s="6" t="s">
        <v>461</v>
      </c>
      <c r="C60" s="6" t="s">
        <v>462</v>
      </c>
      <c r="D60" s="6" t="s">
        <v>28</v>
      </c>
      <c r="E60" s="7">
        <v>5096</v>
      </c>
      <c r="F60" s="8">
        <v>34.293531999999999</v>
      </c>
      <c r="G60" s="9">
        <v>9.8493420000000005E-3</v>
      </c>
      <c r="H60" s="164"/>
    </row>
    <row r="61" spans="1:8" ht="25.5" x14ac:dyDescent="0.2">
      <c r="A61" s="5">
        <v>55</v>
      </c>
      <c r="B61" s="6" t="s">
        <v>258</v>
      </c>
      <c r="C61" s="6" t="s">
        <v>259</v>
      </c>
      <c r="D61" s="6" t="s">
        <v>931</v>
      </c>
      <c r="E61" s="7">
        <v>33148</v>
      </c>
      <c r="F61" s="8">
        <v>33.048555999999998</v>
      </c>
      <c r="G61" s="9">
        <v>9.4917760000000004E-3</v>
      </c>
      <c r="H61" s="164"/>
    </row>
    <row r="62" spans="1:8" x14ac:dyDescent="0.2">
      <c r="A62" s="5">
        <v>56</v>
      </c>
      <c r="B62" s="6" t="s">
        <v>260</v>
      </c>
      <c r="C62" s="6" t="s">
        <v>261</v>
      </c>
      <c r="D62" s="6" t="s">
        <v>930</v>
      </c>
      <c r="E62" s="7">
        <v>7853</v>
      </c>
      <c r="F62" s="8">
        <v>32.126623000000002</v>
      </c>
      <c r="G62" s="9">
        <v>9.2269899999999992E-3</v>
      </c>
      <c r="H62" s="164"/>
    </row>
    <row r="63" spans="1:8" x14ac:dyDescent="0.2">
      <c r="A63" s="5">
        <v>57</v>
      </c>
      <c r="B63" s="6" t="s">
        <v>267</v>
      </c>
      <c r="C63" s="6" t="s">
        <v>268</v>
      </c>
      <c r="D63" s="6" t="s">
        <v>195</v>
      </c>
      <c r="E63" s="7">
        <v>4265</v>
      </c>
      <c r="F63" s="8">
        <v>31.627107500000001</v>
      </c>
      <c r="G63" s="9">
        <v>9.0835259999999998E-3</v>
      </c>
      <c r="H63" s="164"/>
    </row>
    <row r="64" spans="1:8" x14ac:dyDescent="0.2">
      <c r="A64" s="5">
        <v>58</v>
      </c>
      <c r="B64" s="6" t="s">
        <v>264</v>
      </c>
      <c r="C64" s="6" t="s">
        <v>265</v>
      </c>
      <c r="D64" s="6" t="s">
        <v>266</v>
      </c>
      <c r="E64" s="7">
        <v>3852</v>
      </c>
      <c r="F64" s="8">
        <v>31.145346</v>
      </c>
      <c r="G64" s="9">
        <v>8.9451610000000001E-3</v>
      </c>
      <c r="H64" s="164"/>
    </row>
    <row r="65" spans="1:8" x14ac:dyDescent="0.2">
      <c r="A65" s="5">
        <v>59</v>
      </c>
      <c r="B65" s="6" t="s">
        <v>273</v>
      </c>
      <c r="C65" s="6" t="s">
        <v>274</v>
      </c>
      <c r="D65" s="6" t="s">
        <v>22</v>
      </c>
      <c r="E65" s="7">
        <v>27737</v>
      </c>
      <c r="F65" s="8">
        <v>29.123850000000001</v>
      </c>
      <c r="G65" s="9">
        <v>8.3645730000000001E-3</v>
      </c>
      <c r="H65" s="164"/>
    </row>
    <row r="66" spans="1:8" x14ac:dyDescent="0.2">
      <c r="A66" s="5">
        <v>60</v>
      </c>
      <c r="B66" s="6" t="s">
        <v>271</v>
      </c>
      <c r="C66" s="6" t="s">
        <v>272</v>
      </c>
      <c r="D66" s="6" t="s">
        <v>346</v>
      </c>
      <c r="E66" s="7">
        <v>3014</v>
      </c>
      <c r="F66" s="8">
        <v>29.059481000000002</v>
      </c>
      <c r="G66" s="9">
        <v>8.3460860000000008E-3</v>
      </c>
      <c r="H66" s="164"/>
    </row>
    <row r="67" spans="1:8" x14ac:dyDescent="0.2">
      <c r="A67" s="5">
        <v>61</v>
      </c>
      <c r="B67" s="6" t="s">
        <v>275</v>
      </c>
      <c r="C67" s="6" t="s">
        <v>276</v>
      </c>
      <c r="D67" s="6" t="s">
        <v>277</v>
      </c>
      <c r="E67" s="7">
        <v>10365</v>
      </c>
      <c r="F67" s="8">
        <v>26.8712625</v>
      </c>
      <c r="G67" s="9">
        <v>7.7176140000000002E-3</v>
      </c>
      <c r="H67" s="164"/>
    </row>
    <row r="68" spans="1:8" x14ac:dyDescent="0.2">
      <c r="A68" s="5">
        <v>62</v>
      </c>
      <c r="B68" s="6" t="s">
        <v>465</v>
      </c>
      <c r="C68" s="6" t="s">
        <v>466</v>
      </c>
      <c r="D68" s="6" t="s">
        <v>161</v>
      </c>
      <c r="E68" s="7">
        <v>3781</v>
      </c>
      <c r="F68" s="8">
        <v>25.139869000000001</v>
      </c>
      <c r="G68" s="9">
        <v>7.2203459999999999E-3</v>
      </c>
      <c r="H68" s="164"/>
    </row>
    <row r="69" spans="1:8" x14ac:dyDescent="0.2">
      <c r="A69" s="5">
        <v>63</v>
      </c>
      <c r="B69" s="6" t="s">
        <v>282</v>
      </c>
      <c r="C69" s="6" t="s">
        <v>283</v>
      </c>
      <c r="D69" s="6" t="s">
        <v>200</v>
      </c>
      <c r="E69" s="7">
        <v>411</v>
      </c>
      <c r="F69" s="8">
        <v>22.018913999999999</v>
      </c>
      <c r="G69" s="9">
        <v>6.3239860000000002E-3</v>
      </c>
      <c r="H69" s="164"/>
    </row>
    <row r="70" spans="1:8" x14ac:dyDescent="0.2">
      <c r="A70" s="5">
        <v>64</v>
      </c>
      <c r="B70" s="6" t="s">
        <v>286</v>
      </c>
      <c r="C70" s="6" t="s">
        <v>287</v>
      </c>
      <c r="D70" s="6" t="s">
        <v>927</v>
      </c>
      <c r="E70" s="7">
        <v>1276</v>
      </c>
      <c r="F70" s="8">
        <v>20.457470000000001</v>
      </c>
      <c r="G70" s="9">
        <v>5.8755279999999997E-3</v>
      </c>
      <c r="H70" s="164"/>
    </row>
    <row r="71" spans="1:8" x14ac:dyDescent="0.2">
      <c r="A71" s="5">
        <v>65</v>
      </c>
      <c r="B71" s="6" t="s">
        <v>46</v>
      </c>
      <c r="C71" s="6" t="s">
        <v>47</v>
      </c>
      <c r="D71" s="6" t="s">
        <v>28</v>
      </c>
      <c r="E71" s="7">
        <v>1047</v>
      </c>
      <c r="F71" s="8">
        <v>19.891953000000001</v>
      </c>
      <c r="G71" s="9">
        <v>5.7131079999999997E-3</v>
      </c>
      <c r="H71" s="164"/>
    </row>
    <row r="72" spans="1:8" x14ac:dyDescent="0.2">
      <c r="A72" s="5">
        <v>66</v>
      </c>
      <c r="B72" s="6" t="s">
        <v>35</v>
      </c>
      <c r="C72" s="6" t="s">
        <v>36</v>
      </c>
      <c r="D72" s="6" t="s">
        <v>37</v>
      </c>
      <c r="E72" s="7">
        <v>5816</v>
      </c>
      <c r="F72" s="8">
        <v>18.974699999999999</v>
      </c>
      <c r="G72" s="9">
        <v>5.4496659999999997E-3</v>
      </c>
      <c r="H72" s="164"/>
    </row>
    <row r="73" spans="1:8" x14ac:dyDescent="0.2">
      <c r="A73" s="5">
        <v>67</v>
      </c>
      <c r="B73" s="6" t="s">
        <v>301</v>
      </c>
      <c r="C73" s="6" t="s">
        <v>302</v>
      </c>
      <c r="D73" s="6" t="s">
        <v>930</v>
      </c>
      <c r="E73" s="7">
        <v>47427</v>
      </c>
      <c r="F73" s="8">
        <v>17.737698000000002</v>
      </c>
      <c r="G73" s="9">
        <v>5.0943910000000002E-3</v>
      </c>
      <c r="H73" s="164"/>
    </row>
    <row r="74" spans="1:8" x14ac:dyDescent="0.2">
      <c r="A74" s="5">
        <v>68</v>
      </c>
      <c r="B74" s="6" t="s">
        <v>290</v>
      </c>
      <c r="C74" s="6" t="s">
        <v>291</v>
      </c>
      <c r="D74" s="6" t="s">
        <v>179</v>
      </c>
      <c r="E74" s="7">
        <v>2826</v>
      </c>
      <c r="F74" s="8">
        <v>15.030080999999999</v>
      </c>
      <c r="G74" s="9">
        <v>4.316744E-3</v>
      </c>
      <c r="H74" s="164"/>
    </row>
    <row r="75" spans="1:8" x14ac:dyDescent="0.2">
      <c r="A75" s="5">
        <v>69</v>
      </c>
      <c r="B75" s="6" t="s">
        <v>288</v>
      </c>
      <c r="C75" s="6" t="s">
        <v>289</v>
      </c>
      <c r="D75" s="6" t="s">
        <v>158</v>
      </c>
      <c r="E75" s="7">
        <v>982</v>
      </c>
      <c r="F75" s="8">
        <v>13.581060000000001</v>
      </c>
      <c r="G75" s="9">
        <v>3.9005749999999999E-3</v>
      </c>
      <c r="H75" s="164"/>
    </row>
    <row r="76" spans="1:8" ht="25.5" x14ac:dyDescent="0.2">
      <c r="A76" s="5">
        <v>70</v>
      </c>
      <c r="B76" s="6" t="s">
        <v>262</v>
      </c>
      <c r="C76" s="6" t="s">
        <v>263</v>
      </c>
      <c r="D76" s="6" t="s">
        <v>158</v>
      </c>
      <c r="E76" s="7">
        <v>2887</v>
      </c>
      <c r="F76" s="8">
        <v>11.106289</v>
      </c>
      <c r="G76" s="9">
        <v>3.1898040000000001E-3</v>
      </c>
      <c r="H76" s="164"/>
    </row>
    <row r="77" spans="1:8" x14ac:dyDescent="0.2">
      <c r="A77" s="3" t="s">
        <v>9</v>
      </c>
      <c r="B77" s="3" t="s">
        <v>9</v>
      </c>
      <c r="C77" s="4" t="s">
        <v>110</v>
      </c>
      <c r="D77" s="3" t="s">
        <v>9</v>
      </c>
      <c r="E77" s="3" t="s">
        <v>9</v>
      </c>
      <c r="F77" s="11">
        <v>3333.38481</v>
      </c>
      <c r="G77" s="12">
        <v>0.95737137500000002</v>
      </c>
      <c r="H77" s="164"/>
    </row>
    <row r="78" spans="1:8" x14ac:dyDescent="0.2">
      <c r="A78" s="3" t="s">
        <v>9</v>
      </c>
      <c r="B78" s="3" t="s">
        <v>9</v>
      </c>
      <c r="C78" s="13" t="s">
        <v>9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x14ac:dyDescent="0.2">
      <c r="A79" s="3" t="s">
        <v>9</v>
      </c>
      <c r="B79" s="3" t="s">
        <v>9</v>
      </c>
      <c r="C79" s="4" t="s">
        <v>111</v>
      </c>
      <c r="D79" s="3" t="s">
        <v>9</v>
      </c>
      <c r="E79" s="3" t="s">
        <v>9</v>
      </c>
      <c r="F79" s="3" t="s">
        <v>9</v>
      </c>
      <c r="G79" s="3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110</v>
      </c>
      <c r="D80" s="3" t="s">
        <v>9</v>
      </c>
      <c r="E80" s="3" t="s">
        <v>9</v>
      </c>
      <c r="F80" s="15">
        <v>0</v>
      </c>
      <c r="G80" s="16">
        <v>0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112</v>
      </c>
      <c r="D82" s="3" t="s">
        <v>9</v>
      </c>
      <c r="E82" s="3" t="s">
        <v>9</v>
      </c>
      <c r="F82" s="3" t="s">
        <v>9</v>
      </c>
      <c r="G82" s="3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113</v>
      </c>
      <c r="D85" s="3" t="s">
        <v>9</v>
      </c>
      <c r="E85" s="3" t="s">
        <v>9</v>
      </c>
      <c r="F85" s="3" t="s">
        <v>9</v>
      </c>
      <c r="G85" s="3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110</v>
      </c>
      <c r="D86" s="3" t="s">
        <v>9</v>
      </c>
      <c r="E86" s="3" t="s">
        <v>9</v>
      </c>
      <c r="F86" s="15">
        <v>0</v>
      </c>
      <c r="G86" s="16">
        <v>0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114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110</v>
      </c>
      <c r="D89" s="3" t="s">
        <v>9</v>
      </c>
      <c r="E89" s="3" t="s">
        <v>9</v>
      </c>
      <c r="F89" s="15">
        <v>0</v>
      </c>
      <c r="G89" s="16">
        <v>0</v>
      </c>
      <c r="H89" s="164"/>
    </row>
    <row r="90" spans="1:8" x14ac:dyDescent="0.2">
      <c r="A90" s="3" t="s">
        <v>9</v>
      </c>
      <c r="B90" s="3" t="s">
        <v>9</v>
      </c>
      <c r="C90" s="13" t="s">
        <v>9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115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110</v>
      </c>
      <c r="D92" s="3" t="s">
        <v>9</v>
      </c>
      <c r="E92" s="3" t="s">
        <v>9</v>
      </c>
      <c r="F92" s="15">
        <v>0</v>
      </c>
      <c r="G92" s="16">
        <v>0</v>
      </c>
      <c r="H92" s="164"/>
    </row>
    <row r="93" spans="1:8" x14ac:dyDescent="0.2">
      <c r="A93" s="3" t="s">
        <v>9</v>
      </c>
      <c r="B93" s="3" t="s">
        <v>9</v>
      </c>
      <c r="C93" s="13" t="s">
        <v>9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116</v>
      </c>
      <c r="D94" s="3" t="s">
        <v>9</v>
      </c>
      <c r="E94" s="3" t="s">
        <v>9</v>
      </c>
      <c r="F94" s="11">
        <v>3333.38481</v>
      </c>
      <c r="G94" s="12">
        <v>0.95737137500000002</v>
      </c>
      <c r="H94" s="164"/>
    </row>
    <row r="95" spans="1:8" x14ac:dyDescent="0.2">
      <c r="A95" s="3" t="s">
        <v>9</v>
      </c>
      <c r="B95" s="3" t="s">
        <v>9</v>
      </c>
      <c r="C95" s="13" t="s">
        <v>9</v>
      </c>
      <c r="D95" s="3" t="s">
        <v>9</v>
      </c>
      <c r="E95" s="3" t="s">
        <v>9</v>
      </c>
      <c r="F95" s="14" t="s">
        <v>9</v>
      </c>
      <c r="G95" s="14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117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ht="25.5" x14ac:dyDescent="0.2">
      <c r="A97" s="3" t="s">
        <v>9</v>
      </c>
      <c r="B97" s="3" t="s">
        <v>9</v>
      </c>
      <c r="C97" s="4" t="s">
        <v>11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110</v>
      </c>
      <c r="D98" s="3" t="s">
        <v>9</v>
      </c>
      <c r="E98" s="3" t="s">
        <v>9</v>
      </c>
      <c r="F98" s="15">
        <v>0</v>
      </c>
      <c r="G98" s="16">
        <v>0</v>
      </c>
      <c r="H98" s="164"/>
    </row>
    <row r="99" spans="1:8" x14ac:dyDescent="0.2">
      <c r="A99" s="3" t="s">
        <v>9</v>
      </c>
      <c r="B99" s="3" t="s">
        <v>9</v>
      </c>
      <c r="C99" s="13" t="s">
        <v>9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118</v>
      </c>
      <c r="D100" s="3" t="s">
        <v>9</v>
      </c>
      <c r="E100" s="3" t="s">
        <v>9</v>
      </c>
      <c r="F100" s="3" t="s">
        <v>9</v>
      </c>
      <c r="G100" s="3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110</v>
      </c>
      <c r="D101" s="3" t="s">
        <v>9</v>
      </c>
      <c r="E101" s="3" t="s">
        <v>9</v>
      </c>
      <c r="F101" s="15">
        <v>0</v>
      </c>
      <c r="G101" s="16">
        <v>0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119</v>
      </c>
      <c r="D103" s="3" t="s">
        <v>9</v>
      </c>
      <c r="E103" s="3" t="s">
        <v>9</v>
      </c>
      <c r="F103" s="3" t="s">
        <v>9</v>
      </c>
      <c r="G103" s="3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110</v>
      </c>
      <c r="D104" s="3" t="s">
        <v>9</v>
      </c>
      <c r="E104" s="3" t="s">
        <v>9</v>
      </c>
      <c r="F104" s="15">
        <v>0</v>
      </c>
      <c r="G104" s="16">
        <v>0</v>
      </c>
      <c r="H104" s="164"/>
    </row>
    <row r="105" spans="1:8" x14ac:dyDescent="0.2">
      <c r="A105" s="3" t="s">
        <v>9</v>
      </c>
      <c r="B105" s="3" t="s">
        <v>9</v>
      </c>
      <c r="C105" s="13" t="s">
        <v>9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120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110</v>
      </c>
      <c r="D107" s="3" t="s">
        <v>9</v>
      </c>
      <c r="E107" s="3" t="s">
        <v>9</v>
      </c>
      <c r="F107" s="15">
        <v>0</v>
      </c>
      <c r="G107" s="16">
        <v>0</v>
      </c>
      <c r="H107" s="164"/>
    </row>
    <row r="108" spans="1:8" x14ac:dyDescent="0.2">
      <c r="A108" s="3" t="s">
        <v>9</v>
      </c>
      <c r="B108" s="3" t="s">
        <v>9</v>
      </c>
      <c r="C108" s="13" t="s">
        <v>9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121</v>
      </c>
      <c r="D109" s="3" t="s">
        <v>9</v>
      </c>
      <c r="E109" s="3" t="s">
        <v>9</v>
      </c>
      <c r="F109" s="11">
        <v>0</v>
      </c>
      <c r="G109" s="12">
        <v>0</v>
      </c>
      <c r="H109" s="164"/>
    </row>
    <row r="110" spans="1:8" x14ac:dyDescent="0.2">
      <c r="A110" s="3" t="s">
        <v>9</v>
      </c>
      <c r="B110" s="3" t="s">
        <v>9</v>
      </c>
      <c r="C110" s="13" t="s">
        <v>9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122</v>
      </c>
      <c r="D111" s="3" t="s">
        <v>9</v>
      </c>
      <c r="E111" s="3" t="s">
        <v>9</v>
      </c>
      <c r="F111" s="14" t="s">
        <v>9</v>
      </c>
      <c r="G111" s="14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123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110</v>
      </c>
      <c r="D113" s="3" t="s">
        <v>9</v>
      </c>
      <c r="E113" s="3" t="s">
        <v>9</v>
      </c>
      <c r="F113" s="15">
        <v>0</v>
      </c>
      <c r="G113" s="16">
        <v>0</v>
      </c>
      <c r="H113" s="164"/>
    </row>
    <row r="114" spans="1:8" x14ac:dyDescent="0.2">
      <c r="A114" s="3" t="s">
        <v>9</v>
      </c>
      <c r="B114" s="3" t="s">
        <v>9</v>
      </c>
      <c r="C114" s="13" t="s">
        <v>9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124</v>
      </c>
      <c r="D115" s="3" t="s">
        <v>9</v>
      </c>
      <c r="E115" s="3" t="s">
        <v>9</v>
      </c>
      <c r="F115" s="14" t="s">
        <v>9</v>
      </c>
      <c r="G115" s="14" t="s">
        <v>9</v>
      </c>
      <c r="H115" s="164"/>
    </row>
    <row r="116" spans="1:8" x14ac:dyDescent="0.2">
      <c r="A116" s="3" t="s">
        <v>9</v>
      </c>
      <c r="B116" s="3" t="s">
        <v>9</v>
      </c>
      <c r="C116" s="4" t="s">
        <v>110</v>
      </c>
      <c r="D116" s="3" t="s">
        <v>9</v>
      </c>
      <c r="E116" s="3" t="s">
        <v>9</v>
      </c>
      <c r="F116" s="15">
        <v>0</v>
      </c>
      <c r="G116" s="16">
        <v>0</v>
      </c>
      <c r="H116" s="164"/>
    </row>
    <row r="117" spans="1:8" x14ac:dyDescent="0.2">
      <c r="A117" s="3" t="s">
        <v>9</v>
      </c>
      <c r="B117" s="3" t="s">
        <v>9</v>
      </c>
      <c r="C117" s="13" t="s">
        <v>9</v>
      </c>
      <c r="D117" s="3" t="s">
        <v>9</v>
      </c>
      <c r="E117" s="3" t="s">
        <v>9</v>
      </c>
      <c r="F117" s="14" t="s">
        <v>9</v>
      </c>
      <c r="G117" s="14" t="s">
        <v>9</v>
      </c>
      <c r="H117" s="164"/>
    </row>
    <row r="118" spans="1:8" x14ac:dyDescent="0.2">
      <c r="A118" s="3" t="s">
        <v>9</v>
      </c>
      <c r="B118" s="3" t="s">
        <v>9</v>
      </c>
      <c r="C118" s="4" t="s">
        <v>125</v>
      </c>
      <c r="D118" s="3" t="s">
        <v>9</v>
      </c>
      <c r="E118" s="3" t="s">
        <v>9</v>
      </c>
      <c r="F118" s="14" t="s">
        <v>9</v>
      </c>
      <c r="G118" s="14" t="s">
        <v>9</v>
      </c>
      <c r="H118" s="164"/>
    </row>
    <row r="119" spans="1:8" x14ac:dyDescent="0.2">
      <c r="A119" s="3" t="s">
        <v>9</v>
      </c>
      <c r="B119" s="3" t="s">
        <v>9</v>
      </c>
      <c r="C119" s="4" t="s">
        <v>110</v>
      </c>
      <c r="D119" s="3" t="s">
        <v>9</v>
      </c>
      <c r="E119" s="3" t="s">
        <v>9</v>
      </c>
      <c r="F119" s="15">
        <v>0</v>
      </c>
      <c r="G119" s="16">
        <v>0</v>
      </c>
      <c r="H119" s="164"/>
    </row>
    <row r="120" spans="1:8" x14ac:dyDescent="0.2">
      <c r="A120" s="3" t="s">
        <v>9</v>
      </c>
      <c r="B120" s="3" t="s">
        <v>9</v>
      </c>
      <c r="C120" s="13" t="s">
        <v>9</v>
      </c>
      <c r="D120" s="3" t="s">
        <v>9</v>
      </c>
      <c r="E120" s="3" t="s">
        <v>9</v>
      </c>
      <c r="F120" s="14" t="s">
        <v>9</v>
      </c>
      <c r="G120" s="14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126</v>
      </c>
      <c r="D121" s="3" t="s">
        <v>9</v>
      </c>
      <c r="E121" s="3" t="s">
        <v>9</v>
      </c>
      <c r="F121" s="14" t="s">
        <v>9</v>
      </c>
      <c r="G121" s="14" t="s">
        <v>9</v>
      </c>
      <c r="H121" s="164"/>
    </row>
    <row r="122" spans="1:8" x14ac:dyDescent="0.2">
      <c r="A122" s="5">
        <v>1</v>
      </c>
      <c r="B122" s="6"/>
      <c r="C122" s="6" t="s">
        <v>127</v>
      </c>
      <c r="D122" s="6"/>
      <c r="E122" s="10" t="s">
        <v>9</v>
      </c>
      <c r="F122" s="8">
        <v>101.65100440000001</v>
      </c>
      <c r="G122" s="9">
        <v>2.9194878E-2</v>
      </c>
      <c r="H122" s="90">
        <v>3.22</v>
      </c>
    </row>
    <row r="123" spans="1:8" x14ac:dyDescent="0.2">
      <c r="A123" s="5">
        <v>2</v>
      </c>
      <c r="B123" s="6"/>
      <c r="C123" s="6" t="s">
        <v>128</v>
      </c>
      <c r="D123" s="6"/>
      <c r="E123" s="10" t="s">
        <v>9</v>
      </c>
      <c r="F123" s="8">
        <v>28.726081600000001</v>
      </c>
      <c r="G123" s="9">
        <v>8.2503309999999996E-3</v>
      </c>
      <c r="H123" s="90">
        <v>3.34</v>
      </c>
    </row>
    <row r="124" spans="1:8" x14ac:dyDescent="0.2">
      <c r="A124" s="3" t="s">
        <v>9</v>
      </c>
      <c r="B124" s="3" t="s">
        <v>9</v>
      </c>
      <c r="C124" s="4" t="s">
        <v>110</v>
      </c>
      <c r="D124" s="3" t="s">
        <v>9</v>
      </c>
      <c r="E124" s="3" t="s">
        <v>9</v>
      </c>
      <c r="F124" s="11">
        <v>130.37708599999999</v>
      </c>
      <c r="G124" s="12">
        <v>3.7445209E-2</v>
      </c>
      <c r="H124" s="164"/>
    </row>
    <row r="125" spans="1:8" x14ac:dyDescent="0.2">
      <c r="A125" s="3" t="s">
        <v>9</v>
      </c>
      <c r="B125" s="3" t="s">
        <v>9</v>
      </c>
      <c r="C125" s="13" t="s">
        <v>9</v>
      </c>
      <c r="D125" s="3" t="s">
        <v>9</v>
      </c>
      <c r="E125" s="3" t="s">
        <v>9</v>
      </c>
      <c r="F125" s="14" t="s">
        <v>9</v>
      </c>
      <c r="G125" s="14" t="s">
        <v>9</v>
      </c>
      <c r="H125" s="164"/>
    </row>
    <row r="126" spans="1:8" x14ac:dyDescent="0.2">
      <c r="A126" s="3" t="s">
        <v>9</v>
      </c>
      <c r="B126" s="3" t="s">
        <v>9</v>
      </c>
      <c r="C126" s="4" t="s">
        <v>129</v>
      </c>
      <c r="D126" s="3" t="s">
        <v>9</v>
      </c>
      <c r="E126" s="3" t="s">
        <v>9</v>
      </c>
      <c r="F126" s="11">
        <v>130.37708599999999</v>
      </c>
      <c r="G126" s="12">
        <v>3.7445209E-2</v>
      </c>
      <c r="H126" s="164"/>
    </row>
    <row r="127" spans="1:8" x14ac:dyDescent="0.2">
      <c r="A127" s="3" t="s">
        <v>9</v>
      </c>
      <c r="B127" s="3" t="s">
        <v>9</v>
      </c>
      <c r="C127" s="14" t="s">
        <v>9</v>
      </c>
      <c r="D127" s="3" t="s">
        <v>9</v>
      </c>
      <c r="E127" s="3" t="s">
        <v>9</v>
      </c>
      <c r="F127" s="3" t="s">
        <v>9</v>
      </c>
      <c r="G127" s="3" t="s">
        <v>9</v>
      </c>
      <c r="H127" s="164"/>
    </row>
    <row r="128" spans="1:8" x14ac:dyDescent="0.2">
      <c r="A128" s="3" t="s">
        <v>9</v>
      </c>
      <c r="B128" s="3" t="s">
        <v>9</v>
      </c>
      <c r="C128" s="4" t="s">
        <v>130</v>
      </c>
      <c r="D128" s="3" t="s">
        <v>9</v>
      </c>
      <c r="E128" s="3" t="s">
        <v>9</v>
      </c>
      <c r="F128" s="3" t="s">
        <v>9</v>
      </c>
      <c r="G128" s="3" t="s">
        <v>9</v>
      </c>
      <c r="H128" s="164"/>
    </row>
    <row r="129" spans="1:8" x14ac:dyDescent="0.2">
      <c r="A129" s="3" t="s">
        <v>9</v>
      </c>
      <c r="B129" s="3" t="s">
        <v>9</v>
      </c>
      <c r="C129" s="4" t="s">
        <v>131</v>
      </c>
      <c r="D129" s="3" t="s">
        <v>9</v>
      </c>
      <c r="E129" s="3" t="s">
        <v>9</v>
      </c>
      <c r="F129" s="3" t="s">
        <v>9</v>
      </c>
      <c r="G129" s="3" t="s">
        <v>9</v>
      </c>
      <c r="H129" s="164"/>
    </row>
    <row r="130" spans="1:8" x14ac:dyDescent="0.2">
      <c r="A130" s="3" t="s">
        <v>9</v>
      </c>
      <c r="B130" s="3" t="s">
        <v>9</v>
      </c>
      <c r="C130" s="4" t="s">
        <v>110</v>
      </c>
      <c r="D130" s="3" t="s">
        <v>9</v>
      </c>
      <c r="E130" s="3" t="s">
        <v>9</v>
      </c>
      <c r="F130" s="15">
        <v>0</v>
      </c>
      <c r="G130" s="16">
        <v>0</v>
      </c>
      <c r="H130" s="164"/>
    </row>
    <row r="131" spans="1:8" x14ac:dyDescent="0.2">
      <c r="A131" s="3" t="s">
        <v>9</v>
      </c>
      <c r="B131" s="3" t="s">
        <v>9</v>
      </c>
      <c r="C131" s="13" t="s">
        <v>9</v>
      </c>
      <c r="D131" s="3" t="s">
        <v>9</v>
      </c>
      <c r="E131" s="3" t="s">
        <v>9</v>
      </c>
      <c r="F131" s="14" t="s">
        <v>9</v>
      </c>
      <c r="G131" s="14" t="s">
        <v>9</v>
      </c>
      <c r="H131" s="164"/>
    </row>
    <row r="132" spans="1:8" x14ac:dyDescent="0.2">
      <c r="A132" s="3" t="s">
        <v>9</v>
      </c>
      <c r="B132" s="3" t="s">
        <v>9</v>
      </c>
      <c r="C132" s="4" t="s">
        <v>132</v>
      </c>
      <c r="D132" s="3" t="s">
        <v>9</v>
      </c>
      <c r="E132" s="3" t="s">
        <v>9</v>
      </c>
      <c r="F132" s="3" t="s">
        <v>9</v>
      </c>
      <c r="G132" s="3" t="s">
        <v>9</v>
      </c>
      <c r="H132" s="164"/>
    </row>
    <row r="133" spans="1:8" x14ac:dyDescent="0.2">
      <c r="A133" s="3" t="s">
        <v>9</v>
      </c>
      <c r="B133" s="3" t="s">
        <v>9</v>
      </c>
      <c r="C133" s="4" t="s">
        <v>133</v>
      </c>
      <c r="D133" s="3" t="s">
        <v>9</v>
      </c>
      <c r="E133" s="3" t="s">
        <v>9</v>
      </c>
      <c r="F133" s="3" t="s">
        <v>9</v>
      </c>
      <c r="G133" s="3" t="s">
        <v>9</v>
      </c>
      <c r="H133" s="164"/>
    </row>
    <row r="134" spans="1:8" x14ac:dyDescent="0.2">
      <c r="A134" s="3" t="s">
        <v>9</v>
      </c>
      <c r="B134" s="3" t="s">
        <v>9</v>
      </c>
      <c r="C134" s="4" t="s">
        <v>110</v>
      </c>
      <c r="D134" s="3" t="s">
        <v>9</v>
      </c>
      <c r="E134" s="3" t="s">
        <v>9</v>
      </c>
      <c r="F134" s="15">
        <v>0</v>
      </c>
      <c r="G134" s="16">
        <v>0</v>
      </c>
      <c r="H134" s="164"/>
    </row>
    <row r="135" spans="1:8" x14ac:dyDescent="0.2">
      <c r="A135" s="3" t="s">
        <v>9</v>
      </c>
      <c r="B135" s="3" t="s">
        <v>9</v>
      </c>
      <c r="C135" s="13" t="s">
        <v>9</v>
      </c>
      <c r="D135" s="3" t="s">
        <v>9</v>
      </c>
      <c r="E135" s="3" t="s">
        <v>9</v>
      </c>
      <c r="F135" s="14" t="s">
        <v>9</v>
      </c>
      <c r="G135" s="14" t="s">
        <v>9</v>
      </c>
      <c r="H135" s="164"/>
    </row>
    <row r="136" spans="1:8" x14ac:dyDescent="0.2">
      <c r="A136" s="3" t="s">
        <v>9</v>
      </c>
      <c r="B136" s="3" t="s">
        <v>9</v>
      </c>
      <c r="C136" s="13" t="s">
        <v>9</v>
      </c>
      <c r="D136" s="3" t="s">
        <v>9</v>
      </c>
      <c r="E136" s="3" t="s">
        <v>9</v>
      </c>
      <c r="F136" s="14" t="s">
        <v>9</v>
      </c>
      <c r="G136" s="14" t="s">
        <v>9</v>
      </c>
      <c r="H136" s="164"/>
    </row>
    <row r="137" spans="1:8" ht="25.5" x14ac:dyDescent="0.2">
      <c r="A137" s="3" t="s">
        <v>9</v>
      </c>
      <c r="B137" s="3" t="s">
        <v>9</v>
      </c>
      <c r="C137" s="4" t="s">
        <v>134</v>
      </c>
      <c r="D137" s="3" t="s">
        <v>9</v>
      </c>
      <c r="E137" s="3" t="s">
        <v>9</v>
      </c>
      <c r="F137" s="14" t="s">
        <v>9</v>
      </c>
      <c r="G137" s="14" t="s">
        <v>9</v>
      </c>
      <c r="H137" s="164"/>
    </row>
    <row r="138" spans="1:8" x14ac:dyDescent="0.2">
      <c r="A138" s="3" t="s">
        <v>9</v>
      </c>
      <c r="B138" s="3" t="s">
        <v>9</v>
      </c>
      <c r="C138" s="4" t="s">
        <v>110</v>
      </c>
      <c r="D138" s="3" t="s">
        <v>9</v>
      </c>
      <c r="E138" s="3" t="s">
        <v>9</v>
      </c>
      <c r="F138" s="15">
        <v>0</v>
      </c>
      <c r="G138" s="16">
        <v>0</v>
      </c>
      <c r="H138" s="164"/>
    </row>
    <row r="139" spans="1:8" x14ac:dyDescent="0.2">
      <c r="A139" s="3" t="s">
        <v>9</v>
      </c>
      <c r="B139" s="3" t="s">
        <v>9</v>
      </c>
      <c r="C139" s="13" t="s">
        <v>9</v>
      </c>
      <c r="D139" s="3" t="s">
        <v>9</v>
      </c>
      <c r="E139" s="3" t="s">
        <v>9</v>
      </c>
      <c r="F139" s="14" t="s">
        <v>9</v>
      </c>
      <c r="G139" s="14" t="s">
        <v>9</v>
      </c>
      <c r="H139" s="164"/>
    </row>
    <row r="140" spans="1:8" x14ac:dyDescent="0.2">
      <c r="A140" s="3" t="s">
        <v>9</v>
      </c>
      <c r="B140" s="6" t="s">
        <v>9</v>
      </c>
      <c r="C140" s="6" t="s">
        <v>9</v>
      </c>
      <c r="D140" s="4" t="s">
        <v>9</v>
      </c>
      <c r="E140" s="3" t="s">
        <v>9</v>
      </c>
      <c r="F140" s="6" t="s">
        <v>9</v>
      </c>
      <c r="G140" s="10" t="s">
        <v>9</v>
      </c>
      <c r="H140" s="164"/>
    </row>
    <row r="141" spans="1:8" x14ac:dyDescent="0.2">
      <c r="A141" s="10" t="s">
        <v>9</v>
      </c>
      <c r="B141" s="6" t="s">
        <v>9</v>
      </c>
      <c r="C141" s="6" t="s">
        <v>135</v>
      </c>
      <c r="D141" s="6" t="s">
        <v>9</v>
      </c>
      <c r="E141" s="10" t="s">
        <v>9</v>
      </c>
      <c r="F141" s="8">
        <v>18.047678090000002</v>
      </c>
      <c r="G141" s="9">
        <v>5.1834189999999999E-3</v>
      </c>
      <c r="H141" s="164"/>
    </row>
    <row r="142" spans="1:8" x14ac:dyDescent="0.2">
      <c r="A142" s="13" t="s">
        <v>9</v>
      </c>
      <c r="B142" s="13" t="s">
        <v>9</v>
      </c>
      <c r="C142" s="4" t="s">
        <v>136</v>
      </c>
      <c r="D142" s="17" t="s">
        <v>9</v>
      </c>
      <c r="E142" s="17" t="s">
        <v>9</v>
      </c>
      <c r="F142" s="11">
        <v>3481.8095740899998</v>
      </c>
      <c r="G142" s="12">
        <v>1.000000003</v>
      </c>
      <c r="H142" s="164"/>
    </row>
    <row r="143" spans="1:8" ht="14.1" customHeight="1" x14ac:dyDescent="0.2">
      <c r="A143" s="18" t="s">
        <v>9</v>
      </c>
      <c r="B143" s="18" t="s">
        <v>9</v>
      </c>
      <c r="C143" s="18" t="s">
        <v>9</v>
      </c>
      <c r="D143" s="19" t="s">
        <v>9</v>
      </c>
      <c r="E143" s="19" t="s">
        <v>9</v>
      </c>
      <c r="F143" s="19" t="s">
        <v>9</v>
      </c>
      <c r="G143" s="19" t="s">
        <v>9</v>
      </c>
    </row>
    <row r="144" spans="1:8" ht="14.1" customHeight="1" x14ac:dyDescent="0.2">
      <c r="A144" s="20" t="s">
        <v>9</v>
      </c>
      <c r="B144" s="228" t="s">
        <v>9</v>
      </c>
      <c r="C144" s="228"/>
      <c r="D144" s="228"/>
      <c r="E144" s="228"/>
      <c r="F144" s="228"/>
      <c r="G144" s="22" t="s">
        <v>9</v>
      </c>
    </row>
    <row r="145" spans="1:7" ht="14.1" customHeight="1" x14ac:dyDescent="0.2">
      <c r="A145" s="20" t="s">
        <v>9</v>
      </c>
      <c r="B145" s="228" t="s">
        <v>9</v>
      </c>
      <c r="C145" s="228"/>
      <c r="D145" s="228"/>
      <c r="E145" s="228"/>
      <c r="F145" s="228"/>
      <c r="G145" s="22" t="s">
        <v>9</v>
      </c>
    </row>
    <row r="146" spans="1:7" ht="14.1" customHeight="1" x14ac:dyDescent="0.2">
      <c r="A146" s="20" t="s">
        <v>9</v>
      </c>
      <c r="B146" s="20" t="s">
        <v>9</v>
      </c>
      <c r="C146" s="20" t="s">
        <v>9</v>
      </c>
      <c r="D146" s="22" t="s">
        <v>9</v>
      </c>
      <c r="E146" s="22" t="s">
        <v>9</v>
      </c>
      <c r="F146" s="22" t="s">
        <v>9</v>
      </c>
      <c r="G146" s="22" t="s">
        <v>9</v>
      </c>
    </row>
    <row r="147" spans="1:7" ht="14.1" customHeight="1" x14ac:dyDescent="0.2">
      <c r="A147" s="20" t="s">
        <v>9</v>
      </c>
      <c r="B147" s="226" t="s">
        <v>138</v>
      </c>
      <c r="C147" s="227"/>
      <c r="D147" s="14" t="s">
        <v>9</v>
      </c>
      <c r="E147" s="23" t="s">
        <v>9</v>
      </c>
      <c r="F147" s="22" t="s">
        <v>9</v>
      </c>
      <c r="G147" s="22" t="s">
        <v>9</v>
      </c>
    </row>
    <row r="148" spans="1:7" ht="29.1" customHeight="1" x14ac:dyDescent="0.2">
      <c r="A148" s="20" t="s">
        <v>9</v>
      </c>
      <c r="B148" s="233" t="s">
        <v>139</v>
      </c>
      <c r="C148" s="234"/>
      <c r="D148" s="4" t="s">
        <v>140</v>
      </c>
      <c r="E148" s="23" t="s">
        <v>9</v>
      </c>
      <c r="F148" s="22" t="s">
        <v>9</v>
      </c>
      <c r="G148" s="22" t="s">
        <v>9</v>
      </c>
    </row>
    <row r="149" spans="1:7" ht="17.100000000000001" customHeight="1" x14ac:dyDescent="0.2">
      <c r="A149" s="20" t="s">
        <v>9</v>
      </c>
      <c r="B149" s="233" t="s">
        <v>141</v>
      </c>
      <c r="C149" s="234"/>
      <c r="D149" s="4" t="s">
        <v>140</v>
      </c>
      <c r="E149" s="23" t="s">
        <v>9</v>
      </c>
      <c r="F149" s="22" t="s">
        <v>9</v>
      </c>
      <c r="G149" s="22" t="s">
        <v>9</v>
      </c>
    </row>
    <row r="150" spans="1:7" ht="17.100000000000001" customHeight="1" x14ac:dyDescent="0.2">
      <c r="A150" s="20" t="s">
        <v>9</v>
      </c>
      <c r="B150" s="233" t="s">
        <v>142</v>
      </c>
      <c r="C150" s="234"/>
      <c r="D150" s="14" t="s">
        <v>9</v>
      </c>
      <c r="E150" s="23" t="s">
        <v>9</v>
      </c>
      <c r="F150" s="22" t="s">
        <v>9</v>
      </c>
      <c r="G150" s="22" t="s">
        <v>9</v>
      </c>
    </row>
    <row r="151" spans="1:7" ht="24" customHeight="1" x14ac:dyDescent="0.2">
      <c r="A151" s="24" t="s">
        <v>9</v>
      </c>
      <c r="B151" s="25" t="s">
        <v>9</v>
      </c>
      <c r="C151" s="25" t="s">
        <v>143</v>
      </c>
      <c r="D151" s="25" t="s">
        <v>144</v>
      </c>
      <c r="E151" s="24" t="s">
        <v>9</v>
      </c>
      <c r="F151" s="24" t="s">
        <v>9</v>
      </c>
      <c r="G151" s="24" t="s">
        <v>9</v>
      </c>
    </row>
    <row r="152" spans="1:7" ht="18" customHeight="1" x14ac:dyDescent="0.2">
      <c r="A152" s="24" t="s">
        <v>9</v>
      </c>
      <c r="B152" s="25" t="s">
        <v>145</v>
      </c>
      <c r="C152" s="25" t="s">
        <v>146</v>
      </c>
      <c r="D152" s="25" t="s">
        <v>147</v>
      </c>
      <c r="E152" s="24" t="s">
        <v>9</v>
      </c>
      <c r="F152" s="24" t="s">
        <v>9</v>
      </c>
      <c r="G152" s="24" t="s">
        <v>9</v>
      </c>
    </row>
    <row r="153" spans="1:7" ht="17.100000000000001" customHeight="1" x14ac:dyDescent="0.2">
      <c r="A153" s="24" t="s">
        <v>9</v>
      </c>
      <c r="B153" s="6" t="s">
        <v>148</v>
      </c>
      <c r="C153" s="26">
        <v>17.598099999999999</v>
      </c>
      <c r="D153" s="26">
        <v>19.011900000000001</v>
      </c>
      <c r="E153" s="24" t="s">
        <v>9</v>
      </c>
      <c r="F153" s="21" t="s">
        <v>9</v>
      </c>
      <c r="G153" s="27" t="s">
        <v>9</v>
      </c>
    </row>
    <row r="154" spans="1:7" ht="17.100000000000001" customHeight="1" x14ac:dyDescent="0.2">
      <c r="A154" s="24" t="s">
        <v>9</v>
      </c>
      <c r="B154" s="6" t="s">
        <v>839</v>
      </c>
      <c r="C154" s="26">
        <v>16.497599999999998</v>
      </c>
      <c r="D154" s="26">
        <v>17.823</v>
      </c>
      <c r="E154" s="24" t="s">
        <v>9</v>
      </c>
      <c r="F154" s="21" t="s">
        <v>9</v>
      </c>
      <c r="G154" s="27" t="s">
        <v>9</v>
      </c>
    </row>
    <row r="155" spans="1:7" ht="17.100000000000001" customHeight="1" x14ac:dyDescent="0.2">
      <c r="A155" s="24" t="s">
        <v>9</v>
      </c>
      <c r="B155" s="6" t="s">
        <v>149</v>
      </c>
      <c r="C155" s="26">
        <v>17.327999999999999</v>
      </c>
      <c r="D155" s="26">
        <v>18.711300000000001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6" t="s">
        <v>840</v>
      </c>
      <c r="C156" s="26">
        <v>16.228200000000001</v>
      </c>
      <c r="D156" s="26">
        <v>17.523700000000002</v>
      </c>
      <c r="E156" s="24" t="s">
        <v>9</v>
      </c>
      <c r="F156" s="21" t="s">
        <v>9</v>
      </c>
      <c r="G156" s="27" t="s">
        <v>9</v>
      </c>
    </row>
    <row r="157" spans="1:7" ht="14.1" customHeight="1" x14ac:dyDescent="0.2">
      <c r="A157" s="24" t="s">
        <v>9</v>
      </c>
      <c r="B157" s="24" t="s">
        <v>9</v>
      </c>
      <c r="C157" s="24" t="s">
        <v>9</v>
      </c>
      <c r="D157" s="24" t="s">
        <v>9</v>
      </c>
      <c r="E157" s="24" t="s">
        <v>9</v>
      </c>
      <c r="F157" s="24" t="s">
        <v>9</v>
      </c>
      <c r="G157" s="24" t="s">
        <v>9</v>
      </c>
    </row>
    <row r="158" spans="1:7" ht="17.100000000000001" customHeight="1" x14ac:dyDescent="0.2">
      <c r="A158" s="24" t="s">
        <v>9</v>
      </c>
      <c r="B158" s="233" t="s">
        <v>1003</v>
      </c>
      <c r="C158" s="234"/>
      <c r="D158" s="4" t="s">
        <v>140</v>
      </c>
      <c r="E158" s="24" t="s">
        <v>9</v>
      </c>
      <c r="F158" s="24" t="s">
        <v>9</v>
      </c>
      <c r="G158" s="24" t="s">
        <v>9</v>
      </c>
    </row>
    <row r="159" spans="1:7" ht="18" customHeight="1" x14ac:dyDescent="0.2">
      <c r="A159" s="24" t="s">
        <v>9</v>
      </c>
      <c r="B159" s="28" t="s">
        <v>150</v>
      </c>
      <c r="C159" s="28" t="s">
        <v>150</v>
      </c>
      <c r="D159" s="28" t="s">
        <v>9</v>
      </c>
      <c r="E159" s="24" t="s">
        <v>9</v>
      </c>
      <c r="F159" s="24" t="s">
        <v>9</v>
      </c>
      <c r="G159" s="24" t="s">
        <v>9</v>
      </c>
    </row>
    <row r="160" spans="1:7" s="169" customFormat="1" x14ac:dyDescent="0.2">
      <c r="B160" s="235" t="s">
        <v>841</v>
      </c>
      <c r="C160" s="235"/>
      <c r="D160" s="235"/>
      <c r="E160" s="235"/>
      <c r="F160" s="235"/>
    </row>
    <row r="161" spans="1:7" ht="14.1" customHeight="1" x14ac:dyDescent="0.2">
      <c r="A161" s="24" t="s">
        <v>9</v>
      </c>
      <c r="B161" s="21" t="s">
        <v>9</v>
      </c>
      <c r="C161" s="21" t="s">
        <v>9</v>
      </c>
      <c r="D161" s="24" t="s">
        <v>9</v>
      </c>
      <c r="E161" s="24" t="s">
        <v>9</v>
      </c>
      <c r="F161" s="24" t="s">
        <v>9</v>
      </c>
      <c r="G161" s="24" t="s">
        <v>9</v>
      </c>
    </row>
    <row r="162" spans="1:7" ht="29.1" customHeight="1" x14ac:dyDescent="0.2">
      <c r="A162" s="24" t="s">
        <v>9</v>
      </c>
      <c r="B162" s="233" t="s">
        <v>151</v>
      </c>
      <c r="C162" s="234"/>
      <c r="D162" s="4" t="s">
        <v>140</v>
      </c>
      <c r="E162" s="24" t="s">
        <v>9</v>
      </c>
      <c r="F162" s="24" t="s">
        <v>9</v>
      </c>
      <c r="G162" s="24" t="s">
        <v>9</v>
      </c>
    </row>
    <row r="163" spans="1:7" ht="29.1" customHeight="1" x14ac:dyDescent="0.2">
      <c r="A163" s="24" t="s">
        <v>9</v>
      </c>
      <c r="B163" s="233" t="s">
        <v>152</v>
      </c>
      <c r="C163" s="234"/>
      <c r="D163" s="4" t="s">
        <v>140</v>
      </c>
      <c r="E163" s="24" t="s">
        <v>9</v>
      </c>
      <c r="F163" s="24" t="s">
        <v>9</v>
      </c>
      <c r="G163" s="24" t="s">
        <v>9</v>
      </c>
    </row>
    <row r="164" spans="1:7" ht="17.100000000000001" customHeight="1" x14ac:dyDescent="0.2">
      <c r="A164" s="24" t="s">
        <v>9</v>
      </c>
      <c r="B164" s="233" t="s">
        <v>153</v>
      </c>
      <c r="C164" s="234"/>
      <c r="D164" s="29">
        <v>0.47189684973886342</v>
      </c>
      <c r="E164" s="24" t="s">
        <v>9</v>
      </c>
      <c r="F164" s="21" t="s">
        <v>9</v>
      </c>
      <c r="G164" s="27" t="s">
        <v>9</v>
      </c>
    </row>
    <row r="165" spans="1:7" ht="17.100000000000001" customHeight="1" x14ac:dyDescent="0.2">
      <c r="A165" s="24" t="s">
        <v>9</v>
      </c>
      <c r="B165" s="233" t="s">
        <v>154</v>
      </c>
      <c r="C165" s="234"/>
      <c r="D165" s="4" t="s">
        <v>140</v>
      </c>
      <c r="E165" s="24" t="s">
        <v>9</v>
      </c>
      <c r="F165" s="24" t="s">
        <v>9</v>
      </c>
      <c r="G165" s="24" t="s">
        <v>9</v>
      </c>
    </row>
  </sheetData>
  <mergeCells count="15">
    <mergeCell ref="B164:C164"/>
    <mergeCell ref="B165:C165"/>
    <mergeCell ref="B148:C148"/>
    <mergeCell ref="B149:C149"/>
    <mergeCell ref="B150:C150"/>
    <mergeCell ref="B158:C158"/>
    <mergeCell ref="B162:C162"/>
    <mergeCell ref="B163:C163"/>
    <mergeCell ref="B160:F160"/>
    <mergeCell ref="B147:C147"/>
    <mergeCell ref="B144:F144"/>
    <mergeCell ref="B145:F14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159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476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41</v>
      </c>
      <c r="C7" s="6" t="s">
        <v>42</v>
      </c>
      <c r="D7" s="6" t="s">
        <v>28</v>
      </c>
      <c r="E7" s="7">
        <v>37713</v>
      </c>
      <c r="F7" s="8">
        <v>437.13138300000003</v>
      </c>
      <c r="G7" s="9">
        <v>3.6266356999999999E-2</v>
      </c>
      <c r="H7" s="164"/>
    </row>
    <row r="8" spans="1:8" x14ac:dyDescent="0.2">
      <c r="A8" s="5">
        <v>2</v>
      </c>
      <c r="B8" s="6" t="s">
        <v>26</v>
      </c>
      <c r="C8" s="6" t="s">
        <v>27</v>
      </c>
      <c r="D8" s="6" t="s">
        <v>28</v>
      </c>
      <c r="E8" s="7">
        <v>33342</v>
      </c>
      <c r="F8" s="8">
        <v>417.47518200000002</v>
      </c>
      <c r="G8" s="9">
        <v>3.4635591E-2</v>
      </c>
      <c r="H8" s="164"/>
    </row>
    <row r="9" spans="1:8" x14ac:dyDescent="0.2">
      <c r="A9" s="5">
        <v>3</v>
      </c>
      <c r="B9" s="6" t="s">
        <v>471</v>
      </c>
      <c r="C9" s="6" t="s">
        <v>472</v>
      </c>
      <c r="D9" s="6" t="s">
        <v>200</v>
      </c>
      <c r="E9" s="7">
        <v>73721</v>
      </c>
      <c r="F9" s="8">
        <v>394.48107099999999</v>
      </c>
      <c r="G9" s="9">
        <v>3.2727897999999998E-2</v>
      </c>
      <c r="H9" s="164"/>
    </row>
    <row r="10" spans="1:8" x14ac:dyDescent="0.2">
      <c r="A10" s="5">
        <v>4</v>
      </c>
      <c r="B10" s="6" t="s">
        <v>156</v>
      </c>
      <c r="C10" s="6" t="s">
        <v>157</v>
      </c>
      <c r="D10" s="6" t="s">
        <v>158</v>
      </c>
      <c r="E10" s="7">
        <v>10412</v>
      </c>
      <c r="F10" s="8">
        <v>380.79286999999999</v>
      </c>
      <c r="G10" s="9">
        <v>3.1592264000000002E-2</v>
      </c>
      <c r="H10" s="164"/>
    </row>
    <row r="11" spans="1:8" x14ac:dyDescent="0.2">
      <c r="A11" s="5">
        <v>5</v>
      </c>
      <c r="B11" s="6" t="s">
        <v>159</v>
      </c>
      <c r="C11" s="6" t="s">
        <v>160</v>
      </c>
      <c r="D11" s="6" t="s">
        <v>161</v>
      </c>
      <c r="E11" s="7">
        <v>281351</v>
      </c>
      <c r="F11" s="8">
        <v>362.52076349999999</v>
      </c>
      <c r="G11" s="9">
        <v>3.0076328999999999E-2</v>
      </c>
      <c r="H11" s="164"/>
    </row>
    <row r="12" spans="1:8" ht="25.5" x14ac:dyDescent="0.2">
      <c r="A12" s="5">
        <v>6</v>
      </c>
      <c r="B12" s="6" t="s">
        <v>453</v>
      </c>
      <c r="C12" s="6" t="s">
        <v>454</v>
      </c>
      <c r="D12" s="6" t="s">
        <v>40</v>
      </c>
      <c r="E12" s="7">
        <v>25868</v>
      </c>
      <c r="F12" s="8">
        <v>324.96674999999999</v>
      </c>
      <c r="G12" s="9">
        <v>2.6960682E-2</v>
      </c>
      <c r="H12" s="164"/>
    </row>
    <row r="13" spans="1:8" x14ac:dyDescent="0.2">
      <c r="A13" s="5">
        <v>7</v>
      </c>
      <c r="B13" s="6" t="s">
        <v>187</v>
      </c>
      <c r="C13" s="6" t="s">
        <v>188</v>
      </c>
      <c r="D13" s="6" t="s">
        <v>182</v>
      </c>
      <c r="E13" s="7">
        <v>127326</v>
      </c>
      <c r="F13" s="8">
        <v>318.56965200000002</v>
      </c>
      <c r="G13" s="9">
        <v>2.6429950000000001E-2</v>
      </c>
      <c r="H13" s="164"/>
    </row>
    <row r="14" spans="1:8" x14ac:dyDescent="0.2">
      <c r="A14" s="5">
        <v>8</v>
      </c>
      <c r="B14" s="6" t="s">
        <v>477</v>
      </c>
      <c r="C14" s="6" t="s">
        <v>478</v>
      </c>
      <c r="D14" s="6" t="s">
        <v>195</v>
      </c>
      <c r="E14" s="7">
        <v>90972</v>
      </c>
      <c r="F14" s="8">
        <v>297.38746800000001</v>
      </c>
      <c r="G14" s="9">
        <v>2.4672581999999998E-2</v>
      </c>
      <c r="H14" s="164"/>
    </row>
    <row r="15" spans="1:8" ht="25.5" x14ac:dyDescent="0.2">
      <c r="A15" s="5">
        <v>9</v>
      </c>
      <c r="B15" s="6" t="s">
        <v>191</v>
      </c>
      <c r="C15" s="6" t="s">
        <v>192</v>
      </c>
      <c r="D15" s="6" t="s">
        <v>925</v>
      </c>
      <c r="E15" s="7">
        <v>112163</v>
      </c>
      <c r="F15" s="8">
        <v>296.83937950000001</v>
      </c>
      <c r="G15" s="9">
        <v>2.4627111E-2</v>
      </c>
      <c r="H15" s="164"/>
    </row>
    <row r="16" spans="1:8" x14ac:dyDescent="0.2">
      <c r="A16" s="5">
        <v>10</v>
      </c>
      <c r="B16" s="6" t="s">
        <v>220</v>
      </c>
      <c r="C16" s="6" t="s">
        <v>221</v>
      </c>
      <c r="D16" s="6" t="s">
        <v>28</v>
      </c>
      <c r="E16" s="7">
        <v>18691</v>
      </c>
      <c r="F16" s="8">
        <v>292.75713300000001</v>
      </c>
      <c r="G16" s="9">
        <v>2.4288429E-2</v>
      </c>
      <c r="H16" s="164"/>
    </row>
    <row r="17" spans="1:8" x14ac:dyDescent="0.2">
      <c r="A17" s="5">
        <v>11</v>
      </c>
      <c r="B17" s="6" t="s">
        <v>451</v>
      </c>
      <c r="C17" s="6" t="s">
        <v>452</v>
      </c>
      <c r="D17" s="6" t="s">
        <v>62</v>
      </c>
      <c r="E17" s="7">
        <v>90401</v>
      </c>
      <c r="F17" s="8">
        <v>290.91041799999999</v>
      </c>
      <c r="G17" s="9">
        <v>2.4135218E-2</v>
      </c>
      <c r="H17" s="164"/>
    </row>
    <row r="18" spans="1:8" x14ac:dyDescent="0.2">
      <c r="A18" s="5">
        <v>12</v>
      </c>
      <c r="B18" s="6" t="s">
        <v>256</v>
      </c>
      <c r="C18" s="6" t="s">
        <v>257</v>
      </c>
      <c r="D18" s="6" t="s">
        <v>930</v>
      </c>
      <c r="E18" s="7">
        <v>51380</v>
      </c>
      <c r="F18" s="8">
        <v>287.85645</v>
      </c>
      <c r="G18" s="9">
        <v>2.3881847000000001E-2</v>
      </c>
      <c r="H18" s="164"/>
    </row>
    <row r="19" spans="1:8" x14ac:dyDescent="0.2">
      <c r="A19" s="5">
        <v>13</v>
      </c>
      <c r="B19" s="6" t="s">
        <v>293</v>
      </c>
      <c r="C19" s="6" t="s">
        <v>294</v>
      </c>
      <c r="D19" s="6" t="s">
        <v>28</v>
      </c>
      <c r="E19" s="7">
        <v>20093</v>
      </c>
      <c r="F19" s="8">
        <v>264.92620499999998</v>
      </c>
      <c r="G19" s="9">
        <v>2.1979452E-2</v>
      </c>
      <c r="H19" s="164"/>
    </row>
    <row r="20" spans="1:8" x14ac:dyDescent="0.2">
      <c r="A20" s="5">
        <v>14</v>
      </c>
      <c r="B20" s="6" t="s">
        <v>164</v>
      </c>
      <c r="C20" s="6" t="s">
        <v>165</v>
      </c>
      <c r="D20" s="6" t="s">
        <v>28</v>
      </c>
      <c r="E20" s="7">
        <v>30000</v>
      </c>
      <c r="F20" s="8">
        <v>229.36500000000001</v>
      </c>
      <c r="G20" s="9">
        <v>1.9029137000000002E-2</v>
      </c>
      <c r="H20" s="164"/>
    </row>
    <row r="21" spans="1:8" x14ac:dyDescent="0.2">
      <c r="A21" s="5">
        <v>15</v>
      </c>
      <c r="B21" s="6" t="s">
        <v>457</v>
      </c>
      <c r="C21" s="6" t="s">
        <v>458</v>
      </c>
      <c r="D21" s="6" t="s">
        <v>50</v>
      </c>
      <c r="E21" s="7">
        <v>53500</v>
      </c>
      <c r="F21" s="8">
        <v>225.58275</v>
      </c>
      <c r="G21" s="9">
        <v>1.8715345000000001E-2</v>
      </c>
      <c r="H21" s="164"/>
    </row>
    <row r="22" spans="1:8" x14ac:dyDescent="0.2">
      <c r="A22" s="5">
        <v>16</v>
      </c>
      <c r="B22" s="6" t="s">
        <v>180</v>
      </c>
      <c r="C22" s="6" t="s">
        <v>181</v>
      </c>
      <c r="D22" s="6" t="s">
        <v>182</v>
      </c>
      <c r="E22" s="7">
        <v>16944</v>
      </c>
      <c r="F22" s="8">
        <v>221.703768</v>
      </c>
      <c r="G22" s="9">
        <v>1.8393527E-2</v>
      </c>
      <c r="H22" s="164"/>
    </row>
    <row r="23" spans="1:8" ht="25.5" x14ac:dyDescent="0.2">
      <c r="A23" s="5">
        <v>17</v>
      </c>
      <c r="B23" s="6" t="s">
        <v>226</v>
      </c>
      <c r="C23" s="6" t="s">
        <v>227</v>
      </c>
      <c r="D23" s="6" t="s">
        <v>62</v>
      </c>
      <c r="E23" s="7">
        <v>9500</v>
      </c>
      <c r="F23" s="8">
        <v>217.76849999999999</v>
      </c>
      <c r="G23" s="9">
        <v>1.8067039999999999E-2</v>
      </c>
      <c r="H23" s="164"/>
    </row>
    <row r="24" spans="1:8" x14ac:dyDescent="0.2">
      <c r="A24" s="5">
        <v>18</v>
      </c>
      <c r="B24" s="6" t="s">
        <v>212</v>
      </c>
      <c r="C24" s="6" t="s">
        <v>213</v>
      </c>
      <c r="D24" s="6" t="s">
        <v>929</v>
      </c>
      <c r="E24" s="7">
        <v>24745</v>
      </c>
      <c r="F24" s="8">
        <v>215.12065749999999</v>
      </c>
      <c r="G24" s="9">
        <v>1.7847363000000002E-2</v>
      </c>
      <c r="H24" s="164"/>
    </row>
    <row r="25" spans="1:8" x14ac:dyDescent="0.2">
      <c r="A25" s="5">
        <v>19</v>
      </c>
      <c r="B25" s="6" t="s">
        <v>479</v>
      </c>
      <c r="C25" s="6" t="s">
        <v>480</v>
      </c>
      <c r="D25" s="6" t="s">
        <v>200</v>
      </c>
      <c r="E25" s="7">
        <v>3589</v>
      </c>
      <c r="F25" s="8">
        <v>210.81965450000001</v>
      </c>
      <c r="G25" s="9">
        <v>1.7490532999999999E-2</v>
      </c>
      <c r="H25" s="164"/>
    </row>
    <row r="26" spans="1:8" x14ac:dyDescent="0.2">
      <c r="A26" s="5">
        <v>20</v>
      </c>
      <c r="B26" s="6" t="s">
        <v>481</v>
      </c>
      <c r="C26" s="6" t="s">
        <v>482</v>
      </c>
      <c r="D26" s="6" t="s">
        <v>200</v>
      </c>
      <c r="E26" s="7">
        <v>2436</v>
      </c>
      <c r="F26" s="8">
        <v>203.554596</v>
      </c>
      <c r="G26" s="9">
        <v>1.6887790999999999E-2</v>
      </c>
      <c r="H26" s="164"/>
    </row>
    <row r="27" spans="1:8" x14ac:dyDescent="0.2">
      <c r="A27" s="5">
        <v>21</v>
      </c>
      <c r="B27" s="6" t="s">
        <v>203</v>
      </c>
      <c r="C27" s="6" t="s">
        <v>204</v>
      </c>
      <c r="D27" s="6" t="s">
        <v>179</v>
      </c>
      <c r="E27" s="7">
        <v>19362</v>
      </c>
      <c r="F27" s="8">
        <v>191.04485399999999</v>
      </c>
      <c r="G27" s="9">
        <v>1.5849927999999999E-2</v>
      </c>
      <c r="H27" s="164"/>
    </row>
    <row r="28" spans="1:8" x14ac:dyDescent="0.2">
      <c r="A28" s="5">
        <v>22</v>
      </c>
      <c r="B28" s="6" t="s">
        <v>196</v>
      </c>
      <c r="C28" s="6" t="s">
        <v>197</v>
      </c>
      <c r="D28" s="6" t="s">
        <v>928</v>
      </c>
      <c r="E28" s="7">
        <v>57720</v>
      </c>
      <c r="F28" s="8">
        <v>187.90745999999999</v>
      </c>
      <c r="G28" s="9">
        <v>1.5589636E-2</v>
      </c>
      <c r="H28" s="164"/>
    </row>
    <row r="29" spans="1:8" x14ac:dyDescent="0.2">
      <c r="A29" s="5">
        <v>23</v>
      </c>
      <c r="B29" s="6" t="s">
        <v>210</v>
      </c>
      <c r="C29" s="6" t="s">
        <v>211</v>
      </c>
      <c r="D29" s="6" t="s">
        <v>195</v>
      </c>
      <c r="E29" s="7">
        <v>16680</v>
      </c>
      <c r="F29" s="8">
        <v>186.71592000000001</v>
      </c>
      <c r="G29" s="9">
        <v>1.5490779999999999E-2</v>
      </c>
      <c r="H29" s="164"/>
    </row>
    <row r="30" spans="1:8" x14ac:dyDescent="0.2">
      <c r="A30" s="5">
        <v>24</v>
      </c>
      <c r="B30" s="6" t="s">
        <v>373</v>
      </c>
      <c r="C30" s="6" t="s">
        <v>374</v>
      </c>
      <c r="D30" s="6" t="s">
        <v>62</v>
      </c>
      <c r="E30" s="7">
        <v>8109</v>
      </c>
      <c r="F30" s="8">
        <v>178.6372155</v>
      </c>
      <c r="G30" s="9">
        <v>1.4820534999999999E-2</v>
      </c>
      <c r="H30" s="164"/>
    </row>
    <row r="31" spans="1:8" x14ac:dyDescent="0.2">
      <c r="A31" s="5">
        <v>25</v>
      </c>
      <c r="B31" s="6" t="s">
        <v>216</v>
      </c>
      <c r="C31" s="6" t="s">
        <v>217</v>
      </c>
      <c r="D31" s="6" t="s">
        <v>200</v>
      </c>
      <c r="E31" s="7">
        <v>27841</v>
      </c>
      <c r="F31" s="8">
        <v>178.60001500000001</v>
      </c>
      <c r="G31" s="9">
        <v>1.4817449E-2</v>
      </c>
      <c r="H31" s="164"/>
    </row>
    <row r="32" spans="1:8" x14ac:dyDescent="0.2">
      <c r="A32" s="5">
        <v>26</v>
      </c>
      <c r="B32" s="6" t="s">
        <v>170</v>
      </c>
      <c r="C32" s="6" t="s">
        <v>171</v>
      </c>
      <c r="D32" s="6" t="s">
        <v>172</v>
      </c>
      <c r="E32" s="7">
        <v>14087</v>
      </c>
      <c r="F32" s="8">
        <v>175.54515050000001</v>
      </c>
      <c r="G32" s="9">
        <v>1.4564004E-2</v>
      </c>
      <c r="H32" s="164"/>
    </row>
    <row r="33" spans="1:8" x14ac:dyDescent="0.2">
      <c r="A33" s="5">
        <v>27</v>
      </c>
      <c r="B33" s="6" t="s">
        <v>232</v>
      </c>
      <c r="C33" s="6" t="s">
        <v>233</v>
      </c>
      <c r="D33" s="6" t="s">
        <v>37</v>
      </c>
      <c r="E33" s="7">
        <v>19637</v>
      </c>
      <c r="F33" s="8">
        <v>169.59495050000001</v>
      </c>
      <c r="G33" s="9">
        <v>1.4070348999999999E-2</v>
      </c>
      <c r="H33" s="164"/>
    </row>
    <row r="34" spans="1:8" x14ac:dyDescent="0.2">
      <c r="A34" s="5">
        <v>28</v>
      </c>
      <c r="B34" s="6" t="s">
        <v>77</v>
      </c>
      <c r="C34" s="6" t="s">
        <v>78</v>
      </c>
      <c r="D34" s="6" t="s">
        <v>62</v>
      </c>
      <c r="E34" s="7">
        <v>67104</v>
      </c>
      <c r="F34" s="8">
        <v>169.504704</v>
      </c>
      <c r="G34" s="9">
        <v>1.4062862000000001E-2</v>
      </c>
      <c r="H34" s="164"/>
    </row>
    <row r="35" spans="1:8" x14ac:dyDescent="0.2">
      <c r="A35" s="5">
        <v>29</v>
      </c>
      <c r="B35" s="6" t="s">
        <v>208</v>
      </c>
      <c r="C35" s="6" t="s">
        <v>209</v>
      </c>
      <c r="D35" s="6" t="s">
        <v>161</v>
      </c>
      <c r="E35" s="7">
        <v>27563</v>
      </c>
      <c r="F35" s="8">
        <v>165.41934449999999</v>
      </c>
      <c r="G35" s="9">
        <v>1.3723922E-2</v>
      </c>
      <c r="H35" s="164"/>
    </row>
    <row r="36" spans="1:8" ht="25.5" x14ac:dyDescent="0.2">
      <c r="A36" s="5">
        <v>30</v>
      </c>
      <c r="B36" s="6" t="s">
        <v>65</v>
      </c>
      <c r="C36" s="6" t="s">
        <v>66</v>
      </c>
      <c r="D36" s="6" t="s">
        <v>67</v>
      </c>
      <c r="E36" s="7">
        <v>26165</v>
      </c>
      <c r="F36" s="8">
        <v>163.77981750000001</v>
      </c>
      <c r="G36" s="9">
        <v>1.35879E-2</v>
      </c>
      <c r="H36" s="164"/>
    </row>
    <row r="37" spans="1:8" x14ac:dyDescent="0.2">
      <c r="A37" s="5">
        <v>31</v>
      </c>
      <c r="B37" s="6" t="s">
        <v>214</v>
      </c>
      <c r="C37" s="6" t="s">
        <v>215</v>
      </c>
      <c r="D37" s="6" t="s">
        <v>179</v>
      </c>
      <c r="E37" s="7">
        <v>3880</v>
      </c>
      <c r="F37" s="8">
        <v>162.3877</v>
      </c>
      <c r="G37" s="9">
        <v>1.3472403000000001E-2</v>
      </c>
      <c r="H37" s="164"/>
    </row>
    <row r="38" spans="1:8" x14ac:dyDescent="0.2">
      <c r="A38" s="5">
        <v>32</v>
      </c>
      <c r="B38" s="6" t="s">
        <v>483</v>
      </c>
      <c r="C38" s="6" t="s">
        <v>484</v>
      </c>
      <c r="D38" s="6" t="s">
        <v>17</v>
      </c>
      <c r="E38" s="7">
        <v>108924</v>
      </c>
      <c r="F38" s="8">
        <v>150.75081599999999</v>
      </c>
      <c r="G38" s="9">
        <v>1.2506956E-2</v>
      </c>
      <c r="H38" s="164"/>
    </row>
    <row r="39" spans="1:8" x14ac:dyDescent="0.2">
      <c r="A39" s="5">
        <v>33</v>
      </c>
      <c r="B39" s="6" t="s">
        <v>230</v>
      </c>
      <c r="C39" s="6" t="s">
        <v>231</v>
      </c>
      <c r="D39" s="6" t="s">
        <v>62</v>
      </c>
      <c r="E39" s="7">
        <v>51244</v>
      </c>
      <c r="F39" s="8">
        <v>150.50362799999999</v>
      </c>
      <c r="G39" s="9">
        <v>1.2486448000000001E-2</v>
      </c>
      <c r="H39" s="164"/>
    </row>
    <row r="40" spans="1:8" x14ac:dyDescent="0.2">
      <c r="A40" s="5">
        <v>34</v>
      </c>
      <c r="B40" s="6" t="s">
        <v>236</v>
      </c>
      <c r="C40" s="6" t="s">
        <v>237</v>
      </c>
      <c r="D40" s="6" t="s">
        <v>161</v>
      </c>
      <c r="E40" s="7">
        <v>254112</v>
      </c>
      <c r="F40" s="8">
        <v>147.38496000000001</v>
      </c>
      <c r="G40" s="9">
        <v>1.2227709999999999E-2</v>
      </c>
      <c r="H40" s="164"/>
    </row>
    <row r="41" spans="1:8" x14ac:dyDescent="0.2">
      <c r="A41" s="5">
        <v>35</v>
      </c>
      <c r="B41" s="6" t="s">
        <v>205</v>
      </c>
      <c r="C41" s="6" t="s">
        <v>206</v>
      </c>
      <c r="D41" s="6" t="s">
        <v>207</v>
      </c>
      <c r="E41" s="7">
        <v>54852</v>
      </c>
      <c r="F41" s="8">
        <v>147.25019399999999</v>
      </c>
      <c r="G41" s="9">
        <v>1.2216529E-2</v>
      </c>
      <c r="H41" s="164"/>
    </row>
    <row r="42" spans="1:8" x14ac:dyDescent="0.2">
      <c r="A42" s="5">
        <v>36</v>
      </c>
      <c r="B42" s="6" t="s">
        <v>224</v>
      </c>
      <c r="C42" s="6" t="s">
        <v>225</v>
      </c>
      <c r="D42" s="6" t="s">
        <v>161</v>
      </c>
      <c r="E42" s="7">
        <v>27174</v>
      </c>
      <c r="F42" s="8">
        <v>146.68525199999999</v>
      </c>
      <c r="G42" s="9">
        <v>1.2169658999999999E-2</v>
      </c>
      <c r="H42" s="164"/>
    </row>
    <row r="43" spans="1:8" x14ac:dyDescent="0.2">
      <c r="A43" s="5">
        <v>37</v>
      </c>
      <c r="B43" s="6" t="s">
        <v>173</v>
      </c>
      <c r="C43" s="6" t="s">
        <v>174</v>
      </c>
      <c r="D43" s="6" t="s">
        <v>179</v>
      </c>
      <c r="E43" s="7">
        <v>10772</v>
      </c>
      <c r="F43" s="8">
        <v>146.67155199999999</v>
      </c>
      <c r="G43" s="9">
        <v>1.2168521999999999E-2</v>
      </c>
      <c r="H43" s="164"/>
    </row>
    <row r="44" spans="1:8" x14ac:dyDescent="0.2">
      <c r="A44" s="5">
        <v>38</v>
      </c>
      <c r="B44" s="6" t="s">
        <v>244</v>
      </c>
      <c r="C44" s="6" t="s">
        <v>245</v>
      </c>
      <c r="D44" s="6" t="s">
        <v>200</v>
      </c>
      <c r="E44" s="7">
        <v>7795</v>
      </c>
      <c r="F44" s="8">
        <v>141.3428375</v>
      </c>
      <c r="G44" s="9">
        <v>1.1726428000000001E-2</v>
      </c>
      <c r="H44" s="164"/>
    </row>
    <row r="45" spans="1:8" x14ac:dyDescent="0.2">
      <c r="A45" s="5">
        <v>39</v>
      </c>
      <c r="B45" s="6" t="s">
        <v>238</v>
      </c>
      <c r="C45" s="6" t="s">
        <v>239</v>
      </c>
      <c r="D45" s="6" t="s">
        <v>195</v>
      </c>
      <c r="E45" s="7">
        <v>33876</v>
      </c>
      <c r="F45" s="8">
        <v>140.043384</v>
      </c>
      <c r="G45" s="9">
        <v>1.161862E-2</v>
      </c>
      <c r="H45" s="164"/>
    </row>
    <row r="46" spans="1:8" ht="25.5" x14ac:dyDescent="0.2">
      <c r="A46" s="5">
        <v>40</v>
      </c>
      <c r="B46" s="6" t="s">
        <v>234</v>
      </c>
      <c r="C46" s="6" t="s">
        <v>235</v>
      </c>
      <c r="D46" s="6" t="s">
        <v>67</v>
      </c>
      <c r="E46" s="7">
        <v>30368</v>
      </c>
      <c r="F46" s="8">
        <v>134.3784</v>
      </c>
      <c r="G46" s="9">
        <v>1.1148628000000001E-2</v>
      </c>
      <c r="H46" s="164"/>
    </row>
    <row r="47" spans="1:8" ht="25.5" x14ac:dyDescent="0.2">
      <c r="A47" s="5">
        <v>41</v>
      </c>
      <c r="B47" s="6" t="s">
        <v>322</v>
      </c>
      <c r="C47" s="6" t="s">
        <v>323</v>
      </c>
      <c r="D47" s="6" t="s">
        <v>62</v>
      </c>
      <c r="E47" s="7">
        <v>26486</v>
      </c>
      <c r="F47" s="8">
        <v>129.013306</v>
      </c>
      <c r="G47" s="9">
        <v>1.0703516E-2</v>
      </c>
      <c r="H47" s="164"/>
    </row>
    <row r="48" spans="1:8" x14ac:dyDescent="0.2">
      <c r="A48" s="5">
        <v>42</v>
      </c>
      <c r="B48" s="6" t="s">
        <v>461</v>
      </c>
      <c r="C48" s="6" t="s">
        <v>462</v>
      </c>
      <c r="D48" s="6" t="s">
        <v>28</v>
      </c>
      <c r="E48" s="7">
        <v>19126</v>
      </c>
      <c r="F48" s="8">
        <v>128.708417</v>
      </c>
      <c r="G48" s="9">
        <v>1.0678221E-2</v>
      </c>
      <c r="H48" s="164"/>
    </row>
    <row r="49" spans="1:8" ht="25.5" x14ac:dyDescent="0.2">
      <c r="A49" s="5">
        <v>43</v>
      </c>
      <c r="B49" s="6" t="s">
        <v>485</v>
      </c>
      <c r="C49" s="6" t="s">
        <v>486</v>
      </c>
      <c r="D49" s="6" t="s">
        <v>67</v>
      </c>
      <c r="E49" s="7">
        <v>20000</v>
      </c>
      <c r="F49" s="8">
        <v>128.15</v>
      </c>
      <c r="G49" s="9">
        <v>1.0631892E-2</v>
      </c>
      <c r="H49" s="164"/>
    </row>
    <row r="50" spans="1:8" x14ac:dyDescent="0.2">
      <c r="A50" s="5">
        <v>44</v>
      </c>
      <c r="B50" s="6" t="s">
        <v>242</v>
      </c>
      <c r="C50" s="6" t="s">
        <v>243</v>
      </c>
      <c r="D50" s="6" t="s">
        <v>59</v>
      </c>
      <c r="E50" s="7">
        <v>9697</v>
      </c>
      <c r="F50" s="8">
        <v>128.0925215</v>
      </c>
      <c r="G50" s="9">
        <v>1.0627123E-2</v>
      </c>
      <c r="H50" s="164"/>
    </row>
    <row r="51" spans="1:8" ht="25.5" x14ac:dyDescent="0.2">
      <c r="A51" s="5">
        <v>45</v>
      </c>
      <c r="B51" s="6" t="s">
        <v>246</v>
      </c>
      <c r="C51" s="6" t="s">
        <v>247</v>
      </c>
      <c r="D51" s="6" t="s">
        <v>40</v>
      </c>
      <c r="E51" s="7">
        <v>162476</v>
      </c>
      <c r="F51" s="8">
        <v>127.381184</v>
      </c>
      <c r="G51" s="9">
        <v>1.0568108E-2</v>
      </c>
      <c r="H51" s="164"/>
    </row>
    <row r="52" spans="1:8" ht="25.5" x14ac:dyDescent="0.2">
      <c r="A52" s="5">
        <v>46</v>
      </c>
      <c r="B52" s="6" t="s">
        <v>248</v>
      </c>
      <c r="C52" s="6" t="s">
        <v>249</v>
      </c>
      <c r="D52" s="6" t="s">
        <v>67</v>
      </c>
      <c r="E52" s="7">
        <v>28703</v>
      </c>
      <c r="F52" s="8">
        <v>125.43210999999999</v>
      </c>
      <c r="G52" s="9">
        <v>1.0406403999999999E-2</v>
      </c>
      <c r="H52" s="164"/>
    </row>
    <row r="53" spans="1:8" x14ac:dyDescent="0.2">
      <c r="A53" s="5">
        <v>47</v>
      </c>
      <c r="B53" s="6" t="s">
        <v>251</v>
      </c>
      <c r="C53" s="6" t="s">
        <v>252</v>
      </c>
      <c r="D53" s="6" t="s">
        <v>253</v>
      </c>
      <c r="E53" s="7">
        <v>25816</v>
      </c>
      <c r="F53" s="8">
        <v>124.11042</v>
      </c>
      <c r="G53" s="9">
        <v>1.0296751E-2</v>
      </c>
      <c r="H53" s="164"/>
    </row>
    <row r="54" spans="1:8" x14ac:dyDescent="0.2">
      <c r="A54" s="5">
        <v>48</v>
      </c>
      <c r="B54" s="6" t="s">
        <v>228</v>
      </c>
      <c r="C54" s="6" t="s">
        <v>229</v>
      </c>
      <c r="D54" s="6" t="s">
        <v>62</v>
      </c>
      <c r="E54" s="7">
        <v>16048</v>
      </c>
      <c r="F54" s="8">
        <v>124.04301599999999</v>
      </c>
      <c r="G54" s="9">
        <v>1.0291158E-2</v>
      </c>
      <c r="H54" s="164"/>
    </row>
    <row r="55" spans="1:8" x14ac:dyDescent="0.2">
      <c r="A55" s="5">
        <v>49</v>
      </c>
      <c r="B55" s="6" t="s">
        <v>267</v>
      </c>
      <c r="C55" s="6" t="s">
        <v>268</v>
      </c>
      <c r="D55" s="6" t="s">
        <v>195</v>
      </c>
      <c r="E55" s="7">
        <v>16139</v>
      </c>
      <c r="F55" s="8">
        <v>119.6787545</v>
      </c>
      <c r="G55" s="9">
        <v>9.9290799999999999E-3</v>
      </c>
      <c r="H55" s="164"/>
    </row>
    <row r="56" spans="1:8" x14ac:dyDescent="0.2">
      <c r="A56" s="5">
        <v>50</v>
      </c>
      <c r="B56" s="6" t="s">
        <v>465</v>
      </c>
      <c r="C56" s="6" t="s">
        <v>466</v>
      </c>
      <c r="D56" s="6" t="s">
        <v>161</v>
      </c>
      <c r="E56" s="7">
        <v>17966</v>
      </c>
      <c r="F56" s="8">
        <v>119.455934</v>
      </c>
      <c r="G56" s="9">
        <v>9.910594E-3</v>
      </c>
      <c r="H56" s="164"/>
    </row>
    <row r="57" spans="1:8" x14ac:dyDescent="0.2">
      <c r="A57" s="5">
        <v>51</v>
      </c>
      <c r="B57" s="6" t="s">
        <v>487</v>
      </c>
      <c r="C57" s="6" t="s">
        <v>488</v>
      </c>
      <c r="D57" s="6" t="s">
        <v>37</v>
      </c>
      <c r="E57" s="7">
        <v>138600</v>
      </c>
      <c r="F57" s="8">
        <v>118.78019999999999</v>
      </c>
      <c r="G57" s="9">
        <v>9.8545319999999992E-3</v>
      </c>
      <c r="H57" s="164"/>
    </row>
    <row r="58" spans="1:8" ht="25.5" x14ac:dyDescent="0.2">
      <c r="A58" s="5">
        <v>52</v>
      </c>
      <c r="B58" s="6" t="s">
        <v>258</v>
      </c>
      <c r="C58" s="6" t="s">
        <v>259</v>
      </c>
      <c r="D58" s="6" t="s">
        <v>931</v>
      </c>
      <c r="E58" s="7">
        <v>115940</v>
      </c>
      <c r="F58" s="8">
        <v>115.59218</v>
      </c>
      <c r="G58" s="9">
        <v>9.5900399999999993E-3</v>
      </c>
      <c r="H58" s="164"/>
    </row>
    <row r="59" spans="1:8" x14ac:dyDescent="0.2">
      <c r="A59" s="5">
        <v>53</v>
      </c>
      <c r="B59" s="6" t="s">
        <v>489</v>
      </c>
      <c r="C59" s="6" t="s">
        <v>490</v>
      </c>
      <c r="D59" s="6" t="s">
        <v>50</v>
      </c>
      <c r="E59" s="7">
        <v>103230</v>
      </c>
      <c r="F59" s="8">
        <v>114.37884</v>
      </c>
      <c r="G59" s="9">
        <v>9.4893760000000008E-3</v>
      </c>
      <c r="H59" s="164"/>
    </row>
    <row r="60" spans="1:8" x14ac:dyDescent="0.2">
      <c r="A60" s="5">
        <v>54</v>
      </c>
      <c r="B60" s="6" t="s">
        <v>264</v>
      </c>
      <c r="C60" s="6" t="s">
        <v>265</v>
      </c>
      <c r="D60" s="6" t="s">
        <v>266</v>
      </c>
      <c r="E60" s="7">
        <v>13982</v>
      </c>
      <c r="F60" s="8">
        <v>113.051461</v>
      </c>
      <c r="G60" s="9">
        <v>9.3792500000000004E-3</v>
      </c>
      <c r="H60" s="164"/>
    </row>
    <row r="61" spans="1:8" x14ac:dyDescent="0.2">
      <c r="A61" s="5">
        <v>55</v>
      </c>
      <c r="B61" s="6" t="s">
        <v>260</v>
      </c>
      <c r="C61" s="6" t="s">
        <v>261</v>
      </c>
      <c r="D61" s="6" t="s">
        <v>930</v>
      </c>
      <c r="E61" s="7">
        <v>27465</v>
      </c>
      <c r="F61" s="8">
        <v>112.359315</v>
      </c>
      <c r="G61" s="9">
        <v>9.3218269999999995E-3</v>
      </c>
      <c r="H61" s="164"/>
    </row>
    <row r="62" spans="1:8" x14ac:dyDescent="0.2">
      <c r="A62" s="5">
        <v>56</v>
      </c>
      <c r="B62" s="6" t="s">
        <v>46</v>
      </c>
      <c r="C62" s="6" t="s">
        <v>47</v>
      </c>
      <c r="D62" s="6" t="s">
        <v>28</v>
      </c>
      <c r="E62" s="7">
        <v>5688</v>
      </c>
      <c r="F62" s="8">
        <v>108.066312</v>
      </c>
      <c r="G62" s="9">
        <v>8.9656600000000003E-3</v>
      </c>
      <c r="H62" s="164"/>
    </row>
    <row r="63" spans="1:8" ht="25.5" x14ac:dyDescent="0.2">
      <c r="A63" s="5">
        <v>57</v>
      </c>
      <c r="B63" s="6" t="s">
        <v>491</v>
      </c>
      <c r="C63" s="6" t="s">
        <v>492</v>
      </c>
      <c r="D63" s="6" t="s">
        <v>67</v>
      </c>
      <c r="E63" s="7">
        <v>801</v>
      </c>
      <c r="F63" s="8">
        <v>101.571606</v>
      </c>
      <c r="G63" s="9">
        <v>8.4268309999999992E-3</v>
      </c>
      <c r="H63" s="164"/>
    </row>
    <row r="64" spans="1:8" x14ac:dyDescent="0.2">
      <c r="A64" s="5">
        <v>58</v>
      </c>
      <c r="B64" s="6" t="s">
        <v>271</v>
      </c>
      <c r="C64" s="6" t="s">
        <v>272</v>
      </c>
      <c r="D64" s="6" t="s">
        <v>346</v>
      </c>
      <c r="E64" s="7">
        <v>10488</v>
      </c>
      <c r="F64" s="8">
        <v>101.120052</v>
      </c>
      <c r="G64" s="9">
        <v>8.3893679999999995E-3</v>
      </c>
      <c r="H64" s="164"/>
    </row>
    <row r="65" spans="1:8" x14ac:dyDescent="0.2">
      <c r="A65" s="5">
        <v>59</v>
      </c>
      <c r="B65" s="6" t="s">
        <v>275</v>
      </c>
      <c r="C65" s="6" t="s">
        <v>276</v>
      </c>
      <c r="D65" s="6" t="s">
        <v>277</v>
      </c>
      <c r="E65" s="7">
        <v>36994</v>
      </c>
      <c r="F65" s="8">
        <v>95.906944999999993</v>
      </c>
      <c r="G65" s="9">
        <v>7.9568650000000005E-3</v>
      </c>
      <c r="H65" s="164"/>
    </row>
    <row r="66" spans="1:8" x14ac:dyDescent="0.2">
      <c r="A66" s="5">
        <v>60</v>
      </c>
      <c r="B66" s="6" t="s">
        <v>282</v>
      </c>
      <c r="C66" s="6" t="s">
        <v>283</v>
      </c>
      <c r="D66" s="6" t="s">
        <v>200</v>
      </c>
      <c r="E66" s="7">
        <v>1438</v>
      </c>
      <c r="F66" s="8">
        <v>77.039411999999999</v>
      </c>
      <c r="G66" s="9">
        <v>6.3915309999999998E-3</v>
      </c>
      <c r="H66" s="164"/>
    </row>
    <row r="67" spans="1:8" x14ac:dyDescent="0.2">
      <c r="A67" s="5">
        <v>61</v>
      </c>
      <c r="B67" s="6" t="s">
        <v>286</v>
      </c>
      <c r="C67" s="6" t="s">
        <v>287</v>
      </c>
      <c r="D67" s="6" t="s">
        <v>927</v>
      </c>
      <c r="E67" s="7">
        <v>4651</v>
      </c>
      <c r="F67" s="8">
        <v>74.567157499999993</v>
      </c>
      <c r="G67" s="9">
        <v>6.1864219999999996E-3</v>
      </c>
      <c r="H67" s="164"/>
    </row>
    <row r="68" spans="1:8" x14ac:dyDescent="0.2">
      <c r="A68" s="5">
        <v>62</v>
      </c>
      <c r="B68" s="6" t="s">
        <v>290</v>
      </c>
      <c r="C68" s="6" t="s">
        <v>291</v>
      </c>
      <c r="D68" s="6" t="s">
        <v>179</v>
      </c>
      <c r="E68" s="7">
        <v>10259</v>
      </c>
      <c r="F68" s="8">
        <v>54.5624915</v>
      </c>
      <c r="G68" s="9">
        <v>4.5267459999999999E-3</v>
      </c>
      <c r="H68" s="164"/>
    </row>
    <row r="69" spans="1:8" x14ac:dyDescent="0.2">
      <c r="A69" s="5">
        <v>63</v>
      </c>
      <c r="B69" s="6" t="s">
        <v>455</v>
      </c>
      <c r="C69" s="6" t="s">
        <v>456</v>
      </c>
      <c r="D69" s="6" t="s">
        <v>62</v>
      </c>
      <c r="E69" s="7">
        <v>6000</v>
      </c>
      <c r="F69" s="8">
        <v>50.576999999999998</v>
      </c>
      <c r="G69" s="9">
        <v>4.1960920000000002E-3</v>
      </c>
      <c r="H69" s="164"/>
    </row>
    <row r="70" spans="1:8" ht="25.5" x14ac:dyDescent="0.2">
      <c r="A70" s="5">
        <v>64</v>
      </c>
      <c r="B70" s="6" t="s">
        <v>262</v>
      </c>
      <c r="C70" s="6" t="s">
        <v>263</v>
      </c>
      <c r="D70" s="6" t="s">
        <v>158</v>
      </c>
      <c r="E70" s="7">
        <v>10167</v>
      </c>
      <c r="F70" s="8">
        <v>39.112448999999998</v>
      </c>
      <c r="G70" s="9">
        <v>3.2449419999999998E-3</v>
      </c>
      <c r="H70" s="164"/>
    </row>
    <row r="71" spans="1:8" x14ac:dyDescent="0.2">
      <c r="A71" s="3" t="s">
        <v>9</v>
      </c>
      <c r="B71" s="3" t="s">
        <v>9</v>
      </c>
      <c r="C71" s="4" t="s">
        <v>110</v>
      </c>
      <c r="D71" s="3" t="s">
        <v>9</v>
      </c>
      <c r="E71" s="3" t="s">
        <v>9</v>
      </c>
      <c r="F71" s="11">
        <v>11655.428889999999</v>
      </c>
      <c r="G71" s="12">
        <v>0.96698604300000002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111</v>
      </c>
      <c r="D73" s="3" t="s">
        <v>9</v>
      </c>
      <c r="E73" s="3" t="s">
        <v>9</v>
      </c>
      <c r="F73" s="3" t="s">
        <v>9</v>
      </c>
      <c r="G73" s="3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110</v>
      </c>
      <c r="D74" s="3" t="s">
        <v>9</v>
      </c>
      <c r="E74" s="3" t="s">
        <v>9</v>
      </c>
      <c r="F74" s="15">
        <v>0</v>
      </c>
      <c r="G74" s="16">
        <v>0</v>
      </c>
      <c r="H74" s="164"/>
    </row>
    <row r="75" spans="1:8" x14ac:dyDescent="0.2">
      <c r="A75" s="3" t="s">
        <v>9</v>
      </c>
      <c r="B75" s="3" t="s">
        <v>9</v>
      </c>
      <c r="C75" s="13" t="s">
        <v>9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112</v>
      </c>
      <c r="D76" s="3" t="s">
        <v>9</v>
      </c>
      <c r="E76" s="3" t="s">
        <v>9</v>
      </c>
      <c r="F76" s="3" t="s">
        <v>9</v>
      </c>
      <c r="G76" s="3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110</v>
      </c>
      <c r="D77" s="3" t="s">
        <v>9</v>
      </c>
      <c r="E77" s="3" t="s">
        <v>9</v>
      </c>
      <c r="F77" s="15">
        <v>0</v>
      </c>
      <c r="G77" s="16">
        <v>0</v>
      </c>
      <c r="H77" s="164"/>
    </row>
    <row r="78" spans="1:8" x14ac:dyDescent="0.2">
      <c r="A78" s="3" t="s">
        <v>9</v>
      </c>
      <c r="B78" s="3" t="s">
        <v>9</v>
      </c>
      <c r="C78" s="13" t="s">
        <v>9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x14ac:dyDescent="0.2">
      <c r="A79" s="3" t="s">
        <v>9</v>
      </c>
      <c r="B79" s="3" t="s">
        <v>9</v>
      </c>
      <c r="C79" s="4" t="s">
        <v>113</v>
      </c>
      <c r="D79" s="3" t="s">
        <v>9</v>
      </c>
      <c r="E79" s="3" t="s">
        <v>9</v>
      </c>
      <c r="F79" s="3" t="s">
        <v>9</v>
      </c>
      <c r="G79" s="3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110</v>
      </c>
      <c r="D80" s="3" t="s">
        <v>9</v>
      </c>
      <c r="E80" s="3" t="s">
        <v>9</v>
      </c>
      <c r="F80" s="15">
        <v>0</v>
      </c>
      <c r="G80" s="16">
        <v>0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114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115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110</v>
      </c>
      <c r="D86" s="3" t="s">
        <v>9</v>
      </c>
      <c r="E86" s="3" t="s">
        <v>9</v>
      </c>
      <c r="F86" s="15">
        <v>0</v>
      </c>
      <c r="G86" s="16">
        <v>0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116</v>
      </c>
      <c r="D88" s="3" t="s">
        <v>9</v>
      </c>
      <c r="E88" s="3" t="s">
        <v>9</v>
      </c>
      <c r="F88" s="11">
        <v>11655.428889999999</v>
      </c>
      <c r="G88" s="12">
        <v>0.96698604300000002</v>
      </c>
      <c r="H88" s="164"/>
    </row>
    <row r="89" spans="1:8" x14ac:dyDescent="0.2">
      <c r="A89" s="3" t="s">
        <v>9</v>
      </c>
      <c r="B89" s="3" t="s">
        <v>9</v>
      </c>
      <c r="C89" s="13" t="s">
        <v>9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117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ht="25.5" x14ac:dyDescent="0.2">
      <c r="A91" s="3" t="s">
        <v>9</v>
      </c>
      <c r="B91" s="3" t="s">
        <v>9</v>
      </c>
      <c r="C91" s="4" t="s">
        <v>11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110</v>
      </c>
      <c r="D92" s="3" t="s">
        <v>9</v>
      </c>
      <c r="E92" s="3" t="s">
        <v>9</v>
      </c>
      <c r="F92" s="15">
        <v>0</v>
      </c>
      <c r="G92" s="16">
        <v>0</v>
      </c>
      <c r="H92" s="164"/>
    </row>
    <row r="93" spans="1:8" x14ac:dyDescent="0.2">
      <c r="A93" s="3" t="s">
        <v>9</v>
      </c>
      <c r="B93" s="3" t="s">
        <v>9</v>
      </c>
      <c r="C93" s="13" t="s">
        <v>9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118</v>
      </c>
      <c r="D94" s="3" t="s">
        <v>9</v>
      </c>
      <c r="E94" s="3" t="s">
        <v>9</v>
      </c>
      <c r="F94" s="3" t="s">
        <v>9</v>
      </c>
      <c r="G94" s="3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110</v>
      </c>
      <c r="D95" s="3" t="s">
        <v>9</v>
      </c>
      <c r="E95" s="3" t="s">
        <v>9</v>
      </c>
      <c r="F95" s="15">
        <v>0</v>
      </c>
      <c r="G95" s="16">
        <v>0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119</v>
      </c>
      <c r="D97" s="3" t="s">
        <v>9</v>
      </c>
      <c r="E97" s="3" t="s">
        <v>9</v>
      </c>
      <c r="F97" s="3" t="s">
        <v>9</v>
      </c>
      <c r="G97" s="3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110</v>
      </c>
      <c r="D98" s="3" t="s">
        <v>9</v>
      </c>
      <c r="E98" s="3" t="s">
        <v>9</v>
      </c>
      <c r="F98" s="15">
        <v>0</v>
      </c>
      <c r="G98" s="16">
        <v>0</v>
      </c>
      <c r="H98" s="164"/>
    </row>
    <row r="99" spans="1:8" x14ac:dyDescent="0.2">
      <c r="A99" s="3" t="s">
        <v>9</v>
      </c>
      <c r="B99" s="3" t="s">
        <v>9</v>
      </c>
      <c r="C99" s="13" t="s">
        <v>9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120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110</v>
      </c>
      <c r="D101" s="3" t="s">
        <v>9</v>
      </c>
      <c r="E101" s="3" t="s">
        <v>9</v>
      </c>
      <c r="F101" s="15">
        <v>0</v>
      </c>
      <c r="G101" s="16">
        <v>0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121</v>
      </c>
      <c r="D103" s="3" t="s">
        <v>9</v>
      </c>
      <c r="E103" s="3" t="s">
        <v>9</v>
      </c>
      <c r="F103" s="11">
        <v>0</v>
      </c>
      <c r="G103" s="12">
        <v>0</v>
      </c>
      <c r="H103" s="164"/>
    </row>
    <row r="104" spans="1:8" x14ac:dyDescent="0.2">
      <c r="A104" s="3" t="s">
        <v>9</v>
      </c>
      <c r="B104" s="3" t="s">
        <v>9</v>
      </c>
      <c r="C104" s="13" t="s">
        <v>9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122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123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110</v>
      </c>
      <c r="D107" s="3" t="s">
        <v>9</v>
      </c>
      <c r="E107" s="3" t="s">
        <v>9</v>
      </c>
      <c r="F107" s="15">
        <v>0</v>
      </c>
      <c r="G107" s="16">
        <v>0</v>
      </c>
      <c r="H107" s="164"/>
    </row>
    <row r="108" spans="1:8" x14ac:dyDescent="0.2">
      <c r="A108" s="3" t="s">
        <v>9</v>
      </c>
      <c r="B108" s="3" t="s">
        <v>9</v>
      </c>
      <c r="C108" s="13" t="s">
        <v>9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124</v>
      </c>
      <c r="D109" s="3" t="s">
        <v>9</v>
      </c>
      <c r="E109" s="3" t="s">
        <v>9</v>
      </c>
      <c r="F109" s="14" t="s">
        <v>9</v>
      </c>
      <c r="G109" s="14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110</v>
      </c>
      <c r="D110" s="3" t="s">
        <v>9</v>
      </c>
      <c r="E110" s="3" t="s">
        <v>9</v>
      </c>
      <c r="F110" s="15">
        <v>0</v>
      </c>
      <c r="G110" s="16">
        <v>0</v>
      </c>
      <c r="H110" s="164"/>
    </row>
    <row r="111" spans="1:8" x14ac:dyDescent="0.2">
      <c r="A111" s="3" t="s">
        <v>9</v>
      </c>
      <c r="B111" s="3" t="s">
        <v>9</v>
      </c>
      <c r="C111" s="13" t="s">
        <v>9</v>
      </c>
      <c r="D111" s="3" t="s">
        <v>9</v>
      </c>
      <c r="E111" s="3" t="s">
        <v>9</v>
      </c>
      <c r="F111" s="14" t="s">
        <v>9</v>
      </c>
      <c r="G111" s="14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125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110</v>
      </c>
      <c r="D113" s="3" t="s">
        <v>9</v>
      </c>
      <c r="E113" s="3" t="s">
        <v>9</v>
      </c>
      <c r="F113" s="15">
        <v>0</v>
      </c>
      <c r="G113" s="16">
        <v>0</v>
      </c>
      <c r="H113" s="164"/>
    </row>
    <row r="114" spans="1:8" x14ac:dyDescent="0.2">
      <c r="A114" s="3" t="s">
        <v>9</v>
      </c>
      <c r="B114" s="3" t="s">
        <v>9</v>
      </c>
      <c r="C114" s="13" t="s">
        <v>9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126</v>
      </c>
      <c r="D115" s="3" t="s">
        <v>9</v>
      </c>
      <c r="E115" s="3" t="s">
        <v>9</v>
      </c>
      <c r="F115" s="14" t="s">
        <v>9</v>
      </c>
      <c r="G115" s="14" t="s">
        <v>9</v>
      </c>
      <c r="H115" s="164"/>
    </row>
    <row r="116" spans="1:8" x14ac:dyDescent="0.2">
      <c r="A116" s="5">
        <v>1</v>
      </c>
      <c r="B116" s="6"/>
      <c r="C116" s="6" t="s">
        <v>127</v>
      </c>
      <c r="D116" s="6"/>
      <c r="E116" s="10" t="s">
        <v>9</v>
      </c>
      <c r="F116" s="8">
        <v>267.91651230000002</v>
      </c>
      <c r="G116" s="9">
        <v>2.2227541E-2</v>
      </c>
      <c r="H116" s="90">
        <v>3.22</v>
      </c>
    </row>
    <row r="117" spans="1:8" x14ac:dyDescent="0.2">
      <c r="A117" s="5">
        <v>2</v>
      </c>
      <c r="B117" s="6"/>
      <c r="C117" s="6" t="s">
        <v>128</v>
      </c>
      <c r="D117" s="6"/>
      <c r="E117" s="10" t="s">
        <v>9</v>
      </c>
      <c r="F117" s="8">
        <v>75.711922099999995</v>
      </c>
      <c r="G117" s="9">
        <v>6.2813970000000002E-3</v>
      </c>
      <c r="H117" s="90">
        <v>3.34</v>
      </c>
    </row>
    <row r="118" spans="1:8" x14ac:dyDescent="0.2">
      <c r="A118" s="3" t="s">
        <v>9</v>
      </c>
      <c r="B118" s="3" t="s">
        <v>9</v>
      </c>
      <c r="C118" s="4" t="s">
        <v>110</v>
      </c>
      <c r="D118" s="3" t="s">
        <v>9</v>
      </c>
      <c r="E118" s="3" t="s">
        <v>9</v>
      </c>
      <c r="F118" s="11">
        <v>343.6284344</v>
      </c>
      <c r="G118" s="12">
        <v>2.8508938000000001E-2</v>
      </c>
      <c r="H118" s="164"/>
    </row>
    <row r="119" spans="1:8" x14ac:dyDescent="0.2">
      <c r="A119" s="3" t="s">
        <v>9</v>
      </c>
      <c r="B119" s="3" t="s">
        <v>9</v>
      </c>
      <c r="C119" s="13" t="s">
        <v>9</v>
      </c>
      <c r="D119" s="3" t="s">
        <v>9</v>
      </c>
      <c r="E119" s="3" t="s">
        <v>9</v>
      </c>
      <c r="F119" s="14" t="s">
        <v>9</v>
      </c>
      <c r="G119" s="14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129</v>
      </c>
      <c r="D120" s="3" t="s">
        <v>9</v>
      </c>
      <c r="E120" s="3" t="s">
        <v>9</v>
      </c>
      <c r="F120" s="11">
        <v>343.6284344</v>
      </c>
      <c r="G120" s="12">
        <v>2.8508938000000001E-2</v>
      </c>
      <c r="H120" s="164"/>
    </row>
    <row r="121" spans="1:8" x14ac:dyDescent="0.2">
      <c r="A121" s="3" t="s">
        <v>9</v>
      </c>
      <c r="B121" s="3" t="s">
        <v>9</v>
      </c>
      <c r="C121" s="14" t="s">
        <v>9</v>
      </c>
      <c r="D121" s="3" t="s">
        <v>9</v>
      </c>
      <c r="E121" s="3" t="s">
        <v>9</v>
      </c>
      <c r="F121" s="3" t="s">
        <v>9</v>
      </c>
      <c r="G121" s="3" t="s">
        <v>9</v>
      </c>
      <c r="H121" s="164"/>
    </row>
    <row r="122" spans="1:8" x14ac:dyDescent="0.2">
      <c r="A122" s="3" t="s">
        <v>9</v>
      </c>
      <c r="B122" s="3" t="s">
        <v>9</v>
      </c>
      <c r="C122" s="4" t="s">
        <v>130</v>
      </c>
      <c r="D122" s="3" t="s">
        <v>9</v>
      </c>
      <c r="E122" s="3" t="s">
        <v>9</v>
      </c>
      <c r="F122" s="3" t="s">
        <v>9</v>
      </c>
      <c r="G122" s="3" t="s">
        <v>9</v>
      </c>
      <c r="H122" s="164"/>
    </row>
    <row r="123" spans="1:8" x14ac:dyDescent="0.2">
      <c r="A123" s="3" t="s">
        <v>9</v>
      </c>
      <c r="B123" s="3" t="s">
        <v>9</v>
      </c>
      <c r="C123" s="4" t="s">
        <v>131</v>
      </c>
      <c r="D123" s="3" t="s">
        <v>9</v>
      </c>
      <c r="E123" s="3" t="s">
        <v>9</v>
      </c>
      <c r="F123" s="3" t="s">
        <v>9</v>
      </c>
      <c r="G123" s="3" t="s">
        <v>9</v>
      </c>
      <c r="H123" s="164"/>
    </row>
    <row r="124" spans="1:8" x14ac:dyDescent="0.2">
      <c r="A124" s="3" t="s">
        <v>9</v>
      </c>
      <c r="B124" s="3" t="s">
        <v>9</v>
      </c>
      <c r="C124" s="4" t="s">
        <v>110</v>
      </c>
      <c r="D124" s="3" t="s">
        <v>9</v>
      </c>
      <c r="E124" s="3" t="s">
        <v>9</v>
      </c>
      <c r="F124" s="15">
        <v>0</v>
      </c>
      <c r="G124" s="16">
        <v>0</v>
      </c>
      <c r="H124" s="164"/>
    </row>
    <row r="125" spans="1:8" x14ac:dyDescent="0.2">
      <c r="A125" s="3" t="s">
        <v>9</v>
      </c>
      <c r="B125" s="3" t="s">
        <v>9</v>
      </c>
      <c r="C125" s="13" t="s">
        <v>9</v>
      </c>
      <c r="D125" s="3" t="s">
        <v>9</v>
      </c>
      <c r="E125" s="3" t="s">
        <v>9</v>
      </c>
      <c r="F125" s="14" t="s">
        <v>9</v>
      </c>
      <c r="G125" s="14" t="s">
        <v>9</v>
      </c>
      <c r="H125" s="164"/>
    </row>
    <row r="126" spans="1:8" x14ac:dyDescent="0.2">
      <c r="A126" s="3" t="s">
        <v>9</v>
      </c>
      <c r="B126" s="3" t="s">
        <v>9</v>
      </c>
      <c r="C126" s="4" t="s">
        <v>132</v>
      </c>
      <c r="D126" s="3" t="s">
        <v>9</v>
      </c>
      <c r="E126" s="3" t="s">
        <v>9</v>
      </c>
      <c r="F126" s="3" t="s">
        <v>9</v>
      </c>
      <c r="G126" s="3" t="s">
        <v>9</v>
      </c>
      <c r="H126" s="164"/>
    </row>
    <row r="127" spans="1:8" x14ac:dyDescent="0.2">
      <c r="A127" s="3" t="s">
        <v>9</v>
      </c>
      <c r="B127" s="3" t="s">
        <v>9</v>
      </c>
      <c r="C127" s="4" t="s">
        <v>133</v>
      </c>
      <c r="D127" s="3" t="s">
        <v>9</v>
      </c>
      <c r="E127" s="3" t="s">
        <v>9</v>
      </c>
      <c r="F127" s="3" t="s">
        <v>9</v>
      </c>
      <c r="G127" s="3" t="s">
        <v>9</v>
      </c>
      <c r="H127" s="164"/>
    </row>
    <row r="128" spans="1:8" x14ac:dyDescent="0.2">
      <c r="A128" s="3" t="s">
        <v>9</v>
      </c>
      <c r="B128" s="3" t="s">
        <v>9</v>
      </c>
      <c r="C128" s="4" t="s">
        <v>110</v>
      </c>
      <c r="D128" s="3" t="s">
        <v>9</v>
      </c>
      <c r="E128" s="3" t="s">
        <v>9</v>
      </c>
      <c r="F128" s="15">
        <v>0</v>
      </c>
      <c r="G128" s="16">
        <v>0</v>
      </c>
      <c r="H128" s="164"/>
    </row>
    <row r="129" spans="1:8" x14ac:dyDescent="0.2">
      <c r="A129" s="3" t="s">
        <v>9</v>
      </c>
      <c r="B129" s="3" t="s">
        <v>9</v>
      </c>
      <c r="C129" s="13" t="s">
        <v>9</v>
      </c>
      <c r="D129" s="3" t="s">
        <v>9</v>
      </c>
      <c r="E129" s="3" t="s">
        <v>9</v>
      </c>
      <c r="F129" s="14" t="s">
        <v>9</v>
      </c>
      <c r="G129" s="14" t="s">
        <v>9</v>
      </c>
      <c r="H129" s="164"/>
    </row>
    <row r="130" spans="1:8" x14ac:dyDescent="0.2">
      <c r="A130" s="3" t="s">
        <v>9</v>
      </c>
      <c r="B130" s="3" t="s">
        <v>9</v>
      </c>
      <c r="C130" s="13" t="s">
        <v>9</v>
      </c>
      <c r="D130" s="3" t="s">
        <v>9</v>
      </c>
      <c r="E130" s="3" t="s">
        <v>9</v>
      </c>
      <c r="F130" s="14" t="s">
        <v>9</v>
      </c>
      <c r="G130" s="14" t="s">
        <v>9</v>
      </c>
      <c r="H130" s="164"/>
    </row>
    <row r="131" spans="1:8" ht="25.5" x14ac:dyDescent="0.2">
      <c r="A131" s="3" t="s">
        <v>9</v>
      </c>
      <c r="B131" s="3" t="s">
        <v>9</v>
      </c>
      <c r="C131" s="4" t="s">
        <v>134</v>
      </c>
      <c r="D131" s="3" t="s">
        <v>9</v>
      </c>
      <c r="E131" s="3" t="s">
        <v>9</v>
      </c>
      <c r="F131" s="14" t="s">
        <v>9</v>
      </c>
      <c r="G131" s="14" t="s">
        <v>9</v>
      </c>
      <c r="H131" s="164"/>
    </row>
    <row r="132" spans="1:8" x14ac:dyDescent="0.2">
      <c r="A132" s="3" t="s">
        <v>9</v>
      </c>
      <c r="B132" s="3" t="s">
        <v>9</v>
      </c>
      <c r="C132" s="4" t="s">
        <v>110</v>
      </c>
      <c r="D132" s="3" t="s">
        <v>9</v>
      </c>
      <c r="E132" s="3" t="s">
        <v>9</v>
      </c>
      <c r="F132" s="15">
        <v>0</v>
      </c>
      <c r="G132" s="16">
        <v>0</v>
      </c>
      <c r="H132" s="164"/>
    </row>
    <row r="133" spans="1:8" x14ac:dyDescent="0.2">
      <c r="A133" s="3" t="s">
        <v>9</v>
      </c>
      <c r="B133" s="3" t="s">
        <v>9</v>
      </c>
      <c r="C133" s="13" t="s">
        <v>9</v>
      </c>
      <c r="D133" s="3" t="s">
        <v>9</v>
      </c>
      <c r="E133" s="3" t="s">
        <v>9</v>
      </c>
      <c r="F133" s="14" t="s">
        <v>9</v>
      </c>
      <c r="G133" s="14" t="s">
        <v>9</v>
      </c>
      <c r="H133" s="164"/>
    </row>
    <row r="134" spans="1:8" x14ac:dyDescent="0.2">
      <c r="A134" s="3" t="s">
        <v>9</v>
      </c>
      <c r="B134" s="6" t="s">
        <v>9</v>
      </c>
      <c r="C134" s="6" t="s">
        <v>9</v>
      </c>
      <c r="D134" s="4" t="s">
        <v>9</v>
      </c>
      <c r="E134" s="3" t="s">
        <v>9</v>
      </c>
      <c r="F134" s="6" t="s">
        <v>9</v>
      </c>
      <c r="G134" s="10" t="s">
        <v>9</v>
      </c>
      <c r="H134" s="164"/>
    </row>
    <row r="135" spans="1:8" x14ac:dyDescent="0.2">
      <c r="A135" s="10" t="s">
        <v>9</v>
      </c>
      <c r="B135" s="6" t="s">
        <v>9</v>
      </c>
      <c r="C135" s="6" t="s">
        <v>135</v>
      </c>
      <c r="D135" s="6" t="s">
        <v>9</v>
      </c>
      <c r="E135" s="10" t="s">
        <v>9</v>
      </c>
      <c r="F135" s="8">
        <v>54.300646409999999</v>
      </c>
      <c r="G135" s="9">
        <v>4.505022E-3</v>
      </c>
      <c r="H135" s="164"/>
    </row>
    <row r="136" spans="1:8" x14ac:dyDescent="0.2">
      <c r="A136" s="13" t="s">
        <v>9</v>
      </c>
      <c r="B136" s="13" t="s">
        <v>9</v>
      </c>
      <c r="C136" s="4" t="s">
        <v>136</v>
      </c>
      <c r="D136" s="17" t="s">
        <v>9</v>
      </c>
      <c r="E136" s="17" t="s">
        <v>9</v>
      </c>
      <c r="F136" s="11">
        <v>12053.357970810001</v>
      </c>
      <c r="G136" s="12">
        <v>1.000000003</v>
      </c>
      <c r="H136" s="164"/>
    </row>
    <row r="137" spans="1:8" ht="14.1" customHeight="1" x14ac:dyDescent="0.2">
      <c r="A137" s="18" t="s">
        <v>9</v>
      </c>
      <c r="B137" s="18" t="s">
        <v>9</v>
      </c>
      <c r="C137" s="18" t="s">
        <v>9</v>
      </c>
      <c r="D137" s="19" t="s">
        <v>9</v>
      </c>
      <c r="E137" s="19" t="s">
        <v>9</v>
      </c>
      <c r="F137" s="19" t="s">
        <v>9</v>
      </c>
      <c r="G137" s="19" t="s">
        <v>9</v>
      </c>
    </row>
    <row r="138" spans="1:8" ht="14.1" customHeight="1" x14ac:dyDescent="0.2">
      <c r="A138" s="20" t="s">
        <v>9</v>
      </c>
      <c r="B138" s="228" t="s">
        <v>9</v>
      </c>
      <c r="C138" s="228"/>
      <c r="D138" s="228"/>
      <c r="E138" s="228"/>
      <c r="F138" s="228"/>
      <c r="G138" s="22" t="s">
        <v>9</v>
      </c>
    </row>
    <row r="139" spans="1:8" ht="14.1" customHeight="1" x14ac:dyDescent="0.2">
      <c r="A139" s="20" t="s">
        <v>9</v>
      </c>
      <c r="B139" s="228" t="s">
        <v>9</v>
      </c>
      <c r="C139" s="228"/>
      <c r="D139" s="228"/>
      <c r="E139" s="228"/>
      <c r="F139" s="228"/>
      <c r="G139" s="22" t="s">
        <v>9</v>
      </c>
    </row>
    <row r="140" spans="1:8" ht="14.1" customHeight="1" x14ac:dyDescent="0.2">
      <c r="A140" s="20" t="s">
        <v>9</v>
      </c>
      <c r="B140" s="20" t="s">
        <v>9</v>
      </c>
      <c r="C140" s="20" t="s">
        <v>9</v>
      </c>
      <c r="D140" s="22" t="s">
        <v>9</v>
      </c>
      <c r="E140" s="22" t="s">
        <v>9</v>
      </c>
      <c r="F140" s="22" t="s">
        <v>9</v>
      </c>
      <c r="G140" s="22" t="s">
        <v>9</v>
      </c>
    </row>
    <row r="141" spans="1:8" ht="14.1" customHeight="1" x14ac:dyDescent="0.2">
      <c r="A141" s="20" t="s">
        <v>9</v>
      </c>
      <c r="B141" s="226" t="s">
        <v>138</v>
      </c>
      <c r="C141" s="227"/>
      <c r="D141" s="14" t="s">
        <v>9</v>
      </c>
      <c r="E141" s="23" t="s">
        <v>9</v>
      </c>
      <c r="F141" s="22" t="s">
        <v>9</v>
      </c>
      <c r="G141" s="22" t="s">
        <v>9</v>
      </c>
    </row>
    <row r="142" spans="1:8" ht="29.1" customHeight="1" x14ac:dyDescent="0.2">
      <c r="A142" s="20" t="s">
        <v>9</v>
      </c>
      <c r="B142" s="233" t="s">
        <v>139</v>
      </c>
      <c r="C142" s="234"/>
      <c r="D142" s="4" t="s">
        <v>140</v>
      </c>
      <c r="E142" s="23" t="s">
        <v>9</v>
      </c>
      <c r="F142" s="22" t="s">
        <v>9</v>
      </c>
      <c r="G142" s="22" t="s">
        <v>9</v>
      </c>
    </row>
    <row r="143" spans="1:8" ht="17.100000000000001" customHeight="1" x14ac:dyDescent="0.2">
      <c r="A143" s="20" t="s">
        <v>9</v>
      </c>
      <c r="B143" s="233" t="s">
        <v>141</v>
      </c>
      <c r="C143" s="234"/>
      <c r="D143" s="4" t="s">
        <v>140</v>
      </c>
      <c r="E143" s="23" t="s">
        <v>9</v>
      </c>
      <c r="F143" s="22" t="s">
        <v>9</v>
      </c>
      <c r="G143" s="22" t="s">
        <v>9</v>
      </c>
    </row>
    <row r="144" spans="1:8" ht="17.100000000000001" customHeight="1" x14ac:dyDescent="0.2">
      <c r="A144" s="20" t="s">
        <v>9</v>
      </c>
      <c r="B144" s="233" t="s">
        <v>142</v>
      </c>
      <c r="C144" s="234"/>
      <c r="D144" s="14" t="s">
        <v>9</v>
      </c>
      <c r="E144" s="23" t="s">
        <v>9</v>
      </c>
      <c r="F144" s="22" t="s">
        <v>9</v>
      </c>
      <c r="G144" s="22" t="s">
        <v>9</v>
      </c>
    </row>
    <row r="145" spans="1:7" ht="24" customHeight="1" x14ac:dyDescent="0.2">
      <c r="A145" s="24" t="s">
        <v>9</v>
      </c>
      <c r="B145" s="25" t="s">
        <v>9</v>
      </c>
      <c r="C145" s="25" t="s">
        <v>143</v>
      </c>
      <c r="D145" s="25" t="s">
        <v>144</v>
      </c>
      <c r="E145" s="24" t="s">
        <v>9</v>
      </c>
      <c r="F145" s="24" t="s">
        <v>9</v>
      </c>
      <c r="G145" s="24" t="s">
        <v>9</v>
      </c>
    </row>
    <row r="146" spans="1:7" ht="18" customHeight="1" x14ac:dyDescent="0.2">
      <c r="A146" s="24" t="s">
        <v>9</v>
      </c>
      <c r="B146" s="25" t="s">
        <v>145</v>
      </c>
      <c r="C146" s="25" t="s">
        <v>146</v>
      </c>
      <c r="D146" s="25" t="s">
        <v>147</v>
      </c>
      <c r="E146" s="24" t="s">
        <v>9</v>
      </c>
      <c r="F146" s="24" t="s">
        <v>9</v>
      </c>
      <c r="G146" s="24" t="s">
        <v>9</v>
      </c>
    </row>
    <row r="147" spans="1:7" ht="17.100000000000001" customHeight="1" x14ac:dyDescent="0.2">
      <c r="A147" s="24" t="s">
        <v>9</v>
      </c>
      <c r="B147" s="6" t="s">
        <v>148</v>
      </c>
      <c r="C147" s="26">
        <v>17.729900000000001</v>
      </c>
      <c r="D147" s="26">
        <v>18.950900000000001</v>
      </c>
      <c r="E147" s="24" t="s">
        <v>9</v>
      </c>
      <c r="F147" s="21" t="s">
        <v>9</v>
      </c>
      <c r="G147" s="27" t="s">
        <v>9</v>
      </c>
    </row>
    <row r="148" spans="1:7" ht="17.100000000000001" customHeight="1" x14ac:dyDescent="0.2">
      <c r="A148" s="24" t="s">
        <v>9</v>
      </c>
      <c r="B148" s="6" t="s">
        <v>839</v>
      </c>
      <c r="C148" s="26">
        <v>16.641300000000001</v>
      </c>
      <c r="D148" s="26">
        <v>17.787199999999999</v>
      </c>
      <c r="E148" s="24" t="s">
        <v>9</v>
      </c>
      <c r="F148" s="21" t="s">
        <v>9</v>
      </c>
      <c r="G148" s="27" t="s">
        <v>9</v>
      </c>
    </row>
    <row r="149" spans="1:7" ht="17.100000000000001" customHeight="1" x14ac:dyDescent="0.2">
      <c r="A149" s="24" t="s">
        <v>9</v>
      </c>
      <c r="B149" s="6" t="s">
        <v>149</v>
      </c>
      <c r="C149" s="26">
        <v>17.496099999999998</v>
      </c>
      <c r="D149" s="26">
        <v>18.694400000000002</v>
      </c>
      <c r="E149" s="24" t="s">
        <v>9</v>
      </c>
      <c r="F149" s="21" t="s">
        <v>9</v>
      </c>
      <c r="G149" s="27" t="s">
        <v>9</v>
      </c>
    </row>
    <row r="150" spans="1:7" ht="17.100000000000001" customHeight="1" x14ac:dyDescent="0.2">
      <c r="A150" s="24" t="s">
        <v>9</v>
      </c>
      <c r="B150" s="6" t="s">
        <v>840</v>
      </c>
      <c r="C150" s="26">
        <v>16.408000000000001</v>
      </c>
      <c r="D150" s="26">
        <v>17.5318</v>
      </c>
      <c r="E150" s="24" t="s">
        <v>9</v>
      </c>
      <c r="F150" s="21" t="s">
        <v>9</v>
      </c>
      <c r="G150" s="27" t="s">
        <v>9</v>
      </c>
    </row>
    <row r="151" spans="1:7" ht="14.1" customHeight="1" x14ac:dyDescent="0.2">
      <c r="A151" s="24" t="s">
        <v>9</v>
      </c>
      <c r="B151" s="24" t="s">
        <v>9</v>
      </c>
      <c r="C151" s="24" t="s">
        <v>9</v>
      </c>
      <c r="D151" s="24" t="s">
        <v>9</v>
      </c>
      <c r="E151" s="24" t="s">
        <v>9</v>
      </c>
      <c r="F151" s="24" t="s">
        <v>9</v>
      </c>
      <c r="G151" s="24" t="s">
        <v>9</v>
      </c>
    </row>
    <row r="152" spans="1:7" ht="17.100000000000001" customHeight="1" x14ac:dyDescent="0.2">
      <c r="A152" s="24" t="s">
        <v>9</v>
      </c>
      <c r="B152" s="233" t="s">
        <v>1003</v>
      </c>
      <c r="C152" s="234"/>
      <c r="D152" s="4" t="s">
        <v>140</v>
      </c>
      <c r="E152" s="24" t="s">
        <v>9</v>
      </c>
      <c r="F152" s="24" t="s">
        <v>9</v>
      </c>
      <c r="G152" s="24" t="s">
        <v>9</v>
      </c>
    </row>
    <row r="153" spans="1:7" ht="18" customHeight="1" x14ac:dyDescent="0.2">
      <c r="A153" s="24" t="s">
        <v>9</v>
      </c>
      <c r="B153" s="28" t="s">
        <v>150</v>
      </c>
      <c r="C153" s="28" t="s">
        <v>150</v>
      </c>
      <c r="D153" s="28" t="s">
        <v>9</v>
      </c>
      <c r="E153" s="24" t="s">
        <v>9</v>
      </c>
      <c r="F153" s="24" t="s">
        <v>9</v>
      </c>
      <c r="G153" s="24" t="s">
        <v>9</v>
      </c>
    </row>
    <row r="154" spans="1:7" s="169" customFormat="1" x14ac:dyDescent="0.2">
      <c r="B154" s="235" t="s">
        <v>841</v>
      </c>
      <c r="C154" s="235"/>
      <c r="D154" s="235"/>
      <c r="E154" s="235"/>
      <c r="F154" s="235"/>
    </row>
    <row r="155" spans="1:7" ht="14.1" customHeight="1" x14ac:dyDescent="0.2">
      <c r="A155" s="24" t="s">
        <v>9</v>
      </c>
      <c r="B155" s="21" t="s">
        <v>9</v>
      </c>
      <c r="C155" s="21" t="s">
        <v>9</v>
      </c>
      <c r="D155" s="24" t="s">
        <v>9</v>
      </c>
      <c r="E155" s="24" t="s">
        <v>9</v>
      </c>
      <c r="F155" s="24" t="s">
        <v>9</v>
      </c>
      <c r="G155" s="24" t="s">
        <v>9</v>
      </c>
    </row>
    <row r="156" spans="1:7" ht="29.1" customHeight="1" x14ac:dyDescent="0.2">
      <c r="A156" s="24" t="s">
        <v>9</v>
      </c>
      <c r="B156" s="233" t="s">
        <v>151</v>
      </c>
      <c r="C156" s="234"/>
      <c r="D156" s="4" t="s">
        <v>140</v>
      </c>
      <c r="E156" s="24" t="s">
        <v>9</v>
      </c>
      <c r="F156" s="24" t="s">
        <v>9</v>
      </c>
      <c r="G156" s="24" t="s">
        <v>9</v>
      </c>
    </row>
    <row r="157" spans="1:7" ht="29.1" customHeight="1" x14ac:dyDescent="0.2">
      <c r="A157" s="24" t="s">
        <v>9</v>
      </c>
      <c r="B157" s="233" t="s">
        <v>152</v>
      </c>
      <c r="C157" s="234"/>
      <c r="D157" s="4" t="s">
        <v>140</v>
      </c>
      <c r="E157" s="24" t="s">
        <v>9</v>
      </c>
      <c r="F157" s="24" t="s">
        <v>9</v>
      </c>
      <c r="G157" s="24" t="s">
        <v>9</v>
      </c>
    </row>
    <row r="158" spans="1:7" ht="17.100000000000001" customHeight="1" x14ac:dyDescent="0.2">
      <c r="A158" s="24" t="s">
        <v>9</v>
      </c>
      <c r="B158" s="233" t="s">
        <v>153</v>
      </c>
      <c r="C158" s="234"/>
      <c r="D158" s="29">
        <v>0.52107042315433882</v>
      </c>
      <c r="E158" s="24" t="s">
        <v>9</v>
      </c>
      <c r="F158" s="21" t="s">
        <v>9</v>
      </c>
      <c r="G158" s="27" t="s">
        <v>9</v>
      </c>
    </row>
    <row r="159" spans="1:7" ht="17.100000000000001" customHeight="1" x14ac:dyDescent="0.2">
      <c r="A159" s="24" t="s">
        <v>9</v>
      </c>
      <c r="B159" s="233" t="s">
        <v>154</v>
      </c>
      <c r="C159" s="234"/>
      <c r="D159" s="4" t="s">
        <v>140</v>
      </c>
      <c r="E159" s="24" t="s">
        <v>9</v>
      </c>
      <c r="F159" s="24" t="s">
        <v>9</v>
      </c>
      <c r="G159" s="24" t="s">
        <v>9</v>
      </c>
    </row>
  </sheetData>
  <mergeCells count="15">
    <mergeCell ref="B158:C158"/>
    <mergeCell ref="B159:C159"/>
    <mergeCell ref="B142:C142"/>
    <mergeCell ref="B143:C143"/>
    <mergeCell ref="B144:C144"/>
    <mergeCell ref="B152:C152"/>
    <mergeCell ref="B156:C156"/>
    <mergeCell ref="B157:C157"/>
    <mergeCell ref="B154:F154"/>
    <mergeCell ref="B141:C141"/>
    <mergeCell ref="B138:F138"/>
    <mergeCell ref="B139:F13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H126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493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20</v>
      </c>
      <c r="C7" s="6" t="s">
        <v>21</v>
      </c>
      <c r="D7" s="6" t="s">
        <v>22</v>
      </c>
      <c r="E7" s="7">
        <v>1862083</v>
      </c>
      <c r="F7" s="8">
        <v>12708.716474999999</v>
      </c>
      <c r="G7" s="9">
        <v>9.7426762E-2</v>
      </c>
      <c r="H7" s="164"/>
    </row>
    <row r="8" spans="1:8" x14ac:dyDescent="0.2">
      <c r="A8" s="5">
        <v>2</v>
      </c>
      <c r="B8" s="6" t="s">
        <v>403</v>
      </c>
      <c r="C8" s="6" t="s">
        <v>404</v>
      </c>
      <c r="D8" s="6" t="s">
        <v>179</v>
      </c>
      <c r="E8" s="7">
        <v>785561</v>
      </c>
      <c r="F8" s="8">
        <v>12651.459905</v>
      </c>
      <c r="G8" s="9">
        <v>9.6987825999999999E-2</v>
      </c>
      <c r="H8" s="164"/>
    </row>
    <row r="9" spans="1:8" x14ac:dyDescent="0.2">
      <c r="A9" s="5">
        <v>3</v>
      </c>
      <c r="B9" s="6" t="s">
        <v>79</v>
      </c>
      <c r="C9" s="6" t="s">
        <v>80</v>
      </c>
      <c r="D9" s="6" t="s">
        <v>22</v>
      </c>
      <c r="E9" s="7">
        <v>780385</v>
      </c>
      <c r="F9" s="8">
        <v>11131.801832499999</v>
      </c>
      <c r="G9" s="9">
        <v>8.5337917999999999E-2</v>
      </c>
      <c r="H9" s="164"/>
    </row>
    <row r="10" spans="1:8" x14ac:dyDescent="0.2">
      <c r="A10" s="5">
        <v>4</v>
      </c>
      <c r="B10" s="6" t="s">
        <v>12</v>
      </c>
      <c r="C10" s="6" t="s">
        <v>13</v>
      </c>
      <c r="D10" s="6" t="s">
        <v>14</v>
      </c>
      <c r="E10" s="7">
        <v>471874</v>
      </c>
      <c r="F10" s="8">
        <v>7556.8261730000004</v>
      </c>
      <c r="G10" s="9">
        <v>5.7931665E-2</v>
      </c>
      <c r="H10" s="164"/>
    </row>
    <row r="11" spans="1:8" x14ac:dyDescent="0.2">
      <c r="A11" s="5">
        <v>5</v>
      </c>
      <c r="B11" s="6" t="s">
        <v>407</v>
      </c>
      <c r="C11" s="6" t="s">
        <v>408</v>
      </c>
      <c r="D11" s="6" t="s">
        <v>22</v>
      </c>
      <c r="E11" s="7">
        <v>1616281</v>
      </c>
      <c r="F11" s="8">
        <v>6979.1013579999999</v>
      </c>
      <c r="G11" s="9">
        <v>5.3502747000000003E-2</v>
      </c>
      <c r="H11" s="164"/>
    </row>
    <row r="12" spans="1:8" x14ac:dyDescent="0.2">
      <c r="A12" s="5">
        <v>6</v>
      </c>
      <c r="B12" s="6" t="s">
        <v>357</v>
      </c>
      <c r="C12" s="6" t="s">
        <v>358</v>
      </c>
      <c r="D12" s="6" t="s">
        <v>22</v>
      </c>
      <c r="E12" s="7">
        <v>901060</v>
      </c>
      <c r="F12" s="8">
        <v>6387.6143400000001</v>
      </c>
      <c r="G12" s="9">
        <v>4.8968326999999999E-2</v>
      </c>
      <c r="H12" s="164"/>
    </row>
    <row r="13" spans="1:8" x14ac:dyDescent="0.2">
      <c r="A13" s="5">
        <v>7</v>
      </c>
      <c r="B13" s="6" t="s">
        <v>419</v>
      </c>
      <c r="C13" s="6" t="s">
        <v>420</v>
      </c>
      <c r="D13" s="6" t="s">
        <v>179</v>
      </c>
      <c r="E13" s="7">
        <v>193388</v>
      </c>
      <c r="F13" s="8">
        <v>6125.4682059999996</v>
      </c>
      <c r="G13" s="9">
        <v>4.6958679000000003E-2</v>
      </c>
      <c r="H13" s="164"/>
    </row>
    <row r="14" spans="1:8" x14ac:dyDescent="0.2">
      <c r="A14" s="5">
        <v>8</v>
      </c>
      <c r="B14" s="6" t="s">
        <v>15</v>
      </c>
      <c r="C14" s="6" t="s">
        <v>16</v>
      </c>
      <c r="D14" s="6" t="s">
        <v>17</v>
      </c>
      <c r="E14" s="7">
        <v>292210</v>
      </c>
      <c r="F14" s="8">
        <v>5947.3501299999998</v>
      </c>
      <c r="G14" s="9">
        <v>4.5593201E-2</v>
      </c>
      <c r="H14" s="164"/>
    </row>
    <row r="15" spans="1:8" ht="25.5" x14ac:dyDescent="0.2">
      <c r="A15" s="5">
        <v>9</v>
      </c>
      <c r="B15" s="6" t="s">
        <v>405</v>
      </c>
      <c r="C15" s="6" t="s">
        <v>406</v>
      </c>
      <c r="D15" s="6" t="s">
        <v>161</v>
      </c>
      <c r="E15" s="7">
        <v>207954</v>
      </c>
      <c r="F15" s="8">
        <v>5076.4690710000004</v>
      </c>
      <c r="G15" s="9">
        <v>3.8916908E-2</v>
      </c>
      <c r="H15" s="164"/>
    </row>
    <row r="16" spans="1:8" x14ac:dyDescent="0.2">
      <c r="A16" s="5">
        <v>10</v>
      </c>
      <c r="B16" s="6" t="s">
        <v>371</v>
      </c>
      <c r="C16" s="6" t="s">
        <v>372</v>
      </c>
      <c r="D16" s="6" t="s">
        <v>179</v>
      </c>
      <c r="E16" s="7">
        <v>481547</v>
      </c>
      <c r="F16" s="8">
        <v>4935.6159765000002</v>
      </c>
      <c r="G16" s="9">
        <v>3.7837109000000001E-2</v>
      </c>
      <c r="H16" s="164"/>
    </row>
    <row r="17" spans="1:8" x14ac:dyDescent="0.2">
      <c r="A17" s="5">
        <v>11</v>
      </c>
      <c r="B17" s="6" t="s">
        <v>53</v>
      </c>
      <c r="C17" s="6" t="s">
        <v>54</v>
      </c>
      <c r="D17" s="6" t="s">
        <v>17</v>
      </c>
      <c r="E17" s="7">
        <v>1105245</v>
      </c>
      <c r="F17" s="8">
        <v>4923.8664749999998</v>
      </c>
      <c r="G17" s="9">
        <v>3.7747034999999998E-2</v>
      </c>
      <c r="H17" s="164"/>
    </row>
    <row r="18" spans="1:8" x14ac:dyDescent="0.2">
      <c r="A18" s="5">
        <v>12</v>
      </c>
      <c r="B18" s="6" t="s">
        <v>395</v>
      </c>
      <c r="C18" s="6" t="s">
        <v>396</v>
      </c>
      <c r="D18" s="6" t="s">
        <v>932</v>
      </c>
      <c r="E18" s="7">
        <v>30046</v>
      </c>
      <c r="F18" s="8">
        <v>4273.2022120000001</v>
      </c>
      <c r="G18" s="9">
        <v>3.2758954E-2</v>
      </c>
      <c r="H18" s="164"/>
    </row>
    <row r="19" spans="1:8" ht="25.5" x14ac:dyDescent="0.2">
      <c r="A19" s="5">
        <v>13</v>
      </c>
      <c r="B19" s="6" t="s">
        <v>336</v>
      </c>
      <c r="C19" s="6" t="s">
        <v>337</v>
      </c>
      <c r="D19" s="6" t="s">
        <v>67</v>
      </c>
      <c r="E19" s="7">
        <v>557967</v>
      </c>
      <c r="F19" s="8">
        <v>4250.5926060000002</v>
      </c>
      <c r="G19" s="9">
        <v>3.2585625E-2</v>
      </c>
      <c r="H19" s="164"/>
    </row>
    <row r="20" spans="1:8" x14ac:dyDescent="0.2">
      <c r="A20" s="5">
        <v>14</v>
      </c>
      <c r="B20" s="6" t="s">
        <v>413</v>
      </c>
      <c r="C20" s="6" t="s">
        <v>414</v>
      </c>
      <c r="D20" s="6" t="s">
        <v>200</v>
      </c>
      <c r="E20" s="7">
        <v>535314</v>
      </c>
      <c r="F20" s="8">
        <v>4143.0627029999996</v>
      </c>
      <c r="G20" s="9">
        <v>3.1761286E-2</v>
      </c>
      <c r="H20" s="164"/>
    </row>
    <row r="21" spans="1:8" x14ac:dyDescent="0.2">
      <c r="A21" s="5">
        <v>15</v>
      </c>
      <c r="B21" s="6" t="s">
        <v>328</v>
      </c>
      <c r="C21" s="6" t="s">
        <v>329</v>
      </c>
      <c r="D21" s="6" t="s">
        <v>266</v>
      </c>
      <c r="E21" s="7">
        <v>131417</v>
      </c>
      <c r="F21" s="8">
        <v>3877.0643340000001</v>
      </c>
      <c r="G21" s="9">
        <v>2.9722107000000001E-2</v>
      </c>
      <c r="H21" s="164"/>
    </row>
    <row r="22" spans="1:8" x14ac:dyDescent="0.2">
      <c r="A22" s="5">
        <v>16</v>
      </c>
      <c r="B22" s="6" t="s">
        <v>23</v>
      </c>
      <c r="C22" s="6" t="s">
        <v>24</v>
      </c>
      <c r="D22" s="6" t="s">
        <v>25</v>
      </c>
      <c r="E22" s="7">
        <v>587991</v>
      </c>
      <c r="F22" s="8">
        <v>3302.4514515000001</v>
      </c>
      <c r="G22" s="9">
        <v>2.5317045E-2</v>
      </c>
      <c r="H22" s="164"/>
    </row>
    <row r="23" spans="1:8" x14ac:dyDescent="0.2">
      <c r="A23" s="5">
        <v>17</v>
      </c>
      <c r="B23" s="6" t="s">
        <v>101</v>
      </c>
      <c r="C23" s="6" t="s">
        <v>102</v>
      </c>
      <c r="D23" s="6" t="s">
        <v>76</v>
      </c>
      <c r="E23" s="7">
        <v>577479</v>
      </c>
      <c r="F23" s="8">
        <v>3220.8891225000002</v>
      </c>
      <c r="G23" s="9">
        <v>2.4691777000000002E-2</v>
      </c>
      <c r="H23" s="164"/>
    </row>
    <row r="24" spans="1:8" x14ac:dyDescent="0.2">
      <c r="A24" s="5">
        <v>18</v>
      </c>
      <c r="B24" s="6" t="s">
        <v>308</v>
      </c>
      <c r="C24" s="6" t="s">
        <v>309</v>
      </c>
      <c r="D24" s="6" t="s">
        <v>182</v>
      </c>
      <c r="E24" s="7">
        <v>59921</v>
      </c>
      <c r="F24" s="8">
        <v>2417.8123500000002</v>
      </c>
      <c r="G24" s="9">
        <v>1.8535281000000001E-2</v>
      </c>
      <c r="H24" s="164"/>
    </row>
    <row r="25" spans="1:8" ht="25.5" x14ac:dyDescent="0.2">
      <c r="A25" s="5">
        <v>19</v>
      </c>
      <c r="B25" s="6" t="s">
        <v>33</v>
      </c>
      <c r="C25" s="6" t="s">
        <v>34</v>
      </c>
      <c r="D25" s="6" t="s">
        <v>925</v>
      </c>
      <c r="E25" s="7">
        <v>31653</v>
      </c>
      <c r="F25" s="8">
        <v>2411.7053759999999</v>
      </c>
      <c r="G25" s="9">
        <v>1.8488464E-2</v>
      </c>
      <c r="H25" s="164"/>
    </row>
    <row r="26" spans="1:8" x14ac:dyDescent="0.2">
      <c r="A26" s="5">
        <v>20</v>
      </c>
      <c r="B26" s="6" t="s">
        <v>359</v>
      </c>
      <c r="C26" s="6" t="s">
        <v>360</v>
      </c>
      <c r="D26" s="6" t="s">
        <v>161</v>
      </c>
      <c r="E26" s="7">
        <v>167131</v>
      </c>
      <c r="F26" s="8">
        <v>2323.288031</v>
      </c>
      <c r="G26" s="9">
        <v>1.7810644E-2</v>
      </c>
      <c r="H26" s="164"/>
    </row>
    <row r="27" spans="1:8" x14ac:dyDescent="0.2">
      <c r="A27" s="5">
        <v>21</v>
      </c>
      <c r="B27" s="6" t="s">
        <v>86</v>
      </c>
      <c r="C27" s="6" t="s">
        <v>87</v>
      </c>
      <c r="D27" s="6" t="s">
        <v>88</v>
      </c>
      <c r="E27" s="7">
        <v>1554073</v>
      </c>
      <c r="F27" s="8">
        <v>2063.8089439999999</v>
      </c>
      <c r="G27" s="9">
        <v>1.5821442000000002E-2</v>
      </c>
      <c r="H27" s="164"/>
    </row>
    <row r="28" spans="1:8" x14ac:dyDescent="0.2">
      <c r="A28" s="5">
        <v>22</v>
      </c>
      <c r="B28" s="6" t="s">
        <v>411</v>
      </c>
      <c r="C28" s="6" t="s">
        <v>412</v>
      </c>
      <c r="D28" s="6" t="s">
        <v>59</v>
      </c>
      <c r="E28" s="7">
        <v>138248</v>
      </c>
      <c r="F28" s="8">
        <v>1982.8910639999999</v>
      </c>
      <c r="G28" s="9">
        <v>1.5201114999999999E-2</v>
      </c>
      <c r="H28" s="164"/>
    </row>
    <row r="29" spans="1:8" ht="25.5" x14ac:dyDescent="0.2">
      <c r="A29" s="5">
        <v>23</v>
      </c>
      <c r="B29" s="6" t="s">
        <v>417</v>
      </c>
      <c r="C29" s="6" t="s">
        <v>418</v>
      </c>
      <c r="D29" s="6" t="s">
        <v>67</v>
      </c>
      <c r="E29" s="7">
        <v>84798</v>
      </c>
      <c r="F29" s="8">
        <v>1978.5917340000001</v>
      </c>
      <c r="G29" s="9">
        <v>1.5168154999999999E-2</v>
      </c>
      <c r="H29" s="164"/>
    </row>
    <row r="30" spans="1:8" ht="25.5" x14ac:dyDescent="0.2">
      <c r="A30" s="5">
        <v>24</v>
      </c>
      <c r="B30" s="6" t="s">
        <v>393</v>
      </c>
      <c r="C30" s="6" t="s">
        <v>394</v>
      </c>
      <c r="D30" s="6" t="s">
        <v>67</v>
      </c>
      <c r="E30" s="7">
        <v>256497</v>
      </c>
      <c r="F30" s="8">
        <v>1939.7585624999999</v>
      </c>
      <c r="G30" s="9">
        <v>1.4870454999999999E-2</v>
      </c>
      <c r="H30" s="164"/>
    </row>
    <row r="31" spans="1:8" x14ac:dyDescent="0.2">
      <c r="A31" s="5">
        <v>25</v>
      </c>
      <c r="B31" s="6" t="s">
        <v>448</v>
      </c>
      <c r="C31" s="6" t="s">
        <v>449</v>
      </c>
      <c r="D31" s="6" t="s">
        <v>195</v>
      </c>
      <c r="E31" s="7">
        <v>637374</v>
      </c>
      <c r="F31" s="8">
        <v>1493.6859689999999</v>
      </c>
      <c r="G31" s="9">
        <v>1.1450801E-2</v>
      </c>
      <c r="H31" s="164"/>
    </row>
    <row r="32" spans="1:8" x14ac:dyDescent="0.2">
      <c r="A32" s="5">
        <v>26</v>
      </c>
      <c r="B32" s="6" t="s">
        <v>436</v>
      </c>
      <c r="C32" s="6" t="s">
        <v>437</v>
      </c>
      <c r="D32" s="6" t="s">
        <v>22</v>
      </c>
      <c r="E32" s="7">
        <v>79396</v>
      </c>
      <c r="F32" s="8">
        <v>1313.845008</v>
      </c>
      <c r="G32" s="9">
        <v>1.0072116000000001E-2</v>
      </c>
      <c r="H32" s="164"/>
    </row>
    <row r="33" spans="1:8" x14ac:dyDescent="0.2">
      <c r="A33" s="5">
        <v>27</v>
      </c>
      <c r="B33" s="6" t="s">
        <v>306</v>
      </c>
      <c r="C33" s="6" t="s">
        <v>307</v>
      </c>
      <c r="D33" s="6" t="s">
        <v>179</v>
      </c>
      <c r="E33" s="7">
        <v>40000</v>
      </c>
      <c r="F33" s="8">
        <v>1146.08</v>
      </c>
      <c r="G33" s="9">
        <v>8.7860060000000007E-3</v>
      </c>
      <c r="H33" s="164"/>
    </row>
    <row r="34" spans="1:8" x14ac:dyDescent="0.2">
      <c r="A34" s="5">
        <v>28</v>
      </c>
      <c r="B34" s="6" t="s">
        <v>446</v>
      </c>
      <c r="C34" s="6" t="s">
        <v>447</v>
      </c>
      <c r="D34" s="6" t="s">
        <v>200</v>
      </c>
      <c r="E34" s="7">
        <v>122147</v>
      </c>
      <c r="F34" s="8">
        <v>1123.8134735000001</v>
      </c>
      <c r="G34" s="9">
        <v>8.6153080000000003E-3</v>
      </c>
      <c r="H34" s="164"/>
    </row>
    <row r="35" spans="1:8" ht="25.5" x14ac:dyDescent="0.2">
      <c r="A35" s="5">
        <v>29</v>
      </c>
      <c r="B35" s="6" t="s">
        <v>322</v>
      </c>
      <c r="C35" s="6" t="s">
        <v>323</v>
      </c>
      <c r="D35" s="6" t="s">
        <v>62</v>
      </c>
      <c r="E35" s="7">
        <v>154923</v>
      </c>
      <c r="F35" s="8">
        <v>754.62993300000005</v>
      </c>
      <c r="G35" s="9">
        <v>5.785096E-3</v>
      </c>
      <c r="H35" s="164"/>
    </row>
    <row r="36" spans="1:8" x14ac:dyDescent="0.2">
      <c r="A36" s="5">
        <v>30</v>
      </c>
      <c r="B36" s="6" t="s">
        <v>494</v>
      </c>
      <c r="C36" s="6" t="s">
        <v>495</v>
      </c>
      <c r="D36" s="6" t="s">
        <v>88</v>
      </c>
      <c r="E36" s="7">
        <v>8255</v>
      </c>
      <c r="F36" s="8">
        <v>576.00913500000001</v>
      </c>
      <c r="G36" s="9">
        <v>4.4157650000000003E-3</v>
      </c>
      <c r="H36" s="164"/>
    </row>
    <row r="37" spans="1:8" x14ac:dyDescent="0.2">
      <c r="A37" s="3" t="s">
        <v>9</v>
      </c>
      <c r="B37" s="3" t="s">
        <v>9</v>
      </c>
      <c r="C37" s="4" t="s">
        <v>110</v>
      </c>
      <c r="D37" s="3" t="s">
        <v>9</v>
      </c>
      <c r="E37" s="3" t="s">
        <v>9</v>
      </c>
      <c r="F37" s="11">
        <v>129017.471951</v>
      </c>
      <c r="G37" s="12">
        <v>0.98906561900000001</v>
      </c>
      <c r="H37" s="164"/>
    </row>
    <row r="38" spans="1:8" x14ac:dyDescent="0.2">
      <c r="A38" s="3" t="s">
        <v>9</v>
      </c>
      <c r="B38" s="3" t="s">
        <v>9</v>
      </c>
      <c r="C38" s="13" t="s">
        <v>9</v>
      </c>
      <c r="D38" s="3" t="s">
        <v>9</v>
      </c>
      <c r="E38" s="3" t="s">
        <v>9</v>
      </c>
      <c r="F38" s="14" t="s">
        <v>9</v>
      </c>
      <c r="G38" s="14" t="s">
        <v>9</v>
      </c>
      <c r="H38" s="164"/>
    </row>
    <row r="39" spans="1:8" x14ac:dyDescent="0.2">
      <c r="A39" s="3" t="s">
        <v>9</v>
      </c>
      <c r="B39" s="3" t="s">
        <v>9</v>
      </c>
      <c r="C39" s="4" t="s">
        <v>111</v>
      </c>
      <c r="D39" s="3" t="s">
        <v>9</v>
      </c>
      <c r="E39" s="3" t="s">
        <v>9</v>
      </c>
      <c r="F39" s="3" t="s">
        <v>9</v>
      </c>
      <c r="G39" s="3" t="s">
        <v>9</v>
      </c>
      <c r="H39" s="164"/>
    </row>
    <row r="40" spans="1:8" x14ac:dyDescent="0.2">
      <c r="A40" s="3" t="s">
        <v>9</v>
      </c>
      <c r="B40" s="3" t="s">
        <v>9</v>
      </c>
      <c r="C40" s="4" t="s">
        <v>110</v>
      </c>
      <c r="D40" s="3" t="s">
        <v>9</v>
      </c>
      <c r="E40" s="3" t="s">
        <v>9</v>
      </c>
      <c r="F40" s="15">
        <v>0</v>
      </c>
      <c r="G40" s="16">
        <v>0</v>
      </c>
      <c r="H40" s="164"/>
    </row>
    <row r="41" spans="1:8" x14ac:dyDescent="0.2">
      <c r="A41" s="3" t="s">
        <v>9</v>
      </c>
      <c r="B41" s="3" t="s">
        <v>9</v>
      </c>
      <c r="C41" s="13" t="s">
        <v>9</v>
      </c>
      <c r="D41" s="3" t="s">
        <v>9</v>
      </c>
      <c r="E41" s="3" t="s">
        <v>9</v>
      </c>
      <c r="F41" s="14" t="s">
        <v>9</v>
      </c>
      <c r="G41" s="14" t="s">
        <v>9</v>
      </c>
      <c r="H41" s="164"/>
    </row>
    <row r="42" spans="1:8" x14ac:dyDescent="0.2">
      <c r="A42" s="3" t="s">
        <v>9</v>
      </c>
      <c r="B42" s="3" t="s">
        <v>9</v>
      </c>
      <c r="C42" s="4" t="s">
        <v>112</v>
      </c>
      <c r="D42" s="3" t="s">
        <v>9</v>
      </c>
      <c r="E42" s="3" t="s">
        <v>9</v>
      </c>
      <c r="F42" s="3" t="s">
        <v>9</v>
      </c>
      <c r="G42" s="3" t="s">
        <v>9</v>
      </c>
      <c r="H42" s="164"/>
    </row>
    <row r="43" spans="1:8" x14ac:dyDescent="0.2">
      <c r="A43" s="3" t="s">
        <v>9</v>
      </c>
      <c r="B43" s="3" t="s">
        <v>9</v>
      </c>
      <c r="C43" s="4" t="s">
        <v>110</v>
      </c>
      <c r="D43" s="3" t="s">
        <v>9</v>
      </c>
      <c r="E43" s="3" t="s">
        <v>9</v>
      </c>
      <c r="F43" s="15">
        <v>0</v>
      </c>
      <c r="G43" s="16">
        <v>0</v>
      </c>
      <c r="H43" s="164"/>
    </row>
    <row r="44" spans="1:8" x14ac:dyDescent="0.2">
      <c r="A44" s="3" t="s">
        <v>9</v>
      </c>
      <c r="B44" s="3" t="s">
        <v>9</v>
      </c>
      <c r="C44" s="13" t="s">
        <v>9</v>
      </c>
      <c r="D44" s="3" t="s">
        <v>9</v>
      </c>
      <c r="E44" s="3" t="s">
        <v>9</v>
      </c>
      <c r="F44" s="14" t="s">
        <v>9</v>
      </c>
      <c r="G44" s="14" t="s">
        <v>9</v>
      </c>
      <c r="H44" s="164"/>
    </row>
    <row r="45" spans="1:8" x14ac:dyDescent="0.2">
      <c r="A45" s="3" t="s">
        <v>9</v>
      </c>
      <c r="B45" s="3" t="s">
        <v>9</v>
      </c>
      <c r="C45" s="4" t="s">
        <v>113</v>
      </c>
      <c r="D45" s="3" t="s">
        <v>9</v>
      </c>
      <c r="E45" s="3" t="s">
        <v>9</v>
      </c>
      <c r="F45" s="3" t="s">
        <v>9</v>
      </c>
      <c r="G45" s="3" t="s">
        <v>9</v>
      </c>
      <c r="H45" s="164"/>
    </row>
    <row r="46" spans="1:8" x14ac:dyDescent="0.2">
      <c r="A46" s="3" t="s">
        <v>9</v>
      </c>
      <c r="B46" s="3" t="s">
        <v>9</v>
      </c>
      <c r="C46" s="4" t="s">
        <v>110</v>
      </c>
      <c r="D46" s="3" t="s">
        <v>9</v>
      </c>
      <c r="E46" s="3" t="s">
        <v>9</v>
      </c>
      <c r="F46" s="15">
        <v>0</v>
      </c>
      <c r="G46" s="16">
        <v>0</v>
      </c>
      <c r="H46" s="164"/>
    </row>
    <row r="47" spans="1:8" x14ac:dyDescent="0.2">
      <c r="A47" s="3" t="s">
        <v>9</v>
      </c>
      <c r="B47" s="3" t="s">
        <v>9</v>
      </c>
      <c r="C47" s="13" t="s">
        <v>9</v>
      </c>
      <c r="D47" s="3" t="s">
        <v>9</v>
      </c>
      <c r="E47" s="3" t="s">
        <v>9</v>
      </c>
      <c r="F47" s="14" t="s">
        <v>9</v>
      </c>
      <c r="G47" s="14" t="s">
        <v>9</v>
      </c>
      <c r="H47" s="164"/>
    </row>
    <row r="48" spans="1:8" x14ac:dyDescent="0.2">
      <c r="A48" s="3" t="s">
        <v>9</v>
      </c>
      <c r="B48" s="3" t="s">
        <v>9</v>
      </c>
      <c r="C48" s="4" t="s">
        <v>114</v>
      </c>
      <c r="D48" s="3" t="s">
        <v>9</v>
      </c>
      <c r="E48" s="3" t="s">
        <v>9</v>
      </c>
      <c r="F48" s="14" t="s">
        <v>9</v>
      </c>
      <c r="G48" s="14" t="s">
        <v>9</v>
      </c>
      <c r="H48" s="164"/>
    </row>
    <row r="49" spans="1:8" x14ac:dyDescent="0.2">
      <c r="A49" s="3" t="s">
        <v>9</v>
      </c>
      <c r="B49" s="3" t="s">
        <v>9</v>
      </c>
      <c r="C49" s="4" t="s">
        <v>110</v>
      </c>
      <c r="D49" s="3" t="s">
        <v>9</v>
      </c>
      <c r="E49" s="3" t="s">
        <v>9</v>
      </c>
      <c r="F49" s="15">
        <v>0</v>
      </c>
      <c r="G49" s="16">
        <v>0</v>
      </c>
      <c r="H49" s="164"/>
    </row>
    <row r="50" spans="1:8" x14ac:dyDescent="0.2">
      <c r="A50" s="3" t="s">
        <v>9</v>
      </c>
      <c r="B50" s="3" t="s">
        <v>9</v>
      </c>
      <c r="C50" s="13" t="s">
        <v>9</v>
      </c>
      <c r="D50" s="3" t="s">
        <v>9</v>
      </c>
      <c r="E50" s="3" t="s">
        <v>9</v>
      </c>
      <c r="F50" s="14" t="s">
        <v>9</v>
      </c>
      <c r="G50" s="14" t="s">
        <v>9</v>
      </c>
      <c r="H50" s="164"/>
    </row>
    <row r="51" spans="1:8" x14ac:dyDescent="0.2">
      <c r="A51" s="3" t="s">
        <v>9</v>
      </c>
      <c r="B51" s="3" t="s">
        <v>9</v>
      </c>
      <c r="C51" s="4" t="s">
        <v>115</v>
      </c>
      <c r="D51" s="3" t="s">
        <v>9</v>
      </c>
      <c r="E51" s="3" t="s">
        <v>9</v>
      </c>
      <c r="F51" s="14" t="s">
        <v>9</v>
      </c>
      <c r="G51" s="14" t="s">
        <v>9</v>
      </c>
      <c r="H51" s="164"/>
    </row>
    <row r="52" spans="1:8" x14ac:dyDescent="0.2">
      <c r="A52" s="3" t="s">
        <v>9</v>
      </c>
      <c r="B52" s="3" t="s">
        <v>9</v>
      </c>
      <c r="C52" s="4" t="s">
        <v>110</v>
      </c>
      <c r="D52" s="3" t="s">
        <v>9</v>
      </c>
      <c r="E52" s="3" t="s">
        <v>9</v>
      </c>
      <c r="F52" s="15">
        <v>0</v>
      </c>
      <c r="G52" s="16">
        <v>0</v>
      </c>
      <c r="H52" s="164"/>
    </row>
    <row r="53" spans="1:8" x14ac:dyDescent="0.2">
      <c r="A53" s="3" t="s">
        <v>9</v>
      </c>
      <c r="B53" s="3" t="s">
        <v>9</v>
      </c>
      <c r="C53" s="13" t="s">
        <v>9</v>
      </c>
      <c r="D53" s="3" t="s">
        <v>9</v>
      </c>
      <c r="E53" s="3" t="s">
        <v>9</v>
      </c>
      <c r="F53" s="14" t="s">
        <v>9</v>
      </c>
      <c r="G53" s="14" t="s">
        <v>9</v>
      </c>
      <c r="H53" s="164"/>
    </row>
    <row r="54" spans="1:8" x14ac:dyDescent="0.2">
      <c r="A54" s="3" t="s">
        <v>9</v>
      </c>
      <c r="B54" s="3" t="s">
        <v>9</v>
      </c>
      <c r="C54" s="4" t="s">
        <v>116</v>
      </c>
      <c r="D54" s="3" t="s">
        <v>9</v>
      </c>
      <c r="E54" s="3" t="s">
        <v>9</v>
      </c>
      <c r="F54" s="11">
        <v>129017.471951</v>
      </c>
      <c r="G54" s="12">
        <v>0.98906561900000001</v>
      </c>
      <c r="H54" s="164"/>
    </row>
    <row r="55" spans="1:8" x14ac:dyDescent="0.2">
      <c r="A55" s="3" t="s">
        <v>9</v>
      </c>
      <c r="B55" s="3" t="s">
        <v>9</v>
      </c>
      <c r="C55" s="13" t="s">
        <v>9</v>
      </c>
      <c r="D55" s="3" t="s">
        <v>9</v>
      </c>
      <c r="E55" s="3" t="s">
        <v>9</v>
      </c>
      <c r="F55" s="14" t="s">
        <v>9</v>
      </c>
      <c r="G55" s="14" t="s">
        <v>9</v>
      </c>
      <c r="H55" s="164"/>
    </row>
    <row r="56" spans="1:8" x14ac:dyDescent="0.2">
      <c r="A56" s="3" t="s">
        <v>9</v>
      </c>
      <c r="B56" s="3" t="s">
        <v>9</v>
      </c>
      <c r="C56" s="4" t="s">
        <v>117</v>
      </c>
      <c r="D56" s="3" t="s">
        <v>9</v>
      </c>
      <c r="E56" s="3" t="s">
        <v>9</v>
      </c>
      <c r="F56" s="14" t="s">
        <v>9</v>
      </c>
      <c r="G56" s="14" t="s">
        <v>9</v>
      </c>
      <c r="H56" s="164"/>
    </row>
    <row r="57" spans="1:8" ht="25.5" x14ac:dyDescent="0.2">
      <c r="A57" s="3" t="s">
        <v>9</v>
      </c>
      <c r="B57" s="3" t="s">
        <v>9</v>
      </c>
      <c r="C57" s="4" t="s">
        <v>11</v>
      </c>
      <c r="D57" s="3" t="s">
        <v>9</v>
      </c>
      <c r="E57" s="3" t="s">
        <v>9</v>
      </c>
      <c r="F57" s="14" t="s">
        <v>9</v>
      </c>
      <c r="G57" s="14" t="s">
        <v>9</v>
      </c>
      <c r="H57" s="164"/>
    </row>
    <row r="58" spans="1:8" x14ac:dyDescent="0.2">
      <c r="A58" s="3" t="s">
        <v>9</v>
      </c>
      <c r="B58" s="3" t="s">
        <v>9</v>
      </c>
      <c r="C58" s="4" t="s">
        <v>110</v>
      </c>
      <c r="D58" s="3" t="s">
        <v>9</v>
      </c>
      <c r="E58" s="3" t="s">
        <v>9</v>
      </c>
      <c r="F58" s="15">
        <v>0</v>
      </c>
      <c r="G58" s="16">
        <v>0</v>
      </c>
      <c r="H58" s="164"/>
    </row>
    <row r="59" spans="1:8" x14ac:dyDescent="0.2">
      <c r="A59" s="3" t="s">
        <v>9</v>
      </c>
      <c r="B59" s="3" t="s">
        <v>9</v>
      </c>
      <c r="C59" s="13" t="s">
        <v>9</v>
      </c>
      <c r="D59" s="3" t="s">
        <v>9</v>
      </c>
      <c r="E59" s="3" t="s">
        <v>9</v>
      </c>
      <c r="F59" s="14" t="s">
        <v>9</v>
      </c>
      <c r="G59" s="14" t="s">
        <v>9</v>
      </c>
      <c r="H59" s="164"/>
    </row>
    <row r="60" spans="1:8" x14ac:dyDescent="0.2">
      <c r="A60" s="3" t="s">
        <v>9</v>
      </c>
      <c r="B60" s="3" t="s">
        <v>9</v>
      </c>
      <c r="C60" s="4" t="s">
        <v>118</v>
      </c>
      <c r="D60" s="3" t="s">
        <v>9</v>
      </c>
      <c r="E60" s="3" t="s">
        <v>9</v>
      </c>
      <c r="F60" s="3" t="s">
        <v>9</v>
      </c>
      <c r="G60" s="3" t="s">
        <v>9</v>
      </c>
      <c r="H60" s="164"/>
    </row>
    <row r="61" spans="1:8" x14ac:dyDescent="0.2">
      <c r="A61" s="3" t="s">
        <v>9</v>
      </c>
      <c r="B61" s="3" t="s">
        <v>9</v>
      </c>
      <c r="C61" s="4" t="s">
        <v>110</v>
      </c>
      <c r="D61" s="3" t="s">
        <v>9</v>
      </c>
      <c r="E61" s="3" t="s">
        <v>9</v>
      </c>
      <c r="F61" s="15">
        <v>0</v>
      </c>
      <c r="G61" s="16">
        <v>0</v>
      </c>
      <c r="H61" s="164"/>
    </row>
    <row r="62" spans="1:8" x14ac:dyDescent="0.2">
      <c r="A62" s="3" t="s">
        <v>9</v>
      </c>
      <c r="B62" s="3" t="s">
        <v>9</v>
      </c>
      <c r="C62" s="13" t="s">
        <v>9</v>
      </c>
      <c r="D62" s="3" t="s">
        <v>9</v>
      </c>
      <c r="E62" s="3" t="s">
        <v>9</v>
      </c>
      <c r="F62" s="14" t="s">
        <v>9</v>
      </c>
      <c r="G62" s="14" t="s">
        <v>9</v>
      </c>
      <c r="H62" s="164"/>
    </row>
    <row r="63" spans="1:8" x14ac:dyDescent="0.2">
      <c r="A63" s="3" t="s">
        <v>9</v>
      </c>
      <c r="B63" s="3" t="s">
        <v>9</v>
      </c>
      <c r="C63" s="4" t="s">
        <v>119</v>
      </c>
      <c r="D63" s="3" t="s">
        <v>9</v>
      </c>
      <c r="E63" s="3" t="s">
        <v>9</v>
      </c>
      <c r="F63" s="3" t="s">
        <v>9</v>
      </c>
      <c r="G63" s="3" t="s">
        <v>9</v>
      </c>
      <c r="H63" s="164"/>
    </row>
    <row r="64" spans="1:8" x14ac:dyDescent="0.2">
      <c r="A64" s="3" t="s">
        <v>9</v>
      </c>
      <c r="B64" s="3" t="s">
        <v>9</v>
      </c>
      <c r="C64" s="4" t="s">
        <v>110</v>
      </c>
      <c r="D64" s="3" t="s">
        <v>9</v>
      </c>
      <c r="E64" s="3" t="s">
        <v>9</v>
      </c>
      <c r="F64" s="15">
        <v>0</v>
      </c>
      <c r="G64" s="16">
        <v>0</v>
      </c>
      <c r="H64" s="164"/>
    </row>
    <row r="65" spans="1:8" x14ac:dyDescent="0.2">
      <c r="A65" s="3" t="s">
        <v>9</v>
      </c>
      <c r="B65" s="3" t="s">
        <v>9</v>
      </c>
      <c r="C65" s="13" t="s">
        <v>9</v>
      </c>
      <c r="D65" s="3" t="s">
        <v>9</v>
      </c>
      <c r="E65" s="3" t="s">
        <v>9</v>
      </c>
      <c r="F65" s="14" t="s">
        <v>9</v>
      </c>
      <c r="G65" s="14" t="s">
        <v>9</v>
      </c>
      <c r="H65" s="164"/>
    </row>
    <row r="66" spans="1:8" x14ac:dyDescent="0.2">
      <c r="A66" s="3" t="s">
        <v>9</v>
      </c>
      <c r="B66" s="3" t="s">
        <v>9</v>
      </c>
      <c r="C66" s="4" t="s">
        <v>120</v>
      </c>
      <c r="D66" s="3" t="s">
        <v>9</v>
      </c>
      <c r="E66" s="3" t="s">
        <v>9</v>
      </c>
      <c r="F66" s="14" t="s">
        <v>9</v>
      </c>
      <c r="G66" s="14" t="s">
        <v>9</v>
      </c>
      <c r="H66" s="164"/>
    </row>
    <row r="67" spans="1:8" x14ac:dyDescent="0.2">
      <c r="A67" s="3" t="s">
        <v>9</v>
      </c>
      <c r="B67" s="3" t="s">
        <v>9</v>
      </c>
      <c r="C67" s="4" t="s">
        <v>110</v>
      </c>
      <c r="D67" s="3" t="s">
        <v>9</v>
      </c>
      <c r="E67" s="3" t="s">
        <v>9</v>
      </c>
      <c r="F67" s="15">
        <v>0</v>
      </c>
      <c r="G67" s="16">
        <v>0</v>
      </c>
      <c r="H67" s="164"/>
    </row>
    <row r="68" spans="1:8" x14ac:dyDescent="0.2">
      <c r="A68" s="3" t="s">
        <v>9</v>
      </c>
      <c r="B68" s="3" t="s">
        <v>9</v>
      </c>
      <c r="C68" s="13" t="s">
        <v>9</v>
      </c>
      <c r="D68" s="3" t="s">
        <v>9</v>
      </c>
      <c r="E68" s="3" t="s">
        <v>9</v>
      </c>
      <c r="F68" s="14" t="s">
        <v>9</v>
      </c>
      <c r="G68" s="14" t="s">
        <v>9</v>
      </c>
      <c r="H68" s="164"/>
    </row>
    <row r="69" spans="1:8" x14ac:dyDescent="0.2">
      <c r="A69" s="3" t="s">
        <v>9</v>
      </c>
      <c r="B69" s="3" t="s">
        <v>9</v>
      </c>
      <c r="C69" s="4" t="s">
        <v>121</v>
      </c>
      <c r="D69" s="3" t="s">
        <v>9</v>
      </c>
      <c r="E69" s="3" t="s">
        <v>9</v>
      </c>
      <c r="F69" s="11">
        <v>0</v>
      </c>
      <c r="G69" s="12">
        <v>0</v>
      </c>
      <c r="H69" s="164"/>
    </row>
    <row r="70" spans="1:8" x14ac:dyDescent="0.2">
      <c r="A70" s="3" t="s">
        <v>9</v>
      </c>
      <c r="B70" s="3" t="s">
        <v>9</v>
      </c>
      <c r="C70" s="13" t="s">
        <v>9</v>
      </c>
      <c r="D70" s="3" t="s">
        <v>9</v>
      </c>
      <c r="E70" s="3" t="s">
        <v>9</v>
      </c>
      <c r="F70" s="14" t="s">
        <v>9</v>
      </c>
      <c r="G70" s="14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122</v>
      </c>
      <c r="D71" s="3" t="s">
        <v>9</v>
      </c>
      <c r="E71" s="3" t="s">
        <v>9</v>
      </c>
      <c r="F71" s="14" t="s">
        <v>9</v>
      </c>
      <c r="G71" s="14" t="s">
        <v>9</v>
      </c>
      <c r="H71" s="164"/>
    </row>
    <row r="72" spans="1:8" x14ac:dyDescent="0.2">
      <c r="A72" s="3" t="s">
        <v>9</v>
      </c>
      <c r="B72" s="3" t="s">
        <v>9</v>
      </c>
      <c r="C72" s="4" t="s">
        <v>123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110</v>
      </c>
      <c r="D73" s="3" t="s">
        <v>9</v>
      </c>
      <c r="E73" s="3" t="s">
        <v>9</v>
      </c>
      <c r="F73" s="15">
        <v>0</v>
      </c>
      <c r="G73" s="16">
        <v>0</v>
      </c>
      <c r="H73" s="164"/>
    </row>
    <row r="74" spans="1:8" x14ac:dyDescent="0.2">
      <c r="A74" s="3" t="s">
        <v>9</v>
      </c>
      <c r="B74" s="3" t="s">
        <v>9</v>
      </c>
      <c r="C74" s="13" t="s">
        <v>9</v>
      </c>
      <c r="D74" s="3" t="s">
        <v>9</v>
      </c>
      <c r="E74" s="3" t="s">
        <v>9</v>
      </c>
      <c r="F74" s="14" t="s">
        <v>9</v>
      </c>
      <c r="G74" s="14" t="s">
        <v>9</v>
      </c>
      <c r="H74" s="164"/>
    </row>
    <row r="75" spans="1:8" x14ac:dyDescent="0.2">
      <c r="A75" s="3" t="s">
        <v>9</v>
      </c>
      <c r="B75" s="3" t="s">
        <v>9</v>
      </c>
      <c r="C75" s="4" t="s">
        <v>124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110</v>
      </c>
      <c r="D76" s="3" t="s">
        <v>9</v>
      </c>
      <c r="E76" s="3" t="s">
        <v>9</v>
      </c>
      <c r="F76" s="15">
        <v>0</v>
      </c>
      <c r="G76" s="16">
        <v>0</v>
      </c>
      <c r="H76" s="164"/>
    </row>
    <row r="77" spans="1:8" x14ac:dyDescent="0.2">
      <c r="A77" s="3" t="s">
        <v>9</v>
      </c>
      <c r="B77" s="3" t="s">
        <v>9</v>
      </c>
      <c r="C77" s="13" t="s">
        <v>9</v>
      </c>
      <c r="D77" s="3" t="s">
        <v>9</v>
      </c>
      <c r="E77" s="3" t="s">
        <v>9</v>
      </c>
      <c r="F77" s="14" t="s">
        <v>9</v>
      </c>
      <c r="G77" s="14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125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x14ac:dyDescent="0.2">
      <c r="A79" s="3" t="s">
        <v>9</v>
      </c>
      <c r="B79" s="3" t="s">
        <v>9</v>
      </c>
      <c r="C79" s="4" t="s">
        <v>110</v>
      </c>
      <c r="D79" s="3" t="s">
        <v>9</v>
      </c>
      <c r="E79" s="3" t="s">
        <v>9</v>
      </c>
      <c r="F79" s="15">
        <v>0</v>
      </c>
      <c r="G79" s="16">
        <v>0</v>
      </c>
      <c r="H79" s="164"/>
    </row>
    <row r="80" spans="1:8" x14ac:dyDescent="0.2">
      <c r="A80" s="3" t="s">
        <v>9</v>
      </c>
      <c r="B80" s="3" t="s">
        <v>9</v>
      </c>
      <c r="C80" s="13" t="s">
        <v>9</v>
      </c>
      <c r="D80" s="3" t="s">
        <v>9</v>
      </c>
      <c r="E80" s="3" t="s">
        <v>9</v>
      </c>
      <c r="F80" s="14" t="s">
        <v>9</v>
      </c>
      <c r="G80" s="14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126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5">
        <v>1</v>
      </c>
      <c r="B82" s="6"/>
      <c r="C82" s="6" t="s">
        <v>127</v>
      </c>
      <c r="D82" s="6"/>
      <c r="E82" s="10" t="s">
        <v>9</v>
      </c>
      <c r="F82" s="8">
        <v>1119.3072440000001</v>
      </c>
      <c r="G82" s="9">
        <v>8.5807629999999999E-3</v>
      </c>
      <c r="H82" s="90">
        <v>3.22</v>
      </c>
    </row>
    <row r="83" spans="1:8" x14ac:dyDescent="0.2">
      <c r="A83" s="5">
        <v>2</v>
      </c>
      <c r="B83" s="6"/>
      <c r="C83" s="6" t="s">
        <v>128</v>
      </c>
      <c r="D83" s="6"/>
      <c r="E83" s="10" t="s">
        <v>9</v>
      </c>
      <c r="F83" s="8">
        <v>316.31081319999998</v>
      </c>
      <c r="G83" s="9">
        <v>2.4248820000000002E-3</v>
      </c>
      <c r="H83" s="90">
        <v>3.34</v>
      </c>
    </row>
    <row r="84" spans="1:8" x14ac:dyDescent="0.2">
      <c r="A84" s="3" t="s">
        <v>9</v>
      </c>
      <c r="B84" s="3" t="s">
        <v>9</v>
      </c>
      <c r="C84" s="4" t="s">
        <v>110</v>
      </c>
      <c r="D84" s="3" t="s">
        <v>9</v>
      </c>
      <c r="E84" s="3" t="s">
        <v>9</v>
      </c>
      <c r="F84" s="11">
        <v>1435.6180572000001</v>
      </c>
      <c r="G84" s="12">
        <v>1.1005645E-2</v>
      </c>
      <c r="H84" s="164"/>
    </row>
    <row r="85" spans="1:8" x14ac:dyDescent="0.2">
      <c r="A85" s="3" t="s">
        <v>9</v>
      </c>
      <c r="B85" s="3" t="s">
        <v>9</v>
      </c>
      <c r="C85" s="13" t="s">
        <v>9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129</v>
      </c>
      <c r="D86" s="3" t="s">
        <v>9</v>
      </c>
      <c r="E86" s="3" t="s">
        <v>9</v>
      </c>
      <c r="F86" s="11">
        <v>1435.6180572000001</v>
      </c>
      <c r="G86" s="12">
        <v>1.1005645E-2</v>
      </c>
      <c r="H86" s="164"/>
    </row>
    <row r="87" spans="1:8" x14ac:dyDescent="0.2">
      <c r="A87" s="3" t="s">
        <v>9</v>
      </c>
      <c r="B87" s="3" t="s">
        <v>9</v>
      </c>
      <c r="C87" s="14" t="s">
        <v>9</v>
      </c>
      <c r="D87" s="3" t="s">
        <v>9</v>
      </c>
      <c r="E87" s="3" t="s">
        <v>9</v>
      </c>
      <c r="F87" s="3" t="s">
        <v>9</v>
      </c>
      <c r="G87" s="3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130</v>
      </c>
      <c r="D88" s="3" t="s">
        <v>9</v>
      </c>
      <c r="E88" s="3" t="s">
        <v>9</v>
      </c>
      <c r="F88" s="3" t="s">
        <v>9</v>
      </c>
      <c r="G88" s="3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131</v>
      </c>
      <c r="D89" s="3" t="s">
        <v>9</v>
      </c>
      <c r="E89" s="3" t="s">
        <v>9</v>
      </c>
      <c r="F89" s="3" t="s">
        <v>9</v>
      </c>
      <c r="G89" s="3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110</v>
      </c>
      <c r="D90" s="3" t="s">
        <v>9</v>
      </c>
      <c r="E90" s="3" t="s">
        <v>9</v>
      </c>
      <c r="F90" s="15">
        <v>0</v>
      </c>
      <c r="G90" s="16">
        <v>0</v>
      </c>
      <c r="H90" s="164"/>
    </row>
    <row r="91" spans="1:8" x14ac:dyDescent="0.2">
      <c r="A91" s="3" t="s">
        <v>9</v>
      </c>
      <c r="B91" s="3" t="s">
        <v>9</v>
      </c>
      <c r="C91" s="13" t="s">
        <v>9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132</v>
      </c>
      <c r="D92" s="3" t="s">
        <v>9</v>
      </c>
      <c r="E92" s="3" t="s">
        <v>9</v>
      </c>
      <c r="F92" s="3" t="s">
        <v>9</v>
      </c>
      <c r="G92" s="3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133</v>
      </c>
      <c r="D93" s="3" t="s">
        <v>9</v>
      </c>
      <c r="E93" s="3" t="s">
        <v>9</v>
      </c>
      <c r="F93" s="3" t="s">
        <v>9</v>
      </c>
      <c r="G93" s="3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110</v>
      </c>
      <c r="D94" s="3" t="s">
        <v>9</v>
      </c>
      <c r="E94" s="3" t="s">
        <v>9</v>
      </c>
      <c r="F94" s="15">
        <v>0</v>
      </c>
      <c r="G94" s="16">
        <v>0</v>
      </c>
      <c r="H94" s="164"/>
    </row>
    <row r="95" spans="1:8" x14ac:dyDescent="0.2">
      <c r="A95" s="3" t="s">
        <v>9</v>
      </c>
      <c r="B95" s="3" t="s">
        <v>9</v>
      </c>
      <c r="C95" s="13" t="s">
        <v>9</v>
      </c>
      <c r="D95" s="3" t="s">
        <v>9</v>
      </c>
      <c r="E95" s="3" t="s">
        <v>9</v>
      </c>
      <c r="F95" s="14" t="s">
        <v>9</v>
      </c>
      <c r="G95" s="14" t="s">
        <v>9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ht="25.5" x14ac:dyDescent="0.2">
      <c r="A97" s="3" t="s">
        <v>9</v>
      </c>
      <c r="B97" s="3" t="s">
        <v>9</v>
      </c>
      <c r="C97" s="4" t="s">
        <v>134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110</v>
      </c>
      <c r="D98" s="3" t="s">
        <v>9</v>
      </c>
      <c r="E98" s="3" t="s">
        <v>9</v>
      </c>
      <c r="F98" s="15">
        <v>0</v>
      </c>
      <c r="G98" s="16">
        <v>0</v>
      </c>
      <c r="H98" s="164"/>
    </row>
    <row r="99" spans="1:8" x14ac:dyDescent="0.2">
      <c r="A99" s="3" t="s">
        <v>9</v>
      </c>
      <c r="B99" s="3" t="s">
        <v>9</v>
      </c>
      <c r="C99" s="13" t="s">
        <v>9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6" t="s">
        <v>9</v>
      </c>
      <c r="C100" s="6" t="s">
        <v>9</v>
      </c>
      <c r="D100" s="4" t="s">
        <v>9</v>
      </c>
      <c r="E100" s="3" t="s">
        <v>9</v>
      </c>
      <c r="F100" s="6" t="s">
        <v>9</v>
      </c>
      <c r="G100" s="10" t="s">
        <v>9</v>
      </c>
      <c r="H100" s="164"/>
    </row>
    <row r="101" spans="1:8" x14ac:dyDescent="0.2">
      <c r="A101" s="10" t="s">
        <v>9</v>
      </c>
      <c r="B101" s="6" t="s">
        <v>9</v>
      </c>
      <c r="C101" s="6" t="s">
        <v>135</v>
      </c>
      <c r="D101" s="6" t="s">
        <v>9</v>
      </c>
      <c r="E101" s="10" t="s">
        <v>9</v>
      </c>
      <c r="F101" s="8">
        <v>-9.2962882400000009</v>
      </c>
      <c r="G101" s="9">
        <v>-7.1266999999999994E-5</v>
      </c>
      <c r="H101" s="164"/>
    </row>
    <row r="102" spans="1:8" x14ac:dyDescent="0.2">
      <c r="A102" s="13" t="s">
        <v>9</v>
      </c>
      <c r="B102" s="13" t="s">
        <v>9</v>
      </c>
      <c r="C102" s="4" t="s">
        <v>136</v>
      </c>
      <c r="D102" s="17" t="s">
        <v>9</v>
      </c>
      <c r="E102" s="17" t="s">
        <v>9</v>
      </c>
      <c r="F102" s="11">
        <f>+F37+F86+F101</f>
        <v>130443.79371996</v>
      </c>
      <c r="G102" s="12">
        <v>0.99999999699999997</v>
      </c>
      <c r="H102" s="164"/>
    </row>
    <row r="103" spans="1:8" ht="14.1" customHeight="1" x14ac:dyDescent="0.2">
      <c r="A103" s="18" t="s">
        <v>9</v>
      </c>
      <c r="B103" s="18" t="s">
        <v>9</v>
      </c>
      <c r="C103" s="18" t="s">
        <v>9</v>
      </c>
      <c r="D103" s="19" t="s">
        <v>9</v>
      </c>
      <c r="E103" s="19" t="s">
        <v>9</v>
      </c>
      <c r="F103" s="19" t="s">
        <v>9</v>
      </c>
      <c r="G103" s="19" t="s">
        <v>9</v>
      </c>
    </row>
    <row r="104" spans="1:8" ht="14.1" customHeight="1" x14ac:dyDescent="0.2">
      <c r="A104" s="20" t="s">
        <v>9</v>
      </c>
      <c r="B104" s="228" t="s">
        <v>9</v>
      </c>
      <c r="C104" s="228"/>
      <c r="D104" s="228"/>
      <c r="E104" s="228"/>
      <c r="F104" s="228"/>
      <c r="G104" s="22" t="s">
        <v>9</v>
      </c>
    </row>
    <row r="105" spans="1:8" ht="14.1" customHeight="1" x14ac:dyDescent="0.2">
      <c r="A105" s="20" t="s">
        <v>9</v>
      </c>
      <c r="B105" s="228" t="s">
        <v>9</v>
      </c>
      <c r="C105" s="228"/>
      <c r="D105" s="228"/>
      <c r="E105" s="228"/>
      <c r="F105" s="228"/>
      <c r="G105" s="22" t="s">
        <v>9</v>
      </c>
    </row>
    <row r="106" spans="1:8" ht="14.1" customHeight="1" x14ac:dyDescent="0.2">
      <c r="A106" s="20" t="s">
        <v>9</v>
      </c>
      <c r="B106" s="20" t="s">
        <v>9</v>
      </c>
      <c r="C106" s="20" t="s">
        <v>9</v>
      </c>
      <c r="D106" s="22" t="s">
        <v>9</v>
      </c>
      <c r="E106" s="22" t="s">
        <v>9</v>
      </c>
      <c r="F106" s="22" t="s">
        <v>9</v>
      </c>
      <c r="G106" s="22" t="s">
        <v>9</v>
      </c>
    </row>
    <row r="107" spans="1:8" ht="14.1" customHeight="1" x14ac:dyDescent="0.2">
      <c r="A107" s="20" t="s">
        <v>9</v>
      </c>
      <c r="B107" s="226" t="s">
        <v>138</v>
      </c>
      <c r="C107" s="227"/>
      <c r="D107" s="14" t="s">
        <v>9</v>
      </c>
      <c r="E107" s="23" t="s">
        <v>9</v>
      </c>
      <c r="F107" s="22" t="s">
        <v>9</v>
      </c>
      <c r="G107" s="22" t="s">
        <v>9</v>
      </c>
    </row>
    <row r="108" spans="1:8" ht="29.1" customHeight="1" x14ac:dyDescent="0.2">
      <c r="A108" s="20" t="s">
        <v>9</v>
      </c>
      <c r="B108" s="233" t="s">
        <v>139</v>
      </c>
      <c r="C108" s="234"/>
      <c r="D108" s="4" t="s">
        <v>140</v>
      </c>
      <c r="E108" s="23" t="s">
        <v>9</v>
      </c>
      <c r="F108" s="22" t="s">
        <v>9</v>
      </c>
      <c r="G108" s="22" t="s">
        <v>9</v>
      </c>
    </row>
    <row r="109" spans="1:8" ht="17.100000000000001" customHeight="1" x14ac:dyDescent="0.2">
      <c r="A109" s="20" t="s">
        <v>9</v>
      </c>
      <c r="B109" s="233" t="s">
        <v>141</v>
      </c>
      <c r="C109" s="234"/>
      <c r="D109" s="4" t="s">
        <v>140</v>
      </c>
      <c r="E109" s="23" t="s">
        <v>9</v>
      </c>
      <c r="F109" s="22" t="s">
        <v>9</v>
      </c>
      <c r="G109" s="22" t="s">
        <v>9</v>
      </c>
    </row>
    <row r="110" spans="1:8" ht="17.100000000000001" customHeight="1" x14ac:dyDescent="0.2">
      <c r="A110" s="20" t="s">
        <v>9</v>
      </c>
      <c r="B110" s="233" t="s">
        <v>142</v>
      </c>
      <c r="C110" s="234"/>
      <c r="D110" s="14" t="s">
        <v>9</v>
      </c>
      <c r="E110" s="23" t="s">
        <v>9</v>
      </c>
      <c r="F110" s="22" t="s">
        <v>9</v>
      </c>
      <c r="G110" s="22" t="s">
        <v>9</v>
      </c>
    </row>
    <row r="111" spans="1:8" ht="24" customHeight="1" x14ac:dyDescent="0.2">
      <c r="A111" s="24" t="s">
        <v>9</v>
      </c>
      <c r="B111" s="25" t="s">
        <v>9</v>
      </c>
      <c r="C111" s="25" t="s">
        <v>143</v>
      </c>
      <c r="D111" s="25" t="s">
        <v>144</v>
      </c>
      <c r="E111" s="24" t="s">
        <v>9</v>
      </c>
      <c r="F111" s="24" t="s">
        <v>9</v>
      </c>
      <c r="G111" s="24" t="s">
        <v>9</v>
      </c>
    </row>
    <row r="112" spans="1:8" ht="18" customHeight="1" x14ac:dyDescent="0.2">
      <c r="A112" s="24" t="s">
        <v>9</v>
      </c>
      <c r="B112" s="25" t="s">
        <v>145</v>
      </c>
      <c r="C112" s="25" t="s">
        <v>146</v>
      </c>
      <c r="D112" s="25" t="s">
        <v>147</v>
      </c>
      <c r="E112" s="24" t="s">
        <v>9</v>
      </c>
      <c r="F112" s="24" t="s">
        <v>9</v>
      </c>
      <c r="G112" s="24" t="s">
        <v>9</v>
      </c>
    </row>
    <row r="113" spans="1:7" ht="17.100000000000001" customHeight="1" x14ac:dyDescent="0.2">
      <c r="A113" s="24" t="s">
        <v>9</v>
      </c>
      <c r="B113" s="6" t="s">
        <v>148</v>
      </c>
      <c r="C113" s="26">
        <v>260.90780000000001</v>
      </c>
      <c r="D113" s="26">
        <v>265.78030000000001</v>
      </c>
      <c r="E113" s="24" t="s">
        <v>9</v>
      </c>
      <c r="F113" s="21" t="s">
        <v>9</v>
      </c>
      <c r="G113" s="27" t="s">
        <v>9</v>
      </c>
    </row>
    <row r="114" spans="1:7" ht="17.100000000000001" customHeight="1" x14ac:dyDescent="0.2">
      <c r="A114" s="24" t="s">
        <v>9</v>
      </c>
      <c r="B114" s="6" t="s">
        <v>839</v>
      </c>
      <c r="C114" s="26">
        <v>17.238900000000001</v>
      </c>
      <c r="D114" s="26">
        <v>17.5608</v>
      </c>
      <c r="E114" s="24" t="s">
        <v>9</v>
      </c>
      <c r="F114" s="21" t="s">
        <v>9</v>
      </c>
      <c r="G114" s="27" t="s">
        <v>9</v>
      </c>
    </row>
    <row r="115" spans="1:7" ht="29.1" customHeight="1" x14ac:dyDescent="0.2">
      <c r="A115" s="24" t="s">
        <v>9</v>
      </c>
      <c r="B115" s="6" t="s">
        <v>401</v>
      </c>
      <c r="C115" s="26">
        <v>266.67079999999999</v>
      </c>
      <c r="D115" s="26">
        <v>271.65050000000002</v>
      </c>
      <c r="E115" s="24" t="s">
        <v>9</v>
      </c>
      <c r="F115" s="21" t="s">
        <v>9</v>
      </c>
      <c r="G115" s="27" t="s">
        <v>9</v>
      </c>
    </row>
    <row r="116" spans="1:7" ht="17.100000000000001" customHeight="1" x14ac:dyDescent="0.2">
      <c r="A116" s="24" t="s">
        <v>9</v>
      </c>
      <c r="B116" s="6" t="s">
        <v>149</v>
      </c>
      <c r="C116" s="26">
        <v>245.0033</v>
      </c>
      <c r="D116" s="26">
        <v>249.3689</v>
      </c>
      <c r="E116" s="24" t="s">
        <v>9</v>
      </c>
      <c r="F116" s="21" t="s">
        <v>9</v>
      </c>
      <c r="G116" s="27" t="s">
        <v>9</v>
      </c>
    </row>
    <row r="117" spans="1:7" ht="17.100000000000001" customHeight="1" x14ac:dyDescent="0.2">
      <c r="A117" s="24" t="s">
        <v>9</v>
      </c>
      <c r="B117" s="6" t="s">
        <v>840</v>
      </c>
      <c r="C117" s="26">
        <v>15.9983</v>
      </c>
      <c r="D117" s="26">
        <v>16.2834</v>
      </c>
      <c r="E117" s="24" t="s">
        <v>9</v>
      </c>
      <c r="F117" s="21" t="s">
        <v>9</v>
      </c>
      <c r="G117" s="27" t="s">
        <v>9</v>
      </c>
    </row>
    <row r="118" spans="1:7" ht="14.1" customHeight="1" x14ac:dyDescent="0.2">
      <c r="A118" s="24" t="s">
        <v>9</v>
      </c>
      <c r="B118" s="24" t="s">
        <v>9</v>
      </c>
      <c r="C118" s="24" t="s">
        <v>9</v>
      </c>
      <c r="D118" s="24" t="s">
        <v>9</v>
      </c>
      <c r="E118" s="24" t="s">
        <v>9</v>
      </c>
      <c r="F118" s="24" t="s">
        <v>9</v>
      </c>
      <c r="G118" s="24" t="s">
        <v>9</v>
      </c>
    </row>
    <row r="119" spans="1:7" ht="17.100000000000001" customHeight="1" x14ac:dyDescent="0.2">
      <c r="A119" s="24" t="s">
        <v>9</v>
      </c>
      <c r="B119" s="233" t="s">
        <v>1003</v>
      </c>
      <c r="C119" s="234"/>
      <c r="D119" s="4" t="s">
        <v>140</v>
      </c>
      <c r="E119" s="24" t="s">
        <v>9</v>
      </c>
      <c r="F119" s="24" t="s">
        <v>9</v>
      </c>
      <c r="G119" s="24" t="s">
        <v>9</v>
      </c>
    </row>
    <row r="120" spans="1:7" ht="18" customHeight="1" x14ac:dyDescent="0.2">
      <c r="A120" s="24" t="s">
        <v>9</v>
      </c>
      <c r="B120" s="28" t="s">
        <v>150</v>
      </c>
      <c r="C120" s="28" t="s">
        <v>150</v>
      </c>
      <c r="D120" s="28" t="s">
        <v>9</v>
      </c>
      <c r="E120" s="24" t="s">
        <v>9</v>
      </c>
      <c r="F120" s="24" t="s">
        <v>9</v>
      </c>
      <c r="G120" s="24" t="s">
        <v>9</v>
      </c>
    </row>
    <row r="121" spans="1:7" s="169" customFormat="1" x14ac:dyDescent="0.2">
      <c r="B121" s="235" t="s">
        <v>841</v>
      </c>
      <c r="C121" s="235"/>
      <c r="D121" s="235"/>
      <c r="E121" s="235"/>
      <c r="F121" s="235"/>
    </row>
    <row r="122" spans="1:7" ht="14.1" customHeight="1" x14ac:dyDescent="0.2">
      <c r="A122" s="24" t="s">
        <v>9</v>
      </c>
      <c r="B122" s="21" t="s">
        <v>9</v>
      </c>
      <c r="C122" s="21" t="s">
        <v>9</v>
      </c>
      <c r="D122" s="24" t="s">
        <v>9</v>
      </c>
      <c r="E122" s="24" t="s">
        <v>9</v>
      </c>
      <c r="F122" s="24" t="s">
        <v>9</v>
      </c>
      <c r="G122" s="24" t="s">
        <v>9</v>
      </c>
    </row>
    <row r="123" spans="1:7" ht="29.1" customHeight="1" x14ac:dyDescent="0.2">
      <c r="A123" s="24" t="s">
        <v>9</v>
      </c>
      <c r="B123" s="233" t="s">
        <v>151</v>
      </c>
      <c r="C123" s="234"/>
      <c r="D123" s="4" t="s">
        <v>140</v>
      </c>
      <c r="E123" s="24" t="s">
        <v>9</v>
      </c>
      <c r="F123" s="24" t="s">
        <v>9</v>
      </c>
      <c r="G123" s="24" t="s">
        <v>9</v>
      </c>
    </row>
    <row r="124" spans="1:7" ht="29.1" customHeight="1" x14ac:dyDescent="0.2">
      <c r="A124" s="24" t="s">
        <v>9</v>
      </c>
      <c r="B124" s="233" t="s">
        <v>152</v>
      </c>
      <c r="C124" s="234"/>
      <c r="D124" s="4" t="s">
        <v>140</v>
      </c>
      <c r="E124" s="24" t="s">
        <v>9</v>
      </c>
      <c r="F124" s="24" t="s">
        <v>9</v>
      </c>
      <c r="G124" s="24" t="s">
        <v>9</v>
      </c>
    </row>
    <row r="125" spans="1:7" ht="17.100000000000001" customHeight="1" x14ac:dyDescent="0.2">
      <c r="A125" s="24" t="s">
        <v>9</v>
      </c>
      <c r="B125" s="233" t="s">
        <v>153</v>
      </c>
      <c r="C125" s="234"/>
      <c r="D125" s="29">
        <v>0.61085233765072766</v>
      </c>
      <c r="E125" s="24" t="s">
        <v>9</v>
      </c>
      <c r="F125" s="21" t="s">
        <v>9</v>
      </c>
      <c r="G125" s="27" t="s">
        <v>9</v>
      </c>
    </row>
    <row r="126" spans="1:7" ht="17.100000000000001" customHeight="1" x14ac:dyDescent="0.2">
      <c r="A126" s="24" t="s">
        <v>9</v>
      </c>
      <c r="B126" s="233" t="s">
        <v>154</v>
      </c>
      <c r="C126" s="234"/>
      <c r="D126" s="4" t="s">
        <v>140</v>
      </c>
      <c r="E126" s="24" t="s">
        <v>9</v>
      </c>
      <c r="F126" s="24" t="s">
        <v>9</v>
      </c>
      <c r="G126" s="24" t="s">
        <v>9</v>
      </c>
    </row>
  </sheetData>
  <mergeCells count="15">
    <mergeCell ref="B125:C125"/>
    <mergeCell ref="B126:C126"/>
    <mergeCell ref="B108:C108"/>
    <mergeCell ref="B109:C109"/>
    <mergeCell ref="B110:C110"/>
    <mergeCell ref="B119:C119"/>
    <mergeCell ref="B123:C123"/>
    <mergeCell ref="B124:C124"/>
    <mergeCell ref="B121:F121"/>
    <mergeCell ref="B107:C107"/>
    <mergeCell ref="B104:F104"/>
    <mergeCell ref="B105:F10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156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496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164</v>
      </c>
      <c r="C7" s="6" t="s">
        <v>165</v>
      </c>
      <c r="D7" s="6" t="s">
        <v>28</v>
      </c>
      <c r="E7" s="7">
        <v>20262</v>
      </c>
      <c r="F7" s="8">
        <v>154.91312099999999</v>
      </c>
      <c r="G7" s="9">
        <v>3.3675915000000001E-2</v>
      </c>
      <c r="H7" s="164"/>
    </row>
    <row r="8" spans="1:8" x14ac:dyDescent="0.2">
      <c r="A8" s="5">
        <v>2</v>
      </c>
      <c r="B8" s="6" t="s">
        <v>471</v>
      </c>
      <c r="C8" s="6" t="s">
        <v>472</v>
      </c>
      <c r="D8" s="6" t="s">
        <v>200</v>
      </c>
      <c r="E8" s="7">
        <v>28038</v>
      </c>
      <c r="F8" s="8">
        <v>150.03133800000001</v>
      </c>
      <c r="G8" s="9">
        <v>3.2614683999999998E-2</v>
      </c>
      <c r="H8" s="164"/>
    </row>
    <row r="9" spans="1:8" x14ac:dyDescent="0.2">
      <c r="A9" s="5">
        <v>3</v>
      </c>
      <c r="B9" s="6" t="s">
        <v>162</v>
      </c>
      <c r="C9" s="6" t="s">
        <v>163</v>
      </c>
      <c r="D9" s="6" t="s">
        <v>158</v>
      </c>
      <c r="E9" s="7">
        <v>11227</v>
      </c>
      <c r="F9" s="8">
        <v>138.81624149999999</v>
      </c>
      <c r="G9" s="9">
        <v>3.0176681E-2</v>
      </c>
      <c r="H9" s="164"/>
    </row>
    <row r="10" spans="1:8" x14ac:dyDescent="0.2">
      <c r="A10" s="5">
        <v>4</v>
      </c>
      <c r="B10" s="6" t="s">
        <v>156</v>
      </c>
      <c r="C10" s="6" t="s">
        <v>157</v>
      </c>
      <c r="D10" s="6" t="s">
        <v>158</v>
      </c>
      <c r="E10" s="7">
        <v>3707</v>
      </c>
      <c r="F10" s="8">
        <v>135.57425749999999</v>
      </c>
      <c r="G10" s="9">
        <v>2.9471919999999999E-2</v>
      </c>
      <c r="H10" s="164"/>
    </row>
    <row r="11" spans="1:8" x14ac:dyDescent="0.2">
      <c r="A11" s="5">
        <v>5</v>
      </c>
      <c r="B11" s="6" t="s">
        <v>159</v>
      </c>
      <c r="C11" s="6" t="s">
        <v>160</v>
      </c>
      <c r="D11" s="6" t="s">
        <v>161</v>
      </c>
      <c r="E11" s="7">
        <v>100031</v>
      </c>
      <c r="F11" s="8">
        <v>128.88994349999999</v>
      </c>
      <c r="G11" s="9">
        <v>2.8018845000000001E-2</v>
      </c>
      <c r="H11" s="164"/>
    </row>
    <row r="12" spans="1:8" x14ac:dyDescent="0.2">
      <c r="A12" s="5">
        <v>6</v>
      </c>
      <c r="B12" s="6" t="s">
        <v>41</v>
      </c>
      <c r="C12" s="6" t="s">
        <v>42</v>
      </c>
      <c r="D12" s="6" t="s">
        <v>28</v>
      </c>
      <c r="E12" s="7">
        <v>10772</v>
      </c>
      <c r="F12" s="8">
        <v>124.85825199999999</v>
      </c>
      <c r="G12" s="9">
        <v>2.7142412000000001E-2</v>
      </c>
      <c r="H12" s="164"/>
    </row>
    <row r="13" spans="1:8" x14ac:dyDescent="0.2">
      <c r="A13" s="5">
        <v>7</v>
      </c>
      <c r="B13" s="6" t="s">
        <v>299</v>
      </c>
      <c r="C13" s="6" t="s">
        <v>300</v>
      </c>
      <c r="D13" s="6" t="s">
        <v>28</v>
      </c>
      <c r="E13" s="7">
        <v>17031</v>
      </c>
      <c r="F13" s="8">
        <v>122.96382</v>
      </c>
      <c r="G13" s="9">
        <v>2.6730589999999999E-2</v>
      </c>
      <c r="H13" s="164"/>
    </row>
    <row r="14" spans="1:8" x14ac:dyDescent="0.2">
      <c r="A14" s="5">
        <v>8</v>
      </c>
      <c r="B14" s="6" t="s">
        <v>168</v>
      </c>
      <c r="C14" s="6" t="s">
        <v>169</v>
      </c>
      <c r="D14" s="6" t="s">
        <v>28</v>
      </c>
      <c r="E14" s="7">
        <v>16971</v>
      </c>
      <c r="F14" s="8">
        <v>120.290448</v>
      </c>
      <c r="G14" s="9">
        <v>2.6149437000000001E-2</v>
      </c>
      <c r="H14" s="164"/>
    </row>
    <row r="15" spans="1:8" x14ac:dyDescent="0.2">
      <c r="A15" s="5">
        <v>9</v>
      </c>
      <c r="B15" s="6" t="s">
        <v>175</v>
      </c>
      <c r="C15" s="6" t="s">
        <v>176</v>
      </c>
      <c r="D15" s="6" t="s">
        <v>62</v>
      </c>
      <c r="E15" s="7">
        <v>28111</v>
      </c>
      <c r="F15" s="8">
        <v>118.825197</v>
      </c>
      <c r="G15" s="9">
        <v>2.5830912000000001E-2</v>
      </c>
      <c r="H15" s="164"/>
    </row>
    <row r="16" spans="1:8" x14ac:dyDescent="0.2">
      <c r="A16" s="5">
        <v>10</v>
      </c>
      <c r="B16" s="6" t="s">
        <v>26</v>
      </c>
      <c r="C16" s="6" t="s">
        <v>27</v>
      </c>
      <c r="D16" s="6" t="s">
        <v>28</v>
      </c>
      <c r="E16" s="7">
        <v>9119</v>
      </c>
      <c r="F16" s="8">
        <v>114.178999</v>
      </c>
      <c r="G16" s="9">
        <v>2.4820894E-2</v>
      </c>
      <c r="H16" s="164"/>
    </row>
    <row r="17" spans="1:8" x14ac:dyDescent="0.2">
      <c r="A17" s="5">
        <v>11</v>
      </c>
      <c r="B17" s="6" t="s">
        <v>451</v>
      </c>
      <c r="C17" s="6" t="s">
        <v>452</v>
      </c>
      <c r="D17" s="6" t="s">
        <v>62</v>
      </c>
      <c r="E17" s="7">
        <v>33367</v>
      </c>
      <c r="F17" s="8">
        <v>107.375006</v>
      </c>
      <c r="G17" s="9">
        <v>2.3341803000000001E-2</v>
      </c>
      <c r="H17" s="164"/>
    </row>
    <row r="18" spans="1:8" ht="25.5" x14ac:dyDescent="0.2">
      <c r="A18" s="5">
        <v>12</v>
      </c>
      <c r="B18" s="6" t="s">
        <v>29</v>
      </c>
      <c r="C18" s="6" t="s">
        <v>30</v>
      </c>
      <c r="D18" s="6" t="s">
        <v>925</v>
      </c>
      <c r="E18" s="7">
        <v>3059</v>
      </c>
      <c r="F18" s="8">
        <v>99.697398500000006</v>
      </c>
      <c r="G18" s="9">
        <v>2.1672799999999999E-2</v>
      </c>
      <c r="H18" s="164"/>
    </row>
    <row r="19" spans="1:8" x14ac:dyDescent="0.2">
      <c r="A19" s="5">
        <v>13</v>
      </c>
      <c r="B19" s="6" t="s">
        <v>189</v>
      </c>
      <c r="C19" s="6" t="s">
        <v>190</v>
      </c>
      <c r="D19" s="6" t="s">
        <v>179</v>
      </c>
      <c r="E19" s="7">
        <v>3164</v>
      </c>
      <c r="F19" s="8">
        <v>99.450847999999993</v>
      </c>
      <c r="G19" s="9">
        <v>2.1619203E-2</v>
      </c>
      <c r="H19" s="164"/>
    </row>
    <row r="20" spans="1:8" x14ac:dyDescent="0.2">
      <c r="A20" s="5">
        <v>14</v>
      </c>
      <c r="B20" s="6" t="s">
        <v>177</v>
      </c>
      <c r="C20" s="6" t="s">
        <v>178</v>
      </c>
      <c r="D20" s="6" t="s">
        <v>179</v>
      </c>
      <c r="E20" s="7">
        <v>34167</v>
      </c>
      <c r="F20" s="8">
        <v>96.265522500000003</v>
      </c>
      <c r="G20" s="9">
        <v>2.0926759E-2</v>
      </c>
      <c r="H20" s="164"/>
    </row>
    <row r="21" spans="1:8" x14ac:dyDescent="0.2">
      <c r="A21" s="5">
        <v>15</v>
      </c>
      <c r="B21" s="6" t="s">
        <v>170</v>
      </c>
      <c r="C21" s="6" t="s">
        <v>171</v>
      </c>
      <c r="D21" s="6" t="s">
        <v>172</v>
      </c>
      <c r="E21" s="7">
        <v>7639</v>
      </c>
      <c r="F21" s="8">
        <v>95.193398500000001</v>
      </c>
      <c r="G21" s="9">
        <v>2.0693693999999999E-2</v>
      </c>
      <c r="H21" s="164"/>
    </row>
    <row r="22" spans="1:8" x14ac:dyDescent="0.2">
      <c r="A22" s="5">
        <v>16</v>
      </c>
      <c r="B22" s="6" t="s">
        <v>198</v>
      </c>
      <c r="C22" s="6" t="s">
        <v>199</v>
      </c>
      <c r="D22" s="6" t="s">
        <v>200</v>
      </c>
      <c r="E22" s="7">
        <v>20532</v>
      </c>
      <c r="F22" s="8">
        <v>92.332403999999997</v>
      </c>
      <c r="G22" s="9">
        <v>2.0071755E-2</v>
      </c>
      <c r="H22" s="164"/>
    </row>
    <row r="23" spans="1:8" x14ac:dyDescent="0.2">
      <c r="A23" s="5">
        <v>17</v>
      </c>
      <c r="B23" s="6" t="s">
        <v>338</v>
      </c>
      <c r="C23" s="6" t="s">
        <v>339</v>
      </c>
      <c r="D23" s="6" t="s">
        <v>195</v>
      </c>
      <c r="E23" s="7">
        <v>2466</v>
      </c>
      <c r="F23" s="8">
        <v>90.097775999999996</v>
      </c>
      <c r="G23" s="9">
        <v>1.9585978E-2</v>
      </c>
      <c r="H23" s="164"/>
    </row>
    <row r="24" spans="1:8" ht="25.5" x14ac:dyDescent="0.2">
      <c r="A24" s="5">
        <v>18</v>
      </c>
      <c r="B24" s="6" t="s">
        <v>201</v>
      </c>
      <c r="C24" s="6" t="s">
        <v>202</v>
      </c>
      <c r="D24" s="6" t="s">
        <v>67</v>
      </c>
      <c r="E24" s="7">
        <v>18151</v>
      </c>
      <c r="F24" s="8">
        <v>88.967126500000006</v>
      </c>
      <c r="G24" s="9">
        <v>1.9340191E-2</v>
      </c>
      <c r="H24" s="164"/>
    </row>
    <row r="25" spans="1:8" x14ac:dyDescent="0.2">
      <c r="A25" s="5">
        <v>19</v>
      </c>
      <c r="B25" s="6" t="s">
        <v>187</v>
      </c>
      <c r="C25" s="6" t="s">
        <v>188</v>
      </c>
      <c r="D25" s="6" t="s">
        <v>182</v>
      </c>
      <c r="E25" s="7">
        <v>33999</v>
      </c>
      <c r="F25" s="8">
        <v>85.065498000000005</v>
      </c>
      <c r="G25" s="9">
        <v>1.8492031999999999E-2</v>
      </c>
      <c r="H25" s="164"/>
    </row>
    <row r="26" spans="1:8" x14ac:dyDescent="0.2">
      <c r="A26" s="5">
        <v>20</v>
      </c>
      <c r="B26" s="6" t="s">
        <v>196</v>
      </c>
      <c r="C26" s="6" t="s">
        <v>197</v>
      </c>
      <c r="D26" s="6" t="s">
        <v>928</v>
      </c>
      <c r="E26" s="7">
        <v>25091</v>
      </c>
      <c r="F26" s="8">
        <v>81.683750500000002</v>
      </c>
      <c r="G26" s="9">
        <v>1.7756887999999998E-2</v>
      </c>
      <c r="H26" s="164"/>
    </row>
    <row r="27" spans="1:8" x14ac:dyDescent="0.2">
      <c r="A27" s="5">
        <v>21</v>
      </c>
      <c r="B27" s="6" t="s">
        <v>216</v>
      </c>
      <c r="C27" s="6" t="s">
        <v>217</v>
      </c>
      <c r="D27" s="6" t="s">
        <v>200</v>
      </c>
      <c r="E27" s="7">
        <v>12470</v>
      </c>
      <c r="F27" s="8">
        <v>79.995050000000006</v>
      </c>
      <c r="G27" s="9">
        <v>1.7389788999999999E-2</v>
      </c>
      <c r="H27" s="164"/>
    </row>
    <row r="28" spans="1:8" x14ac:dyDescent="0.2">
      <c r="A28" s="5">
        <v>22</v>
      </c>
      <c r="B28" s="6" t="s">
        <v>203</v>
      </c>
      <c r="C28" s="6" t="s">
        <v>204</v>
      </c>
      <c r="D28" s="6" t="s">
        <v>179</v>
      </c>
      <c r="E28" s="7">
        <v>7999</v>
      </c>
      <c r="F28" s="8">
        <v>78.926132999999993</v>
      </c>
      <c r="G28" s="9">
        <v>1.7157421999999999E-2</v>
      </c>
      <c r="H28" s="164"/>
    </row>
    <row r="29" spans="1:8" x14ac:dyDescent="0.2">
      <c r="A29" s="5">
        <v>23</v>
      </c>
      <c r="B29" s="6" t="s">
        <v>222</v>
      </c>
      <c r="C29" s="6" t="s">
        <v>223</v>
      </c>
      <c r="D29" s="6" t="s">
        <v>37</v>
      </c>
      <c r="E29" s="7">
        <v>72425</v>
      </c>
      <c r="F29" s="8">
        <v>77.784450000000007</v>
      </c>
      <c r="G29" s="9">
        <v>1.6909236000000001E-2</v>
      </c>
      <c r="H29" s="164"/>
    </row>
    <row r="30" spans="1:8" x14ac:dyDescent="0.2">
      <c r="A30" s="5">
        <v>24</v>
      </c>
      <c r="B30" s="6" t="s">
        <v>459</v>
      </c>
      <c r="C30" s="6" t="s">
        <v>460</v>
      </c>
      <c r="D30" s="6" t="s">
        <v>207</v>
      </c>
      <c r="E30" s="7">
        <v>12255</v>
      </c>
      <c r="F30" s="8">
        <v>71.728515000000002</v>
      </c>
      <c r="G30" s="9">
        <v>1.5592761E-2</v>
      </c>
      <c r="H30" s="164"/>
    </row>
    <row r="31" spans="1:8" x14ac:dyDescent="0.2">
      <c r="A31" s="5">
        <v>25</v>
      </c>
      <c r="B31" s="6" t="s">
        <v>185</v>
      </c>
      <c r="C31" s="6" t="s">
        <v>186</v>
      </c>
      <c r="D31" s="6" t="s">
        <v>45</v>
      </c>
      <c r="E31" s="7">
        <v>14751</v>
      </c>
      <c r="F31" s="8">
        <v>69.536214000000001</v>
      </c>
      <c r="G31" s="9">
        <v>1.5116186E-2</v>
      </c>
      <c r="H31" s="164"/>
    </row>
    <row r="32" spans="1:8" x14ac:dyDescent="0.2">
      <c r="A32" s="5">
        <v>26</v>
      </c>
      <c r="B32" s="6" t="s">
        <v>77</v>
      </c>
      <c r="C32" s="6" t="s">
        <v>78</v>
      </c>
      <c r="D32" s="6" t="s">
        <v>62</v>
      </c>
      <c r="E32" s="7">
        <v>27136</v>
      </c>
      <c r="F32" s="8">
        <v>68.545535999999998</v>
      </c>
      <c r="G32" s="9">
        <v>1.4900827E-2</v>
      </c>
      <c r="H32" s="164"/>
    </row>
    <row r="33" spans="1:8" x14ac:dyDescent="0.2">
      <c r="A33" s="5">
        <v>27</v>
      </c>
      <c r="B33" s="6" t="s">
        <v>208</v>
      </c>
      <c r="C33" s="6" t="s">
        <v>209</v>
      </c>
      <c r="D33" s="6" t="s">
        <v>161</v>
      </c>
      <c r="E33" s="7">
        <v>11150</v>
      </c>
      <c r="F33" s="8">
        <v>66.916725</v>
      </c>
      <c r="G33" s="9">
        <v>1.4546747E-2</v>
      </c>
      <c r="H33" s="164"/>
    </row>
    <row r="34" spans="1:8" x14ac:dyDescent="0.2">
      <c r="A34" s="5">
        <v>28</v>
      </c>
      <c r="B34" s="6" t="s">
        <v>293</v>
      </c>
      <c r="C34" s="6" t="s">
        <v>294</v>
      </c>
      <c r="D34" s="6" t="s">
        <v>28</v>
      </c>
      <c r="E34" s="7">
        <v>5065</v>
      </c>
      <c r="F34" s="8">
        <v>66.782025000000004</v>
      </c>
      <c r="G34" s="9">
        <v>1.4517465E-2</v>
      </c>
      <c r="H34" s="164"/>
    </row>
    <row r="35" spans="1:8" x14ac:dyDescent="0.2">
      <c r="A35" s="5">
        <v>29</v>
      </c>
      <c r="B35" s="6" t="s">
        <v>236</v>
      </c>
      <c r="C35" s="6" t="s">
        <v>237</v>
      </c>
      <c r="D35" s="6" t="s">
        <v>161</v>
      </c>
      <c r="E35" s="7">
        <v>114515</v>
      </c>
      <c r="F35" s="8">
        <v>66.418700000000001</v>
      </c>
      <c r="G35" s="9">
        <v>1.4438483E-2</v>
      </c>
      <c r="H35" s="164"/>
    </row>
    <row r="36" spans="1:8" x14ac:dyDescent="0.2">
      <c r="A36" s="5">
        <v>30</v>
      </c>
      <c r="B36" s="6" t="s">
        <v>238</v>
      </c>
      <c r="C36" s="6" t="s">
        <v>239</v>
      </c>
      <c r="D36" s="6" t="s">
        <v>195</v>
      </c>
      <c r="E36" s="7">
        <v>15992</v>
      </c>
      <c r="F36" s="8">
        <v>66.110928000000001</v>
      </c>
      <c r="G36" s="9">
        <v>1.4371577999999999E-2</v>
      </c>
      <c r="H36" s="164"/>
    </row>
    <row r="37" spans="1:8" x14ac:dyDescent="0.2">
      <c r="A37" s="5">
        <v>31</v>
      </c>
      <c r="B37" s="6" t="s">
        <v>244</v>
      </c>
      <c r="C37" s="6" t="s">
        <v>245</v>
      </c>
      <c r="D37" s="6" t="s">
        <v>200</v>
      </c>
      <c r="E37" s="7">
        <v>3496</v>
      </c>
      <c r="F37" s="8">
        <v>63.391219999999997</v>
      </c>
      <c r="G37" s="9">
        <v>1.3780351999999999E-2</v>
      </c>
      <c r="H37" s="164"/>
    </row>
    <row r="38" spans="1:8" ht="25.5" x14ac:dyDescent="0.2">
      <c r="A38" s="5">
        <v>32</v>
      </c>
      <c r="B38" s="6" t="s">
        <v>453</v>
      </c>
      <c r="C38" s="6" t="s">
        <v>454</v>
      </c>
      <c r="D38" s="6" t="s">
        <v>40</v>
      </c>
      <c r="E38" s="7">
        <v>5026</v>
      </c>
      <c r="F38" s="8">
        <v>63.139125</v>
      </c>
      <c r="G38" s="9">
        <v>1.372555E-2</v>
      </c>
      <c r="H38" s="164"/>
    </row>
    <row r="39" spans="1:8" x14ac:dyDescent="0.2">
      <c r="A39" s="5">
        <v>33</v>
      </c>
      <c r="B39" s="6" t="s">
        <v>254</v>
      </c>
      <c r="C39" s="6" t="s">
        <v>255</v>
      </c>
      <c r="D39" s="6" t="s">
        <v>62</v>
      </c>
      <c r="E39" s="7">
        <v>8499</v>
      </c>
      <c r="F39" s="8">
        <v>63.032833500000002</v>
      </c>
      <c r="G39" s="9">
        <v>1.3702443999999999E-2</v>
      </c>
      <c r="H39" s="164"/>
    </row>
    <row r="40" spans="1:8" x14ac:dyDescent="0.2">
      <c r="A40" s="5">
        <v>34</v>
      </c>
      <c r="B40" s="6" t="s">
        <v>205</v>
      </c>
      <c r="C40" s="6" t="s">
        <v>206</v>
      </c>
      <c r="D40" s="6" t="s">
        <v>207</v>
      </c>
      <c r="E40" s="7">
        <v>23472</v>
      </c>
      <c r="F40" s="8">
        <v>63.010584000000001</v>
      </c>
      <c r="G40" s="9">
        <v>1.3697607000000001E-2</v>
      </c>
      <c r="H40" s="164"/>
    </row>
    <row r="41" spans="1:8" x14ac:dyDescent="0.2">
      <c r="A41" s="5">
        <v>35</v>
      </c>
      <c r="B41" s="6" t="s">
        <v>220</v>
      </c>
      <c r="C41" s="6" t="s">
        <v>221</v>
      </c>
      <c r="D41" s="6" t="s">
        <v>28</v>
      </c>
      <c r="E41" s="7">
        <v>4007</v>
      </c>
      <c r="F41" s="8">
        <v>62.761640999999997</v>
      </c>
      <c r="G41" s="9">
        <v>1.3643489999999999E-2</v>
      </c>
      <c r="H41" s="164"/>
    </row>
    <row r="42" spans="1:8" ht="25.5" x14ac:dyDescent="0.2">
      <c r="A42" s="5">
        <v>36</v>
      </c>
      <c r="B42" s="6" t="s">
        <v>234</v>
      </c>
      <c r="C42" s="6" t="s">
        <v>235</v>
      </c>
      <c r="D42" s="6" t="s">
        <v>67</v>
      </c>
      <c r="E42" s="7">
        <v>13540</v>
      </c>
      <c r="F42" s="8">
        <v>59.914499999999997</v>
      </c>
      <c r="G42" s="9">
        <v>1.3024562E-2</v>
      </c>
      <c r="H42" s="164"/>
    </row>
    <row r="43" spans="1:8" x14ac:dyDescent="0.2">
      <c r="A43" s="5">
        <v>37</v>
      </c>
      <c r="B43" s="6" t="s">
        <v>232</v>
      </c>
      <c r="C43" s="6" t="s">
        <v>233</v>
      </c>
      <c r="D43" s="6" t="s">
        <v>37</v>
      </c>
      <c r="E43" s="7">
        <v>6936</v>
      </c>
      <c r="F43" s="8">
        <v>59.902763999999998</v>
      </c>
      <c r="G43" s="9">
        <v>1.3022011E-2</v>
      </c>
      <c r="H43" s="164"/>
    </row>
    <row r="44" spans="1:8" x14ac:dyDescent="0.2">
      <c r="A44" s="5">
        <v>38</v>
      </c>
      <c r="B44" s="6" t="s">
        <v>256</v>
      </c>
      <c r="C44" s="6" t="s">
        <v>257</v>
      </c>
      <c r="D44" s="6" t="s">
        <v>930</v>
      </c>
      <c r="E44" s="7">
        <v>10548</v>
      </c>
      <c r="F44" s="8">
        <v>59.095170000000003</v>
      </c>
      <c r="G44" s="9">
        <v>1.2846452E-2</v>
      </c>
      <c r="H44" s="164"/>
    </row>
    <row r="45" spans="1:8" x14ac:dyDescent="0.2">
      <c r="A45" s="5">
        <v>39</v>
      </c>
      <c r="B45" s="6" t="s">
        <v>230</v>
      </c>
      <c r="C45" s="6" t="s">
        <v>231</v>
      </c>
      <c r="D45" s="6" t="s">
        <v>62</v>
      </c>
      <c r="E45" s="7">
        <v>19491</v>
      </c>
      <c r="F45" s="8">
        <v>57.245066999999999</v>
      </c>
      <c r="G45" s="9">
        <v>1.2444264999999999E-2</v>
      </c>
      <c r="H45" s="164"/>
    </row>
    <row r="46" spans="1:8" x14ac:dyDescent="0.2">
      <c r="A46" s="5">
        <v>40</v>
      </c>
      <c r="B46" s="6" t="s">
        <v>224</v>
      </c>
      <c r="C46" s="6" t="s">
        <v>225</v>
      </c>
      <c r="D46" s="6" t="s">
        <v>161</v>
      </c>
      <c r="E46" s="7">
        <v>10566</v>
      </c>
      <c r="F46" s="8">
        <v>57.035268000000002</v>
      </c>
      <c r="G46" s="9">
        <v>1.2398658E-2</v>
      </c>
      <c r="H46" s="164"/>
    </row>
    <row r="47" spans="1:8" x14ac:dyDescent="0.2">
      <c r="A47" s="5">
        <v>41</v>
      </c>
      <c r="B47" s="6" t="s">
        <v>457</v>
      </c>
      <c r="C47" s="6" t="s">
        <v>458</v>
      </c>
      <c r="D47" s="6" t="s">
        <v>50</v>
      </c>
      <c r="E47" s="7">
        <v>13487</v>
      </c>
      <c r="F47" s="8">
        <v>56.867935500000002</v>
      </c>
      <c r="G47" s="9">
        <v>1.2362282E-2</v>
      </c>
      <c r="H47" s="164"/>
    </row>
    <row r="48" spans="1:8" x14ac:dyDescent="0.2">
      <c r="A48" s="5">
        <v>42</v>
      </c>
      <c r="B48" s="6" t="s">
        <v>212</v>
      </c>
      <c r="C48" s="6" t="s">
        <v>213</v>
      </c>
      <c r="D48" s="6" t="s">
        <v>929</v>
      </c>
      <c r="E48" s="7">
        <v>6263</v>
      </c>
      <c r="F48" s="8">
        <v>54.447390499999997</v>
      </c>
      <c r="G48" s="9">
        <v>1.183609E-2</v>
      </c>
      <c r="H48" s="164"/>
    </row>
    <row r="49" spans="1:8" x14ac:dyDescent="0.2">
      <c r="A49" s="5">
        <v>43</v>
      </c>
      <c r="B49" s="6" t="s">
        <v>275</v>
      </c>
      <c r="C49" s="6" t="s">
        <v>276</v>
      </c>
      <c r="D49" s="6" t="s">
        <v>277</v>
      </c>
      <c r="E49" s="7">
        <v>20978</v>
      </c>
      <c r="F49" s="8">
        <v>54.385465000000003</v>
      </c>
      <c r="G49" s="9">
        <v>1.1822628E-2</v>
      </c>
      <c r="H49" s="164"/>
    </row>
    <row r="50" spans="1:8" ht="25.5" x14ac:dyDescent="0.2">
      <c r="A50" s="5">
        <v>44</v>
      </c>
      <c r="B50" s="6" t="s">
        <v>248</v>
      </c>
      <c r="C50" s="6" t="s">
        <v>249</v>
      </c>
      <c r="D50" s="6" t="s">
        <v>67</v>
      </c>
      <c r="E50" s="7">
        <v>12063</v>
      </c>
      <c r="F50" s="8">
        <v>52.715310000000002</v>
      </c>
      <c r="G50" s="9">
        <v>1.1459560000000001E-2</v>
      </c>
      <c r="H50" s="164"/>
    </row>
    <row r="51" spans="1:8" ht="25.5" x14ac:dyDescent="0.2">
      <c r="A51" s="5">
        <v>45</v>
      </c>
      <c r="B51" s="6" t="s">
        <v>246</v>
      </c>
      <c r="C51" s="6" t="s">
        <v>247</v>
      </c>
      <c r="D51" s="6" t="s">
        <v>40</v>
      </c>
      <c r="E51" s="7">
        <v>66888</v>
      </c>
      <c r="F51" s="8">
        <v>52.440192000000003</v>
      </c>
      <c r="G51" s="9">
        <v>1.1399754E-2</v>
      </c>
      <c r="H51" s="164"/>
    </row>
    <row r="52" spans="1:8" x14ac:dyDescent="0.2">
      <c r="A52" s="5">
        <v>46</v>
      </c>
      <c r="B52" s="6" t="s">
        <v>228</v>
      </c>
      <c r="C52" s="6" t="s">
        <v>229</v>
      </c>
      <c r="D52" s="6" t="s">
        <v>62</v>
      </c>
      <c r="E52" s="7">
        <v>6780</v>
      </c>
      <c r="F52" s="8">
        <v>52.406010000000002</v>
      </c>
      <c r="G52" s="9">
        <v>1.1392322999999999E-2</v>
      </c>
      <c r="H52" s="164"/>
    </row>
    <row r="53" spans="1:8" x14ac:dyDescent="0.2">
      <c r="A53" s="5">
        <v>47</v>
      </c>
      <c r="B53" s="6" t="s">
        <v>242</v>
      </c>
      <c r="C53" s="6" t="s">
        <v>243</v>
      </c>
      <c r="D53" s="6" t="s">
        <v>59</v>
      </c>
      <c r="E53" s="7">
        <v>3908</v>
      </c>
      <c r="F53" s="8">
        <v>51.622726</v>
      </c>
      <c r="G53" s="9">
        <v>1.1222048E-2</v>
      </c>
      <c r="H53" s="164"/>
    </row>
    <row r="54" spans="1:8" ht="25.5" x14ac:dyDescent="0.2">
      <c r="A54" s="5">
        <v>48</v>
      </c>
      <c r="B54" s="6" t="s">
        <v>258</v>
      </c>
      <c r="C54" s="6" t="s">
        <v>259</v>
      </c>
      <c r="D54" s="6" t="s">
        <v>931</v>
      </c>
      <c r="E54" s="7">
        <v>49629</v>
      </c>
      <c r="F54" s="8">
        <v>49.480113000000003</v>
      </c>
      <c r="G54" s="9">
        <v>1.0756274999999999E-2</v>
      </c>
      <c r="H54" s="164"/>
    </row>
    <row r="55" spans="1:8" x14ac:dyDescent="0.2">
      <c r="A55" s="5">
        <v>49</v>
      </c>
      <c r="B55" s="6" t="s">
        <v>461</v>
      </c>
      <c r="C55" s="6" t="s">
        <v>462</v>
      </c>
      <c r="D55" s="6" t="s">
        <v>28</v>
      </c>
      <c r="E55" s="7">
        <v>7346</v>
      </c>
      <c r="F55" s="8">
        <v>49.434907000000003</v>
      </c>
      <c r="G55" s="9">
        <v>1.0746446999999999E-2</v>
      </c>
      <c r="H55" s="164"/>
    </row>
    <row r="56" spans="1:8" x14ac:dyDescent="0.2">
      <c r="A56" s="5">
        <v>50</v>
      </c>
      <c r="B56" s="6" t="s">
        <v>260</v>
      </c>
      <c r="C56" s="6" t="s">
        <v>261</v>
      </c>
      <c r="D56" s="6" t="s">
        <v>930</v>
      </c>
      <c r="E56" s="7">
        <v>11772</v>
      </c>
      <c r="F56" s="8">
        <v>48.159252000000002</v>
      </c>
      <c r="G56" s="9">
        <v>1.0469137999999999E-2</v>
      </c>
      <c r="H56" s="164"/>
    </row>
    <row r="57" spans="1:8" x14ac:dyDescent="0.2">
      <c r="A57" s="5">
        <v>51</v>
      </c>
      <c r="B57" s="6" t="s">
        <v>273</v>
      </c>
      <c r="C57" s="6" t="s">
        <v>274</v>
      </c>
      <c r="D57" s="6" t="s">
        <v>22</v>
      </c>
      <c r="E57" s="7">
        <v>44477</v>
      </c>
      <c r="F57" s="8">
        <v>46.700850000000003</v>
      </c>
      <c r="G57" s="9">
        <v>1.0152102E-2</v>
      </c>
      <c r="H57" s="164"/>
    </row>
    <row r="58" spans="1:8" ht="25.5" x14ac:dyDescent="0.2">
      <c r="A58" s="5">
        <v>52</v>
      </c>
      <c r="B58" s="6" t="s">
        <v>191</v>
      </c>
      <c r="C58" s="6" t="s">
        <v>192</v>
      </c>
      <c r="D58" s="6" t="s">
        <v>925</v>
      </c>
      <c r="E58" s="7">
        <v>17243</v>
      </c>
      <c r="F58" s="8">
        <v>45.633599500000003</v>
      </c>
      <c r="G58" s="9">
        <v>9.9200969999999992E-3</v>
      </c>
      <c r="H58" s="164"/>
    </row>
    <row r="59" spans="1:8" x14ac:dyDescent="0.2">
      <c r="A59" s="5">
        <v>53</v>
      </c>
      <c r="B59" s="6" t="s">
        <v>35</v>
      </c>
      <c r="C59" s="6" t="s">
        <v>36</v>
      </c>
      <c r="D59" s="6" t="s">
        <v>37</v>
      </c>
      <c r="E59" s="7">
        <v>13250</v>
      </c>
      <c r="F59" s="8">
        <v>43.228124999999999</v>
      </c>
      <c r="G59" s="9">
        <v>9.3971809999999992E-3</v>
      </c>
      <c r="H59" s="164"/>
    </row>
    <row r="60" spans="1:8" x14ac:dyDescent="0.2">
      <c r="A60" s="5">
        <v>54</v>
      </c>
      <c r="B60" s="6" t="s">
        <v>465</v>
      </c>
      <c r="C60" s="6" t="s">
        <v>466</v>
      </c>
      <c r="D60" s="6" t="s">
        <v>161</v>
      </c>
      <c r="E60" s="7">
        <v>6433</v>
      </c>
      <c r="F60" s="8">
        <v>42.773017000000003</v>
      </c>
      <c r="G60" s="9">
        <v>9.2982470000000008E-3</v>
      </c>
      <c r="H60" s="164"/>
    </row>
    <row r="61" spans="1:8" x14ac:dyDescent="0.2">
      <c r="A61" s="5">
        <v>55</v>
      </c>
      <c r="B61" s="6" t="s">
        <v>267</v>
      </c>
      <c r="C61" s="6" t="s">
        <v>268</v>
      </c>
      <c r="D61" s="6" t="s">
        <v>195</v>
      </c>
      <c r="E61" s="7">
        <v>5643</v>
      </c>
      <c r="F61" s="8">
        <v>41.8456665</v>
      </c>
      <c r="G61" s="9">
        <v>9.0966539999999992E-3</v>
      </c>
      <c r="H61" s="164"/>
    </row>
    <row r="62" spans="1:8" x14ac:dyDescent="0.2">
      <c r="A62" s="5">
        <v>56</v>
      </c>
      <c r="B62" s="6" t="s">
        <v>271</v>
      </c>
      <c r="C62" s="6" t="s">
        <v>272</v>
      </c>
      <c r="D62" s="6" t="s">
        <v>346</v>
      </c>
      <c r="E62" s="7">
        <v>4199</v>
      </c>
      <c r="F62" s="8">
        <v>40.484658500000002</v>
      </c>
      <c r="G62" s="9">
        <v>8.8007899999999993E-3</v>
      </c>
      <c r="H62" s="164"/>
    </row>
    <row r="63" spans="1:8" x14ac:dyDescent="0.2">
      <c r="A63" s="5">
        <v>57</v>
      </c>
      <c r="B63" s="6" t="s">
        <v>463</v>
      </c>
      <c r="C63" s="6" t="s">
        <v>464</v>
      </c>
      <c r="D63" s="6" t="s">
        <v>927</v>
      </c>
      <c r="E63" s="7">
        <v>35218</v>
      </c>
      <c r="F63" s="8">
        <v>39.426551000000003</v>
      </c>
      <c r="G63" s="9">
        <v>8.5707730000000003E-3</v>
      </c>
      <c r="H63" s="164"/>
    </row>
    <row r="64" spans="1:8" x14ac:dyDescent="0.2">
      <c r="A64" s="5">
        <v>58</v>
      </c>
      <c r="B64" s="6" t="s">
        <v>286</v>
      </c>
      <c r="C64" s="6" t="s">
        <v>287</v>
      </c>
      <c r="D64" s="6" t="s">
        <v>927</v>
      </c>
      <c r="E64" s="7">
        <v>2065</v>
      </c>
      <c r="F64" s="8">
        <v>33.107112499999999</v>
      </c>
      <c r="G64" s="9">
        <v>7.197017E-3</v>
      </c>
      <c r="H64" s="164"/>
    </row>
    <row r="65" spans="1:8" x14ac:dyDescent="0.2">
      <c r="A65" s="5">
        <v>59</v>
      </c>
      <c r="B65" s="6" t="s">
        <v>288</v>
      </c>
      <c r="C65" s="6" t="s">
        <v>289</v>
      </c>
      <c r="D65" s="6" t="s">
        <v>158</v>
      </c>
      <c r="E65" s="7">
        <v>2348</v>
      </c>
      <c r="F65" s="8">
        <v>32.472839999999998</v>
      </c>
      <c r="G65" s="9">
        <v>7.0591350000000002E-3</v>
      </c>
      <c r="H65" s="164"/>
    </row>
    <row r="66" spans="1:8" x14ac:dyDescent="0.2">
      <c r="A66" s="5">
        <v>60</v>
      </c>
      <c r="B66" s="6" t="s">
        <v>282</v>
      </c>
      <c r="C66" s="6" t="s">
        <v>283</v>
      </c>
      <c r="D66" s="6" t="s">
        <v>200</v>
      </c>
      <c r="E66" s="7">
        <v>596</v>
      </c>
      <c r="F66" s="8">
        <v>31.930104</v>
      </c>
      <c r="G66" s="9">
        <v>6.9411519999999999E-3</v>
      </c>
      <c r="H66" s="164"/>
    </row>
    <row r="67" spans="1:8" x14ac:dyDescent="0.2">
      <c r="A67" s="5">
        <v>61</v>
      </c>
      <c r="B67" s="6" t="s">
        <v>290</v>
      </c>
      <c r="C67" s="6" t="s">
        <v>291</v>
      </c>
      <c r="D67" s="6" t="s">
        <v>179</v>
      </c>
      <c r="E67" s="7">
        <v>4487</v>
      </c>
      <c r="F67" s="8">
        <v>23.864109500000001</v>
      </c>
      <c r="G67" s="9">
        <v>5.1877190000000004E-3</v>
      </c>
      <c r="H67" s="164"/>
    </row>
    <row r="68" spans="1:8" x14ac:dyDescent="0.2">
      <c r="A68" s="3" t="s">
        <v>9</v>
      </c>
      <c r="B68" s="3" t="s">
        <v>9</v>
      </c>
      <c r="C68" s="4" t="s">
        <v>110</v>
      </c>
      <c r="D68" s="3" t="s">
        <v>9</v>
      </c>
      <c r="E68" s="3" t="s">
        <v>9</v>
      </c>
      <c r="F68" s="11">
        <v>4510.168729</v>
      </c>
      <c r="G68" s="12">
        <v>0.98044668999999995</v>
      </c>
      <c r="H68" s="164"/>
    </row>
    <row r="69" spans="1:8" x14ac:dyDescent="0.2">
      <c r="A69" s="3" t="s">
        <v>9</v>
      </c>
      <c r="B69" s="3" t="s">
        <v>9</v>
      </c>
      <c r="C69" s="13" t="s">
        <v>9</v>
      </c>
      <c r="D69" s="3" t="s">
        <v>9</v>
      </c>
      <c r="E69" s="3" t="s">
        <v>9</v>
      </c>
      <c r="F69" s="14" t="s">
        <v>9</v>
      </c>
      <c r="G69" s="14" t="s">
        <v>9</v>
      </c>
      <c r="H69" s="164"/>
    </row>
    <row r="70" spans="1:8" x14ac:dyDescent="0.2">
      <c r="A70" s="3" t="s">
        <v>9</v>
      </c>
      <c r="B70" s="3" t="s">
        <v>9</v>
      </c>
      <c r="C70" s="4" t="s">
        <v>111</v>
      </c>
      <c r="D70" s="3" t="s">
        <v>9</v>
      </c>
      <c r="E70" s="3" t="s">
        <v>9</v>
      </c>
      <c r="F70" s="3" t="s">
        <v>9</v>
      </c>
      <c r="G70" s="3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110</v>
      </c>
      <c r="D71" s="3" t="s">
        <v>9</v>
      </c>
      <c r="E71" s="3" t="s">
        <v>9</v>
      </c>
      <c r="F71" s="15">
        <v>0</v>
      </c>
      <c r="G71" s="16">
        <v>0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112</v>
      </c>
      <c r="D73" s="3" t="s">
        <v>9</v>
      </c>
      <c r="E73" s="3" t="s">
        <v>9</v>
      </c>
      <c r="F73" s="3" t="s">
        <v>9</v>
      </c>
      <c r="G73" s="3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110</v>
      </c>
      <c r="D74" s="3" t="s">
        <v>9</v>
      </c>
      <c r="E74" s="3" t="s">
        <v>9</v>
      </c>
      <c r="F74" s="15">
        <v>0</v>
      </c>
      <c r="G74" s="16">
        <v>0</v>
      </c>
      <c r="H74" s="164"/>
    </row>
    <row r="75" spans="1:8" x14ac:dyDescent="0.2">
      <c r="A75" s="3" t="s">
        <v>9</v>
      </c>
      <c r="B75" s="3" t="s">
        <v>9</v>
      </c>
      <c r="C75" s="13" t="s">
        <v>9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113</v>
      </c>
      <c r="D76" s="3" t="s">
        <v>9</v>
      </c>
      <c r="E76" s="3" t="s">
        <v>9</v>
      </c>
      <c r="F76" s="3" t="s">
        <v>9</v>
      </c>
      <c r="G76" s="3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110</v>
      </c>
      <c r="D77" s="3" t="s">
        <v>9</v>
      </c>
      <c r="E77" s="3" t="s">
        <v>9</v>
      </c>
      <c r="F77" s="15">
        <v>0</v>
      </c>
      <c r="G77" s="16">
        <v>0</v>
      </c>
      <c r="H77" s="164"/>
    </row>
    <row r="78" spans="1:8" x14ac:dyDescent="0.2">
      <c r="A78" s="3" t="s">
        <v>9</v>
      </c>
      <c r="B78" s="3" t="s">
        <v>9</v>
      </c>
      <c r="C78" s="13" t="s">
        <v>9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x14ac:dyDescent="0.2">
      <c r="A79" s="3" t="s">
        <v>9</v>
      </c>
      <c r="B79" s="3" t="s">
        <v>9</v>
      </c>
      <c r="C79" s="4" t="s">
        <v>114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110</v>
      </c>
      <c r="D80" s="3" t="s">
        <v>9</v>
      </c>
      <c r="E80" s="3" t="s">
        <v>9</v>
      </c>
      <c r="F80" s="15">
        <v>0</v>
      </c>
      <c r="G80" s="16">
        <v>0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115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116</v>
      </c>
      <c r="D85" s="3" t="s">
        <v>9</v>
      </c>
      <c r="E85" s="3" t="s">
        <v>9</v>
      </c>
      <c r="F85" s="11">
        <v>4510.168729</v>
      </c>
      <c r="G85" s="12">
        <v>0.98044668999999995</v>
      </c>
      <c r="H85" s="164"/>
    </row>
    <row r="86" spans="1:8" x14ac:dyDescent="0.2">
      <c r="A86" s="3" t="s">
        <v>9</v>
      </c>
      <c r="B86" s="3" t="s">
        <v>9</v>
      </c>
      <c r="C86" s="13" t="s">
        <v>9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117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ht="25.5" x14ac:dyDescent="0.2">
      <c r="A88" s="3" t="s">
        <v>9</v>
      </c>
      <c r="B88" s="3" t="s">
        <v>9</v>
      </c>
      <c r="C88" s="4" t="s">
        <v>11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110</v>
      </c>
      <c r="D89" s="3" t="s">
        <v>9</v>
      </c>
      <c r="E89" s="3" t="s">
        <v>9</v>
      </c>
      <c r="F89" s="15">
        <v>0</v>
      </c>
      <c r="G89" s="16">
        <v>0</v>
      </c>
      <c r="H89" s="164"/>
    </row>
    <row r="90" spans="1:8" x14ac:dyDescent="0.2">
      <c r="A90" s="3" t="s">
        <v>9</v>
      </c>
      <c r="B90" s="3" t="s">
        <v>9</v>
      </c>
      <c r="C90" s="13" t="s">
        <v>9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118</v>
      </c>
      <c r="D91" s="3" t="s">
        <v>9</v>
      </c>
      <c r="E91" s="3" t="s">
        <v>9</v>
      </c>
      <c r="F91" s="3" t="s">
        <v>9</v>
      </c>
      <c r="G91" s="3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110</v>
      </c>
      <c r="D92" s="3" t="s">
        <v>9</v>
      </c>
      <c r="E92" s="3" t="s">
        <v>9</v>
      </c>
      <c r="F92" s="15">
        <v>0</v>
      </c>
      <c r="G92" s="16">
        <v>0</v>
      </c>
      <c r="H92" s="164"/>
    </row>
    <row r="93" spans="1:8" x14ac:dyDescent="0.2">
      <c r="A93" s="3" t="s">
        <v>9</v>
      </c>
      <c r="B93" s="3" t="s">
        <v>9</v>
      </c>
      <c r="C93" s="13" t="s">
        <v>9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119</v>
      </c>
      <c r="D94" s="3" t="s">
        <v>9</v>
      </c>
      <c r="E94" s="3" t="s">
        <v>9</v>
      </c>
      <c r="F94" s="3" t="s">
        <v>9</v>
      </c>
      <c r="G94" s="3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110</v>
      </c>
      <c r="D95" s="3" t="s">
        <v>9</v>
      </c>
      <c r="E95" s="3" t="s">
        <v>9</v>
      </c>
      <c r="F95" s="15">
        <v>0</v>
      </c>
      <c r="G95" s="16">
        <v>0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120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110</v>
      </c>
      <c r="D98" s="3" t="s">
        <v>9</v>
      </c>
      <c r="E98" s="3" t="s">
        <v>9</v>
      </c>
      <c r="F98" s="15">
        <v>0</v>
      </c>
      <c r="G98" s="16">
        <v>0</v>
      </c>
      <c r="H98" s="164"/>
    </row>
    <row r="99" spans="1:8" x14ac:dyDescent="0.2">
      <c r="A99" s="3" t="s">
        <v>9</v>
      </c>
      <c r="B99" s="3" t="s">
        <v>9</v>
      </c>
      <c r="C99" s="13" t="s">
        <v>9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121</v>
      </c>
      <c r="D100" s="3" t="s">
        <v>9</v>
      </c>
      <c r="E100" s="3" t="s">
        <v>9</v>
      </c>
      <c r="F100" s="11">
        <v>0</v>
      </c>
      <c r="G100" s="12">
        <v>0</v>
      </c>
      <c r="H100" s="164"/>
    </row>
    <row r="101" spans="1:8" x14ac:dyDescent="0.2">
      <c r="A101" s="3" t="s">
        <v>9</v>
      </c>
      <c r="B101" s="3" t="s">
        <v>9</v>
      </c>
      <c r="C101" s="13" t="s">
        <v>9</v>
      </c>
      <c r="D101" s="3" t="s">
        <v>9</v>
      </c>
      <c r="E101" s="3" t="s">
        <v>9</v>
      </c>
      <c r="F101" s="14" t="s">
        <v>9</v>
      </c>
      <c r="G101" s="14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122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123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110</v>
      </c>
      <c r="D104" s="3" t="s">
        <v>9</v>
      </c>
      <c r="E104" s="3" t="s">
        <v>9</v>
      </c>
      <c r="F104" s="15">
        <v>0</v>
      </c>
      <c r="G104" s="16">
        <v>0</v>
      </c>
      <c r="H104" s="164"/>
    </row>
    <row r="105" spans="1:8" x14ac:dyDescent="0.2">
      <c r="A105" s="3" t="s">
        <v>9</v>
      </c>
      <c r="B105" s="3" t="s">
        <v>9</v>
      </c>
      <c r="C105" s="13" t="s">
        <v>9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124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110</v>
      </c>
      <c r="D107" s="3" t="s">
        <v>9</v>
      </c>
      <c r="E107" s="3" t="s">
        <v>9</v>
      </c>
      <c r="F107" s="15">
        <v>0</v>
      </c>
      <c r="G107" s="16">
        <v>0</v>
      </c>
      <c r="H107" s="164"/>
    </row>
    <row r="108" spans="1:8" x14ac:dyDescent="0.2">
      <c r="A108" s="3" t="s">
        <v>9</v>
      </c>
      <c r="B108" s="3" t="s">
        <v>9</v>
      </c>
      <c r="C108" s="13" t="s">
        <v>9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125</v>
      </c>
      <c r="D109" s="3" t="s">
        <v>9</v>
      </c>
      <c r="E109" s="3" t="s">
        <v>9</v>
      </c>
      <c r="F109" s="14" t="s">
        <v>9</v>
      </c>
      <c r="G109" s="14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110</v>
      </c>
      <c r="D110" s="3" t="s">
        <v>9</v>
      </c>
      <c r="E110" s="3" t="s">
        <v>9</v>
      </c>
      <c r="F110" s="15">
        <v>0</v>
      </c>
      <c r="G110" s="16">
        <v>0</v>
      </c>
      <c r="H110" s="164"/>
    </row>
    <row r="111" spans="1:8" x14ac:dyDescent="0.2">
      <c r="A111" s="3" t="s">
        <v>9</v>
      </c>
      <c r="B111" s="3" t="s">
        <v>9</v>
      </c>
      <c r="C111" s="13" t="s">
        <v>9</v>
      </c>
      <c r="D111" s="3" t="s">
        <v>9</v>
      </c>
      <c r="E111" s="3" t="s">
        <v>9</v>
      </c>
      <c r="F111" s="14" t="s">
        <v>9</v>
      </c>
      <c r="G111" s="14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126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5">
        <v>1</v>
      </c>
      <c r="B113" s="6"/>
      <c r="C113" s="6" t="s">
        <v>127</v>
      </c>
      <c r="D113" s="6"/>
      <c r="E113" s="10" t="s">
        <v>9</v>
      </c>
      <c r="F113" s="8">
        <v>51.397900700000001</v>
      </c>
      <c r="G113" s="9">
        <v>1.1173173999999999E-2</v>
      </c>
      <c r="H113" s="90">
        <v>3.22</v>
      </c>
    </row>
    <row r="114" spans="1:8" x14ac:dyDescent="0.2">
      <c r="A114" s="5">
        <v>2</v>
      </c>
      <c r="B114" s="6"/>
      <c r="C114" s="6" t="s">
        <v>128</v>
      </c>
      <c r="D114" s="6"/>
      <c r="E114" s="10" t="s">
        <v>9</v>
      </c>
      <c r="F114" s="8">
        <v>14.524785899999999</v>
      </c>
      <c r="G114" s="9">
        <v>3.1574820000000001E-3</v>
      </c>
      <c r="H114" s="90">
        <v>3.34</v>
      </c>
    </row>
    <row r="115" spans="1:8" x14ac:dyDescent="0.2">
      <c r="A115" s="3" t="s">
        <v>9</v>
      </c>
      <c r="B115" s="3" t="s">
        <v>9</v>
      </c>
      <c r="C115" s="4" t="s">
        <v>110</v>
      </c>
      <c r="D115" s="3" t="s">
        <v>9</v>
      </c>
      <c r="E115" s="3" t="s">
        <v>9</v>
      </c>
      <c r="F115" s="11">
        <v>65.922686600000006</v>
      </c>
      <c r="G115" s="12">
        <v>1.4330656000000001E-2</v>
      </c>
      <c r="H115" s="164"/>
    </row>
    <row r="116" spans="1:8" x14ac:dyDescent="0.2">
      <c r="A116" s="3" t="s">
        <v>9</v>
      </c>
      <c r="B116" s="3" t="s">
        <v>9</v>
      </c>
      <c r="C116" s="13" t="s">
        <v>9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3" t="s">
        <v>9</v>
      </c>
      <c r="B117" s="3" t="s">
        <v>9</v>
      </c>
      <c r="C117" s="4" t="s">
        <v>129</v>
      </c>
      <c r="D117" s="3" t="s">
        <v>9</v>
      </c>
      <c r="E117" s="3" t="s">
        <v>9</v>
      </c>
      <c r="F117" s="11">
        <v>65.922686600000006</v>
      </c>
      <c r="G117" s="12">
        <v>1.4330656000000001E-2</v>
      </c>
      <c r="H117" s="164"/>
    </row>
    <row r="118" spans="1:8" x14ac:dyDescent="0.2">
      <c r="A118" s="3" t="s">
        <v>9</v>
      </c>
      <c r="B118" s="3" t="s">
        <v>9</v>
      </c>
      <c r="C118" s="14" t="s">
        <v>9</v>
      </c>
      <c r="D118" s="3" t="s">
        <v>9</v>
      </c>
      <c r="E118" s="3" t="s">
        <v>9</v>
      </c>
      <c r="F118" s="3" t="s">
        <v>9</v>
      </c>
      <c r="G118" s="3" t="s">
        <v>9</v>
      </c>
      <c r="H118" s="164"/>
    </row>
    <row r="119" spans="1:8" x14ac:dyDescent="0.2">
      <c r="A119" s="3" t="s">
        <v>9</v>
      </c>
      <c r="B119" s="3" t="s">
        <v>9</v>
      </c>
      <c r="C119" s="4" t="s">
        <v>130</v>
      </c>
      <c r="D119" s="3" t="s">
        <v>9</v>
      </c>
      <c r="E119" s="3" t="s">
        <v>9</v>
      </c>
      <c r="F119" s="3" t="s">
        <v>9</v>
      </c>
      <c r="G119" s="3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131</v>
      </c>
      <c r="D120" s="3" t="s">
        <v>9</v>
      </c>
      <c r="E120" s="3" t="s">
        <v>9</v>
      </c>
      <c r="F120" s="3" t="s">
        <v>9</v>
      </c>
      <c r="G120" s="3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110</v>
      </c>
      <c r="D121" s="3" t="s">
        <v>9</v>
      </c>
      <c r="E121" s="3" t="s">
        <v>9</v>
      </c>
      <c r="F121" s="15">
        <v>0</v>
      </c>
      <c r="G121" s="16">
        <v>0</v>
      </c>
      <c r="H121" s="164"/>
    </row>
    <row r="122" spans="1:8" x14ac:dyDescent="0.2">
      <c r="A122" s="3" t="s">
        <v>9</v>
      </c>
      <c r="B122" s="3" t="s">
        <v>9</v>
      </c>
      <c r="C122" s="13" t="s">
        <v>9</v>
      </c>
      <c r="D122" s="3" t="s">
        <v>9</v>
      </c>
      <c r="E122" s="3" t="s">
        <v>9</v>
      </c>
      <c r="F122" s="14" t="s">
        <v>9</v>
      </c>
      <c r="G122" s="14" t="s">
        <v>9</v>
      </c>
      <c r="H122" s="164"/>
    </row>
    <row r="123" spans="1:8" x14ac:dyDescent="0.2">
      <c r="A123" s="3" t="s">
        <v>9</v>
      </c>
      <c r="B123" s="3" t="s">
        <v>9</v>
      </c>
      <c r="C123" s="4" t="s">
        <v>132</v>
      </c>
      <c r="D123" s="3" t="s">
        <v>9</v>
      </c>
      <c r="E123" s="3" t="s">
        <v>9</v>
      </c>
      <c r="F123" s="3" t="s">
        <v>9</v>
      </c>
      <c r="G123" s="3" t="s">
        <v>9</v>
      </c>
      <c r="H123" s="164"/>
    </row>
    <row r="124" spans="1:8" x14ac:dyDescent="0.2">
      <c r="A124" s="3" t="s">
        <v>9</v>
      </c>
      <c r="B124" s="3" t="s">
        <v>9</v>
      </c>
      <c r="C124" s="4" t="s">
        <v>133</v>
      </c>
      <c r="D124" s="3" t="s">
        <v>9</v>
      </c>
      <c r="E124" s="3" t="s">
        <v>9</v>
      </c>
      <c r="F124" s="3" t="s">
        <v>9</v>
      </c>
      <c r="G124" s="3" t="s">
        <v>9</v>
      </c>
      <c r="H124" s="164"/>
    </row>
    <row r="125" spans="1:8" x14ac:dyDescent="0.2">
      <c r="A125" s="3" t="s">
        <v>9</v>
      </c>
      <c r="B125" s="3" t="s">
        <v>9</v>
      </c>
      <c r="C125" s="4" t="s">
        <v>110</v>
      </c>
      <c r="D125" s="3" t="s">
        <v>9</v>
      </c>
      <c r="E125" s="3" t="s">
        <v>9</v>
      </c>
      <c r="F125" s="15">
        <v>0</v>
      </c>
      <c r="G125" s="16">
        <v>0</v>
      </c>
      <c r="H125" s="164"/>
    </row>
    <row r="126" spans="1:8" x14ac:dyDescent="0.2">
      <c r="A126" s="3" t="s">
        <v>9</v>
      </c>
      <c r="B126" s="3" t="s">
        <v>9</v>
      </c>
      <c r="C126" s="13" t="s">
        <v>9</v>
      </c>
      <c r="D126" s="3" t="s">
        <v>9</v>
      </c>
      <c r="E126" s="3" t="s">
        <v>9</v>
      </c>
      <c r="F126" s="14" t="s">
        <v>9</v>
      </c>
      <c r="G126" s="14" t="s">
        <v>9</v>
      </c>
      <c r="H126" s="164"/>
    </row>
    <row r="127" spans="1:8" x14ac:dyDescent="0.2">
      <c r="A127" s="3" t="s">
        <v>9</v>
      </c>
      <c r="B127" s="3" t="s">
        <v>9</v>
      </c>
      <c r="C127" s="13" t="s">
        <v>9</v>
      </c>
      <c r="D127" s="3" t="s">
        <v>9</v>
      </c>
      <c r="E127" s="3" t="s">
        <v>9</v>
      </c>
      <c r="F127" s="14" t="s">
        <v>9</v>
      </c>
      <c r="G127" s="14" t="s">
        <v>9</v>
      </c>
      <c r="H127" s="164"/>
    </row>
    <row r="128" spans="1:8" ht="25.5" x14ac:dyDescent="0.2">
      <c r="A128" s="3" t="s">
        <v>9</v>
      </c>
      <c r="B128" s="3" t="s">
        <v>9</v>
      </c>
      <c r="C128" s="4" t="s">
        <v>134</v>
      </c>
      <c r="D128" s="3" t="s">
        <v>9</v>
      </c>
      <c r="E128" s="3" t="s">
        <v>9</v>
      </c>
      <c r="F128" s="14" t="s">
        <v>9</v>
      </c>
      <c r="G128" s="14" t="s">
        <v>9</v>
      </c>
      <c r="H128" s="164"/>
    </row>
    <row r="129" spans="1:8" x14ac:dyDescent="0.2">
      <c r="A129" s="3" t="s">
        <v>9</v>
      </c>
      <c r="B129" s="3" t="s">
        <v>9</v>
      </c>
      <c r="C129" s="4" t="s">
        <v>110</v>
      </c>
      <c r="D129" s="3" t="s">
        <v>9</v>
      </c>
      <c r="E129" s="3" t="s">
        <v>9</v>
      </c>
      <c r="F129" s="15">
        <v>0</v>
      </c>
      <c r="G129" s="16">
        <v>0</v>
      </c>
      <c r="H129" s="164"/>
    </row>
    <row r="130" spans="1:8" x14ac:dyDescent="0.2">
      <c r="A130" s="3" t="s">
        <v>9</v>
      </c>
      <c r="B130" s="3" t="s">
        <v>9</v>
      </c>
      <c r="C130" s="13" t="s">
        <v>9</v>
      </c>
      <c r="D130" s="3" t="s">
        <v>9</v>
      </c>
      <c r="E130" s="3" t="s">
        <v>9</v>
      </c>
      <c r="F130" s="14" t="s">
        <v>9</v>
      </c>
      <c r="G130" s="14" t="s">
        <v>9</v>
      </c>
      <c r="H130" s="164"/>
    </row>
    <row r="131" spans="1:8" x14ac:dyDescent="0.2">
      <c r="A131" s="3" t="s">
        <v>9</v>
      </c>
      <c r="B131" s="6" t="s">
        <v>9</v>
      </c>
      <c r="C131" s="6" t="s">
        <v>9</v>
      </c>
      <c r="D131" s="4" t="s">
        <v>9</v>
      </c>
      <c r="E131" s="3" t="s">
        <v>9</v>
      </c>
      <c r="F131" s="6" t="s">
        <v>9</v>
      </c>
      <c r="G131" s="10" t="s">
        <v>9</v>
      </c>
      <c r="H131" s="164"/>
    </row>
    <row r="132" spans="1:8" x14ac:dyDescent="0.2">
      <c r="A132" s="10" t="s">
        <v>9</v>
      </c>
      <c r="B132" s="6" t="s">
        <v>9</v>
      </c>
      <c r="C132" s="6" t="s">
        <v>135</v>
      </c>
      <c r="D132" s="6" t="s">
        <v>9</v>
      </c>
      <c r="E132" s="10" t="s">
        <v>9</v>
      </c>
      <c r="F132" s="8">
        <v>24.024804799999998</v>
      </c>
      <c r="G132" s="9">
        <v>5.2226520000000004E-3</v>
      </c>
      <c r="H132" s="164"/>
    </row>
    <row r="133" spans="1:8" x14ac:dyDescent="0.2">
      <c r="A133" s="13" t="s">
        <v>9</v>
      </c>
      <c r="B133" s="13" t="s">
        <v>9</v>
      </c>
      <c r="C133" s="4" t="s">
        <v>136</v>
      </c>
      <c r="D133" s="17" t="s">
        <v>9</v>
      </c>
      <c r="E133" s="17" t="s">
        <v>9</v>
      </c>
      <c r="F133" s="11">
        <v>4600.1162204000002</v>
      </c>
      <c r="G133" s="12">
        <v>0.99999999799999995</v>
      </c>
      <c r="H133" s="164"/>
    </row>
    <row r="134" spans="1:8" ht="14.1" customHeight="1" x14ac:dyDescent="0.2">
      <c r="A134" s="18" t="s">
        <v>9</v>
      </c>
      <c r="B134" s="18" t="s">
        <v>9</v>
      </c>
      <c r="C134" s="18" t="s">
        <v>9</v>
      </c>
      <c r="D134" s="19" t="s">
        <v>9</v>
      </c>
      <c r="E134" s="19" t="s">
        <v>9</v>
      </c>
      <c r="F134" s="19" t="s">
        <v>9</v>
      </c>
      <c r="G134" s="19" t="s">
        <v>9</v>
      </c>
    </row>
    <row r="135" spans="1:8" ht="14.1" customHeight="1" x14ac:dyDescent="0.2">
      <c r="A135" s="20" t="s">
        <v>9</v>
      </c>
      <c r="B135" s="228" t="s">
        <v>9</v>
      </c>
      <c r="C135" s="228"/>
      <c r="D135" s="228"/>
      <c r="E135" s="228"/>
      <c r="F135" s="228"/>
      <c r="G135" s="22" t="s">
        <v>9</v>
      </c>
    </row>
    <row r="136" spans="1:8" ht="14.1" customHeight="1" x14ac:dyDescent="0.2">
      <c r="A136" s="20" t="s">
        <v>9</v>
      </c>
      <c r="B136" s="228" t="s">
        <v>9</v>
      </c>
      <c r="C136" s="228"/>
      <c r="D136" s="228"/>
      <c r="E136" s="228"/>
      <c r="F136" s="228"/>
      <c r="G136" s="22" t="s">
        <v>9</v>
      </c>
    </row>
    <row r="137" spans="1:8" ht="14.1" customHeight="1" x14ac:dyDescent="0.2">
      <c r="A137" s="20" t="s">
        <v>9</v>
      </c>
      <c r="B137" s="20" t="s">
        <v>9</v>
      </c>
      <c r="C137" s="20" t="s">
        <v>9</v>
      </c>
      <c r="D137" s="22" t="s">
        <v>9</v>
      </c>
      <c r="E137" s="22" t="s">
        <v>9</v>
      </c>
      <c r="F137" s="22" t="s">
        <v>9</v>
      </c>
      <c r="G137" s="22" t="s">
        <v>9</v>
      </c>
    </row>
    <row r="138" spans="1:8" ht="14.1" customHeight="1" x14ac:dyDescent="0.2">
      <c r="A138" s="20" t="s">
        <v>9</v>
      </c>
      <c r="B138" s="226" t="s">
        <v>138</v>
      </c>
      <c r="C138" s="227"/>
      <c r="D138" s="14" t="s">
        <v>9</v>
      </c>
      <c r="E138" s="23" t="s">
        <v>9</v>
      </c>
      <c r="F138" s="22" t="s">
        <v>9</v>
      </c>
      <c r="G138" s="22" t="s">
        <v>9</v>
      </c>
    </row>
    <row r="139" spans="1:8" ht="29.1" customHeight="1" x14ac:dyDescent="0.2">
      <c r="A139" s="20" t="s">
        <v>9</v>
      </c>
      <c r="B139" s="233" t="s">
        <v>139</v>
      </c>
      <c r="C139" s="234"/>
      <c r="D139" s="4" t="s">
        <v>140</v>
      </c>
      <c r="E139" s="23" t="s">
        <v>9</v>
      </c>
      <c r="F139" s="22" t="s">
        <v>9</v>
      </c>
      <c r="G139" s="22" t="s">
        <v>9</v>
      </c>
    </row>
    <row r="140" spans="1:8" ht="17.100000000000001" customHeight="1" x14ac:dyDescent="0.2">
      <c r="A140" s="20" t="s">
        <v>9</v>
      </c>
      <c r="B140" s="233" t="s">
        <v>141</v>
      </c>
      <c r="C140" s="234"/>
      <c r="D140" s="4" t="s">
        <v>140</v>
      </c>
      <c r="E140" s="23" t="s">
        <v>9</v>
      </c>
      <c r="F140" s="22" t="s">
        <v>9</v>
      </c>
      <c r="G140" s="22" t="s">
        <v>9</v>
      </c>
    </row>
    <row r="141" spans="1:8" ht="17.100000000000001" customHeight="1" x14ac:dyDescent="0.2">
      <c r="A141" s="20" t="s">
        <v>9</v>
      </c>
      <c r="B141" s="233" t="s">
        <v>142</v>
      </c>
      <c r="C141" s="234"/>
      <c r="D141" s="14" t="s">
        <v>9</v>
      </c>
      <c r="E141" s="23" t="s">
        <v>9</v>
      </c>
      <c r="F141" s="22" t="s">
        <v>9</v>
      </c>
      <c r="G141" s="22" t="s">
        <v>9</v>
      </c>
    </row>
    <row r="142" spans="1:8" ht="24" customHeight="1" x14ac:dyDescent="0.2">
      <c r="A142" s="24" t="s">
        <v>9</v>
      </c>
      <c r="B142" s="25" t="s">
        <v>9</v>
      </c>
      <c r="C142" s="25" t="s">
        <v>143</v>
      </c>
      <c r="D142" s="25" t="s">
        <v>144</v>
      </c>
      <c r="E142" s="24" t="s">
        <v>9</v>
      </c>
      <c r="F142" s="24" t="s">
        <v>9</v>
      </c>
      <c r="G142" s="24" t="s">
        <v>9</v>
      </c>
    </row>
    <row r="143" spans="1:8" ht="18" customHeight="1" x14ac:dyDescent="0.2">
      <c r="A143" s="24" t="s">
        <v>9</v>
      </c>
      <c r="B143" s="25" t="s">
        <v>145</v>
      </c>
      <c r="C143" s="25" t="s">
        <v>146</v>
      </c>
      <c r="D143" s="25" t="s">
        <v>147</v>
      </c>
      <c r="E143" s="24" t="s">
        <v>9</v>
      </c>
      <c r="F143" s="24" t="s">
        <v>9</v>
      </c>
      <c r="G143" s="24" t="s">
        <v>9</v>
      </c>
    </row>
    <row r="144" spans="1:8" ht="17.100000000000001" customHeight="1" x14ac:dyDescent="0.2">
      <c r="A144" s="24" t="s">
        <v>9</v>
      </c>
      <c r="B144" s="6" t="s">
        <v>148</v>
      </c>
      <c r="C144" s="26">
        <v>13.2193</v>
      </c>
      <c r="D144" s="26">
        <v>14.291700000000001</v>
      </c>
      <c r="E144" s="24" t="s">
        <v>9</v>
      </c>
      <c r="F144" s="21" t="s">
        <v>9</v>
      </c>
      <c r="G144" s="27" t="s">
        <v>9</v>
      </c>
    </row>
    <row r="145" spans="1:7" ht="17.100000000000001" customHeight="1" x14ac:dyDescent="0.2">
      <c r="A145" s="24" t="s">
        <v>9</v>
      </c>
      <c r="B145" s="6" t="s">
        <v>839</v>
      </c>
      <c r="C145" s="26">
        <v>13.2193</v>
      </c>
      <c r="D145" s="26">
        <v>14.291700000000001</v>
      </c>
      <c r="E145" s="24" t="s">
        <v>9</v>
      </c>
      <c r="F145" s="21" t="s">
        <v>9</v>
      </c>
      <c r="G145" s="27" t="s">
        <v>9</v>
      </c>
    </row>
    <row r="146" spans="1:7" ht="17.100000000000001" customHeight="1" x14ac:dyDescent="0.2">
      <c r="A146" s="24" t="s">
        <v>9</v>
      </c>
      <c r="B146" s="6" t="s">
        <v>149</v>
      </c>
      <c r="C146" s="26">
        <v>12.928599999999999</v>
      </c>
      <c r="D146" s="26">
        <v>13.973699999999999</v>
      </c>
      <c r="E146" s="24" t="s">
        <v>9</v>
      </c>
      <c r="F146" s="21" t="s">
        <v>9</v>
      </c>
      <c r="G146" s="27" t="s">
        <v>9</v>
      </c>
    </row>
    <row r="147" spans="1:7" ht="17.100000000000001" customHeight="1" x14ac:dyDescent="0.2">
      <c r="A147" s="24" t="s">
        <v>9</v>
      </c>
      <c r="B147" s="6" t="s">
        <v>840</v>
      </c>
      <c r="C147" s="26">
        <v>12.928699999999999</v>
      </c>
      <c r="D147" s="26">
        <v>13.973699999999999</v>
      </c>
      <c r="E147" s="24" t="s">
        <v>9</v>
      </c>
      <c r="F147" s="21" t="s">
        <v>9</v>
      </c>
      <c r="G147" s="27" t="s">
        <v>9</v>
      </c>
    </row>
    <row r="148" spans="1:7" ht="14.1" customHeight="1" x14ac:dyDescent="0.2">
      <c r="A148" s="24" t="s">
        <v>9</v>
      </c>
      <c r="B148" s="24" t="s">
        <v>9</v>
      </c>
      <c r="C148" s="24" t="s">
        <v>9</v>
      </c>
      <c r="D148" s="24" t="s">
        <v>9</v>
      </c>
      <c r="E148" s="24" t="s">
        <v>9</v>
      </c>
      <c r="F148" s="24" t="s">
        <v>9</v>
      </c>
      <c r="G148" s="24" t="s">
        <v>9</v>
      </c>
    </row>
    <row r="149" spans="1:7" ht="17.100000000000001" customHeight="1" x14ac:dyDescent="0.2">
      <c r="A149" s="24" t="s">
        <v>9</v>
      </c>
      <c r="B149" s="233" t="s">
        <v>1003</v>
      </c>
      <c r="C149" s="234"/>
      <c r="D149" s="4" t="s">
        <v>140</v>
      </c>
      <c r="E149" s="24" t="s">
        <v>9</v>
      </c>
      <c r="F149" s="24" t="s">
        <v>9</v>
      </c>
      <c r="G149" s="24" t="s">
        <v>9</v>
      </c>
    </row>
    <row r="150" spans="1:7" ht="18" customHeight="1" x14ac:dyDescent="0.2">
      <c r="A150" s="24" t="s">
        <v>9</v>
      </c>
      <c r="B150" s="28" t="s">
        <v>150</v>
      </c>
      <c r="C150" s="28" t="s">
        <v>150</v>
      </c>
      <c r="D150" s="28" t="s">
        <v>9</v>
      </c>
      <c r="E150" s="24" t="s">
        <v>9</v>
      </c>
      <c r="F150" s="24" t="s">
        <v>9</v>
      </c>
      <c r="G150" s="24" t="s">
        <v>9</v>
      </c>
    </row>
    <row r="151" spans="1:7" s="169" customFormat="1" x14ac:dyDescent="0.2">
      <c r="B151" s="235" t="s">
        <v>841</v>
      </c>
      <c r="C151" s="235"/>
      <c r="D151" s="235"/>
      <c r="E151" s="235"/>
      <c r="F151" s="235"/>
    </row>
    <row r="152" spans="1:7" ht="14.1" customHeight="1" x14ac:dyDescent="0.2">
      <c r="A152" s="24" t="s">
        <v>9</v>
      </c>
      <c r="B152" s="21" t="s">
        <v>9</v>
      </c>
      <c r="C152" s="21" t="s">
        <v>9</v>
      </c>
      <c r="D152" s="24" t="s">
        <v>9</v>
      </c>
      <c r="E152" s="24" t="s">
        <v>9</v>
      </c>
      <c r="F152" s="24" t="s">
        <v>9</v>
      </c>
      <c r="G152" s="24" t="s">
        <v>9</v>
      </c>
    </row>
    <row r="153" spans="1:7" ht="29.1" customHeight="1" x14ac:dyDescent="0.2">
      <c r="A153" s="24" t="s">
        <v>9</v>
      </c>
      <c r="B153" s="233" t="s">
        <v>151</v>
      </c>
      <c r="C153" s="234"/>
      <c r="D153" s="4" t="s">
        <v>140</v>
      </c>
      <c r="E153" s="24" t="s">
        <v>9</v>
      </c>
      <c r="F153" s="24" t="s">
        <v>9</v>
      </c>
      <c r="G153" s="24" t="s">
        <v>9</v>
      </c>
    </row>
    <row r="154" spans="1:7" ht="29.1" customHeight="1" x14ac:dyDescent="0.2">
      <c r="A154" s="24" t="s">
        <v>9</v>
      </c>
      <c r="B154" s="233" t="s">
        <v>152</v>
      </c>
      <c r="C154" s="234"/>
      <c r="D154" s="4" t="s">
        <v>140</v>
      </c>
      <c r="E154" s="24" t="s">
        <v>9</v>
      </c>
      <c r="F154" s="24" t="s">
        <v>9</v>
      </c>
      <c r="G154" s="24" t="s">
        <v>9</v>
      </c>
    </row>
    <row r="155" spans="1:7" ht="17.100000000000001" customHeight="1" x14ac:dyDescent="0.2">
      <c r="A155" s="24" t="s">
        <v>9</v>
      </c>
      <c r="B155" s="233" t="s">
        <v>153</v>
      </c>
      <c r="C155" s="234"/>
      <c r="D155" s="29">
        <v>0.42427570024732048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233" t="s">
        <v>154</v>
      </c>
      <c r="C156" s="234"/>
      <c r="D156" s="4" t="s">
        <v>140</v>
      </c>
      <c r="E156" s="24" t="s">
        <v>9</v>
      </c>
      <c r="F156" s="24" t="s">
        <v>9</v>
      </c>
      <c r="G156" s="24" t="s">
        <v>9</v>
      </c>
    </row>
  </sheetData>
  <mergeCells count="15">
    <mergeCell ref="B155:C155"/>
    <mergeCell ref="B156:C156"/>
    <mergeCell ref="B139:C139"/>
    <mergeCell ref="B140:C140"/>
    <mergeCell ref="B141:C141"/>
    <mergeCell ref="B149:C149"/>
    <mergeCell ref="B153:C153"/>
    <mergeCell ref="B154:C154"/>
    <mergeCell ref="B151:F151"/>
    <mergeCell ref="B138:C138"/>
    <mergeCell ref="B135:F135"/>
    <mergeCell ref="B136:F13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157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497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8481</v>
      </c>
      <c r="F7" s="8">
        <v>106.190601</v>
      </c>
      <c r="G7" s="9">
        <v>3.2906091999999998E-2</v>
      </c>
      <c r="H7" s="164"/>
    </row>
    <row r="8" spans="1:8" x14ac:dyDescent="0.2">
      <c r="A8" s="5">
        <v>2</v>
      </c>
      <c r="B8" s="6" t="s">
        <v>471</v>
      </c>
      <c r="C8" s="6" t="s">
        <v>472</v>
      </c>
      <c r="D8" s="6" t="s">
        <v>200</v>
      </c>
      <c r="E8" s="7">
        <v>17784</v>
      </c>
      <c r="F8" s="8">
        <v>95.162183999999996</v>
      </c>
      <c r="G8" s="9">
        <v>2.9488632000000001E-2</v>
      </c>
      <c r="H8" s="164"/>
    </row>
    <row r="9" spans="1:8" x14ac:dyDescent="0.2">
      <c r="A9" s="5">
        <v>3</v>
      </c>
      <c r="B9" s="6" t="s">
        <v>299</v>
      </c>
      <c r="C9" s="6" t="s">
        <v>300</v>
      </c>
      <c r="D9" s="6" t="s">
        <v>28</v>
      </c>
      <c r="E9" s="7">
        <v>12564</v>
      </c>
      <c r="F9" s="8">
        <v>90.71208</v>
      </c>
      <c r="G9" s="9">
        <v>2.8109644E-2</v>
      </c>
      <c r="H9" s="164"/>
    </row>
    <row r="10" spans="1:8" x14ac:dyDescent="0.2">
      <c r="A10" s="5">
        <v>4</v>
      </c>
      <c r="B10" s="6" t="s">
        <v>159</v>
      </c>
      <c r="C10" s="6" t="s">
        <v>160</v>
      </c>
      <c r="D10" s="6" t="s">
        <v>161</v>
      </c>
      <c r="E10" s="7">
        <v>69182</v>
      </c>
      <c r="F10" s="8">
        <v>89.141007000000002</v>
      </c>
      <c r="G10" s="9">
        <v>2.7622804000000001E-2</v>
      </c>
      <c r="H10" s="164"/>
    </row>
    <row r="11" spans="1:8" x14ac:dyDescent="0.2">
      <c r="A11" s="5">
        <v>5</v>
      </c>
      <c r="B11" s="6" t="s">
        <v>164</v>
      </c>
      <c r="C11" s="6" t="s">
        <v>165</v>
      </c>
      <c r="D11" s="6" t="s">
        <v>28</v>
      </c>
      <c r="E11" s="7">
        <v>11454</v>
      </c>
      <c r="F11" s="8">
        <v>87.571556999999999</v>
      </c>
      <c r="G11" s="9">
        <v>2.7136466000000001E-2</v>
      </c>
      <c r="H11" s="164"/>
    </row>
    <row r="12" spans="1:8" x14ac:dyDescent="0.2">
      <c r="A12" s="5">
        <v>6</v>
      </c>
      <c r="B12" s="6" t="s">
        <v>168</v>
      </c>
      <c r="C12" s="6" t="s">
        <v>169</v>
      </c>
      <c r="D12" s="6" t="s">
        <v>28</v>
      </c>
      <c r="E12" s="7">
        <v>12193</v>
      </c>
      <c r="F12" s="8">
        <v>86.423984000000004</v>
      </c>
      <c r="G12" s="9">
        <v>2.6780859000000001E-2</v>
      </c>
      <c r="H12" s="164"/>
    </row>
    <row r="13" spans="1:8" x14ac:dyDescent="0.2">
      <c r="A13" s="5">
        <v>7</v>
      </c>
      <c r="B13" s="6" t="s">
        <v>41</v>
      </c>
      <c r="C13" s="6" t="s">
        <v>42</v>
      </c>
      <c r="D13" s="6" t="s">
        <v>28</v>
      </c>
      <c r="E13" s="7">
        <v>7346</v>
      </c>
      <c r="F13" s="8">
        <v>85.147486000000001</v>
      </c>
      <c r="G13" s="9">
        <v>2.6385301E-2</v>
      </c>
      <c r="H13" s="164"/>
    </row>
    <row r="14" spans="1:8" x14ac:dyDescent="0.2">
      <c r="A14" s="5">
        <v>8</v>
      </c>
      <c r="B14" s="6" t="s">
        <v>156</v>
      </c>
      <c r="C14" s="6" t="s">
        <v>157</v>
      </c>
      <c r="D14" s="6" t="s">
        <v>158</v>
      </c>
      <c r="E14" s="7">
        <v>2259</v>
      </c>
      <c r="F14" s="8">
        <v>82.6172775</v>
      </c>
      <c r="G14" s="9">
        <v>2.5601246000000001E-2</v>
      </c>
      <c r="H14" s="164"/>
    </row>
    <row r="15" spans="1:8" x14ac:dyDescent="0.2">
      <c r="A15" s="5">
        <v>9</v>
      </c>
      <c r="B15" s="6" t="s">
        <v>175</v>
      </c>
      <c r="C15" s="6" t="s">
        <v>176</v>
      </c>
      <c r="D15" s="6" t="s">
        <v>62</v>
      </c>
      <c r="E15" s="7">
        <v>18447</v>
      </c>
      <c r="F15" s="8">
        <v>77.975469000000004</v>
      </c>
      <c r="G15" s="9">
        <v>2.4162853000000001E-2</v>
      </c>
      <c r="H15" s="164"/>
    </row>
    <row r="16" spans="1:8" x14ac:dyDescent="0.2">
      <c r="A16" s="5">
        <v>10</v>
      </c>
      <c r="B16" s="6" t="s">
        <v>451</v>
      </c>
      <c r="C16" s="6" t="s">
        <v>452</v>
      </c>
      <c r="D16" s="6" t="s">
        <v>62</v>
      </c>
      <c r="E16" s="7">
        <v>23833</v>
      </c>
      <c r="F16" s="8">
        <v>76.694593999999995</v>
      </c>
      <c r="G16" s="9">
        <v>2.3765939E-2</v>
      </c>
      <c r="H16" s="164"/>
    </row>
    <row r="17" spans="1:8" ht="25.5" x14ac:dyDescent="0.2">
      <c r="A17" s="5">
        <v>11</v>
      </c>
      <c r="B17" s="6" t="s">
        <v>29</v>
      </c>
      <c r="C17" s="6" t="s">
        <v>30</v>
      </c>
      <c r="D17" s="6" t="s">
        <v>925</v>
      </c>
      <c r="E17" s="7">
        <v>2071</v>
      </c>
      <c r="F17" s="8">
        <v>67.496996499999995</v>
      </c>
      <c r="G17" s="9">
        <v>2.0915809E-2</v>
      </c>
      <c r="H17" s="164"/>
    </row>
    <row r="18" spans="1:8" x14ac:dyDescent="0.2">
      <c r="A18" s="5">
        <v>12</v>
      </c>
      <c r="B18" s="6" t="s">
        <v>177</v>
      </c>
      <c r="C18" s="6" t="s">
        <v>178</v>
      </c>
      <c r="D18" s="6" t="s">
        <v>179</v>
      </c>
      <c r="E18" s="7">
        <v>23520</v>
      </c>
      <c r="F18" s="8">
        <v>66.267600000000002</v>
      </c>
      <c r="G18" s="9">
        <v>2.0534846999999998E-2</v>
      </c>
      <c r="H18" s="164"/>
    </row>
    <row r="19" spans="1:8" x14ac:dyDescent="0.2">
      <c r="A19" s="5">
        <v>13</v>
      </c>
      <c r="B19" s="6" t="s">
        <v>180</v>
      </c>
      <c r="C19" s="6" t="s">
        <v>181</v>
      </c>
      <c r="D19" s="6" t="s">
        <v>182</v>
      </c>
      <c r="E19" s="7">
        <v>4966</v>
      </c>
      <c r="F19" s="8">
        <v>64.977626999999998</v>
      </c>
      <c r="G19" s="9">
        <v>2.0135113E-2</v>
      </c>
      <c r="H19" s="164"/>
    </row>
    <row r="20" spans="1:8" x14ac:dyDescent="0.2">
      <c r="A20" s="5">
        <v>14</v>
      </c>
      <c r="B20" s="6" t="s">
        <v>189</v>
      </c>
      <c r="C20" s="6" t="s">
        <v>190</v>
      </c>
      <c r="D20" s="6" t="s">
        <v>179</v>
      </c>
      <c r="E20" s="7">
        <v>2013</v>
      </c>
      <c r="F20" s="8">
        <v>63.272615999999999</v>
      </c>
      <c r="G20" s="9">
        <v>1.9606768E-2</v>
      </c>
      <c r="H20" s="164"/>
    </row>
    <row r="21" spans="1:8" x14ac:dyDescent="0.2">
      <c r="A21" s="5">
        <v>15</v>
      </c>
      <c r="B21" s="6" t="s">
        <v>187</v>
      </c>
      <c r="C21" s="6" t="s">
        <v>188</v>
      </c>
      <c r="D21" s="6" t="s">
        <v>182</v>
      </c>
      <c r="E21" s="7">
        <v>24317</v>
      </c>
      <c r="F21" s="8">
        <v>60.841133999999997</v>
      </c>
      <c r="G21" s="9">
        <v>1.8853306E-2</v>
      </c>
      <c r="H21" s="164"/>
    </row>
    <row r="22" spans="1:8" x14ac:dyDescent="0.2">
      <c r="A22" s="5">
        <v>16</v>
      </c>
      <c r="B22" s="6" t="s">
        <v>205</v>
      </c>
      <c r="C22" s="6" t="s">
        <v>206</v>
      </c>
      <c r="D22" s="6" t="s">
        <v>207</v>
      </c>
      <c r="E22" s="7">
        <v>22314</v>
      </c>
      <c r="F22" s="8">
        <v>59.901933</v>
      </c>
      <c r="G22" s="9">
        <v>1.8562268999999999E-2</v>
      </c>
      <c r="H22" s="164"/>
    </row>
    <row r="23" spans="1:8" x14ac:dyDescent="0.2">
      <c r="A23" s="5">
        <v>17</v>
      </c>
      <c r="B23" s="6" t="s">
        <v>338</v>
      </c>
      <c r="C23" s="6" t="s">
        <v>339</v>
      </c>
      <c r="D23" s="6" t="s">
        <v>195</v>
      </c>
      <c r="E23" s="7">
        <v>1597</v>
      </c>
      <c r="F23" s="8">
        <v>58.347991999999998</v>
      </c>
      <c r="G23" s="9">
        <v>1.8080737E-2</v>
      </c>
      <c r="H23" s="164"/>
    </row>
    <row r="24" spans="1:8" x14ac:dyDescent="0.2">
      <c r="A24" s="5">
        <v>18</v>
      </c>
      <c r="B24" s="6" t="s">
        <v>170</v>
      </c>
      <c r="C24" s="6" t="s">
        <v>171</v>
      </c>
      <c r="D24" s="6" t="s">
        <v>172</v>
      </c>
      <c r="E24" s="7">
        <v>4594</v>
      </c>
      <c r="F24" s="8">
        <v>57.248131000000001</v>
      </c>
      <c r="G24" s="9">
        <v>1.7739914999999998E-2</v>
      </c>
      <c r="H24" s="164"/>
    </row>
    <row r="25" spans="1:8" x14ac:dyDescent="0.2">
      <c r="A25" s="5">
        <v>19</v>
      </c>
      <c r="B25" s="6" t="s">
        <v>459</v>
      </c>
      <c r="C25" s="6" t="s">
        <v>460</v>
      </c>
      <c r="D25" s="6" t="s">
        <v>207</v>
      </c>
      <c r="E25" s="7">
        <v>9699</v>
      </c>
      <c r="F25" s="8">
        <v>56.768247000000002</v>
      </c>
      <c r="G25" s="9">
        <v>1.7591209999999999E-2</v>
      </c>
      <c r="H25" s="164"/>
    </row>
    <row r="26" spans="1:8" x14ac:dyDescent="0.2">
      <c r="A26" s="5">
        <v>20</v>
      </c>
      <c r="B26" s="6" t="s">
        <v>196</v>
      </c>
      <c r="C26" s="6" t="s">
        <v>197</v>
      </c>
      <c r="D26" s="6" t="s">
        <v>928</v>
      </c>
      <c r="E26" s="7">
        <v>17046</v>
      </c>
      <c r="F26" s="8">
        <v>55.493253000000003</v>
      </c>
      <c r="G26" s="9">
        <v>1.7196118E-2</v>
      </c>
      <c r="H26" s="164"/>
    </row>
    <row r="27" spans="1:8" x14ac:dyDescent="0.2">
      <c r="A27" s="5">
        <v>21</v>
      </c>
      <c r="B27" s="6" t="s">
        <v>198</v>
      </c>
      <c r="C27" s="6" t="s">
        <v>199</v>
      </c>
      <c r="D27" s="6" t="s">
        <v>200</v>
      </c>
      <c r="E27" s="7">
        <v>12216</v>
      </c>
      <c r="F27" s="8">
        <v>54.935352000000002</v>
      </c>
      <c r="G27" s="9">
        <v>1.7023237E-2</v>
      </c>
      <c r="H27" s="164"/>
    </row>
    <row r="28" spans="1:8" ht="25.5" x14ac:dyDescent="0.2">
      <c r="A28" s="5">
        <v>22</v>
      </c>
      <c r="B28" s="6" t="s">
        <v>201</v>
      </c>
      <c r="C28" s="6" t="s">
        <v>202</v>
      </c>
      <c r="D28" s="6" t="s">
        <v>67</v>
      </c>
      <c r="E28" s="7">
        <v>11147</v>
      </c>
      <c r="F28" s="8">
        <v>54.637020499999998</v>
      </c>
      <c r="G28" s="9">
        <v>1.6930790000000001E-2</v>
      </c>
      <c r="H28" s="164"/>
    </row>
    <row r="29" spans="1:8" x14ac:dyDescent="0.2">
      <c r="A29" s="5">
        <v>23</v>
      </c>
      <c r="B29" s="6" t="s">
        <v>216</v>
      </c>
      <c r="C29" s="6" t="s">
        <v>217</v>
      </c>
      <c r="D29" s="6" t="s">
        <v>200</v>
      </c>
      <c r="E29" s="7">
        <v>8234</v>
      </c>
      <c r="F29" s="8">
        <v>52.821109999999997</v>
      </c>
      <c r="G29" s="9">
        <v>1.636808E-2</v>
      </c>
      <c r="H29" s="164"/>
    </row>
    <row r="30" spans="1:8" x14ac:dyDescent="0.2">
      <c r="A30" s="5">
        <v>24</v>
      </c>
      <c r="B30" s="6" t="s">
        <v>203</v>
      </c>
      <c r="C30" s="6" t="s">
        <v>204</v>
      </c>
      <c r="D30" s="6" t="s">
        <v>179</v>
      </c>
      <c r="E30" s="7">
        <v>5305</v>
      </c>
      <c r="F30" s="8">
        <v>52.344434999999997</v>
      </c>
      <c r="G30" s="9">
        <v>1.6220368999999998E-2</v>
      </c>
      <c r="H30" s="164"/>
    </row>
    <row r="31" spans="1:8" x14ac:dyDescent="0.2">
      <c r="A31" s="5">
        <v>25</v>
      </c>
      <c r="B31" s="6" t="s">
        <v>293</v>
      </c>
      <c r="C31" s="6" t="s">
        <v>294</v>
      </c>
      <c r="D31" s="6" t="s">
        <v>28</v>
      </c>
      <c r="E31" s="7">
        <v>3966</v>
      </c>
      <c r="F31" s="8">
        <v>52.291710000000002</v>
      </c>
      <c r="G31" s="9">
        <v>1.6204031000000001E-2</v>
      </c>
      <c r="H31" s="164"/>
    </row>
    <row r="32" spans="1:8" x14ac:dyDescent="0.2">
      <c r="A32" s="5">
        <v>26</v>
      </c>
      <c r="B32" s="6" t="s">
        <v>222</v>
      </c>
      <c r="C32" s="6" t="s">
        <v>223</v>
      </c>
      <c r="D32" s="6" t="s">
        <v>37</v>
      </c>
      <c r="E32" s="7">
        <v>48105</v>
      </c>
      <c r="F32" s="8">
        <v>51.664769999999997</v>
      </c>
      <c r="G32" s="9">
        <v>1.6009756E-2</v>
      </c>
      <c r="H32" s="164"/>
    </row>
    <row r="33" spans="1:8" x14ac:dyDescent="0.2">
      <c r="A33" s="5">
        <v>27</v>
      </c>
      <c r="B33" s="6" t="s">
        <v>212</v>
      </c>
      <c r="C33" s="6" t="s">
        <v>213</v>
      </c>
      <c r="D33" s="6" t="s">
        <v>929</v>
      </c>
      <c r="E33" s="7">
        <v>5931</v>
      </c>
      <c r="F33" s="8">
        <v>51.561148500000002</v>
      </c>
      <c r="G33" s="9">
        <v>1.5977646000000002E-2</v>
      </c>
      <c r="H33" s="164"/>
    </row>
    <row r="34" spans="1:8" x14ac:dyDescent="0.2">
      <c r="A34" s="5">
        <v>28</v>
      </c>
      <c r="B34" s="6" t="s">
        <v>77</v>
      </c>
      <c r="C34" s="6" t="s">
        <v>78</v>
      </c>
      <c r="D34" s="6" t="s">
        <v>62</v>
      </c>
      <c r="E34" s="7">
        <v>20288</v>
      </c>
      <c r="F34" s="8">
        <v>51.247487999999997</v>
      </c>
      <c r="G34" s="9">
        <v>1.5880450000000001E-2</v>
      </c>
      <c r="H34" s="164"/>
    </row>
    <row r="35" spans="1:8" x14ac:dyDescent="0.2">
      <c r="A35" s="5">
        <v>29</v>
      </c>
      <c r="B35" s="6" t="s">
        <v>232</v>
      </c>
      <c r="C35" s="6" t="s">
        <v>233</v>
      </c>
      <c r="D35" s="6" t="s">
        <v>37</v>
      </c>
      <c r="E35" s="7">
        <v>5932</v>
      </c>
      <c r="F35" s="8">
        <v>51.231718000000001</v>
      </c>
      <c r="G35" s="9">
        <v>1.5875562999999999E-2</v>
      </c>
      <c r="H35" s="164"/>
    </row>
    <row r="36" spans="1:8" x14ac:dyDescent="0.2">
      <c r="A36" s="5">
        <v>30</v>
      </c>
      <c r="B36" s="6" t="s">
        <v>457</v>
      </c>
      <c r="C36" s="6" t="s">
        <v>458</v>
      </c>
      <c r="D36" s="6" t="s">
        <v>50</v>
      </c>
      <c r="E36" s="7">
        <v>11843</v>
      </c>
      <c r="F36" s="8">
        <v>49.936009499999997</v>
      </c>
      <c r="G36" s="9">
        <v>1.5474052E-2</v>
      </c>
      <c r="H36" s="164"/>
    </row>
    <row r="37" spans="1:8" x14ac:dyDescent="0.2">
      <c r="A37" s="5">
        <v>31</v>
      </c>
      <c r="B37" s="6" t="s">
        <v>208</v>
      </c>
      <c r="C37" s="6" t="s">
        <v>209</v>
      </c>
      <c r="D37" s="6" t="s">
        <v>161</v>
      </c>
      <c r="E37" s="7">
        <v>7717</v>
      </c>
      <c r="F37" s="8">
        <v>46.313575499999999</v>
      </c>
      <c r="G37" s="9">
        <v>1.4351541000000001E-2</v>
      </c>
      <c r="H37" s="164"/>
    </row>
    <row r="38" spans="1:8" x14ac:dyDescent="0.2">
      <c r="A38" s="5">
        <v>32</v>
      </c>
      <c r="B38" s="6" t="s">
        <v>220</v>
      </c>
      <c r="C38" s="6" t="s">
        <v>221</v>
      </c>
      <c r="D38" s="6" t="s">
        <v>28</v>
      </c>
      <c r="E38" s="7">
        <v>2941</v>
      </c>
      <c r="F38" s="8">
        <v>46.064883000000002</v>
      </c>
      <c r="G38" s="9">
        <v>1.4274477000000001E-2</v>
      </c>
      <c r="H38" s="164"/>
    </row>
    <row r="39" spans="1:8" x14ac:dyDescent="0.2">
      <c r="A39" s="5">
        <v>33</v>
      </c>
      <c r="B39" s="6" t="s">
        <v>214</v>
      </c>
      <c r="C39" s="6" t="s">
        <v>215</v>
      </c>
      <c r="D39" s="6" t="s">
        <v>179</v>
      </c>
      <c r="E39" s="7">
        <v>1070</v>
      </c>
      <c r="F39" s="8">
        <v>44.782175000000002</v>
      </c>
      <c r="G39" s="9">
        <v>1.3876994E-2</v>
      </c>
      <c r="H39" s="164"/>
    </row>
    <row r="40" spans="1:8" x14ac:dyDescent="0.2">
      <c r="A40" s="5">
        <v>34</v>
      </c>
      <c r="B40" s="6" t="s">
        <v>185</v>
      </c>
      <c r="C40" s="6" t="s">
        <v>186</v>
      </c>
      <c r="D40" s="6" t="s">
        <v>45</v>
      </c>
      <c r="E40" s="7">
        <v>9040</v>
      </c>
      <c r="F40" s="8">
        <v>42.614559999999997</v>
      </c>
      <c r="G40" s="9">
        <v>1.3205299E-2</v>
      </c>
      <c r="H40" s="164"/>
    </row>
    <row r="41" spans="1:8" x14ac:dyDescent="0.2">
      <c r="A41" s="5">
        <v>35</v>
      </c>
      <c r="B41" s="6" t="s">
        <v>230</v>
      </c>
      <c r="C41" s="6" t="s">
        <v>231</v>
      </c>
      <c r="D41" s="6" t="s">
        <v>62</v>
      </c>
      <c r="E41" s="7">
        <v>14008</v>
      </c>
      <c r="F41" s="8">
        <v>41.141495999999997</v>
      </c>
      <c r="G41" s="9">
        <v>1.2748829E-2</v>
      </c>
      <c r="H41" s="164"/>
    </row>
    <row r="42" spans="1:8" x14ac:dyDescent="0.2">
      <c r="A42" s="5">
        <v>36</v>
      </c>
      <c r="B42" s="6" t="s">
        <v>224</v>
      </c>
      <c r="C42" s="6" t="s">
        <v>225</v>
      </c>
      <c r="D42" s="6" t="s">
        <v>161</v>
      </c>
      <c r="E42" s="7">
        <v>7617</v>
      </c>
      <c r="F42" s="8">
        <v>41.116565999999999</v>
      </c>
      <c r="G42" s="9">
        <v>1.2741104E-2</v>
      </c>
      <c r="H42" s="164"/>
    </row>
    <row r="43" spans="1:8" x14ac:dyDescent="0.2">
      <c r="A43" s="5">
        <v>37</v>
      </c>
      <c r="B43" s="6" t="s">
        <v>236</v>
      </c>
      <c r="C43" s="6" t="s">
        <v>237</v>
      </c>
      <c r="D43" s="6" t="s">
        <v>161</v>
      </c>
      <c r="E43" s="7">
        <v>68184</v>
      </c>
      <c r="F43" s="8">
        <v>39.546720000000001</v>
      </c>
      <c r="G43" s="9">
        <v>1.2254644E-2</v>
      </c>
      <c r="H43" s="164"/>
    </row>
    <row r="44" spans="1:8" ht="25.5" x14ac:dyDescent="0.2">
      <c r="A44" s="5">
        <v>38</v>
      </c>
      <c r="B44" s="6" t="s">
        <v>234</v>
      </c>
      <c r="C44" s="6" t="s">
        <v>235</v>
      </c>
      <c r="D44" s="6" t="s">
        <v>67</v>
      </c>
      <c r="E44" s="7">
        <v>8811</v>
      </c>
      <c r="F44" s="8">
        <v>38.988675000000001</v>
      </c>
      <c r="G44" s="9">
        <v>1.2081718E-2</v>
      </c>
      <c r="H44" s="164"/>
    </row>
    <row r="45" spans="1:8" x14ac:dyDescent="0.2">
      <c r="A45" s="5">
        <v>39</v>
      </c>
      <c r="B45" s="6" t="s">
        <v>238</v>
      </c>
      <c r="C45" s="6" t="s">
        <v>239</v>
      </c>
      <c r="D45" s="6" t="s">
        <v>195</v>
      </c>
      <c r="E45" s="7">
        <v>9233</v>
      </c>
      <c r="F45" s="8">
        <v>38.169221999999998</v>
      </c>
      <c r="G45" s="9">
        <v>1.1827788000000001E-2</v>
      </c>
      <c r="H45" s="164"/>
    </row>
    <row r="46" spans="1:8" x14ac:dyDescent="0.2">
      <c r="A46" s="5">
        <v>40</v>
      </c>
      <c r="B46" s="6" t="s">
        <v>244</v>
      </c>
      <c r="C46" s="6" t="s">
        <v>245</v>
      </c>
      <c r="D46" s="6" t="s">
        <v>200</v>
      </c>
      <c r="E46" s="7">
        <v>2092</v>
      </c>
      <c r="F46" s="8">
        <v>37.933190000000003</v>
      </c>
      <c r="G46" s="9">
        <v>1.1754647E-2</v>
      </c>
      <c r="H46" s="164"/>
    </row>
    <row r="47" spans="1:8" ht="25.5" x14ac:dyDescent="0.2">
      <c r="A47" s="5">
        <v>41</v>
      </c>
      <c r="B47" s="6" t="s">
        <v>453</v>
      </c>
      <c r="C47" s="6" t="s">
        <v>454</v>
      </c>
      <c r="D47" s="6" t="s">
        <v>40</v>
      </c>
      <c r="E47" s="7">
        <v>2993</v>
      </c>
      <c r="F47" s="8">
        <v>37.599562499999998</v>
      </c>
      <c r="G47" s="9">
        <v>1.1651263E-2</v>
      </c>
      <c r="H47" s="164"/>
    </row>
    <row r="48" spans="1:8" ht="25.5" x14ac:dyDescent="0.2">
      <c r="A48" s="5">
        <v>42</v>
      </c>
      <c r="B48" s="6" t="s">
        <v>246</v>
      </c>
      <c r="C48" s="6" t="s">
        <v>247</v>
      </c>
      <c r="D48" s="6" t="s">
        <v>40</v>
      </c>
      <c r="E48" s="7">
        <v>47600</v>
      </c>
      <c r="F48" s="8">
        <v>37.318399999999997</v>
      </c>
      <c r="G48" s="9">
        <v>1.1564137E-2</v>
      </c>
      <c r="H48" s="164"/>
    </row>
    <row r="49" spans="1:8" ht="25.5" x14ac:dyDescent="0.2">
      <c r="A49" s="5">
        <v>43</v>
      </c>
      <c r="B49" s="6" t="s">
        <v>248</v>
      </c>
      <c r="C49" s="6" t="s">
        <v>249</v>
      </c>
      <c r="D49" s="6" t="s">
        <v>67</v>
      </c>
      <c r="E49" s="7">
        <v>8409</v>
      </c>
      <c r="F49" s="8">
        <v>36.747329999999998</v>
      </c>
      <c r="G49" s="9">
        <v>1.1387174999999999E-2</v>
      </c>
      <c r="H49" s="164"/>
    </row>
    <row r="50" spans="1:8" x14ac:dyDescent="0.2">
      <c r="A50" s="5">
        <v>44</v>
      </c>
      <c r="B50" s="6" t="s">
        <v>254</v>
      </c>
      <c r="C50" s="6" t="s">
        <v>255</v>
      </c>
      <c r="D50" s="6" t="s">
        <v>62</v>
      </c>
      <c r="E50" s="7">
        <v>4839</v>
      </c>
      <c r="F50" s="8">
        <v>35.888443500000001</v>
      </c>
      <c r="G50" s="9">
        <v>1.1121025999999999E-2</v>
      </c>
      <c r="H50" s="164"/>
    </row>
    <row r="51" spans="1:8" x14ac:dyDescent="0.2">
      <c r="A51" s="5">
        <v>45</v>
      </c>
      <c r="B51" s="6" t="s">
        <v>242</v>
      </c>
      <c r="C51" s="6" t="s">
        <v>243</v>
      </c>
      <c r="D51" s="6" t="s">
        <v>59</v>
      </c>
      <c r="E51" s="7">
        <v>2694</v>
      </c>
      <c r="F51" s="8">
        <v>35.586393000000001</v>
      </c>
      <c r="G51" s="9">
        <v>1.1027426999999999E-2</v>
      </c>
      <c r="H51" s="164"/>
    </row>
    <row r="52" spans="1:8" x14ac:dyDescent="0.2">
      <c r="A52" s="5">
        <v>46</v>
      </c>
      <c r="B52" s="6" t="s">
        <v>267</v>
      </c>
      <c r="C52" s="6" t="s">
        <v>268</v>
      </c>
      <c r="D52" s="6" t="s">
        <v>195</v>
      </c>
      <c r="E52" s="7">
        <v>4798</v>
      </c>
      <c r="F52" s="8">
        <v>35.579568999999999</v>
      </c>
      <c r="G52" s="9">
        <v>1.1025312000000001E-2</v>
      </c>
      <c r="H52" s="164"/>
    </row>
    <row r="53" spans="1:8" x14ac:dyDescent="0.2">
      <c r="A53" s="5">
        <v>47</v>
      </c>
      <c r="B53" s="6" t="s">
        <v>461</v>
      </c>
      <c r="C53" s="6" t="s">
        <v>462</v>
      </c>
      <c r="D53" s="6" t="s">
        <v>28</v>
      </c>
      <c r="E53" s="7">
        <v>5095</v>
      </c>
      <c r="F53" s="8">
        <v>34.2868025</v>
      </c>
      <c r="G53" s="9">
        <v>1.0624712999999999E-2</v>
      </c>
      <c r="H53" s="164"/>
    </row>
    <row r="54" spans="1:8" x14ac:dyDescent="0.2">
      <c r="A54" s="5">
        <v>48</v>
      </c>
      <c r="B54" s="6" t="s">
        <v>256</v>
      </c>
      <c r="C54" s="6" t="s">
        <v>257</v>
      </c>
      <c r="D54" s="6" t="s">
        <v>930</v>
      </c>
      <c r="E54" s="7">
        <v>6101</v>
      </c>
      <c r="F54" s="8">
        <v>34.1808525</v>
      </c>
      <c r="G54" s="9">
        <v>1.0591882E-2</v>
      </c>
      <c r="H54" s="164"/>
    </row>
    <row r="55" spans="1:8" ht="25.5" x14ac:dyDescent="0.2">
      <c r="A55" s="5">
        <v>49</v>
      </c>
      <c r="B55" s="6" t="s">
        <v>258</v>
      </c>
      <c r="C55" s="6" t="s">
        <v>259</v>
      </c>
      <c r="D55" s="6" t="s">
        <v>931</v>
      </c>
      <c r="E55" s="7">
        <v>34070</v>
      </c>
      <c r="F55" s="8">
        <v>33.967790000000001</v>
      </c>
      <c r="G55" s="9">
        <v>1.0525858000000001E-2</v>
      </c>
      <c r="H55" s="164"/>
    </row>
    <row r="56" spans="1:8" x14ac:dyDescent="0.2">
      <c r="A56" s="5">
        <v>50</v>
      </c>
      <c r="B56" s="6" t="s">
        <v>228</v>
      </c>
      <c r="C56" s="6" t="s">
        <v>229</v>
      </c>
      <c r="D56" s="6" t="s">
        <v>62</v>
      </c>
      <c r="E56" s="7">
        <v>4330</v>
      </c>
      <c r="F56" s="8">
        <v>33.468735000000002</v>
      </c>
      <c r="G56" s="9">
        <v>1.0371211999999999E-2</v>
      </c>
      <c r="H56" s="164"/>
    </row>
    <row r="57" spans="1:8" ht="25.5" x14ac:dyDescent="0.2">
      <c r="A57" s="5">
        <v>51</v>
      </c>
      <c r="B57" s="6" t="s">
        <v>191</v>
      </c>
      <c r="C57" s="6" t="s">
        <v>192</v>
      </c>
      <c r="D57" s="6" t="s">
        <v>925</v>
      </c>
      <c r="E57" s="7">
        <v>12259</v>
      </c>
      <c r="F57" s="8">
        <v>32.443443500000001</v>
      </c>
      <c r="G57" s="9">
        <v>1.0053497E-2</v>
      </c>
      <c r="H57" s="164"/>
    </row>
    <row r="58" spans="1:8" x14ac:dyDescent="0.2">
      <c r="A58" s="5">
        <v>52</v>
      </c>
      <c r="B58" s="6" t="s">
        <v>264</v>
      </c>
      <c r="C58" s="6" t="s">
        <v>265</v>
      </c>
      <c r="D58" s="6" t="s">
        <v>266</v>
      </c>
      <c r="E58" s="7">
        <v>3859</v>
      </c>
      <c r="F58" s="8">
        <v>31.2019445</v>
      </c>
      <c r="G58" s="9">
        <v>9.6687849999999992E-3</v>
      </c>
      <c r="H58" s="164"/>
    </row>
    <row r="59" spans="1:8" x14ac:dyDescent="0.2">
      <c r="A59" s="5">
        <v>53</v>
      </c>
      <c r="B59" s="6" t="s">
        <v>35</v>
      </c>
      <c r="C59" s="6" t="s">
        <v>36</v>
      </c>
      <c r="D59" s="6" t="s">
        <v>37</v>
      </c>
      <c r="E59" s="7">
        <v>9092</v>
      </c>
      <c r="F59" s="8">
        <v>29.662649999999999</v>
      </c>
      <c r="G59" s="9">
        <v>9.1917920000000007E-3</v>
      </c>
      <c r="H59" s="164"/>
    </row>
    <row r="60" spans="1:8" x14ac:dyDescent="0.2">
      <c r="A60" s="5">
        <v>54</v>
      </c>
      <c r="B60" s="6" t="s">
        <v>463</v>
      </c>
      <c r="C60" s="6" t="s">
        <v>464</v>
      </c>
      <c r="D60" s="6" t="s">
        <v>927</v>
      </c>
      <c r="E60" s="7">
        <v>26484</v>
      </c>
      <c r="F60" s="8">
        <v>29.648838000000001</v>
      </c>
      <c r="G60" s="9">
        <v>9.1875120000000001E-3</v>
      </c>
      <c r="H60" s="164"/>
    </row>
    <row r="61" spans="1:8" x14ac:dyDescent="0.2">
      <c r="A61" s="5">
        <v>55</v>
      </c>
      <c r="B61" s="6" t="s">
        <v>273</v>
      </c>
      <c r="C61" s="6" t="s">
        <v>274</v>
      </c>
      <c r="D61" s="6" t="s">
        <v>22</v>
      </c>
      <c r="E61" s="7">
        <v>27881</v>
      </c>
      <c r="F61" s="8">
        <v>29.27505</v>
      </c>
      <c r="G61" s="9">
        <v>9.0716830000000005E-3</v>
      </c>
      <c r="H61" s="164"/>
    </row>
    <row r="62" spans="1:8" x14ac:dyDescent="0.2">
      <c r="A62" s="5">
        <v>56</v>
      </c>
      <c r="B62" s="6" t="s">
        <v>275</v>
      </c>
      <c r="C62" s="6" t="s">
        <v>276</v>
      </c>
      <c r="D62" s="6" t="s">
        <v>277</v>
      </c>
      <c r="E62" s="7">
        <v>10967</v>
      </c>
      <c r="F62" s="8">
        <v>28.4319475</v>
      </c>
      <c r="G62" s="9">
        <v>8.8104240000000007E-3</v>
      </c>
      <c r="H62" s="164"/>
    </row>
    <row r="63" spans="1:8" x14ac:dyDescent="0.2">
      <c r="A63" s="5">
        <v>57</v>
      </c>
      <c r="B63" s="6" t="s">
        <v>271</v>
      </c>
      <c r="C63" s="6" t="s">
        <v>272</v>
      </c>
      <c r="D63" s="6" t="s">
        <v>346</v>
      </c>
      <c r="E63" s="7">
        <v>2897</v>
      </c>
      <c r="F63" s="8">
        <v>27.9314255</v>
      </c>
      <c r="G63" s="9">
        <v>8.6553240000000007E-3</v>
      </c>
      <c r="H63" s="164"/>
    </row>
    <row r="64" spans="1:8" x14ac:dyDescent="0.2">
      <c r="A64" s="5">
        <v>58</v>
      </c>
      <c r="B64" s="6" t="s">
        <v>282</v>
      </c>
      <c r="C64" s="6" t="s">
        <v>283</v>
      </c>
      <c r="D64" s="6" t="s">
        <v>200</v>
      </c>
      <c r="E64" s="7">
        <v>514</v>
      </c>
      <c r="F64" s="8">
        <v>27.537036000000001</v>
      </c>
      <c r="G64" s="9">
        <v>8.5331109999999995E-3</v>
      </c>
      <c r="H64" s="164"/>
    </row>
    <row r="65" spans="1:8" x14ac:dyDescent="0.2">
      <c r="A65" s="5">
        <v>59</v>
      </c>
      <c r="B65" s="6" t="s">
        <v>465</v>
      </c>
      <c r="C65" s="6" t="s">
        <v>466</v>
      </c>
      <c r="D65" s="6" t="s">
        <v>161</v>
      </c>
      <c r="E65" s="7">
        <v>3837</v>
      </c>
      <c r="F65" s="8">
        <v>25.512212999999999</v>
      </c>
      <c r="G65" s="9">
        <v>7.9056639999999997E-3</v>
      </c>
      <c r="H65" s="164"/>
    </row>
    <row r="66" spans="1:8" x14ac:dyDescent="0.2">
      <c r="A66" s="5">
        <v>60</v>
      </c>
      <c r="B66" s="6" t="s">
        <v>286</v>
      </c>
      <c r="C66" s="6" t="s">
        <v>287</v>
      </c>
      <c r="D66" s="6" t="s">
        <v>927</v>
      </c>
      <c r="E66" s="7">
        <v>1417</v>
      </c>
      <c r="F66" s="8">
        <v>22.718052499999999</v>
      </c>
      <c r="G66" s="9">
        <v>7.039816E-3</v>
      </c>
      <c r="H66" s="164"/>
    </row>
    <row r="67" spans="1:8" x14ac:dyDescent="0.2">
      <c r="A67" s="5">
        <v>61</v>
      </c>
      <c r="B67" s="6" t="s">
        <v>288</v>
      </c>
      <c r="C67" s="6" t="s">
        <v>289</v>
      </c>
      <c r="D67" s="6" t="s">
        <v>158</v>
      </c>
      <c r="E67" s="7">
        <v>1227</v>
      </c>
      <c r="F67" s="8">
        <v>16.96941</v>
      </c>
      <c r="G67" s="9">
        <v>5.258441E-3</v>
      </c>
      <c r="H67" s="164"/>
    </row>
    <row r="68" spans="1:8" x14ac:dyDescent="0.2">
      <c r="A68" s="5">
        <v>62</v>
      </c>
      <c r="B68" s="6" t="s">
        <v>290</v>
      </c>
      <c r="C68" s="6" t="s">
        <v>291</v>
      </c>
      <c r="D68" s="6" t="s">
        <v>179</v>
      </c>
      <c r="E68" s="7">
        <v>2982</v>
      </c>
      <c r="F68" s="8">
        <v>15.859767</v>
      </c>
      <c r="G68" s="9">
        <v>4.9145869999999998E-3</v>
      </c>
      <c r="H68" s="164"/>
    </row>
    <row r="69" spans="1:8" x14ac:dyDescent="0.2">
      <c r="A69" s="3" t="s">
        <v>9</v>
      </c>
      <c r="B69" s="3" t="s">
        <v>9</v>
      </c>
      <c r="C69" s="4" t="s">
        <v>110</v>
      </c>
      <c r="D69" s="3" t="s">
        <v>9</v>
      </c>
      <c r="E69" s="3" t="s">
        <v>9</v>
      </c>
      <c r="F69" s="11">
        <v>3099.4092485000001</v>
      </c>
      <c r="G69" s="12">
        <v>0.96043758400000001</v>
      </c>
      <c r="H69" s="164"/>
    </row>
    <row r="70" spans="1:8" x14ac:dyDescent="0.2">
      <c r="A70" s="3" t="s">
        <v>9</v>
      </c>
      <c r="B70" s="3" t="s">
        <v>9</v>
      </c>
      <c r="C70" s="13" t="s">
        <v>9</v>
      </c>
      <c r="D70" s="3" t="s">
        <v>9</v>
      </c>
      <c r="E70" s="3" t="s">
        <v>9</v>
      </c>
      <c r="F70" s="14" t="s">
        <v>9</v>
      </c>
      <c r="G70" s="14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111</v>
      </c>
      <c r="D71" s="3" t="s">
        <v>9</v>
      </c>
      <c r="E71" s="3" t="s">
        <v>9</v>
      </c>
      <c r="F71" s="3" t="s">
        <v>9</v>
      </c>
      <c r="G71" s="3" t="s">
        <v>9</v>
      </c>
      <c r="H71" s="164"/>
    </row>
    <row r="72" spans="1:8" x14ac:dyDescent="0.2">
      <c r="A72" s="3" t="s">
        <v>9</v>
      </c>
      <c r="B72" s="3" t="s">
        <v>9</v>
      </c>
      <c r="C72" s="4" t="s">
        <v>110</v>
      </c>
      <c r="D72" s="3" t="s">
        <v>9</v>
      </c>
      <c r="E72" s="3" t="s">
        <v>9</v>
      </c>
      <c r="F72" s="15">
        <v>0</v>
      </c>
      <c r="G72" s="16">
        <v>0</v>
      </c>
      <c r="H72" s="164"/>
    </row>
    <row r="73" spans="1:8" x14ac:dyDescent="0.2">
      <c r="A73" s="3" t="s">
        <v>9</v>
      </c>
      <c r="B73" s="3" t="s">
        <v>9</v>
      </c>
      <c r="C73" s="13" t="s">
        <v>9</v>
      </c>
      <c r="D73" s="3" t="s">
        <v>9</v>
      </c>
      <c r="E73" s="3" t="s">
        <v>9</v>
      </c>
      <c r="F73" s="14" t="s">
        <v>9</v>
      </c>
      <c r="G73" s="14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112</v>
      </c>
      <c r="D74" s="3" t="s">
        <v>9</v>
      </c>
      <c r="E74" s="3" t="s">
        <v>9</v>
      </c>
      <c r="F74" s="3" t="s">
        <v>9</v>
      </c>
      <c r="G74" s="3" t="s">
        <v>9</v>
      </c>
      <c r="H74" s="164"/>
    </row>
    <row r="75" spans="1:8" x14ac:dyDescent="0.2">
      <c r="A75" s="3" t="s">
        <v>9</v>
      </c>
      <c r="B75" s="3" t="s">
        <v>9</v>
      </c>
      <c r="C75" s="4" t="s">
        <v>110</v>
      </c>
      <c r="D75" s="3" t="s">
        <v>9</v>
      </c>
      <c r="E75" s="3" t="s">
        <v>9</v>
      </c>
      <c r="F75" s="15">
        <v>0</v>
      </c>
      <c r="G75" s="16">
        <v>0</v>
      </c>
      <c r="H75" s="164"/>
    </row>
    <row r="76" spans="1:8" x14ac:dyDescent="0.2">
      <c r="A76" s="3" t="s">
        <v>9</v>
      </c>
      <c r="B76" s="3" t="s">
        <v>9</v>
      </c>
      <c r="C76" s="13" t="s">
        <v>9</v>
      </c>
      <c r="D76" s="3" t="s">
        <v>9</v>
      </c>
      <c r="E76" s="3" t="s">
        <v>9</v>
      </c>
      <c r="F76" s="14" t="s">
        <v>9</v>
      </c>
      <c r="G76" s="14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113</v>
      </c>
      <c r="D77" s="3" t="s">
        <v>9</v>
      </c>
      <c r="E77" s="3" t="s">
        <v>9</v>
      </c>
      <c r="F77" s="3" t="s">
        <v>9</v>
      </c>
      <c r="G77" s="3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110</v>
      </c>
      <c r="D78" s="3" t="s">
        <v>9</v>
      </c>
      <c r="E78" s="3" t="s">
        <v>9</v>
      </c>
      <c r="F78" s="15">
        <v>0</v>
      </c>
      <c r="G78" s="16">
        <v>0</v>
      </c>
      <c r="H78" s="164"/>
    </row>
    <row r="79" spans="1:8" x14ac:dyDescent="0.2">
      <c r="A79" s="3" t="s">
        <v>9</v>
      </c>
      <c r="B79" s="3" t="s">
        <v>9</v>
      </c>
      <c r="C79" s="13" t="s">
        <v>9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114</v>
      </c>
      <c r="D80" s="3" t="s">
        <v>9</v>
      </c>
      <c r="E80" s="3" t="s">
        <v>9</v>
      </c>
      <c r="F80" s="14" t="s">
        <v>9</v>
      </c>
      <c r="G80" s="14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110</v>
      </c>
      <c r="D81" s="3" t="s">
        <v>9</v>
      </c>
      <c r="E81" s="3" t="s">
        <v>9</v>
      </c>
      <c r="F81" s="15">
        <v>0</v>
      </c>
      <c r="G81" s="16">
        <v>0</v>
      </c>
      <c r="H81" s="164"/>
    </row>
    <row r="82" spans="1:8" x14ac:dyDescent="0.2">
      <c r="A82" s="3" t="s">
        <v>9</v>
      </c>
      <c r="B82" s="3" t="s">
        <v>9</v>
      </c>
      <c r="C82" s="13" t="s">
        <v>9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115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110</v>
      </c>
      <c r="D84" s="3" t="s">
        <v>9</v>
      </c>
      <c r="E84" s="3" t="s">
        <v>9</v>
      </c>
      <c r="F84" s="15">
        <v>0</v>
      </c>
      <c r="G84" s="16">
        <v>0</v>
      </c>
      <c r="H84" s="164"/>
    </row>
    <row r="85" spans="1:8" x14ac:dyDescent="0.2">
      <c r="A85" s="3" t="s">
        <v>9</v>
      </c>
      <c r="B85" s="3" t="s">
        <v>9</v>
      </c>
      <c r="C85" s="13" t="s">
        <v>9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116</v>
      </c>
      <c r="D86" s="3" t="s">
        <v>9</v>
      </c>
      <c r="E86" s="3" t="s">
        <v>9</v>
      </c>
      <c r="F86" s="11">
        <v>3099.4092485000001</v>
      </c>
      <c r="G86" s="12">
        <v>0.96043758400000001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117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ht="25.5" x14ac:dyDescent="0.2">
      <c r="A89" s="3" t="s">
        <v>9</v>
      </c>
      <c r="B89" s="3" t="s">
        <v>9</v>
      </c>
      <c r="C89" s="4" t="s">
        <v>11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110</v>
      </c>
      <c r="D90" s="3" t="s">
        <v>9</v>
      </c>
      <c r="E90" s="3" t="s">
        <v>9</v>
      </c>
      <c r="F90" s="15">
        <v>0</v>
      </c>
      <c r="G90" s="16">
        <v>0</v>
      </c>
      <c r="H90" s="164"/>
    </row>
    <row r="91" spans="1:8" x14ac:dyDescent="0.2">
      <c r="A91" s="3" t="s">
        <v>9</v>
      </c>
      <c r="B91" s="3" t="s">
        <v>9</v>
      </c>
      <c r="C91" s="13" t="s">
        <v>9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118</v>
      </c>
      <c r="D92" s="3" t="s">
        <v>9</v>
      </c>
      <c r="E92" s="3" t="s">
        <v>9</v>
      </c>
      <c r="F92" s="3" t="s">
        <v>9</v>
      </c>
      <c r="G92" s="3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110</v>
      </c>
      <c r="D93" s="3" t="s">
        <v>9</v>
      </c>
      <c r="E93" s="3" t="s">
        <v>9</v>
      </c>
      <c r="F93" s="15">
        <v>0</v>
      </c>
      <c r="G93" s="16">
        <v>0</v>
      </c>
      <c r="H93" s="164"/>
    </row>
    <row r="94" spans="1:8" x14ac:dyDescent="0.2">
      <c r="A94" s="3" t="s">
        <v>9</v>
      </c>
      <c r="B94" s="3" t="s">
        <v>9</v>
      </c>
      <c r="C94" s="13" t="s">
        <v>9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119</v>
      </c>
      <c r="D95" s="3" t="s">
        <v>9</v>
      </c>
      <c r="E95" s="3" t="s">
        <v>9</v>
      </c>
      <c r="F95" s="3" t="s">
        <v>9</v>
      </c>
      <c r="G95" s="3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110</v>
      </c>
      <c r="D96" s="3" t="s">
        <v>9</v>
      </c>
      <c r="E96" s="3" t="s">
        <v>9</v>
      </c>
      <c r="F96" s="15">
        <v>0</v>
      </c>
      <c r="G96" s="16">
        <v>0</v>
      </c>
      <c r="H96" s="164"/>
    </row>
    <row r="97" spans="1:8" x14ac:dyDescent="0.2">
      <c r="A97" s="3" t="s">
        <v>9</v>
      </c>
      <c r="B97" s="3" t="s">
        <v>9</v>
      </c>
      <c r="C97" s="13" t="s">
        <v>9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120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110</v>
      </c>
      <c r="D99" s="3" t="s">
        <v>9</v>
      </c>
      <c r="E99" s="3" t="s">
        <v>9</v>
      </c>
      <c r="F99" s="15">
        <v>0</v>
      </c>
      <c r="G99" s="16">
        <v>0</v>
      </c>
      <c r="H99" s="164"/>
    </row>
    <row r="100" spans="1:8" x14ac:dyDescent="0.2">
      <c r="A100" s="3" t="s">
        <v>9</v>
      </c>
      <c r="B100" s="3" t="s">
        <v>9</v>
      </c>
      <c r="C100" s="13" t="s">
        <v>9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121</v>
      </c>
      <c r="D101" s="3" t="s">
        <v>9</v>
      </c>
      <c r="E101" s="3" t="s">
        <v>9</v>
      </c>
      <c r="F101" s="11">
        <v>0</v>
      </c>
      <c r="G101" s="12">
        <v>0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122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123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110</v>
      </c>
      <c r="D105" s="3" t="s">
        <v>9</v>
      </c>
      <c r="E105" s="3" t="s">
        <v>9</v>
      </c>
      <c r="F105" s="15">
        <v>0</v>
      </c>
      <c r="G105" s="16">
        <v>0</v>
      </c>
      <c r="H105" s="164"/>
    </row>
    <row r="106" spans="1:8" x14ac:dyDescent="0.2">
      <c r="A106" s="3" t="s">
        <v>9</v>
      </c>
      <c r="B106" s="3" t="s">
        <v>9</v>
      </c>
      <c r="C106" s="13" t="s">
        <v>9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124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110</v>
      </c>
      <c r="D108" s="3" t="s">
        <v>9</v>
      </c>
      <c r="E108" s="3" t="s">
        <v>9</v>
      </c>
      <c r="F108" s="15">
        <v>0</v>
      </c>
      <c r="G108" s="16">
        <v>0</v>
      </c>
      <c r="H108" s="164"/>
    </row>
    <row r="109" spans="1:8" x14ac:dyDescent="0.2">
      <c r="A109" s="3" t="s">
        <v>9</v>
      </c>
      <c r="B109" s="3" t="s">
        <v>9</v>
      </c>
      <c r="C109" s="13" t="s">
        <v>9</v>
      </c>
      <c r="D109" s="3" t="s">
        <v>9</v>
      </c>
      <c r="E109" s="3" t="s">
        <v>9</v>
      </c>
      <c r="F109" s="14" t="s">
        <v>9</v>
      </c>
      <c r="G109" s="14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125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110</v>
      </c>
      <c r="D111" s="3" t="s">
        <v>9</v>
      </c>
      <c r="E111" s="3" t="s">
        <v>9</v>
      </c>
      <c r="F111" s="15">
        <v>0</v>
      </c>
      <c r="G111" s="16">
        <v>0</v>
      </c>
      <c r="H111" s="164"/>
    </row>
    <row r="112" spans="1:8" x14ac:dyDescent="0.2">
      <c r="A112" s="3" t="s">
        <v>9</v>
      </c>
      <c r="B112" s="3" t="s">
        <v>9</v>
      </c>
      <c r="C112" s="13" t="s">
        <v>9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126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5">
        <v>1</v>
      </c>
      <c r="B114" s="6"/>
      <c r="C114" s="6" t="s">
        <v>127</v>
      </c>
      <c r="D114" s="6"/>
      <c r="E114" s="10" t="s">
        <v>9</v>
      </c>
      <c r="F114" s="8">
        <v>60.7632227</v>
      </c>
      <c r="G114" s="9">
        <v>1.8829162999999999E-2</v>
      </c>
      <c r="H114" s="90">
        <v>3.22</v>
      </c>
    </row>
    <row r="115" spans="1:8" x14ac:dyDescent="0.2">
      <c r="A115" s="5">
        <v>2</v>
      </c>
      <c r="B115" s="6"/>
      <c r="C115" s="6" t="s">
        <v>128</v>
      </c>
      <c r="D115" s="6"/>
      <c r="E115" s="10" t="s">
        <v>9</v>
      </c>
      <c r="F115" s="8">
        <v>17.1713983</v>
      </c>
      <c r="G115" s="9">
        <v>5.3210319999999998E-3</v>
      </c>
      <c r="H115" s="90">
        <v>3.34</v>
      </c>
    </row>
    <row r="116" spans="1:8" x14ac:dyDescent="0.2">
      <c r="A116" s="3" t="s">
        <v>9</v>
      </c>
      <c r="B116" s="3" t="s">
        <v>9</v>
      </c>
      <c r="C116" s="4" t="s">
        <v>110</v>
      </c>
      <c r="D116" s="3" t="s">
        <v>9</v>
      </c>
      <c r="E116" s="3" t="s">
        <v>9</v>
      </c>
      <c r="F116" s="11">
        <v>77.934621000000007</v>
      </c>
      <c r="G116" s="12">
        <v>2.4150194999999999E-2</v>
      </c>
      <c r="H116" s="164"/>
    </row>
    <row r="117" spans="1:8" x14ac:dyDescent="0.2">
      <c r="A117" s="3" t="s">
        <v>9</v>
      </c>
      <c r="B117" s="3" t="s">
        <v>9</v>
      </c>
      <c r="C117" s="13" t="s">
        <v>9</v>
      </c>
      <c r="D117" s="3" t="s">
        <v>9</v>
      </c>
      <c r="E117" s="3" t="s">
        <v>9</v>
      </c>
      <c r="F117" s="14" t="s">
        <v>9</v>
      </c>
      <c r="G117" s="14" t="s">
        <v>9</v>
      </c>
      <c r="H117" s="164"/>
    </row>
    <row r="118" spans="1:8" x14ac:dyDescent="0.2">
      <c r="A118" s="3" t="s">
        <v>9</v>
      </c>
      <c r="B118" s="3" t="s">
        <v>9</v>
      </c>
      <c r="C118" s="4" t="s">
        <v>129</v>
      </c>
      <c r="D118" s="3" t="s">
        <v>9</v>
      </c>
      <c r="E118" s="3" t="s">
        <v>9</v>
      </c>
      <c r="F118" s="11">
        <v>77.934621000000007</v>
      </c>
      <c r="G118" s="12">
        <v>2.4150194999999999E-2</v>
      </c>
      <c r="H118" s="164"/>
    </row>
    <row r="119" spans="1:8" x14ac:dyDescent="0.2">
      <c r="A119" s="3" t="s">
        <v>9</v>
      </c>
      <c r="B119" s="3" t="s">
        <v>9</v>
      </c>
      <c r="C119" s="14" t="s">
        <v>9</v>
      </c>
      <c r="D119" s="3" t="s">
        <v>9</v>
      </c>
      <c r="E119" s="3" t="s">
        <v>9</v>
      </c>
      <c r="F119" s="3" t="s">
        <v>9</v>
      </c>
      <c r="G119" s="3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130</v>
      </c>
      <c r="D120" s="3" t="s">
        <v>9</v>
      </c>
      <c r="E120" s="3" t="s">
        <v>9</v>
      </c>
      <c r="F120" s="3" t="s">
        <v>9</v>
      </c>
      <c r="G120" s="3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131</v>
      </c>
      <c r="D121" s="3" t="s">
        <v>9</v>
      </c>
      <c r="E121" s="3" t="s">
        <v>9</v>
      </c>
      <c r="F121" s="3" t="s">
        <v>9</v>
      </c>
      <c r="G121" s="3" t="s">
        <v>9</v>
      </c>
      <c r="H121" s="164"/>
    </row>
    <row r="122" spans="1:8" x14ac:dyDescent="0.2">
      <c r="A122" s="3" t="s">
        <v>9</v>
      </c>
      <c r="B122" s="3" t="s">
        <v>9</v>
      </c>
      <c r="C122" s="4" t="s">
        <v>110</v>
      </c>
      <c r="D122" s="3" t="s">
        <v>9</v>
      </c>
      <c r="E122" s="3" t="s">
        <v>9</v>
      </c>
      <c r="F122" s="15">
        <v>0</v>
      </c>
      <c r="G122" s="16">
        <v>0</v>
      </c>
      <c r="H122" s="164"/>
    </row>
    <row r="123" spans="1:8" x14ac:dyDescent="0.2">
      <c r="A123" s="3" t="s">
        <v>9</v>
      </c>
      <c r="B123" s="3" t="s">
        <v>9</v>
      </c>
      <c r="C123" s="13" t="s">
        <v>9</v>
      </c>
      <c r="D123" s="3" t="s">
        <v>9</v>
      </c>
      <c r="E123" s="3" t="s">
        <v>9</v>
      </c>
      <c r="F123" s="14" t="s">
        <v>9</v>
      </c>
      <c r="G123" s="14" t="s">
        <v>9</v>
      </c>
      <c r="H123" s="164"/>
    </row>
    <row r="124" spans="1:8" x14ac:dyDescent="0.2">
      <c r="A124" s="3" t="s">
        <v>9</v>
      </c>
      <c r="B124" s="3" t="s">
        <v>9</v>
      </c>
      <c r="C124" s="4" t="s">
        <v>132</v>
      </c>
      <c r="D124" s="3" t="s">
        <v>9</v>
      </c>
      <c r="E124" s="3" t="s">
        <v>9</v>
      </c>
      <c r="F124" s="3" t="s">
        <v>9</v>
      </c>
      <c r="G124" s="3" t="s">
        <v>9</v>
      </c>
      <c r="H124" s="164"/>
    </row>
    <row r="125" spans="1:8" x14ac:dyDescent="0.2">
      <c r="A125" s="3" t="s">
        <v>9</v>
      </c>
      <c r="B125" s="3" t="s">
        <v>9</v>
      </c>
      <c r="C125" s="4" t="s">
        <v>133</v>
      </c>
      <c r="D125" s="3" t="s">
        <v>9</v>
      </c>
      <c r="E125" s="3" t="s">
        <v>9</v>
      </c>
      <c r="F125" s="3" t="s">
        <v>9</v>
      </c>
      <c r="G125" s="3" t="s">
        <v>9</v>
      </c>
      <c r="H125" s="164"/>
    </row>
    <row r="126" spans="1:8" x14ac:dyDescent="0.2">
      <c r="A126" s="3" t="s">
        <v>9</v>
      </c>
      <c r="B126" s="3" t="s">
        <v>9</v>
      </c>
      <c r="C126" s="4" t="s">
        <v>110</v>
      </c>
      <c r="D126" s="3" t="s">
        <v>9</v>
      </c>
      <c r="E126" s="3" t="s">
        <v>9</v>
      </c>
      <c r="F126" s="15">
        <v>0</v>
      </c>
      <c r="G126" s="16">
        <v>0</v>
      </c>
      <c r="H126" s="164"/>
    </row>
    <row r="127" spans="1:8" x14ac:dyDescent="0.2">
      <c r="A127" s="3" t="s">
        <v>9</v>
      </c>
      <c r="B127" s="3" t="s">
        <v>9</v>
      </c>
      <c r="C127" s="13" t="s">
        <v>9</v>
      </c>
      <c r="D127" s="3" t="s">
        <v>9</v>
      </c>
      <c r="E127" s="3" t="s">
        <v>9</v>
      </c>
      <c r="F127" s="14" t="s">
        <v>9</v>
      </c>
      <c r="G127" s="14" t="s">
        <v>9</v>
      </c>
      <c r="H127" s="164"/>
    </row>
    <row r="128" spans="1:8" x14ac:dyDescent="0.2">
      <c r="A128" s="3" t="s">
        <v>9</v>
      </c>
      <c r="B128" s="3" t="s">
        <v>9</v>
      </c>
      <c r="C128" s="13" t="s">
        <v>9</v>
      </c>
      <c r="D128" s="3" t="s">
        <v>9</v>
      </c>
      <c r="E128" s="3" t="s">
        <v>9</v>
      </c>
      <c r="F128" s="14" t="s">
        <v>9</v>
      </c>
      <c r="G128" s="14" t="s">
        <v>9</v>
      </c>
      <c r="H128" s="164"/>
    </row>
    <row r="129" spans="1:8" ht="25.5" x14ac:dyDescent="0.2">
      <c r="A129" s="3" t="s">
        <v>9</v>
      </c>
      <c r="B129" s="3" t="s">
        <v>9</v>
      </c>
      <c r="C129" s="4" t="s">
        <v>134</v>
      </c>
      <c r="D129" s="3" t="s">
        <v>9</v>
      </c>
      <c r="E129" s="3" t="s">
        <v>9</v>
      </c>
      <c r="F129" s="14" t="s">
        <v>9</v>
      </c>
      <c r="G129" s="14" t="s">
        <v>9</v>
      </c>
      <c r="H129" s="164"/>
    </row>
    <row r="130" spans="1:8" x14ac:dyDescent="0.2">
      <c r="A130" s="3" t="s">
        <v>9</v>
      </c>
      <c r="B130" s="3" t="s">
        <v>9</v>
      </c>
      <c r="C130" s="4" t="s">
        <v>110</v>
      </c>
      <c r="D130" s="3" t="s">
        <v>9</v>
      </c>
      <c r="E130" s="3" t="s">
        <v>9</v>
      </c>
      <c r="F130" s="15">
        <v>0</v>
      </c>
      <c r="G130" s="16">
        <v>0</v>
      </c>
      <c r="H130" s="164"/>
    </row>
    <row r="131" spans="1:8" x14ac:dyDescent="0.2">
      <c r="A131" s="3" t="s">
        <v>9</v>
      </c>
      <c r="B131" s="3" t="s">
        <v>9</v>
      </c>
      <c r="C131" s="13" t="s">
        <v>9</v>
      </c>
      <c r="D131" s="3" t="s">
        <v>9</v>
      </c>
      <c r="E131" s="3" t="s">
        <v>9</v>
      </c>
      <c r="F131" s="14" t="s">
        <v>9</v>
      </c>
      <c r="G131" s="14" t="s">
        <v>9</v>
      </c>
      <c r="H131" s="164"/>
    </row>
    <row r="132" spans="1:8" x14ac:dyDescent="0.2">
      <c r="A132" s="3" t="s">
        <v>9</v>
      </c>
      <c r="B132" s="6" t="s">
        <v>9</v>
      </c>
      <c r="C132" s="6" t="s">
        <v>9</v>
      </c>
      <c r="D132" s="4" t="s">
        <v>9</v>
      </c>
      <c r="E132" s="3" t="s">
        <v>9</v>
      </c>
      <c r="F132" s="6" t="s">
        <v>9</v>
      </c>
      <c r="G132" s="10" t="s">
        <v>9</v>
      </c>
      <c r="H132" s="164"/>
    </row>
    <row r="133" spans="1:8" x14ac:dyDescent="0.2">
      <c r="A133" s="10" t="s">
        <v>9</v>
      </c>
      <c r="B133" s="6" t="s">
        <v>9</v>
      </c>
      <c r="C133" s="6" t="s">
        <v>135</v>
      </c>
      <c r="D133" s="6" t="s">
        <v>9</v>
      </c>
      <c r="E133" s="10" t="s">
        <v>9</v>
      </c>
      <c r="F133" s="8">
        <v>49.736457710000003</v>
      </c>
      <c r="G133" s="9">
        <v>1.5412215999999999E-2</v>
      </c>
      <c r="H133" s="164"/>
    </row>
    <row r="134" spans="1:8" x14ac:dyDescent="0.2">
      <c r="A134" s="13" t="s">
        <v>9</v>
      </c>
      <c r="B134" s="13" t="s">
        <v>9</v>
      </c>
      <c r="C134" s="4" t="s">
        <v>136</v>
      </c>
      <c r="D134" s="17" t="s">
        <v>9</v>
      </c>
      <c r="E134" s="17" t="s">
        <v>9</v>
      </c>
      <c r="F134" s="11">
        <v>3227.0803272100002</v>
      </c>
      <c r="G134" s="12">
        <v>0.99999999500000003</v>
      </c>
      <c r="H134" s="164"/>
    </row>
    <row r="135" spans="1:8" ht="14.1" customHeight="1" x14ac:dyDescent="0.2">
      <c r="A135" s="18" t="s">
        <v>9</v>
      </c>
      <c r="B135" s="18" t="s">
        <v>9</v>
      </c>
      <c r="C135" s="18" t="s">
        <v>9</v>
      </c>
      <c r="D135" s="19" t="s">
        <v>9</v>
      </c>
      <c r="E135" s="19" t="s">
        <v>9</v>
      </c>
      <c r="F135" s="19" t="s">
        <v>9</v>
      </c>
      <c r="G135" s="19" t="s">
        <v>9</v>
      </c>
    </row>
    <row r="136" spans="1:8" ht="14.1" customHeight="1" x14ac:dyDescent="0.2">
      <c r="A136" s="20" t="s">
        <v>9</v>
      </c>
      <c r="B136" s="228" t="s">
        <v>9</v>
      </c>
      <c r="C136" s="228"/>
      <c r="D136" s="228"/>
      <c r="E136" s="228"/>
      <c r="F136" s="228"/>
      <c r="G136" s="22" t="s">
        <v>9</v>
      </c>
    </row>
    <row r="137" spans="1:8" ht="14.1" customHeight="1" x14ac:dyDescent="0.2">
      <c r="A137" s="20" t="s">
        <v>9</v>
      </c>
      <c r="B137" s="228" t="s">
        <v>9</v>
      </c>
      <c r="C137" s="228"/>
      <c r="D137" s="228"/>
      <c r="E137" s="228"/>
      <c r="F137" s="228"/>
      <c r="G137" s="22" t="s">
        <v>9</v>
      </c>
    </row>
    <row r="138" spans="1:8" ht="14.1" customHeight="1" x14ac:dyDescent="0.2">
      <c r="A138" s="20" t="s">
        <v>9</v>
      </c>
      <c r="B138" s="20" t="s">
        <v>9</v>
      </c>
      <c r="C138" s="20" t="s">
        <v>9</v>
      </c>
      <c r="D138" s="22" t="s">
        <v>9</v>
      </c>
      <c r="E138" s="22" t="s">
        <v>9</v>
      </c>
      <c r="F138" s="22" t="s">
        <v>9</v>
      </c>
      <c r="G138" s="22" t="s">
        <v>9</v>
      </c>
    </row>
    <row r="139" spans="1:8" ht="14.1" customHeight="1" x14ac:dyDescent="0.2">
      <c r="A139" s="20" t="s">
        <v>9</v>
      </c>
      <c r="B139" s="226" t="s">
        <v>138</v>
      </c>
      <c r="C139" s="227"/>
      <c r="D139" s="14" t="s">
        <v>9</v>
      </c>
      <c r="E139" s="23" t="s">
        <v>9</v>
      </c>
      <c r="F139" s="22" t="s">
        <v>9</v>
      </c>
      <c r="G139" s="22" t="s">
        <v>9</v>
      </c>
    </row>
    <row r="140" spans="1:8" ht="29.1" customHeight="1" x14ac:dyDescent="0.2">
      <c r="A140" s="20" t="s">
        <v>9</v>
      </c>
      <c r="B140" s="233" t="s">
        <v>139</v>
      </c>
      <c r="C140" s="234"/>
      <c r="D140" s="4" t="s">
        <v>140</v>
      </c>
      <c r="E140" s="23" t="s">
        <v>9</v>
      </c>
      <c r="F140" s="22" t="s">
        <v>9</v>
      </c>
      <c r="G140" s="22" t="s">
        <v>9</v>
      </c>
    </row>
    <row r="141" spans="1:8" ht="17.100000000000001" customHeight="1" x14ac:dyDescent="0.2">
      <c r="A141" s="20" t="s">
        <v>9</v>
      </c>
      <c r="B141" s="233" t="s">
        <v>141</v>
      </c>
      <c r="C141" s="234"/>
      <c r="D141" s="4" t="s">
        <v>140</v>
      </c>
      <c r="E141" s="23" t="s">
        <v>9</v>
      </c>
      <c r="F141" s="22" t="s">
        <v>9</v>
      </c>
      <c r="G141" s="22" t="s">
        <v>9</v>
      </c>
    </row>
    <row r="142" spans="1:8" ht="17.100000000000001" customHeight="1" x14ac:dyDescent="0.2">
      <c r="A142" s="20" t="s">
        <v>9</v>
      </c>
      <c r="B142" s="233" t="s">
        <v>142</v>
      </c>
      <c r="C142" s="234"/>
      <c r="D142" s="14" t="s">
        <v>9</v>
      </c>
      <c r="E142" s="23" t="s">
        <v>9</v>
      </c>
      <c r="F142" s="22" t="s">
        <v>9</v>
      </c>
      <c r="G142" s="22" t="s">
        <v>9</v>
      </c>
    </row>
    <row r="143" spans="1:8" ht="24" customHeight="1" x14ac:dyDescent="0.2">
      <c r="A143" s="24" t="s">
        <v>9</v>
      </c>
      <c r="B143" s="25" t="s">
        <v>9</v>
      </c>
      <c r="C143" s="25" t="s">
        <v>143</v>
      </c>
      <c r="D143" s="25" t="s">
        <v>144</v>
      </c>
      <c r="E143" s="24" t="s">
        <v>9</v>
      </c>
      <c r="F143" s="24" t="s">
        <v>9</v>
      </c>
      <c r="G143" s="24" t="s">
        <v>9</v>
      </c>
    </row>
    <row r="144" spans="1:8" ht="18" customHeight="1" x14ac:dyDescent="0.2">
      <c r="A144" s="24" t="s">
        <v>9</v>
      </c>
      <c r="B144" s="25" t="s">
        <v>145</v>
      </c>
      <c r="C144" s="25" t="s">
        <v>146</v>
      </c>
      <c r="D144" s="25" t="s">
        <v>147</v>
      </c>
      <c r="E144" s="24" t="s">
        <v>9</v>
      </c>
      <c r="F144" s="24" t="s">
        <v>9</v>
      </c>
      <c r="G144" s="24" t="s">
        <v>9</v>
      </c>
    </row>
    <row r="145" spans="1:7" ht="17.100000000000001" customHeight="1" x14ac:dyDescent="0.2">
      <c r="A145" s="24" t="s">
        <v>9</v>
      </c>
      <c r="B145" s="6" t="s">
        <v>148</v>
      </c>
      <c r="C145" s="26">
        <v>15.1594</v>
      </c>
      <c r="D145" s="26">
        <v>16.351600000000001</v>
      </c>
      <c r="E145" s="24" t="s">
        <v>9</v>
      </c>
      <c r="F145" s="21" t="s">
        <v>9</v>
      </c>
      <c r="G145" s="27" t="s">
        <v>9</v>
      </c>
    </row>
    <row r="146" spans="1:7" ht="17.100000000000001" customHeight="1" x14ac:dyDescent="0.2">
      <c r="A146" s="24" t="s">
        <v>9</v>
      </c>
      <c r="B146" s="6" t="s">
        <v>839</v>
      </c>
      <c r="C146" s="26">
        <v>14.6388</v>
      </c>
      <c r="D146" s="26">
        <v>15.79</v>
      </c>
      <c r="E146" s="24" t="s">
        <v>9</v>
      </c>
      <c r="F146" s="21" t="s">
        <v>9</v>
      </c>
      <c r="G146" s="27" t="s">
        <v>9</v>
      </c>
    </row>
    <row r="147" spans="1:7" ht="17.100000000000001" customHeight="1" x14ac:dyDescent="0.2">
      <c r="A147" s="24" t="s">
        <v>9</v>
      </c>
      <c r="B147" s="6" t="s">
        <v>149</v>
      </c>
      <c r="C147" s="26">
        <v>14.995200000000001</v>
      </c>
      <c r="D147" s="26">
        <v>16.167999999999999</v>
      </c>
      <c r="E147" s="24" t="s">
        <v>9</v>
      </c>
      <c r="F147" s="21" t="s">
        <v>9</v>
      </c>
      <c r="G147" s="27" t="s">
        <v>9</v>
      </c>
    </row>
    <row r="148" spans="1:7" ht="17.100000000000001" customHeight="1" x14ac:dyDescent="0.2">
      <c r="A148" s="24" t="s">
        <v>9</v>
      </c>
      <c r="B148" s="6" t="s">
        <v>840</v>
      </c>
      <c r="C148" s="26">
        <v>14.4747</v>
      </c>
      <c r="D148" s="26">
        <v>15.607100000000001</v>
      </c>
      <c r="E148" s="24" t="s">
        <v>9</v>
      </c>
      <c r="F148" s="21" t="s">
        <v>9</v>
      </c>
      <c r="G148" s="27" t="s">
        <v>9</v>
      </c>
    </row>
    <row r="149" spans="1:7" ht="14.1" customHeight="1" x14ac:dyDescent="0.2">
      <c r="A149" s="24" t="s">
        <v>9</v>
      </c>
      <c r="B149" s="24" t="s">
        <v>9</v>
      </c>
      <c r="C149" s="24" t="s">
        <v>9</v>
      </c>
      <c r="D149" s="24" t="s">
        <v>9</v>
      </c>
      <c r="E149" s="24" t="s">
        <v>9</v>
      </c>
      <c r="F149" s="24" t="s">
        <v>9</v>
      </c>
      <c r="G149" s="24" t="s">
        <v>9</v>
      </c>
    </row>
    <row r="150" spans="1:7" ht="17.100000000000001" customHeight="1" x14ac:dyDescent="0.2">
      <c r="A150" s="24" t="s">
        <v>9</v>
      </c>
      <c r="B150" s="233" t="s">
        <v>1003</v>
      </c>
      <c r="C150" s="234"/>
      <c r="D150" s="4" t="s">
        <v>140</v>
      </c>
      <c r="E150" s="24" t="s">
        <v>9</v>
      </c>
      <c r="F150" s="24" t="s">
        <v>9</v>
      </c>
      <c r="G150" s="24" t="s">
        <v>9</v>
      </c>
    </row>
    <row r="151" spans="1:7" ht="18" customHeight="1" x14ac:dyDescent="0.2">
      <c r="A151" s="24" t="s">
        <v>9</v>
      </c>
      <c r="B151" s="28" t="s">
        <v>150</v>
      </c>
      <c r="C151" s="28" t="s">
        <v>150</v>
      </c>
      <c r="D151" s="28" t="s">
        <v>9</v>
      </c>
      <c r="E151" s="24" t="s">
        <v>9</v>
      </c>
      <c r="F151" s="24" t="s">
        <v>9</v>
      </c>
      <c r="G151" s="24" t="s">
        <v>9</v>
      </c>
    </row>
    <row r="152" spans="1:7" s="169" customFormat="1" x14ac:dyDescent="0.2">
      <c r="B152" s="235" t="s">
        <v>841</v>
      </c>
      <c r="C152" s="235"/>
      <c r="D152" s="235"/>
      <c r="E152" s="235"/>
      <c r="F152" s="235"/>
    </row>
    <row r="153" spans="1:7" ht="14.1" customHeight="1" x14ac:dyDescent="0.2">
      <c r="A153" s="24" t="s">
        <v>9</v>
      </c>
      <c r="B153" s="21" t="s">
        <v>9</v>
      </c>
      <c r="C153" s="21" t="s">
        <v>9</v>
      </c>
      <c r="D153" s="24" t="s">
        <v>9</v>
      </c>
      <c r="E153" s="24" t="s">
        <v>9</v>
      </c>
      <c r="F153" s="24" t="s">
        <v>9</v>
      </c>
      <c r="G153" s="24" t="s">
        <v>9</v>
      </c>
    </row>
    <row r="154" spans="1:7" ht="29.1" customHeight="1" x14ac:dyDescent="0.2">
      <c r="A154" s="24" t="s">
        <v>9</v>
      </c>
      <c r="B154" s="233" t="s">
        <v>151</v>
      </c>
      <c r="C154" s="234"/>
      <c r="D154" s="4" t="s">
        <v>140</v>
      </c>
      <c r="E154" s="24" t="s">
        <v>9</v>
      </c>
      <c r="F154" s="24" t="s">
        <v>9</v>
      </c>
      <c r="G154" s="24" t="s">
        <v>9</v>
      </c>
    </row>
    <row r="155" spans="1:7" ht="29.1" customHeight="1" x14ac:dyDescent="0.2">
      <c r="A155" s="24" t="s">
        <v>9</v>
      </c>
      <c r="B155" s="233" t="s">
        <v>152</v>
      </c>
      <c r="C155" s="234"/>
      <c r="D155" s="4" t="s">
        <v>140</v>
      </c>
      <c r="E155" s="24" t="s">
        <v>9</v>
      </c>
      <c r="F155" s="24" t="s">
        <v>9</v>
      </c>
      <c r="G155" s="24" t="s">
        <v>9</v>
      </c>
    </row>
    <row r="156" spans="1:7" ht="17.100000000000001" customHeight="1" x14ac:dyDescent="0.2">
      <c r="A156" s="24" t="s">
        <v>9</v>
      </c>
      <c r="B156" s="233" t="s">
        <v>153</v>
      </c>
      <c r="C156" s="234"/>
      <c r="D156" s="29">
        <v>0.44215636973706207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233" t="s">
        <v>154</v>
      </c>
      <c r="C157" s="234"/>
      <c r="D157" s="4" t="s">
        <v>140</v>
      </c>
      <c r="E157" s="24" t="s">
        <v>9</v>
      </c>
      <c r="F157" s="24" t="s">
        <v>9</v>
      </c>
      <c r="G157" s="24" t="s">
        <v>9</v>
      </c>
    </row>
  </sheetData>
  <mergeCells count="15">
    <mergeCell ref="B156:C156"/>
    <mergeCell ref="B157:C157"/>
    <mergeCell ref="B140:C140"/>
    <mergeCell ref="B141:C141"/>
    <mergeCell ref="B142:C142"/>
    <mergeCell ref="B150:C150"/>
    <mergeCell ref="B154:C154"/>
    <mergeCell ref="B155:C155"/>
    <mergeCell ref="B152:F152"/>
    <mergeCell ref="B139:C139"/>
    <mergeCell ref="B136:F136"/>
    <mergeCell ref="B137:F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136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498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20</v>
      </c>
      <c r="C7" s="6" t="s">
        <v>21</v>
      </c>
      <c r="D7" s="6" t="s">
        <v>22</v>
      </c>
      <c r="E7" s="7">
        <v>20627</v>
      </c>
      <c r="F7" s="8">
        <v>140.77927500000001</v>
      </c>
      <c r="G7" s="9">
        <v>7.7964940999999996E-2</v>
      </c>
      <c r="H7" s="164"/>
    </row>
    <row r="8" spans="1:8" x14ac:dyDescent="0.2">
      <c r="A8" s="5">
        <v>2</v>
      </c>
      <c r="B8" s="6" t="s">
        <v>403</v>
      </c>
      <c r="C8" s="6" t="s">
        <v>404</v>
      </c>
      <c r="D8" s="6" t="s">
        <v>179</v>
      </c>
      <c r="E8" s="7">
        <v>8574</v>
      </c>
      <c r="F8" s="8">
        <v>138.08427</v>
      </c>
      <c r="G8" s="9">
        <v>7.6472420999999999E-2</v>
      </c>
      <c r="H8" s="164"/>
    </row>
    <row r="9" spans="1:8" x14ac:dyDescent="0.2">
      <c r="A9" s="5">
        <v>3</v>
      </c>
      <c r="B9" s="6" t="s">
        <v>15</v>
      </c>
      <c r="C9" s="6" t="s">
        <v>16</v>
      </c>
      <c r="D9" s="6" t="s">
        <v>17</v>
      </c>
      <c r="E9" s="7">
        <v>5610</v>
      </c>
      <c r="F9" s="8">
        <v>114.18033</v>
      </c>
      <c r="G9" s="9">
        <v>6.3234184999999998E-2</v>
      </c>
      <c r="H9" s="164"/>
    </row>
    <row r="10" spans="1:8" x14ac:dyDescent="0.2">
      <c r="A10" s="5">
        <v>4</v>
      </c>
      <c r="B10" s="6" t="s">
        <v>79</v>
      </c>
      <c r="C10" s="6" t="s">
        <v>80</v>
      </c>
      <c r="D10" s="6" t="s">
        <v>22</v>
      </c>
      <c r="E10" s="7">
        <v>7820</v>
      </c>
      <c r="F10" s="8">
        <v>111.54839</v>
      </c>
      <c r="G10" s="9">
        <v>6.1776590999999999E-2</v>
      </c>
      <c r="H10" s="164"/>
    </row>
    <row r="11" spans="1:8" ht="25.5" x14ac:dyDescent="0.2">
      <c r="A11" s="5">
        <v>5</v>
      </c>
      <c r="B11" s="6" t="s">
        <v>405</v>
      </c>
      <c r="C11" s="6" t="s">
        <v>406</v>
      </c>
      <c r="D11" s="6" t="s">
        <v>161</v>
      </c>
      <c r="E11" s="7">
        <v>3376</v>
      </c>
      <c r="F11" s="8">
        <v>82.413224</v>
      </c>
      <c r="G11" s="9">
        <v>4.5641250000000001E-2</v>
      </c>
      <c r="H11" s="164"/>
    </row>
    <row r="12" spans="1:8" x14ac:dyDescent="0.2">
      <c r="A12" s="5">
        <v>6</v>
      </c>
      <c r="B12" s="6" t="s">
        <v>407</v>
      </c>
      <c r="C12" s="6" t="s">
        <v>408</v>
      </c>
      <c r="D12" s="6" t="s">
        <v>22</v>
      </c>
      <c r="E12" s="7">
        <v>16051</v>
      </c>
      <c r="F12" s="8">
        <v>69.308217999999997</v>
      </c>
      <c r="G12" s="9">
        <v>3.8383569999999999E-2</v>
      </c>
      <c r="H12" s="164"/>
    </row>
    <row r="13" spans="1:8" ht="25.5" x14ac:dyDescent="0.2">
      <c r="A13" s="5">
        <v>7</v>
      </c>
      <c r="B13" s="6" t="s">
        <v>336</v>
      </c>
      <c r="C13" s="6" t="s">
        <v>337</v>
      </c>
      <c r="D13" s="6" t="s">
        <v>67</v>
      </c>
      <c r="E13" s="7">
        <v>8598</v>
      </c>
      <c r="F13" s="8">
        <v>65.499564000000007</v>
      </c>
      <c r="G13" s="9">
        <v>3.6274300000000002E-2</v>
      </c>
      <c r="H13" s="164"/>
    </row>
    <row r="14" spans="1:8" ht="25.5" x14ac:dyDescent="0.2">
      <c r="A14" s="5">
        <v>8</v>
      </c>
      <c r="B14" s="6" t="s">
        <v>33</v>
      </c>
      <c r="C14" s="6" t="s">
        <v>34</v>
      </c>
      <c r="D14" s="6" t="s">
        <v>925</v>
      </c>
      <c r="E14" s="7">
        <v>825</v>
      </c>
      <c r="F14" s="8">
        <v>62.858400000000003</v>
      </c>
      <c r="G14" s="9">
        <v>3.4811597E-2</v>
      </c>
      <c r="H14" s="164"/>
    </row>
    <row r="15" spans="1:8" x14ac:dyDescent="0.2">
      <c r="A15" s="5">
        <v>9</v>
      </c>
      <c r="B15" s="6" t="s">
        <v>357</v>
      </c>
      <c r="C15" s="6" t="s">
        <v>358</v>
      </c>
      <c r="D15" s="6" t="s">
        <v>22</v>
      </c>
      <c r="E15" s="7">
        <v>8341</v>
      </c>
      <c r="F15" s="8">
        <v>59.129348999999998</v>
      </c>
      <c r="G15" s="9">
        <v>3.2746412000000003E-2</v>
      </c>
      <c r="H15" s="164"/>
    </row>
    <row r="16" spans="1:8" x14ac:dyDescent="0.2">
      <c r="A16" s="5">
        <v>10</v>
      </c>
      <c r="B16" s="6" t="s">
        <v>156</v>
      </c>
      <c r="C16" s="6" t="s">
        <v>157</v>
      </c>
      <c r="D16" s="6" t="s">
        <v>158</v>
      </c>
      <c r="E16" s="7">
        <v>1505</v>
      </c>
      <c r="F16" s="8">
        <v>55.041612499999999</v>
      </c>
      <c r="G16" s="9">
        <v>3.0482584E-2</v>
      </c>
      <c r="H16" s="164"/>
    </row>
    <row r="17" spans="1:8" x14ac:dyDescent="0.2">
      <c r="A17" s="5">
        <v>11</v>
      </c>
      <c r="B17" s="6" t="s">
        <v>12</v>
      </c>
      <c r="C17" s="6" t="s">
        <v>13</v>
      </c>
      <c r="D17" s="6" t="s">
        <v>14</v>
      </c>
      <c r="E17" s="7">
        <v>3340</v>
      </c>
      <c r="F17" s="8">
        <v>53.488430000000001</v>
      </c>
      <c r="G17" s="9">
        <v>2.9622415999999999E-2</v>
      </c>
      <c r="H17" s="164"/>
    </row>
    <row r="18" spans="1:8" ht="25.5" x14ac:dyDescent="0.2">
      <c r="A18" s="5">
        <v>12</v>
      </c>
      <c r="B18" s="6" t="s">
        <v>499</v>
      </c>
      <c r="C18" s="6" t="s">
        <v>500</v>
      </c>
      <c r="D18" s="6" t="s">
        <v>925</v>
      </c>
      <c r="E18" s="7">
        <v>3200</v>
      </c>
      <c r="F18" s="8">
        <v>47.763199999999998</v>
      </c>
      <c r="G18" s="9">
        <v>2.6451728000000001E-2</v>
      </c>
      <c r="H18" s="164"/>
    </row>
    <row r="19" spans="1:8" x14ac:dyDescent="0.2">
      <c r="A19" s="5">
        <v>13</v>
      </c>
      <c r="B19" s="6" t="s">
        <v>365</v>
      </c>
      <c r="C19" s="6" t="s">
        <v>366</v>
      </c>
      <c r="D19" s="6" t="s">
        <v>250</v>
      </c>
      <c r="E19" s="7">
        <v>4988</v>
      </c>
      <c r="F19" s="8">
        <v>45.789839999999998</v>
      </c>
      <c r="G19" s="9">
        <v>2.5358861999999999E-2</v>
      </c>
      <c r="H19" s="164"/>
    </row>
    <row r="20" spans="1:8" x14ac:dyDescent="0.2">
      <c r="A20" s="5">
        <v>14</v>
      </c>
      <c r="B20" s="6" t="s">
        <v>212</v>
      </c>
      <c r="C20" s="6" t="s">
        <v>213</v>
      </c>
      <c r="D20" s="6" t="s">
        <v>929</v>
      </c>
      <c r="E20" s="7">
        <v>4850</v>
      </c>
      <c r="F20" s="8">
        <v>42.163474999999998</v>
      </c>
      <c r="G20" s="9">
        <v>2.3350545E-2</v>
      </c>
      <c r="H20" s="164"/>
    </row>
    <row r="21" spans="1:8" x14ac:dyDescent="0.2">
      <c r="A21" s="5">
        <v>15</v>
      </c>
      <c r="B21" s="6" t="s">
        <v>187</v>
      </c>
      <c r="C21" s="6" t="s">
        <v>188</v>
      </c>
      <c r="D21" s="6" t="s">
        <v>182</v>
      </c>
      <c r="E21" s="7">
        <v>16375</v>
      </c>
      <c r="F21" s="8">
        <v>40.97025</v>
      </c>
      <c r="G21" s="9">
        <v>2.2689726E-2</v>
      </c>
      <c r="H21" s="164"/>
    </row>
    <row r="22" spans="1:8" x14ac:dyDescent="0.2">
      <c r="A22" s="5">
        <v>16</v>
      </c>
      <c r="B22" s="6" t="s">
        <v>371</v>
      </c>
      <c r="C22" s="6" t="s">
        <v>372</v>
      </c>
      <c r="D22" s="6" t="s">
        <v>179</v>
      </c>
      <c r="E22" s="7">
        <v>3900</v>
      </c>
      <c r="F22" s="8">
        <v>39.973050000000001</v>
      </c>
      <c r="G22" s="9">
        <v>2.2137466000000001E-2</v>
      </c>
      <c r="H22" s="164"/>
    </row>
    <row r="23" spans="1:8" x14ac:dyDescent="0.2">
      <c r="A23" s="5">
        <v>17</v>
      </c>
      <c r="B23" s="6" t="s">
        <v>23</v>
      </c>
      <c r="C23" s="6" t="s">
        <v>24</v>
      </c>
      <c r="D23" s="6" t="s">
        <v>25</v>
      </c>
      <c r="E23" s="7">
        <v>6757</v>
      </c>
      <c r="F23" s="8">
        <v>37.9506905</v>
      </c>
      <c r="G23" s="9">
        <v>2.1017464E-2</v>
      </c>
      <c r="H23" s="164"/>
    </row>
    <row r="24" spans="1:8" x14ac:dyDescent="0.2">
      <c r="A24" s="5">
        <v>18</v>
      </c>
      <c r="B24" s="6" t="s">
        <v>409</v>
      </c>
      <c r="C24" s="6" t="s">
        <v>410</v>
      </c>
      <c r="D24" s="6" t="s">
        <v>932</v>
      </c>
      <c r="E24" s="7">
        <v>3435</v>
      </c>
      <c r="F24" s="8">
        <v>37.736910000000002</v>
      </c>
      <c r="G24" s="9">
        <v>2.0899069999999999E-2</v>
      </c>
      <c r="H24" s="164"/>
    </row>
    <row r="25" spans="1:8" x14ac:dyDescent="0.2">
      <c r="A25" s="5">
        <v>19</v>
      </c>
      <c r="B25" s="6" t="s">
        <v>53</v>
      </c>
      <c r="C25" s="6" t="s">
        <v>54</v>
      </c>
      <c r="D25" s="6" t="s">
        <v>17</v>
      </c>
      <c r="E25" s="7">
        <v>8136</v>
      </c>
      <c r="F25" s="8">
        <v>36.24588</v>
      </c>
      <c r="G25" s="9">
        <v>2.0073323000000001E-2</v>
      </c>
      <c r="H25" s="164"/>
    </row>
    <row r="26" spans="1:8" x14ac:dyDescent="0.2">
      <c r="A26" s="5">
        <v>20</v>
      </c>
      <c r="B26" s="6" t="s">
        <v>501</v>
      </c>
      <c r="C26" s="6" t="s">
        <v>502</v>
      </c>
      <c r="D26" s="6" t="s">
        <v>88</v>
      </c>
      <c r="E26" s="7">
        <v>11250</v>
      </c>
      <c r="F26" s="8">
        <v>33.069375000000001</v>
      </c>
      <c r="G26" s="9">
        <v>1.8314144000000001E-2</v>
      </c>
      <c r="H26" s="164"/>
    </row>
    <row r="27" spans="1:8" x14ac:dyDescent="0.2">
      <c r="A27" s="5">
        <v>21</v>
      </c>
      <c r="B27" s="6" t="s">
        <v>353</v>
      </c>
      <c r="C27" s="6" t="s">
        <v>354</v>
      </c>
      <c r="D27" s="6" t="s">
        <v>50</v>
      </c>
      <c r="E27" s="7">
        <v>4814</v>
      </c>
      <c r="F27" s="8">
        <v>30.997346</v>
      </c>
      <c r="G27" s="9">
        <v>1.7166634E-2</v>
      </c>
      <c r="H27" s="164"/>
    </row>
    <row r="28" spans="1:8" x14ac:dyDescent="0.2">
      <c r="A28" s="5">
        <v>22</v>
      </c>
      <c r="B28" s="6" t="s">
        <v>419</v>
      </c>
      <c r="C28" s="6" t="s">
        <v>420</v>
      </c>
      <c r="D28" s="6" t="s">
        <v>179</v>
      </c>
      <c r="E28" s="7">
        <v>969</v>
      </c>
      <c r="F28" s="8">
        <v>30.692590500000001</v>
      </c>
      <c r="G28" s="9">
        <v>1.6997857000000002E-2</v>
      </c>
      <c r="H28" s="164"/>
    </row>
    <row r="29" spans="1:8" x14ac:dyDescent="0.2">
      <c r="A29" s="5">
        <v>23</v>
      </c>
      <c r="B29" s="6" t="s">
        <v>72</v>
      </c>
      <c r="C29" s="6" t="s">
        <v>73</v>
      </c>
      <c r="D29" s="6" t="s">
        <v>28</v>
      </c>
      <c r="E29" s="7">
        <v>3462</v>
      </c>
      <c r="F29" s="8">
        <v>29.510088</v>
      </c>
      <c r="G29" s="9">
        <v>1.6342975999999999E-2</v>
      </c>
      <c r="H29" s="164"/>
    </row>
    <row r="30" spans="1:8" x14ac:dyDescent="0.2">
      <c r="A30" s="5">
        <v>24</v>
      </c>
      <c r="B30" s="6" t="s">
        <v>436</v>
      </c>
      <c r="C30" s="6" t="s">
        <v>437</v>
      </c>
      <c r="D30" s="6" t="s">
        <v>22</v>
      </c>
      <c r="E30" s="7">
        <v>1570</v>
      </c>
      <c r="F30" s="8">
        <v>25.980360000000001</v>
      </c>
      <c r="G30" s="9">
        <v>1.4388178E-2</v>
      </c>
      <c r="H30" s="164"/>
    </row>
    <row r="31" spans="1:8" x14ac:dyDescent="0.2">
      <c r="A31" s="5">
        <v>25</v>
      </c>
      <c r="B31" s="6" t="s">
        <v>332</v>
      </c>
      <c r="C31" s="6" t="s">
        <v>333</v>
      </c>
      <c r="D31" s="6" t="s">
        <v>59</v>
      </c>
      <c r="E31" s="7">
        <v>6000</v>
      </c>
      <c r="F31" s="8">
        <v>25.905000000000001</v>
      </c>
      <c r="G31" s="9">
        <v>1.4346443E-2</v>
      </c>
      <c r="H31" s="164"/>
    </row>
    <row r="32" spans="1:8" ht="25.5" x14ac:dyDescent="0.2">
      <c r="A32" s="5">
        <v>26</v>
      </c>
      <c r="B32" s="6" t="s">
        <v>428</v>
      </c>
      <c r="C32" s="6" t="s">
        <v>429</v>
      </c>
      <c r="D32" s="6" t="s">
        <v>67</v>
      </c>
      <c r="E32" s="7">
        <v>12606</v>
      </c>
      <c r="F32" s="8">
        <v>25.835996999999999</v>
      </c>
      <c r="G32" s="9">
        <v>1.4308227999999999E-2</v>
      </c>
      <c r="H32" s="164"/>
    </row>
    <row r="33" spans="1:8" x14ac:dyDescent="0.2">
      <c r="A33" s="5">
        <v>27</v>
      </c>
      <c r="B33" s="6" t="s">
        <v>334</v>
      </c>
      <c r="C33" s="6" t="s">
        <v>335</v>
      </c>
      <c r="D33" s="6" t="s">
        <v>22</v>
      </c>
      <c r="E33" s="7">
        <v>28053</v>
      </c>
      <c r="F33" s="8">
        <v>24.532348500000001</v>
      </c>
      <c r="G33" s="9">
        <v>1.3586255E-2</v>
      </c>
      <c r="H33" s="164"/>
    </row>
    <row r="34" spans="1:8" x14ac:dyDescent="0.2">
      <c r="A34" s="5">
        <v>28</v>
      </c>
      <c r="B34" s="6" t="s">
        <v>503</v>
      </c>
      <c r="C34" s="6" t="s">
        <v>504</v>
      </c>
      <c r="D34" s="6" t="s">
        <v>62</v>
      </c>
      <c r="E34" s="7">
        <v>1421</v>
      </c>
      <c r="F34" s="8">
        <v>24.3637555</v>
      </c>
      <c r="G34" s="9">
        <v>1.3492886000000001E-2</v>
      </c>
      <c r="H34" s="164"/>
    </row>
    <row r="35" spans="1:8" x14ac:dyDescent="0.2">
      <c r="A35" s="5">
        <v>29</v>
      </c>
      <c r="B35" s="6" t="s">
        <v>457</v>
      </c>
      <c r="C35" s="6" t="s">
        <v>458</v>
      </c>
      <c r="D35" s="6" t="s">
        <v>50</v>
      </c>
      <c r="E35" s="7">
        <v>5743</v>
      </c>
      <c r="F35" s="8">
        <v>24.215359500000002</v>
      </c>
      <c r="G35" s="9">
        <v>1.3410703E-2</v>
      </c>
      <c r="H35" s="164"/>
    </row>
    <row r="36" spans="1:8" x14ac:dyDescent="0.2">
      <c r="A36" s="5">
        <v>30</v>
      </c>
      <c r="B36" s="6" t="s">
        <v>411</v>
      </c>
      <c r="C36" s="6" t="s">
        <v>412</v>
      </c>
      <c r="D36" s="6" t="s">
        <v>59</v>
      </c>
      <c r="E36" s="7">
        <v>1501</v>
      </c>
      <c r="F36" s="8">
        <v>21.528842999999998</v>
      </c>
      <c r="G36" s="9">
        <v>1.1922884E-2</v>
      </c>
      <c r="H36" s="164"/>
    </row>
    <row r="37" spans="1:8" x14ac:dyDescent="0.2">
      <c r="A37" s="5">
        <v>31</v>
      </c>
      <c r="B37" s="6" t="s">
        <v>355</v>
      </c>
      <c r="C37" s="6" t="s">
        <v>356</v>
      </c>
      <c r="D37" s="6" t="s">
        <v>22</v>
      </c>
      <c r="E37" s="7">
        <v>25574</v>
      </c>
      <c r="F37" s="8">
        <v>20.535921999999999</v>
      </c>
      <c r="G37" s="9">
        <v>1.1372995E-2</v>
      </c>
      <c r="H37" s="164"/>
    </row>
    <row r="38" spans="1:8" x14ac:dyDescent="0.2">
      <c r="A38" s="5">
        <v>32</v>
      </c>
      <c r="B38" s="6" t="s">
        <v>413</v>
      </c>
      <c r="C38" s="6" t="s">
        <v>414</v>
      </c>
      <c r="D38" s="6" t="s">
        <v>200</v>
      </c>
      <c r="E38" s="7">
        <v>2650</v>
      </c>
      <c r="F38" s="8">
        <v>20.509675000000001</v>
      </c>
      <c r="G38" s="9">
        <v>1.1358459E-2</v>
      </c>
      <c r="H38" s="164"/>
    </row>
    <row r="39" spans="1:8" x14ac:dyDescent="0.2">
      <c r="A39" s="5">
        <v>33</v>
      </c>
      <c r="B39" s="6" t="s">
        <v>446</v>
      </c>
      <c r="C39" s="6" t="s">
        <v>447</v>
      </c>
      <c r="D39" s="6" t="s">
        <v>200</v>
      </c>
      <c r="E39" s="7">
        <v>2158</v>
      </c>
      <c r="F39" s="8">
        <v>19.854679000000001</v>
      </c>
      <c r="G39" s="9">
        <v>1.0995716000000001E-2</v>
      </c>
      <c r="H39" s="164"/>
    </row>
    <row r="40" spans="1:8" ht="25.5" x14ac:dyDescent="0.2">
      <c r="A40" s="5">
        <v>34</v>
      </c>
      <c r="B40" s="6" t="s">
        <v>393</v>
      </c>
      <c r="C40" s="6" t="s">
        <v>394</v>
      </c>
      <c r="D40" s="6" t="s">
        <v>67</v>
      </c>
      <c r="E40" s="7">
        <v>2500</v>
      </c>
      <c r="F40" s="8">
        <v>18.90625</v>
      </c>
      <c r="G40" s="9">
        <v>1.0470465999999999E-2</v>
      </c>
      <c r="H40" s="164"/>
    </row>
    <row r="41" spans="1:8" ht="25.5" x14ac:dyDescent="0.2">
      <c r="A41" s="5">
        <v>35</v>
      </c>
      <c r="B41" s="6" t="s">
        <v>417</v>
      </c>
      <c r="C41" s="6" t="s">
        <v>418</v>
      </c>
      <c r="D41" s="6" t="s">
        <v>67</v>
      </c>
      <c r="E41" s="7">
        <v>788</v>
      </c>
      <c r="F41" s="8">
        <v>18.386403999999999</v>
      </c>
      <c r="G41" s="9">
        <v>1.0182571E-2</v>
      </c>
      <c r="H41" s="164"/>
    </row>
    <row r="42" spans="1:8" x14ac:dyDescent="0.2">
      <c r="A42" s="5">
        <v>36</v>
      </c>
      <c r="B42" s="6" t="s">
        <v>505</v>
      </c>
      <c r="C42" s="6" t="s">
        <v>400</v>
      </c>
      <c r="D42" s="6" t="s">
        <v>346</v>
      </c>
      <c r="E42" s="7">
        <v>7968</v>
      </c>
      <c r="F42" s="8">
        <v>17.86824</v>
      </c>
      <c r="G42" s="9">
        <v>9.8956059999999995E-3</v>
      </c>
      <c r="H42" s="164"/>
    </row>
    <row r="43" spans="1:8" x14ac:dyDescent="0.2">
      <c r="A43" s="5">
        <v>37</v>
      </c>
      <c r="B43" s="6" t="s">
        <v>93</v>
      </c>
      <c r="C43" s="6" t="s">
        <v>94</v>
      </c>
      <c r="D43" s="6" t="s">
        <v>28</v>
      </c>
      <c r="E43" s="7">
        <v>248</v>
      </c>
      <c r="F43" s="8">
        <v>17.020983999999999</v>
      </c>
      <c r="G43" s="9">
        <v>9.4263880000000008E-3</v>
      </c>
      <c r="H43" s="164"/>
    </row>
    <row r="44" spans="1:8" x14ac:dyDescent="0.2">
      <c r="A44" s="5">
        <v>38</v>
      </c>
      <c r="B44" s="6" t="s">
        <v>506</v>
      </c>
      <c r="C44" s="6" t="s">
        <v>507</v>
      </c>
      <c r="D44" s="6" t="s">
        <v>200</v>
      </c>
      <c r="E44" s="7">
        <v>339</v>
      </c>
      <c r="F44" s="8">
        <v>15.970967999999999</v>
      </c>
      <c r="G44" s="9">
        <v>8.8448780000000005E-3</v>
      </c>
      <c r="H44" s="164"/>
    </row>
    <row r="45" spans="1:8" x14ac:dyDescent="0.2">
      <c r="A45" s="5">
        <v>39</v>
      </c>
      <c r="B45" s="6" t="s">
        <v>74</v>
      </c>
      <c r="C45" s="6" t="s">
        <v>75</v>
      </c>
      <c r="D45" s="6" t="s">
        <v>76</v>
      </c>
      <c r="E45" s="7">
        <v>10893</v>
      </c>
      <c r="F45" s="8">
        <v>15.201181500000001</v>
      </c>
      <c r="G45" s="9">
        <v>8.4185630000000004E-3</v>
      </c>
      <c r="H45" s="164"/>
    </row>
    <row r="46" spans="1:8" x14ac:dyDescent="0.2">
      <c r="A46" s="5">
        <v>40</v>
      </c>
      <c r="B46" s="6" t="s">
        <v>415</v>
      </c>
      <c r="C46" s="6" t="s">
        <v>416</v>
      </c>
      <c r="D46" s="6" t="s">
        <v>179</v>
      </c>
      <c r="E46" s="7">
        <v>2582</v>
      </c>
      <c r="F46" s="8">
        <v>15.160213000000001</v>
      </c>
      <c r="G46" s="9">
        <v>8.3958739999999994E-3</v>
      </c>
      <c r="H46" s="164"/>
    </row>
    <row r="47" spans="1:8" x14ac:dyDescent="0.2">
      <c r="A47" s="5">
        <v>41</v>
      </c>
      <c r="B47" s="6" t="s">
        <v>326</v>
      </c>
      <c r="C47" s="6" t="s">
        <v>327</v>
      </c>
      <c r="D47" s="6" t="s">
        <v>200</v>
      </c>
      <c r="E47" s="7">
        <v>280</v>
      </c>
      <c r="F47" s="8">
        <v>11.00526</v>
      </c>
      <c r="G47" s="9">
        <v>6.0948210000000003E-3</v>
      </c>
      <c r="H47" s="164"/>
    </row>
    <row r="48" spans="1:8" x14ac:dyDescent="0.2">
      <c r="A48" s="3" t="s">
        <v>9</v>
      </c>
      <c r="B48" s="3" t="s">
        <v>9</v>
      </c>
      <c r="C48" s="4" t="s">
        <v>110</v>
      </c>
      <c r="D48" s="3" t="s">
        <v>9</v>
      </c>
      <c r="E48" s="3" t="s">
        <v>9</v>
      </c>
      <c r="F48" s="11">
        <v>1767.9751974999999</v>
      </c>
      <c r="G48" s="12">
        <v>0.97912197599999995</v>
      </c>
      <c r="H48" s="164"/>
    </row>
    <row r="49" spans="1:8" x14ac:dyDescent="0.2">
      <c r="A49" s="3" t="s">
        <v>9</v>
      </c>
      <c r="B49" s="3" t="s">
        <v>9</v>
      </c>
      <c r="C49" s="13" t="s">
        <v>9</v>
      </c>
      <c r="D49" s="3" t="s">
        <v>9</v>
      </c>
      <c r="E49" s="3" t="s">
        <v>9</v>
      </c>
      <c r="F49" s="14" t="s">
        <v>9</v>
      </c>
      <c r="G49" s="14" t="s">
        <v>9</v>
      </c>
      <c r="H49" s="164"/>
    </row>
    <row r="50" spans="1:8" x14ac:dyDescent="0.2">
      <c r="A50" s="3" t="s">
        <v>9</v>
      </c>
      <c r="B50" s="3" t="s">
        <v>9</v>
      </c>
      <c r="C50" s="4" t="s">
        <v>111</v>
      </c>
      <c r="D50" s="3" t="s">
        <v>9</v>
      </c>
      <c r="E50" s="3" t="s">
        <v>9</v>
      </c>
      <c r="F50" s="3" t="s">
        <v>9</v>
      </c>
      <c r="G50" s="3" t="s">
        <v>9</v>
      </c>
      <c r="H50" s="164"/>
    </row>
    <row r="51" spans="1:8" x14ac:dyDescent="0.2">
      <c r="A51" s="3" t="s">
        <v>9</v>
      </c>
      <c r="B51" s="3" t="s">
        <v>9</v>
      </c>
      <c r="C51" s="4" t="s">
        <v>110</v>
      </c>
      <c r="D51" s="3" t="s">
        <v>9</v>
      </c>
      <c r="E51" s="3" t="s">
        <v>9</v>
      </c>
      <c r="F51" s="15">
        <v>0</v>
      </c>
      <c r="G51" s="16">
        <v>0</v>
      </c>
      <c r="H51" s="164"/>
    </row>
    <row r="52" spans="1:8" x14ac:dyDescent="0.2">
      <c r="A52" s="3" t="s">
        <v>9</v>
      </c>
      <c r="B52" s="3" t="s">
        <v>9</v>
      </c>
      <c r="C52" s="13" t="s">
        <v>9</v>
      </c>
      <c r="D52" s="3" t="s">
        <v>9</v>
      </c>
      <c r="E52" s="3" t="s">
        <v>9</v>
      </c>
      <c r="F52" s="14" t="s">
        <v>9</v>
      </c>
      <c r="G52" s="14" t="s">
        <v>9</v>
      </c>
      <c r="H52" s="164"/>
    </row>
    <row r="53" spans="1:8" x14ac:dyDescent="0.2">
      <c r="A53" s="3" t="s">
        <v>9</v>
      </c>
      <c r="B53" s="3" t="s">
        <v>9</v>
      </c>
      <c r="C53" s="4" t="s">
        <v>112</v>
      </c>
      <c r="D53" s="3" t="s">
        <v>9</v>
      </c>
      <c r="E53" s="3" t="s">
        <v>9</v>
      </c>
      <c r="F53" s="3" t="s">
        <v>9</v>
      </c>
      <c r="G53" s="3" t="s">
        <v>9</v>
      </c>
      <c r="H53" s="164"/>
    </row>
    <row r="54" spans="1:8" x14ac:dyDescent="0.2">
      <c r="A54" s="3" t="s">
        <v>9</v>
      </c>
      <c r="B54" s="3" t="s">
        <v>9</v>
      </c>
      <c r="C54" s="4" t="s">
        <v>110</v>
      </c>
      <c r="D54" s="3" t="s">
        <v>9</v>
      </c>
      <c r="E54" s="3" t="s">
        <v>9</v>
      </c>
      <c r="F54" s="15">
        <v>0</v>
      </c>
      <c r="G54" s="16">
        <v>0</v>
      </c>
      <c r="H54" s="164"/>
    </row>
    <row r="55" spans="1:8" x14ac:dyDescent="0.2">
      <c r="A55" s="3" t="s">
        <v>9</v>
      </c>
      <c r="B55" s="3" t="s">
        <v>9</v>
      </c>
      <c r="C55" s="13" t="s">
        <v>9</v>
      </c>
      <c r="D55" s="3" t="s">
        <v>9</v>
      </c>
      <c r="E55" s="3" t="s">
        <v>9</v>
      </c>
      <c r="F55" s="14" t="s">
        <v>9</v>
      </c>
      <c r="G55" s="14" t="s">
        <v>9</v>
      </c>
      <c r="H55" s="164"/>
    </row>
    <row r="56" spans="1:8" x14ac:dyDescent="0.2">
      <c r="A56" s="3" t="s">
        <v>9</v>
      </c>
      <c r="B56" s="3" t="s">
        <v>9</v>
      </c>
      <c r="C56" s="4" t="s">
        <v>113</v>
      </c>
      <c r="D56" s="3" t="s">
        <v>9</v>
      </c>
      <c r="E56" s="3" t="s">
        <v>9</v>
      </c>
      <c r="F56" s="3" t="s">
        <v>9</v>
      </c>
      <c r="G56" s="3" t="s">
        <v>9</v>
      </c>
      <c r="H56" s="164"/>
    </row>
    <row r="57" spans="1:8" x14ac:dyDescent="0.2">
      <c r="A57" s="3" t="s">
        <v>9</v>
      </c>
      <c r="B57" s="3" t="s">
        <v>9</v>
      </c>
      <c r="C57" s="4" t="s">
        <v>110</v>
      </c>
      <c r="D57" s="3" t="s">
        <v>9</v>
      </c>
      <c r="E57" s="3" t="s">
        <v>9</v>
      </c>
      <c r="F57" s="15">
        <v>0</v>
      </c>
      <c r="G57" s="16">
        <v>0</v>
      </c>
      <c r="H57" s="164"/>
    </row>
    <row r="58" spans="1:8" x14ac:dyDescent="0.2">
      <c r="A58" s="3" t="s">
        <v>9</v>
      </c>
      <c r="B58" s="3" t="s">
        <v>9</v>
      </c>
      <c r="C58" s="13" t="s">
        <v>9</v>
      </c>
      <c r="D58" s="3" t="s">
        <v>9</v>
      </c>
      <c r="E58" s="3" t="s">
        <v>9</v>
      </c>
      <c r="F58" s="14" t="s">
        <v>9</v>
      </c>
      <c r="G58" s="14" t="s">
        <v>9</v>
      </c>
      <c r="H58" s="164"/>
    </row>
    <row r="59" spans="1:8" x14ac:dyDescent="0.2">
      <c r="A59" s="3" t="s">
        <v>9</v>
      </c>
      <c r="B59" s="3" t="s">
        <v>9</v>
      </c>
      <c r="C59" s="4" t="s">
        <v>114</v>
      </c>
      <c r="D59" s="3" t="s">
        <v>9</v>
      </c>
      <c r="E59" s="3" t="s">
        <v>9</v>
      </c>
      <c r="F59" s="14" t="s">
        <v>9</v>
      </c>
      <c r="G59" s="14" t="s">
        <v>9</v>
      </c>
      <c r="H59" s="164"/>
    </row>
    <row r="60" spans="1:8" x14ac:dyDescent="0.2">
      <c r="A60" s="3" t="s">
        <v>9</v>
      </c>
      <c r="B60" s="3" t="s">
        <v>9</v>
      </c>
      <c r="C60" s="4" t="s">
        <v>110</v>
      </c>
      <c r="D60" s="3" t="s">
        <v>9</v>
      </c>
      <c r="E60" s="3" t="s">
        <v>9</v>
      </c>
      <c r="F60" s="15">
        <v>0</v>
      </c>
      <c r="G60" s="16">
        <v>0</v>
      </c>
      <c r="H60" s="164"/>
    </row>
    <row r="61" spans="1:8" x14ac:dyDescent="0.2">
      <c r="A61" s="3" t="s">
        <v>9</v>
      </c>
      <c r="B61" s="3" t="s">
        <v>9</v>
      </c>
      <c r="C61" s="13" t="s">
        <v>9</v>
      </c>
      <c r="D61" s="3" t="s">
        <v>9</v>
      </c>
      <c r="E61" s="3" t="s">
        <v>9</v>
      </c>
      <c r="F61" s="14" t="s">
        <v>9</v>
      </c>
      <c r="G61" s="14" t="s">
        <v>9</v>
      </c>
      <c r="H61" s="164"/>
    </row>
    <row r="62" spans="1:8" x14ac:dyDescent="0.2">
      <c r="A62" s="3" t="s">
        <v>9</v>
      </c>
      <c r="B62" s="3" t="s">
        <v>9</v>
      </c>
      <c r="C62" s="4" t="s">
        <v>115</v>
      </c>
      <c r="D62" s="3" t="s">
        <v>9</v>
      </c>
      <c r="E62" s="3" t="s">
        <v>9</v>
      </c>
      <c r="F62" s="14" t="s">
        <v>9</v>
      </c>
      <c r="G62" s="14" t="s">
        <v>9</v>
      </c>
      <c r="H62" s="164"/>
    </row>
    <row r="63" spans="1:8" x14ac:dyDescent="0.2">
      <c r="A63" s="3" t="s">
        <v>9</v>
      </c>
      <c r="B63" s="3" t="s">
        <v>9</v>
      </c>
      <c r="C63" s="4" t="s">
        <v>110</v>
      </c>
      <c r="D63" s="3" t="s">
        <v>9</v>
      </c>
      <c r="E63" s="3" t="s">
        <v>9</v>
      </c>
      <c r="F63" s="15">
        <v>0</v>
      </c>
      <c r="G63" s="16">
        <v>0</v>
      </c>
      <c r="H63" s="164"/>
    </row>
    <row r="64" spans="1:8" x14ac:dyDescent="0.2">
      <c r="A64" s="3" t="s">
        <v>9</v>
      </c>
      <c r="B64" s="3" t="s">
        <v>9</v>
      </c>
      <c r="C64" s="13" t="s">
        <v>9</v>
      </c>
      <c r="D64" s="3" t="s">
        <v>9</v>
      </c>
      <c r="E64" s="3" t="s">
        <v>9</v>
      </c>
      <c r="F64" s="14" t="s">
        <v>9</v>
      </c>
      <c r="G64" s="14" t="s">
        <v>9</v>
      </c>
      <c r="H64" s="164"/>
    </row>
    <row r="65" spans="1:8" x14ac:dyDescent="0.2">
      <c r="A65" s="3" t="s">
        <v>9</v>
      </c>
      <c r="B65" s="3" t="s">
        <v>9</v>
      </c>
      <c r="C65" s="4" t="s">
        <v>116</v>
      </c>
      <c r="D65" s="3" t="s">
        <v>9</v>
      </c>
      <c r="E65" s="3" t="s">
        <v>9</v>
      </c>
      <c r="F65" s="11">
        <v>1767.9751974999999</v>
      </c>
      <c r="G65" s="12">
        <v>0.97912197599999995</v>
      </c>
      <c r="H65" s="164"/>
    </row>
    <row r="66" spans="1:8" x14ac:dyDescent="0.2">
      <c r="A66" s="3" t="s">
        <v>9</v>
      </c>
      <c r="B66" s="3" t="s">
        <v>9</v>
      </c>
      <c r="C66" s="13" t="s">
        <v>9</v>
      </c>
      <c r="D66" s="3" t="s">
        <v>9</v>
      </c>
      <c r="E66" s="3" t="s">
        <v>9</v>
      </c>
      <c r="F66" s="14" t="s">
        <v>9</v>
      </c>
      <c r="G66" s="14" t="s">
        <v>9</v>
      </c>
      <c r="H66" s="164"/>
    </row>
    <row r="67" spans="1:8" x14ac:dyDescent="0.2">
      <c r="A67" s="3" t="s">
        <v>9</v>
      </c>
      <c r="B67" s="3" t="s">
        <v>9</v>
      </c>
      <c r="C67" s="4" t="s">
        <v>117</v>
      </c>
      <c r="D67" s="3" t="s">
        <v>9</v>
      </c>
      <c r="E67" s="3" t="s">
        <v>9</v>
      </c>
      <c r="F67" s="14" t="s">
        <v>9</v>
      </c>
      <c r="G67" s="14" t="s">
        <v>9</v>
      </c>
      <c r="H67" s="164"/>
    </row>
    <row r="68" spans="1:8" ht="25.5" x14ac:dyDescent="0.2">
      <c r="A68" s="3" t="s">
        <v>9</v>
      </c>
      <c r="B68" s="3" t="s">
        <v>9</v>
      </c>
      <c r="C68" s="4" t="s">
        <v>11</v>
      </c>
      <c r="D68" s="3" t="s">
        <v>9</v>
      </c>
      <c r="E68" s="3" t="s">
        <v>9</v>
      </c>
      <c r="F68" s="14" t="s">
        <v>9</v>
      </c>
      <c r="G68" s="14" t="s">
        <v>9</v>
      </c>
      <c r="H68" s="164"/>
    </row>
    <row r="69" spans="1:8" x14ac:dyDescent="0.2">
      <c r="A69" s="3" t="s">
        <v>9</v>
      </c>
      <c r="B69" s="3" t="s">
        <v>9</v>
      </c>
      <c r="C69" s="4" t="s">
        <v>110</v>
      </c>
      <c r="D69" s="3" t="s">
        <v>9</v>
      </c>
      <c r="E69" s="3" t="s">
        <v>9</v>
      </c>
      <c r="F69" s="15">
        <v>0</v>
      </c>
      <c r="G69" s="16">
        <v>0</v>
      </c>
      <c r="H69" s="164"/>
    </row>
    <row r="70" spans="1:8" x14ac:dyDescent="0.2">
      <c r="A70" s="3" t="s">
        <v>9</v>
      </c>
      <c r="B70" s="3" t="s">
        <v>9</v>
      </c>
      <c r="C70" s="13" t="s">
        <v>9</v>
      </c>
      <c r="D70" s="3" t="s">
        <v>9</v>
      </c>
      <c r="E70" s="3" t="s">
        <v>9</v>
      </c>
      <c r="F70" s="14" t="s">
        <v>9</v>
      </c>
      <c r="G70" s="14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118</v>
      </c>
      <c r="D71" s="3" t="s">
        <v>9</v>
      </c>
      <c r="E71" s="3" t="s">
        <v>9</v>
      </c>
      <c r="F71" s="3" t="s">
        <v>9</v>
      </c>
      <c r="G71" s="3" t="s">
        <v>9</v>
      </c>
      <c r="H71" s="164"/>
    </row>
    <row r="72" spans="1:8" x14ac:dyDescent="0.2">
      <c r="A72" s="3" t="s">
        <v>9</v>
      </c>
      <c r="B72" s="3" t="s">
        <v>9</v>
      </c>
      <c r="C72" s="4" t="s">
        <v>110</v>
      </c>
      <c r="D72" s="3" t="s">
        <v>9</v>
      </c>
      <c r="E72" s="3" t="s">
        <v>9</v>
      </c>
      <c r="F72" s="15">
        <v>0</v>
      </c>
      <c r="G72" s="16">
        <v>0</v>
      </c>
      <c r="H72" s="164"/>
    </row>
    <row r="73" spans="1:8" x14ac:dyDescent="0.2">
      <c r="A73" s="3" t="s">
        <v>9</v>
      </c>
      <c r="B73" s="3" t="s">
        <v>9</v>
      </c>
      <c r="C73" s="13" t="s">
        <v>9</v>
      </c>
      <c r="D73" s="3" t="s">
        <v>9</v>
      </c>
      <c r="E73" s="3" t="s">
        <v>9</v>
      </c>
      <c r="F73" s="14" t="s">
        <v>9</v>
      </c>
      <c r="G73" s="14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119</v>
      </c>
      <c r="D74" s="3" t="s">
        <v>9</v>
      </c>
      <c r="E74" s="3" t="s">
        <v>9</v>
      </c>
      <c r="F74" s="3" t="s">
        <v>9</v>
      </c>
      <c r="G74" s="3" t="s">
        <v>9</v>
      </c>
      <c r="H74" s="164"/>
    </row>
    <row r="75" spans="1:8" x14ac:dyDescent="0.2">
      <c r="A75" s="3" t="s">
        <v>9</v>
      </c>
      <c r="B75" s="3" t="s">
        <v>9</v>
      </c>
      <c r="C75" s="4" t="s">
        <v>110</v>
      </c>
      <c r="D75" s="3" t="s">
        <v>9</v>
      </c>
      <c r="E75" s="3" t="s">
        <v>9</v>
      </c>
      <c r="F75" s="15">
        <v>0</v>
      </c>
      <c r="G75" s="16">
        <v>0</v>
      </c>
      <c r="H75" s="164"/>
    </row>
    <row r="76" spans="1:8" x14ac:dyDescent="0.2">
      <c r="A76" s="3" t="s">
        <v>9</v>
      </c>
      <c r="B76" s="3" t="s">
        <v>9</v>
      </c>
      <c r="C76" s="13" t="s">
        <v>9</v>
      </c>
      <c r="D76" s="3" t="s">
        <v>9</v>
      </c>
      <c r="E76" s="3" t="s">
        <v>9</v>
      </c>
      <c r="F76" s="14" t="s">
        <v>9</v>
      </c>
      <c r="G76" s="14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120</v>
      </c>
      <c r="D77" s="3" t="s">
        <v>9</v>
      </c>
      <c r="E77" s="3" t="s">
        <v>9</v>
      </c>
      <c r="F77" s="14" t="s">
        <v>9</v>
      </c>
      <c r="G77" s="14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110</v>
      </c>
      <c r="D78" s="3" t="s">
        <v>9</v>
      </c>
      <c r="E78" s="3" t="s">
        <v>9</v>
      </c>
      <c r="F78" s="15">
        <v>0</v>
      </c>
      <c r="G78" s="16">
        <v>0</v>
      </c>
      <c r="H78" s="164"/>
    </row>
    <row r="79" spans="1:8" x14ac:dyDescent="0.2">
      <c r="A79" s="3" t="s">
        <v>9</v>
      </c>
      <c r="B79" s="3" t="s">
        <v>9</v>
      </c>
      <c r="C79" s="13" t="s">
        <v>9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121</v>
      </c>
      <c r="D80" s="3" t="s">
        <v>9</v>
      </c>
      <c r="E80" s="3" t="s">
        <v>9</v>
      </c>
      <c r="F80" s="11">
        <v>0</v>
      </c>
      <c r="G80" s="12">
        <v>0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122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123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110</v>
      </c>
      <c r="D84" s="3" t="s">
        <v>9</v>
      </c>
      <c r="E84" s="3" t="s">
        <v>9</v>
      </c>
      <c r="F84" s="15">
        <v>0</v>
      </c>
      <c r="G84" s="16">
        <v>0</v>
      </c>
      <c r="H84" s="164"/>
    </row>
    <row r="85" spans="1:8" x14ac:dyDescent="0.2">
      <c r="A85" s="3" t="s">
        <v>9</v>
      </c>
      <c r="B85" s="3" t="s">
        <v>9</v>
      </c>
      <c r="C85" s="13" t="s">
        <v>9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124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110</v>
      </c>
      <c r="D87" s="3" t="s">
        <v>9</v>
      </c>
      <c r="E87" s="3" t="s">
        <v>9</v>
      </c>
      <c r="F87" s="15">
        <v>0</v>
      </c>
      <c r="G87" s="16">
        <v>0</v>
      </c>
      <c r="H87" s="164"/>
    </row>
    <row r="88" spans="1:8" x14ac:dyDescent="0.2">
      <c r="A88" s="3" t="s">
        <v>9</v>
      </c>
      <c r="B88" s="3" t="s">
        <v>9</v>
      </c>
      <c r="C88" s="13" t="s">
        <v>9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125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110</v>
      </c>
      <c r="D90" s="3" t="s">
        <v>9</v>
      </c>
      <c r="E90" s="3" t="s">
        <v>9</v>
      </c>
      <c r="F90" s="15">
        <v>0</v>
      </c>
      <c r="G90" s="16">
        <v>0</v>
      </c>
      <c r="H90" s="164"/>
    </row>
    <row r="91" spans="1:8" x14ac:dyDescent="0.2">
      <c r="A91" s="3" t="s">
        <v>9</v>
      </c>
      <c r="B91" s="3" t="s">
        <v>9</v>
      </c>
      <c r="C91" s="13" t="s">
        <v>9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126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5">
        <v>1</v>
      </c>
      <c r="B93" s="6"/>
      <c r="C93" s="6" t="s">
        <v>127</v>
      </c>
      <c r="D93" s="6"/>
      <c r="E93" s="10" t="s">
        <v>9</v>
      </c>
      <c r="F93" s="8">
        <v>23.7454173</v>
      </c>
      <c r="G93" s="9">
        <v>1.3150445E-2</v>
      </c>
      <c r="H93" s="90">
        <v>3.22</v>
      </c>
    </row>
    <row r="94" spans="1:8" x14ac:dyDescent="0.2">
      <c r="A94" s="5">
        <v>2</v>
      </c>
      <c r="B94" s="6"/>
      <c r="C94" s="6" t="s">
        <v>128</v>
      </c>
      <c r="D94" s="6"/>
      <c r="E94" s="10" t="s">
        <v>9</v>
      </c>
      <c r="F94" s="8">
        <v>6.7103244999999996</v>
      </c>
      <c r="G94" s="9">
        <v>3.7162430000000002E-3</v>
      </c>
      <c r="H94" s="90">
        <v>3.34</v>
      </c>
    </row>
    <row r="95" spans="1:8" x14ac:dyDescent="0.2">
      <c r="A95" s="3" t="s">
        <v>9</v>
      </c>
      <c r="B95" s="3" t="s">
        <v>9</v>
      </c>
      <c r="C95" s="4" t="s">
        <v>110</v>
      </c>
      <c r="D95" s="3" t="s">
        <v>9</v>
      </c>
      <c r="E95" s="3" t="s">
        <v>9</v>
      </c>
      <c r="F95" s="11">
        <v>30.455741799999998</v>
      </c>
      <c r="G95" s="12">
        <v>1.6866688000000001E-2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129</v>
      </c>
      <c r="D97" s="3" t="s">
        <v>9</v>
      </c>
      <c r="E97" s="3" t="s">
        <v>9</v>
      </c>
      <c r="F97" s="11">
        <v>30.455741799999998</v>
      </c>
      <c r="G97" s="12">
        <v>1.6866688000000001E-2</v>
      </c>
      <c r="H97" s="164"/>
    </row>
    <row r="98" spans="1:8" x14ac:dyDescent="0.2">
      <c r="A98" s="3" t="s">
        <v>9</v>
      </c>
      <c r="B98" s="3" t="s">
        <v>9</v>
      </c>
      <c r="C98" s="14" t="s">
        <v>9</v>
      </c>
      <c r="D98" s="3" t="s">
        <v>9</v>
      </c>
      <c r="E98" s="3" t="s">
        <v>9</v>
      </c>
      <c r="F98" s="3" t="s">
        <v>9</v>
      </c>
      <c r="G98" s="3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130</v>
      </c>
      <c r="D99" s="3" t="s">
        <v>9</v>
      </c>
      <c r="E99" s="3" t="s">
        <v>9</v>
      </c>
      <c r="F99" s="3" t="s">
        <v>9</v>
      </c>
      <c r="G99" s="3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131</v>
      </c>
      <c r="D100" s="3" t="s">
        <v>9</v>
      </c>
      <c r="E100" s="3" t="s">
        <v>9</v>
      </c>
      <c r="F100" s="3" t="s">
        <v>9</v>
      </c>
      <c r="G100" s="3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110</v>
      </c>
      <c r="D101" s="3" t="s">
        <v>9</v>
      </c>
      <c r="E101" s="3" t="s">
        <v>9</v>
      </c>
      <c r="F101" s="15">
        <v>0</v>
      </c>
      <c r="G101" s="16">
        <v>0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132</v>
      </c>
      <c r="D103" s="3" t="s">
        <v>9</v>
      </c>
      <c r="E103" s="3" t="s">
        <v>9</v>
      </c>
      <c r="F103" s="3" t="s">
        <v>9</v>
      </c>
      <c r="G103" s="3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133</v>
      </c>
      <c r="D104" s="3" t="s">
        <v>9</v>
      </c>
      <c r="E104" s="3" t="s">
        <v>9</v>
      </c>
      <c r="F104" s="3" t="s">
        <v>9</v>
      </c>
      <c r="G104" s="3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110</v>
      </c>
      <c r="D105" s="3" t="s">
        <v>9</v>
      </c>
      <c r="E105" s="3" t="s">
        <v>9</v>
      </c>
      <c r="F105" s="15">
        <v>0</v>
      </c>
      <c r="G105" s="16">
        <v>0</v>
      </c>
      <c r="H105" s="164"/>
    </row>
    <row r="106" spans="1:8" x14ac:dyDescent="0.2">
      <c r="A106" s="3" t="s">
        <v>9</v>
      </c>
      <c r="B106" s="3" t="s">
        <v>9</v>
      </c>
      <c r="C106" s="13" t="s">
        <v>9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13" t="s">
        <v>9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ht="25.5" x14ac:dyDescent="0.2">
      <c r="A108" s="3" t="s">
        <v>9</v>
      </c>
      <c r="B108" s="3" t="s">
        <v>9</v>
      </c>
      <c r="C108" s="4" t="s">
        <v>134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110</v>
      </c>
      <c r="D109" s="3" t="s">
        <v>9</v>
      </c>
      <c r="E109" s="3" t="s">
        <v>9</v>
      </c>
      <c r="F109" s="15">
        <v>0</v>
      </c>
      <c r="G109" s="16">
        <v>0</v>
      </c>
      <c r="H109" s="164"/>
    </row>
    <row r="110" spans="1:8" x14ac:dyDescent="0.2">
      <c r="A110" s="3" t="s">
        <v>9</v>
      </c>
      <c r="B110" s="3" t="s">
        <v>9</v>
      </c>
      <c r="C110" s="13" t="s">
        <v>9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6" t="s">
        <v>9</v>
      </c>
      <c r="C111" s="6" t="s">
        <v>9</v>
      </c>
      <c r="D111" s="4" t="s">
        <v>9</v>
      </c>
      <c r="E111" s="3" t="s">
        <v>9</v>
      </c>
      <c r="F111" s="6" t="s">
        <v>9</v>
      </c>
      <c r="G111" s="10" t="s">
        <v>9</v>
      </c>
      <c r="H111" s="164"/>
    </row>
    <row r="112" spans="1:8" x14ac:dyDescent="0.2">
      <c r="A112" s="10" t="s">
        <v>9</v>
      </c>
      <c r="B112" s="6" t="s">
        <v>9</v>
      </c>
      <c r="C112" s="6" t="s">
        <v>135</v>
      </c>
      <c r="D112" s="6" t="s">
        <v>9</v>
      </c>
      <c r="E112" s="10" t="s">
        <v>9</v>
      </c>
      <c r="F112" s="8">
        <v>7.2431672200000001</v>
      </c>
      <c r="G112" s="9">
        <v>4.0113370000000002E-3</v>
      </c>
      <c r="H112" s="164"/>
    </row>
    <row r="113" spans="1:8" x14ac:dyDescent="0.2">
      <c r="A113" s="13" t="s">
        <v>9</v>
      </c>
      <c r="B113" s="13" t="s">
        <v>9</v>
      </c>
      <c r="C113" s="4" t="s">
        <v>136</v>
      </c>
      <c r="D113" s="17" t="s">
        <v>9</v>
      </c>
      <c r="E113" s="17" t="s">
        <v>9</v>
      </c>
      <c r="F113" s="11">
        <v>1805.6741065199999</v>
      </c>
      <c r="G113" s="12">
        <v>1.0000000010000001</v>
      </c>
      <c r="H113" s="164"/>
    </row>
    <row r="114" spans="1:8" ht="14.1" customHeight="1" x14ac:dyDescent="0.2">
      <c r="A114" s="18" t="s">
        <v>9</v>
      </c>
      <c r="B114" s="18" t="s">
        <v>9</v>
      </c>
      <c r="C114" s="18" t="s">
        <v>9</v>
      </c>
      <c r="D114" s="19" t="s">
        <v>9</v>
      </c>
      <c r="E114" s="19" t="s">
        <v>9</v>
      </c>
      <c r="F114" s="19" t="s">
        <v>9</v>
      </c>
      <c r="G114" s="19" t="s">
        <v>9</v>
      </c>
    </row>
    <row r="115" spans="1:8" ht="14.1" customHeight="1" x14ac:dyDescent="0.2">
      <c r="A115" s="20" t="s">
        <v>9</v>
      </c>
      <c r="B115" s="228" t="s">
        <v>9</v>
      </c>
      <c r="C115" s="228"/>
      <c r="D115" s="228"/>
      <c r="E115" s="228"/>
      <c r="F115" s="228"/>
      <c r="G115" s="22" t="s">
        <v>9</v>
      </c>
    </row>
    <row r="116" spans="1:8" ht="14.1" customHeight="1" x14ac:dyDescent="0.2">
      <c r="A116" s="20" t="s">
        <v>9</v>
      </c>
      <c r="B116" s="228" t="s">
        <v>9</v>
      </c>
      <c r="C116" s="228"/>
      <c r="D116" s="228"/>
      <c r="E116" s="228"/>
      <c r="F116" s="228"/>
      <c r="G116" s="22" t="s">
        <v>9</v>
      </c>
    </row>
    <row r="117" spans="1:8" ht="14.1" customHeight="1" x14ac:dyDescent="0.2">
      <c r="A117" s="20" t="s">
        <v>9</v>
      </c>
      <c r="B117" s="20" t="s">
        <v>9</v>
      </c>
      <c r="C117" s="20" t="s">
        <v>9</v>
      </c>
      <c r="D117" s="22" t="s">
        <v>9</v>
      </c>
      <c r="E117" s="22" t="s">
        <v>9</v>
      </c>
      <c r="F117" s="22" t="s">
        <v>9</v>
      </c>
      <c r="G117" s="22" t="s">
        <v>9</v>
      </c>
    </row>
    <row r="118" spans="1:8" ht="14.1" customHeight="1" x14ac:dyDescent="0.2">
      <c r="A118" s="20" t="s">
        <v>9</v>
      </c>
      <c r="B118" s="226" t="s">
        <v>138</v>
      </c>
      <c r="C118" s="227"/>
      <c r="D118" s="14" t="s">
        <v>9</v>
      </c>
      <c r="E118" s="23" t="s">
        <v>9</v>
      </c>
      <c r="F118" s="22" t="s">
        <v>9</v>
      </c>
      <c r="G118" s="22" t="s">
        <v>9</v>
      </c>
    </row>
    <row r="119" spans="1:8" ht="29.1" customHeight="1" x14ac:dyDescent="0.2">
      <c r="A119" s="20" t="s">
        <v>9</v>
      </c>
      <c r="B119" s="233" t="s">
        <v>139</v>
      </c>
      <c r="C119" s="234"/>
      <c r="D119" s="4" t="s">
        <v>140</v>
      </c>
      <c r="E119" s="23" t="s">
        <v>9</v>
      </c>
      <c r="F119" s="22" t="s">
        <v>9</v>
      </c>
      <c r="G119" s="22" t="s">
        <v>9</v>
      </c>
    </row>
    <row r="120" spans="1:8" ht="17.100000000000001" customHeight="1" x14ac:dyDescent="0.2">
      <c r="A120" s="20" t="s">
        <v>9</v>
      </c>
      <c r="B120" s="233" t="s">
        <v>141</v>
      </c>
      <c r="C120" s="234"/>
      <c r="D120" s="4" t="s">
        <v>140</v>
      </c>
      <c r="E120" s="23" t="s">
        <v>9</v>
      </c>
      <c r="F120" s="22" t="s">
        <v>9</v>
      </c>
      <c r="G120" s="22" t="s">
        <v>9</v>
      </c>
    </row>
    <row r="121" spans="1:8" ht="17.100000000000001" customHeight="1" x14ac:dyDescent="0.2">
      <c r="A121" s="20" t="s">
        <v>9</v>
      </c>
      <c r="B121" s="233" t="s">
        <v>142</v>
      </c>
      <c r="C121" s="234"/>
      <c r="D121" s="14" t="s">
        <v>9</v>
      </c>
      <c r="E121" s="23" t="s">
        <v>9</v>
      </c>
      <c r="F121" s="22" t="s">
        <v>9</v>
      </c>
      <c r="G121" s="22" t="s">
        <v>9</v>
      </c>
    </row>
    <row r="122" spans="1:8" ht="24" customHeight="1" x14ac:dyDescent="0.2">
      <c r="A122" s="24" t="s">
        <v>9</v>
      </c>
      <c r="B122" s="25" t="s">
        <v>9</v>
      </c>
      <c r="C122" s="25" t="s">
        <v>143</v>
      </c>
      <c r="D122" s="25" t="s">
        <v>144</v>
      </c>
      <c r="E122" s="24" t="s">
        <v>9</v>
      </c>
      <c r="F122" s="24" t="s">
        <v>9</v>
      </c>
      <c r="G122" s="24" t="s">
        <v>9</v>
      </c>
    </row>
    <row r="123" spans="1:8" ht="18" customHeight="1" x14ac:dyDescent="0.2">
      <c r="A123" s="24" t="s">
        <v>9</v>
      </c>
      <c r="B123" s="25" t="s">
        <v>145</v>
      </c>
      <c r="C123" s="25" t="s">
        <v>146</v>
      </c>
      <c r="D123" s="25" t="s">
        <v>147</v>
      </c>
      <c r="E123" s="24" t="s">
        <v>9</v>
      </c>
      <c r="F123" s="24" t="s">
        <v>9</v>
      </c>
      <c r="G123" s="24" t="s">
        <v>9</v>
      </c>
    </row>
    <row r="124" spans="1:8" ht="17.100000000000001" customHeight="1" x14ac:dyDescent="0.2">
      <c r="A124" s="24" t="s">
        <v>9</v>
      </c>
      <c r="B124" s="6" t="s">
        <v>148</v>
      </c>
      <c r="C124" s="26">
        <v>19.780100000000001</v>
      </c>
      <c r="D124" s="26">
        <v>20.142800000000001</v>
      </c>
      <c r="E124" s="24" t="s">
        <v>9</v>
      </c>
      <c r="F124" s="21" t="s">
        <v>9</v>
      </c>
      <c r="G124" s="27" t="s">
        <v>9</v>
      </c>
    </row>
    <row r="125" spans="1:8" ht="17.100000000000001" customHeight="1" x14ac:dyDescent="0.2">
      <c r="A125" s="24" t="s">
        <v>9</v>
      </c>
      <c r="B125" s="6" t="s">
        <v>839</v>
      </c>
      <c r="C125" s="26">
        <v>16.477599999999999</v>
      </c>
      <c r="D125" s="26">
        <v>16.779800000000002</v>
      </c>
      <c r="E125" s="24" t="s">
        <v>9</v>
      </c>
      <c r="F125" s="21" t="s">
        <v>9</v>
      </c>
      <c r="G125" s="27" t="s">
        <v>9</v>
      </c>
    </row>
    <row r="126" spans="1:8" ht="17.100000000000001" customHeight="1" x14ac:dyDescent="0.2">
      <c r="A126" s="24" t="s">
        <v>9</v>
      </c>
      <c r="B126" s="6" t="s">
        <v>149</v>
      </c>
      <c r="C126" s="26">
        <v>19.363499999999998</v>
      </c>
      <c r="D126" s="26">
        <v>19.714200000000002</v>
      </c>
      <c r="E126" s="24" t="s">
        <v>9</v>
      </c>
      <c r="F126" s="21" t="s">
        <v>9</v>
      </c>
      <c r="G126" s="27" t="s">
        <v>9</v>
      </c>
    </row>
    <row r="127" spans="1:8" ht="17.100000000000001" customHeight="1" x14ac:dyDescent="0.2">
      <c r="A127" s="24" t="s">
        <v>9</v>
      </c>
      <c r="B127" s="6" t="s">
        <v>840</v>
      </c>
      <c r="C127" s="26">
        <v>16.075500000000002</v>
      </c>
      <c r="D127" s="26">
        <v>16.366599999999998</v>
      </c>
      <c r="E127" s="24" t="s">
        <v>9</v>
      </c>
      <c r="F127" s="21" t="s">
        <v>9</v>
      </c>
      <c r="G127" s="27" t="s">
        <v>9</v>
      </c>
    </row>
    <row r="128" spans="1:8" ht="14.1" customHeight="1" x14ac:dyDescent="0.2">
      <c r="A128" s="24" t="s">
        <v>9</v>
      </c>
      <c r="B128" s="24" t="s">
        <v>9</v>
      </c>
      <c r="C128" s="24" t="s">
        <v>9</v>
      </c>
      <c r="D128" s="24" t="s">
        <v>9</v>
      </c>
      <c r="E128" s="24" t="s">
        <v>9</v>
      </c>
      <c r="F128" s="24" t="s">
        <v>9</v>
      </c>
      <c r="G128" s="24" t="s">
        <v>9</v>
      </c>
    </row>
    <row r="129" spans="1:7" ht="17.100000000000001" customHeight="1" x14ac:dyDescent="0.2">
      <c r="A129" s="24" t="s">
        <v>9</v>
      </c>
      <c r="B129" s="233" t="s">
        <v>1003</v>
      </c>
      <c r="C129" s="234"/>
      <c r="D129" s="4" t="s">
        <v>140</v>
      </c>
      <c r="E129" s="24" t="s">
        <v>9</v>
      </c>
      <c r="F129" s="24" t="s">
        <v>9</v>
      </c>
      <c r="G129" s="24" t="s">
        <v>9</v>
      </c>
    </row>
    <row r="130" spans="1:7" ht="18" customHeight="1" x14ac:dyDescent="0.2">
      <c r="A130" s="24" t="s">
        <v>9</v>
      </c>
      <c r="B130" s="28" t="s">
        <v>150</v>
      </c>
      <c r="C130" s="28" t="s">
        <v>150</v>
      </c>
      <c r="D130" s="28" t="s">
        <v>9</v>
      </c>
      <c r="E130" s="24" t="s">
        <v>9</v>
      </c>
      <c r="F130" s="24" t="s">
        <v>9</v>
      </c>
      <c r="G130" s="24" t="s">
        <v>9</v>
      </c>
    </row>
    <row r="131" spans="1:7" s="169" customFormat="1" x14ac:dyDescent="0.2">
      <c r="B131" s="235" t="s">
        <v>841</v>
      </c>
      <c r="C131" s="235"/>
      <c r="D131" s="235"/>
      <c r="E131" s="235"/>
      <c r="F131" s="235"/>
    </row>
    <row r="132" spans="1:7" ht="14.1" customHeight="1" x14ac:dyDescent="0.2">
      <c r="A132" s="24" t="s">
        <v>9</v>
      </c>
      <c r="B132" s="21" t="s">
        <v>9</v>
      </c>
      <c r="C132" s="21" t="s">
        <v>9</v>
      </c>
      <c r="D132" s="24" t="s">
        <v>9</v>
      </c>
      <c r="E132" s="24" t="s">
        <v>9</v>
      </c>
      <c r="F132" s="24" t="s">
        <v>9</v>
      </c>
      <c r="G132" s="24" t="s">
        <v>9</v>
      </c>
    </row>
    <row r="133" spans="1:7" ht="29.1" customHeight="1" x14ac:dyDescent="0.2">
      <c r="A133" s="24" t="s">
        <v>9</v>
      </c>
      <c r="B133" s="233" t="s">
        <v>151</v>
      </c>
      <c r="C133" s="234"/>
      <c r="D133" s="4" t="s">
        <v>140</v>
      </c>
      <c r="E133" s="24" t="s">
        <v>9</v>
      </c>
      <c r="F133" s="24" t="s">
        <v>9</v>
      </c>
      <c r="G133" s="24" t="s">
        <v>9</v>
      </c>
    </row>
    <row r="134" spans="1:7" ht="29.1" customHeight="1" x14ac:dyDescent="0.2">
      <c r="A134" s="24" t="s">
        <v>9</v>
      </c>
      <c r="B134" s="233" t="s">
        <v>152</v>
      </c>
      <c r="C134" s="234"/>
      <c r="D134" s="4" t="s">
        <v>140</v>
      </c>
      <c r="E134" s="24" t="s">
        <v>9</v>
      </c>
      <c r="F134" s="24" t="s">
        <v>9</v>
      </c>
      <c r="G134" s="24" t="s">
        <v>9</v>
      </c>
    </row>
    <row r="135" spans="1:7" ht="17.100000000000001" customHeight="1" x14ac:dyDescent="0.2">
      <c r="A135" s="24" t="s">
        <v>9</v>
      </c>
      <c r="B135" s="233" t="s">
        <v>153</v>
      </c>
      <c r="C135" s="234"/>
      <c r="D135" s="29">
        <v>0.30446544363421185</v>
      </c>
      <c r="E135" s="24" t="s">
        <v>9</v>
      </c>
      <c r="F135" s="21" t="s">
        <v>9</v>
      </c>
      <c r="G135" s="27" t="s">
        <v>9</v>
      </c>
    </row>
    <row r="136" spans="1:7" ht="17.100000000000001" customHeight="1" x14ac:dyDescent="0.2">
      <c r="A136" s="24" t="s">
        <v>9</v>
      </c>
      <c r="B136" s="233" t="s">
        <v>154</v>
      </c>
      <c r="C136" s="234"/>
      <c r="D136" s="4" t="s">
        <v>140</v>
      </c>
      <c r="E136" s="24" t="s">
        <v>9</v>
      </c>
      <c r="F136" s="24" t="s">
        <v>9</v>
      </c>
      <c r="G136" s="24" t="s">
        <v>9</v>
      </c>
    </row>
  </sheetData>
  <mergeCells count="15">
    <mergeCell ref="B135:C135"/>
    <mergeCell ref="B136:C136"/>
    <mergeCell ref="B119:C119"/>
    <mergeCell ref="B120:C120"/>
    <mergeCell ref="B121:C121"/>
    <mergeCell ref="B129:C129"/>
    <mergeCell ref="B133:C133"/>
    <mergeCell ref="B134:C134"/>
    <mergeCell ref="B131:F131"/>
    <mergeCell ref="B118:C118"/>
    <mergeCell ref="B115:F115"/>
    <mergeCell ref="B116:F11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H133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508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20</v>
      </c>
      <c r="C7" s="6" t="s">
        <v>21</v>
      </c>
      <c r="D7" s="6" t="s">
        <v>22</v>
      </c>
      <c r="E7" s="7">
        <v>14816</v>
      </c>
      <c r="F7" s="8">
        <v>101.11920000000001</v>
      </c>
      <c r="G7" s="9">
        <v>7.8471610999999997E-2</v>
      </c>
      <c r="H7" s="164"/>
    </row>
    <row r="8" spans="1:8" x14ac:dyDescent="0.2">
      <c r="A8" s="5">
        <v>2</v>
      </c>
      <c r="B8" s="6" t="s">
        <v>403</v>
      </c>
      <c r="C8" s="6" t="s">
        <v>404</v>
      </c>
      <c r="D8" s="6" t="s">
        <v>179</v>
      </c>
      <c r="E8" s="7">
        <v>6220</v>
      </c>
      <c r="F8" s="8">
        <v>100.17310000000001</v>
      </c>
      <c r="G8" s="9">
        <v>7.7737407999999994E-2</v>
      </c>
      <c r="H8" s="164"/>
    </row>
    <row r="9" spans="1:8" x14ac:dyDescent="0.2">
      <c r="A9" s="5">
        <v>3</v>
      </c>
      <c r="B9" s="6" t="s">
        <v>15</v>
      </c>
      <c r="C9" s="6" t="s">
        <v>16</v>
      </c>
      <c r="D9" s="6" t="s">
        <v>17</v>
      </c>
      <c r="E9" s="7">
        <v>4029</v>
      </c>
      <c r="F9" s="8">
        <v>82.002236999999994</v>
      </c>
      <c r="G9" s="9">
        <v>6.3636259000000001E-2</v>
      </c>
      <c r="H9" s="164"/>
    </row>
    <row r="10" spans="1:8" x14ac:dyDescent="0.2">
      <c r="A10" s="5">
        <v>4</v>
      </c>
      <c r="B10" s="6" t="s">
        <v>79</v>
      </c>
      <c r="C10" s="6" t="s">
        <v>80</v>
      </c>
      <c r="D10" s="6" t="s">
        <v>22</v>
      </c>
      <c r="E10" s="7">
        <v>5620</v>
      </c>
      <c r="F10" s="8">
        <v>80.166489999999996</v>
      </c>
      <c r="G10" s="9">
        <v>6.2211663E-2</v>
      </c>
      <c r="H10" s="164"/>
    </row>
    <row r="11" spans="1:8" ht="25.5" x14ac:dyDescent="0.2">
      <c r="A11" s="5">
        <v>5</v>
      </c>
      <c r="B11" s="6" t="s">
        <v>405</v>
      </c>
      <c r="C11" s="6" t="s">
        <v>406</v>
      </c>
      <c r="D11" s="6" t="s">
        <v>161</v>
      </c>
      <c r="E11" s="7">
        <v>2510</v>
      </c>
      <c r="F11" s="8">
        <v>61.272865000000003</v>
      </c>
      <c r="G11" s="9">
        <v>4.7549629000000003E-2</v>
      </c>
      <c r="H11" s="164"/>
    </row>
    <row r="12" spans="1:8" x14ac:dyDescent="0.2">
      <c r="A12" s="5">
        <v>6</v>
      </c>
      <c r="B12" s="6" t="s">
        <v>407</v>
      </c>
      <c r="C12" s="6" t="s">
        <v>408</v>
      </c>
      <c r="D12" s="6" t="s">
        <v>22</v>
      </c>
      <c r="E12" s="7">
        <v>12121</v>
      </c>
      <c r="F12" s="8">
        <v>52.338478000000002</v>
      </c>
      <c r="G12" s="9">
        <v>4.0616270000000003E-2</v>
      </c>
      <c r="H12" s="164"/>
    </row>
    <row r="13" spans="1:8" ht="25.5" x14ac:dyDescent="0.2">
      <c r="A13" s="5">
        <v>7</v>
      </c>
      <c r="B13" s="6" t="s">
        <v>336</v>
      </c>
      <c r="C13" s="6" t="s">
        <v>337</v>
      </c>
      <c r="D13" s="6" t="s">
        <v>67</v>
      </c>
      <c r="E13" s="7">
        <v>6172</v>
      </c>
      <c r="F13" s="8">
        <v>47.018295999999999</v>
      </c>
      <c r="G13" s="9">
        <v>3.6487644999999999E-2</v>
      </c>
      <c r="H13" s="164"/>
    </row>
    <row r="14" spans="1:8" ht="25.5" x14ac:dyDescent="0.2">
      <c r="A14" s="5">
        <v>8</v>
      </c>
      <c r="B14" s="6" t="s">
        <v>33</v>
      </c>
      <c r="C14" s="6" t="s">
        <v>34</v>
      </c>
      <c r="D14" s="6" t="s">
        <v>925</v>
      </c>
      <c r="E14" s="7">
        <v>596</v>
      </c>
      <c r="F14" s="8">
        <v>45.410432</v>
      </c>
      <c r="G14" s="9">
        <v>3.5239893000000001E-2</v>
      </c>
      <c r="H14" s="164"/>
    </row>
    <row r="15" spans="1:8" x14ac:dyDescent="0.2">
      <c r="A15" s="5">
        <v>9</v>
      </c>
      <c r="B15" s="6" t="s">
        <v>357</v>
      </c>
      <c r="C15" s="6" t="s">
        <v>358</v>
      </c>
      <c r="D15" s="6" t="s">
        <v>22</v>
      </c>
      <c r="E15" s="7">
        <v>5742</v>
      </c>
      <c r="F15" s="8">
        <v>40.705038000000002</v>
      </c>
      <c r="G15" s="9">
        <v>3.1588362000000002E-2</v>
      </c>
      <c r="H15" s="164"/>
    </row>
    <row r="16" spans="1:8" x14ac:dyDescent="0.2">
      <c r="A16" s="5">
        <v>10</v>
      </c>
      <c r="B16" s="6" t="s">
        <v>156</v>
      </c>
      <c r="C16" s="6" t="s">
        <v>157</v>
      </c>
      <c r="D16" s="6" t="s">
        <v>158</v>
      </c>
      <c r="E16" s="7">
        <v>1104</v>
      </c>
      <c r="F16" s="8">
        <v>40.376040000000003</v>
      </c>
      <c r="G16" s="9">
        <v>3.1333050000000001E-2</v>
      </c>
      <c r="H16" s="164"/>
    </row>
    <row r="17" spans="1:8" x14ac:dyDescent="0.2">
      <c r="A17" s="5">
        <v>11</v>
      </c>
      <c r="B17" s="6" t="s">
        <v>12</v>
      </c>
      <c r="C17" s="6" t="s">
        <v>13</v>
      </c>
      <c r="D17" s="6" t="s">
        <v>14</v>
      </c>
      <c r="E17" s="7">
        <v>2403</v>
      </c>
      <c r="F17" s="8">
        <v>38.482843500000001</v>
      </c>
      <c r="G17" s="9">
        <v>2.9863871E-2</v>
      </c>
      <c r="H17" s="164"/>
    </row>
    <row r="18" spans="1:8" x14ac:dyDescent="0.2">
      <c r="A18" s="5">
        <v>12</v>
      </c>
      <c r="B18" s="6" t="s">
        <v>365</v>
      </c>
      <c r="C18" s="6" t="s">
        <v>366</v>
      </c>
      <c r="D18" s="6" t="s">
        <v>250</v>
      </c>
      <c r="E18" s="7">
        <v>4040</v>
      </c>
      <c r="F18" s="8">
        <v>37.087200000000003</v>
      </c>
      <c r="G18" s="9">
        <v>2.8780808000000001E-2</v>
      </c>
      <c r="H18" s="164"/>
    </row>
    <row r="19" spans="1:8" ht="25.5" x14ac:dyDescent="0.2">
      <c r="A19" s="5">
        <v>13</v>
      </c>
      <c r="B19" s="6" t="s">
        <v>499</v>
      </c>
      <c r="C19" s="6" t="s">
        <v>500</v>
      </c>
      <c r="D19" s="6" t="s">
        <v>925</v>
      </c>
      <c r="E19" s="7">
        <v>2456</v>
      </c>
      <c r="F19" s="8">
        <v>36.658256000000002</v>
      </c>
      <c r="G19" s="9">
        <v>2.8447935000000001E-2</v>
      </c>
      <c r="H19" s="164"/>
    </row>
    <row r="20" spans="1:8" x14ac:dyDescent="0.2">
      <c r="A20" s="5">
        <v>14</v>
      </c>
      <c r="B20" s="6" t="s">
        <v>212</v>
      </c>
      <c r="C20" s="6" t="s">
        <v>213</v>
      </c>
      <c r="D20" s="6" t="s">
        <v>929</v>
      </c>
      <c r="E20" s="7">
        <v>3606</v>
      </c>
      <c r="F20" s="8">
        <v>31.348761</v>
      </c>
      <c r="G20" s="9">
        <v>2.4327603E-2</v>
      </c>
      <c r="H20" s="164"/>
    </row>
    <row r="21" spans="1:8" x14ac:dyDescent="0.2">
      <c r="A21" s="5">
        <v>15</v>
      </c>
      <c r="B21" s="6" t="s">
        <v>371</v>
      </c>
      <c r="C21" s="6" t="s">
        <v>372</v>
      </c>
      <c r="D21" s="6" t="s">
        <v>179</v>
      </c>
      <c r="E21" s="7">
        <v>2813</v>
      </c>
      <c r="F21" s="8">
        <v>28.831843500000002</v>
      </c>
      <c r="G21" s="9">
        <v>2.2374398E-2</v>
      </c>
      <c r="H21" s="164"/>
    </row>
    <row r="22" spans="1:8" x14ac:dyDescent="0.2">
      <c r="A22" s="5">
        <v>16</v>
      </c>
      <c r="B22" s="6" t="s">
        <v>23</v>
      </c>
      <c r="C22" s="6" t="s">
        <v>24</v>
      </c>
      <c r="D22" s="6" t="s">
        <v>25</v>
      </c>
      <c r="E22" s="7">
        <v>4918</v>
      </c>
      <c r="F22" s="8">
        <v>27.621946999999999</v>
      </c>
      <c r="G22" s="9">
        <v>2.1435480999999999E-2</v>
      </c>
      <c r="H22" s="164"/>
    </row>
    <row r="23" spans="1:8" x14ac:dyDescent="0.2">
      <c r="A23" s="5">
        <v>17</v>
      </c>
      <c r="B23" s="6" t="s">
        <v>187</v>
      </c>
      <c r="C23" s="6" t="s">
        <v>188</v>
      </c>
      <c r="D23" s="6" t="s">
        <v>182</v>
      </c>
      <c r="E23" s="7">
        <v>11000</v>
      </c>
      <c r="F23" s="8">
        <v>27.521999999999998</v>
      </c>
      <c r="G23" s="9">
        <v>2.1357919E-2</v>
      </c>
      <c r="H23" s="164"/>
    </row>
    <row r="24" spans="1:8" x14ac:dyDescent="0.2">
      <c r="A24" s="5">
        <v>18</v>
      </c>
      <c r="B24" s="6" t="s">
        <v>53</v>
      </c>
      <c r="C24" s="6" t="s">
        <v>54</v>
      </c>
      <c r="D24" s="6" t="s">
        <v>17</v>
      </c>
      <c r="E24" s="7">
        <v>6145</v>
      </c>
      <c r="F24" s="8">
        <v>27.375975</v>
      </c>
      <c r="G24" s="9">
        <v>2.1244598999999999E-2</v>
      </c>
      <c r="H24" s="164"/>
    </row>
    <row r="25" spans="1:8" x14ac:dyDescent="0.2">
      <c r="A25" s="5">
        <v>19</v>
      </c>
      <c r="B25" s="6" t="s">
        <v>409</v>
      </c>
      <c r="C25" s="6" t="s">
        <v>410</v>
      </c>
      <c r="D25" s="6" t="s">
        <v>932</v>
      </c>
      <c r="E25" s="7">
        <v>2300</v>
      </c>
      <c r="F25" s="8">
        <v>25.267800000000001</v>
      </c>
      <c r="G25" s="9">
        <v>1.9608589999999999E-2</v>
      </c>
      <c r="H25" s="164"/>
    </row>
    <row r="26" spans="1:8" x14ac:dyDescent="0.2">
      <c r="A26" s="5">
        <v>20</v>
      </c>
      <c r="B26" s="6" t="s">
        <v>501</v>
      </c>
      <c r="C26" s="6" t="s">
        <v>502</v>
      </c>
      <c r="D26" s="6" t="s">
        <v>88</v>
      </c>
      <c r="E26" s="7">
        <v>8169</v>
      </c>
      <c r="F26" s="8">
        <v>24.0127755</v>
      </c>
      <c r="G26" s="9">
        <v>1.8634653000000001E-2</v>
      </c>
      <c r="H26" s="164"/>
    </row>
    <row r="27" spans="1:8" x14ac:dyDescent="0.2">
      <c r="A27" s="5">
        <v>21</v>
      </c>
      <c r="B27" s="6" t="s">
        <v>72</v>
      </c>
      <c r="C27" s="6" t="s">
        <v>73</v>
      </c>
      <c r="D27" s="6" t="s">
        <v>28</v>
      </c>
      <c r="E27" s="7">
        <v>2788</v>
      </c>
      <c r="F27" s="8">
        <v>23.764911999999999</v>
      </c>
      <c r="G27" s="9">
        <v>1.8442303E-2</v>
      </c>
      <c r="H27" s="164"/>
    </row>
    <row r="28" spans="1:8" x14ac:dyDescent="0.2">
      <c r="A28" s="5">
        <v>22</v>
      </c>
      <c r="B28" s="6" t="s">
        <v>419</v>
      </c>
      <c r="C28" s="6" t="s">
        <v>420</v>
      </c>
      <c r="D28" s="6" t="s">
        <v>179</v>
      </c>
      <c r="E28" s="7">
        <v>729</v>
      </c>
      <c r="F28" s="8">
        <v>23.0907105</v>
      </c>
      <c r="G28" s="9">
        <v>1.7919101999999999E-2</v>
      </c>
      <c r="H28" s="164"/>
    </row>
    <row r="29" spans="1:8" x14ac:dyDescent="0.2">
      <c r="A29" s="5">
        <v>23</v>
      </c>
      <c r="B29" s="6" t="s">
        <v>353</v>
      </c>
      <c r="C29" s="6" t="s">
        <v>354</v>
      </c>
      <c r="D29" s="6" t="s">
        <v>50</v>
      </c>
      <c r="E29" s="7">
        <v>3496</v>
      </c>
      <c r="F29" s="8">
        <v>22.510743999999999</v>
      </c>
      <c r="G29" s="9">
        <v>1.746903E-2</v>
      </c>
      <c r="H29" s="164"/>
    </row>
    <row r="30" spans="1:8" x14ac:dyDescent="0.2">
      <c r="A30" s="5">
        <v>24</v>
      </c>
      <c r="B30" s="6" t="s">
        <v>436</v>
      </c>
      <c r="C30" s="6" t="s">
        <v>437</v>
      </c>
      <c r="D30" s="6" t="s">
        <v>22</v>
      </c>
      <c r="E30" s="7">
        <v>1305</v>
      </c>
      <c r="F30" s="8">
        <v>21.595140000000001</v>
      </c>
      <c r="G30" s="9">
        <v>1.6758492999999999E-2</v>
      </c>
      <c r="H30" s="164"/>
    </row>
    <row r="31" spans="1:8" x14ac:dyDescent="0.2">
      <c r="A31" s="5">
        <v>25</v>
      </c>
      <c r="B31" s="6" t="s">
        <v>334</v>
      </c>
      <c r="C31" s="6" t="s">
        <v>335</v>
      </c>
      <c r="D31" s="6" t="s">
        <v>22</v>
      </c>
      <c r="E31" s="7">
        <v>22387</v>
      </c>
      <c r="F31" s="8">
        <v>19.577431499999999</v>
      </c>
      <c r="G31" s="9">
        <v>1.5192689000000001E-2</v>
      </c>
      <c r="H31" s="164"/>
    </row>
    <row r="32" spans="1:8" ht="25.5" x14ac:dyDescent="0.2">
      <c r="A32" s="5">
        <v>26</v>
      </c>
      <c r="B32" s="6" t="s">
        <v>428</v>
      </c>
      <c r="C32" s="6" t="s">
        <v>429</v>
      </c>
      <c r="D32" s="6" t="s">
        <v>67</v>
      </c>
      <c r="E32" s="7">
        <v>9339</v>
      </c>
      <c r="F32" s="8">
        <v>19.140280499999999</v>
      </c>
      <c r="G32" s="9">
        <v>1.4853447000000001E-2</v>
      </c>
      <c r="H32" s="164"/>
    </row>
    <row r="33" spans="1:8" ht="25.5" x14ac:dyDescent="0.2">
      <c r="A33" s="5">
        <v>27</v>
      </c>
      <c r="B33" s="6" t="s">
        <v>393</v>
      </c>
      <c r="C33" s="6" t="s">
        <v>394</v>
      </c>
      <c r="D33" s="6" t="s">
        <v>67</v>
      </c>
      <c r="E33" s="7">
        <v>2443</v>
      </c>
      <c r="F33" s="8">
        <v>18.475187500000001</v>
      </c>
      <c r="G33" s="9">
        <v>1.4337314E-2</v>
      </c>
      <c r="H33" s="164"/>
    </row>
    <row r="34" spans="1:8" x14ac:dyDescent="0.2">
      <c r="A34" s="5">
        <v>28</v>
      </c>
      <c r="B34" s="6" t="s">
        <v>332</v>
      </c>
      <c r="C34" s="6" t="s">
        <v>333</v>
      </c>
      <c r="D34" s="6" t="s">
        <v>59</v>
      </c>
      <c r="E34" s="7">
        <v>4100</v>
      </c>
      <c r="F34" s="8">
        <v>17.701750000000001</v>
      </c>
      <c r="G34" s="9">
        <v>1.3737103000000001E-2</v>
      </c>
      <c r="H34" s="164"/>
    </row>
    <row r="35" spans="1:8" x14ac:dyDescent="0.2">
      <c r="A35" s="5">
        <v>29</v>
      </c>
      <c r="B35" s="6" t="s">
        <v>503</v>
      </c>
      <c r="C35" s="6" t="s">
        <v>504</v>
      </c>
      <c r="D35" s="6" t="s">
        <v>62</v>
      </c>
      <c r="E35" s="7">
        <v>1032</v>
      </c>
      <c r="F35" s="8">
        <v>17.694156</v>
      </c>
      <c r="G35" s="9">
        <v>1.3731210000000001E-2</v>
      </c>
      <c r="H35" s="164"/>
    </row>
    <row r="36" spans="1:8" x14ac:dyDescent="0.2">
      <c r="A36" s="5">
        <v>30</v>
      </c>
      <c r="B36" s="6" t="s">
        <v>457</v>
      </c>
      <c r="C36" s="6" t="s">
        <v>458</v>
      </c>
      <c r="D36" s="6" t="s">
        <v>50</v>
      </c>
      <c r="E36" s="7">
        <v>4188</v>
      </c>
      <c r="F36" s="8">
        <v>17.658702000000002</v>
      </c>
      <c r="G36" s="9">
        <v>1.3703696E-2</v>
      </c>
      <c r="H36" s="164"/>
    </row>
    <row r="37" spans="1:8" x14ac:dyDescent="0.2">
      <c r="A37" s="5">
        <v>31</v>
      </c>
      <c r="B37" s="6" t="s">
        <v>355</v>
      </c>
      <c r="C37" s="6" t="s">
        <v>356</v>
      </c>
      <c r="D37" s="6" t="s">
        <v>22</v>
      </c>
      <c r="E37" s="7">
        <v>19598</v>
      </c>
      <c r="F37" s="8">
        <v>15.737194000000001</v>
      </c>
      <c r="G37" s="9">
        <v>1.2212547000000001E-2</v>
      </c>
      <c r="H37" s="164"/>
    </row>
    <row r="38" spans="1:8" x14ac:dyDescent="0.2">
      <c r="A38" s="5">
        <v>32</v>
      </c>
      <c r="B38" s="6" t="s">
        <v>446</v>
      </c>
      <c r="C38" s="6" t="s">
        <v>447</v>
      </c>
      <c r="D38" s="6" t="s">
        <v>200</v>
      </c>
      <c r="E38" s="7">
        <v>1593</v>
      </c>
      <c r="F38" s="8">
        <v>14.6563965</v>
      </c>
      <c r="G38" s="9">
        <v>1.1373815000000001E-2</v>
      </c>
      <c r="H38" s="164"/>
    </row>
    <row r="39" spans="1:8" ht="25.5" x14ac:dyDescent="0.2">
      <c r="A39" s="5">
        <v>33</v>
      </c>
      <c r="B39" s="6" t="s">
        <v>417</v>
      </c>
      <c r="C39" s="6" t="s">
        <v>418</v>
      </c>
      <c r="D39" s="6" t="s">
        <v>67</v>
      </c>
      <c r="E39" s="7">
        <v>556</v>
      </c>
      <c r="F39" s="8">
        <v>12.973148</v>
      </c>
      <c r="G39" s="9">
        <v>1.0067562E-2</v>
      </c>
      <c r="H39" s="164"/>
    </row>
    <row r="40" spans="1:8" x14ac:dyDescent="0.2">
      <c r="A40" s="5">
        <v>34</v>
      </c>
      <c r="B40" s="6" t="s">
        <v>505</v>
      </c>
      <c r="C40" s="6" t="s">
        <v>400</v>
      </c>
      <c r="D40" s="6" t="s">
        <v>346</v>
      </c>
      <c r="E40" s="7">
        <v>5689</v>
      </c>
      <c r="F40" s="8">
        <v>12.7575825</v>
      </c>
      <c r="G40" s="9">
        <v>9.9002770000000007E-3</v>
      </c>
      <c r="H40" s="164"/>
    </row>
    <row r="41" spans="1:8" x14ac:dyDescent="0.2">
      <c r="A41" s="5">
        <v>35</v>
      </c>
      <c r="B41" s="6" t="s">
        <v>506</v>
      </c>
      <c r="C41" s="6" t="s">
        <v>507</v>
      </c>
      <c r="D41" s="6" t="s">
        <v>200</v>
      </c>
      <c r="E41" s="7">
        <v>260</v>
      </c>
      <c r="F41" s="8">
        <v>12.24912</v>
      </c>
      <c r="G41" s="9">
        <v>9.5056940000000003E-3</v>
      </c>
      <c r="H41" s="164"/>
    </row>
    <row r="42" spans="1:8" x14ac:dyDescent="0.2">
      <c r="A42" s="5">
        <v>36</v>
      </c>
      <c r="B42" s="6" t="s">
        <v>93</v>
      </c>
      <c r="C42" s="6" t="s">
        <v>94</v>
      </c>
      <c r="D42" s="6" t="s">
        <v>28</v>
      </c>
      <c r="E42" s="7">
        <v>178</v>
      </c>
      <c r="F42" s="8">
        <v>12.216673999999999</v>
      </c>
      <c r="G42" s="9">
        <v>9.4805150000000001E-3</v>
      </c>
      <c r="H42" s="164"/>
    </row>
    <row r="43" spans="1:8" x14ac:dyDescent="0.2">
      <c r="A43" s="5">
        <v>37</v>
      </c>
      <c r="B43" s="6" t="s">
        <v>415</v>
      </c>
      <c r="C43" s="6" t="s">
        <v>416</v>
      </c>
      <c r="D43" s="6" t="s">
        <v>179</v>
      </c>
      <c r="E43" s="7">
        <v>1875</v>
      </c>
      <c r="F43" s="8">
        <v>11.009062500000001</v>
      </c>
      <c r="G43" s="9">
        <v>8.5433709999999993E-3</v>
      </c>
      <c r="H43" s="164"/>
    </row>
    <row r="44" spans="1:8" x14ac:dyDescent="0.2">
      <c r="A44" s="5">
        <v>38</v>
      </c>
      <c r="B44" s="6" t="s">
        <v>326</v>
      </c>
      <c r="C44" s="6" t="s">
        <v>327</v>
      </c>
      <c r="D44" s="6" t="s">
        <v>200</v>
      </c>
      <c r="E44" s="7">
        <v>202</v>
      </c>
      <c r="F44" s="8">
        <v>7.9395090000000001</v>
      </c>
      <c r="G44" s="9">
        <v>6.1613029999999999E-3</v>
      </c>
      <c r="H44" s="164"/>
    </row>
    <row r="45" spans="1:8" x14ac:dyDescent="0.2">
      <c r="A45" s="3" t="s">
        <v>9</v>
      </c>
      <c r="B45" s="3" t="s">
        <v>9</v>
      </c>
      <c r="C45" s="4" t="s">
        <v>110</v>
      </c>
      <c r="D45" s="3" t="s">
        <v>9</v>
      </c>
      <c r="E45" s="3" t="s">
        <v>9</v>
      </c>
      <c r="F45" s="11">
        <v>1255.539278</v>
      </c>
      <c r="G45" s="12">
        <v>0.974337118</v>
      </c>
      <c r="H45" s="164"/>
    </row>
    <row r="46" spans="1:8" x14ac:dyDescent="0.2">
      <c r="A46" s="3" t="s">
        <v>9</v>
      </c>
      <c r="B46" s="3" t="s">
        <v>9</v>
      </c>
      <c r="C46" s="13" t="s">
        <v>9</v>
      </c>
      <c r="D46" s="3" t="s">
        <v>9</v>
      </c>
      <c r="E46" s="3" t="s">
        <v>9</v>
      </c>
      <c r="F46" s="14" t="s">
        <v>9</v>
      </c>
      <c r="G46" s="14" t="s">
        <v>9</v>
      </c>
      <c r="H46" s="164"/>
    </row>
    <row r="47" spans="1:8" x14ac:dyDescent="0.2">
      <c r="A47" s="3" t="s">
        <v>9</v>
      </c>
      <c r="B47" s="3" t="s">
        <v>9</v>
      </c>
      <c r="C47" s="4" t="s">
        <v>111</v>
      </c>
      <c r="D47" s="3" t="s">
        <v>9</v>
      </c>
      <c r="E47" s="3" t="s">
        <v>9</v>
      </c>
      <c r="F47" s="3" t="s">
        <v>9</v>
      </c>
      <c r="G47" s="3" t="s">
        <v>9</v>
      </c>
      <c r="H47" s="164"/>
    </row>
    <row r="48" spans="1:8" x14ac:dyDescent="0.2">
      <c r="A48" s="3" t="s">
        <v>9</v>
      </c>
      <c r="B48" s="3" t="s">
        <v>9</v>
      </c>
      <c r="C48" s="4" t="s">
        <v>110</v>
      </c>
      <c r="D48" s="3" t="s">
        <v>9</v>
      </c>
      <c r="E48" s="3" t="s">
        <v>9</v>
      </c>
      <c r="F48" s="15">
        <v>0</v>
      </c>
      <c r="G48" s="16">
        <v>0</v>
      </c>
      <c r="H48" s="164"/>
    </row>
    <row r="49" spans="1:8" x14ac:dyDescent="0.2">
      <c r="A49" s="3" t="s">
        <v>9</v>
      </c>
      <c r="B49" s="3" t="s">
        <v>9</v>
      </c>
      <c r="C49" s="13" t="s">
        <v>9</v>
      </c>
      <c r="D49" s="3" t="s">
        <v>9</v>
      </c>
      <c r="E49" s="3" t="s">
        <v>9</v>
      </c>
      <c r="F49" s="14" t="s">
        <v>9</v>
      </c>
      <c r="G49" s="14" t="s">
        <v>9</v>
      </c>
      <c r="H49" s="164"/>
    </row>
    <row r="50" spans="1:8" x14ac:dyDescent="0.2">
      <c r="A50" s="3" t="s">
        <v>9</v>
      </c>
      <c r="B50" s="3" t="s">
        <v>9</v>
      </c>
      <c r="C50" s="4" t="s">
        <v>112</v>
      </c>
      <c r="D50" s="3" t="s">
        <v>9</v>
      </c>
      <c r="E50" s="3" t="s">
        <v>9</v>
      </c>
      <c r="F50" s="3" t="s">
        <v>9</v>
      </c>
      <c r="G50" s="3" t="s">
        <v>9</v>
      </c>
      <c r="H50" s="164"/>
    </row>
    <row r="51" spans="1:8" x14ac:dyDescent="0.2">
      <c r="A51" s="3" t="s">
        <v>9</v>
      </c>
      <c r="B51" s="3" t="s">
        <v>9</v>
      </c>
      <c r="C51" s="4" t="s">
        <v>110</v>
      </c>
      <c r="D51" s="3" t="s">
        <v>9</v>
      </c>
      <c r="E51" s="3" t="s">
        <v>9</v>
      </c>
      <c r="F51" s="15">
        <v>0</v>
      </c>
      <c r="G51" s="16">
        <v>0</v>
      </c>
      <c r="H51" s="164"/>
    </row>
    <row r="52" spans="1:8" x14ac:dyDescent="0.2">
      <c r="A52" s="3" t="s">
        <v>9</v>
      </c>
      <c r="B52" s="3" t="s">
        <v>9</v>
      </c>
      <c r="C52" s="13" t="s">
        <v>9</v>
      </c>
      <c r="D52" s="3" t="s">
        <v>9</v>
      </c>
      <c r="E52" s="3" t="s">
        <v>9</v>
      </c>
      <c r="F52" s="14" t="s">
        <v>9</v>
      </c>
      <c r="G52" s="14" t="s">
        <v>9</v>
      </c>
      <c r="H52" s="164"/>
    </row>
    <row r="53" spans="1:8" x14ac:dyDescent="0.2">
      <c r="A53" s="3" t="s">
        <v>9</v>
      </c>
      <c r="B53" s="3" t="s">
        <v>9</v>
      </c>
      <c r="C53" s="4" t="s">
        <v>113</v>
      </c>
      <c r="D53" s="3" t="s">
        <v>9</v>
      </c>
      <c r="E53" s="3" t="s">
        <v>9</v>
      </c>
      <c r="F53" s="3" t="s">
        <v>9</v>
      </c>
      <c r="G53" s="3" t="s">
        <v>9</v>
      </c>
      <c r="H53" s="164"/>
    </row>
    <row r="54" spans="1:8" x14ac:dyDescent="0.2">
      <c r="A54" s="3" t="s">
        <v>9</v>
      </c>
      <c r="B54" s="3" t="s">
        <v>9</v>
      </c>
      <c r="C54" s="4" t="s">
        <v>110</v>
      </c>
      <c r="D54" s="3" t="s">
        <v>9</v>
      </c>
      <c r="E54" s="3" t="s">
        <v>9</v>
      </c>
      <c r="F54" s="15">
        <v>0</v>
      </c>
      <c r="G54" s="16">
        <v>0</v>
      </c>
      <c r="H54" s="164"/>
    </row>
    <row r="55" spans="1:8" x14ac:dyDescent="0.2">
      <c r="A55" s="3" t="s">
        <v>9</v>
      </c>
      <c r="B55" s="3" t="s">
        <v>9</v>
      </c>
      <c r="C55" s="13" t="s">
        <v>9</v>
      </c>
      <c r="D55" s="3" t="s">
        <v>9</v>
      </c>
      <c r="E55" s="3" t="s">
        <v>9</v>
      </c>
      <c r="F55" s="14" t="s">
        <v>9</v>
      </c>
      <c r="G55" s="14" t="s">
        <v>9</v>
      </c>
      <c r="H55" s="164"/>
    </row>
    <row r="56" spans="1:8" x14ac:dyDescent="0.2">
      <c r="A56" s="3" t="s">
        <v>9</v>
      </c>
      <c r="B56" s="3" t="s">
        <v>9</v>
      </c>
      <c r="C56" s="4" t="s">
        <v>114</v>
      </c>
      <c r="D56" s="3" t="s">
        <v>9</v>
      </c>
      <c r="E56" s="3" t="s">
        <v>9</v>
      </c>
      <c r="F56" s="14" t="s">
        <v>9</v>
      </c>
      <c r="G56" s="14" t="s">
        <v>9</v>
      </c>
      <c r="H56" s="164"/>
    </row>
    <row r="57" spans="1:8" x14ac:dyDescent="0.2">
      <c r="A57" s="3" t="s">
        <v>9</v>
      </c>
      <c r="B57" s="3" t="s">
        <v>9</v>
      </c>
      <c r="C57" s="4" t="s">
        <v>110</v>
      </c>
      <c r="D57" s="3" t="s">
        <v>9</v>
      </c>
      <c r="E57" s="3" t="s">
        <v>9</v>
      </c>
      <c r="F57" s="15">
        <v>0</v>
      </c>
      <c r="G57" s="16">
        <v>0</v>
      </c>
      <c r="H57" s="164"/>
    </row>
    <row r="58" spans="1:8" x14ac:dyDescent="0.2">
      <c r="A58" s="3" t="s">
        <v>9</v>
      </c>
      <c r="B58" s="3" t="s">
        <v>9</v>
      </c>
      <c r="C58" s="13" t="s">
        <v>9</v>
      </c>
      <c r="D58" s="3" t="s">
        <v>9</v>
      </c>
      <c r="E58" s="3" t="s">
        <v>9</v>
      </c>
      <c r="F58" s="14" t="s">
        <v>9</v>
      </c>
      <c r="G58" s="14" t="s">
        <v>9</v>
      </c>
      <c r="H58" s="164"/>
    </row>
    <row r="59" spans="1:8" x14ac:dyDescent="0.2">
      <c r="A59" s="3" t="s">
        <v>9</v>
      </c>
      <c r="B59" s="3" t="s">
        <v>9</v>
      </c>
      <c r="C59" s="4" t="s">
        <v>115</v>
      </c>
      <c r="D59" s="3" t="s">
        <v>9</v>
      </c>
      <c r="E59" s="3" t="s">
        <v>9</v>
      </c>
      <c r="F59" s="14" t="s">
        <v>9</v>
      </c>
      <c r="G59" s="14" t="s">
        <v>9</v>
      </c>
      <c r="H59" s="164"/>
    </row>
    <row r="60" spans="1:8" x14ac:dyDescent="0.2">
      <c r="A60" s="3" t="s">
        <v>9</v>
      </c>
      <c r="B60" s="3" t="s">
        <v>9</v>
      </c>
      <c r="C60" s="4" t="s">
        <v>110</v>
      </c>
      <c r="D60" s="3" t="s">
        <v>9</v>
      </c>
      <c r="E60" s="3" t="s">
        <v>9</v>
      </c>
      <c r="F60" s="15">
        <v>0</v>
      </c>
      <c r="G60" s="16">
        <v>0</v>
      </c>
      <c r="H60" s="164"/>
    </row>
    <row r="61" spans="1:8" x14ac:dyDescent="0.2">
      <c r="A61" s="3" t="s">
        <v>9</v>
      </c>
      <c r="B61" s="3" t="s">
        <v>9</v>
      </c>
      <c r="C61" s="13" t="s">
        <v>9</v>
      </c>
      <c r="D61" s="3" t="s">
        <v>9</v>
      </c>
      <c r="E61" s="3" t="s">
        <v>9</v>
      </c>
      <c r="F61" s="14" t="s">
        <v>9</v>
      </c>
      <c r="G61" s="14" t="s">
        <v>9</v>
      </c>
      <c r="H61" s="164"/>
    </row>
    <row r="62" spans="1:8" x14ac:dyDescent="0.2">
      <c r="A62" s="3" t="s">
        <v>9</v>
      </c>
      <c r="B62" s="3" t="s">
        <v>9</v>
      </c>
      <c r="C62" s="4" t="s">
        <v>116</v>
      </c>
      <c r="D62" s="3" t="s">
        <v>9</v>
      </c>
      <c r="E62" s="3" t="s">
        <v>9</v>
      </c>
      <c r="F62" s="11">
        <v>1255.539278</v>
      </c>
      <c r="G62" s="12">
        <v>0.974337118</v>
      </c>
      <c r="H62" s="164"/>
    </row>
    <row r="63" spans="1:8" x14ac:dyDescent="0.2">
      <c r="A63" s="3" t="s">
        <v>9</v>
      </c>
      <c r="B63" s="3" t="s">
        <v>9</v>
      </c>
      <c r="C63" s="13" t="s">
        <v>9</v>
      </c>
      <c r="D63" s="3" t="s">
        <v>9</v>
      </c>
      <c r="E63" s="3" t="s">
        <v>9</v>
      </c>
      <c r="F63" s="14" t="s">
        <v>9</v>
      </c>
      <c r="G63" s="14" t="s">
        <v>9</v>
      </c>
      <c r="H63" s="164"/>
    </row>
    <row r="64" spans="1:8" x14ac:dyDescent="0.2">
      <c r="A64" s="3" t="s">
        <v>9</v>
      </c>
      <c r="B64" s="3" t="s">
        <v>9</v>
      </c>
      <c r="C64" s="4" t="s">
        <v>117</v>
      </c>
      <c r="D64" s="3" t="s">
        <v>9</v>
      </c>
      <c r="E64" s="3" t="s">
        <v>9</v>
      </c>
      <c r="F64" s="14" t="s">
        <v>9</v>
      </c>
      <c r="G64" s="14" t="s">
        <v>9</v>
      </c>
      <c r="H64" s="164"/>
    </row>
    <row r="65" spans="1:8" ht="25.5" x14ac:dyDescent="0.2">
      <c r="A65" s="3" t="s">
        <v>9</v>
      </c>
      <c r="B65" s="3" t="s">
        <v>9</v>
      </c>
      <c r="C65" s="4" t="s">
        <v>11</v>
      </c>
      <c r="D65" s="3" t="s">
        <v>9</v>
      </c>
      <c r="E65" s="3" t="s">
        <v>9</v>
      </c>
      <c r="F65" s="14" t="s">
        <v>9</v>
      </c>
      <c r="G65" s="14" t="s">
        <v>9</v>
      </c>
      <c r="H65" s="164"/>
    </row>
    <row r="66" spans="1:8" x14ac:dyDescent="0.2">
      <c r="A66" s="3" t="s">
        <v>9</v>
      </c>
      <c r="B66" s="3" t="s">
        <v>9</v>
      </c>
      <c r="C66" s="4" t="s">
        <v>110</v>
      </c>
      <c r="D66" s="3" t="s">
        <v>9</v>
      </c>
      <c r="E66" s="3" t="s">
        <v>9</v>
      </c>
      <c r="F66" s="15">
        <v>0</v>
      </c>
      <c r="G66" s="16">
        <v>0</v>
      </c>
      <c r="H66" s="164"/>
    </row>
    <row r="67" spans="1:8" x14ac:dyDescent="0.2">
      <c r="A67" s="3" t="s">
        <v>9</v>
      </c>
      <c r="B67" s="3" t="s">
        <v>9</v>
      </c>
      <c r="C67" s="13" t="s">
        <v>9</v>
      </c>
      <c r="D67" s="3" t="s">
        <v>9</v>
      </c>
      <c r="E67" s="3" t="s">
        <v>9</v>
      </c>
      <c r="F67" s="14" t="s">
        <v>9</v>
      </c>
      <c r="G67" s="14" t="s">
        <v>9</v>
      </c>
      <c r="H67" s="164"/>
    </row>
    <row r="68" spans="1:8" x14ac:dyDescent="0.2">
      <c r="A68" s="3" t="s">
        <v>9</v>
      </c>
      <c r="B68" s="3" t="s">
        <v>9</v>
      </c>
      <c r="C68" s="4" t="s">
        <v>118</v>
      </c>
      <c r="D68" s="3" t="s">
        <v>9</v>
      </c>
      <c r="E68" s="3" t="s">
        <v>9</v>
      </c>
      <c r="F68" s="3" t="s">
        <v>9</v>
      </c>
      <c r="G68" s="3" t="s">
        <v>9</v>
      </c>
      <c r="H68" s="164"/>
    </row>
    <row r="69" spans="1:8" x14ac:dyDescent="0.2">
      <c r="A69" s="3" t="s">
        <v>9</v>
      </c>
      <c r="B69" s="3" t="s">
        <v>9</v>
      </c>
      <c r="C69" s="4" t="s">
        <v>110</v>
      </c>
      <c r="D69" s="3" t="s">
        <v>9</v>
      </c>
      <c r="E69" s="3" t="s">
        <v>9</v>
      </c>
      <c r="F69" s="15">
        <v>0</v>
      </c>
      <c r="G69" s="16">
        <v>0</v>
      </c>
      <c r="H69" s="164"/>
    </row>
    <row r="70" spans="1:8" x14ac:dyDescent="0.2">
      <c r="A70" s="3" t="s">
        <v>9</v>
      </c>
      <c r="B70" s="3" t="s">
        <v>9</v>
      </c>
      <c r="C70" s="13" t="s">
        <v>9</v>
      </c>
      <c r="D70" s="3" t="s">
        <v>9</v>
      </c>
      <c r="E70" s="3" t="s">
        <v>9</v>
      </c>
      <c r="F70" s="14" t="s">
        <v>9</v>
      </c>
      <c r="G70" s="14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119</v>
      </c>
      <c r="D71" s="3" t="s">
        <v>9</v>
      </c>
      <c r="E71" s="3" t="s">
        <v>9</v>
      </c>
      <c r="F71" s="3" t="s">
        <v>9</v>
      </c>
      <c r="G71" s="3" t="s">
        <v>9</v>
      </c>
      <c r="H71" s="164"/>
    </row>
    <row r="72" spans="1:8" x14ac:dyDescent="0.2">
      <c r="A72" s="3" t="s">
        <v>9</v>
      </c>
      <c r="B72" s="3" t="s">
        <v>9</v>
      </c>
      <c r="C72" s="4" t="s">
        <v>110</v>
      </c>
      <c r="D72" s="3" t="s">
        <v>9</v>
      </c>
      <c r="E72" s="3" t="s">
        <v>9</v>
      </c>
      <c r="F72" s="15">
        <v>0</v>
      </c>
      <c r="G72" s="16">
        <v>0</v>
      </c>
      <c r="H72" s="164"/>
    </row>
    <row r="73" spans="1:8" x14ac:dyDescent="0.2">
      <c r="A73" s="3" t="s">
        <v>9</v>
      </c>
      <c r="B73" s="3" t="s">
        <v>9</v>
      </c>
      <c r="C73" s="13" t="s">
        <v>9</v>
      </c>
      <c r="D73" s="3" t="s">
        <v>9</v>
      </c>
      <c r="E73" s="3" t="s">
        <v>9</v>
      </c>
      <c r="F73" s="14" t="s">
        <v>9</v>
      </c>
      <c r="G73" s="14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120</v>
      </c>
      <c r="D74" s="3" t="s">
        <v>9</v>
      </c>
      <c r="E74" s="3" t="s">
        <v>9</v>
      </c>
      <c r="F74" s="14" t="s">
        <v>9</v>
      </c>
      <c r="G74" s="14" t="s">
        <v>9</v>
      </c>
      <c r="H74" s="164"/>
    </row>
    <row r="75" spans="1:8" x14ac:dyDescent="0.2">
      <c r="A75" s="3" t="s">
        <v>9</v>
      </c>
      <c r="B75" s="3" t="s">
        <v>9</v>
      </c>
      <c r="C75" s="4" t="s">
        <v>110</v>
      </c>
      <c r="D75" s="3" t="s">
        <v>9</v>
      </c>
      <c r="E75" s="3" t="s">
        <v>9</v>
      </c>
      <c r="F75" s="15">
        <v>0</v>
      </c>
      <c r="G75" s="16">
        <v>0</v>
      </c>
      <c r="H75" s="164"/>
    </row>
    <row r="76" spans="1:8" x14ac:dyDescent="0.2">
      <c r="A76" s="3" t="s">
        <v>9</v>
      </c>
      <c r="B76" s="3" t="s">
        <v>9</v>
      </c>
      <c r="C76" s="13" t="s">
        <v>9</v>
      </c>
      <c r="D76" s="3" t="s">
        <v>9</v>
      </c>
      <c r="E76" s="3" t="s">
        <v>9</v>
      </c>
      <c r="F76" s="14" t="s">
        <v>9</v>
      </c>
      <c r="G76" s="14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121</v>
      </c>
      <c r="D77" s="3" t="s">
        <v>9</v>
      </c>
      <c r="E77" s="3" t="s">
        <v>9</v>
      </c>
      <c r="F77" s="11">
        <v>0</v>
      </c>
      <c r="G77" s="12">
        <v>0</v>
      </c>
      <c r="H77" s="164"/>
    </row>
    <row r="78" spans="1:8" x14ac:dyDescent="0.2">
      <c r="A78" s="3" t="s">
        <v>9</v>
      </c>
      <c r="B78" s="3" t="s">
        <v>9</v>
      </c>
      <c r="C78" s="13" t="s">
        <v>9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x14ac:dyDescent="0.2">
      <c r="A79" s="3" t="s">
        <v>9</v>
      </c>
      <c r="B79" s="3" t="s">
        <v>9</v>
      </c>
      <c r="C79" s="4" t="s">
        <v>122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123</v>
      </c>
      <c r="D80" s="3" t="s">
        <v>9</v>
      </c>
      <c r="E80" s="3" t="s">
        <v>9</v>
      </c>
      <c r="F80" s="14" t="s">
        <v>9</v>
      </c>
      <c r="G80" s="14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110</v>
      </c>
      <c r="D81" s="3" t="s">
        <v>9</v>
      </c>
      <c r="E81" s="3" t="s">
        <v>9</v>
      </c>
      <c r="F81" s="15">
        <v>0</v>
      </c>
      <c r="G81" s="16">
        <v>0</v>
      </c>
      <c r="H81" s="164"/>
    </row>
    <row r="82" spans="1:8" x14ac:dyDescent="0.2">
      <c r="A82" s="3" t="s">
        <v>9</v>
      </c>
      <c r="B82" s="3" t="s">
        <v>9</v>
      </c>
      <c r="C82" s="13" t="s">
        <v>9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124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110</v>
      </c>
      <c r="D84" s="3" t="s">
        <v>9</v>
      </c>
      <c r="E84" s="3" t="s">
        <v>9</v>
      </c>
      <c r="F84" s="15">
        <v>0</v>
      </c>
      <c r="G84" s="16">
        <v>0</v>
      </c>
      <c r="H84" s="164"/>
    </row>
    <row r="85" spans="1:8" x14ac:dyDescent="0.2">
      <c r="A85" s="3" t="s">
        <v>9</v>
      </c>
      <c r="B85" s="3" t="s">
        <v>9</v>
      </c>
      <c r="C85" s="13" t="s">
        <v>9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125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110</v>
      </c>
      <c r="D87" s="3" t="s">
        <v>9</v>
      </c>
      <c r="E87" s="3" t="s">
        <v>9</v>
      </c>
      <c r="F87" s="15">
        <v>0</v>
      </c>
      <c r="G87" s="16">
        <v>0</v>
      </c>
      <c r="H87" s="164"/>
    </row>
    <row r="88" spans="1:8" x14ac:dyDescent="0.2">
      <c r="A88" s="3" t="s">
        <v>9</v>
      </c>
      <c r="B88" s="3" t="s">
        <v>9</v>
      </c>
      <c r="C88" s="13" t="s">
        <v>9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126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5">
        <v>1</v>
      </c>
      <c r="B90" s="6"/>
      <c r="C90" s="6" t="s">
        <v>127</v>
      </c>
      <c r="D90" s="6"/>
      <c r="E90" s="10" t="s">
        <v>9</v>
      </c>
      <c r="F90" s="8">
        <v>23.289138000000001</v>
      </c>
      <c r="G90" s="9">
        <v>1.8073088000000001E-2</v>
      </c>
      <c r="H90" s="90">
        <v>3.22</v>
      </c>
    </row>
    <row r="91" spans="1:8" x14ac:dyDescent="0.2">
      <c r="A91" s="5">
        <v>2</v>
      </c>
      <c r="B91" s="6"/>
      <c r="C91" s="6" t="s">
        <v>128</v>
      </c>
      <c r="D91" s="6"/>
      <c r="E91" s="10" t="s">
        <v>9</v>
      </c>
      <c r="F91" s="8">
        <v>6.5813803999999996</v>
      </c>
      <c r="G91" s="9">
        <v>5.1073539999999997E-3</v>
      </c>
      <c r="H91" s="90">
        <v>3.34</v>
      </c>
    </row>
    <row r="92" spans="1:8" x14ac:dyDescent="0.2">
      <c r="A92" s="3" t="s">
        <v>9</v>
      </c>
      <c r="B92" s="3" t="s">
        <v>9</v>
      </c>
      <c r="C92" s="4" t="s">
        <v>110</v>
      </c>
      <c r="D92" s="3" t="s">
        <v>9</v>
      </c>
      <c r="E92" s="3" t="s">
        <v>9</v>
      </c>
      <c r="F92" s="11">
        <v>29.870518400000002</v>
      </c>
      <c r="G92" s="12">
        <v>2.3180441999999999E-2</v>
      </c>
      <c r="H92" s="164"/>
    </row>
    <row r="93" spans="1:8" x14ac:dyDescent="0.2">
      <c r="A93" s="3" t="s">
        <v>9</v>
      </c>
      <c r="B93" s="3" t="s">
        <v>9</v>
      </c>
      <c r="C93" s="13" t="s">
        <v>9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129</v>
      </c>
      <c r="D94" s="3" t="s">
        <v>9</v>
      </c>
      <c r="E94" s="3" t="s">
        <v>9</v>
      </c>
      <c r="F94" s="11">
        <v>29.870518400000002</v>
      </c>
      <c r="G94" s="12">
        <v>2.3180441999999999E-2</v>
      </c>
      <c r="H94" s="164"/>
    </row>
    <row r="95" spans="1:8" x14ac:dyDescent="0.2">
      <c r="A95" s="3" t="s">
        <v>9</v>
      </c>
      <c r="B95" s="3" t="s">
        <v>9</v>
      </c>
      <c r="C95" s="14" t="s">
        <v>9</v>
      </c>
      <c r="D95" s="3" t="s">
        <v>9</v>
      </c>
      <c r="E95" s="3" t="s">
        <v>9</v>
      </c>
      <c r="F95" s="3" t="s">
        <v>9</v>
      </c>
      <c r="G95" s="3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130</v>
      </c>
      <c r="D96" s="3" t="s">
        <v>9</v>
      </c>
      <c r="E96" s="3" t="s">
        <v>9</v>
      </c>
      <c r="F96" s="3" t="s">
        <v>9</v>
      </c>
      <c r="G96" s="3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131</v>
      </c>
      <c r="D97" s="3" t="s">
        <v>9</v>
      </c>
      <c r="E97" s="3" t="s">
        <v>9</v>
      </c>
      <c r="F97" s="3" t="s">
        <v>9</v>
      </c>
      <c r="G97" s="3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110</v>
      </c>
      <c r="D98" s="3" t="s">
        <v>9</v>
      </c>
      <c r="E98" s="3" t="s">
        <v>9</v>
      </c>
      <c r="F98" s="15">
        <v>0</v>
      </c>
      <c r="G98" s="16">
        <v>0</v>
      </c>
      <c r="H98" s="164"/>
    </row>
    <row r="99" spans="1:8" x14ac:dyDescent="0.2">
      <c r="A99" s="3" t="s">
        <v>9</v>
      </c>
      <c r="B99" s="3" t="s">
        <v>9</v>
      </c>
      <c r="C99" s="13" t="s">
        <v>9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132</v>
      </c>
      <c r="D100" s="3" t="s">
        <v>9</v>
      </c>
      <c r="E100" s="3" t="s">
        <v>9</v>
      </c>
      <c r="F100" s="3" t="s">
        <v>9</v>
      </c>
      <c r="G100" s="3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133</v>
      </c>
      <c r="D101" s="3" t="s">
        <v>9</v>
      </c>
      <c r="E101" s="3" t="s">
        <v>9</v>
      </c>
      <c r="F101" s="3" t="s">
        <v>9</v>
      </c>
      <c r="G101" s="3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110</v>
      </c>
      <c r="D102" s="3" t="s">
        <v>9</v>
      </c>
      <c r="E102" s="3" t="s">
        <v>9</v>
      </c>
      <c r="F102" s="15">
        <v>0</v>
      </c>
      <c r="G102" s="16">
        <v>0</v>
      </c>
      <c r="H102" s="164"/>
    </row>
    <row r="103" spans="1:8" x14ac:dyDescent="0.2">
      <c r="A103" s="3" t="s">
        <v>9</v>
      </c>
      <c r="B103" s="3" t="s">
        <v>9</v>
      </c>
      <c r="C103" s="13" t="s">
        <v>9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x14ac:dyDescent="0.2">
      <c r="A104" s="3" t="s">
        <v>9</v>
      </c>
      <c r="B104" s="3" t="s">
        <v>9</v>
      </c>
      <c r="C104" s="13" t="s">
        <v>9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ht="25.5" x14ac:dyDescent="0.2">
      <c r="A105" s="3" t="s">
        <v>9</v>
      </c>
      <c r="B105" s="3" t="s">
        <v>9</v>
      </c>
      <c r="C105" s="4" t="s">
        <v>134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110</v>
      </c>
      <c r="D106" s="3" t="s">
        <v>9</v>
      </c>
      <c r="E106" s="3" t="s">
        <v>9</v>
      </c>
      <c r="F106" s="15">
        <v>0</v>
      </c>
      <c r="G106" s="16">
        <v>0</v>
      </c>
      <c r="H106" s="164"/>
    </row>
    <row r="107" spans="1:8" x14ac:dyDescent="0.2">
      <c r="A107" s="3" t="s">
        <v>9</v>
      </c>
      <c r="B107" s="3" t="s">
        <v>9</v>
      </c>
      <c r="C107" s="13" t="s">
        <v>9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6" t="s">
        <v>9</v>
      </c>
      <c r="C108" s="6" t="s">
        <v>9</v>
      </c>
      <c r="D108" s="4" t="s">
        <v>9</v>
      </c>
      <c r="E108" s="3" t="s">
        <v>9</v>
      </c>
      <c r="F108" s="6" t="s">
        <v>9</v>
      </c>
      <c r="G108" s="10" t="s">
        <v>9</v>
      </c>
      <c r="H108" s="164"/>
    </row>
    <row r="109" spans="1:8" x14ac:dyDescent="0.2">
      <c r="A109" s="10" t="s">
        <v>9</v>
      </c>
      <c r="B109" s="6" t="s">
        <v>9</v>
      </c>
      <c r="C109" s="6" t="s">
        <v>135</v>
      </c>
      <c r="D109" s="6" t="s">
        <v>9</v>
      </c>
      <c r="E109" s="10" t="s">
        <v>9</v>
      </c>
      <c r="F109" s="8">
        <v>3.1988966900000002</v>
      </c>
      <c r="G109" s="9">
        <v>2.4824420000000001E-3</v>
      </c>
      <c r="H109" s="164"/>
    </row>
    <row r="110" spans="1:8" x14ac:dyDescent="0.2">
      <c r="A110" s="13" t="s">
        <v>9</v>
      </c>
      <c r="B110" s="13" t="s">
        <v>9</v>
      </c>
      <c r="C110" s="4" t="s">
        <v>136</v>
      </c>
      <c r="D110" s="17" t="s">
        <v>9</v>
      </c>
      <c r="E110" s="17" t="s">
        <v>9</v>
      </c>
      <c r="F110" s="11">
        <v>1288.6086930900001</v>
      </c>
      <c r="G110" s="12">
        <v>1.0000000019999999</v>
      </c>
      <c r="H110" s="164"/>
    </row>
    <row r="111" spans="1:8" ht="14.1" customHeight="1" x14ac:dyDescent="0.2">
      <c r="A111" s="18" t="s">
        <v>9</v>
      </c>
      <c r="B111" s="18" t="s">
        <v>9</v>
      </c>
      <c r="C111" s="18" t="s">
        <v>9</v>
      </c>
      <c r="D111" s="19" t="s">
        <v>9</v>
      </c>
      <c r="E111" s="19" t="s">
        <v>9</v>
      </c>
      <c r="F111" s="19" t="s">
        <v>9</v>
      </c>
      <c r="G111" s="19" t="s">
        <v>9</v>
      </c>
    </row>
    <row r="112" spans="1:8" ht="14.1" customHeight="1" x14ac:dyDescent="0.2">
      <c r="A112" s="20" t="s">
        <v>9</v>
      </c>
      <c r="B112" s="228" t="s">
        <v>9</v>
      </c>
      <c r="C112" s="228"/>
      <c r="D112" s="228"/>
      <c r="E112" s="228"/>
      <c r="F112" s="228"/>
      <c r="G112" s="22" t="s">
        <v>9</v>
      </c>
    </row>
    <row r="113" spans="1:7" ht="14.1" customHeight="1" x14ac:dyDescent="0.2">
      <c r="A113" s="20" t="s">
        <v>9</v>
      </c>
      <c r="B113" s="228" t="s">
        <v>9</v>
      </c>
      <c r="C113" s="228"/>
      <c r="D113" s="228"/>
      <c r="E113" s="228"/>
      <c r="F113" s="228"/>
      <c r="G113" s="22" t="s">
        <v>9</v>
      </c>
    </row>
    <row r="114" spans="1:7" ht="14.1" customHeight="1" x14ac:dyDescent="0.2">
      <c r="A114" s="20" t="s">
        <v>9</v>
      </c>
      <c r="B114" s="20" t="s">
        <v>9</v>
      </c>
      <c r="C114" s="20" t="s">
        <v>9</v>
      </c>
      <c r="D114" s="22" t="s">
        <v>9</v>
      </c>
      <c r="E114" s="22" t="s">
        <v>9</v>
      </c>
      <c r="F114" s="22" t="s">
        <v>9</v>
      </c>
      <c r="G114" s="22" t="s">
        <v>9</v>
      </c>
    </row>
    <row r="115" spans="1:7" ht="14.1" customHeight="1" x14ac:dyDescent="0.2">
      <c r="A115" s="20" t="s">
        <v>9</v>
      </c>
      <c r="B115" s="226" t="s">
        <v>138</v>
      </c>
      <c r="C115" s="227"/>
      <c r="D115" s="14" t="s">
        <v>9</v>
      </c>
      <c r="E115" s="23" t="s">
        <v>9</v>
      </c>
      <c r="F115" s="22" t="s">
        <v>9</v>
      </c>
      <c r="G115" s="22" t="s">
        <v>9</v>
      </c>
    </row>
    <row r="116" spans="1:7" ht="29.1" customHeight="1" x14ac:dyDescent="0.2">
      <c r="A116" s="20" t="s">
        <v>9</v>
      </c>
      <c r="B116" s="233" t="s">
        <v>139</v>
      </c>
      <c r="C116" s="234"/>
      <c r="D116" s="4" t="s">
        <v>140</v>
      </c>
      <c r="E116" s="23" t="s">
        <v>9</v>
      </c>
      <c r="F116" s="22" t="s">
        <v>9</v>
      </c>
      <c r="G116" s="22" t="s">
        <v>9</v>
      </c>
    </row>
    <row r="117" spans="1:7" ht="17.100000000000001" customHeight="1" x14ac:dyDescent="0.2">
      <c r="A117" s="20" t="s">
        <v>9</v>
      </c>
      <c r="B117" s="233" t="s">
        <v>141</v>
      </c>
      <c r="C117" s="234"/>
      <c r="D117" s="4" t="s">
        <v>140</v>
      </c>
      <c r="E117" s="23" t="s">
        <v>9</v>
      </c>
      <c r="F117" s="22" t="s">
        <v>9</v>
      </c>
      <c r="G117" s="22" t="s">
        <v>9</v>
      </c>
    </row>
    <row r="118" spans="1:7" ht="17.100000000000001" customHeight="1" x14ac:dyDescent="0.2">
      <c r="A118" s="20" t="s">
        <v>9</v>
      </c>
      <c r="B118" s="233" t="s">
        <v>142</v>
      </c>
      <c r="C118" s="234"/>
      <c r="D118" s="14" t="s">
        <v>9</v>
      </c>
      <c r="E118" s="23" t="s">
        <v>9</v>
      </c>
      <c r="F118" s="22" t="s">
        <v>9</v>
      </c>
      <c r="G118" s="22" t="s">
        <v>9</v>
      </c>
    </row>
    <row r="119" spans="1:7" ht="24" customHeight="1" x14ac:dyDescent="0.2">
      <c r="A119" s="24" t="s">
        <v>9</v>
      </c>
      <c r="B119" s="25" t="s">
        <v>9</v>
      </c>
      <c r="C119" s="25" t="s">
        <v>143</v>
      </c>
      <c r="D119" s="25" t="s">
        <v>144</v>
      </c>
      <c r="E119" s="24" t="s">
        <v>9</v>
      </c>
      <c r="F119" s="24" t="s">
        <v>9</v>
      </c>
      <c r="G119" s="24" t="s">
        <v>9</v>
      </c>
    </row>
    <row r="120" spans="1:7" ht="18" customHeight="1" x14ac:dyDescent="0.2">
      <c r="A120" s="24" t="s">
        <v>9</v>
      </c>
      <c r="B120" s="25" t="s">
        <v>145</v>
      </c>
      <c r="C120" s="25" t="s">
        <v>146</v>
      </c>
      <c r="D120" s="25" t="s">
        <v>147</v>
      </c>
      <c r="E120" s="24" t="s">
        <v>9</v>
      </c>
      <c r="F120" s="24" t="s">
        <v>9</v>
      </c>
      <c r="G120" s="24" t="s">
        <v>9</v>
      </c>
    </row>
    <row r="121" spans="1:7" ht="17.100000000000001" customHeight="1" x14ac:dyDescent="0.2">
      <c r="A121" s="24" t="s">
        <v>9</v>
      </c>
      <c r="B121" s="6" t="s">
        <v>148</v>
      </c>
      <c r="C121" s="26">
        <v>21.591699999999999</v>
      </c>
      <c r="D121" s="26">
        <v>21.910599999999999</v>
      </c>
      <c r="E121" s="24" t="s">
        <v>9</v>
      </c>
      <c r="F121" s="21" t="s">
        <v>9</v>
      </c>
      <c r="G121" s="27" t="s">
        <v>9</v>
      </c>
    </row>
    <row r="122" spans="1:7" ht="17.100000000000001" customHeight="1" x14ac:dyDescent="0.2">
      <c r="A122" s="24" t="s">
        <v>9</v>
      </c>
      <c r="B122" s="6" t="s">
        <v>839</v>
      </c>
      <c r="C122" s="26">
        <v>17.494499999999999</v>
      </c>
      <c r="D122" s="26">
        <v>17.752800000000001</v>
      </c>
      <c r="E122" s="24" t="s">
        <v>9</v>
      </c>
      <c r="F122" s="21" t="s">
        <v>9</v>
      </c>
      <c r="G122" s="27" t="s">
        <v>9</v>
      </c>
    </row>
    <row r="123" spans="1:7" ht="17.100000000000001" customHeight="1" x14ac:dyDescent="0.2">
      <c r="A123" s="24" t="s">
        <v>9</v>
      </c>
      <c r="B123" s="6" t="s">
        <v>149</v>
      </c>
      <c r="C123" s="26">
        <v>21.119399999999999</v>
      </c>
      <c r="D123" s="26">
        <v>21.428100000000001</v>
      </c>
      <c r="E123" s="24" t="s">
        <v>9</v>
      </c>
      <c r="F123" s="21" t="s">
        <v>9</v>
      </c>
      <c r="G123" s="27" t="s">
        <v>9</v>
      </c>
    </row>
    <row r="124" spans="1:7" ht="17.100000000000001" customHeight="1" x14ac:dyDescent="0.2">
      <c r="A124" s="24" t="s">
        <v>9</v>
      </c>
      <c r="B124" s="6" t="s">
        <v>840</v>
      </c>
      <c r="C124" s="26">
        <v>17.045999999999999</v>
      </c>
      <c r="D124" s="26">
        <v>17.295200000000001</v>
      </c>
      <c r="E124" s="24" t="s">
        <v>9</v>
      </c>
      <c r="F124" s="21" t="s">
        <v>9</v>
      </c>
      <c r="G124" s="27" t="s">
        <v>9</v>
      </c>
    </row>
    <row r="125" spans="1:7" ht="14.1" customHeight="1" x14ac:dyDescent="0.2">
      <c r="A125" s="24" t="s">
        <v>9</v>
      </c>
      <c r="B125" s="24" t="s">
        <v>9</v>
      </c>
      <c r="C125" s="24" t="s">
        <v>9</v>
      </c>
      <c r="D125" s="24" t="s">
        <v>9</v>
      </c>
      <c r="E125" s="24" t="s">
        <v>9</v>
      </c>
      <c r="F125" s="24" t="s">
        <v>9</v>
      </c>
      <c r="G125" s="24" t="s">
        <v>9</v>
      </c>
    </row>
    <row r="126" spans="1:7" ht="17.100000000000001" customHeight="1" x14ac:dyDescent="0.2">
      <c r="A126" s="24" t="s">
        <v>9</v>
      </c>
      <c r="B126" s="233" t="s">
        <v>1003</v>
      </c>
      <c r="C126" s="234"/>
      <c r="D126" s="4" t="s">
        <v>140</v>
      </c>
      <c r="E126" s="24" t="s">
        <v>9</v>
      </c>
      <c r="F126" s="24" t="s">
        <v>9</v>
      </c>
      <c r="G126" s="24" t="s">
        <v>9</v>
      </c>
    </row>
    <row r="127" spans="1:7" ht="18" customHeight="1" x14ac:dyDescent="0.2">
      <c r="A127" s="24" t="s">
        <v>9</v>
      </c>
      <c r="B127" s="28" t="s">
        <v>150</v>
      </c>
      <c r="C127" s="28" t="s">
        <v>150</v>
      </c>
      <c r="D127" s="28" t="s">
        <v>9</v>
      </c>
      <c r="E127" s="24" t="s">
        <v>9</v>
      </c>
      <c r="F127" s="24" t="s">
        <v>9</v>
      </c>
      <c r="G127" s="24" t="s">
        <v>9</v>
      </c>
    </row>
    <row r="128" spans="1:7" s="169" customFormat="1" x14ac:dyDescent="0.2">
      <c r="B128" s="235" t="s">
        <v>841</v>
      </c>
      <c r="C128" s="235"/>
      <c r="D128" s="235"/>
      <c r="E128" s="235"/>
      <c r="F128" s="235"/>
    </row>
    <row r="129" spans="1:7" ht="14.1" customHeight="1" x14ac:dyDescent="0.2">
      <c r="A129" s="24" t="s">
        <v>9</v>
      </c>
      <c r="B129" s="21" t="s">
        <v>9</v>
      </c>
      <c r="C129" s="21" t="s">
        <v>9</v>
      </c>
      <c r="D129" s="24" t="s">
        <v>9</v>
      </c>
      <c r="E129" s="24" t="s">
        <v>9</v>
      </c>
      <c r="F129" s="24" t="s">
        <v>9</v>
      </c>
      <c r="G129" s="24" t="s">
        <v>9</v>
      </c>
    </row>
    <row r="130" spans="1:7" ht="29.1" customHeight="1" x14ac:dyDescent="0.2">
      <c r="A130" s="24" t="s">
        <v>9</v>
      </c>
      <c r="B130" s="233" t="s">
        <v>151</v>
      </c>
      <c r="C130" s="234"/>
      <c r="D130" s="4" t="s">
        <v>140</v>
      </c>
      <c r="E130" s="24" t="s">
        <v>9</v>
      </c>
      <c r="F130" s="24" t="s">
        <v>9</v>
      </c>
      <c r="G130" s="24" t="s">
        <v>9</v>
      </c>
    </row>
    <row r="131" spans="1:7" ht="29.1" customHeight="1" x14ac:dyDescent="0.2">
      <c r="A131" s="24" t="s">
        <v>9</v>
      </c>
      <c r="B131" s="233" t="s">
        <v>152</v>
      </c>
      <c r="C131" s="234"/>
      <c r="D131" s="4" t="s">
        <v>140</v>
      </c>
      <c r="E131" s="24" t="s">
        <v>9</v>
      </c>
      <c r="F131" s="24" t="s">
        <v>9</v>
      </c>
      <c r="G131" s="24" t="s">
        <v>9</v>
      </c>
    </row>
    <row r="132" spans="1:7" ht="17.100000000000001" customHeight="1" x14ac:dyDescent="0.2">
      <c r="A132" s="24" t="s">
        <v>9</v>
      </c>
      <c r="B132" s="233" t="s">
        <v>153</v>
      </c>
      <c r="C132" s="234"/>
      <c r="D132" s="29">
        <v>0.2731357084134951</v>
      </c>
      <c r="E132" s="24" t="s">
        <v>9</v>
      </c>
      <c r="F132" s="21" t="s">
        <v>9</v>
      </c>
      <c r="G132" s="27" t="s">
        <v>9</v>
      </c>
    </row>
    <row r="133" spans="1:7" ht="17.100000000000001" customHeight="1" x14ac:dyDescent="0.2">
      <c r="A133" s="24" t="s">
        <v>9</v>
      </c>
      <c r="B133" s="233" t="s">
        <v>154</v>
      </c>
      <c r="C133" s="234"/>
      <c r="D133" s="4" t="s">
        <v>140</v>
      </c>
      <c r="E133" s="24" t="s">
        <v>9</v>
      </c>
      <c r="F133" s="24" t="s">
        <v>9</v>
      </c>
      <c r="G133" s="24" t="s">
        <v>9</v>
      </c>
    </row>
  </sheetData>
  <mergeCells count="15">
    <mergeCell ref="B132:C132"/>
    <mergeCell ref="B133:C133"/>
    <mergeCell ref="B116:C116"/>
    <mergeCell ref="B117:C117"/>
    <mergeCell ref="B118:C118"/>
    <mergeCell ref="B126:C126"/>
    <mergeCell ref="B130:C130"/>
    <mergeCell ref="B131:C131"/>
    <mergeCell ref="B128:F128"/>
    <mergeCell ref="B115:C115"/>
    <mergeCell ref="B112:F112"/>
    <mergeCell ref="B113:F11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H157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509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23204</v>
      </c>
      <c r="F7" s="8">
        <v>290.537284</v>
      </c>
      <c r="G7" s="9">
        <v>3.3548317000000001E-2</v>
      </c>
      <c r="H7" s="164"/>
    </row>
    <row r="8" spans="1:8" x14ac:dyDescent="0.2">
      <c r="A8" s="5">
        <v>2</v>
      </c>
      <c r="B8" s="6" t="s">
        <v>471</v>
      </c>
      <c r="C8" s="6" t="s">
        <v>472</v>
      </c>
      <c r="D8" s="6" t="s">
        <v>200</v>
      </c>
      <c r="E8" s="7">
        <v>54116</v>
      </c>
      <c r="F8" s="8">
        <v>289.57471600000002</v>
      </c>
      <c r="G8" s="9">
        <v>3.3437169000000003E-2</v>
      </c>
      <c r="H8" s="164"/>
    </row>
    <row r="9" spans="1:8" x14ac:dyDescent="0.2">
      <c r="A9" s="5">
        <v>3</v>
      </c>
      <c r="B9" s="6" t="s">
        <v>156</v>
      </c>
      <c r="C9" s="6" t="s">
        <v>157</v>
      </c>
      <c r="D9" s="6" t="s">
        <v>158</v>
      </c>
      <c r="E9" s="7">
        <v>7651</v>
      </c>
      <c r="F9" s="8">
        <v>279.81619749999999</v>
      </c>
      <c r="G9" s="9">
        <v>3.2310353999999999E-2</v>
      </c>
      <c r="H9" s="164"/>
    </row>
    <row r="10" spans="1:8" x14ac:dyDescent="0.2">
      <c r="A10" s="5">
        <v>4</v>
      </c>
      <c r="B10" s="6" t="s">
        <v>166</v>
      </c>
      <c r="C10" s="6" t="s">
        <v>167</v>
      </c>
      <c r="D10" s="6" t="s">
        <v>927</v>
      </c>
      <c r="E10" s="7">
        <v>23395</v>
      </c>
      <c r="F10" s="8">
        <v>277.7571375</v>
      </c>
      <c r="G10" s="9">
        <v>3.2072594000000003E-2</v>
      </c>
      <c r="H10" s="164"/>
    </row>
    <row r="11" spans="1:8" x14ac:dyDescent="0.2">
      <c r="A11" s="5">
        <v>5</v>
      </c>
      <c r="B11" s="6" t="s">
        <v>164</v>
      </c>
      <c r="C11" s="6" t="s">
        <v>165</v>
      </c>
      <c r="D11" s="6" t="s">
        <v>28</v>
      </c>
      <c r="E11" s="7">
        <v>36203</v>
      </c>
      <c r="F11" s="8">
        <v>276.79003649999999</v>
      </c>
      <c r="G11" s="9">
        <v>3.1960923000000002E-2</v>
      </c>
      <c r="H11" s="164"/>
    </row>
    <row r="12" spans="1:8" x14ac:dyDescent="0.2">
      <c r="A12" s="5">
        <v>6</v>
      </c>
      <c r="B12" s="6" t="s">
        <v>159</v>
      </c>
      <c r="C12" s="6" t="s">
        <v>160</v>
      </c>
      <c r="D12" s="6" t="s">
        <v>161</v>
      </c>
      <c r="E12" s="7">
        <v>193699</v>
      </c>
      <c r="F12" s="8">
        <v>249.58116150000001</v>
      </c>
      <c r="G12" s="9">
        <v>2.8819117000000002E-2</v>
      </c>
      <c r="H12" s="164"/>
    </row>
    <row r="13" spans="1:8" x14ac:dyDescent="0.2">
      <c r="A13" s="5">
        <v>7</v>
      </c>
      <c r="B13" s="6" t="s">
        <v>193</v>
      </c>
      <c r="C13" s="6" t="s">
        <v>194</v>
      </c>
      <c r="D13" s="6" t="s">
        <v>195</v>
      </c>
      <c r="E13" s="7">
        <v>35470</v>
      </c>
      <c r="F13" s="8">
        <v>230.90969999999999</v>
      </c>
      <c r="G13" s="9">
        <v>2.6663124999999999E-2</v>
      </c>
      <c r="H13" s="164"/>
    </row>
    <row r="14" spans="1:8" x14ac:dyDescent="0.2">
      <c r="A14" s="5">
        <v>8</v>
      </c>
      <c r="B14" s="6" t="s">
        <v>205</v>
      </c>
      <c r="C14" s="6" t="s">
        <v>206</v>
      </c>
      <c r="D14" s="6" t="s">
        <v>207</v>
      </c>
      <c r="E14" s="7">
        <v>83608</v>
      </c>
      <c r="F14" s="8">
        <v>224.44567599999999</v>
      </c>
      <c r="G14" s="9">
        <v>2.5916723999999999E-2</v>
      </c>
      <c r="H14" s="164"/>
    </row>
    <row r="15" spans="1:8" x14ac:dyDescent="0.2">
      <c r="A15" s="5">
        <v>9</v>
      </c>
      <c r="B15" s="6" t="s">
        <v>168</v>
      </c>
      <c r="C15" s="6" t="s">
        <v>169</v>
      </c>
      <c r="D15" s="6" t="s">
        <v>28</v>
      </c>
      <c r="E15" s="7">
        <v>30438</v>
      </c>
      <c r="F15" s="8">
        <v>215.74454399999999</v>
      </c>
      <c r="G15" s="9">
        <v>2.4912005000000001E-2</v>
      </c>
      <c r="H15" s="164"/>
    </row>
    <row r="16" spans="1:8" x14ac:dyDescent="0.2">
      <c r="A16" s="5">
        <v>10</v>
      </c>
      <c r="B16" s="6" t="s">
        <v>185</v>
      </c>
      <c r="C16" s="6" t="s">
        <v>186</v>
      </c>
      <c r="D16" s="6" t="s">
        <v>45</v>
      </c>
      <c r="E16" s="7">
        <v>44883</v>
      </c>
      <c r="F16" s="8">
        <v>211.578462</v>
      </c>
      <c r="G16" s="9">
        <v>2.4430948000000001E-2</v>
      </c>
      <c r="H16" s="164"/>
    </row>
    <row r="17" spans="1:8" x14ac:dyDescent="0.2">
      <c r="A17" s="5">
        <v>11</v>
      </c>
      <c r="B17" s="6" t="s">
        <v>187</v>
      </c>
      <c r="C17" s="6" t="s">
        <v>188</v>
      </c>
      <c r="D17" s="6" t="s">
        <v>182</v>
      </c>
      <c r="E17" s="7">
        <v>82902</v>
      </c>
      <c r="F17" s="8">
        <v>207.420804</v>
      </c>
      <c r="G17" s="9">
        <v>2.3950863999999999E-2</v>
      </c>
      <c r="H17" s="164"/>
    </row>
    <row r="18" spans="1:8" x14ac:dyDescent="0.2">
      <c r="A18" s="5">
        <v>12</v>
      </c>
      <c r="B18" s="6" t="s">
        <v>175</v>
      </c>
      <c r="C18" s="6" t="s">
        <v>176</v>
      </c>
      <c r="D18" s="6" t="s">
        <v>62</v>
      </c>
      <c r="E18" s="7">
        <v>47942</v>
      </c>
      <c r="F18" s="8">
        <v>202.650834</v>
      </c>
      <c r="G18" s="9">
        <v>2.3400075999999999E-2</v>
      </c>
      <c r="H18" s="164"/>
    </row>
    <row r="19" spans="1:8" x14ac:dyDescent="0.2">
      <c r="A19" s="5">
        <v>13</v>
      </c>
      <c r="B19" s="6" t="s">
        <v>177</v>
      </c>
      <c r="C19" s="6" t="s">
        <v>178</v>
      </c>
      <c r="D19" s="6" t="s">
        <v>179</v>
      </c>
      <c r="E19" s="7">
        <v>70770</v>
      </c>
      <c r="F19" s="8">
        <v>199.394475</v>
      </c>
      <c r="G19" s="9">
        <v>2.3024064E-2</v>
      </c>
      <c r="H19" s="164"/>
    </row>
    <row r="20" spans="1:8" ht="25.5" x14ac:dyDescent="0.2">
      <c r="A20" s="5">
        <v>14</v>
      </c>
      <c r="B20" s="6" t="s">
        <v>453</v>
      </c>
      <c r="C20" s="6" t="s">
        <v>454</v>
      </c>
      <c r="D20" s="6" t="s">
        <v>40</v>
      </c>
      <c r="E20" s="7">
        <v>15552</v>
      </c>
      <c r="F20" s="8">
        <v>195.37200000000001</v>
      </c>
      <c r="G20" s="9">
        <v>2.2559589000000001E-2</v>
      </c>
      <c r="H20" s="164"/>
    </row>
    <row r="21" spans="1:8" x14ac:dyDescent="0.2">
      <c r="A21" s="5">
        <v>15</v>
      </c>
      <c r="B21" s="6" t="s">
        <v>198</v>
      </c>
      <c r="C21" s="6" t="s">
        <v>199</v>
      </c>
      <c r="D21" s="6" t="s">
        <v>200</v>
      </c>
      <c r="E21" s="7">
        <v>42854</v>
      </c>
      <c r="F21" s="8">
        <v>192.714438</v>
      </c>
      <c r="G21" s="9">
        <v>2.2252721E-2</v>
      </c>
      <c r="H21" s="164"/>
    </row>
    <row r="22" spans="1:8" ht="25.5" x14ac:dyDescent="0.2">
      <c r="A22" s="5">
        <v>16</v>
      </c>
      <c r="B22" s="6" t="s">
        <v>201</v>
      </c>
      <c r="C22" s="6" t="s">
        <v>202</v>
      </c>
      <c r="D22" s="6" t="s">
        <v>67</v>
      </c>
      <c r="E22" s="7">
        <v>38459</v>
      </c>
      <c r="F22" s="8">
        <v>188.5067885</v>
      </c>
      <c r="G22" s="9">
        <v>2.1766864E-2</v>
      </c>
      <c r="H22" s="164"/>
    </row>
    <row r="23" spans="1:8" ht="25.5" x14ac:dyDescent="0.2">
      <c r="A23" s="5">
        <v>17</v>
      </c>
      <c r="B23" s="6" t="s">
        <v>29</v>
      </c>
      <c r="C23" s="6" t="s">
        <v>30</v>
      </c>
      <c r="D23" s="6" t="s">
        <v>925</v>
      </c>
      <c r="E23" s="7">
        <v>5492</v>
      </c>
      <c r="F23" s="8">
        <v>178.99251799999999</v>
      </c>
      <c r="G23" s="9">
        <v>2.0668252000000002E-2</v>
      </c>
      <c r="H23" s="164"/>
    </row>
    <row r="24" spans="1:8" x14ac:dyDescent="0.2">
      <c r="A24" s="5">
        <v>18</v>
      </c>
      <c r="B24" s="6" t="s">
        <v>180</v>
      </c>
      <c r="C24" s="6" t="s">
        <v>181</v>
      </c>
      <c r="D24" s="6" t="s">
        <v>182</v>
      </c>
      <c r="E24" s="7">
        <v>12359</v>
      </c>
      <c r="F24" s="8">
        <v>161.71133549999999</v>
      </c>
      <c r="G24" s="9">
        <v>1.8672794999999999E-2</v>
      </c>
      <c r="H24" s="164"/>
    </row>
    <row r="25" spans="1:8" x14ac:dyDescent="0.2">
      <c r="A25" s="5">
        <v>19</v>
      </c>
      <c r="B25" s="6" t="s">
        <v>203</v>
      </c>
      <c r="C25" s="6" t="s">
        <v>204</v>
      </c>
      <c r="D25" s="6" t="s">
        <v>179</v>
      </c>
      <c r="E25" s="7">
        <v>15206</v>
      </c>
      <c r="F25" s="8">
        <v>150.03760199999999</v>
      </c>
      <c r="G25" s="9">
        <v>1.7324829999999999E-2</v>
      </c>
      <c r="H25" s="164"/>
    </row>
    <row r="26" spans="1:8" x14ac:dyDescent="0.2">
      <c r="A26" s="5">
        <v>20</v>
      </c>
      <c r="B26" s="6" t="s">
        <v>51</v>
      </c>
      <c r="C26" s="6" t="s">
        <v>52</v>
      </c>
      <c r="D26" s="6" t="s">
        <v>926</v>
      </c>
      <c r="E26" s="7">
        <v>86109</v>
      </c>
      <c r="F26" s="8">
        <v>147.41860800000001</v>
      </c>
      <c r="G26" s="9">
        <v>1.7022414999999999E-2</v>
      </c>
      <c r="H26" s="164"/>
    </row>
    <row r="27" spans="1:8" ht="25.5" x14ac:dyDescent="0.2">
      <c r="A27" s="5">
        <v>21</v>
      </c>
      <c r="B27" s="6" t="s">
        <v>191</v>
      </c>
      <c r="C27" s="6" t="s">
        <v>192</v>
      </c>
      <c r="D27" s="6" t="s">
        <v>925</v>
      </c>
      <c r="E27" s="7">
        <v>54769</v>
      </c>
      <c r="F27" s="8">
        <v>144.9461585</v>
      </c>
      <c r="G27" s="9">
        <v>1.6736920999999998E-2</v>
      </c>
      <c r="H27" s="164"/>
    </row>
    <row r="28" spans="1:8" x14ac:dyDescent="0.2">
      <c r="A28" s="5">
        <v>22</v>
      </c>
      <c r="B28" s="6" t="s">
        <v>41</v>
      </c>
      <c r="C28" s="6" t="s">
        <v>42</v>
      </c>
      <c r="D28" s="6" t="s">
        <v>28</v>
      </c>
      <c r="E28" s="7">
        <v>12434</v>
      </c>
      <c r="F28" s="8">
        <v>144.12249399999999</v>
      </c>
      <c r="G28" s="9">
        <v>1.6641812999999998E-2</v>
      </c>
      <c r="H28" s="164"/>
    </row>
    <row r="29" spans="1:8" x14ac:dyDescent="0.2">
      <c r="A29" s="5">
        <v>23</v>
      </c>
      <c r="B29" s="6" t="s">
        <v>196</v>
      </c>
      <c r="C29" s="6" t="s">
        <v>197</v>
      </c>
      <c r="D29" s="6" t="s">
        <v>928</v>
      </c>
      <c r="E29" s="7">
        <v>42844</v>
      </c>
      <c r="F29" s="8">
        <v>139.47864200000001</v>
      </c>
      <c r="G29" s="9">
        <v>1.6105588000000001E-2</v>
      </c>
      <c r="H29" s="164"/>
    </row>
    <row r="30" spans="1:8" x14ac:dyDescent="0.2">
      <c r="A30" s="5">
        <v>24</v>
      </c>
      <c r="B30" s="6" t="s">
        <v>35</v>
      </c>
      <c r="C30" s="6" t="s">
        <v>36</v>
      </c>
      <c r="D30" s="6" t="s">
        <v>37</v>
      </c>
      <c r="E30" s="7">
        <v>40332</v>
      </c>
      <c r="F30" s="8">
        <v>131.58314999999999</v>
      </c>
      <c r="G30" s="9">
        <v>1.5193896E-2</v>
      </c>
      <c r="H30" s="164"/>
    </row>
    <row r="31" spans="1:8" x14ac:dyDescent="0.2">
      <c r="A31" s="5">
        <v>25</v>
      </c>
      <c r="B31" s="6" t="s">
        <v>60</v>
      </c>
      <c r="C31" s="6" t="s">
        <v>61</v>
      </c>
      <c r="D31" s="6" t="s">
        <v>62</v>
      </c>
      <c r="E31" s="7">
        <v>4397</v>
      </c>
      <c r="F31" s="8">
        <v>131.54504900000001</v>
      </c>
      <c r="G31" s="9">
        <v>1.5189496E-2</v>
      </c>
      <c r="H31" s="164"/>
    </row>
    <row r="32" spans="1:8" x14ac:dyDescent="0.2">
      <c r="A32" s="5">
        <v>26</v>
      </c>
      <c r="B32" s="6" t="s">
        <v>183</v>
      </c>
      <c r="C32" s="6" t="s">
        <v>184</v>
      </c>
      <c r="D32" s="6" t="s">
        <v>59</v>
      </c>
      <c r="E32" s="7">
        <v>42816</v>
      </c>
      <c r="F32" s="8">
        <v>130.310496</v>
      </c>
      <c r="G32" s="9">
        <v>1.5046943E-2</v>
      </c>
      <c r="H32" s="164"/>
    </row>
    <row r="33" spans="1:8" x14ac:dyDescent="0.2">
      <c r="A33" s="5">
        <v>27</v>
      </c>
      <c r="B33" s="6" t="s">
        <v>170</v>
      </c>
      <c r="C33" s="6" t="s">
        <v>171</v>
      </c>
      <c r="D33" s="6" t="s">
        <v>172</v>
      </c>
      <c r="E33" s="7">
        <v>10328</v>
      </c>
      <c r="F33" s="8">
        <v>128.702372</v>
      </c>
      <c r="G33" s="9">
        <v>1.4861253E-2</v>
      </c>
      <c r="H33" s="164"/>
    </row>
    <row r="34" spans="1:8" x14ac:dyDescent="0.2">
      <c r="A34" s="5">
        <v>28</v>
      </c>
      <c r="B34" s="6" t="s">
        <v>77</v>
      </c>
      <c r="C34" s="6" t="s">
        <v>78</v>
      </c>
      <c r="D34" s="6" t="s">
        <v>62</v>
      </c>
      <c r="E34" s="7">
        <v>49140</v>
      </c>
      <c r="F34" s="8">
        <v>124.12764</v>
      </c>
      <c r="G34" s="9">
        <v>1.4333009000000001E-2</v>
      </c>
      <c r="H34" s="164"/>
    </row>
    <row r="35" spans="1:8" x14ac:dyDescent="0.2">
      <c r="A35" s="5">
        <v>29</v>
      </c>
      <c r="B35" s="6" t="s">
        <v>208</v>
      </c>
      <c r="C35" s="6" t="s">
        <v>209</v>
      </c>
      <c r="D35" s="6" t="s">
        <v>161</v>
      </c>
      <c r="E35" s="7">
        <v>20332</v>
      </c>
      <c r="F35" s="8">
        <v>122.022498</v>
      </c>
      <c r="G35" s="9">
        <v>1.4089928E-2</v>
      </c>
      <c r="H35" s="164"/>
    </row>
    <row r="36" spans="1:8" x14ac:dyDescent="0.2">
      <c r="A36" s="5">
        <v>30</v>
      </c>
      <c r="B36" s="6" t="s">
        <v>220</v>
      </c>
      <c r="C36" s="6" t="s">
        <v>221</v>
      </c>
      <c r="D36" s="6" t="s">
        <v>28</v>
      </c>
      <c r="E36" s="7">
        <v>7702</v>
      </c>
      <c r="F36" s="8">
        <v>120.636426</v>
      </c>
      <c r="G36" s="9">
        <v>1.3929878E-2</v>
      </c>
      <c r="H36" s="164"/>
    </row>
    <row r="37" spans="1:8" x14ac:dyDescent="0.2">
      <c r="A37" s="5">
        <v>31</v>
      </c>
      <c r="B37" s="6" t="s">
        <v>222</v>
      </c>
      <c r="C37" s="6" t="s">
        <v>223</v>
      </c>
      <c r="D37" s="6" t="s">
        <v>37</v>
      </c>
      <c r="E37" s="7">
        <v>108993</v>
      </c>
      <c r="F37" s="8">
        <v>117.058482</v>
      </c>
      <c r="G37" s="9">
        <v>1.3516734000000001E-2</v>
      </c>
      <c r="H37" s="164"/>
    </row>
    <row r="38" spans="1:8" ht="25.5" x14ac:dyDescent="0.2">
      <c r="A38" s="5">
        <v>32</v>
      </c>
      <c r="B38" s="6" t="s">
        <v>226</v>
      </c>
      <c r="C38" s="6" t="s">
        <v>227</v>
      </c>
      <c r="D38" s="6" t="s">
        <v>62</v>
      </c>
      <c r="E38" s="7">
        <v>5046</v>
      </c>
      <c r="F38" s="8">
        <v>115.66945800000001</v>
      </c>
      <c r="G38" s="9">
        <v>1.3356343E-2</v>
      </c>
      <c r="H38" s="164"/>
    </row>
    <row r="39" spans="1:8" x14ac:dyDescent="0.2">
      <c r="A39" s="5">
        <v>33</v>
      </c>
      <c r="B39" s="6" t="s">
        <v>293</v>
      </c>
      <c r="C39" s="6" t="s">
        <v>294</v>
      </c>
      <c r="D39" s="6" t="s">
        <v>28</v>
      </c>
      <c r="E39" s="7">
        <v>8330</v>
      </c>
      <c r="F39" s="8">
        <v>109.83105</v>
      </c>
      <c r="G39" s="9">
        <v>1.2682183E-2</v>
      </c>
      <c r="H39" s="164"/>
    </row>
    <row r="40" spans="1:8" x14ac:dyDescent="0.2">
      <c r="A40" s="5">
        <v>34</v>
      </c>
      <c r="B40" s="6" t="s">
        <v>267</v>
      </c>
      <c r="C40" s="6" t="s">
        <v>268</v>
      </c>
      <c r="D40" s="6" t="s">
        <v>195</v>
      </c>
      <c r="E40" s="7">
        <v>14616</v>
      </c>
      <c r="F40" s="8">
        <v>108.38494799999999</v>
      </c>
      <c r="G40" s="9">
        <v>1.2515201E-2</v>
      </c>
      <c r="H40" s="164"/>
    </row>
    <row r="41" spans="1:8" x14ac:dyDescent="0.2">
      <c r="A41" s="5">
        <v>35</v>
      </c>
      <c r="B41" s="6" t="s">
        <v>224</v>
      </c>
      <c r="C41" s="6" t="s">
        <v>225</v>
      </c>
      <c r="D41" s="6" t="s">
        <v>161</v>
      </c>
      <c r="E41" s="7">
        <v>19955</v>
      </c>
      <c r="F41" s="8">
        <v>107.71709</v>
      </c>
      <c r="G41" s="9">
        <v>1.2438084E-2</v>
      </c>
      <c r="H41" s="164"/>
    </row>
    <row r="42" spans="1:8" ht="25.5" x14ac:dyDescent="0.2">
      <c r="A42" s="5">
        <v>36</v>
      </c>
      <c r="B42" s="6" t="s">
        <v>258</v>
      </c>
      <c r="C42" s="6" t="s">
        <v>259</v>
      </c>
      <c r="D42" s="6" t="s">
        <v>931</v>
      </c>
      <c r="E42" s="7">
        <v>107569</v>
      </c>
      <c r="F42" s="8">
        <v>107.24629299999999</v>
      </c>
      <c r="G42" s="9">
        <v>1.2383721E-2</v>
      </c>
      <c r="H42" s="164"/>
    </row>
    <row r="43" spans="1:8" x14ac:dyDescent="0.2">
      <c r="A43" s="5">
        <v>37</v>
      </c>
      <c r="B43" s="6" t="s">
        <v>238</v>
      </c>
      <c r="C43" s="6" t="s">
        <v>239</v>
      </c>
      <c r="D43" s="6" t="s">
        <v>195</v>
      </c>
      <c r="E43" s="7">
        <v>25572</v>
      </c>
      <c r="F43" s="8">
        <v>105.714648</v>
      </c>
      <c r="G43" s="9">
        <v>1.2206862000000001E-2</v>
      </c>
      <c r="H43" s="164"/>
    </row>
    <row r="44" spans="1:8" ht="25.5" x14ac:dyDescent="0.2">
      <c r="A44" s="5">
        <v>38</v>
      </c>
      <c r="B44" s="6" t="s">
        <v>246</v>
      </c>
      <c r="C44" s="6" t="s">
        <v>247</v>
      </c>
      <c r="D44" s="6" t="s">
        <v>40</v>
      </c>
      <c r="E44" s="7">
        <v>134113</v>
      </c>
      <c r="F44" s="8">
        <v>105.144592</v>
      </c>
      <c r="G44" s="9">
        <v>1.2141038E-2</v>
      </c>
      <c r="H44" s="164"/>
    </row>
    <row r="45" spans="1:8" x14ac:dyDescent="0.2">
      <c r="A45" s="5">
        <v>39</v>
      </c>
      <c r="B45" s="6" t="s">
        <v>256</v>
      </c>
      <c r="C45" s="6" t="s">
        <v>257</v>
      </c>
      <c r="D45" s="6" t="s">
        <v>930</v>
      </c>
      <c r="E45" s="7">
        <v>18393</v>
      </c>
      <c r="F45" s="8">
        <v>103.04678250000001</v>
      </c>
      <c r="G45" s="9">
        <v>1.1898804000000001E-2</v>
      </c>
      <c r="H45" s="164"/>
    </row>
    <row r="46" spans="1:8" ht="25.5" x14ac:dyDescent="0.2">
      <c r="A46" s="5">
        <v>40</v>
      </c>
      <c r="B46" s="6" t="s">
        <v>63</v>
      </c>
      <c r="C46" s="6" t="s">
        <v>64</v>
      </c>
      <c r="D46" s="6" t="s">
        <v>40</v>
      </c>
      <c r="E46" s="7">
        <v>12851</v>
      </c>
      <c r="F46" s="8">
        <v>102.0690675</v>
      </c>
      <c r="G46" s="9">
        <v>1.1785907E-2</v>
      </c>
      <c r="H46" s="164"/>
    </row>
    <row r="47" spans="1:8" ht="25.5" x14ac:dyDescent="0.2">
      <c r="A47" s="5">
        <v>41</v>
      </c>
      <c r="B47" s="6" t="s">
        <v>234</v>
      </c>
      <c r="C47" s="6" t="s">
        <v>235</v>
      </c>
      <c r="D47" s="6" t="s">
        <v>67</v>
      </c>
      <c r="E47" s="7">
        <v>22731</v>
      </c>
      <c r="F47" s="8">
        <v>100.584675</v>
      </c>
      <c r="G47" s="9">
        <v>1.1614503999999999E-2</v>
      </c>
      <c r="H47" s="164"/>
    </row>
    <row r="48" spans="1:8" x14ac:dyDescent="0.2">
      <c r="A48" s="5">
        <v>42</v>
      </c>
      <c r="B48" s="6" t="s">
        <v>242</v>
      </c>
      <c r="C48" s="6" t="s">
        <v>243</v>
      </c>
      <c r="D48" s="6" t="s">
        <v>59</v>
      </c>
      <c r="E48" s="7">
        <v>7165</v>
      </c>
      <c r="F48" s="8">
        <v>94.646067500000001</v>
      </c>
      <c r="G48" s="9">
        <v>1.0928774E-2</v>
      </c>
      <c r="H48" s="164"/>
    </row>
    <row r="49" spans="1:8" x14ac:dyDescent="0.2">
      <c r="A49" s="5">
        <v>43</v>
      </c>
      <c r="B49" s="6" t="s">
        <v>251</v>
      </c>
      <c r="C49" s="6" t="s">
        <v>252</v>
      </c>
      <c r="D49" s="6" t="s">
        <v>253</v>
      </c>
      <c r="E49" s="7">
        <v>19323</v>
      </c>
      <c r="F49" s="8">
        <v>92.895322500000006</v>
      </c>
      <c r="G49" s="9">
        <v>1.0726615E-2</v>
      </c>
      <c r="H49" s="164"/>
    </row>
    <row r="50" spans="1:8" ht="25.5" x14ac:dyDescent="0.2">
      <c r="A50" s="5">
        <v>44</v>
      </c>
      <c r="B50" s="6" t="s">
        <v>248</v>
      </c>
      <c r="C50" s="6" t="s">
        <v>249</v>
      </c>
      <c r="D50" s="6" t="s">
        <v>67</v>
      </c>
      <c r="E50" s="7">
        <v>21059</v>
      </c>
      <c r="F50" s="8">
        <v>92.027829999999994</v>
      </c>
      <c r="G50" s="9">
        <v>1.0626445999999999E-2</v>
      </c>
      <c r="H50" s="164"/>
    </row>
    <row r="51" spans="1:8" x14ac:dyDescent="0.2">
      <c r="A51" s="5">
        <v>45</v>
      </c>
      <c r="B51" s="6" t="s">
        <v>55</v>
      </c>
      <c r="C51" s="6" t="s">
        <v>56</v>
      </c>
      <c r="D51" s="6" t="s">
        <v>37</v>
      </c>
      <c r="E51" s="7">
        <v>39491</v>
      </c>
      <c r="F51" s="8">
        <v>90.256680500000002</v>
      </c>
      <c r="G51" s="9">
        <v>1.0421932E-2</v>
      </c>
      <c r="H51" s="164"/>
    </row>
    <row r="52" spans="1:8" x14ac:dyDescent="0.2">
      <c r="A52" s="5">
        <v>46</v>
      </c>
      <c r="B52" s="6" t="s">
        <v>275</v>
      </c>
      <c r="C52" s="6" t="s">
        <v>276</v>
      </c>
      <c r="D52" s="6" t="s">
        <v>277</v>
      </c>
      <c r="E52" s="7">
        <v>33525</v>
      </c>
      <c r="F52" s="8">
        <v>86.913562499999998</v>
      </c>
      <c r="G52" s="9">
        <v>1.0035901999999999E-2</v>
      </c>
      <c r="H52" s="164"/>
    </row>
    <row r="53" spans="1:8" x14ac:dyDescent="0.2">
      <c r="A53" s="5">
        <v>47</v>
      </c>
      <c r="B53" s="6" t="s">
        <v>173</v>
      </c>
      <c r="C53" s="6" t="s">
        <v>174</v>
      </c>
      <c r="D53" s="6" t="s">
        <v>179</v>
      </c>
      <c r="E53" s="7">
        <v>6375</v>
      </c>
      <c r="F53" s="8">
        <v>86.802000000000007</v>
      </c>
      <c r="G53" s="9">
        <v>1.0023020000000001E-2</v>
      </c>
      <c r="H53" s="164"/>
    </row>
    <row r="54" spans="1:8" x14ac:dyDescent="0.2">
      <c r="A54" s="5">
        <v>48</v>
      </c>
      <c r="B54" s="6" t="s">
        <v>280</v>
      </c>
      <c r="C54" s="6" t="s">
        <v>281</v>
      </c>
      <c r="D54" s="6" t="s">
        <v>930</v>
      </c>
      <c r="E54" s="7">
        <v>65797</v>
      </c>
      <c r="F54" s="8">
        <v>86.490156499999998</v>
      </c>
      <c r="G54" s="9">
        <v>9.9870110000000005E-3</v>
      </c>
      <c r="H54" s="164"/>
    </row>
    <row r="55" spans="1:8" x14ac:dyDescent="0.2">
      <c r="A55" s="5">
        <v>49</v>
      </c>
      <c r="B55" s="6" t="s">
        <v>273</v>
      </c>
      <c r="C55" s="6" t="s">
        <v>274</v>
      </c>
      <c r="D55" s="6" t="s">
        <v>22</v>
      </c>
      <c r="E55" s="7">
        <v>82133</v>
      </c>
      <c r="F55" s="8">
        <v>86.239649999999997</v>
      </c>
      <c r="G55" s="9">
        <v>9.9580850000000002E-3</v>
      </c>
      <c r="H55" s="164"/>
    </row>
    <row r="56" spans="1:8" x14ac:dyDescent="0.2">
      <c r="A56" s="5">
        <v>50</v>
      </c>
      <c r="B56" s="6" t="s">
        <v>463</v>
      </c>
      <c r="C56" s="6" t="s">
        <v>464</v>
      </c>
      <c r="D56" s="6" t="s">
        <v>927</v>
      </c>
      <c r="E56" s="7">
        <v>75633</v>
      </c>
      <c r="F56" s="8">
        <v>84.671143499999999</v>
      </c>
      <c r="G56" s="9">
        <v>9.7769699999999994E-3</v>
      </c>
      <c r="H56" s="164"/>
    </row>
    <row r="57" spans="1:8" x14ac:dyDescent="0.2">
      <c r="A57" s="5">
        <v>51</v>
      </c>
      <c r="B57" s="6" t="s">
        <v>260</v>
      </c>
      <c r="C57" s="6" t="s">
        <v>261</v>
      </c>
      <c r="D57" s="6" t="s">
        <v>930</v>
      </c>
      <c r="E57" s="7">
        <v>20135</v>
      </c>
      <c r="F57" s="8">
        <v>82.372285000000005</v>
      </c>
      <c r="G57" s="9">
        <v>9.5115210000000002E-3</v>
      </c>
      <c r="H57" s="164"/>
    </row>
    <row r="58" spans="1:8" x14ac:dyDescent="0.2">
      <c r="A58" s="5">
        <v>52</v>
      </c>
      <c r="B58" s="6" t="s">
        <v>264</v>
      </c>
      <c r="C58" s="6" t="s">
        <v>265</v>
      </c>
      <c r="D58" s="6" t="s">
        <v>266</v>
      </c>
      <c r="E58" s="7">
        <v>10077</v>
      </c>
      <c r="F58" s="8">
        <v>81.477583499999994</v>
      </c>
      <c r="G58" s="9">
        <v>9.4082100000000002E-3</v>
      </c>
      <c r="H58" s="164"/>
    </row>
    <row r="59" spans="1:8" x14ac:dyDescent="0.2">
      <c r="A59" s="5">
        <v>53</v>
      </c>
      <c r="B59" s="6" t="s">
        <v>271</v>
      </c>
      <c r="C59" s="6" t="s">
        <v>272</v>
      </c>
      <c r="D59" s="6" t="s">
        <v>346</v>
      </c>
      <c r="E59" s="7">
        <v>7743</v>
      </c>
      <c r="F59" s="8">
        <v>74.654134499999998</v>
      </c>
      <c r="G59" s="9">
        <v>8.6203070000000007E-3</v>
      </c>
      <c r="H59" s="164"/>
    </row>
    <row r="60" spans="1:8" x14ac:dyDescent="0.2">
      <c r="A60" s="5">
        <v>54</v>
      </c>
      <c r="B60" s="6" t="s">
        <v>228</v>
      </c>
      <c r="C60" s="6" t="s">
        <v>229</v>
      </c>
      <c r="D60" s="6" t="s">
        <v>62</v>
      </c>
      <c r="E60" s="7">
        <v>9272</v>
      </c>
      <c r="F60" s="8">
        <v>71.667923999999999</v>
      </c>
      <c r="G60" s="9">
        <v>8.2754890000000005E-3</v>
      </c>
      <c r="H60" s="164"/>
    </row>
    <row r="61" spans="1:8" x14ac:dyDescent="0.2">
      <c r="A61" s="5">
        <v>55</v>
      </c>
      <c r="B61" s="6" t="s">
        <v>284</v>
      </c>
      <c r="C61" s="6" t="s">
        <v>285</v>
      </c>
      <c r="D61" s="6" t="s">
        <v>62</v>
      </c>
      <c r="E61" s="7">
        <v>38073</v>
      </c>
      <c r="F61" s="8">
        <v>67.217881500000004</v>
      </c>
      <c r="G61" s="9">
        <v>7.7616430000000004E-3</v>
      </c>
      <c r="H61" s="164"/>
    </row>
    <row r="62" spans="1:8" x14ac:dyDescent="0.2">
      <c r="A62" s="5">
        <v>56</v>
      </c>
      <c r="B62" s="6" t="s">
        <v>230</v>
      </c>
      <c r="C62" s="6" t="s">
        <v>231</v>
      </c>
      <c r="D62" s="6" t="s">
        <v>62</v>
      </c>
      <c r="E62" s="7">
        <v>20113</v>
      </c>
      <c r="F62" s="8">
        <v>59.071880999999998</v>
      </c>
      <c r="G62" s="9">
        <v>6.8210249999999997E-3</v>
      </c>
      <c r="H62" s="164"/>
    </row>
    <row r="63" spans="1:8" x14ac:dyDescent="0.2">
      <c r="A63" s="5">
        <v>57</v>
      </c>
      <c r="B63" s="6" t="s">
        <v>282</v>
      </c>
      <c r="C63" s="6" t="s">
        <v>283</v>
      </c>
      <c r="D63" s="6" t="s">
        <v>200</v>
      </c>
      <c r="E63" s="7">
        <v>1052</v>
      </c>
      <c r="F63" s="8">
        <v>56.359848</v>
      </c>
      <c r="G63" s="9">
        <v>6.5078669999999996E-3</v>
      </c>
      <c r="H63" s="164"/>
    </row>
    <row r="64" spans="1:8" x14ac:dyDescent="0.2">
      <c r="A64" s="5">
        <v>58</v>
      </c>
      <c r="B64" s="6" t="s">
        <v>236</v>
      </c>
      <c r="C64" s="6" t="s">
        <v>237</v>
      </c>
      <c r="D64" s="6" t="s">
        <v>161</v>
      </c>
      <c r="E64" s="7">
        <v>94633</v>
      </c>
      <c r="F64" s="8">
        <v>54.887140000000002</v>
      </c>
      <c r="G64" s="9">
        <v>6.3378139999999998E-3</v>
      </c>
      <c r="H64" s="164"/>
    </row>
    <row r="65" spans="1:8" x14ac:dyDescent="0.2">
      <c r="A65" s="5">
        <v>59</v>
      </c>
      <c r="B65" s="6" t="s">
        <v>218</v>
      </c>
      <c r="C65" s="6" t="s">
        <v>219</v>
      </c>
      <c r="D65" s="6" t="s">
        <v>926</v>
      </c>
      <c r="E65" s="7">
        <v>3788</v>
      </c>
      <c r="F65" s="8">
        <v>54.666522000000001</v>
      </c>
      <c r="G65" s="9">
        <v>6.3123390000000001E-3</v>
      </c>
      <c r="H65" s="164"/>
    </row>
    <row r="66" spans="1:8" x14ac:dyDescent="0.2">
      <c r="A66" s="5">
        <v>60</v>
      </c>
      <c r="B66" s="6" t="s">
        <v>288</v>
      </c>
      <c r="C66" s="6" t="s">
        <v>289</v>
      </c>
      <c r="D66" s="6" t="s">
        <v>158</v>
      </c>
      <c r="E66" s="7">
        <v>3563</v>
      </c>
      <c r="F66" s="8">
        <v>49.276290000000003</v>
      </c>
      <c r="G66" s="9">
        <v>5.6899289999999998E-3</v>
      </c>
      <c r="H66" s="164"/>
    </row>
    <row r="67" spans="1:8" x14ac:dyDescent="0.2">
      <c r="A67" s="5">
        <v>61</v>
      </c>
      <c r="B67" s="6" t="s">
        <v>278</v>
      </c>
      <c r="C67" s="6" t="s">
        <v>279</v>
      </c>
      <c r="D67" s="6" t="s">
        <v>45</v>
      </c>
      <c r="E67" s="7">
        <v>40010</v>
      </c>
      <c r="F67" s="8">
        <v>40.310074999999998</v>
      </c>
      <c r="G67" s="9">
        <v>4.6546010000000004E-3</v>
      </c>
      <c r="H67" s="164"/>
    </row>
    <row r="68" spans="1:8" x14ac:dyDescent="0.2">
      <c r="A68" s="5">
        <v>62</v>
      </c>
      <c r="B68" s="6" t="s">
        <v>290</v>
      </c>
      <c r="C68" s="6" t="s">
        <v>291</v>
      </c>
      <c r="D68" s="6" t="s">
        <v>179</v>
      </c>
      <c r="E68" s="7">
        <v>7394</v>
      </c>
      <c r="F68" s="8">
        <v>39.324989000000002</v>
      </c>
      <c r="G68" s="9">
        <v>4.5408530000000001E-3</v>
      </c>
      <c r="H68" s="164"/>
    </row>
    <row r="69" spans="1:8" x14ac:dyDescent="0.2">
      <c r="A69" s="3" t="s">
        <v>9</v>
      </c>
      <c r="B69" s="3" t="s">
        <v>9</v>
      </c>
      <c r="C69" s="4" t="s">
        <v>110</v>
      </c>
      <c r="D69" s="3" t="s">
        <v>9</v>
      </c>
      <c r="E69" s="3" t="s">
        <v>9</v>
      </c>
      <c r="F69" s="11">
        <v>8403.1252960000002</v>
      </c>
      <c r="G69" s="12">
        <v>0.97030820500000003</v>
      </c>
      <c r="H69" s="164"/>
    </row>
    <row r="70" spans="1:8" x14ac:dyDescent="0.2">
      <c r="A70" s="3" t="s">
        <v>9</v>
      </c>
      <c r="B70" s="3" t="s">
        <v>9</v>
      </c>
      <c r="C70" s="13" t="s">
        <v>9</v>
      </c>
      <c r="D70" s="3" t="s">
        <v>9</v>
      </c>
      <c r="E70" s="3" t="s">
        <v>9</v>
      </c>
      <c r="F70" s="14" t="s">
        <v>9</v>
      </c>
      <c r="G70" s="14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111</v>
      </c>
      <c r="D71" s="3" t="s">
        <v>9</v>
      </c>
      <c r="E71" s="3" t="s">
        <v>9</v>
      </c>
      <c r="F71" s="3" t="s">
        <v>9</v>
      </c>
      <c r="G71" s="3" t="s">
        <v>9</v>
      </c>
      <c r="H71" s="164"/>
    </row>
    <row r="72" spans="1:8" x14ac:dyDescent="0.2">
      <c r="A72" s="3" t="s">
        <v>9</v>
      </c>
      <c r="B72" s="3" t="s">
        <v>9</v>
      </c>
      <c r="C72" s="4" t="s">
        <v>110</v>
      </c>
      <c r="D72" s="3" t="s">
        <v>9</v>
      </c>
      <c r="E72" s="3" t="s">
        <v>9</v>
      </c>
      <c r="F72" s="15">
        <v>0</v>
      </c>
      <c r="G72" s="16">
        <v>0</v>
      </c>
      <c r="H72" s="164"/>
    </row>
    <row r="73" spans="1:8" x14ac:dyDescent="0.2">
      <c r="A73" s="3" t="s">
        <v>9</v>
      </c>
      <c r="B73" s="3" t="s">
        <v>9</v>
      </c>
      <c r="C73" s="13" t="s">
        <v>9</v>
      </c>
      <c r="D73" s="3" t="s">
        <v>9</v>
      </c>
      <c r="E73" s="3" t="s">
        <v>9</v>
      </c>
      <c r="F73" s="14" t="s">
        <v>9</v>
      </c>
      <c r="G73" s="14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112</v>
      </c>
      <c r="D74" s="3" t="s">
        <v>9</v>
      </c>
      <c r="E74" s="3" t="s">
        <v>9</v>
      </c>
      <c r="F74" s="3" t="s">
        <v>9</v>
      </c>
      <c r="G74" s="3" t="s">
        <v>9</v>
      </c>
      <c r="H74" s="164"/>
    </row>
    <row r="75" spans="1:8" x14ac:dyDescent="0.2">
      <c r="A75" s="3" t="s">
        <v>9</v>
      </c>
      <c r="B75" s="3" t="s">
        <v>9</v>
      </c>
      <c r="C75" s="4" t="s">
        <v>110</v>
      </c>
      <c r="D75" s="3" t="s">
        <v>9</v>
      </c>
      <c r="E75" s="3" t="s">
        <v>9</v>
      </c>
      <c r="F75" s="15">
        <v>0</v>
      </c>
      <c r="G75" s="16">
        <v>0</v>
      </c>
      <c r="H75" s="164"/>
    </row>
    <row r="76" spans="1:8" x14ac:dyDescent="0.2">
      <c r="A76" s="3" t="s">
        <v>9</v>
      </c>
      <c r="B76" s="3" t="s">
        <v>9</v>
      </c>
      <c r="C76" s="13" t="s">
        <v>9</v>
      </c>
      <c r="D76" s="3" t="s">
        <v>9</v>
      </c>
      <c r="E76" s="3" t="s">
        <v>9</v>
      </c>
      <c r="F76" s="14" t="s">
        <v>9</v>
      </c>
      <c r="G76" s="14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113</v>
      </c>
      <c r="D77" s="3" t="s">
        <v>9</v>
      </c>
      <c r="E77" s="3" t="s">
        <v>9</v>
      </c>
      <c r="F77" s="3" t="s">
        <v>9</v>
      </c>
      <c r="G77" s="3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110</v>
      </c>
      <c r="D78" s="3" t="s">
        <v>9</v>
      </c>
      <c r="E78" s="3" t="s">
        <v>9</v>
      </c>
      <c r="F78" s="15">
        <v>0</v>
      </c>
      <c r="G78" s="16">
        <v>0</v>
      </c>
      <c r="H78" s="164"/>
    </row>
    <row r="79" spans="1:8" x14ac:dyDescent="0.2">
      <c r="A79" s="3" t="s">
        <v>9</v>
      </c>
      <c r="B79" s="3" t="s">
        <v>9</v>
      </c>
      <c r="C79" s="13" t="s">
        <v>9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114</v>
      </c>
      <c r="D80" s="3" t="s">
        <v>9</v>
      </c>
      <c r="E80" s="3" t="s">
        <v>9</v>
      </c>
      <c r="F80" s="14" t="s">
        <v>9</v>
      </c>
      <c r="G80" s="14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110</v>
      </c>
      <c r="D81" s="3" t="s">
        <v>9</v>
      </c>
      <c r="E81" s="3" t="s">
        <v>9</v>
      </c>
      <c r="F81" s="15">
        <v>0</v>
      </c>
      <c r="G81" s="16">
        <v>0</v>
      </c>
      <c r="H81" s="164"/>
    </row>
    <row r="82" spans="1:8" x14ac:dyDescent="0.2">
      <c r="A82" s="3" t="s">
        <v>9</v>
      </c>
      <c r="B82" s="3" t="s">
        <v>9</v>
      </c>
      <c r="C82" s="13" t="s">
        <v>9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115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110</v>
      </c>
      <c r="D84" s="3" t="s">
        <v>9</v>
      </c>
      <c r="E84" s="3" t="s">
        <v>9</v>
      </c>
      <c r="F84" s="15">
        <v>0</v>
      </c>
      <c r="G84" s="16">
        <v>0</v>
      </c>
      <c r="H84" s="164"/>
    </row>
    <row r="85" spans="1:8" x14ac:dyDescent="0.2">
      <c r="A85" s="3" t="s">
        <v>9</v>
      </c>
      <c r="B85" s="3" t="s">
        <v>9</v>
      </c>
      <c r="C85" s="13" t="s">
        <v>9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116</v>
      </c>
      <c r="D86" s="3" t="s">
        <v>9</v>
      </c>
      <c r="E86" s="3" t="s">
        <v>9</v>
      </c>
      <c r="F86" s="11">
        <v>8403.1252960000002</v>
      </c>
      <c r="G86" s="12">
        <v>0.97030820500000003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117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ht="25.5" x14ac:dyDescent="0.2">
      <c r="A89" s="3" t="s">
        <v>9</v>
      </c>
      <c r="B89" s="3" t="s">
        <v>9</v>
      </c>
      <c r="C89" s="4" t="s">
        <v>11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110</v>
      </c>
      <c r="D90" s="3" t="s">
        <v>9</v>
      </c>
      <c r="E90" s="3" t="s">
        <v>9</v>
      </c>
      <c r="F90" s="15">
        <v>0</v>
      </c>
      <c r="G90" s="16">
        <v>0</v>
      </c>
      <c r="H90" s="164"/>
    </row>
    <row r="91" spans="1:8" x14ac:dyDescent="0.2">
      <c r="A91" s="3" t="s">
        <v>9</v>
      </c>
      <c r="B91" s="3" t="s">
        <v>9</v>
      </c>
      <c r="C91" s="13" t="s">
        <v>9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118</v>
      </c>
      <c r="D92" s="3" t="s">
        <v>9</v>
      </c>
      <c r="E92" s="3" t="s">
        <v>9</v>
      </c>
      <c r="F92" s="3" t="s">
        <v>9</v>
      </c>
      <c r="G92" s="3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110</v>
      </c>
      <c r="D93" s="3" t="s">
        <v>9</v>
      </c>
      <c r="E93" s="3" t="s">
        <v>9</v>
      </c>
      <c r="F93" s="15">
        <v>0</v>
      </c>
      <c r="G93" s="16">
        <v>0</v>
      </c>
      <c r="H93" s="164"/>
    </row>
    <row r="94" spans="1:8" x14ac:dyDescent="0.2">
      <c r="A94" s="3" t="s">
        <v>9</v>
      </c>
      <c r="B94" s="3" t="s">
        <v>9</v>
      </c>
      <c r="C94" s="13" t="s">
        <v>9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119</v>
      </c>
      <c r="D95" s="3" t="s">
        <v>9</v>
      </c>
      <c r="E95" s="3" t="s">
        <v>9</v>
      </c>
      <c r="F95" s="3" t="s">
        <v>9</v>
      </c>
      <c r="G95" s="3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110</v>
      </c>
      <c r="D96" s="3" t="s">
        <v>9</v>
      </c>
      <c r="E96" s="3" t="s">
        <v>9</v>
      </c>
      <c r="F96" s="15">
        <v>0</v>
      </c>
      <c r="G96" s="16">
        <v>0</v>
      </c>
      <c r="H96" s="164"/>
    </row>
    <row r="97" spans="1:8" x14ac:dyDescent="0.2">
      <c r="A97" s="3" t="s">
        <v>9</v>
      </c>
      <c r="B97" s="3" t="s">
        <v>9</v>
      </c>
      <c r="C97" s="13" t="s">
        <v>9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120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110</v>
      </c>
      <c r="D99" s="3" t="s">
        <v>9</v>
      </c>
      <c r="E99" s="3" t="s">
        <v>9</v>
      </c>
      <c r="F99" s="15">
        <v>0</v>
      </c>
      <c r="G99" s="16">
        <v>0</v>
      </c>
      <c r="H99" s="164"/>
    </row>
    <row r="100" spans="1:8" x14ac:dyDescent="0.2">
      <c r="A100" s="3" t="s">
        <v>9</v>
      </c>
      <c r="B100" s="3" t="s">
        <v>9</v>
      </c>
      <c r="C100" s="13" t="s">
        <v>9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121</v>
      </c>
      <c r="D101" s="3" t="s">
        <v>9</v>
      </c>
      <c r="E101" s="3" t="s">
        <v>9</v>
      </c>
      <c r="F101" s="11">
        <v>0</v>
      </c>
      <c r="G101" s="12">
        <v>0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122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123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110</v>
      </c>
      <c r="D105" s="3" t="s">
        <v>9</v>
      </c>
      <c r="E105" s="3" t="s">
        <v>9</v>
      </c>
      <c r="F105" s="15">
        <v>0</v>
      </c>
      <c r="G105" s="16">
        <v>0</v>
      </c>
      <c r="H105" s="164"/>
    </row>
    <row r="106" spans="1:8" x14ac:dyDescent="0.2">
      <c r="A106" s="3" t="s">
        <v>9</v>
      </c>
      <c r="B106" s="3" t="s">
        <v>9</v>
      </c>
      <c r="C106" s="13" t="s">
        <v>9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124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110</v>
      </c>
      <c r="D108" s="3" t="s">
        <v>9</v>
      </c>
      <c r="E108" s="3" t="s">
        <v>9</v>
      </c>
      <c r="F108" s="15">
        <v>0</v>
      </c>
      <c r="G108" s="16">
        <v>0</v>
      </c>
      <c r="H108" s="164"/>
    </row>
    <row r="109" spans="1:8" x14ac:dyDescent="0.2">
      <c r="A109" s="3" t="s">
        <v>9</v>
      </c>
      <c r="B109" s="3" t="s">
        <v>9</v>
      </c>
      <c r="C109" s="13" t="s">
        <v>9</v>
      </c>
      <c r="D109" s="3" t="s">
        <v>9</v>
      </c>
      <c r="E109" s="3" t="s">
        <v>9</v>
      </c>
      <c r="F109" s="14" t="s">
        <v>9</v>
      </c>
      <c r="G109" s="14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125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110</v>
      </c>
      <c r="D111" s="3" t="s">
        <v>9</v>
      </c>
      <c r="E111" s="3" t="s">
        <v>9</v>
      </c>
      <c r="F111" s="15">
        <v>0</v>
      </c>
      <c r="G111" s="16">
        <v>0</v>
      </c>
      <c r="H111" s="164"/>
    </row>
    <row r="112" spans="1:8" x14ac:dyDescent="0.2">
      <c r="A112" s="3" t="s">
        <v>9</v>
      </c>
      <c r="B112" s="3" t="s">
        <v>9</v>
      </c>
      <c r="C112" s="13" t="s">
        <v>9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126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5">
        <v>1</v>
      </c>
      <c r="B114" s="6"/>
      <c r="C114" s="6" t="s">
        <v>127</v>
      </c>
      <c r="D114" s="6"/>
      <c r="E114" s="10" t="s">
        <v>9</v>
      </c>
      <c r="F114" s="8">
        <v>139.9090817</v>
      </c>
      <c r="G114" s="9">
        <v>1.6155289999999999E-2</v>
      </c>
      <c r="H114" s="90">
        <v>3.22</v>
      </c>
    </row>
    <row r="115" spans="1:8" x14ac:dyDescent="0.2">
      <c r="A115" s="5">
        <v>2</v>
      </c>
      <c r="B115" s="6"/>
      <c r="C115" s="6" t="s">
        <v>128</v>
      </c>
      <c r="D115" s="6"/>
      <c r="E115" s="10" t="s">
        <v>9</v>
      </c>
      <c r="F115" s="8">
        <v>39.537648300000001</v>
      </c>
      <c r="G115" s="9">
        <v>4.5654090000000003E-3</v>
      </c>
      <c r="H115" s="90">
        <v>3.34</v>
      </c>
    </row>
    <row r="116" spans="1:8" x14ac:dyDescent="0.2">
      <c r="A116" s="3" t="s">
        <v>9</v>
      </c>
      <c r="B116" s="3" t="s">
        <v>9</v>
      </c>
      <c r="C116" s="4" t="s">
        <v>110</v>
      </c>
      <c r="D116" s="3" t="s">
        <v>9</v>
      </c>
      <c r="E116" s="3" t="s">
        <v>9</v>
      </c>
      <c r="F116" s="11">
        <v>179.44673</v>
      </c>
      <c r="G116" s="12">
        <v>2.0720698999999999E-2</v>
      </c>
      <c r="H116" s="164"/>
    </row>
    <row r="117" spans="1:8" x14ac:dyDescent="0.2">
      <c r="A117" s="3" t="s">
        <v>9</v>
      </c>
      <c r="B117" s="3" t="s">
        <v>9</v>
      </c>
      <c r="C117" s="13" t="s">
        <v>9</v>
      </c>
      <c r="D117" s="3" t="s">
        <v>9</v>
      </c>
      <c r="E117" s="3" t="s">
        <v>9</v>
      </c>
      <c r="F117" s="14" t="s">
        <v>9</v>
      </c>
      <c r="G117" s="14" t="s">
        <v>9</v>
      </c>
      <c r="H117" s="164"/>
    </row>
    <row r="118" spans="1:8" x14ac:dyDescent="0.2">
      <c r="A118" s="3" t="s">
        <v>9</v>
      </c>
      <c r="B118" s="3" t="s">
        <v>9</v>
      </c>
      <c r="C118" s="4" t="s">
        <v>129</v>
      </c>
      <c r="D118" s="3" t="s">
        <v>9</v>
      </c>
      <c r="E118" s="3" t="s">
        <v>9</v>
      </c>
      <c r="F118" s="11">
        <v>179.44673</v>
      </c>
      <c r="G118" s="12">
        <v>2.0720698999999999E-2</v>
      </c>
      <c r="H118" s="164"/>
    </row>
    <row r="119" spans="1:8" x14ac:dyDescent="0.2">
      <c r="A119" s="3" t="s">
        <v>9</v>
      </c>
      <c r="B119" s="3" t="s">
        <v>9</v>
      </c>
      <c r="C119" s="14" t="s">
        <v>9</v>
      </c>
      <c r="D119" s="3" t="s">
        <v>9</v>
      </c>
      <c r="E119" s="3" t="s">
        <v>9</v>
      </c>
      <c r="F119" s="3" t="s">
        <v>9</v>
      </c>
      <c r="G119" s="3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130</v>
      </c>
      <c r="D120" s="3" t="s">
        <v>9</v>
      </c>
      <c r="E120" s="3" t="s">
        <v>9</v>
      </c>
      <c r="F120" s="3" t="s">
        <v>9</v>
      </c>
      <c r="G120" s="3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131</v>
      </c>
      <c r="D121" s="3" t="s">
        <v>9</v>
      </c>
      <c r="E121" s="3" t="s">
        <v>9</v>
      </c>
      <c r="F121" s="3" t="s">
        <v>9</v>
      </c>
      <c r="G121" s="3" t="s">
        <v>9</v>
      </c>
      <c r="H121" s="164"/>
    </row>
    <row r="122" spans="1:8" x14ac:dyDescent="0.2">
      <c r="A122" s="3" t="s">
        <v>9</v>
      </c>
      <c r="B122" s="3" t="s">
        <v>9</v>
      </c>
      <c r="C122" s="4" t="s">
        <v>110</v>
      </c>
      <c r="D122" s="3" t="s">
        <v>9</v>
      </c>
      <c r="E122" s="3" t="s">
        <v>9</v>
      </c>
      <c r="F122" s="15">
        <v>0</v>
      </c>
      <c r="G122" s="16">
        <v>0</v>
      </c>
      <c r="H122" s="164"/>
    </row>
    <row r="123" spans="1:8" x14ac:dyDescent="0.2">
      <c r="A123" s="3" t="s">
        <v>9</v>
      </c>
      <c r="B123" s="3" t="s">
        <v>9</v>
      </c>
      <c r="C123" s="13" t="s">
        <v>9</v>
      </c>
      <c r="D123" s="3" t="s">
        <v>9</v>
      </c>
      <c r="E123" s="3" t="s">
        <v>9</v>
      </c>
      <c r="F123" s="14" t="s">
        <v>9</v>
      </c>
      <c r="G123" s="14" t="s">
        <v>9</v>
      </c>
      <c r="H123" s="164"/>
    </row>
    <row r="124" spans="1:8" x14ac:dyDescent="0.2">
      <c r="A124" s="3" t="s">
        <v>9</v>
      </c>
      <c r="B124" s="3" t="s">
        <v>9</v>
      </c>
      <c r="C124" s="4" t="s">
        <v>132</v>
      </c>
      <c r="D124" s="3" t="s">
        <v>9</v>
      </c>
      <c r="E124" s="3" t="s">
        <v>9</v>
      </c>
      <c r="F124" s="3" t="s">
        <v>9</v>
      </c>
      <c r="G124" s="3" t="s">
        <v>9</v>
      </c>
      <c r="H124" s="164"/>
    </row>
    <row r="125" spans="1:8" x14ac:dyDescent="0.2">
      <c r="A125" s="3" t="s">
        <v>9</v>
      </c>
      <c r="B125" s="3" t="s">
        <v>9</v>
      </c>
      <c r="C125" s="4" t="s">
        <v>133</v>
      </c>
      <c r="D125" s="3" t="s">
        <v>9</v>
      </c>
      <c r="E125" s="3" t="s">
        <v>9</v>
      </c>
      <c r="F125" s="3" t="s">
        <v>9</v>
      </c>
      <c r="G125" s="3" t="s">
        <v>9</v>
      </c>
      <c r="H125" s="164"/>
    </row>
    <row r="126" spans="1:8" x14ac:dyDescent="0.2">
      <c r="A126" s="3" t="s">
        <v>9</v>
      </c>
      <c r="B126" s="3" t="s">
        <v>9</v>
      </c>
      <c r="C126" s="4" t="s">
        <v>110</v>
      </c>
      <c r="D126" s="3" t="s">
        <v>9</v>
      </c>
      <c r="E126" s="3" t="s">
        <v>9</v>
      </c>
      <c r="F126" s="15">
        <v>0</v>
      </c>
      <c r="G126" s="16">
        <v>0</v>
      </c>
      <c r="H126" s="164"/>
    </row>
    <row r="127" spans="1:8" x14ac:dyDescent="0.2">
      <c r="A127" s="3" t="s">
        <v>9</v>
      </c>
      <c r="B127" s="3" t="s">
        <v>9</v>
      </c>
      <c r="C127" s="13" t="s">
        <v>9</v>
      </c>
      <c r="D127" s="3" t="s">
        <v>9</v>
      </c>
      <c r="E127" s="3" t="s">
        <v>9</v>
      </c>
      <c r="F127" s="14" t="s">
        <v>9</v>
      </c>
      <c r="G127" s="14" t="s">
        <v>9</v>
      </c>
      <c r="H127" s="164"/>
    </row>
    <row r="128" spans="1:8" x14ac:dyDescent="0.2">
      <c r="A128" s="3" t="s">
        <v>9</v>
      </c>
      <c r="B128" s="3" t="s">
        <v>9</v>
      </c>
      <c r="C128" s="13" t="s">
        <v>9</v>
      </c>
      <c r="D128" s="3" t="s">
        <v>9</v>
      </c>
      <c r="E128" s="3" t="s">
        <v>9</v>
      </c>
      <c r="F128" s="14" t="s">
        <v>9</v>
      </c>
      <c r="G128" s="14" t="s">
        <v>9</v>
      </c>
      <c r="H128" s="164"/>
    </row>
    <row r="129" spans="1:8" ht="25.5" x14ac:dyDescent="0.2">
      <c r="A129" s="3" t="s">
        <v>9</v>
      </c>
      <c r="B129" s="3" t="s">
        <v>9</v>
      </c>
      <c r="C129" s="4" t="s">
        <v>134</v>
      </c>
      <c r="D129" s="3" t="s">
        <v>9</v>
      </c>
      <c r="E129" s="3" t="s">
        <v>9</v>
      </c>
      <c r="F129" s="14" t="s">
        <v>9</v>
      </c>
      <c r="G129" s="14" t="s">
        <v>9</v>
      </c>
      <c r="H129" s="164"/>
    </row>
    <row r="130" spans="1:8" x14ac:dyDescent="0.2">
      <c r="A130" s="3" t="s">
        <v>9</v>
      </c>
      <c r="B130" s="3" t="s">
        <v>9</v>
      </c>
      <c r="C130" s="4" t="s">
        <v>110</v>
      </c>
      <c r="D130" s="3" t="s">
        <v>9</v>
      </c>
      <c r="E130" s="3" t="s">
        <v>9</v>
      </c>
      <c r="F130" s="15">
        <v>0</v>
      </c>
      <c r="G130" s="16">
        <v>0</v>
      </c>
      <c r="H130" s="164"/>
    </row>
    <row r="131" spans="1:8" x14ac:dyDescent="0.2">
      <c r="A131" s="3" t="s">
        <v>9</v>
      </c>
      <c r="B131" s="3" t="s">
        <v>9</v>
      </c>
      <c r="C131" s="13" t="s">
        <v>9</v>
      </c>
      <c r="D131" s="3" t="s">
        <v>9</v>
      </c>
      <c r="E131" s="3" t="s">
        <v>9</v>
      </c>
      <c r="F131" s="14" t="s">
        <v>9</v>
      </c>
      <c r="G131" s="14" t="s">
        <v>9</v>
      </c>
      <c r="H131" s="164"/>
    </row>
    <row r="132" spans="1:8" x14ac:dyDescent="0.2">
      <c r="A132" s="3" t="s">
        <v>9</v>
      </c>
      <c r="B132" s="6" t="s">
        <v>9</v>
      </c>
      <c r="C132" s="6" t="s">
        <v>9</v>
      </c>
      <c r="D132" s="4" t="s">
        <v>9</v>
      </c>
      <c r="E132" s="3" t="s">
        <v>9</v>
      </c>
      <c r="F132" s="6" t="s">
        <v>9</v>
      </c>
      <c r="G132" s="10" t="s">
        <v>9</v>
      </c>
      <c r="H132" s="164"/>
    </row>
    <row r="133" spans="1:8" x14ac:dyDescent="0.2">
      <c r="A133" s="10" t="s">
        <v>9</v>
      </c>
      <c r="B133" s="6" t="s">
        <v>9</v>
      </c>
      <c r="C133" s="6" t="s">
        <v>135</v>
      </c>
      <c r="D133" s="6" t="s">
        <v>9</v>
      </c>
      <c r="E133" s="10" t="s">
        <v>9</v>
      </c>
      <c r="F133" s="8">
        <v>77.692059929999999</v>
      </c>
      <c r="G133" s="9">
        <v>8.9710959999999996E-3</v>
      </c>
      <c r="H133" s="164"/>
    </row>
    <row r="134" spans="1:8" x14ac:dyDescent="0.2">
      <c r="A134" s="13" t="s">
        <v>9</v>
      </c>
      <c r="B134" s="13" t="s">
        <v>9</v>
      </c>
      <c r="C134" s="4" t="s">
        <v>136</v>
      </c>
      <c r="D134" s="17" t="s">
        <v>9</v>
      </c>
      <c r="E134" s="17" t="s">
        <v>9</v>
      </c>
      <c r="F134" s="11">
        <v>8660.2640859300009</v>
      </c>
      <c r="G134" s="12">
        <v>1</v>
      </c>
      <c r="H134" s="164"/>
    </row>
    <row r="135" spans="1:8" ht="14.1" customHeight="1" x14ac:dyDescent="0.2">
      <c r="A135" s="18" t="s">
        <v>9</v>
      </c>
      <c r="B135" s="18" t="s">
        <v>9</v>
      </c>
      <c r="C135" s="18" t="s">
        <v>9</v>
      </c>
      <c r="D135" s="19" t="s">
        <v>9</v>
      </c>
      <c r="E135" s="19" t="s">
        <v>9</v>
      </c>
      <c r="F135" s="19" t="s">
        <v>9</v>
      </c>
      <c r="G135" s="19" t="s">
        <v>9</v>
      </c>
    </row>
    <row r="136" spans="1:8" ht="14.1" customHeight="1" x14ac:dyDescent="0.2">
      <c r="A136" s="20" t="s">
        <v>9</v>
      </c>
      <c r="B136" s="228" t="s">
        <v>9</v>
      </c>
      <c r="C136" s="228"/>
      <c r="D136" s="228"/>
      <c r="E136" s="228"/>
      <c r="F136" s="228"/>
      <c r="G136" s="22" t="s">
        <v>9</v>
      </c>
    </row>
    <row r="137" spans="1:8" ht="14.1" customHeight="1" x14ac:dyDescent="0.2">
      <c r="A137" s="20" t="s">
        <v>9</v>
      </c>
      <c r="B137" s="228" t="s">
        <v>9</v>
      </c>
      <c r="C137" s="228"/>
      <c r="D137" s="228"/>
      <c r="E137" s="228"/>
      <c r="F137" s="228"/>
      <c r="G137" s="22" t="s">
        <v>9</v>
      </c>
    </row>
    <row r="138" spans="1:8" ht="14.1" customHeight="1" x14ac:dyDescent="0.2">
      <c r="A138" s="20" t="s">
        <v>9</v>
      </c>
      <c r="B138" s="20" t="s">
        <v>9</v>
      </c>
      <c r="C138" s="20" t="s">
        <v>9</v>
      </c>
      <c r="D138" s="22" t="s">
        <v>9</v>
      </c>
      <c r="E138" s="22" t="s">
        <v>9</v>
      </c>
      <c r="F138" s="22" t="s">
        <v>9</v>
      </c>
      <c r="G138" s="22" t="s">
        <v>9</v>
      </c>
    </row>
    <row r="139" spans="1:8" ht="14.1" customHeight="1" x14ac:dyDescent="0.2">
      <c r="A139" s="20" t="s">
        <v>9</v>
      </c>
      <c r="B139" s="226" t="s">
        <v>138</v>
      </c>
      <c r="C139" s="227"/>
      <c r="D139" s="14" t="s">
        <v>9</v>
      </c>
      <c r="E139" s="23" t="s">
        <v>9</v>
      </c>
      <c r="F139" s="22" t="s">
        <v>9</v>
      </c>
      <c r="G139" s="22" t="s">
        <v>9</v>
      </c>
    </row>
    <row r="140" spans="1:8" ht="29.1" customHeight="1" x14ac:dyDescent="0.2">
      <c r="A140" s="20" t="s">
        <v>9</v>
      </c>
      <c r="B140" s="233" t="s">
        <v>139</v>
      </c>
      <c r="C140" s="234"/>
      <c r="D140" s="4" t="s">
        <v>140</v>
      </c>
      <c r="E140" s="23" t="s">
        <v>9</v>
      </c>
      <c r="F140" s="22" t="s">
        <v>9</v>
      </c>
      <c r="G140" s="22" t="s">
        <v>9</v>
      </c>
    </row>
    <row r="141" spans="1:8" ht="17.100000000000001" customHeight="1" x14ac:dyDescent="0.2">
      <c r="A141" s="20" t="s">
        <v>9</v>
      </c>
      <c r="B141" s="233" t="s">
        <v>141</v>
      </c>
      <c r="C141" s="234"/>
      <c r="D141" s="4" t="s">
        <v>140</v>
      </c>
      <c r="E141" s="23" t="s">
        <v>9</v>
      </c>
      <c r="F141" s="22" t="s">
        <v>9</v>
      </c>
      <c r="G141" s="22" t="s">
        <v>9</v>
      </c>
    </row>
    <row r="142" spans="1:8" ht="17.100000000000001" customHeight="1" x14ac:dyDescent="0.2">
      <c r="A142" s="20" t="s">
        <v>9</v>
      </c>
      <c r="B142" s="233" t="s">
        <v>142</v>
      </c>
      <c r="C142" s="234"/>
      <c r="D142" s="14" t="s">
        <v>9</v>
      </c>
      <c r="E142" s="23" t="s">
        <v>9</v>
      </c>
      <c r="F142" s="22" t="s">
        <v>9</v>
      </c>
      <c r="G142" s="22" t="s">
        <v>9</v>
      </c>
    </row>
    <row r="143" spans="1:8" ht="24" customHeight="1" x14ac:dyDescent="0.2">
      <c r="A143" s="24" t="s">
        <v>9</v>
      </c>
      <c r="B143" s="25" t="s">
        <v>9</v>
      </c>
      <c r="C143" s="25" t="s">
        <v>143</v>
      </c>
      <c r="D143" s="25" t="s">
        <v>144</v>
      </c>
      <c r="E143" s="24" t="s">
        <v>9</v>
      </c>
      <c r="F143" s="24" t="s">
        <v>9</v>
      </c>
      <c r="G143" s="24" t="s">
        <v>9</v>
      </c>
    </row>
    <row r="144" spans="1:8" ht="18" customHeight="1" x14ac:dyDescent="0.2">
      <c r="A144" s="24" t="s">
        <v>9</v>
      </c>
      <c r="B144" s="25" t="s">
        <v>145</v>
      </c>
      <c r="C144" s="25" t="s">
        <v>146</v>
      </c>
      <c r="D144" s="25" t="s">
        <v>147</v>
      </c>
      <c r="E144" s="24" t="s">
        <v>9</v>
      </c>
      <c r="F144" s="24" t="s">
        <v>9</v>
      </c>
      <c r="G144" s="24" t="s">
        <v>9</v>
      </c>
    </row>
    <row r="145" spans="1:7" ht="17.100000000000001" customHeight="1" x14ac:dyDescent="0.2">
      <c r="A145" s="24" t="s">
        <v>9</v>
      </c>
      <c r="B145" s="6" t="s">
        <v>148</v>
      </c>
      <c r="C145" s="26">
        <v>15.7781</v>
      </c>
      <c r="D145" s="26">
        <v>17.483899999999998</v>
      </c>
      <c r="E145" s="24" t="s">
        <v>9</v>
      </c>
      <c r="F145" s="21" t="s">
        <v>9</v>
      </c>
      <c r="G145" s="27" t="s">
        <v>9</v>
      </c>
    </row>
    <row r="146" spans="1:7" ht="17.100000000000001" customHeight="1" x14ac:dyDescent="0.2">
      <c r="A146" s="24" t="s">
        <v>9</v>
      </c>
      <c r="B146" s="6" t="s">
        <v>839</v>
      </c>
      <c r="C146" s="26">
        <v>14.5327</v>
      </c>
      <c r="D146" s="26">
        <v>16.103899999999999</v>
      </c>
      <c r="E146" s="24" t="s">
        <v>9</v>
      </c>
      <c r="F146" s="21" t="s">
        <v>9</v>
      </c>
      <c r="G146" s="27" t="s">
        <v>9</v>
      </c>
    </row>
    <row r="147" spans="1:7" ht="17.100000000000001" customHeight="1" x14ac:dyDescent="0.2">
      <c r="A147" s="24" t="s">
        <v>9</v>
      </c>
      <c r="B147" s="6" t="s">
        <v>149</v>
      </c>
      <c r="C147" s="26">
        <v>15.4312</v>
      </c>
      <c r="D147" s="26">
        <v>17.097000000000001</v>
      </c>
      <c r="E147" s="24" t="s">
        <v>9</v>
      </c>
      <c r="F147" s="21" t="s">
        <v>9</v>
      </c>
      <c r="G147" s="27" t="s">
        <v>9</v>
      </c>
    </row>
    <row r="148" spans="1:7" ht="17.100000000000001" customHeight="1" x14ac:dyDescent="0.2">
      <c r="A148" s="24" t="s">
        <v>9</v>
      </c>
      <c r="B148" s="6" t="s">
        <v>840</v>
      </c>
      <c r="C148" s="26">
        <v>14.2</v>
      </c>
      <c r="D148" s="26">
        <v>15.732900000000001</v>
      </c>
      <c r="E148" s="24" t="s">
        <v>9</v>
      </c>
      <c r="F148" s="21" t="s">
        <v>9</v>
      </c>
      <c r="G148" s="27" t="s">
        <v>9</v>
      </c>
    </row>
    <row r="149" spans="1:7" ht="14.1" customHeight="1" x14ac:dyDescent="0.2">
      <c r="A149" s="24" t="s">
        <v>9</v>
      </c>
      <c r="B149" s="24" t="s">
        <v>9</v>
      </c>
      <c r="C149" s="24" t="s">
        <v>9</v>
      </c>
      <c r="D149" s="24" t="s">
        <v>9</v>
      </c>
      <c r="E149" s="24" t="s">
        <v>9</v>
      </c>
      <c r="F149" s="24" t="s">
        <v>9</v>
      </c>
      <c r="G149" s="24" t="s">
        <v>9</v>
      </c>
    </row>
    <row r="150" spans="1:7" ht="17.100000000000001" customHeight="1" x14ac:dyDescent="0.2">
      <c r="A150" s="24" t="s">
        <v>9</v>
      </c>
      <c r="B150" s="233" t="s">
        <v>1003</v>
      </c>
      <c r="C150" s="234"/>
      <c r="D150" s="4" t="s">
        <v>140</v>
      </c>
      <c r="E150" s="24" t="s">
        <v>9</v>
      </c>
      <c r="F150" s="24" t="s">
        <v>9</v>
      </c>
      <c r="G150" s="24" t="s">
        <v>9</v>
      </c>
    </row>
    <row r="151" spans="1:7" ht="18" customHeight="1" x14ac:dyDescent="0.2">
      <c r="A151" s="24" t="s">
        <v>9</v>
      </c>
      <c r="B151" s="28" t="s">
        <v>150</v>
      </c>
      <c r="C151" s="28" t="s">
        <v>150</v>
      </c>
      <c r="D151" s="28" t="s">
        <v>9</v>
      </c>
      <c r="E151" s="24" t="s">
        <v>9</v>
      </c>
      <c r="F151" s="24" t="s">
        <v>9</v>
      </c>
      <c r="G151" s="24" t="s">
        <v>9</v>
      </c>
    </row>
    <row r="152" spans="1:7" s="169" customFormat="1" x14ac:dyDescent="0.2">
      <c r="B152" s="235" t="s">
        <v>841</v>
      </c>
      <c r="C152" s="235"/>
      <c r="D152" s="235"/>
      <c r="E152" s="235"/>
      <c r="F152" s="235"/>
    </row>
    <row r="153" spans="1:7" ht="14.1" customHeight="1" x14ac:dyDescent="0.2">
      <c r="A153" s="24" t="s">
        <v>9</v>
      </c>
      <c r="B153" s="21" t="s">
        <v>9</v>
      </c>
      <c r="C153" s="21" t="s">
        <v>9</v>
      </c>
      <c r="D153" s="24" t="s">
        <v>9</v>
      </c>
      <c r="E153" s="24" t="s">
        <v>9</v>
      </c>
      <c r="F153" s="24" t="s">
        <v>9</v>
      </c>
      <c r="G153" s="24" t="s">
        <v>9</v>
      </c>
    </row>
    <row r="154" spans="1:7" ht="29.1" customHeight="1" x14ac:dyDescent="0.2">
      <c r="A154" s="24" t="s">
        <v>9</v>
      </c>
      <c r="B154" s="233" t="s">
        <v>151</v>
      </c>
      <c r="C154" s="234"/>
      <c r="D154" s="4" t="s">
        <v>140</v>
      </c>
      <c r="E154" s="24" t="s">
        <v>9</v>
      </c>
      <c r="F154" s="24" t="s">
        <v>9</v>
      </c>
      <c r="G154" s="24" t="s">
        <v>9</v>
      </c>
    </row>
    <row r="155" spans="1:7" ht="29.1" customHeight="1" x14ac:dyDescent="0.2">
      <c r="A155" s="24" t="s">
        <v>9</v>
      </c>
      <c r="B155" s="233" t="s">
        <v>152</v>
      </c>
      <c r="C155" s="234"/>
      <c r="D155" s="4" t="s">
        <v>140</v>
      </c>
      <c r="E155" s="24" t="s">
        <v>9</v>
      </c>
      <c r="F155" s="24" t="s">
        <v>9</v>
      </c>
      <c r="G155" s="24" t="s">
        <v>9</v>
      </c>
    </row>
    <row r="156" spans="1:7" ht="17.100000000000001" customHeight="1" x14ac:dyDescent="0.2">
      <c r="A156" s="24" t="s">
        <v>9</v>
      </c>
      <c r="B156" s="233" t="s">
        <v>153</v>
      </c>
      <c r="C156" s="234"/>
      <c r="D156" s="29">
        <v>0.39722287560204445</v>
      </c>
      <c r="E156" s="24" t="s">
        <v>9</v>
      </c>
      <c r="F156" s="21" t="s">
        <v>9</v>
      </c>
      <c r="G156" s="27" t="s">
        <v>9</v>
      </c>
    </row>
    <row r="157" spans="1:7" ht="17.100000000000001" customHeight="1" x14ac:dyDescent="0.2">
      <c r="A157" s="24" t="s">
        <v>9</v>
      </c>
      <c r="B157" s="233" t="s">
        <v>154</v>
      </c>
      <c r="C157" s="234"/>
      <c r="D157" s="4" t="s">
        <v>140</v>
      </c>
      <c r="E157" s="24" t="s">
        <v>9</v>
      </c>
      <c r="F157" s="24" t="s">
        <v>9</v>
      </c>
      <c r="G157" s="24" t="s">
        <v>9</v>
      </c>
    </row>
  </sheetData>
  <mergeCells count="15">
    <mergeCell ref="B156:C156"/>
    <mergeCell ref="B157:C157"/>
    <mergeCell ref="B140:C140"/>
    <mergeCell ref="B141:C141"/>
    <mergeCell ref="B142:C142"/>
    <mergeCell ref="B150:C150"/>
    <mergeCell ref="B154:C154"/>
    <mergeCell ref="B155:C155"/>
    <mergeCell ref="B152:F152"/>
    <mergeCell ref="B139:C139"/>
    <mergeCell ref="B136:F136"/>
    <mergeCell ref="B137:F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H156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510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471</v>
      </c>
      <c r="C7" s="6" t="s">
        <v>472</v>
      </c>
      <c r="D7" s="6" t="s">
        <v>200</v>
      </c>
      <c r="E7" s="7">
        <v>26439</v>
      </c>
      <c r="F7" s="8">
        <v>141.475089</v>
      </c>
      <c r="G7" s="9">
        <v>3.3204880999999999E-2</v>
      </c>
      <c r="H7" s="164"/>
    </row>
    <row r="8" spans="1:8" x14ac:dyDescent="0.2">
      <c r="A8" s="5">
        <v>2</v>
      </c>
      <c r="B8" s="6" t="s">
        <v>26</v>
      </c>
      <c r="C8" s="6" t="s">
        <v>27</v>
      </c>
      <c r="D8" s="6" t="s">
        <v>28</v>
      </c>
      <c r="E8" s="7">
        <v>11284</v>
      </c>
      <c r="F8" s="8">
        <v>141.28696400000001</v>
      </c>
      <c r="G8" s="9">
        <v>3.3160727000000001E-2</v>
      </c>
      <c r="H8" s="164"/>
    </row>
    <row r="9" spans="1:8" x14ac:dyDescent="0.2">
      <c r="A9" s="5">
        <v>3</v>
      </c>
      <c r="B9" s="6" t="s">
        <v>156</v>
      </c>
      <c r="C9" s="6" t="s">
        <v>157</v>
      </c>
      <c r="D9" s="6" t="s">
        <v>158</v>
      </c>
      <c r="E9" s="7">
        <v>3734</v>
      </c>
      <c r="F9" s="8">
        <v>136.56171499999999</v>
      </c>
      <c r="G9" s="9">
        <v>3.2051688000000002E-2</v>
      </c>
      <c r="H9" s="164"/>
    </row>
    <row r="10" spans="1:8" x14ac:dyDescent="0.2">
      <c r="A10" s="5">
        <v>4</v>
      </c>
      <c r="B10" s="6" t="s">
        <v>164</v>
      </c>
      <c r="C10" s="6" t="s">
        <v>165</v>
      </c>
      <c r="D10" s="6" t="s">
        <v>28</v>
      </c>
      <c r="E10" s="7">
        <v>17288</v>
      </c>
      <c r="F10" s="8">
        <v>132.17540399999999</v>
      </c>
      <c r="G10" s="9">
        <v>3.10222E-2</v>
      </c>
      <c r="H10" s="164"/>
    </row>
    <row r="11" spans="1:8" x14ac:dyDescent="0.2">
      <c r="A11" s="5">
        <v>5</v>
      </c>
      <c r="B11" s="6" t="s">
        <v>166</v>
      </c>
      <c r="C11" s="6" t="s">
        <v>167</v>
      </c>
      <c r="D11" s="6" t="s">
        <v>927</v>
      </c>
      <c r="E11" s="7">
        <v>11047</v>
      </c>
      <c r="F11" s="8">
        <v>131.1555075</v>
      </c>
      <c r="G11" s="9">
        <v>3.0782825999999999E-2</v>
      </c>
      <c r="H11" s="164"/>
    </row>
    <row r="12" spans="1:8" x14ac:dyDescent="0.2">
      <c r="A12" s="5">
        <v>6</v>
      </c>
      <c r="B12" s="6" t="s">
        <v>159</v>
      </c>
      <c r="C12" s="6" t="s">
        <v>160</v>
      </c>
      <c r="D12" s="6" t="s">
        <v>161</v>
      </c>
      <c r="E12" s="7">
        <v>94764</v>
      </c>
      <c r="F12" s="8">
        <v>122.103414</v>
      </c>
      <c r="G12" s="9">
        <v>2.8658256E-2</v>
      </c>
      <c r="H12" s="164"/>
    </row>
    <row r="13" spans="1:8" x14ac:dyDescent="0.2">
      <c r="A13" s="5">
        <v>7</v>
      </c>
      <c r="B13" s="6" t="s">
        <v>168</v>
      </c>
      <c r="C13" s="6" t="s">
        <v>169</v>
      </c>
      <c r="D13" s="6" t="s">
        <v>28</v>
      </c>
      <c r="E13" s="7">
        <v>16510</v>
      </c>
      <c r="F13" s="8">
        <v>117.02288</v>
      </c>
      <c r="G13" s="9">
        <v>2.746583E-2</v>
      </c>
      <c r="H13" s="164"/>
    </row>
    <row r="14" spans="1:8" x14ac:dyDescent="0.2">
      <c r="A14" s="5">
        <v>8</v>
      </c>
      <c r="B14" s="6" t="s">
        <v>193</v>
      </c>
      <c r="C14" s="6" t="s">
        <v>194</v>
      </c>
      <c r="D14" s="6" t="s">
        <v>195</v>
      </c>
      <c r="E14" s="7">
        <v>17373</v>
      </c>
      <c r="F14" s="8">
        <v>113.09823</v>
      </c>
      <c r="G14" s="9">
        <v>2.6544696E-2</v>
      </c>
      <c r="H14" s="164"/>
    </row>
    <row r="15" spans="1:8" x14ac:dyDescent="0.2">
      <c r="A15" s="5">
        <v>9</v>
      </c>
      <c r="B15" s="6" t="s">
        <v>205</v>
      </c>
      <c r="C15" s="6" t="s">
        <v>206</v>
      </c>
      <c r="D15" s="6" t="s">
        <v>207</v>
      </c>
      <c r="E15" s="7">
        <v>40589</v>
      </c>
      <c r="F15" s="8">
        <v>108.96117049999999</v>
      </c>
      <c r="G15" s="9">
        <v>2.5573708000000001E-2</v>
      </c>
      <c r="H15" s="164"/>
    </row>
    <row r="16" spans="1:8" x14ac:dyDescent="0.2">
      <c r="A16" s="5">
        <v>10</v>
      </c>
      <c r="B16" s="6" t="s">
        <v>187</v>
      </c>
      <c r="C16" s="6" t="s">
        <v>188</v>
      </c>
      <c r="D16" s="6" t="s">
        <v>182</v>
      </c>
      <c r="E16" s="7">
        <v>42955</v>
      </c>
      <c r="F16" s="8">
        <v>107.47341</v>
      </c>
      <c r="G16" s="9">
        <v>2.5224524000000002E-2</v>
      </c>
      <c r="H16" s="164"/>
    </row>
    <row r="17" spans="1:8" x14ac:dyDescent="0.2">
      <c r="A17" s="5">
        <v>11</v>
      </c>
      <c r="B17" s="6" t="s">
        <v>175</v>
      </c>
      <c r="C17" s="6" t="s">
        <v>176</v>
      </c>
      <c r="D17" s="6" t="s">
        <v>62</v>
      </c>
      <c r="E17" s="7">
        <v>24349</v>
      </c>
      <c r="F17" s="8">
        <v>102.92322299999999</v>
      </c>
      <c r="G17" s="9">
        <v>2.4156573000000001E-2</v>
      </c>
      <c r="H17" s="164"/>
    </row>
    <row r="18" spans="1:8" ht="25.5" x14ac:dyDescent="0.2">
      <c r="A18" s="5">
        <v>12</v>
      </c>
      <c r="B18" s="6" t="s">
        <v>453</v>
      </c>
      <c r="C18" s="6" t="s">
        <v>454</v>
      </c>
      <c r="D18" s="6" t="s">
        <v>40</v>
      </c>
      <c r="E18" s="7">
        <v>7864</v>
      </c>
      <c r="F18" s="8">
        <v>98.791499999999999</v>
      </c>
      <c r="G18" s="9">
        <v>2.3186838000000001E-2</v>
      </c>
      <c r="H18" s="164"/>
    </row>
    <row r="19" spans="1:8" x14ac:dyDescent="0.2">
      <c r="A19" s="5">
        <v>13</v>
      </c>
      <c r="B19" s="6" t="s">
        <v>198</v>
      </c>
      <c r="C19" s="6" t="s">
        <v>199</v>
      </c>
      <c r="D19" s="6" t="s">
        <v>200</v>
      </c>
      <c r="E19" s="7">
        <v>21423</v>
      </c>
      <c r="F19" s="8">
        <v>96.339230999999998</v>
      </c>
      <c r="G19" s="9">
        <v>2.2611279000000001E-2</v>
      </c>
      <c r="H19" s="164"/>
    </row>
    <row r="20" spans="1:8" ht="25.5" x14ac:dyDescent="0.2">
      <c r="A20" s="5">
        <v>14</v>
      </c>
      <c r="B20" s="6" t="s">
        <v>201</v>
      </c>
      <c r="C20" s="6" t="s">
        <v>202</v>
      </c>
      <c r="D20" s="6" t="s">
        <v>67</v>
      </c>
      <c r="E20" s="7">
        <v>19076</v>
      </c>
      <c r="F20" s="8">
        <v>93.501013999999998</v>
      </c>
      <c r="G20" s="9">
        <v>2.1945136000000001E-2</v>
      </c>
      <c r="H20" s="164"/>
    </row>
    <row r="21" spans="1:8" x14ac:dyDescent="0.2">
      <c r="A21" s="5">
        <v>15</v>
      </c>
      <c r="B21" s="6" t="s">
        <v>177</v>
      </c>
      <c r="C21" s="6" t="s">
        <v>178</v>
      </c>
      <c r="D21" s="6" t="s">
        <v>179</v>
      </c>
      <c r="E21" s="7">
        <v>32178</v>
      </c>
      <c r="F21" s="8">
        <v>90.661514999999994</v>
      </c>
      <c r="G21" s="9">
        <v>2.1278691999999998E-2</v>
      </c>
      <c r="H21" s="164"/>
    </row>
    <row r="22" spans="1:8" ht="25.5" x14ac:dyDescent="0.2">
      <c r="A22" s="5">
        <v>16</v>
      </c>
      <c r="B22" s="6" t="s">
        <v>29</v>
      </c>
      <c r="C22" s="6" t="s">
        <v>30</v>
      </c>
      <c r="D22" s="6" t="s">
        <v>925</v>
      </c>
      <c r="E22" s="7">
        <v>2678</v>
      </c>
      <c r="F22" s="8">
        <v>87.280036999999993</v>
      </c>
      <c r="G22" s="9">
        <v>2.0485043000000001E-2</v>
      </c>
      <c r="H22" s="164"/>
    </row>
    <row r="23" spans="1:8" x14ac:dyDescent="0.2">
      <c r="A23" s="5">
        <v>17</v>
      </c>
      <c r="B23" s="6" t="s">
        <v>185</v>
      </c>
      <c r="C23" s="6" t="s">
        <v>186</v>
      </c>
      <c r="D23" s="6" t="s">
        <v>45</v>
      </c>
      <c r="E23" s="7">
        <v>18293</v>
      </c>
      <c r="F23" s="8">
        <v>86.233202000000006</v>
      </c>
      <c r="G23" s="9">
        <v>2.0239344999999999E-2</v>
      </c>
      <c r="H23" s="164"/>
    </row>
    <row r="24" spans="1:8" ht="25.5" x14ac:dyDescent="0.2">
      <c r="A24" s="5">
        <v>18</v>
      </c>
      <c r="B24" s="6" t="s">
        <v>191</v>
      </c>
      <c r="C24" s="6" t="s">
        <v>192</v>
      </c>
      <c r="D24" s="6" t="s">
        <v>925</v>
      </c>
      <c r="E24" s="7">
        <v>29729</v>
      </c>
      <c r="F24" s="8">
        <v>78.677798499999994</v>
      </c>
      <c r="G24" s="9">
        <v>1.8466056000000002E-2</v>
      </c>
      <c r="H24" s="164"/>
    </row>
    <row r="25" spans="1:8" x14ac:dyDescent="0.2">
      <c r="A25" s="5">
        <v>19</v>
      </c>
      <c r="B25" s="6" t="s">
        <v>180</v>
      </c>
      <c r="C25" s="6" t="s">
        <v>181</v>
      </c>
      <c r="D25" s="6" t="s">
        <v>182</v>
      </c>
      <c r="E25" s="7">
        <v>6011</v>
      </c>
      <c r="F25" s="8">
        <v>78.650929500000004</v>
      </c>
      <c r="G25" s="9">
        <v>1.845975E-2</v>
      </c>
      <c r="H25" s="164"/>
    </row>
    <row r="26" spans="1:8" x14ac:dyDescent="0.2">
      <c r="A26" s="5">
        <v>20</v>
      </c>
      <c r="B26" s="6" t="s">
        <v>51</v>
      </c>
      <c r="C26" s="6" t="s">
        <v>52</v>
      </c>
      <c r="D26" s="6" t="s">
        <v>926</v>
      </c>
      <c r="E26" s="7">
        <v>44851</v>
      </c>
      <c r="F26" s="8">
        <v>76.784912000000006</v>
      </c>
      <c r="G26" s="9">
        <v>1.8021786000000001E-2</v>
      </c>
      <c r="H26" s="164"/>
    </row>
    <row r="27" spans="1:8" x14ac:dyDescent="0.2">
      <c r="A27" s="5">
        <v>21</v>
      </c>
      <c r="B27" s="6" t="s">
        <v>203</v>
      </c>
      <c r="C27" s="6" t="s">
        <v>204</v>
      </c>
      <c r="D27" s="6" t="s">
        <v>179</v>
      </c>
      <c r="E27" s="7">
        <v>7691</v>
      </c>
      <c r="F27" s="8">
        <v>75.887096999999997</v>
      </c>
      <c r="G27" s="9">
        <v>1.7811065000000001E-2</v>
      </c>
      <c r="H27" s="164"/>
    </row>
    <row r="28" spans="1:8" x14ac:dyDescent="0.2">
      <c r="A28" s="5">
        <v>22</v>
      </c>
      <c r="B28" s="6" t="s">
        <v>41</v>
      </c>
      <c r="C28" s="6" t="s">
        <v>42</v>
      </c>
      <c r="D28" s="6" t="s">
        <v>28</v>
      </c>
      <c r="E28" s="7">
        <v>6141</v>
      </c>
      <c r="F28" s="8">
        <v>71.180330999999995</v>
      </c>
      <c r="G28" s="9">
        <v>1.6706364000000001E-2</v>
      </c>
      <c r="H28" s="164"/>
    </row>
    <row r="29" spans="1:8" x14ac:dyDescent="0.2">
      <c r="A29" s="5">
        <v>23</v>
      </c>
      <c r="B29" s="6" t="s">
        <v>196</v>
      </c>
      <c r="C29" s="6" t="s">
        <v>197</v>
      </c>
      <c r="D29" s="6" t="s">
        <v>928</v>
      </c>
      <c r="E29" s="7">
        <v>21095</v>
      </c>
      <c r="F29" s="8">
        <v>68.674772500000003</v>
      </c>
      <c r="G29" s="9">
        <v>1.6118298E-2</v>
      </c>
      <c r="H29" s="164"/>
    </row>
    <row r="30" spans="1:8" x14ac:dyDescent="0.2">
      <c r="A30" s="5">
        <v>24</v>
      </c>
      <c r="B30" s="6" t="s">
        <v>35</v>
      </c>
      <c r="C30" s="6" t="s">
        <v>36</v>
      </c>
      <c r="D30" s="6" t="s">
        <v>37</v>
      </c>
      <c r="E30" s="7">
        <v>19628</v>
      </c>
      <c r="F30" s="8">
        <v>64.036349999999999</v>
      </c>
      <c r="G30" s="9">
        <v>1.5029638E-2</v>
      </c>
      <c r="H30" s="164"/>
    </row>
    <row r="31" spans="1:8" x14ac:dyDescent="0.2">
      <c r="A31" s="5">
        <v>25</v>
      </c>
      <c r="B31" s="6" t="s">
        <v>60</v>
      </c>
      <c r="C31" s="6" t="s">
        <v>61</v>
      </c>
      <c r="D31" s="6" t="s">
        <v>62</v>
      </c>
      <c r="E31" s="7">
        <v>2133</v>
      </c>
      <c r="F31" s="8">
        <v>63.812961000000001</v>
      </c>
      <c r="G31" s="9">
        <v>1.4977206999999999E-2</v>
      </c>
      <c r="H31" s="164"/>
    </row>
    <row r="32" spans="1:8" x14ac:dyDescent="0.2">
      <c r="A32" s="5">
        <v>26</v>
      </c>
      <c r="B32" s="6" t="s">
        <v>170</v>
      </c>
      <c r="C32" s="6" t="s">
        <v>171</v>
      </c>
      <c r="D32" s="6" t="s">
        <v>172</v>
      </c>
      <c r="E32" s="7">
        <v>5085</v>
      </c>
      <c r="F32" s="8">
        <v>63.366727500000003</v>
      </c>
      <c r="G32" s="9">
        <v>1.4872474E-2</v>
      </c>
      <c r="H32" s="164"/>
    </row>
    <row r="33" spans="1:8" ht="25.5" x14ac:dyDescent="0.2">
      <c r="A33" s="5">
        <v>27</v>
      </c>
      <c r="B33" s="6" t="s">
        <v>240</v>
      </c>
      <c r="C33" s="6" t="s">
        <v>241</v>
      </c>
      <c r="D33" s="6" t="s">
        <v>925</v>
      </c>
      <c r="E33" s="7">
        <v>32604</v>
      </c>
      <c r="F33" s="8">
        <v>62.648586000000002</v>
      </c>
      <c r="G33" s="9">
        <v>1.4703923000000001E-2</v>
      </c>
      <c r="H33" s="164"/>
    </row>
    <row r="34" spans="1:8" x14ac:dyDescent="0.2">
      <c r="A34" s="5">
        <v>28</v>
      </c>
      <c r="B34" s="6" t="s">
        <v>77</v>
      </c>
      <c r="C34" s="6" t="s">
        <v>78</v>
      </c>
      <c r="D34" s="6" t="s">
        <v>62</v>
      </c>
      <c r="E34" s="7">
        <v>23976</v>
      </c>
      <c r="F34" s="8">
        <v>60.563375999999998</v>
      </c>
      <c r="G34" s="9">
        <v>1.4214513999999999E-2</v>
      </c>
      <c r="H34" s="164"/>
    </row>
    <row r="35" spans="1:8" x14ac:dyDescent="0.2">
      <c r="A35" s="5">
        <v>29</v>
      </c>
      <c r="B35" s="6" t="s">
        <v>222</v>
      </c>
      <c r="C35" s="6" t="s">
        <v>223</v>
      </c>
      <c r="D35" s="6" t="s">
        <v>37</v>
      </c>
      <c r="E35" s="7">
        <v>55673</v>
      </c>
      <c r="F35" s="8">
        <v>59.792802000000002</v>
      </c>
      <c r="G35" s="9">
        <v>1.4033657E-2</v>
      </c>
      <c r="H35" s="164"/>
    </row>
    <row r="36" spans="1:8" x14ac:dyDescent="0.2">
      <c r="A36" s="5">
        <v>30</v>
      </c>
      <c r="B36" s="6" t="s">
        <v>220</v>
      </c>
      <c r="C36" s="6" t="s">
        <v>221</v>
      </c>
      <c r="D36" s="6" t="s">
        <v>28</v>
      </c>
      <c r="E36" s="7">
        <v>3769</v>
      </c>
      <c r="F36" s="8">
        <v>59.033847000000002</v>
      </c>
      <c r="G36" s="9">
        <v>1.3855526999999999E-2</v>
      </c>
      <c r="H36" s="164"/>
    </row>
    <row r="37" spans="1:8" x14ac:dyDescent="0.2">
      <c r="A37" s="5">
        <v>31</v>
      </c>
      <c r="B37" s="6" t="s">
        <v>208</v>
      </c>
      <c r="C37" s="6" t="s">
        <v>209</v>
      </c>
      <c r="D37" s="6" t="s">
        <v>161</v>
      </c>
      <c r="E37" s="7">
        <v>9830</v>
      </c>
      <c r="F37" s="8">
        <v>58.994745000000002</v>
      </c>
      <c r="G37" s="9">
        <v>1.3846349000000001E-2</v>
      </c>
      <c r="H37" s="164"/>
    </row>
    <row r="38" spans="1:8" x14ac:dyDescent="0.2">
      <c r="A38" s="5">
        <v>32</v>
      </c>
      <c r="B38" s="6" t="s">
        <v>183</v>
      </c>
      <c r="C38" s="6" t="s">
        <v>184</v>
      </c>
      <c r="D38" s="6" t="s">
        <v>59</v>
      </c>
      <c r="E38" s="7">
        <v>19005</v>
      </c>
      <c r="F38" s="8">
        <v>57.841717500000001</v>
      </c>
      <c r="G38" s="9">
        <v>1.3575728E-2</v>
      </c>
      <c r="H38" s="164"/>
    </row>
    <row r="39" spans="1:8" x14ac:dyDescent="0.2">
      <c r="A39" s="5">
        <v>33</v>
      </c>
      <c r="B39" s="6" t="s">
        <v>228</v>
      </c>
      <c r="C39" s="6" t="s">
        <v>229</v>
      </c>
      <c r="D39" s="6" t="s">
        <v>62</v>
      </c>
      <c r="E39" s="7">
        <v>7179</v>
      </c>
      <c r="F39" s="8">
        <v>55.490080499999998</v>
      </c>
      <c r="G39" s="9">
        <v>1.3023788E-2</v>
      </c>
      <c r="H39" s="164"/>
    </row>
    <row r="40" spans="1:8" x14ac:dyDescent="0.2">
      <c r="A40" s="5">
        <v>34</v>
      </c>
      <c r="B40" s="6" t="s">
        <v>267</v>
      </c>
      <c r="C40" s="6" t="s">
        <v>268</v>
      </c>
      <c r="D40" s="6" t="s">
        <v>195</v>
      </c>
      <c r="E40" s="7">
        <v>7210</v>
      </c>
      <c r="F40" s="8">
        <v>53.465755000000001</v>
      </c>
      <c r="G40" s="9">
        <v>1.2548669E-2</v>
      </c>
      <c r="H40" s="164"/>
    </row>
    <row r="41" spans="1:8" ht="25.5" x14ac:dyDescent="0.2">
      <c r="A41" s="5">
        <v>35</v>
      </c>
      <c r="B41" s="6" t="s">
        <v>246</v>
      </c>
      <c r="C41" s="6" t="s">
        <v>247</v>
      </c>
      <c r="D41" s="6" t="s">
        <v>40</v>
      </c>
      <c r="E41" s="7">
        <v>67085</v>
      </c>
      <c r="F41" s="8">
        <v>52.594639999999998</v>
      </c>
      <c r="G41" s="9">
        <v>1.2344213999999999E-2</v>
      </c>
      <c r="H41" s="164"/>
    </row>
    <row r="42" spans="1:8" x14ac:dyDescent="0.2">
      <c r="A42" s="5">
        <v>36</v>
      </c>
      <c r="B42" s="6" t="s">
        <v>224</v>
      </c>
      <c r="C42" s="6" t="s">
        <v>225</v>
      </c>
      <c r="D42" s="6" t="s">
        <v>161</v>
      </c>
      <c r="E42" s="7">
        <v>9689</v>
      </c>
      <c r="F42" s="8">
        <v>52.301222000000003</v>
      </c>
      <c r="G42" s="9">
        <v>1.2275347000000001E-2</v>
      </c>
      <c r="H42" s="164"/>
    </row>
    <row r="43" spans="1:8" x14ac:dyDescent="0.2">
      <c r="A43" s="5">
        <v>37</v>
      </c>
      <c r="B43" s="6" t="s">
        <v>256</v>
      </c>
      <c r="C43" s="6" t="s">
        <v>257</v>
      </c>
      <c r="D43" s="6" t="s">
        <v>930</v>
      </c>
      <c r="E43" s="7">
        <v>9270</v>
      </c>
      <c r="F43" s="8">
        <v>51.935175000000001</v>
      </c>
      <c r="G43" s="9">
        <v>1.2189434000000001E-2</v>
      </c>
      <c r="H43" s="164"/>
    </row>
    <row r="44" spans="1:8" x14ac:dyDescent="0.2">
      <c r="A44" s="5">
        <v>38</v>
      </c>
      <c r="B44" s="6" t="s">
        <v>218</v>
      </c>
      <c r="C44" s="6" t="s">
        <v>219</v>
      </c>
      <c r="D44" s="6" t="s">
        <v>926</v>
      </c>
      <c r="E44" s="7">
        <v>3550</v>
      </c>
      <c r="F44" s="8">
        <v>51.231825000000001</v>
      </c>
      <c r="G44" s="9">
        <v>1.2024355E-2</v>
      </c>
      <c r="H44" s="164"/>
    </row>
    <row r="45" spans="1:8" ht="25.5" x14ac:dyDescent="0.2">
      <c r="A45" s="5">
        <v>39</v>
      </c>
      <c r="B45" s="6" t="s">
        <v>226</v>
      </c>
      <c r="C45" s="6" t="s">
        <v>227</v>
      </c>
      <c r="D45" s="6" t="s">
        <v>62</v>
      </c>
      <c r="E45" s="7">
        <v>2210</v>
      </c>
      <c r="F45" s="8">
        <v>50.659829999999999</v>
      </c>
      <c r="G45" s="9">
        <v>1.1890105E-2</v>
      </c>
      <c r="H45" s="164"/>
    </row>
    <row r="46" spans="1:8" x14ac:dyDescent="0.2">
      <c r="A46" s="5">
        <v>40</v>
      </c>
      <c r="B46" s="6" t="s">
        <v>293</v>
      </c>
      <c r="C46" s="6" t="s">
        <v>294</v>
      </c>
      <c r="D46" s="6" t="s">
        <v>28</v>
      </c>
      <c r="E46" s="7">
        <v>3789</v>
      </c>
      <c r="F46" s="8">
        <v>49.957965000000002</v>
      </c>
      <c r="G46" s="9">
        <v>1.1725374E-2</v>
      </c>
      <c r="H46" s="164"/>
    </row>
    <row r="47" spans="1:8" ht="25.5" x14ac:dyDescent="0.2">
      <c r="A47" s="5">
        <v>41</v>
      </c>
      <c r="B47" s="6" t="s">
        <v>234</v>
      </c>
      <c r="C47" s="6" t="s">
        <v>235</v>
      </c>
      <c r="D47" s="6" t="s">
        <v>67</v>
      </c>
      <c r="E47" s="7">
        <v>11256</v>
      </c>
      <c r="F47" s="8">
        <v>49.8078</v>
      </c>
      <c r="G47" s="9">
        <v>1.1690129E-2</v>
      </c>
      <c r="H47" s="164"/>
    </row>
    <row r="48" spans="1:8" ht="25.5" x14ac:dyDescent="0.2">
      <c r="A48" s="5">
        <v>42</v>
      </c>
      <c r="B48" s="6" t="s">
        <v>63</v>
      </c>
      <c r="C48" s="6" t="s">
        <v>64</v>
      </c>
      <c r="D48" s="6" t="s">
        <v>40</v>
      </c>
      <c r="E48" s="7">
        <v>6214</v>
      </c>
      <c r="F48" s="8">
        <v>49.354695</v>
      </c>
      <c r="G48" s="9">
        <v>1.1583783E-2</v>
      </c>
      <c r="H48" s="164"/>
    </row>
    <row r="49" spans="1:8" ht="25.5" x14ac:dyDescent="0.2">
      <c r="A49" s="5">
        <v>43</v>
      </c>
      <c r="B49" s="6" t="s">
        <v>258</v>
      </c>
      <c r="C49" s="6" t="s">
        <v>259</v>
      </c>
      <c r="D49" s="6" t="s">
        <v>931</v>
      </c>
      <c r="E49" s="7">
        <v>47409</v>
      </c>
      <c r="F49" s="8">
        <v>47.266773000000001</v>
      </c>
      <c r="G49" s="9">
        <v>1.1093738000000001E-2</v>
      </c>
      <c r="H49" s="164"/>
    </row>
    <row r="50" spans="1:8" x14ac:dyDescent="0.2">
      <c r="A50" s="5">
        <v>44</v>
      </c>
      <c r="B50" s="6" t="s">
        <v>242</v>
      </c>
      <c r="C50" s="6" t="s">
        <v>243</v>
      </c>
      <c r="D50" s="6" t="s">
        <v>59</v>
      </c>
      <c r="E50" s="7">
        <v>3459</v>
      </c>
      <c r="F50" s="8">
        <v>45.691660499999998</v>
      </c>
      <c r="G50" s="9">
        <v>1.0724051E-2</v>
      </c>
      <c r="H50" s="164"/>
    </row>
    <row r="51" spans="1:8" x14ac:dyDescent="0.2">
      <c r="A51" s="5">
        <v>45</v>
      </c>
      <c r="B51" s="6" t="s">
        <v>251</v>
      </c>
      <c r="C51" s="6" t="s">
        <v>252</v>
      </c>
      <c r="D51" s="6" t="s">
        <v>253</v>
      </c>
      <c r="E51" s="7">
        <v>9440</v>
      </c>
      <c r="F51" s="8">
        <v>45.382800000000003</v>
      </c>
      <c r="G51" s="9">
        <v>1.0651559999999999E-2</v>
      </c>
      <c r="H51" s="164"/>
    </row>
    <row r="52" spans="1:8" x14ac:dyDescent="0.2">
      <c r="A52" s="5">
        <v>46</v>
      </c>
      <c r="B52" s="6" t="s">
        <v>275</v>
      </c>
      <c r="C52" s="6" t="s">
        <v>276</v>
      </c>
      <c r="D52" s="6" t="s">
        <v>277</v>
      </c>
      <c r="E52" s="7">
        <v>17355</v>
      </c>
      <c r="F52" s="8">
        <v>44.9928375</v>
      </c>
      <c r="G52" s="9">
        <v>1.0560033999999999E-2</v>
      </c>
      <c r="H52" s="164"/>
    </row>
    <row r="53" spans="1:8" ht="25.5" x14ac:dyDescent="0.2">
      <c r="A53" s="5">
        <v>47</v>
      </c>
      <c r="B53" s="6" t="s">
        <v>248</v>
      </c>
      <c r="C53" s="6" t="s">
        <v>249</v>
      </c>
      <c r="D53" s="6" t="s">
        <v>67</v>
      </c>
      <c r="E53" s="7">
        <v>10229</v>
      </c>
      <c r="F53" s="8">
        <v>44.70073</v>
      </c>
      <c r="G53" s="9">
        <v>1.0491475E-2</v>
      </c>
      <c r="H53" s="164"/>
    </row>
    <row r="54" spans="1:8" x14ac:dyDescent="0.2">
      <c r="A54" s="5">
        <v>48</v>
      </c>
      <c r="B54" s="6" t="s">
        <v>280</v>
      </c>
      <c r="C54" s="6" t="s">
        <v>281</v>
      </c>
      <c r="D54" s="6" t="s">
        <v>930</v>
      </c>
      <c r="E54" s="7">
        <v>33289</v>
      </c>
      <c r="F54" s="8">
        <v>43.758390499999997</v>
      </c>
      <c r="G54" s="9">
        <v>1.0270303999999999E-2</v>
      </c>
      <c r="H54" s="164"/>
    </row>
    <row r="55" spans="1:8" x14ac:dyDescent="0.2">
      <c r="A55" s="5">
        <v>49</v>
      </c>
      <c r="B55" s="6" t="s">
        <v>273</v>
      </c>
      <c r="C55" s="6" t="s">
        <v>274</v>
      </c>
      <c r="D55" s="6" t="s">
        <v>22</v>
      </c>
      <c r="E55" s="7">
        <v>41278</v>
      </c>
      <c r="F55" s="8">
        <v>43.341900000000003</v>
      </c>
      <c r="G55" s="9">
        <v>1.0172551E-2</v>
      </c>
      <c r="H55" s="164"/>
    </row>
    <row r="56" spans="1:8" x14ac:dyDescent="0.2">
      <c r="A56" s="5">
        <v>50</v>
      </c>
      <c r="B56" s="6" t="s">
        <v>173</v>
      </c>
      <c r="C56" s="6" t="s">
        <v>174</v>
      </c>
      <c r="D56" s="6" t="s">
        <v>179</v>
      </c>
      <c r="E56" s="7">
        <v>3077</v>
      </c>
      <c r="F56" s="8">
        <v>41.896431999999997</v>
      </c>
      <c r="G56" s="9">
        <v>9.8332929999999999E-3</v>
      </c>
      <c r="H56" s="164"/>
    </row>
    <row r="57" spans="1:8" x14ac:dyDescent="0.2">
      <c r="A57" s="5">
        <v>51</v>
      </c>
      <c r="B57" s="6" t="s">
        <v>463</v>
      </c>
      <c r="C57" s="6" t="s">
        <v>464</v>
      </c>
      <c r="D57" s="6" t="s">
        <v>927</v>
      </c>
      <c r="E57" s="7">
        <v>36674</v>
      </c>
      <c r="F57" s="8">
        <v>41.056542999999998</v>
      </c>
      <c r="G57" s="9">
        <v>9.6361669999999993E-3</v>
      </c>
      <c r="H57" s="164"/>
    </row>
    <row r="58" spans="1:8" x14ac:dyDescent="0.2">
      <c r="A58" s="5">
        <v>52</v>
      </c>
      <c r="B58" s="6" t="s">
        <v>260</v>
      </c>
      <c r="C58" s="6" t="s">
        <v>261</v>
      </c>
      <c r="D58" s="6" t="s">
        <v>930</v>
      </c>
      <c r="E58" s="7">
        <v>9841</v>
      </c>
      <c r="F58" s="8">
        <v>40.259531000000003</v>
      </c>
      <c r="G58" s="9">
        <v>9.4491049999999993E-3</v>
      </c>
      <c r="H58" s="164"/>
    </row>
    <row r="59" spans="1:8" x14ac:dyDescent="0.2">
      <c r="A59" s="5">
        <v>53</v>
      </c>
      <c r="B59" s="6" t="s">
        <v>264</v>
      </c>
      <c r="C59" s="6" t="s">
        <v>265</v>
      </c>
      <c r="D59" s="6" t="s">
        <v>266</v>
      </c>
      <c r="E59" s="7">
        <v>4967</v>
      </c>
      <c r="F59" s="8">
        <v>40.160678500000003</v>
      </c>
      <c r="G59" s="9">
        <v>9.4259040000000006E-3</v>
      </c>
      <c r="H59" s="164"/>
    </row>
    <row r="60" spans="1:8" x14ac:dyDescent="0.2">
      <c r="A60" s="5">
        <v>54</v>
      </c>
      <c r="B60" s="6" t="s">
        <v>238</v>
      </c>
      <c r="C60" s="6" t="s">
        <v>239</v>
      </c>
      <c r="D60" s="6" t="s">
        <v>195</v>
      </c>
      <c r="E60" s="7">
        <v>9613</v>
      </c>
      <c r="F60" s="8">
        <v>39.740141999999999</v>
      </c>
      <c r="G60" s="9">
        <v>9.3272019999999997E-3</v>
      </c>
      <c r="H60" s="164"/>
    </row>
    <row r="61" spans="1:8" x14ac:dyDescent="0.2">
      <c r="A61" s="5">
        <v>55</v>
      </c>
      <c r="B61" s="6" t="s">
        <v>55</v>
      </c>
      <c r="C61" s="6" t="s">
        <v>56</v>
      </c>
      <c r="D61" s="6" t="s">
        <v>37</v>
      </c>
      <c r="E61" s="7">
        <v>17008</v>
      </c>
      <c r="F61" s="8">
        <v>38.871783999999998</v>
      </c>
      <c r="G61" s="9">
        <v>9.1233939999999999E-3</v>
      </c>
      <c r="H61" s="164"/>
    </row>
    <row r="62" spans="1:8" x14ac:dyDescent="0.2">
      <c r="A62" s="5">
        <v>56</v>
      </c>
      <c r="B62" s="6" t="s">
        <v>271</v>
      </c>
      <c r="C62" s="6" t="s">
        <v>272</v>
      </c>
      <c r="D62" s="6" t="s">
        <v>346</v>
      </c>
      <c r="E62" s="7">
        <v>3741</v>
      </c>
      <c r="F62" s="8">
        <v>36.068851500000001</v>
      </c>
      <c r="G62" s="9">
        <v>8.4655319999999996E-3</v>
      </c>
      <c r="H62" s="164"/>
    </row>
    <row r="63" spans="1:8" x14ac:dyDescent="0.2">
      <c r="A63" s="5">
        <v>57</v>
      </c>
      <c r="B63" s="6" t="s">
        <v>284</v>
      </c>
      <c r="C63" s="6" t="s">
        <v>285</v>
      </c>
      <c r="D63" s="6" t="s">
        <v>62</v>
      </c>
      <c r="E63" s="7">
        <v>19014</v>
      </c>
      <c r="F63" s="8">
        <v>33.569217000000002</v>
      </c>
      <c r="G63" s="9">
        <v>7.8788560000000001E-3</v>
      </c>
      <c r="H63" s="164"/>
    </row>
    <row r="64" spans="1:8" x14ac:dyDescent="0.2">
      <c r="A64" s="5">
        <v>58</v>
      </c>
      <c r="B64" s="6" t="s">
        <v>236</v>
      </c>
      <c r="C64" s="6" t="s">
        <v>237</v>
      </c>
      <c r="D64" s="6" t="s">
        <v>161</v>
      </c>
      <c r="E64" s="7">
        <v>47615</v>
      </c>
      <c r="F64" s="8">
        <v>27.616700000000002</v>
      </c>
      <c r="G64" s="9">
        <v>6.4817720000000002E-3</v>
      </c>
      <c r="H64" s="164"/>
    </row>
    <row r="65" spans="1:8" x14ac:dyDescent="0.2">
      <c r="A65" s="5">
        <v>59</v>
      </c>
      <c r="B65" s="6" t="s">
        <v>282</v>
      </c>
      <c r="C65" s="6" t="s">
        <v>283</v>
      </c>
      <c r="D65" s="6" t="s">
        <v>200</v>
      </c>
      <c r="E65" s="7">
        <v>513</v>
      </c>
      <c r="F65" s="8">
        <v>27.483461999999999</v>
      </c>
      <c r="G65" s="9">
        <v>6.4504999999999996E-3</v>
      </c>
      <c r="H65" s="164"/>
    </row>
    <row r="66" spans="1:8" x14ac:dyDescent="0.2">
      <c r="A66" s="5">
        <v>60</v>
      </c>
      <c r="B66" s="6" t="s">
        <v>288</v>
      </c>
      <c r="C66" s="6" t="s">
        <v>289</v>
      </c>
      <c r="D66" s="6" t="s">
        <v>158</v>
      </c>
      <c r="E66" s="7">
        <v>1858</v>
      </c>
      <c r="F66" s="8">
        <v>25.69614</v>
      </c>
      <c r="G66" s="9">
        <v>6.0310069999999997E-3</v>
      </c>
      <c r="H66" s="164"/>
    </row>
    <row r="67" spans="1:8" x14ac:dyDescent="0.2">
      <c r="A67" s="5">
        <v>61</v>
      </c>
      <c r="B67" s="6" t="s">
        <v>290</v>
      </c>
      <c r="C67" s="6" t="s">
        <v>291</v>
      </c>
      <c r="D67" s="6" t="s">
        <v>179</v>
      </c>
      <c r="E67" s="7">
        <v>3644</v>
      </c>
      <c r="F67" s="8">
        <v>19.380614000000001</v>
      </c>
      <c r="G67" s="9">
        <v>4.5487230000000002E-3</v>
      </c>
      <c r="H67" s="164"/>
    </row>
    <row r="68" spans="1:8" x14ac:dyDescent="0.2">
      <c r="A68" s="3" t="s">
        <v>9</v>
      </c>
      <c r="B68" s="3" t="s">
        <v>9</v>
      </c>
      <c r="C68" s="4" t="s">
        <v>110</v>
      </c>
      <c r="D68" s="3" t="s">
        <v>9</v>
      </c>
      <c r="E68" s="3" t="s">
        <v>9</v>
      </c>
      <c r="F68" s="11">
        <v>4150.7246324999996</v>
      </c>
      <c r="G68" s="12">
        <v>0.97419494399999995</v>
      </c>
      <c r="H68" s="164"/>
    </row>
    <row r="69" spans="1:8" x14ac:dyDescent="0.2">
      <c r="A69" s="3" t="s">
        <v>9</v>
      </c>
      <c r="B69" s="3" t="s">
        <v>9</v>
      </c>
      <c r="C69" s="13" t="s">
        <v>9</v>
      </c>
      <c r="D69" s="3" t="s">
        <v>9</v>
      </c>
      <c r="E69" s="3" t="s">
        <v>9</v>
      </c>
      <c r="F69" s="14" t="s">
        <v>9</v>
      </c>
      <c r="G69" s="14" t="s">
        <v>9</v>
      </c>
      <c r="H69" s="164"/>
    </row>
    <row r="70" spans="1:8" x14ac:dyDescent="0.2">
      <c r="A70" s="3" t="s">
        <v>9</v>
      </c>
      <c r="B70" s="3" t="s">
        <v>9</v>
      </c>
      <c r="C70" s="4" t="s">
        <v>111</v>
      </c>
      <c r="D70" s="3" t="s">
        <v>9</v>
      </c>
      <c r="E70" s="3" t="s">
        <v>9</v>
      </c>
      <c r="F70" s="3" t="s">
        <v>9</v>
      </c>
      <c r="G70" s="3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110</v>
      </c>
      <c r="D71" s="3" t="s">
        <v>9</v>
      </c>
      <c r="E71" s="3" t="s">
        <v>9</v>
      </c>
      <c r="F71" s="15">
        <v>0</v>
      </c>
      <c r="G71" s="16">
        <v>0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112</v>
      </c>
      <c r="D73" s="3" t="s">
        <v>9</v>
      </c>
      <c r="E73" s="3" t="s">
        <v>9</v>
      </c>
      <c r="F73" s="3" t="s">
        <v>9</v>
      </c>
      <c r="G73" s="3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110</v>
      </c>
      <c r="D74" s="3" t="s">
        <v>9</v>
      </c>
      <c r="E74" s="3" t="s">
        <v>9</v>
      </c>
      <c r="F74" s="15">
        <v>0</v>
      </c>
      <c r="G74" s="16">
        <v>0</v>
      </c>
      <c r="H74" s="164"/>
    </row>
    <row r="75" spans="1:8" x14ac:dyDescent="0.2">
      <c r="A75" s="3" t="s">
        <v>9</v>
      </c>
      <c r="B75" s="3" t="s">
        <v>9</v>
      </c>
      <c r="C75" s="13" t="s">
        <v>9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113</v>
      </c>
      <c r="D76" s="3" t="s">
        <v>9</v>
      </c>
      <c r="E76" s="3" t="s">
        <v>9</v>
      </c>
      <c r="F76" s="3" t="s">
        <v>9</v>
      </c>
      <c r="G76" s="3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110</v>
      </c>
      <c r="D77" s="3" t="s">
        <v>9</v>
      </c>
      <c r="E77" s="3" t="s">
        <v>9</v>
      </c>
      <c r="F77" s="15">
        <v>0</v>
      </c>
      <c r="G77" s="16">
        <v>0</v>
      </c>
      <c r="H77" s="164"/>
    </row>
    <row r="78" spans="1:8" x14ac:dyDescent="0.2">
      <c r="A78" s="3" t="s">
        <v>9</v>
      </c>
      <c r="B78" s="3" t="s">
        <v>9</v>
      </c>
      <c r="C78" s="13" t="s">
        <v>9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x14ac:dyDescent="0.2">
      <c r="A79" s="3" t="s">
        <v>9</v>
      </c>
      <c r="B79" s="3" t="s">
        <v>9</v>
      </c>
      <c r="C79" s="4" t="s">
        <v>114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110</v>
      </c>
      <c r="D80" s="3" t="s">
        <v>9</v>
      </c>
      <c r="E80" s="3" t="s">
        <v>9</v>
      </c>
      <c r="F80" s="15">
        <v>0</v>
      </c>
      <c r="G80" s="16">
        <v>0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115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116</v>
      </c>
      <c r="D85" s="3" t="s">
        <v>9</v>
      </c>
      <c r="E85" s="3" t="s">
        <v>9</v>
      </c>
      <c r="F85" s="11">
        <v>4150.7246324999996</v>
      </c>
      <c r="G85" s="12">
        <v>0.97419494399999995</v>
      </c>
      <c r="H85" s="164"/>
    </row>
    <row r="86" spans="1:8" x14ac:dyDescent="0.2">
      <c r="A86" s="3" t="s">
        <v>9</v>
      </c>
      <c r="B86" s="3" t="s">
        <v>9</v>
      </c>
      <c r="C86" s="13" t="s">
        <v>9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117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ht="25.5" x14ac:dyDescent="0.2">
      <c r="A88" s="3" t="s">
        <v>9</v>
      </c>
      <c r="B88" s="3" t="s">
        <v>9</v>
      </c>
      <c r="C88" s="4" t="s">
        <v>11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110</v>
      </c>
      <c r="D89" s="3" t="s">
        <v>9</v>
      </c>
      <c r="E89" s="3" t="s">
        <v>9</v>
      </c>
      <c r="F89" s="15">
        <v>0</v>
      </c>
      <c r="G89" s="16">
        <v>0</v>
      </c>
      <c r="H89" s="164"/>
    </row>
    <row r="90" spans="1:8" x14ac:dyDescent="0.2">
      <c r="A90" s="3" t="s">
        <v>9</v>
      </c>
      <c r="B90" s="3" t="s">
        <v>9</v>
      </c>
      <c r="C90" s="13" t="s">
        <v>9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118</v>
      </c>
      <c r="D91" s="3" t="s">
        <v>9</v>
      </c>
      <c r="E91" s="3" t="s">
        <v>9</v>
      </c>
      <c r="F91" s="3" t="s">
        <v>9</v>
      </c>
      <c r="G91" s="3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110</v>
      </c>
      <c r="D92" s="3" t="s">
        <v>9</v>
      </c>
      <c r="E92" s="3" t="s">
        <v>9</v>
      </c>
      <c r="F92" s="15">
        <v>0</v>
      </c>
      <c r="G92" s="16">
        <v>0</v>
      </c>
      <c r="H92" s="164"/>
    </row>
    <row r="93" spans="1:8" x14ac:dyDescent="0.2">
      <c r="A93" s="3" t="s">
        <v>9</v>
      </c>
      <c r="B93" s="3" t="s">
        <v>9</v>
      </c>
      <c r="C93" s="13" t="s">
        <v>9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119</v>
      </c>
      <c r="D94" s="3" t="s">
        <v>9</v>
      </c>
      <c r="E94" s="3" t="s">
        <v>9</v>
      </c>
      <c r="F94" s="3" t="s">
        <v>9</v>
      </c>
      <c r="G94" s="3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110</v>
      </c>
      <c r="D95" s="3" t="s">
        <v>9</v>
      </c>
      <c r="E95" s="3" t="s">
        <v>9</v>
      </c>
      <c r="F95" s="15">
        <v>0</v>
      </c>
      <c r="G95" s="16">
        <v>0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120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110</v>
      </c>
      <c r="D98" s="3" t="s">
        <v>9</v>
      </c>
      <c r="E98" s="3" t="s">
        <v>9</v>
      </c>
      <c r="F98" s="15">
        <v>0</v>
      </c>
      <c r="G98" s="16">
        <v>0</v>
      </c>
      <c r="H98" s="164"/>
    </row>
    <row r="99" spans="1:8" x14ac:dyDescent="0.2">
      <c r="A99" s="3" t="s">
        <v>9</v>
      </c>
      <c r="B99" s="3" t="s">
        <v>9</v>
      </c>
      <c r="C99" s="13" t="s">
        <v>9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121</v>
      </c>
      <c r="D100" s="3" t="s">
        <v>9</v>
      </c>
      <c r="E100" s="3" t="s">
        <v>9</v>
      </c>
      <c r="F100" s="11">
        <v>0</v>
      </c>
      <c r="G100" s="12">
        <v>0</v>
      </c>
      <c r="H100" s="164"/>
    </row>
    <row r="101" spans="1:8" x14ac:dyDescent="0.2">
      <c r="A101" s="3" t="s">
        <v>9</v>
      </c>
      <c r="B101" s="3" t="s">
        <v>9</v>
      </c>
      <c r="C101" s="13" t="s">
        <v>9</v>
      </c>
      <c r="D101" s="3" t="s">
        <v>9</v>
      </c>
      <c r="E101" s="3" t="s">
        <v>9</v>
      </c>
      <c r="F101" s="14" t="s">
        <v>9</v>
      </c>
      <c r="G101" s="14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122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123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110</v>
      </c>
      <c r="D104" s="3" t="s">
        <v>9</v>
      </c>
      <c r="E104" s="3" t="s">
        <v>9</v>
      </c>
      <c r="F104" s="15">
        <v>0</v>
      </c>
      <c r="G104" s="16">
        <v>0</v>
      </c>
      <c r="H104" s="164"/>
    </row>
    <row r="105" spans="1:8" x14ac:dyDescent="0.2">
      <c r="A105" s="3" t="s">
        <v>9</v>
      </c>
      <c r="B105" s="3" t="s">
        <v>9</v>
      </c>
      <c r="C105" s="13" t="s">
        <v>9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124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110</v>
      </c>
      <c r="D107" s="3" t="s">
        <v>9</v>
      </c>
      <c r="E107" s="3" t="s">
        <v>9</v>
      </c>
      <c r="F107" s="15">
        <v>0</v>
      </c>
      <c r="G107" s="16">
        <v>0</v>
      </c>
      <c r="H107" s="164"/>
    </row>
    <row r="108" spans="1:8" x14ac:dyDescent="0.2">
      <c r="A108" s="3" t="s">
        <v>9</v>
      </c>
      <c r="B108" s="3" t="s">
        <v>9</v>
      </c>
      <c r="C108" s="13" t="s">
        <v>9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125</v>
      </c>
      <c r="D109" s="3" t="s">
        <v>9</v>
      </c>
      <c r="E109" s="3" t="s">
        <v>9</v>
      </c>
      <c r="F109" s="14" t="s">
        <v>9</v>
      </c>
      <c r="G109" s="14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110</v>
      </c>
      <c r="D110" s="3" t="s">
        <v>9</v>
      </c>
      <c r="E110" s="3" t="s">
        <v>9</v>
      </c>
      <c r="F110" s="15">
        <v>0</v>
      </c>
      <c r="G110" s="16">
        <v>0</v>
      </c>
      <c r="H110" s="164"/>
    </row>
    <row r="111" spans="1:8" x14ac:dyDescent="0.2">
      <c r="A111" s="3" t="s">
        <v>9</v>
      </c>
      <c r="B111" s="3" t="s">
        <v>9</v>
      </c>
      <c r="C111" s="13" t="s">
        <v>9</v>
      </c>
      <c r="D111" s="3" t="s">
        <v>9</v>
      </c>
      <c r="E111" s="3" t="s">
        <v>9</v>
      </c>
      <c r="F111" s="14" t="s">
        <v>9</v>
      </c>
      <c r="G111" s="14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126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5">
        <v>1</v>
      </c>
      <c r="B113" s="6"/>
      <c r="C113" s="6" t="s">
        <v>127</v>
      </c>
      <c r="D113" s="6"/>
      <c r="E113" s="10" t="s">
        <v>9</v>
      </c>
      <c r="F113" s="8">
        <v>92.728565200000006</v>
      </c>
      <c r="G113" s="9">
        <v>2.1763838000000001E-2</v>
      </c>
      <c r="H113" s="90">
        <v>3.22</v>
      </c>
    </row>
    <row r="114" spans="1:8" x14ac:dyDescent="0.2">
      <c r="A114" s="5">
        <v>2</v>
      </c>
      <c r="B114" s="6"/>
      <c r="C114" s="6" t="s">
        <v>128</v>
      </c>
      <c r="D114" s="6"/>
      <c r="E114" s="10" t="s">
        <v>9</v>
      </c>
      <c r="F114" s="8">
        <v>26.2046314</v>
      </c>
      <c r="G114" s="9">
        <v>6.1503520000000004E-3</v>
      </c>
      <c r="H114" s="90">
        <v>3.34</v>
      </c>
    </row>
    <row r="115" spans="1:8" x14ac:dyDescent="0.2">
      <c r="A115" s="3" t="s">
        <v>9</v>
      </c>
      <c r="B115" s="3" t="s">
        <v>9</v>
      </c>
      <c r="C115" s="4" t="s">
        <v>110</v>
      </c>
      <c r="D115" s="3" t="s">
        <v>9</v>
      </c>
      <c r="E115" s="3" t="s">
        <v>9</v>
      </c>
      <c r="F115" s="11">
        <v>118.9331966</v>
      </c>
      <c r="G115" s="12">
        <v>2.7914189999999998E-2</v>
      </c>
      <c r="H115" s="164"/>
    </row>
    <row r="116" spans="1:8" x14ac:dyDescent="0.2">
      <c r="A116" s="3" t="s">
        <v>9</v>
      </c>
      <c r="B116" s="3" t="s">
        <v>9</v>
      </c>
      <c r="C116" s="13" t="s">
        <v>9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3" t="s">
        <v>9</v>
      </c>
      <c r="B117" s="3" t="s">
        <v>9</v>
      </c>
      <c r="C117" s="4" t="s">
        <v>129</v>
      </c>
      <c r="D117" s="3" t="s">
        <v>9</v>
      </c>
      <c r="E117" s="3" t="s">
        <v>9</v>
      </c>
      <c r="F117" s="11">
        <v>118.9331966</v>
      </c>
      <c r="G117" s="12">
        <v>2.7914189999999998E-2</v>
      </c>
      <c r="H117" s="164"/>
    </row>
    <row r="118" spans="1:8" x14ac:dyDescent="0.2">
      <c r="A118" s="3" t="s">
        <v>9</v>
      </c>
      <c r="B118" s="3" t="s">
        <v>9</v>
      </c>
      <c r="C118" s="14" t="s">
        <v>9</v>
      </c>
      <c r="D118" s="3" t="s">
        <v>9</v>
      </c>
      <c r="E118" s="3" t="s">
        <v>9</v>
      </c>
      <c r="F118" s="3" t="s">
        <v>9</v>
      </c>
      <c r="G118" s="3" t="s">
        <v>9</v>
      </c>
      <c r="H118" s="164"/>
    </row>
    <row r="119" spans="1:8" x14ac:dyDescent="0.2">
      <c r="A119" s="3" t="s">
        <v>9</v>
      </c>
      <c r="B119" s="3" t="s">
        <v>9</v>
      </c>
      <c r="C119" s="4" t="s">
        <v>130</v>
      </c>
      <c r="D119" s="3" t="s">
        <v>9</v>
      </c>
      <c r="E119" s="3" t="s">
        <v>9</v>
      </c>
      <c r="F119" s="3" t="s">
        <v>9</v>
      </c>
      <c r="G119" s="3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131</v>
      </c>
      <c r="D120" s="3" t="s">
        <v>9</v>
      </c>
      <c r="E120" s="3" t="s">
        <v>9</v>
      </c>
      <c r="F120" s="3" t="s">
        <v>9</v>
      </c>
      <c r="G120" s="3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110</v>
      </c>
      <c r="D121" s="3" t="s">
        <v>9</v>
      </c>
      <c r="E121" s="3" t="s">
        <v>9</v>
      </c>
      <c r="F121" s="15">
        <v>0</v>
      </c>
      <c r="G121" s="16">
        <v>0</v>
      </c>
      <c r="H121" s="164"/>
    </row>
    <row r="122" spans="1:8" x14ac:dyDescent="0.2">
      <c r="A122" s="3" t="s">
        <v>9</v>
      </c>
      <c r="B122" s="3" t="s">
        <v>9</v>
      </c>
      <c r="C122" s="13" t="s">
        <v>9</v>
      </c>
      <c r="D122" s="3" t="s">
        <v>9</v>
      </c>
      <c r="E122" s="3" t="s">
        <v>9</v>
      </c>
      <c r="F122" s="14" t="s">
        <v>9</v>
      </c>
      <c r="G122" s="14" t="s">
        <v>9</v>
      </c>
      <c r="H122" s="164"/>
    </row>
    <row r="123" spans="1:8" x14ac:dyDescent="0.2">
      <c r="A123" s="3" t="s">
        <v>9</v>
      </c>
      <c r="B123" s="3" t="s">
        <v>9</v>
      </c>
      <c r="C123" s="4" t="s">
        <v>132</v>
      </c>
      <c r="D123" s="3" t="s">
        <v>9</v>
      </c>
      <c r="E123" s="3" t="s">
        <v>9</v>
      </c>
      <c r="F123" s="3" t="s">
        <v>9</v>
      </c>
      <c r="G123" s="3" t="s">
        <v>9</v>
      </c>
      <c r="H123" s="164"/>
    </row>
    <row r="124" spans="1:8" x14ac:dyDescent="0.2">
      <c r="A124" s="3" t="s">
        <v>9</v>
      </c>
      <c r="B124" s="3" t="s">
        <v>9</v>
      </c>
      <c r="C124" s="4" t="s">
        <v>133</v>
      </c>
      <c r="D124" s="3" t="s">
        <v>9</v>
      </c>
      <c r="E124" s="3" t="s">
        <v>9</v>
      </c>
      <c r="F124" s="3" t="s">
        <v>9</v>
      </c>
      <c r="G124" s="3" t="s">
        <v>9</v>
      </c>
      <c r="H124" s="164"/>
    </row>
    <row r="125" spans="1:8" x14ac:dyDescent="0.2">
      <c r="A125" s="3" t="s">
        <v>9</v>
      </c>
      <c r="B125" s="3" t="s">
        <v>9</v>
      </c>
      <c r="C125" s="4" t="s">
        <v>110</v>
      </c>
      <c r="D125" s="3" t="s">
        <v>9</v>
      </c>
      <c r="E125" s="3" t="s">
        <v>9</v>
      </c>
      <c r="F125" s="15">
        <v>0</v>
      </c>
      <c r="G125" s="16">
        <v>0</v>
      </c>
      <c r="H125" s="164"/>
    </row>
    <row r="126" spans="1:8" x14ac:dyDescent="0.2">
      <c r="A126" s="3" t="s">
        <v>9</v>
      </c>
      <c r="B126" s="3" t="s">
        <v>9</v>
      </c>
      <c r="C126" s="13" t="s">
        <v>9</v>
      </c>
      <c r="D126" s="3" t="s">
        <v>9</v>
      </c>
      <c r="E126" s="3" t="s">
        <v>9</v>
      </c>
      <c r="F126" s="14" t="s">
        <v>9</v>
      </c>
      <c r="G126" s="14" t="s">
        <v>9</v>
      </c>
      <c r="H126" s="164"/>
    </row>
    <row r="127" spans="1:8" x14ac:dyDescent="0.2">
      <c r="A127" s="3" t="s">
        <v>9</v>
      </c>
      <c r="B127" s="3" t="s">
        <v>9</v>
      </c>
      <c r="C127" s="13" t="s">
        <v>9</v>
      </c>
      <c r="D127" s="3" t="s">
        <v>9</v>
      </c>
      <c r="E127" s="3" t="s">
        <v>9</v>
      </c>
      <c r="F127" s="14" t="s">
        <v>9</v>
      </c>
      <c r="G127" s="14" t="s">
        <v>9</v>
      </c>
      <c r="H127" s="164"/>
    </row>
    <row r="128" spans="1:8" ht="25.5" x14ac:dyDescent="0.2">
      <c r="A128" s="3" t="s">
        <v>9</v>
      </c>
      <c r="B128" s="3" t="s">
        <v>9</v>
      </c>
      <c r="C128" s="4" t="s">
        <v>134</v>
      </c>
      <c r="D128" s="3" t="s">
        <v>9</v>
      </c>
      <c r="E128" s="3" t="s">
        <v>9</v>
      </c>
      <c r="F128" s="14" t="s">
        <v>9</v>
      </c>
      <c r="G128" s="14" t="s">
        <v>9</v>
      </c>
      <c r="H128" s="164"/>
    </row>
    <row r="129" spans="1:8" x14ac:dyDescent="0.2">
      <c r="A129" s="3" t="s">
        <v>9</v>
      </c>
      <c r="B129" s="3" t="s">
        <v>9</v>
      </c>
      <c r="C129" s="4" t="s">
        <v>110</v>
      </c>
      <c r="D129" s="3" t="s">
        <v>9</v>
      </c>
      <c r="E129" s="3" t="s">
        <v>9</v>
      </c>
      <c r="F129" s="15">
        <v>0</v>
      </c>
      <c r="G129" s="16">
        <v>0</v>
      </c>
      <c r="H129" s="164"/>
    </row>
    <row r="130" spans="1:8" x14ac:dyDescent="0.2">
      <c r="A130" s="3" t="s">
        <v>9</v>
      </c>
      <c r="B130" s="3" t="s">
        <v>9</v>
      </c>
      <c r="C130" s="13" t="s">
        <v>9</v>
      </c>
      <c r="D130" s="3" t="s">
        <v>9</v>
      </c>
      <c r="E130" s="3" t="s">
        <v>9</v>
      </c>
      <c r="F130" s="14" t="s">
        <v>9</v>
      </c>
      <c r="G130" s="14" t="s">
        <v>9</v>
      </c>
      <c r="H130" s="164"/>
    </row>
    <row r="131" spans="1:8" x14ac:dyDescent="0.2">
      <c r="A131" s="3" t="s">
        <v>9</v>
      </c>
      <c r="B131" s="6" t="s">
        <v>9</v>
      </c>
      <c r="C131" s="6" t="s">
        <v>9</v>
      </c>
      <c r="D131" s="4" t="s">
        <v>9</v>
      </c>
      <c r="E131" s="3" t="s">
        <v>9</v>
      </c>
      <c r="F131" s="6" t="s">
        <v>9</v>
      </c>
      <c r="G131" s="10" t="s">
        <v>9</v>
      </c>
      <c r="H131" s="164"/>
    </row>
    <row r="132" spans="1:8" x14ac:dyDescent="0.2">
      <c r="A132" s="10" t="s">
        <v>9</v>
      </c>
      <c r="B132" s="6" t="s">
        <v>9</v>
      </c>
      <c r="C132" s="6" t="s">
        <v>135</v>
      </c>
      <c r="D132" s="6" t="s">
        <v>9</v>
      </c>
      <c r="E132" s="10" t="s">
        <v>9</v>
      </c>
      <c r="F132" s="8">
        <v>-8.9863304799999995</v>
      </c>
      <c r="G132" s="9">
        <v>-2.1091349999999998E-3</v>
      </c>
      <c r="H132" s="164"/>
    </row>
    <row r="133" spans="1:8" x14ac:dyDescent="0.2">
      <c r="A133" s="13" t="s">
        <v>9</v>
      </c>
      <c r="B133" s="13" t="s">
        <v>9</v>
      </c>
      <c r="C133" s="4" t="s">
        <v>136</v>
      </c>
      <c r="D133" s="17" t="s">
        <v>9</v>
      </c>
      <c r="E133" s="17" t="s">
        <v>9</v>
      </c>
      <c r="F133" s="11">
        <v>4260.6714986200004</v>
      </c>
      <c r="G133" s="12">
        <v>0.99999999900000003</v>
      </c>
      <c r="H133" s="164"/>
    </row>
    <row r="134" spans="1:8" ht="14.1" customHeight="1" x14ac:dyDescent="0.2">
      <c r="A134" s="18" t="s">
        <v>9</v>
      </c>
      <c r="B134" s="18" t="s">
        <v>9</v>
      </c>
      <c r="C134" s="18" t="s">
        <v>9</v>
      </c>
      <c r="D134" s="19" t="s">
        <v>9</v>
      </c>
      <c r="E134" s="19" t="s">
        <v>9</v>
      </c>
      <c r="F134" s="19" t="s">
        <v>9</v>
      </c>
      <c r="G134" s="19" t="s">
        <v>9</v>
      </c>
    </row>
    <row r="135" spans="1:8" ht="14.1" customHeight="1" x14ac:dyDescent="0.2">
      <c r="A135" s="20" t="s">
        <v>9</v>
      </c>
      <c r="B135" s="228" t="s">
        <v>9</v>
      </c>
      <c r="C135" s="228"/>
      <c r="D135" s="228"/>
      <c r="E135" s="228"/>
      <c r="F135" s="228"/>
      <c r="G135" s="22" t="s">
        <v>9</v>
      </c>
    </row>
    <row r="136" spans="1:8" ht="14.1" customHeight="1" x14ac:dyDescent="0.2">
      <c r="A136" s="20" t="s">
        <v>9</v>
      </c>
      <c r="B136" s="228" t="s">
        <v>9</v>
      </c>
      <c r="C136" s="228"/>
      <c r="D136" s="228"/>
      <c r="E136" s="228"/>
      <c r="F136" s="228"/>
      <c r="G136" s="22" t="s">
        <v>9</v>
      </c>
    </row>
    <row r="137" spans="1:8" ht="14.1" customHeight="1" x14ac:dyDescent="0.2">
      <c r="A137" s="20" t="s">
        <v>9</v>
      </c>
      <c r="B137" s="20" t="s">
        <v>9</v>
      </c>
      <c r="C137" s="20" t="s">
        <v>9</v>
      </c>
      <c r="D137" s="22" t="s">
        <v>9</v>
      </c>
      <c r="E137" s="22" t="s">
        <v>9</v>
      </c>
      <c r="F137" s="22" t="s">
        <v>9</v>
      </c>
      <c r="G137" s="22" t="s">
        <v>9</v>
      </c>
    </row>
    <row r="138" spans="1:8" ht="14.1" customHeight="1" x14ac:dyDescent="0.2">
      <c r="A138" s="20" t="s">
        <v>9</v>
      </c>
      <c r="B138" s="226" t="s">
        <v>138</v>
      </c>
      <c r="C138" s="227"/>
      <c r="D138" s="14" t="s">
        <v>9</v>
      </c>
      <c r="E138" s="23" t="s">
        <v>9</v>
      </c>
      <c r="F138" s="22" t="s">
        <v>9</v>
      </c>
      <c r="G138" s="22" t="s">
        <v>9</v>
      </c>
    </row>
    <row r="139" spans="1:8" ht="29.1" customHeight="1" x14ac:dyDescent="0.2">
      <c r="A139" s="20" t="s">
        <v>9</v>
      </c>
      <c r="B139" s="233" t="s">
        <v>139</v>
      </c>
      <c r="C139" s="234"/>
      <c r="D139" s="4" t="s">
        <v>140</v>
      </c>
      <c r="E139" s="23" t="s">
        <v>9</v>
      </c>
      <c r="F139" s="22" t="s">
        <v>9</v>
      </c>
      <c r="G139" s="22" t="s">
        <v>9</v>
      </c>
    </row>
    <row r="140" spans="1:8" ht="17.100000000000001" customHeight="1" x14ac:dyDescent="0.2">
      <c r="A140" s="20" t="s">
        <v>9</v>
      </c>
      <c r="B140" s="233" t="s">
        <v>141</v>
      </c>
      <c r="C140" s="234"/>
      <c r="D140" s="4" t="s">
        <v>140</v>
      </c>
      <c r="E140" s="23" t="s">
        <v>9</v>
      </c>
      <c r="F140" s="22" t="s">
        <v>9</v>
      </c>
      <c r="G140" s="22" t="s">
        <v>9</v>
      </c>
    </row>
    <row r="141" spans="1:8" ht="17.100000000000001" customHeight="1" x14ac:dyDescent="0.2">
      <c r="A141" s="20" t="s">
        <v>9</v>
      </c>
      <c r="B141" s="233" t="s">
        <v>142</v>
      </c>
      <c r="C141" s="234"/>
      <c r="D141" s="14" t="s">
        <v>9</v>
      </c>
      <c r="E141" s="23" t="s">
        <v>9</v>
      </c>
      <c r="F141" s="22" t="s">
        <v>9</v>
      </c>
      <c r="G141" s="22" t="s">
        <v>9</v>
      </c>
    </row>
    <row r="142" spans="1:8" ht="24" customHeight="1" x14ac:dyDescent="0.2">
      <c r="A142" s="24" t="s">
        <v>9</v>
      </c>
      <c r="B142" s="25" t="s">
        <v>9</v>
      </c>
      <c r="C142" s="25" t="s">
        <v>143</v>
      </c>
      <c r="D142" s="25" t="s">
        <v>144</v>
      </c>
      <c r="E142" s="24" t="s">
        <v>9</v>
      </c>
      <c r="F142" s="24" t="s">
        <v>9</v>
      </c>
      <c r="G142" s="24" t="s">
        <v>9</v>
      </c>
    </row>
    <row r="143" spans="1:8" ht="18" customHeight="1" x14ac:dyDescent="0.2">
      <c r="A143" s="24" t="s">
        <v>9</v>
      </c>
      <c r="B143" s="25" t="s">
        <v>145</v>
      </c>
      <c r="C143" s="25" t="s">
        <v>146</v>
      </c>
      <c r="D143" s="25" t="s">
        <v>147</v>
      </c>
      <c r="E143" s="24" t="s">
        <v>9</v>
      </c>
      <c r="F143" s="24" t="s">
        <v>9</v>
      </c>
      <c r="G143" s="24" t="s">
        <v>9</v>
      </c>
    </row>
    <row r="144" spans="1:8" ht="17.100000000000001" customHeight="1" x14ac:dyDescent="0.2">
      <c r="A144" s="24" t="s">
        <v>9</v>
      </c>
      <c r="B144" s="6" t="s">
        <v>148</v>
      </c>
      <c r="C144" s="26">
        <v>13.479799999999999</v>
      </c>
      <c r="D144" s="26">
        <v>14.9709</v>
      </c>
      <c r="E144" s="24" t="s">
        <v>9</v>
      </c>
      <c r="F144" s="21" t="s">
        <v>9</v>
      </c>
      <c r="G144" s="27" t="s">
        <v>9</v>
      </c>
    </row>
    <row r="145" spans="1:7" ht="17.100000000000001" customHeight="1" x14ac:dyDescent="0.2">
      <c r="A145" s="24" t="s">
        <v>9</v>
      </c>
      <c r="B145" s="6" t="s">
        <v>839</v>
      </c>
      <c r="C145" s="26">
        <v>13.479799999999999</v>
      </c>
      <c r="D145" s="26">
        <v>14.9709</v>
      </c>
      <c r="E145" s="24" t="s">
        <v>9</v>
      </c>
      <c r="F145" s="21" t="s">
        <v>9</v>
      </c>
      <c r="G145" s="27" t="s">
        <v>9</v>
      </c>
    </row>
    <row r="146" spans="1:7" ht="17.100000000000001" customHeight="1" x14ac:dyDescent="0.2">
      <c r="A146" s="24" t="s">
        <v>9</v>
      </c>
      <c r="B146" s="6" t="s">
        <v>149</v>
      </c>
      <c r="C146" s="26">
        <v>13.241899999999999</v>
      </c>
      <c r="D146" s="26">
        <v>14.705299999999999</v>
      </c>
      <c r="E146" s="24" t="s">
        <v>9</v>
      </c>
      <c r="F146" s="21" t="s">
        <v>9</v>
      </c>
      <c r="G146" s="27" t="s">
        <v>9</v>
      </c>
    </row>
    <row r="147" spans="1:7" ht="17.100000000000001" customHeight="1" x14ac:dyDescent="0.2">
      <c r="A147" s="24" t="s">
        <v>9</v>
      </c>
      <c r="B147" s="6" t="s">
        <v>840</v>
      </c>
      <c r="C147" s="26">
        <v>13.2418</v>
      </c>
      <c r="D147" s="26">
        <v>14.7051</v>
      </c>
      <c r="E147" s="24" t="s">
        <v>9</v>
      </c>
      <c r="F147" s="21" t="s">
        <v>9</v>
      </c>
      <c r="G147" s="27" t="s">
        <v>9</v>
      </c>
    </row>
    <row r="148" spans="1:7" ht="14.1" customHeight="1" x14ac:dyDescent="0.2">
      <c r="A148" s="24" t="s">
        <v>9</v>
      </c>
      <c r="B148" s="24" t="s">
        <v>9</v>
      </c>
      <c r="C148" s="24" t="s">
        <v>9</v>
      </c>
      <c r="D148" s="24" t="s">
        <v>9</v>
      </c>
      <c r="E148" s="24" t="s">
        <v>9</v>
      </c>
      <c r="F148" s="24" t="s">
        <v>9</v>
      </c>
      <c r="G148" s="24" t="s">
        <v>9</v>
      </c>
    </row>
    <row r="149" spans="1:7" ht="17.100000000000001" customHeight="1" x14ac:dyDescent="0.2">
      <c r="A149" s="24" t="s">
        <v>9</v>
      </c>
      <c r="B149" s="233" t="s">
        <v>1003</v>
      </c>
      <c r="C149" s="234"/>
      <c r="D149" s="4" t="s">
        <v>140</v>
      </c>
      <c r="E149" s="24" t="s">
        <v>9</v>
      </c>
      <c r="F149" s="24" t="s">
        <v>9</v>
      </c>
      <c r="G149" s="24" t="s">
        <v>9</v>
      </c>
    </row>
    <row r="150" spans="1:7" ht="18" customHeight="1" x14ac:dyDescent="0.2">
      <c r="A150" s="24" t="s">
        <v>9</v>
      </c>
      <c r="B150" s="28" t="s">
        <v>150</v>
      </c>
      <c r="C150" s="28" t="s">
        <v>150</v>
      </c>
      <c r="D150" s="28" t="s">
        <v>9</v>
      </c>
      <c r="E150" s="24" t="s">
        <v>9</v>
      </c>
      <c r="F150" s="24" t="s">
        <v>9</v>
      </c>
      <c r="G150" s="24" t="s">
        <v>9</v>
      </c>
    </row>
    <row r="151" spans="1:7" s="169" customFormat="1" x14ac:dyDescent="0.2">
      <c r="B151" s="235" t="s">
        <v>841</v>
      </c>
      <c r="C151" s="235"/>
      <c r="D151" s="235"/>
      <c r="E151" s="235"/>
      <c r="F151" s="235"/>
    </row>
    <row r="152" spans="1:7" ht="14.1" customHeight="1" x14ac:dyDescent="0.2">
      <c r="A152" s="24" t="s">
        <v>9</v>
      </c>
      <c r="B152" s="21" t="s">
        <v>9</v>
      </c>
      <c r="C152" s="21" t="s">
        <v>9</v>
      </c>
      <c r="D152" s="24" t="s">
        <v>9</v>
      </c>
      <c r="E152" s="24" t="s">
        <v>9</v>
      </c>
      <c r="F152" s="24" t="s">
        <v>9</v>
      </c>
      <c r="G152" s="24" t="s">
        <v>9</v>
      </c>
    </row>
    <row r="153" spans="1:7" ht="29.1" customHeight="1" x14ac:dyDescent="0.2">
      <c r="A153" s="24" t="s">
        <v>9</v>
      </c>
      <c r="B153" s="233" t="s">
        <v>151</v>
      </c>
      <c r="C153" s="234"/>
      <c r="D153" s="4" t="s">
        <v>140</v>
      </c>
      <c r="E153" s="24" t="s">
        <v>9</v>
      </c>
      <c r="F153" s="24" t="s">
        <v>9</v>
      </c>
      <c r="G153" s="24" t="s">
        <v>9</v>
      </c>
    </row>
    <row r="154" spans="1:7" ht="29.1" customHeight="1" x14ac:dyDescent="0.2">
      <c r="A154" s="24" t="s">
        <v>9</v>
      </c>
      <c r="B154" s="233" t="s">
        <v>152</v>
      </c>
      <c r="C154" s="234"/>
      <c r="D154" s="4" t="s">
        <v>140</v>
      </c>
      <c r="E154" s="24" t="s">
        <v>9</v>
      </c>
      <c r="F154" s="24" t="s">
        <v>9</v>
      </c>
      <c r="G154" s="24" t="s">
        <v>9</v>
      </c>
    </row>
    <row r="155" spans="1:7" ht="17.100000000000001" customHeight="1" x14ac:dyDescent="0.2">
      <c r="A155" s="24" t="s">
        <v>9</v>
      </c>
      <c r="B155" s="233" t="s">
        <v>153</v>
      </c>
      <c r="C155" s="234"/>
      <c r="D155" s="29">
        <v>0.37438097030423828</v>
      </c>
      <c r="E155" s="24" t="s">
        <v>9</v>
      </c>
      <c r="F155" s="21" t="s">
        <v>9</v>
      </c>
      <c r="G155" s="27" t="s">
        <v>9</v>
      </c>
    </row>
    <row r="156" spans="1:7" ht="17.100000000000001" customHeight="1" x14ac:dyDescent="0.2">
      <c r="A156" s="24" t="s">
        <v>9</v>
      </c>
      <c r="B156" s="233" t="s">
        <v>154</v>
      </c>
      <c r="C156" s="234"/>
      <c r="D156" s="4" t="s">
        <v>140</v>
      </c>
      <c r="E156" s="24" t="s">
        <v>9</v>
      </c>
      <c r="F156" s="24" t="s">
        <v>9</v>
      </c>
      <c r="G156" s="24" t="s">
        <v>9</v>
      </c>
    </row>
  </sheetData>
  <mergeCells count="15">
    <mergeCell ref="B155:C155"/>
    <mergeCell ref="B156:C156"/>
    <mergeCell ref="B139:C139"/>
    <mergeCell ref="B140:C140"/>
    <mergeCell ref="B141:C141"/>
    <mergeCell ref="B149:C149"/>
    <mergeCell ref="B153:C153"/>
    <mergeCell ref="B154:C154"/>
    <mergeCell ref="B151:F151"/>
    <mergeCell ref="B138:C138"/>
    <mergeCell ref="B135:F135"/>
    <mergeCell ref="B136:F13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H159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511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26</v>
      </c>
      <c r="C7" s="6" t="s">
        <v>27</v>
      </c>
      <c r="D7" s="6" t="s">
        <v>28</v>
      </c>
      <c r="E7" s="7">
        <v>11899</v>
      </c>
      <c r="F7" s="8">
        <v>148.987379</v>
      </c>
      <c r="G7" s="9">
        <v>3.3369370000000002E-2</v>
      </c>
      <c r="H7" s="164"/>
    </row>
    <row r="8" spans="1:8" x14ac:dyDescent="0.2">
      <c r="A8" s="5">
        <v>2</v>
      </c>
      <c r="B8" s="6" t="s">
        <v>156</v>
      </c>
      <c r="C8" s="6" t="s">
        <v>157</v>
      </c>
      <c r="D8" s="6" t="s">
        <v>158</v>
      </c>
      <c r="E8" s="7">
        <v>3904</v>
      </c>
      <c r="F8" s="8">
        <v>142.77904000000001</v>
      </c>
      <c r="G8" s="9">
        <v>3.1978860999999997E-2</v>
      </c>
      <c r="H8" s="164"/>
    </row>
    <row r="9" spans="1:8" x14ac:dyDescent="0.2">
      <c r="A9" s="5">
        <v>3</v>
      </c>
      <c r="B9" s="6" t="s">
        <v>166</v>
      </c>
      <c r="C9" s="6" t="s">
        <v>167</v>
      </c>
      <c r="D9" s="6" t="s">
        <v>927</v>
      </c>
      <c r="E9" s="7">
        <v>11979</v>
      </c>
      <c r="F9" s="8">
        <v>142.22067749999999</v>
      </c>
      <c r="G9" s="9">
        <v>3.1853802000000001E-2</v>
      </c>
      <c r="H9" s="164"/>
    </row>
    <row r="10" spans="1:8" x14ac:dyDescent="0.2">
      <c r="A10" s="5">
        <v>4</v>
      </c>
      <c r="B10" s="6" t="s">
        <v>164</v>
      </c>
      <c r="C10" s="6" t="s">
        <v>165</v>
      </c>
      <c r="D10" s="6" t="s">
        <v>28</v>
      </c>
      <c r="E10" s="7">
        <v>17000</v>
      </c>
      <c r="F10" s="8">
        <v>129.9735</v>
      </c>
      <c r="G10" s="9">
        <v>2.9110746999999999E-2</v>
      </c>
      <c r="H10" s="164"/>
    </row>
    <row r="11" spans="1:8" x14ac:dyDescent="0.2">
      <c r="A11" s="5">
        <v>5</v>
      </c>
      <c r="B11" s="6" t="s">
        <v>159</v>
      </c>
      <c r="C11" s="6" t="s">
        <v>160</v>
      </c>
      <c r="D11" s="6" t="s">
        <v>161</v>
      </c>
      <c r="E11" s="7">
        <v>100136</v>
      </c>
      <c r="F11" s="8">
        <v>129.02523600000001</v>
      </c>
      <c r="G11" s="9">
        <v>2.8898360000000001E-2</v>
      </c>
      <c r="H11" s="164"/>
    </row>
    <row r="12" spans="1:8" x14ac:dyDescent="0.2">
      <c r="A12" s="5">
        <v>6</v>
      </c>
      <c r="B12" s="6" t="s">
        <v>471</v>
      </c>
      <c r="C12" s="6" t="s">
        <v>472</v>
      </c>
      <c r="D12" s="6" t="s">
        <v>200</v>
      </c>
      <c r="E12" s="7">
        <v>23654</v>
      </c>
      <c r="F12" s="8">
        <v>126.572554</v>
      </c>
      <c r="G12" s="9">
        <v>2.8349020999999999E-2</v>
      </c>
      <c r="H12" s="164"/>
    </row>
    <row r="13" spans="1:8" x14ac:dyDescent="0.2">
      <c r="A13" s="5">
        <v>7</v>
      </c>
      <c r="B13" s="6" t="s">
        <v>168</v>
      </c>
      <c r="C13" s="6" t="s">
        <v>169</v>
      </c>
      <c r="D13" s="6" t="s">
        <v>28</v>
      </c>
      <c r="E13" s="7">
        <v>17000</v>
      </c>
      <c r="F13" s="8">
        <v>120.496</v>
      </c>
      <c r="G13" s="9">
        <v>2.6988028000000001E-2</v>
      </c>
      <c r="H13" s="164"/>
    </row>
    <row r="14" spans="1:8" x14ac:dyDescent="0.2">
      <c r="A14" s="5">
        <v>8</v>
      </c>
      <c r="B14" s="6" t="s">
        <v>193</v>
      </c>
      <c r="C14" s="6" t="s">
        <v>194</v>
      </c>
      <c r="D14" s="6" t="s">
        <v>195</v>
      </c>
      <c r="E14" s="7">
        <v>17798</v>
      </c>
      <c r="F14" s="8">
        <v>115.86498</v>
      </c>
      <c r="G14" s="9">
        <v>2.5950798000000001E-2</v>
      </c>
      <c r="H14" s="164"/>
    </row>
    <row r="15" spans="1:8" x14ac:dyDescent="0.2">
      <c r="A15" s="5">
        <v>9</v>
      </c>
      <c r="B15" s="6" t="s">
        <v>175</v>
      </c>
      <c r="C15" s="6" t="s">
        <v>176</v>
      </c>
      <c r="D15" s="6" t="s">
        <v>62</v>
      </c>
      <c r="E15" s="7">
        <v>24926</v>
      </c>
      <c r="F15" s="8">
        <v>105.362202</v>
      </c>
      <c r="G15" s="9">
        <v>2.3598444E-2</v>
      </c>
      <c r="H15" s="164"/>
    </row>
    <row r="16" spans="1:8" x14ac:dyDescent="0.2">
      <c r="A16" s="5">
        <v>10</v>
      </c>
      <c r="B16" s="6" t="s">
        <v>187</v>
      </c>
      <c r="C16" s="6" t="s">
        <v>188</v>
      </c>
      <c r="D16" s="6" t="s">
        <v>182</v>
      </c>
      <c r="E16" s="7">
        <v>41205</v>
      </c>
      <c r="F16" s="8">
        <v>103.09491</v>
      </c>
      <c r="G16" s="9">
        <v>2.3090627999999998E-2</v>
      </c>
      <c r="H16" s="164"/>
    </row>
    <row r="17" spans="1:8" x14ac:dyDescent="0.2">
      <c r="A17" s="5">
        <v>11</v>
      </c>
      <c r="B17" s="6" t="s">
        <v>198</v>
      </c>
      <c r="C17" s="6" t="s">
        <v>199</v>
      </c>
      <c r="D17" s="6" t="s">
        <v>200</v>
      </c>
      <c r="E17" s="7">
        <v>21294</v>
      </c>
      <c r="F17" s="8">
        <v>95.759118000000001</v>
      </c>
      <c r="G17" s="9">
        <v>2.1447597999999998E-2</v>
      </c>
      <c r="H17" s="164"/>
    </row>
    <row r="18" spans="1:8" ht="25.5" x14ac:dyDescent="0.2">
      <c r="A18" s="5">
        <v>12</v>
      </c>
      <c r="B18" s="6" t="s">
        <v>453</v>
      </c>
      <c r="C18" s="6" t="s">
        <v>454</v>
      </c>
      <c r="D18" s="6" t="s">
        <v>40</v>
      </c>
      <c r="E18" s="7">
        <v>7547</v>
      </c>
      <c r="F18" s="8">
        <v>94.809187499999993</v>
      </c>
      <c r="G18" s="9">
        <v>2.1234837999999999E-2</v>
      </c>
      <c r="H18" s="164"/>
    </row>
    <row r="19" spans="1:8" ht="25.5" x14ac:dyDescent="0.2">
      <c r="A19" s="5">
        <v>13</v>
      </c>
      <c r="B19" s="6" t="s">
        <v>201</v>
      </c>
      <c r="C19" s="6" t="s">
        <v>202</v>
      </c>
      <c r="D19" s="6" t="s">
        <v>67</v>
      </c>
      <c r="E19" s="7">
        <v>18738</v>
      </c>
      <c r="F19" s="8">
        <v>91.844307000000001</v>
      </c>
      <c r="G19" s="9">
        <v>2.057078E-2</v>
      </c>
      <c r="H19" s="164"/>
    </row>
    <row r="20" spans="1:8" ht="25.5" x14ac:dyDescent="0.2">
      <c r="A20" s="5">
        <v>14</v>
      </c>
      <c r="B20" s="6" t="s">
        <v>29</v>
      </c>
      <c r="C20" s="6" t="s">
        <v>30</v>
      </c>
      <c r="D20" s="6" t="s">
        <v>925</v>
      </c>
      <c r="E20" s="7">
        <v>2796</v>
      </c>
      <c r="F20" s="8">
        <v>91.125833999999998</v>
      </c>
      <c r="G20" s="9">
        <v>2.0409861000000001E-2</v>
      </c>
      <c r="H20" s="164"/>
    </row>
    <row r="21" spans="1:8" x14ac:dyDescent="0.2">
      <c r="A21" s="5">
        <v>15</v>
      </c>
      <c r="B21" s="6" t="s">
        <v>185</v>
      </c>
      <c r="C21" s="6" t="s">
        <v>186</v>
      </c>
      <c r="D21" s="6" t="s">
        <v>45</v>
      </c>
      <c r="E21" s="7">
        <v>19016</v>
      </c>
      <c r="F21" s="8">
        <v>89.641424000000001</v>
      </c>
      <c r="G21" s="9">
        <v>2.0077391E-2</v>
      </c>
      <c r="H21" s="164"/>
    </row>
    <row r="22" spans="1:8" x14ac:dyDescent="0.2">
      <c r="A22" s="5">
        <v>16</v>
      </c>
      <c r="B22" s="6" t="s">
        <v>177</v>
      </c>
      <c r="C22" s="6" t="s">
        <v>178</v>
      </c>
      <c r="D22" s="6" t="s">
        <v>179</v>
      </c>
      <c r="E22" s="7">
        <v>30712</v>
      </c>
      <c r="F22" s="8">
        <v>86.531059999999997</v>
      </c>
      <c r="G22" s="9">
        <v>1.9380748999999999E-2</v>
      </c>
      <c r="H22" s="164"/>
    </row>
    <row r="23" spans="1:8" x14ac:dyDescent="0.2">
      <c r="A23" s="5">
        <v>17</v>
      </c>
      <c r="B23" s="6" t="s">
        <v>205</v>
      </c>
      <c r="C23" s="6" t="s">
        <v>206</v>
      </c>
      <c r="D23" s="6" t="s">
        <v>207</v>
      </c>
      <c r="E23" s="7">
        <v>32045</v>
      </c>
      <c r="F23" s="8">
        <v>86.024802500000007</v>
      </c>
      <c r="G23" s="9">
        <v>1.9267360000000001E-2</v>
      </c>
      <c r="H23" s="164"/>
    </row>
    <row r="24" spans="1:8" x14ac:dyDescent="0.2">
      <c r="A24" s="5">
        <v>18</v>
      </c>
      <c r="B24" s="6" t="s">
        <v>180</v>
      </c>
      <c r="C24" s="6" t="s">
        <v>181</v>
      </c>
      <c r="D24" s="6" t="s">
        <v>182</v>
      </c>
      <c r="E24" s="7">
        <v>6295</v>
      </c>
      <c r="F24" s="8">
        <v>82.366927500000003</v>
      </c>
      <c r="G24" s="9">
        <v>1.8448089000000001E-2</v>
      </c>
      <c r="H24" s="164"/>
    </row>
    <row r="25" spans="1:8" x14ac:dyDescent="0.2">
      <c r="A25" s="5">
        <v>19</v>
      </c>
      <c r="B25" s="6" t="s">
        <v>183</v>
      </c>
      <c r="C25" s="6" t="s">
        <v>184</v>
      </c>
      <c r="D25" s="6" t="s">
        <v>59</v>
      </c>
      <c r="E25" s="7">
        <v>26188</v>
      </c>
      <c r="F25" s="8">
        <v>79.703177999999994</v>
      </c>
      <c r="G25" s="9">
        <v>1.7851477000000001E-2</v>
      </c>
      <c r="H25" s="164"/>
    </row>
    <row r="26" spans="1:8" x14ac:dyDescent="0.2">
      <c r="A26" s="5">
        <v>20</v>
      </c>
      <c r="B26" s="6" t="s">
        <v>203</v>
      </c>
      <c r="C26" s="6" t="s">
        <v>204</v>
      </c>
      <c r="D26" s="6" t="s">
        <v>179</v>
      </c>
      <c r="E26" s="7">
        <v>7863</v>
      </c>
      <c r="F26" s="8">
        <v>77.584220999999999</v>
      </c>
      <c r="G26" s="9">
        <v>1.7376885000000002E-2</v>
      </c>
      <c r="H26" s="164"/>
    </row>
    <row r="27" spans="1:8" x14ac:dyDescent="0.2">
      <c r="A27" s="5">
        <v>21</v>
      </c>
      <c r="B27" s="6" t="s">
        <v>41</v>
      </c>
      <c r="C27" s="6" t="s">
        <v>42</v>
      </c>
      <c r="D27" s="6" t="s">
        <v>28</v>
      </c>
      <c r="E27" s="7">
        <v>6458</v>
      </c>
      <c r="F27" s="8">
        <v>74.854678000000007</v>
      </c>
      <c r="G27" s="9">
        <v>1.6765537E-2</v>
      </c>
      <c r="H27" s="164"/>
    </row>
    <row r="28" spans="1:8" x14ac:dyDescent="0.2">
      <c r="A28" s="5">
        <v>22</v>
      </c>
      <c r="B28" s="6" t="s">
        <v>189</v>
      </c>
      <c r="C28" s="6" t="s">
        <v>190</v>
      </c>
      <c r="D28" s="6" t="s">
        <v>179</v>
      </c>
      <c r="E28" s="7">
        <v>2343</v>
      </c>
      <c r="F28" s="8">
        <v>73.645176000000006</v>
      </c>
      <c r="G28" s="9">
        <v>1.6494640000000001E-2</v>
      </c>
      <c r="H28" s="164"/>
    </row>
    <row r="29" spans="1:8" x14ac:dyDescent="0.2">
      <c r="A29" s="5">
        <v>23</v>
      </c>
      <c r="B29" s="6" t="s">
        <v>216</v>
      </c>
      <c r="C29" s="6" t="s">
        <v>217</v>
      </c>
      <c r="D29" s="6" t="s">
        <v>200</v>
      </c>
      <c r="E29" s="7">
        <v>11402</v>
      </c>
      <c r="F29" s="8">
        <v>73.143829999999994</v>
      </c>
      <c r="G29" s="9">
        <v>1.6382351E-2</v>
      </c>
      <c r="H29" s="164"/>
    </row>
    <row r="30" spans="1:8" x14ac:dyDescent="0.2">
      <c r="A30" s="5">
        <v>24</v>
      </c>
      <c r="B30" s="6" t="s">
        <v>196</v>
      </c>
      <c r="C30" s="6" t="s">
        <v>197</v>
      </c>
      <c r="D30" s="6" t="s">
        <v>928</v>
      </c>
      <c r="E30" s="7">
        <v>22271</v>
      </c>
      <c r="F30" s="8">
        <v>72.503240500000004</v>
      </c>
      <c r="G30" s="9">
        <v>1.6238875E-2</v>
      </c>
      <c r="H30" s="164"/>
    </row>
    <row r="31" spans="1:8" x14ac:dyDescent="0.2">
      <c r="A31" s="5">
        <v>25</v>
      </c>
      <c r="B31" s="6" t="s">
        <v>60</v>
      </c>
      <c r="C31" s="6" t="s">
        <v>61</v>
      </c>
      <c r="D31" s="6" t="s">
        <v>62</v>
      </c>
      <c r="E31" s="7">
        <v>2243</v>
      </c>
      <c r="F31" s="8">
        <v>67.103831</v>
      </c>
      <c r="G31" s="9">
        <v>1.5029545E-2</v>
      </c>
      <c r="H31" s="164"/>
    </row>
    <row r="32" spans="1:8" x14ac:dyDescent="0.2">
      <c r="A32" s="5">
        <v>26</v>
      </c>
      <c r="B32" s="6" t="s">
        <v>170</v>
      </c>
      <c r="C32" s="6" t="s">
        <v>171</v>
      </c>
      <c r="D32" s="6" t="s">
        <v>172</v>
      </c>
      <c r="E32" s="7">
        <v>5370</v>
      </c>
      <c r="F32" s="8">
        <v>66.918255000000002</v>
      </c>
      <c r="G32" s="9">
        <v>1.4987980999999999E-2</v>
      </c>
      <c r="H32" s="164"/>
    </row>
    <row r="33" spans="1:8" x14ac:dyDescent="0.2">
      <c r="A33" s="5">
        <v>27</v>
      </c>
      <c r="B33" s="6" t="s">
        <v>35</v>
      </c>
      <c r="C33" s="6" t="s">
        <v>36</v>
      </c>
      <c r="D33" s="6" t="s">
        <v>37</v>
      </c>
      <c r="E33" s="7">
        <v>20448</v>
      </c>
      <c r="F33" s="8">
        <v>66.711600000000004</v>
      </c>
      <c r="G33" s="9">
        <v>1.4941696000000001E-2</v>
      </c>
      <c r="H33" s="164"/>
    </row>
    <row r="34" spans="1:8" x14ac:dyDescent="0.2">
      <c r="A34" s="5">
        <v>28</v>
      </c>
      <c r="B34" s="6" t="s">
        <v>77</v>
      </c>
      <c r="C34" s="6" t="s">
        <v>78</v>
      </c>
      <c r="D34" s="6" t="s">
        <v>62</v>
      </c>
      <c r="E34" s="7">
        <v>25048</v>
      </c>
      <c r="F34" s="8">
        <v>63.271248</v>
      </c>
      <c r="G34" s="9">
        <v>1.4171145E-2</v>
      </c>
      <c r="H34" s="164"/>
    </row>
    <row r="35" spans="1:8" x14ac:dyDescent="0.2">
      <c r="A35" s="5">
        <v>29</v>
      </c>
      <c r="B35" s="6" t="s">
        <v>236</v>
      </c>
      <c r="C35" s="6" t="s">
        <v>237</v>
      </c>
      <c r="D35" s="6" t="s">
        <v>161</v>
      </c>
      <c r="E35" s="7">
        <v>108845</v>
      </c>
      <c r="F35" s="8">
        <v>63.130099999999999</v>
      </c>
      <c r="G35" s="9">
        <v>1.4139531E-2</v>
      </c>
      <c r="H35" s="164"/>
    </row>
    <row r="36" spans="1:8" x14ac:dyDescent="0.2">
      <c r="A36" s="5">
        <v>30</v>
      </c>
      <c r="B36" s="6" t="s">
        <v>51</v>
      </c>
      <c r="C36" s="6" t="s">
        <v>52</v>
      </c>
      <c r="D36" s="6" t="s">
        <v>926</v>
      </c>
      <c r="E36" s="7">
        <v>36873</v>
      </c>
      <c r="F36" s="8">
        <v>63.126576</v>
      </c>
      <c r="G36" s="9">
        <v>1.4138741999999999E-2</v>
      </c>
      <c r="H36" s="164"/>
    </row>
    <row r="37" spans="1:8" x14ac:dyDescent="0.2">
      <c r="A37" s="5">
        <v>31</v>
      </c>
      <c r="B37" s="6" t="s">
        <v>212</v>
      </c>
      <c r="C37" s="6" t="s">
        <v>213</v>
      </c>
      <c r="D37" s="6" t="s">
        <v>929</v>
      </c>
      <c r="E37" s="7">
        <v>7162</v>
      </c>
      <c r="F37" s="8">
        <v>62.262847000000001</v>
      </c>
      <c r="G37" s="9">
        <v>1.3945289E-2</v>
      </c>
      <c r="H37" s="164"/>
    </row>
    <row r="38" spans="1:8" x14ac:dyDescent="0.2">
      <c r="A38" s="5">
        <v>32</v>
      </c>
      <c r="B38" s="6" t="s">
        <v>208</v>
      </c>
      <c r="C38" s="6" t="s">
        <v>209</v>
      </c>
      <c r="D38" s="6" t="s">
        <v>161</v>
      </c>
      <c r="E38" s="7">
        <v>10332</v>
      </c>
      <c r="F38" s="8">
        <v>62.007497999999998</v>
      </c>
      <c r="G38" s="9">
        <v>1.3888097E-2</v>
      </c>
      <c r="H38" s="164"/>
    </row>
    <row r="39" spans="1:8" x14ac:dyDescent="0.2">
      <c r="A39" s="5">
        <v>33</v>
      </c>
      <c r="B39" s="6" t="s">
        <v>256</v>
      </c>
      <c r="C39" s="6" t="s">
        <v>257</v>
      </c>
      <c r="D39" s="6" t="s">
        <v>930</v>
      </c>
      <c r="E39" s="7">
        <v>10737</v>
      </c>
      <c r="F39" s="8">
        <v>60.154042500000003</v>
      </c>
      <c r="G39" s="9">
        <v>1.3472970000000001E-2</v>
      </c>
      <c r="H39" s="164"/>
    </row>
    <row r="40" spans="1:8" x14ac:dyDescent="0.2">
      <c r="A40" s="5">
        <v>34</v>
      </c>
      <c r="B40" s="6" t="s">
        <v>228</v>
      </c>
      <c r="C40" s="6" t="s">
        <v>229</v>
      </c>
      <c r="D40" s="6" t="s">
        <v>62</v>
      </c>
      <c r="E40" s="7">
        <v>7594</v>
      </c>
      <c r="F40" s="8">
        <v>58.697823</v>
      </c>
      <c r="G40" s="9">
        <v>1.3146814E-2</v>
      </c>
      <c r="H40" s="164"/>
    </row>
    <row r="41" spans="1:8" x14ac:dyDescent="0.2">
      <c r="A41" s="5">
        <v>35</v>
      </c>
      <c r="B41" s="6" t="s">
        <v>222</v>
      </c>
      <c r="C41" s="6" t="s">
        <v>223</v>
      </c>
      <c r="D41" s="6" t="s">
        <v>37</v>
      </c>
      <c r="E41" s="7">
        <v>54093</v>
      </c>
      <c r="F41" s="8">
        <v>58.095882000000003</v>
      </c>
      <c r="G41" s="9">
        <v>1.3011995E-2</v>
      </c>
      <c r="H41" s="164"/>
    </row>
    <row r="42" spans="1:8" x14ac:dyDescent="0.2">
      <c r="A42" s="5">
        <v>36</v>
      </c>
      <c r="B42" s="6" t="s">
        <v>224</v>
      </c>
      <c r="C42" s="6" t="s">
        <v>225</v>
      </c>
      <c r="D42" s="6" t="s">
        <v>161</v>
      </c>
      <c r="E42" s="7">
        <v>10108</v>
      </c>
      <c r="F42" s="8">
        <v>54.562984</v>
      </c>
      <c r="G42" s="9">
        <v>1.2220716E-2</v>
      </c>
      <c r="H42" s="164"/>
    </row>
    <row r="43" spans="1:8" ht="25.5" x14ac:dyDescent="0.2">
      <c r="A43" s="5">
        <v>37</v>
      </c>
      <c r="B43" s="6" t="s">
        <v>246</v>
      </c>
      <c r="C43" s="6" t="s">
        <v>247</v>
      </c>
      <c r="D43" s="6" t="s">
        <v>40</v>
      </c>
      <c r="E43" s="7">
        <v>68857</v>
      </c>
      <c r="F43" s="8">
        <v>53.983888</v>
      </c>
      <c r="G43" s="9">
        <v>1.2091012999999999E-2</v>
      </c>
      <c r="H43" s="164"/>
    </row>
    <row r="44" spans="1:8" x14ac:dyDescent="0.2">
      <c r="A44" s="5">
        <v>38</v>
      </c>
      <c r="B44" s="6" t="s">
        <v>267</v>
      </c>
      <c r="C44" s="6" t="s">
        <v>268</v>
      </c>
      <c r="D44" s="6" t="s">
        <v>195</v>
      </c>
      <c r="E44" s="7">
        <v>7135</v>
      </c>
      <c r="F44" s="8">
        <v>52.909592500000002</v>
      </c>
      <c r="G44" s="9">
        <v>1.1850398E-2</v>
      </c>
      <c r="H44" s="164"/>
    </row>
    <row r="45" spans="1:8" ht="25.5" x14ac:dyDescent="0.2">
      <c r="A45" s="5">
        <v>39</v>
      </c>
      <c r="B45" s="6" t="s">
        <v>234</v>
      </c>
      <c r="C45" s="6" t="s">
        <v>235</v>
      </c>
      <c r="D45" s="6" t="s">
        <v>67</v>
      </c>
      <c r="E45" s="7">
        <v>11863</v>
      </c>
      <c r="F45" s="8">
        <v>52.493774999999999</v>
      </c>
      <c r="G45" s="9">
        <v>1.1757266000000001E-2</v>
      </c>
      <c r="H45" s="164"/>
    </row>
    <row r="46" spans="1:8" ht="25.5" x14ac:dyDescent="0.2">
      <c r="A46" s="5">
        <v>40</v>
      </c>
      <c r="B46" s="6" t="s">
        <v>226</v>
      </c>
      <c r="C46" s="6" t="s">
        <v>227</v>
      </c>
      <c r="D46" s="6" t="s">
        <v>62</v>
      </c>
      <c r="E46" s="7">
        <v>2262</v>
      </c>
      <c r="F46" s="8">
        <v>51.851826000000003</v>
      </c>
      <c r="G46" s="9">
        <v>1.1613485999999999E-2</v>
      </c>
      <c r="H46" s="164"/>
    </row>
    <row r="47" spans="1:8" x14ac:dyDescent="0.2">
      <c r="A47" s="5">
        <v>41</v>
      </c>
      <c r="B47" s="6" t="s">
        <v>293</v>
      </c>
      <c r="C47" s="6" t="s">
        <v>294</v>
      </c>
      <c r="D47" s="6" t="s">
        <v>28</v>
      </c>
      <c r="E47" s="7">
        <v>3843</v>
      </c>
      <c r="F47" s="8">
        <v>50.669955000000002</v>
      </c>
      <c r="G47" s="9">
        <v>1.1348777000000001E-2</v>
      </c>
      <c r="H47" s="164"/>
    </row>
    <row r="48" spans="1:8" x14ac:dyDescent="0.2">
      <c r="A48" s="5">
        <v>42</v>
      </c>
      <c r="B48" s="6" t="s">
        <v>242</v>
      </c>
      <c r="C48" s="6" t="s">
        <v>243</v>
      </c>
      <c r="D48" s="6" t="s">
        <v>59</v>
      </c>
      <c r="E48" s="7">
        <v>3629</v>
      </c>
      <c r="F48" s="8">
        <v>47.937275499999998</v>
      </c>
      <c r="G48" s="9">
        <v>1.0736726E-2</v>
      </c>
      <c r="H48" s="164"/>
    </row>
    <row r="49" spans="1:8" x14ac:dyDescent="0.2">
      <c r="A49" s="5">
        <v>43</v>
      </c>
      <c r="B49" s="6" t="s">
        <v>251</v>
      </c>
      <c r="C49" s="6" t="s">
        <v>252</v>
      </c>
      <c r="D49" s="6" t="s">
        <v>253</v>
      </c>
      <c r="E49" s="7">
        <v>9854</v>
      </c>
      <c r="F49" s="8">
        <v>47.373105000000002</v>
      </c>
      <c r="G49" s="9">
        <v>1.0610366E-2</v>
      </c>
      <c r="H49" s="164"/>
    </row>
    <row r="50" spans="1:8" ht="25.5" x14ac:dyDescent="0.2">
      <c r="A50" s="5">
        <v>44</v>
      </c>
      <c r="B50" s="6" t="s">
        <v>248</v>
      </c>
      <c r="C50" s="6" t="s">
        <v>249</v>
      </c>
      <c r="D50" s="6" t="s">
        <v>67</v>
      </c>
      <c r="E50" s="7">
        <v>10717</v>
      </c>
      <c r="F50" s="8">
        <v>46.833289999999998</v>
      </c>
      <c r="G50" s="9">
        <v>1.0489462E-2</v>
      </c>
      <c r="H50" s="164"/>
    </row>
    <row r="51" spans="1:8" x14ac:dyDescent="0.2">
      <c r="A51" s="5">
        <v>45</v>
      </c>
      <c r="B51" s="6" t="s">
        <v>275</v>
      </c>
      <c r="C51" s="6" t="s">
        <v>276</v>
      </c>
      <c r="D51" s="6" t="s">
        <v>277</v>
      </c>
      <c r="E51" s="7">
        <v>17156</v>
      </c>
      <c r="F51" s="8">
        <v>44.476930000000003</v>
      </c>
      <c r="G51" s="9">
        <v>9.9616970000000003E-3</v>
      </c>
      <c r="H51" s="164"/>
    </row>
    <row r="52" spans="1:8" x14ac:dyDescent="0.2">
      <c r="A52" s="5">
        <v>46</v>
      </c>
      <c r="B52" s="6" t="s">
        <v>280</v>
      </c>
      <c r="C52" s="6" t="s">
        <v>281</v>
      </c>
      <c r="D52" s="6" t="s">
        <v>930</v>
      </c>
      <c r="E52" s="7">
        <v>33431</v>
      </c>
      <c r="F52" s="8">
        <v>43.945049500000003</v>
      </c>
      <c r="G52" s="9">
        <v>9.8425690000000007E-3</v>
      </c>
      <c r="H52" s="164"/>
    </row>
    <row r="53" spans="1:8" x14ac:dyDescent="0.2">
      <c r="A53" s="5">
        <v>47</v>
      </c>
      <c r="B53" s="6" t="s">
        <v>173</v>
      </c>
      <c r="C53" s="6" t="s">
        <v>174</v>
      </c>
      <c r="D53" s="6" t="s">
        <v>179</v>
      </c>
      <c r="E53" s="7">
        <v>3221</v>
      </c>
      <c r="F53" s="8">
        <v>43.857135999999997</v>
      </c>
      <c r="G53" s="9">
        <v>9.8228789999999996E-3</v>
      </c>
      <c r="H53" s="164"/>
    </row>
    <row r="54" spans="1:8" ht="25.5" x14ac:dyDescent="0.2">
      <c r="A54" s="5">
        <v>48</v>
      </c>
      <c r="B54" s="6" t="s">
        <v>191</v>
      </c>
      <c r="C54" s="6" t="s">
        <v>192</v>
      </c>
      <c r="D54" s="6" t="s">
        <v>925</v>
      </c>
      <c r="E54" s="7">
        <v>16531</v>
      </c>
      <c r="F54" s="8">
        <v>43.749291499999998</v>
      </c>
      <c r="G54" s="9">
        <v>9.7987249999999994E-3</v>
      </c>
      <c r="H54" s="164"/>
    </row>
    <row r="55" spans="1:8" ht="25.5" x14ac:dyDescent="0.2">
      <c r="A55" s="5">
        <v>49</v>
      </c>
      <c r="B55" s="6" t="s">
        <v>63</v>
      </c>
      <c r="C55" s="6" t="s">
        <v>64</v>
      </c>
      <c r="D55" s="6" t="s">
        <v>40</v>
      </c>
      <c r="E55" s="7">
        <v>5492</v>
      </c>
      <c r="F55" s="8">
        <v>43.62021</v>
      </c>
      <c r="G55" s="9">
        <v>9.7698139999999999E-3</v>
      </c>
      <c r="H55" s="164"/>
    </row>
    <row r="56" spans="1:8" x14ac:dyDescent="0.2">
      <c r="A56" s="5">
        <v>50</v>
      </c>
      <c r="B56" s="6" t="s">
        <v>273</v>
      </c>
      <c r="C56" s="6" t="s">
        <v>274</v>
      </c>
      <c r="D56" s="6" t="s">
        <v>22</v>
      </c>
      <c r="E56" s="7">
        <v>41531</v>
      </c>
      <c r="F56" s="8">
        <v>43.607550000000003</v>
      </c>
      <c r="G56" s="9">
        <v>9.7669780000000008E-3</v>
      </c>
      <c r="H56" s="164"/>
    </row>
    <row r="57" spans="1:8" ht="25.5" x14ac:dyDescent="0.2">
      <c r="A57" s="5">
        <v>51</v>
      </c>
      <c r="B57" s="6" t="s">
        <v>258</v>
      </c>
      <c r="C57" s="6" t="s">
        <v>259</v>
      </c>
      <c r="D57" s="6" t="s">
        <v>931</v>
      </c>
      <c r="E57" s="7">
        <v>43509</v>
      </c>
      <c r="F57" s="8">
        <v>43.378473</v>
      </c>
      <c r="G57" s="9">
        <v>9.7156710000000004E-3</v>
      </c>
      <c r="H57" s="164"/>
    </row>
    <row r="58" spans="1:8" x14ac:dyDescent="0.2">
      <c r="A58" s="5">
        <v>52</v>
      </c>
      <c r="B58" s="6" t="s">
        <v>463</v>
      </c>
      <c r="C58" s="6" t="s">
        <v>464</v>
      </c>
      <c r="D58" s="6" t="s">
        <v>927</v>
      </c>
      <c r="E58" s="7">
        <v>38111</v>
      </c>
      <c r="F58" s="8">
        <v>42.665264499999999</v>
      </c>
      <c r="G58" s="9">
        <v>9.5559300000000007E-3</v>
      </c>
      <c r="H58" s="164"/>
    </row>
    <row r="59" spans="1:8" x14ac:dyDescent="0.2">
      <c r="A59" s="5">
        <v>53</v>
      </c>
      <c r="B59" s="6" t="s">
        <v>264</v>
      </c>
      <c r="C59" s="6" t="s">
        <v>265</v>
      </c>
      <c r="D59" s="6" t="s">
        <v>266</v>
      </c>
      <c r="E59" s="7">
        <v>5220</v>
      </c>
      <c r="F59" s="8">
        <v>42.206310000000002</v>
      </c>
      <c r="G59" s="9">
        <v>9.4531359999999991E-3</v>
      </c>
      <c r="H59" s="164"/>
    </row>
    <row r="60" spans="1:8" x14ac:dyDescent="0.2">
      <c r="A60" s="5">
        <v>54</v>
      </c>
      <c r="B60" s="6" t="s">
        <v>238</v>
      </c>
      <c r="C60" s="6" t="s">
        <v>239</v>
      </c>
      <c r="D60" s="6" t="s">
        <v>195</v>
      </c>
      <c r="E60" s="7">
        <v>10008</v>
      </c>
      <c r="F60" s="8">
        <v>41.373072000000001</v>
      </c>
      <c r="G60" s="9">
        <v>9.2665119999999993E-3</v>
      </c>
      <c r="H60" s="164"/>
    </row>
    <row r="61" spans="1:8" x14ac:dyDescent="0.2">
      <c r="A61" s="5">
        <v>55</v>
      </c>
      <c r="B61" s="6" t="s">
        <v>260</v>
      </c>
      <c r="C61" s="6" t="s">
        <v>261</v>
      </c>
      <c r="D61" s="6" t="s">
        <v>930</v>
      </c>
      <c r="E61" s="7">
        <v>9945</v>
      </c>
      <c r="F61" s="8">
        <v>40.684995000000001</v>
      </c>
      <c r="G61" s="9">
        <v>9.1123999999999997E-3</v>
      </c>
      <c r="H61" s="164"/>
    </row>
    <row r="62" spans="1:8" x14ac:dyDescent="0.2">
      <c r="A62" s="5">
        <v>56</v>
      </c>
      <c r="B62" s="6" t="s">
        <v>271</v>
      </c>
      <c r="C62" s="6" t="s">
        <v>272</v>
      </c>
      <c r="D62" s="6" t="s">
        <v>346</v>
      </c>
      <c r="E62" s="7">
        <v>3897</v>
      </c>
      <c r="F62" s="8">
        <v>37.572925499999997</v>
      </c>
      <c r="G62" s="9">
        <v>8.4153760000000005E-3</v>
      </c>
      <c r="H62" s="164"/>
    </row>
    <row r="63" spans="1:8" x14ac:dyDescent="0.2">
      <c r="A63" s="5">
        <v>57</v>
      </c>
      <c r="B63" s="6" t="s">
        <v>244</v>
      </c>
      <c r="C63" s="6" t="s">
        <v>245</v>
      </c>
      <c r="D63" s="6" t="s">
        <v>200</v>
      </c>
      <c r="E63" s="7">
        <v>1976</v>
      </c>
      <c r="F63" s="8">
        <v>35.829819999999998</v>
      </c>
      <c r="G63" s="9">
        <v>8.0249650000000002E-3</v>
      </c>
      <c r="H63" s="164"/>
    </row>
    <row r="64" spans="1:8" x14ac:dyDescent="0.2">
      <c r="A64" s="5">
        <v>58</v>
      </c>
      <c r="B64" s="6" t="s">
        <v>55</v>
      </c>
      <c r="C64" s="6" t="s">
        <v>56</v>
      </c>
      <c r="D64" s="6" t="s">
        <v>37</v>
      </c>
      <c r="E64" s="7">
        <v>15361</v>
      </c>
      <c r="F64" s="8">
        <v>35.1075655</v>
      </c>
      <c r="G64" s="9">
        <v>7.8631989999999995E-3</v>
      </c>
      <c r="H64" s="164"/>
    </row>
    <row r="65" spans="1:8" x14ac:dyDescent="0.2">
      <c r="A65" s="5">
        <v>59</v>
      </c>
      <c r="B65" s="6" t="s">
        <v>284</v>
      </c>
      <c r="C65" s="6" t="s">
        <v>285</v>
      </c>
      <c r="D65" s="6" t="s">
        <v>62</v>
      </c>
      <c r="E65" s="7">
        <v>18897</v>
      </c>
      <c r="F65" s="8">
        <v>33.3626535</v>
      </c>
      <c r="G65" s="9">
        <v>7.472383E-3</v>
      </c>
      <c r="H65" s="164"/>
    </row>
    <row r="66" spans="1:8" x14ac:dyDescent="0.2">
      <c r="A66" s="5">
        <v>60</v>
      </c>
      <c r="B66" s="6" t="s">
        <v>230</v>
      </c>
      <c r="C66" s="6" t="s">
        <v>231</v>
      </c>
      <c r="D66" s="6" t="s">
        <v>62</v>
      </c>
      <c r="E66" s="7">
        <v>11000</v>
      </c>
      <c r="F66" s="8">
        <v>32.307000000000002</v>
      </c>
      <c r="G66" s="9">
        <v>7.2359429999999999E-3</v>
      </c>
      <c r="H66" s="164"/>
    </row>
    <row r="67" spans="1:8" x14ac:dyDescent="0.2">
      <c r="A67" s="5">
        <v>61</v>
      </c>
      <c r="B67" s="6" t="s">
        <v>282</v>
      </c>
      <c r="C67" s="6" t="s">
        <v>283</v>
      </c>
      <c r="D67" s="6" t="s">
        <v>200</v>
      </c>
      <c r="E67" s="7">
        <v>536</v>
      </c>
      <c r="F67" s="8">
        <v>28.715664</v>
      </c>
      <c r="G67" s="9">
        <v>6.4315759999999996E-3</v>
      </c>
      <c r="H67" s="164"/>
    </row>
    <row r="68" spans="1:8" x14ac:dyDescent="0.2">
      <c r="A68" s="5">
        <v>62</v>
      </c>
      <c r="B68" s="6" t="s">
        <v>218</v>
      </c>
      <c r="C68" s="6" t="s">
        <v>219</v>
      </c>
      <c r="D68" s="6" t="s">
        <v>926</v>
      </c>
      <c r="E68" s="7">
        <v>1939</v>
      </c>
      <c r="F68" s="8">
        <v>27.982678499999999</v>
      </c>
      <c r="G68" s="9">
        <v>6.2674059999999997E-3</v>
      </c>
      <c r="H68" s="164"/>
    </row>
    <row r="69" spans="1:8" x14ac:dyDescent="0.2">
      <c r="A69" s="5">
        <v>63</v>
      </c>
      <c r="B69" s="6" t="s">
        <v>288</v>
      </c>
      <c r="C69" s="6" t="s">
        <v>289</v>
      </c>
      <c r="D69" s="6" t="s">
        <v>158</v>
      </c>
      <c r="E69" s="7">
        <v>1926</v>
      </c>
      <c r="F69" s="8">
        <v>26.636579999999999</v>
      </c>
      <c r="G69" s="9">
        <v>5.9659140000000001E-3</v>
      </c>
      <c r="H69" s="164"/>
    </row>
    <row r="70" spans="1:8" x14ac:dyDescent="0.2">
      <c r="A70" s="5">
        <v>64</v>
      </c>
      <c r="B70" s="6" t="s">
        <v>290</v>
      </c>
      <c r="C70" s="6" t="s">
        <v>291</v>
      </c>
      <c r="D70" s="6" t="s">
        <v>179</v>
      </c>
      <c r="E70" s="7">
        <v>3830</v>
      </c>
      <c r="F70" s="8">
        <v>20.369855000000001</v>
      </c>
      <c r="G70" s="9">
        <v>4.562328E-3</v>
      </c>
      <c r="H70" s="164"/>
    </row>
    <row r="71" spans="1:8" x14ac:dyDescent="0.2">
      <c r="A71" s="3" t="s">
        <v>9</v>
      </c>
      <c r="B71" s="3" t="s">
        <v>9</v>
      </c>
      <c r="C71" s="4" t="s">
        <v>110</v>
      </c>
      <c r="D71" s="3" t="s">
        <v>9</v>
      </c>
      <c r="E71" s="3" t="s">
        <v>9</v>
      </c>
      <c r="F71" s="11">
        <v>4335.4578794999998</v>
      </c>
      <c r="G71" s="12">
        <v>0.971031906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111</v>
      </c>
      <c r="D73" s="3" t="s">
        <v>9</v>
      </c>
      <c r="E73" s="3" t="s">
        <v>9</v>
      </c>
      <c r="F73" s="3" t="s">
        <v>9</v>
      </c>
      <c r="G73" s="3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110</v>
      </c>
      <c r="D74" s="3" t="s">
        <v>9</v>
      </c>
      <c r="E74" s="3" t="s">
        <v>9</v>
      </c>
      <c r="F74" s="15">
        <v>0</v>
      </c>
      <c r="G74" s="16">
        <v>0</v>
      </c>
      <c r="H74" s="164"/>
    </row>
    <row r="75" spans="1:8" x14ac:dyDescent="0.2">
      <c r="A75" s="3" t="s">
        <v>9</v>
      </c>
      <c r="B75" s="3" t="s">
        <v>9</v>
      </c>
      <c r="C75" s="13" t="s">
        <v>9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112</v>
      </c>
      <c r="D76" s="3" t="s">
        <v>9</v>
      </c>
      <c r="E76" s="3" t="s">
        <v>9</v>
      </c>
      <c r="F76" s="3" t="s">
        <v>9</v>
      </c>
      <c r="G76" s="3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110</v>
      </c>
      <c r="D77" s="3" t="s">
        <v>9</v>
      </c>
      <c r="E77" s="3" t="s">
        <v>9</v>
      </c>
      <c r="F77" s="15">
        <v>0</v>
      </c>
      <c r="G77" s="16">
        <v>0</v>
      </c>
      <c r="H77" s="164"/>
    </row>
    <row r="78" spans="1:8" x14ac:dyDescent="0.2">
      <c r="A78" s="3" t="s">
        <v>9</v>
      </c>
      <c r="B78" s="3" t="s">
        <v>9</v>
      </c>
      <c r="C78" s="13" t="s">
        <v>9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x14ac:dyDescent="0.2">
      <c r="A79" s="3" t="s">
        <v>9</v>
      </c>
      <c r="B79" s="3" t="s">
        <v>9</v>
      </c>
      <c r="C79" s="4" t="s">
        <v>113</v>
      </c>
      <c r="D79" s="3" t="s">
        <v>9</v>
      </c>
      <c r="E79" s="3" t="s">
        <v>9</v>
      </c>
      <c r="F79" s="3" t="s">
        <v>9</v>
      </c>
      <c r="G79" s="3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110</v>
      </c>
      <c r="D80" s="3" t="s">
        <v>9</v>
      </c>
      <c r="E80" s="3" t="s">
        <v>9</v>
      </c>
      <c r="F80" s="15">
        <v>0</v>
      </c>
      <c r="G80" s="16">
        <v>0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114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115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110</v>
      </c>
      <c r="D86" s="3" t="s">
        <v>9</v>
      </c>
      <c r="E86" s="3" t="s">
        <v>9</v>
      </c>
      <c r="F86" s="15">
        <v>0</v>
      </c>
      <c r="G86" s="16">
        <v>0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116</v>
      </c>
      <c r="D88" s="3" t="s">
        <v>9</v>
      </c>
      <c r="E88" s="3" t="s">
        <v>9</v>
      </c>
      <c r="F88" s="11">
        <v>4335.4578794999998</v>
      </c>
      <c r="G88" s="12">
        <v>0.971031906</v>
      </c>
      <c r="H88" s="164"/>
    </row>
    <row r="89" spans="1:8" x14ac:dyDescent="0.2">
      <c r="A89" s="3" t="s">
        <v>9</v>
      </c>
      <c r="B89" s="3" t="s">
        <v>9</v>
      </c>
      <c r="C89" s="13" t="s">
        <v>9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117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ht="25.5" x14ac:dyDescent="0.2">
      <c r="A91" s="3" t="s">
        <v>9</v>
      </c>
      <c r="B91" s="3" t="s">
        <v>9</v>
      </c>
      <c r="C91" s="4" t="s">
        <v>11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110</v>
      </c>
      <c r="D92" s="3" t="s">
        <v>9</v>
      </c>
      <c r="E92" s="3" t="s">
        <v>9</v>
      </c>
      <c r="F92" s="15">
        <v>0</v>
      </c>
      <c r="G92" s="16">
        <v>0</v>
      </c>
      <c r="H92" s="164"/>
    </row>
    <row r="93" spans="1:8" x14ac:dyDescent="0.2">
      <c r="A93" s="3" t="s">
        <v>9</v>
      </c>
      <c r="B93" s="3" t="s">
        <v>9</v>
      </c>
      <c r="C93" s="13" t="s">
        <v>9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118</v>
      </c>
      <c r="D94" s="3" t="s">
        <v>9</v>
      </c>
      <c r="E94" s="3" t="s">
        <v>9</v>
      </c>
      <c r="F94" s="3" t="s">
        <v>9</v>
      </c>
      <c r="G94" s="3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110</v>
      </c>
      <c r="D95" s="3" t="s">
        <v>9</v>
      </c>
      <c r="E95" s="3" t="s">
        <v>9</v>
      </c>
      <c r="F95" s="15">
        <v>0</v>
      </c>
      <c r="G95" s="16">
        <v>0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119</v>
      </c>
      <c r="D97" s="3" t="s">
        <v>9</v>
      </c>
      <c r="E97" s="3" t="s">
        <v>9</v>
      </c>
      <c r="F97" s="3" t="s">
        <v>9</v>
      </c>
      <c r="G97" s="3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110</v>
      </c>
      <c r="D98" s="3" t="s">
        <v>9</v>
      </c>
      <c r="E98" s="3" t="s">
        <v>9</v>
      </c>
      <c r="F98" s="15">
        <v>0</v>
      </c>
      <c r="G98" s="16">
        <v>0</v>
      </c>
      <c r="H98" s="164"/>
    </row>
    <row r="99" spans="1:8" x14ac:dyDescent="0.2">
      <c r="A99" s="3" t="s">
        <v>9</v>
      </c>
      <c r="B99" s="3" t="s">
        <v>9</v>
      </c>
      <c r="C99" s="13" t="s">
        <v>9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120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110</v>
      </c>
      <c r="D101" s="3" t="s">
        <v>9</v>
      </c>
      <c r="E101" s="3" t="s">
        <v>9</v>
      </c>
      <c r="F101" s="15">
        <v>0</v>
      </c>
      <c r="G101" s="16">
        <v>0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121</v>
      </c>
      <c r="D103" s="3" t="s">
        <v>9</v>
      </c>
      <c r="E103" s="3" t="s">
        <v>9</v>
      </c>
      <c r="F103" s="11">
        <v>0</v>
      </c>
      <c r="G103" s="12">
        <v>0</v>
      </c>
      <c r="H103" s="164"/>
    </row>
    <row r="104" spans="1:8" x14ac:dyDescent="0.2">
      <c r="A104" s="3" t="s">
        <v>9</v>
      </c>
      <c r="B104" s="3" t="s">
        <v>9</v>
      </c>
      <c r="C104" s="13" t="s">
        <v>9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122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123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110</v>
      </c>
      <c r="D107" s="3" t="s">
        <v>9</v>
      </c>
      <c r="E107" s="3" t="s">
        <v>9</v>
      </c>
      <c r="F107" s="15">
        <v>0</v>
      </c>
      <c r="G107" s="16">
        <v>0</v>
      </c>
      <c r="H107" s="164"/>
    </row>
    <row r="108" spans="1:8" x14ac:dyDescent="0.2">
      <c r="A108" s="3" t="s">
        <v>9</v>
      </c>
      <c r="B108" s="3" t="s">
        <v>9</v>
      </c>
      <c r="C108" s="13" t="s">
        <v>9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124</v>
      </c>
      <c r="D109" s="3" t="s">
        <v>9</v>
      </c>
      <c r="E109" s="3" t="s">
        <v>9</v>
      </c>
      <c r="F109" s="14" t="s">
        <v>9</v>
      </c>
      <c r="G109" s="14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110</v>
      </c>
      <c r="D110" s="3" t="s">
        <v>9</v>
      </c>
      <c r="E110" s="3" t="s">
        <v>9</v>
      </c>
      <c r="F110" s="15">
        <v>0</v>
      </c>
      <c r="G110" s="16">
        <v>0</v>
      </c>
      <c r="H110" s="164"/>
    </row>
    <row r="111" spans="1:8" x14ac:dyDescent="0.2">
      <c r="A111" s="3" t="s">
        <v>9</v>
      </c>
      <c r="B111" s="3" t="s">
        <v>9</v>
      </c>
      <c r="C111" s="13" t="s">
        <v>9</v>
      </c>
      <c r="D111" s="3" t="s">
        <v>9</v>
      </c>
      <c r="E111" s="3" t="s">
        <v>9</v>
      </c>
      <c r="F111" s="14" t="s">
        <v>9</v>
      </c>
      <c r="G111" s="14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125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110</v>
      </c>
      <c r="D113" s="3" t="s">
        <v>9</v>
      </c>
      <c r="E113" s="3" t="s">
        <v>9</v>
      </c>
      <c r="F113" s="15">
        <v>0</v>
      </c>
      <c r="G113" s="16">
        <v>0</v>
      </c>
      <c r="H113" s="164"/>
    </row>
    <row r="114" spans="1:8" x14ac:dyDescent="0.2">
      <c r="A114" s="3" t="s">
        <v>9</v>
      </c>
      <c r="B114" s="3" t="s">
        <v>9</v>
      </c>
      <c r="C114" s="13" t="s">
        <v>9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126</v>
      </c>
      <c r="D115" s="3" t="s">
        <v>9</v>
      </c>
      <c r="E115" s="3" t="s">
        <v>9</v>
      </c>
      <c r="F115" s="14" t="s">
        <v>9</v>
      </c>
      <c r="G115" s="14" t="s">
        <v>9</v>
      </c>
      <c r="H115" s="164"/>
    </row>
    <row r="116" spans="1:8" x14ac:dyDescent="0.2">
      <c r="A116" s="5">
        <v>1</v>
      </c>
      <c r="B116" s="6"/>
      <c r="C116" s="6" t="s">
        <v>127</v>
      </c>
      <c r="D116" s="6"/>
      <c r="E116" s="10" t="s">
        <v>9</v>
      </c>
      <c r="F116" s="8">
        <v>92.719367599999998</v>
      </c>
      <c r="G116" s="9">
        <v>2.0766771999999999E-2</v>
      </c>
      <c r="H116" s="90">
        <v>3.22</v>
      </c>
    </row>
    <row r="117" spans="1:8" x14ac:dyDescent="0.2">
      <c r="A117" s="5">
        <v>2</v>
      </c>
      <c r="B117" s="6"/>
      <c r="C117" s="6" t="s">
        <v>128</v>
      </c>
      <c r="D117" s="6"/>
      <c r="E117" s="10" t="s">
        <v>9</v>
      </c>
      <c r="F117" s="8">
        <v>26.2020619</v>
      </c>
      <c r="G117" s="9">
        <v>5.8685930000000001E-3</v>
      </c>
      <c r="H117" s="90">
        <v>3.34</v>
      </c>
    </row>
    <row r="118" spans="1:8" x14ac:dyDescent="0.2">
      <c r="A118" s="3" t="s">
        <v>9</v>
      </c>
      <c r="B118" s="3" t="s">
        <v>9</v>
      </c>
      <c r="C118" s="4" t="s">
        <v>110</v>
      </c>
      <c r="D118" s="3" t="s">
        <v>9</v>
      </c>
      <c r="E118" s="3" t="s">
        <v>9</v>
      </c>
      <c r="F118" s="11">
        <v>118.9214295</v>
      </c>
      <c r="G118" s="12">
        <v>2.6635365000000001E-2</v>
      </c>
      <c r="H118" s="164"/>
    </row>
    <row r="119" spans="1:8" x14ac:dyDescent="0.2">
      <c r="A119" s="3" t="s">
        <v>9</v>
      </c>
      <c r="B119" s="3" t="s">
        <v>9</v>
      </c>
      <c r="C119" s="13" t="s">
        <v>9</v>
      </c>
      <c r="D119" s="3" t="s">
        <v>9</v>
      </c>
      <c r="E119" s="3" t="s">
        <v>9</v>
      </c>
      <c r="F119" s="14" t="s">
        <v>9</v>
      </c>
      <c r="G119" s="14" t="s">
        <v>9</v>
      </c>
      <c r="H119" s="164"/>
    </row>
    <row r="120" spans="1:8" x14ac:dyDescent="0.2">
      <c r="A120" s="3" t="s">
        <v>9</v>
      </c>
      <c r="B120" s="3" t="s">
        <v>9</v>
      </c>
      <c r="C120" s="4" t="s">
        <v>129</v>
      </c>
      <c r="D120" s="3" t="s">
        <v>9</v>
      </c>
      <c r="E120" s="3" t="s">
        <v>9</v>
      </c>
      <c r="F120" s="11">
        <v>118.9214295</v>
      </c>
      <c r="G120" s="12">
        <v>2.6635365000000001E-2</v>
      </c>
      <c r="H120" s="164"/>
    </row>
    <row r="121" spans="1:8" x14ac:dyDescent="0.2">
      <c r="A121" s="3" t="s">
        <v>9</v>
      </c>
      <c r="B121" s="3" t="s">
        <v>9</v>
      </c>
      <c r="C121" s="14" t="s">
        <v>9</v>
      </c>
      <c r="D121" s="3" t="s">
        <v>9</v>
      </c>
      <c r="E121" s="3" t="s">
        <v>9</v>
      </c>
      <c r="F121" s="3" t="s">
        <v>9</v>
      </c>
      <c r="G121" s="3" t="s">
        <v>9</v>
      </c>
      <c r="H121" s="164"/>
    </row>
    <row r="122" spans="1:8" x14ac:dyDescent="0.2">
      <c r="A122" s="3" t="s">
        <v>9</v>
      </c>
      <c r="B122" s="3" t="s">
        <v>9</v>
      </c>
      <c r="C122" s="4" t="s">
        <v>130</v>
      </c>
      <c r="D122" s="3" t="s">
        <v>9</v>
      </c>
      <c r="E122" s="3" t="s">
        <v>9</v>
      </c>
      <c r="F122" s="3" t="s">
        <v>9</v>
      </c>
      <c r="G122" s="3" t="s">
        <v>9</v>
      </c>
      <c r="H122" s="164"/>
    </row>
    <row r="123" spans="1:8" x14ac:dyDescent="0.2">
      <c r="A123" s="3" t="s">
        <v>9</v>
      </c>
      <c r="B123" s="3" t="s">
        <v>9</v>
      </c>
      <c r="C123" s="4" t="s">
        <v>131</v>
      </c>
      <c r="D123" s="3" t="s">
        <v>9</v>
      </c>
      <c r="E123" s="3" t="s">
        <v>9</v>
      </c>
      <c r="F123" s="3" t="s">
        <v>9</v>
      </c>
      <c r="G123" s="3" t="s">
        <v>9</v>
      </c>
      <c r="H123" s="164"/>
    </row>
    <row r="124" spans="1:8" x14ac:dyDescent="0.2">
      <c r="A124" s="3" t="s">
        <v>9</v>
      </c>
      <c r="B124" s="3" t="s">
        <v>9</v>
      </c>
      <c r="C124" s="4" t="s">
        <v>110</v>
      </c>
      <c r="D124" s="3" t="s">
        <v>9</v>
      </c>
      <c r="E124" s="3" t="s">
        <v>9</v>
      </c>
      <c r="F124" s="15">
        <v>0</v>
      </c>
      <c r="G124" s="16">
        <v>0</v>
      </c>
      <c r="H124" s="164"/>
    </row>
    <row r="125" spans="1:8" x14ac:dyDescent="0.2">
      <c r="A125" s="3" t="s">
        <v>9</v>
      </c>
      <c r="B125" s="3" t="s">
        <v>9</v>
      </c>
      <c r="C125" s="13" t="s">
        <v>9</v>
      </c>
      <c r="D125" s="3" t="s">
        <v>9</v>
      </c>
      <c r="E125" s="3" t="s">
        <v>9</v>
      </c>
      <c r="F125" s="14" t="s">
        <v>9</v>
      </c>
      <c r="G125" s="14" t="s">
        <v>9</v>
      </c>
      <c r="H125" s="164"/>
    </row>
    <row r="126" spans="1:8" x14ac:dyDescent="0.2">
      <c r="A126" s="3" t="s">
        <v>9</v>
      </c>
      <c r="B126" s="3" t="s">
        <v>9</v>
      </c>
      <c r="C126" s="4" t="s">
        <v>132</v>
      </c>
      <c r="D126" s="3" t="s">
        <v>9</v>
      </c>
      <c r="E126" s="3" t="s">
        <v>9</v>
      </c>
      <c r="F126" s="3" t="s">
        <v>9</v>
      </c>
      <c r="G126" s="3" t="s">
        <v>9</v>
      </c>
      <c r="H126" s="164"/>
    </row>
    <row r="127" spans="1:8" x14ac:dyDescent="0.2">
      <c r="A127" s="3" t="s">
        <v>9</v>
      </c>
      <c r="B127" s="3" t="s">
        <v>9</v>
      </c>
      <c r="C127" s="4" t="s">
        <v>133</v>
      </c>
      <c r="D127" s="3" t="s">
        <v>9</v>
      </c>
      <c r="E127" s="3" t="s">
        <v>9</v>
      </c>
      <c r="F127" s="3" t="s">
        <v>9</v>
      </c>
      <c r="G127" s="3" t="s">
        <v>9</v>
      </c>
      <c r="H127" s="164"/>
    </row>
    <row r="128" spans="1:8" x14ac:dyDescent="0.2">
      <c r="A128" s="3" t="s">
        <v>9</v>
      </c>
      <c r="B128" s="3" t="s">
        <v>9</v>
      </c>
      <c r="C128" s="4" t="s">
        <v>110</v>
      </c>
      <c r="D128" s="3" t="s">
        <v>9</v>
      </c>
      <c r="E128" s="3" t="s">
        <v>9</v>
      </c>
      <c r="F128" s="15">
        <v>0</v>
      </c>
      <c r="G128" s="16">
        <v>0</v>
      </c>
      <c r="H128" s="164"/>
    </row>
    <row r="129" spans="1:8" x14ac:dyDescent="0.2">
      <c r="A129" s="3" t="s">
        <v>9</v>
      </c>
      <c r="B129" s="3" t="s">
        <v>9</v>
      </c>
      <c r="C129" s="13" t="s">
        <v>9</v>
      </c>
      <c r="D129" s="3" t="s">
        <v>9</v>
      </c>
      <c r="E129" s="3" t="s">
        <v>9</v>
      </c>
      <c r="F129" s="14" t="s">
        <v>9</v>
      </c>
      <c r="G129" s="14" t="s">
        <v>9</v>
      </c>
      <c r="H129" s="164"/>
    </row>
    <row r="130" spans="1:8" x14ac:dyDescent="0.2">
      <c r="A130" s="3" t="s">
        <v>9</v>
      </c>
      <c r="B130" s="3" t="s">
        <v>9</v>
      </c>
      <c r="C130" s="13" t="s">
        <v>9</v>
      </c>
      <c r="D130" s="3" t="s">
        <v>9</v>
      </c>
      <c r="E130" s="3" t="s">
        <v>9</v>
      </c>
      <c r="F130" s="14" t="s">
        <v>9</v>
      </c>
      <c r="G130" s="14" t="s">
        <v>9</v>
      </c>
      <c r="H130" s="164"/>
    </row>
    <row r="131" spans="1:8" ht="25.5" x14ac:dyDescent="0.2">
      <c r="A131" s="3" t="s">
        <v>9</v>
      </c>
      <c r="B131" s="3" t="s">
        <v>9</v>
      </c>
      <c r="C131" s="4" t="s">
        <v>134</v>
      </c>
      <c r="D131" s="3" t="s">
        <v>9</v>
      </c>
      <c r="E131" s="3" t="s">
        <v>9</v>
      </c>
      <c r="F131" s="14" t="s">
        <v>9</v>
      </c>
      <c r="G131" s="14" t="s">
        <v>9</v>
      </c>
      <c r="H131" s="164"/>
    </row>
    <row r="132" spans="1:8" x14ac:dyDescent="0.2">
      <c r="A132" s="3" t="s">
        <v>9</v>
      </c>
      <c r="B132" s="3" t="s">
        <v>9</v>
      </c>
      <c r="C132" s="4" t="s">
        <v>110</v>
      </c>
      <c r="D132" s="3" t="s">
        <v>9</v>
      </c>
      <c r="E132" s="3" t="s">
        <v>9</v>
      </c>
      <c r="F132" s="15">
        <v>0</v>
      </c>
      <c r="G132" s="16">
        <v>0</v>
      </c>
      <c r="H132" s="164"/>
    </row>
    <row r="133" spans="1:8" x14ac:dyDescent="0.2">
      <c r="A133" s="3" t="s">
        <v>9</v>
      </c>
      <c r="B133" s="3" t="s">
        <v>9</v>
      </c>
      <c r="C133" s="13" t="s">
        <v>9</v>
      </c>
      <c r="D133" s="3" t="s">
        <v>9</v>
      </c>
      <c r="E133" s="3" t="s">
        <v>9</v>
      </c>
      <c r="F133" s="14" t="s">
        <v>9</v>
      </c>
      <c r="G133" s="14" t="s">
        <v>9</v>
      </c>
      <c r="H133" s="164"/>
    </row>
    <row r="134" spans="1:8" x14ac:dyDescent="0.2">
      <c r="A134" s="3" t="s">
        <v>9</v>
      </c>
      <c r="B134" s="6" t="s">
        <v>9</v>
      </c>
      <c r="C134" s="6" t="s">
        <v>9</v>
      </c>
      <c r="D134" s="4" t="s">
        <v>9</v>
      </c>
      <c r="E134" s="3" t="s">
        <v>9</v>
      </c>
      <c r="F134" s="6" t="s">
        <v>9</v>
      </c>
      <c r="G134" s="10" t="s">
        <v>9</v>
      </c>
      <c r="H134" s="164"/>
    </row>
    <row r="135" spans="1:8" x14ac:dyDescent="0.2">
      <c r="A135" s="10" t="s">
        <v>9</v>
      </c>
      <c r="B135" s="6" t="s">
        <v>9</v>
      </c>
      <c r="C135" s="6" t="s">
        <v>135</v>
      </c>
      <c r="D135" s="6" t="s">
        <v>9</v>
      </c>
      <c r="E135" s="10" t="s">
        <v>9</v>
      </c>
      <c r="F135" s="8">
        <v>10.41516051</v>
      </c>
      <c r="G135" s="9">
        <v>2.3327299999999999E-3</v>
      </c>
      <c r="H135" s="164"/>
    </row>
    <row r="136" spans="1:8" x14ac:dyDescent="0.2">
      <c r="A136" s="13" t="s">
        <v>9</v>
      </c>
      <c r="B136" s="13" t="s">
        <v>9</v>
      </c>
      <c r="C136" s="4" t="s">
        <v>136</v>
      </c>
      <c r="D136" s="17" t="s">
        <v>9</v>
      </c>
      <c r="E136" s="17" t="s">
        <v>9</v>
      </c>
      <c r="F136" s="11">
        <v>4464.7944695100005</v>
      </c>
      <c r="G136" s="12">
        <v>1.0000000010000001</v>
      </c>
      <c r="H136" s="164"/>
    </row>
    <row r="137" spans="1:8" ht="14.1" customHeight="1" x14ac:dyDescent="0.2">
      <c r="A137" s="18" t="s">
        <v>9</v>
      </c>
      <c r="B137" s="18" t="s">
        <v>9</v>
      </c>
      <c r="C137" s="18" t="s">
        <v>9</v>
      </c>
      <c r="D137" s="19" t="s">
        <v>9</v>
      </c>
      <c r="E137" s="19" t="s">
        <v>9</v>
      </c>
      <c r="F137" s="19" t="s">
        <v>9</v>
      </c>
      <c r="G137" s="19" t="s">
        <v>9</v>
      </c>
    </row>
    <row r="138" spans="1:8" ht="14.1" customHeight="1" x14ac:dyDescent="0.2">
      <c r="A138" s="20" t="s">
        <v>9</v>
      </c>
      <c r="B138" s="228" t="s">
        <v>9</v>
      </c>
      <c r="C138" s="228"/>
      <c r="D138" s="228"/>
      <c r="E138" s="228"/>
      <c r="F138" s="228"/>
      <c r="G138" s="22" t="s">
        <v>9</v>
      </c>
    </row>
    <row r="139" spans="1:8" ht="14.1" customHeight="1" x14ac:dyDescent="0.2">
      <c r="A139" s="20" t="s">
        <v>9</v>
      </c>
      <c r="B139" s="228" t="s">
        <v>9</v>
      </c>
      <c r="C139" s="228"/>
      <c r="D139" s="228"/>
      <c r="E139" s="228"/>
      <c r="F139" s="228"/>
      <c r="G139" s="22" t="s">
        <v>9</v>
      </c>
    </row>
    <row r="140" spans="1:8" ht="14.1" customHeight="1" x14ac:dyDescent="0.2">
      <c r="A140" s="20" t="s">
        <v>9</v>
      </c>
      <c r="B140" s="20" t="s">
        <v>9</v>
      </c>
      <c r="C140" s="20" t="s">
        <v>9</v>
      </c>
      <c r="D140" s="22" t="s">
        <v>9</v>
      </c>
      <c r="E140" s="22" t="s">
        <v>9</v>
      </c>
      <c r="F140" s="22" t="s">
        <v>9</v>
      </c>
      <c r="G140" s="22" t="s">
        <v>9</v>
      </c>
    </row>
    <row r="141" spans="1:8" ht="14.1" customHeight="1" x14ac:dyDescent="0.2">
      <c r="A141" s="20" t="s">
        <v>9</v>
      </c>
      <c r="B141" s="226" t="s">
        <v>138</v>
      </c>
      <c r="C141" s="227"/>
      <c r="D141" s="14" t="s">
        <v>9</v>
      </c>
      <c r="E141" s="23" t="s">
        <v>9</v>
      </c>
      <c r="F141" s="22" t="s">
        <v>9</v>
      </c>
      <c r="G141" s="22" t="s">
        <v>9</v>
      </c>
    </row>
    <row r="142" spans="1:8" ht="29.1" customHeight="1" x14ac:dyDescent="0.2">
      <c r="A142" s="20" t="s">
        <v>9</v>
      </c>
      <c r="B142" s="233" t="s">
        <v>139</v>
      </c>
      <c r="C142" s="234"/>
      <c r="D142" s="4" t="s">
        <v>140</v>
      </c>
      <c r="E142" s="23" t="s">
        <v>9</v>
      </c>
      <c r="F142" s="22" t="s">
        <v>9</v>
      </c>
      <c r="G142" s="22" t="s">
        <v>9</v>
      </c>
    </row>
    <row r="143" spans="1:8" ht="17.100000000000001" customHeight="1" x14ac:dyDescent="0.2">
      <c r="A143" s="20" t="s">
        <v>9</v>
      </c>
      <c r="B143" s="233" t="s">
        <v>141</v>
      </c>
      <c r="C143" s="234"/>
      <c r="D143" s="4" t="s">
        <v>140</v>
      </c>
      <c r="E143" s="23" t="s">
        <v>9</v>
      </c>
      <c r="F143" s="22" t="s">
        <v>9</v>
      </c>
      <c r="G143" s="22" t="s">
        <v>9</v>
      </c>
    </row>
    <row r="144" spans="1:8" ht="17.100000000000001" customHeight="1" x14ac:dyDescent="0.2">
      <c r="A144" s="20" t="s">
        <v>9</v>
      </c>
      <c r="B144" s="233" t="s">
        <v>142</v>
      </c>
      <c r="C144" s="234"/>
      <c r="D144" s="14" t="s">
        <v>9</v>
      </c>
      <c r="E144" s="23" t="s">
        <v>9</v>
      </c>
      <c r="F144" s="22" t="s">
        <v>9</v>
      </c>
      <c r="G144" s="22" t="s">
        <v>9</v>
      </c>
    </row>
    <row r="145" spans="1:7" ht="24" customHeight="1" x14ac:dyDescent="0.2">
      <c r="A145" s="24" t="s">
        <v>9</v>
      </c>
      <c r="B145" s="25" t="s">
        <v>9</v>
      </c>
      <c r="C145" s="25" t="s">
        <v>143</v>
      </c>
      <c r="D145" s="25" t="s">
        <v>144</v>
      </c>
      <c r="E145" s="24" t="s">
        <v>9</v>
      </c>
      <c r="F145" s="24" t="s">
        <v>9</v>
      </c>
      <c r="G145" s="24" t="s">
        <v>9</v>
      </c>
    </row>
    <row r="146" spans="1:7" ht="18" customHeight="1" x14ac:dyDescent="0.2">
      <c r="A146" s="24" t="s">
        <v>9</v>
      </c>
      <c r="B146" s="25" t="s">
        <v>145</v>
      </c>
      <c r="C146" s="25" t="s">
        <v>146</v>
      </c>
      <c r="D146" s="25" t="s">
        <v>147</v>
      </c>
      <c r="E146" s="24" t="s">
        <v>9</v>
      </c>
      <c r="F146" s="24" t="s">
        <v>9</v>
      </c>
      <c r="G146" s="24" t="s">
        <v>9</v>
      </c>
    </row>
    <row r="147" spans="1:7" ht="17.100000000000001" customHeight="1" x14ac:dyDescent="0.2">
      <c r="A147" s="24" t="s">
        <v>9</v>
      </c>
      <c r="B147" s="6" t="s">
        <v>148</v>
      </c>
      <c r="C147" s="26">
        <v>13.553599999999999</v>
      </c>
      <c r="D147" s="26">
        <v>14.959300000000001</v>
      </c>
      <c r="E147" s="24" t="s">
        <v>9</v>
      </c>
      <c r="F147" s="21" t="s">
        <v>9</v>
      </c>
      <c r="G147" s="27" t="s">
        <v>9</v>
      </c>
    </row>
    <row r="148" spans="1:7" ht="17.100000000000001" customHeight="1" x14ac:dyDescent="0.2">
      <c r="A148" s="24" t="s">
        <v>9</v>
      </c>
      <c r="B148" s="6" t="s">
        <v>839</v>
      </c>
      <c r="C148" s="26">
        <v>13.553599999999999</v>
      </c>
      <c r="D148" s="26">
        <v>14.9594</v>
      </c>
      <c r="E148" s="24" t="s">
        <v>9</v>
      </c>
      <c r="F148" s="21" t="s">
        <v>9</v>
      </c>
      <c r="G148" s="27" t="s">
        <v>9</v>
      </c>
    </row>
    <row r="149" spans="1:7" ht="17.100000000000001" customHeight="1" x14ac:dyDescent="0.2">
      <c r="A149" s="24" t="s">
        <v>9</v>
      </c>
      <c r="B149" s="6" t="s">
        <v>149</v>
      </c>
      <c r="C149" s="26">
        <v>13.295999999999999</v>
      </c>
      <c r="D149" s="26">
        <v>14.672700000000001</v>
      </c>
      <c r="E149" s="24" t="s">
        <v>9</v>
      </c>
      <c r="F149" s="21" t="s">
        <v>9</v>
      </c>
      <c r="G149" s="27" t="s">
        <v>9</v>
      </c>
    </row>
    <row r="150" spans="1:7" ht="17.100000000000001" customHeight="1" x14ac:dyDescent="0.2">
      <c r="A150" s="24" t="s">
        <v>9</v>
      </c>
      <c r="B150" s="6" t="s">
        <v>840</v>
      </c>
      <c r="C150" s="26">
        <v>13.295999999999999</v>
      </c>
      <c r="D150" s="26">
        <v>14.672700000000001</v>
      </c>
      <c r="E150" s="24" t="s">
        <v>9</v>
      </c>
      <c r="F150" s="21" t="s">
        <v>9</v>
      </c>
      <c r="G150" s="27" t="s">
        <v>9</v>
      </c>
    </row>
    <row r="151" spans="1:7" ht="14.1" customHeight="1" x14ac:dyDescent="0.2">
      <c r="A151" s="24" t="s">
        <v>9</v>
      </c>
      <c r="B151" s="24" t="s">
        <v>9</v>
      </c>
      <c r="C151" s="24" t="s">
        <v>9</v>
      </c>
      <c r="D151" s="24" t="s">
        <v>9</v>
      </c>
      <c r="E151" s="24" t="s">
        <v>9</v>
      </c>
      <c r="F151" s="24" t="s">
        <v>9</v>
      </c>
      <c r="G151" s="24" t="s">
        <v>9</v>
      </c>
    </row>
    <row r="152" spans="1:7" ht="17.100000000000001" customHeight="1" x14ac:dyDescent="0.2">
      <c r="A152" s="24" t="s">
        <v>9</v>
      </c>
      <c r="B152" s="233" t="s">
        <v>1003</v>
      </c>
      <c r="C152" s="234"/>
      <c r="D152" s="4" t="s">
        <v>140</v>
      </c>
      <c r="E152" s="24" t="s">
        <v>9</v>
      </c>
      <c r="F152" s="24" t="s">
        <v>9</v>
      </c>
      <c r="G152" s="24" t="s">
        <v>9</v>
      </c>
    </row>
    <row r="153" spans="1:7" ht="18" customHeight="1" x14ac:dyDescent="0.2">
      <c r="A153" s="24" t="s">
        <v>9</v>
      </c>
      <c r="B153" s="28" t="s">
        <v>150</v>
      </c>
      <c r="C153" s="28" t="s">
        <v>150</v>
      </c>
      <c r="D153" s="28" t="s">
        <v>9</v>
      </c>
      <c r="E153" s="24" t="s">
        <v>9</v>
      </c>
      <c r="F153" s="24" t="s">
        <v>9</v>
      </c>
      <c r="G153" s="24" t="s">
        <v>9</v>
      </c>
    </row>
    <row r="154" spans="1:7" s="169" customFormat="1" x14ac:dyDescent="0.2">
      <c r="B154" s="235" t="s">
        <v>841</v>
      </c>
      <c r="C154" s="235"/>
      <c r="D154" s="235"/>
      <c r="E154" s="235"/>
      <c r="F154" s="235"/>
    </row>
    <row r="155" spans="1:7" ht="14.1" customHeight="1" x14ac:dyDescent="0.2">
      <c r="A155" s="24" t="s">
        <v>9</v>
      </c>
      <c r="B155" s="21" t="s">
        <v>9</v>
      </c>
      <c r="C155" s="21" t="s">
        <v>9</v>
      </c>
      <c r="D155" s="24" t="s">
        <v>9</v>
      </c>
      <c r="E155" s="24" t="s">
        <v>9</v>
      </c>
      <c r="F155" s="24" t="s">
        <v>9</v>
      </c>
      <c r="G155" s="24" t="s">
        <v>9</v>
      </c>
    </row>
    <row r="156" spans="1:7" ht="29.1" customHeight="1" x14ac:dyDescent="0.2">
      <c r="A156" s="24" t="s">
        <v>9</v>
      </c>
      <c r="B156" s="233" t="s">
        <v>151</v>
      </c>
      <c r="C156" s="234"/>
      <c r="D156" s="4" t="s">
        <v>140</v>
      </c>
      <c r="E156" s="24" t="s">
        <v>9</v>
      </c>
      <c r="F156" s="24" t="s">
        <v>9</v>
      </c>
      <c r="G156" s="24" t="s">
        <v>9</v>
      </c>
    </row>
    <row r="157" spans="1:7" ht="29.1" customHeight="1" x14ac:dyDescent="0.2">
      <c r="A157" s="24" t="s">
        <v>9</v>
      </c>
      <c r="B157" s="233" t="s">
        <v>152</v>
      </c>
      <c r="C157" s="234"/>
      <c r="D157" s="4" t="s">
        <v>140</v>
      </c>
      <c r="E157" s="24" t="s">
        <v>9</v>
      </c>
      <c r="F157" s="24" t="s">
        <v>9</v>
      </c>
      <c r="G157" s="24" t="s">
        <v>9</v>
      </c>
    </row>
    <row r="158" spans="1:7" ht="17.100000000000001" customHeight="1" x14ac:dyDescent="0.2">
      <c r="A158" s="24" t="s">
        <v>9</v>
      </c>
      <c r="B158" s="233" t="s">
        <v>153</v>
      </c>
      <c r="C158" s="234"/>
      <c r="D158" s="29">
        <v>0.42489610168436603</v>
      </c>
      <c r="E158" s="24" t="s">
        <v>9</v>
      </c>
      <c r="F158" s="21" t="s">
        <v>9</v>
      </c>
      <c r="G158" s="27" t="s">
        <v>9</v>
      </c>
    </row>
    <row r="159" spans="1:7" ht="17.100000000000001" customHeight="1" x14ac:dyDescent="0.2">
      <c r="A159" s="24" t="s">
        <v>9</v>
      </c>
      <c r="B159" s="233" t="s">
        <v>154</v>
      </c>
      <c r="C159" s="234"/>
      <c r="D159" s="4" t="s">
        <v>140</v>
      </c>
      <c r="E159" s="24" t="s">
        <v>9</v>
      </c>
      <c r="F159" s="24" t="s">
        <v>9</v>
      </c>
      <c r="G159" s="24" t="s">
        <v>9</v>
      </c>
    </row>
  </sheetData>
  <mergeCells count="15">
    <mergeCell ref="B158:C158"/>
    <mergeCell ref="B159:C159"/>
    <mergeCell ref="B142:C142"/>
    <mergeCell ref="B143:C143"/>
    <mergeCell ref="B144:C144"/>
    <mergeCell ref="B152:C152"/>
    <mergeCell ref="B156:C156"/>
    <mergeCell ref="B157:C157"/>
    <mergeCell ref="B154:F154"/>
    <mergeCell ref="B141:C141"/>
    <mergeCell ref="B138:F138"/>
    <mergeCell ref="B139:F13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H160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512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156</v>
      </c>
      <c r="C7" s="6" t="s">
        <v>157</v>
      </c>
      <c r="D7" s="6" t="s">
        <v>158</v>
      </c>
      <c r="E7" s="7">
        <v>3963</v>
      </c>
      <c r="F7" s="8">
        <v>144.93681749999999</v>
      </c>
      <c r="G7" s="9">
        <v>3.2835110000000001E-2</v>
      </c>
      <c r="H7" s="164"/>
    </row>
    <row r="8" spans="1:8" x14ac:dyDescent="0.2">
      <c r="A8" s="5">
        <v>2</v>
      </c>
      <c r="B8" s="6" t="s">
        <v>166</v>
      </c>
      <c r="C8" s="6" t="s">
        <v>167</v>
      </c>
      <c r="D8" s="6" t="s">
        <v>927</v>
      </c>
      <c r="E8" s="7">
        <v>11809</v>
      </c>
      <c r="F8" s="8">
        <v>140.20235249999999</v>
      </c>
      <c r="G8" s="9">
        <v>3.1762526999999999E-2</v>
      </c>
      <c r="H8" s="164"/>
    </row>
    <row r="9" spans="1:8" x14ac:dyDescent="0.2">
      <c r="A9" s="5">
        <v>3</v>
      </c>
      <c r="B9" s="6" t="s">
        <v>159</v>
      </c>
      <c r="C9" s="6" t="s">
        <v>160</v>
      </c>
      <c r="D9" s="6" t="s">
        <v>161</v>
      </c>
      <c r="E9" s="7">
        <v>102135</v>
      </c>
      <c r="F9" s="8">
        <v>131.60094749999999</v>
      </c>
      <c r="G9" s="9">
        <v>2.9813897999999998E-2</v>
      </c>
      <c r="H9" s="164"/>
    </row>
    <row r="10" spans="1:8" x14ac:dyDescent="0.2">
      <c r="A10" s="5">
        <v>4</v>
      </c>
      <c r="B10" s="6" t="s">
        <v>164</v>
      </c>
      <c r="C10" s="6" t="s">
        <v>165</v>
      </c>
      <c r="D10" s="6" t="s">
        <v>28</v>
      </c>
      <c r="E10" s="7">
        <v>17081</v>
      </c>
      <c r="F10" s="8">
        <v>130.59278549999999</v>
      </c>
      <c r="G10" s="9">
        <v>2.9585501E-2</v>
      </c>
      <c r="H10" s="164"/>
    </row>
    <row r="11" spans="1:8" x14ac:dyDescent="0.2">
      <c r="A11" s="5">
        <v>5</v>
      </c>
      <c r="B11" s="6" t="s">
        <v>471</v>
      </c>
      <c r="C11" s="6" t="s">
        <v>472</v>
      </c>
      <c r="D11" s="6" t="s">
        <v>200</v>
      </c>
      <c r="E11" s="7">
        <v>23947</v>
      </c>
      <c r="F11" s="8">
        <v>128.14039700000001</v>
      </c>
      <c r="G11" s="9">
        <v>2.9029917999999998E-2</v>
      </c>
      <c r="H11" s="164"/>
    </row>
    <row r="12" spans="1:8" x14ac:dyDescent="0.2">
      <c r="A12" s="5">
        <v>6</v>
      </c>
      <c r="B12" s="6" t="s">
        <v>168</v>
      </c>
      <c r="C12" s="6" t="s">
        <v>169</v>
      </c>
      <c r="D12" s="6" t="s">
        <v>28</v>
      </c>
      <c r="E12" s="7">
        <v>17182</v>
      </c>
      <c r="F12" s="8">
        <v>121.786016</v>
      </c>
      <c r="G12" s="9">
        <v>2.7590348000000001E-2</v>
      </c>
      <c r="H12" s="164"/>
    </row>
    <row r="13" spans="1:8" x14ac:dyDescent="0.2">
      <c r="A13" s="5">
        <v>7</v>
      </c>
      <c r="B13" s="6" t="s">
        <v>193</v>
      </c>
      <c r="C13" s="6" t="s">
        <v>194</v>
      </c>
      <c r="D13" s="6" t="s">
        <v>195</v>
      </c>
      <c r="E13" s="7">
        <v>17672</v>
      </c>
      <c r="F13" s="8">
        <v>115.04472</v>
      </c>
      <c r="G13" s="9">
        <v>2.6063122000000001E-2</v>
      </c>
      <c r="H13" s="164"/>
    </row>
    <row r="14" spans="1:8" x14ac:dyDescent="0.2">
      <c r="A14" s="5">
        <v>8</v>
      </c>
      <c r="B14" s="6" t="s">
        <v>175</v>
      </c>
      <c r="C14" s="6" t="s">
        <v>176</v>
      </c>
      <c r="D14" s="6" t="s">
        <v>62</v>
      </c>
      <c r="E14" s="7">
        <v>25103</v>
      </c>
      <c r="F14" s="8">
        <v>106.110381</v>
      </c>
      <c r="G14" s="9">
        <v>2.4039068E-2</v>
      </c>
      <c r="H14" s="164"/>
    </row>
    <row r="15" spans="1:8" x14ac:dyDescent="0.2">
      <c r="A15" s="5">
        <v>9</v>
      </c>
      <c r="B15" s="6" t="s">
        <v>296</v>
      </c>
      <c r="C15" s="6" t="s">
        <v>297</v>
      </c>
      <c r="D15" s="6" t="s">
        <v>37</v>
      </c>
      <c r="E15" s="7">
        <v>5508</v>
      </c>
      <c r="F15" s="8">
        <v>95.415083999999993</v>
      </c>
      <c r="G15" s="9">
        <v>2.1616072E-2</v>
      </c>
      <c r="H15" s="164"/>
    </row>
    <row r="16" spans="1:8" ht="25.5" x14ac:dyDescent="0.2">
      <c r="A16" s="5">
        <v>10</v>
      </c>
      <c r="B16" s="6" t="s">
        <v>453</v>
      </c>
      <c r="C16" s="6" t="s">
        <v>454</v>
      </c>
      <c r="D16" s="6" t="s">
        <v>40</v>
      </c>
      <c r="E16" s="7">
        <v>7360</v>
      </c>
      <c r="F16" s="8">
        <v>92.46</v>
      </c>
      <c r="G16" s="9">
        <v>2.0946605E-2</v>
      </c>
      <c r="H16" s="164"/>
    </row>
    <row r="17" spans="1:8" x14ac:dyDescent="0.2">
      <c r="A17" s="5">
        <v>11</v>
      </c>
      <c r="B17" s="6" t="s">
        <v>185</v>
      </c>
      <c r="C17" s="6" t="s">
        <v>186</v>
      </c>
      <c r="D17" s="6" t="s">
        <v>45</v>
      </c>
      <c r="E17" s="7">
        <v>19575</v>
      </c>
      <c r="F17" s="8">
        <v>92.27655</v>
      </c>
      <c r="G17" s="9">
        <v>2.0905045000000001E-2</v>
      </c>
      <c r="H17" s="164"/>
    </row>
    <row r="18" spans="1:8" ht="25.5" x14ac:dyDescent="0.2">
      <c r="A18" s="5">
        <v>12</v>
      </c>
      <c r="B18" s="6" t="s">
        <v>201</v>
      </c>
      <c r="C18" s="6" t="s">
        <v>202</v>
      </c>
      <c r="D18" s="6" t="s">
        <v>67</v>
      </c>
      <c r="E18" s="7">
        <v>18670</v>
      </c>
      <c r="F18" s="8">
        <v>91.511004999999997</v>
      </c>
      <c r="G18" s="9">
        <v>2.0731612E-2</v>
      </c>
      <c r="H18" s="164"/>
    </row>
    <row r="19" spans="1:8" x14ac:dyDescent="0.2">
      <c r="A19" s="5">
        <v>13</v>
      </c>
      <c r="B19" s="6" t="s">
        <v>187</v>
      </c>
      <c r="C19" s="6" t="s">
        <v>188</v>
      </c>
      <c r="D19" s="6" t="s">
        <v>182</v>
      </c>
      <c r="E19" s="7">
        <v>36249</v>
      </c>
      <c r="F19" s="8">
        <v>90.694997999999998</v>
      </c>
      <c r="G19" s="9">
        <v>2.0546748E-2</v>
      </c>
      <c r="H19" s="164"/>
    </row>
    <row r="20" spans="1:8" ht="25.5" x14ac:dyDescent="0.2">
      <c r="A20" s="5">
        <v>14</v>
      </c>
      <c r="B20" s="6" t="s">
        <v>29</v>
      </c>
      <c r="C20" s="6" t="s">
        <v>30</v>
      </c>
      <c r="D20" s="6" t="s">
        <v>925</v>
      </c>
      <c r="E20" s="7">
        <v>2743</v>
      </c>
      <c r="F20" s="8">
        <v>89.398484499999995</v>
      </c>
      <c r="G20" s="9">
        <v>2.0253025000000001E-2</v>
      </c>
      <c r="H20" s="164"/>
    </row>
    <row r="21" spans="1:8" x14ac:dyDescent="0.2">
      <c r="A21" s="5">
        <v>15</v>
      </c>
      <c r="B21" s="6" t="s">
        <v>177</v>
      </c>
      <c r="C21" s="6" t="s">
        <v>178</v>
      </c>
      <c r="D21" s="6" t="s">
        <v>179</v>
      </c>
      <c r="E21" s="7">
        <v>31140</v>
      </c>
      <c r="F21" s="8">
        <v>87.736949999999993</v>
      </c>
      <c r="G21" s="9">
        <v>1.9876608E-2</v>
      </c>
      <c r="H21" s="164"/>
    </row>
    <row r="22" spans="1:8" x14ac:dyDescent="0.2">
      <c r="A22" s="5">
        <v>16</v>
      </c>
      <c r="B22" s="6" t="s">
        <v>205</v>
      </c>
      <c r="C22" s="6" t="s">
        <v>206</v>
      </c>
      <c r="D22" s="6" t="s">
        <v>207</v>
      </c>
      <c r="E22" s="7">
        <v>32633</v>
      </c>
      <c r="F22" s="8">
        <v>87.603288500000005</v>
      </c>
      <c r="G22" s="9">
        <v>1.9846328E-2</v>
      </c>
      <c r="H22" s="164"/>
    </row>
    <row r="23" spans="1:8" x14ac:dyDescent="0.2">
      <c r="A23" s="5">
        <v>17</v>
      </c>
      <c r="B23" s="6" t="s">
        <v>180</v>
      </c>
      <c r="C23" s="6" t="s">
        <v>181</v>
      </c>
      <c r="D23" s="6" t="s">
        <v>182</v>
      </c>
      <c r="E23" s="7">
        <v>6406</v>
      </c>
      <c r="F23" s="8">
        <v>83.819306999999995</v>
      </c>
      <c r="G23" s="9">
        <v>1.8989075000000001E-2</v>
      </c>
      <c r="H23" s="164"/>
    </row>
    <row r="24" spans="1:8" x14ac:dyDescent="0.2">
      <c r="A24" s="5">
        <v>18</v>
      </c>
      <c r="B24" s="6" t="s">
        <v>198</v>
      </c>
      <c r="C24" s="6" t="s">
        <v>199</v>
      </c>
      <c r="D24" s="6" t="s">
        <v>200</v>
      </c>
      <c r="E24" s="7">
        <v>17769</v>
      </c>
      <c r="F24" s="8">
        <v>79.907193000000007</v>
      </c>
      <c r="G24" s="9">
        <v>1.8102795000000001E-2</v>
      </c>
      <c r="H24" s="164"/>
    </row>
    <row r="25" spans="1:8" x14ac:dyDescent="0.2">
      <c r="A25" s="5">
        <v>19</v>
      </c>
      <c r="B25" s="6" t="s">
        <v>203</v>
      </c>
      <c r="C25" s="6" t="s">
        <v>204</v>
      </c>
      <c r="D25" s="6" t="s">
        <v>179</v>
      </c>
      <c r="E25" s="7">
        <v>7920</v>
      </c>
      <c r="F25" s="8">
        <v>78.146640000000005</v>
      </c>
      <c r="G25" s="9">
        <v>1.7703944999999999E-2</v>
      </c>
      <c r="H25" s="164"/>
    </row>
    <row r="26" spans="1:8" x14ac:dyDescent="0.2">
      <c r="A26" s="5">
        <v>20</v>
      </c>
      <c r="B26" s="6" t="s">
        <v>41</v>
      </c>
      <c r="C26" s="6" t="s">
        <v>42</v>
      </c>
      <c r="D26" s="6" t="s">
        <v>28</v>
      </c>
      <c r="E26" s="7">
        <v>6666</v>
      </c>
      <c r="F26" s="8">
        <v>77.265606000000005</v>
      </c>
      <c r="G26" s="9">
        <v>1.7504348999999999E-2</v>
      </c>
      <c r="H26" s="164"/>
    </row>
    <row r="27" spans="1:8" x14ac:dyDescent="0.2">
      <c r="A27" s="5">
        <v>21</v>
      </c>
      <c r="B27" s="6" t="s">
        <v>189</v>
      </c>
      <c r="C27" s="6" t="s">
        <v>190</v>
      </c>
      <c r="D27" s="6" t="s">
        <v>179</v>
      </c>
      <c r="E27" s="7">
        <v>2353</v>
      </c>
      <c r="F27" s="8">
        <v>73.959496000000001</v>
      </c>
      <c r="G27" s="9">
        <v>1.6755356999999999E-2</v>
      </c>
      <c r="H27" s="164"/>
    </row>
    <row r="28" spans="1:8" x14ac:dyDescent="0.2">
      <c r="A28" s="5">
        <v>22</v>
      </c>
      <c r="B28" s="6" t="s">
        <v>196</v>
      </c>
      <c r="C28" s="6" t="s">
        <v>197</v>
      </c>
      <c r="D28" s="6" t="s">
        <v>928</v>
      </c>
      <c r="E28" s="7">
        <v>22539</v>
      </c>
      <c r="F28" s="8">
        <v>73.375714500000001</v>
      </c>
      <c r="G28" s="9">
        <v>1.6623103E-2</v>
      </c>
      <c r="H28" s="164"/>
    </row>
    <row r="29" spans="1:8" x14ac:dyDescent="0.2">
      <c r="A29" s="5">
        <v>23</v>
      </c>
      <c r="B29" s="6" t="s">
        <v>216</v>
      </c>
      <c r="C29" s="6" t="s">
        <v>217</v>
      </c>
      <c r="D29" s="6" t="s">
        <v>200</v>
      </c>
      <c r="E29" s="7">
        <v>11300</v>
      </c>
      <c r="F29" s="8">
        <v>72.489500000000007</v>
      </c>
      <c r="G29" s="9">
        <v>1.6422333000000001E-2</v>
      </c>
      <c r="H29" s="164"/>
    </row>
    <row r="30" spans="1:8" x14ac:dyDescent="0.2">
      <c r="A30" s="5">
        <v>24</v>
      </c>
      <c r="B30" s="6" t="s">
        <v>183</v>
      </c>
      <c r="C30" s="6" t="s">
        <v>184</v>
      </c>
      <c r="D30" s="6" t="s">
        <v>59</v>
      </c>
      <c r="E30" s="7">
        <v>22779</v>
      </c>
      <c r="F30" s="8">
        <v>69.327886500000005</v>
      </c>
      <c r="G30" s="9">
        <v>1.5706076999999999E-2</v>
      </c>
      <c r="H30" s="164"/>
    </row>
    <row r="31" spans="1:8" x14ac:dyDescent="0.2">
      <c r="A31" s="5">
        <v>25</v>
      </c>
      <c r="B31" s="6" t="s">
        <v>35</v>
      </c>
      <c r="C31" s="6" t="s">
        <v>36</v>
      </c>
      <c r="D31" s="6" t="s">
        <v>37</v>
      </c>
      <c r="E31" s="7">
        <v>21150</v>
      </c>
      <c r="F31" s="8">
        <v>69.001874999999998</v>
      </c>
      <c r="G31" s="9">
        <v>1.5632218999999999E-2</v>
      </c>
      <c r="H31" s="164"/>
    </row>
    <row r="32" spans="1:8" x14ac:dyDescent="0.2">
      <c r="A32" s="5">
        <v>26</v>
      </c>
      <c r="B32" s="6" t="s">
        <v>60</v>
      </c>
      <c r="C32" s="6" t="s">
        <v>61</v>
      </c>
      <c r="D32" s="6" t="s">
        <v>62</v>
      </c>
      <c r="E32" s="7">
        <v>2279</v>
      </c>
      <c r="F32" s="8">
        <v>68.180842999999996</v>
      </c>
      <c r="G32" s="9">
        <v>1.5446216E-2</v>
      </c>
      <c r="H32" s="164"/>
    </row>
    <row r="33" spans="1:8" x14ac:dyDescent="0.2">
      <c r="A33" s="5">
        <v>27</v>
      </c>
      <c r="B33" s="6" t="s">
        <v>299</v>
      </c>
      <c r="C33" s="6" t="s">
        <v>300</v>
      </c>
      <c r="D33" s="6" t="s">
        <v>28</v>
      </c>
      <c r="E33" s="7">
        <v>9335</v>
      </c>
      <c r="F33" s="8">
        <v>67.398700000000005</v>
      </c>
      <c r="G33" s="9">
        <v>1.5269024000000001E-2</v>
      </c>
      <c r="H33" s="164"/>
    </row>
    <row r="34" spans="1:8" x14ac:dyDescent="0.2">
      <c r="A34" s="5">
        <v>28</v>
      </c>
      <c r="B34" s="6" t="s">
        <v>220</v>
      </c>
      <c r="C34" s="6" t="s">
        <v>221</v>
      </c>
      <c r="D34" s="6" t="s">
        <v>28</v>
      </c>
      <c r="E34" s="7">
        <v>4150</v>
      </c>
      <c r="F34" s="8">
        <v>65.001450000000006</v>
      </c>
      <c r="G34" s="9">
        <v>1.4725932000000001E-2</v>
      </c>
      <c r="H34" s="164"/>
    </row>
    <row r="35" spans="1:8" x14ac:dyDescent="0.2">
      <c r="A35" s="5">
        <v>29</v>
      </c>
      <c r="B35" s="6" t="s">
        <v>77</v>
      </c>
      <c r="C35" s="6" t="s">
        <v>78</v>
      </c>
      <c r="D35" s="6" t="s">
        <v>62</v>
      </c>
      <c r="E35" s="7">
        <v>25114</v>
      </c>
      <c r="F35" s="8">
        <v>63.437964000000001</v>
      </c>
      <c r="G35" s="9">
        <v>1.4371728E-2</v>
      </c>
      <c r="H35" s="164"/>
    </row>
    <row r="36" spans="1:8" x14ac:dyDescent="0.2">
      <c r="A36" s="5">
        <v>30</v>
      </c>
      <c r="B36" s="6" t="s">
        <v>236</v>
      </c>
      <c r="C36" s="6" t="s">
        <v>237</v>
      </c>
      <c r="D36" s="6" t="s">
        <v>161</v>
      </c>
      <c r="E36" s="7">
        <v>108798</v>
      </c>
      <c r="F36" s="8">
        <v>63.10284</v>
      </c>
      <c r="G36" s="9">
        <v>1.4295805999999999E-2</v>
      </c>
      <c r="H36" s="164"/>
    </row>
    <row r="37" spans="1:8" x14ac:dyDescent="0.2">
      <c r="A37" s="5">
        <v>31</v>
      </c>
      <c r="B37" s="6" t="s">
        <v>51</v>
      </c>
      <c r="C37" s="6" t="s">
        <v>52</v>
      </c>
      <c r="D37" s="6" t="s">
        <v>926</v>
      </c>
      <c r="E37" s="7">
        <v>36113</v>
      </c>
      <c r="F37" s="8">
        <v>61.825456000000003</v>
      </c>
      <c r="G37" s="9">
        <v>1.4006418E-2</v>
      </c>
      <c r="H37" s="164"/>
    </row>
    <row r="38" spans="1:8" x14ac:dyDescent="0.2">
      <c r="A38" s="5">
        <v>32</v>
      </c>
      <c r="B38" s="6" t="s">
        <v>208</v>
      </c>
      <c r="C38" s="6" t="s">
        <v>209</v>
      </c>
      <c r="D38" s="6" t="s">
        <v>161</v>
      </c>
      <c r="E38" s="7">
        <v>10257</v>
      </c>
      <c r="F38" s="8">
        <v>61.557385500000002</v>
      </c>
      <c r="G38" s="9">
        <v>1.3945687E-2</v>
      </c>
      <c r="H38" s="164"/>
    </row>
    <row r="39" spans="1:8" x14ac:dyDescent="0.2">
      <c r="A39" s="5">
        <v>33</v>
      </c>
      <c r="B39" s="6" t="s">
        <v>212</v>
      </c>
      <c r="C39" s="6" t="s">
        <v>213</v>
      </c>
      <c r="D39" s="6" t="s">
        <v>929</v>
      </c>
      <c r="E39" s="7">
        <v>7019</v>
      </c>
      <c r="F39" s="8">
        <v>61.019676500000003</v>
      </c>
      <c r="G39" s="9">
        <v>1.382387E-2</v>
      </c>
      <c r="H39" s="164"/>
    </row>
    <row r="40" spans="1:8" x14ac:dyDescent="0.2">
      <c r="A40" s="5">
        <v>34</v>
      </c>
      <c r="B40" s="6" t="s">
        <v>256</v>
      </c>
      <c r="C40" s="6" t="s">
        <v>257</v>
      </c>
      <c r="D40" s="6" t="s">
        <v>930</v>
      </c>
      <c r="E40" s="7">
        <v>10181</v>
      </c>
      <c r="F40" s="8">
        <v>57.039052499999997</v>
      </c>
      <c r="G40" s="9">
        <v>1.2922069E-2</v>
      </c>
      <c r="H40" s="164"/>
    </row>
    <row r="41" spans="1:8" x14ac:dyDescent="0.2">
      <c r="A41" s="5">
        <v>35</v>
      </c>
      <c r="B41" s="6" t="s">
        <v>293</v>
      </c>
      <c r="C41" s="6" t="s">
        <v>294</v>
      </c>
      <c r="D41" s="6" t="s">
        <v>28</v>
      </c>
      <c r="E41" s="7">
        <v>4326</v>
      </c>
      <c r="F41" s="8">
        <v>57.038310000000003</v>
      </c>
      <c r="G41" s="9">
        <v>1.2921901E-2</v>
      </c>
      <c r="H41" s="164"/>
    </row>
    <row r="42" spans="1:8" x14ac:dyDescent="0.2">
      <c r="A42" s="5">
        <v>36</v>
      </c>
      <c r="B42" s="6" t="s">
        <v>228</v>
      </c>
      <c r="C42" s="6" t="s">
        <v>229</v>
      </c>
      <c r="D42" s="6" t="s">
        <v>62</v>
      </c>
      <c r="E42" s="7">
        <v>7324</v>
      </c>
      <c r="F42" s="8">
        <v>56.610858</v>
      </c>
      <c r="G42" s="9">
        <v>1.2825062E-2</v>
      </c>
      <c r="H42" s="164"/>
    </row>
    <row r="43" spans="1:8" x14ac:dyDescent="0.2">
      <c r="A43" s="5">
        <v>37</v>
      </c>
      <c r="B43" s="6" t="s">
        <v>238</v>
      </c>
      <c r="C43" s="6" t="s">
        <v>239</v>
      </c>
      <c r="D43" s="6" t="s">
        <v>195</v>
      </c>
      <c r="E43" s="7">
        <v>13354</v>
      </c>
      <c r="F43" s="8">
        <v>55.205435999999999</v>
      </c>
      <c r="G43" s="9">
        <v>1.2506667000000001E-2</v>
      </c>
      <c r="H43" s="164"/>
    </row>
    <row r="44" spans="1:8" x14ac:dyDescent="0.2">
      <c r="A44" s="5">
        <v>38</v>
      </c>
      <c r="B44" s="6" t="s">
        <v>222</v>
      </c>
      <c r="C44" s="6" t="s">
        <v>223</v>
      </c>
      <c r="D44" s="6" t="s">
        <v>37</v>
      </c>
      <c r="E44" s="7">
        <v>50979</v>
      </c>
      <c r="F44" s="8">
        <v>54.751446000000001</v>
      </c>
      <c r="G44" s="9">
        <v>1.2403816999999999E-2</v>
      </c>
      <c r="H44" s="164"/>
    </row>
    <row r="45" spans="1:8" ht="25.5" x14ac:dyDescent="0.2">
      <c r="A45" s="5">
        <v>39</v>
      </c>
      <c r="B45" s="6" t="s">
        <v>246</v>
      </c>
      <c r="C45" s="6" t="s">
        <v>247</v>
      </c>
      <c r="D45" s="6" t="s">
        <v>40</v>
      </c>
      <c r="E45" s="7">
        <v>69803</v>
      </c>
      <c r="F45" s="8">
        <v>54.725552</v>
      </c>
      <c r="G45" s="9">
        <v>1.2397951000000001E-2</v>
      </c>
      <c r="H45" s="164"/>
    </row>
    <row r="46" spans="1:8" x14ac:dyDescent="0.2">
      <c r="A46" s="5">
        <v>40</v>
      </c>
      <c r="B46" s="6" t="s">
        <v>232</v>
      </c>
      <c r="C46" s="6" t="s">
        <v>233</v>
      </c>
      <c r="D46" s="6" t="s">
        <v>37</v>
      </c>
      <c r="E46" s="7">
        <v>6312</v>
      </c>
      <c r="F46" s="8">
        <v>54.513587999999999</v>
      </c>
      <c r="G46" s="9">
        <v>1.2349931E-2</v>
      </c>
      <c r="H46" s="164"/>
    </row>
    <row r="47" spans="1:8" x14ac:dyDescent="0.2">
      <c r="A47" s="5">
        <v>41</v>
      </c>
      <c r="B47" s="6" t="s">
        <v>224</v>
      </c>
      <c r="C47" s="6" t="s">
        <v>225</v>
      </c>
      <c r="D47" s="6" t="s">
        <v>161</v>
      </c>
      <c r="E47" s="7">
        <v>10036</v>
      </c>
      <c r="F47" s="8">
        <v>54.174328000000003</v>
      </c>
      <c r="G47" s="9">
        <v>1.2273071999999999E-2</v>
      </c>
      <c r="H47" s="164"/>
    </row>
    <row r="48" spans="1:8" ht="25.5" x14ac:dyDescent="0.2">
      <c r="A48" s="5">
        <v>42</v>
      </c>
      <c r="B48" s="6" t="s">
        <v>234</v>
      </c>
      <c r="C48" s="6" t="s">
        <v>235</v>
      </c>
      <c r="D48" s="6" t="s">
        <v>67</v>
      </c>
      <c r="E48" s="7">
        <v>12063</v>
      </c>
      <c r="F48" s="8">
        <v>53.378774999999997</v>
      </c>
      <c r="G48" s="9">
        <v>1.2092841E-2</v>
      </c>
      <c r="H48" s="164"/>
    </row>
    <row r="49" spans="1:8" x14ac:dyDescent="0.2">
      <c r="A49" s="5">
        <v>43</v>
      </c>
      <c r="B49" s="6" t="s">
        <v>267</v>
      </c>
      <c r="C49" s="6" t="s">
        <v>268</v>
      </c>
      <c r="D49" s="6" t="s">
        <v>195</v>
      </c>
      <c r="E49" s="7">
        <v>7112</v>
      </c>
      <c r="F49" s="8">
        <v>52.739035999999999</v>
      </c>
      <c r="G49" s="9">
        <v>1.1947910000000001E-2</v>
      </c>
      <c r="H49" s="164"/>
    </row>
    <row r="50" spans="1:8" ht="25.5" x14ac:dyDescent="0.2">
      <c r="A50" s="5">
        <v>44</v>
      </c>
      <c r="B50" s="6" t="s">
        <v>226</v>
      </c>
      <c r="C50" s="6" t="s">
        <v>227</v>
      </c>
      <c r="D50" s="6" t="s">
        <v>62</v>
      </c>
      <c r="E50" s="7">
        <v>2285</v>
      </c>
      <c r="F50" s="8">
        <v>52.379055000000001</v>
      </c>
      <c r="G50" s="9">
        <v>1.1866356999999999E-2</v>
      </c>
      <c r="H50" s="164"/>
    </row>
    <row r="51" spans="1:8" x14ac:dyDescent="0.2">
      <c r="A51" s="5">
        <v>45</v>
      </c>
      <c r="B51" s="6" t="s">
        <v>230</v>
      </c>
      <c r="C51" s="6" t="s">
        <v>231</v>
      </c>
      <c r="D51" s="6" t="s">
        <v>62</v>
      </c>
      <c r="E51" s="7">
        <v>16672</v>
      </c>
      <c r="F51" s="8">
        <v>48.965663999999997</v>
      </c>
      <c r="G51" s="9">
        <v>1.1093061E-2</v>
      </c>
      <c r="H51" s="164"/>
    </row>
    <row r="52" spans="1:8" ht="25.5" x14ac:dyDescent="0.2">
      <c r="A52" s="5">
        <v>46</v>
      </c>
      <c r="B52" s="6" t="s">
        <v>248</v>
      </c>
      <c r="C52" s="6" t="s">
        <v>249</v>
      </c>
      <c r="D52" s="6" t="s">
        <v>67</v>
      </c>
      <c r="E52" s="7">
        <v>11006</v>
      </c>
      <c r="F52" s="8">
        <v>48.096220000000002</v>
      </c>
      <c r="G52" s="9">
        <v>1.0896090000000001E-2</v>
      </c>
      <c r="H52" s="164"/>
    </row>
    <row r="53" spans="1:8" x14ac:dyDescent="0.2">
      <c r="A53" s="5">
        <v>47</v>
      </c>
      <c r="B53" s="6" t="s">
        <v>251</v>
      </c>
      <c r="C53" s="6" t="s">
        <v>252</v>
      </c>
      <c r="D53" s="6" t="s">
        <v>253</v>
      </c>
      <c r="E53" s="7">
        <v>9975</v>
      </c>
      <c r="F53" s="8">
        <v>47.954812500000003</v>
      </c>
      <c r="G53" s="9">
        <v>1.0864054999999999E-2</v>
      </c>
      <c r="H53" s="164"/>
    </row>
    <row r="54" spans="1:8" x14ac:dyDescent="0.2">
      <c r="A54" s="5">
        <v>48</v>
      </c>
      <c r="B54" s="6" t="s">
        <v>273</v>
      </c>
      <c r="C54" s="6" t="s">
        <v>274</v>
      </c>
      <c r="D54" s="6" t="s">
        <v>22</v>
      </c>
      <c r="E54" s="7">
        <v>42227</v>
      </c>
      <c r="F54" s="8">
        <v>44.338349999999998</v>
      </c>
      <c r="G54" s="9">
        <v>1.0044753E-2</v>
      </c>
      <c r="H54" s="164"/>
    </row>
    <row r="55" spans="1:8" ht="25.5" x14ac:dyDescent="0.2">
      <c r="A55" s="5">
        <v>49</v>
      </c>
      <c r="B55" s="6" t="s">
        <v>258</v>
      </c>
      <c r="C55" s="6" t="s">
        <v>259</v>
      </c>
      <c r="D55" s="6" t="s">
        <v>931</v>
      </c>
      <c r="E55" s="7">
        <v>44136</v>
      </c>
      <c r="F55" s="8">
        <v>44.003591999999998</v>
      </c>
      <c r="G55" s="9">
        <v>9.9689150000000001E-3</v>
      </c>
      <c r="H55" s="164"/>
    </row>
    <row r="56" spans="1:8" x14ac:dyDescent="0.2">
      <c r="A56" s="5">
        <v>50</v>
      </c>
      <c r="B56" s="6" t="s">
        <v>275</v>
      </c>
      <c r="C56" s="6" t="s">
        <v>276</v>
      </c>
      <c r="D56" s="6" t="s">
        <v>277</v>
      </c>
      <c r="E56" s="7">
        <v>16931</v>
      </c>
      <c r="F56" s="8">
        <v>43.893617499999998</v>
      </c>
      <c r="G56" s="9">
        <v>9.9439999999999997E-3</v>
      </c>
      <c r="H56" s="164"/>
    </row>
    <row r="57" spans="1:8" x14ac:dyDescent="0.2">
      <c r="A57" s="5">
        <v>51</v>
      </c>
      <c r="B57" s="6" t="s">
        <v>264</v>
      </c>
      <c r="C57" s="6" t="s">
        <v>265</v>
      </c>
      <c r="D57" s="6" t="s">
        <v>266</v>
      </c>
      <c r="E57" s="7">
        <v>5411</v>
      </c>
      <c r="F57" s="8">
        <v>43.750640500000003</v>
      </c>
      <c r="G57" s="9">
        <v>9.911609E-3</v>
      </c>
      <c r="H57" s="164"/>
    </row>
    <row r="58" spans="1:8" ht="25.5" x14ac:dyDescent="0.2">
      <c r="A58" s="5">
        <v>52</v>
      </c>
      <c r="B58" s="6" t="s">
        <v>191</v>
      </c>
      <c r="C58" s="6" t="s">
        <v>192</v>
      </c>
      <c r="D58" s="6" t="s">
        <v>925</v>
      </c>
      <c r="E58" s="7">
        <v>16405</v>
      </c>
      <c r="F58" s="8">
        <v>43.4158325</v>
      </c>
      <c r="G58" s="9">
        <v>9.8357589999999995E-3</v>
      </c>
      <c r="H58" s="164"/>
    </row>
    <row r="59" spans="1:8" x14ac:dyDescent="0.2">
      <c r="A59" s="5">
        <v>53</v>
      </c>
      <c r="B59" s="6" t="s">
        <v>280</v>
      </c>
      <c r="C59" s="6" t="s">
        <v>281</v>
      </c>
      <c r="D59" s="6" t="s">
        <v>930</v>
      </c>
      <c r="E59" s="7">
        <v>32152</v>
      </c>
      <c r="F59" s="8">
        <v>42.263804</v>
      </c>
      <c r="G59" s="9">
        <v>9.5747699999999998E-3</v>
      </c>
      <c r="H59" s="164"/>
    </row>
    <row r="60" spans="1:8" x14ac:dyDescent="0.2">
      <c r="A60" s="5">
        <v>54</v>
      </c>
      <c r="B60" s="6" t="s">
        <v>260</v>
      </c>
      <c r="C60" s="6" t="s">
        <v>261</v>
      </c>
      <c r="D60" s="6" t="s">
        <v>930</v>
      </c>
      <c r="E60" s="7">
        <v>10158</v>
      </c>
      <c r="F60" s="8">
        <v>41.556378000000002</v>
      </c>
      <c r="G60" s="9">
        <v>9.4145040000000006E-3</v>
      </c>
      <c r="H60" s="164"/>
    </row>
    <row r="61" spans="1:8" x14ac:dyDescent="0.2">
      <c r="A61" s="5">
        <v>55</v>
      </c>
      <c r="B61" s="6" t="s">
        <v>271</v>
      </c>
      <c r="C61" s="6" t="s">
        <v>272</v>
      </c>
      <c r="D61" s="6" t="s">
        <v>346</v>
      </c>
      <c r="E61" s="7">
        <v>3850</v>
      </c>
      <c r="F61" s="8">
        <v>37.119774999999997</v>
      </c>
      <c r="G61" s="9">
        <v>8.4094010000000004E-3</v>
      </c>
      <c r="H61" s="164"/>
    </row>
    <row r="62" spans="1:8" x14ac:dyDescent="0.2">
      <c r="A62" s="5">
        <v>56</v>
      </c>
      <c r="B62" s="6" t="s">
        <v>55</v>
      </c>
      <c r="C62" s="6" t="s">
        <v>56</v>
      </c>
      <c r="D62" s="6" t="s">
        <v>37</v>
      </c>
      <c r="E62" s="7">
        <v>15702</v>
      </c>
      <c r="F62" s="8">
        <v>35.886921000000001</v>
      </c>
      <c r="G62" s="9">
        <v>8.1301010000000007E-3</v>
      </c>
      <c r="H62" s="164"/>
    </row>
    <row r="63" spans="1:8" x14ac:dyDescent="0.2">
      <c r="A63" s="5">
        <v>57</v>
      </c>
      <c r="B63" s="6" t="s">
        <v>284</v>
      </c>
      <c r="C63" s="6" t="s">
        <v>285</v>
      </c>
      <c r="D63" s="6" t="s">
        <v>62</v>
      </c>
      <c r="E63" s="7">
        <v>18903</v>
      </c>
      <c r="F63" s="8">
        <v>33.3732465</v>
      </c>
      <c r="G63" s="9">
        <v>7.5606340000000001E-3</v>
      </c>
      <c r="H63" s="164"/>
    </row>
    <row r="64" spans="1:8" x14ac:dyDescent="0.2">
      <c r="A64" s="5">
        <v>58</v>
      </c>
      <c r="B64" s="6" t="s">
        <v>244</v>
      </c>
      <c r="C64" s="6" t="s">
        <v>245</v>
      </c>
      <c r="D64" s="6" t="s">
        <v>200</v>
      </c>
      <c r="E64" s="7">
        <v>1825</v>
      </c>
      <c r="F64" s="8">
        <v>33.091812500000003</v>
      </c>
      <c r="G64" s="9">
        <v>7.4968760000000004E-3</v>
      </c>
      <c r="H64" s="164"/>
    </row>
    <row r="65" spans="1:8" x14ac:dyDescent="0.2">
      <c r="A65" s="5">
        <v>59</v>
      </c>
      <c r="B65" s="6" t="s">
        <v>282</v>
      </c>
      <c r="C65" s="6" t="s">
        <v>283</v>
      </c>
      <c r="D65" s="6" t="s">
        <v>200</v>
      </c>
      <c r="E65" s="7">
        <v>546</v>
      </c>
      <c r="F65" s="8">
        <v>29.251404000000001</v>
      </c>
      <c r="G65" s="9">
        <v>6.6268400000000002E-3</v>
      </c>
      <c r="H65" s="164"/>
    </row>
    <row r="66" spans="1:8" x14ac:dyDescent="0.2">
      <c r="A66" s="5">
        <v>60</v>
      </c>
      <c r="B66" s="6" t="s">
        <v>286</v>
      </c>
      <c r="C66" s="6" t="s">
        <v>287</v>
      </c>
      <c r="D66" s="6" t="s">
        <v>927</v>
      </c>
      <c r="E66" s="7">
        <v>1636</v>
      </c>
      <c r="F66" s="8">
        <v>26.22917</v>
      </c>
      <c r="G66" s="9">
        <v>5.9421589999999998E-3</v>
      </c>
      <c r="H66" s="164"/>
    </row>
    <row r="67" spans="1:8" x14ac:dyDescent="0.2">
      <c r="A67" s="5">
        <v>61</v>
      </c>
      <c r="B67" s="6" t="s">
        <v>288</v>
      </c>
      <c r="C67" s="6" t="s">
        <v>289</v>
      </c>
      <c r="D67" s="6" t="s">
        <v>158</v>
      </c>
      <c r="E67" s="7">
        <v>1792</v>
      </c>
      <c r="F67" s="8">
        <v>24.783359999999998</v>
      </c>
      <c r="G67" s="9">
        <v>5.6146140000000004E-3</v>
      </c>
      <c r="H67" s="164"/>
    </row>
    <row r="68" spans="1:8" x14ac:dyDescent="0.2">
      <c r="A68" s="5">
        <v>62</v>
      </c>
      <c r="B68" s="6" t="s">
        <v>173</v>
      </c>
      <c r="C68" s="6" t="s">
        <v>174</v>
      </c>
      <c r="D68" s="6" t="s">
        <v>179</v>
      </c>
      <c r="E68" s="7">
        <v>1721</v>
      </c>
      <c r="F68" s="8">
        <v>23.433136000000001</v>
      </c>
      <c r="G68" s="9">
        <v>5.3087239999999999E-3</v>
      </c>
      <c r="H68" s="164"/>
    </row>
    <row r="69" spans="1:8" x14ac:dyDescent="0.2">
      <c r="A69" s="5">
        <v>63</v>
      </c>
      <c r="B69" s="6" t="s">
        <v>463</v>
      </c>
      <c r="C69" s="6" t="s">
        <v>464</v>
      </c>
      <c r="D69" s="6" t="s">
        <v>927</v>
      </c>
      <c r="E69" s="7">
        <v>20305</v>
      </c>
      <c r="F69" s="8">
        <v>22.731447500000002</v>
      </c>
      <c r="G69" s="9">
        <v>5.1497579999999999E-3</v>
      </c>
      <c r="H69" s="164"/>
    </row>
    <row r="70" spans="1:8" ht="25.5" x14ac:dyDescent="0.2">
      <c r="A70" s="5">
        <v>64</v>
      </c>
      <c r="B70" s="6" t="s">
        <v>63</v>
      </c>
      <c r="C70" s="6" t="s">
        <v>64</v>
      </c>
      <c r="D70" s="6" t="s">
        <v>40</v>
      </c>
      <c r="E70" s="7">
        <v>2775</v>
      </c>
      <c r="F70" s="8">
        <v>22.040437499999999</v>
      </c>
      <c r="G70" s="9">
        <v>4.993211E-3</v>
      </c>
      <c r="H70" s="164"/>
    </row>
    <row r="71" spans="1:8" x14ac:dyDescent="0.2">
      <c r="A71" s="5">
        <v>65</v>
      </c>
      <c r="B71" s="6" t="s">
        <v>290</v>
      </c>
      <c r="C71" s="6" t="s">
        <v>291</v>
      </c>
      <c r="D71" s="6" t="s">
        <v>179</v>
      </c>
      <c r="E71" s="7">
        <v>3970</v>
      </c>
      <c r="F71" s="8">
        <v>21.114445</v>
      </c>
      <c r="G71" s="9">
        <v>4.78343E-3</v>
      </c>
      <c r="H71" s="164"/>
    </row>
    <row r="72" spans="1:8" x14ac:dyDescent="0.2">
      <c r="A72" s="3" t="s">
        <v>9</v>
      </c>
      <c r="B72" s="3" t="s">
        <v>9</v>
      </c>
      <c r="C72" s="4" t="s">
        <v>110</v>
      </c>
      <c r="D72" s="3" t="s">
        <v>9</v>
      </c>
      <c r="E72" s="3" t="s">
        <v>9</v>
      </c>
      <c r="F72" s="11">
        <v>4294.1778125000001</v>
      </c>
      <c r="G72" s="12">
        <v>0.97283631100000001</v>
      </c>
      <c r="H72" s="164"/>
    </row>
    <row r="73" spans="1:8" x14ac:dyDescent="0.2">
      <c r="A73" s="3" t="s">
        <v>9</v>
      </c>
      <c r="B73" s="3" t="s">
        <v>9</v>
      </c>
      <c r="C73" s="13" t="s">
        <v>9</v>
      </c>
      <c r="D73" s="3" t="s">
        <v>9</v>
      </c>
      <c r="E73" s="3" t="s">
        <v>9</v>
      </c>
      <c r="F73" s="14" t="s">
        <v>9</v>
      </c>
      <c r="G73" s="14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111</v>
      </c>
      <c r="D74" s="3" t="s">
        <v>9</v>
      </c>
      <c r="E74" s="3" t="s">
        <v>9</v>
      </c>
      <c r="F74" s="3" t="s">
        <v>9</v>
      </c>
      <c r="G74" s="3" t="s">
        <v>9</v>
      </c>
      <c r="H74" s="164"/>
    </row>
    <row r="75" spans="1:8" x14ac:dyDescent="0.2">
      <c r="A75" s="3" t="s">
        <v>9</v>
      </c>
      <c r="B75" s="3" t="s">
        <v>9</v>
      </c>
      <c r="C75" s="4" t="s">
        <v>110</v>
      </c>
      <c r="D75" s="3" t="s">
        <v>9</v>
      </c>
      <c r="E75" s="3" t="s">
        <v>9</v>
      </c>
      <c r="F75" s="15">
        <v>0</v>
      </c>
      <c r="G75" s="16">
        <v>0</v>
      </c>
      <c r="H75" s="164"/>
    </row>
    <row r="76" spans="1:8" x14ac:dyDescent="0.2">
      <c r="A76" s="3" t="s">
        <v>9</v>
      </c>
      <c r="B76" s="3" t="s">
        <v>9</v>
      </c>
      <c r="C76" s="13" t="s">
        <v>9</v>
      </c>
      <c r="D76" s="3" t="s">
        <v>9</v>
      </c>
      <c r="E76" s="3" t="s">
        <v>9</v>
      </c>
      <c r="F76" s="14" t="s">
        <v>9</v>
      </c>
      <c r="G76" s="14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112</v>
      </c>
      <c r="D77" s="3" t="s">
        <v>9</v>
      </c>
      <c r="E77" s="3" t="s">
        <v>9</v>
      </c>
      <c r="F77" s="3" t="s">
        <v>9</v>
      </c>
      <c r="G77" s="3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110</v>
      </c>
      <c r="D78" s="3" t="s">
        <v>9</v>
      </c>
      <c r="E78" s="3" t="s">
        <v>9</v>
      </c>
      <c r="F78" s="15">
        <v>0</v>
      </c>
      <c r="G78" s="16">
        <v>0</v>
      </c>
      <c r="H78" s="164"/>
    </row>
    <row r="79" spans="1:8" x14ac:dyDescent="0.2">
      <c r="A79" s="3" t="s">
        <v>9</v>
      </c>
      <c r="B79" s="3" t="s">
        <v>9</v>
      </c>
      <c r="C79" s="13" t="s">
        <v>9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113</v>
      </c>
      <c r="D80" s="3" t="s">
        <v>9</v>
      </c>
      <c r="E80" s="3" t="s">
        <v>9</v>
      </c>
      <c r="F80" s="3" t="s">
        <v>9</v>
      </c>
      <c r="G80" s="3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110</v>
      </c>
      <c r="D81" s="3" t="s">
        <v>9</v>
      </c>
      <c r="E81" s="3" t="s">
        <v>9</v>
      </c>
      <c r="F81" s="15">
        <v>0</v>
      </c>
      <c r="G81" s="16">
        <v>0</v>
      </c>
      <c r="H81" s="164"/>
    </row>
    <row r="82" spans="1:8" x14ac:dyDescent="0.2">
      <c r="A82" s="3" t="s">
        <v>9</v>
      </c>
      <c r="B82" s="3" t="s">
        <v>9</v>
      </c>
      <c r="C82" s="13" t="s">
        <v>9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114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110</v>
      </c>
      <c r="D84" s="3" t="s">
        <v>9</v>
      </c>
      <c r="E84" s="3" t="s">
        <v>9</v>
      </c>
      <c r="F84" s="15">
        <v>0</v>
      </c>
      <c r="G84" s="16">
        <v>0</v>
      </c>
      <c r="H84" s="164"/>
    </row>
    <row r="85" spans="1:8" x14ac:dyDescent="0.2">
      <c r="A85" s="3" t="s">
        <v>9</v>
      </c>
      <c r="B85" s="3" t="s">
        <v>9</v>
      </c>
      <c r="C85" s="13" t="s">
        <v>9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115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110</v>
      </c>
      <c r="D87" s="3" t="s">
        <v>9</v>
      </c>
      <c r="E87" s="3" t="s">
        <v>9</v>
      </c>
      <c r="F87" s="15">
        <v>0</v>
      </c>
      <c r="G87" s="16">
        <v>0</v>
      </c>
      <c r="H87" s="164"/>
    </row>
    <row r="88" spans="1:8" x14ac:dyDescent="0.2">
      <c r="A88" s="3" t="s">
        <v>9</v>
      </c>
      <c r="B88" s="3" t="s">
        <v>9</v>
      </c>
      <c r="C88" s="13" t="s">
        <v>9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116</v>
      </c>
      <c r="D89" s="3" t="s">
        <v>9</v>
      </c>
      <c r="E89" s="3" t="s">
        <v>9</v>
      </c>
      <c r="F89" s="11">
        <v>4294.1778125000001</v>
      </c>
      <c r="G89" s="12">
        <v>0.97283631100000001</v>
      </c>
      <c r="H89" s="164"/>
    </row>
    <row r="90" spans="1:8" x14ac:dyDescent="0.2">
      <c r="A90" s="3" t="s">
        <v>9</v>
      </c>
      <c r="B90" s="3" t="s">
        <v>9</v>
      </c>
      <c r="C90" s="13" t="s">
        <v>9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117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ht="25.5" x14ac:dyDescent="0.2">
      <c r="A92" s="3" t="s">
        <v>9</v>
      </c>
      <c r="B92" s="3" t="s">
        <v>9</v>
      </c>
      <c r="C92" s="4" t="s">
        <v>11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110</v>
      </c>
      <c r="D93" s="3" t="s">
        <v>9</v>
      </c>
      <c r="E93" s="3" t="s">
        <v>9</v>
      </c>
      <c r="F93" s="15">
        <v>0</v>
      </c>
      <c r="G93" s="16">
        <v>0</v>
      </c>
      <c r="H93" s="164"/>
    </row>
    <row r="94" spans="1:8" x14ac:dyDescent="0.2">
      <c r="A94" s="3" t="s">
        <v>9</v>
      </c>
      <c r="B94" s="3" t="s">
        <v>9</v>
      </c>
      <c r="C94" s="13" t="s">
        <v>9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118</v>
      </c>
      <c r="D95" s="3" t="s">
        <v>9</v>
      </c>
      <c r="E95" s="3" t="s">
        <v>9</v>
      </c>
      <c r="F95" s="3" t="s">
        <v>9</v>
      </c>
      <c r="G95" s="3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110</v>
      </c>
      <c r="D96" s="3" t="s">
        <v>9</v>
      </c>
      <c r="E96" s="3" t="s">
        <v>9</v>
      </c>
      <c r="F96" s="15">
        <v>0</v>
      </c>
      <c r="G96" s="16">
        <v>0</v>
      </c>
      <c r="H96" s="164"/>
    </row>
    <row r="97" spans="1:8" x14ac:dyDescent="0.2">
      <c r="A97" s="3" t="s">
        <v>9</v>
      </c>
      <c r="B97" s="3" t="s">
        <v>9</v>
      </c>
      <c r="C97" s="13" t="s">
        <v>9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119</v>
      </c>
      <c r="D98" s="3" t="s">
        <v>9</v>
      </c>
      <c r="E98" s="3" t="s">
        <v>9</v>
      </c>
      <c r="F98" s="3" t="s">
        <v>9</v>
      </c>
      <c r="G98" s="3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110</v>
      </c>
      <c r="D99" s="3" t="s">
        <v>9</v>
      </c>
      <c r="E99" s="3" t="s">
        <v>9</v>
      </c>
      <c r="F99" s="15">
        <v>0</v>
      </c>
      <c r="G99" s="16">
        <v>0</v>
      </c>
      <c r="H99" s="164"/>
    </row>
    <row r="100" spans="1:8" x14ac:dyDescent="0.2">
      <c r="A100" s="3" t="s">
        <v>9</v>
      </c>
      <c r="B100" s="3" t="s">
        <v>9</v>
      </c>
      <c r="C100" s="13" t="s">
        <v>9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120</v>
      </c>
      <c r="D101" s="3" t="s">
        <v>9</v>
      </c>
      <c r="E101" s="3" t="s">
        <v>9</v>
      </c>
      <c r="F101" s="14" t="s">
        <v>9</v>
      </c>
      <c r="G101" s="14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110</v>
      </c>
      <c r="D102" s="3" t="s">
        <v>9</v>
      </c>
      <c r="E102" s="3" t="s">
        <v>9</v>
      </c>
      <c r="F102" s="15">
        <v>0</v>
      </c>
      <c r="G102" s="16">
        <v>0</v>
      </c>
      <c r="H102" s="164"/>
    </row>
    <row r="103" spans="1:8" x14ac:dyDescent="0.2">
      <c r="A103" s="3" t="s">
        <v>9</v>
      </c>
      <c r="B103" s="3" t="s">
        <v>9</v>
      </c>
      <c r="C103" s="13" t="s">
        <v>9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121</v>
      </c>
      <c r="D104" s="3" t="s">
        <v>9</v>
      </c>
      <c r="E104" s="3" t="s">
        <v>9</v>
      </c>
      <c r="F104" s="11">
        <v>0</v>
      </c>
      <c r="G104" s="12">
        <v>0</v>
      </c>
      <c r="H104" s="164"/>
    </row>
    <row r="105" spans="1:8" x14ac:dyDescent="0.2">
      <c r="A105" s="3" t="s">
        <v>9</v>
      </c>
      <c r="B105" s="3" t="s">
        <v>9</v>
      </c>
      <c r="C105" s="13" t="s">
        <v>9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122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123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110</v>
      </c>
      <c r="D108" s="3" t="s">
        <v>9</v>
      </c>
      <c r="E108" s="3" t="s">
        <v>9</v>
      </c>
      <c r="F108" s="15">
        <v>0</v>
      </c>
      <c r="G108" s="16">
        <v>0</v>
      </c>
      <c r="H108" s="164"/>
    </row>
    <row r="109" spans="1:8" x14ac:dyDescent="0.2">
      <c r="A109" s="3" t="s">
        <v>9</v>
      </c>
      <c r="B109" s="3" t="s">
        <v>9</v>
      </c>
      <c r="C109" s="13" t="s">
        <v>9</v>
      </c>
      <c r="D109" s="3" t="s">
        <v>9</v>
      </c>
      <c r="E109" s="3" t="s">
        <v>9</v>
      </c>
      <c r="F109" s="14" t="s">
        <v>9</v>
      </c>
      <c r="G109" s="14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124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110</v>
      </c>
      <c r="D111" s="3" t="s">
        <v>9</v>
      </c>
      <c r="E111" s="3" t="s">
        <v>9</v>
      </c>
      <c r="F111" s="15">
        <v>0</v>
      </c>
      <c r="G111" s="16">
        <v>0</v>
      </c>
      <c r="H111" s="164"/>
    </row>
    <row r="112" spans="1:8" x14ac:dyDescent="0.2">
      <c r="A112" s="3" t="s">
        <v>9</v>
      </c>
      <c r="B112" s="3" t="s">
        <v>9</v>
      </c>
      <c r="C112" s="13" t="s">
        <v>9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125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3" t="s">
        <v>9</v>
      </c>
      <c r="B114" s="3" t="s">
        <v>9</v>
      </c>
      <c r="C114" s="4" t="s">
        <v>110</v>
      </c>
      <c r="D114" s="3" t="s">
        <v>9</v>
      </c>
      <c r="E114" s="3" t="s">
        <v>9</v>
      </c>
      <c r="F114" s="15">
        <v>0</v>
      </c>
      <c r="G114" s="16">
        <v>0</v>
      </c>
      <c r="H114" s="164"/>
    </row>
    <row r="115" spans="1:8" x14ac:dyDescent="0.2">
      <c r="A115" s="3" t="s">
        <v>9</v>
      </c>
      <c r="B115" s="3" t="s">
        <v>9</v>
      </c>
      <c r="C115" s="13" t="s">
        <v>9</v>
      </c>
      <c r="D115" s="3" t="s">
        <v>9</v>
      </c>
      <c r="E115" s="3" t="s">
        <v>9</v>
      </c>
      <c r="F115" s="14" t="s">
        <v>9</v>
      </c>
      <c r="G115" s="14" t="s">
        <v>9</v>
      </c>
      <c r="H115" s="164"/>
    </row>
    <row r="116" spans="1:8" x14ac:dyDescent="0.2">
      <c r="A116" s="3" t="s">
        <v>9</v>
      </c>
      <c r="B116" s="3" t="s">
        <v>9</v>
      </c>
      <c r="C116" s="4" t="s">
        <v>126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5">
        <v>1</v>
      </c>
      <c r="B117" s="6"/>
      <c r="C117" s="6" t="s">
        <v>127</v>
      </c>
      <c r="D117" s="6"/>
      <c r="E117" s="10" t="s">
        <v>9</v>
      </c>
      <c r="F117" s="8">
        <v>53.555629799999998</v>
      </c>
      <c r="G117" s="9">
        <v>1.2132907E-2</v>
      </c>
      <c r="H117" s="90">
        <v>3.22</v>
      </c>
    </row>
    <row r="118" spans="1:8" x14ac:dyDescent="0.2">
      <c r="A118" s="5">
        <v>2</v>
      </c>
      <c r="B118" s="6"/>
      <c r="C118" s="6" t="s">
        <v>128</v>
      </c>
      <c r="D118" s="6"/>
      <c r="E118" s="10" t="s">
        <v>9</v>
      </c>
      <c r="F118" s="8">
        <v>15.1345375</v>
      </c>
      <c r="G118" s="9">
        <v>3.4286949999999998E-3</v>
      </c>
      <c r="H118" s="90">
        <v>3.34</v>
      </c>
    </row>
    <row r="119" spans="1:8" x14ac:dyDescent="0.2">
      <c r="A119" s="3" t="s">
        <v>9</v>
      </c>
      <c r="B119" s="3" t="s">
        <v>9</v>
      </c>
      <c r="C119" s="4" t="s">
        <v>110</v>
      </c>
      <c r="D119" s="3" t="s">
        <v>9</v>
      </c>
      <c r="E119" s="3" t="s">
        <v>9</v>
      </c>
      <c r="F119" s="11">
        <v>68.690167299999999</v>
      </c>
      <c r="G119" s="12">
        <v>1.5561602000000001E-2</v>
      </c>
      <c r="H119" s="164"/>
    </row>
    <row r="120" spans="1:8" x14ac:dyDescent="0.2">
      <c r="A120" s="3" t="s">
        <v>9</v>
      </c>
      <c r="B120" s="3" t="s">
        <v>9</v>
      </c>
      <c r="C120" s="13" t="s">
        <v>9</v>
      </c>
      <c r="D120" s="3" t="s">
        <v>9</v>
      </c>
      <c r="E120" s="3" t="s">
        <v>9</v>
      </c>
      <c r="F120" s="14" t="s">
        <v>9</v>
      </c>
      <c r="G120" s="14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129</v>
      </c>
      <c r="D121" s="3" t="s">
        <v>9</v>
      </c>
      <c r="E121" s="3" t="s">
        <v>9</v>
      </c>
      <c r="F121" s="11">
        <v>68.690167299999999</v>
      </c>
      <c r="G121" s="12">
        <v>1.5561602000000001E-2</v>
      </c>
      <c r="H121" s="164"/>
    </row>
    <row r="122" spans="1:8" x14ac:dyDescent="0.2">
      <c r="A122" s="3" t="s">
        <v>9</v>
      </c>
      <c r="B122" s="3" t="s">
        <v>9</v>
      </c>
      <c r="C122" s="14" t="s">
        <v>9</v>
      </c>
      <c r="D122" s="3" t="s">
        <v>9</v>
      </c>
      <c r="E122" s="3" t="s">
        <v>9</v>
      </c>
      <c r="F122" s="3" t="s">
        <v>9</v>
      </c>
      <c r="G122" s="3" t="s">
        <v>9</v>
      </c>
      <c r="H122" s="164"/>
    </row>
    <row r="123" spans="1:8" x14ac:dyDescent="0.2">
      <c r="A123" s="3" t="s">
        <v>9</v>
      </c>
      <c r="B123" s="3" t="s">
        <v>9</v>
      </c>
      <c r="C123" s="4" t="s">
        <v>130</v>
      </c>
      <c r="D123" s="3" t="s">
        <v>9</v>
      </c>
      <c r="E123" s="3" t="s">
        <v>9</v>
      </c>
      <c r="F123" s="3" t="s">
        <v>9</v>
      </c>
      <c r="G123" s="3" t="s">
        <v>9</v>
      </c>
      <c r="H123" s="164"/>
    </row>
    <row r="124" spans="1:8" x14ac:dyDescent="0.2">
      <c r="A124" s="3" t="s">
        <v>9</v>
      </c>
      <c r="B124" s="3" t="s">
        <v>9</v>
      </c>
      <c r="C124" s="4" t="s">
        <v>131</v>
      </c>
      <c r="D124" s="3" t="s">
        <v>9</v>
      </c>
      <c r="E124" s="3" t="s">
        <v>9</v>
      </c>
      <c r="F124" s="3" t="s">
        <v>9</v>
      </c>
      <c r="G124" s="3" t="s">
        <v>9</v>
      </c>
      <c r="H124" s="164"/>
    </row>
    <row r="125" spans="1:8" x14ac:dyDescent="0.2">
      <c r="A125" s="3" t="s">
        <v>9</v>
      </c>
      <c r="B125" s="3" t="s">
        <v>9</v>
      </c>
      <c r="C125" s="4" t="s">
        <v>110</v>
      </c>
      <c r="D125" s="3" t="s">
        <v>9</v>
      </c>
      <c r="E125" s="3" t="s">
        <v>9</v>
      </c>
      <c r="F125" s="15">
        <v>0</v>
      </c>
      <c r="G125" s="16">
        <v>0</v>
      </c>
      <c r="H125" s="164"/>
    </row>
    <row r="126" spans="1:8" x14ac:dyDescent="0.2">
      <c r="A126" s="3" t="s">
        <v>9</v>
      </c>
      <c r="B126" s="3" t="s">
        <v>9</v>
      </c>
      <c r="C126" s="13" t="s">
        <v>9</v>
      </c>
      <c r="D126" s="3" t="s">
        <v>9</v>
      </c>
      <c r="E126" s="3" t="s">
        <v>9</v>
      </c>
      <c r="F126" s="14" t="s">
        <v>9</v>
      </c>
      <c r="G126" s="14" t="s">
        <v>9</v>
      </c>
      <c r="H126" s="164"/>
    </row>
    <row r="127" spans="1:8" x14ac:dyDescent="0.2">
      <c r="A127" s="3" t="s">
        <v>9</v>
      </c>
      <c r="B127" s="3" t="s">
        <v>9</v>
      </c>
      <c r="C127" s="4" t="s">
        <v>132</v>
      </c>
      <c r="D127" s="3" t="s">
        <v>9</v>
      </c>
      <c r="E127" s="3" t="s">
        <v>9</v>
      </c>
      <c r="F127" s="3" t="s">
        <v>9</v>
      </c>
      <c r="G127" s="3" t="s">
        <v>9</v>
      </c>
      <c r="H127" s="164"/>
    </row>
    <row r="128" spans="1:8" x14ac:dyDescent="0.2">
      <c r="A128" s="3" t="s">
        <v>9</v>
      </c>
      <c r="B128" s="3" t="s">
        <v>9</v>
      </c>
      <c r="C128" s="4" t="s">
        <v>133</v>
      </c>
      <c r="D128" s="3" t="s">
        <v>9</v>
      </c>
      <c r="E128" s="3" t="s">
        <v>9</v>
      </c>
      <c r="F128" s="3" t="s">
        <v>9</v>
      </c>
      <c r="G128" s="3" t="s">
        <v>9</v>
      </c>
      <c r="H128" s="164"/>
    </row>
    <row r="129" spans="1:8" x14ac:dyDescent="0.2">
      <c r="A129" s="3" t="s">
        <v>9</v>
      </c>
      <c r="B129" s="3" t="s">
        <v>9</v>
      </c>
      <c r="C129" s="4" t="s">
        <v>110</v>
      </c>
      <c r="D129" s="3" t="s">
        <v>9</v>
      </c>
      <c r="E129" s="3" t="s">
        <v>9</v>
      </c>
      <c r="F129" s="15">
        <v>0</v>
      </c>
      <c r="G129" s="16">
        <v>0</v>
      </c>
      <c r="H129" s="164"/>
    </row>
    <row r="130" spans="1:8" x14ac:dyDescent="0.2">
      <c r="A130" s="3" t="s">
        <v>9</v>
      </c>
      <c r="B130" s="3" t="s">
        <v>9</v>
      </c>
      <c r="C130" s="13" t="s">
        <v>9</v>
      </c>
      <c r="D130" s="3" t="s">
        <v>9</v>
      </c>
      <c r="E130" s="3" t="s">
        <v>9</v>
      </c>
      <c r="F130" s="14" t="s">
        <v>9</v>
      </c>
      <c r="G130" s="14" t="s">
        <v>9</v>
      </c>
      <c r="H130" s="164"/>
    </row>
    <row r="131" spans="1:8" x14ac:dyDescent="0.2">
      <c r="A131" s="3" t="s">
        <v>9</v>
      </c>
      <c r="B131" s="3" t="s">
        <v>9</v>
      </c>
      <c r="C131" s="13" t="s">
        <v>9</v>
      </c>
      <c r="D131" s="3" t="s">
        <v>9</v>
      </c>
      <c r="E131" s="3" t="s">
        <v>9</v>
      </c>
      <c r="F131" s="14" t="s">
        <v>9</v>
      </c>
      <c r="G131" s="14" t="s">
        <v>9</v>
      </c>
      <c r="H131" s="164"/>
    </row>
    <row r="132" spans="1:8" ht="25.5" x14ac:dyDescent="0.2">
      <c r="A132" s="3" t="s">
        <v>9</v>
      </c>
      <c r="B132" s="3" t="s">
        <v>9</v>
      </c>
      <c r="C132" s="4" t="s">
        <v>134</v>
      </c>
      <c r="D132" s="3" t="s">
        <v>9</v>
      </c>
      <c r="E132" s="3" t="s">
        <v>9</v>
      </c>
      <c r="F132" s="14" t="s">
        <v>9</v>
      </c>
      <c r="G132" s="14" t="s">
        <v>9</v>
      </c>
      <c r="H132" s="164"/>
    </row>
    <row r="133" spans="1:8" x14ac:dyDescent="0.2">
      <c r="A133" s="3" t="s">
        <v>9</v>
      </c>
      <c r="B133" s="3" t="s">
        <v>9</v>
      </c>
      <c r="C133" s="4" t="s">
        <v>110</v>
      </c>
      <c r="D133" s="3" t="s">
        <v>9</v>
      </c>
      <c r="E133" s="3" t="s">
        <v>9</v>
      </c>
      <c r="F133" s="15">
        <v>0</v>
      </c>
      <c r="G133" s="16">
        <v>0</v>
      </c>
      <c r="H133" s="164"/>
    </row>
    <row r="134" spans="1:8" x14ac:dyDescent="0.2">
      <c r="A134" s="3" t="s">
        <v>9</v>
      </c>
      <c r="B134" s="3" t="s">
        <v>9</v>
      </c>
      <c r="C134" s="13" t="s">
        <v>9</v>
      </c>
      <c r="D134" s="3" t="s">
        <v>9</v>
      </c>
      <c r="E134" s="3" t="s">
        <v>9</v>
      </c>
      <c r="F134" s="14" t="s">
        <v>9</v>
      </c>
      <c r="G134" s="14" t="s">
        <v>9</v>
      </c>
      <c r="H134" s="164"/>
    </row>
    <row r="135" spans="1:8" x14ac:dyDescent="0.2">
      <c r="A135" s="3" t="s">
        <v>9</v>
      </c>
      <c r="B135" s="6" t="s">
        <v>9</v>
      </c>
      <c r="C135" s="6" t="s">
        <v>9</v>
      </c>
      <c r="D135" s="4" t="s">
        <v>9</v>
      </c>
      <c r="E135" s="3" t="s">
        <v>9</v>
      </c>
      <c r="F135" s="6" t="s">
        <v>9</v>
      </c>
      <c r="G135" s="10" t="s">
        <v>9</v>
      </c>
      <c r="H135" s="164"/>
    </row>
    <row r="136" spans="1:8" x14ac:dyDescent="0.2">
      <c r="A136" s="10" t="s">
        <v>9</v>
      </c>
      <c r="B136" s="6" t="s">
        <v>9</v>
      </c>
      <c r="C136" s="6" t="s">
        <v>135</v>
      </c>
      <c r="D136" s="6" t="s">
        <v>9</v>
      </c>
      <c r="E136" s="10" t="s">
        <v>9</v>
      </c>
      <c r="F136" s="8">
        <v>51.212533790000002</v>
      </c>
      <c r="G136" s="9">
        <v>1.1602084E-2</v>
      </c>
      <c r="H136" s="164"/>
    </row>
    <row r="137" spans="1:8" x14ac:dyDescent="0.2">
      <c r="A137" s="13" t="s">
        <v>9</v>
      </c>
      <c r="B137" s="13" t="s">
        <v>9</v>
      </c>
      <c r="C137" s="4" t="s">
        <v>136</v>
      </c>
      <c r="D137" s="17" t="s">
        <v>9</v>
      </c>
      <c r="E137" s="17" t="s">
        <v>9</v>
      </c>
      <c r="F137" s="11">
        <v>4414.08051359</v>
      </c>
      <c r="G137" s="12">
        <v>0.99999999699999997</v>
      </c>
      <c r="H137" s="164"/>
    </row>
    <row r="138" spans="1:8" ht="14.1" customHeight="1" x14ac:dyDescent="0.2">
      <c r="A138" s="18" t="s">
        <v>9</v>
      </c>
      <c r="B138" s="18" t="s">
        <v>9</v>
      </c>
      <c r="C138" s="18" t="s">
        <v>9</v>
      </c>
      <c r="D138" s="19" t="s">
        <v>9</v>
      </c>
      <c r="E138" s="19" t="s">
        <v>9</v>
      </c>
      <c r="F138" s="19" t="s">
        <v>9</v>
      </c>
      <c r="G138" s="19" t="s">
        <v>9</v>
      </c>
    </row>
    <row r="139" spans="1:8" ht="14.1" customHeight="1" x14ac:dyDescent="0.2">
      <c r="A139" s="20" t="s">
        <v>9</v>
      </c>
      <c r="B139" s="228" t="s">
        <v>9</v>
      </c>
      <c r="C139" s="228"/>
      <c r="D139" s="228"/>
      <c r="E139" s="228"/>
      <c r="F139" s="228"/>
      <c r="G139" s="22" t="s">
        <v>9</v>
      </c>
    </row>
    <row r="140" spans="1:8" ht="14.1" customHeight="1" x14ac:dyDescent="0.2">
      <c r="A140" s="20" t="s">
        <v>9</v>
      </c>
      <c r="B140" s="228" t="s">
        <v>9</v>
      </c>
      <c r="C140" s="228"/>
      <c r="D140" s="228"/>
      <c r="E140" s="228"/>
      <c r="F140" s="228"/>
      <c r="G140" s="22" t="s">
        <v>9</v>
      </c>
    </row>
    <row r="141" spans="1:8" ht="14.1" customHeight="1" x14ac:dyDescent="0.2">
      <c r="A141" s="20" t="s">
        <v>9</v>
      </c>
      <c r="B141" s="20" t="s">
        <v>9</v>
      </c>
      <c r="C141" s="20" t="s">
        <v>9</v>
      </c>
      <c r="D141" s="22" t="s">
        <v>9</v>
      </c>
      <c r="E141" s="22" t="s">
        <v>9</v>
      </c>
      <c r="F141" s="22" t="s">
        <v>9</v>
      </c>
      <c r="G141" s="22" t="s">
        <v>9</v>
      </c>
    </row>
    <row r="142" spans="1:8" ht="14.1" customHeight="1" x14ac:dyDescent="0.2">
      <c r="A142" s="20" t="s">
        <v>9</v>
      </c>
      <c r="B142" s="226" t="s">
        <v>138</v>
      </c>
      <c r="C142" s="227"/>
      <c r="D142" s="14" t="s">
        <v>9</v>
      </c>
      <c r="E142" s="23" t="s">
        <v>9</v>
      </c>
      <c r="F142" s="22" t="s">
        <v>9</v>
      </c>
      <c r="G142" s="22" t="s">
        <v>9</v>
      </c>
    </row>
    <row r="143" spans="1:8" ht="29.1" customHeight="1" x14ac:dyDescent="0.2">
      <c r="A143" s="20" t="s">
        <v>9</v>
      </c>
      <c r="B143" s="233" t="s">
        <v>139</v>
      </c>
      <c r="C143" s="234"/>
      <c r="D143" s="4" t="s">
        <v>140</v>
      </c>
      <c r="E143" s="23" t="s">
        <v>9</v>
      </c>
      <c r="F143" s="22" t="s">
        <v>9</v>
      </c>
      <c r="G143" s="22" t="s">
        <v>9</v>
      </c>
    </row>
    <row r="144" spans="1:8" ht="17.100000000000001" customHeight="1" x14ac:dyDescent="0.2">
      <c r="A144" s="20" t="s">
        <v>9</v>
      </c>
      <c r="B144" s="233" t="s">
        <v>141</v>
      </c>
      <c r="C144" s="234"/>
      <c r="D144" s="4" t="s">
        <v>140</v>
      </c>
      <c r="E144" s="23" t="s">
        <v>9</v>
      </c>
      <c r="F144" s="22" t="s">
        <v>9</v>
      </c>
      <c r="G144" s="22" t="s">
        <v>9</v>
      </c>
    </row>
    <row r="145" spans="1:7" ht="17.100000000000001" customHeight="1" x14ac:dyDescent="0.2">
      <c r="A145" s="20" t="s">
        <v>9</v>
      </c>
      <c r="B145" s="233" t="s">
        <v>142</v>
      </c>
      <c r="C145" s="234"/>
      <c r="D145" s="14" t="s">
        <v>9</v>
      </c>
      <c r="E145" s="23" t="s">
        <v>9</v>
      </c>
      <c r="F145" s="22" t="s">
        <v>9</v>
      </c>
      <c r="G145" s="22" t="s">
        <v>9</v>
      </c>
    </row>
    <row r="146" spans="1:7" ht="24" customHeight="1" x14ac:dyDescent="0.2">
      <c r="A146" s="24" t="s">
        <v>9</v>
      </c>
      <c r="B146" s="25" t="s">
        <v>9</v>
      </c>
      <c r="C146" s="25" t="s">
        <v>143</v>
      </c>
      <c r="D146" s="25" t="s">
        <v>144</v>
      </c>
      <c r="E146" s="24" t="s">
        <v>9</v>
      </c>
      <c r="F146" s="24" t="s">
        <v>9</v>
      </c>
      <c r="G146" s="24" t="s">
        <v>9</v>
      </c>
    </row>
    <row r="147" spans="1:7" ht="18" customHeight="1" x14ac:dyDescent="0.2">
      <c r="A147" s="24" t="s">
        <v>9</v>
      </c>
      <c r="B147" s="25" t="s">
        <v>145</v>
      </c>
      <c r="C147" s="25" t="s">
        <v>146</v>
      </c>
      <c r="D147" s="25" t="s">
        <v>147</v>
      </c>
      <c r="E147" s="24" t="s">
        <v>9</v>
      </c>
      <c r="F147" s="24" t="s">
        <v>9</v>
      </c>
      <c r="G147" s="24" t="s">
        <v>9</v>
      </c>
    </row>
    <row r="148" spans="1:7" ht="17.100000000000001" customHeight="1" x14ac:dyDescent="0.2">
      <c r="A148" s="24" t="s">
        <v>9</v>
      </c>
      <c r="B148" s="6" t="s">
        <v>148</v>
      </c>
      <c r="C148" s="26">
        <v>12.8188</v>
      </c>
      <c r="D148" s="26">
        <v>14.220499999999999</v>
      </c>
      <c r="E148" s="24" t="s">
        <v>9</v>
      </c>
      <c r="F148" s="21" t="s">
        <v>9</v>
      </c>
      <c r="G148" s="27" t="s">
        <v>9</v>
      </c>
    </row>
    <row r="149" spans="1:7" ht="17.100000000000001" customHeight="1" x14ac:dyDescent="0.2">
      <c r="A149" s="24" t="s">
        <v>9</v>
      </c>
      <c r="B149" s="6" t="s">
        <v>839</v>
      </c>
      <c r="C149" s="26">
        <v>12.8188</v>
      </c>
      <c r="D149" s="26">
        <v>14.220499999999999</v>
      </c>
      <c r="E149" s="24" t="s">
        <v>9</v>
      </c>
      <c r="F149" s="21" t="s">
        <v>9</v>
      </c>
      <c r="G149" s="27" t="s">
        <v>9</v>
      </c>
    </row>
    <row r="150" spans="1:7" ht="17.100000000000001" customHeight="1" x14ac:dyDescent="0.2">
      <c r="A150" s="24" t="s">
        <v>9</v>
      </c>
      <c r="B150" s="6" t="s">
        <v>149</v>
      </c>
      <c r="C150" s="26">
        <v>12.3459</v>
      </c>
      <c r="D150" s="26">
        <v>13.6937</v>
      </c>
      <c r="E150" s="24" t="s">
        <v>9</v>
      </c>
      <c r="F150" s="21" t="s">
        <v>9</v>
      </c>
      <c r="G150" s="27" t="s">
        <v>9</v>
      </c>
    </row>
    <row r="151" spans="1:7" ht="17.100000000000001" customHeight="1" x14ac:dyDescent="0.2">
      <c r="A151" s="24" t="s">
        <v>9</v>
      </c>
      <c r="B151" s="6" t="s">
        <v>840</v>
      </c>
      <c r="C151" s="26">
        <v>12.345800000000001</v>
      </c>
      <c r="D151" s="26">
        <v>13.6937</v>
      </c>
      <c r="E151" s="24" t="s">
        <v>9</v>
      </c>
      <c r="F151" s="21" t="s">
        <v>9</v>
      </c>
      <c r="G151" s="27" t="s">
        <v>9</v>
      </c>
    </row>
    <row r="152" spans="1:7" ht="14.1" customHeight="1" x14ac:dyDescent="0.2">
      <c r="A152" s="24" t="s">
        <v>9</v>
      </c>
      <c r="B152" s="24" t="s">
        <v>9</v>
      </c>
      <c r="C152" s="24" t="s">
        <v>9</v>
      </c>
      <c r="D152" s="24" t="s">
        <v>9</v>
      </c>
      <c r="E152" s="24" t="s">
        <v>9</v>
      </c>
      <c r="F152" s="24" t="s">
        <v>9</v>
      </c>
      <c r="G152" s="24" t="s">
        <v>9</v>
      </c>
    </row>
    <row r="153" spans="1:7" ht="17.100000000000001" customHeight="1" x14ac:dyDescent="0.2">
      <c r="A153" s="24" t="s">
        <v>9</v>
      </c>
      <c r="B153" s="233" t="s">
        <v>1003</v>
      </c>
      <c r="C153" s="234"/>
      <c r="D153" s="4" t="s">
        <v>140</v>
      </c>
      <c r="E153" s="24" t="s">
        <v>9</v>
      </c>
      <c r="F153" s="24" t="s">
        <v>9</v>
      </c>
      <c r="G153" s="24" t="s">
        <v>9</v>
      </c>
    </row>
    <row r="154" spans="1:7" ht="18" customHeight="1" x14ac:dyDescent="0.2">
      <c r="A154" s="24" t="s">
        <v>9</v>
      </c>
      <c r="B154" s="28" t="s">
        <v>150</v>
      </c>
      <c r="C154" s="28" t="s">
        <v>150</v>
      </c>
      <c r="D154" s="28" t="s">
        <v>9</v>
      </c>
      <c r="E154" s="24" t="s">
        <v>9</v>
      </c>
      <c r="F154" s="24" t="s">
        <v>9</v>
      </c>
      <c r="G154" s="24" t="s">
        <v>9</v>
      </c>
    </row>
    <row r="155" spans="1:7" s="169" customFormat="1" x14ac:dyDescent="0.2">
      <c r="B155" s="235" t="s">
        <v>841</v>
      </c>
      <c r="C155" s="235"/>
      <c r="D155" s="235"/>
      <c r="E155" s="235"/>
      <c r="F155" s="235"/>
    </row>
    <row r="156" spans="1:7" ht="14.1" customHeight="1" x14ac:dyDescent="0.2">
      <c r="A156" s="24" t="s">
        <v>9</v>
      </c>
      <c r="B156" s="21" t="s">
        <v>9</v>
      </c>
      <c r="C156" s="21" t="s">
        <v>9</v>
      </c>
      <c r="D156" s="24" t="s">
        <v>9</v>
      </c>
      <c r="E156" s="24" t="s">
        <v>9</v>
      </c>
      <c r="F156" s="24" t="s">
        <v>9</v>
      </c>
      <c r="G156" s="24" t="s">
        <v>9</v>
      </c>
    </row>
    <row r="157" spans="1:7" ht="29.1" customHeight="1" x14ac:dyDescent="0.2">
      <c r="A157" s="24" t="s">
        <v>9</v>
      </c>
      <c r="B157" s="233" t="s">
        <v>151</v>
      </c>
      <c r="C157" s="234"/>
      <c r="D157" s="4" t="s">
        <v>140</v>
      </c>
      <c r="E157" s="24" t="s">
        <v>9</v>
      </c>
      <c r="F157" s="24" t="s">
        <v>9</v>
      </c>
      <c r="G157" s="24" t="s">
        <v>9</v>
      </c>
    </row>
    <row r="158" spans="1:7" ht="29.1" customHeight="1" x14ac:dyDescent="0.2">
      <c r="A158" s="24" t="s">
        <v>9</v>
      </c>
      <c r="B158" s="233" t="s">
        <v>152</v>
      </c>
      <c r="C158" s="234"/>
      <c r="D158" s="4" t="s">
        <v>140</v>
      </c>
      <c r="E158" s="24" t="s">
        <v>9</v>
      </c>
      <c r="F158" s="24" t="s">
        <v>9</v>
      </c>
      <c r="G158" s="24" t="s">
        <v>9</v>
      </c>
    </row>
    <row r="159" spans="1:7" ht="17.100000000000001" customHeight="1" x14ac:dyDescent="0.2">
      <c r="A159" s="24" t="s">
        <v>9</v>
      </c>
      <c r="B159" s="233" t="s">
        <v>153</v>
      </c>
      <c r="C159" s="234"/>
      <c r="D159" s="29">
        <v>0.45708517281972166</v>
      </c>
      <c r="E159" s="24" t="s">
        <v>9</v>
      </c>
      <c r="F159" s="21" t="s">
        <v>9</v>
      </c>
      <c r="G159" s="27" t="s">
        <v>9</v>
      </c>
    </row>
    <row r="160" spans="1:7" ht="17.100000000000001" customHeight="1" x14ac:dyDescent="0.2">
      <c r="A160" s="24" t="s">
        <v>9</v>
      </c>
      <c r="B160" s="233" t="s">
        <v>154</v>
      </c>
      <c r="C160" s="234"/>
      <c r="D160" s="4" t="s">
        <v>140</v>
      </c>
      <c r="E160" s="24" t="s">
        <v>9</v>
      </c>
      <c r="F160" s="24" t="s">
        <v>9</v>
      </c>
      <c r="G160" s="24" t="s">
        <v>9</v>
      </c>
    </row>
  </sheetData>
  <mergeCells count="15">
    <mergeCell ref="B159:C159"/>
    <mergeCell ref="B160:C160"/>
    <mergeCell ref="B143:C143"/>
    <mergeCell ref="B144:C144"/>
    <mergeCell ref="B145:C145"/>
    <mergeCell ref="B153:C153"/>
    <mergeCell ref="B157:C157"/>
    <mergeCell ref="B158:C158"/>
    <mergeCell ref="B155:F155"/>
    <mergeCell ref="B142:C142"/>
    <mergeCell ref="B139:F139"/>
    <mergeCell ref="B140:F14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H162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513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41</v>
      </c>
      <c r="C7" s="6" t="s">
        <v>42</v>
      </c>
      <c r="D7" s="6" t="s">
        <v>28</v>
      </c>
      <c r="E7" s="7">
        <v>461235</v>
      </c>
      <c r="F7" s="8">
        <v>5346.1748850000004</v>
      </c>
      <c r="G7" s="9">
        <v>3.4858615000000003E-2</v>
      </c>
      <c r="H7" s="164"/>
    </row>
    <row r="8" spans="1:8" x14ac:dyDescent="0.2">
      <c r="A8" s="5">
        <v>2</v>
      </c>
      <c r="B8" s="6" t="s">
        <v>189</v>
      </c>
      <c r="C8" s="6" t="s">
        <v>190</v>
      </c>
      <c r="D8" s="6" t="s">
        <v>179</v>
      </c>
      <c r="E8" s="7">
        <v>157042</v>
      </c>
      <c r="F8" s="8">
        <v>4936.1441439999999</v>
      </c>
      <c r="G8" s="9">
        <v>3.2185094999999997E-2</v>
      </c>
      <c r="H8" s="164"/>
    </row>
    <row r="9" spans="1:8" x14ac:dyDescent="0.2">
      <c r="A9" s="5">
        <v>3</v>
      </c>
      <c r="B9" s="6" t="s">
        <v>286</v>
      </c>
      <c r="C9" s="6" t="s">
        <v>287</v>
      </c>
      <c r="D9" s="6" t="s">
        <v>927</v>
      </c>
      <c r="E9" s="7">
        <v>298295</v>
      </c>
      <c r="F9" s="8">
        <v>4782.4145875000004</v>
      </c>
      <c r="G9" s="9">
        <v>3.1182734E-2</v>
      </c>
      <c r="H9" s="164"/>
    </row>
    <row r="10" spans="1:8" x14ac:dyDescent="0.2">
      <c r="A10" s="5">
        <v>4</v>
      </c>
      <c r="B10" s="6" t="s">
        <v>203</v>
      </c>
      <c r="C10" s="6" t="s">
        <v>204</v>
      </c>
      <c r="D10" s="6" t="s">
        <v>179</v>
      </c>
      <c r="E10" s="7">
        <v>475853</v>
      </c>
      <c r="F10" s="8">
        <v>4695.2415510000001</v>
      </c>
      <c r="G10" s="9">
        <v>3.061434E-2</v>
      </c>
      <c r="H10" s="164"/>
    </row>
    <row r="11" spans="1:8" x14ac:dyDescent="0.2">
      <c r="A11" s="5">
        <v>5</v>
      </c>
      <c r="B11" s="6" t="s">
        <v>156</v>
      </c>
      <c r="C11" s="6" t="s">
        <v>157</v>
      </c>
      <c r="D11" s="6" t="s">
        <v>158</v>
      </c>
      <c r="E11" s="7">
        <v>125305</v>
      </c>
      <c r="F11" s="8">
        <v>4582.7171125000004</v>
      </c>
      <c r="G11" s="9">
        <v>2.9880647999999999E-2</v>
      </c>
      <c r="H11" s="164"/>
    </row>
    <row r="12" spans="1:8" x14ac:dyDescent="0.2">
      <c r="A12" s="5">
        <v>6</v>
      </c>
      <c r="B12" s="6" t="s">
        <v>216</v>
      </c>
      <c r="C12" s="6" t="s">
        <v>217</v>
      </c>
      <c r="D12" s="6" t="s">
        <v>200</v>
      </c>
      <c r="E12" s="7">
        <v>655605</v>
      </c>
      <c r="F12" s="8">
        <v>4205.7060750000001</v>
      </c>
      <c r="G12" s="9">
        <v>2.7422426999999999E-2</v>
      </c>
      <c r="H12" s="164"/>
    </row>
    <row r="13" spans="1:8" x14ac:dyDescent="0.2">
      <c r="A13" s="5">
        <v>7</v>
      </c>
      <c r="B13" s="6" t="s">
        <v>514</v>
      </c>
      <c r="C13" s="6" t="s">
        <v>515</v>
      </c>
      <c r="D13" s="6" t="s">
        <v>200</v>
      </c>
      <c r="E13" s="7">
        <v>615169</v>
      </c>
      <c r="F13" s="8">
        <v>4200.9891010000001</v>
      </c>
      <c r="G13" s="9">
        <v>2.739167E-2</v>
      </c>
      <c r="H13" s="164"/>
    </row>
    <row r="14" spans="1:8" x14ac:dyDescent="0.2">
      <c r="A14" s="5">
        <v>8</v>
      </c>
      <c r="B14" s="6" t="s">
        <v>224</v>
      </c>
      <c r="C14" s="6" t="s">
        <v>225</v>
      </c>
      <c r="D14" s="6" t="s">
        <v>161</v>
      </c>
      <c r="E14" s="7">
        <v>772375</v>
      </c>
      <c r="F14" s="8">
        <v>4169.2802499999998</v>
      </c>
      <c r="G14" s="9">
        <v>2.7184920000000001E-2</v>
      </c>
      <c r="H14" s="164"/>
    </row>
    <row r="15" spans="1:8" x14ac:dyDescent="0.2">
      <c r="A15" s="5">
        <v>9</v>
      </c>
      <c r="B15" s="6" t="s">
        <v>205</v>
      </c>
      <c r="C15" s="6" t="s">
        <v>206</v>
      </c>
      <c r="D15" s="6" t="s">
        <v>207</v>
      </c>
      <c r="E15" s="7">
        <v>1458401</v>
      </c>
      <c r="F15" s="8">
        <v>3915.0774845000001</v>
      </c>
      <c r="G15" s="9">
        <v>2.5527444E-2</v>
      </c>
      <c r="H15" s="164"/>
    </row>
    <row r="16" spans="1:8" x14ac:dyDescent="0.2">
      <c r="A16" s="5">
        <v>10</v>
      </c>
      <c r="B16" s="6" t="s">
        <v>256</v>
      </c>
      <c r="C16" s="6" t="s">
        <v>257</v>
      </c>
      <c r="D16" s="6" t="s">
        <v>930</v>
      </c>
      <c r="E16" s="7">
        <v>668744</v>
      </c>
      <c r="F16" s="8">
        <v>3746.6382600000002</v>
      </c>
      <c r="G16" s="9">
        <v>2.4429171E-2</v>
      </c>
      <c r="H16" s="164"/>
    </row>
    <row r="17" spans="1:8" x14ac:dyDescent="0.2">
      <c r="A17" s="5">
        <v>11</v>
      </c>
      <c r="B17" s="6" t="s">
        <v>244</v>
      </c>
      <c r="C17" s="6" t="s">
        <v>245</v>
      </c>
      <c r="D17" s="6" t="s">
        <v>200</v>
      </c>
      <c r="E17" s="7">
        <v>200691</v>
      </c>
      <c r="F17" s="8">
        <v>3639.0295575</v>
      </c>
      <c r="G17" s="9">
        <v>2.3727531E-2</v>
      </c>
      <c r="H17" s="164"/>
    </row>
    <row r="18" spans="1:8" x14ac:dyDescent="0.2">
      <c r="A18" s="5">
        <v>12</v>
      </c>
      <c r="B18" s="6" t="s">
        <v>164</v>
      </c>
      <c r="C18" s="6" t="s">
        <v>165</v>
      </c>
      <c r="D18" s="6" t="s">
        <v>28</v>
      </c>
      <c r="E18" s="7">
        <v>466400</v>
      </c>
      <c r="F18" s="8">
        <v>3565.8611999999998</v>
      </c>
      <c r="G18" s="9">
        <v>2.3250452000000001E-2</v>
      </c>
      <c r="H18" s="164"/>
    </row>
    <row r="19" spans="1:8" x14ac:dyDescent="0.2">
      <c r="A19" s="5">
        <v>13</v>
      </c>
      <c r="B19" s="6" t="s">
        <v>177</v>
      </c>
      <c r="C19" s="6" t="s">
        <v>178</v>
      </c>
      <c r="D19" s="6" t="s">
        <v>179</v>
      </c>
      <c r="E19" s="7">
        <v>1261063</v>
      </c>
      <c r="F19" s="8">
        <v>3553.0450025</v>
      </c>
      <c r="G19" s="9">
        <v>2.3166887000000001E-2</v>
      </c>
      <c r="H19" s="164"/>
    </row>
    <row r="20" spans="1:8" x14ac:dyDescent="0.2">
      <c r="A20" s="5">
        <v>14</v>
      </c>
      <c r="B20" s="6" t="s">
        <v>361</v>
      </c>
      <c r="C20" s="6" t="s">
        <v>362</v>
      </c>
      <c r="D20" s="6" t="s">
        <v>22</v>
      </c>
      <c r="E20" s="7">
        <v>2356622</v>
      </c>
      <c r="F20" s="8">
        <v>3540.8245550000001</v>
      </c>
      <c r="G20" s="9">
        <v>2.3087205999999999E-2</v>
      </c>
      <c r="H20" s="164"/>
    </row>
    <row r="21" spans="1:8" x14ac:dyDescent="0.2">
      <c r="A21" s="5">
        <v>15</v>
      </c>
      <c r="B21" s="6" t="s">
        <v>175</v>
      </c>
      <c r="C21" s="6" t="s">
        <v>176</v>
      </c>
      <c r="D21" s="6" t="s">
        <v>62</v>
      </c>
      <c r="E21" s="7">
        <v>804033</v>
      </c>
      <c r="F21" s="8">
        <v>3398.6474910000002</v>
      </c>
      <c r="G21" s="9">
        <v>2.216017E-2</v>
      </c>
      <c r="H21" s="164"/>
    </row>
    <row r="22" spans="1:8" x14ac:dyDescent="0.2">
      <c r="A22" s="5">
        <v>16</v>
      </c>
      <c r="B22" s="6" t="s">
        <v>461</v>
      </c>
      <c r="C22" s="6" t="s">
        <v>462</v>
      </c>
      <c r="D22" s="6" t="s">
        <v>28</v>
      </c>
      <c r="E22" s="7">
        <v>505032</v>
      </c>
      <c r="F22" s="8">
        <v>3398.6128440000002</v>
      </c>
      <c r="G22" s="9">
        <v>2.2159944000000001E-2</v>
      </c>
      <c r="H22" s="164"/>
    </row>
    <row r="23" spans="1:8" x14ac:dyDescent="0.2">
      <c r="A23" s="5">
        <v>17</v>
      </c>
      <c r="B23" s="6" t="s">
        <v>369</v>
      </c>
      <c r="C23" s="6" t="s">
        <v>370</v>
      </c>
      <c r="D23" s="6" t="s">
        <v>62</v>
      </c>
      <c r="E23" s="7">
        <v>78556</v>
      </c>
      <c r="F23" s="8">
        <v>3381.5215760000001</v>
      </c>
      <c r="G23" s="9">
        <v>2.2048504E-2</v>
      </c>
      <c r="H23" s="164"/>
    </row>
    <row r="24" spans="1:8" x14ac:dyDescent="0.2">
      <c r="A24" s="5">
        <v>18</v>
      </c>
      <c r="B24" s="6" t="s">
        <v>444</v>
      </c>
      <c r="C24" s="6" t="s">
        <v>445</v>
      </c>
      <c r="D24" s="6" t="s">
        <v>161</v>
      </c>
      <c r="E24" s="7">
        <v>463688</v>
      </c>
      <c r="F24" s="8">
        <v>3069.1508720000002</v>
      </c>
      <c r="G24" s="9">
        <v>2.0011755999999999E-2</v>
      </c>
      <c r="H24" s="164"/>
    </row>
    <row r="25" spans="1:8" x14ac:dyDescent="0.2">
      <c r="A25" s="5">
        <v>19</v>
      </c>
      <c r="B25" s="6" t="s">
        <v>516</v>
      </c>
      <c r="C25" s="6" t="s">
        <v>517</v>
      </c>
      <c r="D25" s="6" t="s">
        <v>22</v>
      </c>
      <c r="E25" s="7">
        <v>870071</v>
      </c>
      <c r="F25" s="8">
        <v>3045.6835354999998</v>
      </c>
      <c r="G25" s="9">
        <v>1.9858741999999999E-2</v>
      </c>
      <c r="H25" s="164"/>
    </row>
    <row r="26" spans="1:8" x14ac:dyDescent="0.2">
      <c r="A26" s="5">
        <v>20</v>
      </c>
      <c r="B26" s="6" t="s">
        <v>210</v>
      </c>
      <c r="C26" s="6" t="s">
        <v>211</v>
      </c>
      <c r="D26" s="6" t="s">
        <v>195</v>
      </c>
      <c r="E26" s="7">
        <v>261830</v>
      </c>
      <c r="F26" s="8">
        <v>2930.9250200000001</v>
      </c>
      <c r="G26" s="9">
        <v>1.9110483000000001E-2</v>
      </c>
      <c r="H26" s="164"/>
    </row>
    <row r="27" spans="1:8" ht="25.5" x14ac:dyDescent="0.2">
      <c r="A27" s="5">
        <v>21</v>
      </c>
      <c r="B27" s="6" t="s">
        <v>248</v>
      </c>
      <c r="C27" s="6" t="s">
        <v>249</v>
      </c>
      <c r="D27" s="6" t="s">
        <v>67</v>
      </c>
      <c r="E27" s="7">
        <v>591400</v>
      </c>
      <c r="F27" s="8">
        <v>2584.4180000000001</v>
      </c>
      <c r="G27" s="9">
        <v>1.6851156999999999E-2</v>
      </c>
      <c r="H27" s="164"/>
    </row>
    <row r="28" spans="1:8" x14ac:dyDescent="0.2">
      <c r="A28" s="5">
        <v>22</v>
      </c>
      <c r="B28" s="6" t="s">
        <v>55</v>
      </c>
      <c r="C28" s="6" t="s">
        <v>56</v>
      </c>
      <c r="D28" s="6" t="s">
        <v>37</v>
      </c>
      <c r="E28" s="7">
        <v>1129503</v>
      </c>
      <c r="F28" s="8">
        <v>2581.4791064999999</v>
      </c>
      <c r="G28" s="9">
        <v>1.6831993999999999E-2</v>
      </c>
      <c r="H28" s="164"/>
    </row>
    <row r="29" spans="1:8" x14ac:dyDescent="0.2">
      <c r="A29" s="5">
        <v>23</v>
      </c>
      <c r="B29" s="6" t="s">
        <v>212</v>
      </c>
      <c r="C29" s="6" t="s">
        <v>213</v>
      </c>
      <c r="D29" s="6" t="s">
        <v>929</v>
      </c>
      <c r="E29" s="7">
        <v>275421</v>
      </c>
      <c r="F29" s="8">
        <v>2394.3724634999999</v>
      </c>
      <c r="G29" s="9">
        <v>1.5612005E-2</v>
      </c>
      <c r="H29" s="164"/>
    </row>
    <row r="30" spans="1:8" ht="25.5" x14ac:dyDescent="0.2">
      <c r="A30" s="5">
        <v>24</v>
      </c>
      <c r="B30" s="6" t="s">
        <v>499</v>
      </c>
      <c r="C30" s="6" t="s">
        <v>500</v>
      </c>
      <c r="D30" s="6" t="s">
        <v>925</v>
      </c>
      <c r="E30" s="7">
        <v>159286</v>
      </c>
      <c r="F30" s="8">
        <v>2377.5028360000001</v>
      </c>
      <c r="G30" s="9">
        <v>1.550201E-2</v>
      </c>
      <c r="H30" s="164"/>
    </row>
    <row r="31" spans="1:8" ht="25.5" x14ac:dyDescent="0.2">
      <c r="A31" s="5">
        <v>25</v>
      </c>
      <c r="B31" s="6" t="s">
        <v>29</v>
      </c>
      <c r="C31" s="6" t="s">
        <v>30</v>
      </c>
      <c r="D31" s="6" t="s">
        <v>925</v>
      </c>
      <c r="E31" s="7">
        <v>72630</v>
      </c>
      <c r="F31" s="8">
        <v>2367.120645</v>
      </c>
      <c r="G31" s="9">
        <v>1.5434315000000001E-2</v>
      </c>
      <c r="H31" s="164"/>
    </row>
    <row r="32" spans="1:8" ht="25.5" x14ac:dyDescent="0.2">
      <c r="A32" s="5">
        <v>26</v>
      </c>
      <c r="B32" s="6" t="s">
        <v>518</v>
      </c>
      <c r="C32" s="6" t="s">
        <v>519</v>
      </c>
      <c r="D32" s="6" t="s">
        <v>67</v>
      </c>
      <c r="E32" s="7">
        <v>581987</v>
      </c>
      <c r="F32" s="8">
        <v>2218.8254375000001</v>
      </c>
      <c r="G32" s="9">
        <v>1.4467387E-2</v>
      </c>
      <c r="H32" s="164"/>
    </row>
    <row r="33" spans="1:8" x14ac:dyDescent="0.2">
      <c r="A33" s="5">
        <v>27</v>
      </c>
      <c r="B33" s="6" t="s">
        <v>60</v>
      </c>
      <c r="C33" s="6" t="s">
        <v>61</v>
      </c>
      <c r="D33" s="6" t="s">
        <v>62</v>
      </c>
      <c r="E33" s="7">
        <v>73290</v>
      </c>
      <c r="F33" s="8">
        <v>2192.6169300000001</v>
      </c>
      <c r="G33" s="9">
        <v>1.42965E-2</v>
      </c>
      <c r="H33" s="164"/>
    </row>
    <row r="34" spans="1:8" x14ac:dyDescent="0.2">
      <c r="A34" s="5">
        <v>28</v>
      </c>
      <c r="B34" s="6" t="s">
        <v>35</v>
      </c>
      <c r="C34" s="6" t="s">
        <v>36</v>
      </c>
      <c r="D34" s="6" t="s">
        <v>37</v>
      </c>
      <c r="E34" s="7">
        <v>664926</v>
      </c>
      <c r="F34" s="8">
        <v>2169.3210749999998</v>
      </c>
      <c r="G34" s="9">
        <v>1.4144604E-2</v>
      </c>
      <c r="H34" s="164"/>
    </row>
    <row r="35" spans="1:8" x14ac:dyDescent="0.2">
      <c r="A35" s="5">
        <v>29</v>
      </c>
      <c r="B35" s="6" t="s">
        <v>282</v>
      </c>
      <c r="C35" s="6" t="s">
        <v>283</v>
      </c>
      <c r="D35" s="6" t="s">
        <v>200</v>
      </c>
      <c r="E35" s="7">
        <v>40215</v>
      </c>
      <c r="F35" s="8">
        <v>2154.4784100000002</v>
      </c>
      <c r="G35" s="9">
        <v>1.4047825999999999E-2</v>
      </c>
      <c r="H35" s="164"/>
    </row>
    <row r="36" spans="1:8" ht="25.5" x14ac:dyDescent="0.2">
      <c r="A36" s="5">
        <v>30</v>
      </c>
      <c r="B36" s="6" t="s">
        <v>226</v>
      </c>
      <c r="C36" s="6" t="s">
        <v>227</v>
      </c>
      <c r="D36" s="6" t="s">
        <v>62</v>
      </c>
      <c r="E36" s="7">
        <v>93402</v>
      </c>
      <c r="F36" s="8">
        <v>2141.0540460000002</v>
      </c>
      <c r="G36" s="9">
        <v>1.3960294999999999E-2</v>
      </c>
      <c r="H36" s="164"/>
    </row>
    <row r="37" spans="1:8" x14ac:dyDescent="0.2">
      <c r="A37" s="5">
        <v>31</v>
      </c>
      <c r="B37" s="6" t="s">
        <v>520</v>
      </c>
      <c r="C37" s="6" t="s">
        <v>521</v>
      </c>
      <c r="D37" s="6" t="s">
        <v>179</v>
      </c>
      <c r="E37" s="7">
        <v>526633</v>
      </c>
      <c r="F37" s="8">
        <v>2115.2214445</v>
      </c>
      <c r="G37" s="9">
        <v>1.3791859E-2</v>
      </c>
      <c r="H37" s="164"/>
    </row>
    <row r="38" spans="1:8" x14ac:dyDescent="0.2">
      <c r="A38" s="5">
        <v>32</v>
      </c>
      <c r="B38" s="6" t="s">
        <v>522</v>
      </c>
      <c r="C38" s="6" t="s">
        <v>523</v>
      </c>
      <c r="D38" s="6" t="s">
        <v>62</v>
      </c>
      <c r="E38" s="7">
        <v>264791</v>
      </c>
      <c r="F38" s="8">
        <v>2054.5133689999998</v>
      </c>
      <c r="G38" s="9">
        <v>1.3396025000000001E-2</v>
      </c>
      <c r="H38" s="164"/>
    </row>
    <row r="39" spans="1:8" x14ac:dyDescent="0.2">
      <c r="A39" s="5">
        <v>33</v>
      </c>
      <c r="B39" s="6" t="s">
        <v>524</v>
      </c>
      <c r="C39" s="6" t="s">
        <v>525</v>
      </c>
      <c r="D39" s="6" t="s">
        <v>45</v>
      </c>
      <c r="E39" s="7">
        <v>476019</v>
      </c>
      <c r="F39" s="8">
        <v>2031.8871015</v>
      </c>
      <c r="G39" s="9">
        <v>1.3248495000000001E-2</v>
      </c>
      <c r="H39" s="164"/>
    </row>
    <row r="40" spans="1:8" x14ac:dyDescent="0.2">
      <c r="A40" s="5">
        <v>34</v>
      </c>
      <c r="B40" s="6" t="s">
        <v>214</v>
      </c>
      <c r="C40" s="6" t="s">
        <v>215</v>
      </c>
      <c r="D40" s="6" t="s">
        <v>179</v>
      </c>
      <c r="E40" s="7">
        <v>47185</v>
      </c>
      <c r="F40" s="8">
        <v>1974.8102125</v>
      </c>
      <c r="G40" s="9">
        <v>1.2876337E-2</v>
      </c>
      <c r="H40" s="164"/>
    </row>
    <row r="41" spans="1:8" x14ac:dyDescent="0.2">
      <c r="A41" s="5">
        <v>35</v>
      </c>
      <c r="B41" s="6" t="s">
        <v>271</v>
      </c>
      <c r="C41" s="6" t="s">
        <v>272</v>
      </c>
      <c r="D41" s="6" t="s">
        <v>346</v>
      </c>
      <c r="E41" s="7">
        <v>204091</v>
      </c>
      <c r="F41" s="8">
        <v>1967.7433765000001</v>
      </c>
      <c r="G41" s="9">
        <v>1.2830259E-2</v>
      </c>
      <c r="H41" s="164"/>
    </row>
    <row r="42" spans="1:8" x14ac:dyDescent="0.2">
      <c r="A42" s="5">
        <v>36</v>
      </c>
      <c r="B42" s="6" t="s">
        <v>220</v>
      </c>
      <c r="C42" s="6" t="s">
        <v>221</v>
      </c>
      <c r="D42" s="6" t="s">
        <v>28</v>
      </c>
      <c r="E42" s="7">
        <v>123319</v>
      </c>
      <c r="F42" s="8">
        <v>1931.5454970000001</v>
      </c>
      <c r="G42" s="9">
        <v>1.2594238000000001E-2</v>
      </c>
      <c r="H42" s="164"/>
    </row>
    <row r="43" spans="1:8" x14ac:dyDescent="0.2">
      <c r="A43" s="5">
        <v>37</v>
      </c>
      <c r="B43" s="6" t="s">
        <v>269</v>
      </c>
      <c r="C43" s="6" t="s">
        <v>270</v>
      </c>
      <c r="D43" s="6" t="s">
        <v>200</v>
      </c>
      <c r="E43" s="7">
        <v>372636</v>
      </c>
      <c r="F43" s="8">
        <v>1886.656068</v>
      </c>
      <c r="G43" s="9">
        <v>1.2301546E-2</v>
      </c>
      <c r="H43" s="164"/>
    </row>
    <row r="44" spans="1:8" x14ac:dyDescent="0.2">
      <c r="A44" s="5">
        <v>38</v>
      </c>
      <c r="B44" s="6" t="s">
        <v>526</v>
      </c>
      <c r="C44" s="6" t="s">
        <v>527</v>
      </c>
      <c r="D44" s="6" t="s">
        <v>250</v>
      </c>
      <c r="E44" s="7">
        <v>605404</v>
      </c>
      <c r="F44" s="8">
        <v>1846.179498</v>
      </c>
      <c r="G44" s="9">
        <v>1.2037627E-2</v>
      </c>
      <c r="H44" s="164"/>
    </row>
    <row r="45" spans="1:8" ht="25.5" x14ac:dyDescent="0.2">
      <c r="A45" s="5">
        <v>39</v>
      </c>
      <c r="B45" s="6" t="s">
        <v>201</v>
      </c>
      <c r="C45" s="6" t="s">
        <v>202</v>
      </c>
      <c r="D45" s="6" t="s">
        <v>67</v>
      </c>
      <c r="E45" s="7">
        <v>368640</v>
      </c>
      <c r="F45" s="8">
        <v>1806.88896</v>
      </c>
      <c r="G45" s="9">
        <v>1.1781441E-2</v>
      </c>
      <c r="H45" s="164"/>
    </row>
    <row r="46" spans="1:8" x14ac:dyDescent="0.2">
      <c r="A46" s="5">
        <v>40</v>
      </c>
      <c r="B46" s="6" t="s">
        <v>528</v>
      </c>
      <c r="C46" s="6" t="s">
        <v>529</v>
      </c>
      <c r="D46" s="6" t="s">
        <v>158</v>
      </c>
      <c r="E46" s="7">
        <v>197214</v>
      </c>
      <c r="F46" s="8">
        <v>1806.381633</v>
      </c>
      <c r="G46" s="9">
        <v>1.1778134000000001E-2</v>
      </c>
      <c r="H46" s="164"/>
    </row>
    <row r="47" spans="1:8" x14ac:dyDescent="0.2">
      <c r="A47" s="5">
        <v>41</v>
      </c>
      <c r="B47" s="6" t="s">
        <v>530</v>
      </c>
      <c r="C47" s="6" t="s">
        <v>531</v>
      </c>
      <c r="D47" s="6" t="s">
        <v>62</v>
      </c>
      <c r="E47" s="7">
        <v>167736</v>
      </c>
      <c r="F47" s="8">
        <v>1667.7151799999999</v>
      </c>
      <c r="G47" s="9">
        <v>1.0873987999999999E-2</v>
      </c>
      <c r="H47" s="164"/>
    </row>
    <row r="48" spans="1:8" x14ac:dyDescent="0.2">
      <c r="A48" s="5">
        <v>42</v>
      </c>
      <c r="B48" s="6" t="s">
        <v>532</v>
      </c>
      <c r="C48" s="6" t="s">
        <v>533</v>
      </c>
      <c r="D48" s="6" t="s">
        <v>28</v>
      </c>
      <c r="E48" s="7">
        <v>454570</v>
      </c>
      <c r="F48" s="8">
        <v>1596.2225550000001</v>
      </c>
      <c r="G48" s="9">
        <v>1.0407835000000001E-2</v>
      </c>
      <c r="H48" s="164"/>
    </row>
    <row r="49" spans="1:8" x14ac:dyDescent="0.2">
      <c r="A49" s="5">
        <v>43</v>
      </c>
      <c r="B49" s="6" t="s">
        <v>77</v>
      </c>
      <c r="C49" s="6" t="s">
        <v>78</v>
      </c>
      <c r="D49" s="6" t="s">
        <v>62</v>
      </c>
      <c r="E49" s="7">
        <v>574720</v>
      </c>
      <c r="F49" s="8">
        <v>1451.74272</v>
      </c>
      <c r="G49" s="9">
        <v>9.4657850000000009E-3</v>
      </c>
      <c r="H49" s="164"/>
    </row>
    <row r="50" spans="1:8" x14ac:dyDescent="0.2">
      <c r="A50" s="5">
        <v>44</v>
      </c>
      <c r="B50" s="6" t="s">
        <v>198</v>
      </c>
      <c r="C50" s="6" t="s">
        <v>199</v>
      </c>
      <c r="D50" s="6" t="s">
        <v>200</v>
      </c>
      <c r="E50" s="7">
        <v>320091</v>
      </c>
      <c r="F50" s="8">
        <v>1439.4492270000001</v>
      </c>
      <c r="G50" s="9">
        <v>9.385628E-3</v>
      </c>
      <c r="H50" s="164"/>
    </row>
    <row r="51" spans="1:8" x14ac:dyDescent="0.2">
      <c r="A51" s="5">
        <v>45</v>
      </c>
      <c r="B51" s="6" t="s">
        <v>534</v>
      </c>
      <c r="C51" s="6" t="s">
        <v>535</v>
      </c>
      <c r="D51" s="6" t="s">
        <v>59</v>
      </c>
      <c r="E51" s="7">
        <v>81672</v>
      </c>
      <c r="F51" s="8">
        <v>1426.0747919999999</v>
      </c>
      <c r="G51" s="9">
        <v>9.2984220000000006E-3</v>
      </c>
      <c r="H51" s="164"/>
    </row>
    <row r="52" spans="1:8" x14ac:dyDescent="0.2">
      <c r="A52" s="5">
        <v>46</v>
      </c>
      <c r="B52" s="6" t="s">
        <v>275</v>
      </c>
      <c r="C52" s="6" t="s">
        <v>276</v>
      </c>
      <c r="D52" s="6" t="s">
        <v>277</v>
      </c>
      <c r="E52" s="7">
        <v>520000</v>
      </c>
      <c r="F52" s="8">
        <v>1348.1</v>
      </c>
      <c r="G52" s="9">
        <v>8.7900040000000006E-3</v>
      </c>
      <c r="H52" s="164"/>
    </row>
    <row r="53" spans="1:8" x14ac:dyDescent="0.2">
      <c r="A53" s="5">
        <v>47</v>
      </c>
      <c r="B53" s="6" t="s">
        <v>536</v>
      </c>
      <c r="C53" s="6" t="s">
        <v>537</v>
      </c>
      <c r="D53" s="6" t="s">
        <v>930</v>
      </c>
      <c r="E53" s="7">
        <v>3249123</v>
      </c>
      <c r="F53" s="8">
        <v>1338.638676</v>
      </c>
      <c r="G53" s="9">
        <v>8.7283129999999997E-3</v>
      </c>
      <c r="H53" s="164"/>
    </row>
    <row r="54" spans="1:8" x14ac:dyDescent="0.2">
      <c r="A54" s="5">
        <v>48</v>
      </c>
      <c r="B54" s="6" t="s">
        <v>538</v>
      </c>
      <c r="C54" s="6" t="s">
        <v>539</v>
      </c>
      <c r="D54" s="6" t="s">
        <v>182</v>
      </c>
      <c r="E54" s="7">
        <v>94501</v>
      </c>
      <c r="F54" s="8">
        <v>1327.266545</v>
      </c>
      <c r="G54" s="9">
        <v>8.6541640000000006E-3</v>
      </c>
      <c r="H54" s="164"/>
    </row>
    <row r="55" spans="1:8" x14ac:dyDescent="0.2">
      <c r="A55" s="5">
        <v>49</v>
      </c>
      <c r="B55" s="6" t="s">
        <v>540</v>
      </c>
      <c r="C55" s="6" t="s">
        <v>541</v>
      </c>
      <c r="D55" s="6" t="s">
        <v>158</v>
      </c>
      <c r="E55" s="7">
        <v>179038</v>
      </c>
      <c r="F55" s="8">
        <v>1300.5320320000001</v>
      </c>
      <c r="G55" s="9">
        <v>8.4798470000000004E-3</v>
      </c>
      <c r="H55" s="164"/>
    </row>
    <row r="56" spans="1:8" ht="25.5" x14ac:dyDescent="0.2">
      <c r="A56" s="5">
        <v>50</v>
      </c>
      <c r="B56" s="6" t="s">
        <v>322</v>
      </c>
      <c r="C56" s="6" t="s">
        <v>323</v>
      </c>
      <c r="D56" s="6" t="s">
        <v>62</v>
      </c>
      <c r="E56" s="7">
        <v>263199</v>
      </c>
      <c r="F56" s="8">
        <v>1282.0423290000001</v>
      </c>
      <c r="G56" s="9">
        <v>8.3592890000000006E-3</v>
      </c>
      <c r="H56" s="164"/>
    </row>
    <row r="57" spans="1:8" x14ac:dyDescent="0.2">
      <c r="A57" s="5">
        <v>51</v>
      </c>
      <c r="B57" s="6" t="s">
        <v>254</v>
      </c>
      <c r="C57" s="6" t="s">
        <v>255</v>
      </c>
      <c r="D57" s="6" t="s">
        <v>62</v>
      </c>
      <c r="E57" s="7">
        <v>169950</v>
      </c>
      <c r="F57" s="8">
        <v>1260.4341750000001</v>
      </c>
      <c r="G57" s="9">
        <v>8.2183970000000005E-3</v>
      </c>
      <c r="H57" s="164"/>
    </row>
    <row r="58" spans="1:8" x14ac:dyDescent="0.2">
      <c r="A58" s="5">
        <v>52</v>
      </c>
      <c r="B58" s="6" t="s">
        <v>290</v>
      </c>
      <c r="C58" s="6" t="s">
        <v>291</v>
      </c>
      <c r="D58" s="6" t="s">
        <v>179</v>
      </c>
      <c r="E58" s="7">
        <v>220807</v>
      </c>
      <c r="F58" s="8">
        <v>1174.3620295000001</v>
      </c>
      <c r="G58" s="9">
        <v>7.6571820000000002E-3</v>
      </c>
      <c r="H58" s="164"/>
    </row>
    <row r="59" spans="1:8" x14ac:dyDescent="0.2">
      <c r="A59" s="5">
        <v>53</v>
      </c>
      <c r="B59" s="6" t="s">
        <v>467</v>
      </c>
      <c r="C59" s="6" t="s">
        <v>468</v>
      </c>
      <c r="D59" s="6" t="s">
        <v>161</v>
      </c>
      <c r="E59" s="7">
        <v>319236</v>
      </c>
      <c r="F59" s="8">
        <v>1081.0927139999999</v>
      </c>
      <c r="G59" s="9">
        <v>7.049039E-3</v>
      </c>
      <c r="H59" s="164"/>
    </row>
    <row r="60" spans="1:8" x14ac:dyDescent="0.2">
      <c r="A60" s="5">
        <v>54</v>
      </c>
      <c r="B60" s="6" t="s">
        <v>542</v>
      </c>
      <c r="C60" s="6" t="s">
        <v>543</v>
      </c>
      <c r="D60" s="6" t="s">
        <v>927</v>
      </c>
      <c r="E60" s="7">
        <v>31067</v>
      </c>
      <c r="F60" s="8">
        <v>1037.8708025000001</v>
      </c>
      <c r="G60" s="9">
        <v>6.7672189999999997E-3</v>
      </c>
      <c r="H60" s="164"/>
    </row>
    <row r="61" spans="1:8" x14ac:dyDescent="0.2">
      <c r="A61" s="5">
        <v>55</v>
      </c>
      <c r="B61" s="6" t="s">
        <v>544</v>
      </c>
      <c r="C61" s="6" t="s">
        <v>545</v>
      </c>
      <c r="D61" s="6" t="s">
        <v>62</v>
      </c>
      <c r="E61" s="7">
        <v>133117</v>
      </c>
      <c r="F61" s="8">
        <v>942.73459400000002</v>
      </c>
      <c r="G61" s="9">
        <v>6.1469039999999999E-3</v>
      </c>
      <c r="H61" s="164"/>
    </row>
    <row r="62" spans="1:8" x14ac:dyDescent="0.2">
      <c r="A62" s="5">
        <v>56</v>
      </c>
      <c r="B62" s="6" t="s">
        <v>173</v>
      </c>
      <c r="C62" s="6" t="s">
        <v>174</v>
      </c>
      <c r="D62" s="6" t="s">
        <v>179</v>
      </c>
      <c r="E62" s="7">
        <v>68111</v>
      </c>
      <c r="F62" s="8">
        <v>927.39937599999996</v>
      </c>
      <c r="G62" s="9">
        <v>6.0469139999999996E-3</v>
      </c>
      <c r="H62" s="164"/>
    </row>
    <row r="63" spans="1:8" ht="25.5" x14ac:dyDescent="0.2">
      <c r="A63" s="5">
        <v>57</v>
      </c>
      <c r="B63" s="6" t="s">
        <v>240</v>
      </c>
      <c r="C63" s="6" t="s">
        <v>241</v>
      </c>
      <c r="D63" s="6" t="s">
        <v>925</v>
      </c>
      <c r="E63" s="7">
        <v>390220</v>
      </c>
      <c r="F63" s="8">
        <v>749.80772999999999</v>
      </c>
      <c r="G63" s="9">
        <v>4.888964E-3</v>
      </c>
      <c r="H63" s="164"/>
    </row>
    <row r="64" spans="1:8" x14ac:dyDescent="0.2">
      <c r="A64" s="5">
        <v>58</v>
      </c>
      <c r="B64" s="6" t="s">
        <v>546</v>
      </c>
      <c r="C64" s="6" t="s">
        <v>547</v>
      </c>
      <c r="D64" s="6" t="s">
        <v>22</v>
      </c>
      <c r="E64" s="7">
        <v>533649</v>
      </c>
      <c r="F64" s="8">
        <v>741.77211</v>
      </c>
      <c r="G64" s="9">
        <v>4.8365700000000001E-3</v>
      </c>
      <c r="H64" s="164"/>
    </row>
    <row r="65" spans="1:8" x14ac:dyDescent="0.2">
      <c r="A65" s="5">
        <v>59</v>
      </c>
      <c r="B65" s="6" t="s">
        <v>166</v>
      </c>
      <c r="C65" s="6" t="s">
        <v>167</v>
      </c>
      <c r="D65" s="6" t="s">
        <v>927</v>
      </c>
      <c r="E65" s="7">
        <v>61000</v>
      </c>
      <c r="F65" s="8">
        <v>724.22249999999997</v>
      </c>
      <c r="G65" s="9">
        <v>4.722141E-3</v>
      </c>
      <c r="H65" s="164"/>
    </row>
    <row r="66" spans="1:8" x14ac:dyDescent="0.2">
      <c r="A66" s="5">
        <v>60</v>
      </c>
      <c r="B66" s="6" t="s">
        <v>548</v>
      </c>
      <c r="C66" s="6" t="s">
        <v>549</v>
      </c>
      <c r="D66" s="6" t="s">
        <v>28</v>
      </c>
      <c r="E66" s="7">
        <v>237766</v>
      </c>
      <c r="F66" s="8">
        <v>590.49186099999997</v>
      </c>
      <c r="G66" s="9">
        <v>3.850179E-3</v>
      </c>
      <c r="H66" s="164"/>
    </row>
    <row r="67" spans="1:8" x14ac:dyDescent="0.2">
      <c r="A67" s="5">
        <v>61</v>
      </c>
      <c r="B67" s="6" t="s">
        <v>550</v>
      </c>
      <c r="C67" s="6" t="s">
        <v>551</v>
      </c>
      <c r="D67" s="6" t="s">
        <v>927</v>
      </c>
      <c r="E67" s="7">
        <v>50000</v>
      </c>
      <c r="F67" s="8">
        <v>520.875</v>
      </c>
      <c r="G67" s="9">
        <v>3.3962559999999998E-3</v>
      </c>
      <c r="H67" s="164"/>
    </row>
    <row r="68" spans="1:8" x14ac:dyDescent="0.2">
      <c r="A68" s="5">
        <v>62</v>
      </c>
      <c r="B68" s="6" t="s">
        <v>552</v>
      </c>
      <c r="C68" s="6" t="s">
        <v>553</v>
      </c>
      <c r="D68" s="6" t="s">
        <v>928</v>
      </c>
      <c r="E68" s="7">
        <v>27261</v>
      </c>
      <c r="F68" s="8">
        <v>505.78696350000001</v>
      </c>
      <c r="G68" s="9">
        <v>3.2978780000000002E-3</v>
      </c>
      <c r="H68" s="164"/>
    </row>
    <row r="69" spans="1:8" x14ac:dyDescent="0.2">
      <c r="A69" s="5">
        <v>63</v>
      </c>
      <c r="B69" s="6" t="s">
        <v>162</v>
      </c>
      <c r="C69" s="6" t="s">
        <v>163</v>
      </c>
      <c r="D69" s="6" t="s">
        <v>158</v>
      </c>
      <c r="E69" s="7">
        <v>24254</v>
      </c>
      <c r="F69" s="8">
        <v>299.88858299999998</v>
      </c>
      <c r="G69" s="9">
        <v>1.9553610000000001E-3</v>
      </c>
      <c r="H69" s="164"/>
    </row>
    <row r="70" spans="1:8" x14ac:dyDescent="0.2">
      <c r="A70" s="5">
        <v>64</v>
      </c>
      <c r="B70" s="6" t="s">
        <v>288</v>
      </c>
      <c r="C70" s="6" t="s">
        <v>289</v>
      </c>
      <c r="D70" s="6" t="s">
        <v>158</v>
      </c>
      <c r="E70" s="7">
        <v>8583</v>
      </c>
      <c r="F70" s="8">
        <v>118.70289</v>
      </c>
      <c r="G70" s="9">
        <v>7.7397700000000002E-4</v>
      </c>
      <c r="H70" s="164"/>
    </row>
    <row r="71" spans="1:8" x14ac:dyDescent="0.2">
      <c r="A71" s="3" t="s">
        <v>9</v>
      </c>
      <c r="B71" s="3" t="s">
        <v>9</v>
      </c>
      <c r="C71" s="4" t="s">
        <v>110</v>
      </c>
      <c r="D71" s="3" t="s">
        <v>9</v>
      </c>
      <c r="E71" s="3" t="s">
        <v>9</v>
      </c>
      <c r="F71" s="11">
        <v>145559.92660551899</v>
      </c>
      <c r="G71" s="12">
        <v>0.94909304900000002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111</v>
      </c>
      <c r="D73" s="3" t="s">
        <v>9</v>
      </c>
      <c r="E73" s="3" t="s">
        <v>9</v>
      </c>
      <c r="F73" s="3" t="s">
        <v>9</v>
      </c>
      <c r="G73" s="3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110</v>
      </c>
      <c r="D74" s="3" t="s">
        <v>9</v>
      </c>
      <c r="E74" s="3" t="s">
        <v>9</v>
      </c>
      <c r="F74" s="15">
        <v>0</v>
      </c>
      <c r="G74" s="16">
        <v>0</v>
      </c>
      <c r="H74" s="164"/>
    </row>
    <row r="75" spans="1:8" x14ac:dyDescent="0.2">
      <c r="A75" s="3" t="s">
        <v>9</v>
      </c>
      <c r="B75" s="3" t="s">
        <v>9</v>
      </c>
      <c r="C75" s="13" t="s">
        <v>9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112</v>
      </c>
      <c r="D76" s="3" t="s">
        <v>9</v>
      </c>
      <c r="E76" s="3" t="s">
        <v>9</v>
      </c>
      <c r="F76" s="3" t="s">
        <v>9</v>
      </c>
      <c r="G76" s="3" t="s">
        <v>9</v>
      </c>
      <c r="H76" s="164"/>
    </row>
    <row r="77" spans="1:8" x14ac:dyDescent="0.2">
      <c r="A77" s="5">
        <v>1</v>
      </c>
      <c r="B77" s="6" t="s">
        <v>107</v>
      </c>
      <c r="C77" s="6" t="s">
        <v>972</v>
      </c>
      <c r="D77" s="6" t="s">
        <v>108</v>
      </c>
      <c r="E77" s="7">
        <v>375961</v>
      </c>
      <c r="F77" s="8">
        <v>7.5190000000000003E-6</v>
      </c>
      <c r="G77" s="10" t="s">
        <v>109</v>
      </c>
      <c r="H77" s="164"/>
    </row>
    <row r="78" spans="1:8" x14ac:dyDescent="0.2">
      <c r="A78" s="3" t="s">
        <v>9</v>
      </c>
      <c r="B78" s="3" t="s">
        <v>9</v>
      </c>
      <c r="C78" s="4" t="s">
        <v>110</v>
      </c>
      <c r="D78" s="3" t="s">
        <v>9</v>
      </c>
      <c r="E78" s="3" t="s">
        <v>9</v>
      </c>
      <c r="F78" s="15">
        <v>0</v>
      </c>
      <c r="G78" s="16">
        <v>0</v>
      </c>
      <c r="H78" s="164"/>
    </row>
    <row r="79" spans="1:8" x14ac:dyDescent="0.2">
      <c r="A79" s="3" t="s">
        <v>9</v>
      </c>
      <c r="B79" s="3" t="s">
        <v>9</v>
      </c>
      <c r="C79" s="13" t="s">
        <v>9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113</v>
      </c>
      <c r="D80" s="3" t="s">
        <v>9</v>
      </c>
      <c r="E80" s="3" t="s">
        <v>9</v>
      </c>
      <c r="F80" s="3" t="s">
        <v>9</v>
      </c>
      <c r="G80" s="3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110</v>
      </c>
      <c r="D81" s="3" t="s">
        <v>9</v>
      </c>
      <c r="E81" s="3" t="s">
        <v>9</v>
      </c>
      <c r="F81" s="15">
        <v>0</v>
      </c>
      <c r="G81" s="16">
        <v>0</v>
      </c>
      <c r="H81" s="164"/>
    </row>
    <row r="82" spans="1:8" x14ac:dyDescent="0.2">
      <c r="A82" s="3" t="s">
        <v>9</v>
      </c>
      <c r="B82" s="3" t="s">
        <v>9</v>
      </c>
      <c r="C82" s="13" t="s">
        <v>9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114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110</v>
      </c>
      <c r="D84" s="3" t="s">
        <v>9</v>
      </c>
      <c r="E84" s="3" t="s">
        <v>9</v>
      </c>
      <c r="F84" s="15">
        <v>0</v>
      </c>
      <c r="G84" s="16">
        <v>0</v>
      </c>
      <c r="H84" s="164"/>
    </row>
    <row r="85" spans="1:8" x14ac:dyDescent="0.2">
      <c r="A85" s="3" t="s">
        <v>9</v>
      </c>
      <c r="B85" s="3" t="s">
        <v>9</v>
      </c>
      <c r="C85" s="13" t="s">
        <v>9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115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110</v>
      </c>
      <c r="D87" s="3" t="s">
        <v>9</v>
      </c>
      <c r="E87" s="3" t="s">
        <v>9</v>
      </c>
      <c r="F87" s="15">
        <v>0</v>
      </c>
      <c r="G87" s="16">
        <v>0</v>
      </c>
      <c r="H87" s="164"/>
    </row>
    <row r="88" spans="1:8" x14ac:dyDescent="0.2">
      <c r="A88" s="3" t="s">
        <v>9</v>
      </c>
      <c r="B88" s="3" t="s">
        <v>9</v>
      </c>
      <c r="C88" s="13" t="s">
        <v>9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116</v>
      </c>
      <c r="D89" s="3" t="s">
        <v>9</v>
      </c>
      <c r="E89" s="3" t="s">
        <v>9</v>
      </c>
      <c r="F89" s="11">
        <v>145559.92660551899</v>
      </c>
      <c r="G89" s="12">
        <v>0.94909304900000002</v>
      </c>
      <c r="H89" s="164"/>
    </row>
    <row r="90" spans="1:8" x14ac:dyDescent="0.2">
      <c r="A90" s="3" t="s">
        <v>9</v>
      </c>
      <c r="B90" s="3" t="s">
        <v>9</v>
      </c>
      <c r="C90" s="13" t="s">
        <v>9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117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ht="25.5" x14ac:dyDescent="0.2">
      <c r="A92" s="3" t="s">
        <v>9</v>
      </c>
      <c r="B92" s="3" t="s">
        <v>9</v>
      </c>
      <c r="C92" s="4" t="s">
        <v>11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110</v>
      </c>
      <c r="D93" s="3" t="s">
        <v>9</v>
      </c>
      <c r="E93" s="3" t="s">
        <v>9</v>
      </c>
      <c r="F93" s="15">
        <v>0</v>
      </c>
      <c r="G93" s="16">
        <v>0</v>
      </c>
      <c r="H93" s="164"/>
    </row>
    <row r="94" spans="1:8" x14ac:dyDescent="0.2">
      <c r="A94" s="3" t="s">
        <v>9</v>
      </c>
      <c r="B94" s="3" t="s">
        <v>9</v>
      </c>
      <c r="C94" s="13" t="s">
        <v>9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118</v>
      </c>
      <c r="D95" s="3" t="s">
        <v>9</v>
      </c>
      <c r="E95" s="3" t="s">
        <v>9</v>
      </c>
      <c r="F95" s="3" t="s">
        <v>9</v>
      </c>
      <c r="G95" s="3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110</v>
      </c>
      <c r="D96" s="3" t="s">
        <v>9</v>
      </c>
      <c r="E96" s="3" t="s">
        <v>9</v>
      </c>
      <c r="F96" s="15">
        <v>0</v>
      </c>
      <c r="G96" s="16">
        <v>0</v>
      </c>
      <c r="H96" s="164"/>
    </row>
    <row r="97" spans="1:8" x14ac:dyDescent="0.2">
      <c r="A97" s="3" t="s">
        <v>9</v>
      </c>
      <c r="B97" s="3" t="s">
        <v>9</v>
      </c>
      <c r="C97" s="13" t="s">
        <v>9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119</v>
      </c>
      <c r="D98" s="3" t="s">
        <v>9</v>
      </c>
      <c r="E98" s="3" t="s">
        <v>9</v>
      </c>
      <c r="F98" s="3" t="s">
        <v>9</v>
      </c>
      <c r="G98" s="3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110</v>
      </c>
      <c r="D99" s="3" t="s">
        <v>9</v>
      </c>
      <c r="E99" s="3" t="s">
        <v>9</v>
      </c>
      <c r="F99" s="15">
        <v>0</v>
      </c>
      <c r="G99" s="16">
        <v>0</v>
      </c>
      <c r="H99" s="164"/>
    </row>
    <row r="100" spans="1:8" x14ac:dyDescent="0.2">
      <c r="A100" s="3" t="s">
        <v>9</v>
      </c>
      <c r="B100" s="3" t="s">
        <v>9</v>
      </c>
      <c r="C100" s="13" t="s">
        <v>9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120</v>
      </c>
      <c r="D101" s="3" t="s">
        <v>9</v>
      </c>
      <c r="E101" s="3" t="s">
        <v>9</v>
      </c>
      <c r="F101" s="14" t="s">
        <v>9</v>
      </c>
      <c r="G101" s="14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110</v>
      </c>
      <c r="D102" s="3" t="s">
        <v>9</v>
      </c>
      <c r="E102" s="3" t="s">
        <v>9</v>
      </c>
      <c r="F102" s="15">
        <v>0</v>
      </c>
      <c r="G102" s="16">
        <v>0</v>
      </c>
      <c r="H102" s="164"/>
    </row>
    <row r="103" spans="1:8" x14ac:dyDescent="0.2">
      <c r="A103" s="3" t="s">
        <v>9</v>
      </c>
      <c r="B103" s="3" t="s">
        <v>9</v>
      </c>
      <c r="C103" s="13" t="s">
        <v>9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121</v>
      </c>
      <c r="D104" s="3" t="s">
        <v>9</v>
      </c>
      <c r="E104" s="3" t="s">
        <v>9</v>
      </c>
      <c r="F104" s="11">
        <v>0</v>
      </c>
      <c r="G104" s="12">
        <v>0</v>
      </c>
      <c r="H104" s="164"/>
    </row>
    <row r="105" spans="1:8" x14ac:dyDescent="0.2">
      <c r="A105" s="3" t="s">
        <v>9</v>
      </c>
      <c r="B105" s="3" t="s">
        <v>9</v>
      </c>
      <c r="C105" s="13" t="s">
        <v>9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122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123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110</v>
      </c>
      <c r="D108" s="3" t="s">
        <v>9</v>
      </c>
      <c r="E108" s="3" t="s">
        <v>9</v>
      </c>
      <c r="F108" s="15">
        <v>0</v>
      </c>
      <c r="G108" s="16">
        <v>0</v>
      </c>
      <c r="H108" s="164"/>
    </row>
    <row r="109" spans="1:8" x14ac:dyDescent="0.2">
      <c r="A109" s="3" t="s">
        <v>9</v>
      </c>
      <c r="B109" s="3" t="s">
        <v>9</v>
      </c>
      <c r="C109" s="13" t="s">
        <v>9</v>
      </c>
      <c r="D109" s="3" t="s">
        <v>9</v>
      </c>
      <c r="E109" s="3" t="s">
        <v>9</v>
      </c>
      <c r="F109" s="14" t="s">
        <v>9</v>
      </c>
      <c r="G109" s="14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124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110</v>
      </c>
      <c r="D111" s="3" t="s">
        <v>9</v>
      </c>
      <c r="E111" s="3" t="s">
        <v>9</v>
      </c>
      <c r="F111" s="15">
        <v>0</v>
      </c>
      <c r="G111" s="16">
        <v>0</v>
      </c>
      <c r="H111" s="164"/>
    </row>
    <row r="112" spans="1:8" x14ac:dyDescent="0.2">
      <c r="A112" s="3" t="s">
        <v>9</v>
      </c>
      <c r="B112" s="3" t="s">
        <v>9</v>
      </c>
      <c r="C112" s="13" t="s">
        <v>9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125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3" t="s">
        <v>9</v>
      </c>
      <c r="B114" s="3" t="s">
        <v>9</v>
      </c>
      <c r="C114" s="4" t="s">
        <v>110</v>
      </c>
      <c r="D114" s="3" t="s">
        <v>9</v>
      </c>
      <c r="E114" s="3" t="s">
        <v>9</v>
      </c>
      <c r="F114" s="15">
        <v>0</v>
      </c>
      <c r="G114" s="16">
        <v>0</v>
      </c>
      <c r="H114" s="164"/>
    </row>
    <row r="115" spans="1:8" x14ac:dyDescent="0.2">
      <c r="A115" s="3" t="s">
        <v>9</v>
      </c>
      <c r="B115" s="3" t="s">
        <v>9</v>
      </c>
      <c r="C115" s="13" t="s">
        <v>9</v>
      </c>
      <c r="D115" s="3" t="s">
        <v>9</v>
      </c>
      <c r="E115" s="3" t="s">
        <v>9</v>
      </c>
      <c r="F115" s="14" t="s">
        <v>9</v>
      </c>
      <c r="G115" s="14" t="s">
        <v>9</v>
      </c>
      <c r="H115" s="164"/>
    </row>
    <row r="116" spans="1:8" x14ac:dyDescent="0.2">
      <c r="A116" s="3" t="s">
        <v>9</v>
      </c>
      <c r="B116" s="3" t="s">
        <v>9</v>
      </c>
      <c r="C116" s="4" t="s">
        <v>126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5">
        <v>1</v>
      </c>
      <c r="B117" s="6"/>
      <c r="C117" s="6" t="s">
        <v>127</v>
      </c>
      <c r="D117" s="6"/>
      <c r="E117" s="10" t="s">
        <v>9</v>
      </c>
      <c r="F117" s="8">
        <v>5961.4842587000003</v>
      </c>
      <c r="G117" s="9">
        <v>3.8870610999999999E-2</v>
      </c>
      <c r="H117" s="90">
        <v>3.22</v>
      </c>
    </row>
    <row r="118" spans="1:8" x14ac:dyDescent="0.2">
      <c r="A118" s="5">
        <v>2</v>
      </c>
      <c r="B118" s="6"/>
      <c r="C118" s="6" t="s">
        <v>128</v>
      </c>
      <c r="D118" s="6"/>
      <c r="E118" s="10" t="s">
        <v>9</v>
      </c>
      <c r="F118" s="8">
        <v>1684.6865734999999</v>
      </c>
      <c r="G118" s="9">
        <v>1.0984646000000001E-2</v>
      </c>
      <c r="H118" s="90">
        <v>3.34</v>
      </c>
    </row>
    <row r="119" spans="1:8" x14ac:dyDescent="0.2">
      <c r="A119" s="3" t="s">
        <v>9</v>
      </c>
      <c r="B119" s="3" t="s">
        <v>9</v>
      </c>
      <c r="C119" s="4" t="s">
        <v>110</v>
      </c>
      <c r="D119" s="3" t="s">
        <v>9</v>
      </c>
      <c r="E119" s="3" t="s">
        <v>9</v>
      </c>
      <c r="F119" s="11">
        <v>7646.1708322000004</v>
      </c>
      <c r="G119" s="12">
        <v>4.9855257E-2</v>
      </c>
      <c r="H119" s="164"/>
    </row>
    <row r="120" spans="1:8" x14ac:dyDescent="0.2">
      <c r="A120" s="3" t="s">
        <v>9</v>
      </c>
      <c r="B120" s="3" t="s">
        <v>9</v>
      </c>
      <c r="C120" s="13" t="s">
        <v>9</v>
      </c>
      <c r="D120" s="3" t="s">
        <v>9</v>
      </c>
      <c r="E120" s="3" t="s">
        <v>9</v>
      </c>
      <c r="F120" s="14" t="s">
        <v>9</v>
      </c>
      <c r="G120" s="14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129</v>
      </c>
      <c r="D121" s="3" t="s">
        <v>9</v>
      </c>
      <c r="E121" s="3" t="s">
        <v>9</v>
      </c>
      <c r="F121" s="11">
        <v>7646.1708322000004</v>
      </c>
      <c r="G121" s="12">
        <v>4.9855257E-2</v>
      </c>
      <c r="H121" s="164"/>
    </row>
    <row r="122" spans="1:8" x14ac:dyDescent="0.2">
      <c r="A122" s="3" t="s">
        <v>9</v>
      </c>
      <c r="B122" s="3" t="s">
        <v>9</v>
      </c>
      <c r="C122" s="14" t="s">
        <v>9</v>
      </c>
      <c r="D122" s="3" t="s">
        <v>9</v>
      </c>
      <c r="E122" s="3" t="s">
        <v>9</v>
      </c>
      <c r="F122" s="3" t="s">
        <v>9</v>
      </c>
      <c r="G122" s="3" t="s">
        <v>9</v>
      </c>
      <c r="H122" s="164"/>
    </row>
    <row r="123" spans="1:8" x14ac:dyDescent="0.2">
      <c r="A123" s="3" t="s">
        <v>9</v>
      </c>
      <c r="B123" s="3" t="s">
        <v>9</v>
      </c>
      <c r="C123" s="4" t="s">
        <v>130</v>
      </c>
      <c r="D123" s="3" t="s">
        <v>9</v>
      </c>
      <c r="E123" s="3" t="s">
        <v>9</v>
      </c>
      <c r="F123" s="3" t="s">
        <v>9</v>
      </c>
      <c r="G123" s="3" t="s">
        <v>9</v>
      </c>
      <c r="H123" s="164"/>
    </row>
    <row r="124" spans="1:8" x14ac:dyDescent="0.2">
      <c r="A124" s="3" t="s">
        <v>9</v>
      </c>
      <c r="B124" s="3" t="s">
        <v>9</v>
      </c>
      <c r="C124" s="4" t="s">
        <v>131</v>
      </c>
      <c r="D124" s="3" t="s">
        <v>9</v>
      </c>
      <c r="E124" s="3" t="s">
        <v>9</v>
      </c>
      <c r="F124" s="3" t="s">
        <v>9</v>
      </c>
      <c r="G124" s="3" t="s">
        <v>9</v>
      </c>
      <c r="H124" s="164"/>
    </row>
    <row r="125" spans="1:8" x14ac:dyDescent="0.2">
      <c r="A125" s="3" t="s">
        <v>9</v>
      </c>
      <c r="B125" s="3" t="s">
        <v>9</v>
      </c>
      <c r="C125" s="4" t="s">
        <v>110</v>
      </c>
      <c r="D125" s="3" t="s">
        <v>9</v>
      </c>
      <c r="E125" s="3" t="s">
        <v>9</v>
      </c>
      <c r="F125" s="15">
        <v>0</v>
      </c>
      <c r="G125" s="16">
        <v>0</v>
      </c>
      <c r="H125" s="164"/>
    </row>
    <row r="126" spans="1:8" x14ac:dyDescent="0.2">
      <c r="A126" s="3" t="s">
        <v>9</v>
      </c>
      <c r="B126" s="3" t="s">
        <v>9</v>
      </c>
      <c r="C126" s="13" t="s">
        <v>9</v>
      </c>
      <c r="D126" s="3" t="s">
        <v>9</v>
      </c>
      <c r="E126" s="3" t="s">
        <v>9</v>
      </c>
      <c r="F126" s="14" t="s">
        <v>9</v>
      </c>
      <c r="G126" s="14" t="s">
        <v>9</v>
      </c>
      <c r="H126" s="164"/>
    </row>
    <row r="127" spans="1:8" x14ac:dyDescent="0.2">
      <c r="A127" s="3" t="s">
        <v>9</v>
      </c>
      <c r="B127" s="3" t="s">
        <v>9</v>
      </c>
      <c r="C127" s="4" t="s">
        <v>132</v>
      </c>
      <c r="D127" s="3" t="s">
        <v>9</v>
      </c>
      <c r="E127" s="3" t="s">
        <v>9</v>
      </c>
      <c r="F127" s="3" t="s">
        <v>9</v>
      </c>
      <c r="G127" s="3" t="s">
        <v>9</v>
      </c>
      <c r="H127" s="164"/>
    </row>
    <row r="128" spans="1:8" x14ac:dyDescent="0.2">
      <c r="A128" s="3" t="s">
        <v>9</v>
      </c>
      <c r="B128" s="3" t="s">
        <v>9</v>
      </c>
      <c r="C128" s="4" t="s">
        <v>133</v>
      </c>
      <c r="D128" s="3" t="s">
        <v>9</v>
      </c>
      <c r="E128" s="3" t="s">
        <v>9</v>
      </c>
      <c r="F128" s="3" t="s">
        <v>9</v>
      </c>
      <c r="G128" s="3" t="s">
        <v>9</v>
      </c>
      <c r="H128" s="164"/>
    </row>
    <row r="129" spans="1:8" x14ac:dyDescent="0.2">
      <c r="A129" s="3" t="s">
        <v>9</v>
      </c>
      <c r="B129" s="3" t="s">
        <v>9</v>
      </c>
      <c r="C129" s="4" t="s">
        <v>110</v>
      </c>
      <c r="D129" s="3" t="s">
        <v>9</v>
      </c>
      <c r="E129" s="3" t="s">
        <v>9</v>
      </c>
      <c r="F129" s="15">
        <v>0</v>
      </c>
      <c r="G129" s="16">
        <v>0</v>
      </c>
      <c r="H129" s="164"/>
    </row>
    <row r="130" spans="1:8" x14ac:dyDescent="0.2">
      <c r="A130" s="3" t="s">
        <v>9</v>
      </c>
      <c r="B130" s="3" t="s">
        <v>9</v>
      </c>
      <c r="C130" s="13" t="s">
        <v>9</v>
      </c>
      <c r="D130" s="3" t="s">
        <v>9</v>
      </c>
      <c r="E130" s="3" t="s">
        <v>9</v>
      </c>
      <c r="F130" s="14" t="s">
        <v>9</v>
      </c>
      <c r="G130" s="14" t="s">
        <v>9</v>
      </c>
      <c r="H130" s="164"/>
    </row>
    <row r="131" spans="1:8" x14ac:dyDescent="0.2">
      <c r="A131" s="3" t="s">
        <v>9</v>
      </c>
      <c r="B131" s="3" t="s">
        <v>9</v>
      </c>
      <c r="C131" s="13" t="s">
        <v>9</v>
      </c>
      <c r="D131" s="3" t="s">
        <v>9</v>
      </c>
      <c r="E131" s="3" t="s">
        <v>9</v>
      </c>
      <c r="F131" s="14" t="s">
        <v>9</v>
      </c>
      <c r="G131" s="14" t="s">
        <v>9</v>
      </c>
      <c r="H131" s="164"/>
    </row>
    <row r="132" spans="1:8" ht="25.5" x14ac:dyDescent="0.2">
      <c r="A132" s="3" t="s">
        <v>9</v>
      </c>
      <c r="B132" s="3" t="s">
        <v>9</v>
      </c>
      <c r="C132" s="4" t="s">
        <v>134</v>
      </c>
      <c r="D132" s="3" t="s">
        <v>9</v>
      </c>
      <c r="E132" s="3" t="s">
        <v>9</v>
      </c>
      <c r="F132" s="14" t="s">
        <v>9</v>
      </c>
      <c r="G132" s="14" t="s">
        <v>9</v>
      </c>
      <c r="H132" s="164"/>
    </row>
    <row r="133" spans="1:8" x14ac:dyDescent="0.2">
      <c r="A133" s="3" t="s">
        <v>9</v>
      </c>
      <c r="B133" s="3" t="s">
        <v>9</v>
      </c>
      <c r="C133" s="4" t="s">
        <v>110</v>
      </c>
      <c r="D133" s="3" t="s">
        <v>9</v>
      </c>
      <c r="E133" s="3" t="s">
        <v>9</v>
      </c>
      <c r="F133" s="15">
        <v>0</v>
      </c>
      <c r="G133" s="16">
        <v>0</v>
      </c>
      <c r="H133" s="164"/>
    </row>
    <row r="134" spans="1:8" x14ac:dyDescent="0.2">
      <c r="A134" s="3" t="s">
        <v>9</v>
      </c>
      <c r="B134" s="3" t="s">
        <v>9</v>
      </c>
      <c r="C134" s="13" t="s">
        <v>9</v>
      </c>
      <c r="D134" s="3" t="s">
        <v>9</v>
      </c>
      <c r="E134" s="3" t="s">
        <v>9</v>
      </c>
      <c r="F134" s="14" t="s">
        <v>9</v>
      </c>
      <c r="G134" s="14" t="s">
        <v>9</v>
      </c>
      <c r="H134" s="164"/>
    </row>
    <row r="135" spans="1:8" x14ac:dyDescent="0.2">
      <c r="A135" s="3" t="s">
        <v>9</v>
      </c>
      <c r="B135" s="6" t="s">
        <v>9</v>
      </c>
      <c r="C135" s="6" t="s">
        <v>9</v>
      </c>
      <c r="D135" s="4" t="s">
        <v>9</v>
      </c>
      <c r="E135" s="3" t="s">
        <v>9</v>
      </c>
      <c r="F135" s="6" t="s">
        <v>9</v>
      </c>
      <c r="G135" s="10" t="s">
        <v>9</v>
      </c>
      <c r="H135" s="164"/>
    </row>
    <row r="136" spans="1:8" x14ac:dyDescent="0.2">
      <c r="A136" s="10" t="s">
        <v>9</v>
      </c>
      <c r="B136" s="6" t="s">
        <v>9</v>
      </c>
      <c r="C136" s="6" t="s">
        <v>135</v>
      </c>
      <c r="D136" s="6" t="s">
        <v>9</v>
      </c>
      <c r="E136" s="10" t="s">
        <v>9</v>
      </c>
      <c r="F136" s="8">
        <v>161.29586631000001</v>
      </c>
      <c r="G136" s="9">
        <v>1.051696E-3</v>
      </c>
      <c r="H136" s="164"/>
    </row>
    <row r="137" spans="1:8" x14ac:dyDescent="0.2">
      <c r="A137" s="13" t="s">
        <v>9</v>
      </c>
      <c r="B137" s="13" t="s">
        <v>9</v>
      </c>
      <c r="C137" s="4" t="s">
        <v>136</v>
      </c>
      <c r="D137" s="17" t="s">
        <v>9</v>
      </c>
      <c r="E137" s="17" t="s">
        <v>9</v>
      </c>
      <c r="F137" s="11">
        <f>+F71+F119+F136</f>
        <v>153367.39330402901</v>
      </c>
      <c r="G137" s="12">
        <v>1.0000000020000002</v>
      </c>
      <c r="H137" s="164"/>
    </row>
    <row r="138" spans="1:8" ht="14.1" customHeight="1" x14ac:dyDescent="0.2">
      <c r="A138" s="18" t="s">
        <v>9</v>
      </c>
      <c r="B138" s="18" t="s">
        <v>9</v>
      </c>
      <c r="C138" s="18" t="s">
        <v>9</v>
      </c>
      <c r="D138" s="19" t="s">
        <v>9</v>
      </c>
      <c r="E138" s="19" t="s">
        <v>9</v>
      </c>
      <c r="F138" s="19" t="s">
        <v>9</v>
      </c>
      <c r="G138" s="19" t="s">
        <v>9</v>
      </c>
    </row>
    <row r="139" spans="1:8" ht="14.1" customHeight="1" x14ac:dyDescent="0.2">
      <c r="A139" s="20" t="s">
        <v>9</v>
      </c>
      <c r="B139" s="228" t="s">
        <v>9</v>
      </c>
      <c r="C139" s="228"/>
      <c r="D139" s="228"/>
      <c r="E139" s="228"/>
      <c r="F139" s="228"/>
      <c r="G139" s="22" t="s">
        <v>9</v>
      </c>
    </row>
    <row r="140" spans="1:8" ht="17.100000000000001" customHeight="1" x14ac:dyDescent="0.2">
      <c r="A140" s="20" t="s">
        <v>9</v>
      </c>
      <c r="B140" s="228" t="s">
        <v>137</v>
      </c>
      <c r="C140" s="228"/>
      <c r="D140" s="228"/>
      <c r="E140" s="228"/>
      <c r="F140" s="228"/>
      <c r="G140" s="22" t="s">
        <v>9</v>
      </c>
    </row>
    <row r="141" spans="1:8" ht="14.1" customHeight="1" x14ac:dyDescent="0.2">
      <c r="A141" s="20" t="s">
        <v>9</v>
      </c>
      <c r="B141" s="20" t="s">
        <v>9</v>
      </c>
      <c r="C141" s="20" t="s">
        <v>9</v>
      </c>
      <c r="D141" s="22" t="s">
        <v>9</v>
      </c>
      <c r="E141" s="22" t="s">
        <v>9</v>
      </c>
      <c r="F141" s="22" t="s">
        <v>9</v>
      </c>
      <c r="G141" s="22" t="s">
        <v>9</v>
      </c>
    </row>
    <row r="142" spans="1:8" ht="14.1" customHeight="1" x14ac:dyDescent="0.2">
      <c r="A142" s="20" t="s">
        <v>9</v>
      </c>
      <c r="B142" s="226" t="s">
        <v>138</v>
      </c>
      <c r="C142" s="227"/>
      <c r="D142" s="14" t="s">
        <v>9</v>
      </c>
      <c r="E142" s="23" t="s">
        <v>9</v>
      </c>
      <c r="F142" s="22" t="s">
        <v>9</v>
      </c>
      <c r="G142" s="22" t="s">
        <v>9</v>
      </c>
    </row>
    <row r="143" spans="1:8" ht="29.1" customHeight="1" x14ac:dyDescent="0.2">
      <c r="A143" s="20" t="s">
        <v>9</v>
      </c>
      <c r="B143" s="233" t="s">
        <v>139</v>
      </c>
      <c r="C143" s="234"/>
      <c r="D143" s="4" t="s">
        <v>140</v>
      </c>
      <c r="E143" s="23" t="s">
        <v>9</v>
      </c>
      <c r="F143" s="22" t="s">
        <v>9</v>
      </c>
      <c r="G143" s="22" t="s">
        <v>9</v>
      </c>
    </row>
    <row r="144" spans="1:8" ht="17.100000000000001" customHeight="1" x14ac:dyDescent="0.2">
      <c r="A144" s="20" t="s">
        <v>9</v>
      </c>
      <c r="B144" s="236" t="s">
        <v>981</v>
      </c>
      <c r="C144" s="237"/>
      <c r="D144" s="158" t="s">
        <v>982</v>
      </c>
      <c r="E144" s="23" t="s">
        <v>9</v>
      </c>
      <c r="F144" s="22" t="s">
        <v>9</v>
      </c>
      <c r="G144" s="22" t="s">
        <v>9</v>
      </c>
    </row>
    <row r="145" spans="1:7" ht="17.100000000000001" customHeight="1" x14ac:dyDescent="0.2">
      <c r="A145" s="20" t="s">
        <v>9</v>
      </c>
      <c r="B145" s="233" t="s">
        <v>142</v>
      </c>
      <c r="C145" s="234"/>
      <c r="D145" s="14" t="s">
        <v>9</v>
      </c>
      <c r="E145" s="23" t="s">
        <v>9</v>
      </c>
      <c r="F145" s="22" t="s">
        <v>9</v>
      </c>
      <c r="G145" s="22" t="s">
        <v>9</v>
      </c>
    </row>
    <row r="146" spans="1:7" ht="24" customHeight="1" x14ac:dyDescent="0.2">
      <c r="A146" s="24" t="s">
        <v>9</v>
      </c>
      <c r="B146" s="25" t="s">
        <v>9</v>
      </c>
      <c r="C146" s="25" t="s">
        <v>143</v>
      </c>
      <c r="D146" s="25" t="s">
        <v>144</v>
      </c>
      <c r="E146" s="24" t="s">
        <v>9</v>
      </c>
      <c r="F146" s="24" t="s">
        <v>9</v>
      </c>
      <c r="G146" s="24" t="s">
        <v>9</v>
      </c>
    </row>
    <row r="147" spans="1:7" ht="18" customHeight="1" x14ac:dyDescent="0.2">
      <c r="A147" s="24" t="s">
        <v>9</v>
      </c>
      <c r="B147" s="25" t="s">
        <v>145</v>
      </c>
      <c r="C147" s="25" t="s">
        <v>146</v>
      </c>
      <c r="D147" s="25" t="s">
        <v>147</v>
      </c>
      <c r="E147" s="24" t="s">
        <v>9</v>
      </c>
      <c r="F147" s="24" t="s">
        <v>9</v>
      </c>
      <c r="G147" s="24" t="s">
        <v>9</v>
      </c>
    </row>
    <row r="148" spans="1:7" ht="17.100000000000001" customHeight="1" x14ac:dyDescent="0.2">
      <c r="A148" s="24" t="s">
        <v>9</v>
      </c>
      <c r="B148" s="6" t="s">
        <v>148</v>
      </c>
      <c r="C148" s="26">
        <v>136.35239999999999</v>
      </c>
      <c r="D148" s="26">
        <v>144.50200000000001</v>
      </c>
      <c r="E148" s="24" t="s">
        <v>9</v>
      </c>
      <c r="F148" s="21" t="s">
        <v>9</v>
      </c>
      <c r="G148" s="27" t="s">
        <v>9</v>
      </c>
    </row>
    <row r="149" spans="1:7" ht="17.100000000000001" customHeight="1" x14ac:dyDescent="0.2">
      <c r="A149" s="24" t="s">
        <v>9</v>
      </c>
      <c r="B149" s="6" t="s">
        <v>839</v>
      </c>
      <c r="C149" s="26">
        <v>23.895800000000001</v>
      </c>
      <c r="D149" s="26">
        <v>25.324100000000001</v>
      </c>
      <c r="E149" s="24" t="s">
        <v>9</v>
      </c>
      <c r="F149" s="21" t="s">
        <v>9</v>
      </c>
      <c r="G149" s="27" t="s">
        <v>9</v>
      </c>
    </row>
    <row r="150" spans="1:7" ht="29.1" customHeight="1" x14ac:dyDescent="0.2">
      <c r="A150" s="24" t="s">
        <v>9</v>
      </c>
      <c r="B150" s="6" t="s">
        <v>401</v>
      </c>
      <c r="C150" s="26">
        <v>139.1823</v>
      </c>
      <c r="D150" s="26">
        <v>147.50319999999999</v>
      </c>
      <c r="E150" s="24" t="s">
        <v>9</v>
      </c>
      <c r="F150" s="21" t="s">
        <v>9</v>
      </c>
      <c r="G150" s="27" t="s">
        <v>9</v>
      </c>
    </row>
    <row r="151" spans="1:7" ht="29.1" customHeight="1" x14ac:dyDescent="0.2">
      <c r="A151" s="24" t="s">
        <v>9</v>
      </c>
      <c r="B151" s="6" t="s">
        <v>1004</v>
      </c>
      <c r="C151" s="26">
        <v>24.837199999999999</v>
      </c>
      <c r="D151" s="26">
        <v>26.3217</v>
      </c>
      <c r="E151" s="24" t="s">
        <v>9</v>
      </c>
      <c r="F151" s="21" t="s">
        <v>9</v>
      </c>
      <c r="G151" s="27" t="s">
        <v>9</v>
      </c>
    </row>
    <row r="152" spans="1:7" ht="17.100000000000001" customHeight="1" x14ac:dyDescent="0.2">
      <c r="A152" s="24" t="s">
        <v>9</v>
      </c>
      <c r="B152" s="6" t="s">
        <v>149</v>
      </c>
      <c r="C152" s="26">
        <v>128.8741</v>
      </c>
      <c r="D152" s="26">
        <v>136.45849999999999</v>
      </c>
      <c r="E152" s="24" t="s">
        <v>9</v>
      </c>
      <c r="F152" s="21" t="s">
        <v>9</v>
      </c>
      <c r="G152" s="27" t="s">
        <v>9</v>
      </c>
    </row>
    <row r="153" spans="1:7" ht="17.100000000000001" customHeight="1" x14ac:dyDescent="0.2">
      <c r="A153" s="24" t="s">
        <v>9</v>
      </c>
      <c r="B153" s="6" t="s">
        <v>840</v>
      </c>
      <c r="C153" s="26">
        <v>21.9816</v>
      </c>
      <c r="D153" s="26">
        <v>23.275200000000002</v>
      </c>
      <c r="E153" s="24" t="s">
        <v>9</v>
      </c>
      <c r="F153" s="21" t="s">
        <v>9</v>
      </c>
      <c r="G153" s="27" t="s">
        <v>9</v>
      </c>
    </row>
    <row r="154" spans="1:7" ht="14.1" customHeight="1" x14ac:dyDescent="0.2">
      <c r="A154" s="24" t="s">
        <v>9</v>
      </c>
      <c r="B154" s="24" t="s">
        <v>9</v>
      </c>
      <c r="C154" s="24" t="s">
        <v>9</v>
      </c>
      <c r="D154" s="24" t="s">
        <v>9</v>
      </c>
      <c r="E154" s="24" t="s">
        <v>9</v>
      </c>
      <c r="F154" s="24" t="s">
        <v>9</v>
      </c>
      <c r="G154" s="24" t="s">
        <v>9</v>
      </c>
    </row>
    <row r="155" spans="1:7" ht="17.100000000000001" customHeight="1" x14ac:dyDescent="0.2">
      <c r="A155" s="24" t="s">
        <v>9</v>
      </c>
      <c r="B155" s="233" t="s">
        <v>1003</v>
      </c>
      <c r="C155" s="234"/>
      <c r="D155" s="4" t="s">
        <v>140</v>
      </c>
      <c r="E155" s="24" t="s">
        <v>9</v>
      </c>
      <c r="F155" s="24" t="s">
        <v>9</v>
      </c>
      <c r="G155" s="24" t="s">
        <v>9</v>
      </c>
    </row>
    <row r="156" spans="1:7" ht="18" customHeight="1" x14ac:dyDescent="0.2">
      <c r="A156" s="24" t="s">
        <v>9</v>
      </c>
      <c r="B156" s="28" t="s">
        <v>150</v>
      </c>
      <c r="C156" s="28" t="s">
        <v>150</v>
      </c>
      <c r="D156" s="28" t="s">
        <v>9</v>
      </c>
      <c r="E156" s="24" t="s">
        <v>9</v>
      </c>
      <c r="F156" s="24" t="s">
        <v>9</v>
      </c>
      <c r="G156" s="24" t="s">
        <v>9</v>
      </c>
    </row>
    <row r="157" spans="1:7" s="169" customFormat="1" x14ac:dyDescent="0.2">
      <c r="B157" s="235" t="s">
        <v>841</v>
      </c>
      <c r="C157" s="235"/>
      <c r="D157" s="235"/>
      <c r="E157" s="235"/>
      <c r="F157" s="235"/>
    </row>
    <row r="158" spans="1:7" ht="14.1" customHeight="1" x14ac:dyDescent="0.2">
      <c r="A158" s="24" t="s">
        <v>9</v>
      </c>
      <c r="B158" s="21" t="s">
        <v>9</v>
      </c>
      <c r="C158" s="21" t="s">
        <v>9</v>
      </c>
      <c r="D158" s="24" t="s">
        <v>9</v>
      </c>
      <c r="E158" s="24" t="s">
        <v>9</v>
      </c>
      <c r="F158" s="24" t="s">
        <v>9</v>
      </c>
      <c r="G158" s="24" t="s">
        <v>9</v>
      </c>
    </row>
    <row r="159" spans="1:7" ht="29.1" customHeight="1" x14ac:dyDescent="0.2">
      <c r="A159" s="24" t="s">
        <v>9</v>
      </c>
      <c r="B159" s="233" t="s">
        <v>151</v>
      </c>
      <c r="C159" s="234"/>
      <c r="D159" s="4" t="s">
        <v>140</v>
      </c>
      <c r="E159" s="24" t="s">
        <v>9</v>
      </c>
      <c r="F159" s="24" t="s">
        <v>9</v>
      </c>
      <c r="G159" s="24" t="s">
        <v>9</v>
      </c>
    </row>
    <row r="160" spans="1:7" ht="29.1" customHeight="1" x14ac:dyDescent="0.2">
      <c r="A160" s="24" t="s">
        <v>9</v>
      </c>
      <c r="B160" s="233" t="s">
        <v>152</v>
      </c>
      <c r="C160" s="234"/>
      <c r="D160" s="4" t="s">
        <v>140</v>
      </c>
      <c r="E160" s="24" t="s">
        <v>9</v>
      </c>
      <c r="F160" s="24" t="s">
        <v>9</v>
      </c>
      <c r="G160" s="24" t="s">
        <v>9</v>
      </c>
    </row>
    <row r="161" spans="1:7" ht="17.100000000000001" customHeight="1" x14ac:dyDescent="0.2">
      <c r="A161" s="24" t="s">
        <v>9</v>
      </c>
      <c r="B161" s="233" t="s">
        <v>153</v>
      </c>
      <c r="C161" s="234"/>
      <c r="D161" s="29">
        <v>0.65502133353933389</v>
      </c>
      <c r="E161" s="24" t="s">
        <v>9</v>
      </c>
      <c r="F161" s="21" t="s">
        <v>9</v>
      </c>
      <c r="G161" s="27" t="s">
        <v>9</v>
      </c>
    </row>
    <row r="162" spans="1:7" ht="17.100000000000001" customHeight="1" x14ac:dyDescent="0.2">
      <c r="A162" s="24" t="s">
        <v>9</v>
      </c>
      <c r="B162" s="233" t="s">
        <v>154</v>
      </c>
      <c r="C162" s="234"/>
      <c r="D162" s="4" t="s">
        <v>140</v>
      </c>
      <c r="E162" s="24" t="s">
        <v>9</v>
      </c>
      <c r="F162" s="24" t="s">
        <v>9</v>
      </c>
      <c r="G162" s="24" t="s">
        <v>9</v>
      </c>
    </row>
  </sheetData>
  <mergeCells count="15">
    <mergeCell ref="B161:C161"/>
    <mergeCell ref="B162:C162"/>
    <mergeCell ref="B143:C143"/>
    <mergeCell ref="B144:C144"/>
    <mergeCell ref="B145:C145"/>
    <mergeCell ref="B155:C155"/>
    <mergeCell ref="B159:C159"/>
    <mergeCell ref="B160:C160"/>
    <mergeCell ref="B157:F157"/>
    <mergeCell ref="B142:C142"/>
    <mergeCell ref="B139:F139"/>
    <mergeCell ref="B140:F14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H132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554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ht="25.5" x14ac:dyDescent="0.2">
      <c r="A7" s="5">
        <v>1</v>
      </c>
      <c r="B7" s="6" t="s">
        <v>417</v>
      </c>
      <c r="C7" s="6" t="s">
        <v>418</v>
      </c>
      <c r="D7" s="6" t="s">
        <v>67</v>
      </c>
      <c r="E7" s="7">
        <v>340000</v>
      </c>
      <c r="F7" s="8">
        <v>7933.22</v>
      </c>
      <c r="G7" s="9">
        <v>6.0841853000000001E-2</v>
      </c>
      <c r="H7" s="164"/>
    </row>
    <row r="8" spans="1:8" ht="25.5" x14ac:dyDescent="0.2">
      <c r="A8" s="5">
        <v>2</v>
      </c>
      <c r="B8" s="6" t="s">
        <v>555</v>
      </c>
      <c r="C8" s="6" t="s">
        <v>556</v>
      </c>
      <c r="D8" s="6" t="s">
        <v>67</v>
      </c>
      <c r="E8" s="7">
        <v>257500</v>
      </c>
      <c r="F8" s="8">
        <v>7618.00875</v>
      </c>
      <c r="G8" s="9">
        <v>5.8424418999999998E-2</v>
      </c>
      <c r="H8" s="164"/>
    </row>
    <row r="9" spans="1:8" ht="25.5" x14ac:dyDescent="0.2">
      <c r="A9" s="5">
        <v>3</v>
      </c>
      <c r="B9" s="6" t="s">
        <v>336</v>
      </c>
      <c r="C9" s="6" t="s">
        <v>337</v>
      </c>
      <c r="D9" s="6" t="s">
        <v>67</v>
      </c>
      <c r="E9" s="7">
        <v>980000</v>
      </c>
      <c r="F9" s="8">
        <v>7465.64</v>
      </c>
      <c r="G9" s="9">
        <v>5.7255865000000003E-2</v>
      </c>
      <c r="H9" s="164"/>
    </row>
    <row r="10" spans="1:8" ht="25.5" x14ac:dyDescent="0.2">
      <c r="A10" s="5">
        <v>4</v>
      </c>
      <c r="B10" s="6" t="s">
        <v>322</v>
      </c>
      <c r="C10" s="6" t="s">
        <v>323</v>
      </c>
      <c r="D10" s="6" t="s">
        <v>62</v>
      </c>
      <c r="E10" s="7">
        <v>1500000</v>
      </c>
      <c r="F10" s="8">
        <v>7306.5</v>
      </c>
      <c r="G10" s="9">
        <v>5.6035380000000003E-2</v>
      </c>
      <c r="H10" s="164"/>
    </row>
    <row r="11" spans="1:8" x14ac:dyDescent="0.2">
      <c r="A11" s="5">
        <v>5</v>
      </c>
      <c r="B11" s="6" t="s">
        <v>20</v>
      </c>
      <c r="C11" s="6" t="s">
        <v>21</v>
      </c>
      <c r="D11" s="6" t="s">
        <v>22</v>
      </c>
      <c r="E11" s="7">
        <v>1050000</v>
      </c>
      <c r="F11" s="8">
        <v>7166.25</v>
      </c>
      <c r="G11" s="9">
        <v>5.4959767999999999E-2</v>
      </c>
      <c r="H11" s="164"/>
    </row>
    <row r="12" spans="1:8" ht="25.5" x14ac:dyDescent="0.2">
      <c r="A12" s="5">
        <v>6</v>
      </c>
      <c r="B12" s="6" t="s">
        <v>393</v>
      </c>
      <c r="C12" s="6" t="s">
        <v>394</v>
      </c>
      <c r="D12" s="6" t="s">
        <v>67</v>
      </c>
      <c r="E12" s="7">
        <v>900000</v>
      </c>
      <c r="F12" s="8">
        <v>6806.25</v>
      </c>
      <c r="G12" s="9">
        <v>5.2198836999999998E-2</v>
      </c>
      <c r="H12" s="164"/>
    </row>
    <row r="13" spans="1:8" ht="25.5" x14ac:dyDescent="0.2">
      <c r="A13" s="5">
        <v>7</v>
      </c>
      <c r="B13" s="6" t="s">
        <v>18</v>
      </c>
      <c r="C13" s="6" t="s">
        <v>19</v>
      </c>
      <c r="D13" s="6" t="s">
        <v>925</v>
      </c>
      <c r="E13" s="7">
        <v>600000</v>
      </c>
      <c r="F13" s="8">
        <v>6559.2</v>
      </c>
      <c r="G13" s="9">
        <v>5.0304148999999999E-2</v>
      </c>
      <c r="H13" s="164"/>
    </row>
    <row r="14" spans="1:8" x14ac:dyDescent="0.2">
      <c r="A14" s="5">
        <v>8</v>
      </c>
      <c r="B14" s="6" t="s">
        <v>79</v>
      </c>
      <c r="C14" s="6" t="s">
        <v>80</v>
      </c>
      <c r="D14" s="6" t="s">
        <v>22</v>
      </c>
      <c r="E14" s="7">
        <v>455000</v>
      </c>
      <c r="F14" s="8">
        <v>6490.3474999999999</v>
      </c>
      <c r="G14" s="9">
        <v>4.9776102000000003E-2</v>
      </c>
      <c r="H14" s="164"/>
    </row>
    <row r="15" spans="1:8" x14ac:dyDescent="0.2">
      <c r="A15" s="5">
        <v>9</v>
      </c>
      <c r="B15" s="6" t="s">
        <v>318</v>
      </c>
      <c r="C15" s="6" t="s">
        <v>319</v>
      </c>
      <c r="D15" s="6" t="s">
        <v>62</v>
      </c>
      <c r="E15" s="7">
        <v>500000</v>
      </c>
      <c r="F15" s="8">
        <v>5296</v>
      </c>
      <c r="G15" s="9">
        <v>4.0616352000000001E-2</v>
      </c>
      <c r="H15" s="164"/>
    </row>
    <row r="16" spans="1:8" x14ac:dyDescent="0.2">
      <c r="A16" s="5">
        <v>10</v>
      </c>
      <c r="B16" s="6" t="s">
        <v>421</v>
      </c>
      <c r="C16" s="6" t="s">
        <v>422</v>
      </c>
      <c r="D16" s="6" t="s">
        <v>88</v>
      </c>
      <c r="E16" s="7">
        <v>680000</v>
      </c>
      <c r="F16" s="8">
        <v>5053.08</v>
      </c>
      <c r="G16" s="9">
        <v>3.8753336999999999E-2</v>
      </c>
      <c r="H16" s="164"/>
    </row>
    <row r="17" spans="1:8" x14ac:dyDescent="0.2">
      <c r="A17" s="5">
        <v>11</v>
      </c>
      <c r="B17" s="6" t="s">
        <v>409</v>
      </c>
      <c r="C17" s="6" t="s">
        <v>410</v>
      </c>
      <c r="D17" s="6" t="s">
        <v>932</v>
      </c>
      <c r="E17" s="7">
        <v>425000</v>
      </c>
      <c r="F17" s="8">
        <v>4669.05</v>
      </c>
      <c r="G17" s="9">
        <v>3.5808115000000001E-2</v>
      </c>
      <c r="H17" s="164"/>
    </row>
    <row r="18" spans="1:8" x14ac:dyDescent="0.2">
      <c r="A18" s="5">
        <v>12</v>
      </c>
      <c r="B18" s="6" t="s">
        <v>365</v>
      </c>
      <c r="C18" s="6" t="s">
        <v>366</v>
      </c>
      <c r="D18" s="6" t="s">
        <v>250</v>
      </c>
      <c r="E18" s="7">
        <v>460000</v>
      </c>
      <c r="F18" s="8">
        <v>4222.8</v>
      </c>
      <c r="G18" s="9">
        <v>3.2385711999999997E-2</v>
      </c>
      <c r="H18" s="164"/>
    </row>
    <row r="19" spans="1:8" x14ac:dyDescent="0.2">
      <c r="A19" s="5">
        <v>13</v>
      </c>
      <c r="B19" s="6" t="s">
        <v>557</v>
      </c>
      <c r="C19" s="6" t="s">
        <v>558</v>
      </c>
      <c r="D19" s="6" t="s">
        <v>62</v>
      </c>
      <c r="E19" s="7">
        <v>40000</v>
      </c>
      <c r="F19" s="8">
        <v>3497.56</v>
      </c>
      <c r="G19" s="9">
        <v>2.6823664000000001E-2</v>
      </c>
      <c r="H19" s="164"/>
    </row>
    <row r="20" spans="1:8" ht="25.5" x14ac:dyDescent="0.2">
      <c r="A20" s="5">
        <v>14</v>
      </c>
      <c r="B20" s="6" t="s">
        <v>428</v>
      </c>
      <c r="C20" s="6" t="s">
        <v>429</v>
      </c>
      <c r="D20" s="6" t="s">
        <v>67</v>
      </c>
      <c r="E20" s="7">
        <v>1700000</v>
      </c>
      <c r="F20" s="8">
        <v>3484.15</v>
      </c>
      <c r="G20" s="9">
        <v>2.6720819999999999E-2</v>
      </c>
      <c r="H20" s="164"/>
    </row>
    <row r="21" spans="1:8" x14ac:dyDescent="0.2">
      <c r="A21" s="5">
        <v>15</v>
      </c>
      <c r="B21" s="6" t="s">
        <v>330</v>
      </c>
      <c r="C21" s="6" t="s">
        <v>331</v>
      </c>
      <c r="D21" s="6" t="s">
        <v>207</v>
      </c>
      <c r="E21" s="7">
        <v>10500</v>
      </c>
      <c r="F21" s="8">
        <v>3307.7204999999999</v>
      </c>
      <c r="G21" s="9">
        <v>2.5367738000000001E-2</v>
      </c>
      <c r="H21" s="164"/>
    </row>
    <row r="22" spans="1:8" x14ac:dyDescent="0.2">
      <c r="A22" s="5">
        <v>16</v>
      </c>
      <c r="B22" s="6" t="s">
        <v>494</v>
      </c>
      <c r="C22" s="6" t="s">
        <v>495</v>
      </c>
      <c r="D22" s="6" t="s">
        <v>88</v>
      </c>
      <c r="E22" s="7">
        <v>44300</v>
      </c>
      <c r="F22" s="8">
        <v>3091.1210999999998</v>
      </c>
      <c r="G22" s="9">
        <v>2.3706583E-2</v>
      </c>
      <c r="H22" s="164"/>
    </row>
    <row r="23" spans="1:8" ht="25.5" x14ac:dyDescent="0.2">
      <c r="A23" s="5">
        <v>17</v>
      </c>
      <c r="B23" s="6" t="s">
        <v>201</v>
      </c>
      <c r="C23" s="6" t="s">
        <v>202</v>
      </c>
      <c r="D23" s="6" t="s">
        <v>67</v>
      </c>
      <c r="E23" s="7">
        <v>590000</v>
      </c>
      <c r="F23" s="8">
        <v>2891.8850000000002</v>
      </c>
      <c r="G23" s="9">
        <v>2.2178591000000001E-2</v>
      </c>
      <c r="H23" s="164"/>
    </row>
    <row r="24" spans="1:8" ht="25.5" x14ac:dyDescent="0.2">
      <c r="A24" s="5">
        <v>18</v>
      </c>
      <c r="B24" s="6" t="s">
        <v>491</v>
      </c>
      <c r="C24" s="6" t="s">
        <v>492</v>
      </c>
      <c r="D24" s="6" t="s">
        <v>67</v>
      </c>
      <c r="E24" s="7">
        <v>21750</v>
      </c>
      <c r="F24" s="8">
        <v>2758.0304999999998</v>
      </c>
      <c r="G24" s="9">
        <v>2.1152027E-2</v>
      </c>
      <c r="H24" s="164"/>
    </row>
    <row r="25" spans="1:8" x14ac:dyDescent="0.2">
      <c r="A25" s="5">
        <v>19</v>
      </c>
      <c r="B25" s="6" t="s">
        <v>559</v>
      </c>
      <c r="C25" s="6" t="s">
        <v>560</v>
      </c>
      <c r="D25" s="6" t="s">
        <v>161</v>
      </c>
      <c r="E25" s="7">
        <v>44000</v>
      </c>
      <c r="F25" s="8">
        <v>2740.364</v>
      </c>
      <c r="G25" s="9">
        <v>2.1016538000000001E-2</v>
      </c>
      <c r="H25" s="164"/>
    </row>
    <row r="26" spans="1:8" x14ac:dyDescent="0.2">
      <c r="A26" s="5">
        <v>20</v>
      </c>
      <c r="B26" s="6" t="s">
        <v>561</v>
      </c>
      <c r="C26" s="6" t="s">
        <v>562</v>
      </c>
      <c r="D26" s="6" t="s">
        <v>62</v>
      </c>
      <c r="E26" s="7">
        <v>184547</v>
      </c>
      <c r="F26" s="8">
        <v>2506.8864480000002</v>
      </c>
      <c r="G26" s="9">
        <v>1.9225941E-2</v>
      </c>
      <c r="H26" s="164"/>
    </row>
    <row r="27" spans="1:8" x14ac:dyDescent="0.2">
      <c r="A27" s="5">
        <v>21</v>
      </c>
      <c r="B27" s="6" t="s">
        <v>505</v>
      </c>
      <c r="C27" s="6" t="s">
        <v>400</v>
      </c>
      <c r="D27" s="6" t="s">
        <v>346</v>
      </c>
      <c r="E27" s="7">
        <v>1100000</v>
      </c>
      <c r="F27" s="8">
        <v>2466.75</v>
      </c>
      <c r="G27" s="9">
        <v>1.8918124000000001E-2</v>
      </c>
      <c r="H27" s="164"/>
    </row>
    <row r="28" spans="1:8" x14ac:dyDescent="0.2">
      <c r="A28" s="5">
        <v>22</v>
      </c>
      <c r="B28" s="6" t="s">
        <v>373</v>
      </c>
      <c r="C28" s="6" t="s">
        <v>374</v>
      </c>
      <c r="D28" s="6" t="s">
        <v>62</v>
      </c>
      <c r="E28" s="7">
        <v>110000</v>
      </c>
      <c r="F28" s="8">
        <v>2423.2449999999999</v>
      </c>
      <c r="G28" s="9">
        <v>1.8584473000000001E-2</v>
      </c>
      <c r="H28" s="164"/>
    </row>
    <row r="29" spans="1:8" ht="25.5" x14ac:dyDescent="0.2">
      <c r="A29" s="5">
        <v>23</v>
      </c>
      <c r="B29" s="6" t="s">
        <v>485</v>
      </c>
      <c r="C29" s="6" t="s">
        <v>486</v>
      </c>
      <c r="D29" s="6" t="s">
        <v>67</v>
      </c>
      <c r="E29" s="7">
        <v>340000</v>
      </c>
      <c r="F29" s="8">
        <v>2178.5500000000002</v>
      </c>
      <c r="G29" s="9">
        <v>1.6707845999999998E-2</v>
      </c>
      <c r="H29" s="164"/>
    </row>
    <row r="30" spans="1:8" x14ac:dyDescent="0.2">
      <c r="A30" s="5">
        <v>24</v>
      </c>
      <c r="B30" s="6" t="s">
        <v>256</v>
      </c>
      <c r="C30" s="6" t="s">
        <v>257</v>
      </c>
      <c r="D30" s="6" t="s">
        <v>930</v>
      </c>
      <c r="E30" s="7">
        <v>345000</v>
      </c>
      <c r="F30" s="8">
        <v>1932.8625</v>
      </c>
      <c r="G30" s="9">
        <v>1.4823607000000001E-2</v>
      </c>
      <c r="H30" s="164"/>
    </row>
    <row r="31" spans="1:8" x14ac:dyDescent="0.2">
      <c r="A31" s="5">
        <v>25</v>
      </c>
      <c r="B31" s="6" t="s">
        <v>503</v>
      </c>
      <c r="C31" s="6" t="s">
        <v>504</v>
      </c>
      <c r="D31" s="6" t="s">
        <v>62</v>
      </c>
      <c r="E31" s="7">
        <v>112000</v>
      </c>
      <c r="F31" s="8">
        <v>1920.296</v>
      </c>
      <c r="G31" s="9">
        <v>1.4727231E-2</v>
      </c>
      <c r="H31" s="164"/>
    </row>
    <row r="32" spans="1:8" x14ac:dyDescent="0.2">
      <c r="A32" s="5">
        <v>26</v>
      </c>
      <c r="B32" s="6" t="s">
        <v>379</v>
      </c>
      <c r="C32" s="6" t="s">
        <v>380</v>
      </c>
      <c r="D32" s="6" t="s">
        <v>62</v>
      </c>
      <c r="E32" s="7">
        <v>2650040</v>
      </c>
      <c r="F32" s="8">
        <v>1880.2033799999999</v>
      </c>
      <c r="G32" s="9">
        <v>1.4419751E-2</v>
      </c>
      <c r="H32" s="164"/>
    </row>
    <row r="33" spans="1:8" ht="25.5" x14ac:dyDescent="0.2">
      <c r="A33" s="5">
        <v>27</v>
      </c>
      <c r="B33" s="6" t="s">
        <v>563</v>
      </c>
      <c r="C33" s="6" t="s">
        <v>564</v>
      </c>
      <c r="D33" s="6" t="s">
        <v>67</v>
      </c>
      <c r="E33" s="7">
        <v>10500</v>
      </c>
      <c r="F33" s="8">
        <v>1858.7782500000001</v>
      </c>
      <c r="G33" s="9">
        <v>1.4255436E-2</v>
      </c>
      <c r="H33" s="164"/>
    </row>
    <row r="34" spans="1:8" x14ac:dyDescent="0.2">
      <c r="A34" s="5">
        <v>28</v>
      </c>
      <c r="B34" s="6" t="s">
        <v>205</v>
      </c>
      <c r="C34" s="6" t="s">
        <v>206</v>
      </c>
      <c r="D34" s="6" t="s">
        <v>207</v>
      </c>
      <c r="E34" s="7">
        <v>670000</v>
      </c>
      <c r="F34" s="8">
        <v>1798.615</v>
      </c>
      <c r="G34" s="9">
        <v>1.3794028999999999E-2</v>
      </c>
      <c r="H34" s="164"/>
    </row>
    <row r="35" spans="1:8" x14ac:dyDescent="0.2">
      <c r="A35" s="5">
        <v>29</v>
      </c>
      <c r="B35" s="6" t="s">
        <v>232</v>
      </c>
      <c r="C35" s="6" t="s">
        <v>233</v>
      </c>
      <c r="D35" s="6" t="s">
        <v>37</v>
      </c>
      <c r="E35" s="7">
        <v>200000</v>
      </c>
      <c r="F35" s="8">
        <v>1727.3</v>
      </c>
      <c r="G35" s="9">
        <v>1.3247096999999999E-2</v>
      </c>
      <c r="H35" s="164"/>
    </row>
    <row r="36" spans="1:8" ht="25.5" x14ac:dyDescent="0.2">
      <c r="A36" s="5">
        <v>30</v>
      </c>
      <c r="B36" s="6" t="s">
        <v>240</v>
      </c>
      <c r="C36" s="6" t="s">
        <v>241</v>
      </c>
      <c r="D36" s="6" t="s">
        <v>925</v>
      </c>
      <c r="E36" s="7">
        <v>875000</v>
      </c>
      <c r="F36" s="8">
        <v>1681.3125</v>
      </c>
      <c r="G36" s="9">
        <v>1.2894407E-2</v>
      </c>
      <c r="H36" s="164"/>
    </row>
    <row r="37" spans="1:8" x14ac:dyDescent="0.2">
      <c r="A37" s="5">
        <v>31</v>
      </c>
      <c r="B37" s="6" t="s">
        <v>565</v>
      </c>
      <c r="C37" s="6" t="s">
        <v>566</v>
      </c>
      <c r="D37" s="6" t="s">
        <v>62</v>
      </c>
      <c r="E37" s="7">
        <v>660000</v>
      </c>
      <c r="F37" s="8">
        <v>1643.4</v>
      </c>
      <c r="G37" s="9">
        <v>1.2603647000000001E-2</v>
      </c>
      <c r="H37" s="164"/>
    </row>
    <row r="38" spans="1:8" x14ac:dyDescent="0.2">
      <c r="A38" s="5">
        <v>32</v>
      </c>
      <c r="B38" s="6" t="s">
        <v>264</v>
      </c>
      <c r="C38" s="6" t="s">
        <v>265</v>
      </c>
      <c r="D38" s="6" t="s">
        <v>266</v>
      </c>
      <c r="E38" s="7">
        <v>174246</v>
      </c>
      <c r="F38" s="8">
        <v>1408.866033</v>
      </c>
      <c r="G38" s="9">
        <v>1.0804947000000001E-2</v>
      </c>
      <c r="H38" s="164"/>
    </row>
    <row r="39" spans="1:8" x14ac:dyDescent="0.2">
      <c r="A39" s="5">
        <v>33</v>
      </c>
      <c r="B39" s="6" t="s">
        <v>567</v>
      </c>
      <c r="C39" s="6" t="s">
        <v>568</v>
      </c>
      <c r="D39" s="6" t="s">
        <v>62</v>
      </c>
      <c r="E39" s="7">
        <v>85000</v>
      </c>
      <c r="F39" s="8">
        <v>1376.32</v>
      </c>
      <c r="G39" s="9">
        <v>1.0555343E-2</v>
      </c>
      <c r="H39" s="164"/>
    </row>
    <row r="40" spans="1:8" x14ac:dyDescent="0.2">
      <c r="A40" s="5">
        <v>34</v>
      </c>
      <c r="B40" s="6" t="s">
        <v>465</v>
      </c>
      <c r="C40" s="6" t="s">
        <v>466</v>
      </c>
      <c r="D40" s="6" t="s">
        <v>161</v>
      </c>
      <c r="E40" s="7">
        <v>200000</v>
      </c>
      <c r="F40" s="8">
        <v>1329.8</v>
      </c>
      <c r="G40" s="9">
        <v>1.0198570000000001E-2</v>
      </c>
      <c r="H40" s="164"/>
    </row>
    <row r="41" spans="1:8" x14ac:dyDescent="0.2">
      <c r="A41" s="5">
        <v>35</v>
      </c>
      <c r="B41" s="6" t="s">
        <v>536</v>
      </c>
      <c r="C41" s="6" t="s">
        <v>537</v>
      </c>
      <c r="D41" s="6" t="s">
        <v>930</v>
      </c>
      <c r="E41" s="7">
        <v>2700000</v>
      </c>
      <c r="F41" s="8">
        <v>1112.4000000000001</v>
      </c>
      <c r="G41" s="9">
        <v>8.5312740000000001E-3</v>
      </c>
      <c r="H41" s="164"/>
    </row>
    <row r="42" spans="1:8" x14ac:dyDescent="0.2">
      <c r="A42" s="5">
        <v>36</v>
      </c>
      <c r="B42" s="6" t="s">
        <v>377</v>
      </c>
      <c r="C42" s="6" t="s">
        <v>378</v>
      </c>
      <c r="D42" s="6" t="s">
        <v>346</v>
      </c>
      <c r="E42" s="7">
        <v>800119</v>
      </c>
      <c r="F42" s="8">
        <v>1068.1588650000001</v>
      </c>
      <c r="G42" s="9">
        <v>8.1919780000000008E-3</v>
      </c>
      <c r="H42" s="164"/>
    </row>
    <row r="43" spans="1:8" x14ac:dyDescent="0.2">
      <c r="A43" s="5">
        <v>37</v>
      </c>
      <c r="B43" s="6" t="s">
        <v>569</v>
      </c>
      <c r="C43" s="6" t="s">
        <v>570</v>
      </c>
      <c r="D43" s="6" t="s">
        <v>88</v>
      </c>
      <c r="E43" s="7">
        <v>12500</v>
      </c>
      <c r="F43" s="8">
        <v>478.7</v>
      </c>
      <c r="G43" s="9">
        <v>3.6712699999999999E-3</v>
      </c>
      <c r="H43" s="164"/>
    </row>
    <row r="44" spans="1:8" x14ac:dyDescent="0.2">
      <c r="A44" s="3" t="s">
        <v>9</v>
      </c>
      <c r="B44" s="3" t="s">
        <v>9</v>
      </c>
      <c r="C44" s="4" t="s">
        <v>110</v>
      </c>
      <c r="D44" s="3" t="s">
        <v>9</v>
      </c>
      <c r="E44" s="3" t="s">
        <v>9</v>
      </c>
      <c r="F44" s="11">
        <v>129149.62132599999</v>
      </c>
      <c r="G44" s="12">
        <v>0.99048082100000001</v>
      </c>
      <c r="H44" s="164"/>
    </row>
    <row r="45" spans="1:8" x14ac:dyDescent="0.2">
      <c r="A45" s="3" t="s">
        <v>9</v>
      </c>
      <c r="B45" s="3" t="s">
        <v>9</v>
      </c>
      <c r="C45" s="13" t="s">
        <v>9</v>
      </c>
      <c r="D45" s="3" t="s">
        <v>9</v>
      </c>
      <c r="E45" s="3" t="s">
        <v>9</v>
      </c>
      <c r="F45" s="14" t="s">
        <v>9</v>
      </c>
      <c r="G45" s="14" t="s">
        <v>9</v>
      </c>
      <c r="H45" s="164"/>
    </row>
    <row r="46" spans="1:8" x14ac:dyDescent="0.2">
      <c r="A46" s="3" t="s">
        <v>9</v>
      </c>
      <c r="B46" s="3" t="s">
        <v>9</v>
      </c>
      <c r="C46" s="4" t="s">
        <v>111</v>
      </c>
      <c r="D46" s="3" t="s">
        <v>9</v>
      </c>
      <c r="E46" s="3" t="s">
        <v>9</v>
      </c>
      <c r="F46" s="3" t="s">
        <v>9</v>
      </c>
      <c r="G46" s="3" t="s">
        <v>9</v>
      </c>
      <c r="H46" s="164"/>
    </row>
    <row r="47" spans="1:8" x14ac:dyDescent="0.2">
      <c r="A47" s="3" t="s">
        <v>9</v>
      </c>
      <c r="B47" s="3" t="s">
        <v>9</v>
      </c>
      <c r="C47" s="4" t="s">
        <v>110</v>
      </c>
      <c r="D47" s="3" t="s">
        <v>9</v>
      </c>
      <c r="E47" s="3" t="s">
        <v>9</v>
      </c>
      <c r="F47" s="15">
        <v>0</v>
      </c>
      <c r="G47" s="16">
        <v>0</v>
      </c>
      <c r="H47" s="164"/>
    </row>
    <row r="48" spans="1:8" x14ac:dyDescent="0.2">
      <c r="A48" s="3" t="s">
        <v>9</v>
      </c>
      <c r="B48" s="3" t="s">
        <v>9</v>
      </c>
      <c r="C48" s="13" t="s">
        <v>9</v>
      </c>
      <c r="D48" s="3" t="s">
        <v>9</v>
      </c>
      <c r="E48" s="3" t="s">
        <v>9</v>
      </c>
      <c r="F48" s="14" t="s">
        <v>9</v>
      </c>
      <c r="G48" s="14" t="s">
        <v>9</v>
      </c>
      <c r="H48" s="164"/>
    </row>
    <row r="49" spans="1:8" x14ac:dyDescent="0.2">
      <c r="A49" s="3" t="s">
        <v>9</v>
      </c>
      <c r="B49" s="3" t="s">
        <v>9</v>
      </c>
      <c r="C49" s="4" t="s">
        <v>112</v>
      </c>
      <c r="D49" s="3" t="s">
        <v>9</v>
      </c>
      <c r="E49" s="3" t="s">
        <v>9</v>
      </c>
      <c r="F49" s="3" t="s">
        <v>9</v>
      </c>
      <c r="G49" s="3" t="s">
        <v>9</v>
      </c>
      <c r="H49" s="164"/>
    </row>
    <row r="50" spans="1:8" x14ac:dyDescent="0.2">
      <c r="A50" s="3" t="s">
        <v>9</v>
      </c>
      <c r="B50" s="3" t="s">
        <v>9</v>
      </c>
      <c r="C50" s="4" t="s">
        <v>110</v>
      </c>
      <c r="D50" s="3" t="s">
        <v>9</v>
      </c>
      <c r="E50" s="3" t="s">
        <v>9</v>
      </c>
      <c r="F50" s="15">
        <v>0</v>
      </c>
      <c r="G50" s="16">
        <v>0</v>
      </c>
      <c r="H50" s="164"/>
    </row>
    <row r="51" spans="1:8" x14ac:dyDescent="0.2">
      <c r="A51" s="3" t="s">
        <v>9</v>
      </c>
      <c r="B51" s="3" t="s">
        <v>9</v>
      </c>
      <c r="C51" s="13" t="s">
        <v>9</v>
      </c>
      <c r="D51" s="3" t="s">
        <v>9</v>
      </c>
      <c r="E51" s="3" t="s">
        <v>9</v>
      </c>
      <c r="F51" s="14" t="s">
        <v>9</v>
      </c>
      <c r="G51" s="14" t="s">
        <v>9</v>
      </c>
      <c r="H51" s="164"/>
    </row>
    <row r="52" spans="1:8" x14ac:dyDescent="0.2">
      <c r="A52" s="3" t="s">
        <v>9</v>
      </c>
      <c r="B52" s="3" t="s">
        <v>9</v>
      </c>
      <c r="C52" s="4" t="s">
        <v>113</v>
      </c>
      <c r="D52" s="3" t="s">
        <v>9</v>
      </c>
      <c r="E52" s="3" t="s">
        <v>9</v>
      </c>
      <c r="F52" s="3" t="s">
        <v>9</v>
      </c>
      <c r="G52" s="3" t="s">
        <v>9</v>
      </c>
      <c r="H52" s="164"/>
    </row>
    <row r="53" spans="1:8" x14ac:dyDescent="0.2">
      <c r="A53" s="3" t="s">
        <v>9</v>
      </c>
      <c r="B53" s="3" t="s">
        <v>9</v>
      </c>
      <c r="C53" s="4" t="s">
        <v>110</v>
      </c>
      <c r="D53" s="3" t="s">
        <v>9</v>
      </c>
      <c r="E53" s="3" t="s">
        <v>9</v>
      </c>
      <c r="F53" s="15">
        <v>0</v>
      </c>
      <c r="G53" s="16">
        <v>0</v>
      </c>
      <c r="H53" s="164"/>
    </row>
    <row r="54" spans="1:8" x14ac:dyDescent="0.2">
      <c r="A54" s="3" t="s">
        <v>9</v>
      </c>
      <c r="B54" s="3" t="s">
        <v>9</v>
      </c>
      <c r="C54" s="13" t="s">
        <v>9</v>
      </c>
      <c r="D54" s="3" t="s">
        <v>9</v>
      </c>
      <c r="E54" s="3" t="s">
        <v>9</v>
      </c>
      <c r="F54" s="14" t="s">
        <v>9</v>
      </c>
      <c r="G54" s="14" t="s">
        <v>9</v>
      </c>
      <c r="H54" s="164"/>
    </row>
    <row r="55" spans="1:8" x14ac:dyDescent="0.2">
      <c r="A55" s="3" t="s">
        <v>9</v>
      </c>
      <c r="B55" s="3" t="s">
        <v>9</v>
      </c>
      <c r="C55" s="4" t="s">
        <v>114</v>
      </c>
      <c r="D55" s="3" t="s">
        <v>9</v>
      </c>
      <c r="E55" s="3" t="s">
        <v>9</v>
      </c>
      <c r="F55" s="14" t="s">
        <v>9</v>
      </c>
      <c r="G55" s="14" t="s">
        <v>9</v>
      </c>
      <c r="H55" s="164"/>
    </row>
    <row r="56" spans="1:8" x14ac:dyDescent="0.2">
      <c r="A56" s="3" t="s">
        <v>9</v>
      </c>
      <c r="B56" s="3" t="s">
        <v>9</v>
      </c>
      <c r="C56" s="4" t="s">
        <v>110</v>
      </c>
      <c r="D56" s="3" t="s">
        <v>9</v>
      </c>
      <c r="E56" s="3" t="s">
        <v>9</v>
      </c>
      <c r="F56" s="15">
        <v>0</v>
      </c>
      <c r="G56" s="16">
        <v>0</v>
      </c>
      <c r="H56" s="164"/>
    </row>
    <row r="57" spans="1:8" x14ac:dyDescent="0.2">
      <c r="A57" s="3" t="s">
        <v>9</v>
      </c>
      <c r="B57" s="3" t="s">
        <v>9</v>
      </c>
      <c r="C57" s="13" t="s">
        <v>9</v>
      </c>
      <c r="D57" s="3" t="s">
        <v>9</v>
      </c>
      <c r="E57" s="3" t="s">
        <v>9</v>
      </c>
      <c r="F57" s="14" t="s">
        <v>9</v>
      </c>
      <c r="G57" s="14" t="s">
        <v>9</v>
      </c>
      <c r="H57" s="164"/>
    </row>
    <row r="58" spans="1:8" x14ac:dyDescent="0.2">
      <c r="A58" s="3" t="s">
        <v>9</v>
      </c>
      <c r="B58" s="3" t="s">
        <v>9</v>
      </c>
      <c r="C58" s="4" t="s">
        <v>115</v>
      </c>
      <c r="D58" s="3" t="s">
        <v>9</v>
      </c>
      <c r="E58" s="3" t="s">
        <v>9</v>
      </c>
      <c r="F58" s="14" t="s">
        <v>9</v>
      </c>
      <c r="G58" s="14" t="s">
        <v>9</v>
      </c>
      <c r="H58" s="164"/>
    </row>
    <row r="59" spans="1:8" x14ac:dyDescent="0.2">
      <c r="A59" s="3" t="s">
        <v>9</v>
      </c>
      <c r="B59" s="3" t="s">
        <v>9</v>
      </c>
      <c r="C59" s="4" t="s">
        <v>110</v>
      </c>
      <c r="D59" s="3" t="s">
        <v>9</v>
      </c>
      <c r="E59" s="3" t="s">
        <v>9</v>
      </c>
      <c r="F59" s="15">
        <v>0</v>
      </c>
      <c r="G59" s="16">
        <v>0</v>
      </c>
      <c r="H59" s="164"/>
    </row>
    <row r="60" spans="1:8" x14ac:dyDescent="0.2">
      <c r="A60" s="3" t="s">
        <v>9</v>
      </c>
      <c r="B60" s="3" t="s">
        <v>9</v>
      </c>
      <c r="C60" s="13" t="s">
        <v>9</v>
      </c>
      <c r="D60" s="3" t="s">
        <v>9</v>
      </c>
      <c r="E60" s="3" t="s">
        <v>9</v>
      </c>
      <c r="F60" s="14" t="s">
        <v>9</v>
      </c>
      <c r="G60" s="14" t="s">
        <v>9</v>
      </c>
      <c r="H60" s="164"/>
    </row>
    <row r="61" spans="1:8" x14ac:dyDescent="0.2">
      <c r="A61" s="3" t="s">
        <v>9</v>
      </c>
      <c r="B61" s="3" t="s">
        <v>9</v>
      </c>
      <c r="C61" s="4" t="s">
        <v>116</v>
      </c>
      <c r="D61" s="3" t="s">
        <v>9</v>
      </c>
      <c r="E61" s="3" t="s">
        <v>9</v>
      </c>
      <c r="F61" s="11">
        <v>129149.62132599999</v>
      </c>
      <c r="G61" s="12">
        <v>0.99048082100000001</v>
      </c>
      <c r="H61" s="164"/>
    </row>
    <row r="62" spans="1:8" x14ac:dyDescent="0.2">
      <c r="A62" s="3" t="s">
        <v>9</v>
      </c>
      <c r="B62" s="3" t="s">
        <v>9</v>
      </c>
      <c r="C62" s="13" t="s">
        <v>9</v>
      </c>
      <c r="D62" s="3" t="s">
        <v>9</v>
      </c>
      <c r="E62" s="3" t="s">
        <v>9</v>
      </c>
      <c r="F62" s="14" t="s">
        <v>9</v>
      </c>
      <c r="G62" s="14" t="s">
        <v>9</v>
      </c>
      <c r="H62" s="164"/>
    </row>
    <row r="63" spans="1:8" x14ac:dyDescent="0.2">
      <c r="A63" s="3" t="s">
        <v>9</v>
      </c>
      <c r="B63" s="3" t="s">
        <v>9</v>
      </c>
      <c r="C63" s="4" t="s">
        <v>117</v>
      </c>
      <c r="D63" s="3" t="s">
        <v>9</v>
      </c>
      <c r="E63" s="3" t="s">
        <v>9</v>
      </c>
      <c r="F63" s="14" t="s">
        <v>9</v>
      </c>
      <c r="G63" s="14" t="s">
        <v>9</v>
      </c>
      <c r="H63" s="164"/>
    </row>
    <row r="64" spans="1:8" ht="25.5" x14ac:dyDescent="0.2">
      <c r="A64" s="3" t="s">
        <v>9</v>
      </c>
      <c r="B64" s="3" t="s">
        <v>9</v>
      </c>
      <c r="C64" s="4" t="s">
        <v>11</v>
      </c>
      <c r="D64" s="3" t="s">
        <v>9</v>
      </c>
      <c r="E64" s="3" t="s">
        <v>9</v>
      </c>
      <c r="F64" s="14" t="s">
        <v>9</v>
      </c>
      <c r="G64" s="14" t="s">
        <v>9</v>
      </c>
      <c r="H64" s="164"/>
    </row>
    <row r="65" spans="1:8" x14ac:dyDescent="0.2">
      <c r="A65" s="3" t="s">
        <v>9</v>
      </c>
      <c r="B65" s="3" t="s">
        <v>9</v>
      </c>
      <c r="C65" s="4" t="s">
        <v>110</v>
      </c>
      <c r="D65" s="3" t="s">
        <v>9</v>
      </c>
      <c r="E65" s="3" t="s">
        <v>9</v>
      </c>
      <c r="F65" s="15">
        <v>0</v>
      </c>
      <c r="G65" s="16">
        <v>0</v>
      </c>
      <c r="H65" s="164"/>
    </row>
    <row r="66" spans="1:8" x14ac:dyDescent="0.2">
      <c r="A66" s="3" t="s">
        <v>9</v>
      </c>
      <c r="B66" s="3" t="s">
        <v>9</v>
      </c>
      <c r="C66" s="13" t="s">
        <v>9</v>
      </c>
      <c r="D66" s="3" t="s">
        <v>9</v>
      </c>
      <c r="E66" s="3" t="s">
        <v>9</v>
      </c>
      <c r="F66" s="14" t="s">
        <v>9</v>
      </c>
      <c r="G66" s="14" t="s">
        <v>9</v>
      </c>
      <c r="H66" s="164"/>
    </row>
    <row r="67" spans="1:8" x14ac:dyDescent="0.2">
      <c r="A67" s="3" t="s">
        <v>9</v>
      </c>
      <c r="B67" s="3" t="s">
        <v>9</v>
      </c>
      <c r="C67" s="4" t="s">
        <v>118</v>
      </c>
      <c r="D67" s="3" t="s">
        <v>9</v>
      </c>
      <c r="E67" s="3" t="s">
        <v>9</v>
      </c>
      <c r="F67" s="3" t="s">
        <v>9</v>
      </c>
      <c r="G67" s="3" t="s">
        <v>9</v>
      </c>
      <c r="H67" s="164"/>
    </row>
    <row r="68" spans="1:8" x14ac:dyDescent="0.2">
      <c r="A68" s="3" t="s">
        <v>9</v>
      </c>
      <c r="B68" s="3" t="s">
        <v>9</v>
      </c>
      <c r="C68" s="4" t="s">
        <v>110</v>
      </c>
      <c r="D68" s="3" t="s">
        <v>9</v>
      </c>
      <c r="E68" s="3" t="s">
        <v>9</v>
      </c>
      <c r="F68" s="15">
        <v>0</v>
      </c>
      <c r="G68" s="16">
        <v>0</v>
      </c>
      <c r="H68" s="164"/>
    </row>
    <row r="69" spans="1:8" x14ac:dyDescent="0.2">
      <c r="A69" s="3" t="s">
        <v>9</v>
      </c>
      <c r="B69" s="3" t="s">
        <v>9</v>
      </c>
      <c r="C69" s="13" t="s">
        <v>9</v>
      </c>
      <c r="D69" s="3" t="s">
        <v>9</v>
      </c>
      <c r="E69" s="3" t="s">
        <v>9</v>
      </c>
      <c r="F69" s="14" t="s">
        <v>9</v>
      </c>
      <c r="G69" s="14" t="s">
        <v>9</v>
      </c>
      <c r="H69" s="164"/>
    </row>
    <row r="70" spans="1:8" x14ac:dyDescent="0.2">
      <c r="A70" s="3" t="s">
        <v>9</v>
      </c>
      <c r="B70" s="3" t="s">
        <v>9</v>
      </c>
      <c r="C70" s="4" t="s">
        <v>119</v>
      </c>
      <c r="D70" s="3" t="s">
        <v>9</v>
      </c>
      <c r="E70" s="3" t="s">
        <v>9</v>
      </c>
      <c r="F70" s="3" t="s">
        <v>9</v>
      </c>
      <c r="G70" s="3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110</v>
      </c>
      <c r="D71" s="3" t="s">
        <v>9</v>
      </c>
      <c r="E71" s="3" t="s">
        <v>9</v>
      </c>
      <c r="F71" s="15">
        <v>0</v>
      </c>
      <c r="G71" s="16">
        <v>0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120</v>
      </c>
      <c r="D73" s="3" t="s">
        <v>9</v>
      </c>
      <c r="E73" s="3" t="s">
        <v>9</v>
      </c>
      <c r="F73" s="14" t="s">
        <v>9</v>
      </c>
      <c r="G73" s="14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110</v>
      </c>
      <c r="D74" s="3" t="s">
        <v>9</v>
      </c>
      <c r="E74" s="3" t="s">
        <v>9</v>
      </c>
      <c r="F74" s="15">
        <v>0</v>
      </c>
      <c r="G74" s="16">
        <v>0</v>
      </c>
      <c r="H74" s="164"/>
    </row>
    <row r="75" spans="1:8" x14ac:dyDescent="0.2">
      <c r="A75" s="3" t="s">
        <v>9</v>
      </c>
      <c r="B75" s="3" t="s">
        <v>9</v>
      </c>
      <c r="C75" s="13" t="s">
        <v>9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121</v>
      </c>
      <c r="D76" s="3" t="s">
        <v>9</v>
      </c>
      <c r="E76" s="3" t="s">
        <v>9</v>
      </c>
      <c r="F76" s="11">
        <v>0</v>
      </c>
      <c r="G76" s="12">
        <v>0</v>
      </c>
      <c r="H76" s="164"/>
    </row>
    <row r="77" spans="1:8" x14ac:dyDescent="0.2">
      <c r="A77" s="3" t="s">
        <v>9</v>
      </c>
      <c r="B77" s="3" t="s">
        <v>9</v>
      </c>
      <c r="C77" s="13" t="s">
        <v>9</v>
      </c>
      <c r="D77" s="3" t="s">
        <v>9</v>
      </c>
      <c r="E77" s="3" t="s">
        <v>9</v>
      </c>
      <c r="F77" s="14" t="s">
        <v>9</v>
      </c>
      <c r="G77" s="14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122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x14ac:dyDescent="0.2">
      <c r="A79" s="3" t="s">
        <v>9</v>
      </c>
      <c r="B79" s="3" t="s">
        <v>9</v>
      </c>
      <c r="C79" s="4" t="s">
        <v>123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110</v>
      </c>
      <c r="D80" s="3" t="s">
        <v>9</v>
      </c>
      <c r="E80" s="3" t="s">
        <v>9</v>
      </c>
      <c r="F80" s="15">
        <v>0</v>
      </c>
      <c r="G80" s="16">
        <v>0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124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125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110</v>
      </c>
      <c r="D86" s="3" t="s">
        <v>9</v>
      </c>
      <c r="E86" s="3" t="s">
        <v>9</v>
      </c>
      <c r="F86" s="15">
        <v>0</v>
      </c>
      <c r="G86" s="16">
        <v>0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126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5">
        <v>1</v>
      </c>
      <c r="B89" s="6"/>
      <c r="C89" s="6" t="s">
        <v>127</v>
      </c>
      <c r="D89" s="6"/>
      <c r="E89" s="10" t="s">
        <v>9</v>
      </c>
      <c r="F89" s="8">
        <v>871.04283199999998</v>
      </c>
      <c r="G89" s="9">
        <v>6.6802459999999999E-3</v>
      </c>
      <c r="H89" s="90">
        <v>3.22</v>
      </c>
    </row>
    <row r="90" spans="1:8" x14ac:dyDescent="0.2">
      <c r="A90" s="5">
        <v>2</v>
      </c>
      <c r="B90" s="6"/>
      <c r="C90" s="6" t="s">
        <v>128</v>
      </c>
      <c r="D90" s="6"/>
      <c r="E90" s="10" t="s">
        <v>9</v>
      </c>
      <c r="F90" s="8">
        <v>246.1524675</v>
      </c>
      <c r="G90" s="9">
        <v>1.887805E-3</v>
      </c>
      <c r="H90" s="90">
        <v>3.34</v>
      </c>
    </row>
    <row r="91" spans="1:8" x14ac:dyDescent="0.2">
      <c r="A91" s="3" t="s">
        <v>9</v>
      </c>
      <c r="B91" s="3" t="s">
        <v>9</v>
      </c>
      <c r="C91" s="4" t="s">
        <v>110</v>
      </c>
      <c r="D91" s="3" t="s">
        <v>9</v>
      </c>
      <c r="E91" s="3" t="s">
        <v>9</v>
      </c>
      <c r="F91" s="11">
        <v>1117.1952994999999</v>
      </c>
      <c r="G91" s="12">
        <v>8.5680510000000001E-3</v>
      </c>
      <c r="H91" s="164"/>
    </row>
    <row r="92" spans="1:8" x14ac:dyDescent="0.2">
      <c r="A92" s="3" t="s">
        <v>9</v>
      </c>
      <c r="B92" s="3" t="s">
        <v>9</v>
      </c>
      <c r="C92" s="13" t="s">
        <v>9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129</v>
      </c>
      <c r="D93" s="3" t="s">
        <v>9</v>
      </c>
      <c r="E93" s="3" t="s">
        <v>9</v>
      </c>
      <c r="F93" s="11">
        <v>1117.1952994999999</v>
      </c>
      <c r="G93" s="12">
        <v>8.5680510000000001E-3</v>
      </c>
      <c r="H93" s="164"/>
    </row>
    <row r="94" spans="1:8" x14ac:dyDescent="0.2">
      <c r="A94" s="3" t="s">
        <v>9</v>
      </c>
      <c r="B94" s="3" t="s">
        <v>9</v>
      </c>
      <c r="C94" s="14" t="s">
        <v>9</v>
      </c>
      <c r="D94" s="3" t="s">
        <v>9</v>
      </c>
      <c r="E94" s="3" t="s">
        <v>9</v>
      </c>
      <c r="F94" s="3" t="s">
        <v>9</v>
      </c>
      <c r="G94" s="3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130</v>
      </c>
      <c r="D95" s="3" t="s">
        <v>9</v>
      </c>
      <c r="E95" s="3" t="s">
        <v>9</v>
      </c>
      <c r="F95" s="3" t="s">
        <v>9</v>
      </c>
      <c r="G95" s="3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131</v>
      </c>
      <c r="D96" s="3" t="s">
        <v>9</v>
      </c>
      <c r="E96" s="3" t="s">
        <v>9</v>
      </c>
      <c r="F96" s="3" t="s">
        <v>9</v>
      </c>
      <c r="G96" s="3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110</v>
      </c>
      <c r="D97" s="3" t="s">
        <v>9</v>
      </c>
      <c r="E97" s="3" t="s">
        <v>9</v>
      </c>
      <c r="F97" s="15">
        <v>0</v>
      </c>
      <c r="G97" s="16">
        <v>0</v>
      </c>
      <c r="H97" s="164"/>
    </row>
    <row r="98" spans="1:8" x14ac:dyDescent="0.2">
      <c r="A98" s="3" t="s">
        <v>9</v>
      </c>
      <c r="B98" s="3" t="s">
        <v>9</v>
      </c>
      <c r="C98" s="13" t="s">
        <v>9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132</v>
      </c>
      <c r="D99" s="3" t="s">
        <v>9</v>
      </c>
      <c r="E99" s="3" t="s">
        <v>9</v>
      </c>
      <c r="F99" s="3" t="s">
        <v>9</v>
      </c>
      <c r="G99" s="3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133</v>
      </c>
      <c r="D100" s="3" t="s">
        <v>9</v>
      </c>
      <c r="E100" s="3" t="s">
        <v>9</v>
      </c>
      <c r="F100" s="3" t="s">
        <v>9</v>
      </c>
      <c r="G100" s="3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110</v>
      </c>
      <c r="D101" s="3" t="s">
        <v>9</v>
      </c>
      <c r="E101" s="3" t="s">
        <v>9</v>
      </c>
      <c r="F101" s="15">
        <v>0</v>
      </c>
      <c r="G101" s="16">
        <v>0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13" t="s">
        <v>9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ht="25.5" x14ac:dyDescent="0.2">
      <c r="A104" s="3" t="s">
        <v>9</v>
      </c>
      <c r="B104" s="3" t="s">
        <v>9</v>
      </c>
      <c r="C104" s="4" t="s">
        <v>134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110</v>
      </c>
      <c r="D105" s="3" t="s">
        <v>9</v>
      </c>
      <c r="E105" s="3" t="s">
        <v>9</v>
      </c>
      <c r="F105" s="15">
        <v>0</v>
      </c>
      <c r="G105" s="16">
        <v>0</v>
      </c>
      <c r="H105" s="164"/>
    </row>
    <row r="106" spans="1:8" x14ac:dyDescent="0.2">
      <c r="A106" s="3" t="s">
        <v>9</v>
      </c>
      <c r="B106" s="3" t="s">
        <v>9</v>
      </c>
      <c r="C106" s="13" t="s">
        <v>9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6" t="s">
        <v>9</v>
      </c>
      <c r="C107" s="6" t="s">
        <v>9</v>
      </c>
      <c r="D107" s="4" t="s">
        <v>9</v>
      </c>
      <c r="E107" s="3" t="s">
        <v>9</v>
      </c>
      <c r="F107" s="6" t="s">
        <v>9</v>
      </c>
      <c r="G107" s="10" t="s">
        <v>9</v>
      </c>
      <c r="H107" s="164"/>
    </row>
    <row r="108" spans="1:8" x14ac:dyDescent="0.2">
      <c r="A108" s="10" t="s">
        <v>9</v>
      </c>
      <c r="B108" s="6" t="s">
        <v>9</v>
      </c>
      <c r="C108" s="6" t="s">
        <v>135</v>
      </c>
      <c r="D108" s="6" t="s">
        <v>9</v>
      </c>
      <c r="E108" s="10" t="s">
        <v>9</v>
      </c>
      <c r="F108" s="8">
        <v>124.01840575999999</v>
      </c>
      <c r="G108" s="9">
        <v>9.5112799999999998E-4</v>
      </c>
      <c r="H108" s="164"/>
    </row>
    <row r="109" spans="1:8" x14ac:dyDescent="0.2">
      <c r="A109" s="13" t="s">
        <v>9</v>
      </c>
      <c r="B109" s="13" t="s">
        <v>9</v>
      </c>
      <c r="C109" s="4" t="s">
        <v>136</v>
      </c>
      <c r="D109" s="17" t="s">
        <v>9</v>
      </c>
      <c r="E109" s="17" t="s">
        <v>9</v>
      </c>
      <c r="F109" s="11">
        <f>+F44+F91+F108</f>
        <v>130390.83503125999</v>
      </c>
      <c r="G109" s="12">
        <v>1</v>
      </c>
      <c r="H109" s="164"/>
    </row>
    <row r="110" spans="1:8" ht="14.1" customHeight="1" x14ac:dyDescent="0.2">
      <c r="A110" s="18" t="s">
        <v>9</v>
      </c>
      <c r="B110" s="18" t="s">
        <v>9</v>
      </c>
      <c r="C110" s="18" t="s">
        <v>9</v>
      </c>
      <c r="D110" s="19" t="s">
        <v>9</v>
      </c>
      <c r="E110" s="19" t="s">
        <v>9</v>
      </c>
      <c r="F110" s="19" t="s">
        <v>9</v>
      </c>
      <c r="G110" s="19" t="s">
        <v>9</v>
      </c>
    </row>
    <row r="111" spans="1:8" ht="14.1" customHeight="1" x14ac:dyDescent="0.2">
      <c r="A111" s="20" t="s">
        <v>9</v>
      </c>
      <c r="B111" s="228" t="s">
        <v>9</v>
      </c>
      <c r="C111" s="228"/>
      <c r="D111" s="228"/>
      <c r="E111" s="228"/>
      <c r="F111" s="228"/>
      <c r="G111" s="22" t="s">
        <v>9</v>
      </c>
    </row>
    <row r="112" spans="1:8" ht="14.1" customHeight="1" x14ac:dyDescent="0.2">
      <c r="A112" s="20" t="s">
        <v>9</v>
      </c>
      <c r="B112" s="228" t="s">
        <v>9</v>
      </c>
      <c r="C112" s="228"/>
      <c r="D112" s="228"/>
      <c r="E112" s="228"/>
      <c r="F112" s="228"/>
      <c r="G112" s="22" t="s">
        <v>9</v>
      </c>
    </row>
    <row r="113" spans="1:7" ht="14.1" customHeight="1" x14ac:dyDescent="0.2">
      <c r="A113" s="20" t="s">
        <v>9</v>
      </c>
      <c r="B113" s="20" t="s">
        <v>9</v>
      </c>
      <c r="C113" s="20" t="s">
        <v>9</v>
      </c>
      <c r="D113" s="22" t="s">
        <v>9</v>
      </c>
      <c r="E113" s="22" t="s">
        <v>9</v>
      </c>
      <c r="F113" s="22" t="s">
        <v>9</v>
      </c>
      <c r="G113" s="22" t="s">
        <v>9</v>
      </c>
    </row>
    <row r="114" spans="1:7" ht="14.1" customHeight="1" x14ac:dyDescent="0.2">
      <c r="A114" s="20" t="s">
        <v>9</v>
      </c>
      <c r="B114" s="226" t="s">
        <v>138</v>
      </c>
      <c r="C114" s="227"/>
      <c r="D114" s="14" t="s">
        <v>9</v>
      </c>
      <c r="E114" s="23" t="s">
        <v>9</v>
      </c>
      <c r="F114" s="22" t="s">
        <v>9</v>
      </c>
      <c r="G114" s="22" t="s">
        <v>9</v>
      </c>
    </row>
    <row r="115" spans="1:7" ht="29.1" customHeight="1" x14ac:dyDescent="0.2">
      <c r="A115" s="20" t="s">
        <v>9</v>
      </c>
      <c r="B115" s="233" t="s">
        <v>139</v>
      </c>
      <c r="C115" s="234"/>
      <c r="D115" s="4" t="s">
        <v>140</v>
      </c>
      <c r="E115" s="23" t="s">
        <v>9</v>
      </c>
      <c r="F115" s="22" t="s">
        <v>9</v>
      </c>
      <c r="G115" s="22" t="s">
        <v>9</v>
      </c>
    </row>
    <row r="116" spans="1:7" ht="17.100000000000001" customHeight="1" x14ac:dyDescent="0.2">
      <c r="A116" s="20" t="s">
        <v>9</v>
      </c>
      <c r="B116" s="233" t="s">
        <v>141</v>
      </c>
      <c r="C116" s="234"/>
      <c r="D116" s="4" t="s">
        <v>140</v>
      </c>
      <c r="E116" s="23" t="s">
        <v>9</v>
      </c>
      <c r="F116" s="22" t="s">
        <v>9</v>
      </c>
      <c r="G116" s="22" t="s">
        <v>9</v>
      </c>
    </row>
    <row r="117" spans="1:7" ht="17.100000000000001" customHeight="1" x14ac:dyDescent="0.2">
      <c r="A117" s="20" t="s">
        <v>9</v>
      </c>
      <c r="B117" s="233" t="s">
        <v>142</v>
      </c>
      <c r="C117" s="234"/>
      <c r="D117" s="14" t="s">
        <v>9</v>
      </c>
      <c r="E117" s="23" t="s">
        <v>9</v>
      </c>
      <c r="F117" s="22" t="s">
        <v>9</v>
      </c>
      <c r="G117" s="22" t="s">
        <v>9</v>
      </c>
    </row>
    <row r="118" spans="1:7" ht="24" customHeight="1" x14ac:dyDescent="0.2">
      <c r="A118" s="24" t="s">
        <v>9</v>
      </c>
      <c r="B118" s="25" t="s">
        <v>9</v>
      </c>
      <c r="C118" s="25" t="s">
        <v>143</v>
      </c>
      <c r="D118" s="25" t="s">
        <v>144</v>
      </c>
      <c r="E118" s="24" t="s">
        <v>9</v>
      </c>
      <c r="F118" s="24" t="s">
        <v>9</v>
      </c>
      <c r="G118" s="24" t="s">
        <v>9</v>
      </c>
    </row>
    <row r="119" spans="1:7" ht="18" customHeight="1" x14ac:dyDescent="0.2">
      <c r="A119" s="24" t="s">
        <v>9</v>
      </c>
      <c r="B119" s="25" t="s">
        <v>145</v>
      </c>
      <c r="C119" s="25" t="s">
        <v>146</v>
      </c>
      <c r="D119" s="25" t="s">
        <v>147</v>
      </c>
      <c r="E119" s="24" t="s">
        <v>9</v>
      </c>
      <c r="F119" s="24" t="s">
        <v>9</v>
      </c>
      <c r="G119" s="24" t="s">
        <v>9</v>
      </c>
    </row>
    <row r="120" spans="1:7" ht="17.100000000000001" customHeight="1" x14ac:dyDescent="0.2">
      <c r="A120" s="24" t="s">
        <v>9</v>
      </c>
      <c r="B120" s="6" t="s">
        <v>148</v>
      </c>
      <c r="C120" s="26">
        <v>56.633099999999999</v>
      </c>
      <c r="D120" s="26">
        <v>57.760800000000003</v>
      </c>
      <c r="E120" s="24" t="s">
        <v>9</v>
      </c>
      <c r="F120" s="21" t="s">
        <v>9</v>
      </c>
      <c r="G120" s="27" t="s">
        <v>9</v>
      </c>
    </row>
    <row r="121" spans="1:7" ht="17.100000000000001" customHeight="1" x14ac:dyDescent="0.2">
      <c r="A121" s="24" t="s">
        <v>9</v>
      </c>
      <c r="B121" s="6" t="s">
        <v>839</v>
      </c>
      <c r="C121" s="26">
        <v>21.812799999999999</v>
      </c>
      <c r="D121" s="26">
        <v>22.247199999999999</v>
      </c>
      <c r="E121" s="24" t="s">
        <v>9</v>
      </c>
      <c r="F121" s="21" t="s">
        <v>9</v>
      </c>
      <c r="G121" s="27" t="s">
        <v>9</v>
      </c>
    </row>
    <row r="122" spans="1:7" ht="17.100000000000001" customHeight="1" x14ac:dyDescent="0.2">
      <c r="A122" s="24" t="s">
        <v>9</v>
      </c>
      <c r="B122" s="6" t="s">
        <v>149</v>
      </c>
      <c r="C122" s="26">
        <v>53.561500000000002</v>
      </c>
      <c r="D122" s="26">
        <v>54.5914</v>
      </c>
      <c r="E122" s="24" t="s">
        <v>9</v>
      </c>
      <c r="F122" s="21" t="s">
        <v>9</v>
      </c>
      <c r="G122" s="27" t="s">
        <v>9</v>
      </c>
    </row>
    <row r="123" spans="1:7" ht="17.100000000000001" customHeight="1" x14ac:dyDescent="0.2">
      <c r="A123" s="24" t="s">
        <v>9</v>
      </c>
      <c r="B123" s="6" t="s">
        <v>840</v>
      </c>
      <c r="C123" s="26">
        <v>20.289899999999999</v>
      </c>
      <c r="D123" s="26">
        <v>20.680099999999999</v>
      </c>
      <c r="E123" s="24" t="s">
        <v>9</v>
      </c>
      <c r="F123" s="21" t="s">
        <v>9</v>
      </c>
      <c r="G123" s="27" t="s">
        <v>9</v>
      </c>
    </row>
    <row r="124" spans="1:7" ht="14.1" customHeight="1" x14ac:dyDescent="0.2">
      <c r="A124" s="24" t="s">
        <v>9</v>
      </c>
      <c r="B124" s="24" t="s">
        <v>9</v>
      </c>
      <c r="C124" s="24" t="s">
        <v>9</v>
      </c>
      <c r="D124" s="24" t="s">
        <v>9</v>
      </c>
      <c r="E124" s="24" t="s">
        <v>9</v>
      </c>
      <c r="F124" s="24" t="s">
        <v>9</v>
      </c>
      <c r="G124" s="24" t="s">
        <v>9</v>
      </c>
    </row>
    <row r="125" spans="1:7" ht="17.100000000000001" customHeight="1" x14ac:dyDescent="0.2">
      <c r="A125" s="24" t="s">
        <v>9</v>
      </c>
      <c r="B125" s="233" t="s">
        <v>1003</v>
      </c>
      <c r="C125" s="234"/>
      <c r="D125" s="4" t="s">
        <v>140</v>
      </c>
      <c r="E125" s="24" t="s">
        <v>9</v>
      </c>
      <c r="F125" s="24" t="s">
        <v>9</v>
      </c>
      <c r="G125" s="24" t="s">
        <v>9</v>
      </c>
    </row>
    <row r="126" spans="1:7" ht="18" customHeight="1" x14ac:dyDescent="0.2">
      <c r="A126" s="24" t="s">
        <v>9</v>
      </c>
      <c r="B126" s="28" t="s">
        <v>150</v>
      </c>
      <c r="C126" s="28" t="s">
        <v>150</v>
      </c>
      <c r="D126" s="28" t="s">
        <v>9</v>
      </c>
      <c r="E126" s="24" t="s">
        <v>9</v>
      </c>
      <c r="F126" s="24" t="s">
        <v>9</v>
      </c>
      <c r="G126" s="24" t="s">
        <v>9</v>
      </c>
    </row>
    <row r="127" spans="1:7" s="169" customFormat="1" x14ac:dyDescent="0.2">
      <c r="B127" s="235" t="s">
        <v>841</v>
      </c>
      <c r="C127" s="235"/>
      <c r="D127" s="235"/>
      <c r="E127" s="235"/>
      <c r="F127" s="235"/>
    </row>
    <row r="128" spans="1:7" ht="14.1" customHeight="1" x14ac:dyDescent="0.2">
      <c r="A128" s="24" t="s">
        <v>9</v>
      </c>
      <c r="B128" s="21" t="s">
        <v>9</v>
      </c>
      <c r="C128" s="21" t="s">
        <v>9</v>
      </c>
      <c r="D128" s="24" t="s">
        <v>9</v>
      </c>
      <c r="E128" s="24" t="s">
        <v>9</v>
      </c>
      <c r="F128" s="24" t="s">
        <v>9</v>
      </c>
      <c r="G128" s="24" t="s">
        <v>9</v>
      </c>
    </row>
    <row r="129" spans="1:7" ht="29.1" customHeight="1" x14ac:dyDescent="0.2">
      <c r="A129" s="24" t="s">
        <v>9</v>
      </c>
      <c r="B129" s="233" t="s">
        <v>151</v>
      </c>
      <c r="C129" s="234"/>
      <c r="D129" s="4" t="s">
        <v>140</v>
      </c>
      <c r="E129" s="24" t="s">
        <v>9</v>
      </c>
      <c r="F129" s="24" t="s">
        <v>9</v>
      </c>
      <c r="G129" s="24" t="s">
        <v>9</v>
      </c>
    </row>
    <row r="130" spans="1:7" ht="29.1" customHeight="1" x14ac:dyDescent="0.2">
      <c r="A130" s="24" t="s">
        <v>9</v>
      </c>
      <c r="B130" s="233" t="s">
        <v>152</v>
      </c>
      <c r="C130" s="234"/>
      <c r="D130" s="4" t="s">
        <v>140</v>
      </c>
      <c r="E130" s="24" t="s">
        <v>9</v>
      </c>
      <c r="F130" s="24" t="s">
        <v>9</v>
      </c>
      <c r="G130" s="24" t="s">
        <v>9</v>
      </c>
    </row>
    <row r="131" spans="1:7" ht="17.100000000000001" customHeight="1" x14ac:dyDescent="0.2">
      <c r="A131" s="24" t="s">
        <v>9</v>
      </c>
      <c r="B131" s="233" t="s">
        <v>153</v>
      </c>
      <c r="C131" s="234"/>
      <c r="D131" s="29">
        <v>0.12513745951504077</v>
      </c>
      <c r="E131" s="24" t="s">
        <v>9</v>
      </c>
      <c r="F131" s="21" t="s">
        <v>9</v>
      </c>
      <c r="G131" s="27" t="s">
        <v>9</v>
      </c>
    </row>
    <row r="132" spans="1:7" ht="17.100000000000001" customHeight="1" x14ac:dyDescent="0.2">
      <c r="A132" s="24" t="s">
        <v>9</v>
      </c>
      <c r="B132" s="233" t="s">
        <v>154</v>
      </c>
      <c r="C132" s="234"/>
      <c r="D132" s="4" t="s">
        <v>140</v>
      </c>
      <c r="E132" s="24" t="s">
        <v>9</v>
      </c>
      <c r="F132" s="24" t="s">
        <v>9</v>
      </c>
      <c r="G132" s="24" t="s">
        <v>9</v>
      </c>
    </row>
  </sheetData>
  <mergeCells count="15">
    <mergeCell ref="B131:C131"/>
    <mergeCell ref="B132:C132"/>
    <mergeCell ref="B115:C115"/>
    <mergeCell ref="B116:C116"/>
    <mergeCell ref="B117:C117"/>
    <mergeCell ref="B125:C125"/>
    <mergeCell ref="B129:C129"/>
    <mergeCell ref="B130:C130"/>
    <mergeCell ref="B127:F127"/>
    <mergeCell ref="B114:C114"/>
    <mergeCell ref="B111:F111"/>
    <mergeCell ref="B112:F112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H144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571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20</v>
      </c>
      <c r="C7" s="6" t="s">
        <v>21</v>
      </c>
      <c r="D7" s="6" t="s">
        <v>22</v>
      </c>
      <c r="E7" s="7">
        <v>2018224</v>
      </c>
      <c r="F7" s="8">
        <v>13774.3788</v>
      </c>
      <c r="G7" s="9">
        <v>8.3921307000000001E-2</v>
      </c>
      <c r="H7" s="164"/>
    </row>
    <row r="8" spans="1:8" x14ac:dyDescent="0.2">
      <c r="A8" s="5">
        <v>2</v>
      </c>
      <c r="B8" s="6" t="s">
        <v>79</v>
      </c>
      <c r="C8" s="6" t="s">
        <v>80</v>
      </c>
      <c r="D8" s="6" t="s">
        <v>22</v>
      </c>
      <c r="E8" s="7">
        <v>810399</v>
      </c>
      <c r="F8" s="8">
        <v>11559.936535500001</v>
      </c>
      <c r="G8" s="9">
        <v>7.0429671999999999E-2</v>
      </c>
      <c r="H8" s="164"/>
    </row>
    <row r="9" spans="1:8" x14ac:dyDescent="0.2">
      <c r="A9" s="5">
        <v>3</v>
      </c>
      <c r="B9" s="6" t="s">
        <v>306</v>
      </c>
      <c r="C9" s="6" t="s">
        <v>307</v>
      </c>
      <c r="D9" s="6" t="s">
        <v>179</v>
      </c>
      <c r="E9" s="7">
        <v>291050</v>
      </c>
      <c r="F9" s="8">
        <v>8339.1646000000001</v>
      </c>
      <c r="G9" s="9">
        <v>5.0806907999999998E-2</v>
      </c>
      <c r="H9" s="164"/>
    </row>
    <row r="10" spans="1:8" ht="25.5" x14ac:dyDescent="0.2">
      <c r="A10" s="5">
        <v>4</v>
      </c>
      <c r="B10" s="6" t="s">
        <v>405</v>
      </c>
      <c r="C10" s="6" t="s">
        <v>406</v>
      </c>
      <c r="D10" s="6" t="s">
        <v>161</v>
      </c>
      <c r="E10" s="7">
        <v>238846</v>
      </c>
      <c r="F10" s="8">
        <v>5830.589129</v>
      </c>
      <c r="G10" s="9">
        <v>3.5523247000000001E-2</v>
      </c>
      <c r="H10" s="164"/>
    </row>
    <row r="11" spans="1:8" x14ac:dyDescent="0.2">
      <c r="A11" s="5">
        <v>5</v>
      </c>
      <c r="B11" s="6" t="s">
        <v>23</v>
      </c>
      <c r="C11" s="6" t="s">
        <v>24</v>
      </c>
      <c r="D11" s="6" t="s">
        <v>25</v>
      </c>
      <c r="E11" s="7">
        <v>841540</v>
      </c>
      <c r="F11" s="8">
        <v>4726.5094099999997</v>
      </c>
      <c r="G11" s="9">
        <v>2.8796569000000001E-2</v>
      </c>
      <c r="H11" s="164"/>
    </row>
    <row r="12" spans="1:8" x14ac:dyDescent="0.2">
      <c r="A12" s="5">
        <v>6</v>
      </c>
      <c r="B12" s="6" t="s">
        <v>212</v>
      </c>
      <c r="C12" s="6" t="s">
        <v>213</v>
      </c>
      <c r="D12" s="6" t="s">
        <v>929</v>
      </c>
      <c r="E12" s="7">
        <v>536245</v>
      </c>
      <c r="F12" s="8">
        <v>4661.8459075000001</v>
      </c>
      <c r="G12" s="9">
        <v>2.8402601999999999E-2</v>
      </c>
      <c r="H12" s="164"/>
    </row>
    <row r="13" spans="1:8" x14ac:dyDescent="0.2">
      <c r="A13" s="5">
        <v>7</v>
      </c>
      <c r="B13" s="6" t="s">
        <v>166</v>
      </c>
      <c r="C13" s="6" t="s">
        <v>167</v>
      </c>
      <c r="D13" s="6" t="s">
        <v>927</v>
      </c>
      <c r="E13" s="7">
        <v>387493</v>
      </c>
      <c r="F13" s="8">
        <v>4600.5106425000004</v>
      </c>
      <c r="G13" s="9">
        <v>2.8028912999999999E-2</v>
      </c>
      <c r="H13" s="164"/>
    </row>
    <row r="14" spans="1:8" x14ac:dyDescent="0.2">
      <c r="A14" s="5">
        <v>8</v>
      </c>
      <c r="B14" s="6" t="s">
        <v>357</v>
      </c>
      <c r="C14" s="6" t="s">
        <v>358</v>
      </c>
      <c r="D14" s="6" t="s">
        <v>22</v>
      </c>
      <c r="E14" s="7">
        <v>643154</v>
      </c>
      <c r="F14" s="8">
        <v>4559.318706</v>
      </c>
      <c r="G14" s="9">
        <v>2.7777949E-2</v>
      </c>
      <c r="H14" s="164"/>
    </row>
    <row r="15" spans="1:8" x14ac:dyDescent="0.2">
      <c r="A15" s="5">
        <v>9</v>
      </c>
      <c r="B15" s="6" t="s">
        <v>256</v>
      </c>
      <c r="C15" s="6" t="s">
        <v>257</v>
      </c>
      <c r="D15" s="6" t="s">
        <v>930</v>
      </c>
      <c r="E15" s="7">
        <v>813298</v>
      </c>
      <c r="F15" s="8">
        <v>4556.5020450000002</v>
      </c>
      <c r="G15" s="9">
        <v>2.7760788000000002E-2</v>
      </c>
      <c r="H15" s="164"/>
    </row>
    <row r="16" spans="1:8" x14ac:dyDescent="0.2">
      <c r="A16" s="5">
        <v>10</v>
      </c>
      <c r="B16" s="6" t="s">
        <v>101</v>
      </c>
      <c r="C16" s="6" t="s">
        <v>102</v>
      </c>
      <c r="D16" s="6" t="s">
        <v>76</v>
      </c>
      <c r="E16" s="7">
        <v>772621</v>
      </c>
      <c r="F16" s="8">
        <v>4309.2936275000002</v>
      </c>
      <c r="G16" s="9">
        <v>2.6254653999999999E-2</v>
      </c>
      <c r="H16" s="164"/>
    </row>
    <row r="17" spans="1:8" x14ac:dyDescent="0.2">
      <c r="A17" s="5">
        <v>11</v>
      </c>
      <c r="B17" s="6" t="s">
        <v>308</v>
      </c>
      <c r="C17" s="6" t="s">
        <v>309</v>
      </c>
      <c r="D17" s="6" t="s">
        <v>182</v>
      </c>
      <c r="E17" s="7">
        <v>104347</v>
      </c>
      <c r="F17" s="8">
        <v>4210.4014500000003</v>
      </c>
      <c r="G17" s="9">
        <v>2.5652147E-2</v>
      </c>
      <c r="H17" s="164"/>
    </row>
    <row r="18" spans="1:8" x14ac:dyDescent="0.2">
      <c r="A18" s="5">
        <v>12</v>
      </c>
      <c r="B18" s="6" t="s">
        <v>353</v>
      </c>
      <c r="C18" s="6" t="s">
        <v>354</v>
      </c>
      <c r="D18" s="6" t="s">
        <v>50</v>
      </c>
      <c r="E18" s="7">
        <v>595291</v>
      </c>
      <c r="F18" s="8">
        <v>3833.0787489999998</v>
      </c>
      <c r="G18" s="9">
        <v>2.3353283999999998E-2</v>
      </c>
      <c r="H18" s="164"/>
    </row>
    <row r="19" spans="1:8" x14ac:dyDescent="0.2">
      <c r="A19" s="5">
        <v>13</v>
      </c>
      <c r="B19" s="6" t="s">
        <v>208</v>
      </c>
      <c r="C19" s="6" t="s">
        <v>209</v>
      </c>
      <c r="D19" s="6" t="s">
        <v>161</v>
      </c>
      <c r="E19" s="7">
        <v>609563</v>
      </c>
      <c r="F19" s="8">
        <v>3658.2923445000001</v>
      </c>
      <c r="G19" s="9">
        <v>2.2288386E-2</v>
      </c>
      <c r="H19" s="164"/>
    </row>
    <row r="20" spans="1:8" x14ac:dyDescent="0.2">
      <c r="A20" s="5">
        <v>14</v>
      </c>
      <c r="B20" s="6" t="s">
        <v>395</v>
      </c>
      <c r="C20" s="6" t="s">
        <v>396</v>
      </c>
      <c r="D20" s="6" t="s">
        <v>932</v>
      </c>
      <c r="E20" s="7">
        <v>25000</v>
      </c>
      <c r="F20" s="8">
        <v>3555.55</v>
      </c>
      <c r="G20" s="9">
        <v>2.1662422000000001E-2</v>
      </c>
      <c r="H20" s="164"/>
    </row>
    <row r="21" spans="1:8" x14ac:dyDescent="0.2">
      <c r="A21" s="5">
        <v>15</v>
      </c>
      <c r="B21" s="6" t="s">
        <v>214</v>
      </c>
      <c r="C21" s="6" t="s">
        <v>215</v>
      </c>
      <c r="D21" s="6" t="s">
        <v>179</v>
      </c>
      <c r="E21" s="7">
        <v>82881</v>
      </c>
      <c r="F21" s="8">
        <v>3468.7770525000001</v>
      </c>
      <c r="G21" s="9">
        <v>2.1133751999999999E-2</v>
      </c>
      <c r="H21" s="164"/>
    </row>
    <row r="22" spans="1:8" x14ac:dyDescent="0.2">
      <c r="A22" s="5">
        <v>16</v>
      </c>
      <c r="B22" s="6" t="s">
        <v>173</v>
      </c>
      <c r="C22" s="6" t="s">
        <v>174</v>
      </c>
      <c r="D22" s="6" t="s">
        <v>179</v>
      </c>
      <c r="E22" s="7">
        <v>247894</v>
      </c>
      <c r="F22" s="8">
        <v>3375.3247040000001</v>
      </c>
      <c r="G22" s="9">
        <v>2.0564387E-2</v>
      </c>
      <c r="H22" s="164"/>
    </row>
    <row r="23" spans="1:8" x14ac:dyDescent="0.2">
      <c r="A23" s="5">
        <v>17</v>
      </c>
      <c r="B23" s="6" t="s">
        <v>572</v>
      </c>
      <c r="C23" s="6" t="s">
        <v>573</v>
      </c>
      <c r="D23" s="6" t="s">
        <v>930</v>
      </c>
      <c r="E23" s="7">
        <v>1833250</v>
      </c>
      <c r="F23" s="8">
        <v>3315.4326249999999</v>
      </c>
      <c r="G23" s="9">
        <v>2.0199491E-2</v>
      </c>
      <c r="H23" s="164"/>
    </row>
    <row r="24" spans="1:8" ht="25.5" x14ac:dyDescent="0.2">
      <c r="A24" s="5">
        <v>18</v>
      </c>
      <c r="B24" s="6" t="s">
        <v>381</v>
      </c>
      <c r="C24" s="6" t="s">
        <v>382</v>
      </c>
      <c r="D24" s="6" t="s">
        <v>50</v>
      </c>
      <c r="E24" s="7">
        <v>135000</v>
      </c>
      <c r="F24" s="8">
        <v>3147.2550000000001</v>
      </c>
      <c r="G24" s="9">
        <v>1.9174857999999999E-2</v>
      </c>
      <c r="H24" s="164"/>
    </row>
    <row r="25" spans="1:8" x14ac:dyDescent="0.2">
      <c r="A25" s="5">
        <v>19</v>
      </c>
      <c r="B25" s="6" t="s">
        <v>180</v>
      </c>
      <c r="C25" s="6" t="s">
        <v>181</v>
      </c>
      <c r="D25" s="6" t="s">
        <v>182</v>
      </c>
      <c r="E25" s="7">
        <v>232449</v>
      </c>
      <c r="F25" s="8">
        <v>3041.4789405000001</v>
      </c>
      <c r="G25" s="9">
        <v>1.8530410000000001E-2</v>
      </c>
      <c r="H25" s="164"/>
    </row>
    <row r="26" spans="1:8" x14ac:dyDescent="0.2">
      <c r="A26" s="5">
        <v>20</v>
      </c>
      <c r="B26" s="6" t="s">
        <v>15</v>
      </c>
      <c r="C26" s="6" t="s">
        <v>16</v>
      </c>
      <c r="D26" s="6" t="s">
        <v>17</v>
      </c>
      <c r="E26" s="7">
        <v>145586</v>
      </c>
      <c r="F26" s="8">
        <v>2963.1118580000002</v>
      </c>
      <c r="G26" s="9">
        <v>1.8052954E-2</v>
      </c>
      <c r="H26" s="164"/>
    </row>
    <row r="27" spans="1:8" x14ac:dyDescent="0.2">
      <c r="A27" s="5">
        <v>21</v>
      </c>
      <c r="B27" s="6" t="s">
        <v>232</v>
      </c>
      <c r="C27" s="6" t="s">
        <v>233</v>
      </c>
      <c r="D27" s="6" t="s">
        <v>37</v>
      </c>
      <c r="E27" s="7">
        <v>341244</v>
      </c>
      <c r="F27" s="8">
        <v>2947.1538059999998</v>
      </c>
      <c r="G27" s="9">
        <v>1.7955728000000001E-2</v>
      </c>
      <c r="H27" s="164"/>
    </row>
    <row r="28" spans="1:8" x14ac:dyDescent="0.2">
      <c r="A28" s="5">
        <v>22</v>
      </c>
      <c r="B28" s="6" t="s">
        <v>559</v>
      </c>
      <c r="C28" s="6" t="s">
        <v>560</v>
      </c>
      <c r="D28" s="6" t="s">
        <v>161</v>
      </c>
      <c r="E28" s="7">
        <v>39471</v>
      </c>
      <c r="F28" s="8">
        <v>2458.2933509999998</v>
      </c>
      <c r="G28" s="9">
        <v>1.4977314E-2</v>
      </c>
      <c r="H28" s="164"/>
    </row>
    <row r="29" spans="1:8" x14ac:dyDescent="0.2">
      <c r="A29" s="5">
        <v>23</v>
      </c>
      <c r="B29" s="6" t="s">
        <v>177</v>
      </c>
      <c r="C29" s="6" t="s">
        <v>178</v>
      </c>
      <c r="D29" s="6" t="s">
        <v>179</v>
      </c>
      <c r="E29" s="7">
        <v>831494</v>
      </c>
      <c r="F29" s="8">
        <v>2342.7343449999998</v>
      </c>
      <c r="G29" s="9">
        <v>1.4273263E-2</v>
      </c>
      <c r="H29" s="164"/>
    </row>
    <row r="30" spans="1:8" x14ac:dyDescent="0.2">
      <c r="A30" s="5">
        <v>24</v>
      </c>
      <c r="B30" s="6" t="s">
        <v>574</v>
      </c>
      <c r="C30" s="6" t="s">
        <v>575</v>
      </c>
      <c r="D30" s="6" t="s">
        <v>182</v>
      </c>
      <c r="E30" s="7">
        <v>79522</v>
      </c>
      <c r="F30" s="8">
        <v>2262.2020950000001</v>
      </c>
      <c r="G30" s="9">
        <v>1.3782615E-2</v>
      </c>
      <c r="H30" s="164"/>
    </row>
    <row r="31" spans="1:8" x14ac:dyDescent="0.2">
      <c r="A31" s="5">
        <v>25</v>
      </c>
      <c r="B31" s="6" t="s">
        <v>330</v>
      </c>
      <c r="C31" s="6" t="s">
        <v>331</v>
      </c>
      <c r="D31" s="6" t="s">
        <v>207</v>
      </c>
      <c r="E31" s="7">
        <v>7154</v>
      </c>
      <c r="F31" s="8">
        <v>2253.6602339999999</v>
      </c>
      <c r="G31" s="9">
        <v>1.3730572999999999E-2</v>
      </c>
      <c r="H31" s="164"/>
    </row>
    <row r="32" spans="1:8" x14ac:dyDescent="0.2">
      <c r="A32" s="5">
        <v>26</v>
      </c>
      <c r="B32" s="6" t="s">
        <v>48</v>
      </c>
      <c r="C32" s="6" t="s">
        <v>49</v>
      </c>
      <c r="D32" s="6" t="s">
        <v>50</v>
      </c>
      <c r="E32" s="7">
        <v>298141</v>
      </c>
      <c r="F32" s="8">
        <v>2231.2872440000001</v>
      </c>
      <c r="G32" s="9">
        <v>1.3594264E-2</v>
      </c>
      <c r="H32" s="164"/>
    </row>
    <row r="33" spans="1:8" x14ac:dyDescent="0.2">
      <c r="A33" s="5">
        <v>27</v>
      </c>
      <c r="B33" s="6" t="s">
        <v>576</v>
      </c>
      <c r="C33" s="6" t="s">
        <v>577</v>
      </c>
      <c r="D33" s="6" t="s">
        <v>346</v>
      </c>
      <c r="E33" s="7">
        <v>29389</v>
      </c>
      <c r="F33" s="8">
        <v>2099.9175224999999</v>
      </c>
      <c r="G33" s="9">
        <v>1.2793885E-2</v>
      </c>
      <c r="H33" s="164"/>
    </row>
    <row r="34" spans="1:8" x14ac:dyDescent="0.2">
      <c r="A34" s="5">
        <v>28</v>
      </c>
      <c r="B34" s="6" t="s">
        <v>344</v>
      </c>
      <c r="C34" s="6" t="s">
        <v>345</v>
      </c>
      <c r="D34" s="6" t="s">
        <v>346</v>
      </c>
      <c r="E34" s="7">
        <v>222388</v>
      </c>
      <c r="F34" s="8">
        <v>2052.4188519999998</v>
      </c>
      <c r="G34" s="9">
        <v>1.2504497E-2</v>
      </c>
      <c r="H34" s="164"/>
    </row>
    <row r="35" spans="1:8" x14ac:dyDescent="0.2">
      <c r="A35" s="5">
        <v>29</v>
      </c>
      <c r="B35" s="6" t="s">
        <v>286</v>
      </c>
      <c r="C35" s="6" t="s">
        <v>287</v>
      </c>
      <c r="D35" s="6" t="s">
        <v>927</v>
      </c>
      <c r="E35" s="7">
        <v>122830</v>
      </c>
      <c r="F35" s="8">
        <v>1969.2719750000001</v>
      </c>
      <c r="G35" s="9">
        <v>1.1997918999999999E-2</v>
      </c>
      <c r="H35" s="164"/>
    </row>
    <row r="36" spans="1:8" x14ac:dyDescent="0.2">
      <c r="A36" s="5">
        <v>30</v>
      </c>
      <c r="B36" s="6" t="s">
        <v>578</v>
      </c>
      <c r="C36" s="6" t="s">
        <v>579</v>
      </c>
      <c r="D36" s="6" t="s">
        <v>179</v>
      </c>
      <c r="E36" s="7">
        <v>45000</v>
      </c>
      <c r="F36" s="8">
        <v>1901.655</v>
      </c>
      <c r="G36" s="9">
        <v>1.1585958E-2</v>
      </c>
      <c r="H36" s="164"/>
    </row>
    <row r="37" spans="1:8" x14ac:dyDescent="0.2">
      <c r="A37" s="5">
        <v>31</v>
      </c>
      <c r="B37" s="6" t="s">
        <v>457</v>
      </c>
      <c r="C37" s="6" t="s">
        <v>458</v>
      </c>
      <c r="D37" s="6" t="s">
        <v>50</v>
      </c>
      <c r="E37" s="7">
        <v>450000</v>
      </c>
      <c r="F37" s="8">
        <v>1897.425</v>
      </c>
      <c r="G37" s="9">
        <v>1.1560186E-2</v>
      </c>
      <c r="H37" s="164"/>
    </row>
    <row r="38" spans="1:8" x14ac:dyDescent="0.2">
      <c r="A38" s="5">
        <v>32</v>
      </c>
      <c r="B38" s="6" t="s">
        <v>377</v>
      </c>
      <c r="C38" s="6" t="s">
        <v>378</v>
      </c>
      <c r="D38" s="6" t="s">
        <v>346</v>
      </c>
      <c r="E38" s="7">
        <v>1372687</v>
      </c>
      <c r="F38" s="8">
        <v>1832.537145</v>
      </c>
      <c r="G38" s="9">
        <v>1.1164853000000001E-2</v>
      </c>
      <c r="H38" s="164"/>
    </row>
    <row r="39" spans="1:8" x14ac:dyDescent="0.2">
      <c r="A39" s="5">
        <v>33</v>
      </c>
      <c r="B39" s="6" t="s">
        <v>251</v>
      </c>
      <c r="C39" s="6" t="s">
        <v>252</v>
      </c>
      <c r="D39" s="6" t="s">
        <v>253</v>
      </c>
      <c r="E39" s="7">
        <v>380798</v>
      </c>
      <c r="F39" s="8">
        <v>1830.686385</v>
      </c>
      <c r="G39" s="9">
        <v>1.1153577E-2</v>
      </c>
      <c r="H39" s="164"/>
    </row>
    <row r="40" spans="1:8" x14ac:dyDescent="0.2">
      <c r="A40" s="5">
        <v>34</v>
      </c>
      <c r="B40" s="6" t="s">
        <v>550</v>
      </c>
      <c r="C40" s="6" t="s">
        <v>551</v>
      </c>
      <c r="D40" s="6" t="s">
        <v>927</v>
      </c>
      <c r="E40" s="7">
        <v>168338</v>
      </c>
      <c r="F40" s="8">
        <v>1753.6611150000001</v>
      </c>
      <c r="G40" s="9">
        <v>1.0684295E-2</v>
      </c>
      <c r="H40" s="164"/>
    </row>
    <row r="41" spans="1:8" x14ac:dyDescent="0.2">
      <c r="A41" s="5">
        <v>35</v>
      </c>
      <c r="B41" s="6" t="s">
        <v>187</v>
      </c>
      <c r="C41" s="6" t="s">
        <v>188</v>
      </c>
      <c r="D41" s="6" t="s">
        <v>182</v>
      </c>
      <c r="E41" s="7">
        <v>652856</v>
      </c>
      <c r="F41" s="8">
        <v>1633.445712</v>
      </c>
      <c r="G41" s="9">
        <v>9.9518750000000007E-3</v>
      </c>
      <c r="H41" s="164"/>
    </row>
    <row r="42" spans="1:8" ht="25.5" x14ac:dyDescent="0.2">
      <c r="A42" s="5">
        <v>36</v>
      </c>
      <c r="B42" s="6" t="s">
        <v>438</v>
      </c>
      <c r="C42" s="6" t="s">
        <v>439</v>
      </c>
      <c r="D42" s="6" t="s">
        <v>932</v>
      </c>
      <c r="E42" s="7">
        <v>106121</v>
      </c>
      <c r="F42" s="8">
        <v>1566.0806574999999</v>
      </c>
      <c r="G42" s="9">
        <v>9.5414490000000005E-3</v>
      </c>
      <c r="H42" s="164"/>
    </row>
    <row r="43" spans="1:8" x14ac:dyDescent="0.2">
      <c r="A43" s="5">
        <v>37</v>
      </c>
      <c r="B43" s="6" t="s">
        <v>260</v>
      </c>
      <c r="C43" s="6" t="s">
        <v>261</v>
      </c>
      <c r="D43" s="6" t="s">
        <v>930</v>
      </c>
      <c r="E43" s="7">
        <v>380696</v>
      </c>
      <c r="F43" s="8">
        <v>1557.427336</v>
      </c>
      <c r="G43" s="9">
        <v>9.4887280000000001E-3</v>
      </c>
      <c r="H43" s="164"/>
    </row>
    <row r="44" spans="1:8" x14ac:dyDescent="0.2">
      <c r="A44" s="5">
        <v>38</v>
      </c>
      <c r="B44" s="6" t="s">
        <v>503</v>
      </c>
      <c r="C44" s="6" t="s">
        <v>504</v>
      </c>
      <c r="D44" s="6" t="s">
        <v>62</v>
      </c>
      <c r="E44" s="7">
        <v>84225</v>
      </c>
      <c r="F44" s="8">
        <v>1444.0797375</v>
      </c>
      <c r="G44" s="9">
        <v>8.7981510000000006E-3</v>
      </c>
      <c r="H44" s="164"/>
    </row>
    <row r="45" spans="1:8" x14ac:dyDescent="0.2">
      <c r="A45" s="5">
        <v>39</v>
      </c>
      <c r="B45" s="6" t="s">
        <v>536</v>
      </c>
      <c r="C45" s="6" t="s">
        <v>537</v>
      </c>
      <c r="D45" s="6" t="s">
        <v>930</v>
      </c>
      <c r="E45" s="7">
        <v>3456014</v>
      </c>
      <c r="F45" s="8">
        <v>1423.8777680000001</v>
      </c>
      <c r="G45" s="9">
        <v>8.6750690000000005E-3</v>
      </c>
      <c r="H45" s="164"/>
    </row>
    <row r="46" spans="1:8" x14ac:dyDescent="0.2">
      <c r="A46" s="5">
        <v>40</v>
      </c>
      <c r="B46" s="6" t="s">
        <v>271</v>
      </c>
      <c r="C46" s="6" t="s">
        <v>272</v>
      </c>
      <c r="D46" s="6" t="s">
        <v>346</v>
      </c>
      <c r="E46" s="7">
        <v>141377</v>
      </c>
      <c r="F46" s="8">
        <v>1363.0863455000001</v>
      </c>
      <c r="G46" s="9">
        <v>8.3046930000000001E-3</v>
      </c>
      <c r="H46" s="164"/>
    </row>
    <row r="47" spans="1:8" x14ac:dyDescent="0.2">
      <c r="A47" s="5">
        <v>41</v>
      </c>
      <c r="B47" s="6" t="s">
        <v>196</v>
      </c>
      <c r="C47" s="6" t="s">
        <v>197</v>
      </c>
      <c r="D47" s="6" t="s">
        <v>928</v>
      </c>
      <c r="E47" s="7">
        <v>404089</v>
      </c>
      <c r="F47" s="8">
        <v>1315.5117395</v>
      </c>
      <c r="G47" s="9">
        <v>8.0148419999999995E-3</v>
      </c>
      <c r="H47" s="164"/>
    </row>
    <row r="48" spans="1:8" x14ac:dyDescent="0.2">
      <c r="A48" s="5">
        <v>42</v>
      </c>
      <c r="B48" s="6" t="s">
        <v>580</v>
      </c>
      <c r="C48" s="6" t="s">
        <v>581</v>
      </c>
      <c r="D48" s="6" t="s">
        <v>932</v>
      </c>
      <c r="E48" s="7">
        <v>190589</v>
      </c>
      <c r="F48" s="8">
        <v>1265.6062545</v>
      </c>
      <c r="G48" s="9">
        <v>7.710789E-3</v>
      </c>
      <c r="H48" s="164"/>
    </row>
    <row r="49" spans="1:8" x14ac:dyDescent="0.2">
      <c r="A49" s="5">
        <v>43</v>
      </c>
      <c r="B49" s="6" t="s">
        <v>436</v>
      </c>
      <c r="C49" s="6" t="s">
        <v>437</v>
      </c>
      <c r="D49" s="6" t="s">
        <v>22</v>
      </c>
      <c r="E49" s="7">
        <v>70315</v>
      </c>
      <c r="F49" s="8">
        <v>1163.5726199999999</v>
      </c>
      <c r="G49" s="9">
        <v>7.089143E-3</v>
      </c>
      <c r="H49" s="164"/>
    </row>
    <row r="50" spans="1:8" x14ac:dyDescent="0.2">
      <c r="A50" s="5">
        <v>44</v>
      </c>
      <c r="B50" s="6" t="s">
        <v>582</v>
      </c>
      <c r="C50" s="6" t="s">
        <v>583</v>
      </c>
      <c r="D50" s="6" t="s">
        <v>346</v>
      </c>
      <c r="E50" s="7">
        <v>22186</v>
      </c>
      <c r="F50" s="8">
        <v>1156.955528</v>
      </c>
      <c r="G50" s="9">
        <v>7.048828E-3</v>
      </c>
      <c r="H50" s="164"/>
    </row>
    <row r="51" spans="1:8" x14ac:dyDescent="0.2">
      <c r="A51" s="5">
        <v>45</v>
      </c>
      <c r="B51" s="6" t="s">
        <v>542</v>
      </c>
      <c r="C51" s="6" t="s">
        <v>543</v>
      </c>
      <c r="D51" s="6" t="s">
        <v>927</v>
      </c>
      <c r="E51" s="7">
        <v>27262</v>
      </c>
      <c r="F51" s="8">
        <v>910.75526500000001</v>
      </c>
      <c r="G51" s="9">
        <v>5.5488359999999997E-3</v>
      </c>
      <c r="H51" s="164"/>
    </row>
    <row r="52" spans="1:8" x14ac:dyDescent="0.2">
      <c r="A52" s="5">
        <v>46</v>
      </c>
      <c r="B52" s="6" t="s">
        <v>301</v>
      </c>
      <c r="C52" s="6" t="s">
        <v>302</v>
      </c>
      <c r="D52" s="6" t="s">
        <v>930</v>
      </c>
      <c r="E52" s="7">
        <v>2402077</v>
      </c>
      <c r="F52" s="8">
        <v>898.37679800000001</v>
      </c>
      <c r="G52" s="9">
        <v>5.4734199999999997E-3</v>
      </c>
      <c r="H52" s="164"/>
    </row>
    <row r="53" spans="1:8" x14ac:dyDescent="0.2">
      <c r="A53" s="5">
        <v>47</v>
      </c>
      <c r="B53" s="6" t="s">
        <v>409</v>
      </c>
      <c r="C53" s="6" t="s">
        <v>410</v>
      </c>
      <c r="D53" s="6" t="s">
        <v>932</v>
      </c>
      <c r="E53" s="7">
        <v>75269</v>
      </c>
      <c r="F53" s="8">
        <v>826.90523399999995</v>
      </c>
      <c r="G53" s="9">
        <v>5.0379739999999998E-3</v>
      </c>
      <c r="H53" s="164"/>
    </row>
    <row r="54" spans="1:8" x14ac:dyDescent="0.2">
      <c r="A54" s="5">
        <v>48</v>
      </c>
      <c r="B54" s="6" t="s">
        <v>584</v>
      </c>
      <c r="C54" s="6" t="s">
        <v>585</v>
      </c>
      <c r="D54" s="6" t="s">
        <v>346</v>
      </c>
      <c r="E54" s="7">
        <v>22461</v>
      </c>
      <c r="F54" s="8">
        <v>786.31468800000005</v>
      </c>
      <c r="G54" s="9">
        <v>4.790674E-3</v>
      </c>
      <c r="H54" s="164"/>
    </row>
    <row r="55" spans="1:8" x14ac:dyDescent="0.2">
      <c r="A55" s="3" t="s">
        <v>9</v>
      </c>
      <c r="B55" s="3" t="s">
        <v>9</v>
      </c>
      <c r="C55" s="4" t="s">
        <v>110</v>
      </c>
      <c r="D55" s="3" t="s">
        <v>9</v>
      </c>
      <c r="E55" s="3" t="s">
        <v>9</v>
      </c>
      <c r="F55" s="11">
        <v>148631.65187949999</v>
      </c>
      <c r="G55" s="12">
        <v>0.90554809800000002</v>
      </c>
      <c r="H55" s="164"/>
    </row>
    <row r="56" spans="1:8" x14ac:dyDescent="0.2">
      <c r="A56" s="3" t="s">
        <v>9</v>
      </c>
      <c r="B56" s="3" t="s">
        <v>9</v>
      </c>
      <c r="C56" s="13" t="s">
        <v>9</v>
      </c>
      <c r="D56" s="3" t="s">
        <v>9</v>
      </c>
      <c r="E56" s="3" t="s">
        <v>9</v>
      </c>
      <c r="F56" s="14" t="s">
        <v>9</v>
      </c>
      <c r="G56" s="14" t="s">
        <v>9</v>
      </c>
      <c r="H56" s="164"/>
    </row>
    <row r="57" spans="1:8" x14ac:dyDescent="0.2">
      <c r="A57" s="3" t="s">
        <v>9</v>
      </c>
      <c r="B57" s="3" t="s">
        <v>9</v>
      </c>
      <c r="C57" s="4" t="s">
        <v>111</v>
      </c>
      <c r="D57" s="3" t="s">
        <v>9</v>
      </c>
      <c r="E57" s="3" t="s">
        <v>9</v>
      </c>
      <c r="F57" s="3" t="s">
        <v>9</v>
      </c>
      <c r="G57" s="3" t="s">
        <v>9</v>
      </c>
      <c r="H57" s="164"/>
    </row>
    <row r="58" spans="1:8" x14ac:dyDescent="0.2">
      <c r="A58" s="5">
        <v>1</v>
      </c>
      <c r="B58" s="6" t="s">
        <v>586</v>
      </c>
      <c r="C58" s="6" t="s">
        <v>587</v>
      </c>
      <c r="D58" s="6"/>
      <c r="E58" s="7">
        <v>32872</v>
      </c>
      <c r="F58" s="8">
        <v>733.08677480999995</v>
      </c>
      <c r="G58" s="9">
        <v>4.4663790000000004E-3</v>
      </c>
      <c r="H58" s="164"/>
    </row>
    <row r="59" spans="1:8" x14ac:dyDescent="0.2">
      <c r="A59" s="3" t="s">
        <v>9</v>
      </c>
      <c r="B59" s="3" t="s">
        <v>9</v>
      </c>
      <c r="C59" s="4" t="s">
        <v>110</v>
      </c>
      <c r="D59" s="3" t="s">
        <v>9</v>
      </c>
      <c r="E59" s="3" t="s">
        <v>9</v>
      </c>
      <c r="F59" s="11">
        <v>733.08677480999995</v>
      </c>
      <c r="G59" s="12">
        <v>4.4663790000000004E-3</v>
      </c>
      <c r="H59" s="164"/>
    </row>
    <row r="60" spans="1:8" x14ac:dyDescent="0.2">
      <c r="A60" s="3" t="s">
        <v>9</v>
      </c>
      <c r="B60" s="3" t="s">
        <v>9</v>
      </c>
      <c r="C60" s="13" t="s">
        <v>9</v>
      </c>
      <c r="D60" s="3" t="s">
        <v>9</v>
      </c>
      <c r="E60" s="3" t="s">
        <v>9</v>
      </c>
      <c r="F60" s="14" t="s">
        <v>9</v>
      </c>
      <c r="G60" s="14" t="s">
        <v>9</v>
      </c>
      <c r="H60" s="164"/>
    </row>
    <row r="61" spans="1:8" x14ac:dyDescent="0.2">
      <c r="A61" s="3" t="s">
        <v>9</v>
      </c>
      <c r="B61" s="3" t="s">
        <v>9</v>
      </c>
      <c r="C61" s="4" t="s">
        <v>112</v>
      </c>
      <c r="D61" s="3" t="s">
        <v>9</v>
      </c>
      <c r="E61" s="3" t="s">
        <v>9</v>
      </c>
      <c r="F61" s="3" t="s">
        <v>9</v>
      </c>
      <c r="G61" s="3" t="s">
        <v>9</v>
      </c>
      <c r="H61" s="164"/>
    </row>
    <row r="62" spans="1:8" x14ac:dyDescent="0.2">
      <c r="A62" s="3" t="s">
        <v>9</v>
      </c>
      <c r="B62" s="3" t="s">
        <v>9</v>
      </c>
      <c r="C62" s="4" t="s">
        <v>110</v>
      </c>
      <c r="D62" s="3" t="s">
        <v>9</v>
      </c>
      <c r="E62" s="3" t="s">
        <v>9</v>
      </c>
      <c r="F62" s="15">
        <v>0</v>
      </c>
      <c r="G62" s="16">
        <v>0</v>
      </c>
      <c r="H62" s="164"/>
    </row>
    <row r="63" spans="1:8" x14ac:dyDescent="0.2">
      <c r="A63" s="3" t="s">
        <v>9</v>
      </c>
      <c r="B63" s="3" t="s">
        <v>9</v>
      </c>
      <c r="C63" s="13" t="s">
        <v>9</v>
      </c>
      <c r="D63" s="3" t="s">
        <v>9</v>
      </c>
      <c r="E63" s="3" t="s">
        <v>9</v>
      </c>
      <c r="F63" s="14" t="s">
        <v>9</v>
      </c>
      <c r="G63" s="14" t="s">
        <v>9</v>
      </c>
      <c r="H63" s="164"/>
    </row>
    <row r="64" spans="1:8" x14ac:dyDescent="0.2">
      <c r="A64" s="3" t="s">
        <v>9</v>
      </c>
      <c r="B64" s="3" t="s">
        <v>9</v>
      </c>
      <c r="C64" s="4" t="s">
        <v>113</v>
      </c>
      <c r="D64" s="3" t="s">
        <v>9</v>
      </c>
      <c r="E64" s="3" t="s">
        <v>9</v>
      </c>
      <c r="F64" s="3" t="s">
        <v>9</v>
      </c>
      <c r="G64" s="3" t="s">
        <v>9</v>
      </c>
      <c r="H64" s="164"/>
    </row>
    <row r="65" spans="1:8" x14ac:dyDescent="0.2">
      <c r="A65" s="3" t="s">
        <v>9</v>
      </c>
      <c r="B65" s="3" t="s">
        <v>9</v>
      </c>
      <c r="C65" s="4" t="s">
        <v>110</v>
      </c>
      <c r="D65" s="3" t="s">
        <v>9</v>
      </c>
      <c r="E65" s="3" t="s">
        <v>9</v>
      </c>
      <c r="F65" s="15">
        <v>0</v>
      </c>
      <c r="G65" s="16">
        <v>0</v>
      </c>
      <c r="H65" s="164"/>
    </row>
    <row r="66" spans="1:8" x14ac:dyDescent="0.2">
      <c r="A66" s="3" t="s">
        <v>9</v>
      </c>
      <c r="B66" s="3" t="s">
        <v>9</v>
      </c>
      <c r="C66" s="13" t="s">
        <v>9</v>
      </c>
      <c r="D66" s="3" t="s">
        <v>9</v>
      </c>
      <c r="E66" s="3" t="s">
        <v>9</v>
      </c>
      <c r="F66" s="14" t="s">
        <v>9</v>
      </c>
      <c r="G66" s="14" t="s">
        <v>9</v>
      </c>
      <c r="H66" s="164"/>
    </row>
    <row r="67" spans="1:8" x14ac:dyDescent="0.2">
      <c r="A67" s="3" t="s">
        <v>9</v>
      </c>
      <c r="B67" s="3" t="s">
        <v>9</v>
      </c>
      <c r="C67" s="4" t="s">
        <v>114</v>
      </c>
      <c r="D67" s="3" t="s">
        <v>9</v>
      </c>
      <c r="E67" s="3" t="s">
        <v>9</v>
      </c>
      <c r="F67" s="14" t="s">
        <v>9</v>
      </c>
      <c r="G67" s="14" t="s">
        <v>9</v>
      </c>
      <c r="H67" s="164"/>
    </row>
    <row r="68" spans="1:8" x14ac:dyDescent="0.2">
      <c r="A68" s="3" t="s">
        <v>9</v>
      </c>
      <c r="B68" s="3" t="s">
        <v>9</v>
      </c>
      <c r="C68" s="4" t="s">
        <v>110</v>
      </c>
      <c r="D68" s="3" t="s">
        <v>9</v>
      </c>
      <c r="E68" s="3" t="s">
        <v>9</v>
      </c>
      <c r="F68" s="15">
        <v>0</v>
      </c>
      <c r="G68" s="16">
        <v>0</v>
      </c>
      <c r="H68" s="164"/>
    </row>
    <row r="69" spans="1:8" x14ac:dyDescent="0.2">
      <c r="A69" s="3" t="s">
        <v>9</v>
      </c>
      <c r="B69" s="3" t="s">
        <v>9</v>
      </c>
      <c r="C69" s="13" t="s">
        <v>9</v>
      </c>
      <c r="D69" s="3" t="s">
        <v>9</v>
      </c>
      <c r="E69" s="3" t="s">
        <v>9</v>
      </c>
      <c r="F69" s="14" t="s">
        <v>9</v>
      </c>
      <c r="G69" s="14" t="s">
        <v>9</v>
      </c>
      <c r="H69" s="164"/>
    </row>
    <row r="70" spans="1:8" x14ac:dyDescent="0.2">
      <c r="A70" s="3" t="s">
        <v>9</v>
      </c>
      <c r="B70" s="3" t="s">
        <v>9</v>
      </c>
      <c r="C70" s="4" t="s">
        <v>115</v>
      </c>
      <c r="D70" s="3" t="s">
        <v>9</v>
      </c>
      <c r="E70" s="3" t="s">
        <v>9</v>
      </c>
      <c r="F70" s="14" t="s">
        <v>9</v>
      </c>
      <c r="G70" s="14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110</v>
      </c>
      <c r="D71" s="3" t="s">
        <v>9</v>
      </c>
      <c r="E71" s="3" t="s">
        <v>9</v>
      </c>
      <c r="F71" s="15">
        <v>0</v>
      </c>
      <c r="G71" s="16">
        <v>0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116</v>
      </c>
      <c r="D73" s="3" t="s">
        <v>9</v>
      </c>
      <c r="E73" s="3" t="s">
        <v>9</v>
      </c>
      <c r="F73" s="11">
        <v>149364.73865431</v>
      </c>
      <c r="G73" s="12">
        <v>0.91001447700000004</v>
      </c>
      <c r="H73" s="164"/>
    </row>
    <row r="74" spans="1:8" x14ac:dyDescent="0.2">
      <c r="A74" s="3" t="s">
        <v>9</v>
      </c>
      <c r="B74" s="3" t="s">
        <v>9</v>
      </c>
      <c r="C74" s="13" t="s">
        <v>9</v>
      </c>
      <c r="D74" s="3" t="s">
        <v>9</v>
      </c>
      <c r="E74" s="3" t="s">
        <v>9</v>
      </c>
      <c r="F74" s="14" t="s">
        <v>9</v>
      </c>
      <c r="G74" s="14" t="s">
        <v>9</v>
      </c>
      <c r="H74" s="164"/>
    </row>
    <row r="75" spans="1:8" x14ac:dyDescent="0.2">
      <c r="A75" s="3" t="s">
        <v>9</v>
      </c>
      <c r="B75" s="3" t="s">
        <v>9</v>
      </c>
      <c r="C75" s="4" t="s">
        <v>117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ht="25.5" x14ac:dyDescent="0.2">
      <c r="A76" s="3" t="s">
        <v>9</v>
      </c>
      <c r="B76" s="3" t="s">
        <v>9</v>
      </c>
      <c r="C76" s="4" t="s">
        <v>11</v>
      </c>
      <c r="D76" s="3" t="s">
        <v>9</v>
      </c>
      <c r="E76" s="3" t="s">
        <v>9</v>
      </c>
      <c r="F76" s="14" t="s">
        <v>9</v>
      </c>
      <c r="G76" s="14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110</v>
      </c>
      <c r="D77" s="3" t="s">
        <v>9</v>
      </c>
      <c r="E77" s="3" t="s">
        <v>9</v>
      </c>
      <c r="F77" s="15">
        <v>0</v>
      </c>
      <c r="G77" s="16">
        <v>0</v>
      </c>
      <c r="H77" s="164"/>
    </row>
    <row r="78" spans="1:8" x14ac:dyDescent="0.2">
      <c r="A78" s="3" t="s">
        <v>9</v>
      </c>
      <c r="B78" s="3" t="s">
        <v>9</v>
      </c>
      <c r="C78" s="13" t="s">
        <v>9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x14ac:dyDescent="0.2">
      <c r="A79" s="3" t="s">
        <v>9</v>
      </c>
      <c r="B79" s="3" t="s">
        <v>9</v>
      </c>
      <c r="C79" s="4" t="s">
        <v>118</v>
      </c>
      <c r="D79" s="3" t="s">
        <v>9</v>
      </c>
      <c r="E79" s="3" t="s">
        <v>9</v>
      </c>
      <c r="F79" s="3" t="s">
        <v>9</v>
      </c>
      <c r="G79" s="3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110</v>
      </c>
      <c r="D80" s="3" t="s">
        <v>9</v>
      </c>
      <c r="E80" s="3" t="s">
        <v>9</v>
      </c>
      <c r="F80" s="15">
        <v>0</v>
      </c>
      <c r="G80" s="16">
        <v>0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119</v>
      </c>
      <c r="D82" s="3" t="s">
        <v>9</v>
      </c>
      <c r="E82" s="3" t="s">
        <v>9</v>
      </c>
      <c r="F82" s="3" t="s">
        <v>9</v>
      </c>
      <c r="G82" s="3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120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110</v>
      </c>
      <c r="D86" s="3" t="s">
        <v>9</v>
      </c>
      <c r="E86" s="3" t="s">
        <v>9</v>
      </c>
      <c r="F86" s="15">
        <v>0</v>
      </c>
      <c r="G86" s="16">
        <v>0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121</v>
      </c>
      <c r="D88" s="3" t="s">
        <v>9</v>
      </c>
      <c r="E88" s="3" t="s">
        <v>9</v>
      </c>
      <c r="F88" s="11">
        <v>0</v>
      </c>
      <c r="G88" s="12">
        <v>0</v>
      </c>
      <c r="H88" s="164"/>
    </row>
    <row r="89" spans="1:8" x14ac:dyDescent="0.2">
      <c r="A89" s="3" t="s">
        <v>9</v>
      </c>
      <c r="B89" s="3" t="s">
        <v>9</v>
      </c>
      <c r="C89" s="13" t="s">
        <v>9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122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123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110</v>
      </c>
      <c r="D92" s="3" t="s">
        <v>9</v>
      </c>
      <c r="E92" s="3" t="s">
        <v>9</v>
      </c>
      <c r="F92" s="15">
        <v>0</v>
      </c>
      <c r="G92" s="16">
        <v>0</v>
      </c>
      <c r="H92" s="164"/>
    </row>
    <row r="93" spans="1:8" x14ac:dyDescent="0.2">
      <c r="A93" s="3" t="s">
        <v>9</v>
      </c>
      <c r="B93" s="3" t="s">
        <v>9</v>
      </c>
      <c r="C93" s="13" t="s">
        <v>9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124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110</v>
      </c>
      <c r="D95" s="3" t="s">
        <v>9</v>
      </c>
      <c r="E95" s="3" t="s">
        <v>9</v>
      </c>
      <c r="F95" s="15">
        <v>0</v>
      </c>
      <c r="G95" s="16">
        <v>0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125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110</v>
      </c>
      <c r="D98" s="3" t="s">
        <v>9</v>
      </c>
      <c r="E98" s="3" t="s">
        <v>9</v>
      </c>
      <c r="F98" s="15">
        <v>0</v>
      </c>
      <c r="G98" s="16">
        <v>0</v>
      </c>
      <c r="H98" s="164"/>
    </row>
    <row r="99" spans="1:8" x14ac:dyDescent="0.2">
      <c r="A99" s="3" t="s">
        <v>9</v>
      </c>
      <c r="B99" s="3" t="s">
        <v>9</v>
      </c>
      <c r="C99" s="13" t="s">
        <v>9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126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5">
        <v>1</v>
      </c>
      <c r="B101" s="6"/>
      <c r="C101" s="6" t="s">
        <v>127</v>
      </c>
      <c r="D101" s="6"/>
      <c r="E101" s="10" t="s">
        <v>9</v>
      </c>
      <c r="F101" s="8">
        <v>10918.5899646</v>
      </c>
      <c r="G101" s="9">
        <v>6.6522226000000004E-2</v>
      </c>
      <c r="H101" s="90">
        <v>3.22</v>
      </c>
    </row>
    <row r="102" spans="1:8" x14ac:dyDescent="0.2">
      <c r="A102" s="5">
        <v>2</v>
      </c>
      <c r="B102" s="6"/>
      <c r="C102" s="6" t="s">
        <v>128</v>
      </c>
      <c r="D102" s="6"/>
      <c r="E102" s="10" t="s">
        <v>9</v>
      </c>
      <c r="F102" s="8">
        <v>3085.5406068000002</v>
      </c>
      <c r="G102" s="9">
        <v>1.8798859000000001E-2</v>
      </c>
      <c r="H102" s="90">
        <v>3.34</v>
      </c>
    </row>
    <row r="103" spans="1:8" x14ac:dyDescent="0.2">
      <c r="A103" s="3" t="s">
        <v>9</v>
      </c>
      <c r="B103" s="3" t="s">
        <v>9</v>
      </c>
      <c r="C103" s="4" t="s">
        <v>110</v>
      </c>
      <c r="D103" s="3" t="s">
        <v>9</v>
      </c>
      <c r="E103" s="3" t="s">
        <v>9</v>
      </c>
      <c r="F103" s="11">
        <v>14004.130571399999</v>
      </c>
      <c r="G103" s="12">
        <v>8.5321085000000005E-2</v>
      </c>
      <c r="H103" s="164"/>
    </row>
    <row r="104" spans="1:8" x14ac:dyDescent="0.2">
      <c r="A104" s="3" t="s">
        <v>9</v>
      </c>
      <c r="B104" s="3" t="s">
        <v>9</v>
      </c>
      <c r="C104" s="13" t="s">
        <v>9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129</v>
      </c>
      <c r="D105" s="3" t="s">
        <v>9</v>
      </c>
      <c r="E105" s="3" t="s">
        <v>9</v>
      </c>
      <c r="F105" s="11">
        <v>14004.130571399999</v>
      </c>
      <c r="G105" s="12">
        <v>8.5321085000000005E-2</v>
      </c>
      <c r="H105" s="164"/>
    </row>
    <row r="106" spans="1:8" x14ac:dyDescent="0.2">
      <c r="A106" s="3" t="s">
        <v>9</v>
      </c>
      <c r="B106" s="3" t="s">
        <v>9</v>
      </c>
      <c r="C106" s="14" t="s">
        <v>9</v>
      </c>
      <c r="D106" s="3" t="s">
        <v>9</v>
      </c>
      <c r="E106" s="3" t="s">
        <v>9</v>
      </c>
      <c r="F106" s="3" t="s">
        <v>9</v>
      </c>
      <c r="G106" s="3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130</v>
      </c>
      <c r="D107" s="3" t="s">
        <v>9</v>
      </c>
      <c r="E107" s="3" t="s">
        <v>9</v>
      </c>
      <c r="F107" s="3" t="s">
        <v>9</v>
      </c>
      <c r="G107" s="3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131</v>
      </c>
      <c r="D108" s="3" t="s">
        <v>9</v>
      </c>
      <c r="E108" s="3" t="s">
        <v>9</v>
      </c>
      <c r="F108" s="3" t="s">
        <v>9</v>
      </c>
      <c r="G108" s="3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110</v>
      </c>
      <c r="D109" s="3" t="s">
        <v>9</v>
      </c>
      <c r="E109" s="3" t="s">
        <v>9</v>
      </c>
      <c r="F109" s="15">
        <v>0</v>
      </c>
      <c r="G109" s="16">
        <v>0</v>
      </c>
      <c r="H109" s="164"/>
    </row>
    <row r="110" spans="1:8" x14ac:dyDescent="0.2">
      <c r="A110" s="3" t="s">
        <v>9</v>
      </c>
      <c r="B110" s="3" t="s">
        <v>9</v>
      </c>
      <c r="C110" s="13" t="s">
        <v>9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132</v>
      </c>
      <c r="D111" s="3" t="s">
        <v>9</v>
      </c>
      <c r="E111" s="3" t="s">
        <v>9</v>
      </c>
      <c r="F111" s="3" t="s">
        <v>9</v>
      </c>
      <c r="G111" s="3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133</v>
      </c>
      <c r="D112" s="3" t="s">
        <v>9</v>
      </c>
      <c r="E112" s="3" t="s">
        <v>9</v>
      </c>
      <c r="F112" s="3" t="s">
        <v>9</v>
      </c>
      <c r="G112" s="3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110</v>
      </c>
      <c r="D113" s="3" t="s">
        <v>9</v>
      </c>
      <c r="E113" s="3" t="s">
        <v>9</v>
      </c>
      <c r="F113" s="15">
        <v>0</v>
      </c>
      <c r="G113" s="16">
        <v>0</v>
      </c>
      <c r="H113" s="164"/>
    </row>
    <row r="114" spans="1:8" x14ac:dyDescent="0.2">
      <c r="A114" s="3" t="s">
        <v>9</v>
      </c>
      <c r="B114" s="3" t="s">
        <v>9</v>
      </c>
      <c r="C114" s="13" t="s">
        <v>9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13" t="s">
        <v>9</v>
      </c>
      <c r="D115" s="3" t="s">
        <v>9</v>
      </c>
      <c r="E115" s="3" t="s">
        <v>9</v>
      </c>
      <c r="F115" s="14" t="s">
        <v>9</v>
      </c>
      <c r="G115" s="14" t="s">
        <v>9</v>
      </c>
      <c r="H115" s="164"/>
    </row>
    <row r="116" spans="1:8" ht="25.5" x14ac:dyDescent="0.2">
      <c r="A116" s="3" t="s">
        <v>9</v>
      </c>
      <c r="B116" s="3" t="s">
        <v>9</v>
      </c>
      <c r="C116" s="4" t="s">
        <v>134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3" t="s">
        <v>9</v>
      </c>
      <c r="B117" s="3" t="s">
        <v>9</v>
      </c>
      <c r="C117" s="4" t="s">
        <v>110</v>
      </c>
      <c r="D117" s="3" t="s">
        <v>9</v>
      </c>
      <c r="E117" s="3" t="s">
        <v>9</v>
      </c>
      <c r="F117" s="15">
        <v>0</v>
      </c>
      <c r="G117" s="16">
        <v>0</v>
      </c>
      <c r="H117" s="164"/>
    </row>
    <row r="118" spans="1:8" x14ac:dyDescent="0.2">
      <c r="A118" s="3" t="s">
        <v>9</v>
      </c>
      <c r="B118" s="3" t="s">
        <v>9</v>
      </c>
      <c r="C118" s="13" t="s">
        <v>9</v>
      </c>
      <c r="D118" s="3" t="s">
        <v>9</v>
      </c>
      <c r="E118" s="3" t="s">
        <v>9</v>
      </c>
      <c r="F118" s="14" t="s">
        <v>9</v>
      </c>
      <c r="G118" s="14" t="s">
        <v>9</v>
      </c>
      <c r="H118" s="164"/>
    </row>
    <row r="119" spans="1:8" x14ac:dyDescent="0.2">
      <c r="A119" s="3" t="s">
        <v>9</v>
      </c>
      <c r="B119" s="6" t="s">
        <v>9</v>
      </c>
      <c r="C119" s="6" t="s">
        <v>9</v>
      </c>
      <c r="D119" s="4" t="s">
        <v>9</v>
      </c>
      <c r="E119" s="3" t="s">
        <v>9</v>
      </c>
      <c r="F119" s="6" t="s">
        <v>9</v>
      </c>
      <c r="G119" s="10" t="s">
        <v>9</v>
      </c>
      <c r="H119" s="164"/>
    </row>
    <row r="120" spans="1:8" x14ac:dyDescent="0.2">
      <c r="A120" s="10" t="s">
        <v>9</v>
      </c>
      <c r="B120" s="6" t="s">
        <v>9</v>
      </c>
      <c r="C120" s="6" t="s">
        <v>135</v>
      </c>
      <c r="D120" s="6" t="s">
        <v>9</v>
      </c>
      <c r="E120" s="10" t="s">
        <v>9</v>
      </c>
      <c r="F120" s="8">
        <v>765.59534451000002</v>
      </c>
      <c r="G120" s="9">
        <v>4.6644399999999997E-3</v>
      </c>
      <c r="H120" s="164"/>
    </row>
    <row r="121" spans="1:8" x14ac:dyDescent="0.2">
      <c r="A121" s="13" t="s">
        <v>9</v>
      </c>
      <c r="B121" s="13" t="s">
        <v>9</v>
      </c>
      <c r="C121" s="4" t="s">
        <v>136</v>
      </c>
      <c r="D121" s="17" t="s">
        <v>9</v>
      </c>
      <c r="E121" s="17" t="s">
        <v>9</v>
      </c>
      <c r="F121" s="11">
        <v>164134.46457021998</v>
      </c>
      <c r="G121" s="12">
        <v>1.0000000020000002</v>
      </c>
      <c r="H121" s="164"/>
    </row>
    <row r="122" spans="1:8" ht="14.1" customHeight="1" x14ac:dyDescent="0.2">
      <c r="A122" s="18" t="s">
        <v>9</v>
      </c>
      <c r="B122" s="18" t="s">
        <v>9</v>
      </c>
      <c r="C122" s="18" t="s">
        <v>9</v>
      </c>
      <c r="D122" s="19" t="s">
        <v>9</v>
      </c>
      <c r="E122" s="19" t="s">
        <v>9</v>
      </c>
      <c r="F122" s="19" t="s">
        <v>9</v>
      </c>
      <c r="G122" s="19" t="s">
        <v>9</v>
      </c>
    </row>
    <row r="123" spans="1:8" ht="14.1" customHeight="1" x14ac:dyDescent="0.2">
      <c r="A123" s="20" t="s">
        <v>9</v>
      </c>
      <c r="B123" s="228" t="s">
        <v>9</v>
      </c>
      <c r="C123" s="228"/>
      <c r="D123" s="228"/>
      <c r="E123" s="228"/>
      <c r="F123" s="228"/>
      <c r="G123" s="22" t="s">
        <v>9</v>
      </c>
    </row>
    <row r="124" spans="1:8" ht="14.1" customHeight="1" x14ac:dyDescent="0.2">
      <c r="A124" s="20" t="s">
        <v>9</v>
      </c>
      <c r="B124" s="228" t="s">
        <v>9</v>
      </c>
      <c r="C124" s="228"/>
      <c r="D124" s="228"/>
      <c r="E124" s="228"/>
      <c r="F124" s="228"/>
      <c r="G124" s="22" t="s">
        <v>9</v>
      </c>
    </row>
    <row r="125" spans="1:8" ht="14.1" customHeight="1" x14ac:dyDescent="0.2">
      <c r="A125" s="20" t="s">
        <v>9</v>
      </c>
      <c r="B125" s="20" t="s">
        <v>9</v>
      </c>
      <c r="C125" s="20" t="s">
        <v>9</v>
      </c>
      <c r="D125" s="22" t="s">
        <v>9</v>
      </c>
      <c r="E125" s="22" t="s">
        <v>9</v>
      </c>
      <c r="F125" s="22" t="s">
        <v>9</v>
      </c>
      <c r="G125" s="22" t="s">
        <v>9</v>
      </c>
    </row>
    <row r="126" spans="1:8" ht="14.1" customHeight="1" x14ac:dyDescent="0.2">
      <c r="A126" s="20" t="s">
        <v>9</v>
      </c>
      <c r="B126" s="226" t="s">
        <v>138</v>
      </c>
      <c r="C126" s="227"/>
      <c r="D126" s="14" t="s">
        <v>9</v>
      </c>
      <c r="E126" s="23" t="s">
        <v>9</v>
      </c>
      <c r="F126" s="22" t="s">
        <v>9</v>
      </c>
      <c r="G126" s="22" t="s">
        <v>9</v>
      </c>
    </row>
    <row r="127" spans="1:8" ht="29.1" customHeight="1" x14ac:dyDescent="0.2">
      <c r="A127" s="20" t="s">
        <v>9</v>
      </c>
      <c r="B127" s="233" t="s">
        <v>139</v>
      </c>
      <c r="C127" s="234"/>
      <c r="D127" s="4" t="s">
        <v>140</v>
      </c>
      <c r="E127" s="23" t="s">
        <v>9</v>
      </c>
      <c r="F127" s="22" t="s">
        <v>9</v>
      </c>
      <c r="G127" s="22" t="s">
        <v>9</v>
      </c>
    </row>
    <row r="128" spans="1:8" ht="17.100000000000001" customHeight="1" x14ac:dyDescent="0.2">
      <c r="A128" s="20" t="s">
        <v>9</v>
      </c>
      <c r="B128" s="233" t="s">
        <v>141</v>
      </c>
      <c r="C128" s="234"/>
      <c r="D128" s="4" t="s">
        <v>140</v>
      </c>
      <c r="E128" s="23" t="s">
        <v>9</v>
      </c>
      <c r="F128" s="22" t="s">
        <v>9</v>
      </c>
      <c r="G128" s="22" t="s">
        <v>9</v>
      </c>
    </row>
    <row r="129" spans="1:7" ht="17.100000000000001" customHeight="1" x14ac:dyDescent="0.2">
      <c r="A129" s="20" t="s">
        <v>9</v>
      </c>
      <c r="B129" s="233" t="s">
        <v>142</v>
      </c>
      <c r="C129" s="234"/>
      <c r="D129" s="14" t="s">
        <v>9</v>
      </c>
      <c r="E129" s="23" t="s">
        <v>9</v>
      </c>
      <c r="F129" s="22" t="s">
        <v>9</v>
      </c>
      <c r="G129" s="22" t="s">
        <v>9</v>
      </c>
    </row>
    <row r="130" spans="1:7" ht="24" customHeight="1" x14ac:dyDescent="0.2">
      <c r="A130" s="24" t="s">
        <v>9</v>
      </c>
      <c r="B130" s="25" t="s">
        <v>9</v>
      </c>
      <c r="C130" s="25" t="s">
        <v>143</v>
      </c>
      <c r="D130" s="25" t="s">
        <v>144</v>
      </c>
      <c r="E130" s="24" t="s">
        <v>9</v>
      </c>
      <c r="F130" s="24" t="s">
        <v>9</v>
      </c>
      <c r="G130" s="24" t="s">
        <v>9</v>
      </c>
    </row>
    <row r="131" spans="1:7" ht="18" customHeight="1" x14ac:dyDescent="0.2">
      <c r="A131" s="24" t="s">
        <v>9</v>
      </c>
      <c r="B131" s="25" t="s">
        <v>145</v>
      </c>
      <c r="C131" s="25" t="s">
        <v>146</v>
      </c>
      <c r="D131" s="25" t="s">
        <v>147</v>
      </c>
      <c r="E131" s="24" t="s">
        <v>9</v>
      </c>
      <c r="F131" s="24" t="s">
        <v>9</v>
      </c>
      <c r="G131" s="24" t="s">
        <v>9</v>
      </c>
    </row>
    <row r="132" spans="1:7" ht="17.100000000000001" customHeight="1" x14ac:dyDescent="0.2">
      <c r="A132" s="24" t="s">
        <v>9</v>
      </c>
      <c r="B132" s="6" t="s">
        <v>148</v>
      </c>
      <c r="C132" s="26">
        <v>18.168800000000001</v>
      </c>
      <c r="D132" s="26">
        <v>19.2319</v>
      </c>
      <c r="E132" s="24" t="s">
        <v>9</v>
      </c>
      <c r="F132" s="21" t="s">
        <v>9</v>
      </c>
      <c r="G132" s="27" t="s">
        <v>9</v>
      </c>
    </row>
    <row r="133" spans="1:7" ht="17.100000000000001" customHeight="1" x14ac:dyDescent="0.2">
      <c r="A133" s="24" t="s">
        <v>9</v>
      </c>
      <c r="B133" s="6" t="s">
        <v>839</v>
      </c>
      <c r="C133" s="26">
        <v>16.632200000000001</v>
      </c>
      <c r="D133" s="26">
        <v>16.3902</v>
      </c>
      <c r="E133" s="24" t="s">
        <v>9</v>
      </c>
      <c r="F133" s="21" t="s">
        <v>9</v>
      </c>
      <c r="G133" s="27" t="s">
        <v>9</v>
      </c>
    </row>
    <row r="134" spans="1:7" ht="17.100000000000001" customHeight="1" x14ac:dyDescent="0.2">
      <c r="A134" s="24" t="s">
        <v>9</v>
      </c>
      <c r="B134" s="6" t="s">
        <v>149</v>
      </c>
      <c r="C134" s="26">
        <v>17.663599999999999</v>
      </c>
      <c r="D134" s="26">
        <v>18.675799999999999</v>
      </c>
      <c r="E134" s="24" t="s">
        <v>9</v>
      </c>
      <c r="F134" s="21" t="s">
        <v>9</v>
      </c>
      <c r="G134" s="27" t="s">
        <v>9</v>
      </c>
    </row>
    <row r="135" spans="1:7" ht="17.100000000000001" customHeight="1" x14ac:dyDescent="0.2">
      <c r="A135" s="24" t="s">
        <v>9</v>
      </c>
      <c r="B135" s="6" t="s">
        <v>840</v>
      </c>
      <c r="C135" s="26">
        <v>16.155899999999999</v>
      </c>
      <c r="D135" s="26">
        <v>15.9016</v>
      </c>
      <c r="E135" s="24" t="s">
        <v>9</v>
      </c>
      <c r="F135" s="21" t="s">
        <v>9</v>
      </c>
      <c r="G135" s="27" t="s">
        <v>9</v>
      </c>
    </row>
    <row r="136" spans="1:7" ht="14.1" customHeight="1" x14ac:dyDescent="0.2">
      <c r="A136" s="24" t="s">
        <v>9</v>
      </c>
      <c r="B136" s="24" t="s">
        <v>9</v>
      </c>
      <c r="C136" s="24" t="s">
        <v>9</v>
      </c>
      <c r="D136" s="24" t="s">
        <v>9</v>
      </c>
      <c r="E136" s="24" t="s">
        <v>9</v>
      </c>
      <c r="F136" s="24" t="s">
        <v>9</v>
      </c>
      <c r="G136" s="24" t="s">
        <v>9</v>
      </c>
    </row>
    <row r="137" spans="1:7" ht="17.100000000000001" customHeight="1" x14ac:dyDescent="0.2">
      <c r="A137" s="24" t="s">
        <v>9</v>
      </c>
      <c r="B137" s="233" t="s">
        <v>1003</v>
      </c>
      <c r="C137" s="234"/>
      <c r="D137" s="4" t="s">
        <v>140</v>
      </c>
      <c r="E137" s="24" t="s">
        <v>9</v>
      </c>
      <c r="F137" s="24" t="s">
        <v>9</v>
      </c>
      <c r="G137" s="24" t="s">
        <v>9</v>
      </c>
    </row>
    <row r="138" spans="1:7" ht="18" customHeight="1" x14ac:dyDescent="0.2">
      <c r="A138" s="24" t="s">
        <v>9</v>
      </c>
      <c r="B138" s="28" t="s">
        <v>150</v>
      </c>
      <c r="C138" s="28" t="s">
        <v>150</v>
      </c>
      <c r="D138" s="28" t="s">
        <v>9</v>
      </c>
      <c r="E138" s="24" t="s">
        <v>9</v>
      </c>
      <c r="F138" s="24" t="s">
        <v>9</v>
      </c>
      <c r="G138" s="24" t="s">
        <v>9</v>
      </c>
    </row>
    <row r="139" spans="1:7" s="169" customFormat="1" x14ac:dyDescent="0.2">
      <c r="B139" s="235" t="s">
        <v>841</v>
      </c>
      <c r="C139" s="235"/>
      <c r="D139" s="235"/>
      <c r="E139" s="235"/>
      <c r="F139" s="235"/>
    </row>
    <row r="140" spans="1:7" ht="14.1" customHeight="1" x14ac:dyDescent="0.2">
      <c r="A140" s="24" t="s">
        <v>9</v>
      </c>
      <c r="B140" s="21" t="s">
        <v>9</v>
      </c>
      <c r="C140" s="21" t="s">
        <v>9</v>
      </c>
      <c r="D140" s="24" t="s">
        <v>9</v>
      </c>
      <c r="E140" s="24" t="s">
        <v>9</v>
      </c>
      <c r="F140" s="24" t="s">
        <v>9</v>
      </c>
      <c r="G140" s="24" t="s">
        <v>9</v>
      </c>
    </row>
    <row r="141" spans="1:7" ht="29.1" customHeight="1" x14ac:dyDescent="0.2">
      <c r="A141" s="24" t="s">
        <v>9</v>
      </c>
      <c r="B141" s="233" t="s">
        <v>151</v>
      </c>
      <c r="C141" s="234"/>
      <c r="D141" s="4" t="s">
        <v>140</v>
      </c>
      <c r="E141" s="24" t="s">
        <v>9</v>
      </c>
      <c r="F141" s="24" t="s">
        <v>9</v>
      </c>
      <c r="G141" s="24" t="s">
        <v>9</v>
      </c>
    </row>
    <row r="142" spans="1:7" ht="29.1" customHeight="1" x14ac:dyDescent="0.2">
      <c r="A142" s="24" t="s">
        <v>9</v>
      </c>
      <c r="B142" s="233" t="s">
        <v>152</v>
      </c>
      <c r="C142" s="234"/>
      <c r="D142" s="156" t="s">
        <v>975</v>
      </c>
      <c r="E142" s="24" t="s">
        <v>9</v>
      </c>
      <c r="F142" s="24" t="s">
        <v>9</v>
      </c>
      <c r="G142" s="24" t="s">
        <v>9</v>
      </c>
    </row>
    <row r="143" spans="1:7" ht="17.100000000000001" customHeight="1" x14ac:dyDescent="0.2">
      <c r="A143" s="24" t="s">
        <v>9</v>
      </c>
      <c r="B143" s="233" t="s">
        <v>153</v>
      </c>
      <c r="C143" s="234"/>
      <c r="D143" s="29">
        <v>0.38204073891670393</v>
      </c>
      <c r="E143" s="24" t="s">
        <v>9</v>
      </c>
      <c r="F143" s="21" t="s">
        <v>9</v>
      </c>
      <c r="G143" s="27" t="s">
        <v>9</v>
      </c>
    </row>
    <row r="144" spans="1:7" ht="17.100000000000001" customHeight="1" x14ac:dyDescent="0.2">
      <c r="A144" s="24" t="s">
        <v>9</v>
      </c>
      <c r="B144" s="233" t="s">
        <v>154</v>
      </c>
      <c r="C144" s="234"/>
      <c r="D144" s="4" t="s">
        <v>140</v>
      </c>
      <c r="E144" s="24" t="s">
        <v>9</v>
      </c>
      <c r="F144" s="24" t="s">
        <v>9</v>
      </c>
      <c r="G144" s="24" t="s">
        <v>9</v>
      </c>
    </row>
  </sheetData>
  <mergeCells count="15">
    <mergeCell ref="B143:C143"/>
    <mergeCell ref="B144:C144"/>
    <mergeCell ref="B127:C127"/>
    <mergeCell ref="B128:C128"/>
    <mergeCell ref="B129:C129"/>
    <mergeCell ref="B137:C137"/>
    <mergeCell ref="B141:C141"/>
    <mergeCell ref="B142:C142"/>
    <mergeCell ref="B139:F139"/>
    <mergeCell ref="B126:C126"/>
    <mergeCell ref="B123:F123"/>
    <mergeCell ref="B124:F124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H196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588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326</v>
      </c>
      <c r="C7" s="6" t="s">
        <v>327</v>
      </c>
      <c r="D7" s="6" t="s">
        <v>200</v>
      </c>
      <c r="E7" s="7">
        <v>1034</v>
      </c>
      <c r="F7" s="8">
        <v>40.640853</v>
      </c>
      <c r="G7" s="9">
        <v>1.2012182E-2</v>
      </c>
      <c r="H7" s="164"/>
    </row>
    <row r="8" spans="1:8" x14ac:dyDescent="0.2">
      <c r="A8" s="5">
        <v>2</v>
      </c>
      <c r="B8" s="6" t="s">
        <v>411</v>
      </c>
      <c r="C8" s="6" t="s">
        <v>412</v>
      </c>
      <c r="D8" s="6" t="s">
        <v>59</v>
      </c>
      <c r="E8" s="7">
        <v>2817</v>
      </c>
      <c r="F8" s="8">
        <v>40.404231000000003</v>
      </c>
      <c r="G8" s="9">
        <v>1.1942243999999999E-2</v>
      </c>
      <c r="H8" s="164"/>
    </row>
    <row r="9" spans="1:8" x14ac:dyDescent="0.2">
      <c r="A9" s="5">
        <v>3</v>
      </c>
      <c r="B9" s="6" t="s">
        <v>312</v>
      </c>
      <c r="C9" s="6" t="s">
        <v>313</v>
      </c>
      <c r="D9" s="6" t="s">
        <v>930</v>
      </c>
      <c r="E9" s="7">
        <v>1054</v>
      </c>
      <c r="F9" s="8">
        <v>39.790081000000001</v>
      </c>
      <c r="G9" s="9">
        <v>1.1760720000000001E-2</v>
      </c>
      <c r="H9" s="164"/>
    </row>
    <row r="10" spans="1:8" ht="25.5" x14ac:dyDescent="0.2">
      <c r="A10" s="5">
        <v>4</v>
      </c>
      <c r="B10" s="6" t="s">
        <v>589</v>
      </c>
      <c r="C10" s="6" t="s">
        <v>590</v>
      </c>
      <c r="D10" s="6" t="s">
        <v>925</v>
      </c>
      <c r="E10" s="7">
        <v>9498</v>
      </c>
      <c r="F10" s="8">
        <v>39.051026999999998</v>
      </c>
      <c r="G10" s="9">
        <v>1.1542279000000001E-2</v>
      </c>
      <c r="H10" s="164"/>
    </row>
    <row r="11" spans="1:8" ht="25.5" x14ac:dyDescent="0.2">
      <c r="A11" s="5">
        <v>5</v>
      </c>
      <c r="B11" s="6" t="s">
        <v>591</v>
      </c>
      <c r="C11" s="6" t="s">
        <v>592</v>
      </c>
      <c r="D11" s="6" t="s">
        <v>925</v>
      </c>
      <c r="E11" s="7">
        <v>1624</v>
      </c>
      <c r="F11" s="8">
        <v>38.880184</v>
      </c>
      <c r="G11" s="9">
        <v>1.1491783E-2</v>
      </c>
      <c r="H11" s="164"/>
    </row>
    <row r="12" spans="1:8" x14ac:dyDescent="0.2">
      <c r="A12" s="5">
        <v>6</v>
      </c>
      <c r="B12" s="6" t="s">
        <v>425</v>
      </c>
      <c r="C12" s="6" t="s">
        <v>426</v>
      </c>
      <c r="D12" s="6" t="s">
        <v>427</v>
      </c>
      <c r="E12" s="7">
        <v>8712</v>
      </c>
      <c r="F12" s="8">
        <v>38.750976000000001</v>
      </c>
      <c r="G12" s="9">
        <v>1.1453593E-2</v>
      </c>
      <c r="H12" s="164"/>
    </row>
    <row r="13" spans="1:8" x14ac:dyDescent="0.2">
      <c r="A13" s="5">
        <v>7</v>
      </c>
      <c r="B13" s="6" t="s">
        <v>308</v>
      </c>
      <c r="C13" s="6" t="s">
        <v>309</v>
      </c>
      <c r="D13" s="6" t="s">
        <v>182</v>
      </c>
      <c r="E13" s="7">
        <v>957</v>
      </c>
      <c r="F13" s="8">
        <v>38.61495</v>
      </c>
      <c r="G13" s="9">
        <v>1.1413388E-2</v>
      </c>
      <c r="H13" s="164"/>
    </row>
    <row r="14" spans="1:8" x14ac:dyDescent="0.2">
      <c r="A14" s="5">
        <v>8</v>
      </c>
      <c r="B14" s="6" t="s">
        <v>593</v>
      </c>
      <c r="C14" s="6" t="s">
        <v>594</v>
      </c>
      <c r="D14" s="6" t="s">
        <v>62</v>
      </c>
      <c r="E14" s="7">
        <v>3285</v>
      </c>
      <c r="F14" s="8">
        <v>38.554402500000002</v>
      </c>
      <c r="G14" s="9">
        <v>1.1395492E-2</v>
      </c>
      <c r="H14" s="164"/>
    </row>
    <row r="15" spans="1:8" x14ac:dyDescent="0.2">
      <c r="A15" s="5">
        <v>9</v>
      </c>
      <c r="B15" s="6" t="s">
        <v>423</v>
      </c>
      <c r="C15" s="6" t="s">
        <v>424</v>
      </c>
      <c r="D15" s="6" t="s">
        <v>200</v>
      </c>
      <c r="E15" s="7">
        <v>780</v>
      </c>
      <c r="F15" s="8">
        <v>38.267580000000002</v>
      </c>
      <c r="G15" s="9">
        <v>1.1310716E-2</v>
      </c>
      <c r="H15" s="164"/>
    </row>
    <row r="16" spans="1:8" x14ac:dyDescent="0.2">
      <c r="A16" s="5">
        <v>10</v>
      </c>
      <c r="B16" s="6" t="s">
        <v>595</v>
      </c>
      <c r="C16" s="6" t="s">
        <v>596</v>
      </c>
      <c r="D16" s="6" t="s">
        <v>37</v>
      </c>
      <c r="E16" s="7">
        <v>11254</v>
      </c>
      <c r="F16" s="8">
        <v>37.999130999999998</v>
      </c>
      <c r="G16" s="9">
        <v>1.1231371E-2</v>
      </c>
      <c r="H16" s="164"/>
    </row>
    <row r="17" spans="1:8" x14ac:dyDescent="0.2">
      <c r="A17" s="5">
        <v>11</v>
      </c>
      <c r="B17" s="6" t="s">
        <v>395</v>
      </c>
      <c r="C17" s="6" t="s">
        <v>396</v>
      </c>
      <c r="D17" s="6" t="s">
        <v>932</v>
      </c>
      <c r="E17" s="7">
        <v>267</v>
      </c>
      <c r="F17" s="8">
        <v>37.973274000000004</v>
      </c>
      <c r="G17" s="9">
        <v>1.1223728000000001E-2</v>
      </c>
      <c r="H17" s="164"/>
    </row>
    <row r="18" spans="1:8" x14ac:dyDescent="0.2">
      <c r="A18" s="5">
        <v>12</v>
      </c>
      <c r="B18" s="6" t="s">
        <v>597</v>
      </c>
      <c r="C18" s="6" t="s">
        <v>598</v>
      </c>
      <c r="D18" s="6" t="s">
        <v>427</v>
      </c>
      <c r="E18" s="7">
        <v>12566</v>
      </c>
      <c r="F18" s="8">
        <v>37.930470999999997</v>
      </c>
      <c r="G18" s="9">
        <v>1.1211077E-2</v>
      </c>
      <c r="H18" s="164"/>
    </row>
    <row r="19" spans="1:8" x14ac:dyDescent="0.2">
      <c r="A19" s="5">
        <v>13</v>
      </c>
      <c r="B19" s="6" t="s">
        <v>413</v>
      </c>
      <c r="C19" s="6" t="s">
        <v>414</v>
      </c>
      <c r="D19" s="6" t="s">
        <v>200</v>
      </c>
      <c r="E19" s="7">
        <v>4889</v>
      </c>
      <c r="F19" s="8">
        <v>37.838415500000004</v>
      </c>
      <c r="G19" s="9">
        <v>1.1183868E-2</v>
      </c>
      <c r="H19" s="164"/>
    </row>
    <row r="20" spans="1:8" x14ac:dyDescent="0.2">
      <c r="A20" s="5">
        <v>14</v>
      </c>
      <c r="B20" s="6" t="s">
        <v>599</v>
      </c>
      <c r="C20" s="6" t="s">
        <v>600</v>
      </c>
      <c r="D20" s="6" t="s">
        <v>200</v>
      </c>
      <c r="E20" s="7">
        <v>199</v>
      </c>
      <c r="F20" s="8">
        <v>37.835372499999998</v>
      </c>
      <c r="G20" s="9">
        <v>1.1182968999999999E-2</v>
      </c>
      <c r="H20" s="164"/>
    </row>
    <row r="21" spans="1:8" ht="25.5" x14ac:dyDescent="0.2">
      <c r="A21" s="5">
        <v>15</v>
      </c>
      <c r="B21" s="6" t="s">
        <v>601</v>
      </c>
      <c r="C21" s="6" t="s">
        <v>602</v>
      </c>
      <c r="D21" s="6" t="s">
        <v>67</v>
      </c>
      <c r="E21" s="7">
        <v>3756</v>
      </c>
      <c r="F21" s="8">
        <v>37.101768</v>
      </c>
      <c r="G21" s="9">
        <v>1.0966138E-2</v>
      </c>
      <c r="H21" s="164"/>
    </row>
    <row r="22" spans="1:8" x14ac:dyDescent="0.2">
      <c r="A22" s="5">
        <v>16</v>
      </c>
      <c r="B22" s="6" t="s">
        <v>603</v>
      </c>
      <c r="C22" s="6" t="s">
        <v>604</v>
      </c>
      <c r="D22" s="6" t="s">
        <v>179</v>
      </c>
      <c r="E22" s="7">
        <v>792</v>
      </c>
      <c r="F22" s="8">
        <v>37.100051999999998</v>
      </c>
      <c r="G22" s="9">
        <v>1.0965631E-2</v>
      </c>
      <c r="H22" s="164"/>
    </row>
    <row r="23" spans="1:8" x14ac:dyDescent="0.2">
      <c r="A23" s="5">
        <v>17</v>
      </c>
      <c r="B23" s="6" t="s">
        <v>432</v>
      </c>
      <c r="C23" s="6" t="s">
        <v>433</v>
      </c>
      <c r="D23" s="6" t="s">
        <v>179</v>
      </c>
      <c r="E23" s="7">
        <v>3039</v>
      </c>
      <c r="F23" s="8">
        <v>36.758224499999997</v>
      </c>
      <c r="G23" s="9">
        <v>1.0864597E-2</v>
      </c>
      <c r="H23" s="164"/>
    </row>
    <row r="24" spans="1:8" x14ac:dyDescent="0.2">
      <c r="A24" s="5">
        <v>18</v>
      </c>
      <c r="B24" s="6" t="s">
        <v>605</v>
      </c>
      <c r="C24" s="6" t="s">
        <v>606</v>
      </c>
      <c r="D24" s="6" t="s">
        <v>161</v>
      </c>
      <c r="E24" s="7">
        <v>905</v>
      </c>
      <c r="F24" s="8">
        <v>36.408602500000001</v>
      </c>
      <c r="G24" s="9">
        <v>1.076126E-2</v>
      </c>
      <c r="H24" s="164"/>
    </row>
    <row r="25" spans="1:8" ht="25.5" x14ac:dyDescent="0.2">
      <c r="A25" s="5">
        <v>19</v>
      </c>
      <c r="B25" s="6" t="s">
        <v>33</v>
      </c>
      <c r="C25" s="6" t="s">
        <v>34</v>
      </c>
      <c r="D25" s="6" t="s">
        <v>925</v>
      </c>
      <c r="E25" s="7">
        <v>477</v>
      </c>
      <c r="F25" s="8">
        <v>36.343584</v>
      </c>
      <c r="G25" s="9">
        <v>1.0742042E-2</v>
      </c>
      <c r="H25" s="164"/>
    </row>
    <row r="26" spans="1:8" x14ac:dyDescent="0.2">
      <c r="A26" s="5">
        <v>20</v>
      </c>
      <c r="B26" s="6" t="s">
        <v>101</v>
      </c>
      <c r="C26" s="6" t="s">
        <v>102</v>
      </c>
      <c r="D26" s="6" t="s">
        <v>76</v>
      </c>
      <c r="E26" s="7">
        <v>6516</v>
      </c>
      <c r="F26" s="8">
        <v>36.34299</v>
      </c>
      <c r="G26" s="9">
        <v>1.0741867E-2</v>
      </c>
      <c r="H26" s="164"/>
    </row>
    <row r="27" spans="1:8" x14ac:dyDescent="0.2">
      <c r="A27" s="5">
        <v>21</v>
      </c>
      <c r="B27" s="6" t="s">
        <v>607</v>
      </c>
      <c r="C27" s="6" t="s">
        <v>608</v>
      </c>
      <c r="D27" s="6" t="s">
        <v>200</v>
      </c>
      <c r="E27" s="7">
        <v>1052</v>
      </c>
      <c r="F27" s="8">
        <v>36.331871999999997</v>
      </c>
      <c r="G27" s="9">
        <v>1.0738581000000001E-2</v>
      </c>
      <c r="H27" s="164"/>
    </row>
    <row r="28" spans="1:8" x14ac:dyDescent="0.2">
      <c r="A28" s="5">
        <v>22</v>
      </c>
      <c r="B28" s="6" t="s">
        <v>409</v>
      </c>
      <c r="C28" s="6" t="s">
        <v>410</v>
      </c>
      <c r="D28" s="6" t="s">
        <v>932</v>
      </c>
      <c r="E28" s="7">
        <v>3274</v>
      </c>
      <c r="F28" s="8">
        <v>35.968164000000002</v>
      </c>
      <c r="G28" s="9">
        <v>1.0631079999999999E-2</v>
      </c>
      <c r="H28" s="164"/>
    </row>
    <row r="29" spans="1:8" x14ac:dyDescent="0.2">
      <c r="A29" s="5">
        <v>23</v>
      </c>
      <c r="B29" s="6" t="s">
        <v>609</v>
      </c>
      <c r="C29" s="6" t="s">
        <v>610</v>
      </c>
      <c r="D29" s="6" t="s">
        <v>158</v>
      </c>
      <c r="E29" s="7">
        <v>1552</v>
      </c>
      <c r="F29" s="8">
        <v>35.366976000000001</v>
      </c>
      <c r="G29" s="9">
        <v>1.0453387E-2</v>
      </c>
      <c r="H29" s="164"/>
    </row>
    <row r="30" spans="1:8" x14ac:dyDescent="0.2">
      <c r="A30" s="5">
        <v>24</v>
      </c>
      <c r="B30" s="6" t="s">
        <v>415</v>
      </c>
      <c r="C30" s="6" t="s">
        <v>416</v>
      </c>
      <c r="D30" s="6" t="s">
        <v>179</v>
      </c>
      <c r="E30" s="7">
        <v>6015</v>
      </c>
      <c r="F30" s="8">
        <v>35.317072500000002</v>
      </c>
      <c r="G30" s="9">
        <v>1.0438637000000001E-2</v>
      </c>
      <c r="H30" s="164"/>
    </row>
    <row r="31" spans="1:8" ht="25.5" x14ac:dyDescent="0.2">
      <c r="A31" s="5">
        <v>25</v>
      </c>
      <c r="B31" s="6" t="s">
        <v>611</v>
      </c>
      <c r="C31" s="6" t="s">
        <v>612</v>
      </c>
      <c r="D31" s="6" t="s">
        <v>67</v>
      </c>
      <c r="E31" s="7">
        <v>6449</v>
      </c>
      <c r="F31" s="8">
        <v>35.256683000000002</v>
      </c>
      <c r="G31" s="9">
        <v>1.0420788E-2</v>
      </c>
      <c r="H31" s="164"/>
    </row>
    <row r="32" spans="1:8" x14ac:dyDescent="0.2">
      <c r="A32" s="5">
        <v>26</v>
      </c>
      <c r="B32" s="6" t="s">
        <v>613</v>
      </c>
      <c r="C32" s="6" t="s">
        <v>614</v>
      </c>
      <c r="D32" s="6" t="s">
        <v>200</v>
      </c>
      <c r="E32" s="7">
        <v>1147</v>
      </c>
      <c r="F32" s="8">
        <v>35.225517000000004</v>
      </c>
      <c r="G32" s="9">
        <v>1.0411576000000001E-2</v>
      </c>
      <c r="H32" s="164"/>
    </row>
    <row r="33" spans="1:8" x14ac:dyDescent="0.2">
      <c r="A33" s="5">
        <v>27</v>
      </c>
      <c r="B33" s="6" t="s">
        <v>615</v>
      </c>
      <c r="C33" s="6" t="s">
        <v>616</v>
      </c>
      <c r="D33" s="6" t="s">
        <v>59</v>
      </c>
      <c r="E33" s="7">
        <v>4772</v>
      </c>
      <c r="F33" s="8">
        <v>35.167254</v>
      </c>
      <c r="G33" s="9">
        <v>1.0394354999999999E-2</v>
      </c>
      <c r="H33" s="164"/>
    </row>
    <row r="34" spans="1:8" x14ac:dyDescent="0.2">
      <c r="A34" s="5">
        <v>28</v>
      </c>
      <c r="B34" s="6" t="s">
        <v>617</v>
      </c>
      <c r="C34" s="6" t="s">
        <v>618</v>
      </c>
      <c r="D34" s="6" t="s">
        <v>161</v>
      </c>
      <c r="E34" s="7">
        <v>3392</v>
      </c>
      <c r="F34" s="8">
        <v>35.166559999999997</v>
      </c>
      <c r="G34" s="9">
        <v>1.039415E-2</v>
      </c>
      <c r="H34" s="164"/>
    </row>
    <row r="35" spans="1:8" ht="25.5" x14ac:dyDescent="0.2">
      <c r="A35" s="5">
        <v>29</v>
      </c>
      <c r="B35" s="6" t="s">
        <v>619</v>
      </c>
      <c r="C35" s="6" t="s">
        <v>620</v>
      </c>
      <c r="D35" s="6" t="s">
        <v>67</v>
      </c>
      <c r="E35" s="7">
        <v>5826</v>
      </c>
      <c r="F35" s="8">
        <v>34.996782000000003</v>
      </c>
      <c r="G35" s="9">
        <v>1.0343969E-2</v>
      </c>
      <c r="H35" s="164"/>
    </row>
    <row r="36" spans="1:8" x14ac:dyDescent="0.2">
      <c r="A36" s="5">
        <v>30</v>
      </c>
      <c r="B36" s="6" t="s">
        <v>584</v>
      </c>
      <c r="C36" s="6" t="s">
        <v>585</v>
      </c>
      <c r="D36" s="6" t="s">
        <v>346</v>
      </c>
      <c r="E36" s="7">
        <v>996</v>
      </c>
      <c r="F36" s="8">
        <v>34.867967999999998</v>
      </c>
      <c r="G36" s="9">
        <v>1.0305896E-2</v>
      </c>
      <c r="H36" s="164"/>
    </row>
    <row r="37" spans="1:8" x14ac:dyDescent="0.2">
      <c r="A37" s="5">
        <v>31</v>
      </c>
      <c r="B37" s="6" t="s">
        <v>12</v>
      </c>
      <c r="C37" s="6" t="s">
        <v>13</v>
      </c>
      <c r="D37" s="6" t="s">
        <v>14</v>
      </c>
      <c r="E37" s="7">
        <v>2171</v>
      </c>
      <c r="F37" s="8">
        <v>34.7674795</v>
      </c>
      <c r="G37" s="9">
        <v>1.0276194000000001E-2</v>
      </c>
      <c r="H37" s="164"/>
    </row>
    <row r="38" spans="1:8" x14ac:dyDescent="0.2">
      <c r="A38" s="5">
        <v>32</v>
      </c>
      <c r="B38" s="6" t="s">
        <v>582</v>
      </c>
      <c r="C38" s="6" t="s">
        <v>583</v>
      </c>
      <c r="D38" s="6" t="s">
        <v>346</v>
      </c>
      <c r="E38" s="7">
        <v>665</v>
      </c>
      <c r="F38" s="8">
        <v>34.678420000000003</v>
      </c>
      <c r="G38" s="9">
        <v>1.0249871000000001E-2</v>
      </c>
      <c r="H38" s="164"/>
    </row>
    <row r="39" spans="1:8" x14ac:dyDescent="0.2">
      <c r="A39" s="5">
        <v>33</v>
      </c>
      <c r="B39" s="6" t="s">
        <v>23</v>
      </c>
      <c r="C39" s="6" t="s">
        <v>24</v>
      </c>
      <c r="D39" s="6" t="s">
        <v>25</v>
      </c>
      <c r="E39" s="7">
        <v>6163</v>
      </c>
      <c r="F39" s="8">
        <v>34.614489499999998</v>
      </c>
      <c r="G39" s="9">
        <v>1.0230975E-2</v>
      </c>
      <c r="H39" s="164"/>
    </row>
    <row r="40" spans="1:8" x14ac:dyDescent="0.2">
      <c r="A40" s="5">
        <v>34</v>
      </c>
      <c r="B40" s="6" t="s">
        <v>621</v>
      </c>
      <c r="C40" s="6" t="s">
        <v>622</v>
      </c>
      <c r="D40" s="6" t="s">
        <v>161</v>
      </c>
      <c r="E40" s="7">
        <v>2225</v>
      </c>
      <c r="F40" s="8">
        <v>34.593187499999999</v>
      </c>
      <c r="G40" s="9">
        <v>1.0224679E-2</v>
      </c>
      <c r="H40" s="164"/>
    </row>
    <row r="41" spans="1:8" x14ac:dyDescent="0.2">
      <c r="A41" s="5">
        <v>35</v>
      </c>
      <c r="B41" s="6" t="s">
        <v>20</v>
      </c>
      <c r="C41" s="6" t="s">
        <v>21</v>
      </c>
      <c r="D41" s="6" t="s">
        <v>22</v>
      </c>
      <c r="E41" s="7">
        <v>5054</v>
      </c>
      <c r="F41" s="8">
        <v>34.493549999999999</v>
      </c>
      <c r="G41" s="9">
        <v>1.0195229E-2</v>
      </c>
      <c r="H41" s="164"/>
    </row>
    <row r="42" spans="1:8" ht="25.5" x14ac:dyDescent="0.2">
      <c r="A42" s="5">
        <v>36</v>
      </c>
      <c r="B42" s="6" t="s">
        <v>623</v>
      </c>
      <c r="C42" s="6" t="s">
        <v>624</v>
      </c>
      <c r="D42" s="6" t="s">
        <v>67</v>
      </c>
      <c r="E42" s="7">
        <v>4085</v>
      </c>
      <c r="F42" s="8">
        <v>34.459017500000002</v>
      </c>
      <c r="G42" s="9">
        <v>1.0185023E-2</v>
      </c>
      <c r="H42" s="164"/>
    </row>
    <row r="43" spans="1:8" ht="25.5" x14ac:dyDescent="0.2">
      <c r="A43" s="5">
        <v>37</v>
      </c>
      <c r="B43" s="6" t="s">
        <v>625</v>
      </c>
      <c r="C43" s="6" t="s">
        <v>626</v>
      </c>
      <c r="D43" s="6" t="s">
        <v>67</v>
      </c>
      <c r="E43" s="7">
        <v>2387</v>
      </c>
      <c r="F43" s="8">
        <v>34.100681999999999</v>
      </c>
      <c r="G43" s="9">
        <v>1.007911E-2</v>
      </c>
      <c r="H43" s="164"/>
    </row>
    <row r="44" spans="1:8" x14ac:dyDescent="0.2">
      <c r="A44" s="5">
        <v>38</v>
      </c>
      <c r="B44" s="6" t="s">
        <v>403</v>
      </c>
      <c r="C44" s="6" t="s">
        <v>404</v>
      </c>
      <c r="D44" s="6" t="s">
        <v>179</v>
      </c>
      <c r="E44" s="7">
        <v>2110</v>
      </c>
      <c r="F44" s="8">
        <v>33.981549999999999</v>
      </c>
      <c r="G44" s="9">
        <v>1.0043898000000001E-2</v>
      </c>
      <c r="H44" s="164"/>
    </row>
    <row r="45" spans="1:8" x14ac:dyDescent="0.2">
      <c r="A45" s="5">
        <v>39</v>
      </c>
      <c r="B45" s="6" t="s">
        <v>371</v>
      </c>
      <c r="C45" s="6" t="s">
        <v>372</v>
      </c>
      <c r="D45" s="6" t="s">
        <v>179</v>
      </c>
      <c r="E45" s="7">
        <v>3313</v>
      </c>
      <c r="F45" s="8">
        <v>33.956593499999997</v>
      </c>
      <c r="G45" s="9">
        <v>1.0036521E-2</v>
      </c>
      <c r="H45" s="164"/>
    </row>
    <row r="46" spans="1:8" x14ac:dyDescent="0.2">
      <c r="A46" s="5">
        <v>40</v>
      </c>
      <c r="B46" s="6" t="s">
        <v>559</v>
      </c>
      <c r="C46" s="6" t="s">
        <v>560</v>
      </c>
      <c r="D46" s="6" t="s">
        <v>161</v>
      </c>
      <c r="E46" s="7">
        <v>545</v>
      </c>
      <c r="F46" s="8">
        <v>33.943145000000001</v>
      </c>
      <c r="G46" s="9">
        <v>1.0032546999999999E-2</v>
      </c>
      <c r="H46" s="164"/>
    </row>
    <row r="47" spans="1:8" ht="25.5" x14ac:dyDescent="0.2">
      <c r="A47" s="5">
        <v>41</v>
      </c>
      <c r="B47" s="6" t="s">
        <v>627</v>
      </c>
      <c r="C47" s="6" t="s">
        <v>628</v>
      </c>
      <c r="D47" s="6" t="s">
        <v>932</v>
      </c>
      <c r="E47" s="7">
        <v>5353</v>
      </c>
      <c r="F47" s="8">
        <v>33.8818135</v>
      </c>
      <c r="G47" s="9">
        <v>1.0014419E-2</v>
      </c>
      <c r="H47" s="164"/>
    </row>
    <row r="48" spans="1:8" ht="25.5" x14ac:dyDescent="0.2">
      <c r="A48" s="5">
        <v>42</v>
      </c>
      <c r="B48" s="6" t="s">
        <v>629</v>
      </c>
      <c r="C48" s="6" t="s">
        <v>630</v>
      </c>
      <c r="D48" s="6" t="s">
        <v>925</v>
      </c>
      <c r="E48" s="7">
        <v>2179</v>
      </c>
      <c r="F48" s="8">
        <v>33.8039165</v>
      </c>
      <c r="G48" s="9">
        <v>9.9913950000000001E-3</v>
      </c>
      <c r="H48" s="164"/>
    </row>
    <row r="49" spans="1:8" ht="25.5" x14ac:dyDescent="0.2">
      <c r="A49" s="5">
        <v>43</v>
      </c>
      <c r="B49" s="6" t="s">
        <v>631</v>
      </c>
      <c r="C49" s="6" t="s">
        <v>632</v>
      </c>
      <c r="D49" s="6" t="s">
        <v>67</v>
      </c>
      <c r="E49" s="7">
        <v>1976</v>
      </c>
      <c r="F49" s="8">
        <v>33.678944000000001</v>
      </c>
      <c r="G49" s="9">
        <v>9.9544569999999999E-3</v>
      </c>
      <c r="H49" s="164"/>
    </row>
    <row r="50" spans="1:8" x14ac:dyDescent="0.2">
      <c r="A50" s="5">
        <v>44</v>
      </c>
      <c r="B50" s="6" t="s">
        <v>633</v>
      </c>
      <c r="C50" s="6" t="s">
        <v>634</v>
      </c>
      <c r="D50" s="6" t="s">
        <v>635</v>
      </c>
      <c r="E50" s="7">
        <v>18498</v>
      </c>
      <c r="F50" s="8">
        <v>33.518376000000004</v>
      </c>
      <c r="G50" s="9">
        <v>9.9069980000000002E-3</v>
      </c>
      <c r="H50" s="164"/>
    </row>
    <row r="51" spans="1:8" x14ac:dyDescent="0.2">
      <c r="A51" s="5">
        <v>45</v>
      </c>
      <c r="B51" s="6" t="s">
        <v>636</v>
      </c>
      <c r="C51" s="6" t="s">
        <v>637</v>
      </c>
      <c r="D51" s="6" t="s">
        <v>45</v>
      </c>
      <c r="E51" s="7">
        <v>28245</v>
      </c>
      <c r="F51" s="8">
        <v>33.385590000000001</v>
      </c>
      <c r="G51" s="9">
        <v>9.8677499999999998E-3</v>
      </c>
      <c r="H51" s="164"/>
    </row>
    <row r="52" spans="1:8" ht="25.5" x14ac:dyDescent="0.2">
      <c r="A52" s="5">
        <v>46</v>
      </c>
      <c r="B52" s="6" t="s">
        <v>563</v>
      </c>
      <c r="C52" s="6" t="s">
        <v>564</v>
      </c>
      <c r="D52" s="6" t="s">
        <v>67</v>
      </c>
      <c r="E52" s="7">
        <v>188</v>
      </c>
      <c r="F52" s="8">
        <v>33.280982000000002</v>
      </c>
      <c r="G52" s="9">
        <v>9.8368320000000002E-3</v>
      </c>
      <c r="H52" s="164"/>
    </row>
    <row r="53" spans="1:8" x14ac:dyDescent="0.2">
      <c r="A53" s="5">
        <v>47</v>
      </c>
      <c r="B53" s="6" t="s">
        <v>407</v>
      </c>
      <c r="C53" s="6" t="s">
        <v>408</v>
      </c>
      <c r="D53" s="6" t="s">
        <v>22</v>
      </c>
      <c r="E53" s="7">
        <v>7694</v>
      </c>
      <c r="F53" s="8">
        <v>33.222692000000002</v>
      </c>
      <c r="G53" s="9">
        <v>9.8196029999999997E-3</v>
      </c>
      <c r="H53" s="164"/>
    </row>
    <row r="54" spans="1:8" x14ac:dyDescent="0.2">
      <c r="A54" s="5">
        <v>48</v>
      </c>
      <c r="B54" s="6" t="s">
        <v>264</v>
      </c>
      <c r="C54" s="6" t="s">
        <v>265</v>
      </c>
      <c r="D54" s="6" t="s">
        <v>266</v>
      </c>
      <c r="E54" s="7">
        <v>4091</v>
      </c>
      <c r="F54" s="8">
        <v>33.077780500000003</v>
      </c>
      <c r="G54" s="9">
        <v>9.7767710000000001E-3</v>
      </c>
      <c r="H54" s="164"/>
    </row>
    <row r="55" spans="1:8" ht="25.5" x14ac:dyDescent="0.2">
      <c r="A55" s="5">
        <v>49</v>
      </c>
      <c r="B55" s="6" t="s">
        <v>393</v>
      </c>
      <c r="C55" s="6" t="s">
        <v>394</v>
      </c>
      <c r="D55" s="6" t="s">
        <v>67</v>
      </c>
      <c r="E55" s="7">
        <v>4367</v>
      </c>
      <c r="F55" s="8">
        <v>33.025437500000002</v>
      </c>
      <c r="G55" s="9">
        <v>9.761301E-3</v>
      </c>
      <c r="H55" s="164"/>
    </row>
    <row r="56" spans="1:8" ht="25.5" x14ac:dyDescent="0.2">
      <c r="A56" s="5">
        <v>50</v>
      </c>
      <c r="B56" s="6" t="s">
        <v>428</v>
      </c>
      <c r="C56" s="6" t="s">
        <v>429</v>
      </c>
      <c r="D56" s="6" t="s">
        <v>67</v>
      </c>
      <c r="E56" s="7">
        <v>16081</v>
      </c>
      <c r="F56" s="8">
        <v>32.958009500000003</v>
      </c>
      <c r="G56" s="9">
        <v>9.7413710000000004E-3</v>
      </c>
      <c r="H56" s="164"/>
    </row>
    <row r="57" spans="1:8" x14ac:dyDescent="0.2">
      <c r="A57" s="5">
        <v>51</v>
      </c>
      <c r="B57" s="6" t="s">
        <v>638</v>
      </c>
      <c r="C57" s="6" t="s">
        <v>639</v>
      </c>
      <c r="D57" s="6" t="s">
        <v>45</v>
      </c>
      <c r="E57" s="7">
        <v>19075</v>
      </c>
      <c r="F57" s="8">
        <v>32.646862499999997</v>
      </c>
      <c r="G57" s="9">
        <v>9.6494049999999998E-3</v>
      </c>
      <c r="H57" s="164"/>
    </row>
    <row r="58" spans="1:8" ht="25.5" x14ac:dyDescent="0.2">
      <c r="A58" s="5">
        <v>52</v>
      </c>
      <c r="B58" s="6" t="s">
        <v>640</v>
      </c>
      <c r="C58" s="6" t="s">
        <v>641</v>
      </c>
      <c r="D58" s="6" t="s">
        <v>925</v>
      </c>
      <c r="E58" s="7">
        <v>115</v>
      </c>
      <c r="F58" s="8">
        <v>32.505612499999998</v>
      </c>
      <c r="G58" s="9">
        <v>9.6076559999999991E-3</v>
      </c>
      <c r="H58" s="164"/>
    </row>
    <row r="59" spans="1:8" ht="25.5" x14ac:dyDescent="0.2">
      <c r="A59" s="5">
        <v>53</v>
      </c>
      <c r="B59" s="6" t="s">
        <v>555</v>
      </c>
      <c r="C59" s="6" t="s">
        <v>556</v>
      </c>
      <c r="D59" s="6" t="s">
        <v>67</v>
      </c>
      <c r="E59" s="7">
        <v>1098</v>
      </c>
      <c r="F59" s="8">
        <v>32.483781</v>
      </c>
      <c r="G59" s="9">
        <v>9.6012040000000003E-3</v>
      </c>
      <c r="H59" s="164"/>
    </row>
    <row r="60" spans="1:8" x14ac:dyDescent="0.2">
      <c r="A60" s="5">
        <v>54</v>
      </c>
      <c r="B60" s="6" t="s">
        <v>642</v>
      </c>
      <c r="C60" s="6" t="s">
        <v>643</v>
      </c>
      <c r="D60" s="6" t="s">
        <v>195</v>
      </c>
      <c r="E60" s="7">
        <v>216</v>
      </c>
      <c r="F60" s="8">
        <v>32.331420000000001</v>
      </c>
      <c r="G60" s="9">
        <v>9.5561699999999992E-3</v>
      </c>
      <c r="H60" s="164"/>
    </row>
    <row r="61" spans="1:8" x14ac:dyDescent="0.2">
      <c r="A61" s="5">
        <v>55</v>
      </c>
      <c r="B61" s="6" t="s">
        <v>503</v>
      </c>
      <c r="C61" s="6" t="s">
        <v>504</v>
      </c>
      <c r="D61" s="6" t="s">
        <v>62</v>
      </c>
      <c r="E61" s="7">
        <v>1879</v>
      </c>
      <c r="F61" s="8">
        <v>32.2163945</v>
      </c>
      <c r="G61" s="9">
        <v>9.5221720000000006E-3</v>
      </c>
      <c r="H61" s="164"/>
    </row>
    <row r="62" spans="1:8" x14ac:dyDescent="0.2">
      <c r="A62" s="5">
        <v>56</v>
      </c>
      <c r="B62" s="6" t="s">
        <v>644</v>
      </c>
      <c r="C62" s="6" t="s">
        <v>645</v>
      </c>
      <c r="D62" s="6" t="s">
        <v>200</v>
      </c>
      <c r="E62" s="7">
        <v>8323</v>
      </c>
      <c r="F62" s="8">
        <v>32.155910499999997</v>
      </c>
      <c r="G62" s="9">
        <v>9.5042949999999994E-3</v>
      </c>
      <c r="H62" s="164"/>
    </row>
    <row r="63" spans="1:8" ht="25.5" x14ac:dyDescent="0.2">
      <c r="A63" s="5">
        <v>57</v>
      </c>
      <c r="B63" s="6" t="s">
        <v>405</v>
      </c>
      <c r="C63" s="6" t="s">
        <v>406</v>
      </c>
      <c r="D63" s="6" t="s">
        <v>161</v>
      </c>
      <c r="E63" s="7">
        <v>1315</v>
      </c>
      <c r="F63" s="8">
        <v>32.101122500000002</v>
      </c>
      <c r="G63" s="9">
        <v>9.488102E-3</v>
      </c>
      <c r="H63" s="164"/>
    </row>
    <row r="64" spans="1:8" x14ac:dyDescent="0.2">
      <c r="A64" s="5">
        <v>58</v>
      </c>
      <c r="B64" s="6" t="s">
        <v>646</v>
      </c>
      <c r="C64" s="6" t="s">
        <v>647</v>
      </c>
      <c r="D64" s="6" t="s">
        <v>200</v>
      </c>
      <c r="E64" s="7">
        <v>3502</v>
      </c>
      <c r="F64" s="8">
        <v>32.099331999999997</v>
      </c>
      <c r="G64" s="9">
        <v>9.4875719999999997E-3</v>
      </c>
      <c r="H64" s="164"/>
    </row>
    <row r="65" spans="1:8" ht="25.5" x14ac:dyDescent="0.2">
      <c r="A65" s="5">
        <v>59</v>
      </c>
      <c r="B65" s="6" t="s">
        <v>648</v>
      </c>
      <c r="C65" s="6" t="s">
        <v>649</v>
      </c>
      <c r="D65" s="6" t="s">
        <v>40</v>
      </c>
      <c r="E65" s="7">
        <v>1639</v>
      </c>
      <c r="F65" s="8">
        <v>32.012948000000002</v>
      </c>
      <c r="G65" s="9">
        <v>9.4620399999999997E-3</v>
      </c>
      <c r="H65" s="164"/>
    </row>
    <row r="66" spans="1:8" x14ac:dyDescent="0.2">
      <c r="A66" s="5">
        <v>60</v>
      </c>
      <c r="B66" s="6" t="s">
        <v>349</v>
      </c>
      <c r="C66" s="6" t="s">
        <v>350</v>
      </c>
      <c r="D66" s="6" t="s">
        <v>195</v>
      </c>
      <c r="E66" s="7">
        <v>40</v>
      </c>
      <c r="F66" s="8">
        <v>31.962980000000002</v>
      </c>
      <c r="G66" s="9">
        <v>9.4472710000000001E-3</v>
      </c>
      <c r="H66" s="164"/>
    </row>
    <row r="67" spans="1:8" x14ac:dyDescent="0.2">
      <c r="A67" s="5">
        <v>61</v>
      </c>
      <c r="B67" s="6" t="s">
        <v>15</v>
      </c>
      <c r="C67" s="6" t="s">
        <v>16</v>
      </c>
      <c r="D67" s="6" t="s">
        <v>17</v>
      </c>
      <c r="E67" s="7">
        <v>1568</v>
      </c>
      <c r="F67" s="8">
        <v>31.913504</v>
      </c>
      <c r="G67" s="9">
        <v>9.4326470000000006E-3</v>
      </c>
      <c r="H67" s="164"/>
    </row>
    <row r="68" spans="1:8" ht="25.5" x14ac:dyDescent="0.2">
      <c r="A68" s="5">
        <v>62</v>
      </c>
      <c r="B68" s="6" t="s">
        <v>485</v>
      </c>
      <c r="C68" s="6" t="s">
        <v>486</v>
      </c>
      <c r="D68" s="6" t="s">
        <v>67</v>
      </c>
      <c r="E68" s="7">
        <v>4970</v>
      </c>
      <c r="F68" s="8">
        <v>31.845275000000001</v>
      </c>
      <c r="G68" s="9">
        <v>9.4124810000000003E-3</v>
      </c>
      <c r="H68" s="164"/>
    </row>
    <row r="69" spans="1:8" x14ac:dyDescent="0.2">
      <c r="A69" s="5">
        <v>63</v>
      </c>
      <c r="B69" s="6" t="s">
        <v>650</v>
      </c>
      <c r="C69" s="6" t="s">
        <v>651</v>
      </c>
      <c r="D69" s="6" t="s">
        <v>22</v>
      </c>
      <c r="E69" s="7">
        <v>3244</v>
      </c>
      <c r="F69" s="8">
        <v>31.823640000000001</v>
      </c>
      <c r="G69" s="9">
        <v>9.4060859999999993E-3</v>
      </c>
      <c r="H69" s="164"/>
    </row>
    <row r="70" spans="1:8" x14ac:dyDescent="0.2">
      <c r="A70" s="5">
        <v>64</v>
      </c>
      <c r="B70" s="6" t="s">
        <v>652</v>
      </c>
      <c r="C70" s="6" t="s">
        <v>653</v>
      </c>
      <c r="D70" s="6" t="s">
        <v>635</v>
      </c>
      <c r="E70" s="7">
        <v>22202</v>
      </c>
      <c r="F70" s="8">
        <v>31.815466000000001</v>
      </c>
      <c r="G70" s="9">
        <v>9.4036699999999994E-3</v>
      </c>
      <c r="H70" s="164"/>
    </row>
    <row r="71" spans="1:8" x14ac:dyDescent="0.2">
      <c r="A71" s="5">
        <v>65</v>
      </c>
      <c r="B71" s="6" t="s">
        <v>654</v>
      </c>
      <c r="C71" s="6" t="s">
        <v>655</v>
      </c>
      <c r="D71" s="6" t="s">
        <v>200</v>
      </c>
      <c r="E71" s="7">
        <v>2872</v>
      </c>
      <c r="F71" s="8">
        <v>31.804528000000001</v>
      </c>
      <c r="G71" s="9">
        <v>9.4004369999999993E-3</v>
      </c>
      <c r="H71" s="164"/>
    </row>
    <row r="72" spans="1:8" ht="25.5" x14ac:dyDescent="0.2">
      <c r="A72" s="5">
        <v>66</v>
      </c>
      <c r="B72" s="6" t="s">
        <v>438</v>
      </c>
      <c r="C72" s="6" t="s">
        <v>439</v>
      </c>
      <c r="D72" s="6" t="s">
        <v>932</v>
      </c>
      <c r="E72" s="7">
        <v>2147</v>
      </c>
      <c r="F72" s="8">
        <v>31.684352499999999</v>
      </c>
      <c r="G72" s="9">
        <v>9.3649170000000004E-3</v>
      </c>
      <c r="H72" s="164"/>
    </row>
    <row r="73" spans="1:8" x14ac:dyDescent="0.2">
      <c r="A73" s="5">
        <v>67</v>
      </c>
      <c r="B73" s="6" t="s">
        <v>446</v>
      </c>
      <c r="C73" s="6" t="s">
        <v>447</v>
      </c>
      <c r="D73" s="6" t="s">
        <v>200</v>
      </c>
      <c r="E73" s="7">
        <v>3441</v>
      </c>
      <c r="F73" s="8">
        <v>31.658920500000001</v>
      </c>
      <c r="G73" s="9">
        <v>9.3574000000000001E-3</v>
      </c>
      <c r="H73" s="164"/>
    </row>
    <row r="74" spans="1:8" x14ac:dyDescent="0.2">
      <c r="A74" s="5">
        <v>68</v>
      </c>
      <c r="B74" s="6" t="s">
        <v>91</v>
      </c>
      <c r="C74" s="6" t="s">
        <v>92</v>
      </c>
      <c r="D74" s="6" t="s">
        <v>76</v>
      </c>
      <c r="E74" s="7">
        <v>14488</v>
      </c>
      <c r="F74" s="8">
        <v>31.620059999999999</v>
      </c>
      <c r="G74" s="9">
        <v>9.3459140000000003E-3</v>
      </c>
      <c r="H74" s="164"/>
    </row>
    <row r="75" spans="1:8" x14ac:dyDescent="0.2">
      <c r="A75" s="5">
        <v>69</v>
      </c>
      <c r="B75" s="6" t="s">
        <v>656</v>
      </c>
      <c r="C75" s="6" t="s">
        <v>657</v>
      </c>
      <c r="D75" s="6" t="s">
        <v>927</v>
      </c>
      <c r="E75" s="7">
        <v>1105</v>
      </c>
      <c r="F75" s="8">
        <v>31.5383575</v>
      </c>
      <c r="G75" s="9">
        <v>9.3217660000000004E-3</v>
      </c>
      <c r="H75" s="164"/>
    </row>
    <row r="76" spans="1:8" x14ac:dyDescent="0.2">
      <c r="A76" s="5">
        <v>70</v>
      </c>
      <c r="B76" s="6" t="s">
        <v>658</v>
      </c>
      <c r="C76" s="6" t="s">
        <v>659</v>
      </c>
      <c r="D76" s="6" t="s">
        <v>161</v>
      </c>
      <c r="E76" s="7">
        <v>1359</v>
      </c>
      <c r="F76" s="8">
        <v>31.509774</v>
      </c>
      <c r="G76" s="9">
        <v>9.3133169999999998E-3</v>
      </c>
      <c r="H76" s="164"/>
    </row>
    <row r="77" spans="1:8" x14ac:dyDescent="0.2">
      <c r="A77" s="5">
        <v>71</v>
      </c>
      <c r="B77" s="6" t="s">
        <v>83</v>
      </c>
      <c r="C77" s="6" t="s">
        <v>84</v>
      </c>
      <c r="D77" s="6" t="s">
        <v>85</v>
      </c>
      <c r="E77" s="7">
        <v>27290</v>
      </c>
      <c r="F77" s="8">
        <v>31.46537</v>
      </c>
      <c r="G77" s="9">
        <v>9.300193E-3</v>
      </c>
      <c r="H77" s="164"/>
    </row>
    <row r="78" spans="1:8" x14ac:dyDescent="0.2">
      <c r="A78" s="5">
        <v>72</v>
      </c>
      <c r="B78" s="6" t="s">
        <v>436</v>
      </c>
      <c r="C78" s="6" t="s">
        <v>437</v>
      </c>
      <c r="D78" s="6" t="s">
        <v>22</v>
      </c>
      <c r="E78" s="7">
        <v>1897</v>
      </c>
      <c r="F78" s="8">
        <v>31.391556000000001</v>
      </c>
      <c r="G78" s="9">
        <v>9.2783759999999996E-3</v>
      </c>
      <c r="H78" s="164"/>
    </row>
    <row r="79" spans="1:8" ht="25.5" x14ac:dyDescent="0.2">
      <c r="A79" s="5">
        <v>73</v>
      </c>
      <c r="B79" s="6" t="s">
        <v>417</v>
      </c>
      <c r="C79" s="6" t="s">
        <v>418</v>
      </c>
      <c r="D79" s="6" t="s">
        <v>67</v>
      </c>
      <c r="E79" s="7">
        <v>1344</v>
      </c>
      <c r="F79" s="8">
        <v>31.359552000000001</v>
      </c>
      <c r="G79" s="9">
        <v>9.2689160000000003E-3</v>
      </c>
      <c r="H79" s="164"/>
    </row>
    <row r="80" spans="1:8" x14ac:dyDescent="0.2">
      <c r="A80" s="5">
        <v>74</v>
      </c>
      <c r="B80" s="6" t="s">
        <v>660</v>
      </c>
      <c r="C80" s="6" t="s">
        <v>661</v>
      </c>
      <c r="D80" s="6" t="s">
        <v>50</v>
      </c>
      <c r="E80" s="7">
        <v>1902</v>
      </c>
      <c r="F80" s="8">
        <v>31.332597</v>
      </c>
      <c r="G80" s="9">
        <v>9.2609489999999992E-3</v>
      </c>
      <c r="H80" s="164"/>
    </row>
    <row r="81" spans="1:8" ht="25.5" x14ac:dyDescent="0.2">
      <c r="A81" s="5">
        <v>75</v>
      </c>
      <c r="B81" s="6" t="s">
        <v>95</v>
      </c>
      <c r="C81" s="6" t="s">
        <v>96</v>
      </c>
      <c r="D81" s="6" t="s">
        <v>50</v>
      </c>
      <c r="E81" s="7">
        <v>4644</v>
      </c>
      <c r="F81" s="8">
        <v>31.323779999999999</v>
      </c>
      <c r="G81" s="9">
        <v>9.2583430000000005E-3</v>
      </c>
      <c r="H81" s="164"/>
    </row>
    <row r="82" spans="1:8" x14ac:dyDescent="0.2">
      <c r="A82" s="5">
        <v>76</v>
      </c>
      <c r="B82" s="6" t="s">
        <v>53</v>
      </c>
      <c r="C82" s="6" t="s">
        <v>54</v>
      </c>
      <c r="D82" s="6" t="s">
        <v>17</v>
      </c>
      <c r="E82" s="7">
        <v>7014</v>
      </c>
      <c r="F82" s="8">
        <v>31.24737</v>
      </c>
      <c r="G82" s="9">
        <v>9.2357589999999996E-3</v>
      </c>
      <c r="H82" s="164"/>
    </row>
    <row r="83" spans="1:8" x14ac:dyDescent="0.2">
      <c r="A83" s="5">
        <v>77</v>
      </c>
      <c r="B83" s="6" t="s">
        <v>662</v>
      </c>
      <c r="C83" s="6" t="s">
        <v>663</v>
      </c>
      <c r="D83" s="6" t="s">
        <v>88</v>
      </c>
      <c r="E83" s="7">
        <v>1126</v>
      </c>
      <c r="F83" s="8">
        <v>31.114757999999998</v>
      </c>
      <c r="G83" s="9">
        <v>9.1965629999999996E-3</v>
      </c>
      <c r="H83" s="164"/>
    </row>
    <row r="84" spans="1:8" x14ac:dyDescent="0.2">
      <c r="A84" s="5">
        <v>78</v>
      </c>
      <c r="B84" s="6" t="s">
        <v>79</v>
      </c>
      <c r="C84" s="6" t="s">
        <v>80</v>
      </c>
      <c r="D84" s="6" t="s">
        <v>22</v>
      </c>
      <c r="E84" s="7">
        <v>2178</v>
      </c>
      <c r="F84" s="8">
        <v>31.068080999999999</v>
      </c>
      <c r="G84" s="9">
        <v>9.1827660000000002E-3</v>
      </c>
      <c r="H84" s="164"/>
    </row>
    <row r="85" spans="1:8" x14ac:dyDescent="0.2">
      <c r="A85" s="5">
        <v>79</v>
      </c>
      <c r="B85" s="6" t="s">
        <v>421</v>
      </c>
      <c r="C85" s="6" t="s">
        <v>422</v>
      </c>
      <c r="D85" s="6" t="s">
        <v>88</v>
      </c>
      <c r="E85" s="7">
        <v>4179</v>
      </c>
      <c r="F85" s="8">
        <v>31.054148999999999</v>
      </c>
      <c r="G85" s="9">
        <v>9.1786479999999993E-3</v>
      </c>
      <c r="H85" s="164"/>
    </row>
    <row r="86" spans="1:8" x14ac:dyDescent="0.2">
      <c r="A86" s="5">
        <v>80</v>
      </c>
      <c r="B86" s="6" t="s">
        <v>664</v>
      </c>
      <c r="C86" s="6" t="s">
        <v>665</v>
      </c>
      <c r="D86" s="6" t="s">
        <v>200</v>
      </c>
      <c r="E86" s="7">
        <v>5293</v>
      </c>
      <c r="F86" s="8">
        <v>31.022272999999998</v>
      </c>
      <c r="G86" s="9">
        <v>9.1692270000000003E-3</v>
      </c>
      <c r="H86" s="164"/>
    </row>
    <row r="87" spans="1:8" x14ac:dyDescent="0.2">
      <c r="A87" s="5">
        <v>81</v>
      </c>
      <c r="B87" s="6" t="s">
        <v>419</v>
      </c>
      <c r="C87" s="6" t="s">
        <v>420</v>
      </c>
      <c r="D87" s="6" t="s">
        <v>179</v>
      </c>
      <c r="E87" s="7">
        <v>978</v>
      </c>
      <c r="F87" s="8">
        <v>30.977661000000001</v>
      </c>
      <c r="G87" s="9">
        <v>9.1560410000000002E-3</v>
      </c>
      <c r="H87" s="164"/>
    </row>
    <row r="88" spans="1:8" ht="25.5" x14ac:dyDescent="0.2">
      <c r="A88" s="5">
        <v>82</v>
      </c>
      <c r="B88" s="6" t="s">
        <v>666</v>
      </c>
      <c r="C88" s="6" t="s">
        <v>667</v>
      </c>
      <c r="D88" s="6" t="s">
        <v>67</v>
      </c>
      <c r="E88" s="7">
        <v>903</v>
      </c>
      <c r="F88" s="8">
        <v>30.913302000000002</v>
      </c>
      <c r="G88" s="9">
        <v>9.1370180000000002E-3</v>
      </c>
      <c r="H88" s="164"/>
    </row>
    <row r="89" spans="1:8" x14ac:dyDescent="0.2">
      <c r="A89" s="5">
        <v>83</v>
      </c>
      <c r="B89" s="6" t="s">
        <v>668</v>
      </c>
      <c r="C89" s="6" t="s">
        <v>669</v>
      </c>
      <c r="D89" s="6" t="s">
        <v>22</v>
      </c>
      <c r="E89" s="7">
        <v>242292</v>
      </c>
      <c r="F89" s="8">
        <v>30.892230000000001</v>
      </c>
      <c r="G89" s="9">
        <v>9.1307899999999997E-3</v>
      </c>
      <c r="H89" s="164"/>
    </row>
    <row r="90" spans="1:8" x14ac:dyDescent="0.2">
      <c r="A90" s="5">
        <v>84</v>
      </c>
      <c r="B90" s="6" t="s">
        <v>670</v>
      </c>
      <c r="C90" s="6" t="s">
        <v>671</v>
      </c>
      <c r="D90" s="6" t="s">
        <v>88</v>
      </c>
      <c r="E90" s="7">
        <v>1216</v>
      </c>
      <c r="F90" s="8">
        <v>30.76784</v>
      </c>
      <c r="G90" s="9">
        <v>9.0940239999999992E-3</v>
      </c>
      <c r="H90" s="164"/>
    </row>
    <row r="91" spans="1:8" x14ac:dyDescent="0.2">
      <c r="A91" s="5">
        <v>85</v>
      </c>
      <c r="B91" s="6" t="s">
        <v>672</v>
      </c>
      <c r="C91" s="6" t="s">
        <v>673</v>
      </c>
      <c r="D91" s="6" t="s">
        <v>22</v>
      </c>
      <c r="E91" s="7">
        <v>77855</v>
      </c>
      <c r="F91" s="8">
        <v>30.752725000000002</v>
      </c>
      <c r="G91" s="9">
        <v>9.0895569999999998E-3</v>
      </c>
      <c r="H91" s="164"/>
    </row>
    <row r="92" spans="1:8" x14ac:dyDescent="0.2">
      <c r="A92" s="5">
        <v>86</v>
      </c>
      <c r="B92" s="6" t="s">
        <v>674</v>
      </c>
      <c r="C92" s="6" t="s">
        <v>675</v>
      </c>
      <c r="D92" s="6" t="s">
        <v>635</v>
      </c>
      <c r="E92" s="7">
        <v>2161</v>
      </c>
      <c r="F92" s="8">
        <v>30.691602499999998</v>
      </c>
      <c r="G92" s="9">
        <v>9.0714909999999992E-3</v>
      </c>
      <c r="H92" s="164"/>
    </row>
    <row r="93" spans="1:8" x14ac:dyDescent="0.2">
      <c r="A93" s="5">
        <v>87</v>
      </c>
      <c r="B93" s="6" t="s">
        <v>357</v>
      </c>
      <c r="C93" s="6" t="s">
        <v>358</v>
      </c>
      <c r="D93" s="6" t="s">
        <v>22</v>
      </c>
      <c r="E93" s="7">
        <v>4316</v>
      </c>
      <c r="F93" s="8">
        <v>30.596124</v>
      </c>
      <c r="G93" s="9">
        <v>9.0432700000000008E-3</v>
      </c>
      <c r="H93" s="164"/>
    </row>
    <row r="94" spans="1:8" x14ac:dyDescent="0.2">
      <c r="A94" s="5">
        <v>88</v>
      </c>
      <c r="B94" s="6" t="s">
        <v>676</v>
      </c>
      <c r="C94" s="6" t="s">
        <v>677</v>
      </c>
      <c r="D94" s="6" t="s">
        <v>17</v>
      </c>
      <c r="E94" s="7">
        <v>29598</v>
      </c>
      <c r="F94" s="8">
        <v>30.530336999999999</v>
      </c>
      <c r="G94" s="9">
        <v>9.0238260000000004E-3</v>
      </c>
      <c r="H94" s="164"/>
    </row>
    <row r="95" spans="1:8" x14ac:dyDescent="0.2">
      <c r="A95" s="5">
        <v>89</v>
      </c>
      <c r="B95" s="6" t="s">
        <v>580</v>
      </c>
      <c r="C95" s="6" t="s">
        <v>581</v>
      </c>
      <c r="D95" s="6" t="s">
        <v>932</v>
      </c>
      <c r="E95" s="7">
        <v>4556</v>
      </c>
      <c r="F95" s="8">
        <v>30.254117999999998</v>
      </c>
      <c r="G95" s="9">
        <v>8.9421840000000006E-3</v>
      </c>
      <c r="H95" s="164"/>
    </row>
    <row r="96" spans="1:8" x14ac:dyDescent="0.2">
      <c r="A96" s="5">
        <v>90</v>
      </c>
      <c r="B96" s="6" t="s">
        <v>74</v>
      </c>
      <c r="C96" s="6" t="s">
        <v>75</v>
      </c>
      <c r="D96" s="6" t="s">
        <v>76</v>
      </c>
      <c r="E96" s="7">
        <v>21665</v>
      </c>
      <c r="F96" s="8">
        <v>30.233507500000002</v>
      </c>
      <c r="G96" s="9">
        <v>8.9360919999999996E-3</v>
      </c>
      <c r="H96" s="164"/>
    </row>
    <row r="97" spans="1:8" x14ac:dyDescent="0.2">
      <c r="A97" s="5">
        <v>91</v>
      </c>
      <c r="B97" s="6" t="s">
        <v>569</v>
      </c>
      <c r="C97" s="6" t="s">
        <v>570</v>
      </c>
      <c r="D97" s="6" t="s">
        <v>88</v>
      </c>
      <c r="E97" s="7">
        <v>787</v>
      </c>
      <c r="F97" s="8">
        <v>30.138952</v>
      </c>
      <c r="G97" s="9">
        <v>8.9081439999999998E-3</v>
      </c>
      <c r="H97" s="164"/>
    </row>
    <row r="98" spans="1:8" x14ac:dyDescent="0.2">
      <c r="A98" s="5">
        <v>92</v>
      </c>
      <c r="B98" s="6" t="s">
        <v>494</v>
      </c>
      <c r="C98" s="6" t="s">
        <v>495</v>
      </c>
      <c r="D98" s="6" t="s">
        <v>88</v>
      </c>
      <c r="E98" s="7">
        <v>431</v>
      </c>
      <c r="F98" s="8">
        <v>30.073886999999999</v>
      </c>
      <c r="G98" s="9">
        <v>8.888913E-3</v>
      </c>
      <c r="H98" s="164"/>
    </row>
    <row r="99" spans="1:8" ht="25.5" x14ac:dyDescent="0.2">
      <c r="A99" s="5">
        <v>93</v>
      </c>
      <c r="B99" s="6" t="s">
        <v>491</v>
      </c>
      <c r="C99" s="6" t="s">
        <v>492</v>
      </c>
      <c r="D99" s="6" t="s">
        <v>67</v>
      </c>
      <c r="E99" s="7">
        <v>237</v>
      </c>
      <c r="F99" s="8">
        <v>30.053021999999999</v>
      </c>
      <c r="G99" s="9">
        <v>8.8827460000000004E-3</v>
      </c>
      <c r="H99" s="164"/>
    </row>
    <row r="100" spans="1:8" x14ac:dyDescent="0.2">
      <c r="A100" s="5">
        <v>94</v>
      </c>
      <c r="B100" s="6" t="s">
        <v>678</v>
      </c>
      <c r="C100" s="6" t="s">
        <v>679</v>
      </c>
      <c r="D100" s="6" t="s">
        <v>25</v>
      </c>
      <c r="E100" s="7">
        <v>13485</v>
      </c>
      <c r="F100" s="8">
        <v>29.950185000000001</v>
      </c>
      <c r="G100" s="9">
        <v>8.8523509999999996E-3</v>
      </c>
      <c r="H100" s="164"/>
    </row>
    <row r="101" spans="1:8" x14ac:dyDescent="0.2">
      <c r="A101" s="5">
        <v>95</v>
      </c>
      <c r="B101" s="6" t="s">
        <v>506</v>
      </c>
      <c r="C101" s="6" t="s">
        <v>507</v>
      </c>
      <c r="D101" s="6" t="s">
        <v>200</v>
      </c>
      <c r="E101" s="7">
        <v>617</v>
      </c>
      <c r="F101" s="8">
        <v>29.068104000000002</v>
      </c>
      <c r="G101" s="9">
        <v>8.5916350000000002E-3</v>
      </c>
      <c r="H101" s="164"/>
    </row>
    <row r="102" spans="1:8" x14ac:dyDescent="0.2">
      <c r="A102" s="5">
        <v>96</v>
      </c>
      <c r="B102" s="6" t="s">
        <v>680</v>
      </c>
      <c r="C102" s="6" t="s">
        <v>681</v>
      </c>
      <c r="D102" s="6" t="s">
        <v>22</v>
      </c>
      <c r="E102" s="7">
        <v>9917</v>
      </c>
      <c r="F102" s="8">
        <v>28.883262500000001</v>
      </c>
      <c r="G102" s="9">
        <v>8.5370010000000007E-3</v>
      </c>
      <c r="H102" s="164"/>
    </row>
    <row r="103" spans="1:8" x14ac:dyDescent="0.2">
      <c r="A103" s="5">
        <v>97</v>
      </c>
      <c r="B103" s="6" t="s">
        <v>682</v>
      </c>
      <c r="C103" s="6" t="s">
        <v>683</v>
      </c>
      <c r="D103" s="6" t="s">
        <v>17</v>
      </c>
      <c r="E103" s="7">
        <v>11032</v>
      </c>
      <c r="F103" s="8">
        <v>28.810068000000001</v>
      </c>
      <c r="G103" s="9">
        <v>8.5153669999999994E-3</v>
      </c>
      <c r="H103" s="164"/>
    </row>
    <row r="104" spans="1:8" x14ac:dyDescent="0.2">
      <c r="A104" s="5">
        <v>98</v>
      </c>
      <c r="B104" s="6" t="s">
        <v>501</v>
      </c>
      <c r="C104" s="6" t="s">
        <v>502</v>
      </c>
      <c r="D104" s="6" t="s">
        <v>88</v>
      </c>
      <c r="E104" s="7">
        <v>9700</v>
      </c>
      <c r="F104" s="8">
        <v>28.51315</v>
      </c>
      <c r="G104" s="9">
        <v>8.4276079999999996E-3</v>
      </c>
      <c r="H104" s="164"/>
    </row>
    <row r="105" spans="1:8" x14ac:dyDescent="0.2">
      <c r="A105" s="5">
        <v>99</v>
      </c>
      <c r="B105" s="6" t="s">
        <v>684</v>
      </c>
      <c r="C105" s="6" t="s">
        <v>685</v>
      </c>
      <c r="D105" s="6" t="s">
        <v>45</v>
      </c>
      <c r="E105" s="7">
        <v>2848</v>
      </c>
      <c r="F105" s="8">
        <v>25.127904000000001</v>
      </c>
      <c r="G105" s="9">
        <v>7.4270330000000004E-3</v>
      </c>
      <c r="H105" s="164"/>
    </row>
    <row r="106" spans="1:8" x14ac:dyDescent="0.2">
      <c r="A106" s="5">
        <v>100</v>
      </c>
      <c r="B106" s="6" t="s">
        <v>686</v>
      </c>
      <c r="C106" s="6" t="s">
        <v>687</v>
      </c>
      <c r="D106" s="6" t="s">
        <v>45</v>
      </c>
      <c r="E106" s="7">
        <v>2771</v>
      </c>
      <c r="F106" s="8">
        <v>24.757499500000002</v>
      </c>
      <c r="G106" s="9">
        <v>7.3175530000000001E-3</v>
      </c>
      <c r="H106" s="164"/>
    </row>
    <row r="107" spans="1:8" x14ac:dyDescent="0.2">
      <c r="A107" s="3" t="s">
        <v>9</v>
      </c>
      <c r="B107" s="3" t="s">
        <v>9</v>
      </c>
      <c r="C107" s="4" t="s">
        <v>110</v>
      </c>
      <c r="D107" s="3" t="s">
        <v>9</v>
      </c>
      <c r="E107" s="3" t="s">
        <v>9</v>
      </c>
      <c r="F107" s="11">
        <v>3337.7678820000001</v>
      </c>
      <c r="G107" s="12">
        <v>0.98654121400000006</v>
      </c>
      <c r="H107" s="164"/>
    </row>
    <row r="108" spans="1:8" x14ac:dyDescent="0.2">
      <c r="A108" s="3" t="s">
        <v>9</v>
      </c>
      <c r="B108" s="3" t="s">
        <v>9</v>
      </c>
      <c r="C108" s="13" t="s">
        <v>9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111</v>
      </c>
      <c r="D109" s="3" t="s">
        <v>9</v>
      </c>
      <c r="E109" s="3" t="s">
        <v>9</v>
      </c>
      <c r="F109" s="3" t="s">
        <v>9</v>
      </c>
      <c r="G109" s="3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110</v>
      </c>
      <c r="D110" s="3" t="s">
        <v>9</v>
      </c>
      <c r="E110" s="3" t="s">
        <v>9</v>
      </c>
      <c r="F110" s="15">
        <v>0</v>
      </c>
      <c r="G110" s="16">
        <v>0</v>
      </c>
      <c r="H110" s="164"/>
    </row>
    <row r="111" spans="1:8" x14ac:dyDescent="0.2">
      <c r="A111" s="3" t="s">
        <v>9</v>
      </c>
      <c r="B111" s="3" t="s">
        <v>9</v>
      </c>
      <c r="C111" s="13" t="s">
        <v>9</v>
      </c>
      <c r="D111" s="3" t="s">
        <v>9</v>
      </c>
      <c r="E111" s="3" t="s">
        <v>9</v>
      </c>
      <c r="F111" s="14" t="s">
        <v>9</v>
      </c>
      <c r="G111" s="14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112</v>
      </c>
      <c r="D112" s="3" t="s">
        <v>9</v>
      </c>
      <c r="E112" s="3" t="s">
        <v>9</v>
      </c>
      <c r="F112" s="3" t="s">
        <v>9</v>
      </c>
      <c r="G112" s="3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110</v>
      </c>
      <c r="D113" s="3" t="s">
        <v>9</v>
      </c>
      <c r="E113" s="3" t="s">
        <v>9</v>
      </c>
      <c r="F113" s="15">
        <v>0</v>
      </c>
      <c r="G113" s="16">
        <v>0</v>
      </c>
      <c r="H113" s="164"/>
    </row>
    <row r="114" spans="1:8" x14ac:dyDescent="0.2">
      <c r="A114" s="3" t="s">
        <v>9</v>
      </c>
      <c r="B114" s="3" t="s">
        <v>9</v>
      </c>
      <c r="C114" s="13" t="s">
        <v>9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113</v>
      </c>
      <c r="D115" s="3" t="s">
        <v>9</v>
      </c>
      <c r="E115" s="3" t="s">
        <v>9</v>
      </c>
      <c r="F115" s="3" t="s">
        <v>9</v>
      </c>
      <c r="G115" s="3" t="s">
        <v>9</v>
      </c>
      <c r="H115" s="164"/>
    </row>
    <row r="116" spans="1:8" x14ac:dyDescent="0.2">
      <c r="A116" s="3" t="s">
        <v>9</v>
      </c>
      <c r="B116" s="3" t="s">
        <v>9</v>
      </c>
      <c r="C116" s="4" t="s">
        <v>110</v>
      </c>
      <c r="D116" s="3" t="s">
        <v>9</v>
      </c>
      <c r="E116" s="3" t="s">
        <v>9</v>
      </c>
      <c r="F116" s="15">
        <v>0</v>
      </c>
      <c r="G116" s="16">
        <v>0</v>
      </c>
      <c r="H116" s="164"/>
    </row>
    <row r="117" spans="1:8" x14ac:dyDescent="0.2">
      <c r="A117" s="3" t="s">
        <v>9</v>
      </c>
      <c r="B117" s="3" t="s">
        <v>9</v>
      </c>
      <c r="C117" s="13" t="s">
        <v>9</v>
      </c>
      <c r="D117" s="3" t="s">
        <v>9</v>
      </c>
      <c r="E117" s="3" t="s">
        <v>9</v>
      </c>
      <c r="F117" s="14" t="s">
        <v>9</v>
      </c>
      <c r="G117" s="14" t="s">
        <v>9</v>
      </c>
      <c r="H117" s="164"/>
    </row>
    <row r="118" spans="1:8" x14ac:dyDescent="0.2">
      <c r="A118" s="3" t="s">
        <v>9</v>
      </c>
      <c r="B118" s="3" t="s">
        <v>9</v>
      </c>
      <c r="C118" s="4" t="s">
        <v>114</v>
      </c>
      <c r="D118" s="3" t="s">
        <v>9</v>
      </c>
      <c r="E118" s="3" t="s">
        <v>9</v>
      </c>
      <c r="F118" s="14" t="s">
        <v>9</v>
      </c>
      <c r="G118" s="14" t="s">
        <v>9</v>
      </c>
      <c r="H118" s="164"/>
    </row>
    <row r="119" spans="1:8" x14ac:dyDescent="0.2">
      <c r="A119" s="3" t="s">
        <v>9</v>
      </c>
      <c r="B119" s="3" t="s">
        <v>9</v>
      </c>
      <c r="C119" s="4" t="s">
        <v>110</v>
      </c>
      <c r="D119" s="3" t="s">
        <v>9</v>
      </c>
      <c r="E119" s="3" t="s">
        <v>9</v>
      </c>
      <c r="F119" s="15">
        <v>0</v>
      </c>
      <c r="G119" s="16">
        <v>0</v>
      </c>
      <c r="H119" s="164"/>
    </row>
    <row r="120" spans="1:8" x14ac:dyDescent="0.2">
      <c r="A120" s="3" t="s">
        <v>9</v>
      </c>
      <c r="B120" s="3" t="s">
        <v>9</v>
      </c>
      <c r="C120" s="13" t="s">
        <v>9</v>
      </c>
      <c r="D120" s="3" t="s">
        <v>9</v>
      </c>
      <c r="E120" s="3" t="s">
        <v>9</v>
      </c>
      <c r="F120" s="14" t="s">
        <v>9</v>
      </c>
      <c r="G120" s="14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115</v>
      </c>
      <c r="D121" s="3" t="s">
        <v>9</v>
      </c>
      <c r="E121" s="3" t="s">
        <v>9</v>
      </c>
      <c r="F121" s="14" t="s">
        <v>9</v>
      </c>
      <c r="G121" s="14" t="s">
        <v>9</v>
      </c>
      <c r="H121" s="164"/>
    </row>
    <row r="122" spans="1:8" x14ac:dyDescent="0.2">
      <c r="A122" s="3" t="s">
        <v>9</v>
      </c>
      <c r="B122" s="3" t="s">
        <v>9</v>
      </c>
      <c r="C122" s="4" t="s">
        <v>110</v>
      </c>
      <c r="D122" s="3" t="s">
        <v>9</v>
      </c>
      <c r="E122" s="3" t="s">
        <v>9</v>
      </c>
      <c r="F122" s="15">
        <v>0</v>
      </c>
      <c r="G122" s="16">
        <v>0</v>
      </c>
      <c r="H122" s="164"/>
    </row>
    <row r="123" spans="1:8" x14ac:dyDescent="0.2">
      <c r="A123" s="3" t="s">
        <v>9</v>
      </c>
      <c r="B123" s="3" t="s">
        <v>9</v>
      </c>
      <c r="C123" s="13" t="s">
        <v>9</v>
      </c>
      <c r="D123" s="3" t="s">
        <v>9</v>
      </c>
      <c r="E123" s="3" t="s">
        <v>9</v>
      </c>
      <c r="F123" s="14" t="s">
        <v>9</v>
      </c>
      <c r="G123" s="14" t="s">
        <v>9</v>
      </c>
      <c r="H123" s="164"/>
    </row>
    <row r="124" spans="1:8" x14ac:dyDescent="0.2">
      <c r="A124" s="3" t="s">
        <v>9</v>
      </c>
      <c r="B124" s="3" t="s">
        <v>9</v>
      </c>
      <c r="C124" s="4" t="s">
        <v>116</v>
      </c>
      <c r="D124" s="3" t="s">
        <v>9</v>
      </c>
      <c r="E124" s="3" t="s">
        <v>9</v>
      </c>
      <c r="F124" s="11">
        <v>3337.7678820000001</v>
      </c>
      <c r="G124" s="12">
        <v>0.98654121400000006</v>
      </c>
      <c r="H124" s="164"/>
    </row>
    <row r="125" spans="1:8" x14ac:dyDescent="0.2">
      <c r="A125" s="3" t="s">
        <v>9</v>
      </c>
      <c r="B125" s="3" t="s">
        <v>9</v>
      </c>
      <c r="C125" s="13" t="s">
        <v>9</v>
      </c>
      <c r="D125" s="3" t="s">
        <v>9</v>
      </c>
      <c r="E125" s="3" t="s">
        <v>9</v>
      </c>
      <c r="F125" s="14" t="s">
        <v>9</v>
      </c>
      <c r="G125" s="14" t="s">
        <v>9</v>
      </c>
      <c r="H125" s="164"/>
    </row>
    <row r="126" spans="1:8" x14ac:dyDescent="0.2">
      <c r="A126" s="3" t="s">
        <v>9</v>
      </c>
      <c r="B126" s="3" t="s">
        <v>9</v>
      </c>
      <c r="C126" s="4" t="s">
        <v>117</v>
      </c>
      <c r="D126" s="3" t="s">
        <v>9</v>
      </c>
      <c r="E126" s="3" t="s">
        <v>9</v>
      </c>
      <c r="F126" s="14" t="s">
        <v>9</v>
      </c>
      <c r="G126" s="14" t="s">
        <v>9</v>
      </c>
      <c r="H126" s="164"/>
    </row>
    <row r="127" spans="1:8" ht="25.5" x14ac:dyDescent="0.2">
      <c r="A127" s="3" t="s">
        <v>9</v>
      </c>
      <c r="B127" s="3" t="s">
        <v>9</v>
      </c>
      <c r="C127" s="4" t="s">
        <v>11</v>
      </c>
      <c r="D127" s="3" t="s">
        <v>9</v>
      </c>
      <c r="E127" s="3" t="s">
        <v>9</v>
      </c>
      <c r="F127" s="14" t="s">
        <v>9</v>
      </c>
      <c r="G127" s="14" t="s">
        <v>9</v>
      </c>
      <c r="H127" s="164"/>
    </row>
    <row r="128" spans="1:8" ht="25.5" x14ac:dyDescent="0.2">
      <c r="A128" s="5">
        <v>1</v>
      </c>
      <c r="B128" s="6" t="s">
        <v>688</v>
      </c>
      <c r="C128" s="6" t="s">
        <v>689</v>
      </c>
      <c r="D128" s="6" t="s">
        <v>690</v>
      </c>
      <c r="E128" s="7">
        <v>828</v>
      </c>
      <c r="F128" s="8">
        <v>0.24072112800000001</v>
      </c>
      <c r="G128" s="9">
        <v>7.1149999999999995E-5</v>
      </c>
      <c r="H128" s="171">
        <v>5.3949999999999996</v>
      </c>
    </row>
    <row r="129" spans="1:8" x14ac:dyDescent="0.2">
      <c r="A129" s="3" t="s">
        <v>9</v>
      </c>
      <c r="B129" s="3" t="s">
        <v>9</v>
      </c>
      <c r="C129" s="4" t="s">
        <v>110</v>
      </c>
      <c r="D129" s="3" t="s">
        <v>9</v>
      </c>
      <c r="E129" s="3" t="s">
        <v>9</v>
      </c>
      <c r="F129" s="11">
        <v>0.24072112800000001</v>
      </c>
      <c r="G129" s="12">
        <v>7.1149999999999995E-5</v>
      </c>
      <c r="H129" s="164"/>
    </row>
    <row r="130" spans="1:8" x14ac:dyDescent="0.2">
      <c r="A130" s="3" t="s">
        <v>9</v>
      </c>
      <c r="B130" s="3" t="s">
        <v>9</v>
      </c>
      <c r="C130" s="13" t="s">
        <v>9</v>
      </c>
      <c r="D130" s="3" t="s">
        <v>9</v>
      </c>
      <c r="E130" s="3" t="s">
        <v>9</v>
      </c>
      <c r="F130" s="14" t="s">
        <v>9</v>
      </c>
      <c r="G130" s="14" t="s">
        <v>9</v>
      </c>
      <c r="H130" s="164"/>
    </row>
    <row r="131" spans="1:8" x14ac:dyDescent="0.2">
      <c r="A131" s="3" t="s">
        <v>9</v>
      </c>
      <c r="B131" s="3" t="s">
        <v>9</v>
      </c>
      <c r="C131" s="4" t="s">
        <v>118</v>
      </c>
      <c r="D131" s="3" t="s">
        <v>9</v>
      </c>
      <c r="E131" s="3" t="s">
        <v>9</v>
      </c>
      <c r="F131" s="3" t="s">
        <v>9</v>
      </c>
      <c r="G131" s="3" t="s">
        <v>9</v>
      </c>
      <c r="H131" s="164"/>
    </row>
    <row r="132" spans="1:8" x14ac:dyDescent="0.2">
      <c r="A132" s="3" t="s">
        <v>9</v>
      </c>
      <c r="B132" s="3" t="s">
        <v>9</v>
      </c>
      <c r="C132" s="4" t="s">
        <v>110</v>
      </c>
      <c r="D132" s="3" t="s">
        <v>9</v>
      </c>
      <c r="E132" s="3" t="s">
        <v>9</v>
      </c>
      <c r="F132" s="15">
        <v>0</v>
      </c>
      <c r="G132" s="16">
        <v>0</v>
      </c>
      <c r="H132" s="164"/>
    </row>
    <row r="133" spans="1:8" x14ac:dyDescent="0.2">
      <c r="A133" s="3" t="s">
        <v>9</v>
      </c>
      <c r="B133" s="3" t="s">
        <v>9</v>
      </c>
      <c r="C133" s="13" t="s">
        <v>9</v>
      </c>
      <c r="D133" s="3" t="s">
        <v>9</v>
      </c>
      <c r="E133" s="3" t="s">
        <v>9</v>
      </c>
      <c r="F133" s="14" t="s">
        <v>9</v>
      </c>
      <c r="G133" s="14" t="s">
        <v>9</v>
      </c>
      <c r="H133" s="164"/>
    </row>
    <row r="134" spans="1:8" x14ac:dyDescent="0.2">
      <c r="A134" s="3" t="s">
        <v>9</v>
      </c>
      <c r="B134" s="3" t="s">
        <v>9</v>
      </c>
      <c r="C134" s="4" t="s">
        <v>119</v>
      </c>
      <c r="D134" s="3" t="s">
        <v>9</v>
      </c>
      <c r="E134" s="3" t="s">
        <v>9</v>
      </c>
      <c r="F134" s="3" t="s">
        <v>9</v>
      </c>
      <c r="G134" s="3" t="s">
        <v>9</v>
      </c>
      <c r="H134" s="164"/>
    </row>
    <row r="135" spans="1:8" x14ac:dyDescent="0.2">
      <c r="A135" s="3" t="s">
        <v>9</v>
      </c>
      <c r="B135" s="3" t="s">
        <v>9</v>
      </c>
      <c r="C135" s="4" t="s">
        <v>110</v>
      </c>
      <c r="D135" s="3" t="s">
        <v>9</v>
      </c>
      <c r="E135" s="3" t="s">
        <v>9</v>
      </c>
      <c r="F135" s="15">
        <v>0</v>
      </c>
      <c r="G135" s="16">
        <v>0</v>
      </c>
      <c r="H135" s="164"/>
    </row>
    <row r="136" spans="1:8" x14ac:dyDescent="0.2">
      <c r="A136" s="3" t="s">
        <v>9</v>
      </c>
      <c r="B136" s="3" t="s">
        <v>9</v>
      </c>
      <c r="C136" s="13" t="s">
        <v>9</v>
      </c>
      <c r="D136" s="3" t="s">
        <v>9</v>
      </c>
      <c r="E136" s="3" t="s">
        <v>9</v>
      </c>
      <c r="F136" s="14" t="s">
        <v>9</v>
      </c>
      <c r="G136" s="14" t="s">
        <v>9</v>
      </c>
      <c r="H136" s="164"/>
    </row>
    <row r="137" spans="1:8" x14ac:dyDescent="0.2">
      <c r="A137" s="3" t="s">
        <v>9</v>
      </c>
      <c r="B137" s="3" t="s">
        <v>9</v>
      </c>
      <c r="C137" s="4" t="s">
        <v>120</v>
      </c>
      <c r="D137" s="3" t="s">
        <v>9</v>
      </c>
      <c r="E137" s="3" t="s">
        <v>9</v>
      </c>
      <c r="F137" s="14" t="s">
        <v>9</v>
      </c>
      <c r="G137" s="14" t="s">
        <v>9</v>
      </c>
      <c r="H137" s="164"/>
    </row>
    <row r="138" spans="1:8" x14ac:dyDescent="0.2">
      <c r="A138" s="3" t="s">
        <v>9</v>
      </c>
      <c r="B138" s="3" t="s">
        <v>9</v>
      </c>
      <c r="C138" s="4" t="s">
        <v>110</v>
      </c>
      <c r="D138" s="3" t="s">
        <v>9</v>
      </c>
      <c r="E138" s="3" t="s">
        <v>9</v>
      </c>
      <c r="F138" s="15">
        <v>0</v>
      </c>
      <c r="G138" s="16">
        <v>0</v>
      </c>
      <c r="H138" s="164"/>
    </row>
    <row r="139" spans="1:8" x14ac:dyDescent="0.2">
      <c r="A139" s="3" t="s">
        <v>9</v>
      </c>
      <c r="B139" s="3" t="s">
        <v>9</v>
      </c>
      <c r="C139" s="13" t="s">
        <v>9</v>
      </c>
      <c r="D139" s="3" t="s">
        <v>9</v>
      </c>
      <c r="E139" s="3" t="s">
        <v>9</v>
      </c>
      <c r="F139" s="14" t="s">
        <v>9</v>
      </c>
      <c r="G139" s="14" t="s">
        <v>9</v>
      </c>
      <c r="H139" s="164"/>
    </row>
    <row r="140" spans="1:8" x14ac:dyDescent="0.2">
      <c r="A140" s="3" t="s">
        <v>9</v>
      </c>
      <c r="B140" s="3" t="s">
        <v>9</v>
      </c>
      <c r="C140" s="4" t="s">
        <v>121</v>
      </c>
      <c r="D140" s="3" t="s">
        <v>9</v>
      </c>
      <c r="E140" s="3" t="s">
        <v>9</v>
      </c>
      <c r="F140" s="11">
        <v>0.24072112800000001</v>
      </c>
      <c r="G140" s="12">
        <v>7.1149999999999995E-5</v>
      </c>
      <c r="H140" s="164"/>
    </row>
    <row r="141" spans="1:8" x14ac:dyDescent="0.2">
      <c r="A141" s="3" t="s">
        <v>9</v>
      </c>
      <c r="B141" s="3" t="s">
        <v>9</v>
      </c>
      <c r="C141" s="13" t="s">
        <v>9</v>
      </c>
      <c r="D141" s="3" t="s">
        <v>9</v>
      </c>
      <c r="E141" s="3" t="s">
        <v>9</v>
      </c>
      <c r="F141" s="14" t="s">
        <v>9</v>
      </c>
      <c r="G141" s="14" t="s">
        <v>9</v>
      </c>
      <c r="H141" s="164"/>
    </row>
    <row r="142" spans="1:8" x14ac:dyDescent="0.2">
      <c r="A142" s="3" t="s">
        <v>9</v>
      </c>
      <c r="B142" s="3" t="s">
        <v>9</v>
      </c>
      <c r="C142" s="4" t="s">
        <v>122</v>
      </c>
      <c r="D142" s="3" t="s">
        <v>9</v>
      </c>
      <c r="E142" s="3" t="s">
        <v>9</v>
      </c>
      <c r="F142" s="14" t="s">
        <v>9</v>
      </c>
      <c r="G142" s="14" t="s">
        <v>9</v>
      </c>
      <c r="H142" s="164"/>
    </row>
    <row r="143" spans="1:8" x14ac:dyDescent="0.2">
      <c r="A143" s="3" t="s">
        <v>9</v>
      </c>
      <c r="B143" s="3" t="s">
        <v>9</v>
      </c>
      <c r="C143" s="4" t="s">
        <v>123</v>
      </c>
      <c r="D143" s="3" t="s">
        <v>9</v>
      </c>
      <c r="E143" s="3" t="s">
        <v>9</v>
      </c>
      <c r="F143" s="14" t="s">
        <v>9</v>
      </c>
      <c r="G143" s="14" t="s">
        <v>9</v>
      </c>
      <c r="H143" s="164"/>
    </row>
    <row r="144" spans="1:8" x14ac:dyDescent="0.2">
      <c r="A144" s="3" t="s">
        <v>9</v>
      </c>
      <c r="B144" s="3" t="s">
        <v>9</v>
      </c>
      <c r="C144" s="4" t="s">
        <v>110</v>
      </c>
      <c r="D144" s="3" t="s">
        <v>9</v>
      </c>
      <c r="E144" s="3" t="s">
        <v>9</v>
      </c>
      <c r="F144" s="15">
        <v>0</v>
      </c>
      <c r="G144" s="16">
        <v>0</v>
      </c>
      <c r="H144" s="164"/>
    </row>
    <row r="145" spans="1:8" x14ac:dyDescent="0.2">
      <c r="A145" s="3" t="s">
        <v>9</v>
      </c>
      <c r="B145" s="3" t="s">
        <v>9</v>
      </c>
      <c r="C145" s="13" t="s">
        <v>9</v>
      </c>
      <c r="D145" s="3" t="s">
        <v>9</v>
      </c>
      <c r="E145" s="3" t="s">
        <v>9</v>
      </c>
      <c r="F145" s="14" t="s">
        <v>9</v>
      </c>
      <c r="G145" s="14" t="s">
        <v>9</v>
      </c>
      <c r="H145" s="164"/>
    </row>
    <row r="146" spans="1:8" x14ac:dyDescent="0.2">
      <c r="A146" s="3" t="s">
        <v>9</v>
      </c>
      <c r="B146" s="3" t="s">
        <v>9</v>
      </c>
      <c r="C146" s="4" t="s">
        <v>124</v>
      </c>
      <c r="D146" s="3" t="s">
        <v>9</v>
      </c>
      <c r="E146" s="3" t="s">
        <v>9</v>
      </c>
      <c r="F146" s="14" t="s">
        <v>9</v>
      </c>
      <c r="G146" s="14" t="s">
        <v>9</v>
      </c>
      <c r="H146" s="164"/>
    </row>
    <row r="147" spans="1:8" x14ac:dyDescent="0.2">
      <c r="A147" s="3" t="s">
        <v>9</v>
      </c>
      <c r="B147" s="3" t="s">
        <v>9</v>
      </c>
      <c r="C147" s="4" t="s">
        <v>110</v>
      </c>
      <c r="D147" s="3" t="s">
        <v>9</v>
      </c>
      <c r="E147" s="3" t="s">
        <v>9</v>
      </c>
      <c r="F147" s="15">
        <v>0</v>
      </c>
      <c r="G147" s="16">
        <v>0</v>
      </c>
      <c r="H147" s="164"/>
    </row>
    <row r="148" spans="1:8" x14ac:dyDescent="0.2">
      <c r="A148" s="3" t="s">
        <v>9</v>
      </c>
      <c r="B148" s="3" t="s">
        <v>9</v>
      </c>
      <c r="C148" s="13" t="s">
        <v>9</v>
      </c>
      <c r="D148" s="3" t="s">
        <v>9</v>
      </c>
      <c r="E148" s="3" t="s">
        <v>9</v>
      </c>
      <c r="F148" s="14" t="s">
        <v>9</v>
      </c>
      <c r="G148" s="14" t="s">
        <v>9</v>
      </c>
      <c r="H148" s="164"/>
    </row>
    <row r="149" spans="1:8" x14ac:dyDescent="0.2">
      <c r="A149" s="3" t="s">
        <v>9</v>
      </c>
      <c r="B149" s="3" t="s">
        <v>9</v>
      </c>
      <c r="C149" s="4" t="s">
        <v>125</v>
      </c>
      <c r="D149" s="3" t="s">
        <v>9</v>
      </c>
      <c r="E149" s="3" t="s">
        <v>9</v>
      </c>
      <c r="F149" s="14" t="s">
        <v>9</v>
      </c>
      <c r="G149" s="14" t="s">
        <v>9</v>
      </c>
      <c r="H149" s="164"/>
    </row>
    <row r="150" spans="1:8" x14ac:dyDescent="0.2">
      <c r="A150" s="3" t="s">
        <v>9</v>
      </c>
      <c r="B150" s="3" t="s">
        <v>9</v>
      </c>
      <c r="C150" s="4" t="s">
        <v>110</v>
      </c>
      <c r="D150" s="3" t="s">
        <v>9</v>
      </c>
      <c r="E150" s="3" t="s">
        <v>9</v>
      </c>
      <c r="F150" s="15">
        <v>0</v>
      </c>
      <c r="G150" s="16">
        <v>0</v>
      </c>
      <c r="H150" s="164"/>
    </row>
    <row r="151" spans="1:8" x14ac:dyDescent="0.2">
      <c r="A151" s="3" t="s">
        <v>9</v>
      </c>
      <c r="B151" s="3" t="s">
        <v>9</v>
      </c>
      <c r="C151" s="13" t="s">
        <v>9</v>
      </c>
      <c r="D151" s="3" t="s">
        <v>9</v>
      </c>
      <c r="E151" s="3" t="s">
        <v>9</v>
      </c>
      <c r="F151" s="14" t="s">
        <v>9</v>
      </c>
      <c r="G151" s="14" t="s">
        <v>9</v>
      </c>
      <c r="H151" s="164"/>
    </row>
    <row r="152" spans="1:8" x14ac:dyDescent="0.2">
      <c r="A152" s="3" t="s">
        <v>9</v>
      </c>
      <c r="B152" s="3" t="s">
        <v>9</v>
      </c>
      <c r="C152" s="4" t="s">
        <v>126</v>
      </c>
      <c r="D152" s="3" t="s">
        <v>9</v>
      </c>
      <c r="E152" s="3" t="s">
        <v>9</v>
      </c>
      <c r="F152" s="14" t="s">
        <v>9</v>
      </c>
      <c r="G152" s="14" t="s">
        <v>9</v>
      </c>
      <c r="H152" s="164"/>
    </row>
    <row r="153" spans="1:8" x14ac:dyDescent="0.2">
      <c r="A153" s="5">
        <v>1</v>
      </c>
      <c r="B153" s="6"/>
      <c r="C153" s="6" t="s">
        <v>127</v>
      </c>
      <c r="D153" s="6"/>
      <c r="E153" s="10" t="s">
        <v>9</v>
      </c>
      <c r="F153" s="8">
        <v>31.927952300000001</v>
      </c>
      <c r="G153" s="9">
        <v>9.4369180000000007E-3</v>
      </c>
      <c r="H153" s="90">
        <v>3.22</v>
      </c>
    </row>
    <row r="154" spans="1:8" x14ac:dyDescent="0.2">
      <c r="A154" s="5">
        <v>2</v>
      </c>
      <c r="B154" s="6"/>
      <c r="C154" s="6" t="s">
        <v>128</v>
      </c>
      <c r="D154" s="6"/>
      <c r="E154" s="10" t="s">
        <v>9</v>
      </c>
      <c r="F154" s="8">
        <v>9.0227115999999992</v>
      </c>
      <c r="G154" s="9">
        <v>2.6668350000000002E-3</v>
      </c>
      <c r="H154" s="90">
        <v>3.34</v>
      </c>
    </row>
    <row r="155" spans="1:8" x14ac:dyDescent="0.2">
      <c r="A155" s="3" t="s">
        <v>9</v>
      </c>
      <c r="B155" s="3" t="s">
        <v>9</v>
      </c>
      <c r="C155" s="4" t="s">
        <v>110</v>
      </c>
      <c r="D155" s="3" t="s">
        <v>9</v>
      </c>
      <c r="E155" s="3" t="s">
        <v>9</v>
      </c>
      <c r="F155" s="11">
        <v>40.950663900000002</v>
      </c>
      <c r="G155" s="12">
        <v>1.2103753E-2</v>
      </c>
      <c r="H155" s="164"/>
    </row>
    <row r="156" spans="1:8" x14ac:dyDescent="0.2">
      <c r="A156" s="3" t="s">
        <v>9</v>
      </c>
      <c r="B156" s="3" t="s">
        <v>9</v>
      </c>
      <c r="C156" s="13" t="s">
        <v>9</v>
      </c>
      <c r="D156" s="3" t="s">
        <v>9</v>
      </c>
      <c r="E156" s="3" t="s">
        <v>9</v>
      </c>
      <c r="F156" s="14" t="s">
        <v>9</v>
      </c>
      <c r="G156" s="14" t="s">
        <v>9</v>
      </c>
      <c r="H156" s="164"/>
    </row>
    <row r="157" spans="1:8" x14ac:dyDescent="0.2">
      <c r="A157" s="3" t="s">
        <v>9</v>
      </c>
      <c r="B157" s="3" t="s">
        <v>9</v>
      </c>
      <c r="C157" s="4" t="s">
        <v>129</v>
      </c>
      <c r="D157" s="3" t="s">
        <v>9</v>
      </c>
      <c r="E157" s="3" t="s">
        <v>9</v>
      </c>
      <c r="F157" s="11">
        <v>40.950663900000002</v>
      </c>
      <c r="G157" s="12">
        <v>1.2103753E-2</v>
      </c>
      <c r="H157" s="164"/>
    </row>
    <row r="158" spans="1:8" x14ac:dyDescent="0.2">
      <c r="A158" s="3" t="s">
        <v>9</v>
      </c>
      <c r="B158" s="3" t="s">
        <v>9</v>
      </c>
      <c r="C158" s="14" t="s">
        <v>9</v>
      </c>
      <c r="D158" s="3" t="s">
        <v>9</v>
      </c>
      <c r="E158" s="3" t="s">
        <v>9</v>
      </c>
      <c r="F158" s="3" t="s">
        <v>9</v>
      </c>
      <c r="G158" s="3" t="s">
        <v>9</v>
      </c>
      <c r="H158" s="164"/>
    </row>
    <row r="159" spans="1:8" x14ac:dyDescent="0.2">
      <c r="A159" s="3" t="s">
        <v>9</v>
      </c>
      <c r="B159" s="3" t="s">
        <v>9</v>
      </c>
      <c r="C159" s="4" t="s">
        <v>130</v>
      </c>
      <c r="D159" s="3" t="s">
        <v>9</v>
      </c>
      <c r="E159" s="3" t="s">
        <v>9</v>
      </c>
      <c r="F159" s="3" t="s">
        <v>9</v>
      </c>
      <c r="G159" s="3" t="s">
        <v>9</v>
      </c>
      <c r="H159" s="164"/>
    </row>
    <row r="160" spans="1:8" x14ac:dyDescent="0.2">
      <c r="A160" s="3" t="s">
        <v>9</v>
      </c>
      <c r="B160" s="3" t="s">
        <v>9</v>
      </c>
      <c r="C160" s="4" t="s">
        <v>131</v>
      </c>
      <c r="D160" s="3" t="s">
        <v>9</v>
      </c>
      <c r="E160" s="3" t="s">
        <v>9</v>
      </c>
      <c r="F160" s="3" t="s">
        <v>9</v>
      </c>
      <c r="G160" s="3" t="s">
        <v>9</v>
      </c>
      <c r="H160" s="164"/>
    </row>
    <row r="161" spans="1:8" x14ac:dyDescent="0.2">
      <c r="A161" s="3" t="s">
        <v>9</v>
      </c>
      <c r="B161" s="3" t="s">
        <v>9</v>
      </c>
      <c r="C161" s="4" t="s">
        <v>110</v>
      </c>
      <c r="D161" s="3" t="s">
        <v>9</v>
      </c>
      <c r="E161" s="3" t="s">
        <v>9</v>
      </c>
      <c r="F161" s="15">
        <v>0</v>
      </c>
      <c r="G161" s="16">
        <v>0</v>
      </c>
      <c r="H161" s="164"/>
    </row>
    <row r="162" spans="1:8" x14ac:dyDescent="0.2">
      <c r="A162" s="3" t="s">
        <v>9</v>
      </c>
      <c r="B162" s="3" t="s">
        <v>9</v>
      </c>
      <c r="C162" s="13" t="s">
        <v>9</v>
      </c>
      <c r="D162" s="3" t="s">
        <v>9</v>
      </c>
      <c r="E162" s="3" t="s">
        <v>9</v>
      </c>
      <c r="F162" s="14" t="s">
        <v>9</v>
      </c>
      <c r="G162" s="14" t="s">
        <v>9</v>
      </c>
      <c r="H162" s="164"/>
    </row>
    <row r="163" spans="1:8" x14ac:dyDescent="0.2">
      <c r="A163" s="3" t="s">
        <v>9</v>
      </c>
      <c r="B163" s="3" t="s">
        <v>9</v>
      </c>
      <c r="C163" s="4" t="s">
        <v>132</v>
      </c>
      <c r="D163" s="3" t="s">
        <v>9</v>
      </c>
      <c r="E163" s="3" t="s">
        <v>9</v>
      </c>
      <c r="F163" s="3" t="s">
        <v>9</v>
      </c>
      <c r="G163" s="3" t="s">
        <v>9</v>
      </c>
      <c r="H163" s="164"/>
    </row>
    <row r="164" spans="1:8" x14ac:dyDescent="0.2">
      <c r="A164" s="3" t="s">
        <v>9</v>
      </c>
      <c r="B164" s="3" t="s">
        <v>9</v>
      </c>
      <c r="C164" s="4" t="s">
        <v>133</v>
      </c>
      <c r="D164" s="3" t="s">
        <v>9</v>
      </c>
      <c r="E164" s="3" t="s">
        <v>9</v>
      </c>
      <c r="F164" s="3" t="s">
        <v>9</v>
      </c>
      <c r="G164" s="3" t="s">
        <v>9</v>
      </c>
      <c r="H164" s="164"/>
    </row>
    <row r="165" spans="1:8" x14ac:dyDescent="0.2">
      <c r="A165" s="3" t="s">
        <v>9</v>
      </c>
      <c r="B165" s="3" t="s">
        <v>9</v>
      </c>
      <c r="C165" s="4" t="s">
        <v>110</v>
      </c>
      <c r="D165" s="3" t="s">
        <v>9</v>
      </c>
      <c r="E165" s="3" t="s">
        <v>9</v>
      </c>
      <c r="F165" s="15">
        <v>0</v>
      </c>
      <c r="G165" s="16">
        <v>0</v>
      </c>
      <c r="H165" s="164"/>
    </row>
    <row r="166" spans="1:8" x14ac:dyDescent="0.2">
      <c r="A166" s="3" t="s">
        <v>9</v>
      </c>
      <c r="B166" s="3" t="s">
        <v>9</v>
      </c>
      <c r="C166" s="13" t="s">
        <v>9</v>
      </c>
      <c r="D166" s="3" t="s">
        <v>9</v>
      </c>
      <c r="E166" s="3" t="s">
        <v>9</v>
      </c>
      <c r="F166" s="14" t="s">
        <v>9</v>
      </c>
      <c r="G166" s="14" t="s">
        <v>9</v>
      </c>
      <c r="H166" s="164"/>
    </row>
    <row r="167" spans="1:8" x14ac:dyDescent="0.2">
      <c r="A167" s="3" t="s">
        <v>9</v>
      </c>
      <c r="B167" s="3" t="s">
        <v>9</v>
      </c>
      <c r="C167" s="13" t="s">
        <v>9</v>
      </c>
      <c r="D167" s="3" t="s">
        <v>9</v>
      </c>
      <c r="E167" s="3" t="s">
        <v>9</v>
      </c>
      <c r="F167" s="14" t="s">
        <v>9</v>
      </c>
      <c r="G167" s="14" t="s">
        <v>9</v>
      </c>
      <c r="H167" s="164"/>
    </row>
    <row r="168" spans="1:8" ht="25.5" x14ac:dyDescent="0.2">
      <c r="A168" s="3" t="s">
        <v>9</v>
      </c>
      <c r="B168" s="3" t="s">
        <v>9</v>
      </c>
      <c r="C168" s="4" t="s">
        <v>134</v>
      </c>
      <c r="D168" s="3" t="s">
        <v>9</v>
      </c>
      <c r="E168" s="3" t="s">
        <v>9</v>
      </c>
      <c r="F168" s="14" t="s">
        <v>9</v>
      </c>
      <c r="G168" s="14" t="s">
        <v>9</v>
      </c>
      <c r="H168" s="164"/>
    </row>
    <row r="169" spans="1:8" x14ac:dyDescent="0.2">
      <c r="A169" s="3" t="s">
        <v>9</v>
      </c>
      <c r="B169" s="3" t="s">
        <v>9</v>
      </c>
      <c r="C169" s="4" t="s">
        <v>110</v>
      </c>
      <c r="D169" s="3" t="s">
        <v>9</v>
      </c>
      <c r="E169" s="3" t="s">
        <v>9</v>
      </c>
      <c r="F169" s="15">
        <v>0</v>
      </c>
      <c r="G169" s="16">
        <v>0</v>
      </c>
      <c r="H169" s="164"/>
    </row>
    <row r="170" spans="1:8" x14ac:dyDescent="0.2">
      <c r="A170" s="3" t="s">
        <v>9</v>
      </c>
      <c r="B170" s="3" t="s">
        <v>9</v>
      </c>
      <c r="C170" s="13" t="s">
        <v>9</v>
      </c>
      <c r="D170" s="3" t="s">
        <v>9</v>
      </c>
      <c r="E170" s="3" t="s">
        <v>9</v>
      </c>
      <c r="F170" s="14" t="s">
        <v>9</v>
      </c>
      <c r="G170" s="14" t="s">
        <v>9</v>
      </c>
      <c r="H170" s="164"/>
    </row>
    <row r="171" spans="1:8" x14ac:dyDescent="0.2">
      <c r="A171" s="3" t="s">
        <v>9</v>
      </c>
      <c r="B171" s="6" t="s">
        <v>9</v>
      </c>
      <c r="C171" s="6" t="s">
        <v>9</v>
      </c>
      <c r="D171" s="4" t="s">
        <v>9</v>
      </c>
      <c r="E171" s="3" t="s">
        <v>9</v>
      </c>
      <c r="F171" s="6" t="s">
        <v>9</v>
      </c>
      <c r="G171" s="10" t="s">
        <v>9</v>
      </c>
      <c r="H171" s="164"/>
    </row>
    <row r="172" spans="1:8" x14ac:dyDescent="0.2">
      <c r="A172" s="10" t="s">
        <v>9</v>
      </c>
      <c r="B172" s="6" t="s">
        <v>9</v>
      </c>
      <c r="C172" s="6" t="s">
        <v>135</v>
      </c>
      <c r="D172" s="6" t="s">
        <v>9</v>
      </c>
      <c r="E172" s="10" t="s">
        <v>9</v>
      </c>
      <c r="F172" s="8">
        <v>4.3437554799999996</v>
      </c>
      <c r="G172" s="9">
        <v>1.28388E-3</v>
      </c>
      <c r="H172" s="164"/>
    </row>
    <row r="173" spans="1:8" x14ac:dyDescent="0.2">
      <c r="A173" s="13" t="s">
        <v>9</v>
      </c>
      <c r="B173" s="13" t="s">
        <v>9</v>
      </c>
      <c r="C173" s="4" t="s">
        <v>136</v>
      </c>
      <c r="D173" s="17" t="s">
        <v>9</v>
      </c>
      <c r="E173" s="17" t="s">
        <v>9</v>
      </c>
      <c r="F173" s="11">
        <v>3383.3030225080001</v>
      </c>
      <c r="G173" s="12">
        <v>0.99999999699999997</v>
      </c>
      <c r="H173" s="164"/>
    </row>
    <row r="174" spans="1:8" ht="14.1" customHeight="1" x14ac:dyDescent="0.2">
      <c r="A174" s="18" t="s">
        <v>9</v>
      </c>
      <c r="B174" s="18" t="s">
        <v>9</v>
      </c>
      <c r="C174" s="18" t="s">
        <v>9</v>
      </c>
      <c r="D174" s="19" t="s">
        <v>9</v>
      </c>
      <c r="E174" s="19" t="s">
        <v>9</v>
      </c>
      <c r="F174" s="19" t="s">
        <v>9</v>
      </c>
      <c r="G174" s="19" t="s">
        <v>9</v>
      </c>
    </row>
    <row r="175" spans="1:8" ht="17.100000000000001" customHeight="1" x14ac:dyDescent="0.2">
      <c r="A175" s="20" t="s">
        <v>9</v>
      </c>
      <c r="B175" s="228" t="s">
        <v>691</v>
      </c>
      <c r="C175" s="228"/>
      <c r="D175" s="228"/>
      <c r="E175" s="228"/>
      <c r="F175" s="228"/>
      <c r="G175" s="22" t="s">
        <v>9</v>
      </c>
    </row>
    <row r="176" spans="1:8" ht="14.1" customHeight="1" x14ac:dyDescent="0.2">
      <c r="A176" s="20" t="s">
        <v>9</v>
      </c>
      <c r="B176" s="228" t="s">
        <v>9</v>
      </c>
      <c r="C176" s="228"/>
      <c r="D176" s="228"/>
      <c r="E176" s="228"/>
      <c r="F176" s="228"/>
      <c r="G176" s="22" t="s">
        <v>9</v>
      </c>
    </row>
    <row r="177" spans="1:7" ht="14.1" customHeight="1" x14ac:dyDescent="0.2">
      <c r="A177" s="20" t="s">
        <v>9</v>
      </c>
      <c r="B177" s="20" t="s">
        <v>9</v>
      </c>
      <c r="C177" s="20" t="s">
        <v>9</v>
      </c>
      <c r="D177" s="22" t="s">
        <v>9</v>
      </c>
      <c r="E177" s="22" t="s">
        <v>9</v>
      </c>
      <c r="F177" s="22" t="s">
        <v>9</v>
      </c>
      <c r="G177" s="22" t="s">
        <v>9</v>
      </c>
    </row>
    <row r="178" spans="1:7" ht="14.1" customHeight="1" x14ac:dyDescent="0.2">
      <c r="A178" s="20" t="s">
        <v>9</v>
      </c>
      <c r="B178" s="226" t="s">
        <v>138</v>
      </c>
      <c r="C178" s="227"/>
      <c r="D178" s="14" t="s">
        <v>9</v>
      </c>
      <c r="E178" s="23" t="s">
        <v>9</v>
      </c>
      <c r="F178" s="22" t="s">
        <v>9</v>
      </c>
      <c r="G178" s="22" t="s">
        <v>9</v>
      </c>
    </row>
    <row r="179" spans="1:7" ht="29.1" customHeight="1" x14ac:dyDescent="0.2">
      <c r="A179" s="20" t="s">
        <v>9</v>
      </c>
      <c r="B179" s="233" t="s">
        <v>139</v>
      </c>
      <c r="C179" s="234"/>
      <c r="D179" s="4" t="s">
        <v>140</v>
      </c>
      <c r="E179" s="23" t="s">
        <v>9</v>
      </c>
      <c r="F179" s="22" t="s">
        <v>9</v>
      </c>
      <c r="G179" s="22" t="s">
        <v>9</v>
      </c>
    </row>
    <row r="180" spans="1:7" ht="17.100000000000001" customHeight="1" x14ac:dyDescent="0.2">
      <c r="A180" s="20" t="s">
        <v>9</v>
      </c>
      <c r="B180" s="233" t="s">
        <v>141</v>
      </c>
      <c r="C180" s="234"/>
      <c r="D180" s="4" t="s">
        <v>140</v>
      </c>
      <c r="E180" s="23" t="s">
        <v>9</v>
      </c>
      <c r="F180" s="22" t="s">
        <v>9</v>
      </c>
      <c r="G180" s="22" t="s">
        <v>9</v>
      </c>
    </row>
    <row r="181" spans="1:7" ht="17.100000000000001" customHeight="1" x14ac:dyDescent="0.2">
      <c r="A181" s="20" t="s">
        <v>9</v>
      </c>
      <c r="B181" s="233" t="s">
        <v>142</v>
      </c>
      <c r="C181" s="234"/>
      <c r="D181" s="14" t="s">
        <v>9</v>
      </c>
      <c r="E181" s="23" t="s">
        <v>9</v>
      </c>
      <c r="F181" s="22" t="s">
        <v>9</v>
      </c>
      <c r="G181" s="22" t="s">
        <v>9</v>
      </c>
    </row>
    <row r="182" spans="1:7" ht="24" customHeight="1" x14ac:dyDescent="0.2">
      <c r="A182" s="24" t="s">
        <v>9</v>
      </c>
      <c r="B182" s="25" t="s">
        <v>9</v>
      </c>
      <c r="C182" s="25" t="s">
        <v>143</v>
      </c>
      <c r="D182" s="25" t="s">
        <v>144</v>
      </c>
      <c r="E182" s="24" t="s">
        <v>9</v>
      </c>
      <c r="F182" s="24" t="s">
        <v>9</v>
      </c>
      <c r="G182" s="24" t="s">
        <v>9</v>
      </c>
    </row>
    <row r="183" spans="1:7" ht="18" customHeight="1" x14ac:dyDescent="0.2">
      <c r="A183" s="24" t="s">
        <v>9</v>
      </c>
      <c r="B183" s="25" t="s">
        <v>145</v>
      </c>
      <c r="C183" s="25" t="s">
        <v>146</v>
      </c>
      <c r="D183" s="25" t="s">
        <v>147</v>
      </c>
      <c r="E183" s="24" t="s">
        <v>9</v>
      </c>
      <c r="F183" s="24" t="s">
        <v>9</v>
      </c>
      <c r="G183" s="24" t="s">
        <v>9</v>
      </c>
    </row>
    <row r="184" spans="1:7" ht="17.100000000000001" customHeight="1" x14ac:dyDescent="0.2">
      <c r="A184" s="24" t="s">
        <v>9</v>
      </c>
      <c r="B184" s="6" t="s">
        <v>148</v>
      </c>
      <c r="C184" s="26">
        <v>16.988</v>
      </c>
      <c r="D184" s="26">
        <v>17.309000000000001</v>
      </c>
      <c r="E184" s="24" t="s">
        <v>9</v>
      </c>
      <c r="F184" s="21" t="s">
        <v>9</v>
      </c>
      <c r="G184" s="27" t="s">
        <v>9</v>
      </c>
    </row>
    <row r="185" spans="1:7" ht="17.100000000000001" customHeight="1" x14ac:dyDescent="0.2">
      <c r="A185" s="24" t="s">
        <v>9</v>
      </c>
      <c r="B185" s="6" t="s">
        <v>839</v>
      </c>
      <c r="C185" s="26">
        <v>15.116899999999999</v>
      </c>
      <c r="D185" s="26">
        <v>15.4026</v>
      </c>
      <c r="E185" s="24" t="s">
        <v>9</v>
      </c>
      <c r="F185" s="21" t="s">
        <v>9</v>
      </c>
      <c r="G185" s="27" t="s">
        <v>9</v>
      </c>
    </row>
    <row r="186" spans="1:7" ht="17.100000000000001" customHeight="1" x14ac:dyDescent="0.2">
      <c r="A186" s="24" t="s">
        <v>9</v>
      </c>
      <c r="B186" s="6" t="s">
        <v>149</v>
      </c>
      <c r="C186" s="26">
        <v>16.486699999999999</v>
      </c>
      <c r="D186" s="26">
        <v>16.791499999999999</v>
      </c>
      <c r="E186" s="24" t="s">
        <v>9</v>
      </c>
      <c r="F186" s="21" t="s">
        <v>9</v>
      </c>
      <c r="G186" s="27" t="s">
        <v>9</v>
      </c>
    </row>
    <row r="187" spans="1:7" ht="17.100000000000001" customHeight="1" x14ac:dyDescent="0.2">
      <c r="A187" s="24" t="s">
        <v>9</v>
      </c>
      <c r="B187" s="6" t="s">
        <v>840</v>
      </c>
      <c r="C187" s="26">
        <v>14.664199999999999</v>
      </c>
      <c r="D187" s="26">
        <v>14.9352</v>
      </c>
      <c r="E187" s="24" t="s">
        <v>9</v>
      </c>
      <c r="F187" s="21" t="s">
        <v>9</v>
      </c>
      <c r="G187" s="27" t="s">
        <v>9</v>
      </c>
    </row>
    <row r="188" spans="1:7" ht="14.1" customHeight="1" x14ac:dyDescent="0.2">
      <c r="A188" s="24" t="s">
        <v>9</v>
      </c>
      <c r="B188" s="24" t="s">
        <v>9</v>
      </c>
      <c r="C188" s="24" t="s">
        <v>9</v>
      </c>
      <c r="D188" s="24" t="s">
        <v>9</v>
      </c>
      <c r="E188" s="24" t="s">
        <v>9</v>
      </c>
      <c r="F188" s="24" t="s">
        <v>9</v>
      </c>
      <c r="G188" s="24" t="s">
        <v>9</v>
      </c>
    </row>
    <row r="189" spans="1:7" ht="17.100000000000001" customHeight="1" x14ac:dyDescent="0.2">
      <c r="A189" s="24" t="s">
        <v>9</v>
      </c>
      <c r="B189" s="233" t="s">
        <v>1003</v>
      </c>
      <c r="C189" s="234"/>
      <c r="D189" s="4" t="s">
        <v>140</v>
      </c>
      <c r="E189" s="24" t="s">
        <v>9</v>
      </c>
      <c r="F189" s="24" t="s">
        <v>9</v>
      </c>
      <c r="G189" s="24" t="s">
        <v>9</v>
      </c>
    </row>
    <row r="190" spans="1:7" ht="18" customHeight="1" x14ac:dyDescent="0.2">
      <c r="A190" s="24" t="s">
        <v>9</v>
      </c>
      <c r="B190" s="28" t="s">
        <v>150</v>
      </c>
      <c r="C190" s="28" t="s">
        <v>150</v>
      </c>
      <c r="D190" s="28" t="s">
        <v>9</v>
      </c>
      <c r="E190" s="24" t="s">
        <v>9</v>
      </c>
      <c r="F190" s="24" t="s">
        <v>9</v>
      </c>
      <c r="G190" s="24" t="s">
        <v>9</v>
      </c>
    </row>
    <row r="191" spans="1:7" s="169" customFormat="1" x14ac:dyDescent="0.2">
      <c r="B191" s="235" t="s">
        <v>841</v>
      </c>
      <c r="C191" s="235"/>
      <c r="D191" s="235"/>
      <c r="E191" s="235"/>
      <c r="F191" s="235"/>
    </row>
    <row r="192" spans="1:7" ht="14.1" customHeight="1" x14ac:dyDescent="0.2">
      <c r="A192" s="24" t="s">
        <v>9</v>
      </c>
      <c r="B192" s="21" t="s">
        <v>9</v>
      </c>
      <c r="C192" s="21" t="s">
        <v>9</v>
      </c>
      <c r="D192" s="24" t="s">
        <v>9</v>
      </c>
      <c r="E192" s="24" t="s">
        <v>9</v>
      </c>
      <c r="F192" s="24" t="s">
        <v>9</v>
      </c>
      <c r="G192" s="24" t="s">
        <v>9</v>
      </c>
    </row>
    <row r="193" spans="1:7" ht="29.1" customHeight="1" x14ac:dyDescent="0.2">
      <c r="A193" s="24" t="s">
        <v>9</v>
      </c>
      <c r="B193" s="233" t="s">
        <v>151</v>
      </c>
      <c r="C193" s="234"/>
      <c r="D193" s="4" t="s">
        <v>140</v>
      </c>
      <c r="E193" s="24" t="s">
        <v>9</v>
      </c>
      <c r="F193" s="24" t="s">
        <v>9</v>
      </c>
      <c r="G193" s="24" t="s">
        <v>9</v>
      </c>
    </row>
    <row r="194" spans="1:7" ht="29.1" customHeight="1" x14ac:dyDescent="0.2">
      <c r="A194" s="24" t="s">
        <v>9</v>
      </c>
      <c r="B194" s="233" t="s">
        <v>152</v>
      </c>
      <c r="C194" s="234"/>
      <c r="D194" s="4" t="s">
        <v>140</v>
      </c>
      <c r="E194" s="24" t="s">
        <v>9</v>
      </c>
      <c r="F194" s="24" t="s">
        <v>9</v>
      </c>
      <c r="G194" s="24" t="s">
        <v>9</v>
      </c>
    </row>
    <row r="195" spans="1:7" ht="17.100000000000001" customHeight="1" x14ac:dyDescent="0.2">
      <c r="A195" s="24" t="s">
        <v>9</v>
      </c>
      <c r="B195" s="233" t="s">
        <v>153</v>
      </c>
      <c r="C195" s="234"/>
      <c r="D195" s="29">
        <v>0.5572936668286772</v>
      </c>
      <c r="E195" s="24" t="s">
        <v>9</v>
      </c>
      <c r="F195" s="21" t="s">
        <v>9</v>
      </c>
      <c r="G195" s="27" t="s">
        <v>9</v>
      </c>
    </row>
    <row r="196" spans="1:7" ht="17.100000000000001" customHeight="1" x14ac:dyDescent="0.2">
      <c r="A196" s="24" t="s">
        <v>9</v>
      </c>
      <c r="B196" s="233" t="s">
        <v>154</v>
      </c>
      <c r="C196" s="234"/>
      <c r="D196" s="4" t="s">
        <v>140</v>
      </c>
      <c r="E196" s="24" t="s">
        <v>9</v>
      </c>
      <c r="F196" s="24" t="s">
        <v>9</v>
      </c>
      <c r="G196" s="24" t="s">
        <v>9</v>
      </c>
    </row>
  </sheetData>
  <mergeCells count="15">
    <mergeCell ref="B195:C195"/>
    <mergeCell ref="B196:C196"/>
    <mergeCell ref="B179:C179"/>
    <mergeCell ref="B180:C180"/>
    <mergeCell ref="B181:C181"/>
    <mergeCell ref="B189:C189"/>
    <mergeCell ref="B193:C193"/>
    <mergeCell ref="B194:C194"/>
    <mergeCell ref="B191:F191"/>
    <mergeCell ref="B178:C178"/>
    <mergeCell ref="B175:F175"/>
    <mergeCell ref="B176:F17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H144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0" customWidth="1"/>
    <col min="9" max="10" width="10.140625" bestFit="1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692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20</v>
      </c>
      <c r="C7" s="6" t="s">
        <v>21</v>
      </c>
      <c r="D7" s="6" t="s">
        <v>22</v>
      </c>
      <c r="E7" s="7">
        <v>2500000</v>
      </c>
      <c r="F7" s="8">
        <v>17062.5</v>
      </c>
      <c r="G7" s="9">
        <v>7.5196804000000006E-2</v>
      </c>
      <c r="H7" s="164"/>
    </row>
    <row r="8" spans="1:8" x14ac:dyDescent="0.2">
      <c r="A8" s="5">
        <v>2</v>
      </c>
      <c r="B8" s="6" t="s">
        <v>403</v>
      </c>
      <c r="C8" s="6" t="s">
        <v>404</v>
      </c>
      <c r="D8" s="6" t="s">
        <v>179</v>
      </c>
      <c r="E8" s="7">
        <v>1045000</v>
      </c>
      <c r="F8" s="8">
        <v>16829.724999999999</v>
      </c>
      <c r="G8" s="9">
        <v>7.4170931999999995E-2</v>
      </c>
      <c r="H8" s="164"/>
    </row>
    <row r="9" spans="1:8" x14ac:dyDescent="0.2">
      <c r="A9" s="5">
        <v>3</v>
      </c>
      <c r="B9" s="6" t="s">
        <v>15</v>
      </c>
      <c r="C9" s="6" t="s">
        <v>16</v>
      </c>
      <c r="D9" s="6" t="s">
        <v>17</v>
      </c>
      <c r="E9" s="7">
        <v>725000</v>
      </c>
      <c r="F9" s="8">
        <v>14755.924999999999</v>
      </c>
      <c r="G9" s="9">
        <v>6.5031407999999999E-2</v>
      </c>
      <c r="H9" s="164"/>
    </row>
    <row r="10" spans="1:8" x14ac:dyDescent="0.2">
      <c r="A10" s="5">
        <v>4</v>
      </c>
      <c r="B10" s="6" t="s">
        <v>79</v>
      </c>
      <c r="C10" s="6" t="s">
        <v>80</v>
      </c>
      <c r="D10" s="6" t="s">
        <v>22</v>
      </c>
      <c r="E10" s="7">
        <v>970000</v>
      </c>
      <c r="F10" s="8">
        <v>13836.565000000001</v>
      </c>
      <c r="G10" s="9">
        <v>6.0979660999999998E-2</v>
      </c>
      <c r="H10" s="164"/>
    </row>
    <row r="11" spans="1:8" x14ac:dyDescent="0.2">
      <c r="A11" s="5">
        <v>5</v>
      </c>
      <c r="B11" s="6" t="s">
        <v>357</v>
      </c>
      <c r="C11" s="6" t="s">
        <v>358</v>
      </c>
      <c r="D11" s="6" t="s">
        <v>22</v>
      </c>
      <c r="E11" s="7">
        <v>1370000</v>
      </c>
      <c r="F11" s="8">
        <v>9711.93</v>
      </c>
      <c r="G11" s="9">
        <v>4.2801822000000003E-2</v>
      </c>
      <c r="H11" s="164"/>
    </row>
    <row r="12" spans="1:8" ht="25.5" x14ac:dyDescent="0.2">
      <c r="A12" s="5">
        <v>6</v>
      </c>
      <c r="B12" s="6" t="s">
        <v>405</v>
      </c>
      <c r="C12" s="6" t="s">
        <v>406</v>
      </c>
      <c r="D12" s="6" t="s">
        <v>161</v>
      </c>
      <c r="E12" s="7">
        <v>370000</v>
      </c>
      <c r="F12" s="8">
        <v>9032.2549999999992</v>
      </c>
      <c r="G12" s="9">
        <v>3.9806399999999999E-2</v>
      </c>
      <c r="H12" s="164"/>
    </row>
    <row r="13" spans="1:8" x14ac:dyDescent="0.2">
      <c r="A13" s="5">
        <v>7</v>
      </c>
      <c r="B13" s="6" t="s">
        <v>407</v>
      </c>
      <c r="C13" s="6" t="s">
        <v>408</v>
      </c>
      <c r="D13" s="6" t="s">
        <v>22</v>
      </c>
      <c r="E13" s="7">
        <v>1700000</v>
      </c>
      <c r="F13" s="8">
        <v>7340.6</v>
      </c>
      <c r="G13" s="9">
        <v>3.2351042000000003E-2</v>
      </c>
      <c r="H13" s="164"/>
    </row>
    <row r="14" spans="1:8" x14ac:dyDescent="0.2">
      <c r="A14" s="5">
        <v>8</v>
      </c>
      <c r="B14" s="6" t="s">
        <v>371</v>
      </c>
      <c r="C14" s="6" t="s">
        <v>372</v>
      </c>
      <c r="D14" s="6" t="s">
        <v>179</v>
      </c>
      <c r="E14" s="7">
        <v>675000</v>
      </c>
      <c r="F14" s="8">
        <v>6918.4125000000004</v>
      </c>
      <c r="G14" s="9">
        <v>3.0490402999999999E-2</v>
      </c>
      <c r="H14" s="164"/>
    </row>
    <row r="15" spans="1:8" x14ac:dyDescent="0.2">
      <c r="A15" s="5">
        <v>9</v>
      </c>
      <c r="B15" s="6" t="s">
        <v>26</v>
      </c>
      <c r="C15" s="6" t="s">
        <v>27</v>
      </c>
      <c r="D15" s="6" t="s">
        <v>28</v>
      </c>
      <c r="E15" s="7">
        <v>550000</v>
      </c>
      <c r="F15" s="8">
        <v>6886.55</v>
      </c>
      <c r="G15" s="9">
        <v>3.0349981000000002E-2</v>
      </c>
      <c r="H15" s="164"/>
    </row>
    <row r="16" spans="1:8" x14ac:dyDescent="0.2">
      <c r="A16" s="5">
        <v>10</v>
      </c>
      <c r="B16" s="6" t="s">
        <v>212</v>
      </c>
      <c r="C16" s="6" t="s">
        <v>213</v>
      </c>
      <c r="D16" s="6" t="s">
        <v>929</v>
      </c>
      <c r="E16" s="7">
        <v>775000</v>
      </c>
      <c r="F16" s="8">
        <v>6737.4624999999996</v>
      </c>
      <c r="G16" s="9">
        <v>2.9692931999999998E-2</v>
      </c>
      <c r="H16" s="164"/>
    </row>
    <row r="17" spans="1:8" x14ac:dyDescent="0.2">
      <c r="A17" s="5">
        <v>11</v>
      </c>
      <c r="B17" s="6" t="s">
        <v>419</v>
      </c>
      <c r="C17" s="6" t="s">
        <v>420</v>
      </c>
      <c r="D17" s="6" t="s">
        <v>179</v>
      </c>
      <c r="E17" s="7">
        <v>207500</v>
      </c>
      <c r="F17" s="8">
        <v>6572.4587499999998</v>
      </c>
      <c r="G17" s="9">
        <v>2.8965736999999998E-2</v>
      </c>
      <c r="H17" s="164"/>
    </row>
    <row r="18" spans="1:8" ht="25.5" x14ac:dyDescent="0.2">
      <c r="A18" s="5">
        <v>12</v>
      </c>
      <c r="B18" s="6" t="s">
        <v>336</v>
      </c>
      <c r="C18" s="6" t="s">
        <v>337</v>
      </c>
      <c r="D18" s="6" t="s">
        <v>67</v>
      </c>
      <c r="E18" s="7">
        <v>850000</v>
      </c>
      <c r="F18" s="8">
        <v>6475.3</v>
      </c>
      <c r="G18" s="9">
        <v>2.8537545000000001E-2</v>
      </c>
      <c r="H18" s="164"/>
    </row>
    <row r="19" spans="1:8" x14ac:dyDescent="0.2">
      <c r="A19" s="5">
        <v>13</v>
      </c>
      <c r="B19" s="6" t="s">
        <v>156</v>
      </c>
      <c r="C19" s="6" t="s">
        <v>157</v>
      </c>
      <c r="D19" s="6" t="s">
        <v>158</v>
      </c>
      <c r="E19" s="7">
        <v>171000</v>
      </c>
      <c r="F19" s="8">
        <v>6253.8975</v>
      </c>
      <c r="G19" s="9">
        <v>2.7561793000000001E-2</v>
      </c>
      <c r="H19" s="164"/>
    </row>
    <row r="20" spans="1:8" ht="25.5" x14ac:dyDescent="0.2">
      <c r="A20" s="5">
        <v>14</v>
      </c>
      <c r="B20" s="6" t="s">
        <v>18</v>
      </c>
      <c r="C20" s="6" t="s">
        <v>19</v>
      </c>
      <c r="D20" s="6" t="s">
        <v>925</v>
      </c>
      <c r="E20" s="7">
        <v>550000</v>
      </c>
      <c r="F20" s="8">
        <v>6012.6</v>
      </c>
      <c r="G20" s="9">
        <v>2.6498362000000001E-2</v>
      </c>
      <c r="H20" s="164"/>
    </row>
    <row r="21" spans="1:8" x14ac:dyDescent="0.2">
      <c r="A21" s="5">
        <v>15</v>
      </c>
      <c r="B21" s="6" t="s">
        <v>12</v>
      </c>
      <c r="C21" s="6" t="s">
        <v>13</v>
      </c>
      <c r="D21" s="6" t="s">
        <v>14</v>
      </c>
      <c r="E21" s="7">
        <v>350000</v>
      </c>
      <c r="F21" s="8">
        <v>5605.0749999999998</v>
      </c>
      <c r="G21" s="9">
        <v>2.4702343000000002E-2</v>
      </c>
      <c r="H21" s="164"/>
    </row>
    <row r="22" spans="1:8" x14ac:dyDescent="0.2">
      <c r="A22" s="5">
        <v>16</v>
      </c>
      <c r="B22" s="6" t="s">
        <v>409</v>
      </c>
      <c r="C22" s="6" t="s">
        <v>410</v>
      </c>
      <c r="D22" s="6" t="s">
        <v>932</v>
      </c>
      <c r="E22" s="7">
        <v>500000</v>
      </c>
      <c r="F22" s="8">
        <v>5493</v>
      </c>
      <c r="G22" s="9">
        <v>2.4208413000000002E-2</v>
      </c>
      <c r="H22" s="164"/>
    </row>
    <row r="23" spans="1:8" x14ac:dyDescent="0.2">
      <c r="A23" s="5">
        <v>17</v>
      </c>
      <c r="B23" s="6" t="s">
        <v>312</v>
      </c>
      <c r="C23" s="6" t="s">
        <v>313</v>
      </c>
      <c r="D23" s="6" t="s">
        <v>930</v>
      </c>
      <c r="E23" s="7">
        <v>145000</v>
      </c>
      <c r="F23" s="8">
        <v>5473.9674999999997</v>
      </c>
      <c r="G23" s="9">
        <v>2.4124534E-2</v>
      </c>
      <c r="H23" s="164"/>
    </row>
    <row r="24" spans="1:8" ht="25.5" x14ac:dyDescent="0.2">
      <c r="A24" s="5">
        <v>18</v>
      </c>
      <c r="B24" s="6" t="s">
        <v>322</v>
      </c>
      <c r="C24" s="6" t="s">
        <v>323</v>
      </c>
      <c r="D24" s="6" t="s">
        <v>62</v>
      </c>
      <c r="E24" s="7">
        <v>940000</v>
      </c>
      <c r="F24" s="8">
        <v>4578.74</v>
      </c>
      <c r="G24" s="9">
        <v>2.0179142000000001E-2</v>
      </c>
      <c r="H24" s="164"/>
    </row>
    <row r="25" spans="1:8" x14ac:dyDescent="0.2">
      <c r="A25" s="5">
        <v>19</v>
      </c>
      <c r="B25" s="6" t="s">
        <v>23</v>
      </c>
      <c r="C25" s="6" t="s">
        <v>24</v>
      </c>
      <c r="D25" s="6" t="s">
        <v>25</v>
      </c>
      <c r="E25" s="7">
        <v>800000</v>
      </c>
      <c r="F25" s="8">
        <v>4493.2</v>
      </c>
      <c r="G25" s="9">
        <v>1.9802154999999998E-2</v>
      </c>
      <c r="H25" s="164"/>
    </row>
    <row r="26" spans="1:8" ht="25.5" x14ac:dyDescent="0.2">
      <c r="A26" s="5">
        <v>20</v>
      </c>
      <c r="B26" s="6" t="s">
        <v>324</v>
      </c>
      <c r="C26" s="6" t="s">
        <v>325</v>
      </c>
      <c r="D26" s="6" t="s">
        <v>67</v>
      </c>
      <c r="E26" s="7">
        <v>800000</v>
      </c>
      <c r="F26" s="8">
        <v>4470.8</v>
      </c>
      <c r="G26" s="9">
        <v>1.9703436000000001E-2</v>
      </c>
      <c r="H26" s="164"/>
    </row>
    <row r="27" spans="1:8" x14ac:dyDescent="0.2">
      <c r="A27" s="5">
        <v>21</v>
      </c>
      <c r="B27" s="6" t="s">
        <v>93</v>
      </c>
      <c r="C27" s="6" t="s">
        <v>94</v>
      </c>
      <c r="D27" s="6" t="s">
        <v>28</v>
      </c>
      <c r="E27" s="7">
        <v>63000</v>
      </c>
      <c r="F27" s="8">
        <v>4323.8789999999999</v>
      </c>
      <c r="G27" s="9">
        <v>1.9055934E-2</v>
      </c>
      <c r="H27" s="164"/>
    </row>
    <row r="28" spans="1:8" ht="25.5" x14ac:dyDescent="0.2">
      <c r="A28" s="5">
        <v>22</v>
      </c>
      <c r="B28" s="6" t="s">
        <v>417</v>
      </c>
      <c r="C28" s="6" t="s">
        <v>418</v>
      </c>
      <c r="D28" s="6" t="s">
        <v>67</v>
      </c>
      <c r="E28" s="7">
        <v>182500</v>
      </c>
      <c r="F28" s="8">
        <v>4258.2725</v>
      </c>
      <c r="G28" s="9">
        <v>1.8766797000000002E-2</v>
      </c>
      <c r="H28" s="164"/>
    </row>
    <row r="29" spans="1:8" x14ac:dyDescent="0.2">
      <c r="A29" s="5">
        <v>23</v>
      </c>
      <c r="B29" s="6" t="s">
        <v>53</v>
      </c>
      <c r="C29" s="6" t="s">
        <v>54</v>
      </c>
      <c r="D29" s="6" t="s">
        <v>17</v>
      </c>
      <c r="E29" s="7">
        <v>790000</v>
      </c>
      <c r="F29" s="8">
        <v>3519.45</v>
      </c>
      <c r="G29" s="9">
        <v>1.5510704E-2</v>
      </c>
      <c r="H29" s="164"/>
    </row>
    <row r="30" spans="1:8" x14ac:dyDescent="0.2">
      <c r="A30" s="5">
        <v>24</v>
      </c>
      <c r="B30" s="6" t="s">
        <v>332</v>
      </c>
      <c r="C30" s="6" t="s">
        <v>333</v>
      </c>
      <c r="D30" s="6" t="s">
        <v>59</v>
      </c>
      <c r="E30" s="7">
        <v>800000</v>
      </c>
      <c r="F30" s="8">
        <v>3454</v>
      </c>
      <c r="G30" s="9">
        <v>1.5222256999999999E-2</v>
      </c>
      <c r="H30" s="164"/>
    </row>
    <row r="31" spans="1:8" x14ac:dyDescent="0.2">
      <c r="A31" s="5">
        <v>25</v>
      </c>
      <c r="B31" s="6" t="s">
        <v>423</v>
      </c>
      <c r="C31" s="6" t="s">
        <v>424</v>
      </c>
      <c r="D31" s="6" t="s">
        <v>200</v>
      </c>
      <c r="E31" s="7">
        <v>70000</v>
      </c>
      <c r="F31" s="8">
        <v>3434.27</v>
      </c>
      <c r="G31" s="9">
        <v>1.5135304E-2</v>
      </c>
      <c r="H31" s="164"/>
    </row>
    <row r="32" spans="1:8" ht="25.5" x14ac:dyDescent="0.2">
      <c r="A32" s="5">
        <v>26</v>
      </c>
      <c r="B32" s="6" t="s">
        <v>33</v>
      </c>
      <c r="C32" s="6" t="s">
        <v>34</v>
      </c>
      <c r="D32" s="6" t="s">
        <v>925</v>
      </c>
      <c r="E32" s="7">
        <v>40000</v>
      </c>
      <c r="F32" s="8">
        <v>3047.68</v>
      </c>
      <c r="G32" s="9">
        <v>1.3431548E-2</v>
      </c>
      <c r="H32" s="164"/>
    </row>
    <row r="33" spans="1:8" x14ac:dyDescent="0.2">
      <c r="A33" s="5">
        <v>27</v>
      </c>
      <c r="B33" s="6" t="s">
        <v>421</v>
      </c>
      <c r="C33" s="6" t="s">
        <v>422</v>
      </c>
      <c r="D33" s="6" t="s">
        <v>88</v>
      </c>
      <c r="E33" s="7">
        <v>400000</v>
      </c>
      <c r="F33" s="8">
        <v>2972.4</v>
      </c>
      <c r="G33" s="9">
        <v>1.3099779000000001E-2</v>
      </c>
      <c r="H33" s="164"/>
    </row>
    <row r="34" spans="1:8" x14ac:dyDescent="0.2">
      <c r="A34" s="5">
        <v>28</v>
      </c>
      <c r="B34" s="6" t="s">
        <v>326</v>
      </c>
      <c r="C34" s="6" t="s">
        <v>327</v>
      </c>
      <c r="D34" s="6" t="s">
        <v>200</v>
      </c>
      <c r="E34" s="7">
        <v>73000</v>
      </c>
      <c r="F34" s="8">
        <v>2869.2285000000002</v>
      </c>
      <c r="G34" s="9">
        <v>1.2645088000000001E-2</v>
      </c>
      <c r="H34" s="164"/>
    </row>
    <row r="35" spans="1:8" x14ac:dyDescent="0.2">
      <c r="A35" s="5">
        <v>29</v>
      </c>
      <c r="B35" s="6" t="s">
        <v>395</v>
      </c>
      <c r="C35" s="6" t="s">
        <v>396</v>
      </c>
      <c r="D35" s="6" t="s">
        <v>932</v>
      </c>
      <c r="E35" s="7">
        <v>20000</v>
      </c>
      <c r="F35" s="8">
        <v>2844.44</v>
      </c>
      <c r="G35" s="9">
        <v>1.2535842E-2</v>
      </c>
      <c r="H35" s="164"/>
    </row>
    <row r="36" spans="1:8" x14ac:dyDescent="0.2">
      <c r="A36" s="5">
        <v>30</v>
      </c>
      <c r="B36" s="6" t="s">
        <v>175</v>
      </c>
      <c r="C36" s="6" t="s">
        <v>176</v>
      </c>
      <c r="D36" s="6" t="s">
        <v>62</v>
      </c>
      <c r="E36" s="7">
        <v>650000</v>
      </c>
      <c r="F36" s="8">
        <v>2747.55</v>
      </c>
      <c r="G36" s="9">
        <v>1.2108834000000001E-2</v>
      </c>
      <c r="H36" s="164"/>
    </row>
    <row r="37" spans="1:8" x14ac:dyDescent="0.2">
      <c r="A37" s="5">
        <v>31</v>
      </c>
      <c r="B37" s="6" t="s">
        <v>434</v>
      </c>
      <c r="C37" s="6" t="s">
        <v>435</v>
      </c>
      <c r="D37" s="6" t="s">
        <v>195</v>
      </c>
      <c r="E37" s="7">
        <v>620000</v>
      </c>
      <c r="F37" s="8">
        <v>2723.35</v>
      </c>
      <c r="G37" s="9">
        <v>1.2002181000000001E-2</v>
      </c>
      <c r="H37" s="164"/>
    </row>
    <row r="38" spans="1:8" x14ac:dyDescent="0.2">
      <c r="A38" s="5">
        <v>32</v>
      </c>
      <c r="B38" s="6" t="s">
        <v>425</v>
      </c>
      <c r="C38" s="6" t="s">
        <v>426</v>
      </c>
      <c r="D38" s="6" t="s">
        <v>427</v>
      </c>
      <c r="E38" s="7">
        <v>570000</v>
      </c>
      <c r="F38" s="8">
        <v>2535.36</v>
      </c>
      <c r="G38" s="9">
        <v>1.1173683E-2</v>
      </c>
      <c r="H38" s="164"/>
    </row>
    <row r="39" spans="1:8" ht="25.5" x14ac:dyDescent="0.2">
      <c r="A39" s="5">
        <v>33</v>
      </c>
      <c r="B39" s="6" t="s">
        <v>393</v>
      </c>
      <c r="C39" s="6" t="s">
        <v>394</v>
      </c>
      <c r="D39" s="6" t="s">
        <v>67</v>
      </c>
      <c r="E39" s="7">
        <v>320000</v>
      </c>
      <c r="F39" s="8">
        <v>2420</v>
      </c>
      <c r="G39" s="9">
        <v>1.0665276E-2</v>
      </c>
      <c r="H39" s="164"/>
    </row>
    <row r="40" spans="1:8" x14ac:dyDescent="0.2">
      <c r="A40" s="5">
        <v>34</v>
      </c>
      <c r="B40" s="6" t="s">
        <v>353</v>
      </c>
      <c r="C40" s="6" t="s">
        <v>354</v>
      </c>
      <c r="D40" s="6" t="s">
        <v>50</v>
      </c>
      <c r="E40" s="7">
        <v>343000</v>
      </c>
      <c r="F40" s="8">
        <v>2208.5770000000002</v>
      </c>
      <c r="G40" s="9">
        <v>9.7335049999999999E-3</v>
      </c>
      <c r="H40" s="164"/>
    </row>
    <row r="41" spans="1:8" x14ac:dyDescent="0.2">
      <c r="A41" s="5">
        <v>35</v>
      </c>
      <c r="B41" s="6" t="s">
        <v>413</v>
      </c>
      <c r="C41" s="6" t="s">
        <v>414</v>
      </c>
      <c r="D41" s="6" t="s">
        <v>200</v>
      </c>
      <c r="E41" s="7">
        <v>280000</v>
      </c>
      <c r="F41" s="8">
        <v>2167.06</v>
      </c>
      <c r="G41" s="9">
        <v>9.5505339999999994E-3</v>
      </c>
      <c r="H41" s="164"/>
    </row>
    <row r="42" spans="1:8" ht="25.5" x14ac:dyDescent="0.2">
      <c r="A42" s="5">
        <v>36</v>
      </c>
      <c r="B42" s="6" t="s">
        <v>428</v>
      </c>
      <c r="C42" s="6" t="s">
        <v>429</v>
      </c>
      <c r="D42" s="6" t="s">
        <v>67</v>
      </c>
      <c r="E42" s="7">
        <v>800000</v>
      </c>
      <c r="F42" s="8">
        <v>1639.6</v>
      </c>
      <c r="G42" s="9">
        <v>7.2259450000000001E-3</v>
      </c>
      <c r="H42" s="164"/>
    </row>
    <row r="43" spans="1:8" x14ac:dyDescent="0.2">
      <c r="A43" s="5">
        <v>37</v>
      </c>
      <c r="B43" s="6" t="s">
        <v>436</v>
      </c>
      <c r="C43" s="6" t="s">
        <v>437</v>
      </c>
      <c r="D43" s="6" t="s">
        <v>22</v>
      </c>
      <c r="E43" s="7">
        <v>90000</v>
      </c>
      <c r="F43" s="8">
        <v>1489.32</v>
      </c>
      <c r="G43" s="9">
        <v>6.5636399999999999E-3</v>
      </c>
      <c r="H43" s="164"/>
    </row>
    <row r="44" spans="1:8" x14ac:dyDescent="0.2">
      <c r="A44" s="5">
        <v>38</v>
      </c>
      <c r="B44" s="6" t="s">
        <v>446</v>
      </c>
      <c r="C44" s="6" t="s">
        <v>447</v>
      </c>
      <c r="D44" s="6" t="s">
        <v>200</v>
      </c>
      <c r="E44" s="7">
        <v>150000</v>
      </c>
      <c r="F44" s="8">
        <v>1380.075</v>
      </c>
      <c r="G44" s="9">
        <v>6.0821820000000002E-3</v>
      </c>
      <c r="H44" s="164"/>
    </row>
    <row r="45" spans="1:8" x14ac:dyDescent="0.2">
      <c r="A45" s="5">
        <v>39</v>
      </c>
      <c r="B45" s="6" t="s">
        <v>506</v>
      </c>
      <c r="C45" s="6" t="s">
        <v>507</v>
      </c>
      <c r="D45" s="6" t="s">
        <v>200</v>
      </c>
      <c r="E45" s="7">
        <v>29000</v>
      </c>
      <c r="F45" s="8">
        <v>1366.248</v>
      </c>
      <c r="G45" s="9">
        <v>6.0212440000000002E-3</v>
      </c>
      <c r="H45" s="164"/>
    </row>
    <row r="46" spans="1:8" x14ac:dyDescent="0.2">
      <c r="A46" s="5">
        <v>40</v>
      </c>
      <c r="B46" s="6" t="s">
        <v>359</v>
      </c>
      <c r="C46" s="6" t="s">
        <v>360</v>
      </c>
      <c r="D46" s="6" t="s">
        <v>161</v>
      </c>
      <c r="E46" s="7">
        <v>95000</v>
      </c>
      <c r="F46" s="8">
        <v>1320.595</v>
      </c>
      <c r="G46" s="9">
        <v>5.8200450000000003E-3</v>
      </c>
      <c r="H46" s="164"/>
    </row>
    <row r="47" spans="1:8" x14ac:dyDescent="0.2">
      <c r="A47" s="5">
        <v>41</v>
      </c>
      <c r="B47" s="6" t="s">
        <v>267</v>
      </c>
      <c r="C47" s="6" t="s">
        <v>268</v>
      </c>
      <c r="D47" s="6" t="s">
        <v>195</v>
      </c>
      <c r="E47" s="7">
        <v>170000</v>
      </c>
      <c r="F47" s="8">
        <v>1260.635</v>
      </c>
      <c r="G47" s="9">
        <v>5.5557929999999998E-3</v>
      </c>
      <c r="H47" s="164"/>
    </row>
    <row r="48" spans="1:8" x14ac:dyDescent="0.2">
      <c r="A48" s="5">
        <v>42</v>
      </c>
      <c r="B48" s="6" t="s">
        <v>355</v>
      </c>
      <c r="C48" s="6" t="s">
        <v>356</v>
      </c>
      <c r="D48" s="6" t="s">
        <v>22</v>
      </c>
      <c r="E48" s="7">
        <v>1568000</v>
      </c>
      <c r="F48" s="8">
        <v>1259.104</v>
      </c>
      <c r="G48" s="9">
        <v>5.5490460000000002E-3</v>
      </c>
      <c r="H48" s="164"/>
    </row>
    <row r="49" spans="1:8" x14ac:dyDescent="0.2">
      <c r="A49" s="5">
        <v>43</v>
      </c>
      <c r="B49" s="6" t="s">
        <v>334</v>
      </c>
      <c r="C49" s="6" t="s">
        <v>335</v>
      </c>
      <c r="D49" s="6" t="s">
        <v>22</v>
      </c>
      <c r="E49" s="7">
        <v>1400000</v>
      </c>
      <c r="F49" s="8">
        <v>1224.3</v>
      </c>
      <c r="G49" s="9">
        <v>5.39566E-3</v>
      </c>
      <c r="H49" s="164"/>
    </row>
    <row r="50" spans="1:8" x14ac:dyDescent="0.2">
      <c r="A50" s="5">
        <v>44</v>
      </c>
      <c r="B50" s="6" t="s">
        <v>308</v>
      </c>
      <c r="C50" s="6" t="s">
        <v>309</v>
      </c>
      <c r="D50" s="6" t="s">
        <v>182</v>
      </c>
      <c r="E50" s="7">
        <v>30000</v>
      </c>
      <c r="F50" s="8">
        <v>1210.5</v>
      </c>
      <c r="G50" s="9">
        <v>5.3348409999999999E-3</v>
      </c>
      <c r="H50" s="164"/>
    </row>
    <row r="51" spans="1:8" x14ac:dyDescent="0.2">
      <c r="A51" s="5">
        <v>45</v>
      </c>
      <c r="B51" s="6" t="s">
        <v>432</v>
      </c>
      <c r="C51" s="6" t="s">
        <v>433</v>
      </c>
      <c r="D51" s="6" t="s">
        <v>179</v>
      </c>
      <c r="E51" s="7">
        <v>92000</v>
      </c>
      <c r="F51" s="8">
        <v>1112.7860000000001</v>
      </c>
      <c r="G51" s="9">
        <v>4.9042019999999999E-3</v>
      </c>
      <c r="H51" s="164"/>
    </row>
    <row r="52" spans="1:8" ht="25.5" x14ac:dyDescent="0.2">
      <c r="A52" s="5">
        <v>46</v>
      </c>
      <c r="B52" s="6" t="s">
        <v>438</v>
      </c>
      <c r="C52" s="6" t="s">
        <v>439</v>
      </c>
      <c r="D52" s="6" t="s">
        <v>932</v>
      </c>
      <c r="E52" s="7">
        <v>70000</v>
      </c>
      <c r="F52" s="8">
        <v>1033.0250000000001</v>
      </c>
      <c r="G52" s="9">
        <v>4.5526840000000004E-3</v>
      </c>
      <c r="H52" s="164"/>
    </row>
    <row r="53" spans="1:8" x14ac:dyDescent="0.2">
      <c r="A53" s="5">
        <v>47</v>
      </c>
      <c r="B53" s="6" t="s">
        <v>379</v>
      </c>
      <c r="C53" s="6" t="s">
        <v>380</v>
      </c>
      <c r="D53" s="6" t="s">
        <v>62</v>
      </c>
      <c r="E53" s="7">
        <v>1082873</v>
      </c>
      <c r="F53" s="8">
        <v>768.29839349999997</v>
      </c>
      <c r="G53" s="9">
        <v>3.3859979999999999E-3</v>
      </c>
      <c r="H53" s="164"/>
    </row>
    <row r="54" spans="1:8" x14ac:dyDescent="0.2">
      <c r="A54" s="5">
        <v>48</v>
      </c>
      <c r="B54" s="6" t="s">
        <v>377</v>
      </c>
      <c r="C54" s="6" t="s">
        <v>378</v>
      </c>
      <c r="D54" s="6" t="s">
        <v>346</v>
      </c>
      <c r="E54" s="7">
        <v>459966</v>
      </c>
      <c r="F54" s="8">
        <v>614.05461000000003</v>
      </c>
      <c r="G54" s="9">
        <v>2.7062240000000001E-3</v>
      </c>
      <c r="H54" s="164"/>
    </row>
    <row r="55" spans="1:8" x14ac:dyDescent="0.2">
      <c r="A55" s="3" t="s">
        <v>9</v>
      </c>
      <c r="B55" s="3" t="s">
        <v>9</v>
      </c>
      <c r="C55" s="4" t="s">
        <v>110</v>
      </c>
      <c r="D55" s="3" t="s">
        <v>9</v>
      </c>
      <c r="E55" s="3" t="s">
        <v>9</v>
      </c>
      <c r="F55" s="11">
        <v>225745.02175350001</v>
      </c>
      <c r="G55" s="12">
        <v>0.99488961499999995</v>
      </c>
      <c r="H55" s="164"/>
    </row>
    <row r="56" spans="1:8" x14ac:dyDescent="0.2">
      <c r="A56" s="3" t="s">
        <v>9</v>
      </c>
      <c r="B56" s="3" t="s">
        <v>9</v>
      </c>
      <c r="C56" s="13" t="s">
        <v>9</v>
      </c>
      <c r="D56" s="3" t="s">
        <v>9</v>
      </c>
      <c r="E56" s="3" t="s">
        <v>9</v>
      </c>
      <c r="F56" s="14" t="s">
        <v>9</v>
      </c>
      <c r="G56" s="14" t="s">
        <v>9</v>
      </c>
      <c r="H56" s="164"/>
    </row>
    <row r="57" spans="1:8" x14ac:dyDescent="0.2">
      <c r="A57" s="3" t="s">
        <v>9</v>
      </c>
      <c r="B57" s="3" t="s">
        <v>9</v>
      </c>
      <c r="C57" s="4" t="s">
        <v>111</v>
      </c>
      <c r="D57" s="3" t="s">
        <v>9</v>
      </c>
      <c r="E57" s="3" t="s">
        <v>9</v>
      </c>
      <c r="F57" s="3" t="s">
        <v>9</v>
      </c>
      <c r="G57" s="3" t="s">
        <v>9</v>
      </c>
      <c r="H57" s="164"/>
    </row>
    <row r="58" spans="1:8" x14ac:dyDescent="0.2">
      <c r="A58" s="3" t="s">
        <v>9</v>
      </c>
      <c r="B58" s="3" t="s">
        <v>9</v>
      </c>
      <c r="C58" s="4" t="s">
        <v>110</v>
      </c>
      <c r="D58" s="3" t="s">
        <v>9</v>
      </c>
      <c r="E58" s="3" t="s">
        <v>9</v>
      </c>
      <c r="F58" s="15">
        <v>0</v>
      </c>
      <c r="G58" s="16">
        <v>0</v>
      </c>
      <c r="H58" s="164"/>
    </row>
    <row r="59" spans="1:8" x14ac:dyDescent="0.2">
      <c r="A59" s="3" t="s">
        <v>9</v>
      </c>
      <c r="B59" s="3" t="s">
        <v>9</v>
      </c>
      <c r="C59" s="13" t="s">
        <v>9</v>
      </c>
      <c r="D59" s="3" t="s">
        <v>9</v>
      </c>
      <c r="E59" s="3" t="s">
        <v>9</v>
      </c>
      <c r="F59" s="14" t="s">
        <v>9</v>
      </c>
      <c r="G59" s="14" t="s">
        <v>9</v>
      </c>
      <c r="H59" s="164"/>
    </row>
    <row r="60" spans="1:8" x14ac:dyDescent="0.2">
      <c r="A60" s="3" t="s">
        <v>9</v>
      </c>
      <c r="B60" s="3" t="s">
        <v>9</v>
      </c>
      <c r="C60" s="4" t="s">
        <v>112</v>
      </c>
      <c r="D60" s="3" t="s">
        <v>9</v>
      </c>
      <c r="E60" s="3" t="s">
        <v>9</v>
      </c>
      <c r="F60" s="3" t="s">
        <v>9</v>
      </c>
      <c r="G60" s="3" t="s">
        <v>9</v>
      </c>
      <c r="H60" s="164"/>
    </row>
    <row r="61" spans="1:8" x14ac:dyDescent="0.2">
      <c r="A61" s="3" t="s">
        <v>9</v>
      </c>
      <c r="B61" s="3" t="s">
        <v>9</v>
      </c>
      <c r="C61" s="4" t="s">
        <v>110</v>
      </c>
      <c r="D61" s="3" t="s">
        <v>9</v>
      </c>
      <c r="E61" s="3" t="s">
        <v>9</v>
      </c>
      <c r="F61" s="15">
        <v>0</v>
      </c>
      <c r="G61" s="16">
        <v>0</v>
      </c>
      <c r="H61" s="164"/>
    </row>
    <row r="62" spans="1:8" x14ac:dyDescent="0.2">
      <c r="A62" s="3" t="s">
        <v>9</v>
      </c>
      <c r="B62" s="3" t="s">
        <v>9</v>
      </c>
      <c r="C62" s="13" t="s">
        <v>9</v>
      </c>
      <c r="D62" s="3" t="s">
        <v>9</v>
      </c>
      <c r="E62" s="3" t="s">
        <v>9</v>
      </c>
      <c r="F62" s="14" t="s">
        <v>9</v>
      </c>
      <c r="G62" s="14" t="s">
        <v>9</v>
      </c>
      <c r="H62" s="164"/>
    </row>
    <row r="63" spans="1:8" x14ac:dyDescent="0.2">
      <c r="A63" s="3" t="s">
        <v>9</v>
      </c>
      <c r="B63" s="3" t="s">
        <v>9</v>
      </c>
      <c r="C63" s="4" t="s">
        <v>113</v>
      </c>
      <c r="D63" s="3" t="s">
        <v>9</v>
      </c>
      <c r="E63" s="3" t="s">
        <v>9</v>
      </c>
      <c r="F63" s="3" t="s">
        <v>9</v>
      </c>
      <c r="G63" s="3" t="s">
        <v>9</v>
      </c>
      <c r="H63" s="164"/>
    </row>
    <row r="64" spans="1:8" x14ac:dyDescent="0.2">
      <c r="A64" s="3" t="s">
        <v>9</v>
      </c>
      <c r="B64" s="3" t="s">
        <v>9</v>
      </c>
      <c r="C64" s="4" t="s">
        <v>110</v>
      </c>
      <c r="D64" s="3" t="s">
        <v>9</v>
      </c>
      <c r="E64" s="3" t="s">
        <v>9</v>
      </c>
      <c r="F64" s="15">
        <v>0</v>
      </c>
      <c r="G64" s="16">
        <v>0</v>
      </c>
      <c r="H64" s="164"/>
    </row>
    <row r="65" spans="1:8" x14ac:dyDescent="0.2">
      <c r="A65" s="3" t="s">
        <v>9</v>
      </c>
      <c r="B65" s="3" t="s">
        <v>9</v>
      </c>
      <c r="C65" s="13" t="s">
        <v>9</v>
      </c>
      <c r="D65" s="3" t="s">
        <v>9</v>
      </c>
      <c r="E65" s="3" t="s">
        <v>9</v>
      </c>
      <c r="F65" s="14" t="s">
        <v>9</v>
      </c>
      <c r="G65" s="14" t="s">
        <v>9</v>
      </c>
      <c r="H65" s="164"/>
    </row>
    <row r="66" spans="1:8" x14ac:dyDescent="0.2">
      <c r="A66" s="3" t="s">
        <v>9</v>
      </c>
      <c r="B66" s="3" t="s">
        <v>9</v>
      </c>
      <c r="C66" s="4" t="s">
        <v>114</v>
      </c>
      <c r="D66" s="3" t="s">
        <v>9</v>
      </c>
      <c r="E66" s="3" t="s">
        <v>9</v>
      </c>
      <c r="F66" s="14" t="s">
        <v>9</v>
      </c>
      <c r="G66" s="14" t="s">
        <v>9</v>
      </c>
      <c r="H66" s="164"/>
    </row>
    <row r="67" spans="1:8" s="152" customFormat="1" ht="25.5" x14ac:dyDescent="0.2">
      <c r="A67" s="159">
        <v>1</v>
      </c>
      <c r="B67" s="160" t="s">
        <v>990</v>
      </c>
      <c r="C67" s="160" t="s">
        <v>991</v>
      </c>
      <c r="D67" s="160" t="s">
        <v>161</v>
      </c>
      <c r="E67" s="161">
        <v>42600</v>
      </c>
      <c r="F67" s="162">
        <v>289.68</v>
      </c>
      <c r="G67" s="163">
        <v>1.27666E-3</v>
      </c>
      <c r="H67" s="164"/>
    </row>
    <row r="68" spans="1:8" x14ac:dyDescent="0.2">
      <c r="A68" s="3" t="s">
        <v>9</v>
      </c>
      <c r="B68" s="3" t="s">
        <v>9</v>
      </c>
      <c r="C68" s="4" t="s">
        <v>110</v>
      </c>
      <c r="D68" s="3" t="s">
        <v>9</v>
      </c>
      <c r="E68" s="3" t="s">
        <v>9</v>
      </c>
      <c r="F68" s="15">
        <v>289.68</v>
      </c>
      <c r="G68" s="16">
        <v>1.27666E-3</v>
      </c>
      <c r="H68" s="164"/>
    </row>
    <row r="69" spans="1:8" x14ac:dyDescent="0.2">
      <c r="A69" s="3" t="s">
        <v>9</v>
      </c>
      <c r="B69" s="3" t="s">
        <v>9</v>
      </c>
      <c r="C69" s="13" t="s">
        <v>9</v>
      </c>
      <c r="D69" s="3" t="s">
        <v>9</v>
      </c>
      <c r="E69" s="3" t="s">
        <v>9</v>
      </c>
      <c r="F69" s="14" t="s">
        <v>9</v>
      </c>
      <c r="G69" s="14" t="s">
        <v>9</v>
      </c>
      <c r="H69" s="164"/>
    </row>
    <row r="70" spans="1:8" x14ac:dyDescent="0.2">
      <c r="A70" s="3" t="s">
        <v>9</v>
      </c>
      <c r="B70" s="3" t="s">
        <v>9</v>
      </c>
      <c r="C70" s="4" t="s">
        <v>115</v>
      </c>
      <c r="D70" s="3" t="s">
        <v>9</v>
      </c>
      <c r="E70" s="3" t="s">
        <v>9</v>
      </c>
      <c r="F70" s="14" t="s">
        <v>9</v>
      </c>
      <c r="G70" s="14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110</v>
      </c>
      <c r="D71" s="3" t="s">
        <v>9</v>
      </c>
      <c r="E71" s="3" t="s">
        <v>9</v>
      </c>
      <c r="F71" s="15">
        <v>0</v>
      </c>
      <c r="G71" s="16">
        <v>0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116</v>
      </c>
      <c r="D73" s="3" t="s">
        <v>9</v>
      </c>
      <c r="E73" s="3" t="s">
        <v>9</v>
      </c>
      <c r="F73" s="11">
        <v>225745.02175350001</v>
      </c>
      <c r="G73" s="12">
        <v>0.99488961499999995</v>
      </c>
      <c r="H73" s="164"/>
    </row>
    <row r="74" spans="1:8" x14ac:dyDescent="0.2">
      <c r="A74" s="3" t="s">
        <v>9</v>
      </c>
      <c r="B74" s="3" t="s">
        <v>9</v>
      </c>
      <c r="C74" s="13" t="s">
        <v>9</v>
      </c>
      <c r="D74" s="3" t="s">
        <v>9</v>
      </c>
      <c r="E74" s="3" t="s">
        <v>9</v>
      </c>
      <c r="F74" s="14" t="s">
        <v>9</v>
      </c>
      <c r="G74" s="14" t="s">
        <v>9</v>
      </c>
      <c r="H74" s="164"/>
    </row>
    <row r="75" spans="1:8" x14ac:dyDescent="0.2">
      <c r="A75" s="3" t="s">
        <v>9</v>
      </c>
      <c r="B75" s="3" t="s">
        <v>9</v>
      </c>
      <c r="C75" s="4" t="s">
        <v>117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ht="25.5" x14ac:dyDescent="0.2">
      <c r="A76" s="3" t="s">
        <v>9</v>
      </c>
      <c r="B76" s="3" t="s">
        <v>9</v>
      </c>
      <c r="C76" s="4" t="s">
        <v>11</v>
      </c>
      <c r="D76" s="3" t="s">
        <v>9</v>
      </c>
      <c r="E76" s="3" t="s">
        <v>9</v>
      </c>
      <c r="F76" s="14" t="s">
        <v>9</v>
      </c>
      <c r="G76" s="14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110</v>
      </c>
      <c r="D77" s="3" t="s">
        <v>9</v>
      </c>
      <c r="E77" s="3" t="s">
        <v>9</v>
      </c>
      <c r="F77" s="15">
        <v>0</v>
      </c>
      <c r="G77" s="16">
        <v>0</v>
      </c>
      <c r="H77" s="164"/>
    </row>
    <row r="78" spans="1:8" x14ac:dyDescent="0.2">
      <c r="A78" s="3" t="s">
        <v>9</v>
      </c>
      <c r="B78" s="3" t="s">
        <v>9</v>
      </c>
      <c r="C78" s="13" t="s">
        <v>9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x14ac:dyDescent="0.2">
      <c r="A79" s="3" t="s">
        <v>9</v>
      </c>
      <c r="B79" s="3" t="s">
        <v>9</v>
      </c>
      <c r="C79" s="4" t="s">
        <v>118</v>
      </c>
      <c r="D79" s="3" t="s">
        <v>9</v>
      </c>
      <c r="E79" s="3" t="s">
        <v>9</v>
      </c>
      <c r="F79" s="3" t="s">
        <v>9</v>
      </c>
      <c r="G79" s="3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110</v>
      </c>
      <c r="D80" s="3" t="s">
        <v>9</v>
      </c>
      <c r="E80" s="3" t="s">
        <v>9</v>
      </c>
      <c r="F80" s="15">
        <v>0</v>
      </c>
      <c r="G80" s="16">
        <v>0</v>
      </c>
      <c r="H80" s="164"/>
    </row>
    <row r="81" spans="1:8" x14ac:dyDescent="0.2">
      <c r="A81" s="3" t="s">
        <v>9</v>
      </c>
      <c r="B81" s="3" t="s">
        <v>9</v>
      </c>
      <c r="C81" s="13" t="s">
        <v>9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119</v>
      </c>
      <c r="D82" s="3" t="s">
        <v>9</v>
      </c>
      <c r="E82" s="3" t="s">
        <v>9</v>
      </c>
      <c r="F82" s="3" t="s">
        <v>9</v>
      </c>
      <c r="G82" s="3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120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110</v>
      </c>
      <c r="D86" s="3" t="s">
        <v>9</v>
      </c>
      <c r="E86" s="3" t="s">
        <v>9</v>
      </c>
      <c r="F86" s="15">
        <v>0</v>
      </c>
      <c r="G86" s="16">
        <v>0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121</v>
      </c>
      <c r="D88" s="3" t="s">
        <v>9</v>
      </c>
      <c r="E88" s="3" t="s">
        <v>9</v>
      </c>
      <c r="F88" s="11">
        <v>0</v>
      </c>
      <c r="G88" s="12">
        <v>0</v>
      </c>
      <c r="H88" s="164"/>
    </row>
    <row r="89" spans="1:8" x14ac:dyDescent="0.2">
      <c r="A89" s="3" t="s">
        <v>9</v>
      </c>
      <c r="B89" s="3" t="s">
        <v>9</v>
      </c>
      <c r="C89" s="13" t="s">
        <v>9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122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123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110</v>
      </c>
      <c r="D92" s="3" t="s">
        <v>9</v>
      </c>
      <c r="E92" s="3" t="s">
        <v>9</v>
      </c>
      <c r="F92" s="15">
        <v>0</v>
      </c>
      <c r="G92" s="16">
        <v>0</v>
      </c>
      <c r="H92" s="164"/>
    </row>
    <row r="93" spans="1:8" x14ac:dyDescent="0.2">
      <c r="A93" s="3" t="s">
        <v>9</v>
      </c>
      <c r="B93" s="3" t="s">
        <v>9</v>
      </c>
      <c r="C93" s="13" t="s">
        <v>9</v>
      </c>
      <c r="D93" s="3" t="s">
        <v>9</v>
      </c>
      <c r="E93" s="3" t="s">
        <v>9</v>
      </c>
      <c r="F93" s="14" t="s">
        <v>9</v>
      </c>
      <c r="G93" s="14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124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110</v>
      </c>
      <c r="D95" s="3" t="s">
        <v>9</v>
      </c>
      <c r="E95" s="3" t="s">
        <v>9</v>
      </c>
      <c r="F95" s="15">
        <v>0</v>
      </c>
      <c r="G95" s="16">
        <v>0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125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110</v>
      </c>
      <c r="D98" s="3" t="s">
        <v>9</v>
      </c>
      <c r="E98" s="3" t="s">
        <v>9</v>
      </c>
      <c r="F98" s="15">
        <v>0</v>
      </c>
      <c r="G98" s="16">
        <v>0</v>
      </c>
      <c r="H98" s="164"/>
    </row>
    <row r="99" spans="1:8" x14ac:dyDescent="0.2">
      <c r="A99" s="3" t="s">
        <v>9</v>
      </c>
      <c r="B99" s="3" t="s">
        <v>9</v>
      </c>
      <c r="C99" s="13" t="s">
        <v>9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126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5">
        <v>1</v>
      </c>
      <c r="B101" s="6"/>
      <c r="C101" s="6" t="s">
        <v>127</v>
      </c>
      <c r="D101" s="6"/>
      <c r="E101" s="10" t="s">
        <v>9</v>
      </c>
      <c r="F101" s="8">
        <v>1372.8995463000001</v>
      </c>
      <c r="G101" s="9">
        <v>6.0505589999999996E-3</v>
      </c>
      <c r="H101" s="90">
        <v>3.22</v>
      </c>
    </row>
    <row r="102" spans="1:8" x14ac:dyDescent="0.2">
      <c r="A102" s="5">
        <v>2</v>
      </c>
      <c r="B102" s="6"/>
      <c r="C102" s="6" t="s">
        <v>128</v>
      </c>
      <c r="D102" s="6"/>
      <c r="E102" s="10" t="s">
        <v>9</v>
      </c>
      <c r="F102" s="8">
        <v>387.97477090000001</v>
      </c>
      <c r="G102" s="9">
        <v>1.709859E-3</v>
      </c>
      <c r="H102" s="90">
        <v>3.34</v>
      </c>
    </row>
    <row r="103" spans="1:8" x14ac:dyDescent="0.2">
      <c r="A103" s="3" t="s">
        <v>9</v>
      </c>
      <c r="B103" s="3" t="s">
        <v>9</v>
      </c>
      <c r="C103" s="4" t="s">
        <v>110</v>
      </c>
      <c r="D103" s="3" t="s">
        <v>9</v>
      </c>
      <c r="E103" s="3" t="s">
        <v>9</v>
      </c>
      <c r="F103" s="11">
        <v>1760.8743172</v>
      </c>
      <c r="G103" s="12">
        <v>7.7604179999999998E-3</v>
      </c>
      <c r="H103" s="164"/>
    </row>
    <row r="104" spans="1:8" x14ac:dyDescent="0.2">
      <c r="A104" s="3" t="s">
        <v>9</v>
      </c>
      <c r="B104" s="3" t="s">
        <v>9</v>
      </c>
      <c r="C104" s="13" t="s">
        <v>9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129</v>
      </c>
      <c r="D105" s="3" t="s">
        <v>9</v>
      </c>
      <c r="E105" s="3" t="s">
        <v>9</v>
      </c>
      <c r="F105" s="11">
        <v>1760.8743172</v>
      </c>
      <c r="G105" s="12">
        <v>7.7604179999999998E-3</v>
      </c>
      <c r="H105" s="164"/>
    </row>
    <row r="106" spans="1:8" x14ac:dyDescent="0.2">
      <c r="A106" s="3" t="s">
        <v>9</v>
      </c>
      <c r="B106" s="3" t="s">
        <v>9</v>
      </c>
      <c r="C106" s="14" t="s">
        <v>9</v>
      </c>
      <c r="D106" s="3" t="s">
        <v>9</v>
      </c>
      <c r="E106" s="3" t="s">
        <v>9</v>
      </c>
      <c r="F106" s="3" t="s">
        <v>9</v>
      </c>
      <c r="G106" s="3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130</v>
      </c>
      <c r="D107" s="3" t="s">
        <v>9</v>
      </c>
      <c r="E107" s="3" t="s">
        <v>9</v>
      </c>
      <c r="F107" s="3" t="s">
        <v>9</v>
      </c>
      <c r="G107" s="3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131</v>
      </c>
      <c r="D108" s="3" t="s">
        <v>9</v>
      </c>
      <c r="E108" s="3" t="s">
        <v>9</v>
      </c>
      <c r="F108" s="3" t="s">
        <v>9</v>
      </c>
      <c r="G108" s="3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110</v>
      </c>
      <c r="D109" s="3" t="s">
        <v>9</v>
      </c>
      <c r="E109" s="3" t="s">
        <v>9</v>
      </c>
      <c r="F109" s="15">
        <v>0</v>
      </c>
      <c r="G109" s="16">
        <v>0</v>
      </c>
      <c r="H109" s="164"/>
    </row>
    <row r="110" spans="1:8" x14ac:dyDescent="0.2">
      <c r="A110" s="3" t="s">
        <v>9</v>
      </c>
      <c r="B110" s="3" t="s">
        <v>9</v>
      </c>
      <c r="C110" s="13" t="s">
        <v>9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132</v>
      </c>
      <c r="D111" s="3" t="s">
        <v>9</v>
      </c>
      <c r="E111" s="3" t="s">
        <v>9</v>
      </c>
      <c r="F111" s="3" t="s">
        <v>9</v>
      </c>
      <c r="G111" s="3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133</v>
      </c>
      <c r="D112" s="3" t="s">
        <v>9</v>
      </c>
      <c r="E112" s="3" t="s">
        <v>9</v>
      </c>
      <c r="F112" s="3" t="s">
        <v>9</v>
      </c>
      <c r="G112" s="3" t="s">
        <v>9</v>
      </c>
      <c r="H112" s="164"/>
    </row>
    <row r="113" spans="1:8" x14ac:dyDescent="0.2">
      <c r="A113" s="3" t="s">
        <v>9</v>
      </c>
      <c r="B113" s="3" t="s">
        <v>9</v>
      </c>
      <c r="C113" s="4" t="s">
        <v>110</v>
      </c>
      <c r="D113" s="3" t="s">
        <v>9</v>
      </c>
      <c r="E113" s="3" t="s">
        <v>9</v>
      </c>
      <c r="F113" s="15">
        <v>0</v>
      </c>
      <c r="G113" s="16">
        <v>0</v>
      </c>
      <c r="H113" s="164"/>
    </row>
    <row r="114" spans="1:8" x14ac:dyDescent="0.2">
      <c r="A114" s="3" t="s">
        <v>9</v>
      </c>
      <c r="B114" s="3" t="s">
        <v>9</v>
      </c>
      <c r="C114" s="13" t="s">
        <v>9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13" t="s">
        <v>9</v>
      </c>
      <c r="D115" s="3" t="s">
        <v>9</v>
      </c>
      <c r="E115" s="3" t="s">
        <v>9</v>
      </c>
      <c r="F115" s="14" t="s">
        <v>9</v>
      </c>
      <c r="G115" s="14" t="s">
        <v>9</v>
      </c>
      <c r="H115" s="164"/>
    </row>
    <row r="116" spans="1:8" ht="25.5" x14ac:dyDescent="0.2">
      <c r="A116" s="3" t="s">
        <v>9</v>
      </c>
      <c r="B116" s="3" t="s">
        <v>9</v>
      </c>
      <c r="C116" s="4" t="s">
        <v>134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3" t="s">
        <v>9</v>
      </c>
      <c r="B117" s="3" t="s">
        <v>9</v>
      </c>
      <c r="C117" s="4" t="s">
        <v>110</v>
      </c>
      <c r="D117" s="3" t="s">
        <v>9</v>
      </c>
      <c r="E117" s="3" t="s">
        <v>9</v>
      </c>
      <c r="F117" s="15">
        <v>0</v>
      </c>
      <c r="G117" s="16">
        <v>0</v>
      </c>
      <c r="H117" s="164"/>
    </row>
    <row r="118" spans="1:8" x14ac:dyDescent="0.2">
      <c r="A118" s="3" t="s">
        <v>9</v>
      </c>
      <c r="B118" s="3" t="s">
        <v>9</v>
      </c>
      <c r="C118" s="13" t="s">
        <v>9</v>
      </c>
      <c r="D118" s="3" t="s">
        <v>9</v>
      </c>
      <c r="E118" s="3" t="s">
        <v>9</v>
      </c>
      <c r="F118" s="14" t="s">
        <v>9</v>
      </c>
      <c r="G118" s="14" t="s">
        <v>9</v>
      </c>
      <c r="H118" s="164"/>
    </row>
    <row r="119" spans="1:8" x14ac:dyDescent="0.2">
      <c r="A119" s="3" t="s">
        <v>9</v>
      </c>
      <c r="B119" s="6" t="s">
        <v>9</v>
      </c>
      <c r="C119" s="6" t="s">
        <v>9</v>
      </c>
      <c r="D119" s="4" t="s">
        <v>9</v>
      </c>
      <c r="E119" s="3" t="s">
        <v>9</v>
      </c>
      <c r="F119" s="6" t="s">
        <v>9</v>
      </c>
      <c r="G119" s="10" t="s">
        <v>9</v>
      </c>
      <c r="H119" s="164"/>
    </row>
    <row r="120" spans="1:8" x14ac:dyDescent="0.2">
      <c r="A120" s="10" t="s">
        <v>9</v>
      </c>
      <c r="B120" s="6" t="s">
        <v>9</v>
      </c>
      <c r="C120" s="6" t="s">
        <v>135</v>
      </c>
      <c r="D120" s="6" t="s">
        <v>9</v>
      </c>
      <c r="E120" s="10" t="s">
        <v>9</v>
      </c>
      <c r="F120" s="8">
        <v>-890.98433098999999</v>
      </c>
      <c r="G120" s="9">
        <v>-3.9266910000000004E-3</v>
      </c>
      <c r="H120" s="164"/>
    </row>
    <row r="121" spans="1:8" x14ac:dyDescent="0.2">
      <c r="A121" s="13" t="s">
        <v>9</v>
      </c>
      <c r="B121" s="13" t="s">
        <v>9</v>
      </c>
      <c r="C121" s="4" t="s">
        <v>136</v>
      </c>
      <c r="D121" s="17" t="s">
        <v>9</v>
      </c>
      <c r="E121" s="17" t="s">
        <v>9</v>
      </c>
      <c r="F121" s="11">
        <v>226904.59173971001</v>
      </c>
      <c r="G121" s="12">
        <v>1.0000000019999999</v>
      </c>
      <c r="H121" s="164"/>
    </row>
    <row r="122" spans="1:8" ht="14.1" customHeight="1" x14ac:dyDescent="0.2">
      <c r="A122" s="18" t="s">
        <v>9</v>
      </c>
      <c r="B122" s="18" t="s">
        <v>9</v>
      </c>
      <c r="C122" s="18" t="s">
        <v>9</v>
      </c>
      <c r="D122" s="19" t="s">
        <v>9</v>
      </c>
      <c r="E122" s="19" t="s">
        <v>9</v>
      </c>
      <c r="F122" s="19" t="s">
        <v>9</v>
      </c>
      <c r="G122" s="19" t="s">
        <v>9</v>
      </c>
    </row>
    <row r="123" spans="1:8" ht="14.1" customHeight="1" x14ac:dyDescent="0.2">
      <c r="A123" s="20" t="s">
        <v>9</v>
      </c>
      <c r="B123" s="228" t="s">
        <v>9</v>
      </c>
      <c r="C123" s="228"/>
      <c r="D123" s="228"/>
      <c r="E123" s="228"/>
      <c r="F123" s="228"/>
      <c r="G123" s="22" t="s">
        <v>9</v>
      </c>
    </row>
    <row r="124" spans="1:8" ht="14.1" customHeight="1" x14ac:dyDescent="0.2">
      <c r="A124" s="20" t="s">
        <v>9</v>
      </c>
      <c r="B124" s="228" t="s">
        <v>9</v>
      </c>
      <c r="C124" s="228"/>
      <c r="D124" s="228"/>
      <c r="E124" s="228"/>
      <c r="F124" s="228"/>
      <c r="G124" s="22" t="s">
        <v>9</v>
      </c>
    </row>
    <row r="125" spans="1:8" ht="14.1" customHeight="1" x14ac:dyDescent="0.2">
      <c r="A125" s="20" t="s">
        <v>9</v>
      </c>
      <c r="B125" s="20" t="s">
        <v>9</v>
      </c>
      <c r="C125" s="20" t="s">
        <v>9</v>
      </c>
      <c r="D125" s="22" t="s">
        <v>9</v>
      </c>
      <c r="E125" s="22" t="s">
        <v>9</v>
      </c>
      <c r="F125" s="22" t="s">
        <v>9</v>
      </c>
      <c r="G125" s="22" t="s">
        <v>9</v>
      </c>
    </row>
    <row r="126" spans="1:8" ht="14.1" customHeight="1" x14ac:dyDescent="0.2">
      <c r="A126" s="20" t="s">
        <v>9</v>
      </c>
      <c r="B126" s="226" t="s">
        <v>138</v>
      </c>
      <c r="C126" s="227"/>
      <c r="D126" s="14" t="s">
        <v>9</v>
      </c>
      <c r="E126" s="23" t="s">
        <v>9</v>
      </c>
      <c r="F126" s="22" t="s">
        <v>9</v>
      </c>
      <c r="G126" s="22" t="s">
        <v>9</v>
      </c>
    </row>
    <row r="127" spans="1:8" ht="29.1" customHeight="1" x14ac:dyDescent="0.2">
      <c r="A127" s="20" t="s">
        <v>9</v>
      </c>
      <c r="B127" s="233" t="s">
        <v>139</v>
      </c>
      <c r="C127" s="234"/>
      <c r="D127" s="4" t="s">
        <v>140</v>
      </c>
      <c r="E127" s="23" t="s">
        <v>9</v>
      </c>
      <c r="F127" s="22" t="s">
        <v>9</v>
      </c>
      <c r="G127" s="22" t="s">
        <v>9</v>
      </c>
    </row>
    <row r="128" spans="1:8" ht="17.100000000000001" customHeight="1" x14ac:dyDescent="0.2">
      <c r="A128" s="20" t="s">
        <v>9</v>
      </c>
      <c r="B128" s="233" t="s">
        <v>141</v>
      </c>
      <c r="C128" s="234"/>
      <c r="D128" s="4" t="s">
        <v>140</v>
      </c>
      <c r="E128" s="23" t="s">
        <v>9</v>
      </c>
      <c r="F128" s="22" t="s">
        <v>9</v>
      </c>
      <c r="G128" s="22" t="s">
        <v>9</v>
      </c>
    </row>
    <row r="129" spans="1:7" ht="17.100000000000001" customHeight="1" x14ac:dyDescent="0.2">
      <c r="A129" s="20" t="s">
        <v>9</v>
      </c>
      <c r="B129" s="233" t="s">
        <v>142</v>
      </c>
      <c r="C129" s="234"/>
      <c r="D129" s="14" t="s">
        <v>9</v>
      </c>
      <c r="E129" s="23" t="s">
        <v>9</v>
      </c>
      <c r="F129" s="22" t="s">
        <v>9</v>
      </c>
      <c r="G129" s="22" t="s">
        <v>9</v>
      </c>
    </row>
    <row r="130" spans="1:7" ht="24" customHeight="1" x14ac:dyDescent="0.2">
      <c r="A130" s="24" t="s">
        <v>9</v>
      </c>
      <c r="B130" s="25" t="s">
        <v>9</v>
      </c>
      <c r="C130" s="25" t="s">
        <v>143</v>
      </c>
      <c r="D130" s="25" t="s">
        <v>144</v>
      </c>
      <c r="E130" s="24" t="s">
        <v>9</v>
      </c>
      <c r="F130" s="24" t="s">
        <v>9</v>
      </c>
      <c r="G130" s="24" t="s">
        <v>9</v>
      </c>
    </row>
    <row r="131" spans="1:7" ht="18" customHeight="1" x14ac:dyDescent="0.2">
      <c r="A131" s="24" t="s">
        <v>9</v>
      </c>
      <c r="B131" s="25" t="s">
        <v>145</v>
      </c>
      <c r="C131" s="25" t="s">
        <v>146</v>
      </c>
      <c r="D131" s="25" t="s">
        <v>147</v>
      </c>
      <c r="E131" s="24" t="s">
        <v>9</v>
      </c>
      <c r="F131" s="24" t="s">
        <v>9</v>
      </c>
      <c r="G131" s="24" t="s">
        <v>9</v>
      </c>
    </row>
    <row r="132" spans="1:7" ht="17.100000000000001" customHeight="1" x14ac:dyDescent="0.2">
      <c r="A132" s="24" t="s">
        <v>9</v>
      </c>
      <c r="B132" s="6" t="s">
        <v>148</v>
      </c>
      <c r="C132" s="26">
        <v>136.46109999999999</v>
      </c>
      <c r="D132" s="26">
        <v>140.07400000000001</v>
      </c>
      <c r="E132" s="24" t="s">
        <v>9</v>
      </c>
      <c r="F132" s="21" t="s">
        <v>9</v>
      </c>
      <c r="G132" s="27" t="s">
        <v>9</v>
      </c>
    </row>
    <row r="133" spans="1:7" ht="17.100000000000001" customHeight="1" x14ac:dyDescent="0.2">
      <c r="A133" s="24" t="s">
        <v>9</v>
      </c>
      <c r="B133" s="6" t="s">
        <v>839</v>
      </c>
      <c r="C133" s="26">
        <v>16.035299999999999</v>
      </c>
      <c r="D133" s="26">
        <v>16.009799999999998</v>
      </c>
      <c r="E133" s="24" t="s">
        <v>9</v>
      </c>
      <c r="F133" s="21" t="s">
        <v>9</v>
      </c>
      <c r="G133" s="27" t="s">
        <v>9</v>
      </c>
    </row>
    <row r="134" spans="1:7" ht="17.100000000000001" customHeight="1" x14ac:dyDescent="0.2">
      <c r="A134" s="24" t="s">
        <v>9</v>
      </c>
      <c r="B134" s="6" t="s">
        <v>149</v>
      </c>
      <c r="C134" s="26">
        <v>131.74930000000001</v>
      </c>
      <c r="D134" s="26">
        <v>135.18209999999999</v>
      </c>
      <c r="E134" s="24" t="s">
        <v>9</v>
      </c>
      <c r="F134" s="21" t="s">
        <v>9</v>
      </c>
      <c r="G134" s="27" t="s">
        <v>9</v>
      </c>
    </row>
    <row r="135" spans="1:7" ht="17.100000000000001" customHeight="1" x14ac:dyDescent="0.2">
      <c r="A135" s="24" t="s">
        <v>9</v>
      </c>
      <c r="B135" s="6" t="s">
        <v>840</v>
      </c>
      <c r="C135" s="26">
        <v>13.498799999999999</v>
      </c>
      <c r="D135" s="26">
        <v>13.4717</v>
      </c>
      <c r="E135" s="24" t="s">
        <v>9</v>
      </c>
      <c r="F135" s="21" t="s">
        <v>9</v>
      </c>
      <c r="G135" s="27" t="s">
        <v>9</v>
      </c>
    </row>
    <row r="136" spans="1:7" ht="14.1" customHeight="1" x14ac:dyDescent="0.2">
      <c r="A136" s="24" t="s">
        <v>9</v>
      </c>
      <c r="B136" s="24" t="s">
        <v>9</v>
      </c>
      <c r="C136" s="24" t="s">
        <v>9</v>
      </c>
      <c r="D136" s="24" t="s">
        <v>9</v>
      </c>
      <c r="E136" s="24" t="s">
        <v>9</v>
      </c>
      <c r="F136" s="24" t="s">
        <v>9</v>
      </c>
      <c r="G136" s="24" t="s">
        <v>9</v>
      </c>
    </row>
    <row r="137" spans="1:7" ht="17.100000000000001" customHeight="1" x14ac:dyDescent="0.2">
      <c r="A137" s="24" t="s">
        <v>9</v>
      </c>
      <c r="B137" s="233" t="s">
        <v>1003</v>
      </c>
      <c r="C137" s="234"/>
      <c r="D137" s="4" t="s">
        <v>140</v>
      </c>
      <c r="E137" s="24" t="s">
        <v>9</v>
      </c>
      <c r="F137" s="24" t="s">
        <v>9</v>
      </c>
      <c r="G137" s="24" t="s">
        <v>9</v>
      </c>
    </row>
    <row r="138" spans="1:7" ht="18" customHeight="1" x14ac:dyDescent="0.2">
      <c r="A138" s="24" t="s">
        <v>9</v>
      </c>
      <c r="B138" s="28" t="s">
        <v>150</v>
      </c>
      <c r="C138" s="28" t="s">
        <v>150</v>
      </c>
      <c r="D138" s="28" t="s">
        <v>9</v>
      </c>
      <c r="E138" s="24" t="s">
        <v>9</v>
      </c>
      <c r="F138" s="24" t="s">
        <v>9</v>
      </c>
      <c r="G138" s="24" t="s">
        <v>9</v>
      </c>
    </row>
    <row r="139" spans="1:7" s="169" customFormat="1" x14ac:dyDescent="0.2">
      <c r="B139" s="235" t="s">
        <v>841</v>
      </c>
      <c r="C139" s="235"/>
      <c r="D139" s="235"/>
      <c r="E139" s="235"/>
      <c r="F139" s="235"/>
    </row>
    <row r="140" spans="1:7" ht="14.1" customHeight="1" x14ac:dyDescent="0.2">
      <c r="A140" s="24" t="s">
        <v>9</v>
      </c>
      <c r="B140" s="21" t="s">
        <v>9</v>
      </c>
      <c r="C140" s="21" t="s">
        <v>9</v>
      </c>
      <c r="D140" s="24" t="s">
        <v>9</v>
      </c>
      <c r="E140" s="24" t="s">
        <v>9</v>
      </c>
      <c r="F140" s="24" t="s">
        <v>9</v>
      </c>
      <c r="G140" s="24" t="s">
        <v>9</v>
      </c>
    </row>
    <row r="141" spans="1:7" ht="29.1" customHeight="1" x14ac:dyDescent="0.2">
      <c r="A141" s="24" t="s">
        <v>9</v>
      </c>
      <c r="B141" s="233" t="s">
        <v>151</v>
      </c>
      <c r="C141" s="234"/>
      <c r="D141" s="4" t="s">
        <v>140</v>
      </c>
      <c r="E141" s="24" t="s">
        <v>9</v>
      </c>
      <c r="F141" s="24" t="s">
        <v>9</v>
      </c>
      <c r="G141" s="24" t="s">
        <v>9</v>
      </c>
    </row>
    <row r="142" spans="1:7" ht="29.1" customHeight="1" x14ac:dyDescent="0.2">
      <c r="A142" s="24" t="s">
        <v>9</v>
      </c>
      <c r="B142" s="233" t="s">
        <v>152</v>
      </c>
      <c r="C142" s="234"/>
      <c r="D142" s="4" t="s">
        <v>140</v>
      </c>
      <c r="E142" s="24" t="s">
        <v>9</v>
      </c>
      <c r="F142" s="24" t="s">
        <v>9</v>
      </c>
      <c r="G142" s="24" t="s">
        <v>9</v>
      </c>
    </row>
    <row r="143" spans="1:7" ht="17.100000000000001" customHeight="1" x14ac:dyDescent="0.2">
      <c r="A143" s="24" t="s">
        <v>9</v>
      </c>
      <c r="B143" s="233" t="s">
        <v>153</v>
      </c>
      <c r="C143" s="234"/>
      <c r="D143" s="29">
        <v>0.52541165405446622</v>
      </c>
      <c r="E143" s="24" t="s">
        <v>9</v>
      </c>
      <c r="F143" s="21" t="s">
        <v>9</v>
      </c>
      <c r="G143" s="27" t="s">
        <v>9</v>
      </c>
    </row>
    <row r="144" spans="1:7" ht="17.100000000000001" customHeight="1" x14ac:dyDescent="0.2">
      <c r="A144" s="24" t="s">
        <v>9</v>
      </c>
      <c r="B144" s="233" t="s">
        <v>154</v>
      </c>
      <c r="C144" s="234"/>
      <c r="D144" s="4" t="s">
        <v>140</v>
      </c>
      <c r="E144" s="24" t="s">
        <v>9</v>
      </c>
      <c r="F144" s="24" t="s">
        <v>9</v>
      </c>
      <c r="G144" s="24" t="s">
        <v>9</v>
      </c>
    </row>
  </sheetData>
  <mergeCells count="15">
    <mergeCell ref="B143:C143"/>
    <mergeCell ref="B144:C144"/>
    <mergeCell ref="B127:C127"/>
    <mergeCell ref="B128:C128"/>
    <mergeCell ref="B129:C129"/>
    <mergeCell ref="B137:C137"/>
    <mergeCell ref="B141:C141"/>
    <mergeCell ref="B142:C142"/>
    <mergeCell ref="B139:F139"/>
    <mergeCell ref="B126:C126"/>
    <mergeCell ref="B123:F123"/>
    <mergeCell ref="B124:F124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H136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3.7109375" bestFit="1" customWidth="1"/>
    <col min="10" max="10" width="13.7109375" bestFit="1" customWidth="1"/>
    <col min="11" max="11" width="13.42578125" bestFit="1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693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395</v>
      </c>
      <c r="C7" s="6" t="s">
        <v>396</v>
      </c>
      <c r="D7" s="6" t="s">
        <v>932</v>
      </c>
      <c r="E7" s="7">
        <v>5100</v>
      </c>
      <c r="F7" s="8">
        <v>725.33219999999994</v>
      </c>
      <c r="G7" s="9">
        <v>8.4791223999999998E-2</v>
      </c>
      <c r="H7" s="164"/>
    </row>
    <row r="8" spans="1:8" x14ac:dyDescent="0.2">
      <c r="A8" s="5">
        <v>2</v>
      </c>
      <c r="B8" s="6" t="s">
        <v>407</v>
      </c>
      <c r="C8" s="6" t="s">
        <v>408</v>
      </c>
      <c r="D8" s="6" t="s">
        <v>22</v>
      </c>
      <c r="E8" s="7">
        <v>135000</v>
      </c>
      <c r="F8" s="8">
        <v>582.92999999999995</v>
      </c>
      <c r="G8" s="9">
        <v>6.8144429000000006E-2</v>
      </c>
      <c r="H8" s="164"/>
    </row>
    <row r="9" spans="1:8" x14ac:dyDescent="0.2">
      <c r="A9" s="5">
        <v>3</v>
      </c>
      <c r="B9" s="6" t="s">
        <v>308</v>
      </c>
      <c r="C9" s="6" t="s">
        <v>309</v>
      </c>
      <c r="D9" s="6" t="s">
        <v>182</v>
      </c>
      <c r="E9" s="7">
        <v>14000</v>
      </c>
      <c r="F9" s="8">
        <v>564.9</v>
      </c>
      <c r="G9" s="9">
        <v>6.6036724000000005E-2</v>
      </c>
      <c r="H9" s="164"/>
    </row>
    <row r="10" spans="1:8" x14ac:dyDescent="0.2">
      <c r="A10" s="5">
        <v>4</v>
      </c>
      <c r="B10" s="6" t="s">
        <v>357</v>
      </c>
      <c r="C10" s="6" t="s">
        <v>358</v>
      </c>
      <c r="D10" s="6" t="s">
        <v>22</v>
      </c>
      <c r="E10" s="7">
        <v>72000</v>
      </c>
      <c r="F10" s="8">
        <v>510.40800000000002</v>
      </c>
      <c r="G10" s="9">
        <v>5.9666617999999998E-2</v>
      </c>
      <c r="H10" s="164"/>
    </row>
    <row r="11" spans="1:8" x14ac:dyDescent="0.2">
      <c r="A11" s="5">
        <v>5</v>
      </c>
      <c r="B11" s="6" t="s">
        <v>332</v>
      </c>
      <c r="C11" s="6" t="s">
        <v>333</v>
      </c>
      <c r="D11" s="6" t="s">
        <v>59</v>
      </c>
      <c r="E11" s="7">
        <v>90000</v>
      </c>
      <c r="F11" s="8">
        <v>388.57499999999999</v>
      </c>
      <c r="G11" s="9">
        <v>4.5424358999999997E-2</v>
      </c>
      <c r="H11" s="164"/>
    </row>
    <row r="12" spans="1:8" x14ac:dyDescent="0.2">
      <c r="A12" s="5">
        <v>6</v>
      </c>
      <c r="B12" s="6" t="s">
        <v>20</v>
      </c>
      <c r="C12" s="6" t="s">
        <v>21</v>
      </c>
      <c r="D12" s="6" t="s">
        <v>22</v>
      </c>
      <c r="E12" s="7">
        <v>55000</v>
      </c>
      <c r="F12" s="8">
        <v>375.375</v>
      </c>
      <c r="G12" s="9">
        <v>4.3881281000000001E-2</v>
      </c>
      <c r="H12" s="164"/>
    </row>
    <row r="13" spans="1:8" x14ac:dyDescent="0.2">
      <c r="A13" s="5">
        <v>7</v>
      </c>
      <c r="B13" s="6" t="s">
        <v>101</v>
      </c>
      <c r="C13" s="6" t="s">
        <v>102</v>
      </c>
      <c r="D13" s="6" t="s">
        <v>76</v>
      </c>
      <c r="E13" s="7">
        <v>55000</v>
      </c>
      <c r="F13" s="8">
        <v>306.76249999999999</v>
      </c>
      <c r="G13" s="9">
        <v>3.5860490000000002E-2</v>
      </c>
      <c r="H13" s="164"/>
    </row>
    <row r="14" spans="1:8" x14ac:dyDescent="0.2">
      <c r="A14" s="5">
        <v>8</v>
      </c>
      <c r="B14" s="6" t="s">
        <v>351</v>
      </c>
      <c r="C14" s="6" t="s">
        <v>352</v>
      </c>
      <c r="D14" s="6" t="s">
        <v>28</v>
      </c>
      <c r="E14" s="7">
        <v>39000</v>
      </c>
      <c r="F14" s="8">
        <v>300.94349999999997</v>
      </c>
      <c r="G14" s="9">
        <v>3.5180250000000003E-2</v>
      </c>
      <c r="H14" s="164"/>
    </row>
    <row r="15" spans="1:8" x14ac:dyDescent="0.2">
      <c r="A15" s="5">
        <v>9</v>
      </c>
      <c r="B15" s="6" t="s">
        <v>383</v>
      </c>
      <c r="C15" s="6" t="s">
        <v>384</v>
      </c>
      <c r="D15" s="6" t="s">
        <v>161</v>
      </c>
      <c r="E15" s="7">
        <v>72000</v>
      </c>
      <c r="F15" s="8">
        <v>295.524</v>
      </c>
      <c r="G15" s="9">
        <v>3.4546711000000001E-2</v>
      </c>
      <c r="H15" s="164"/>
    </row>
    <row r="16" spans="1:8" x14ac:dyDescent="0.2">
      <c r="A16" s="5">
        <v>10</v>
      </c>
      <c r="B16" s="6" t="s">
        <v>359</v>
      </c>
      <c r="C16" s="6" t="s">
        <v>360</v>
      </c>
      <c r="D16" s="6" t="s">
        <v>161</v>
      </c>
      <c r="E16" s="7">
        <v>20400</v>
      </c>
      <c r="F16" s="8">
        <v>283.5804</v>
      </c>
      <c r="G16" s="9">
        <v>3.3150506000000003E-2</v>
      </c>
      <c r="H16" s="164"/>
    </row>
    <row r="17" spans="1:8" x14ac:dyDescent="0.2">
      <c r="A17" s="5">
        <v>11</v>
      </c>
      <c r="B17" s="6" t="s">
        <v>15</v>
      </c>
      <c r="C17" s="6" t="s">
        <v>16</v>
      </c>
      <c r="D17" s="6" t="s">
        <v>17</v>
      </c>
      <c r="E17" s="7">
        <v>12000</v>
      </c>
      <c r="F17" s="8">
        <v>244.23599999999999</v>
      </c>
      <c r="G17" s="9">
        <v>2.8551151E-2</v>
      </c>
      <c r="H17" s="164"/>
    </row>
    <row r="18" spans="1:8" x14ac:dyDescent="0.2">
      <c r="A18" s="5">
        <v>12</v>
      </c>
      <c r="B18" s="6" t="s">
        <v>580</v>
      </c>
      <c r="C18" s="6" t="s">
        <v>581</v>
      </c>
      <c r="D18" s="6" t="s">
        <v>932</v>
      </c>
      <c r="E18" s="7">
        <v>33000</v>
      </c>
      <c r="F18" s="8">
        <v>219.13650000000001</v>
      </c>
      <c r="G18" s="9">
        <v>2.5617023999999999E-2</v>
      </c>
      <c r="H18" s="164"/>
    </row>
    <row r="19" spans="1:8" ht="25.5" x14ac:dyDescent="0.2">
      <c r="A19" s="5">
        <v>13</v>
      </c>
      <c r="B19" s="6" t="s">
        <v>417</v>
      </c>
      <c r="C19" s="6" t="s">
        <v>418</v>
      </c>
      <c r="D19" s="6" t="s">
        <v>67</v>
      </c>
      <c r="E19" s="7">
        <v>9000</v>
      </c>
      <c r="F19" s="8">
        <v>209.99700000000001</v>
      </c>
      <c r="G19" s="9">
        <v>2.4548616999999998E-2</v>
      </c>
      <c r="H19" s="164"/>
    </row>
    <row r="20" spans="1:8" ht="25.5" x14ac:dyDescent="0.2">
      <c r="A20" s="5">
        <v>14</v>
      </c>
      <c r="B20" s="6" t="s">
        <v>95</v>
      </c>
      <c r="C20" s="6" t="s">
        <v>96</v>
      </c>
      <c r="D20" s="6" t="s">
        <v>50</v>
      </c>
      <c r="E20" s="7">
        <v>30000</v>
      </c>
      <c r="F20" s="8">
        <v>202.35</v>
      </c>
      <c r="G20" s="9">
        <v>2.3654683999999999E-2</v>
      </c>
      <c r="H20" s="164"/>
    </row>
    <row r="21" spans="1:8" x14ac:dyDescent="0.2">
      <c r="A21" s="5">
        <v>15</v>
      </c>
      <c r="B21" s="6" t="s">
        <v>597</v>
      </c>
      <c r="C21" s="6" t="s">
        <v>598</v>
      </c>
      <c r="D21" s="6" t="s">
        <v>427</v>
      </c>
      <c r="E21" s="7">
        <v>62000</v>
      </c>
      <c r="F21" s="8">
        <v>187.14699999999999</v>
      </c>
      <c r="G21" s="9">
        <v>2.1877456E-2</v>
      </c>
      <c r="H21" s="164"/>
    </row>
    <row r="22" spans="1:8" x14ac:dyDescent="0.2">
      <c r="A22" s="5">
        <v>16</v>
      </c>
      <c r="B22" s="6" t="s">
        <v>694</v>
      </c>
      <c r="C22" s="6" t="s">
        <v>695</v>
      </c>
      <c r="D22" s="6" t="s">
        <v>22</v>
      </c>
      <c r="E22" s="7">
        <v>108000</v>
      </c>
      <c r="F22" s="8">
        <v>165.45599999999999</v>
      </c>
      <c r="G22" s="9">
        <v>1.9341780999999999E-2</v>
      </c>
      <c r="H22" s="164"/>
    </row>
    <row r="23" spans="1:8" x14ac:dyDescent="0.2">
      <c r="A23" s="5">
        <v>17</v>
      </c>
      <c r="B23" s="6" t="s">
        <v>448</v>
      </c>
      <c r="C23" s="6" t="s">
        <v>449</v>
      </c>
      <c r="D23" s="6" t="s">
        <v>195</v>
      </c>
      <c r="E23" s="7">
        <v>70000</v>
      </c>
      <c r="F23" s="8">
        <v>164.04499999999999</v>
      </c>
      <c r="G23" s="9">
        <v>1.9176835999999999E-2</v>
      </c>
      <c r="H23" s="164"/>
    </row>
    <row r="24" spans="1:8" x14ac:dyDescent="0.2">
      <c r="A24" s="5">
        <v>18</v>
      </c>
      <c r="B24" s="6" t="s">
        <v>53</v>
      </c>
      <c r="C24" s="6" t="s">
        <v>54</v>
      </c>
      <c r="D24" s="6" t="s">
        <v>17</v>
      </c>
      <c r="E24" s="7">
        <v>36000</v>
      </c>
      <c r="F24" s="8">
        <v>160.38</v>
      </c>
      <c r="G24" s="9">
        <v>1.8748397999999999E-2</v>
      </c>
      <c r="H24" s="164"/>
    </row>
    <row r="25" spans="1:8" ht="25.5" x14ac:dyDescent="0.2">
      <c r="A25" s="5">
        <v>19</v>
      </c>
      <c r="B25" s="6" t="s">
        <v>428</v>
      </c>
      <c r="C25" s="6" t="s">
        <v>429</v>
      </c>
      <c r="D25" s="6" t="s">
        <v>67</v>
      </c>
      <c r="E25" s="7">
        <v>48000</v>
      </c>
      <c r="F25" s="8">
        <v>98.376000000000005</v>
      </c>
      <c r="G25" s="9">
        <v>1.1500139E-2</v>
      </c>
      <c r="H25" s="164"/>
    </row>
    <row r="26" spans="1:8" x14ac:dyDescent="0.2">
      <c r="A26" s="5">
        <v>20</v>
      </c>
      <c r="B26" s="6" t="s">
        <v>330</v>
      </c>
      <c r="C26" s="6" t="s">
        <v>331</v>
      </c>
      <c r="D26" s="6" t="s">
        <v>207</v>
      </c>
      <c r="E26" s="7">
        <v>300</v>
      </c>
      <c r="F26" s="8">
        <v>94.506299999999996</v>
      </c>
      <c r="G26" s="9">
        <v>1.1047772000000001E-2</v>
      </c>
      <c r="H26" s="164"/>
    </row>
    <row r="27" spans="1:8" x14ac:dyDescent="0.2">
      <c r="A27" s="3" t="s">
        <v>9</v>
      </c>
      <c r="B27" s="3" t="s">
        <v>9</v>
      </c>
      <c r="C27" s="4" t="s">
        <v>110</v>
      </c>
      <c r="D27" s="3" t="s">
        <v>9</v>
      </c>
      <c r="E27" s="3" t="s">
        <v>9</v>
      </c>
      <c r="F27" s="11">
        <v>6079.9603999999999</v>
      </c>
      <c r="G27" s="12">
        <v>0.71074645000000003</v>
      </c>
      <c r="H27" s="164"/>
    </row>
    <row r="28" spans="1:8" x14ac:dyDescent="0.2">
      <c r="A28" s="3" t="s">
        <v>9</v>
      </c>
      <c r="B28" s="3" t="s">
        <v>9</v>
      </c>
      <c r="C28" s="13" t="s">
        <v>9</v>
      </c>
      <c r="D28" s="3" t="s">
        <v>9</v>
      </c>
      <c r="E28" s="3" t="s">
        <v>9</v>
      </c>
      <c r="F28" s="14" t="s">
        <v>9</v>
      </c>
      <c r="G28" s="14" t="s">
        <v>9</v>
      </c>
      <c r="H28" s="164"/>
    </row>
    <row r="29" spans="1:8" x14ac:dyDescent="0.2">
      <c r="A29" s="3" t="s">
        <v>9</v>
      </c>
      <c r="B29" s="3" t="s">
        <v>9</v>
      </c>
      <c r="C29" s="4" t="s">
        <v>111</v>
      </c>
      <c r="D29" s="3" t="s">
        <v>9</v>
      </c>
      <c r="E29" s="3" t="s">
        <v>9</v>
      </c>
      <c r="F29" s="3" t="s">
        <v>9</v>
      </c>
      <c r="G29" s="3" t="s">
        <v>9</v>
      </c>
      <c r="H29" s="164"/>
    </row>
    <row r="30" spans="1:8" x14ac:dyDescent="0.2">
      <c r="A30" s="3" t="s">
        <v>9</v>
      </c>
      <c r="B30" s="3" t="s">
        <v>9</v>
      </c>
      <c r="C30" s="4" t="s">
        <v>110</v>
      </c>
      <c r="D30" s="3" t="s">
        <v>9</v>
      </c>
      <c r="E30" s="3" t="s">
        <v>9</v>
      </c>
      <c r="F30" s="15">
        <v>0</v>
      </c>
      <c r="G30" s="16">
        <v>0</v>
      </c>
      <c r="H30" s="164"/>
    </row>
    <row r="31" spans="1:8" x14ac:dyDescent="0.2">
      <c r="A31" s="3" t="s">
        <v>9</v>
      </c>
      <c r="B31" s="3" t="s">
        <v>9</v>
      </c>
      <c r="C31" s="13" t="s">
        <v>9</v>
      </c>
      <c r="D31" s="3" t="s">
        <v>9</v>
      </c>
      <c r="E31" s="3" t="s">
        <v>9</v>
      </c>
      <c r="F31" s="14" t="s">
        <v>9</v>
      </c>
      <c r="G31" s="14" t="s">
        <v>9</v>
      </c>
      <c r="H31" s="164"/>
    </row>
    <row r="32" spans="1:8" x14ac:dyDescent="0.2">
      <c r="A32" s="3" t="s">
        <v>9</v>
      </c>
      <c r="B32" s="3" t="s">
        <v>9</v>
      </c>
      <c r="C32" s="4" t="s">
        <v>112</v>
      </c>
      <c r="D32" s="3" t="s">
        <v>9</v>
      </c>
      <c r="E32" s="3" t="s">
        <v>9</v>
      </c>
      <c r="F32" s="3" t="s">
        <v>9</v>
      </c>
      <c r="G32" s="3" t="s">
        <v>9</v>
      </c>
      <c r="H32" s="164"/>
    </row>
    <row r="33" spans="1:8" x14ac:dyDescent="0.2">
      <c r="A33" s="3" t="s">
        <v>9</v>
      </c>
      <c r="B33" s="3" t="s">
        <v>9</v>
      </c>
      <c r="C33" s="4" t="s">
        <v>110</v>
      </c>
      <c r="D33" s="3" t="s">
        <v>9</v>
      </c>
      <c r="E33" s="3" t="s">
        <v>9</v>
      </c>
      <c r="F33" s="15">
        <v>0</v>
      </c>
      <c r="G33" s="16">
        <v>0</v>
      </c>
      <c r="H33" s="164"/>
    </row>
    <row r="34" spans="1:8" x14ac:dyDescent="0.2">
      <c r="A34" s="3" t="s">
        <v>9</v>
      </c>
      <c r="B34" s="3" t="s">
        <v>9</v>
      </c>
      <c r="C34" s="13" t="s">
        <v>9</v>
      </c>
      <c r="D34" s="3" t="s">
        <v>9</v>
      </c>
      <c r="E34" s="3" t="s">
        <v>9</v>
      </c>
      <c r="F34" s="14" t="s">
        <v>9</v>
      </c>
      <c r="G34" s="14" t="s">
        <v>9</v>
      </c>
      <c r="H34" s="164"/>
    </row>
    <row r="35" spans="1:8" x14ac:dyDescent="0.2">
      <c r="A35" s="3" t="s">
        <v>9</v>
      </c>
      <c r="B35" s="3" t="s">
        <v>9</v>
      </c>
      <c r="C35" s="4" t="s">
        <v>113</v>
      </c>
      <c r="D35" s="3" t="s">
        <v>9</v>
      </c>
      <c r="E35" s="3" t="s">
        <v>9</v>
      </c>
      <c r="F35" s="3" t="s">
        <v>9</v>
      </c>
      <c r="G35" s="3" t="s">
        <v>9</v>
      </c>
      <c r="H35" s="164"/>
    </row>
    <row r="36" spans="1:8" x14ac:dyDescent="0.2">
      <c r="A36" s="3" t="s">
        <v>9</v>
      </c>
      <c r="B36" s="3" t="s">
        <v>9</v>
      </c>
      <c r="C36" s="4" t="s">
        <v>110</v>
      </c>
      <c r="D36" s="3" t="s">
        <v>9</v>
      </c>
      <c r="E36" s="3" t="s">
        <v>9</v>
      </c>
      <c r="F36" s="15">
        <v>0</v>
      </c>
      <c r="G36" s="16">
        <v>0</v>
      </c>
      <c r="H36" s="164"/>
    </row>
    <row r="37" spans="1:8" x14ac:dyDescent="0.2">
      <c r="A37" s="3" t="s">
        <v>9</v>
      </c>
      <c r="B37" s="3" t="s">
        <v>9</v>
      </c>
      <c r="C37" s="13" t="s">
        <v>9</v>
      </c>
      <c r="D37" s="3" t="s">
        <v>9</v>
      </c>
      <c r="E37" s="3" t="s">
        <v>9</v>
      </c>
      <c r="F37" s="14" t="s">
        <v>9</v>
      </c>
      <c r="G37" s="14" t="s">
        <v>9</v>
      </c>
      <c r="H37" s="164"/>
    </row>
    <row r="38" spans="1:8" x14ac:dyDescent="0.2">
      <c r="A38" s="3" t="s">
        <v>9</v>
      </c>
      <c r="B38" s="3" t="s">
        <v>9</v>
      </c>
      <c r="C38" s="4" t="s">
        <v>114</v>
      </c>
      <c r="D38" s="3" t="s">
        <v>9</v>
      </c>
      <c r="E38" s="3" t="s">
        <v>9</v>
      </c>
      <c r="F38" s="14" t="s">
        <v>9</v>
      </c>
      <c r="G38" s="14" t="s">
        <v>9</v>
      </c>
      <c r="H38" s="164"/>
    </row>
    <row r="39" spans="1:8" x14ac:dyDescent="0.2">
      <c r="A39" s="3" t="s">
        <v>9</v>
      </c>
      <c r="B39" s="3" t="s">
        <v>9</v>
      </c>
      <c r="C39" s="4" t="s">
        <v>110</v>
      </c>
      <c r="D39" s="3" t="s">
        <v>9</v>
      </c>
      <c r="E39" s="3" t="s">
        <v>9</v>
      </c>
      <c r="F39" s="15">
        <v>0</v>
      </c>
      <c r="G39" s="16">
        <v>0</v>
      </c>
      <c r="H39" s="164"/>
    </row>
    <row r="40" spans="1:8" x14ac:dyDescent="0.2">
      <c r="A40" s="3" t="s">
        <v>9</v>
      </c>
      <c r="B40" s="3" t="s">
        <v>9</v>
      </c>
      <c r="C40" s="13" t="s">
        <v>9</v>
      </c>
      <c r="D40" s="3" t="s">
        <v>9</v>
      </c>
      <c r="E40" s="3" t="s">
        <v>9</v>
      </c>
      <c r="F40" s="14" t="s">
        <v>9</v>
      </c>
      <c r="G40" s="14" t="s">
        <v>9</v>
      </c>
      <c r="H40" s="164"/>
    </row>
    <row r="41" spans="1:8" x14ac:dyDescent="0.2">
      <c r="A41" s="3" t="s">
        <v>9</v>
      </c>
      <c r="B41" s="3" t="s">
        <v>9</v>
      </c>
      <c r="C41" s="4" t="s">
        <v>115</v>
      </c>
      <c r="D41" s="3" t="s">
        <v>9</v>
      </c>
      <c r="E41" s="3" t="s">
        <v>9</v>
      </c>
      <c r="F41" s="14" t="s">
        <v>9</v>
      </c>
      <c r="G41" s="14" t="s">
        <v>9</v>
      </c>
      <c r="H41" s="164"/>
    </row>
    <row r="42" spans="1:8" x14ac:dyDescent="0.2">
      <c r="A42" s="5">
        <v>1</v>
      </c>
      <c r="B42" s="6"/>
      <c r="C42" s="6" t="s">
        <v>947</v>
      </c>
      <c r="D42" s="6" t="s">
        <v>696</v>
      </c>
      <c r="E42" s="7">
        <v>-300</v>
      </c>
      <c r="F42" s="8">
        <v>-94.880399999999995</v>
      </c>
      <c r="G42" s="127">
        <v>-1.1091500000000001E-2</v>
      </c>
      <c r="H42" s="164"/>
    </row>
    <row r="43" spans="1:8" x14ac:dyDescent="0.2">
      <c r="A43" s="5">
        <v>2</v>
      </c>
      <c r="B43" s="6"/>
      <c r="C43" s="6" t="s">
        <v>937</v>
      </c>
      <c r="D43" s="6" t="s">
        <v>696</v>
      </c>
      <c r="E43" s="7">
        <v>-48000</v>
      </c>
      <c r="F43" s="8">
        <v>-98.76</v>
      </c>
      <c r="G43" s="127">
        <v>-1.154503E-2</v>
      </c>
      <c r="H43" s="164"/>
    </row>
    <row r="44" spans="1:8" ht="25.5" x14ac:dyDescent="0.2">
      <c r="A44" s="5">
        <v>3</v>
      </c>
      <c r="B44" s="6"/>
      <c r="C44" s="6" t="s">
        <v>933</v>
      </c>
      <c r="D44" s="6" t="s">
        <v>696</v>
      </c>
      <c r="E44" s="7">
        <v>-36000</v>
      </c>
      <c r="F44" s="8">
        <v>-160.93799999999999</v>
      </c>
      <c r="G44" s="127">
        <v>-1.8813630000000001E-2</v>
      </c>
      <c r="H44" s="164"/>
    </row>
    <row r="45" spans="1:8" ht="25.5" x14ac:dyDescent="0.2">
      <c r="A45" s="5">
        <v>4</v>
      </c>
      <c r="B45" s="6"/>
      <c r="C45" s="6" t="s">
        <v>948</v>
      </c>
      <c r="D45" s="6" t="s">
        <v>696</v>
      </c>
      <c r="E45" s="7">
        <v>-70000</v>
      </c>
      <c r="F45" s="8">
        <v>-163.27500000000001</v>
      </c>
      <c r="G45" s="127">
        <v>-1.9086820000000001E-2</v>
      </c>
      <c r="H45" s="164"/>
    </row>
    <row r="46" spans="1:8" x14ac:dyDescent="0.2">
      <c r="A46" s="5">
        <v>5</v>
      </c>
      <c r="B46" s="6"/>
      <c r="C46" s="6" t="s">
        <v>949</v>
      </c>
      <c r="D46" s="6" t="s">
        <v>696</v>
      </c>
      <c r="E46" s="7">
        <v>-108000</v>
      </c>
      <c r="F46" s="8">
        <v>-164.376</v>
      </c>
      <c r="G46" s="127">
        <v>-1.9215530000000001E-2</v>
      </c>
      <c r="H46" s="164"/>
    </row>
    <row r="47" spans="1:8" x14ac:dyDescent="0.2">
      <c r="A47" s="5">
        <v>6</v>
      </c>
      <c r="B47" s="6"/>
      <c r="C47" s="6" t="s">
        <v>950</v>
      </c>
      <c r="D47" s="6" t="s">
        <v>696</v>
      </c>
      <c r="E47" s="7">
        <v>-62000</v>
      </c>
      <c r="F47" s="8">
        <v>-187.364</v>
      </c>
      <c r="G47" s="127">
        <v>-2.190282E-2</v>
      </c>
      <c r="H47" s="164"/>
    </row>
    <row r="48" spans="1:8" x14ac:dyDescent="0.2">
      <c r="A48" s="5">
        <v>7</v>
      </c>
      <c r="B48" s="6"/>
      <c r="C48" s="6" t="s">
        <v>951</v>
      </c>
      <c r="D48" s="6" t="s">
        <v>696</v>
      </c>
      <c r="E48" s="7">
        <v>-30000</v>
      </c>
      <c r="F48" s="8">
        <v>-203.26499999999999</v>
      </c>
      <c r="G48" s="127">
        <v>-2.3761649999999999E-2</v>
      </c>
      <c r="H48" s="164"/>
    </row>
    <row r="49" spans="1:8" x14ac:dyDescent="0.2">
      <c r="A49" s="5">
        <v>8</v>
      </c>
      <c r="B49" s="6"/>
      <c r="C49" s="6" t="s">
        <v>946</v>
      </c>
      <c r="D49" s="6" t="s">
        <v>696</v>
      </c>
      <c r="E49" s="7">
        <v>-9000</v>
      </c>
      <c r="F49" s="8">
        <v>-210.89250000000001</v>
      </c>
      <c r="G49" s="127">
        <v>-2.46533E-2</v>
      </c>
      <c r="H49" s="164"/>
    </row>
    <row r="50" spans="1:8" ht="25.5" x14ac:dyDescent="0.2">
      <c r="A50" s="5">
        <v>9</v>
      </c>
      <c r="B50" s="6"/>
      <c r="C50" s="6" t="s">
        <v>952</v>
      </c>
      <c r="D50" s="6" t="s">
        <v>696</v>
      </c>
      <c r="E50" s="7">
        <v>-33000</v>
      </c>
      <c r="F50" s="8">
        <v>-220.06049999999999</v>
      </c>
      <c r="G50" s="127">
        <v>-2.5725040000000001E-2</v>
      </c>
      <c r="H50" s="164"/>
    </row>
    <row r="51" spans="1:8" x14ac:dyDescent="0.2">
      <c r="A51" s="5">
        <v>10</v>
      </c>
      <c r="B51" s="6"/>
      <c r="C51" s="6" t="s">
        <v>938</v>
      </c>
      <c r="D51" s="6" t="s">
        <v>696</v>
      </c>
      <c r="E51" s="7">
        <v>-12000</v>
      </c>
      <c r="F51" s="8">
        <v>-244.95599999999999</v>
      </c>
      <c r="G51" s="127">
        <v>-2.8635319999999999E-2</v>
      </c>
      <c r="H51" s="164"/>
    </row>
    <row r="52" spans="1:8" ht="25.5" x14ac:dyDescent="0.2">
      <c r="A52" s="5">
        <v>11</v>
      </c>
      <c r="B52" s="6"/>
      <c r="C52" s="6" t="s">
        <v>953</v>
      </c>
      <c r="D52" s="6" t="s">
        <v>696</v>
      </c>
      <c r="E52" s="7">
        <v>-20400</v>
      </c>
      <c r="F52" s="8">
        <v>-285.13080000000002</v>
      </c>
      <c r="G52" s="127">
        <v>-3.333175E-2</v>
      </c>
      <c r="H52" s="164"/>
    </row>
    <row r="53" spans="1:8" x14ac:dyDescent="0.2">
      <c r="A53" s="5">
        <v>12</v>
      </c>
      <c r="B53" s="6"/>
      <c r="C53" s="6" t="s">
        <v>954</v>
      </c>
      <c r="D53" s="6" t="s">
        <v>696</v>
      </c>
      <c r="E53" s="7">
        <v>-72000</v>
      </c>
      <c r="F53" s="8">
        <v>-296.67599999999999</v>
      </c>
      <c r="G53" s="127">
        <v>-3.4681379999999998E-2</v>
      </c>
      <c r="H53" s="164"/>
    </row>
    <row r="54" spans="1:8" x14ac:dyDescent="0.2">
      <c r="A54" s="5">
        <v>13</v>
      </c>
      <c r="B54" s="6"/>
      <c r="C54" s="6" t="s">
        <v>955</v>
      </c>
      <c r="D54" s="6" t="s">
        <v>696</v>
      </c>
      <c r="E54" s="7">
        <v>-39000</v>
      </c>
      <c r="F54" s="8">
        <v>-302.40600000000001</v>
      </c>
      <c r="G54" s="127">
        <v>-3.5351220000000003E-2</v>
      </c>
      <c r="H54" s="164"/>
    </row>
    <row r="55" spans="1:8" x14ac:dyDescent="0.2">
      <c r="A55" s="5">
        <v>14</v>
      </c>
      <c r="B55" s="6"/>
      <c r="C55" s="6" t="s">
        <v>956</v>
      </c>
      <c r="D55" s="6" t="s">
        <v>696</v>
      </c>
      <c r="E55" s="7">
        <v>-55000</v>
      </c>
      <c r="F55" s="8">
        <v>-308.16500000000002</v>
      </c>
      <c r="G55" s="127">
        <v>-3.6024439999999998E-2</v>
      </c>
      <c r="H55" s="164"/>
    </row>
    <row r="56" spans="1:8" x14ac:dyDescent="0.2">
      <c r="A56" s="5">
        <v>15</v>
      </c>
      <c r="B56" s="6"/>
      <c r="C56" s="6" t="s">
        <v>943</v>
      </c>
      <c r="D56" s="6" t="s">
        <v>696</v>
      </c>
      <c r="E56" s="7">
        <v>-55000</v>
      </c>
      <c r="F56" s="8">
        <v>-376.00749999999999</v>
      </c>
      <c r="G56" s="127">
        <v>-4.3955220000000003E-2</v>
      </c>
      <c r="H56" s="164"/>
    </row>
    <row r="57" spans="1:8" x14ac:dyDescent="0.2">
      <c r="A57" s="5">
        <v>16</v>
      </c>
      <c r="B57" s="6"/>
      <c r="C57" s="6" t="s">
        <v>942</v>
      </c>
      <c r="D57" s="6" t="s">
        <v>696</v>
      </c>
      <c r="E57" s="7">
        <v>-90000</v>
      </c>
      <c r="F57" s="8">
        <v>-390.10500000000002</v>
      </c>
      <c r="G57" s="127">
        <v>-4.560322E-2</v>
      </c>
      <c r="H57" s="164"/>
    </row>
    <row r="58" spans="1:8" x14ac:dyDescent="0.2">
      <c r="A58" s="5">
        <v>17</v>
      </c>
      <c r="B58" s="6"/>
      <c r="C58" s="6" t="s">
        <v>957</v>
      </c>
      <c r="D58" s="6" t="s">
        <v>696</v>
      </c>
      <c r="E58" s="7">
        <v>-72000</v>
      </c>
      <c r="F58" s="8">
        <v>-512.64</v>
      </c>
      <c r="G58" s="127">
        <v>-5.9927540000000001E-2</v>
      </c>
      <c r="H58" s="164"/>
    </row>
    <row r="59" spans="1:8" ht="25.5" x14ac:dyDescent="0.2">
      <c r="A59" s="5">
        <v>18</v>
      </c>
      <c r="B59" s="6"/>
      <c r="C59" s="6" t="s">
        <v>958</v>
      </c>
      <c r="D59" s="6" t="s">
        <v>696</v>
      </c>
      <c r="E59" s="7">
        <v>-14000</v>
      </c>
      <c r="F59" s="8">
        <v>-566.86699999999996</v>
      </c>
      <c r="G59" s="127">
        <v>-6.626667E-2</v>
      </c>
      <c r="H59" s="164"/>
    </row>
    <row r="60" spans="1:8" x14ac:dyDescent="0.2">
      <c r="A60" s="5">
        <v>19</v>
      </c>
      <c r="B60" s="6"/>
      <c r="C60" s="6" t="s">
        <v>959</v>
      </c>
      <c r="D60" s="6" t="s">
        <v>696</v>
      </c>
      <c r="E60" s="7">
        <v>-135000</v>
      </c>
      <c r="F60" s="8">
        <v>-583.8075</v>
      </c>
      <c r="G60" s="127">
        <v>-6.8247009999999997E-2</v>
      </c>
      <c r="H60" s="164"/>
    </row>
    <row r="61" spans="1:8" x14ac:dyDescent="0.2">
      <c r="A61" s="5">
        <v>20</v>
      </c>
      <c r="B61" s="6"/>
      <c r="C61" s="6" t="s">
        <v>960</v>
      </c>
      <c r="D61" s="6" t="s">
        <v>696</v>
      </c>
      <c r="E61" s="7">
        <v>-5100</v>
      </c>
      <c r="F61" s="8">
        <v>-727.21664999999996</v>
      </c>
      <c r="G61" s="127">
        <v>-8.5011519999999993E-2</v>
      </c>
      <c r="H61" s="164"/>
    </row>
    <row r="62" spans="1:8" x14ac:dyDescent="0.2">
      <c r="A62" s="3" t="s">
        <v>9</v>
      </c>
      <c r="B62" s="3" t="s">
        <v>9</v>
      </c>
      <c r="C62" s="4" t="s">
        <v>110</v>
      </c>
      <c r="D62" s="3" t="s">
        <v>9</v>
      </c>
      <c r="E62" s="3" t="s">
        <v>9</v>
      </c>
      <c r="F62" s="11">
        <v>-6097.7888499999999</v>
      </c>
      <c r="G62" s="12">
        <v>-0.71283059000000004</v>
      </c>
      <c r="H62" s="164"/>
    </row>
    <row r="63" spans="1:8" x14ac:dyDescent="0.2">
      <c r="A63" s="3" t="s">
        <v>9</v>
      </c>
      <c r="B63" s="3" t="s">
        <v>9</v>
      </c>
      <c r="C63" s="13" t="s">
        <v>9</v>
      </c>
      <c r="D63" s="3" t="s">
        <v>9</v>
      </c>
      <c r="E63" s="3" t="s">
        <v>9</v>
      </c>
      <c r="F63" s="14" t="s">
        <v>9</v>
      </c>
      <c r="G63" s="14" t="s">
        <v>9</v>
      </c>
      <c r="H63" s="164"/>
    </row>
    <row r="64" spans="1:8" x14ac:dyDescent="0.2">
      <c r="A64" s="3" t="s">
        <v>9</v>
      </c>
      <c r="B64" s="3" t="s">
        <v>9</v>
      </c>
      <c r="C64" s="4" t="s">
        <v>116</v>
      </c>
      <c r="D64" s="3" t="s">
        <v>9</v>
      </c>
      <c r="E64" s="3" t="s">
        <v>9</v>
      </c>
      <c r="F64" s="11">
        <v>6079.9603999999999</v>
      </c>
      <c r="G64" s="12">
        <v>0.71074645000000003</v>
      </c>
      <c r="H64" s="164"/>
    </row>
    <row r="65" spans="1:8" x14ac:dyDescent="0.2">
      <c r="A65" s="3" t="s">
        <v>9</v>
      </c>
      <c r="B65" s="3" t="s">
        <v>9</v>
      </c>
      <c r="C65" s="13" t="s">
        <v>9</v>
      </c>
      <c r="D65" s="3" t="s">
        <v>9</v>
      </c>
      <c r="E65" s="3" t="s">
        <v>9</v>
      </c>
      <c r="F65" s="14" t="s">
        <v>9</v>
      </c>
      <c r="G65" s="14" t="s">
        <v>9</v>
      </c>
      <c r="H65" s="164"/>
    </row>
    <row r="66" spans="1:8" x14ac:dyDescent="0.2">
      <c r="A66" s="3" t="s">
        <v>9</v>
      </c>
      <c r="B66" s="3" t="s">
        <v>9</v>
      </c>
      <c r="C66" s="4" t="s">
        <v>117</v>
      </c>
      <c r="D66" s="3" t="s">
        <v>9</v>
      </c>
      <c r="E66" s="3" t="s">
        <v>9</v>
      </c>
      <c r="F66" s="14" t="s">
        <v>9</v>
      </c>
      <c r="G66" s="14" t="s">
        <v>9</v>
      </c>
      <c r="H66" s="164"/>
    </row>
    <row r="67" spans="1:8" ht="25.5" x14ac:dyDescent="0.2">
      <c r="A67" s="3" t="s">
        <v>9</v>
      </c>
      <c r="B67" s="3" t="s">
        <v>9</v>
      </c>
      <c r="C67" s="4" t="s">
        <v>11</v>
      </c>
      <c r="D67" s="3" t="s">
        <v>9</v>
      </c>
      <c r="E67" s="3" t="s">
        <v>9</v>
      </c>
      <c r="F67" s="14" t="s">
        <v>9</v>
      </c>
      <c r="G67" s="14" t="s">
        <v>9</v>
      </c>
      <c r="H67" s="164"/>
    </row>
    <row r="68" spans="1:8" x14ac:dyDescent="0.2">
      <c r="A68" s="3" t="s">
        <v>9</v>
      </c>
      <c r="B68" s="3" t="s">
        <v>9</v>
      </c>
      <c r="C68" s="4" t="s">
        <v>110</v>
      </c>
      <c r="D68" s="3" t="s">
        <v>9</v>
      </c>
      <c r="E68" s="3" t="s">
        <v>9</v>
      </c>
      <c r="F68" s="15">
        <v>0</v>
      </c>
      <c r="G68" s="16">
        <v>0</v>
      </c>
      <c r="H68" s="164"/>
    </row>
    <row r="69" spans="1:8" x14ac:dyDescent="0.2">
      <c r="A69" s="3" t="s">
        <v>9</v>
      </c>
      <c r="B69" s="3" t="s">
        <v>9</v>
      </c>
      <c r="C69" s="13" t="s">
        <v>9</v>
      </c>
      <c r="D69" s="3" t="s">
        <v>9</v>
      </c>
      <c r="E69" s="3" t="s">
        <v>9</v>
      </c>
      <c r="F69" s="14" t="s">
        <v>9</v>
      </c>
      <c r="G69" s="14" t="s">
        <v>9</v>
      </c>
      <c r="H69" s="164"/>
    </row>
    <row r="70" spans="1:8" x14ac:dyDescent="0.2">
      <c r="A70" s="3" t="s">
        <v>9</v>
      </c>
      <c r="B70" s="3" t="s">
        <v>9</v>
      </c>
      <c r="C70" s="4" t="s">
        <v>118</v>
      </c>
      <c r="D70" s="3" t="s">
        <v>9</v>
      </c>
      <c r="E70" s="3" t="s">
        <v>9</v>
      </c>
      <c r="F70" s="3" t="s">
        <v>9</v>
      </c>
      <c r="G70" s="3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110</v>
      </c>
      <c r="D71" s="3" t="s">
        <v>9</v>
      </c>
      <c r="E71" s="3" t="s">
        <v>9</v>
      </c>
      <c r="F71" s="15">
        <v>0</v>
      </c>
      <c r="G71" s="16">
        <v>0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119</v>
      </c>
      <c r="D73" s="3" t="s">
        <v>9</v>
      </c>
      <c r="E73" s="3" t="s">
        <v>9</v>
      </c>
      <c r="F73" s="3" t="s">
        <v>9</v>
      </c>
      <c r="G73" s="3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110</v>
      </c>
      <c r="D74" s="3" t="s">
        <v>9</v>
      </c>
      <c r="E74" s="3" t="s">
        <v>9</v>
      </c>
      <c r="F74" s="15">
        <v>0</v>
      </c>
      <c r="G74" s="16">
        <v>0</v>
      </c>
      <c r="H74" s="164"/>
    </row>
    <row r="75" spans="1:8" x14ac:dyDescent="0.2">
      <c r="A75" s="3" t="s">
        <v>9</v>
      </c>
      <c r="B75" s="3" t="s">
        <v>9</v>
      </c>
      <c r="C75" s="13" t="s">
        <v>9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120</v>
      </c>
      <c r="D76" s="3" t="s">
        <v>9</v>
      </c>
      <c r="E76" s="3" t="s">
        <v>9</v>
      </c>
      <c r="F76" s="14" t="s">
        <v>9</v>
      </c>
      <c r="G76" s="14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110</v>
      </c>
      <c r="D77" s="3" t="s">
        <v>9</v>
      </c>
      <c r="E77" s="3" t="s">
        <v>9</v>
      </c>
      <c r="F77" s="15">
        <v>0</v>
      </c>
      <c r="G77" s="16">
        <v>0</v>
      </c>
      <c r="H77" s="164"/>
    </row>
    <row r="78" spans="1:8" x14ac:dyDescent="0.2">
      <c r="A78" s="3" t="s">
        <v>9</v>
      </c>
      <c r="B78" s="3" t="s">
        <v>9</v>
      </c>
      <c r="C78" s="13" t="s">
        <v>9</v>
      </c>
      <c r="D78" s="3" t="s">
        <v>9</v>
      </c>
      <c r="E78" s="3" t="s">
        <v>9</v>
      </c>
      <c r="F78" s="14" t="s">
        <v>9</v>
      </c>
      <c r="G78" s="14" t="s">
        <v>9</v>
      </c>
      <c r="H78" s="164"/>
    </row>
    <row r="79" spans="1:8" x14ac:dyDescent="0.2">
      <c r="A79" s="3" t="s">
        <v>9</v>
      </c>
      <c r="B79" s="3" t="s">
        <v>9</v>
      </c>
      <c r="C79" s="4" t="s">
        <v>121</v>
      </c>
      <c r="D79" s="3" t="s">
        <v>9</v>
      </c>
      <c r="E79" s="3" t="s">
        <v>9</v>
      </c>
      <c r="F79" s="11">
        <v>0</v>
      </c>
      <c r="G79" s="12">
        <v>0</v>
      </c>
      <c r="H79" s="164"/>
    </row>
    <row r="80" spans="1:8" x14ac:dyDescent="0.2">
      <c r="A80" s="3" t="s">
        <v>9</v>
      </c>
      <c r="B80" s="3" t="s">
        <v>9</v>
      </c>
      <c r="C80" s="13" t="s">
        <v>9</v>
      </c>
      <c r="D80" s="3" t="s">
        <v>9</v>
      </c>
      <c r="E80" s="3" t="s">
        <v>9</v>
      </c>
      <c r="F80" s="14" t="s">
        <v>9</v>
      </c>
      <c r="G80" s="14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122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123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110</v>
      </c>
      <c r="D83" s="3" t="s">
        <v>9</v>
      </c>
      <c r="E83" s="3" t="s">
        <v>9</v>
      </c>
      <c r="F83" s="15">
        <v>0</v>
      </c>
      <c r="G83" s="16">
        <v>0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124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110</v>
      </c>
      <c r="D86" s="3" t="s">
        <v>9</v>
      </c>
      <c r="E86" s="3" t="s">
        <v>9</v>
      </c>
      <c r="F86" s="15">
        <v>0</v>
      </c>
      <c r="G86" s="16">
        <v>0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125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110</v>
      </c>
      <c r="D89" s="3" t="s">
        <v>9</v>
      </c>
      <c r="E89" s="3" t="s">
        <v>9</v>
      </c>
      <c r="F89" s="15">
        <v>0</v>
      </c>
      <c r="G89" s="16">
        <v>0</v>
      </c>
      <c r="H89" s="164"/>
    </row>
    <row r="90" spans="1:8" x14ac:dyDescent="0.2">
      <c r="A90" s="3" t="s">
        <v>9</v>
      </c>
      <c r="B90" s="3" t="s">
        <v>9</v>
      </c>
      <c r="C90" s="13" t="s">
        <v>9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126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5">
        <v>1</v>
      </c>
      <c r="B92" s="6"/>
      <c r="C92" s="6" t="s">
        <v>127</v>
      </c>
      <c r="D92" s="6"/>
      <c r="E92" s="10" t="s">
        <v>9</v>
      </c>
      <c r="F92" s="8">
        <v>30.631295300000001</v>
      </c>
      <c r="G92" s="9">
        <v>3.580794E-3</v>
      </c>
      <c r="H92" s="90">
        <v>3.22</v>
      </c>
    </row>
    <row r="93" spans="1:8" x14ac:dyDescent="0.2">
      <c r="A93" s="5">
        <v>2</v>
      </c>
      <c r="B93" s="6"/>
      <c r="C93" s="6" t="s">
        <v>128</v>
      </c>
      <c r="D93" s="6"/>
      <c r="E93" s="10" t="s">
        <v>9</v>
      </c>
      <c r="F93" s="8">
        <v>8.6562298999999996</v>
      </c>
      <c r="G93" s="9">
        <v>1.011912E-3</v>
      </c>
      <c r="H93" s="90">
        <v>3.34</v>
      </c>
    </row>
    <row r="94" spans="1:8" x14ac:dyDescent="0.2">
      <c r="A94" s="3" t="s">
        <v>9</v>
      </c>
      <c r="B94" s="3" t="s">
        <v>9</v>
      </c>
      <c r="C94" s="4" t="s">
        <v>110</v>
      </c>
      <c r="D94" s="3" t="s">
        <v>9</v>
      </c>
      <c r="E94" s="3" t="s">
        <v>9</v>
      </c>
      <c r="F94" s="11">
        <v>39.287525199999997</v>
      </c>
      <c r="G94" s="12">
        <v>4.5927060000000002E-3</v>
      </c>
      <c r="H94" s="164"/>
    </row>
    <row r="95" spans="1:8" x14ac:dyDescent="0.2">
      <c r="A95" s="3" t="s">
        <v>9</v>
      </c>
      <c r="B95" s="3" t="s">
        <v>9</v>
      </c>
      <c r="C95" s="13" t="s">
        <v>9</v>
      </c>
      <c r="D95" s="3" t="s">
        <v>9</v>
      </c>
      <c r="E95" s="3" t="s">
        <v>9</v>
      </c>
      <c r="F95" s="14" t="s">
        <v>9</v>
      </c>
      <c r="G95" s="14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129</v>
      </c>
      <c r="D96" s="3" t="s">
        <v>9</v>
      </c>
      <c r="E96" s="3" t="s">
        <v>9</v>
      </c>
      <c r="F96" s="11">
        <v>39.287525199999997</v>
      </c>
      <c r="G96" s="12">
        <v>4.5927060000000002E-3</v>
      </c>
      <c r="H96" s="164"/>
    </row>
    <row r="97" spans="1:8" x14ac:dyDescent="0.2">
      <c r="A97" s="3" t="s">
        <v>9</v>
      </c>
      <c r="B97" s="3" t="s">
        <v>9</v>
      </c>
      <c r="C97" s="14" t="s">
        <v>9</v>
      </c>
      <c r="D97" s="3" t="s">
        <v>9</v>
      </c>
      <c r="E97" s="3" t="s">
        <v>9</v>
      </c>
      <c r="F97" s="3" t="s">
        <v>9</v>
      </c>
      <c r="G97" s="3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130</v>
      </c>
      <c r="D98" s="3" t="s">
        <v>9</v>
      </c>
      <c r="E98" s="3" t="s">
        <v>9</v>
      </c>
      <c r="F98" s="3" t="s">
        <v>9</v>
      </c>
      <c r="G98" s="3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131</v>
      </c>
      <c r="D99" s="3" t="s">
        <v>9</v>
      </c>
      <c r="E99" s="3" t="s">
        <v>9</v>
      </c>
      <c r="F99" s="3" t="s">
        <v>9</v>
      </c>
      <c r="G99" s="3" t="s">
        <v>9</v>
      </c>
      <c r="H99" s="164"/>
    </row>
    <row r="100" spans="1:8" ht="25.5" x14ac:dyDescent="0.2">
      <c r="A100" s="5">
        <v>1</v>
      </c>
      <c r="B100" s="6" t="s">
        <v>697</v>
      </c>
      <c r="C100" s="6" t="s">
        <v>983</v>
      </c>
      <c r="D100" s="6"/>
      <c r="E100" s="7">
        <v>464328.50199999998</v>
      </c>
      <c r="F100" s="8">
        <v>203.75756190499999</v>
      </c>
      <c r="G100" s="9">
        <v>2.3819228000000001E-2</v>
      </c>
      <c r="H100" s="164"/>
    </row>
    <row r="101" spans="1:8" x14ac:dyDescent="0.2">
      <c r="A101" s="3" t="s">
        <v>9</v>
      </c>
      <c r="B101" s="3" t="s">
        <v>9</v>
      </c>
      <c r="C101" s="4" t="s">
        <v>110</v>
      </c>
      <c r="D101" s="3" t="s">
        <v>9</v>
      </c>
      <c r="E101" s="3" t="s">
        <v>9</v>
      </c>
      <c r="F101" s="11">
        <v>203.75756190499999</v>
      </c>
      <c r="G101" s="12">
        <v>2.3819228000000001E-2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132</v>
      </c>
      <c r="D103" s="3" t="s">
        <v>9</v>
      </c>
      <c r="E103" s="3" t="s">
        <v>9</v>
      </c>
      <c r="F103" s="3" t="s">
        <v>9</v>
      </c>
      <c r="G103" s="3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133</v>
      </c>
      <c r="D104" s="3" t="s">
        <v>9</v>
      </c>
      <c r="E104" s="3" t="s">
        <v>9</v>
      </c>
      <c r="F104" s="3" t="s">
        <v>9</v>
      </c>
      <c r="G104" s="3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110</v>
      </c>
      <c r="D105" s="3" t="s">
        <v>9</v>
      </c>
      <c r="E105" s="3" t="s">
        <v>9</v>
      </c>
      <c r="F105" s="15">
        <v>0</v>
      </c>
      <c r="G105" s="16">
        <v>0</v>
      </c>
      <c r="H105" s="164"/>
    </row>
    <row r="106" spans="1:8" x14ac:dyDescent="0.2">
      <c r="A106" s="3" t="s">
        <v>9</v>
      </c>
      <c r="B106" s="3" t="s">
        <v>9</v>
      </c>
      <c r="C106" s="13" t="s">
        <v>9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13" t="s">
        <v>9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ht="25.5" x14ac:dyDescent="0.2">
      <c r="A108" s="3" t="s">
        <v>9</v>
      </c>
      <c r="B108" s="3" t="s">
        <v>9</v>
      </c>
      <c r="C108" s="4" t="s">
        <v>134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110</v>
      </c>
      <c r="D109" s="3" t="s">
        <v>9</v>
      </c>
      <c r="E109" s="3" t="s">
        <v>9</v>
      </c>
      <c r="F109" s="15">
        <v>0</v>
      </c>
      <c r="G109" s="16">
        <v>0</v>
      </c>
      <c r="H109" s="164"/>
    </row>
    <row r="110" spans="1:8" x14ac:dyDescent="0.2">
      <c r="A110" s="3" t="s">
        <v>9</v>
      </c>
      <c r="B110" s="3" t="s">
        <v>9</v>
      </c>
      <c r="C110" s="13" t="s">
        <v>9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10" t="s">
        <v>9</v>
      </c>
      <c r="B111" s="6" t="s">
        <v>9</v>
      </c>
      <c r="C111" s="6" t="s">
        <v>698</v>
      </c>
      <c r="D111" s="6" t="s">
        <v>9</v>
      </c>
      <c r="E111" s="10" t="s">
        <v>9</v>
      </c>
      <c r="F111" s="8">
        <v>2053.4879799999999</v>
      </c>
      <c r="G111" s="9">
        <v>0.24005243400000001</v>
      </c>
      <c r="H111" s="164"/>
    </row>
    <row r="112" spans="1:8" x14ac:dyDescent="0.2">
      <c r="A112" s="10" t="s">
        <v>9</v>
      </c>
      <c r="B112" s="6" t="s">
        <v>9</v>
      </c>
      <c r="C112" s="6" t="s">
        <v>135</v>
      </c>
      <c r="D112" s="6" t="s">
        <v>9</v>
      </c>
      <c r="E112" s="10" t="s">
        <v>9</v>
      </c>
      <c r="F112" s="8">
        <v>177.83755357500013</v>
      </c>
      <c r="G112" s="9">
        <v>2.0789182000000017E-2</v>
      </c>
      <c r="H112" s="164"/>
    </row>
    <row r="113" spans="1:8" x14ac:dyDescent="0.2">
      <c r="A113" s="13" t="s">
        <v>9</v>
      </c>
      <c r="B113" s="13" t="s">
        <v>9</v>
      </c>
      <c r="C113" s="4" t="s">
        <v>136</v>
      </c>
      <c r="D113" s="17" t="s">
        <v>9</v>
      </c>
      <c r="E113" s="17" t="s">
        <v>9</v>
      </c>
      <c r="F113" s="11">
        <v>8554.3310206799997</v>
      </c>
      <c r="G113" s="12">
        <v>1</v>
      </c>
      <c r="H113" s="164"/>
    </row>
    <row r="114" spans="1:8" ht="14.1" customHeight="1" x14ac:dyDescent="0.2">
      <c r="A114" s="18" t="s">
        <v>9</v>
      </c>
      <c r="B114" s="18" t="s">
        <v>9</v>
      </c>
      <c r="C114" s="18" t="s">
        <v>9</v>
      </c>
      <c r="D114" s="19" t="s">
        <v>9</v>
      </c>
      <c r="E114" s="19" t="s">
        <v>9</v>
      </c>
      <c r="F114" s="19" t="s">
        <v>9</v>
      </c>
      <c r="G114" s="19" t="s">
        <v>9</v>
      </c>
    </row>
    <row r="115" spans="1:8" ht="14.1" customHeight="1" x14ac:dyDescent="0.2">
      <c r="A115" s="20" t="s">
        <v>9</v>
      </c>
      <c r="B115" s="238"/>
      <c r="C115" s="238"/>
      <c r="D115" s="238"/>
      <c r="E115" s="238"/>
      <c r="F115" s="238"/>
      <c r="G115" s="22" t="s">
        <v>9</v>
      </c>
    </row>
    <row r="116" spans="1:8" ht="17.100000000000001" customHeight="1" x14ac:dyDescent="0.2">
      <c r="A116" s="20" t="s">
        <v>9</v>
      </c>
      <c r="B116" s="238" t="s">
        <v>984</v>
      </c>
      <c r="C116" s="238"/>
      <c r="D116" s="238"/>
      <c r="E116" s="238"/>
      <c r="F116" s="238"/>
      <c r="G116" s="22" t="s">
        <v>9</v>
      </c>
    </row>
    <row r="117" spans="1:8" ht="14.1" customHeight="1" x14ac:dyDescent="0.2">
      <c r="A117" s="20" t="s">
        <v>9</v>
      </c>
      <c r="B117" s="20" t="s">
        <v>9</v>
      </c>
      <c r="C117" s="20" t="s">
        <v>9</v>
      </c>
      <c r="D117" s="22" t="s">
        <v>9</v>
      </c>
      <c r="E117" s="22" t="s">
        <v>9</v>
      </c>
      <c r="F117" s="22" t="s">
        <v>9</v>
      </c>
      <c r="G117" s="22" t="s">
        <v>9</v>
      </c>
    </row>
    <row r="118" spans="1:8" ht="14.1" customHeight="1" x14ac:dyDescent="0.2">
      <c r="A118" s="20" t="s">
        <v>9</v>
      </c>
      <c r="B118" s="226" t="s">
        <v>138</v>
      </c>
      <c r="C118" s="227"/>
      <c r="D118" s="14" t="s">
        <v>9</v>
      </c>
      <c r="E118" s="23" t="s">
        <v>9</v>
      </c>
      <c r="F118" s="22" t="s">
        <v>9</v>
      </c>
      <c r="G118" s="22" t="s">
        <v>9</v>
      </c>
    </row>
    <row r="119" spans="1:8" ht="29.1" customHeight="1" x14ac:dyDescent="0.2">
      <c r="A119" s="20" t="s">
        <v>9</v>
      </c>
      <c r="B119" s="233" t="s">
        <v>139</v>
      </c>
      <c r="C119" s="234"/>
      <c r="D119" s="4" t="s">
        <v>140</v>
      </c>
      <c r="E119" s="23" t="s">
        <v>9</v>
      </c>
      <c r="F119" s="22" t="s">
        <v>9</v>
      </c>
      <c r="G119" s="22" t="s">
        <v>9</v>
      </c>
    </row>
    <row r="120" spans="1:8" ht="17.100000000000001" customHeight="1" x14ac:dyDescent="0.2">
      <c r="A120" s="20" t="s">
        <v>9</v>
      </c>
      <c r="B120" s="233" t="s">
        <v>141</v>
      </c>
      <c r="C120" s="234"/>
      <c r="D120" s="4" t="s">
        <v>140</v>
      </c>
      <c r="E120" s="23" t="s">
        <v>9</v>
      </c>
      <c r="F120" s="22" t="s">
        <v>9</v>
      </c>
      <c r="G120" s="22" t="s">
        <v>9</v>
      </c>
    </row>
    <row r="121" spans="1:8" ht="17.100000000000001" customHeight="1" x14ac:dyDescent="0.2">
      <c r="A121" s="20" t="s">
        <v>9</v>
      </c>
      <c r="B121" s="233" t="s">
        <v>142</v>
      </c>
      <c r="C121" s="234"/>
      <c r="D121" s="14" t="s">
        <v>9</v>
      </c>
      <c r="E121" s="23" t="s">
        <v>9</v>
      </c>
      <c r="F121" s="22" t="s">
        <v>9</v>
      </c>
      <c r="G121" s="22" t="s">
        <v>9</v>
      </c>
    </row>
    <row r="122" spans="1:8" ht="24" customHeight="1" x14ac:dyDescent="0.2">
      <c r="A122" s="24" t="s">
        <v>9</v>
      </c>
      <c r="B122" s="25" t="s">
        <v>9</v>
      </c>
      <c r="C122" s="25" t="s">
        <v>143</v>
      </c>
      <c r="D122" s="25" t="s">
        <v>144</v>
      </c>
      <c r="E122" s="24" t="s">
        <v>9</v>
      </c>
      <c r="F122" s="24" t="s">
        <v>9</v>
      </c>
      <c r="G122" s="24" t="s">
        <v>9</v>
      </c>
    </row>
    <row r="123" spans="1:8" ht="17.100000000000001" customHeight="1" x14ac:dyDescent="0.2">
      <c r="A123" s="24" t="s">
        <v>9</v>
      </c>
      <c r="B123" s="25" t="s">
        <v>145</v>
      </c>
      <c r="C123" s="25" t="s">
        <v>146</v>
      </c>
      <c r="D123" s="25" t="s">
        <v>147</v>
      </c>
      <c r="E123" s="24" t="s">
        <v>9</v>
      </c>
      <c r="F123" s="24" t="s">
        <v>9</v>
      </c>
      <c r="G123" s="24" t="s">
        <v>9</v>
      </c>
    </row>
    <row r="124" spans="1:8" ht="17.100000000000001" customHeight="1" x14ac:dyDescent="0.2">
      <c r="A124" s="24" t="s">
        <v>9</v>
      </c>
      <c r="B124" s="6" t="s">
        <v>148</v>
      </c>
      <c r="C124" s="26">
        <v>10.6602</v>
      </c>
      <c r="D124" s="26">
        <v>10.693</v>
      </c>
      <c r="E124" s="24" t="s">
        <v>9</v>
      </c>
      <c r="F124" s="21" t="s">
        <v>9</v>
      </c>
      <c r="G124" s="27" t="s">
        <v>9</v>
      </c>
    </row>
    <row r="125" spans="1:8" ht="17.100000000000001" customHeight="1" x14ac:dyDescent="0.2">
      <c r="A125" s="24" t="s">
        <v>9</v>
      </c>
      <c r="B125" s="6" t="s">
        <v>839</v>
      </c>
      <c r="C125" s="26">
        <v>10.656700000000001</v>
      </c>
      <c r="D125" s="26">
        <v>10.689299999999999</v>
      </c>
      <c r="E125" s="24" t="s">
        <v>9</v>
      </c>
      <c r="F125" s="21" t="s">
        <v>9</v>
      </c>
      <c r="G125" s="27" t="s">
        <v>9</v>
      </c>
    </row>
    <row r="126" spans="1:8" ht="17.100000000000001" customHeight="1" x14ac:dyDescent="0.2">
      <c r="A126" s="24" t="s">
        <v>9</v>
      </c>
      <c r="B126" s="6" t="s">
        <v>149</v>
      </c>
      <c r="C126" s="26">
        <v>10.557499999999999</v>
      </c>
      <c r="D126" s="26">
        <v>10.5832</v>
      </c>
      <c r="E126" s="24" t="s">
        <v>9</v>
      </c>
      <c r="F126" s="21" t="s">
        <v>9</v>
      </c>
      <c r="G126" s="27" t="s">
        <v>9</v>
      </c>
    </row>
    <row r="127" spans="1:8" ht="17.100000000000001" customHeight="1" x14ac:dyDescent="0.2">
      <c r="A127" s="24" t="s">
        <v>9</v>
      </c>
      <c r="B127" s="6" t="s">
        <v>840</v>
      </c>
      <c r="C127" s="26">
        <v>10.557600000000001</v>
      </c>
      <c r="D127" s="26">
        <v>10.583299999999999</v>
      </c>
      <c r="E127" s="24" t="s">
        <v>9</v>
      </c>
      <c r="F127" s="21" t="s">
        <v>9</v>
      </c>
      <c r="G127" s="27" t="s">
        <v>9</v>
      </c>
    </row>
    <row r="128" spans="1:8" ht="14.1" customHeight="1" x14ac:dyDescent="0.2">
      <c r="A128" s="24" t="s">
        <v>9</v>
      </c>
      <c r="B128" s="24" t="s">
        <v>9</v>
      </c>
      <c r="C128" s="24" t="s">
        <v>9</v>
      </c>
      <c r="D128" s="24" t="s">
        <v>9</v>
      </c>
      <c r="E128" s="24" t="s">
        <v>9</v>
      </c>
      <c r="F128" s="24" t="s">
        <v>9</v>
      </c>
      <c r="G128" s="24" t="s">
        <v>9</v>
      </c>
    </row>
    <row r="129" spans="1:7" ht="17.100000000000001" customHeight="1" x14ac:dyDescent="0.2">
      <c r="A129" s="24" t="s">
        <v>9</v>
      </c>
      <c r="B129" s="233" t="s">
        <v>1003</v>
      </c>
      <c r="C129" s="234"/>
      <c r="D129" s="4" t="s">
        <v>140</v>
      </c>
      <c r="E129" s="24" t="s">
        <v>9</v>
      </c>
      <c r="F129" s="24" t="s">
        <v>9</v>
      </c>
      <c r="G129" s="24" t="s">
        <v>9</v>
      </c>
    </row>
    <row r="130" spans="1:7" ht="18" customHeight="1" x14ac:dyDescent="0.2">
      <c r="A130" s="24" t="s">
        <v>9</v>
      </c>
      <c r="B130" s="28" t="s">
        <v>150</v>
      </c>
      <c r="C130" s="28" t="s">
        <v>150</v>
      </c>
      <c r="D130" s="28" t="s">
        <v>9</v>
      </c>
      <c r="E130" s="24" t="s">
        <v>9</v>
      </c>
      <c r="F130" s="24" t="s">
        <v>9</v>
      </c>
      <c r="G130" s="24" t="s">
        <v>9</v>
      </c>
    </row>
    <row r="131" spans="1:7" s="169" customFormat="1" x14ac:dyDescent="0.2">
      <c r="B131" s="235" t="s">
        <v>841</v>
      </c>
      <c r="C131" s="235"/>
      <c r="D131" s="235"/>
      <c r="E131" s="235"/>
      <c r="F131" s="235"/>
    </row>
    <row r="132" spans="1:7" ht="14.1" customHeight="1" x14ac:dyDescent="0.2">
      <c r="A132" s="24" t="s">
        <v>9</v>
      </c>
      <c r="B132" s="21" t="s">
        <v>9</v>
      </c>
      <c r="C132" s="21" t="s">
        <v>9</v>
      </c>
      <c r="D132" s="24" t="s">
        <v>9</v>
      </c>
      <c r="E132" s="24" t="s">
        <v>9</v>
      </c>
      <c r="F132" s="24" t="s">
        <v>9</v>
      </c>
      <c r="G132" s="24" t="s">
        <v>9</v>
      </c>
    </row>
    <row r="133" spans="1:7" ht="29.1" customHeight="1" x14ac:dyDescent="0.2">
      <c r="A133" s="24" t="s">
        <v>9</v>
      </c>
      <c r="B133" s="233" t="s">
        <v>151</v>
      </c>
      <c r="C133" s="234"/>
      <c r="D133" s="4" t="s">
        <v>974</v>
      </c>
      <c r="E133" s="24" t="s">
        <v>9</v>
      </c>
      <c r="F133" s="24" t="s">
        <v>9</v>
      </c>
      <c r="G133" s="24" t="s">
        <v>9</v>
      </c>
    </row>
    <row r="134" spans="1:7" ht="29.1" customHeight="1" x14ac:dyDescent="0.2">
      <c r="A134" s="24" t="s">
        <v>9</v>
      </c>
      <c r="B134" s="233" t="s">
        <v>152</v>
      </c>
      <c r="C134" s="234"/>
      <c r="D134" s="4" t="s">
        <v>140</v>
      </c>
      <c r="E134" s="24" t="s">
        <v>9</v>
      </c>
      <c r="F134" s="24" t="s">
        <v>9</v>
      </c>
      <c r="G134" s="24" t="s">
        <v>9</v>
      </c>
    </row>
    <row r="135" spans="1:7" ht="17.100000000000001" customHeight="1" x14ac:dyDescent="0.2">
      <c r="A135" s="24" t="s">
        <v>9</v>
      </c>
      <c r="B135" s="233" t="s">
        <v>153</v>
      </c>
      <c r="C135" s="234"/>
      <c r="D135" s="29">
        <v>12.579583322311008</v>
      </c>
      <c r="E135" s="24" t="s">
        <v>9</v>
      </c>
      <c r="F135" s="21" t="s">
        <v>9</v>
      </c>
      <c r="G135" s="27" t="s">
        <v>9</v>
      </c>
    </row>
    <row r="136" spans="1:7" ht="17.100000000000001" customHeight="1" x14ac:dyDescent="0.2">
      <c r="A136" s="24" t="s">
        <v>9</v>
      </c>
      <c r="B136" s="233" t="s">
        <v>154</v>
      </c>
      <c r="C136" s="234"/>
      <c r="D136" s="4" t="s">
        <v>140</v>
      </c>
      <c r="E136" s="24" t="s">
        <v>9</v>
      </c>
      <c r="F136" s="24" t="s">
        <v>9</v>
      </c>
      <c r="G136" s="24" t="s">
        <v>9</v>
      </c>
    </row>
  </sheetData>
  <mergeCells count="15">
    <mergeCell ref="B135:C135"/>
    <mergeCell ref="B136:C136"/>
    <mergeCell ref="B119:C119"/>
    <mergeCell ref="B120:C120"/>
    <mergeCell ref="B121:C121"/>
    <mergeCell ref="B129:C129"/>
    <mergeCell ref="B133:C133"/>
    <mergeCell ref="B134:C134"/>
    <mergeCell ref="B131:F131"/>
    <mergeCell ref="B118:C118"/>
    <mergeCell ref="B115:F115"/>
    <mergeCell ref="B116:F11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C6F2-AD43-4913-9464-B515612A423E}">
  <sheetPr>
    <outlinePr summaryBelow="0" summaryRight="0"/>
  </sheetPr>
  <dimension ref="A1:H201"/>
  <sheetViews>
    <sheetView showGridLines="0" zoomScale="96" zoomScaleNormal="96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5.28515625" bestFit="1" customWidth="1"/>
    <col min="9" max="9" width="9.5703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795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121" t="s">
        <v>9</v>
      </c>
      <c r="B6" s="121" t="s">
        <v>9</v>
      </c>
      <c r="C6" s="122" t="s">
        <v>11</v>
      </c>
      <c r="D6" s="121" t="s">
        <v>9</v>
      </c>
      <c r="E6" s="121" t="s">
        <v>9</v>
      </c>
      <c r="F6" s="121" t="s">
        <v>9</v>
      </c>
      <c r="G6" s="121" t="s">
        <v>9</v>
      </c>
      <c r="H6" s="164"/>
    </row>
    <row r="7" spans="1:8" x14ac:dyDescent="0.2">
      <c r="A7" s="123">
        <v>1</v>
      </c>
      <c r="B7" s="124" t="s">
        <v>20</v>
      </c>
      <c r="C7" s="124" t="s">
        <v>21</v>
      </c>
      <c r="D7" s="124" t="s">
        <v>22</v>
      </c>
      <c r="E7" s="125">
        <v>936875</v>
      </c>
      <c r="F7" s="126">
        <v>6394.171875</v>
      </c>
      <c r="G7" s="127">
        <v>6.0427496999999997E-2</v>
      </c>
      <c r="H7" s="164"/>
    </row>
    <row r="8" spans="1:8" x14ac:dyDescent="0.2">
      <c r="A8" s="123">
        <v>2</v>
      </c>
      <c r="B8" s="124" t="s">
        <v>15</v>
      </c>
      <c r="C8" s="124" t="s">
        <v>16</v>
      </c>
      <c r="D8" s="124" t="s">
        <v>17</v>
      </c>
      <c r="E8" s="125">
        <v>210750</v>
      </c>
      <c r="F8" s="126">
        <v>4289.3947500000004</v>
      </c>
      <c r="G8" s="127">
        <v>4.0536506999999999E-2</v>
      </c>
      <c r="H8" s="164"/>
    </row>
    <row r="9" spans="1:8" x14ac:dyDescent="0.2">
      <c r="A9" s="123">
        <v>3</v>
      </c>
      <c r="B9" s="124" t="s">
        <v>407</v>
      </c>
      <c r="C9" s="124" t="s">
        <v>408</v>
      </c>
      <c r="D9" s="124" t="s">
        <v>22</v>
      </c>
      <c r="E9" s="125">
        <v>888000</v>
      </c>
      <c r="F9" s="126">
        <v>3834.384</v>
      </c>
      <c r="G9" s="127">
        <v>3.6236471999999999E-2</v>
      </c>
      <c r="H9" s="164"/>
    </row>
    <row r="10" spans="1:8" x14ac:dyDescent="0.2">
      <c r="A10" s="123">
        <v>4</v>
      </c>
      <c r="B10" s="124" t="s">
        <v>403</v>
      </c>
      <c r="C10" s="124" t="s">
        <v>404</v>
      </c>
      <c r="D10" s="124" t="s">
        <v>179</v>
      </c>
      <c r="E10" s="125">
        <v>195000</v>
      </c>
      <c r="F10" s="126">
        <v>3140.4749999999999</v>
      </c>
      <c r="G10" s="127">
        <v>2.9678752999999999E-2</v>
      </c>
      <c r="H10" s="164"/>
    </row>
    <row r="11" spans="1:8" ht="25.5" x14ac:dyDescent="0.2">
      <c r="A11" s="123">
        <v>5</v>
      </c>
      <c r="B11" s="124" t="s">
        <v>405</v>
      </c>
      <c r="C11" s="124" t="s">
        <v>406</v>
      </c>
      <c r="D11" s="124" t="s">
        <v>161</v>
      </c>
      <c r="E11" s="125">
        <v>122500</v>
      </c>
      <c r="F11" s="126">
        <v>2990.4087500000001</v>
      </c>
      <c r="G11" s="127">
        <v>2.8260566000000001E-2</v>
      </c>
      <c r="H11" s="164"/>
    </row>
    <row r="12" spans="1:8" s="151" customFormat="1" x14ac:dyDescent="0.2">
      <c r="A12" s="123">
        <v>6</v>
      </c>
      <c r="B12" s="6" t="s">
        <v>970</v>
      </c>
      <c r="C12" s="6" t="s">
        <v>971</v>
      </c>
      <c r="D12" s="6" t="s">
        <v>37</v>
      </c>
      <c r="E12" s="7">
        <v>738000</v>
      </c>
      <c r="F12" s="8">
        <v>2670.0102000000002</v>
      </c>
      <c r="G12" s="9">
        <v>2.5232669999999999E-2</v>
      </c>
      <c r="H12" s="164"/>
    </row>
    <row r="13" spans="1:8" x14ac:dyDescent="0.2">
      <c r="A13" s="123">
        <v>7</v>
      </c>
      <c r="B13" s="124" t="s">
        <v>79</v>
      </c>
      <c r="C13" s="124" t="s">
        <v>80</v>
      </c>
      <c r="D13" s="124" t="s">
        <v>22</v>
      </c>
      <c r="E13" s="125">
        <v>184000</v>
      </c>
      <c r="F13" s="126">
        <v>2624.6680000000001</v>
      </c>
      <c r="G13" s="127">
        <v>2.4804169000000001E-2</v>
      </c>
      <c r="H13" s="164"/>
    </row>
    <row r="14" spans="1:8" x14ac:dyDescent="0.2">
      <c r="A14" s="123">
        <v>8</v>
      </c>
      <c r="B14" s="124" t="s">
        <v>419</v>
      </c>
      <c r="C14" s="124" t="s">
        <v>420</v>
      </c>
      <c r="D14" s="124" t="s">
        <v>179</v>
      </c>
      <c r="E14" s="125">
        <v>71006</v>
      </c>
      <c r="F14" s="126">
        <v>2249.0795469999998</v>
      </c>
      <c r="G14" s="127">
        <v>2.1254707000000001E-2</v>
      </c>
      <c r="H14" s="164"/>
    </row>
    <row r="15" spans="1:8" x14ac:dyDescent="0.2">
      <c r="A15" s="123">
        <v>9</v>
      </c>
      <c r="B15" s="124" t="s">
        <v>23</v>
      </c>
      <c r="C15" s="124" t="s">
        <v>24</v>
      </c>
      <c r="D15" s="124" t="s">
        <v>25</v>
      </c>
      <c r="E15" s="125">
        <v>396183</v>
      </c>
      <c r="F15" s="126">
        <v>2225.1618195000001</v>
      </c>
      <c r="G15" s="127">
        <v>2.1028675E-2</v>
      </c>
      <c r="H15" s="164"/>
    </row>
    <row r="16" spans="1:8" x14ac:dyDescent="0.2">
      <c r="A16" s="123">
        <v>10</v>
      </c>
      <c r="B16" s="124" t="s">
        <v>357</v>
      </c>
      <c r="C16" s="124" t="s">
        <v>358</v>
      </c>
      <c r="D16" s="124" t="s">
        <v>22</v>
      </c>
      <c r="E16" s="125">
        <v>300000</v>
      </c>
      <c r="F16" s="126">
        <v>2126.6999999999998</v>
      </c>
      <c r="G16" s="127">
        <v>2.0098171000000001E-2</v>
      </c>
      <c r="H16" s="164"/>
    </row>
    <row r="17" spans="1:8" x14ac:dyDescent="0.2">
      <c r="A17" s="123">
        <v>11</v>
      </c>
      <c r="B17" s="124" t="s">
        <v>432</v>
      </c>
      <c r="C17" s="124" t="s">
        <v>433</v>
      </c>
      <c r="D17" s="124" t="s">
        <v>179</v>
      </c>
      <c r="E17" s="125">
        <v>167600</v>
      </c>
      <c r="F17" s="126">
        <v>2027.2058</v>
      </c>
      <c r="G17" s="127">
        <v>1.9157911E-2</v>
      </c>
      <c r="H17" s="164"/>
    </row>
    <row r="18" spans="1:8" ht="25.5" x14ac:dyDescent="0.2">
      <c r="A18" s="123">
        <v>12</v>
      </c>
      <c r="B18" s="124" t="s">
        <v>485</v>
      </c>
      <c r="C18" s="124" t="s">
        <v>486</v>
      </c>
      <c r="D18" s="124" t="s">
        <v>67</v>
      </c>
      <c r="E18" s="125">
        <v>300000</v>
      </c>
      <c r="F18" s="126">
        <v>1922.25</v>
      </c>
      <c r="G18" s="127">
        <v>1.8166036E-2</v>
      </c>
      <c r="H18" s="164"/>
    </row>
    <row r="19" spans="1:8" s="151" customFormat="1" ht="25.5" x14ac:dyDescent="0.2">
      <c r="A19" s="123">
        <v>13</v>
      </c>
      <c r="B19" s="6" t="s">
        <v>968</v>
      </c>
      <c r="C19" s="6" t="s">
        <v>969</v>
      </c>
      <c r="D19" s="6" t="s">
        <v>45</v>
      </c>
      <c r="E19" s="7">
        <v>1462700</v>
      </c>
      <c r="F19" s="8">
        <v>1740.02792</v>
      </c>
      <c r="G19" s="9">
        <v>1.6443960000000001E-2</v>
      </c>
      <c r="H19" s="164"/>
    </row>
    <row r="20" spans="1:8" x14ac:dyDescent="0.2">
      <c r="A20" s="123">
        <v>14</v>
      </c>
      <c r="B20" s="124" t="s">
        <v>434</v>
      </c>
      <c r="C20" s="124" t="s">
        <v>435</v>
      </c>
      <c r="D20" s="124" t="s">
        <v>195</v>
      </c>
      <c r="E20" s="125">
        <v>350000</v>
      </c>
      <c r="F20" s="126">
        <v>1537.375</v>
      </c>
      <c r="G20" s="127">
        <v>1.4528812E-2</v>
      </c>
      <c r="H20" s="164"/>
    </row>
    <row r="21" spans="1:8" ht="25.5" x14ac:dyDescent="0.2">
      <c r="A21" s="123">
        <v>15</v>
      </c>
      <c r="B21" s="124" t="s">
        <v>611</v>
      </c>
      <c r="C21" s="124" t="s">
        <v>612</v>
      </c>
      <c r="D21" s="124" t="s">
        <v>67</v>
      </c>
      <c r="E21" s="125">
        <v>280000</v>
      </c>
      <c r="F21" s="126">
        <v>1530.76</v>
      </c>
      <c r="G21" s="127">
        <v>1.4466298000000001E-2</v>
      </c>
      <c r="H21" s="164"/>
    </row>
    <row r="22" spans="1:8" ht="25.5" x14ac:dyDescent="0.2">
      <c r="A22" s="123">
        <v>16</v>
      </c>
      <c r="B22" s="124" t="s">
        <v>33</v>
      </c>
      <c r="C22" s="124" t="s">
        <v>34</v>
      </c>
      <c r="D22" s="124" t="s">
        <v>925</v>
      </c>
      <c r="E22" s="125">
        <v>18750</v>
      </c>
      <c r="F22" s="126">
        <v>1428.6</v>
      </c>
      <c r="G22" s="127">
        <v>1.3500844999999999E-2</v>
      </c>
      <c r="H22" s="164"/>
    </row>
    <row r="23" spans="1:8" x14ac:dyDescent="0.2">
      <c r="A23" s="123">
        <v>17</v>
      </c>
      <c r="B23" s="124" t="s">
        <v>26</v>
      </c>
      <c r="C23" s="124" t="s">
        <v>27</v>
      </c>
      <c r="D23" s="124" t="s">
        <v>28</v>
      </c>
      <c r="E23" s="125">
        <v>110000</v>
      </c>
      <c r="F23" s="126">
        <v>1377.31</v>
      </c>
      <c r="G23" s="127">
        <v>1.3016134E-2</v>
      </c>
      <c r="H23" s="164"/>
    </row>
    <row r="24" spans="1:8" x14ac:dyDescent="0.2">
      <c r="A24" s="123">
        <v>18</v>
      </c>
      <c r="B24" s="124" t="s">
        <v>57</v>
      </c>
      <c r="C24" s="124" t="s">
        <v>58</v>
      </c>
      <c r="D24" s="124" t="s">
        <v>59</v>
      </c>
      <c r="E24" s="125">
        <v>874000</v>
      </c>
      <c r="F24" s="126">
        <v>1241.5170000000001</v>
      </c>
      <c r="G24" s="127">
        <v>1.1732835E-2</v>
      </c>
      <c r="H24" s="164"/>
    </row>
    <row r="25" spans="1:8" x14ac:dyDescent="0.2">
      <c r="A25" s="123">
        <v>19</v>
      </c>
      <c r="B25" s="124" t="s">
        <v>609</v>
      </c>
      <c r="C25" s="124" t="s">
        <v>610</v>
      </c>
      <c r="D25" s="124" t="s">
        <v>158</v>
      </c>
      <c r="E25" s="125">
        <v>53500</v>
      </c>
      <c r="F25" s="126">
        <v>1219.1579999999999</v>
      </c>
      <c r="G25" s="127">
        <v>1.1521534E-2</v>
      </c>
      <c r="H25" s="164"/>
    </row>
    <row r="26" spans="1:8" x14ac:dyDescent="0.2">
      <c r="A26" s="123">
        <v>20</v>
      </c>
      <c r="B26" s="124" t="s">
        <v>506</v>
      </c>
      <c r="C26" s="124" t="s">
        <v>507</v>
      </c>
      <c r="D26" s="124" t="s">
        <v>200</v>
      </c>
      <c r="E26" s="125">
        <v>25000</v>
      </c>
      <c r="F26" s="126">
        <v>1177.8</v>
      </c>
      <c r="G26" s="127">
        <v>1.1130684E-2</v>
      </c>
      <c r="H26" s="164"/>
    </row>
    <row r="27" spans="1:8" ht="25.5" x14ac:dyDescent="0.2">
      <c r="A27" s="123">
        <v>21</v>
      </c>
      <c r="B27" s="124" t="s">
        <v>417</v>
      </c>
      <c r="C27" s="124" t="s">
        <v>418</v>
      </c>
      <c r="D27" s="124" t="s">
        <v>67</v>
      </c>
      <c r="E27" s="125">
        <v>50000</v>
      </c>
      <c r="F27" s="126">
        <v>1166.6500000000001</v>
      </c>
      <c r="G27" s="127">
        <v>1.1025312000000001E-2</v>
      </c>
      <c r="H27" s="164"/>
    </row>
    <row r="28" spans="1:8" x14ac:dyDescent="0.2">
      <c r="A28" s="123">
        <v>22</v>
      </c>
      <c r="B28" s="124" t="s">
        <v>156</v>
      </c>
      <c r="C28" s="124" t="s">
        <v>157</v>
      </c>
      <c r="D28" s="124" t="s">
        <v>158</v>
      </c>
      <c r="E28" s="125">
        <v>31600</v>
      </c>
      <c r="F28" s="126">
        <v>1155.691</v>
      </c>
      <c r="G28" s="127">
        <v>1.0921745E-2</v>
      </c>
      <c r="H28" s="164"/>
    </row>
    <row r="29" spans="1:8" x14ac:dyDescent="0.2">
      <c r="A29" s="123">
        <v>23</v>
      </c>
      <c r="B29" s="124" t="s">
        <v>93</v>
      </c>
      <c r="C29" s="124" t="s">
        <v>94</v>
      </c>
      <c r="D29" s="124" t="s">
        <v>28</v>
      </c>
      <c r="E29" s="125">
        <v>16000</v>
      </c>
      <c r="F29" s="126">
        <v>1098.1279999999999</v>
      </c>
      <c r="G29" s="127">
        <v>1.0377752000000001E-2</v>
      </c>
      <c r="H29" s="164"/>
    </row>
    <row r="30" spans="1:8" x14ac:dyDescent="0.2">
      <c r="A30" s="123">
        <v>24</v>
      </c>
      <c r="B30" s="124" t="s">
        <v>12</v>
      </c>
      <c r="C30" s="124" t="s">
        <v>13</v>
      </c>
      <c r="D30" s="124" t="s">
        <v>14</v>
      </c>
      <c r="E30" s="125">
        <v>68000</v>
      </c>
      <c r="F30" s="126">
        <v>1088.9860000000001</v>
      </c>
      <c r="G30" s="127">
        <v>1.0291356E-2</v>
      </c>
      <c r="H30" s="164"/>
    </row>
    <row r="31" spans="1:8" x14ac:dyDescent="0.2">
      <c r="A31" s="123">
        <v>25</v>
      </c>
      <c r="B31" s="124" t="s">
        <v>304</v>
      </c>
      <c r="C31" s="124" t="s">
        <v>305</v>
      </c>
      <c r="D31" s="124" t="s">
        <v>932</v>
      </c>
      <c r="E31" s="125">
        <v>96000</v>
      </c>
      <c r="F31" s="126">
        <v>1077.2159999999999</v>
      </c>
      <c r="G31" s="127">
        <v>1.0180125E-2</v>
      </c>
      <c r="H31" s="164"/>
    </row>
    <row r="32" spans="1:8" x14ac:dyDescent="0.2">
      <c r="A32" s="123">
        <v>26</v>
      </c>
      <c r="B32" s="124" t="s">
        <v>409</v>
      </c>
      <c r="C32" s="124" t="s">
        <v>410</v>
      </c>
      <c r="D32" s="124" t="s">
        <v>932</v>
      </c>
      <c r="E32" s="125">
        <v>87000</v>
      </c>
      <c r="F32" s="126">
        <v>955.78200000000004</v>
      </c>
      <c r="G32" s="127">
        <v>9.0325249999999996E-3</v>
      </c>
      <c r="H32" s="164"/>
    </row>
    <row r="33" spans="1:8" x14ac:dyDescent="0.2">
      <c r="A33" s="123">
        <v>27</v>
      </c>
      <c r="B33" s="124" t="s">
        <v>580</v>
      </c>
      <c r="C33" s="124" t="s">
        <v>581</v>
      </c>
      <c r="D33" s="124" t="s">
        <v>932</v>
      </c>
      <c r="E33" s="125">
        <v>143000</v>
      </c>
      <c r="F33" s="126">
        <v>949.5915</v>
      </c>
      <c r="G33" s="127">
        <v>8.9740219999999999E-3</v>
      </c>
      <c r="H33" s="164"/>
    </row>
    <row r="34" spans="1:8" x14ac:dyDescent="0.2">
      <c r="A34" s="123">
        <v>28</v>
      </c>
      <c r="B34" s="124" t="s">
        <v>328</v>
      </c>
      <c r="C34" s="124" t="s">
        <v>329</v>
      </c>
      <c r="D34" s="124" t="s">
        <v>266</v>
      </c>
      <c r="E34" s="125">
        <v>30000</v>
      </c>
      <c r="F34" s="126">
        <v>885.06</v>
      </c>
      <c r="G34" s="127">
        <v>8.3641730000000008E-3</v>
      </c>
      <c r="H34" s="164"/>
    </row>
    <row r="35" spans="1:8" x14ac:dyDescent="0.2">
      <c r="A35" s="123">
        <v>29</v>
      </c>
      <c r="B35" s="124" t="s">
        <v>53</v>
      </c>
      <c r="C35" s="124" t="s">
        <v>54</v>
      </c>
      <c r="D35" s="124" t="s">
        <v>17</v>
      </c>
      <c r="E35" s="125">
        <v>195000</v>
      </c>
      <c r="F35" s="126">
        <v>868.72500000000002</v>
      </c>
      <c r="G35" s="127">
        <v>8.2098009999999992E-3</v>
      </c>
      <c r="H35" s="164"/>
    </row>
    <row r="36" spans="1:8" x14ac:dyDescent="0.2">
      <c r="A36" s="123">
        <v>30</v>
      </c>
      <c r="B36" s="124" t="s">
        <v>395</v>
      </c>
      <c r="C36" s="124" t="s">
        <v>396</v>
      </c>
      <c r="D36" s="124" t="s">
        <v>932</v>
      </c>
      <c r="E36" s="125">
        <v>5750</v>
      </c>
      <c r="F36" s="126">
        <v>817.77650000000006</v>
      </c>
      <c r="G36" s="127">
        <v>7.7283170000000002E-3</v>
      </c>
      <c r="H36" s="164"/>
    </row>
    <row r="37" spans="1:8" x14ac:dyDescent="0.2">
      <c r="A37" s="123">
        <v>31</v>
      </c>
      <c r="B37" s="124" t="s">
        <v>371</v>
      </c>
      <c r="C37" s="124" t="s">
        <v>372</v>
      </c>
      <c r="D37" s="124" t="s">
        <v>179</v>
      </c>
      <c r="E37" s="125">
        <v>77000</v>
      </c>
      <c r="F37" s="126">
        <v>789.2115</v>
      </c>
      <c r="G37" s="127">
        <v>7.4583660000000001E-3</v>
      </c>
      <c r="H37" s="164"/>
    </row>
    <row r="38" spans="1:8" x14ac:dyDescent="0.2">
      <c r="A38" s="123">
        <v>32</v>
      </c>
      <c r="B38" s="124" t="s">
        <v>212</v>
      </c>
      <c r="C38" s="124" t="s">
        <v>213</v>
      </c>
      <c r="D38" s="124" t="s">
        <v>929</v>
      </c>
      <c r="E38" s="125">
        <v>90000</v>
      </c>
      <c r="F38" s="126">
        <v>782.41499999999996</v>
      </c>
      <c r="G38" s="127">
        <v>7.3941370000000003E-3</v>
      </c>
      <c r="H38" s="164"/>
    </row>
    <row r="39" spans="1:8" x14ac:dyDescent="0.2">
      <c r="A39" s="123">
        <v>33</v>
      </c>
      <c r="B39" s="124" t="s">
        <v>411</v>
      </c>
      <c r="C39" s="124" t="s">
        <v>412</v>
      </c>
      <c r="D39" s="124" t="s">
        <v>59</v>
      </c>
      <c r="E39" s="125">
        <v>54050</v>
      </c>
      <c r="F39" s="126">
        <v>775.23915</v>
      </c>
      <c r="G39" s="127">
        <v>7.3263219999999997E-3</v>
      </c>
      <c r="H39" s="164"/>
    </row>
    <row r="40" spans="1:8" ht="25.5" x14ac:dyDescent="0.2">
      <c r="A40" s="123">
        <v>34</v>
      </c>
      <c r="B40" s="124" t="s">
        <v>322</v>
      </c>
      <c r="C40" s="124" t="s">
        <v>323</v>
      </c>
      <c r="D40" s="124" t="s">
        <v>62</v>
      </c>
      <c r="E40" s="125">
        <v>159000</v>
      </c>
      <c r="F40" s="126">
        <v>774.48900000000003</v>
      </c>
      <c r="G40" s="127">
        <v>7.3192329999999996E-3</v>
      </c>
      <c r="H40" s="164"/>
    </row>
    <row r="41" spans="1:8" x14ac:dyDescent="0.2">
      <c r="A41" s="123">
        <v>35</v>
      </c>
      <c r="B41" s="124" t="s">
        <v>436</v>
      </c>
      <c r="C41" s="124" t="s">
        <v>437</v>
      </c>
      <c r="D41" s="124" t="s">
        <v>22</v>
      </c>
      <c r="E41" s="125">
        <v>46000</v>
      </c>
      <c r="F41" s="126">
        <v>761.20799999999997</v>
      </c>
      <c r="G41" s="127">
        <v>7.1937219999999996E-3</v>
      </c>
      <c r="H41" s="164"/>
    </row>
    <row r="42" spans="1:8" x14ac:dyDescent="0.2">
      <c r="A42" s="123">
        <v>36</v>
      </c>
      <c r="B42" s="124" t="s">
        <v>421</v>
      </c>
      <c r="C42" s="124" t="s">
        <v>422</v>
      </c>
      <c r="D42" s="124" t="s">
        <v>88</v>
      </c>
      <c r="E42" s="125">
        <v>100000</v>
      </c>
      <c r="F42" s="126">
        <v>743.1</v>
      </c>
      <c r="G42" s="127">
        <v>7.0225940000000001E-3</v>
      </c>
      <c r="H42" s="164"/>
    </row>
    <row r="43" spans="1:8" x14ac:dyDescent="0.2">
      <c r="A43" s="123">
        <v>37</v>
      </c>
      <c r="B43" s="124" t="s">
        <v>379</v>
      </c>
      <c r="C43" s="124" t="s">
        <v>380</v>
      </c>
      <c r="D43" s="124" t="s">
        <v>62</v>
      </c>
      <c r="E43" s="125">
        <v>1040000</v>
      </c>
      <c r="F43" s="126">
        <v>737.88</v>
      </c>
      <c r="G43" s="127">
        <v>6.9732630000000004E-3</v>
      </c>
      <c r="H43" s="164"/>
    </row>
    <row r="44" spans="1:8" ht="25.5" x14ac:dyDescent="0.2">
      <c r="A44" s="123">
        <v>38</v>
      </c>
      <c r="B44" s="124" t="s">
        <v>399</v>
      </c>
      <c r="C44" s="124" t="s">
        <v>1000</v>
      </c>
      <c r="D44" s="6" t="s">
        <v>346</v>
      </c>
      <c r="E44" s="125">
        <v>312750</v>
      </c>
      <c r="F44" s="126">
        <v>701.34187499999996</v>
      </c>
      <c r="G44" s="127">
        <v>6.6279629999999997E-3</v>
      </c>
      <c r="H44" s="164"/>
    </row>
    <row r="45" spans="1:8" x14ac:dyDescent="0.2">
      <c r="A45" s="123">
        <v>39</v>
      </c>
      <c r="B45" s="124" t="s">
        <v>377</v>
      </c>
      <c r="C45" s="124" t="s">
        <v>378</v>
      </c>
      <c r="D45" s="124" t="s">
        <v>346</v>
      </c>
      <c r="E45" s="125">
        <v>497849</v>
      </c>
      <c r="F45" s="126">
        <v>664.62841500000002</v>
      </c>
      <c r="G45" s="127">
        <v>6.2810059999999996E-3</v>
      </c>
      <c r="H45" s="164"/>
    </row>
    <row r="46" spans="1:8" ht="25.5" x14ac:dyDescent="0.2">
      <c r="A46" s="123">
        <v>40</v>
      </c>
      <c r="B46" s="124" t="s">
        <v>336</v>
      </c>
      <c r="C46" s="124" t="s">
        <v>337</v>
      </c>
      <c r="D46" s="124" t="s">
        <v>67</v>
      </c>
      <c r="E46" s="125">
        <v>82500</v>
      </c>
      <c r="F46" s="126">
        <v>628.48500000000001</v>
      </c>
      <c r="G46" s="127">
        <v>5.9394360000000002E-3</v>
      </c>
      <c r="H46" s="164"/>
    </row>
    <row r="47" spans="1:8" x14ac:dyDescent="0.2">
      <c r="A47" s="123">
        <v>41</v>
      </c>
      <c r="B47" s="124" t="s">
        <v>318</v>
      </c>
      <c r="C47" s="124" t="s">
        <v>319</v>
      </c>
      <c r="D47" s="124" t="s">
        <v>62</v>
      </c>
      <c r="E47" s="125">
        <v>56000</v>
      </c>
      <c r="F47" s="126">
        <v>593.15200000000004</v>
      </c>
      <c r="G47" s="127">
        <v>5.6055250000000001E-3</v>
      </c>
      <c r="H47" s="164"/>
    </row>
    <row r="48" spans="1:8" x14ac:dyDescent="0.2">
      <c r="A48" s="123">
        <v>42</v>
      </c>
      <c r="B48" s="124" t="s">
        <v>353</v>
      </c>
      <c r="C48" s="124" t="s">
        <v>354</v>
      </c>
      <c r="D48" s="124" t="s">
        <v>50</v>
      </c>
      <c r="E48" s="125">
        <v>89000</v>
      </c>
      <c r="F48" s="126">
        <v>573.07100000000003</v>
      </c>
      <c r="G48" s="127">
        <v>5.4157520000000002E-3</v>
      </c>
      <c r="H48" s="164"/>
    </row>
    <row r="49" spans="1:8" x14ac:dyDescent="0.2">
      <c r="A49" s="123">
        <v>43</v>
      </c>
      <c r="B49" s="124" t="s">
        <v>187</v>
      </c>
      <c r="C49" s="124" t="s">
        <v>188</v>
      </c>
      <c r="D49" s="124" t="s">
        <v>182</v>
      </c>
      <c r="E49" s="125">
        <v>225000</v>
      </c>
      <c r="F49" s="126">
        <v>562.95000000000005</v>
      </c>
      <c r="G49" s="127">
        <v>5.320104E-3</v>
      </c>
      <c r="H49" s="164"/>
    </row>
    <row r="50" spans="1:8" x14ac:dyDescent="0.2">
      <c r="A50" s="123">
        <v>44</v>
      </c>
      <c r="B50" s="124" t="s">
        <v>326</v>
      </c>
      <c r="C50" s="124" t="s">
        <v>327</v>
      </c>
      <c r="D50" s="124" t="s">
        <v>200</v>
      </c>
      <c r="E50" s="125">
        <v>14000</v>
      </c>
      <c r="F50" s="126">
        <v>550.26300000000003</v>
      </c>
      <c r="G50" s="127">
        <v>5.2002070000000001E-3</v>
      </c>
      <c r="H50" s="164"/>
    </row>
    <row r="51" spans="1:8" ht="25.5" x14ac:dyDescent="0.2">
      <c r="A51" s="123">
        <v>45</v>
      </c>
      <c r="B51" s="124" t="s">
        <v>18</v>
      </c>
      <c r="C51" s="124" t="s">
        <v>19</v>
      </c>
      <c r="D51" s="124" t="s">
        <v>925</v>
      </c>
      <c r="E51" s="125">
        <v>47500</v>
      </c>
      <c r="F51" s="126">
        <v>519.27</v>
      </c>
      <c r="G51" s="127">
        <v>4.9073099999999998E-3</v>
      </c>
      <c r="H51" s="164"/>
    </row>
    <row r="52" spans="1:8" x14ac:dyDescent="0.2">
      <c r="A52" s="123">
        <v>46</v>
      </c>
      <c r="B52" s="124" t="s">
        <v>355</v>
      </c>
      <c r="C52" s="124" t="s">
        <v>356</v>
      </c>
      <c r="D52" s="124" t="s">
        <v>22</v>
      </c>
      <c r="E52" s="125">
        <v>640000</v>
      </c>
      <c r="F52" s="126">
        <v>513.91999999999996</v>
      </c>
      <c r="G52" s="127">
        <v>4.8567510000000003E-3</v>
      </c>
      <c r="H52" s="164"/>
    </row>
    <row r="53" spans="1:8" x14ac:dyDescent="0.2">
      <c r="A53" s="123">
        <v>47</v>
      </c>
      <c r="B53" s="124" t="s">
        <v>359</v>
      </c>
      <c r="C53" s="124" t="s">
        <v>360</v>
      </c>
      <c r="D53" s="124" t="s">
        <v>161</v>
      </c>
      <c r="E53" s="125">
        <v>36000</v>
      </c>
      <c r="F53" s="126">
        <v>500.43599999999998</v>
      </c>
      <c r="G53" s="127">
        <v>4.7293220000000002E-3</v>
      </c>
      <c r="H53" s="164"/>
    </row>
    <row r="54" spans="1:8" x14ac:dyDescent="0.2">
      <c r="A54" s="123">
        <v>48</v>
      </c>
      <c r="B54" s="124" t="s">
        <v>423</v>
      </c>
      <c r="C54" s="124" t="s">
        <v>424</v>
      </c>
      <c r="D54" s="124" t="s">
        <v>200</v>
      </c>
      <c r="E54" s="125">
        <v>10200</v>
      </c>
      <c r="F54" s="126">
        <v>500.42219999999998</v>
      </c>
      <c r="G54" s="127">
        <v>4.7291909999999998E-3</v>
      </c>
      <c r="H54" s="164"/>
    </row>
    <row r="55" spans="1:8" ht="25.5" x14ac:dyDescent="0.2">
      <c r="A55" s="123">
        <v>49</v>
      </c>
      <c r="B55" s="124" t="s">
        <v>393</v>
      </c>
      <c r="C55" s="124" t="s">
        <v>394</v>
      </c>
      <c r="D55" s="124" t="s">
        <v>67</v>
      </c>
      <c r="E55" s="125">
        <v>65000</v>
      </c>
      <c r="F55" s="126">
        <v>491.5625</v>
      </c>
      <c r="G55" s="127">
        <v>4.6454629999999998E-3</v>
      </c>
      <c r="H55" s="164"/>
    </row>
    <row r="56" spans="1:8" x14ac:dyDescent="0.2">
      <c r="A56" s="123">
        <v>50</v>
      </c>
      <c r="B56" s="124" t="s">
        <v>569</v>
      </c>
      <c r="C56" s="124" t="s">
        <v>570</v>
      </c>
      <c r="D56" s="124" t="s">
        <v>88</v>
      </c>
      <c r="E56" s="125">
        <v>12500</v>
      </c>
      <c r="F56" s="126">
        <v>478.7</v>
      </c>
      <c r="G56" s="127">
        <v>4.5239080000000001E-3</v>
      </c>
      <c r="H56" s="164"/>
    </row>
    <row r="57" spans="1:8" x14ac:dyDescent="0.2">
      <c r="A57" s="123">
        <v>51</v>
      </c>
      <c r="B57" s="124" t="s">
        <v>332</v>
      </c>
      <c r="C57" s="124" t="s">
        <v>333</v>
      </c>
      <c r="D57" s="124" t="s">
        <v>59</v>
      </c>
      <c r="E57" s="125">
        <v>100000</v>
      </c>
      <c r="F57" s="126">
        <v>431.75</v>
      </c>
      <c r="G57" s="127">
        <v>4.0802110000000003E-3</v>
      </c>
      <c r="H57" s="164"/>
    </row>
    <row r="58" spans="1:8" x14ac:dyDescent="0.2">
      <c r="A58" s="123">
        <v>52</v>
      </c>
      <c r="B58" s="124" t="s">
        <v>561</v>
      </c>
      <c r="C58" s="124" t="s">
        <v>562</v>
      </c>
      <c r="D58" s="124" t="s">
        <v>62</v>
      </c>
      <c r="E58" s="125">
        <v>30000</v>
      </c>
      <c r="F58" s="126">
        <v>407.52</v>
      </c>
      <c r="G58" s="127">
        <v>3.8512279999999999E-3</v>
      </c>
      <c r="H58" s="164"/>
    </row>
    <row r="59" spans="1:8" x14ac:dyDescent="0.2">
      <c r="A59" s="123">
        <v>53</v>
      </c>
      <c r="B59" s="124" t="s">
        <v>413</v>
      </c>
      <c r="C59" s="124" t="s">
        <v>414</v>
      </c>
      <c r="D59" s="124" t="s">
        <v>200</v>
      </c>
      <c r="E59" s="125">
        <v>52000</v>
      </c>
      <c r="F59" s="126">
        <v>402.45400000000001</v>
      </c>
      <c r="G59" s="127">
        <v>3.8033519999999999E-3</v>
      </c>
      <c r="H59" s="164"/>
    </row>
    <row r="60" spans="1:8" x14ac:dyDescent="0.2">
      <c r="A60" s="123">
        <v>54</v>
      </c>
      <c r="B60" s="124" t="s">
        <v>425</v>
      </c>
      <c r="C60" s="124" t="s">
        <v>426</v>
      </c>
      <c r="D60" s="124" t="s">
        <v>427</v>
      </c>
      <c r="E60" s="125">
        <v>90000</v>
      </c>
      <c r="F60" s="126">
        <v>400.32</v>
      </c>
      <c r="G60" s="127">
        <v>3.7831850000000001E-3</v>
      </c>
      <c r="H60" s="164"/>
    </row>
    <row r="61" spans="1:8" x14ac:dyDescent="0.2">
      <c r="A61" s="123">
        <v>55</v>
      </c>
      <c r="B61" s="124" t="s">
        <v>672</v>
      </c>
      <c r="C61" s="124" t="s">
        <v>673</v>
      </c>
      <c r="D61" s="124" t="s">
        <v>22</v>
      </c>
      <c r="E61" s="125">
        <v>992000</v>
      </c>
      <c r="F61" s="126">
        <v>391.84</v>
      </c>
      <c r="G61" s="127">
        <v>3.7030460000000002E-3</v>
      </c>
      <c r="H61" s="164"/>
    </row>
    <row r="62" spans="1:8" ht="25.5" x14ac:dyDescent="0.2">
      <c r="A62" s="123">
        <v>56</v>
      </c>
      <c r="B62" s="124" t="s">
        <v>428</v>
      </c>
      <c r="C62" s="124" t="s">
        <v>429</v>
      </c>
      <c r="D62" s="124" t="s">
        <v>67</v>
      </c>
      <c r="E62" s="125">
        <v>186400</v>
      </c>
      <c r="F62" s="126">
        <v>382.02679999999998</v>
      </c>
      <c r="G62" s="127">
        <v>3.6103070000000001E-3</v>
      </c>
      <c r="H62" s="164"/>
    </row>
    <row r="63" spans="1:8" x14ac:dyDescent="0.2">
      <c r="A63" s="123">
        <v>57</v>
      </c>
      <c r="B63" s="124" t="s">
        <v>242</v>
      </c>
      <c r="C63" s="124" t="s">
        <v>243</v>
      </c>
      <c r="D63" s="124" t="s">
        <v>59</v>
      </c>
      <c r="E63" s="125">
        <v>28300</v>
      </c>
      <c r="F63" s="126">
        <v>373.82884999999999</v>
      </c>
      <c r="G63" s="127">
        <v>3.532833E-3</v>
      </c>
      <c r="H63" s="164"/>
    </row>
    <row r="64" spans="1:8" x14ac:dyDescent="0.2">
      <c r="A64" s="123">
        <v>58</v>
      </c>
      <c r="B64" s="124" t="s">
        <v>367</v>
      </c>
      <c r="C64" s="124" t="s">
        <v>368</v>
      </c>
      <c r="D64" s="124" t="s">
        <v>179</v>
      </c>
      <c r="E64" s="125">
        <v>10000</v>
      </c>
      <c r="F64" s="126">
        <v>370.62</v>
      </c>
      <c r="G64" s="127">
        <v>3.5025080000000001E-3</v>
      </c>
      <c r="H64" s="164"/>
    </row>
    <row r="65" spans="1:8" x14ac:dyDescent="0.2">
      <c r="A65" s="123">
        <v>59</v>
      </c>
      <c r="B65" s="124" t="s">
        <v>365</v>
      </c>
      <c r="C65" s="124" t="s">
        <v>366</v>
      </c>
      <c r="D65" s="124" t="s">
        <v>250</v>
      </c>
      <c r="E65" s="125">
        <v>40000</v>
      </c>
      <c r="F65" s="126">
        <v>367.2</v>
      </c>
      <c r="G65" s="127">
        <v>3.4701879999999999E-3</v>
      </c>
      <c r="H65" s="164"/>
    </row>
    <row r="66" spans="1:8" x14ac:dyDescent="0.2">
      <c r="A66" s="123">
        <v>60</v>
      </c>
      <c r="B66" s="124" t="s">
        <v>373</v>
      </c>
      <c r="C66" s="124" t="s">
        <v>374</v>
      </c>
      <c r="D66" s="124" t="s">
        <v>62</v>
      </c>
      <c r="E66" s="125">
        <v>15400</v>
      </c>
      <c r="F66" s="126">
        <v>339.2543</v>
      </c>
      <c r="G66" s="127">
        <v>3.20609E-3</v>
      </c>
      <c r="H66" s="164"/>
    </row>
    <row r="67" spans="1:8" x14ac:dyDescent="0.2">
      <c r="A67" s="123">
        <v>61</v>
      </c>
      <c r="B67" s="124" t="s">
        <v>446</v>
      </c>
      <c r="C67" s="124" t="s">
        <v>447</v>
      </c>
      <c r="D67" s="124" t="s">
        <v>200</v>
      </c>
      <c r="E67" s="125">
        <v>35500</v>
      </c>
      <c r="F67" s="126">
        <v>326.61775</v>
      </c>
      <c r="G67" s="127">
        <v>3.0866689999999998E-3</v>
      </c>
      <c r="H67" s="164"/>
    </row>
    <row r="68" spans="1:8" x14ac:dyDescent="0.2">
      <c r="A68" s="123">
        <v>62</v>
      </c>
      <c r="B68" s="124" t="s">
        <v>430</v>
      </c>
      <c r="C68" s="124" t="s">
        <v>431</v>
      </c>
      <c r="D68" s="124" t="s">
        <v>161</v>
      </c>
      <c r="E68" s="125">
        <v>22500</v>
      </c>
      <c r="F68" s="126">
        <v>317.54250000000002</v>
      </c>
      <c r="G68" s="127">
        <v>3.000904E-3</v>
      </c>
      <c r="H68" s="164"/>
    </row>
    <row r="69" spans="1:8" x14ac:dyDescent="0.2">
      <c r="A69" s="123">
        <v>63</v>
      </c>
      <c r="B69" s="124" t="s">
        <v>267</v>
      </c>
      <c r="C69" s="124" t="s">
        <v>268</v>
      </c>
      <c r="D69" s="124" t="s">
        <v>195</v>
      </c>
      <c r="E69" s="125">
        <v>41000</v>
      </c>
      <c r="F69" s="126">
        <v>304.03550000000001</v>
      </c>
      <c r="G69" s="127">
        <v>2.8732580000000001E-3</v>
      </c>
      <c r="H69" s="164"/>
    </row>
    <row r="70" spans="1:8" ht="25.5" x14ac:dyDescent="0.2">
      <c r="A70" s="123">
        <v>64</v>
      </c>
      <c r="B70" s="124" t="s">
        <v>438</v>
      </c>
      <c r="C70" s="124" t="s">
        <v>439</v>
      </c>
      <c r="D70" s="124" t="s">
        <v>932</v>
      </c>
      <c r="E70" s="125">
        <v>19000</v>
      </c>
      <c r="F70" s="126">
        <v>280.39249999999998</v>
      </c>
      <c r="G70" s="127">
        <v>2.649822E-3</v>
      </c>
      <c r="H70" s="164"/>
    </row>
    <row r="71" spans="1:8" x14ac:dyDescent="0.2">
      <c r="A71" s="123">
        <v>65</v>
      </c>
      <c r="B71" s="124" t="s">
        <v>501</v>
      </c>
      <c r="C71" s="124" t="s">
        <v>502</v>
      </c>
      <c r="D71" s="124" t="s">
        <v>88</v>
      </c>
      <c r="E71" s="125">
        <v>90000</v>
      </c>
      <c r="F71" s="126">
        <v>264.55500000000001</v>
      </c>
      <c r="G71" s="127">
        <v>2.5001509999999999E-3</v>
      </c>
      <c r="H71" s="164"/>
    </row>
    <row r="72" spans="1:8" ht="25.5" x14ac:dyDescent="0.2">
      <c r="A72" s="123">
        <v>66</v>
      </c>
      <c r="B72" s="124" t="s">
        <v>95</v>
      </c>
      <c r="C72" s="124" t="s">
        <v>96</v>
      </c>
      <c r="D72" s="124" t="s">
        <v>50</v>
      </c>
      <c r="E72" s="125">
        <v>30000</v>
      </c>
      <c r="F72" s="126">
        <v>202.35</v>
      </c>
      <c r="G72" s="127">
        <v>1.912289E-3</v>
      </c>
      <c r="H72" s="164"/>
    </row>
    <row r="73" spans="1:8" x14ac:dyDescent="0.2">
      <c r="A73" s="123">
        <v>67</v>
      </c>
      <c r="B73" s="124" t="s">
        <v>597</v>
      </c>
      <c r="C73" s="124" t="s">
        <v>598</v>
      </c>
      <c r="D73" s="124" t="s">
        <v>427</v>
      </c>
      <c r="E73" s="125">
        <v>52700</v>
      </c>
      <c r="F73" s="126">
        <v>159.07495</v>
      </c>
      <c r="G73" s="127">
        <v>1.5033220000000001E-3</v>
      </c>
      <c r="H73" s="164"/>
    </row>
    <row r="74" spans="1:8" x14ac:dyDescent="0.2">
      <c r="A74" s="123">
        <v>68</v>
      </c>
      <c r="B74" s="124" t="s">
        <v>74</v>
      </c>
      <c r="C74" s="124" t="s">
        <v>1001</v>
      </c>
      <c r="D74" s="124" t="s">
        <v>76</v>
      </c>
      <c r="E74" s="125">
        <v>1700</v>
      </c>
      <c r="F74" s="126">
        <v>2.37235</v>
      </c>
      <c r="G74" s="127" t="s">
        <v>109</v>
      </c>
      <c r="H74" s="164"/>
    </row>
    <row r="75" spans="1:8" x14ac:dyDescent="0.2">
      <c r="A75" s="121" t="s">
        <v>9</v>
      </c>
      <c r="B75" s="121" t="s">
        <v>9</v>
      </c>
      <c r="C75" s="122" t="s">
        <v>110</v>
      </c>
      <c r="D75" s="121" t="s">
        <v>9</v>
      </c>
      <c r="E75" s="121" t="s">
        <v>9</v>
      </c>
      <c r="F75" s="129">
        <v>76175.562801500011</v>
      </c>
      <c r="G75" s="167">
        <v>0.71988972436504206</v>
      </c>
      <c r="H75" s="164"/>
    </row>
    <row r="76" spans="1:8" x14ac:dyDescent="0.2">
      <c r="A76" s="121" t="s">
        <v>9</v>
      </c>
      <c r="B76" s="121" t="s">
        <v>9</v>
      </c>
      <c r="C76" s="131" t="s">
        <v>9</v>
      </c>
      <c r="D76" s="121" t="s">
        <v>9</v>
      </c>
      <c r="E76" s="121" t="s">
        <v>9</v>
      </c>
      <c r="F76" s="129"/>
      <c r="G76" s="130"/>
      <c r="H76" s="164"/>
    </row>
    <row r="77" spans="1:8" x14ac:dyDescent="0.2">
      <c r="A77" s="121" t="s">
        <v>9</v>
      </c>
      <c r="B77" s="121" t="s">
        <v>9</v>
      </c>
      <c r="C77" s="122" t="s">
        <v>111</v>
      </c>
      <c r="D77" s="121" t="s">
        <v>9</v>
      </c>
      <c r="E77" s="121" t="s">
        <v>9</v>
      </c>
      <c r="F77" s="121" t="s">
        <v>9</v>
      </c>
      <c r="G77" s="121" t="s">
        <v>9</v>
      </c>
      <c r="H77" s="164"/>
    </row>
    <row r="78" spans="1:8" x14ac:dyDescent="0.2">
      <c r="A78" s="121" t="s">
        <v>9</v>
      </c>
      <c r="B78" s="121" t="s">
        <v>9</v>
      </c>
      <c r="C78" s="122" t="s">
        <v>110</v>
      </c>
      <c r="D78" s="121" t="s">
        <v>9</v>
      </c>
      <c r="E78" s="121" t="s">
        <v>9</v>
      </c>
      <c r="F78" s="133">
        <v>0</v>
      </c>
      <c r="G78" s="134">
        <v>0</v>
      </c>
      <c r="H78" s="164"/>
    </row>
    <row r="79" spans="1:8" x14ac:dyDescent="0.2">
      <c r="A79" s="121" t="s">
        <v>9</v>
      </c>
      <c r="B79" s="121" t="s">
        <v>9</v>
      </c>
      <c r="C79" s="131" t="s">
        <v>9</v>
      </c>
      <c r="D79" s="121" t="s">
        <v>9</v>
      </c>
      <c r="E79" s="121" t="s">
        <v>9</v>
      </c>
      <c r="F79" s="132" t="s">
        <v>9</v>
      </c>
      <c r="G79" s="132" t="s">
        <v>9</v>
      </c>
      <c r="H79" s="164"/>
    </row>
    <row r="80" spans="1:8" x14ac:dyDescent="0.2">
      <c r="A80" s="121" t="s">
        <v>9</v>
      </c>
      <c r="B80" s="121" t="s">
        <v>9</v>
      </c>
      <c r="C80" s="122" t="s">
        <v>112</v>
      </c>
      <c r="D80" s="121" t="s">
        <v>9</v>
      </c>
      <c r="E80" s="121" t="s">
        <v>9</v>
      </c>
      <c r="F80" s="121" t="s">
        <v>9</v>
      </c>
      <c r="G80" s="121" t="s">
        <v>9</v>
      </c>
      <c r="H80" s="164"/>
    </row>
    <row r="81" spans="1:8" x14ac:dyDescent="0.2">
      <c r="A81" s="121" t="s">
        <v>9</v>
      </c>
      <c r="B81" s="121" t="s">
        <v>9</v>
      </c>
      <c r="C81" s="122" t="s">
        <v>110</v>
      </c>
      <c r="D81" s="121" t="s">
        <v>9</v>
      </c>
      <c r="E81" s="121" t="s">
        <v>9</v>
      </c>
      <c r="F81" s="133">
        <v>0</v>
      </c>
      <c r="G81" s="134">
        <v>0</v>
      </c>
      <c r="H81" s="164"/>
    </row>
    <row r="82" spans="1:8" x14ac:dyDescent="0.2">
      <c r="A82" s="121" t="s">
        <v>9</v>
      </c>
      <c r="B82" s="121" t="s">
        <v>9</v>
      </c>
      <c r="C82" s="131" t="s">
        <v>9</v>
      </c>
      <c r="D82" s="121" t="s">
        <v>9</v>
      </c>
      <c r="E82" s="121" t="s">
        <v>9</v>
      </c>
      <c r="F82" s="132" t="s">
        <v>9</v>
      </c>
      <c r="G82" s="132" t="s">
        <v>9</v>
      </c>
      <c r="H82" s="164"/>
    </row>
    <row r="83" spans="1:8" x14ac:dyDescent="0.2">
      <c r="A83" s="121" t="s">
        <v>9</v>
      </c>
      <c r="B83" s="121" t="s">
        <v>9</v>
      </c>
      <c r="C83" s="122" t="s">
        <v>113</v>
      </c>
      <c r="D83" s="121" t="s">
        <v>9</v>
      </c>
      <c r="E83" s="121" t="s">
        <v>9</v>
      </c>
      <c r="F83" s="121" t="s">
        <v>9</v>
      </c>
      <c r="G83" s="121" t="s">
        <v>9</v>
      </c>
      <c r="H83" s="164"/>
    </row>
    <row r="84" spans="1:8" x14ac:dyDescent="0.2">
      <c r="A84" s="121" t="s">
        <v>9</v>
      </c>
      <c r="B84" s="121" t="s">
        <v>9</v>
      </c>
      <c r="C84" s="122" t="s">
        <v>110</v>
      </c>
      <c r="D84" s="121" t="s">
        <v>9</v>
      </c>
      <c r="E84" s="121" t="s">
        <v>9</v>
      </c>
      <c r="F84" s="129">
        <v>0</v>
      </c>
      <c r="G84" s="130">
        <v>0</v>
      </c>
      <c r="H84" s="164"/>
    </row>
    <row r="85" spans="1:8" x14ac:dyDescent="0.2">
      <c r="A85" s="121" t="s">
        <v>9</v>
      </c>
      <c r="B85" s="121" t="s">
        <v>9</v>
      </c>
      <c r="C85" s="131" t="s">
        <v>9</v>
      </c>
      <c r="D85" s="121" t="s">
        <v>9</v>
      </c>
      <c r="E85" s="121" t="s">
        <v>9</v>
      </c>
      <c r="F85" s="132" t="s">
        <v>9</v>
      </c>
      <c r="G85" s="132" t="s">
        <v>9</v>
      </c>
      <c r="H85" s="164"/>
    </row>
    <row r="86" spans="1:8" x14ac:dyDescent="0.2">
      <c r="A86" s="121" t="s">
        <v>9</v>
      </c>
      <c r="B86" s="121" t="s">
        <v>9</v>
      </c>
      <c r="C86" s="122" t="s">
        <v>114</v>
      </c>
      <c r="D86" s="121" t="s">
        <v>9</v>
      </c>
      <c r="E86" s="121" t="s">
        <v>9</v>
      </c>
      <c r="F86" s="132" t="s">
        <v>9</v>
      </c>
      <c r="G86" s="132" t="s">
        <v>9</v>
      </c>
      <c r="H86" s="164"/>
    </row>
    <row r="87" spans="1:8" s="152" customFormat="1" ht="25.5" x14ac:dyDescent="0.2">
      <c r="A87" s="159">
        <v>1</v>
      </c>
      <c r="B87" s="160" t="s">
        <v>990</v>
      </c>
      <c r="C87" s="160" t="s">
        <v>991</v>
      </c>
      <c r="D87" s="160" t="s">
        <v>161</v>
      </c>
      <c r="E87" s="161">
        <v>14400</v>
      </c>
      <c r="F87" s="162">
        <v>97.92</v>
      </c>
      <c r="G87" s="163">
        <v>9.2537999999999995E-4</v>
      </c>
      <c r="H87" s="164"/>
    </row>
    <row r="88" spans="1:8" x14ac:dyDescent="0.2">
      <c r="A88" s="121" t="s">
        <v>9</v>
      </c>
      <c r="B88" s="121" t="s">
        <v>9</v>
      </c>
      <c r="C88" s="122" t="s">
        <v>110</v>
      </c>
      <c r="D88" s="121" t="s">
        <v>9</v>
      </c>
      <c r="E88" s="121" t="s">
        <v>9</v>
      </c>
      <c r="F88" s="133">
        <v>97.92</v>
      </c>
      <c r="G88" s="130">
        <v>9.2537999999999995E-4</v>
      </c>
      <c r="H88" s="164"/>
    </row>
    <row r="89" spans="1:8" x14ac:dyDescent="0.2">
      <c r="A89" s="121" t="s">
        <v>9</v>
      </c>
      <c r="B89" s="121" t="s">
        <v>9</v>
      </c>
      <c r="C89" s="131" t="s">
        <v>9</v>
      </c>
      <c r="D89" s="121" t="s">
        <v>9</v>
      </c>
      <c r="E89" s="121" t="s">
        <v>9</v>
      </c>
      <c r="F89" s="132" t="s">
        <v>9</v>
      </c>
      <c r="G89" s="132" t="s">
        <v>9</v>
      </c>
      <c r="H89" s="164"/>
    </row>
    <row r="90" spans="1:8" x14ac:dyDescent="0.2">
      <c r="A90" s="121" t="s">
        <v>9</v>
      </c>
      <c r="B90" s="121" t="s">
        <v>9</v>
      </c>
      <c r="C90" s="122" t="s">
        <v>115</v>
      </c>
      <c r="D90" s="121" t="s">
        <v>9</v>
      </c>
      <c r="E90" s="121" t="s">
        <v>9</v>
      </c>
      <c r="F90" s="132" t="s">
        <v>9</v>
      </c>
      <c r="G90" s="132" t="s">
        <v>9</v>
      </c>
      <c r="H90" s="164"/>
    </row>
    <row r="91" spans="1:8" x14ac:dyDescent="0.2">
      <c r="A91" s="123">
        <v>1</v>
      </c>
      <c r="B91" s="124"/>
      <c r="C91" s="6" t="s">
        <v>950</v>
      </c>
      <c r="D91" s="124" t="s">
        <v>696</v>
      </c>
      <c r="E91" s="125">
        <v>-52700</v>
      </c>
      <c r="F91" s="126">
        <v>-159.2594</v>
      </c>
      <c r="G91" s="127">
        <v>-1.5050650000000001E-3</v>
      </c>
      <c r="H91" s="164"/>
    </row>
    <row r="92" spans="1:8" x14ac:dyDescent="0.2">
      <c r="A92" s="123">
        <v>2</v>
      </c>
      <c r="B92" s="124"/>
      <c r="C92" s="6" t="s">
        <v>951</v>
      </c>
      <c r="D92" s="124" t="s">
        <v>696</v>
      </c>
      <c r="E92" s="125">
        <v>-30000</v>
      </c>
      <c r="F92" s="126">
        <v>-203.26499999999999</v>
      </c>
      <c r="G92" s="127">
        <v>-1.920936E-3</v>
      </c>
      <c r="H92" s="164"/>
    </row>
    <row r="93" spans="1:8" x14ac:dyDescent="0.2">
      <c r="A93" s="123">
        <v>3</v>
      </c>
      <c r="B93" s="124"/>
      <c r="C93" s="6" t="s">
        <v>961</v>
      </c>
      <c r="D93" s="124" t="s">
        <v>696</v>
      </c>
      <c r="E93" s="125">
        <v>-992000</v>
      </c>
      <c r="F93" s="126">
        <v>-393.32799999999997</v>
      </c>
      <c r="G93" s="127">
        <v>-3.7171079999999998E-3</v>
      </c>
      <c r="H93" s="164"/>
    </row>
    <row r="94" spans="1:8" x14ac:dyDescent="0.2">
      <c r="A94" s="123">
        <v>4</v>
      </c>
      <c r="B94" s="124"/>
      <c r="C94" s="6" t="s">
        <v>957</v>
      </c>
      <c r="D94" s="124" t="s">
        <v>696</v>
      </c>
      <c r="E94" s="125">
        <v>-68400</v>
      </c>
      <c r="F94" s="126">
        <v>-487.00799999999998</v>
      </c>
      <c r="G94" s="127">
        <v>-4.6024220000000001E-3</v>
      </c>
      <c r="H94" s="164"/>
    </row>
    <row r="95" spans="1:8" x14ac:dyDescent="0.2">
      <c r="A95" s="123">
        <v>5</v>
      </c>
      <c r="B95" s="124"/>
      <c r="C95" s="6" t="s">
        <v>962</v>
      </c>
      <c r="D95" s="124" t="s">
        <v>696</v>
      </c>
      <c r="E95" s="125">
        <v>-20000</v>
      </c>
      <c r="F95" s="126">
        <v>-946.11</v>
      </c>
      <c r="G95" s="127">
        <v>-8.9411200000000003E-3</v>
      </c>
      <c r="H95" s="164"/>
    </row>
    <row r="96" spans="1:8" ht="25.5" x14ac:dyDescent="0.2">
      <c r="A96" s="123">
        <v>6</v>
      </c>
      <c r="B96" s="124"/>
      <c r="C96" s="6" t="s">
        <v>952</v>
      </c>
      <c r="D96" s="124" t="s">
        <v>696</v>
      </c>
      <c r="E96" s="125">
        <v>-143000</v>
      </c>
      <c r="F96" s="126">
        <v>-953.59550000000002</v>
      </c>
      <c r="G96" s="127">
        <v>-9.0118609999999995E-3</v>
      </c>
      <c r="H96" s="164"/>
    </row>
    <row r="97" spans="1:8" x14ac:dyDescent="0.2">
      <c r="A97" s="123">
        <v>7</v>
      </c>
      <c r="B97" s="124"/>
      <c r="C97" s="6" t="s">
        <v>963</v>
      </c>
      <c r="D97" s="124" t="s">
        <v>696</v>
      </c>
      <c r="E97" s="125">
        <v>-31200</v>
      </c>
      <c r="F97" s="126">
        <v>-992.64359999999999</v>
      </c>
      <c r="G97" s="127">
        <v>-9.3808810000000006E-3</v>
      </c>
      <c r="H97" s="164"/>
    </row>
    <row r="98" spans="1:8" x14ac:dyDescent="0.2">
      <c r="A98" s="123">
        <v>8</v>
      </c>
      <c r="B98" s="124"/>
      <c r="C98" s="6" t="s">
        <v>964</v>
      </c>
      <c r="D98" s="124" t="s">
        <v>696</v>
      </c>
      <c r="E98" s="125">
        <v>-53500</v>
      </c>
      <c r="F98" s="126">
        <v>-1224.829</v>
      </c>
      <c r="G98" s="127">
        <v>-1.1575126999999999E-2</v>
      </c>
      <c r="H98" s="164"/>
    </row>
    <row r="99" spans="1:8" x14ac:dyDescent="0.2">
      <c r="A99" s="123">
        <v>9</v>
      </c>
      <c r="B99" s="124"/>
      <c r="C99" s="6" t="s">
        <v>944</v>
      </c>
      <c r="D99" s="124" t="s">
        <v>696</v>
      </c>
      <c r="E99" s="125">
        <v>-102000</v>
      </c>
      <c r="F99" s="126">
        <v>-1235.9849999999999</v>
      </c>
      <c r="G99" s="127">
        <v>-1.1680556E-2</v>
      </c>
      <c r="H99" s="164"/>
    </row>
    <row r="100" spans="1:8" x14ac:dyDescent="0.2">
      <c r="A100" s="123">
        <v>10</v>
      </c>
      <c r="B100" s="124"/>
      <c r="C100" s="6" t="s">
        <v>965</v>
      </c>
      <c r="D100" s="124" t="s">
        <v>696</v>
      </c>
      <c r="E100" s="125">
        <v>-874000</v>
      </c>
      <c r="F100" s="126">
        <v>-1245.8869999999999</v>
      </c>
      <c r="G100" s="127">
        <v>-1.1774134E-2</v>
      </c>
      <c r="H100" s="164"/>
    </row>
    <row r="101" spans="1:8" ht="25.5" x14ac:dyDescent="0.2">
      <c r="A101" s="123">
        <v>11</v>
      </c>
      <c r="B101" s="124"/>
      <c r="C101" s="6" t="s">
        <v>945</v>
      </c>
      <c r="D101" s="124" t="s">
        <v>696</v>
      </c>
      <c r="E101" s="125">
        <v>-51000</v>
      </c>
      <c r="F101" s="126">
        <v>-1247.001</v>
      </c>
      <c r="G101" s="127">
        <v>-1.1784661E-2</v>
      </c>
      <c r="H101" s="164"/>
    </row>
    <row r="102" spans="1:8" x14ac:dyDescent="0.2">
      <c r="A102" s="123">
        <v>12</v>
      </c>
      <c r="B102" s="124"/>
      <c r="C102" s="6" t="s">
        <v>940</v>
      </c>
      <c r="D102" s="124" t="s">
        <v>696</v>
      </c>
      <c r="E102" s="125">
        <v>-246183</v>
      </c>
      <c r="F102" s="126">
        <v>-1386.3795645</v>
      </c>
      <c r="G102" s="127">
        <v>-1.3101845000000001E-2</v>
      </c>
      <c r="H102" s="164"/>
    </row>
    <row r="103" spans="1:8" x14ac:dyDescent="0.2">
      <c r="A103" s="123">
        <v>13</v>
      </c>
      <c r="B103" s="124"/>
      <c r="C103" s="6" t="s">
        <v>966</v>
      </c>
      <c r="D103" s="124" t="s">
        <v>696</v>
      </c>
      <c r="E103" s="125">
        <v>-280000</v>
      </c>
      <c r="F103" s="126">
        <v>-1538.18</v>
      </c>
      <c r="G103" s="127">
        <v>-1.453642E-2</v>
      </c>
      <c r="H103" s="164"/>
    </row>
    <row r="104" spans="1:8" x14ac:dyDescent="0.2">
      <c r="A104" s="123">
        <v>14</v>
      </c>
      <c r="B104" s="124"/>
      <c r="C104" s="6" t="s">
        <v>938</v>
      </c>
      <c r="D104" s="124" t="s">
        <v>696</v>
      </c>
      <c r="E104" s="125">
        <v>-90000</v>
      </c>
      <c r="F104" s="126">
        <v>-1837.17</v>
      </c>
      <c r="G104" s="127">
        <v>-1.7361996000000001E-2</v>
      </c>
      <c r="H104" s="164"/>
    </row>
    <row r="105" spans="1:8" x14ac:dyDescent="0.2">
      <c r="A105" s="123">
        <v>15</v>
      </c>
      <c r="B105" s="124"/>
      <c r="C105" s="6" t="s">
        <v>941</v>
      </c>
      <c r="D105" s="124" t="s">
        <v>696</v>
      </c>
      <c r="E105" s="125">
        <v>-300000</v>
      </c>
      <c r="F105" s="126">
        <v>-1928.1</v>
      </c>
      <c r="G105" s="127">
        <v>-1.8221320999999999E-2</v>
      </c>
      <c r="H105" s="164"/>
    </row>
    <row r="106" spans="1:8" x14ac:dyDescent="0.2">
      <c r="A106" s="123">
        <v>16</v>
      </c>
      <c r="B106" s="124"/>
      <c r="C106" s="6" t="s">
        <v>959</v>
      </c>
      <c r="D106" s="124" t="s">
        <v>696</v>
      </c>
      <c r="E106" s="125">
        <v>-450000</v>
      </c>
      <c r="F106" s="126">
        <v>-1946.0250000000001</v>
      </c>
      <c r="G106" s="127">
        <v>-1.8390719E-2</v>
      </c>
      <c r="H106" s="164"/>
    </row>
    <row r="107" spans="1:8" x14ac:dyDescent="0.2">
      <c r="A107" s="123">
        <v>17</v>
      </c>
      <c r="B107" s="124"/>
      <c r="C107" s="6" t="s">
        <v>943</v>
      </c>
      <c r="D107" s="124" t="s">
        <v>696</v>
      </c>
      <c r="E107" s="125">
        <v>-484000</v>
      </c>
      <c r="F107" s="126">
        <v>-3308.866</v>
      </c>
      <c r="G107" s="127">
        <v>-3.1270115000000001E-2</v>
      </c>
      <c r="H107" s="164"/>
    </row>
    <row r="108" spans="1:8" x14ac:dyDescent="0.2">
      <c r="A108" s="123">
        <v>18</v>
      </c>
      <c r="B108" s="124"/>
      <c r="C108" s="6" t="s">
        <v>967</v>
      </c>
      <c r="D108" s="124" t="s">
        <v>714</v>
      </c>
      <c r="E108" s="125">
        <v>-27000</v>
      </c>
      <c r="F108" s="126">
        <v>-4259.8575000000001</v>
      </c>
      <c r="G108" s="127">
        <v>-4.0257368000000002E-2</v>
      </c>
      <c r="H108" s="164"/>
    </row>
    <row r="109" spans="1:8" x14ac:dyDescent="0.2">
      <c r="A109" s="121" t="s">
        <v>9</v>
      </c>
      <c r="B109" s="121" t="s">
        <v>9</v>
      </c>
      <c r="C109" s="122" t="s">
        <v>110</v>
      </c>
      <c r="D109" s="121" t="s">
        <v>9</v>
      </c>
      <c r="E109" s="121" t="s">
        <v>9</v>
      </c>
      <c r="F109" s="129">
        <v>-25293.4895645</v>
      </c>
      <c r="G109" s="130">
        <v>-0.23903365500000001</v>
      </c>
      <c r="H109" s="164"/>
    </row>
    <row r="110" spans="1:8" x14ac:dyDescent="0.2">
      <c r="A110" s="121" t="s">
        <v>9</v>
      </c>
      <c r="B110" s="121" t="s">
        <v>9</v>
      </c>
      <c r="C110" s="131" t="s">
        <v>9</v>
      </c>
      <c r="D110" s="121" t="s">
        <v>9</v>
      </c>
      <c r="E110" s="121" t="s">
        <v>9</v>
      </c>
      <c r="F110" s="132" t="s">
        <v>9</v>
      </c>
      <c r="G110" s="132" t="s">
        <v>9</v>
      </c>
      <c r="H110" s="164"/>
    </row>
    <row r="111" spans="1:8" x14ac:dyDescent="0.2">
      <c r="A111" s="121" t="s">
        <v>9</v>
      </c>
      <c r="B111" s="121" t="s">
        <v>9</v>
      </c>
      <c r="C111" s="122" t="s">
        <v>116</v>
      </c>
      <c r="D111" s="121" t="s">
        <v>9</v>
      </c>
      <c r="E111" s="121" t="s">
        <v>9</v>
      </c>
      <c r="F111" s="129">
        <v>76273.482801500009</v>
      </c>
      <c r="G111" s="130">
        <v>0.72079268200000035</v>
      </c>
      <c r="H111" s="164"/>
    </row>
    <row r="112" spans="1:8" x14ac:dyDescent="0.2">
      <c r="A112" s="121" t="s">
        <v>9</v>
      </c>
      <c r="B112" s="121" t="s">
        <v>9</v>
      </c>
      <c r="C112" s="131" t="s">
        <v>9</v>
      </c>
      <c r="D112" s="121" t="s">
        <v>9</v>
      </c>
      <c r="E112" s="121" t="s">
        <v>9</v>
      </c>
      <c r="F112" s="132" t="s">
        <v>9</v>
      </c>
      <c r="G112" s="132" t="s">
        <v>9</v>
      </c>
      <c r="H112" s="164"/>
    </row>
    <row r="113" spans="1:8" x14ac:dyDescent="0.2">
      <c r="A113" s="121" t="s">
        <v>9</v>
      </c>
      <c r="B113" s="121" t="s">
        <v>9</v>
      </c>
      <c r="C113" s="122" t="s">
        <v>117</v>
      </c>
      <c r="D113" s="121" t="s">
        <v>9</v>
      </c>
      <c r="E113" s="121" t="s">
        <v>9</v>
      </c>
      <c r="F113" s="132" t="s">
        <v>9</v>
      </c>
      <c r="G113" s="132" t="s">
        <v>9</v>
      </c>
      <c r="H113" s="164"/>
    </row>
    <row r="114" spans="1:8" ht="25.5" x14ac:dyDescent="0.2">
      <c r="A114" s="121" t="s">
        <v>9</v>
      </c>
      <c r="B114" s="121" t="s">
        <v>9</v>
      </c>
      <c r="C114" s="122" t="s">
        <v>11</v>
      </c>
      <c r="D114" s="121" t="s">
        <v>9</v>
      </c>
      <c r="E114" s="121" t="s">
        <v>9</v>
      </c>
      <c r="F114" s="132" t="s">
        <v>9</v>
      </c>
      <c r="G114" s="132" t="s">
        <v>9</v>
      </c>
      <c r="H114" s="164"/>
    </row>
    <row r="115" spans="1:8" ht="25.5" x14ac:dyDescent="0.2">
      <c r="A115" s="123">
        <v>1</v>
      </c>
      <c r="B115" s="124" t="s">
        <v>846</v>
      </c>
      <c r="C115" s="124" t="s">
        <v>847</v>
      </c>
      <c r="D115" s="124" t="s">
        <v>690</v>
      </c>
      <c r="E115" s="125">
        <v>250</v>
      </c>
      <c r="F115" s="126">
        <v>2581.6275000000001</v>
      </c>
      <c r="G115" s="127">
        <v>2.4397419E-2</v>
      </c>
      <c r="H115" s="171">
        <v>4.1849999999999996</v>
      </c>
    </row>
    <row r="116" spans="1:8" ht="25.5" x14ac:dyDescent="0.2">
      <c r="A116" s="123">
        <v>2</v>
      </c>
      <c r="B116" s="124" t="s">
        <v>848</v>
      </c>
      <c r="C116" s="124" t="s">
        <v>849</v>
      </c>
      <c r="D116" s="124" t="s">
        <v>690</v>
      </c>
      <c r="E116" s="125">
        <v>250</v>
      </c>
      <c r="F116" s="126">
        <v>2508.8474999999999</v>
      </c>
      <c r="G116" s="127">
        <v>2.3709619000000001E-2</v>
      </c>
      <c r="H116" s="171">
        <v>4.6100000000000003</v>
      </c>
    </row>
    <row r="117" spans="1:8" ht="25.5" x14ac:dyDescent="0.2">
      <c r="A117" s="123">
        <v>3</v>
      </c>
      <c r="B117" s="124" t="s">
        <v>850</v>
      </c>
      <c r="C117" s="124" t="s">
        <v>851</v>
      </c>
      <c r="D117" s="124" t="s">
        <v>985</v>
      </c>
      <c r="E117" s="125">
        <v>150</v>
      </c>
      <c r="F117" s="126">
        <v>1548.123</v>
      </c>
      <c r="G117" s="127">
        <v>1.4630384999999999E-2</v>
      </c>
      <c r="H117" s="171">
        <v>4.68</v>
      </c>
    </row>
    <row r="118" spans="1:8" ht="25.5" x14ac:dyDescent="0.2">
      <c r="A118" s="123">
        <v>4</v>
      </c>
      <c r="B118" s="124" t="s">
        <v>852</v>
      </c>
      <c r="C118" s="124" t="s">
        <v>853</v>
      </c>
      <c r="D118" s="124" t="s">
        <v>690</v>
      </c>
      <c r="E118" s="125">
        <v>100</v>
      </c>
      <c r="F118" s="126">
        <v>1038.8130000000001</v>
      </c>
      <c r="G118" s="127">
        <v>9.8172009999999994E-3</v>
      </c>
      <c r="H118" s="171">
        <v>4.4550000000000001</v>
      </c>
    </row>
    <row r="119" spans="1:8" x14ac:dyDescent="0.2">
      <c r="A119" s="123">
        <v>5</v>
      </c>
      <c r="B119" s="124" t="s">
        <v>854</v>
      </c>
      <c r="C119" s="124" t="s">
        <v>855</v>
      </c>
      <c r="D119" s="124" t="s">
        <v>690</v>
      </c>
      <c r="E119" s="125">
        <v>100</v>
      </c>
      <c r="F119" s="126">
        <v>1037.7829999999999</v>
      </c>
      <c r="G119" s="127">
        <v>9.8074670000000003E-3</v>
      </c>
      <c r="H119" s="171">
        <v>4.6849999999999996</v>
      </c>
    </row>
    <row r="120" spans="1:8" ht="25.5" x14ac:dyDescent="0.2">
      <c r="A120" s="123">
        <v>6</v>
      </c>
      <c r="B120" s="124" t="s">
        <v>856</v>
      </c>
      <c r="C120" s="124" t="s">
        <v>857</v>
      </c>
      <c r="D120" s="124" t="s">
        <v>985</v>
      </c>
      <c r="E120" s="125">
        <v>100</v>
      </c>
      <c r="F120" s="126">
        <v>1034.5429999999999</v>
      </c>
      <c r="G120" s="127">
        <v>9.7768479999999994E-3</v>
      </c>
      <c r="H120" s="171">
        <v>4.5449999999999999</v>
      </c>
    </row>
    <row r="121" spans="1:8" ht="25.5" x14ac:dyDescent="0.2">
      <c r="A121" s="123">
        <v>7</v>
      </c>
      <c r="B121" s="124" t="s">
        <v>858</v>
      </c>
      <c r="C121" s="124" t="s">
        <v>859</v>
      </c>
      <c r="D121" s="124" t="s">
        <v>690</v>
      </c>
      <c r="E121" s="125">
        <v>100</v>
      </c>
      <c r="F121" s="126">
        <v>1034.31</v>
      </c>
      <c r="G121" s="127">
        <v>9.7746459999999997E-3</v>
      </c>
      <c r="H121" s="171">
        <v>4.5999999999999996</v>
      </c>
    </row>
    <row r="122" spans="1:8" x14ac:dyDescent="0.2">
      <c r="A122" s="123">
        <v>8</v>
      </c>
      <c r="B122" s="124" t="s">
        <v>860</v>
      </c>
      <c r="C122" s="124" t="s">
        <v>861</v>
      </c>
      <c r="D122" s="124" t="s">
        <v>690</v>
      </c>
      <c r="E122" s="125">
        <v>100</v>
      </c>
      <c r="F122" s="126">
        <v>1017.3630000000001</v>
      </c>
      <c r="G122" s="127">
        <v>9.6144899999999998E-3</v>
      </c>
      <c r="H122" s="171">
        <v>4.8150000000000004</v>
      </c>
    </row>
    <row r="123" spans="1:8" ht="25.5" x14ac:dyDescent="0.2">
      <c r="A123" s="123">
        <v>9</v>
      </c>
      <c r="B123" s="124" t="s">
        <v>862</v>
      </c>
      <c r="C123" s="124" t="s">
        <v>863</v>
      </c>
      <c r="D123" s="124" t="s">
        <v>690</v>
      </c>
      <c r="E123" s="125">
        <v>100</v>
      </c>
      <c r="F123" s="126">
        <v>1006.249</v>
      </c>
      <c r="G123" s="127">
        <v>9.5094580000000001E-3</v>
      </c>
      <c r="H123" s="171">
        <v>4.3499999999999996</v>
      </c>
    </row>
    <row r="124" spans="1:8" ht="25.5" x14ac:dyDescent="0.2">
      <c r="A124" s="123">
        <v>10</v>
      </c>
      <c r="B124" s="124" t="s">
        <v>864</v>
      </c>
      <c r="C124" s="124" t="s">
        <v>865</v>
      </c>
      <c r="D124" s="124" t="s">
        <v>690</v>
      </c>
      <c r="E124" s="125">
        <v>50</v>
      </c>
      <c r="F124" s="126">
        <v>526.12249999999995</v>
      </c>
      <c r="G124" s="127">
        <v>4.972069E-3</v>
      </c>
      <c r="H124" s="171">
        <v>4.4000000000000004</v>
      </c>
    </row>
    <row r="125" spans="1:8" ht="25.5" x14ac:dyDescent="0.2">
      <c r="A125" s="123">
        <v>11</v>
      </c>
      <c r="B125" s="124" t="s">
        <v>866</v>
      </c>
      <c r="C125" s="124" t="s">
        <v>867</v>
      </c>
      <c r="D125" s="124" t="s">
        <v>690</v>
      </c>
      <c r="E125" s="125">
        <v>50</v>
      </c>
      <c r="F125" s="126">
        <v>518.86500000000001</v>
      </c>
      <c r="G125" s="127">
        <v>4.9034830000000001E-3</v>
      </c>
      <c r="H125" s="171">
        <v>4.6749999999999998</v>
      </c>
    </row>
    <row r="126" spans="1:8" x14ac:dyDescent="0.2">
      <c r="A126" s="123">
        <v>12</v>
      </c>
      <c r="B126" s="124" t="s">
        <v>868</v>
      </c>
      <c r="C126" s="124" t="s">
        <v>869</v>
      </c>
      <c r="D126" s="124" t="s">
        <v>690</v>
      </c>
      <c r="E126" s="125">
        <v>50</v>
      </c>
      <c r="F126" s="126">
        <v>517.56700000000001</v>
      </c>
      <c r="G126" s="127">
        <v>4.8912160000000003E-3</v>
      </c>
      <c r="H126" s="171">
        <v>4.3600000000000003</v>
      </c>
    </row>
    <row r="127" spans="1:8" ht="25.5" x14ac:dyDescent="0.2">
      <c r="A127" s="123">
        <v>13</v>
      </c>
      <c r="B127" s="124" t="s">
        <v>870</v>
      </c>
      <c r="C127" s="124" t="s">
        <v>871</v>
      </c>
      <c r="D127" s="124" t="s">
        <v>690</v>
      </c>
      <c r="E127" s="125">
        <v>50</v>
      </c>
      <c r="F127" s="126">
        <v>517.05200000000002</v>
      </c>
      <c r="G127" s="127">
        <v>4.8863489999999999E-3</v>
      </c>
      <c r="H127" s="171">
        <v>4.47</v>
      </c>
    </row>
    <row r="128" spans="1:8" ht="25.5" x14ac:dyDescent="0.2">
      <c r="A128" s="123">
        <v>14</v>
      </c>
      <c r="B128" s="124" t="s">
        <v>872</v>
      </c>
      <c r="C128" s="124" t="s">
        <v>873</v>
      </c>
      <c r="D128" s="124" t="s">
        <v>690</v>
      </c>
      <c r="E128" s="125">
        <v>50</v>
      </c>
      <c r="F128" s="126">
        <v>506.71050000000002</v>
      </c>
      <c r="G128" s="127">
        <v>4.7886179999999997E-3</v>
      </c>
      <c r="H128" s="171">
        <v>3.6349999999999998</v>
      </c>
    </row>
    <row r="129" spans="1:8" x14ac:dyDescent="0.2">
      <c r="A129" s="121" t="s">
        <v>9</v>
      </c>
      <c r="B129" s="121" t="s">
        <v>9</v>
      </c>
      <c r="C129" s="122" t="s">
        <v>110</v>
      </c>
      <c r="D129" s="121" t="s">
        <v>9</v>
      </c>
      <c r="E129" s="121" t="s">
        <v>9</v>
      </c>
      <c r="F129" s="129">
        <v>15393.976000000001</v>
      </c>
      <c r="G129" s="130">
        <v>0.14547926799999999</v>
      </c>
      <c r="H129" s="164"/>
    </row>
    <row r="130" spans="1:8" x14ac:dyDescent="0.2">
      <c r="A130" s="121" t="s">
        <v>9</v>
      </c>
      <c r="B130" s="121" t="s">
        <v>9</v>
      </c>
      <c r="C130" s="131" t="s">
        <v>9</v>
      </c>
      <c r="D130" s="121" t="s">
        <v>9</v>
      </c>
      <c r="E130" s="121" t="s">
        <v>9</v>
      </c>
      <c r="F130" s="132" t="s">
        <v>9</v>
      </c>
      <c r="G130" s="132" t="s">
        <v>9</v>
      </c>
      <c r="H130" s="164"/>
    </row>
    <row r="131" spans="1:8" x14ac:dyDescent="0.2">
      <c r="A131" s="121" t="s">
        <v>9</v>
      </c>
      <c r="B131" s="121" t="s">
        <v>9</v>
      </c>
      <c r="C131" s="122" t="s">
        <v>118</v>
      </c>
      <c r="D131" s="121" t="s">
        <v>9</v>
      </c>
      <c r="E131" s="121" t="s">
        <v>9</v>
      </c>
      <c r="F131" s="121" t="s">
        <v>9</v>
      </c>
      <c r="G131" s="121" t="s">
        <v>9</v>
      </c>
      <c r="H131" s="164"/>
    </row>
    <row r="132" spans="1:8" x14ac:dyDescent="0.2">
      <c r="A132" s="121" t="s">
        <v>9</v>
      </c>
      <c r="B132" s="121" t="s">
        <v>9</v>
      </c>
      <c r="C132" s="122" t="s">
        <v>110</v>
      </c>
      <c r="D132" s="121" t="s">
        <v>9</v>
      </c>
      <c r="E132" s="121" t="s">
        <v>9</v>
      </c>
      <c r="F132" s="133">
        <v>0</v>
      </c>
      <c r="G132" s="134">
        <v>0</v>
      </c>
      <c r="H132" s="164"/>
    </row>
    <row r="133" spans="1:8" x14ac:dyDescent="0.2">
      <c r="A133" s="121" t="s">
        <v>9</v>
      </c>
      <c r="B133" s="121" t="s">
        <v>9</v>
      </c>
      <c r="C133" s="131" t="s">
        <v>9</v>
      </c>
      <c r="D133" s="121" t="s">
        <v>9</v>
      </c>
      <c r="E133" s="121" t="s">
        <v>9</v>
      </c>
      <c r="F133" s="132" t="s">
        <v>9</v>
      </c>
      <c r="G133" s="132" t="s">
        <v>9</v>
      </c>
      <c r="H133" s="164"/>
    </row>
    <row r="134" spans="1:8" x14ac:dyDescent="0.2">
      <c r="A134" s="121" t="s">
        <v>9</v>
      </c>
      <c r="B134" s="121" t="s">
        <v>9</v>
      </c>
      <c r="C134" s="122" t="s">
        <v>119</v>
      </c>
      <c r="D134" s="121" t="s">
        <v>9</v>
      </c>
      <c r="E134" s="121" t="s">
        <v>9</v>
      </c>
      <c r="F134" s="121" t="s">
        <v>9</v>
      </c>
      <c r="G134" s="121" t="s">
        <v>9</v>
      </c>
      <c r="H134" s="164"/>
    </row>
    <row r="135" spans="1:8" ht="25.5" x14ac:dyDescent="0.2">
      <c r="A135" s="123">
        <v>1</v>
      </c>
      <c r="B135" s="124" t="s">
        <v>721</v>
      </c>
      <c r="C135" s="124" t="s">
        <v>924</v>
      </c>
      <c r="D135" s="124" t="s">
        <v>722</v>
      </c>
      <c r="E135" s="125">
        <v>1000000</v>
      </c>
      <c r="F135" s="126">
        <v>1062.461</v>
      </c>
      <c r="G135" s="127">
        <v>1.0040683999999999E-2</v>
      </c>
      <c r="H135" s="171">
        <v>4.6360000000000001</v>
      </c>
    </row>
    <row r="136" spans="1:8" x14ac:dyDescent="0.2">
      <c r="A136" s="121" t="s">
        <v>9</v>
      </c>
      <c r="B136" s="121" t="s">
        <v>9</v>
      </c>
      <c r="C136" s="122" t="s">
        <v>110</v>
      </c>
      <c r="D136" s="121" t="s">
        <v>9</v>
      </c>
      <c r="E136" s="121" t="s">
        <v>9</v>
      </c>
      <c r="F136" s="129">
        <v>1062.461</v>
      </c>
      <c r="G136" s="130">
        <v>1.0040683999999999E-2</v>
      </c>
      <c r="H136" s="164"/>
    </row>
    <row r="137" spans="1:8" x14ac:dyDescent="0.2">
      <c r="A137" s="121" t="s">
        <v>9</v>
      </c>
      <c r="B137" s="121" t="s">
        <v>9</v>
      </c>
      <c r="C137" s="131" t="s">
        <v>9</v>
      </c>
      <c r="D137" s="121" t="s">
        <v>9</v>
      </c>
      <c r="E137" s="121" t="s">
        <v>9</v>
      </c>
      <c r="F137" s="132" t="s">
        <v>9</v>
      </c>
      <c r="G137" s="132" t="s">
        <v>9</v>
      </c>
      <c r="H137" s="164"/>
    </row>
    <row r="138" spans="1:8" x14ac:dyDescent="0.2">
      <c r="A138" s="121" t="s">
        <v>9</v>
      </c>
      <c r="B138" s="121" t="s">
        <v>9</v>
      </c>
      <c r="C138" s="122" t="s">
        <v>120</v>
      </c>
      <c r="D138" s="121" t="s">
        <v>9</v>
      </c>
      <c r="E138" s="121" t="s">
        <v>9</v>
      </c>
      <c r="F138" s="132" t="s">
        <v>9</v>
      </c>
      <c r="G138" s="132" t="s">
        <v>9</v>
      </c>
      <c r="H138" s="164"/>
    </row>
    <row r="139" spans="1:8" x14ac:dyDescent="0.2">
      <c r="A139" s="121" t="s">
        <v>9</v>
      </c>
      <c r="B139" s="121" t="s">
        <v>9</v>
      </c>
      <c r="C139" s="122" t="s">
        <v>110</v>
      </c>
      <c r="D139" s="121" t="s">
        <v>9</v>
      </c>
      <c r="E139" s="121" t="s">
        <v>9</v>
      </c>
      <c r="F139" s="133">
        <v>0</v>
      </c>
      <c r="G139" s="134">
        <v>0</v>
      </c>
      <c r="H139" s="164"/>
    </row>
    <row r="140" spans="1:8" x14ac:dyDescent="0.2">
      <c r="A140" s="121" t="s">
        <v>9</v>
      </c>
      <c r="B140" s="121" t="s">
        <v>9</v>
      </c>
      <c r="C140" s="131" t="s">
        <v>9</v>
      </c>
      <c r="D140" s="121" t="s">
        <v>9</v>
      </c>
      <c r="E140" s="121" t="s">
        <v>9</v>
      </c>
      <c r="F140" s="132" t="s">
        <v>9</v>
      </c>
      <c r="G140" s="132" t="s">
        <v>9</v>
      </c>
      <c r="H140" s="164"/>
    </row>
    <row r="141" spans="1:8" x14ac:dyDescent="0.2">
      <c r="A141" s="121" t="s">
        <v>9</v>
      </c>
      <c r="B141" s="121" t="s">
        <v>9</v>
      </c>
      <c r="C141" s="122" t="s">
        <v>121</v>
      </c>
      <c r="D141" s="121" t="s">
        <v>9</v>
      </c>
      <c r="E141" s="121" t="s">
        <v>9</v>
      </c>
      <c r="F141" s="129">
        <v>16456.437000000002</v>
      </c>
      <c r="G141" s="130">
        <v>0.15551995199999999</v>
      </c>
      <c r="H141" s="164"/>
    </row>
    <row r="142" spans="1:8" x14ac:dyDescent="0.2">
      <c r="A142" s="121" t="s">
        <v>9</v>
      </c>
      <c r="B142" s="121" t="s">
        <v>9</v>
      </c>
      <c r="C142" s="131" t="s">
        <v>9</v>
      </c>
      <c r="D142" s="121" t="s">
        <v>9</v>
      </c>
      <c r="E142" s="121" t="s">
        <v>9</v>
      </c>
      <c r="F142" s="132" t="s">
        <v>9</v>
      </c>
      <c r="G142" s="132" t="s">
        <v>9</v>
      </c>
      <c r="H142" s="164"/>
    </row>
    <row r="143" spans="1:8" x14ac:dyDescent="0.2">
      <c r="A143" s="121" t="s">
        <v>9</v>
      </c>
      <c r="B143" s="121" t="s">
        <v>9</v>
      </c>
      <c r="C143" s="122" t="s">
        <v>122</v>
      </c>
      <c r="D143" s="121" t="s">
        <v>9</v>
      </c>
      <c r="E143" s="121" t="s">
        <v>9</v>
      </c>
      <c r="F143" s="132" t="s">
        <v>9</v>
      </c>
      <c r="G143" s="132" t="s">
        <v>9</v>
      </c>
      <c r="H143" s="164"/>
    </row>
    <row r="144" spans="1:8" x14ac:dyDescent="0.2">
      <c r="A144" s="121" t="s">
        <v>9</v>
      </c>
      <c r="B144" s="121" t="s">
        <v>9</v>
      </c>
      <c r="C144" s="122" t="s">
        <v>123</v>
      </c>
      <c r="D144" s="121" t="s">
        <v>9</v>
      </c>
      <c r="E144" s="121" t="s">
        <v>9</v>
      </c>
      <c r="F144" s="132" t="s">
        <v>9</v>
      </c>
      <c r="G144" s="132" t="s">
        <v>9</v>
      </c>
      <c r="H144" s="164"/>
    </row>
    <row r="145" spans="1:8" x14ac:dyDescent="0.2">
      <c r="A145" s="121" t="s">
        <v>9</v>
      </c>
      <c r="B145" s="121" t="s">
        <v>9</v>
      </c>
      <c r="C145" s="122" t="s">
        <v>110</v>
      </c>
      <c r="D145" s="121" t="s">
        <v>9</v>
      </c>
      <c r="E145" s="121" t="s">
        <v>9</v>
      </c>
      <c r="F145" s="133">
        <v>0</v>
      </c>
      <c r="G145" s="134">
        <v>0</v>
      </c>
      <c r="H145" s="164"/>
    </row>
    <row r="146" spans="1:8" x14ac:dyDescent="0.2">
      <c r="A146" s="121" t="s">
        <v>9</v>
      </c>
      <c r="B146" s="121" t="s">
        <v>9</v>
      </c>
      <c r="C146" s="131" t="s">
        <v>9</v>
      </c>
      <c r="D146" s="121" t="s">
        <v>9</v>
      </c>
      <c r="E146" s="121" t="s">
        <v>9</v>
      </c>
      <c r="F146" s="132" t="s">
        <v>9</v>
      </c>
      <c r="G146" s="132" t="s">
        <v>9</v>
      </c>
      <c r="H146" s="164"/>
    </row>
    <row r="147" spans="1:8" x14ac:dyDescent="0.2">
      <c r="A147" s="121" t="s">
        <v>9</v>
      </c>
      <c r="B147" s="121" t="s">
        <v>9</v>
      </c>
      <c r="C147" s="122" t="s">
        <v>124</v>
      </c>
      <c r="D147" s="121" t="s">
        <v>9</v>
      </c>
      <c r="E147" s="121" t="s">
        <v>9</v>
      </c>
      <c r="F147" s="132" t="s">
        <v>9</v>
      </c>
      <c r="G147" s="132" t="s">
        <v>9</v>
      </c>
      <c r="H147" s="164"/>
    </row>
    <row r="148" spans="1:8" x14ac:dyDescent="0.2">
      <c r="A148" s="123">
        <v>1</v>
      </c>
      <c r="B148" s="124" t="s">
        <v>874</v>
      </c>
      <c r="C148" s="124" t="s">
        <v>875</v>
      </c>
      <c r="D148" s="124" t="s">
        <v>876</v>
      </c>
      <c r="E148" s="125">
        <v>300</v>
      </c>
      <c r="F148" s="126">
        <v>1469.5830000000001</v>
      </c>
      <c r="G148" s="127">
        <v>1.3888151E-2</v>
      </c>
      <c r="H148" s="171">
        <v>3.835</v>
      </c>
    </row>
    <row r="149" spans="1:8" x14ac:dyDescent="0.2">
      <c r="A149" s="121" t="s">
        <v>9</v>
      </c>
      <c r="B149" s="121" t="s">
        <v>9</v>
      </c>
      <c r="C149" s="122" t="s">
        <v>110</v>
      </c>
      <c r="D149" s="121" t="s">
        <v>9</v>
      </c>
      <c r="E149" s="121" t="s">
        <v>9</v>
      </c>
      <c r="F149" s="129">
        <v>1469.5830000000001</v>
      </c>
      <c r="G149" s="130">
        <v>1.3888151E-2</v>
      </c>
      <c r="H149" s="164"/>
    </row>
    <row r="150" spans="1:8" x14ac:dyDescent="0.2">
      <c r="A150" s="121" t="s">
        <v>9</v>
      </c>
      <c r="B150" s="121" t="s">
        <v>9</v>
      </c>
      <c r="C150" s="131" t="s">
        <v>9</v>
      </c>
      <c r="D150" s="121" t="s">
        <v>9</v>
      </c>
      <c r="E150" s="121" t="s">
        <v>9</v>
      </c>
      <c r="F150" s="132" t="s">
        <v>9</v>
      </c>
      <c r="G150" s="132" t="s">
        <v>9</v>
      </c>
      <c r="H150" s="164"/>
    </row>
    <row r="151" spans="1:8" x14ac:dyDescent="0.2">
      <c r="A151" s="121" t="s">
        <v>9</v>
      </c>
      <c r="B151" s="121" t="s">
        <v>9</v>
      </c>
      <c r="C151" s="122" t="s">
        <v>125</v>
      </c>
      <c r="D151" s="121" t="s">
        <v>9</v>
      </c>
      <c r="E151" s="121" t="s">
        <v>9</v>
      </c>
      <c r="F151" s="132" t="s">
        <v>9</v>
      </c>
      <c r="G151" s="132" t="s">
        <v>9</v>
      </c>
      <c r="H151" s="164"/>
    </row>
    <row r="152" spans="1:8" x14ac:dyDescent="0.2">
      <c r="A152" s="121" t="s">
        <v>9</v>
      </c>
      <c r="B152" s="121" t="s">
        <v>9</v>
      </c>
      <c r="C152" s="122" t="s">
        <v>110</v>
      </c>
      <c r="D152" s="121" t="s">
        <v>9</v>
      </c>
      <c r="E152" s="121" t="s">
        <v>9</v>
      </c>
      <c r="F152" s="133">
        <v>0</v>
      </c>
      <c r="G152" s="134">
        <v>0</v>
      </c>
      <c r="H152" s="164"/>
    </row>
    <row r="153" spans="1:8" x14ac:dyDescent="0.2">
      <c r="A153" s="121" t="s">
        <v>9</v>
      </c>
      <c r="B153" s="121" t="s">
        <v>9</v>
      </c>
      <c r="C153" s="131" t="s">
        <v>9</v>
      </c>
      <c r="D153" s="121" t="s">
        <v>9</v>
      </c>
      <c r="E153" s="121" t="s">
        <v>9</v>
      </c>
      <c r="F153" s="132" t="s">
        <v>9</v>
      </c>
      <c r="G153" s="132" t="s">
        <v>9</v>
      </c>
      <c r="H153" s="164"/>
    </row>
    <row r="154" spans="1:8" x14ac:dyDescent="0.2">
      <c r="A154" s="121" t="s">
        <v>9</v>
      </c>
      <c r="B154" s="121" t="s">
        <v>9</v>
      </c>
      <c r="C154" s="122" t="s">
        <v>126</v>
      </c>
      <c r="D154" s="121" t="s">
        <v>9</v>
      </c>
      <c r="E154" s="121" t="s">
        <v>9</v>
      </c>
      <c r="F154" s="132" t="s">
        <v>9</v>
      </c>
      <c r="G154" s="132" t="s">
        <v>9</v>
      </c>
      <c r="H154" s="164"/>
    </row>
    <row r="155" spans="1:8" x14ac:dyDescent="0.2">
      <c r="A155" s="123">
        <v>1</v>
      </c>
      <c r="B155" s="124"/>
      <c r="C155" s="124" t="s">
        <v>127</v>
      </c>
      <c r="D155" s="124"/>
      <c r="E155" s="128" t="s">
        <v>9</v>
      </c>
      <c r="F155" s="126">
        <v>2079.4482014999999</v>
      </c>
      <c r="G155" s="127">
        <v>1.9651622000000001E-2</v>
      </c>
      <c r="H155" s="90">
        <v>3.22</v>
      </c>
    </row>
    <row r="156" spans="1:8" x14ac:dyDescent="0.2">
      <c r="A156" s="123">
        <v>2</v>
      </c>
      <c r="B156" s="124"/>
      <c r="C156" s="124" t="s">
        <v>128</v>
      </c>
      <c r="D156" s="124"/>
      <c r="E156" s="128" t="s">
        <v>9</v>
      </c>
      <c r="F156" s="126">
        <v>587.64195480000001</v>
      </c>
      <c r="G156" s="127">
        <v>5.5534529999999999E-3</v>
      </c>
      <c r="H156" s="90">
        <v>3.34</v>
      </c>
    </row>
    <row r="157" spans="1:8" x14ac:dyDescent="0.2">
      <c r="A157" s="121" t="s">
        <v>9</v>
      </c>
      <c r="B157" s="121" t="s">
        <v>9</v>
      </c>
      <c r="C157" s="122" t="s">
        <v>110</v>
      </c>
      <c r="D157" s="121" t="s">
        <v>9</v>
      </c>
      <c r="E157" s="121" t="s">
        <v>9</v>
      </c>
      <c r="F157" s="129">
        <v>2667.0901563000002</v>
      </c>
      <c r="G157" s="130">
        <v>2.5205075E-2</v>
      </c>
      <c r="H157" s="164"/>
    </row>
    <row r="158" spans="1:8" x14ac:dyDescent="0.2">
      <c r="A158" s="121" t="s">
        <v>9</v>
      </c>
      <c r="B158" s="121" t="s">
        <v>9</v>
      </c>
      <c r="C158" s="131" t="s">
        <v>9</v>
      </c>
      <c r="D158" s="121" t="s">
        <v>9</v>
      </c>
      <c r="E158" s="121" t="s">
        <v>9</v>
      </c>
      <c r="F158" s="132" t="s">
        <v>9</v>
      </c>
      <c r="G158" s="132" t="s">
        <v>9</v>
      </c>
      <c r="H158" s="164"/>
    </row>
    <row r="159" spans="1:8" x14ac:dyDescent="0.2">
      <c r="A159" s="121" t="s">
        <v>9</v>
      </c>
      <c r="B159" s="121" t="s">
        <v>9</v>
      </c>
      <c r="C159" s="122" t="s">
        <v>129</v>
      </c>
      <c r="D159" s="121" t="s">
        <v>9</v>
      </c>
      <c r="E159" s="121" t="s">
        <v>9</v>
      </c>
      <c r="F159" s="129">
        <v>4136.6731563000003</v>
      </c>
      <c r="G159" s="130">
        <v>3.9093226000000002E-2</v>
      </c>
      <c r="H159" s="164"/>
    </row>
    <row r="160" spans="1:8" x14ac:dyDescent="0.2">
      <c r="A160" s="121" t="s">
        <v>9</v>
      </c>
      <c r="B160" s="121" t="s">
        <v>9</v>
      </c>
      <c r="C160" s="132" t="s">
        <v>9</v>
      </c>
      <c r="D160" s="121" t="s">
        <v>9</v>
      </c>
      <c r="E160" s="121" t="s">
        <v>9</v>
      </c>
      <c r="F160" s="121" t="s">
        <v>9</v>
      </c>
      <c r="G160" s="121" t="s">
        <v>9</v>
      </c>
      <c r="H160" s="164"/>
    </row>
    <row r="161" spans="1:8" x14ac:dyDescent="0.2">
      <c r="A161" s="121" t="s">
        <v>9</v>
      </c>
      <c r="B161" s="121" t="s">
        <v>9</v>
      </c>
      <c r="C161" s="122" t="s">
        <v>130</v>
      </c>
      <c r="D161" s="121" t="s">
        <v>9</v>
      </c>
      <c r="E161" s="121" t="s">
        <v>9</v>
      </c>
      <c r="F161" s="121" t="s">
        <v>9</v>
      </c>
      <c r="G161" s="121" t="s">
        <v>9</v>
      </c>
      <c r="H161" s="164"/>
    </row>
    <row r="162" spans="1:8" x14ac:dyDescent="0.2">
      <c r="A162" s="121" t="s">
        <v>9</v>
      </c>
      <c r="B162" s="121" t="s">
        <v>9</v>
      </c>
      <c r="C162" s="122" t="s">
        <v>131</v>
      </c>
      <c r="D162" s="121" t="s">
        <v>9</v>
      </c>
      <c r="E162" s="121" t="s">
        <v>9</v>
      </c>
      <c r="F162" s="121" t="s">
        <v>9</v>
      </c>
      <c r="G162" s="121" t="s">
        <v>9</v>
      </c>
      <c r="H162" s="164"/>
    </row>
    <row r="163" spans="1:8" x14ac:dyDescent="0.2">
      <c r="A163" s="121" t="s">
        <v>9</v>
      </c>
      <c r="B163" s="121" t="s">
        <v>9</v>
      </c>
      <c r="C163" s="122" t="s">
        <v>110</v>
      </c>
      <c r="D163" s="121" t="s">
        <v>9</v>
      </c>
      <c r="E163" s="121" t="s">
        <v>9</v>
      </c>
      <c r="F163" s="133">
        <v>0</v>
      </c>
      <c r="G163" s="134">
        <v>0</v>
      </c>
      <c r="H163" s="164"/>
    </row>
    <row r="164" spans="1:8" x14ac:dyDescent="0.2">
      <c r="A164" s="121" t="s">
        <v>9</v>
      </c>
      <c r="B164" s="121" t="s">
        <v>9</v>
      </c>
      <c r="C164" s="131" t="s">
        <v>9</v>
      </c>
      <c r="D164" s="121" t="s">
        <v>9</v>
      </c>
      <c r="E164" s="121" t="s">
        <v>9</v>
      </c>
      <c r="F164" s="132" t="s">
        <v>9</v>
      </c>
      <c r="G164" s="132" t="s">
        <v>9</v>
      </c>
      <c r="H164" s="164"/>
    </row>
    <row r="165" spans="1:8" x14ac:dyDescent="0.2">
      <c r="A165" s="121" t="s">
        <v>9</v>
      </c>
      <c r="B165" s="121" t="s">
        <v>9</v>
      </c>
      <c r="C165" s="122" t="s">
        <v>132</v>
      </c>
      <c r="D165" s="121" t="s">
        <v>9</v>
      </c>
      <c r="E165" s="121" t="s">
        <v>9</v>
      </c>
      <c r="F165" s="121" t="s">
        <v>9</v>
      </c>
      <c r="G165" s="121" t="s">
        <v>9</v>
      </c>
      <c r="H165" s="164"/>
    </row>
    <row r="166" spans="1:8" x14ac:dyDescent="0.2">
      <c r="A166" s="121" t="s">
        <v>9</v>
      </c>
      <c r="B166" s="121" t="s">
        <v>9</v>
      </c>
      <c r="C166" s="122" t="s">
        <v>133</v>
      </c>
      <c r="D166" s="121" t="s">
        <v>9</v>
      </c>
      <c r="E166" s="121" t="s">
        <v>9</v>
      </c>
      <c r="F166" s="121" t="s">
        <v>9</v>
      </c>
      <c r="G166" s="121" t="s">
        <v>9</v>
      </c>
      <c r="H166" s="164"/>
    </row>
    <row r="167" spans="1:8" x14ac:dyDescent="0.2">
      <c r="A167" s="121" t="s">
        <v>9</v>
      </c>
      <c r="B167" s="121" t="s">
        <v>9</v>
      </c>
      <c r="C167" s="122" t="s">
        <v>110</v>
      </c>
      <c r="D167" s="121" t="s">
        <v>9</v>
      </c>
      <c r="E167" s="121" t="s">
        <v>9</v>
      </c>
      <c r="F167" s="133">
        <v>0</v>
      </c>
      <c r="G167" s="134">
        <v>0</v>
      </c>
      <c r="H167" s="164"/>
    </row>
    <row r="168" spans="1:8" x14ac:dyDescent="0.2">
      <c r="A168" s="121" t="s">
        <v>9</v>
      </c>
      <c r="B168" s="121" t="s">
        <v>9</v>
      </c>
      <c r="C168" s="131" t="s">
        <v>9</v>
      </c>
      <c r="D168" s="121" t="s">
        <v>9</v>
      </c>
      <c r="E168" s="121" t="s">
        <v>9</v>
      </c>
      <c r="F168" s="132" t="s">
        <v>9</v>
      </c>
      <c r="G168" s="132" t="s">
        <v>9</v>
      </c>
      <c r="H168" s="164"/>
    </row>
    <row r="169" spans="1:8" ht="25.5" x14ac:dyDescent="0.2">
      <c r="A169" s="121" t="s">
        <v>9</v>
      </c>
      <c r="B169" s="121" t="s">
        <v>9</v>
      </c>
      <c r="C169" s="122" t="s">
        <v>134</v>
      </c>
      <c r="D169" s="121" t="s">
        <v>9</v>
      </c>
      <c r="E169" s="121" t="s">
        <v>9</v>
      </c>
      <c r="F169" s="132" t="s">
        <v>9</v>
      </c>
      <c r="G169" s="132" t="s">
        <v>9</v>
      </c>
      <c r="H169" s="164"/>
    </row>
    <row r="170" spans="1:8" x14ac:dyDescent="0.2">
      <c r="A170" s="121" t="s">
        <v>9</v>
      </c>
      <c r="B170" s="121" t="s">
        <v>9</v>
      </c>
      <c r="C170" s="122" t="s">
        <v>110</v>
      </c>
      <c r="D170" s="121" t="s">
        <v>9</v>
      </c>
      <c r="E170" s="121" t="s">
        <v>9</v>
      </c>
      <c r="F170" s="133">
        <v>0</v>
      </c>
      <c r="G170" s="134">
        <v>0</v>
      </c>
      <c r="H170" s="164"/>
    </row>
    <row r="171" spans="1:8" x14ac:dyDescent="0.2">
      <c r="A171" s="121" t="s">
        <v>9</v>
      </c>
      <c r="B171" s="121" t="s">
        <v>9</v>
      </c>
      <c r="C171" s="131" t="s">
        <v>9</v>
      </c>
      <c r="D171" s="121" t="s">
        <v>9</v>
      </c>
      <c r="E171" s="121" t="s">
        <v>9</v>
      </c>
      <c r="F171" s="132" t="s">
        <v>9</v>
      </c>
      <c r="G171" s="132" t="s">
        <v>9</v>
      </c>
      <c r="H171" s="164"/>
    </row>
    <row r="172" spans="1:8" x14ac:dyDescent="0.2">
      <c r="A172" s="128" t="s">
        <v>9</v>
      </c>
      <c r="B172" s="124" t="s">
        <v>9</v>
      </c>
      <c r="C172" s="124" t="s">
        <v>698</v>
      </c>
      <c r="D172" s="124" t="s">
        <v>9</v>
      </c>
      <c r="E172" s="128" t="s">
        <v>9</v>
      </c>
      <c r="F172" s="126">
        <v>8356.4134813000001</v>
      </c>
      <c r="G172" s="127">
        <v>7.8971470000000002E-2</v>
      </c>
      <c r="H172" s="164"/>
    </row>
    <row r="173" spans="1:8" x14ac:dyDescent="0.2">
      <c r="A173" s="128" t="s">
        <v>9</v>
      </c>
      <c r="B173" s="124" t="s">
        <v>9</v>
      </c>
      <c r="C173" s="124" t="s">
        <v>877</v>
      </c>
      <c r="D173" s="124" t="s">
        <v>9</v>
      </c>
      <c r="E173" s="128" t="s">
        <v>9</v>
      </c>
      <c r="F173" s="126">
        <v>592.59312711999519</v>
      </c>
      <c r="G173" s="127">
        <v>5.6226699999996077E-3</v>
      </c>
      <c r="H173" s="164"/>
    </row>
    <row r="174" spans="1:8" x14ac:dyDescent="0.2">
      <c r="A174" s="131" t="s">
        <v>9</v>
      </c>
      <c r="B174" s="131" t="s">
        <v>9</v>
      </c>
      <c r="C174" s="122" t="s">
        <v>136</v>
      </c>
      <c r="D174" s="132" t="s">
        <v>9</v>
      </c>
      <c r="E174" s="132" t="s">
        <v>9</v>
      </c>
      <c r="F174" s="129">
        <v>105815.59956622</v>
      </c>
      <c r="G174" s="130">
        <v>1</v>
      </c>
      <c r="H174" s="164"/>
    </row>
    <row r="175" spans="1:8" ht="14.1" customHeight="1" x14ac:dyDescent="0.2">
      <c r="A175" s="135" t="s">
        <v>9</v>
      </c>
      <c r="B175" s="135" t="s">
        <v>9</v>
      </c>
      <c r="C175" s="135" t="s">
        <v>9</v>
      </c>
      <c r="D175" s="136" t="s">
        <v>9</v>
      </c>
      <c r="E175" s="136" t="s">
        <v>9</v>
      </c>
      <c r="F175" s="166"/>
      <c r="G175" s="136" t="s">
        <v>9</v>
      </c>
    </row>
    <row r="176" spans="1:8" ht="17.100000000000001" customHeight="1" x14ac:dyDescent="0.2">
      <c r="A176" s="137" t="s">
        <v>9</v>
      </c>
      <c r="B176" s="241" t="s">
        <v>878</v>
      </c>
      <c r="C176" s="241"/>
      <c r="D176" s="241"/>
      <c r="E176" s="241"/>
      <c r="F176" s="241"/>
      <c r="G176" s="165"/>
    </row>
    <row r="177" spans="1:7" ht="17.100000000000001" customHeight="1" x14ac:dyDescent="0.2">
      <c r="A177" s="137" t="s">
        <v>9</v>
      </c>
      <c r="B177" s="241" t="s">
        <v>879</v>
      </c>
      <c r="C177" s="241"/>
      <c r="D177" s="241"/>
      <c r="E177" s="241"/>
      <c r="F177" s="241"/>
      <c r="G177" s="138" t="s">
        <v>9</v>
      </c>
    </row>
    <row r="178" spans="1:7" ht="17.100000000000001" customHeight="1" x14ac:dyDescent="0.2">
      <c r="A178" s="137" t="s">
        <v>9</v>
      </c>
      <c r="B178" s="241" t="s">
        <v>137</v>
      </c>
      <c r="C178" s="241"/>
      <c r="D178" s="241"/>
      <c r="E178" s="241"/>
      <c r="F178" s="241"/>
      <c r="G178" s="138" t="s">
        <v>9</v>
      </c>
    </row>
    <row r="179" spans="1:7" ht="14.1" customHeight="1" x14ac:dyDescent="0.2">
      <c r="A179" s="137" t="s">
        <v>9</v>
      </c>
      <c r="B179" s="137" t="s">
        <v>9</v>
      </c>
      <c r="C179" s="137" t="s">
        <v>9</v>
      </c>
      <c r="D179" s="138" t="s">
        <v>9</v>
      </c>
      <c r="E179" s="138" t="s">
        <v>9</v>
      </c>
      <c r="F179" s="138" t="s">
        <v>9</v>
      </c>
      <c r="G179" s="138" t="s">
        <v>9</v>
      </c>
    </row>
    <row r="180" spans="1:7" ht="14.1" customHeight="1" x14ac:dyDescent="0.2">
      <c r="A180" s="137" t="s">
        <v>9</v>
      </c>
      <c r="B180" s="242" t="s">
        <v>138</v>
      </c>
      <c r="C180" s="243"/>
      <c r="D180" s="244"/>
      <c r="E180" s="139" t="s">
        <v>9</v>
      </c>
      <c r="F180" s="138"/>
      <c r="G180" s="138" t="s">
        <v>9</v>
      </c>
    </row>
    <row r="181" spans="1:7" ht="29.1" customHeight="1" x14ac:dyDescent="0.2">
      <c r="A181" s="137" t="s">
        <v>9</v>
      </c>
      <c r="B181" s="239" t="s">
        <v>139</v>
      </c>
      <c r="C181" s="240"/>
      <c r="D181" s="122" t="s">
        <v>140</v>
      </c>
      <c r="E181" s="139" t="s">
        <v>9</v>
      </c>
      <c r="F181" s="138" t="s">
        <v>9</v>
      </c>
      <c r="G181" s="138" t="s">
        <v>9</v>
      </c>
    </row>
    <row r="182" spans="1:7" ht="17.100000000000001" customHeight="1" x14ac:dyDescent="0.2">
      <c r="A182" s="137" t="s">
        <v>9</v>
      </c>
      <c r="B182" s="233" t="s">
        <v>1005</v>
      </c>
      <c r="C182" s="234"/>
      <c r="D182" s="122" t="s">
        <v>140</v>
      </c>
      <c r="E182" s="139" t="s">
        <v>9</v>
      </c>
      <c r="F182" s="138" t="s">
        <v>9</v>
      </c>
      <c r="G182" s="138" t="s">
        <v>9</v>
      </c>
    </row>
    <row r="183" spans="1:7" ht="17.100000000000001" customHeight="1" x14ac:dyDescent="0.2">
      <c r="A183" s="137" t="s">
        <v>9</v>
      </c>
      <c r="B183" s="239" t="s">
        <v>142</v>
      </c>
      <c r="C183" s="240"/>
      <c r="D183" s="132" t="s">
        <v>9</v>
      </c>
      <c r="E183" s="139" t="s">
        <v>9</v>
      </c>
      <c r="F183" s="138" t="s">
        <v>9</v>
      </c>
      <c r="G183" s="138" t="s">
        <v>9</v>
      </c>
    </row>
    <row r="184" spans="1:7" ht="24" customHeight="1" x14ac:dyDescent="0.2">
      <c r="A184" s="140" t="s">
        <v>9</v>
      </c>
      <c r="B184" s="141" t="s">
        <v>9</v>
      </c>
      <c r="C184" s="141" t="s">
        <v>143</v>
      </c>
      <c r="D184" s="141" t="s">
        <v>144</v>
      </c>
      <c r="E184" s="140" t="s">
        <v>9</v>
      </c>
      <c r="F184" s="140" t="s">
        <v>9</v>
      </c>
      <c r="G184" s="140" t="s">
        <v>9</v>
      </c>
    </row>
    <row r="185" spans="1:7" ht="18" customHeight="1" x14ac:dyDescent="0.2">
      <c r="A185" s="140" t="s">
        <v>9</v>
      </c>
      <c r="B185" s="142" t="s">
        <v>145</v>
      </c>
      <c r="C185" s="141" t="s">
        <v>146</v>
      </c>
      <c r="D185" s="141" t="s">
        <v>147</v>
      </c>
      <c r="E185" s="140" t="s">
        <v>9</v>
      </c>
      <c r="F185" s="140" t="s">
        <v>9</v>
      </c>
      <c r="G185" s="140" t="s">
        <v>9</v>
      </c>
    </row>
    <row r="186" spans="1:7" ht="17.100000000000001" customHeight="1" x14ac:dyDescent="0.2">
      <c r="A186" s="140" t="s">
        <v>9</v>
      </c>
      <c r="B186" s="124" t="s">
        <v>148</v>
      </c>
      <c r="C186" s="143">
        <v>14.1334</v>
      </c>
      <c r="D186" s="143">
        <v>14.4116</v>
      </c>
      <c r="E186" s="140" t="s">
        <v>9</v>
      </c>
      <c r="F186" s="144" t="s">
        <v>9</v>
      </c>
      <c r="G186" s="145" t="s">
        <v>9</v>
      </c>
    </row>
    <row r="187" spans="1:7" ht="17.100000000000001" customHeight="1" x14ac:dyDescent="0.2">
      <c r="A187" s="140" t="s">
        <v>9</v>
      </c>
      <c r="B187" s="124" t="s">
        <v>839</v>
      </c>
      <c r="C187" s="143">
        <v>14.1342</v>
      </c>
      <c r="D187" s="143">
        <v>13.412699999999999</v>
      </c>
      <c r="E187" s="140" t="s">
        <v>9</v>
      </c>
      <c r="F187" s="144" t="s">
        <v>9</v>
      </c>
      <c r="G187" s="145" t="s">
        <v>9</v>
      </c>
    </row>
    <row r="188" spans="1:7" ht="17.100000000000001" customHeight="1" x14ac:dyDescent="0.2">
      <c r="A188" s="140" t="s">
        <v>9</v>
      </c>
      <c r="B188" s="124" t="s">
        <v>149</v>
      </c>
      <c r="C188" s="143">
        <v>13.782500000000001</v>
      </c>
      <c r="D188" s="143">
        <v>14.0312</v>
      </c>
      <c r="E188" s="140" t="s">
        <v>9</v>
      </c>
      <c r="F188" s="144" t="s">
        <v>9</v>
      </c>
      <c r="G188" s="145" t="s">
        <v>9</v>
      </c>
    </row>
    <row r="189" spans="1:7" ht="17.100000000000001" customHeight="1" x14ac:dyDescent="0.2">
      <c r="A189" s="140" t="s">
        <v>9</v>
      </c>
      <c r="B189" s="124" t="s">
        <v>840</v>
      </c>
      <c r="C189" s="143">
        <v>13.782500000000001</v>
      </c>
      <c r="D189" s="143">
        <v>13.057499999999999</v>
      </c>
      <c r="E189" s="140" t="s">
        <v>9</v>
      </c>
      <c r="F189" s="144" t="s">
        <v>9</v>
      </c>
      <c r="G189" s="145" t="s">
        <v>9</v>
      </c>
    </row>
    <row r="190" spans="1:7" ht="14.1" customHeight="1" x14ac:dyDescent="0.2">
      <c r="A190" s="140" t="s">
        <v>9</v>
      </c>
      <c r="B190" s="140" t="s">
        <v>9</v>
      </c>
      <c r="C190" s="140" t="s">
        <v>9</v>
      </c>
      <c r="D190" s="140" t="s">
        <v>9</v>
      </c>
      <c r="E190" s="140" t="s">
        <v>9</v>
      </c>
      <c r="F190" s="140" t="s">
        <v>9</v>
      </c>
      <c r="G190" s="140" t="s">
        <v>9</v>
      </c>
    </row>
    <row r="191" spans="1:7" ht="17.100000000000001" customHeight="1" x14ac:dyDescent="0.2">
      <c r="A191" s="140" t="s">
        <v>9</v>
      </c>
      <c r="B191" s="239" t="s">
        <v>1003</v>
      </c>
      <c r="C191" s="240"/>
      <c r="D191" s="4" t="s">
        <v>140</v>
      </c>
      <c r="E191" s="140" t="s">
        <v>9</v>
      </c>
      <c r="F191" s="140" t="s">
        <v>9</v>
      </c>
      <c r="G191" s="140" t="s">
        <v>9</v>
      </c>
    </row>
    <row r="192" spans="1:7" ht="18" customHeight="1" x14ac:dyDescent="0.2">
      <c r="A192" s="140" t="s">
        <v>9</v>
      </c>
      <c r="B192" s="146"/>
      <c r="C192" s="146"/>
      <c r="D192" s="146"/>
      <c r="E192" s="140" t="s">
        <v>9</v>
      </c>
      <c r="F192" s="140" t="s">
        <v>9</v>
      </c>
      <c r="G192" s="140" t="s">
        <v>9</v>
      </c>
    </row>
    <row r="193" spans="1:7" s="169" customFormat="1" x14ac:dyDescent="0.2">
      <c r="B193" s="235" t="s">
        <v>841</v>
      </c>
      <c r="C193" s="235"/>
      <c r="D193" s="235"/>
      <c r="E193" s="235"/>
      <c r="F193" s="235"/>
    </row>
    <row r="194" spans="1:7" ht="14.1" customHeight="1" x14ac:dyDescent="0.2">
      <c r="A194" s="140" t="s">
        <v>9</v>
      </c>
      <c r="B194" s="144" t="s">
        <v>9</v>
      </c>
      <c r="C194" s="144" t="s">
        <v>9</v>
      </c>
      <c r="D194" s="140" t="s">
        <v>9</v>
      </c>
      <c r="E194" s="140" t="s">
        <v>9</v>
      </c>
      <c r="F194" s="140" t="s">
        <v>9</v>
      </c>
      <c r="G194" s="140" t="s">
        <v>9</v>
      </c>
    </row>
    <row r="195" spans="1:7" ht="29.1" customHeight="1" x14ac:dyDescent="0.2">
      <c r="A195" s="140" t="s">
        <v>9</v>
      </c>
      <c r="B195" s="239" t="s">
        <v>151</v>
      </c>
      <c r="C195" s="240"/>
      <c r="D195" s="4" t="s">
        <v>974</v>
      </c>
      <c r="E195" s="147" t="s">
        <v>9</v>
      </c>
      <c r="F195" s="140" t="s">
        <v>9</v>
      </c>
      <c r="G195" s="140" t="s">
        <v>9</v>
      </c>
    </row>
    <row r="196" spans="1:7" ht="29.1" customHeight="1" x14ac:dyDescent="0.2">
      <c r="A196" s="140" t="s">
        <v>9</v>
      </c>
      <c r="B196" s="239" t="s">
        <v>152</v>
      </c>
      <c r="C196" s="240"/>
      <c r="D196" s="122" t="s">
        <v>140</v>
      </c>
      <c r="E196" s="147" t="s">
        <v>9</v>
      </c>
      <c r="F196" s="140" t="s">
        <v>9</v>
      </c>
      <c r="G196" s="140" t="s">
        <v>9</v>
      </c>
    </row>
    <row r="197" spans="1:7" ht="17.100000000000001" customHeight="1" x14ac:dyDescent="0.2">
      <c r="A197" s="140" t="s">
        <v>9</v>
      </c>
      <c r="B197" s="236" t="s">
        <v>977</v>
      </c>
      <c r="C197" s="237"/>
      <c r="D197" s="148">
        <v>0.96433597229014589</v>
      </c>
      <c r="E197" s="147" t="s">
        <v>9</v>
      </c>
      <c r="F197" s="140" t="s">
        <v>9</v>
      </c>
      <c r="G197" s="140" t="s">
        <v>9</v>
      </c>
    </row>
    <row r="198" spans="1:7" ht="17.100000000000001" customHeight="1" x14ac:dyDescent="0.2">
      <c r="A198" s="140" t="s">
        <v>9</v>
      </c>
      <c r="B198" s="236" t="s">
        <v>978</v>
      </c>
      <c r="C198" s="237"/>
      <c r="D198" s="148">
        <v>0.91585722270324099</v>
      </c>
      <c r="E198" s="147" t="s">
        <v>9</v>
      </c>
      <c r="F198" s="140" t="s">
        <v>9</v>
      </c>
      <c r="G198" s="140" t="s">
        <v>9</v>
      </c>
    </row>
    <row r="199" spans="1:7" ht="17.100000000000001" customHeight="1" x14ac:dyDescent="0.2">
      <c r="A199" s="140" t="s">
        <v>9</v>
      </c>
      <c r="B199" s="239" t="s">
        <v>880</v>
      </c>
      <c r="C199" s="240"/>
      <c r="D199" s="122" t="s">
        <v>140</v>
      </c>
      <c r="E199" s="147" t="s">
        <v>9</v>
      </c>
      <c r="F199" s="140" t="s">
        <v>9</v>
      </c>
      <c r="G199" s="140" t="s">
        <v>9</v>
      </c>
    </row>
    <row r="200" spans="1:7" ht="17.100000000000001" customHeight="1" x14ac:dyDescent="0.2">
      <c r="A200" s="140" t="s">
        <v>9</v>
      </c>
      <c r="B200" s="239" t="s">
        <v>976</v>
      </c>
      <c r="C200" s="240"/>
      <c r="D200" s="149">
        <v>3.71541922363732</v>
      </c>
      <c r="E200" s="140" t="s">
        <v>9</v>
      </c>
      <c r="F200" s="144" t="s">
        <v>9</v>
      </c>
      <c r="G200" s="145" t="s">
        <v>9</v>
      </c>
    </row>
    <row r="201" spans="1:7" ht="11.1" customHeight="1" x14ac:dyDescent="0.2">
      <c r="A201" s="146"/>
      <c r="B201" s="146"/>
      <c r="C201" s="146"/>
      <c r="D201" s="146"/>
      <c r="E201" s="146"/>
      <c r="F201" s="146"/>
      <c r="G201" s="146"/>
    </row>
  </sheetData>
  <mergeCells count="18">
    <mergeCell ref="B200:C200"/>
    <mergeCell ref="A1:H1"/>
    <mergeCell ref="A2:H2"/>
    <mergeCell ref="A3:H3"/>
    <mergeCell ref="B193:F193"/>
    <mergeCell ref="B196:C196"/>
    <mergeCell ref="B195:C195"/>
    <mergeCell ref="B176:F176"/>
    <mergeCell ref="B177:F177"/>
    <mergeCell ref="B178:F178"/>
    <mergeCell ref="B180:D180"/>
    <mergeCell ref="B181:C181"/>
    <mergeCell ref="B182:C182"/>
    <mergeCell ref="B183:C183"/>
    <mergeCell ref="B191:C191"/>
    <mergeCell ref="B197:C197"/>
    <mergeCell ref="B198:C198"/>
    <mergeCell ref="B199:C199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934C-1A38-4300-8270-0A43692077FA}">
  <sheetPr>
    <outlinePr summaryBelow="0" summaryRight="0"/>
  </sheetPr>
  <dimension ref="A1:I173"/>
  <sheetViews>
    <sheetView showGridLines="0" workbookViewId="0">
      <selection sqref="A1:I1"/>
    </sheetView>
  </sheetViews>
  <sheetFormatPr defaultRowHeight="12.75" x14ac:dyDescent="0.2"/>
  <cols>
    <col min="1" max="1" width="6.85546875" style="172" customWidth="1"/>
    <col min="2" max="2" width="20.5703125" style="172" customWidth="1"/>
    <col min="3" max="3" width="38.140625" style="172" customWidth="1"/>
    <col min="4" max="4" width="17.85546875" style="172" customWidth="1"/>
    <col min="5" max="6" width="19.140625" style="172" customWidth="1"/>
    <col min="7" max="7" width="16.42578125" style="172" customWidth="1"/>
    <col min="8" max="8" width="9.140625" style="172"/>
    <col min="9" max="9" width="11.42578125" style="172" bestFit="1" customWidth="1"/>
    <col min="10" max="16384" width="9.140625" style="172"/>
  </cols>
  <sheetData>
    <row r="1" spans="1:9" ht="15" x14ac:dyDescent="0.2">
      <c r="A1" s="248" t="s">
        <v>0</v>
      </c>
      <c r="B1" s="248"/>
      <c r="C1" s="248"/>
      <c r="D1" s="248"/>
      <c r="E1" s="248"/>
      <c r="F1" s="248"/>
      <c r="G1" s="248"/>
      <c r="H1" s="248"/>
      <c r="I1" s="248"/>
    </row>
    <row r="2" spans="1:9" ht="15" x14ac:dyDescent="0.2">
      <c r="A2" s="248" t="s">
        <v>797</v>
      </c>
      <c r="B2" s="248"/>
      <c r="C2" s="248"/>
      <c r="D2" s="248"/>
      <c r="E2" s="248"/>
      <c r="F2" s="248"/>
      <c r="G2" s="248"/>
      <c r="H2" s="248"/>
      <c r="I2" s="248"/>
    </row>
    <row r="3" spans="1:9" ht="15" x14ac:dyDescent="0.2">
      <c r="A3" s="248" t="s">
        <v>988</v>
      </c>
      <c r="B3" s="248"/>
      <c r="C3" s="248"/>
      <c r="D3" s="248"/>
      <c r="E3" s="248"/>
      <c r="F3" s="248"/>
      <c r="G3" s="248"/>
      <c r="H3" s="248"/>
      <c r="I3" s="248"/>
    </row>
    <row r="4" spans="1:9" ht="30" x14ac:dyDescent="0.2">
      <c r="A4" s="173" t="s">
        <v>2</v>
      </c>
      <c r="B4" s="173" t="s">
        <v>3</v>
      </c>
      <c r="C4" s="173" t="s">
        <v>4</v>
      </c>
      <c r="D4" s="173" t="s">
        <v>5</v>
      </c>
      <c r="E4" s="174" t="s">
        <v>6</v>
      </c>
      <c r="F4" s="174" t="s">
        <v>7</v>
      </c>
      <c r="G4" s="174" t="s">
        <v>8</v>
      </c>
      <c r="H4" s="175" t="s">
        <v>828</v>
      </c>
      <c r="I4" s="176" t="s">
        <v>1002</v>
      </c>
    </row>
    <row r="5" spans="1:9" x14ac:dyDescent="0.2">
      <c r="A5" s="177" t="s">
        <v>9</v>
      </c>
      <c r="B5" s="177" t="s">
        <v>9</v>
      </c>
      <c r="C5" s="178" t="s">
        <v>10</v>
      </c>
      <c r="D5" s="177" t="s">
        <v>9</v>
      </c>
      <c r="E5" s="177" t="s">
        <v>9</v>
      </c>
      <c r="F5" s="177" t="s">
        <v>9</v>
      </c>
      <c r="G5" s="177" t="s">
        <v>9</v>
      </c>
      <c r="H5" s="179"/>
      <c r="I5" s="180"/>
    </row>
    <row r="6" spans="1:9" x14ac:dyDescent="0.2">
      <c r="A6" s="181" t="s">
        <v>9</v>
      </c>
      <c r="B6" s="181" t="s">
        <v>9</v>
      </c>
      <c r="C6" s="182" t="s">
        <v>11</v>
      </c>
      <c r="D6" s="181" t="s">
        <v>9</v>
      </c>
      <c r="E6" s="181" t="s">
        <v>9</v>
      </c>
      <c r="F6" s="181" t="s">
        <v>9</v>
      </c>
      <c r="G6" s="181" t="s">
        <v>9</v>
      </c>
      <c r="H6" s="179"/>
      <c r="I6" s="180"/>
    </row>
    <row r="7" spans="1:9" x14ac:dyDescent="0.2">
      <c r="A7" s="183">
        <v>1</v>
      </c>
      <c r="B7" s="184" t="s">
        <v>403</v>
      </c>
      <c r="C7" s="184" t="s">
        <v>404</v>
      </c>
      <c r="D7" s="184" t="s">
        <v>179</v>
      </c>
      <c r="E7" s="185">
        <v>704290</v>
      </c>
      <c r="F7" s="186">
        <v>11342.59045</v>
      </c>
      <c r="G7" s="187">
        <v>6.1484775999999998E-2</v>
      </c>
      <c r="H7" s="179"/>
      <c r="I7" s="180"/>
    </row>
    <row r="8" spans="1:9" x14ac:dyDescent="0.2">
      <c r="A8" s="183">
        <v>2</v>
      </c>
      <c r="B8" s="184" t="s">
        <v>20</v>
      </c>
      <c r="C8" s="184" t="s">
        <v>21</v>
      </c>
      <c r="D8" s="184" t="s">
        <v>22</v>
      </c>
      <c r="E8" s="185">
        <v>1367321</v>
      </c>
      <c r="F8" s="186">
        <v>9331.9658249999993</v>
      </c>
      <c r="G8" s="187">
        <v>5.0585783000000002E-2</v>
      </c>
      <c r="H8" s="179"/>
      <c r="I8" s="180"/>
    </row>
    <row r="9" spans="1:9" x14ac:dyDescent="0.2">
      <c r="A9" s="183">
        <v>3</v>
      </c>
      <c r="B9" s="184" t="s">
        <v>79</v>
      </c>
      <c r="C9" s="184" t="s">
        <v>80</v>
      </c>
      <c r="D9" s="184" t="s">
        <v>22</v>
      </c>
      <c r="E9" s="185">
        <v>613861</v>
      </c>
      <c r="F9" s="186">
        <v>8756.4202344999994</v>
      </c>
      <c r="G9" s="187">
        <v>4.7465924E-2</v>
      </c>
      <c r="H9" s="179"/>
      <c r="I9" s="180"/>
    </row>
    <row r="10" spans="1:9" x14ac:dyDescent="0.2">
      <c r="A10" s="183">
        <v>4</v>
      </c>
      <c r="B10" s="184" t="s">
        <v>12</v>
      </c>
      <c r="C10" s="184" t="s">
        <v>13</v>
      </c>
      <c r="D10" s="184" t="s">
        <v>14</v>
      </c>
      <c r="E10" s="185">
        <v>369779</v>
      </c>
      <c r="F10" s="186">
        <v>5921.8257954999999</v>
      </c>
      <c r="G10" s="187">
        <v>3.2100439000000001E-2</v>
      </c>
      <c r="H10" s="179"/>
      <c r="I10" s="180"/>
    </row>
    <row r="11" spans="1:9" x14ac:dyDescent="0.2">
      <c r="A11" s="183">
        <v>5</v>
      </c>
      <c r="B11" s="184" t="s">
        <v>407</v>
      </c>
      <c r="C11" s="184" t="s">
        <v>408</v>
      </c>
      <c r="D11" s="184" t="s">
        <v>22</v>
      </c>
      <c r="E11" s="185">
        <v>1190548</v>
      </c>
      <c r="F11" s="186">
        <v>5140.7862640000003</v>
      </c>
      <c r="G11" s="187">
        <v>2.7866657999999999E-2</v>
      </c>
      <c r="H11" s="179"/>
      <c r="I11" s="180"/>
    </row>
    <row r="12" spans="1:9" x14ac:dyDescent="0.2">
      <c r="A12" s="183">
        <v>6</v>
      </c>
      <c r="B12" s="184" t="s">
        <v>442</v>
      </c>
      <c r="C12" s="184" t="s">
        <v>443</v>
      </c>
      <c r="D12" s="184" t="s">
        <v>28</v>
      </c>
      <c r="E12" s="185">
        <v>243881</v>
      </c>
      <c r="F12" s="186">
        <v>5076.9927175000003</v>
      </c>
      <c r="G12" s="187">
        <v>2.7520851999999998E-2</v>
      </c>
      <c r="H12" s="179"/>
      <c r="I12" s="180"/>
    </row>
    <row r="13" spans="1:9" x14ac:dyDescent="0.2">
      <c r="A13" s="183">
        <v>7</v>
      </c>
      <c r="B13" s="184" t="s">
        <v>516</v>
      </c>
      <c r="C13" s="184" t="s">
        <v>517</v>
      </c>
      <c r="D13" s="184" t="s">
        <v>22</v>
      </c>
      <c r="E13" s="185">
        <v>1376074</v>
      </c>
      <c r="F13" s="186">
        <v>4816.9470369999999</v>
      </c>
      <c r="G13" s="187">
        <v>2.6111222999999999E-2</v>
      </c>
      <c r="H13" s="179"/>
      <c r="I13" s="180"/>
    </row>
    <row r="14" spans="1:9" ht="25.5" x14ac:dyDescent="0.2">
      <c r="A14" s="183">
        <v>8</v>
      </c>
      <c r="B14" s="184" t="s">
        <v>336</v>
      </c>
      <c r="C14" s="184" t="s">
        <v>337</v>
      </c>
      <c r="D14" s="184" t="s">
        <v>67</v>
      </c>
      <c r="E14" s="185">
        <v>591097</v>
      </c>
      <c r="F14" s="186">
        <v>4502.9769459999998</v>
      </c>
      <c r="G14" s="187">
        <v>2.4409284999999999E-2</v>
      </c>
      <c r="H14" s="179"/>
      <c r="I14" s="180"/>
    </row>
    <row r="15" spans="1:9" x14ac:dyDescent="0.2">
      <c r="A15" s="183">
        <v>9</v>
      </c>
      <c r="B15" s="184" t="s">
        <v>405</v>
      </c>
      <c r="C15" s="184" t="s">
        <v>406</v>
      </c>
      <c r="D15" s="184" t="s">
        <v>161</v>
      </c>
      <c r="E15" s="185">
        <v>171620</v>
      </c>
      <c r="F15" s="186">
        <v>4189.5016299999997</v>
      </c>
      <c r="G15" s="187">
        <v>2.2710029999999999E-2</v>
      </c>
      <c r="H15" s="179"/>
      <c r="I15" s="180"/>
    </row>
    <row r="16" spans="1:9" x14ac:dyDescent="0.2">
      <c r="A16" s="183">
        <v>10</v>
      </c>
      <c r="B16" s="184" t="s">
        <v>326</v>
      </c>
      <c r="C16" s="184" t="s">
        <v>327</v>
      </c>
      <c r="D16" s="184" t="s">
        <v>200</v>
      </c>
      <c r="E16" s="185">
        <v>104775</v>
      </c>
      <c r="F16" s="186">
        <v>4118.1289875000002</v>
      </c>
      <c r="G16" s="187">
        <v>2.2323140000000002E-2</v>
      </c>
      <c r="H16" s="179"/>
      <c r="I16" s="180"/>
    </row>
    <row r="17" spans="1:9" x14ac:dyDescent="0.2">
      <c r="A17" s="183">
        <v>11</v>
      </c>
      <c r="B17" s="184" t="s">
        <v>328</v>
      </c>
      <c r="C17" s="184" t="s">
        <v>329</v>
      </c>
      <c r="D17" s="184" t="s">
        <v>266</v>
      </c>
      <c r="E17" s="185">
        <v>136109</v>
      </c>
      <c r="F17" s="186">
        <v>4015.4877179999999</v>
      </c>
      <c r="G17" s="187">
        <v>2.1766753E-2</v>
      </c>
      <c r="H17" s="179"/>
      <c r="I17" s="180"/>
    </row>
    <row r="18" spans="1:9" x14ac:dyDescent="0.2">
      <c r="A18" s="183">
        <v>12</v>
      </c>
      <c r="B18" s="184" t="s">
        <v>53</v>
      </c>
      <c r="C18" s="184" t="s">
        <v>54</v>
      </c>
      <c r="D18" s="184" t="s">
        <v>17</v>
      </c>
      <c r="E18" s="185">
        <v>867538</v>
      </c>
      <c r="F18" s="186">
        <v>3864.8817899999999</v>
      </c>
      <c r="G18" s="187">
        <v>2.0950363E-2</v>
      </c>
      <c r="H18" s="179"/>
      <c r="I18" s="180"/>
    </row>
    <row r="19" spans="1:9" x14ac:dyDescent="0.2">
      <c r="A19" s="183">
        <v>13</v>
      </c>
      <c r="B19" s="184" t="s">
        <v>419</v>
      </c>
      <c r="C19" s="184" t="s">
        <v>420</v>
      </c>
      <c r="D19" s="184" t="s">
        <v>179</v>
      </c>
      <c r="E19" s="185">
        <v>116980</v>
      </c>
      <c r="F19" s="186">
        <v>3705.2830100000001</v>
      </c>
      <c r="G19" s="187">
        <v>2.0085226000000001E-2</v>
      </c>
      <c r="H19" s="179"/>
      <c r="I19" s="180"/>
    </row>
    <row r="20" spans="1:9" ht="25.5" x14ac:dyDescent="0.2">
      <c r="A20" s="183">
        <v>14</v>
      </c>
      <c r="B20" s="184" t="s">
        <v>485</v>
      </c>
      <c r="C20" s="184" t="s">
        <v>486</v>
      </c>
      <c r="D20" s="184" t="s">
        <v>67</v>
      </c>
      <c r="E20" s="185">
        <v>567883</v>
      </c>
      <c r="F20" s="186">
        <v>3638.7103225000001</v>
      </c>
      <c r="G20" s="187">
        <v>1.9724355999999998E-2</v>
      </c>
      <c r="H20" s="179"/>
      <c r="I20" s="180"/>
    </row>
    <row r="21" spans="1:9" x14ac:dyDescent="0.2">
      <c r="A21" s="183">
        <v>15</v>
      </c>
      <c r="B21" s="184" t="s">
        <v>357</v>
      </c>
      <c r="C21" s="184" t="s">
        <v>358</v>
      </c>
      <c r="D21" s="184" t="s">
        <v>22</v>
      </c>
      <c r="E21" s="185">
        <v>463925</v>
      </c>
      <c r="F21" s="186">
        <v>3288.7643250000001</v>
      </c>
      <c r="G21" s="187">
        <v>1.7827402999999999E-2</v>
      </c>
      <c r="H21" s="179"/>
      <c r="I21" s="180"/>
    </row>
    <row r="22" spans="1:9" x14ac:dyDescent="0.2">
      <c r="A22" s="183">
        <v>16</v>
      </c>
      <c r="B22" s="184" t="s">
        <v>371</v>
      </c>
      <c r="C22" s="184" t="s">
        <v>372</v>
      </c>
      <c r="D22" s="184" t="s">
        <v>179</v>
      </c>
      <c r="E22" s="185">
        <v>307173</v>
      </c>
      <c r="F22" s="186">
        <v>3148.3696635000001</v>
      </c>
      <c r="G22" s="187">
        <v>1.7066365999999999E-2</v>
      </c>
      <c r="H22" s="179"/>
      <c r="I22" s="180"/>
    </row>
    <row r="23" spans="1:9" x14ac:dyDescent="0.2">
      <c r="A23" s="183">
        <v>17</v>
      </c>
      <c r="B23" s="184" t="s">
        <v>256</v>
      </c>
      <c r="C23" s="184" t="s">
        <v>257</v>
      </c>
      <c r="D23" s="184" t="s">
        <v>930</v>
      </c>
      <c r="E23" s="185">
        <v>552800</v>
      </c>
      <c r="F23" s="186">
        <v>3097.0619999999999</v>
      </c>
      <c r="G23" s="187">
        <v>1.6788243000000001E-2</v>
      </c>
      <c r="H23" s="179"/>
      <c r="I23" s="180"/>
    </row>
    <row r="24" spans="1:9" x14ac:dyDescent="0.2">
      <c r="A24" s="183">
        <v>18</v>
      </c>
      <c r="B24" s="184" t="s">
        <v>208</v>
      </c>
      <c r="C24" s="184" t="s">
        <v>209</v>
      </c>
      <c r="D24" s="184" t="s">
        <v>161</v>
      </c>
      <c r="E24" s="185">
        <v>515226</v>
      </c>
      <c r="F24" s="186">
        <v>3092.128839</v>
      </c>
      <c r="G24" s="187">
        <v>1.6761502000000001E-2</v>
      </c>
      <c r="H24" s="179"/>
      <c r="I24" s="180"/>
    </row>
    <row r="25" spans="1:9" x14ac:dyDescent="0.2">
      <c r="A25" s="183">
        <v>19</v>
      </c>
      <c r="B25" s="184" t="s">
        <v>306</v>
      </c>
      <c r="C25" s="184" t="s">
        <v>307</v>
      </c>
      <c r="D25" s="184" t="s">
        <v>179</v>
      </c>
      <c r="E25" s="185">
        <v>106245</v>
      </c>
      <c r="F25" s="186">
        <v>3044.1317399999998</v>
      </c>
      <c r="G25" s="187">
        <v>1.6501324000000001E-2</v>
      </c>
      <c r="H25" s="179"/>
      <c r="I25" s="180"/>
    </row>
    <row r="26" spans="1:9" x14ac:dyDescent="0.2">
      <c r="A26" s="183">
        <v>20</v>
      </c>
      <c r="B26" s="184" t="s">
        <v>101</v>
      </c>
      <c r="C26" s="184" t="s">
        <v>102</v>
      </c>
      <c r="D26" s="184" t="s">
        <v>76</v>
      </c>
      <c r="E26" s="185">
        <v>543670</v>
      </c>
      <c r="F26" s="186">
        <v>3032.3194250000001</v>
      </c>
      <c r="G26" s="187">
        <v>1.6437292999999999E-2</v>
      </c>
      <c r="H26" s="179"/>
      <c r="I26" s="180"/>
    </row>
    <row r="27" spans="1:9" x14ac:dyDescent="0.2">
      <c r="A27" s="183">
        <v>21</v>
      </c>
      <c r="B27" s="184" t="s">
        <v>395</v>
      </c>
      <c r="C27" s="184" t="s">
        <v>396</v>
      </c>
      <c r="D27" s="184" t="s">
        <v>932</v>
      </c>
      <c r="E27" s="185">
        <v>20426</v>
      </c>
      <c r="F27" s="186">
        <v>2905.0265720000002</v>
      </c>
      <c r="G27" s="187">
        <v>1.5747276000000001E-2</v>
      </c>
      <c r="H27" s="179"/>
      <c r="I27" s="180"/>
    </row>
    <row r="28" spans="1:9" ht="25.5" x14ac:dyDescent="0.2">
      <c r="A28" s="183">
        <v>22</v>
      </c>
      <c r="B28" s="184" t="s">
        <v>491</v>
      </c>
      <c r="C28" s="184" t="s">
        <v>492</v>
      </c>
      <c r="D28" s="184" t="s">
        <v>67</v>
      </c>
      <c r="E28" s="185">
        <v>22304</v>
      </c>
      <c r="F28" s="186">
        <v>2828.2810239999999</v>
      </c>
      <c r="G28" s="187">
        <v>1.5331262E-2</v>
      </c>
      <c r="H28" s="179"/>
      <c r="I28" s="180"/>
    </row>
    <row r="29" spans="1:9" x14ac:dyDescent="0.2">
      <c r="A29" s="183">
        <v>23</v>
      </c>
      <c r="B29" s="184" t="s">
        <v>23</v>
      </c>
      <c r="C29" s="184" t="s">
        <v>24</v>
      </c>
      <c r="D29" s="184" t="s">
        <v>25</v>
      </c>
      <c r="E29" s="185">
        <v>492230</v>
      </c>
      <c r="F29" s="186">
        <v>2764.6097949999998</v>
      </c>
      <c r="G29" s="187">
        <v>1.4986118999999999E-2</v>
      </c>
      <c r="H29" s="179"/>
      <c r="I29" s="180"/>
    </row>
    <row r="30" spans="1:9" x14ac:dyDescent="0.2">
      <c r="A30" s="183">
        <v>24</v>
      </c>
      <c r="B30" s="184" t="s">
        <v>359</v>
      </c>
      <c r="C30" s="184" t="s">
        <v>360</v>
      </c>
      <c r="D30" s="184" t="s">
        <v>161</v>
      </c>
      <c r="E30" s="185">
        <v>197458</v>
      </c>
      <c r="F30" s="186">
        <v>2744.8636580000002</v>
      </c>
      <c r="G30" s="187">
        <v>1.4879081000000001E-2</v>
      </c>
      <c r="H30" s="179"/>
      <c r="I30" s="180"/>
    </row>
    <row r="31" spans="1:9" x14ac:dyDescent="0.2">
      <c r="A31" s="183">
        <v>25</v>
      </c>
      <c r="B31" s="184" t="s">
        <v>369</v>
      </c>
      <c r="C31" s="184" t="s">
        <v>370</v>
      </c>
      <c r="D31" s="184" t="s">
        <v>62</v>
      </c>
      <c r="E31" s="185">
        <v>62720</v>
      </c>
      <c r="F31" s="186">
        <v>2699.84512</v>
      </c>
      <c r="G31" s="187">
        <v>1.4635049000000001E-2</v>
      </c>
      <c r="H31" s="179"/>
      <c r="I31" s="180"/>
    </row>
    <row r="32" spans="1:9" x14ac:dyDescent="0.2">
      <c r="A32" s="183">
        <v>26</v>
      </c>
      <c r="B32" s="184" t="s">
        <v>413</v>
      </c>
      <c r="C32" s="184" t="s">
        <v>414</v>
      </c>
      <c r="D32" s="184" t="s">
        <v>200</v>
      </c>
      <c r="E32" s="185">
        <v>317342</v>
      </c>
      <c r="F32" s="186">
        <v>2456.068409</v>
      </c>
      <c r="G32" s="187">
        <v>1.3313609000000001E-2</v>
      </c>
      <c r="H32" s="179"/>
      <c r="I32" s="180"/>
    </row>
    <row r="33" spans="1:9" ht="25.5" x14ac:dyDescent="0.2">
      <c r="A33" s="183">
        <v>27</v>
      </c>
      <c r="B33" s="184" t="s">
        <v>33</v>
      </c>
      <c r="C33" s="184" t="s">
        <v>34</v>
      </c>
      <c r="D33" s="184" t="s">
        <v>925</v>
      </c>
      <c r="E33" s="185">
        <v>31126</v>
      </c>
      <c r="F33" s="186">
        <v>2371.5521920000001</v>
      </c>
      <c r="G33" s="187">
        <v>1.2855472E-2</v>
      </c>
      <c r="H33" s="179"/>
      <c r="I33" s="180"/>
    </row>
    <row r="34" spans="1:9" x14ac:dyDescent="0.2">
      <c r="A34" s="183">
        <v>28</v>
      </c>
      <c r="B34" s="184" t="s">
        <v>15</v>
      </c>
      <c r="C34" s="184" t="s">
        <v>16</v>
      </c>
      <c r="D34" s="184" t="s">
        <v>17</v>
      </c>
      <c r="E34" s="185">
        <v>115219</v>
      </c>
      <c r="F34" s="186">
        <v>2345.0523069999999</v>
      </c>
      <c r="G34" s="187">
        <v>1.2711824E-2</v>
      </c>
      <c r="H34" s="179"/>
      <c r="I34" s="180"/>
    </row>
    <row r="35" spans="1:9" x14ac:dyDescent="0.2">
      <c r="A35" s="183">
        <v>29</v>
      </c>
      <c r="B35" s="184" t="s">
        <v>86</v>
      </c>
      <c r="C35" s="184" t="s">
        <v>87</v>
      </c>
      <c r="D35" s="184" t="s">
        <v>88</v>
      </c>
      <c r="E35" s="185">
        <v>1696366</v>
      </c>
      <c r="F35" s="186">
        <v>2252.7740480000002</v>
      </c>
      <c r="G35" s="187">
        <v>1.2211611000000001E-2</v>
      </c>
      <c r="H35" s="179"/>
      <c r="I35" s="180"/>
    </row>
    <row r="36" spans="1:9" x14ac:dyDescent="0.2">
      <c r="A36" s="183">
        <v>30</v>
      </c>
      <c r="B36" s="184" t="s">
        <v>308</v>
      </c>
      <c r="C36" s="184" t="s">
        <v>309</v>
      </c>
      <c r="D36" s="184" t="s">
        <v>182</v>
      </c>
      <c r="E36" s="185">
        <v>52201</v>
      </c>
      <c r="F36" s="186">
        <v>2106.3103500000002</v>
      </c>
      <c r="G36" s="187">
        <v>1.1417676E-2</v>
      </c>
      <c r="H36" s="179"/>
      <c r="I36" s="180"/>
    </row>
    <row r="37" spans="1:9" x14ac:dyDescent="0.2">
      <c r="A37" s="183">
        <v>31</v>
      </c>
      <c r="B37" s="184" t="s">
        <v>212</v>
      </c>
      <c r="C37" s="184" t="s">
        <v>213</v>
      </c>
      <c r="D37" s="184" t="s">
        <v>929</v>
      </c>
      <c r="E37" s="185">
        <v>235038</v>
      </c>
      <c r="F37" s="186">
        <v>2043.3028529999999</v>
      </c>
      <c r="G37" s="187">
        <v>1.1076130999999999E-2</v>
      </c>
      <c r="H37" s="179"/>
      <c r="I37" s="180"/>
    </row>
    <row r="38" spans="1:9" ht="25.5" x14ac:dyDescent="0.2">
      <c r="A38" s="183">
        <v>32</v>
      </c>
      <c r="B38" s="184" t="s">
        <v>393</v>
      </c>
      <c r="C38" s="184" t="s">
        <v>394</v>
      </c>
      <c r="D38" s="184" t="s">
        <v>67</v>
      </c>
      <c r="E38" s="185">
        <v>250803</v>
      </c>
      <c r="F38" s="186">
        <v>1896.6976875</v>
      </c>
      <c r="G38" s="187">
        <v>1.0281428E-2</v>
      </c>
      <c r="H38" s="179"/>
      <c r="I38" s="180"/>
    </row>
    <row r="39" spans="1:9" x14ac:dyDescent="0.2">
      <c r="A39" s="183">
        <v>33</v>
      </c>
      <c r="B39" s="184" t="s">
        <v>232</v>
      </c>
      <c r="C39" s="184" t="s">
        <v>233</v>
      </c>
      <c r="D39" s="184" t="s">
        <v>37</v>
      </c>
      <c r="E39" s="185">
        <v>214665</v>
      </c>
      <c r="F39" s="186">
        <v>1853.9542724999999</v>
      </c>
      <c r="G39" s="187">
        <v>1.0049729E-2</v>
      </c>
      <c r="H39" s="179"/>
      <c r="I39" s="180"/>
    </row>
    <row r="40" spans="1:9" x14ac:dyDescent="0.2">
      <c r="A40" s="183">
        <v>34</v>
      </c>
      <c r="B40" s="184" t="s">
        <v>89</v>
      </c>
      <c r="C40" s="184" t="s">
        <v>90</v>
      </c>
      <c r="D40" s="184" t="s">
        <v>37</v>
      </c>
      <c r="E40" s="185">
        <v>543806</v>
      </c>
      <c r="F40" s="186">
        <v>1852.4751389999999</v>
      </c>
      <c r="G40" s="187">
        <v>1.0041711E-2</v>
      </c>
      <c r="H40" s="179"/>
      <c r="I40" s="180"/>
    </row>
    <row r="41" spans="1:9" x14ac:dyDescent="0.2">
      <c r="A41" s="183">
        <v>35</v>
      </c>
      <c r="B41" s="184" t="s">
        <v>93</v>
      </c>
      <c r="C41" s="184" t="s">
        <v>94</v>
      </c>
      <c r="D41" s="184" t="s">
        <v>28</v>
      </c>
      <c r="E41" s="185">
        <v>25000</v>
      </c>
      <c r="F41" s="186">
        <v>1715.825</v>
      </c>
      <c r="G41" s="187">
        <v>9.3009719999999994E-3</v>
      </c>
      <c r="H41" s="179"/>
      <c r="I41" s="180"/>
    </row>
    <row r="42" spans="1:9" x14ac:dyDescent="0.2">
      <c r="A42" s="183">
        <v>36</v>
      </c>
      <c r="B42" s="184" t="s">
        <v>411</v>
      </c>
      <c r="C42" s="184" t="s">
        <v>412</v>
      </c>
      <c r="D42" s="184" t="s">
        <v>59</v>
      </c>
      <c r="E42" s="185">
        <v>95890</v>
      </c>
      <c r="F42" s="186">
        <v>1375.3502699999999</v>
      </c>
      <c r="G42" s="187">
        <v>7.4553609999999998E-3</v>
      </c>
      <c r="H42" s="179"/>
      <c r="I42" s="180"/>
    </row>
    <row r="43" spans="1:9" x14ac:dyDescent="0.2">
      <c r="A43" s="183">
        <v>37</v>
      </c>
      <c r="B43" s="184" t="s">
        <v>168</v>
      </c>
      <c r="C43" s="184" t="s">
        <v>169</v>
      </c>
      <c r="D43" s="184" t="s">
        <v>28</v>
      </c>
      <c r="E43" s="185">
        <v>187458</v>
      </c>
      <c r="F43" s="186">
        <v>1328.7023039999999</v>
      </c>
      <c r="G43" s="187">
        <v>7.2024960000000001E-3</v>
      </c>
      <c r="H43" s="179"/>
      <c r="I43" s="180"/>
    </row>
    <row r="44" spans="1:9" x14ac:dyDescent="0.2">
      <c r="A44" s="183">
        <v>38</v>
      </c>
      <c r="B44" s="184" t="s">
        <v>31</v>
      </c>
      <c r="C44" s="184" t="s">
        <v>32</v>
      </c>
      <c r="D44" s="184" t="s">
        <v>28</v>
      </c>
      <c r="E44" s="185">
        <v>68815</v>
      </c>
      <c r="F44" s="186">
        <v>1273.5247975</v>
      </c>
      <c r="G44" s="187">
        <v>6.9033949999999997E-3</v>
      </c>
      <c r="H44" s="179"/>
      <c r="I44" s="180"/>
    </row>
    <row r="45" spans="1:9" ht="25.5" x14ac:dyDescent="0.2">
      <c r="A45" s="183">
        <v>39</v>
      </c>
      <c r="B45" s="184" t="s">
        <v>99</v>
      </c>
      <c r="C45" s="184" t="s">
        <v>100</v>
      </c>
      <c r="D45" s="184" t="s">
        <v>925</v>
      </c>
      <c r="E45" s="185">
        <v>55091</v>
      </c>
      <c r="F45" s="186">
        <v>1178.451581</v>
      </c>
      <c r="G45" s="187">
        <v>6.3880320000000001E-3</v>
      </c>
      <c r="H45" s="179"/>
      <c r="I45" s="180"/>
    </row>
    <row r="46" spans="1:9" x14ac:dyDescent="0.2">
      <c r="A46" s="183">
        <v>40</v>
      </c>
      <c r="B46" s="184" t="s">
        <v>425</v>
      </c>
      <c r="C46" s="184" t="s">
        <v>426</v>
      </c>
      <c r="D46" s="184" t="s">
        <v>427</v>
      </c>
      <c r="E46" s="185">
        <v>216487</v>
      </c>
      <c r="F46" s="186">
        <v>962.93417599999998</v>
      </c>
      <c r="G46" s="187">
        <v>5.2197770000000001E-3</v>
      </c>
      <c r="H46" s="179"/>
      <c r="I46" s="180"/>
    </row>
    <row r="47" spans="1:9" x14ac:dyDescent="0.2">
      <c r="A47" s="183">
        <v>41</v>
      </c>
      <c r="B47" s="184" t="s">
        <v>95</v>
      </c>
      <c r="C47" s="184" t="s">
        <v>96</v>
      </c>
      <c r="D47" s="184" t="s">
        <v>50</v>
      </c>
      <c r="E47" s="185">
        <v>109708</v>
      </c>
      <c r="F47" s="186">
        <v>739.98045999999999</v>
      </c>
      <c r="G47" s="187">
        <v>4.0112120000000001E-3</v>
      </c>
      <c r="H47" s="179"/>
      <c r="I47" s="180"/>
    </row>
    <row r="48" spans="1:9" x14ac:dyDescent="0.2">
      <c r="A48" s="183">
        <v>42</v>
      </c>
      <c r="B48" s="184" t="s">
        <v>446</v>
      </c>
      <c r="C48" s="184" t="s">
        <v>447</v>
      </c>
      <c r="D48" s="184" t="s">
        <v>200</v>
      </c>
      <c r="E48" s="185">
        <v>75252</v>
      </c>
      <c r="F48" s="186">
        <v>692.35602600000004</v>
      </c>
      <c r="G48" s="187">
        <v>3.753054E-3</v>
      </c>
      <c r="H48" s="179"/>
      <c r="I48" s="180"/>
    </row>
    <row r="49" spans="1:9" x14ac:dyDescent="0.2">
      <c r="A49" s="183">
        <v>43</v>
      </c>
      <c r="B49" s="184" t="s">
        <v>322</v>
      </c>
      <c r="C49" s="184" t="s">
        <v>323</v>
      </c>
      <c r="D49" s="184" t="s">
        <v>62</v>
      </c>
      <c r="E49" s="185">
        <v>134358</v>
      </c>
      <c r="F49" s="186">
        <v>654.45781799999997</v>
      </c>
      <c r="G49" s="187">
        <v>3.5476190000000001E-3</v>
      </c>
      <c r="H49" s="179"/>
      <c r="I49" s="180"/>
    </row>
    <row r="50" spans="1:9" x14ac:dyDescent="0.2">
      <c r="A50" s="183">
        <v>44</v>
      </c>
      <c r="B50" s="184" t="s">
        <v>574</v>
      </c>
      <c r="C50" s="184" t="s">
        <v>575</v>
      </c>
      <c r="D50" s="184" t="s">
        <v>182</v>
      </c>
      <c r="E50" s="185">
        <v>19603</v>
      </c>
      <c r="F50" s="186">
        <v>557.65634250000005</v>
      </c>
      <c r="G50" s="187">
        <v>3.0228880000000001E-3</v>
      </c>
      <c r="H50" s="179"/>
      <c r="I50" s="180"/>
    </row>
    <row r="51" spans="1:9" x14ac:dyDescent="0.2">
      <c r="A51" s="183">
        <v>45</v>
      </c>
      <c r="B51" s="184" t="s">
        <v>421</v>
      </c>
      <c r="C51" s="184" t="s">
        <v>422</v>
      </c>
      <c r="D51" s="184" t="s">
        <v>88</v>
      </c>
      <c r="E51" s="185">
        <v>62610</v>
      </c>
      <c r="F51" s="186">
        <v>465.25491</v>
      </c>
      <c r="G51" s="187">
        <v>2.5220070000000002E-3</v>
      </c>
      <c r="H51" s="179"/>
      <c r="I51" s="180"/>
    </row>
    <row r="52" spans="1:9" x14ac:dyDescent="0.2">
      <c r="A52" s="183">
        <v>46</v>
      </c>
      <c r="B52" s="184" t="s">
        <v>173</v>
      </c>
      <c r="C52" s="184" t="s">
        <v>174</v>
      </c>
      <c r="D52" s="184" t="s">
        <v>179</v>
      </c>
      <c r="E52" s="185">
        <v>32438</v>
      </c>
      <c r="F52" s="186">
        <v>441.67580800000002</v>
      </c>
      <c r="G52" s="187">
        <v>2.3941919999999998E-3</v>
      </c>
      <c r="H52" s="179"/>
      <c r="I52" s="180"/>
    </row>
    <row r="53" spans="1:9" x14ac:dyDescent="0.2">
      <c r="A53" s="183">
        <v>47</v>
      </c>
      <c r="B53" s="184" t="s">
        <v>494</v>
      </c>
      <c r="C53" s="184" t="s">
        <v>495</v>
      </c>
      <c r="D53" s="184" t="s">
        <v>88</v>
      </c>
      <c r="E53" s="185">
        <v>5824</v>
      </c>
      <c r="F53" s="186">
        <v>406.38124800000003</v>
      </c>
      <c r="G53" s="187">
        <v>2.2028709999999999E-3</v>
      </c>
      <c r="H53" s="179"/>
      <c r="I53" s="180"/>
    </row>
    <row r="54" spans="1:9" x14ac:dyDescent="0.2">
      <c r="A54" s="183">
        <v>48</v>
      </c>
      <c r="B54" s="184" t="s">
        <v>377</v>
      </c>
      <c r="C54" s="184" t="s">
        <v>378</v>
      </c>
      <c r="D54" s="184" t="s">
        <v>346</v>
      </c>
      <c r="E54" s="185">
        <v>177978</v>
      </c>
      <c r="F54" s="186">
        <v>237.60063</v>
      </c>
      <c r="G54" s="187">
        <v>1.2879619999999999E-3</v>
      </c>
      <c r="H54" s="179"/>
      <c r="I54" s="180"/>
    </row>
    <row r="55" spans="1:9" x14ac:dyDescent="0.2">
      <c r="A55" s="181" t="s">
        <v>9</v>
      </c>
      <c r="B55" s="181" t="s">
        <v>9</v>
      </c>
      <c r="C55" s="182" t="s">
        <v>110</v>
      </c>
      <c r="D55" s="181" t="s">
        <v>9</v>
      </c>
      <c r="E55" s="181" t="s">
        <v>9</v>
      </c>
      <c r="F55" s="188">
        <v>142276.23951799999</v>
      </c>
      <c r="G55" s="167">
        <v>0.771236755</v>
      </c>
      <c r="H55" s="179"/>
      <c r="I55" s="180"/>
    </row>
    <row r="56" spans="1:9" x14ac:dyDescent="0.2">
      <c r="A56" s="181" t="s">
        <v>9</v>
      </c>
      <c r="B56" s="181" t="s">
        <v>9</v>
      </c>
      <c r="C56" s="189" t="s">
        <v>9</v>
      </c>
      <c r="D56" s="181" t="s">
        <v>9</v>
      </c>
      <c r="E56" s="181" t="s">
        <v>9</v>
      </c>
      <c r="F56" s="190" t="s">
        <v>9</v>
      </c>
      <c r="G56" s="190" t="s">
        <v>9</v>
      </c>
      <c r="H56" s="179"/>
      <c r="I56" s="180"/>
    </row>
    <row r="57" spans="1:9" x14ac:dyDescent="0.2">
      <c r="A57" s="181" t="s">
        <v>9</v>
      </c>
      <c r="B57" s="181" t="s">
        <v>9</v>
      </c>
      <c r="C57" s="182" t="s">
        <v>111</v>
      </c>
      <c r="D57" s="181" t="s">
        <v>9</v>
      </c>
      <c r="E57" s="181" t="s">
        <v>9</v>
      </c>
      <c r="F57" s="181" t="s">
        <v>9</v>
      </c>
      <c r="G57" s="181" t="s">
        <v>9</v>
      </c>
      <c r="H57" s="179"/>
      <c r="I57" s="180"/>
    </row>
    <row r="58" spans="1:9" x14ac:dyDescent="0.2">
      <c r="A58" s="181" t="s">
        <v>9</v>
      </c>
      <c r="B58" s="181" t="s">
        <v>9</v>
      </c>
      <c r="C58" s="182" t="s">
        <v>110</v>
      </c>
      <c r="D58" s="181" t="s">
        <v>9</v>
      </c>
      <c r="E58" s="181" t="s">
        <v>9</v>
      </c>
      <c r="F58" s="191">
        <v>0</v>
      </c>
      <c r="G58" s="192">
        <v>0</v>
      </c>
      <c r="H58" s="179"/>
      <c r="I58" s="180"/>
    </row>
    <row r="59" spans="1:9" x14ac:dyDescent="0.2">
      <c r="A59" s="181" t="s">
        <v>9</v>
      </c>
      <c r="B59" s="181" t="s">
        <v>9</v>
      </c>
      <c r="C59" s="189" t="s">
        <v>9</v>
      </c>
      <c r="D59" s="181" t="s">
        <v>9</v>
      </c>
      <c r="E59" s="181" t="s">
        <v>9</v>
      </c>
      <c r="F59" s="190" t="s">
        <v>9</v>
      </c>
      <c r="G59" s="190" t="s">
        <v>9</v>
      </c>
      <c r="H59" s="179"/>
      <c r="I59" s="180"/>
    </row>
    <row r="60" spans="1:9" x14ac:dyDescent="0.2">
      <c r="A60" s="181" t="s">
        <v>9</v>
      </c>
      <c r="B60" s="181" t="s">
        <v>9</v>
      </c>
      <c r="C60" s="182" t="s">
        <v>112</v>
      </c>
      <c r="D60" s="181" t="s">
        <v>9</v>
      </c>
      <c r="E60" s="181" t="s">
        <v>9</v>
      </c>
      <c r="F60" s="181" t="s">
        <v>9</v>
      </c>
      <c r="G60" s="181" t="s">
        <v>9</v>
      </c>
      <c r="H60" s="179"/>
      <c r="I60" s="180"/>
    </row>
    <row r="61" spans="1:9" x14ac:dyDescent="0.2">
      <c r="A61" s="181" t="s">
        <v>9</v>
      </c>
      <c r="B61" s="181" t="s">
        <v>9</v>
      </c>
      <c r="C61" s="182" t="s">
        <v>110</v>
      </c>
      <c r="D61" s="181" t="s">
        <v>9</v>
      </c>
      <c r="E61" s="181" t="s">
        <v>9</v>
      </c>
      <c r="F61" s="191">
        <v>0</v>
      </c>
      <c r="G61" s="192">
        <v>0</v>
      </c>
      <c r="H61" s="179"/>
      <c r="I61" s="180"/>
    </row>
    <row r="62" spans="1:9" x14ac:dyDescent="0.2">
      <c r="A62" s="181" t="s">
        <v>9</v>
      </c>
      <c r="B62" s="181" t="s">
        <v>9</v>
      </c>
      <c r="C62" s="189" t="s">
        <v>9</v>
      </c>
      <c r="D62" s="181" t="s">
        <v>9</v>
      </c>
      <c r="E62" s="181" t="s">
        <v>9</v>
      </c>
      <c r="F62" s="190" t="s">
        <v>9</v>
      </c>
      <c r="G62" s="190" t="s">
        <v>9</v>
      </c>
      <c r="H62" s="179"/>
      <c r="I62" s="180"/>
    </row>
    <row r="63" spans="1:9" x14ac:dyDescent="0.2">
      <c r="A63" s="181" t="s">
        <v>9</v>
      </c>
      <c r="B63" s="181" t="s">
        <v>9</v>
      </c>
      <c r="C63" s="182" t="s">
        <v>113</v>
      </c>
      <c r="D63" s="181" t="s">
        <v>9</v>
      </c>
      <c r="E63" s="181" t="s">
        <v>9</v>
      </c>
      <c r="F63" s="181" t="s">
        <v>9</v>
      </c>
      <c r="G63" s="181" t="s">
        <v>9</v>
      </c>
      <c r="H63" s="179"/>
      <c r="I63" s="180"/>
    </row>
    <row r="64" spans="1:9" x14ac:dyDescent="0.2">
      <c r="A64" s="181" t="s">
        <v>9</v>
      </c>
      <c r="B64" s="181" t="s">
        <v>9</v>
      </c>
      <c r="C64" s="182" t="s">
        <v>110</v>
      </c>
      <c r="D64" s="181" t="s">
        <v>9</v>
      </c>
      <c r="E64" s="181" t="s">
        <v>9</v>
      </c>
      <c r="F64" s="191">
        <v>0</v>
      </c>
      <c r="G64" s="192">
        <v>0</v>
      </c>
      <c r="H64" s="179"/>
      <c r="I64" s="180"/>
    </row>
    <row r="65" spans="1:9" x14ac:dyDescent="0.2">
      <c r="A65" s="181" t="s">
        <v>9</v>
      </c>
      <c r="B65" s="181" t="s">
        <v>9</v>
      </c>
      <c r="C65" s="189" t="s">
        <v>9</v>
      </c>
      <c r="D65" s="181" t="s">
        <v>9</v>
      </c>
      <c r="E65" s="181" t="s">
        <v>9</v>
      </c>
      <c r="F65" s="190" t="s">
        <v>9</v>
      </c>
      <c r="G65" s="190" t="s">
        <v>9</v>
      </c>
      <c r="H65" s="179"/>
      <c r="I65" s="180"/>
    </row>
    <row r="66" spans="1:9" x14ac:dyDescent="0.2">
      <c r="A66" s="181" t="s">
        <v>9</v>
      </c>
      <c r="B66" s="181" t="s">
        <v>9</v>
      </c>
      <c r="C66" s="182" t="s">
        <v>114</v>
      </c>
      <c r="D66" s="181" t="s">
        <v>9</v>
      </c>
      <c r="E66" s="181" t="s">
        <v>9</v>
      </c>
      <c r="F66" s="190" t="s">
        <v>9</v>
      </c>
      <c r="G66" s="190" t="s">
        <v>9</v>
      </c>
      <c r="H66" s="179"/>
      <c r="I66" s="180"/>
    </row>
    <row r="67" spans="1:9" x14ac:dyDescent="0.2">
      <c r="A67" s="181" t="s">
        <v>9</v>
      </c>
      <c r="B67" s="181" t="s">
        <v>9</v>
      </c>
      <c r="C67" s="182" t="s">
        <v>110</v>
      </c>
      <c r="D67" s="181" t="s">
        <v>9</v>
      </c>
      <c r="E67" s="181" t="s">
        <v>9</v>
      </c>
      <c r="F67" s="191">
        <v>0</v>
      </c>
      <c r="G67" s="192">
        <v>0</v>
      </c>
      <c r="H67" s="179"/>
      <c r="I67" s="180"/>
    </row>
    <row r="68" spans="1:9" x14ac:dyDescent="0.2">
      <c r="A68" s="181" t="s">
        <v>9</v>
      </c>
      <c r="B68" s="181" t="s">
        <v>9</v>
      </c>
      <c r="C68" s="189" t="s">
        <v>9</v>
      </c>
      <c r="D68" s="181" t="s">
        <v>9</v>
      </c>
      <c r="E68" s="181" t="s">
        <v>9</v>
      </c>
      <c r="F68" s="190" t="s">
        <v>9</v>
      </c>
      <c r="G68" s="190" t="s">
        <v>9</v>
      </c>
      <c r="H68" s="179"/>
      <c r="I68" s="180"/>
    </row>
    <row r="69" spans="1:9" x14ac:dyDescent="0.2">
      <c r="A69" s="181" t="s">
        <v>9</v>
      </c>
      <c r="B69" s="181" t="s">
        <v>9</v>
      </c>
      <c r="C69" s="182" t="s">
        <v>115</v>
      </c>
      <c r="D69" s="181" t="s">
        <v>9</v>
      </c>
      <c r="E69" s="181" t="s">
        <v>9</v>
      </c>
      <c r="F69" s="190" t="s">
        <v>9</v>
      </c>
      <c r="G69" s="190" t="s">
        <v>9</v>
      </c>
      <c r="H69" s="179"/>
      <c r="I69" s="180"/>
    </row>
    <row r="70" spans="1:9" x14ac:dyDescent="0.2">
      <c r="A70" s="181" t="s">
        <v>9</v>
      </c>
      <c r="B70" s="181" t="s">
        <v>9</v>
      </c>
      <c r="C70" s="182" t="s">
        <v>110</v>
      </c>
      <c r="D70" s="181" t="s">
        <v>9</v>
      </c>
      <c r="E70" s="181" t="s">
        <v>9</v>
      </c>
      <c r="F70" s="191">
        <v>0</v>
      </c>
      <c r="G70" s="192">
        <v>0</v>
      </c>
      <c r="H70" s="179"/>
      <c r="I70" s="180"/>
    </row>
    <row r="71" spans="1:9" x14ac:dyDescent="0.2">
      <c r="A71" s="181" t="s">
        <v>9</v>
      </c>
      <c r="B71" s="181" t="s">
        <v>9</v>
      </c>
      <c r="C71" s="189" t="s">
        <v>9</v>
      </c>
      <c r="D71" s="181" t="s">
        <v>9</v>
      </c>
      <c r="E71" s="181" t="s">
        <v>9</v>
      </c>
      <c r="F71" s="190" t="s">
        <v>9</v>
      </c>
      <c r="G71" s="190" t="s">
        <v>9</v>
      </c>
      <c r="H71" s="179"/>
      <c r="I71" s="180"/>
    </row>
    <row r="72" spans="1:9" x14ac:dyDescent="0.2">
      <c r="A72" s="181" t="s">
        <v>9</v>
      </c>
      <c r="B72" s="181" t="s">
        <v>9</v>
      </c>
      <c r="C72" s="182" t="s">
        <v>116</v>
      </c>
      <c r="D72" s="181" t="s">
        <v>9</v>
      </c>
      <c r="E72" s="181" t="s">
        <v>9</v>
      </c>
      <c r="F72" s="188">
        <v>142276.23951799999</v>
      </c>
      <c r="G72" s="167">
        <v>0.771236755</v>
      </c>
      <c r="H72" s="179"/>
      <c r="I72" s="180"/>
    </row>
    <row r="73" spans="1:9" x14ac:dyDescent="0.2">
      <c r="A73" s="181" t="s">
        <v>9</v>
      </c>
      <c r="B73" s="181" t="s">
        <v>9</v>
      </c>
      <c r="C73" s="189" t="s">
        <v>9</v>
      </c>
      <c r="D73" s="181" t="s">
        <v>9</v>
      </c>
      <c r="E73" s="181" t="s">
        <v>9</v>
      </c>
      <c r="F73" s="190" t="s">
        <v>9</v>
      </c>
      <c r="G73" s="190" t="s">
        <v>9</v>
      </c>
      <c r="H73" s="179"/>
      <c r="I73" s="180"/>
    </row>
    <row r="74" spans="1:9" x14ac:dyDescent="0.2">
      <c r="A74" s="181" t="s">
        <v>9</v>
      </c>
      <c r="B74" s="181" t="s">
        <v>9</v>
      </c>
      <c r="C74" s="182" t="s">
        <v>117</v>
      </c>
      <c r="D74" s="181" t="s">
        <v>9</v>
      </c>
      <c r="E74" s="181" t="s">
        <v>9</v>
      </c>
      <c r="F74" s="190" t="s">
        <v>9</v>
      </c>
      <c r="G74" s="190" t="s">
        <v>9</v>
      </c>
      <c r="H74" s="179"/>
      <c r="I74" s="180"/>
    </row>
    <row r="75" spans="1:9" x14ac:dyDescent="0.2">
      <c r="A75" s="181" t="s">
        <v>9</v>
      </c>
      <c r="B75" s="181" t="s">
        <v>9</v>
      </c>
      <c r="C75" s="182" t="s">
        <v>11</v>
      </c>
      <c r="D75" s="181" t="s">
        <v>9</v>
      </c>
      <c r="E75" s="181" t="s">
        <v>9</v>
      </c>
      <c r="F75" s="190" t="s">
        <v>9</v>
      </c>
      <c r="G75" s="190" t="s">
        <v>9</v>
      </c>
      <c r="H75" s="179"/>
      <c r="I75" s="180"/>
    </row>
    <row r="76" spans="1:9" ht="25.5" x14ac:dyDescent="0.2">
      <c r="A76" s="183">
        <v>1</v>
      </c>
      <c r="B76" s="184" t="s">
        <v>881</v>
      </c>
      <c r="C76" s="184" t="s">
        <v>882</v>
      </c>
      <c r="D76" s="184" t="s">
        <v>690</v>
      </c>
      <c r="E76" s="185">
        <v>250</v>
      </c>
      <c r="F76" s="186">
        <v>2591.7824999999998</v>
      </c>
      <c r="G76" s="187">
        <v>1.4049274E-2</v>
      </c>
      <c r="H76" s="193">
        <v>4.4450000000000003</v>
      </c>
      <c r="I76" s="180"/>
    </row>
    <row r="77" spans="1:9" x14ac:dyDescent="0.2">
      <c r="A77" s="183">
        <v>2</v>
      </c>
      <c r="B77" s="184" t="s">
        <v>883</v>
      </c>
      <c r="C77" s="184" t="s">
        <v>884</v>
      </c>
      <c r="D77" s="184" t="s">
        <v>690</v>
      </c>
      <c r="E77" s="185">
        <v>250</v>
      </c>
      <c r="F77" s="186">
        <v>2586.7550000000001</v>
      </c>
      <c r="G77" s="187">
        <v>1.4022022E-2</v>
      </c>
      <c r="H77" s="193">
        <v>4.6749999999999998</v>
      </c>
      <c r="I77" s="180"/>
    </row>
    <row r="78" spans="1:9" ht="25.5" x14ac:dyDescent="0.2">
      <c r="A78" s="183">
        <v>3</v>
      </c>
      <c r="B78" s="184" t="s">
        <v>885</v>
      </c>
      <c r="C78" s="194" t="s">
        <v>996</v>
      </c>
      <c r="D78" s="184" t="s">
        <v>886</v>
      </c>
      <c r="E78" s="185">
        <v>250</v>
      </c>
      <c r="F78" s="186">
        <v>2570.7449999999999</v>
      </c>
      <c r="G78" s="187">
        <v>1.3935236E-2</v>
      </c>
      <c r="H78" s="193">
        <v>7.7370000000000001</v>
      </c>
      <c r="I78" s="180">
        <v>5.1810379854999997</v>
      </c>
    </row>
    <row r="79" spans="1:9" x14ac:dyDescent="0.2">
      <c r="A79" s="183">
        <v>4</v>
      </c>
      <c r="B79" s="184" t="s">
        <v>887</v>
      </c>
      <c r="C79" s="184" t="s">
        <v>888</v>
      </c>
      <c r="D79" s="184" t="s">
        <v>690</v>
      </c>
      <c r="E79" s="185">
        <v>250</v>
      </c>
      <c r="F79" s="186">
        <v>2520.395</v>
      </c>
      <c r="G79" s="187">
        <v>1.3662304E-2</v>
      </c>
      <c r="H79" s="193">
        <v>5.4050000000000002</v>
      </c>
      <c r="I79" s="180"/>
    </row>
    <row r="80" spans="1:9" ht="25.5" x14ac:dyDescent="0.2">
      <c r="A80" s="183">
        <v>5</v>
      </c>
      <c r="B80" s="184" t="s">
        <v>889</v>
      </c>
      <c r="C80" s="184" t="s">
        <v>890</v>
      </c>
      <c r="D80" s="184" t="s">
        <v>985</v>
      </c>
      <c r="E80" s="185">
        <v>250</v>
      </c>
      <c r="F80" s="186">
        <v>2510.96</v>
      </c>
      <c r="G80" s="187">
        <v>1.3611160000000001E-2</v>
      </c>
      <c r="H80" s="193">
        <v>4.1379999999999999</v>
      </c>
      <c r="I80" s="180"/>
    </row>
    <row r="81" spans="1:9" ht="25.5" x14ac:dyDescent="0.2">
      <c r="A81" s="183">
        <v>6</v>
      </c>
      <c r="B81" s="184" t="s">
        <v>891</v>
      </c>
      <c r="C81" s="194" t="s">
        <v>994</v>
      </c>
      <c r="D81" s="184" t="s">
        <v>886</v>
      </c>
      <c r="E81" s="185">
        <v>230</v>
      </c>
      <c r="F81" s="186">
        <v>2362.6588999999999</v>
      </c>
      <c r="G81" s="187">
        <v>1.2807264E-2</v>
      </c>
      <c r="H81" s="193">
        <v>8.4339999999999993</v>
      </c>
      <c r="I81" s="180">
        <v>5.1096438484000002</v>
      </c>
    </row>
    <row r="82" spans="1:9" ht="25.5" x14ac:dyDescent="0.2">
      <c r="A82" s="183">
        <v>7</v>
      </c>
      <c r="B82" s="184" t="s">
        <v>892</v>
      </c>
      <c r="C82" s="194" t="s">
        <v>999</v>
      </c>
      <c r="D82" s="184" t="s">
        <v>886</v>
      </c>
      <c r="E82" s="185">
        <v>200</v>
      </c>
      <c r="F82" s="186">
        <v>2044.374</v>
      </c>
      <c r="G82" s="187">
        <v>1.1081937E-2</v>
      </c>
      <c r="H82" s="193">
        <v>8.2629999999999999</v>
      </c>
      <c r="I82" s="180">
        <v>5.0152094138000001</v>
      </c>
    </row>
    <row r="83" spans="1:9" ht="25.5" x14ac:dyDescent="0.2">
      <c r="A83" s="183">
        <v>8</v>
      </c>
      <c r="B83" s="184" t="s">
        <v>893</v>
      </c>
      <c r="C83" s="194" t="s">
        <v>995</v>
      </c>
      <c r="D83" s="184" t="s">
        <v>886</v>
      </c>
      <c r="E83" s="185">
        <v>200</v>
      </c>
      <c r="F83" s="186">
        <v>2012.28</v>
      </c>
      <c r="G83" s="187">
        <v>1.0907965E-2</v>
      </c>
      <c r="H83" s="193">
        <v>8.2919999999999998</v>
      </c>
      <c r="I83" s="180">
        <v>5.37586256235</v>
      </c>
    </row>
    <row r="84" spans="1:9" ht="25.5" x14ac:dyDescent="0.2">
      <c r="A84" s="183">
        <v>9</v>
      </c>
      <c r="B84" s="184" t="s">
        <v>894</v>
      </c>
      <c r="C84" s="194" t="s">
        <v>993</v>
      </c>
      <c r="D84" s="184" t="s">
        <v>895</v>
      </c>
      <c r="E84" s="185">
        <v>150</v>
      </c>
      <c r="F84" s="186">
        <v>1602.7139999999999</v>
      </c>
      <c r="G84" s="187">
        <v>8.687831E-3</v>
      </c>
      <c r="H84" s="193">
        <v>7.3239999999999998</v>
      </c>
      <c r="I84" s="180">
        <v>5.5622453912500003</v>
      </c>
    </row>
    <row r="85" spans="1:9" x14ac:dyDescent="0.2">
      <c r="A85" s="183">
        <v>10</v>
      </c>
      <c r="B85" s="184" t="s">
        <v>896</v>
      </c>
      <c r="C85" s="184" t="s">
        <v>897</v>
      </c>
      <c r="D85" s="184" t="s">
        <v>690</v>
      </c>
      <c r="E85" s="185">
        <v>150</v>
      </c>
      <c r="F85" s="186">
        <v>1580.115</v>
      </c>
      <c r="G85" s="187">
        <v>8.565329E-3</v>
      </c>
      <c r="H85" s="193">
        <v>5.27</v>
      </c>
      <c r="I85" s="180"/>
    </row>
    <row r="86" spans="1:9" ht="25.5" x14ac:dyDescent="0.2">
      <c r="A86" s="183">
        <v>11</v>
      </c>
      <c r="B86" s="184" t="s">
        <v>898</v>
      </c>
      <c r="C86" s="194" t="s">
        <v>992</v>
      </c>
      <c r="D86" s="184" t="s">
        <v>886</v>
      </c>
      <c r="E86" s="185">
        <v>150</v>
      </c>
      <c r="F86" s="186">
        <v>1551.4575</v>
      </c>
      <c r="G86" s="187">
        <v>8.409985E-3</v>
      </c>
      <c r="H86" s="193">
        <v>8.1389999999999993</v>
      </c>
      <c r="I86" s="180">
        <v>5.1353837318000002</v>
      </c>
    </row>
    <row r="87" spans="1:9" x14ac:dyDescent="0.2">
      <c r="A87" s="183">
        <v>12</v>
      </c>
      <c r="B87" s="184" t="s">
        <v>899</v>
      </c>
      <c r="C87" s="184" t="s">
        <v>900</v>
      </c>
      <c r="D87" s="184" t="s">
        <v>901</v>
      </c>
      <c r="E87" s="185">
        <v>150</v>
      </c>
      <c r="F87" s="186">
        <v>1504.1775</v>
      </c>
      <c r="G87" s="187">
        <v>8.1536939999999995E-3</v>
      </c>
      <c r="H87" s="193">
        <v>4.0449999999999999</v>
      </c>
      <c r="I87" s="180"/>
    </row>
    <row r="88" spans="1:9" x14ac:dyDescent="0.2">
      <c r="A88" s="183">
        <v>13</v>
      </c>
      <c r="B88" s="184" t="s">
        <v>902</v>
      </c>
      <c r="C88" s="184" t="s">
        <v>903</v>
      </c>
      <c r="D88" s="184" t="s">
        <v>690</v>
      </c>
      <c r="E88" s="185">
        <v>100</v>
      </c>
      <c r="F88" s="186">
        <v>1070.7380000000001</v>
      </c>
      <c r="G88" s="187">
        <v>5.8041489999999998E-3</v>
      </c>
      <c r="H88" s="193">
        <v>5.34</v>
      </c>
      <c r="I88" s="180"/>
    </row>
    <row r="89" spans="1:9" ht="25.5" x14ac:dyDescent="0.2">
      <c r="A89" s="183">
        <v>14</v>
      </c>
      <c r="B89" s="184" t="s">
        <v>904</v>
      </c>
      <c r="C89" s="184" t="s">
        <v>905</v>
      </c>
      <c r="D89" s="184" t="s">
        <v>690</v>
      </c>
      <c r="E89" s="185">
        <v>100</v>
      </c>
      <c r="F89" s="186">
        <v>1063.336</v>
      </c>
      <c r="G89" s="187">
        <v>5.7640249999999999E-3</v>
      </c>
      <c r="H89" s="193">
        <v>5.21</v>
      </c>
      <c r="I89" s="180"/>
    </row>
    <row r="90" spans="1:9" x14ac:dyDescent="0.2">
      <c r="A90" s="183">
        <v>15</v>
      </c>
      <c r="B90" s="184" t="s">
        <v>906</v>
      </c>
      <c r="C90" s="184" t="s">
        <v>907</v>
      </c>
      <c r="D90" s="184" t="s">
        <v>690</v>
      </c>
      <c r="E90" s="185">
        <v>100</v>
      </c>
      <c r="F90" s="186">
        <v>1038.3979999999999</v>
      </c>
      <c r="G90" s="187">
        <v>5.628844E-3</v>
      </c>
      <c r="H90" s="193">
        <v>4.62</v>
      </c>
      <c r="I90" s="180"/>
    </row>
    <row r="91" spans="1:9" ht="25.5" x14ac:dyDescent="0.2">
      <c r="A91" s="183">
        <v>16</v>
      </c>
      <c r="B91" s="184" t="s">
        <v>908</v>
      </c>
      <c r="C91" s="184" t="s">
        <v>997</v>
      </c>
      <c r="D91" s="184" t="s">
        <v>986</v>
      </c>
      <c r="E91" s="185">
        <v>100</v>
      </c>
      <c r="F91" s="186">
        <v>1032.01</v>
      </c>
      <c r="G91" s="187">
        <v>5.5942159999999999E-3</v>
      </c>
      <c r="H91" s="193">
        <v>8.7029999999999994</v>
      </c>
      <c r="I91" s="180">
        <v>3.8266672110500002</v>
      </c>
    </row>
    <row r="92" spans="1:9" ht="25.5" x14ac:dyDescent="0.2">
      <c r="A92" s="183">
        <v>17</v>
      </c>
      <c r="B92" s="184" t="s">
        <v>909</v>
      </c>
      <c r="C92" s="194" t="s">
        <v>998</v>
      </c>
      <c r="D92" s="184" t="s">
        <v>886</v>
      </c>
      <c r="E92" s="185">
        <v>100</v>
      </c>
      <c r="F92" s="186">
        <v>1014.021</v>
      </c>
      <c r="G92" s="187">
        <v>5.4967030000000004E-3</v>
      </c>
      <c r="H92" s="193">
        <v>8.5359999999999996</v>
      </c>
      <c r="I92" s="180">
        <v>7.0499115000500003</v>
      </c>
    </row>
    <row r="93" spans="1:9" x14ac:dyDescent="0.2">
      <c r="A93" s="183">
        <v>18</v>
      </c>
      <c r="B93" s="184" t="s">
        <v>910</v>
      </c>
      <c r="C93" s="184" t="s">
        <v>911</v>
      </c>
      <c r="D93" s="184" t="s">
        <v>690</v>
      </c>
      <c r="E93" s="185">
        <v>50</v>
      </c>
      <c r="F93" s="186">
        <v>508.10500000000002</v>
      </c>
      <c r="G93" s="187">
        <v>2.754285E-3</v>
      </c>
      <c r="H93" s="193">
        <v>3.6349999999999998</v>
      </c>
      <c r="I93" s="180"/>
    </row>
    <row r="94" spans="1:9" ht="25.5" x14ac:dyDescent="0.2">
      <c r="A94" s="183">
        <v>19</v>
      </c>
      <c r="B94" s="184" t="s">
        <v>912</v>
      </c>
      <c r="C94" s="184" t="s">
        <v>913</v>
      </c>
      <c r="D94" s="184" t="s">
        <v>690</v>
      </c>
      <c r="E94" s="185">
        <v>50</v>
      </c>
      <c r="F94" s="186">
        <v>504.94</v>
      </c>
      <c r="G94" s="187">
        <v>2.7371280000000001E-3</v>
      </c>
      <c r="H94" s="193">
        <v>3.67</v>
      </c>
      <c r="I94" s="180"/>
    </row>
    <row r="95" spans="1:9" x14ac:dyDescent="0.2">
      <c r="A95" s="183">
        <v>20</v>
      </c>
      <c r="B95" s="184" t="s">
        <v>914</v>
      </c>
      <c r="C95" s="184" t="s">
        <v>915</v>
      </c>
      <c r="D95" s="184" t="s">
        <v>987</v>
      </c>
      <c r="E95" s="185">
        <v>20</v>
      </c>
      <c r="F95" s="186">
        <v>198.625</v>
      </c>
      <c r="G95" s="187">
        <v>1.0766860000000001E-3</v>
      </c>
      <c r="H95" s="193">
        <v>10.432</v>
      </c>
      <c r="I95" s="180"/>
    </row>
    <row r="96" spans="1:9" x14ac:dyDescent="0.2">
      <c r="A96" s="181" t="s">
        <v>9</v>
      </c>
      <c r="B96" s="181" t="s">
        <v>9</v>
      </c>
      <c r="C96" s="182" t="s">
        <v>110</v>
      </c>
      <c r="D96" s="181" t="s">
        <v>9</v>
      </c>
      <c r="E96" s="181" t="s">
        <v>9</v>
      </c>
      <c r="F96" s="188">
        <v>31868.5874</v>
      </c>
      <c r="G96" s="167">
        <v>0.172750037</v>
      </c>
      <c r="H96" s="179"/>
      <c r="I96" s="180"/>
    </row>
    <row r="97" spans="1:9" x14ac:dyDescent="0.2">
      <c r="A97" s="181" t="s">
        <v>9</v>
      </c>
      <c r="B97" s="181" t="s">
        <v>9</v>
      </c>
      <c r="C97" s="189" t="s">
        <v>9</v>
      </c>
      <c r="D97" s="181" t="s">
        <v>9</v>
      </c>
      <c r="E97" s="181" t="s">
        <v>9</v>
      </c>
      <c r="F97" s="190" t="s">
        <v>9</v>
      </c>
      <c r="G97" s="190" t="s">
        <v>9</v>
      </c>
      <c r="H97" s="179"/>
      <c r="I97" s="180"/>
    </row>
    <row r="98" spans="1:9" x14ac:dyDescent="0.2">
      <c r="A98" s="181" t="s">
        <v>9</v>
      </c>
      <c r="B98" s="181" t="s">
        <v>9</v>
      </c>
      <c r="C98" s="182" t="s">
        <v>118</v>
      </c>
      <c r="D98" s="181" t="s">
        <v>9</v>
      </c>
      <c r="E98" s="181" t="s">
        <v>9</v>
      </c>
      <c r="F98" s="181" t="s">
        <v>9</v>
      </c>
      <c r="G98" s="181" t="s">
        <v>9</v>
      </c>
      <c r="H98" s="179"/>
      <c r="I98" s="180"/>
    </row>
    <row r="99" spans="1:9" x14ac:dyDescent="0.2">
      <c r="A99" s="183">
        <v>1</v>
      </c>
      <c r="B99" s="184" t="s">
        <v>916</v>
      </c>
      <c r="C99" s="184" t="s">
        <v>917</v>
      </c>
      <c r="D99" s="184" t="s">
        <v>690</v>
      </c>
      <c r="E99" s="185">
        <v>50</v>
      </c>
      <c r="F99" s="186">
        <v>540.0335</v>
      </c>
      <c r="G99" s="187">
        <v>2.927359E-3</v>
      </c>
      <c r="H99" s="193">
        <v>6.1749999999999998</v>
      </c>
      <c r="I99" s="180"/>
    </row>
    <row r="100" spans="1:9" x14ac:dyDescent="0.2">
      <c r="A100" s="181" t="s">
        <v>9</v>
      </c>
      <c r="B100" s="181" t="s">
        <v>9</v>
      </c>
      <c r="C100" s="182" t="s">
        <v>110</v>
      </c>
      <c r="D100" s="181" t="s">
        <v>9</v>
      </c>
      <c r="E100" s="181" t="s">
        <v>9</v>
      </c>
      <c r="F100" s="188">
        <v>540.0335</v>
      </c>
      <c r="G100" s="167">
        <v>2.927359E-3</v>
      </c>
      <c r="H100" s="179"/>
      <c r="I100" s="180"/>
    </row>
    <row r="101" spans="1:9" x14ac:dyDescent="0.2">
      <c r="A101" s="181" t="s">
        <v>9</v>
      </c>
      <c r="B101" s="181" t="s">
        <v>9</v>
      </c>
      <c r="C101" s="189" t="s">
        <v>9</v>
      </c>
      <c r="D101" s="181" t="s">
        <v>9</v>
      </c>
      <c r="E101" s="181" t="s">
        <v>9</v>
      </c>
      <c r="F101" s="190" t="s">
        <v>9</v>
      </c>
      <c r="G101" s="190" t="s">
        <v>9</v>
      </c>
      <c r="H101" s="179"/>
      <c r="I101" s="180"/>
    </row>
    <row r="102" spans="1:9" x14ac:dyDescent="0.2">
      <c r="A102" s="181" t="s">
        <v>9</v>
      </c>
      <c r="B102" s="181" t="s">
        <v>9</v>
      </c>
      <c r="C102" s="182" t="s">
        <v>119</v>
      </c>
      <c r="D102" s="181" t="s">
        <v>9</v>
      </c>
      <c r="E102" s="181" t="s">
        <v>9</v>
      </c>
      <c r="F102" s="181" t="s">
        <v>9</v>
      </c>
      <c r="G102" s="181" t="s">
        <v>9</v>
      </c>
      <c r="H102" s="179"/>
      <c r="I102" s="180"/>
    </row>
    <row r="103" spans="1:9" x14ac:dyDescent="0.2">
      <c r="A103" s="183">
        <v>1</v>
      </c>
      <c r="B103" s="184" t="s">
        <v>721</v>
      </c>
      <c r="C103" s="184" t="s">
        <v>924</v>
      </c>
      <c r="D103" s="184" t="s">
        <v>722</v>
      </c>
      <c r="E103" s="185">
        <v>1800000</v>
      </c>
      <c r="F103" s="186">
        <v>1912.4297999999999</v>
      </c>
      <c r="G103" s="187">
        <v>1.0366706999999999E-2</v>
      </c>
      <c r="H103" s="193">
        <v>4.6360000000000001</v>
      </c>
      <c r="I103" s="180"/>
    </row>
    <row r="104" spans="1:9" x14ac:dyDescent="0.2">
      <c r="A104" s="183">
        <v>2</v>
      </c>
      <c r="B104" s="184" t="s">
        <v>918</v>
      </c>
      <c r="C104" s="184" t="s">
        <v>923</v>
      </c>
      <c r="D104" s="184" t="s">
        <v>722</v>
      </c>
      <c r="E104" s="185">
        <v>1500000</v>
      </c>
      <c r="F104" s="186">
        <v>1574.211</v>
      </c>
      <c r="G104" s="187">
        <v>8.5333249999999996E-3</v>
      </c>
      <c r="H104" s="193">
        <v>4.274</v>
      </c>
      <c r="I104" s="180"/>
    </row>
    <row r="105" spans="1:9" x14ac:dyDescent="0.2">
      <c r="A105" s="181" t="s">
        <v>9</v>
      </c>
      <c r="B105" s="181" t="s">
        <v>9</v>
      </c>
      <c r="C105" s="182" t="s">
        <v>110</v>
      </c>
      <c r="D105" s="181" t="s">
        <v>9</v>
      </c>
      <c r="E105" s="181" t="s">
        <v>9</v>
      </c>
      <c r="F105" s="188">
        <v>3486.6408000000001</v>
      </c>
      <c r="G105" s="167">
        <v>1.8900032000000001E-2</v>
      </c>
      <c r="H105" s="179"/>
      <c r="I105" s="180"/>
    </row>
    <row r="106" spans="1:9" x14ac:dyDescent="0.2">
      <c r="A106" s="181" t="s">
        <v>9</v>
      </c>
      <c r="B106" s="181" t="s">
        <v>9</v>
      </c>
      <c r="C106" s="189" t="s">
        <v>9</v>
      </c>
      <c r="D106" s="181" t="s">
        <v>9</v>
      </c>
      <c r="E106" s="181" t="s">
        <v>9</v>
      </c>
      <c r="F106" s="190" t="s">
        <v>9</v>
      </c>
      <c r="G106" s="190" t="s">
        <v>9</v>
      </c>
      <c r="H106" s="179"/>
      <c r="I106" s="180"/>
    </row>
    <row r="107" spans="1:9" x14ac:dyDescent="0.2">
      <c r="A107" s="181" t="s">
        <v>9</v>
      </c>
      <c r="B107" s="181" t="s">
        <v>9</v>
      </c>
      <c r="C107" s="182" t="s">
        <v>120</v>
      </c>
      <c r="D107" s="181" t="s">
        <v>9</v>
      </c>
      <c r="E107" s="181" t="s">
        <v>9</v>
      </c>
      <c r="F107" s="190" t="s">
        <v>9</v>
      </c>
      <c r="G107" s="190" t="s">
        <v>9</v>
      </c>
      <c r="H107" s="179"/>
      <c r="I107" s="180"/>
    </row>
    <row r="108" spans="1:9" x14ac:dyDescent="0.2">
      <c r="A108" s="181" t="s">
        <v>9</v>
      </c>
      <c r="B108" s="181" t="s">
        <v>9</v>
      </c>
      <c r="C108" s="182" t="s">
        <v>110</v>
      </c>
      <c r="D108" s="181" t="s">
        <v>9</v>
      </c>
      <c r="E108" s="181" t="s">
        <v>9</v>
      </c>
      <c r="F108" s="191">
        <v>0</v>
      </c>
      <c r="G108" s="192">
        <v>0</v>
      </c>
      <c r="H108" s="179"/>
      <c r="I108" s="180"/>
    </row>
    <row r="109" spans="1:9" x14ac:dyDescent="0.2">
      <c r="A109" s="181" t="s">
        <v>9</v>
      </c>
      <c r="B109" s="181" t="s">
        <v>9</v>
      </c>
      <c r="C109" s="189" t="s">
        <v>9</v>
      </c>
      <c r="D109" s="181" t="s">
        <v>9</v>
      </c>
      <c r="E109" s="181" t="s">
        <v>9</v>
      </c>
      <c r="F109" s="190" t="s">
        <v>9</v>
      </c>
      <c r="G109" s="190" t="s">
        <v>9</v>
      </c>
      <c r="H109" s="179"/>
      <c r="I109" s="180"/>
    </row>
    <row r="110" spans="1:9" x14ac:dyDescent="0.2">
      <c r="A110" s="181" t="s">
        <v>9</v>
      </c>
      <c r="B110" s="181" t="s">
        <v>9</v>
      </c>
      <c r="C110" s="182" t="s">
        <v>121</v>
      </c>
      <c r="D110" s="181" t="s">
        <v>9</v>
      </c>
      <c r="E110" s="181" t="s">
        <v>9</v>
      </c>
      <c r="F110" s="188">
        <v>35895.261700000003</v>
      </c>
      <c r="G110" s="167">
        <v>0.194577428</v>
      </c>
      <c r="H110" s="179"/>
      <c r="I110" s="180"/>
    </row>
    <row r="111" spans="1:9" x14ac:dyDescent="0.2">
      <c r="A111" s="181" t="s">
        <v>9</v>
      </c>
      <c r="B111" s="181" t="s">
        <v>9</v>
      </c>
      <c r="C111" s="189" t="s">
        <v>9</v>
      </c>
      <c r="D111" s="181" t="s">
        <v>9</v>
      </c>
      <c r="E111" s="181" t="s">
        <v>9</v>
      </c>
      <c r="F111" s="190" t="s">
        <v>9</v>
      </c>
      <c r="G111" s="190" t="s">
        <v>9</v>
      </c>
      <c r="H111" s="179"/>
      <c r="I111" s="180"/>
    </row>
    <row r="112" spans="1:9" x14ac:dyDescent="0.2">
      <c r="A112" s="181" t="s">
        <v>9</v>
      </c>
      <c r="B112" s="181" t="s">
        <v>9</v>
      </c>
      <c r="C112" s="182" t="s">
        <v>122</v>
      </c>
      <c r="D112" s="181" t="s">
        <v>9</v>
      </c>
      <c r="E112" s="181" t="s">
        <v>9</v>
      </c>
      <c r="F112" s="190" t="s">
        <v>9</v>
      </c>
      <c r="G112" s="190" t="s">
        <v>9</v>
      </c>
      <c r="H112" s="179"/>
      <c r="I112" s="180"/>
    </row>
    <row r="113" spans="1:9" x14ac:dyDescent="0.2">
      <c r="A113" s="181" t="s">
        <v>9</v>
      </c>
      <c r="B113" s="181" t="s">
        <v>9</v>
      </c>
      <c r="C113" s="182" t="s">
        <v>123</v>
      </c>
      <c r="D113" s="181" t="s">
        <v>9</v>
      </c>
      <c r="E113" s="181" t="s">
        <v>9</v>
      </c>
      <c r="F113" s="190" t="s">
        <v>9</v>
      </c>
      <c r="G113" s="190" t="s">
        <v>9</v>
      </c>
      <c r="H113" s="179"/>
      <c r="I113" s="180"/>
    </row>
    <row r="114" spans="1:9" x14ac:dyDescent="0.2">
      <c r="A114" s="181" t="s">
        <v>9</v>
      </c>
      <c r="B114" s="181" t="s">
        <v>9</v>
      </c>
      <c r="C114" s="182" t="s">
        <v>110</v>
      </c>
      <c r="D114" s="181" t="s">
        <v>9</v>
      </c>
      <c r="E114" s="181" t="s">
        <v>9</v>
      </c>
      <c r="F114" s="191">
        <v>0</v>
      </c>
      <c r="G114" s="192">
        <v>0</v>
      </c>
      <c r="H114" s="179"/>
      <c r="I114" s="180"/>
    </row>
    <row r="115" spans="1:9" x14ac:dyDescent="0.2">
      <c r="A115" s="181" t="s">
        <v>9</v>
      </c>
      <c r="B115" s="181" t="s">
        <v>9</v>
      </c>
      <c r="C115" s="189" t="s">
        <v>9</v>
      </c>
      <c r="D115" s="181" t="s">
        <v>9</v>
      </c>
      <c r="E115" s="181" t="s">
        <v>9</v>
      </c>
      <c r="F115" s="190" t="s">
        <v>9</v>
      </c>
      <c r="G115" s="190" t="s">
        <v>9</v>
      </c>
      <c r="H115" s="179"/>
      <c r="I115" s="180"/>
    </row>
    <row r="116" spans="1:9" x14ac:dyDescent="0.2">
      <c r="A116" s="181" t="s">
        <v>9</v>
      </c>
      <c r="B116" s="181" t="s">
        <v>9</v>
      </c>
      <c r="C116" s="182" t="s">
        <v>124</v>
      </c>
      <c r="D116" s="181" t="s">
        <v>9</v>
      </c>
      <c r="E116" s="181" t="s">
        <v>9</v>
      </c>
      <c r="F116" s="190" t="s">
        <v>9</v>
      </c>
      <c r="G116" s="190" t="s">
        <v>9</v>
      </c>
      <c r="H116" s="179"/>
      <c r="I116" s="180"/>
    </row>
    <row r="117" spans="1:9" x14ac:dyDescent="0.2">
      <c r="A117" s="181" t="s">
        <v>9</v>
      </c>
      <c r="B117" s="181" t="s">
        <v>9</v>
      </c>
      <c r="C117" s="182" t="s">
        <v>110</v>
      </c>
      <c r="D117" s="181" t="s">
        <v>9</v>
      </c>
      <c r="E117" s="181" t="s">
        <v>9</v>
      </c>
      <c r="F117" s="191">
        <v>0</v>
      </c>
      <c r="G117" s="192">
        <v>0</v>
      </c>
      <c r="H117" s="179"/>
      <c r="I117" s="180"/>
    </row>
    <row r="118" spans="1:9" x14ac:dyDescent="0.2">
      <c r="A118" s="181" t="s">
        <v>9</v>
      </c>
      <c r="B118" s="181" t="s">
        <v>9</v>
      </c>
      <c r="C118" s="189" t="s">
        <v>9</v>
      </c>
      <c r="D118" s="181" t="s">
        <v>9</v>
      </c>
      <c r="E118" s="181" t="s">
        <v>9</v>
      </c>
      <c r="F118" s="190" t="s">
        <v>9</v>
      </c>
      <c r="G118" s="190" t="s">
        <v>9</v>
      </c>
      <c r="H118" s="179"/>
      <c r="I118" s="180"/>
    </row>
    <row r="119" spans="1:9" x14ac:dyDescent="0.2">
      <c r="A119" s="181" t="s">
        <v>9</v>
      </c>
      <c r="B119" s="181" t="s">
        <v>9</v>
      </c>
      <c r="C119" s="182" t="s">
        <v>125</v>
      </c>
      <c r="D119" s="181" t="s">
        <v>9</v>
      </c>
      <c r="E119" s="181" t="s">
        <v>9</v>
      </c>
      <c r="F119" s="190" t="s">
        <v>9</v>
      </c>
      <c r="G119" s="190" t="s">
        <v>9</v>
      </c>
      <c r="H119" s="179"/>
      <c r="I119" s="180"/>
    </row>
    <row r="120" spans="1:9" x14ac:dyDescent="0.2">
      <c r="A120" s="183">
        <v>1</v>
      </c>
      <c r="B120" s="184" t="s">
        <v>919</v>
      </c>
      <c r="C120" s="184" t="s">
        <v>920</v>
      </c>
      <c r="D120" s="184" t="s">
        <v>722</v>
      </c>
      <c r="E120" s="185">
        <v>2500000</v>
      </c>
      <c r="F120" s="186">
        <v>2472.79</v>
      </c>
      <c r="G120" s="187">
        <v>1.3404252E-2</v>
      </c>
      <c r="H120" s="193">
        <v>3.4630000000000001</v>
      </c>
      <c r="I120" s="180"/>
    </row>
    <row r="121" spans="1:9" x14ac:dyDescent="0.2">
      <c r="A121" s="181" t="s">
        <v>9</v>
      </c>
      <c r="B121" s="181" t="s">
        <v>9</v>
      </c>
      <c r="C121" s="182" t="s">
        <v>110</v>
      </c>
      <c r="D121" s="181" t="s">
        <v>9</v>
      </c>
      <c r="E121" s="181" t="s">
        <v>9</v>
      </c>
      <c r="F121" s="188">
        <v>2472.79</v>
      </c>
      <c r="G121" s="167">
        <v>1.3404252E-2</v>
      </c>
      <c r="H121" s="179"/>
      <c r="I121" s="180"/>
    </row>
    <row r="122" spans="1:9" x14ac:dyDescent="0.2">
      <c r="A122" s="181" t="s">
        <v>9</v>
      </c>
      <c r="B122" s="181" t="s">
        <v>9</v>
      </c>
      <c r="C122" s="189" t="s">
        <v>9</v>
      </c>
      <c r="D122" s="181" t="s">
        <v>9</v>
      </c>
      <c r="E122" s="181" t="s">
        <v>9</v>
      </c>
      <c r="F122" s="190" t="s">
        <v>9</v>
      </c>
      <c r="G122" s="190" t="s">
        <v>9</v>
      </c>
      <c r="H122" s="179"/>
      <c r="I122" s="180"/>
    </row>
    <row r="123" spans="1:9" x14ac:dyDescent="0.2">
      <c r="A123" s="181" t="s">
        <v>9</v>
      </c>
      <c r="B123" s="181" t="s">
        <v>9</v>
      </c>
      <c r="C123" s="182" t="s">
        <v>126</v>
      </c>
      <c r="D123" s="181" t="s">
        <v>9</v>
      </c>
      <c r="E123" s="181" t="s">
        <v>9</v>
      </c>
      <c r="F123" s="190" t="s">
        <v>9</v>
      </c>
      <c r="G123" s="190" t="s">
        <v>9</v>
      </c>
      <c r="H123" s="179"/>
      <c r="I123" s="180"/>
    </row>
    <row r="124" spans="1:9" x14ac:dyDescent="0.2">
      <c r="A124" s="183">
        <v>1</v>
      </c>
      <c r="B124" s="184"/>
      <c r="C124" s="184" t="s">
        <v>127</v>
      </c>
      <c r="D124" s="184"/>
      <c r="E124" s="195" t="s">
        <v>9</v>
      </c>
      <c r="F124" s="186">
        <v>2215.7456388000001</v>
      </c>
      <c r="G124" s="187">
        <v>1.2010892E-2</v>
      </c>
      <c r="H124" s="196">
        <v>3.22</v>
      </c>
      <c r="I124" s="180"/>
    </row>
    <row r="125" spans="1:9" x14ac:dyDescent="0.2">
      <c r="A125" s="183">
        <v>2</v>
      </c>
      <c r="B125" s="184"/>
      <c r="C125" s="184" t="s">
        <v>128</v>
      </c>
      <c r="D125" s="184"/>
      <c r="E125" s="195" t="s">
        <v>9</v>
      </c>
      <c r="F125" s="186">
        <v>626.15900739999995</v>
      </c>
      <c r="G125" s="187">
        <v>3.3942199999999999E-3</v>
      </c>
      <c r="H125" s="196">
        <v>3.34</v>
      </c>
      <c r="I125" s="180"/>
    </row>
    <row r="126" spans="1:9" x14ac:dyDescent="0.2">
      <c r="A126" s="181" t="s">
        <v>9</v>
      </c>
      <c r="B126" s="181" t="s">
        <v>9</v>
      </c>
      <c r="C126" s="182" t="s">
        <v>110</v>
      </c>
      <c r="D126" s="181" t="s">
        <v>9</v>
      </c>
      <c r="E126" s="181" t="s">
        <v>9</v>
      </c>
      <c r="F126" s="188">
        <v>2841.9046462000001</v>
      </c>
      <c r="G126" s="167">
        <v>1.5405112E-2</v>
      </c>
      <c r="H126" s="179"/>
      <c r="I126" s="180"/>
    </row>
    <row r="127" spans="1:9" x14ac:dyDescent="0.2">
      <c r="A127" s="181" t="s">
        <v>9</v>
      </c>
      <c r="B127" s="181" t="s">
        <v>9</v>
      </c>
      <c r="C127" s="189" t="s">
        <v>9</v>
      </c>
      <c r="D127" s="181" t="s">
        <v>9</v>
      </c>
      <c r="E127" s="181" t="s">
        <v>9</v>
      </c>
      <c r="F127" s="190" t="s">
        <v>9</v>
      </c>
      <c r="G127" s="190" t="s">
        <v>9</v>
      </c>
      <c r="H127" s="179"/>
      <c r="I127" s="180"/>
    </row>
    <row r="128" spans="1:9" x14ac:dyDescent="0.2">
      <c r="A128" s="181" t="s">
        <v>9</v>
      </c>
      <c r="B128" s="181" t="s">
        <v>9</v>
      </c>
      <c r="C128" s="182" t="s">
        <v>129</v>
      </c>
      <c r="D128" s="181" t="s">
        <v>9</v>
      </c>
      <c r="E128" s="181" t="s">
        <v>9</v>
      </c>
      <c r="F128" s="188">
        <v>5314.6946461999996</v>
      </c>
      <c r="G128" s="167">
        <v>2.8809364E-2</v>
      </c>
      <c r="H128" s="179"/>
      <c r="I128" s="180"/>
    </row>
    <row r="129" spans="1:9" x14ac:dyDescent="0.2">
      <c r="A129" s="181" t="s">
        <v>9</v>
      </c>
      <c r="B129" s="181" t="s">
        <v>9</v>
      </c>
      <c r="C129" s="190" t="s">
        <v>9</v>
      </c>
      <c r="D129" s="181" t="s">
        <v>9</v>
      </c>
      <c r="E129" s="181" t="s">
        <v>9</v>
      </c>
      <c r="F129" s="181" t="s">
        <v>9</v>
      </c>
      <c r="G129" s="181" t="s">
        <v>9</v>
      </c>
      <c r="H129" s="179"/>
      <c r="I129" s="180"/>
    </row>
    <row r="130" spans="1:9" x14ac:dyDescent="0.2">
      <c r="A130" s="181" t="s">
        <v>9</v>
      </c>
      <c r="B130" s="181" t="s">
        <v>9</v>
      </c>
      <c r="C130" s="182" t="s">
        <v>130</v>
      </c>
      <c r="D130" s="181" t="s">
        <v>9</v>
      </c>
      <c r="E130" s="181" t="s">
        <v>9</v>
      </c>
      <c r="F130" s="181" t="s">
        <v>9</v>
      </c>
      <c r="G130" s="181" t="s">
        <v>9</v>
      </c>
      <c r="H130" s="179"/>
      <c r="I130" s="180"/>
    </row>
    <row r="131" spans="1:9" x14ac:dyDescent="0.2">
      <c r="A131" s="181" t="s">
        <v>9</v>
      </c>
      <c r="B131" s="181" t="s">
        <v>9</v>
      </c>
      <c r="C131" s="182" t="s">
        <v>131</v>
      </c>
      <c r="D131" s="181" t="s">
        <v>9</v>
      </c>
      <c r="E131" s="181" t="s">
        <v>9</v>
      </c>
      <c r="F131" s="181" t="s">
        <v>9</v>
      </c>
      <c r="G131" s="181" t="s">
        <v>9</v>
      </c>
      <c r="H131" s="179"/>
      <c r="I131" s="180"/>
    </row>
    <row r="132" spans="1:9" x14ac:dyDescent="0.2">
      <c r="A132" s="181" t="s">
        <v>9</v>
      </c>
      <c r="B132" s="181" t="s">
        <v>9</v>
      </c>
      <c r="C132" s="182" t="s">
        <v>110</v>
      </c>
      <c r="D132" s="181" t="s">
        <v>9</v>
      </c>
      <c r="E132" s="181" t="s">
        <v>9</v>
      </c>
      <c r="F132" s="191">
        <v>0</v>
      </c>
      <c r="G132" s="192">
        <v>0</v>
      </c>
      <c r="H132" s="179"/>
      <c r="I132" s="180"/>
    </row>
    <row r="133" spans="1:9" x14ac:dyDescent="0.2">
      <c r="A133" s="181" t="s">
        <v>9</v>
      </c>
      <c r="B133" s="181" t="s">
        <v>9</v>
      </c>
      <c r="C133" s="189" t="s">
        <v>9</v>
      </c>
      <c r="D133" s="181" t="s">
        <v>9</v>
      </c>
      <c r="E133" s="181" t="s">
        <v>9</v>
      </c>
      <c r="F133" s="190" t="s">
        <v>9</v>
      </c>
      <c r="G133" s="190" t="s">
        <v>9</v>
      </c>
      <c r="H133" s="179"/>
      <c r="I133" s="180"/>
    </row>
    <row r="134" spans="1:9" x14ac:dyDescent="0.2">
      <c r="A134" s="181" t="s">
        <v>9</v>
      </c>
      <c r="B134" s="181" t="s">
        <v>9</v>
      </c>
      <c r="C134" s="182" t="s">
        <v>132</v>
      </c>
      <c r="D134" s="181" t="s">
        <v>9</v>
      </c>
      <c r="E134" s="181" t="s">
        <v>9</v>
      </c>
      <c r="F134" s="181" t="s">
        <v>9</v>
      </c>
      <c r="G134" s="181" t="s">
        <v>9</v>
      </c>
      <c r="H134" s="179"/>
      <c r="I134" s="180"/>
    </row>
    <row r="135" spans="1:9" x14ac:dyDescent="0.2">
      <c r="A135" s="181" t="s">
        <v>9</v>
      </c>
      <c r="B135" s="181" t="s">
        <v>9</v>
      </c>
      <c r="C135" s="182" t="s">
        <v>133</v>
      </c>
      <c r="D135" s="181" t="s">
        <v>9</v>
      </c>
      <c r="E135" s="181" t="s">
        <v>9</v>
      </c>
      <c r="F135" s="181" t="s">
        <v>9</v>
      </c>
      <c r="G135" s="181" t="s">
        <v>9</v>
      </c>
      <c r="H135" s="179"/>
      <c r="I135" s="180"/>
    </row>
    <row r="136" spans="1:9" x14ac:dyDescent="0.2">
      <c r="A136" s="181" t="s">
        <v>9</v>
      </c>
      <c r="B136" s="181" t="s">
        <v>9</v>
      </c>
      <c r="C136" s="182" t="s">
        <v>110</v>
      </c>
      <c r="D136" s="181" t="s">
        <v>9</v>
      </c>
      <c r="E136" s="181" t="s">
        <v>9</v>
      </c>
      <c r="F136" s="191">
        <v>0</v>
      </c>
      <c r="G136" s="192">
        <v>0</v>
      </c>
      <c r="H136" s="179"/>
      <c r="I136" s="180"/>
    </row>
    <row r="137" spans="1:9" x14ac:dyDescent="0.2">
      <c r="A137" s="181" t="s">
        <v>9</v>
      </c>
      <c r="B137" s="181" t="s">
        <v>9</v>
      </c>
      <c r="C137" s="189" t="s">
        <v>9</v>
      </c>
      <c r="D137" s="181" t="s">
        <v>9</v>
      </c>
      <c r="E137" s="181" t="s">
        <v>9</v>
      </c>
      <c r="F137" s="190" t="s">
        <v>9</v>
      </c>
      <c r="G137" s="190" t="s">
        <v>9</v>
      </c>
      <c r="H137" s="179"/>
      <c r="I137" s="180"/>
    </row>
    <row r="138" spans="1:9" x14ac:dyDescent="0.2">
      <c r="A138" s="181" t="s">
        <v>9</v>
      </c>
      <c r="B138" s="181" t="s">
        <v>9</v>
      </c>
      <c r="C138" s="182" t="s">
        <v>134</v>
      </c>
      <c r="D138" s="181" t="s">
        <v>9</v>
      </c>
      <c r="E138" s="181" t="s">
        <v>9</v>
      </c>
      <c r="F138" s="190" t="s">
        <v>9</v>
      </c>
      <c r="G138" s="190" t="s">
        <v>9</v>
      </c>
      <c r="H138" s="179"/>
      <c r="I138" s="180"/>
    </row>
    <row r="139" spans="1:9" x14ac:dyDescent="0.2">
      <c r="A139" s="181" t="s">
        <v>9</v>
      </c>
      <c r="B139" s="181" t="s">
        <v>9</v>
      </c>
      <c r="C139" s="182" t="s">
        <v>110</v>
      </c>
      <c r="D139" s="181" t="s">
        <v>9</v>
      </c>
      <c r="E139" s="181" t="s">
        <v>9</v>
      </c>
      <c r="F139" s="191">
        <v>0</v>
      </c>
      <c r="G139" s="192">
        <v>0</v>
      </c>
      <c r="H139" s="179"/>
      <c r="I139" s="180"/>
    </row>
    <row r="140" spans="1:9" x14ac:dyDescent="0.2">
      <c r="A140" s="181" t="s">
        <v>9</v>
      </c>
      <c r="B140" s="181" t="s">
        <v>9</v>
      </c>
      <c r="C140" s="189" t="s">
        <v>9</v>
      </c>
      <c r="D140" s="181" t="s">
        <v>9</v>
      </c>
      <c r="E140" s="181" t="s">
        <v>9</v>
      </c>
      <c r="F140" s="190" t="s">
        <v>9</v>
      </c>
      <c r="G140" s="190" t="s">
        <v>9</v>
      </c>
      <c r="H140" s="179"/>
      <c r="I140" s="180"/>
    </row>
    <row r="141" spans="1:9" x14ac:dyDescent="0.2">
      <c r="A141" s="181" t="s">
        <v>9</v>
      </c>
      <c r="B141" s="184" t="s">
        <v>9</v>
      </c>
      <c r="C141" s="184" t="s">
        <v>9</v>
      </c>
      <c r="D141" s="182" t="s">
        <v>9</v>
      </c>
      <c r="E141" s="181" t="s">
        <v>9</v>
      </c>
      <c r="F141" s="184" t="s">
        <v>9</v>
      </c>
      <c r="G141" s="195" t="s">
        <v>9</v>
      </c>
      <c r="H141" s="179"/>
      <c r="I141" s="180"/>
    </row>
    <row r="142" spans="1:9" x14ac:dyDescent="0.2">
      <c r="A142" s="195" t="s">
        <v>9</v>
      </c>
      <c r="B142" s="184" t="s">
        <v>9</v>
      </c>
      <c r="C142" s="184" t="s">
        <v>877</v>
      </c>
      <c r="D142" s="184" t="s">
        <v>9</v>
      </c>
      <c r="E142" s="195" t="s">
        <v>9</v>
      </c>
      <c r="F142" s="186">
        <v>991.83688768000002</v>
      </c>
      <c r="G142" s="187">
        <v>5.3764499999999996E-3</v>
      </c>
      <c r="H142" s="179"/>
      <c r="I142" s="180"/>
    </row>
    <row r="143" spans="1:9" x14ac:dyDescent="0.2">
      <c r="A143" s="189" t="s">
        <v>9</v>
      </c>
      <c r="B143" s="189" t="s">
        <v>9</v>
      </c>
      <c r="C143" s="182" t="s">
        <v>136</v>
      </c>
      <c r="D143" s="190" t="s">
        <v>9</v>
      </c>
      <c r="E143" s="190" t="s">
        <v>9</v>
      </c>
      <c r="F143" s="188">
        <v>184478.03275188</v>
      </c>
      <c r="G143" s="167">
        <v>0.99999999699999997</v>
      </c>
      <c r="H143" s="179"/>
      <c r="I143" s="180"/>
    </row>
    <row r="144" spans="1:9" ht="14.1" customHeight="1" x14ac:dyDescent="0.2">
      <c r="A144" s="197" t="s">
        <v>9</v>
      </c>
      <c r="B144" s="197" t="s">
        <v>9</v>
      </c>
      <c r="C144" s="197" t="s">
        <v>9</v>
      </c>
      <c r="D144" s="198" t="s">
        <v>9</v>
      </c>
      <c r="E144" s="198" t="s">
        <v>9</v>
      </c>
      <c r="F144" s="198" t="s">
        <v>9</v>
      </c>
      <c r="G144" s="198" t="s">
        <v>9</v>
      </c>
    </row>
    <row r="145" spans="1:9" ht="17.100000000000001" customHeight="1" x14ac:dyDescent="0.2">
      <c r="A145" s="199" t="s">
        <v>9</v>
      </c>
      <c r="B145" s="252" t="s">
        <v>878</v>
      </c>
      <c r="C145" s="252"/>
      <c r="D145" s="252"/>
      <c r="E145" s="252"/>
      <c r="F145" s="252"/>
      <c r="G145" s="200" t="s">
        <v>9</v>
      </c>
    </row>
    <row r="146" spans="1:9" ht="17.100000000000001" customHeight="1" x14ac:dyDescent="0.2">
      <c r="A146" s="199" t="s">
        <v>9</v>
      </c>
      <c r="B146" s="252" t="s">
        <v>879</v>
      </c>
      <c r="C146" s="252"/>
      <c r="D146" s="252"/>
      <c r="E146" s="252"/>
      <c r="F146" s="252"/>
      <c r="G146" s="200" t="s">
        <v>9</v>
      </c>
    </row>
    <row r="147" spans="1:9" ht="14.1" customHeight="1" x14ac:dyDescent="0.2">
      <c r="A147" s="199" t="s">
        <v>9</v>
      </c>
      <c r="B147" s="252" t="s">
        <v>9</v>
      </c>
      <c r="C147" s="252"/>
      <c r="D147" s="252"/>
      <c r="E147" s="252"/>
      <c r="F147" s="252"/>
      <c r="G147" s="200" t="s">
        <v>9</v>
      </c>
    </row>
    <row r="148" spans="1:9" ht="14.1" customHeight="1" x14ac:dyDescent="0.2">
      <c r="A148" s="199" t="s">
        <v>9</v>
      </c>
      <c r="B148" s="199" t="s">
        <v>9</v>
      </c>
      <c r="C148" s="199" t="s">
        <v>9</v>
      </c>
      <c r="D148" s="200" t="s">
        <v>9</v>
      </c>
      <c r="E148" s="200" t="s">
        <v>9</v>
      </c>
      <c r="F148" s="200" t="s">
        <v>9</v>
      </c>
      <c r="G148" s="200" t="s">
        <v>9</v>
      </c>
    </row>
    <row r="149" spans="1:9" ht="14.1" customHeight="1" x14ac:dyDescent="0.2">
      <c r="A149" s="199" t="s">
        <v>9</v>
      </c>
      <c r="B149" s="253" t="s">
        <v>138</v>
      </c>
      <c r="C149" s="254"/>
      <c r="D149" s="255"/>
      <c r="E149" s="201" t="s">
        <v>9</v>
      </c>
      <c r="F149" s="200" t="s">
        <v>9</v>
      </c>
      <c r="G149" s="200" t="s">
        <v>9</v>
      </c>
    </row>
    <row r="150" spans="1:9" ht="29.1" customHeight="1" x14ac:dyDescent="0.2">
      <c r="A150" s="199" t="s">
        <v>9</v>
      </c>
      <c r="B150" s="245" t="s">
        <v>139</v>
      </c>
      <c r="C150" s="246"/>
      <c r="D150" s="202" t="s">
        <v>973</v>
      </c>
      <c r="E150" s="201" t="s">
        <v>9</v>
      </c>
      <c r="F150" s="200" t="s">
        <v>9</v>
      </c>
      <c r="G150" s="200" t="s">
        <v>9</v>
      </c>
    </row>
    <row r="151" spans="1:9" ht="17.100000000000001" customHeight="1" x14ac:dyDescent="0.2">
      <c r="A151" s="199" t="s">
        <v>9</v>
      </c>
      <c r="B151" s="245" t="s">
        <v>141</v>
      </c>
      <c r="C151" s="246"/>
      <c r="D151" s="182" t="s">
        <v>140</v>
      </c>
      <c r="E151" s="201" t="s">
        <v>9</v>
      </c>
      <c r="F151" s="200" t="s">
        <v>9</v>
      </c>
      <c r="G151" s="200" t="s">
        <v>9</v>
      </c>
    </row>
    <row r="152" spans="1:9" ht="17.100000000000001" customHeight="1" x14ac:dyDescent="0.2">
      <c r="A152" s="199" t="s">
        <v>9</v>
      </c>
      <c r="B152" s="245" t="s">
        <v>142</v>
      </c>
      <c r="C152" s="246"/>
      <c r="D152" s="190" t="s">
        <v>9</v>
      </c>
      <c r="E152" s="201" t="s">
        <v>9</v>
      </c>
      <c r="F152" s="200" t="s">
        <v>9</v>
      </c>
      <c r="G152" s="200" t="s">
        <v>9</v>
      </c>
    </row>
    <row r="153" spans="1:9" ht="24" customHeight="1" x14ac:dyDescent="0.2">
      <c r="A153" s="203" t="s">
        <v>9</v>
      </c>
      <c r="B153" s="204" t="s">
        <v>9</v>
      </c>
      <c r="C153" s="204" t="s">
        <v>143</v>
      </c>
      <c r="D153" s="204" t="s">
        <v>144</v>
      </c>
      <c r="E153" s="203" t="s">
        <v>9</v>
      </c>
      <c r="F153" s="203" t="s">
        <v>9</v>
      </c>
      <c r="G153" s="203" t="s">
        <v>9</v>
      </c>
    </row>
    <row r="154" spans="1:9" ht="18" customHeight="1" x14ac:dyDescent="0.2">
      <c r="A154" s="203" t="s">
        <v>9</v>
      </c>
      <c r="B154" s="205" t="s">
        <v>145</v>
      </c>
      <c r="C154" s="204" t="s">
        <v>146</v>
      </c>
      <c r="D154" s="204" t="s">
        <v>147</v>
      </c>
      <c r="E154" s="203" t="s">
        <v>9</v>
      </c>
      <c r="F154" s="203" t="s">
        <v>9</v>
      </c>
      <c r="G154" s="203" t="s">
        <v>9</v>
      </c>
    </row>
    <row r="155" spans="1:9" ht="17.100000000000001" customHeight="1" x14ac:dyDescent="0.2">
      <c r="A155" s="203" t="s">
        <v>9</v>
      </c>
      <c r="B155" s="184" t="s">
        <v>148</v>
      </c>
      <c r="C155" s="206">
        <v>131.51689999999999</v>
      </c>
      <c r="D155" s="206">
        <v>135.43549999999999</v>
      </c>
      <c r="E155" s="203" t="s">
        <v>9</v>
      </c>
      <c r="F155" s="207" t="s">
        <v>9</v>
      </c>
      <c r="G155" s="208" t="s">
        <v>9</v>
      </c>
    </row>
    <row r="156" spans="1:9" ht="17.100000000000001" customHeight="1" x14ac:dyDescent="0.2">
      <c r="A156" s="203" t="s">
        <v>9</v>
      </c>
      <c r="B156" s="184" t="s">
        <v>839</v>
      </c>
      <c r="C156" s="206">
        <v>17.6755</v>
      </c>
      <c r="D156" s="206">
        <v>18.0351</v>
      </c>
      <c r="E156" s="203" t="s">
        <v>9</v>
      </c>
      <c r="F156" s="207" t="s">
        <v>9</v>
      </c>
      <c r="G156" s="208" t="s">
        <v>9</v>
      </c>
    </row>
    <row r="157" spans="1:9" ht="17.100000000000001" customHeight="1" x14ac:dyDescent="0.2">
      <c r="A157" s="203" t="s">
        <v>9</v>
      </c>
      <c r="B157" s="184" t="s">
        <v>149</v>
      </c>
      <c r="C157" s="206">
        <v>122.25620000000001</v>
      </c>
      <c r="D157" s="206">
        <v>125.75790000000001</v>
      </c>
      <c r="E157" s="203" t="s">
        <v>9</v>
      </c>
      <c r="F157" s="207" t="s">
        <v>9</v>
      </c>
      <c r="G157" s="208" t="s">
        <v>9</v>
      </c>
    </row>
    <row r="158" spans="1:9" ht="17.100000000000001" customHeight="1" x14ac:dyDescent="0.2">
      <c r="A158" s="203" t="s">
        <v>9</v>
      </c>
      <c r="B158" s="184" t="s">
        <v>840</v>
      </c>
      <c r="C158" s="206">
        <v>15.636699999999999</v>
      </c>
      <c r="D158" s="206">
        <v>15.9366</v>
      </c>
      <c r="E158" s="203" t="s">
        <v>9</v>
      </c>
      <c r="F158" s="207" t="s">
        <v>9</v>
      </c>
      <c r="G158" s="208" t="s">
        <v>9</v>
      </c>
    </row>
    <row r="159" spans="1:9" ht="14.1" customHeight="1" x14ac:dyDescent="0.2">
      <c r="A159" s="203" t="s">
        <v>9</v>
      </c>
      <c r="B159" s="203" t="s">
        <v>9</v>
      </c>
      <c r="C159" s="203" t="s">
        <v>9</v>
      </c>
      <c r="D159" s="203" t="s">
        <v>9</v>
      </c>
      <c r="E159" s="203" t="s">
        <v>9</v>
      </c>
      <c r="F159" s="203" t="s">
        <v>9</v>
      </c>
      <c r="G159" s="203" t="s">
        <v>9</v>
      </c>
    </row>
    <row r="160" spans="1:9" s="212" customFormat="1" ht="15" x14ac:dyDescent="0.2">
      <c r="A160" s="209" t="s">
        <v>9</v>
      </c>
      <c r="B160" s="247" t="s">
        <v>1003</v>
      </c>
      <c r="C160" s="247"/>
      <c r="D160" s="210"/>
      <c r="E160" s="209" t="s">
        <v>9</v>
      </c>
      <c r="F160" s="209" t="s">
        <v>9</v>
      </c>
      <c r="G160" s="209" t="s">
        <v>9</v>
      </c>
      <c r="H160" s="211"/>
      <c r="I160" s="211"/>
    </row>
    <row r="161" spans="1:9" ht="17.100000000000001" customHeight="1" x14ac:dyDescent="0.2">
      <c r="A161" s="213" t="s">
        <v>9</v>
      </c>
      <c r="B161" s="214" t="s">
        <v>145</v>
      </c>
      <c r="C161" s="214" t="s">
        <v>921</v>
      </c>
      <c r="D161" s="214" t="s">
        <v>922</v>
      </c>
      <c r="E161" s="213" t="s">
        <v>9</v>
      </c>
      <c r="F161" s="213" t="s">
        <v>9</v>
      </c>
      <c r="G161" s="213" t="s">
        <v>9</v>
      </c>
      <c r="H161" s="211"/>
      <c r="I161" s="211"/>
    </row>
    <row r="162" spans="1:9" ht="29.1" customHeight="1" x14ac:dyDescent="0.2">
      <c r="A162" s="209" t="s">
        <v>9</v>
      </c>
      <c r="B162" s="215" t="s">
        <v>839</v>
      </c>
      <c r="C162" s="216">
        <v>0.16600000000000001</v>
      </c>
      <c r="D162" s="216">
        <v>0.16600000000000001</v>
      </c>
      <c r="E162" s="209" t="s">
        <v>9</v>
      </c>
      <c r="F162" s="217" t="s">
        <v>9</v>
      </c>
      <c r="G162" s="218" t="s">
        <v>9</v>
      </c>
      <c r="H162" s="211"/>
      <c r="I162" s="211"/>
    </row>
    <row r="163" spans="1:9" s="211" customFormat="1" ht="14.1" customHeight="1" x14ac:dyDescent="0.2">
      <c r="A163" s="209" t="s">
        <v>9</v>
      </c>
      <c r="B163" s="215" t="s">
        <v>840</v>
      </c>
      <c r="C163" s="216">
        <v>0.14699999999999999</v>
      </c>
      <c r="D163" s="216">
        <v>0.14699999999999999</v>
      </c>
      <c r="E163" s="209" t="s">
        <v>9</v>
      </c>
      <c r="F163" s="217" t="s">
        <v>9</v>
      </c>
      <c r="G163" s="218" t="s">
        <v>9</v>
      </c>
    </row>
    <row r="164" spans="1:9" ht="14.1" customHeight="1" x14ac:dyDescent="0.2">
      <c r="A164" s="203" t="s">
        <v>9</v>
      </c>
      <c r="B164" s="219" t="s">
        <v>9</v>
      </c>
      <c r="C164" s="219" t="s">
        <v>9</v>
      </c>
      <c r="D164" s="220" t="s">
        <v>9</v>
      </c>
      <c r="E164" s="203" t="s">
        <v>9</v>
      </c>
      <c r="F164" s="207" t="s">
        <v>9</v>
      </c>
      <c r="G164" s="208" t="s">
        <v>9</v>
      </c>
    </row>
    <row r="165" spans="1:9" s="221" customFormat="1" x14ac:dyDescent="0.2">
      <c r="B165" s="251" t="s">
        <v>841</v>
      </c>
      <c r="C165" s="251"/>
      <c r="D165" s="251"/>
      <c r="E165" s="251"/>
      <c r="F165" s="251"/>
    </row>
    <row r="166" spans="1:9" ht="14.1" customHeight="1" x14ac:dyDescent="0.2">
      <c r="A166" s="203" t="s">
        <v>9</v>
      </c>
      <c r="B166" s="207" t="s">
        <v>9</v>
      </c>
      <c r="C166" s="207" t="s">
        <v>9</v>
      </c>
      <c r="D166" s="203" t="s">
        <v>9</v>
      </c>
      <c r="E166" s="203" t="s">
        <v>9</v>
      </c>
      <c r="F166" s="203" t="s">
        <v>9</v>
      </c>
      <c r="G166" s="203" t="s">
        <v>9</v>
      </c>
    </row>
    <row r="167" spans="1:9" ht="29.1" customHeight="1" x14ac:dyDescent="0.2">
      <c r="A167" s="203" t="s">
        <v>9</v>
      </c>
      <c r="B167" s="245" t="s">
        <v>151</v>
      </c>
      <c r="C167" s="246"/>
      <c r="D167" s="182" t="s">
        <v>140</v>
      </c>
      <c r="E167" s="222" t="s">
        <v>9</v>
      </c>
      <c r="F167" s="203" t="s">
        <v>9</v>
      </c>
      <c r="G167" s="203" t="s">
        <v>9</v>
      </c>
    </row>
    <row r="168" spans="1:9" ht="29.1" customHeight="1" x14ac:dyDescent="0.2">
      <c r="A168" s="203" t="s">
        <v>9</v>
      </c>
      <c r="B168" s="245" t="s">
        <v>152</v>
      </c>
      <c r="C168" s="246"/>
      <c r="D168" s="182" t="s">
        <v>140</v>
      </c>
      <c r="E168" s="222" t="s">
        <v>9</v>
      </c>
      <c r="F168" s="203" t="s">
        <v>9</v>
      </c>
      <c r="G168" s="203" t="s">
        <v>9</v>
      </c>
    </row>
    <row r="169" spans="1:9" ht="17.100000000000001" customHeight="1" x14ac:dyDescent="0.2">
      <c r="A169" s="203" t="s">
        <v>9</v>
      </c>
      <c r="B169" s="249" t="s">
        <v>977</v>
      </c>
      <c r="C169" s="250"/>
      <c r="D169" s="223">
        <v>4.4498944289810787</v>
      </c>
      <c r="E169" s="222" t="s">
        <v>9</v>
      </c>
      <c r="F169" s="203" t="s">
        <v>9</v>
      </c>
      <c r="G169" s="203" t="s">
        <v>9</v>
      </c>
    </row>
    <row r="170" spans="1:9" ht="17.100000000000001" customHeight="1" x14ac:dyDescent="0.2">
      <c r="A170" s="203" t="s">
        <v>9</v>
      </c>
      <c r="B170" s="249" t="s">
        <v>978</v>
      </c>
      <c r="C170" s="250"/>
      <c r="D170" s="223">
        <v>3.3268978824891771</v>
      </c>
      <c r="E170" s="222" t="s">
        <v>9</v>
      </c>
      <c r="F170" s="203" t="s">
        <v>9</v>
      </c>
      <c r="G170" s="203" t="s">
        <v>9</v>
      </c>
    </row>
    <row r="171" spans="1:9" ht="17.100000000000001" customHeight="1" x14ac:dyDescent="0.2">
      <c r="A171" s="203" t="s">
        <v>9</v>
      </c>
      <c r="B171" s="245" t="s">
        <v>880</v>
      </c>
      <c r="C171" s="246"/>
      <c r="D171" s="182" t="s">
        <v>140</v>
      </c>
      <c r="E171" s="222" t="s">
        <v>9</v>
      </c>
      <c r="F171" s="203" t="s">
        <v>9</v>
      </c>
      <c r="G171" s="203" t="s">
        <v>9</v>
      </c>
    </row>
    <row r="172" spans="1:9" ht="17.100000000000001" customHeight="1" x14ac:dyDescent="0.2">
      <c r="A172" s="203" t="s">
        <v>9</v>
      </c>
      <c r="B172" s="245" t="s">
        <v>976</v>
      </c>
      <c r="C172" s="246"/>
      <c r="D172" s="224">
        <v>0.8332745173208459</v>
      </c>
      <c r="E172" s="203" t="s">
        <v>9</v>
      </c>
      <c r="F172" s="207" t="s">
        <v>9</v>
      </c>
      <c r="G172" s="208" t="s">
        <v>9</v>
      </c>
    </row>
    <row r="173" spans="1:9" ht="11.1" customHeight="1" x14ac:dyDescent="0.2">
      <c r="A173" s="225"/>
      <c r="B173" s="225"/>
      <c r="C173" s="225"/>
      <c r="D173" s="225"/>
      <c r="E173" s="225"/>
      <c r="F173" s="225"/>
      <c r="G173" s="225"/>
    </row>
  </sheetData>
  <mergeCells count="18">
    <mergeCell ref="B150:C150"/>
    <mergeCell ref="B151:C151"/>
    <mergeCell ref="B152:C152"/>
    <mergeCell ref="B160:C160"/>
    <mergeCell ref="B172:C172"/>
    <mergeCell ref="A1:I1"/>
    <mergeCell ref="B168:C168"/>
    <mergeCell ref="B169:C169"/>
    <mergeCell ref="B170:C170"/>
    <mergeCell ref="B171:C171"/>
    <mergeCell ref="A2:I2"/>
    <mergeCell ref="A3:I3"/>
    <mergeCell ref="B165:F165"/>
    <mergeCell ref="B167:C167"/>
    <mergeCell ref="B145:F145"/>
    <mergeCell ref="B146:F146"/>
    <mergeCell ref="B147:F147"/>
    <mergeCell ref="B149:D149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H142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699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403</v>
      </c>
      <c r="C7" s="6" t="s">
        <v>404</v>
      </c>
      <c r="D7" s="6" t="s">
        <v>179</v>
      </c>
      <c r="E7" s="7">
        <v>577633</v>
      </c>
      <c r="F7" s="8">
        <v>9302.7794649999996</v>
      </c>
      <c r="G7" s="9">
        <v>8.0431105000000003E-2</v>
      </c>
      <c r="H7" s="164"/>
    </row>
    <row r="8" spans="1:8" x14ac:dyDescent="0.2">
      <c r="A8" s="5">
        <v>2</v>
      </c>
      <c r="B8" s="6" t="s">
        <v>20</v>
      </c>
      <c r="C8" s="6" t="s">
        <v>21</v>
      </c>
      <c r="D8" s="6" t="s">
        <v>22</v>
      </c>
      <c r="E8" s="7">
        <v>1267715</v>
      </c>
      <c r="F8" s="8">
        <v>8652.1548750000002</v>
      </c>
      <c r="G8" s="9">
        <v>7.4805856000000004E-2</v>
      </c>
      <c r="H8" s="164"/>
    </row>
    <row r="9" spans="1:8" x14ac:dyDescent="0.2">
      <c r="A9" s="5">
        <v>3</v>
      </c>
      <c r="B9" s="6" t="s">
        <v>79</v>
      </c>
      <c r="C9" s="6" t="s">
        <v>80</v>
      </c>
      <c r="D9" s="6" t="s">
        <v>22</v>
      </c>
      <c r="E9" s="7">
        <v>529326</v>
      </c>
      <c r="F9" s="8">
        <v>7550.5707270000003</v>
      </c>
      <c r="G9" s="9">
        <v>6.5281644999999999E-2</v>
      </c>
      <c r="H9" s="164"/>
    </row>
    <row r="10" spans="1:8" x14ac:dyDescent="0.2">
      <c r="A10" s="5">
        <v>4</v>
      </c>
      <c r="B10" s="6" t="s">
        <v>15</v>
      </c>
      <c r="C10" s="6" t="s">
        <v>16</v>
      </c>
      <c r="D10" s="6" t="s">
        <v>17</v>
      </c>
      <c r="E10" s="7">
        <v>295893</v>
      </c>
      <c r="F10" s="8">
        <v>6022.3102289999997</v>
      </c>
      <c r="G10" s="9">
        <v>5.2068424000000002E-2</v>
      </c>
      <c r="H10" s="164"/>
    </row>
    <row r="11" spans="1:8" x14ac:dyDescent="0.2">
      <c r="A11" s="5">
        <v>5</v>
      </c>
      <c r="B11" s="6" t="s">
        <v>407</v>
      </c>
      <c r="C11" s="6" t="s">
        <v>408</v>
      </c>
      <c r="D11" s="6" t="s">
        <v>22</v>
      </c>
      <c r="E11" s="7">
        <v>1276889</v>
      </c>
      <c r="F11" s="8">
        <v>5513.606702</v>
      </c>
      <c r="G11" s="9">
        <v>4.7670213000000003E-2</v>
      </c>
      <c r="H11" s="164"/>
    </row>
    <row r="12" spans="1:8" ht="25.5" x14ac:dyDescent="0.2">
      <c r="A12" s="5">
        <v>6</v>
      </c>
      <c r="B12" s="6" t="s">
        <v>405</v>
      </c>
      <c r="C12" s="6" t="s">
        <v>406</v>
      </c>
      <c r="D12" s="6" t="s">
        <v>161</v>
      </c>
      <c r="E12" s="7">
        <v>188177</v>
      </c>
      <c r="F12" s="8">
        <v>4593.6828354999998</v>
      </c>
      <c r="G12" s="9">
        <v>3.9716623E-2</v>
      </c>
      <c r="H12" s="164"/>
    </row>
    <row r="13" spans="1:8" x14ac:dyDescent="0.2">
      <c r="A13" s="5">
        <v>7</v>
      </c>
      <c r="B13" s="6" t="s">
        <v>419</v>
      </c>
      <c r="C13" s="6" t="s">
        <v>420</v>
      </c>
      <c r="D13" s="6" t="s">
        <v>179</v>
      </c>
      <c r="E13" s="7">
        <v>142864</v>
      </c>
      <c r="F13" s="8">
        <v>4525.1457680000003</v>
      </c>
      <c r="G13" s="9">
        <v>3.9124056999999997E-2</v>
      </c>
      <c r="H13" s="164"/>
    </row>
    <row r="14" spans="1:8" x14ac:dyDescent="0.2">
      <c r="A14" s="5">
        <v>8</v>
      </c>
      <c r="B14" s="6" t="s">
        <v>12</v>
      </c>
      <c r="C14" s="6" t="s">
        <v>13</v>
      </c>
      <c r="D14" s="6" t="s">
        <v>14</v>
      </c>
      <c r="E14" s="7">
        <v>277602</v>
      </c>
      <c r="F14" s="8">
        <v>4445.6572290000004</v>
      </c>
      <c r="G14" s="9">
        <v>3.8436804999999998E-2</v>
      </c>
      <c r="H14" s="164"/>
    </row>
    <row r="15" spans="1:8" x14ac:dyDescent="0.2">
      <c r="A15" s="5">
        <v>9</v>
      </c>
      <c r="B15" s="6" t="s">
        <v>357</v>
      </c>
      <c r="C15" s="6" t="s">
        <v>358</v>
      </c>
      <c r="D15" s="6" t="s">
        <v>22</v>
      </c>
      <c r="E15" s="7">
        <v>581534</v>
      </c>
      <c r="F15" s="8">
        <v>4122.4945260000004</v>
      </c>
      <c r="G15" s="9">
        <v>3.5642765999999999E-2</v>
      </c>
      <c r="H15" s="164"/>
    </row>
    <row r="16" spans="1:8" x14ac:dyDescent="0.2">
      <c r="A16" s="5">
        <v>10</v>
      </c>
      <c r="B16" s="6" t="s">
        <v>326</v>
      </c>
      <c r="C16" s="6" t="s">
        <v>327</v>
      </c>
      <c r="D16" s="6" t="s">
        <v>200</v>
      </c>
      <c r="E16" s="7">
        <v>86247</v>
      </c>
      <c r="F16" s="8">
        <v>3389.8952115000002</v>
      </c>
      <c r="G16" s="9">
        <v>2.9308768999999998E-2</v>
      </c>
      <c r="H16" s="164"/>
    </row>
    <row r="17" spans="1:8" x14ac:dyDescent="0.2">
      <c r="A17" s="5">
        <v>11</v>
      </c>
      <c r="B17" s="6" t="s">
        <v>306</v>
      </c>
      <c r="C17" s="6" t="s">
        <v>307</v>
      </c>
      <c r="D17" s="6" t="s">
        <v>179</v>
      </c>
      <c r="E17" s="7">
        <v>115146</v>
      </c>
      <c r="F17" s="8">
        <v>3299.163192</v>
      </c>
      <c r="G17" s="9">
        <v>2.8524306999999999E-2</v>
      </c>
      <c r="H17" s="164"/>
    </row>
    <row r="18" spans="1:8" x14ac:dyDescent="0.2">
      <c r="A18" s="5">
        <v>12</v>
      </c>
      <c r="B18" s="6" t="s">
        <v>359</v>
      </c>
      <c r="C18" s="6" t="s">
        <v>360</v>
      </c>
      <c r="D18" s="6" t="s">
        <v>161</v>
      </c>
      <c r="E18" s="7">
        <v>197266</v>
      </c>
      <c r="F18" s="8">
        <v>2742.1946659999999</v>
      </c>
      <c r="G18" s="9">
        <v>2.3708801000000002E-2</v>
      </c>
      <c r="H18" s="164"/>
    </row>
    <row r="19" spans="1:8" x14ac:dyDescent="0.2">
      <c r="A19" s="5">
        <v>13</v>
      </c>
      <c r="B19" s="6" t="s">
        <v>371</v>
      </c>
      <c r="C19" s="6" t="s">
        <v>372</v>
      </c>
      <c r="D19" s="6" t="s">
        <v>179</v>
      </c>
      <c r="E19" s="7">
        <v>263510</v>
      </c>
      <c r="F19" s="8">
        <v>2700.8457450000001</v>
      </c>
      <c r="G19" s="9">
        <v>2.3351301000000001E-2</v>
      </c>
      <c r="H19" s="164"/>
    </row>
    <row r="20" spans="1:8" x14ac:dyDescent="0.2">
      <c r="A20" s="5">
        <v>14</v>
      </c>
      <c r="B20" s="6" t="s">
        <v>395</v>
      </c>
      <c r="C20" s="6" t="s">
        <v>396</v>
      </c>
      <c r="D20" s="6" t="s">
        <v>932</v>
      </c>
      <c r="E20" s="7">
        <v>17742</v>
      </c>
      <c r="F20" s="8">
        <v>2523.3027240000001</v>
      </c>
      <c r="G20" s="9">
        <v>2.1816278000000001E-2</v>
      </c>
      <c r="H20" s="164"/>
    </row>
    <row r="21" spans="1:8" x14ac:dyDescent="0.2">
      <c r="A21" s="5">
        <v>15</v>
      </c>
      <c r="B21" s="6" t="s">
        <v>308</v>
      </c>
      <c r="C21" s="6" t="s">
        <v>309</v>
      </c>
      <c r="D21" s="6" t="s">
        <v>182</v>
      </c>
      <c r="E21" s="7">
        <v>62299</v>
      </c>
      <c r="F21" s="8">
        <v>2513.7646500000001</v>
      </c>
      <c r="G21" s="9">
        <v>2.1733813000000001E-2</v>
      </c>
      <c r="H21" s="164"/>
    </row>
    <row r="22" spans="1:8" x14ac:dyDescent="0.2">
      <c r="A22" s="5">
        <v>16</v>
      </c>
      <c r="B22" s="6" t="s">
        <v>101</v>
      </c>
      <c r="C22" s="6" t="s">
        <v>102</v>
      </c>
      <c r="D22" s="6" t="s">
        <v>76</v>
      </c>
      <c r="E22" s="7">
        <v>442884</v>
      </c>
      <c r="F22" s="8">
        <v>2470.1855099999998</v>
      </c>
      <c r="G22" s="9">
        <v>2.1357030999999999E-2</v>
      </c>
      <c r="H22" s="164"/>
    </row>
    <row r="23" spans="1:8" x14ac:dyDescent="0.2">
      <c r="A23" s="5">
        <v>17</v>
      </c>
      <c r="B23" s="6" t="s">
        <v>328</v>
      </c>
      <c r="C23" s="6" t="s">
        <v>329</v>
      </c>
      <c r="D23" s="6" t="s">
        <v>266</v>
      </c>
      <c r="E23" s="7">
        <v>78284</v>
      </c>
      <c r="F23" s="8">
        <v>2309.534568</v>
      </c>
      <c r="G23" s="9">
        <v>1.9968056000000001E-2</v>
      </c>
      <c r="H23" s="164"/>
    </row>
    <row r="24" spans="1:8" x14ac:dyDescent="0.2">
      <c r="A24" s="5">
        <v>18</v>
      </c>
      <c r="B24" s="6" t="s">
        <v>23</v>
      </c>
      <c r="C24" s="6" t="s">
        <v>24</v>
      </c>
      <c r="D24" s="6" t="s">
        <v>25</v>
      </c>
      <c r="E24" s="7">
        <v>409068</v>
      </c>
      <c r="F24" s="8">
        <v>2297.5304219999998</v>
      </c>
      <c r="G24" s="9">
        <v>1.9864269E-2</v>
      </c>
      <c r="H24" s="164"/>
    </row>
    <row r="25" spans="1:8" x14ac:dyDescent="0.2">
      <c r="A25" s="5">
        <v>19</v>
      </c>
      <c r="B25" s="6" t="s">
        <v>53</v>
      </c>
      <c r="C25" s="6" t="s">
        <v>54</v>
      </c>
      <c r="D25" s="6" t="s">
        <v>17</v>
      </c>
      <c r="E25" s="7">
        <v>512411</v>
      </c>
      <c r="F25" s="8">
        <v>2282.791005</v>
      </c>
      <c r="G25" s="9">
        <v>1.9736832999999999E-2</v>
      </c>
      <c r="H25" s="164"/>
    </row>
    <row r="26" spans="1:8" ht="25.5" x14ac:dyDescent="0.2">
      <c r="A26" s="5">
        <v>20</v>
      </c>
      <c r="B26" s="6" t="s">
        <v>589</v>
      </c>
      <c r="C26" s="6" t="s">
        <v>590</v>
      </c>
      <c r="D26" s="6" t="s">
        <v>925</v>
      </c>
      <c r="E26" s="7">
        <v>511927</v>
      </c>
      <c r="F26" s="8">
        <v>2104.7878605000001</v>
      </c>
      <c r="G26" s="9">
        <v>1.8197832000000001E-2</v>
      </c>
      <c r="H26" s="164"/>
    </row>
    <row r="27" spans="1:8" x14ac:dyDescent="0.2">
      <c r="A27" s="5">
        <v>21</v>
      </c>
      <c r="B27" s="6" t="s">
        <v>442</v>
      </c>
      <c r="C27" s="6" t="s">
        <v>443</v>
      </c>
      <c r="D27" s="6" t="s">
        <v>28</v>
      </c>
      <c r="E27" s="7">
        <v>93108</v>
      </c>
      <c r="F27" s="8">
        <v>1938.2757899999999</v>
      </c>
      <c r="G27" s="9">
        <v>1.6758181E-2</v>
      </c>
      <c r="H27" s="164"/>
    </row>
    <row r="28" spans="1:8" ht="25.5" x14ac:dyDescent="0.2">
      <c r="A28" s="5">
        <v>22</v>
      </c>
      <c r="B28" s="6" t="s">
        <v>491</v>
      </c>
      <c r="C28" s="6" t="s">
        <v>492</v>
      </c>
      <c r="D28" s="6" t="s">
        <v>67</v>
      </c>
      <c r="E28" s="7">
        <v>14892</v>
      </c>
      <c r="F28" s="8">
        <v>1888.3949520000001</v>
      </c>
      <c r="G28" s="9">
        <v>1.6326915000000001E-2</v>
      </c>
      <c r="H28" s="164"/>
    </row>
    <row r="29" spans="1:8" ht="25.5" x14ac:dyDescent="0.2">
      <c r="A29" s="5">
        <v>23</v>
      </c>
      <c r="B29" s="6" t="s">
        <v>417</v>
      </c>
      <c r="C29" s="6" t="s">
        <v>418</v>
      </c>
      <c r="D29" s="6" t="s">
        <v>67</v>
      </c>
      <c r="E29" s="7">
        <v>78561</v>
      </c>
      <c r="F29" s="8">
        <v>1833.063813</v>
      </c>
      <c r="G29" s="9">
        <v>1.5848527000000001E-2</v>
      </c>
      <c r="H29" s="164"/>
    </row>
    <row r="30" spans="1:8" x14ac:dyDescent="0.2">
      <c r="A30" s="5">
        <v>24</v>
      </c>
      <c r="B30" s="6" t="s">
        <v>86</v>
      </c>
      <c r="C30" s="6" t="s">
        <v>87</v>
      </c>
      <c r="D30" s="6" t="s">
        <v>88</v>
      </c>
      <c r="E30" s="7">
        <v>1245213</v>
      </c>
      <c r="F30" s="8">
        <v>1653.6428639999999</v>
      </c>
      <c r="G30" s="9">
        <v>1.4297267000000001E-2</v>
      </c>
      <c r="H30" s="164"/>
    </row>
    <row r="31" spans="1:8" ht="25.5" x14ac:dyDescent="0.2">
      <c r="A31" s="5">
        <v>25</v>
      </c>
      <c r="B31" s="6" t="s">
        <v>336</v>
      </c>
      <c r="C31" s="6" t="s">
        <v>337</v>
      </c>
      <c r="D31" s="6" t="s">
        <v>67</v>
      </c>
      <c r="E31" s="7">
        <v>200026</v>
      </c>
      <c r="F31" s="8">
        <v>1523.7980680000001</v>
      </c>
      <c r="G31" s="9">
        <v>1.3174639E-2</v>
      </c>
      <c r="H31" s="164"/>
    </row>
    <row r="32" spans="1:8" x14ac:dyDescent="0.2">
      <c r="A32" s="5">
        <v>26</v>
      </c>
      <c r="B32" s="6" t="s">
        <v>411</v>
      </c>
      <c r="C32" s="6" t="s">
        <v>412</v>
      </c>
      <c r="D32" s="6" t="s">
        <v>59</v>
      </c>
      <c r="E32" s="7">
        <v>103672</v>
      </c>
      <c r="F32" s="8">
        <v>1486.967496</v>
      </c>
      <c r="G32" s="9">
        <v>1.2856205000000001E-2</v>
      </c>
      <c r="H32" s="164"/>
    </row>
    <row r="33" spans="1:8" x14ac:dyDescent="0.2">
      <c r="A33" s="5">
        <v>27</v>
      </c>
      <c r="B33" s="6" t="s">
        <v>413</v>
      </c>
      <c r="C33" s="6" t="s">
        <v>414</v>
      </c>
      <c r="D33" s="6" t="s">
        <v>200</v>
      </c>
      <c r="E33" s="7">
        <v>190664</v>
      </c>
      <c r="F33" s="8">
        <v>1475.6440279999999</v>
      </c>
      <c r="G33" s="9">
        <v>1.2758303E-2</v>
      </c>
      <c r="H33" s="164"/>
    </row>
    <row r="34" spans="1:8" ht="25.5" x14ac:dyDescent="0.2">
      <c r="A34" s="5">
        <v>28</v>
      </c>
      <c r="B34" s="6" t="s">
        <v>33</v>
      </c>
      <c r="C34" s="6" t="s">
        <v>34</v>
      </c>
      <c r="D34" s="6" t="s">
        <v>925</v>
      </c>
      <c r="E34" s="7">
        <v>19363</v>
      </c>
      <c r="F34" s="8">
        <v>1475.3056959999999</v>
      </c>
      <c r="G34" s="9">
        <v>1.2755378E-2</v>
      </c>
      <c r="H34" s="164"/>
    </row>
    <row r="35" spans="1:8" ht="25.5" x14ac:dyDescent="0.2">
      <c r="A35" s="5">
        <v>29</v>
      </c>
      <c r="B35" s="6" t="s">
        <v>619</v>
      </c>
      <c r="C35" s="6" t="s">
        <v>620</v>
      </c>
      <c r="D35" s="6" t="s">
        <v>67</v>
      </c>
      <c r="E35" s="7">
        <v>223886</v>
      </c>
      <c r="F35" s="8">
        <v>1344.883202</v>
      </c>
      <c r="G35" s="9">
        <v>1.1627755E-2</v>
      </c>
      <c r="H35" s="164"/>
    </row>
    <row r="36" spans="1:8" x14ac:dyDescent="0.2">
      <c r="A36" s="5">
        <v>30</v>
      </c>
      <c r="B36" s="6" t="s">
        <v>448</v>
      </c>
      <c r="C36" s="6" t="s">
        <v>449</v>
      </c>
      <c r="D36" s="6" t="s">
        <v>195</v>
      </c>
      <c r="E36" s="7">
        <v>561545</v>
      </c>
      <c r="F36" s="8">
        <v>1315.9807075000001</v>
      </c>
      <c r="G36" s="9">
        <v>1.1377866E-2</v>
      </c>
      <c r="H36" s="164"/>
    </row>
    <row r="37" spans="1:8" ht="25.5" x14ac:dyDescent="0.2">
      <c r="A37" s="5">
        <v>31</v>
      </c>
      <c r="B37" s="6" t="s">
        <v>485</v>
      </c>
      <c r="C37" s="6" t="s">
        <v>486</v>
      </c>
      <c r="D37" s="6" t="s">
        <v>67</v>
      </c>
      <c r="E37" s="7">
        <v>197658</v>
      </c>
      <c r="F37" s="8">
        <v>1266.493635</v>
      </c>
      <c r="G37" s="9">
        <v>1.0950005000000001E-2</v>
      </c>
      <c r="H37" s="164"/>
    </row>
    <row r="38" spans="1:8" ht="25.5" x14ac:dyDescent="0.2">
      <c r="A38" s="5">
        <v>32</v>
      </c>
      <c r="B38" s="6" t="s">
        <v>393</v>
      </c>
      <c r="C38" s="6" t="s">
        <v>394</v>
      </c>
      <c r="D38" s="6" t="s">
        <v>67</v>
      </c>
      <c r="E38" s="7">
        <v>167408</v>
      </c>
      <c r="F38" s="8">
        <v>1266.0229999999999</v>
      </c>
      <c r="G38" s="9">
        <v>1.0945936E-2</v>
      </c>
      <c r="H38" s="164"/>
    </row>
    <row r="39" spans="1:8" x14ac:dyDescent="0.2">
      <c r="A39" s="5">
        <v>33</v>
      </c>
      <c r="B39" s="6" t="s">
        <v>373</v>
      </c>
      <c r="C39" s="6" t="s">
        <v>374</v>
      </c>
      <c r="D39" s="6" t="s">
        <v>62</v>
      </c>
      <c r="E39" s="7">
        <v>51545</v>
      </c>
      <c r="F39" s="8">
        <v>1135.5105775</v>
      </c>
      <c r="G39" s="9">
        <v>9.817536E-3</v>
      </c>
      <c r="H39" s="164"/>
    </row>
    <row r="40" spans="1:8" x14ac:dyDescent="0.2">
      <c r="A40" s="5">
        <v>34</v>
      </c>
      <c r="B40" s="6" t="s">
        <v>436</v>
      </c>
      <c r="C40" s="6" t="s">
        <v>437</v>
      </c>
      <c r="D40" s="6" t="s">
        <v>22</v>
      </c>
      <c r="E40" s="7">
        <v>58515</v>
      </c>
      <c r="F40" s="8">
        <v>968.30622000000005</v>
      </c>
      <c r="G40" s="9">
        <v>8.3718999999999998E-3</v>
      </c>
      <c r="H40" s="164"/>
    </row>
    <row r="41" spans="1:8" x14ac:dyDescent="0.2">
      <c r="A41" s="5">
        <v>35</v>
      </c>
      <c r="B41" s="6" t="s">
        <v>425</v>
      </c>
      <c r="C41" s="6" t="s">
        <v>426</v>
      </c>
      <c r="D41" s="6" t="s">
        <v>427</v>
      </c>
      <c r="E41" s="7">
        <v>215871</v>
      </c>
      <c r="F41" s="8">
        <v>960.194208</v>
      </c>
      <c r="G41" s="9">
        <v>8.3017639999999997E-3</v>
      </c>
      <c r="H41" s="164"/>
    </row>
    <row r="42" spans="1:8" x14ac:dyDescent="0.2">
      <c r="A42" s="5">
        <v>36</v>
      </c>
      <c r="B42" s="6" t="s">
        <v>494</v>
      </c>
      <c r="C42" s="6" t="s">
        <v>495</v>
      </c>
      <c r="D42" s="6" t="s">
        <v>88</v>
      </c>
      <c r="E42" s="7">
        <v>13588</v>
      </c>
      <c r="F42" s="8">
        <v>948.12987599999997</v>
      </c>
      <c r="G42" s="9">
        <v>8.197457E-3</v>
      </c>
      <c r="H42" s="164"/>
    </row>
    <row r="43" spans="1:8" ht="25.5" x14ac:dyDescent="0.2">
      <c r="A43" s="5">
        <v>37</v>
      </c>
      <c r="B43" s="6" t="s">
        <v>95</v>
      </c>
      <c r="C43" s="6" t="s">
        <v>96</v>
      </c>
      <c r="D43" s="6" t="s">
        <v>50</v>
      </c>
      <c r="E43" s="7">
        <v>139388</v>
      </c>
      <c r="F43" s="8">
        <v>940.17205999999999</v>
      </c>
      <c r="G43" s="9">
        <v>8.1286540000000008E-3</v>
      </c>
      <c r="H43" s="164"/>
    </row>
    <row r="44" spans="1:8" x14ac:dyDescent="0.2">
      <c r="A44" s="5">
        <v>38</v>
      </c>
      <c r="B44" s="6" t="s">
        <v>446</v>
      </c>
      <c r="C44" s="6" t="s">
        <v>447</v>
      </c>
      <c r="D44" s="6" t="s">
        <v>200</v>
      </c>
      <c r="E44" s="7">
        <v>91288</v>
      </c>
      <c r="F44" s="8">
        <v>839.89524400000005</v>
      </c>
      <c r="G44" s="9">
        <v>7.2616690000000001E-3</v>
      </c>
      <c r="H44" s="164"/>
    </row>
    <row r="45" spans="1:8" x14ac:dyDescent="0.2">
      <c r="A45" s="5">
        <v>39</v>
      </c>
      <c r="B45" s="6" t="s">
        <v>377</v>
      </c>
      <c r="C45" s="6" t="s">
        <v>378</v>
      </c>
      <c r="D45" s="6" t="s">
        <v>346</v>
      </c>
      <c r="E45" s="7">
        <v>627759</v>
      </c>
      <c r="F45" s="8">
        <v>838.05826500000001</v>
      </c>
      <c r="G45" s="9">
        <v>7.2457859999999997E-3</v>
      </c>
      <c r="H45" s="164"/>
    </row>
    <row r="46" spans="1:8" x14ac:dyDescent="0.2">
      <c r="A46" s="5">
        <v>40</v>
      </c>
      <c r="B46" s="6" t="s">
        <v>559</v>
      </c>
      <c r="C46" s="6" t="s">
        <v>560</v>
      </c>
      <c r="D46" s="6" t="s">
        <v>161</v>
      </c>
      <c r="E46" s="7">
        <v>11390</v>
      </c>
      <c r="F46" s="8">
        <v>709.38058999999998</v>
      </c>
      <c r="G46" s="9">
        <v>6.1332490000000003E-3</v>
      </c>
      <c r="H46" s="164"/>
    </row>
    <row r="47" spans="1:8" x14ac:dyDescent="0.2">
      <c r="A47" s="5">
        <v>41</v>
      </c>
      <c r="B47" s="6" t="s">
        <v>503</v>
      </c>
      <c r="C47" s="6" t="s">
        <v>504</v>
      </c>
      <c r="D47" s="6" t="s">
        <v>62</v>
      </c>
      <c r="E47" s="7">
        <v>37350</v>
      </c>
      <c r="F47" s="8">
        <v>640.38442499999996</v>
      </c>
      <c r="G47" s="9">
        <v>5.5367139999999999E-3</v>
      </c>
      <c r="H47" s="164"/>
    </row>
    <row r="48" spans="1:8" x14ac:dyDescent="0.2">
      <c r="A48" s="5">
        <v>42</v>
      </c>
      <c r="B48" s="6" t="s">
        <v>334</v>
      </c>
      <c r="C48" s="6" t="s">
        <v>335</v>
      </c>
      <c r="D48" s="6" t="s">
        <v>22</v>
      </c>
      <c r="E48" s="7">
        <v>695867</v>
      </c>
      <c r="F48" s="8">
        <v>608.53569149999998</v>
      </c>
      <c r="G48" s="9">
        <v>5.2613520000000004E-3</v>
      </c>
      <c r="H48" s="164"/>
    </row>
    <row r="49" spans="1:8" ht="25.5" x14ac:dyDescent="0.2">
      <c r="A49" s="5">
        <v>43</v>
      </c>
      <c r="B49" s="6" t="s">
        <v>438</v>
      </c>
      <c r="C49" s="6" t="s">
        <v>439</v>
      </c>
      <c r="D49" s="6" t="s">
        <v>932</v>
      </c>
      <c r="E49" s="7">
        <v>40310</v>
      </c>
      <c r="F49" s="8">
        <v>594.87482499999999</v>
      </c>
      <c r="G49" s="9">
        <v>5.1432409999999998E-3</v>
      </c>
      <c r="H49" s="164"/>
    </row>
    <row r="50" spans="1:8" x14ac:dyDescent="0.2">
      <c r="A50" s="5">
        <v>44</v>
      </c>
      <c r="B50" s="6" t="s">
        <v>650</v>
      </c>
      <c r="C50" s="6" t="s">
        <v>651</v>
      </c>
      <c r="D50" s="6" t="s">
        <v>22</v>
      </c>
      <c r="E50" s="7">
        <v>58802</v>
      </c>
      <c r="F50" s="8">
        <v>576.84762000000001</v>
      </c>
      <c r="G50" s="9">
        <v>4.9873790000000001E-3</v>
      </c>
      <c r="H50" s="164"/>
    </row>
    <row r="51" spans="1:8" x14ac:dyDescent="0.2">
      <c r="A51" s="5">
        <v>45</v>
      </c>
      <c r="B51" s="6" t="s">
        <v>580</v>
      </c>
      <c r="C51" s="6" t="s">
        <v>581</v>
      </c>
      <c r="D51" s="6" t="s">
        <v>932</v>
      </c>
      <c r="E51" s="7">
        <v>62057</v>
      </c>
      <c r="F51" s="8">
        <v>412.08950850000002</v>
      </c>
      <c r="G51" s="9">
        <v>3.562894E-3</v>
      </c>
      <c r="H51" s="164"/>
    </row>
    <row r="52" spans="1:8" x14ac:dyDescent="0.2">
      <c r="A52" s="5">
        <v>46</v>
      </c>
      <c r="B52" s="6" t="s">
        <v>421</v>
      </c>
      <c r="C52" s="6" t="s">
        <v>422</v>
      </c>
      <c r="D52" s="6" t="s">
        <v>88</v>
      </c>
      <c r="E52" s="7">
        <v>53505</v>
      </c>
      <c r="F52" s="8">
        <v>397.59565500000002</v>
      </c>
      <c r="G52" s="9">
        <v>3.4375809999999999E-3</v>
      </c>
      <c r="H52" s="164"/>
    </row>
    <row r="53" spans="1:8" x14ac:dyDescent="0.2">
      <c r="A53" s="5">
        <v>47</v>
      </c>
      <c r="B53" s="6" t="s">
        <v>409</v>
      </c>
      <c r="C53" s="6" t="s">
        <v>410</v>
      </c>
      <c r="D53" s="6" t="s">
        <v>932</v>
      </c>
      <c r="E53" s="7">
        <v>29007</v>
      </c>
      <c r="F53" s="8">
        <v>318.67090200000001</v>
      </c>
      <c r="G53" s="9">
        <v>2.7552039999999998E-3</v>
      </c>
      <c r="H53" s="164"/>
    </row>
    <row r="54" spans="1:8" x14ac:dyDescent="0.2">
      <c r="A54" s="3" t="s">
        <v>9</v>
      </c>
      <c r="B54" s="3" t="s">
        <v>9</v>
      </c>
      <c r="C54" s="4" t="s">
        <v>110</v>
      </c>
      <c r="D54" s="3" t="s">
        <v>9</v>
      </c>
      <c r="E54" s="3" t="s">
        <v>9</v>
      </c>
      <c r="F54" s="11">
        <v>112719.5168295</v>
      </c>
      <c r="G54" s="12">
        <v>0.97456414099999999</v>
      </c>
      <c r="H54" s="164"/>
    </row>
    <row r="55" spans="1:8" x14ac:dyDescent="0.2">
      <c r="A55" s="3" t="s">
        <v>9</v>
      </c>
      <c r="B55" s="3" t="s">
        <v>9</v>
      </c>
      <c r="C55" s="13" t="s">
        <v>9</v>
      </c>
      <c r="D55" s="3" t="s">
        <v>9</v>
      </c>
      <c r="E55" s="3" t="s">
        <v>9</v>
      </c>
      <c r="F55" s="14" t="s">
        <v>9</v>
      </c>
      <c r="G55" s="14" t="s">
        <v>9</v>
      </c>
      <c r="H55" s="164"/>
    </row>
    <row r="56" spans="1:8" x14ac:dyDescent="0.2">
      <c r="A56" s="3" t="s">
        <v>9</v>
      </c>
      <c r="B56" s="3" t="s">
        <v>9</v>
      </c>
      <c r="C56" s="4" t="s">
        <v>111</v>
      </c>
      <c r="D56" s="3" t="s">
        <v>9</v>
      </c>
      <c r="E56" s="3" t="s">
        <v>9</v>
      </c>
      <c r="F56" s="3" t="s">
        <v>9</v>
      </c>
      <c r="G56" s="3" t="s">
        <v>9</v>
      </c>
      <c r="H56" s="164"/>
    </row>
    <row r="57" spans="1:8" x14ac:dyDescent="0.2">
      <c r="A57" s="3" t="s">
        <v>9</v>
      </c>
      <c r="B57" s="3" t="s">
        <v>9</v>
      </c>
      <c r="C57" s="4" t="s">
        <v>110</v>
      </c>
      <c r="D57" s="3" t="s">
        <v>9</v>
      </c>
      <c r="E57" s="3" t="s">
        <v>9</v>
      </c>
      <c r="F57" s="15">
        <v>0</v>
      </c>
      <c r="G57" s="16">
        <v>0</v>
      </c>
      <c r="H57" s="164"/>
    </row>
    <row r="58" spans="1:8" x14ac:dyDescent="0.2">
      <c r="A58" s="3" t="s">
        <v>9</v>
      </c>
      <c r="B58" s="3" t="s">
        <v>9</v>
      </c>
      <c r="C58" s="13" t="s">
        <v>9</v>
      </c>
      <c r="D58" s="3" t="s">
        <v>9</v>
      </c>
      <c r="E58" s="3" t="s">
        <v>9</v>
      </c>
      <c r="F58" s="14" t="s">
        <v>9</v>
      </c>
      <c r="G58" s="14" t="s">
        <v>9</v>
      </c>
      <c r="H58" s="164"/>
    </row>
    <row r="59" spans="1:8" x14ac:dyDescent="0.2">
      <c r="A59" s="3" t="s">
        <v>9</v>
      </c>
      <c r="B59" s="3" t="s">
        <v>9</v>
      </c>
      <c r="C59" s="4" t="s">
        <v>112</v>
      </c>
      <c r="D59" s="3" t="s">
        <v>9</v>
      </c>
      <c r="E59" s="3" t="s">
        <v>9</v>
      </c>
      <c r="F59" s="3" t="s">
        <v>9</v>
      </c>
      <c r="G59" s="3" t="s">
        <v>9</v>
      </c>
      <c r="H59" s="164"/>
    </row>
    <row r="60" spans="1:8" x14ac:dyDescent="0.2">
      <c r="A60" s="3" t="s">
        <v>9</v>
      </c>
      <c r="B60" s="3" t="s">
        <v>9</v>
      </c>
      <c r="C60" s="4" t="s">
        <v>110</v>
      </c>
      <c r="D60" s="3" t="s">
        <v>9</v>
      </c>
      <c r="E60" s="3" t="s">
        <v>9</v>
      </c>
      <c r="F60" s="15">
        <v>0</v>
      </c>
      <c r="G60" s="16">
        <v>0</v>
      </c>
      <c r="H60" s="164"/>
    </row>
    <row r="61" spans="1:8" x14ac:dyDescent="0.2">
      <c r="A61" s="3" t="s">
        <v>9</v>
      </c>
      <c r="B61" s="3" t="s">
        <v>9</v>
      </c>
      <c r="C61" s="13" t="s">
        <v>9</v>
      </c>
      <c r="D61" s="3" t="s">
        <v>9</v>
      </c>
      <c r="E61" s="3" t="s">
        <v>9</v>
      </c>
      <c r="F61" s="14" t="s">
        <v>9</v>
      </c>
      <c r="G61" s="14" t="s">
        <v>9</v>
      </c>
      <c r="H61" s="164"/>
    </row>
    <row r="62" spans="1:8" x14ac:dyDescent="0.2">
      <c r="A62" s="3" t="s">
        <v>9</v>
      </c>
      <c r="B62" s="3" t="s">
        <v>9</v>
      </c>
      <c r="C62" s="4" t="s">
        <v>113</v>
      </c>
      <c r="D62" s="3" t="s">
        <v>9</v>
      </c>
      <c r="E62" s="3" t="s">
        <v>9</v>
      </c>
      <c r="F62" s="3" t="s">
        <v>9</v>
      </c>
      <c r="G62" s="3" t="s">
        <v>9</v>
      </c>
      <c r="H62" s="164"/>
    </row>
    <row r="63" spans="1:8" x14ac:dyDescent="0.2">
      <c r="A63" s="3" t="s">
        <v>9</v>
      </c>
      <c r="B63" s="3" t="s">
        <v>9</v>
      </c>
      <c r="C63" s="4" t="s">
        <v>110</v>
      </c>
      <c r="D63" s="3" t="s">
        <v>9</v>
      </c>
      <c r="E63" s="3" t="s">
        <v>9</v>
      </c>
      <c r="F63" s="15">
        <v>0</v>
      </c>
      <c r="G63" s="16">
        <v>0</v>
      </c>
      <c r="H63" s="164"/>
    </row>
    <row r="64" spans="1:8" x14ac:dyDescent="0.2">
      <c r="A64" s="3" t="s">
        <v>9</v>
      </c>
      <c r="B64" s="3" t="s">
        <v>9</v>
      </c>
      <c r="C64" s="13" t="s">
        <v>9</v>
      </c>
      <c r="D64" s="3" t="s">
        <v>9</v>
      </c>
      <c r="E64" s="3" t="s">
        <v>9</v>
      </c>
      <c r="F64" s="14" t="s">
        <v>9</v>
      </c>
      <c r="G64" s="14" t="s">
        <v>9</v>
      </c>
      <c r="H64" s="164"/>
    </row>
    <row r="65" spans="1:8" x14ac:dyDescent="0.2">
      <c r="A65" s="3" t="s">
        <v>9</v>
      </c>
      <c r="B65" s="3" t="s">
        <v>9</v>
      </c>
      <c r="C65" s="4" t="s">
        <v>114</v>
      </c>
      <c r="D65" s="3" t="s">
        <v>9</v>
      </c>
      <c r="E65" s="3" t="s">
        <v>9</v>
      </c>
      <c r="F65" s="14" t="s">
        <v>9</v>
      </c>
      <c r="G65" s="14" t="s">
        <v>9</v>
      </c>
      <c r="H65" s="164"/>
    </row>
    <row r="66" spans="1:8" x14ac:dyDescent="0.2">
      <c r="A66" s="3" t="s">
        <v>9</v>
      </c>
      <c r="B66" s="3" t="s">
        <v>9</v>
      </c>
      <c r="C66" s="4" t="s">
        <v>110</v>
      </c>
      <c r="D66" s="3" t="s">
        <v>9</v>
      </c>
      <c r="E66" s="3" t="s">
        <v>9</v>
      </c>
      <c r="F66" s="15">
        <v>0</v>
      </c>
      <c r="G66" s="16">
        <v>0</v>
      </c>
      <c r="H66" s="164"/>
    </row>
    <row r="67" spans="1:8" x14ac:dyDescent="0.2">
      <c r="A67" s="3" t="s">
        <v>9</v>
      </c>
      <c r="B67" s="3" t="s">
        <v>9</v>
      </c>
      <c r="C67" s="13" t="s">
        <v>9</v>
      </c>
      <c r="D67" s="3" t="s">
        <v>9</v>
      </c>
      <c r="E67" s="3" t="s">
        <v>9</v>
      </c>
      <c r="F67" s="14" t="s">
        <v>9</v>
      </c>
      <c r="G67" s="14" t="s">
        <v>9</v>
      </c>
      <c r="H67" s="164"/>
    </row>
    <row r="68" spans="1:8" x14ac:dyDescent="0.2">
      <c r="A68" s="3" t="s">
        <v>9</v>
      </c>
      <c r="B68" s="3" t="s">
        <v>9</v>
      </c>
      <c r="C68" s="4" t="s">
        <v>115</v>
      </c>
      <c r="D68" s="3" t="s">
        <v>9</v>
      </c>
      <c r="E68" s="3" t="s">
        <v>9</v>
      </c>
      <c r="F68" s="14" t="s">
        <v>9</v>
      </c>
      <c r="G68" s="14" t="s">
        <v>9</v>
      </c>
      <c r="H68" s="164"/>
    </row>
    <row r="69" spans="1:8" x14ac:dyDescent="0.2">
      <c r="A69" s="3" t="s">
        <v>9</v>
      </c>
      <c r="B69" s="3" t="s">
        <v>9</v>
      </c>
      <c r="C69" s="4" t="s">
        <v>110</v>
      </c>
      <c r="D69" s="3" t="s">
        <v>9</v>
      </c>
      <c r="E69" s="3" t="s">
        <v>9</v>
      </c>
      <c r="F69" s="15">
        <v>0</v>
      </c>
      <c r="G69" s="16">
        <v>0</v>
      </c>
      <c r="H69" s="164"/>
    </row>
    <row r="70" spans="1:8" x14ac:dyDescent="0.2">
      <c r="A70" s="3" t="s">
        <v>9</v>
      </c>
      <c r="B70" s="3" t="s">
        <v>9</v>
      </c>
      <c r="C70" s="13" t="s">
        <v>9</v>
      </c>
      <c r="D70" s="3" t="s">
        <v>9</v>
      </c>
      <c r="E70" s="3" t="s">
        <v>9</v>
      </c>
      <c r="F70" s="14" t="s">
        <v>9</v>
      </c>
      <c r="G70" s="14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116</v>
      </c>
      <c r="D71" s="3" t="s">
        <v>9</v>
      </c>
      <c r="E71" s="3" t="s">
        <v>9</v>
      </c>
      <c r="F71" s="11">
        <v>112719.5168295</v>
      </c>
      <c r="G71" s="12">
        <v>0.97456414099999999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117</v>
      </c>
      <c r="D73" s="3" t="s">
        <v>9</v>
      </c>
      <c r="E73" s="3" t="s">
        <v>9</v>
      </c>
      <c r="F73" s="14" t="s">
        <v>9</v>
      </c>
      <c r="G73" s="14" t="s">
        <v>9</v>
      </c>
      <c r="H73" s="164"/>
    </row>
    <row r="74" spans="1:8" ht="25.5" x14ac:dyDescent="0.2">
      <c r="A74" s="3" t="s">
        <v>9</v>
      </c>
      <c r="B74" s="3" t="s">
        <v>9</v>
      </c>
      <c r="C74" s="4" t="s">
        <v>11</v>
      </c>
      <c r="D74" s="3" t="s">
        <v>9</v>
      </c>
      <c r="E74" s="3" t="s">
        <v>9</v>
      </c>
      <c r="F74" s="14" t="s">
        <v>9</v>
      </c>
      <c r="G74" s="14" t="s">
        <v>9</v>
      </c>
      <c r="H74" s="164"/>
    </row>
    <row r="75" spans="1:8" x14ac:dyDescent="0.2">
      <c r="A75" s="3" t="s">
        <v>9</v>
      </c>
      <c r="B75" s="3" t="s">
        <v>9</v>
      </c>
      <c r="C75" s="4" t="s">
        <v>110</v>
      </c>
      <c r="D75" s="3" t="s">
        <v>9</v>
      </c>
      <c r="E75" s="3" t="s">
        <v>9</v>
      </c>
      <c r="F75" s="15">
        <v>0</v>
      </c>
      <c r="G75" s="16">
        <v>0</v>
      </c>
      <c r="H75" s="164"/>
    </row>
    <row r="76" spans="1:8" x14ac:dyDescent="0.2">
      <c r="A76" s="3" t="s">
        <v>9</v>
      </c>
      <c r="B76" s="3" t="s">
        <v>9</v>
      </c>
      <c r="C76" s="13" t="s">
        <v>9</v>
      </c>
      <c r="D76" s="3" t="s">
        <v>9</v>
      </c>
      <c r="E76" s="3" t="s">
        <v>9</v>
      </c>
      <c r="F76" s="14" t="s">
        <v>9</v>
      </c>
      <c r="G76" s="14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118</v>
      </c>
      <c r="D77" s="3" t="s">
        <v>9</v>
      </c>
      <c r="E77" s="3" t="s">
        <v>9</v>
      </c>
      <c r="F77" s="3" t="s">
        <v>9</v>
      </c>
      <c r="G77" s="3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110</v>
      </c>
      <c r="D78" s="3" t="s">
        <v>9</v>
      </c>
      <c r="E78" s="3" t="s">
        <v>9</v>
      </c>
      <c r="F78" s="15">
        <v>0</v>
      </c>
      <c r="G78" s="16">
        <v>0</v>
      </c>
      <c r="H78" s="164"/>
    </row>
    <row r="79" spans="1:8" x14ac:dyDescent="0.2">
      <c r="A79" s="3" t="s">
        <v>9</v>
      </c>
      <c r="B79" s="3" t="s">
        <v>9</v>
      </c>
      <c r="C79" s="13" t="s">
        <v>9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119</v>
      </c>
      <c r="D80" s="3" t="s">
        <v>9</v>
      </c>
      <c r="E80" s="3" t="s">
        <v>9</v>
      </c>
      <c r="F80" s="3" t="s">
        <v>9</v>
      </c>
      <c r="G80" s="3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110</v>
      </c>
      <c r="D81" s="3" t="s">
        <v>9</v>
      </c>
      <c r="E81" s="3" t="s">
        <v>9</v>
      </c>
      <c r="F81" s="15">
        <v>0</v>
      </c>
      <c r="G81" s="16">
        <v>0</v>
      </c>
      <c r="H81" s="164"/>
    </row>
    <row r="82" spans="1:8" x14ac:dyDescent="0.2">
      <c r="A82" s="3" t="s">
        <v>9</v>
      </c>
      <c r="B82" s="3" t="s">
        <v>9</v>
      </c>
      <c r="C82" s="13" t="s">
        <v>9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120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110</v>
      </c>
      <c r="D84" s="3" t="s">
        <v>9</v>
      </c>
      <c r="E84" s="3" t="s">
        <v>9</v>
      </c>
      <c r="F84" s="15">
        <v>0</v>
      </c>
      <c r="G84" s="16">
        <v>0</v>
      </c>
      <c r="H84" s="164"/>
    </row>
    <row r="85" spans="1:8" x14ac:dyDescent="0.2">
      <c r="A85" s="3" t="s">
        <v>9</v>
      </c>
      <c r="B85" s="3" t="s">
        <v>9</v>
      </c>
      <c r="C85" s="13" t="s">
        <v>9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121</v>
      </c>
      <c r="D86" s="3" t="s">
        <v>9</v>
      </c>
      <c r="E86" s="3" t="s">
        <v>9</v>
      </c>
      <c r="F86" s="11">
        <v>0</v>
      </c>
      <c r="G86" s="12">
        <v>0</v>
      </c>
      <c r="H86" s="164"/>
    </row>
    <row r="87" spans="1:8" x14ac:dyDescent="0.2">
      <c r="A87" s="3" t="s">
        <v>9</v>
      </c>
      <c r="B87" s="3" t="s">
        <v>9</v>
      </c>
      <c r="C87" s="13" t="s">
        <v>9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122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123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110</v>
      </c>
      <c r="D90" s="3" t="s">
        <v>9</v>
      </c>
      <c r="E90" s="3" t="s">
        <v>9</v>
      </c>
      <c r="F90" s="15">
        <v>0</v>
      </c>
      <c r="G90" s="16">
        <v>0</v>
      </c>
      <c r="H90" s="164"/>
    </row>
    <row r="91" spans="1:8" x14ac:dyDescent="0.2">
      <c r="A91" s="3" t="s">
        <v>9</v>
      </c>
      <c r="B91" s="3" t="s">
        <v>9</v>
      </c>
      <c r="C91" s="13" t="s">
        <v>9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124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110</v>
      </c>
      <c r="D93" s="3" t="s">
        <v>9</v>
      </c>
      <c r="E93" s="3" t="s">
        <v>9</v>
      </c>
      <c r="F93" s="15">
        <v>0</v>
      </c>
      <c r="G93" s="16">
        <v>0</v>
      </c>
      <c r="H93" s="164"/>
    </row>
    <row r="94" spans="1:8" x14ac:dyDescent="0.2">
      <c r="A94" s="3" t="s">
        <v>9</v>
      </c>
      <c r="B94" s="3" t="s">
        <v>9</v>
      </c>
      <c r="C94" s="13" t="s">
        <v>9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125</v>
      </c>
      <c r="D95" s="3" t="s">
        <v>9</v>
      </c>
      <c r="E95" s="3" t="s">
        <v>9</v>
      </c>
      <c r="F95" s="14" t="s">
        <v>9</v>
      </c>
      <c r="G95" s="14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110</v>
      </c>
      <c r="D96" s="3" t="s">
        <v>9</v>
      </c>
      <c r="E96" s="3" t="s">
        <v>9</v>
      </c>
      <c r="F96" s="15">
        <v>0</v>
      </c>
      <c r="G96" s="16">
        <v>0</v>
      </c>
      <c r="H96" s="164"/>
    </row>
    <row r="97" spans="1:8" x14ac:dyDescent="0.2">
      <c r="A97" s="3" t="s">
        <v>9</v>
      </c>
      <c r="B97" s="3" t="s">
        <v>9</v>
      </c>
      <c r="C97" s="13" t="s">
        <v>9</v>
      </c>
      <c r="D97" s="3" t="s">
        <v>9</v>
      </c>
      <c r="E97" s="3" t="s">
        <v>9</v>
      </c>
      <c r="F97" s="14" t="s">
        <v>9</v>
      </c>
      <c r="G97" s="14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126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x14ac:dyDescent="0.2">
      <c r="A99" s="5">
        <v>1</v>
      </c>
      <c r="B99" s="6"/>
      <c r="C99" s="6" t="s">
        <v>127</v>
      </c>
      <c r="D99" s="6"/>
      <c r="E99" s="10" t="s">
        <v>9</v>
      </c>
      <c r="F99" s="8">
        <v>2329.1790256999998</v>
      </c>
      <c r="G99" s="9">
        <v>2.01379E-2</v>
      </c>
      <c r="H99" s="90">
        <v>3.22</v>
      </c>
    </row>
    <row r="100" spans="1:8" x14ac:dyDescent="0.2">
      <c r="A100" s="5">
        <v>2</v>
      </c>
      <c r="B100" s="6"/>
      <c r="C100" s="6" t="s">
        <v>128</v>
      </c>
      <c r="D100" s="6"/>
      <c r="E100" s="10" t="s">
        <v>9</v>
      </c>
      <c r="F100" s="8">
        <v>658.21469439999998</v>
      </c>
      <c r="G100" s="9">
        <v>5.6908729999999999E-3</v>
      </c>
      <c r="H100" s="90">
        <v>3.34</v>
      </c>
    </row>
    <row r="101" spans="1:8" x14ac:dyDescent="0.2">
      <c r="A101" s="3" t="s">
        <v>9</v>
      </c>
      <c r="B101" s="3" t="s">
        <v>9</v>
      </c>
      <c r="C101" s="4" t="s">
        <v>110</v>
      </c>
      <c r="D101" s="3" t="s">
        <v>9</v>
      </c>
      <c r="E101" s="3" t="s">
        <v>9</v>
      </c>
      <c r="F101" s="11">
        <v>2987.3937200999999</v>
      </c>
      <c r="G101" s="12">
        <v>2.5828772999999999E-2</v>
      </c>
      <c r="H101" s="164"/>
    </row>
    <row r="102" spans="1:8" x14ac:dyDescent="0.2">
      <c r="A102" s="3" t="s">
        <v>9</v>
      </c>
      <c r="B102" s="3" t="s">
        <v>9</v>
      </c>
      <c r="C102" s="13" t="s">
        <v>9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129</v>
      </c>
      <c r="D103" s="3" t="s">
        <v>9</v>
      </c>
      <c r="E103" s="3" t="s">
        <v>9</v>
      </c>
      <c r="F103" s="11">
        <v>2987.3937200999999</v>
      </c>
      <c r="G103" s="12">
        <v>2.5828772999999999E-2</v>
      </c>
      <c r="H103" s="164"/>
    </row>
    <row r="104" spans="1:8" x14ac:dyDescent="0.2">
      <c r="A104" s="3" t="s">
        <v>9</v>
      </c>
      <c r="B104" s="3" t="s">
        <v>9</v>
      </c>
      <c r="C104" s="14" t="s">
        <v>9</v>
      </c>
      <c r="D104" s="3" t="s">
        <v>9</v>
      </c>
      <c r="E104" s="3" t="s">
        <v>9</v>
      </c>
      <c r="F104" s="3" t="s">
        <v>9</v>
      </c>
      <c r="G104" s="3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130</v>
      </c>
      <c r="D105" s="3" t="s">
        <v>9</v>
      </c>
      <c r="E105" s="3" t="s">
        <v>9</v>
      </c>
      <c r="F105" s="3" t="s">
        <v>9</v>
      </c>
      <c r="G105" s="3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131</v>
      </c>
      <c r="D106" s="3" t="s">
        <v>9</v>
      </c>
      <c r="E106" s="3" t="s">
        <v>9</v>
      </c>
      <c r="F106" s="3" t="s">
        <v>9</v>
      </c>
      <c r="G106" s="3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110</v>
      </c>
      <c r="D107" s="3" t="s">
        <v>9</v>
      </c>
      <c r="E107" s="3" t="s">
        <v>9</v>
      </c>
      <c r="F107" s="15">
        <v>0</v>
      </c>
      <c r="G107" s="16">
        <v>0</v>
      </c>
      <c r="H107" s="164"/>
    </row>
    <row r="108" spans="1:8" x14ac:dyDescent="0.2">
      <c r="A108" s="3" t="s">
        <v>9</v>
      </c>
      <c r="B108" s="3" t="s">
        <v>9</v>
      </c>
      <c r="C108" s="13" t="s">
        <v>9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132</v>
      </c>
      <c r="D109" s="3" t="s">
        <v>9</v>
      </c>
      <c r="E109" s="3" t="s">
        <v>9</v>
      </c>
      <c r="F109" s="3" t="s">
        <v>9</v>
      </c>
      <c r="G109" s="3" t="s">
        <v>9</v>
      </c>
      <c r="H109" s="164"/>
    </row>
    <row r="110" spans="1:8" x14ac:dyDescent="0.2">
      <c r="A110" s="3" t="s">
        <v>9</v>
      </c>
      <c r="B110" s="3" t="s">
        <v>9</v>
      </c>
      <c r="C110" s="4" t="s">
        <v>133</v>
      </c>
      <c r="D110" s="3" t="s">
        <v>9</v>
      </c>
      <c r="E110" s="3" t="s">
        <v>9</v>
      </c>
      <c r="F110" s="3" t="s">
        <v>9</v>
      </c>
      <c r="G110" s="3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110</v>
      </c>
      <c r="D111" s="3" t="s">
        <v>9</v>
      </c>
      <c r="E111" s="3" t="s">
        <v>9</v>
      </c>
      <c r="F111" s="15">
        <v>0</v>
      </c>
      <c r="G111" s="16">
        <v>0</v>
      </c>
      <c r="H111" s="164"/>
    </row>
    <row r="112" spans="1:8" x14ac:dyDescent="0.2">
      <c r="A112" s="3" t="s">
        <v>9</v>
      </c>
      <c r="B112" s="3" t="s">
        <v>9</v>
      </c>
      <c r="C112" s="13" t="s">
        <v>9</v>
      </c>
      <c r="D112" s="3" t="s">
        <v>9</v>
      </c>
      <c r="E112" s="3" t="s">
        <v>9</v>
      </c>
      <c r="F112" s="14" t="s">
        <v>9</v>
      </c>
      <c r="G112" s="14" t="s">
        <v>9</v>
      </c>
      <c r="H112" s="164"/>
    </row>
    <row r="113" spans="1:8" x14ac:dyDescent="0.2">
      <c r="A113" s="3" t="s">
        <v>9</v>
      </c>
      <c r="B113" s="3" t="s">
        <v>9</v>
      </c>
      <c r="C113" s="13" t="s">
        <v>9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ht="25.5" x14ac:dyDescent="0.2">
      <c r="A114" s="3" t="s">
        <v>9</v>
      </c>
      <c r="B114" s="3" t="s">
        <v>9</v>
      </c>
      <c r="C114" s="4" t="s">
        <v>134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3" t="s">
        <v>9</v>
      </c>
      <c r="B115" s="3" t="s">
        <v>9</v>
      </c>
      <c r="C115" s="4" t="s">
        <v>110</v>
      </c>
      <c r="D115" s="3" t="s">
        <v>9</v>
      </c>
      <c r="E115" s="3" t="s">
        <v>9</v>
      </c>
      <c r="F115" s="15">
        <v>0</v>
      </c>
      <c r="G115" s="16">
        <v>0</v>
      </c>
      <c r="H115" s="164"/>
    </row>
    <row r="116" spans="1:8" x14ac:dyDescent="0.2">
      <c r="A116" s="3" t="s">
        <v>9</v>
      </c>
      <c r="B116" s="3" t="s">
        <v>9</v>
      </c>
      <c r="C116" s="13" t="s">
        <v>9</v>
      </c>
      <c r="D116" s="3" t="s">
        <v>9</v>
      </c>
      <c r="E116" s="3" t="s">
        <v>9</v>
      </c>
      <c r="F116" s="14" t="s">
        <v>9</v>
      </c>
      <c r="G116" s="14" t="s">
        <v>9</v>
      </c>
      <c r="H116" s="164"/>
    </row>
    <row r="117" spans="1:8" x14ac:dyDescent="0.2">
      <c r="A117" s="3" t="s">
        <v>9</v>
      </c>
      <c r="B117" s="6" t="s">
        <v>9</v>
      </c>
      <c r="C117" s="6" t="s">
        <v>9</v>
      </c>
      <c r="D117" s="4" t="s">
        <v>9</v>
      </c>
      <c r="E117" s="3" t="s">
        <v>9</v>
      </c>
      <c r="F117" s="6" t="s">
        <v>9</v>
      </c>
      <c r="G117" s="10" t="s">
        <v>9</v>
      </c>
      <c r="H117" s="164"/>
    </row>
    <row r="118" spans="1:8" x14ac:dyDescent="0.2">
      <c r="A118" s="10" t="s">
        <v>9</v>
      </c>
      <c r="B118" s="6" t="s">
        <v>9</v>
      </c>
      <c r="C118" s="6" t="s">
        <v>135</v>
      </c>
      <c r="D118" s="6" t="s">
        <v>9</v>
      </c>
      <c r="E118" s="10" t="s">
        <v>9</v>
      </c>
      <c r="F118" s="8">
        <v>-45.445234319999997</v>
      </c>
      <c r="G118" s="9">
        <v>-3.9291599999999999E-4</v>
      </c>
      <c r="H118" s="164"/>
    </row>
    <row r="119" spans="1:8" x14ac:dyDescent="0.2">
      <c r="A119" s="13" t="s">
        <v>9</v>
      </c>
      <c r="B119" s="13" t="s">
        <v>9</v>
      </c>
      <c r="C119" s="4" t="s">
        <v>136</v>
      </c>
      <c r="D119" s="17" t="s">
        <v>9</v>
      </c>
      <c r="E119" s="17" t="s">
        <v>9</v>
      </c>
      <c r="F119" s="11">
        <f>+F54+F101+F118</f>
        <v>115661.46531528</v>
      </c>
      <c r="G119" s="12">
        <v>0.99999999800000006</v>
      </c>
      <c r="H119" s="164"/>
    </row>
    <row r="120" spans="1:8" ht="14.1" customHeight="1" x14ac:dyDescent="0.2">
      <c r="A120" s="18" t="s">
        <v>9</v>
      </c>
      <c r="B120" s="18" t="s">
        <v>9</v>
      </c>
      <c r="C120" s="18" t="s">
        <v>9</v>
      </c>
      <c r="D120" s="19" t="s">
        <v>9</v>
      </c>
      <c r="E120" s="19" t="s">
        <v>9</v>
      </c>
      <c r="F120" s="19" t="s">
        <v>9</v>
      </c>
      <c r="G120" s="19" t="s">
        <v>9</v>
      </c>
    </row>
    <row r="121" spans="1:8" ht="14.1" customHeight="1" x14ac:dyDescent="0.2">
      <c r="A121" s="20" t="s">
        <v>9</v>
      </c>
      <c r="B121" s="228" t="s">
        <v>9</v>
      </c>
      <c r="C121" s="228"/>
      <c r="D121" s="228"/>
      <c r="E121" s="228"/>
      <c r="F121" s="228"/>
      <c r="G121" s="22" t="s">
        <v>9</v>
      </c>
    </row>
    <row r="122" spans="1:8" ht="14.1" customHeight="1" x14ac:dyDescent="0.2">
      <c r="A122" s="20" t="s">
        <v>9</v>
      </c>
      <c r="B122" s="228" t="s">
        <v>9</v>
      </c>
      <c r="C122" s="228"/>
      <c r="D122" s="228"/>
      <c r="E122" s="228"/>
      <c r="F122" s="228"/>
      <c r="G122" s="22" t="s">
        <v>9</v>
      </c>
    </row>
    <row r="123" spans="1:8" ht="14.1" customHeight="1" x14ac:dyDescent="0.2">
      <c r="A123" s="20" t="s">
        <v>9</v>
      </c>
      <c r="B123" s="20" t="s">
        <v>9</v>
      </c>
      <c r="C123" s="20" t="s">
        <v>9</v>
      </c>
      <c r="D123" s="22" t="s">
        <v>9</v>
      </c>
      <c r="E123" s="22" t="s">
        <v>9</v>
      </c>
      <c r="F123" s="22" t="s">
        <v>9</v>
      </c>
      <c r="G123" s="22" t="s">
        <v>9</v>
      </c>
    </row>
    <row r="124" spans="1:8" ht="14.1" customHeight="1" x14ac:dyDescent="0.2">
      <c r="A124" s="20" t="s">
        <v>9</v>
      </c>
      <c r="B124" s="226" t="s">
        <v>138</v>
      </c>
      <c r="C124" s="227"/>
      <c r="D124" s="14" t="s">
        <v>9</v>
      </c>
      <c r="E124" s="23" t="s">
        <v>9</v>
      </c>
      <c r="F124" s="22" t="s">
        <v>9</v>
      </c>
      <c r="G124" s="22" t="s">
        <v>9</v>
      </c>
    </row>
    <row r="125" spans="1:8" ht="29.1" customHeight="1" x14ac:dyDescent="0.2">
      <c r="A125" s="20" t="s">
        <v>9</v>
      </c>
      <c r="B125" s="233" t="s">
        <v>139</v>
      </c>
      <c r="C125" s="234"/>
      <c r="D125" s="4" t="s">
        <v>140</v>
      </c>
      <c r="E125" s="23" t="s">
        <v>9</v>
      </c>
      <c r="F125" s="22" t="s">
        <v>9</v>
      </c>
      <c r="G125" s="22" t="s">
        <v>9</v>
      </c>
    </row>
    <row r="126" spans="1:8" ht="17.100000000000001" customHeight="1" x14ac:dyDescent="0.2">
      <c r="A126" s="20" t="s">
        <v>9</v>
      </c>
      <c r="B126" s="233" t="s">
        <v>141</v>
      </c>
      <c r="C126" s="234"/>
      <c r="D126" s="4" t="s">
        <v>140</v>
      </c>
      <c r="E126" s="23" t="s">
        <v>9</v>
      </c>
      <c r="F126" s="22" t="s">
        <v>9</v>
      </c>
      <c r="G126" s="22" t="s">
        <v>9</v>
      </c>
    </row>
    <row r="127" spans="1:8" ht="17.100000000000001" customHeight="1" x14ac:dyDescent="0.2">
      <c r="A127" s="20" t="s">
        <v>9</v>
      </c>
      <c r="B127" s="233" t="s">
        <v>142</v>
      </c>
      <c r="C127" s="234"/>
      <c r="D127" s="14" t="s">
        <v>9</v>
      </c>
      <c r="E127" s="23" t="s">
        <v>9</v>
      </c>
      <c r="F127" s="22" t="s">
        <v>9</v>
      </c>
      <c r="G127" s="22" t="s">
        <v>9</v>
      </c>
    </row>
    <row r="128" spans="1:8" ht="24" customHeight="1" x14ac:dyDescent="0.2">
      <c r="A128" s="24" t="s">
        <v>9</v>
      </c>
      <c r="B128" s="25" t="s">
        <v>9</v>
      </c>
      <c r="C128" s="25" t="s">
        <v>143</v>
      </c>
      <c r="D128" s="25" t="s">
        <v>144</v>
      </c>
      <c r="E128" s="24" t="s">
        <v>9</v>
      </c>
      <c r="F128" s="24" t="s">
        <v>9</v>
      </c>
      <c r="G128" s="24" t="s">
        <v>9</v>
      </c>
    </row>
    <row r="129" spans="1:7" ht="18" customHeight="1" x14ac:dyDescent="0.2">
      <c r="A129" s="24" t="s">
        <v>9</v>
      </c>
      <c r="B129" s="25" t="s">
        <v>145</v>
      </c>
      <c r="C129" s="25" t="s">
        <v>146</v>
      </c>
      <c r="D129" s="25" t="s">
        <v>147</v>
      </c>
      <c r="E129" s="24" t="s">
        <v>9</v>
      </c>
      <c r="F129" s="24" t="s">
        <v>9</v>
      </c>
      <c r="G129" s="24" t="s">
        <v>9</v>
      </c>
    </row>
    <row r="130" spans="1:7" ht="17.100000000000001" customHeight="1" x14ac:dyDescent="0.2">
      <c r="A130" s="24" t="s">
        <v>9</v>
      </c>
      <c r="B130" s="6" t="s">
        <v>148</v>
      </c>
      <c r="C130" s="26">
        <v>13.519500000000001</v>
      </c>
      <c r="D130" s="26">
        <v>13.896100000000001</v>
      </c>
      <c r="E130" s="24" t="s">
        <v>9</v>
      </c>
      <c r="F130" s="21" t="s">
        <v>9</v>
      </c>
      <c r="G130" s="27" t="s">
        <v>9</v>
      </c>
    </row>
    <row r="131" spans="1:7" ht="17.100000000000001" customHeight="1" x14ac:dyDescent="0.2">
      <c r="A131" s="24" t="s">
        <v>9</v>
      </c>
      <c r="B131" s="6" t="s">
        <v>839</v>
      </c>
      <c r="C131" s="26">
        <v>13.5181</v>
      </c>
      <c r="D131" s="26">
        <v>13.8947</v>
      </c>
      <c r="E131" s="24" t="s">
        <v>9</v>
      </c>
      <c r="F131" s="21" t="s">
        <v>9</v>
      </c>
      <c r="G131" s="27" t="s">
        <v>9</v>
      </c>
    </row>
    <row r="132" spans="1:7" ht="17.100000000000001" customHeight="1" x14ac:dyDescent="0.2">
      <c r="A132" s="24" t="s">
        <v>9</v>
      </c>
      <c r="B132" s="6" t="s">
        <v>149</v>
      </c>
      <c r="C132" s="26">
        <v>13.327400000000001</v>
      </c>
      <c r="D132" s="26">
        <v>13.675700000000001</v>
      </c>
      <c r="E132" s="24" t="s">
        <v>9</v>
      </c>
      <c r="F132" s="21" t="s">
        <v>9</v>
      </c>
      <c r="G132" s="27" t="s">
        <v>9</v>
      </c>
    </row>
    <row r="133" spans="1:7" ht="17.100000000000001" customHeight="1" x14ac:dyDescent="0.2">
      <c r="A133" s="24" t="s">
        <v>9</v>
      </c>
      <c r="B133" s="6" t="s">
        <v>840</v>
      </c>
      <c r="C133" s="26">
        <v>13.3271</v>
      </c>
      <c r="D133" s="26">
        <v>13.6754</v>
      </c>
      <c r="E133" s="24" t="s">
        <v>9</v>
      </c>
      <c r="F133" s="21" t="s">
        <v>9</v>
      </c>
      <c r="G133" s="27" t="s">
        <v>9</v>
      </c>
    </row>
    <row r="134" spans="1:7" ht="14.1" customHeight="1" x14ac:dyDescent="0.2">
      <c r="A134" s="24" t="s">
        <v>9</v>
      </c>
      <c r="B134" s="24" t="s">
        <v>9</v>
      </c>
      <c r="C134" s="24" t="s">
        <v>9</v>
      </c>
      <c r="D134" s="24" t="s">
        <v>9</v>
      </c>
      <c r="E134" s="24" t="s">
        <v>9</v>
      </c>
      <c r="F134" s="24" t="s">
        <v>9</v>
      </c>
      <c r="G134" s="24" t="s">
        <v>9</v>
      </c>
    </row>
    <row r="135" spans="1:7" ht="17.100000000000001" customHeight="1" x14ac:dyDescent="0.2">
      <c r="A135" s="24" t="s">
        <v>9</v>
      </c>
      <c r="B135" s="233" t="s">
        <v>1003</v>
      </c>
      <c r="C135" s="234"/>
      <c r="D135" s="4" t="s">
        <v>140</v>
      </c>
      <c r="E135" s="24" t="s">
        <v>9</v>
      </c>
      <c r="F135" s="24" t="s">
        <v>9</v>
      </c>
      <c r="G135" s="24" t="s">
        <v>9</v>
      </c>
    </row>
    <row r="136" spans="1:7" ht="18" customHeight="1" x14ac:dyDescent="0.2">
      <c r="A136" s="24" t="s">
        <v>9</v>
      </c>
      <c r="B136" s="28" t="s">
        <v>150</v>
      </c>
      <c r="C136" s="28" t="s">
        <v>150</v>
      </c>
      <c r="D136" s="28" t="s">
        <v>9</v>
      </c>
      <c r="E136" s="24" t="s">
        <v>9</v>
      </c>
      <c r="F136" s="24" t="s">
        <v>9</v>
      </c>
      <c r="G136" s="24" t="s">
        <v>9</v>
      </c>
    </row>
    <row r="137" spans="1:7" s="169" customFormat="1" x14ac:dyDescent="0.2">
      <c r="B137" s="235" t="s">
        <v>841</v>
      </c>
      <c r="C137" s="235"/>
      <c r="D137" s="235"/>
      <c r="E137" s="235"/>
      <c r="F137" s="235"/>
    </row>
    <row r="138" spans="1:7" ht="14.1" customHeight="1" x14ac:dyDescent="0.2">
      <c r="A138" s="24" t="s">
        <v>9</v>
      </c>
      <c r="B138" s="21" t="s">
        <v>9</v>
      </c>
      <c r="C138" s="21" t="s">
        <v>9</v>
      </c>
      <c r="D138" s="24" t="s">
        <v>9</v>
      </c>
      <c r="E138" s="24" t="s">
        <v>9</v>
      </c>
      <c r="F138" s="24" t="s">
        <v>9</v>
      </c>
      <c r="G138" s="24" t="s">
        <v>9</v>
      </c>
    </row>
    <row r="139" spans="1:7" ht="29.1" customHeight="1" x14ac:dyDescent="0.2">
      <c r="A139" s="24" t="s">
        <v>9</v>
      </c>
      <c r="B139" s="233" t="s">
        <v>151</v>
      </c>
      <c r="C139" s="234"/>
      <c r="D139" s="4" t="s">
        <v>140</v>
      </c>
      <c r="E139" s="24" t="s">
        <v>9</v>
      </c>
      <c r="F139" s="24" t="s">
        <v>9</v>
      </c>
      <c r="G139" s="24" t="s">
        <v>9</v>
      </c>
    </row>
    <row r="140" spans="1:7" ht="29.1" customHeight="1" x14ac:dyDescent="0.2">
      <c r="A140" s="24" t="s">
        <v>9</v>
      </c>
      <c r="B140" s="233" t="s">
        <v>152</v>
      </c>
      <c r="C140" s="234"/>
      <c r="D140" s="4" t="s">
        <v>140</v>
      </c>
      <c r="E140" s="24" t="s">
        <v>9</v>
      </c>
      <c r="F140" s="24" t="s">
        <v>9</v>
      </c>
      <c r="G140" s="24" t="s">
        <v>9</v>
      </c>
    </row>
    <row r="141" spans="1:7" ht="17.100000000000001" customHeight="1" x14ac:dyDescent="0.2">
      <c r="A141" s="24" t="s">
        <v>9</v>
      </c>
      <c r="B141" s="233" t="s">
        <v>153</v>
      </c>
      <c r="C141" s="234"/>
      <c r="D141" s="29">
        <v>0.76914598151649449</v>
      </c>
      <c r="E141" s="24" t="s">
        <v>9</v>
      </c>
      <c r="F141" s="21" t="s">
        <v>9</v>
      </c>
      <c r="G141" s="27" t="s">
        <v>9</v>
      </c>
    </row>
    <row r="142" spans="1:7" ht="17.100000000000001" customHeight="1" x14ac:dyDescent="0.2">
      <c r="A142" s="24" t="s">
        <v>9</v>
      </c>
      <c r="B142" s="233" t="s">
        <v>154</v>
      </c>
      <c r="C142" s="234"/>
      <c r="D142" s="4" t="s">
        <v>140</v>
      </c>
      <c r="E142" s="24" t="s">
        <v>9</v>
      </c>
      <c r="F142" s="24" t="s">
        <v>9</v>
      </c>
      <c r="G142" s="24" t="s">
        <v>9</v>
      </c>
    </row>
  </sheetData>
  <mergeCells count="15">
    <mergeCell ref="B141:C141"/>
    <mergeCell ref="B142:C142"/>
    <mergeCell ref="B125:C125"/>
    <mergeCell ref="B126:C126"/>
    <mergeCell ref="B127:C127"/>
    <mergeCell ref="B135:C135"/>
    <mergeCell ref="B139:C139"/>
    <mergeCell ref="B140:C140"/>
    <mergeCell ref="B137:F137"/>
    <mergeCell ref="B124:C124"/>
    <mergeCell ref="B121:F121"/>
    <mergeCell ref="B122:F122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H1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700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15</v>
      </c>
      <c r="C7" s="6" t="s">
        <v>16</v>
      </c>
      <c r="D7" s="6" t="s">
        <v>17</v>
      </c>
      <c r="E7" s="7">
        <v>152000</v>
      </c>
      <c r="F7" s="8">
        <v>3093.6559999999999</v>
      </c>
      <c r="G7" s="9">
        <v>3.9591794E-2</v>
      </c>
      <c r="H7" s="164"/>
    </row>
    <row r="8" spans="1:8" x14ac:dyDescent="0.2">
      <c r="A8" s="5">
        <v>2</v>
      </c>
      <c r="B8" s="6" t="s">
        <v>156</v>
      </c>
      <c r="C8" s="6" t="s">
        <v>157</v>
      </c>
      <c r="D8" s="6" t="s">
        <v>158</v>
      </c>
      <c r="E8" s="7">
        <v>79943</v>
      </c>
      <c r="F8" s="8">
        <v>2923.7153675</v>
      </c>
      <c r="G8" s="9">
        <v>3.7416939000000003E-2</v>
      </c>
      <c r="H8" s="164"/>
    </row>
    <row r="9" spans="1:8" x14ac:dyDescent="0.2">
      <c r="A9" s="5">
        <v>3</v>
      </c>
      <c r="B9" s="6" t="s">
        <v>79</v>
      </c>
      <c r="C9" s="6" t="s">
        <v>80</v>
      </c>
      <c r="D9" s="6" t="s">
        <v>22</v>
      </c>
      <c r="E9" s="7">
        <v>201792</v>
      </c>
      <c r="F9" s="8">
        <v>2878.461984</v>
      </c>
      <c r="G9" s="9">
        <v>3.6837797999999998E-2</v>
      </c>
      <c r="H9" s="164"/>
    </row>
    <row r="10" spans="1:8" x14ac:dyDescent="0.2">
      <c r="A10" s="5">
        <v>4</v>
      </c>
      <c r="B10" s="6" t="s">
        <v>20</v>
      </c>
      <c r="C10" s="6" t="s">
        <v>21</v>
      </c>
      <c r="D10" s="6" t="s">
        <v>22</v>
      </c>
      <c r="E10" s="7">
        <v>377738</v>
      </c>
      <c r="F10" s="8">
        <v>2578.06185</v>
      </c>
      <c r="G10" s="9">
        <v>3.2993356000000001E-2</v>
      </c>
      <c r="H10" s="164"/>
    </row>
    <row r="11" spans="1:8" x14ac:dyDescent="0.2">
      <c r="A11" s="5">
        <v>5</v>
      </c>
      <c r="B11" s="6" t="s">
        <v>403</v>
      </c>
      <c r="C11" s="6" t="s">
        <v>404</v>
      </c>
      <c r="D11" s="6" t="s">
        <v>179</v>
      </c>
      <c r="E11" s="7">
        <v>154200</v>
      </c>
      <c r="F11" s="8">
        <v>2483.3910000000001</v>
      </c>
      <c r="G11" s="9">
        <v>3.1781783000000001E-2</v>
      </c>
      <c r="H11" s="164"/>
    </row>
    <row r="12" spans="1:8" ht="25.5" x14ac:dyDescent="0.2">
      <c r="A12" s="5">
        <v>6</v>
      </c>
      <c r="B12" s="6" t="s">
        <v>405</v>
      </c>
      <c r="C12" s="6" t="s">
        <v>406</v>
      </c>
      <c r="D12" s="6" t="s">
        <v>161</v>
      </c>
      <c r="E12" s="7">
        <v>94000</v>
      </c>
      <c r="F12" s="8">
        <v>2294.681</v>
      </c>
      <c r="G12" s="9">
        <v>2.9366723000000001E-2</v>
      </c>
      <c r="H12" s="164"/>
    </row>
    <row r="13" spans="1:8" x14ac:dyDescent="0.2">
      <c r="A13" s="5">
        <v>7</v>
      </c>
      <c r="B13" s="6" t="s">
        <v>306</v>
      </c>
      <c r="C13" s="6" t="s">
        <v>307</v>
      </c>
      <c r="D13" s="6" t="s">
        <v>179</v>
      </c>
      <c r="E13" s="7">
        <v>73000</v>
      </c>
      <c r="F13" s="8">
        <v>2091.596</v>
      </c>
      <c r="G13" s="9">
        <v>2.6767694000000002E-2</v>
      </c>
      <c r="H13" s="164"/>
    </row>
    <row r="14" spans="1:8" x14ac:dyDescent="0.2">
      <c r="A14" s="5">
        <v>8</v>
      </c>
      <c r="B14" s="6" t="s">
        <v>357</v>
      </c>
      <c r="C14" s="6" t="s">
        <v>358</v>
      </c>
      <c r="D14" s="6" t="s">
        <v>22</v>
      </c>
      <c r="E14" s="7">
        <v>294210</v>
      </c>
      <c r="F14" s="8">
        <v>2085.6546899999998</v>
      </c>
      <c r="G14" s="9">
        <v>2.6691659E-2</v>
      </c>
      <c r="H14" s="164"/>
    </row>
    <row r="15" spans="1:8" ht="25.5" x14ac:dyDescent="0.2">
      <c r="A15" s="5">
        <v>9</v>
      </c>
      <c r="B15" s="6" t="s">
        <v>499</v>
      </c>
      <c r="C15" s="6" t="s">
        <v>500</v>
      </c>
      <c r="D15" s="6" t="s">
        <v>925</v>
      </c>
      <c r="E15" s="7">
        <v>139340</v>
      </c>
      <c r="F15" s="8">
        <v>2079.7888400000002</v>
      </c>
      <c r="G15" s="9">
        <v>2.6616589E-2</v>
      </c>
      <c r="H15" s="164"/>
    </row>
    <row r="16" spans="1:8" x14ac:dyDescent="0.2">
      <c r="A16" s="5">
        <v>10</v>
      </c>
      <c r="B16" s="6" t="s">
        <v>81</v>
      </c>
      <c r="C16" s="6" t="s">
        <v>82</v>
      </c>
      <c r="D16" s="6" t="s">
        <v>14</v>
      </c>
      <c r="E16" s="7">
        <v>2257921</v>
      </c>
      <c r="F16" s="8">
        <v>1982.4546379999999</v>
      </c>
      <c r="G16" s="9">
        <v>2.5370931999999999E-2</v>
      </c>
      <c r="H16" s="164"/>
    </row>
    <row r="17" spans="1:8" x14ac:dyDescent="0.2">
      <c r="A17" s="5">
        <v>11</v>
      </c>
      <c r="B17" s="6" t="s">
        <v>242</v>
      </c>
      <c r="C17" s="6" t="s">
        <v>243</v>
      </c>
      <c r="D17" s="6" t="s">
        <v>59</v>
      </c>
      <c r="E17" s="7">
        <v>141941</v>
      </c>
      <c r="F17" s="8">
        <v>1874.9696395000001</v>
      </c>
      <c r="G17" s="9">
        <v>2.3995367E-2</v>
      </c>
      <c r="H17" s="164"/>
    </row>
    <row r="18" spans="1:8" x14ac:dyDescent="0.2">
      <c r="A18" s="5">
        <v>12</v>
      </c>
      <c r="B18" s="6" t="s">
        <v>212</v>
      </c>
      <c r="C18" s="6" t="s">
        <v>213</v>
      </c>
      <c r="D18" s="6" t="s">
        <v>929</v>
      </c>
      <c r="E18" s="7">
        <v>210048</v>
      </c>
      <c r="F18" s="8">
        <v>1826.0522880000001</v>
      </c>
      <c r="G18" s="9">
        <v>2.3369336000000001E-2</v>
      </c>
      <c r="H18" s="164"/>
    </row>
    <row r="19" spans="1:8" x14ac:dyDescent="0.2">
      <c r="A19" s="5">
        <v>13</v>
      </c>
      <c r="B19" s="6" t="s">
        <v>407</v>
      </c>
      <c r="C19" s="6" t="s">
        <v>408</v>
      </c>
      <c r="D19" s="6" t="s">
        <v>22</v>
      </c>
      <c r="E19" s="7">
        <v>416666</v>
      </c>
      <c r="F19" s="8">
        <v>1799.1637880000001</v>
      </c>
      <c r="G19" s="9">
        <v>2.3025224E-2</v>
      </c>
      <c r="H19" s="164"/>
    </row>
    <row r="20" spans="1:8" x14ac:dyDescent="0.2">
      <c r="A20" s="5">
        <v>14</v>
      </c>
      <c r="B20" s="6" t="s">
        <v>23</v>
      </c>
      <c r="C20" s="6" t="s">
        <v>24</v>
      </c>
      <c r="D20" s="6" t="s">
        <v>25</v>
      </c>
      <c r="E20" s="7">
        <v>301200</v>
      </c>
      <c r="F20" s="8">
        <v>1691.6898000000001</v>
      </c>
      <c r="G20" s="9">
        <v>2.16498E-2</v>
      </c>
      <c r="H20" s="164"/>
    </row>
    <row r="21" spans="1:8" x14ac:dyDescent="0.2">
      <c r="A21" s="5">
        <v>15</v>
      </c>
      <c r="B21" s="6" t="s">
        <v>516</v>
      </c>
      <c r="C21" s="6" t="s">
        <v>517</v>
      </c>
      <c r="D21" s="6" t="s">
        <v>22</v>
      </c>
      <c r="E21" s="7">
        <v>447355</v>
      </c>
      <c r="F21" s="8">
        <v>1565.9661775</v>
      </c>
      <c r="G21" s="9">
        <v>2.0040822E-2</v>
      </c>
      <c r="H21" s="164"/>
    </row>
    <row r="22" spans="1:8" x14ac:dyDescent="0.2">
      <c r="A22" s="5">
        <v>16</v>
      </c>
      <c r="B22" s="6" t="s">
        <v>444</v>
      </c>
      <c r="C22" s="6" t="s">
        <v>445</v>
      </c>
      <c r="D22" s="6" t="s">
        <v>161</v>
      </c>
      <c r="E22" s="7">
        <v>224242</v>
      </c>
      <c r="F22" s="8">
        <v>1484.2577980000001</v>
      </c>
      <c r="G22" s="9">
        <v>1.8995140000000001E-2</v>
      </c>
      <c r="H22" s="164"/>
    </row>
    <row r="23" spans="1:8" x14ac:dyDescent="0.2">
      <c r="A23" s="5">
        <v>17</v>
      </c>
      <c r="B23" s="6" t="s">
        <v>12</v>
      </c>
      <c r="C23" s="6" t="s">
        <v>13</v>
      </c>
      <c r="D23" s="6" t="s">
        <v>14</v>
      </c>
      <c r="E23" s="7">
        <v>91037</v>
      </c>
      <c r="F23" s="8">
        <v>1457.9120365000001</v>
      </c>
      <c r="G23" s="9">
        <v>1.8657974000000001E-2</v>
      </c>
      <c r="H23" s="164"/>
    </row>
    <row r="24" spans="1:8" x14ac:dyDescent="0.2">
      <c r="A24" s="5">
        <v>18</v>
      </c>
      <c r="B24" s="6" t="s">
        <v>395</v>
      </c>
      <c r="C24" s="6" t="s">
        <v>396</v>
      </c>
      <c r="D24" s="6" t="s">
        <v>932</v>
      </c>
      <c r="E24" s="7">
        <v>9583</v>
      </c>
      <c r="F24" s="8">
        <v>1362.9134260000001</v>
      </c>
      <c r="G24" s="9">
        <v>1.7442207000000001E-2</v>
      </c>
      <c r="H24" s="164"/>
    </row>
    <row r="25" spans="1:8" ht="25.5" x14ac:dyDescent="0.2">
      <c r="A25" s="5">
        <v>19</v>
      </c>
      <c r="B25" s="6" t="s">
        <v>324</v>
      </c>
      <c r="C25" s="6" t="s">
        <v>325</v>
      </c>
      <c r="D25" s="6" t="s">
        <v>67</v>
      </c>
      <c r="E25" s="7">
        <v>237070</v>
      </c>
      <c r="F25" s="8">
        <v>1324.865695</v>
      </c>
      <c r="G25" s="9">
        <v>1.6955281999999999E-2</v>
      </c>
      <c r="H25" s="164"/>
    </row>
    <row r="26" spans="1:8" x14ac:dyDescent="0.2">
      <c r="A26" s="5">
        <v>20</v>
      </c>
      <c r="B26" s="6" t="s">
        <v>320</v>
      </c>
      <c r="C26" s="6" t="s">
        <v>321</v>
      </c>
      <c r="D26" s="6" t="s">
        <v>158</v>
      </c>
      <c r="E26" s="7">
        <v>14917</v>
      </c>
      <c r="F26" s="8">
        <v>1291.618279</v>
      </c>
      <c r="G26" s="9">
        <v>1.6529789999999999E-2</v>
      </c>
      <c r="H26" s="164"/>
    </row>
    <row r="27" spans="1:8" x14ac:dyDescent="0.2">
      <c r="A27" s="5">
        <v>21</v>
      </c>
      <c r="B27" s="6" t="s">
        <v>26</v>
      </c>
      <c r="C27" s="6" t="s">
        <v>27</v>
      </c>
      <c r="D27" s="6" t="s">
        <v>28</v>
      </c>
      <c r="E27" s="7">
        <v>100996</v>
      </c>
      <c r="F27" s="8">
        <v>1264.5709159999999</v>
      </c>
      <c r="G27" s="9">
        <v>1.6183645E-2</v>
      </c>
      <c r="H27" s="164"/>
    </row>
    <row r="28" spans="1:8" x14ac:dyDescent="0.2">
      <c r="A28" s="5">
        <v>22</v>
      </c>
      <c r="B28" s="6" t="s">
        <v>244</v>
      </c>
      <c r="C28" s="6" t="s">
        <v>245</v>
      </c>
      <c r="D28" s="6" t="s">
        <v>200</v>
      </c>
      <c r="E28" s="7">
        <v>69458</v>
      </c>
      <c r="F28" s="8">
        <v>1259.447185</v>
      </c>
      <c r="G28" s="9">
        <v>1.6118073E-2</v>
      </c>
      <c r="H28" s="164"/>
    </row>
    <row r="29" spans="1:8" x14ac:dyDescent="0.2">
      <c r="A29" s="5">
        <v>23</v>
      </c>
      <c r="B29" s="6" t="s">
        <v>330</v>
      </c>
      <c r="C29" s="6" t="s">
        <v>331</v>
      </c>
      <c r="D29" s="6" t="s">
        <v>207</v>
      </c>
      <c r="E29" s="7">
        <v>3790</v>
      </c>
      <c r="F29" s="8">
        <v>1193.92959</v>
      </c>
      <c r="G29" s="9">
        <v>1.5279595999999999E-2</v>
      </c>
      <c r="H29" s="164"/>
    </row>
    <row r="30" spans="1:8" ht="25.5" x14ac:dyDescent="0.2">
      <c r="A30" s="5">
        <v>24</v>
      </c>
      <c r="B30" s="6" t="s">
        <v>701</v>
      </c>
      <c r="C30" s="6" t="s">
        <v>702</v>
      </c>
      <c r="D30" s="6" t="s">
        <v>67</v>
      </c>
      <c r="E30" s="7">
        <v>132080</v>
      </c>
      <c r="F30" s="8">
        <v>1192.81448</v>
      </c>
      <c r="G30" s="9">
        <v>1.5265325E-2</v>
      </c>
      <c r="H30" s="164"/>
    </row>
    <row r="31" spans="1:8" x14ac:dyDescent="0.2">
      <c r="A31" s="5">
        <v>25</v>
      </c>
      <c r="B31" s="6" t="s">
        <v>355</v>
      </c>
      <c r="C31" s="6" t="s">
        <v>356</v>
      </c>
      <c r="D31" s="6" t="s">
        <v>22</v>
      </c>
      <c r="E31" s="7">
        <v>1431306</v>
      </c>
      <c r="F31" s="8">
        <v>1149.338718</v>
      </c>
      <c r="G31" s="9">
        <v>1.4708934E-2</v>
      </c>
      <c r="H31" s="164"/>
    </row>
    <row r="32" spans="1:8" x14ac:dyDescent="0.2">
      <c r="A32" s="5">
        <v>26</v>
      </c>
      <c r="B32" s="6" t="s">
        <v>53</v>
      </c>
      <c r="C32" s="6" t="s">
        <v>54</v>
      </c>
      <c r="D32" s="6" t="s">
        <v>17</v>
      </c>
      <c r="E32" s="7">
        <v>256895</v>
      </c>
      <c r="F32" s="8">
        <v>1144.4672250000001</v>
      </c>
      <c r="G32" s="9">
        <v>1.4646589999999999E-2</v>
      </c>
      <c r="H32" s="164"/>
    </row>
    <row r="33" spans="1:8" x14ac:dyDescent="0.2">
      <c r="A33" s="5">
        <v>27</v>
      </c>
      <c r="B33" s="6" t="s">
        <v>203</v>
      </c>
      <c r="C33" s="6" t="s">
        <v>204</v>
      </c>
      <c r="D33" s="6" t="s">
        <v>179</v>
      </c>
      <c r="E33" s="7">
        <v>114247</v>
      </c>
      <c r="F33" s="8">
        <v>1127.2751490000001</v>
      </c>
      <c r="G33" s="9">
        <v>1.442657E-2</v>
      </c>
      <c r="H33" s="164"/>
    </row>
    <row r="34" spans="1:8" x14ac:dyDescent="0.2">
      <c r="A34" s="5">
        <v>28</v>
      </c>
      <c r="B34" s="6" t="s">
        <v>425</v>
      </c>
      <c r="C34" s="6" t="s">
        <v>426</v>
      </c>
      <c r="D34" s="6" t="s">
        <v>427</v>
      </c>
      <c r="E34" s="7">
        <v>250000</v>
      </c>
      <c r="F34" s="8">
        <v>1112</v>
      </c>
      <c r="G34" s="9">
        <v>1.4231083E-2</v>
      </c>
      <c r="H34" s="164"/>
    </row>
    <row r="35" spans="1:8" x14ac:dyDescent="0.2">
      <c r="A35" s="5">
        <v>29</v>
      </c>
      <c r="B35" s="6" t="s">
        <v>409</v>
      </c>
      <c r="C35" s="6" t="s">
        <v>410</v>
      </c>
      <c r="D35" s="6" t="s">
        <v>932</v>
      </c>
      <c r="E35" s="7">
        <v>100100</v>
      </c>
      <c r="F35" s="8">
        <v>1099.6985999999999</v>
      </c>
      <c r="G35" s="9">
        <v>1.4073653E-2</v>
      </c>
      <c r="H35" s="164"/>
    </row>
    <row r="36" spans="1:8" ht="25.5" x14ac:dyDescent="0.2">
      <c r="A36" s="5">
        <v>30</v>
      </c>
      <c r="B36" s="6" t="s">
        <v>226</v>
      </c>
      <c r="C36" s="6" t="s">
        <v>227</v>
      </c>
      <c r="D36" s="6" t="s">
        <v>62</v>
      </c>
      <c r="E36" s="7">
        <v>47943</v>
      </c>
      <c r="F36" s="8">
        <v>1098.9973890000001</v>
      </c>
      <c r="G36" s="9">
        <v>1.4064679E-2</v>
      </c>
      <c r="H36" s="164"/>
    </row>
    <row r="37" spans="1:8" ht="25.5" x14ac:dyDescent="0.2">
      <c r="A37" s="5">
        <v>31</v>
      </c>
      <c r="B37" s="6" t="s">
        <v>703</v>
      </c>
      <c r="C37" s="6" t="s">
        <v>704</v>
      </c>
      <c r="D37" s="6" t="s">
        <v>40</v>
      </c>
      <c r="E37" s="7">
        <v>11904</v>
      </c>
      <c r="F37" s="8">
        <v>1027.767552</v>
      </c>
      <c r="G37" s="9">
        <v>1.3153098E-2</v>
      </c>
      <c r="H37" s="164"/>
    </row>
    <row r="38" spans="1:8" x14ac:dyDescent="0.2">
      <c r="A38" s="5">
        <v>32</v>
      </c>
      <c r="B38" s="6" t="s">
        <v>371</v>
      </c>
      <c r="C38" s="6" t="s">
        <v>372</v>
      </c>
      <c r="D38" s="6" t="s">
        <v>179</v>
      </c>
      <c r="E38" s="7">
        <v>100000</v>
      </c>
      <c r="F38" s="8">
        <v>1024.95</v>
      </c>
      <c r="G38" s="9">
        <v>1.311704E-2</v>
      </c>
      <c r="H38" s="164"/>
    </row>
    <row r="39" spans="1:8" x14ac:dyDescent="0.2">
      <c r="A39" s="5">
        <v>33</v>
      </c>
      <c r="B39" s="6" t="s">
        <v>419</v>
      </c>
      <c r="C39" s="6" t="s">
        <v>420</v>
      </c>
      <c r="D39" s="6" t="s">
        <v>179</v>
      </c>
      <c r="E39" s="7">
        <v>32028</v>
      </c>
      <c r="F39" s="8">
        <v>1014.470886</v>
      </c>
      <c r="G39" s="9">
        <v>1.2982931E-2</v>
      </c>
      <c r="H39" s="164"/>
    </row>
    <row r="40" spans="1:8" x14ac:dyDescent="0.2">
      <c r="A40" s="5">
        <v>34</v>
      </c>
      <c r="B40" s="6" t="s">
        <v>93</v>
      </c>
      <c r="C40" s="6" t="s">
        <v>94</v>
      </c>
      <c r="D40" s="6" t="s">
        <v>28</v>
      </c>
      <c r="E40" s="7">
        <v>14578</v>
      </c>
      <c r="F40" s="8">
        <v>1000.531874</v>
      </c>
      <c r="G40" s="9">
        <v>1.2804543E-2</v>
      </c>
      <c r="H40" s="164"/>
    </row>
    <row r="41" spans="1:8" x14ac:dyDescent="0.2">
      <c r="A41" s="5">
        <v>35</v>
      </c>
      <c r="B41" s="6" t="s">
        <v>326</v>
      </c>
      <c r="C41" s="6" t="s">
        <v>327</v>
      </c>
      <c r="D41" s="6" t="s">
        <v>200</v>
      </c>
      <c r="E41" s="7">
        <v>25000</v>
      </c>
      <c r="F41" s="8">
        <v>982.61249999999995</v>
      </c>
      <c r="G41" s="9">
        <v>1.2575216E-2</v>
      </c>
      <c r="H41" s="164"/>
    </row>
    <row r="42" spans="1:8" x14ac:dyDescent="0.2">
      <c r="A42" s="5">
        <v>36</v>
      </c>
      <c r="B42" s="6" t="s">
        <v>379</v>
      </c>
      <c r="C42" s="6" t="s">
        <v>380</v>
      </c>
      <c r="D42" s="6" t="s">
        <v>62</v>
      </c>
      <c r="E42" s="7">
        <v>1345592</v>
      </c>
      <c r="F42" s="8">
        <v>954.69752400000004</v>
      </c>
      <c r="G42" s="9">
        <v>1.2217967E-2</v>
      </c>
      <c r="H42" s="164"/>
    </row>
    <row r="43" spans="1:8" x14ac:dyDescent="0.2">
      <c r="A43" s="5">
        <v>37</v>
      </c>
      <c r="B43" s="6" t="s">
        <v>353</v>
      </c>
      <c r="C43" s="6" t="s">
        <v>354</v>
      </c>
      <c r="D43" s="6" t="s">
        <v>50</v>
      </c>
      <c r="E43" s="7">
        <v>147000</v>
      </c>
      <c r="F43" s="8">
        <v>946.53300000000002</v>
      </c>
      <c r="G43" s="9">
        <v>1.2113479999999999E-2</v>
      </c>
      <c r="H43" s="164"/>
    </row>
    <row r="44" spans="1:8" ht="25.5" x14ac:dyDescent="0.2">
      <c r="A44" s="5">
        <v>38</v>
      </c>
      <c r="B44" s="6" t="s">
        <v>417</v>
      </c>
      <c r="C44" s="6" t="s">
        <v>418</v>
      </c>
      <c r="D44" s="6" t="s">
        <v>67</v>
      </c>
      <c r="E44" s="7">
        <v>40280</v>
      </c>
      <c r="F44" s="8">
        <v>939.85324000000003</v>
      </c>
      <c r="G44" s="9">
        <v>1.2027994E-2</v>
      </c>
      <c r="H44" s="164"/>
    </row>
    <row r="45" spans="1:8" x14ac:dyDescent="0.2">
      <c r="A45" s="5">
        <v>39</v>
      </c>
      <c r="B45" s="6" t="s">
        <v>347</v>
      </c>
      <c r="C45" s="6" t="s">
        <v>348</v>
      </c>
      <c r="D45" s="6" t="s">
        <v>927</v>
      </c>
      <c r="E45" s="7">
        <v>127230</v>
      </c>
      <c r="F45" s="8">
        <v>922.41750000000002</v>
      </c>
      <c r="G45" s="9">
        <v>1.1804856000000001E-2</v>
      </c>
      <c r="H45" s="164"/>
    </row>
    <row r="46" spans="1:8" ht="25.5" x14ac:dyDescent="0.2">
      <c r="A46" s="5">
        <v>40</v>
      </c>
      <c r="B46" s="6" t="s">
        <v>18</v>
      </c>
      <c r="C46" s="6" t="s">
        <v>19</v>
      </c>
      <c r="D46" s="6" t="s">
        <v>925</v>
      </c>
      <c r="E46" s="7">
        <v>84095</v>
      </c>
      <c r="F46" s="8">
        <v>919.32654000000002</v>
      </c>
      <c r="G46" s="9">
        <v>1.1765299E-2</v>
      </c>
      <c r="H46" s="164"/>
    </row>
    <row r="47" spans="1:8" x14ac:dyDescent="0.2">
      <c r="A47" s="5">
        <v>41</v>
      </c>
      <c r="B47" s="6" t="s">
        <v>89</v>
      </c>
      <c r="C47" s="6" t="s">
        <v>90</v>
      </c>
      <c r="D47" s="6" t="s">
        <v>37</v>
      </c>
      <c r="E47" s="7">
        <v>252274</v>
      </c>
      <c r="F47" s="8">
        <v>859.37138100000004</v>
      </c>
      <c r="G47" s="9">
        <v>1.0998008E-2</v>
      </c>
      <c r="H47" s="164"/>
    </row>
    <row r="48" spans="1:8" x14ac:dyDescent="0.2">
      <c r="A48" s="5">
        <v>42</v>
      </c>
      <c r="B48" s="6" t="s">
        <v>506</v>
      </c>
      <c r="C48" s="6" t="s">
        <v>507</v>
      </c>
      <c r="D48" s="6" t="s">
        <v>200</v>
      </c>
      <c r="E48" s="7">
        <v>17902</v>
      </c>
      <c r="F48" s="8">
        <v>843.39902400000005</v>
      </c>
      <c r="G48" s="9">
        <v>1.0793598E-2</v>
      </c>
      <c r="H48" s="164"/>
    </row>
    <row r="49" spans="1:8" x14ac:dyDescent="0.2">
      <c r="A49" s="5">
        <v>43</v>
      </c>
      <c r="B49" s="6" t="s">
        <v>705</v>
      </c>
      <c r="C49" s="6" t="s">
        <v>706</v>
      </c>
      <c r="D49" s="6" t="s">
        <v>37</v>
      </c>
      <c r="E49" s="7">
        <v>124146</v>
      </c>
      <c r="F49" s="8">
        <v>834.75770399999999</v>
      </c>
      <c r="G49" s="9">
        <v>1.0683009E-2</v>
      </c>
      <c r="H49" s="164"/>
    </row>
    <row r="50" spans="1:8" ht="25.5" x14ac:dyDescent="0.2">
      <c r="A50" s="5">
        <v>44</v>
      </c>
      <c r="B50" s="6" t="s">
        <v>33</v>
      </c>
      <c r="C50" s="6" t="s">
        <v>34</v>
      </c>
      <c r="D50" s="6" t="s">
        <v>925</v>
      </c>
      <c r="E50" s="7">
        <v>10930</v>
      </c>
      <c r="F50" s="8">
        <v>832.77855999999997</v>
      </c>
      <c r="G50" s="9">
        <v>1.0657679999999999E-2</v>
      </c>
      <c r="H50" s="164"/>
    </row>
    <row r="51" spans="1:8" x14ac:dyDescent="0.2">
      <c r="A51" s="5">
        <v>45</v>
      </c>
      <c r="B51" s="6" t="s">
        <v>646</v>
      </c>
      <c r="C51" s="6" t="s">
        <v>647</v>
      </c>
      <c r="D51" s="6" t="s">
        <v>200</v>
      </c>
      <c r="E51" s="7">
        <v>90000</v>
      </c>
      <c r="F51" s="8">
        <v>824.94</v>
      </c>
      <c r="G51" s="9">
        <v>1.0557365000000001E-2</v>
      </c>
      <c r="H51" s="164"/>
    </row>
    <row r="52" spans="1:8" x14ac:dyDescent="0.2">
      <c r="A52" s="5">
        <v>46</v>
      </c>
      <c r="B52" s="6" t="s">
        <v>72</v>
      </c>
      <c r="C52" s="6" t="s">
        <v>73</v>
      </c>
      <c r="D52" s="6" t="s">
        <v>28</v>
      </c>
      <c r="E52" s="7">
        <v>96041</v>
      </c>
      <c r="F52" s="8">
        <v>818.65348400000005</v>
      </c>
      <c r="G52" s="9">
        <v>1.0476911E-2</v>
      </c>
      <c r="H52" s="164"/>
    </row>
    <row r="53" spans="1:8" x14ac:dyDescent="0.2">
      <c r="A53" s="5">
        <v>47</v>
      </c>
      <c r="B53" s="6" t="s">
        <v>220</v>
      </c>
      <c r="C53" s="6" t="s">
        <v>221</v>
      </c>
      <c r="D53" s="6" t="s">
        <v>28</v>
      </c>
      <c r="E53" s="7">
        <v>52223</v>
      </c>
      <c r="F53" s="8">
        <v>817.96884899999998</v>
      </c>
      <c r="G53" s="9">
        <v>1.0468150000000001E-2</v>
      </c>
      <c r="H53" s="164"/>
    </row>
    <row r="54" spans="1:8" x14ac:dyDescent="0.2">
      <c r="A54" s="5">
        <v>48</v>
      </c>
      <c r="B54" s="6" t="s">
        <v>501</v>
      </c>
      <c r="C54" s="6" t="s">
        <v>502</v>
      </c>
      <c r="D54" s="6" t="s">
        <v>88</v>
      </c>
      <c r="E54" s="7">
        <v>267773</v>
      </c>
      <c r="F54" s="8">
        <v>787.11873349999996</v>
      </c>
      <c r="G54" s="9">
        <v>1.0073337999999999E-2</v>
      </c>
      <c r="H54" s="164"/>
    </row>
    <row r="55" spans="1:8" ht="25.5" x14ac:dyDescent="0.2">
      <c r="A55" s="5">
        <v>49</v>
      </c>
      <c r="B55" s="6" t="s">
        <v>707</v>
      </c>
      <c r="C55" s="6" t="s">
        <v>708</v>
      </c>
      <c r="D55" s="6" t="s">
        <v>67</v>
      </c>
      <c r="E55" s="7">
        <v>3189</v>
      </c>
      <c r="F55" s="8">
        <v>786.43610100000001</v>
      </c>
      <c r="G55" s="9">
        <v>1.0064602000000001E-2</v>
      </c>
      <c r="H55" s="164"/>
    </row>
    <row r="56" spans="1:8" x14ac:dyDescent="0.2">
      <c r="A56" s="5">
        <v>50</v>
      </c>
      <c r="B56" s="6" t="s">
        <v>286</v>
      </c>
      <c r="C56" s="6" t="s">
        <v>287</v>
      </c>
      <c r="D56" s="6" t="s">
        <v>927</v>
      </c>
      <c r="E56" s="7">
        <v>46064</v>
      </c>
      <c r="F56" s="8">
        <v>738.52107999999998</v>
      </c>
      <c r="G56" s="9">
        <v>9.4513979999999997E-3</v>
      </c>
      <c r="H56" s="164"/>
    </row>
    <row r="57" spans="1:8" x14ac:dyDescent="0.2">
      <c r="A57" s="5">
        <v>51</v>
      </c>
      <c r="B57" s="6" t="s">
        <v>709</v>
      </c>
      <c r="C57" s="6" t="s">
        <v>710</v>
      </c>
      <c r="D57" s="6" t="s">
        <v>195</v>
      </c>
      <c r="E57" s="7">
        <v>10000</v>
      </c>
      <c r="F57" s="8">
        <v>727.73</v>
      </c>
      <c r="G57" s="9">
        <v>9.3132969999999999E-3</v>
      </c>
      <c r="H57" s="164"/>
    </row>
    <row r="58" spans="1:8" x14ac:dyDescent="0.2">
      <c r="A58" s="5">
        <v>52</v>
      </c>
      <c r="B58" s="6" t="s">
        <v>86</v>
      </c>
      <c r="C58" s="6" t="s">
        <v>87</v>
      </c>
      <c r="D58" s="6" t="s">
        <v>88</v>
      </c>
      <c r="E58" s="7">
        <v>543762</v>
      </c>
      <c r="F58" s="8">
        <v>722.11593600000003</v>
      </c>
      <c r="G58" s="9">
        <v>9.2414490000000005E-3</v>
      </c>
      <c r="H58" s="164"/>
    </row>
    <row r="59" spans="1:8" x14ac:dyDescent="0.2">
      <c r="A59" s="5">
        <v>53</v>
      </c>
      <c r="B59" s="6" t="s">
        <v>383</v>
      </c>
      <c r="C59" s="6" t="s">
        <v>384</v>
      </c>
      <c r="D59" s="6" t="s">
        <v>161</v>
      </c>
      <c r="E59" s="7">
        <v>169899</v>
      </c>
      <c r="F59" s="8">
        <v>697.35044549999998</v>
      </c>
      <c r="G59" s="9">
        <v>8.9245069999999999E-3</v>
      </c>
      <c r="H59" s="164"/>
    </row>
    <row r="60" spans="1:8" x14ac:dyDescent="0.2">
      <c r="A60" s="5">
        <v>54</v>
      </c>
      <c r="B60" s="6" t="s">
        <v>101</v>
      </c>
      <c r="C60" s="6" t="s">
        <v>102</v>
      </c>
      <c r="D60" s="6" t="s">
        <v>76</v>
      </c>
      <c r="E60" s="7">
        <v>125000</v>
      </c>
      <c r="F60" s="8">
        <v>697.1875</v>
      </c>
      <c r="G60" s="9">
        <v>8.9224219999999993E-3</v>
      </c>
      <c r="H60" s="164"/>
    </row>
    <row r="61" spans="1:8" x14ac:dyDescent="0.2">
      <c r="A61" s="5">
        <v>55</v>
      </c>
      <c r="B61" s="6" t="s">
        <v>446</v>
      </c>
      <c r="C61" s="6" t="s">
        <v>447</v>
      </c>
      <c r="D61" s="6" t="s">
        <v>200</v>
      </c>
      <c r="E61" s="7">
        <v>73768</v>
      </c>
      <c r="F61" s="8">
        <v>678.70248400000003</v>
      </c>
      <c r="G61" s="9">
        <v>8.6858549999999993E-3</v>
      </c>
      <c r="H61" s="164"/>
    </row>
    <row r="62" spans="1:8" x14ac:dyDescent="0.2">
      <c r="A62" s="5">
        <v>56</v>
      </c>
      <c r="B62" s="6" t="s">
        <v>432</v>
      </c>
      <c r="C62" s="6" t="s">
        <v>433</v>
      </c>
      <c r="D62" s="6" t="s">
        <v>179</v>
      </c>
      <c r="E62" s="7">
        <v>50000</v>
      </c>
      <c r="F62" s="8">
        <v>604.77499999999998</v>
      </c>
      <c r="G62" s="9">
        <v>7.7397509999999996E-3</v>
      </c>
      <c r="H62" s="164"/>
    </row>
    <row r="63" spans="1:8" x14ac:dyDescent="0.2">
      <c r="A63" s="5">
        <v>57</v>
      </c>
      <c r="B63" s="6" t="s">
        <v>369</v>
      </c>
      <c r="C63" s="6" t="s">
        <v>370</v>
      </c>
      <c r="D63" s="6" t="s">
        <v>62</v>
      </c>
      <c r="E63" s="7">
        <v>13600</v>
      </c>
      <c r="F63" s="8">
        <v>585.42560000000003</v>
      </c>
      <c r="G63" s="9">
        <v>7.4921229999999998E-3</v>
      </c>
      <c r="H63" s="164"/>
    </row>
    <row r="64" spans="1:8" x14ac:dyDescent="0.2">
      <c r="A64" s="5">
        <v>58</v>
      </c>
      <c r="B64" s="6" t="s">
        <v>494</v>
      </c>
      <c r="C64" s="6" t="s">
        <v>495</v>
      </c>
      <c r="D64" s="6" t="s">
        <v>88</v>
      </c>
      <c r="E64" s="7">
        <v>8000</v>
      </c>
      <c r="F64" s="8">
        <v>558.21600000000001</v>
      </c>
      <c r="G64" s="9">
        <v>7.1439010000000002E-3</v>
      </c>
      <c r="H64" s="164"/>
    </row>
    <row r="65" spans="1:8" x14ac:dyDescent="0.2">
      <c r="A65" s="5">
        <v>59</v>
      </c>
      <c r="B65" s="6" t="s">
        <v>365</v>
      </c>
      <c r="C65" s="6" t="s">
        <v>366</v>
      </c>
      <c r="D65" s="6" t="s">
        <v>250</v>
      </c>
      <c r="E65" s="7">
        <v>60545</v>
      </c>
      <c r="F65" s="8">
        <v>555.80309999999997</v>
      </c>
      <c r="G65" s="9">
        <v>7.1130220000000001E-3</v>
      </c>
      <c r="H65" s="164"/>
    </row>
    <row r="66" spans="1:8" x14ac:dyDescent="0.2">
      <c r="A66" s="5">
        <v>60</v>
      </c>
      <c r="B66" s="6" t="s">
        <v>189</v>
      </c>
      <c r="C66" s="6" t="s">
        <v>190</v>
      </c>
      <c r="D66" s="6" t="s">
        <v>179</v>
      </c>
      <c r="E66" s="7">
        <v>16239</v>
      </c>
      <c r="F66" s="8">
        <v>510.42424799999998</v>
      </c>
      <c r="G66" s="9">
        <v>6.5322749999999997E-3</v>
      </c>
      <c r="H66" s="164"/>
    </row>
    <row r="67" spans="1:8" x14ac:dyDescent="0.2">
      <c r="A67" s="5">
        <v>61</v>
      </c>
      <c r="B67" s="6" t="s">
        <v>373</v>
      </c>
      <c r="C67" s="6" t="s">
        <v>374</v>
      </c>
      <c r="D67" s="6" t="s">
        <v>62</v>
      </c>
      <c r="E67" s="7">
        <v>21630</v>
      </c>
      <c r="F67" s="8">
        <v>476.498085</v>
      </c>
      <c r="G67" s="9">
        <v>6.0980970000000002E-3</v>
      </c>
      <c r="H67" s="164"/>
    </row>
    <row r="68" spans="1:8" x14ac:dyDescent="0.2">
      <c r="A68" s="5">
        <v>62</v>
      </c>
      <c r="B68" s="6" t="s">
        <v>451</v>
      </c>
      <c r="C68" s="6" t="s">
        <v>452</v>
      </c>
      <c r="D68" s="6" t="s">
        <v>62</v>
      </c>
      <c r="E68" s="7">
        <v>141219</v>
      </c>
      <c r="F68" s="8">
        <v>454.44274200000001</v>
      </c>
      <c r="G68" s="9">
        <v>5.8158380000000003E-3</v>
      </c>
      <c r="H68" s="164"/>
    </row>
    <row r="69" spans="1:8" x14ac:dyDescent="0.2">
      <c r="A69" s="5">
        <v>63</v>
      </c>
      <c r="B69" s="6" t="s">
        <v>55</v>
      </c>
      <c r="C69" s="6" t="s">
        <v>56</v>
      </c>
      <c r="D69" s="6" t="s">
        <v>37</v>
      </c>
      <c r="E69" s="7">
        <v>140212</v>
      </c>
      <c r="F69" s="8">
        <v>320.45452599999999</v>
      </c>
      <c r="G69" s="9">
        <v>4.1010930000000001E-3</v>
      </c>
      <c r="H69" s="164"/>
    </row>
    <row r="70" spans="1:8" x14ac:dyDescent="0.2">
      <c r="A70" s="3" t="s">
        <v>9</v>
      </c>
      <c r="B70" s="3" t="s">
        <v>9</v>
      </c>
      <c r="C70" s="4" t="s">
        <v>110</v>
      </c>
      <c r="D70" s="3" t="s">
        <v>9</v>
      </c>
      <c r="E70" s="3" t="s">
        <v>9</v>
      </c>
      <c r="F70" s="11">
        <v>77279.640748000005</v>
      </c>
      <c r="G70" s="12">
        <v>0.98900447000000002</v>
      </c>
      <c r="H70" s="164"/>
    </row>
    <row r="71" spans="1:8" x14ac:dyDescent="0.2">
      <c r="A71" s="3" t="s">
        <v>9</v>
      </c>
      <c r="B71" s="3" t="s">
        <v>9</v>
      </c>
      <c r="C71" s="13" t="s">
        <v>9</v>
      </c>
      <c r="D71" s="3" t="s">
        <v>9</v>
      </c>
      <c r="E71" s="3" t="s">
        <v>9</v>
      </c>
      <c r="F71" s="14" t="s">
        <v>9</v>
      </c>
      <c r="G71" s="14" t="s">
        <v>9</v>
      </c>
      <c r="H71" s="164"/>
    </row>
    <row r="72" spans="1:8" x14ac:dyDescent="0.2">
      <c r="A72" s="3" t="s">
        <v>9</v>
      </c>
      <c r="B72" s="3" t="s">
        <v>9</v>
      </c>
      <c r="C72" s="4" t="s">
        <v>111</v>
      </c>
      <c r="D72" s="3" t="s">
        <v>9</v>
      </c>
      <c r="E72" s="3" t="s">
        <v>9</v>
      </c>
      <c r="F72" s="3" t="s">
        <v>9</v>
      </c>
      <c r="G72" s="3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110</v>
      </c>
      <c r="D73" s="3" t="s">
        <v>9</v>
      </c>
      <c r="E73" s="3" t="s">
        <v>9</v>
      </c>
      <c r="F73" s="15">
        <v>0</v>
      </c>
      <c r="G73" s="16">
        <v>0</v>
      </c>
      <c r="H73" s="164"/>
    </row>
    <row r="74" spans="1:8" x14ac:dyDescent="0.2">
      <c r="A74" s="3" t="s">
        <v>9</v>
      </c>
      <c r="B74" s="3" t="s">
        <v>9</v>
      </c>
      <c r="C74" s="13" t="s">
        <v>9</v>
      </c>
      <c r="D74" s="3" t="s">
        <v>9</v>
      </c>
      <c r="E74" s="3" t="s">
        <v>9</v>
      </c>
      <c r="F74" s="14" t="s">
        <v>9</v>
      </c>
      <c r="G74" s="14" t="s">
        <v>9</v>
      </c>
      <c r="H74" s="164"/>
    </row>
    <row r="75" spans="1:8" x14ac:dyDescent="0.2">
      <c r="A75" s="3" t="s">
        <v>9</v>
      </c>
      <c r="B75" s="3" t="s">
        <v>9</v>
      </c>
      <c r="C75" s="4" t="s">
        <v>112</v>
      </c>
      <c r="D75" s="3" t="s">
        <v>9</v>
      </c>
      <c r="E75" s="3" t="s">
        <v>9</v>
      </c>
      <c r="F75" s="3" t="s">
        <v>9</v>
      </c>
      <c r="G75" s="3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110</v>
      </c>
      <c r="D76" s="3" t="s">
        <v>9</v>
      </c>
      <c r="E76" s="3" t="s">
        <v>9</v>
      </c>
      <c r="F76" s="15">
        <v>0</v>
      </c>
      <c r="G76" s="16">
        <v>0</v>
      </c>
      <c r="H76" s="164"/>
    </row>
    <row r="77" spans="1:8" x14ac:dyDescent="0.2">
      <c r="A77" s="3" t="s">
        <v>9</v>
      </c>
      <c r="B77" s="3" t="s">
        <v>9</v>
      </c>
      <c r="C77" s="13" t="s">
        <v>9</v>
      </c>
      <c r="D77" s="3" t="s">
        <v>9</v>
      </c>
      <c r="E77" s="3" t="s">
        <v>9</v>
      </c>
      <c r="F77" s="14" t="s">
        <v>9</v>
      </c>
      <c r="G77" s="14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113</v>
      </c>
      <c r="D78" s="3" t="s">
        <v>9</v>
      </c>
      <c r="E78" s="3" t="s">
        <v>9</v>
      </c>
      <c r="F78" s="3" t="s">
        <v>9</v>
      </c>
      <c r="G78" s="3" t="s">
        <v>9</v>
      </c>
      <c r="H78" s="164"/>
    </row>
    <row r="79" spans="1:8" x14ac:dyDescent="0.2">
      <c r="A79" s="3" t="s">
        <v>9</v>
      </c>
      <c r="B79" s="3" t="s">
        <v>9</v>
      </c>
      <c r="C79" s="4" t="s">
        <v>110</v>
      </c>
      <c r="D79" s="3" t="s">
        <v>9</v>
      </c>
      <c r="E79" s="3" t="s">
        <v>9</v>
      </c>
      <c r="F79" s="15">
        <v>0</v>
      </c>
      <c r="G79" s="16">
        <v>0</v>
      </c>
      <c r="H79" s="164"/>
    </row>
    <row r="80" spans="1:8" x14ac:dyDescent="0.2">
      <c r="A80" s="3" t="s">
        <v>9</v>
      </c>
      <c r="B80" s="3" t="s">
        <v>9</v>
      </c>
      <c r="C80" s="13" t="s">
        <v>9</v>
      </c>
      <c r="D80" s="3" t="s">
        <v>9</v>
      </c>
      <c r="E80" s="3" t="s">
        <v>9</v>
      </c>
      <c r="F80" s="14" t="s">
        <v>9</v>
      </c>
      <c r="G80" s="14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114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110</v>
      </c>
      <c r="D82" s="3" t="s">
        <v>9</v>
      </c>
      <c r="E82" s="3" t="s">
        <v>9</v>
      </c>
      <c r="F82" s="15">
        <v>0</v>
      </c>
      <c r="G82" s="16">
        <v>0</v>
      </c>
      <c r="H82" s="164"/>
    </row>
    <row r="83" spans="1:8" x14ac:dyDescent="0.2">
      <c r="A83" s="3" t="s">
        <v>9</v>
      </c>
      <c r="B83" s="3" t="s">
        <v>9</v>
      </c>
      <c r="C83" s="13" t="s">
        <v>9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115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110</v>
      </c>
      <c r="D85" s="3" t="s">
        <v>9</v>
      </c>
      <c r="E85" s="3" t="s">
        <v>9</v>
      </c>
      <c r="F85" s="15">
        <v>0</v>
      </c>
      <c r="G85" s="16">
        <v>0</v>
      </c>
      <c r="H85" s="164"/>
    </row>
    <row r="86" spans="1:8" x14ac:dyDescent="0.2">
      <c r="A86" s="3" t="s">
        <v>9</v>
      </c>
      <c r="B86" s="3" t="s">
        <v>9</v>
      </c>
      <c r="C86" s="13" t="s">
        <v>9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116</v>
      </c>
      <c r="D87" s="3" t="s">
        <v>9</v>
      </c>
      <c r="E87" s="3" t="s">
        <v>9</v>
      </c>
      <c r="F87" s="11">
        <v>77279.640748000005</v>
      </c>
      <c r="G87" s="12">
        <v>0.98900447000000002</v>
      </c>
      <c r="H87" s="164"/>
    </row>
    <row r="88" spans="1:8" x14ac:dyDescent="0.2">
      <c r="A88" s="3" t="s">
        <v>9</v>
      </c>
      <c r="B88" s="3" t="s">
        <v>9</v>
      </c>
      <c r="C88" s="13" t="s">
        <v>9</v>
      </c>
      <c r="D88" s="3" t="s">
        <v>9</v>
      </c>
      <c r="E88" s="3" t="s">
        <v>9</v>
      </c>
      <c r="F88" s="14" t="s">
        <v>9</v>
      </c>
      <c r="G88" s="14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117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ht="25.5" x14ac:dyDescent="0.2">
      <c r="A90" s="3" t="s">
        <v>9</v>
      </c>
      <c r="B90" s="3" t="s">
        <v>9</v>
      </c>
      <c r="C90" s="4" t="s">
        <v>11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110</v>
      </c>
      <c r="D91" s="3" t="s">
        <v>9</v>
      </c>
      <c r="E91" s="3" t="s">
        <v>9</v>
      </c>
      <c r="F91" s="15">
        <v>0</v>
      </c>
      <c r="G91" s="16">
        <v>0</v>
      </c>
      <c r="H91" s="164"/>
    </row>
    <row r="92" spans="1:8" x14ac:dyDescent="0.2">
      <c r="A92" s="3" t="s">
        <v>9</v>
      </c>
      <c r="B92" s="3" t="s">
        <v>9</v>
      </c>
      <c r="C92" s="13" t="s">
        <v>9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118</v>
      </c>
      <c r="D93" s="3" t="s">
        <v>9</v>
      </c>
      <c r="E93" s="3" t="s">
        <v>9</v>
      </c>
      <c r="F93" s="3" t="s">
        <v>9</v>
      </c>
      <c r="G93" s="3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110</v>
      </c>
      <c r="D94" s="3" t="s">
        <v>9</v>
      </c>
      <c r="E94" s="3" t="s">
        <v>9</v>
      </c>
      <c r="F94" s="15">
        <v>0</v>
      </c>
      <c r="G94" s="16">
        <v>0</v>
      </c>
      <c r="H94" s="164"/>
    </row>
    <row r="95" spans="1:8" x14ac:dyDescent="0.2">
      <c r="A95" s="3" t="s">
        <v>9</v>
      </c>
      <c r="B95" s="3" t="s">
        <v>9</v>
      </c>
      <c r="C95" s="13" t="s">
        <v>9</v>
      </c>
      <c r="D95" s="3" t="s">
        <v>9</v>
      </c>
      <c r="E95" s="3" t="s">
        <v>9</v>
      </c>
      <c r="F95" s="14" t="s">
        <v>9</v>
      </c>
      <c r="G95" s="14" t="s">
        <v>9</v>
      </c>
      <c r="H95" s="164"/>
    </row>
    <row r="96" spans="1:8" x14ac:dyDescent="0.2">
      <c r="A96" s="3" t="s">
        <v>9</v>
      </c>
      <c r="B96" s="3" t="s">
        <v>9</v>
      </c>
      <c r="C96" s="4" t="s">
        <v>119</v>
      </c>
      <c r="D96" s="3" t="s">
        <v>9</v>
      </c>
      <c r="E96" s="3" t="s">
        <v>9</v>
      </c>
      <c r="F96" s="3" t="s">
        <v>9</v>
      </c>
      <c r="G96" s="3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110</v>
      </c>
      <c r="D97" s="3" t="s">
        <v>9</v>
      </c>
      <c r="E97" s="3" t="s">
        <v>9</v>
      </c>
      <c r="F97" s="15">
        <v>0</v>
      </c>
      <c r="G97" s="16">
        <v>0</v>
      </c>
      <c r="H97" s="164"/>
    </row>
    <row r="98" spans="1:8" x14ac:dyDescent="0.2">
      <c r="A98" s="3" t="s">
        <v>9</v>
      </c>
      <c r="B98" s="3" t="s">
        <v>9</v>
      </c>
      <c r="C98" s="13" t="s">
        <v>9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120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110</v>
      </c>
      <c r="D100" s="3" t="s">
        <v>9</v>
      </c>
      <c r="E100" s="3" t="s">
        <v>9</v>
      </c>
      <c r="F100" s="15">
        <v>0</v>
      </c>
      <c r="G100" s="16">
        <v>0</v>
      </c>
      <c r="H100" s="164"/>
    </row>
    <row r="101" spans="1:8" x14ac:dyDescent="0.2">
      <c r="A101" s="3" t="s">
        <v>9</v>
      </c>
      <c r="B101" s="3" t="s">
        <v>9</v>
      </c>
      <c r="C101" s="13" t="s">
        <v>9</v>
      </c>
      <c r="D101" s="3" t="s">
        <v>9</v>
      </c>
      <c r="E101" s="3" t="s">
        <v>9</v>
      </c>
      <c r="F101" s="14" t="s">
        <v>9</v>
      </c>
      <c r="G101" s="14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121</v>
      </c>
      <c r="D102" s="3" t="s">
        <v>9</v>
      </c>
      <c r="E102" s="3" t="s">
        <v>9</v>
      </c>
      <c r="F102" s="11">
        <v>0</v>
      </c>
      <c r="G102" s="12">
        <v>0</v>
      </c>
      <c r="H102" s="164"/>
    </row>
    <row r="103" spans="1:8" x14ac:dyDescent="0.2">
      <c r="A103" s="3" t="s">
        <v>9</v>
      </c>
      <c r="B103" s="3" t="s">
        <v>9</v>
      </c>
      <c r="C103" s="13" t="s">
        <v>9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122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123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110</v>
      </c>
      <c r="D106" s="3" t="s">
        <v>9</v>
      </c>
      <c r="E106" s="3" t="s">
        <v>9</v>
      </c>
      <c r="F106" s="15">
        <v>0</v>
      </c>
      <c r="G106" s="16">
        <v>0</v>
      </c>
      <c r="H106" s="164"/>
    </row>
    <row r="107" spans="1:8" x14ac:dyDescent="0.2">
      <c r="A107" s="3" t="s">
        <v>9</v>
      </c>
      <c r="B107" s="3" t="s">
        <v>9</v>
      </c>
      <c r="C107" s="13" t="s">
        <v>9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124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110</v>
      </c>
      <c r="D109" s="3" t="s">
        <v>9</v>
      </c>
      <c r="E109" s="3" t="s">
        <v>9</v>
      </c>
      <c r="F109" s="15">
        <v>0</v>
      </c>
      <c r="G109" s="16">
        <v>0</v>
      </c>
      <c r="H109" s="164"/>
    </row>
    <row r="110" spans="1:8" x14ac:dyDescent="0.2">
      <c r="A110" s="3" t="s">
        <v>9</v>
      </c>
      <c r="B110" s="3" t="s">
        <v>9</v>
      </c>
      <c r="C110" s="13" t="s">
        <v>9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125</v>
      </c>
      <c r="D111" s="3" t="s">
        <v>9</v>
      </c>
      <c r="E111" s="3" t="s">
        <v>9</v>
      </c>
      <c r="F111" s="14" t="s">
        <v>9</v>
      </c>
      <c r="G111" s="14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110</v>
      </c>
      <c r="D112" s="3" t="s">
        <v>9</v>
      </c>
      <c r="E112" s="3" t="s">
        <v>9</v>
      </c>
      <c r="F112" s="15">
        <v>0</v>
      </c>
      <c r="G112" s="16">
        <v>0</v>
      </c>
      <c r="H112" s="164"/>
    </row>
    <row r="113" spans="1:8" x14ac:dyDescent="0.2">
      <c r="A113" s="3" t="s">
        <v>9</v>
      </c>
      <c r="B113" s="3" t="s">
        <v>9</v>
      </c>
      <c r="C113" s="13" t="s">
        <v>9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3" t="s">
        <v>9</v>
      </c>
      <c r="B114" s="3" t="s">
        <v>9</v>
      </c>
      <c r="C114" s="4" t="s">
        <v>126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5">
        <v>1</v>
      </c>
      <c r="B115" s="6"/>
      <c r="C115" s="6" t="s">
        <v>127</v>
      </c>
      <c r="D115" s="6"/>
      <c r="E115" s="10" t="s">
        <v>9</v>
      </c>
      <c r="F115" s="8">
        <v>935.59715170000004</v>
      </c>
      <c r="G115" s="9">
        <v>1.1973526E-2</v>
      </c>
      <c r="H115" s="90">
        <v>3.22</v>
      </c>
    </row>
    <row r="116" spans="1:8" x14ac:dyDescent="0.2">
      <c r="A116" s="5">
        <v>2</v>
      </c>
      <c r="B116" s="6"/>
      <c r="C116" s="6" t="s">
        <v>128</v>
      </c>
      <c r="D116" s="6"/>
      <c r="E116" s="10" t="s">
        <v>9</v>
      </c>
      <c r="F116" s="8">
        <v>264.39523129999998</v>
      </c>
      <c r="G116" s="9">
        <v>3.3836600000000001E-3</v>
      </c>
      <c r="H116" s="90">
        <v>3.34</v>
      </c>
    </row>
    <row r="117" spans="1:8" x14ac:dyDescent="0.2">
      <c r="A117" s="3" t="s">
        <v>9</v>
      </c>
      <c r="B117" s="3" t="s">
        <v>9</v>
      </c>
      <c r="C117" s="4" t="s">
        <v>110</v>
      </c>
      <c r="D117" s="3" t="s">
        <v>9</v>
      </c>
      <c r="E117" s="3" t="s">
        <v>9</v>
      </c>
      <c r="F117" s="11">
        <v>1199.992383</v>
      </c>
      <c r="G117" s="12">
        <v>1.5357186E-2</v>
      </c>
      <c r="H117" s="164"/>
    </row>
    <row r="118" spans="1:8" x14ac:dyDescent="0.2">
      <c r="A118" s="3" t="s">
        <v>9</v>
      </c>
      <c r="B118" s="3" t="s">
        <v>9</v>
      </c>
      <c r="C118" s="13" t="s">
        <v>9</v>
      </c>
      <c r="D118" s="3" t="s">
        <v>9</v>
      </c>
      <c r="E118" s="3" t="s">
        <v>9</v>
      </c>
      <c r="F118" s="14" t="s">
        <v>9</v>
      </c>
      <c r="G118" s="14" t="s">
        <v>9</v>
      </c>
      <c r="H118" s="164"/>
    </row>
    <row r="119" spans="1:8" x14ac:dyDescent="0.2">
      <c r="A119" s="3" t="s">
        <v>9</v>
      </c>
      <c r="B119" s="3" t="s">
        <v>9</v>
      </c>
      <c r="C119" s="4" t="s">
        <v>129</v>
      </c>
      <c r="D119" s="3" t="s">
        <v>9</v>
      </c>
      <c r="E119" s="3" t="s">
        <v>9</v>
      </c>
      <c r="F119" s="11">
        <v>1199.992383</v>
      </c>
      <c r="G119" s="12">
        <v>1.5357186E-2</v>
      </c>
      <c r="H119" s="164"/>
    </row>
    <row r="120" spans="1:8" x14ac:dyDescent="0.2">
      <c r="A120" s="3" t="s">
        <v>9</v>
      </c>
      <c r="B120" s="3" t="s">
        <v>9</v>
      </c>
      <c r="C120" s="14" t="s">
        <v>9</v>
      </c>
      <c r="D120" s="3" t="s">
        <v>9</v>
      </c>
      <c r="E120" s="3" t="s">
        <v>9</v>
      </c>
      <c r="F120" s="3" t="s">
        <v>9</v>
      </c>
      <c r="G120" s="3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130</v>
      </c>
      <c r="D121" s="3" t="s">
        <v>9</v>
      </c>
      <c r="E121" s="3" t="s">
        <v>9</v>
      </c>
      <c r="F121" s="3" t="s">
        <v>9</v>
      </c>
      <c r="G121" s="3" t="s">
        <v>9</v>
      </c>
      <c r="H121" s="164"/>
    </row>
    <row r="122" spans="1:8" x14ac:dyDescent="0.2">
      <c r="A122" s="3" t="s">
        <v>9</v>
      </c>
      <c r="B122" s="3" t="s">
        <v>9</v>
      </c>
      <c r="C122" s="4" t="s">
        <v>131</v>
      </c>
      <c r="D122" s="3" t="s">
        <v>9</v>
      </c>
      <c r="E122" s="3" t="s">
        <v>9</v>
      </c>
      <c r="F122" s="3" t="s">
        <v>9</v>
      </c>
      <c r="G122" s="3" t="s">
        <v>9</v>
      </c>
      <c r="H122" s="164"/>
    </row>
    <row r="123" spans="1:8" x14ac:dyDescent="0.2">
      <c r="A123" s="3" t="s">
        <v>9</v>
      </c>
      <c r="B123" s="3" t="s">
        <v>9</v>
      </c>
      <c r="C123" s="4" t="s">
        <v>110</v>
      </c>
      <c r="D123" s="3" t="s">
        <v>9</v>
      </c>
      <c r="E123" s="3" t="s">
        <v>9</v>
      </c>
      <c r="F123" s="15">
        <v>0</v>
      </c>
      <c r="G123" s="16">
        <v>0</v>
      </c>
      <c r="H123" s="164"/>
    </row>
    <row r="124" spans="1:8" x14ac:dyDescent="0.2">
      <c r="A124" s="3" t="s">
        <v>9</v>
      </c>
      <c r="B124" s="3" t="s">
        <v>9</v>
      </c>
      <c r="C124" s="13" t="s">
        <v>9</v>
      </c>
      <c r="D124" s="3" t="s">
        <v>9</v>
      </c>
      <c r="E124" s="3" t="s">
        <v>9</v>
      </c>
      <c r="F124" s="14" t="s">
        <v>9</v>
      </c>
      <c r="G124" s="14" t="s">
        <v>9</v>
      </c>
      <c r="H124" s="164"/>
    </row>
    <row r="125" spans="1:8" x14ac:dyDescent="0.2">
      <c r="A125" s="3" t="s">
        <v>9</v>
      </c>
      <c r="B125" s="3" t="s">
        <v>9</v>
      </c>
      <c r="C125" s="4" t="s">
        <v>132</v>
      </c>
      <c r="D125" s="3" t="s">
        <v>9</v>
      </c>
      <c r="E125" s="3" t="s">
        <v>9</v>
      </c>
      <c r="F125" s="3" t="s">
        <v>9</v>
      </c>
      <c r="G125" s="3" t="s">
        <v>9</v>
      </c>
      <c r="H125" s="164"/>
    </row>
    <row r="126" spans="1:8" x14ac:dyDescent="0.2">
      <c r="A126" s="3" t="s">
        <v>9</v>
      </c>
      <c r="B126" s="3" t="s">
        <v>9</v>
      </c>
      <c r="C126" s="4" t="s">
        <v>133</v>
      </c>
      <c r="D126" s="3" t="s">
        <v>9</v>
      </c>
      <c r="E126" s="3" t="s">
        <v>9</v>
      </c>
      <c r="F126" s="3" t="s">
        <v>9</v>
      </c>
      <c r="G126" s="3" t="s">
        <v>9</v>
      </c>
      <c r="H126" s="164"/>
    </row>
    <row r="127" spans="1:8" x14ac:dyDescent="0.2">
      <c r="A127" s="3" t="s">
        <v>9</v>
      </c>
      <c r="B127" s="3" t="s">
        <v>9</v>
      </c>
      <c r="C127" s="4" t="s">
        <v>110</v>
      </c>
      <c r="D127" s="3" t="s">
        <v>9</v>
      </c>
      <c r="E127" s="3" t="s">
        <v>9</v>
      </c>
      <c r="F127" s="15">
        <v>0</v>
      </c>
      <c r="G127" s="16">
        <v>0</v>
      </c>
      <c r="H127" s="164"/>
    </row>
    <row r="128" spans="1:8" x14ac:dyDescent="0.2">
      <c r="A128" s="3" t="s">
        <v>9</v>
      </c>
      <c r="B128" s="3" t="s">
        <v>9</v>
      </c>
      <c r="C128" s="13" t="s">
        <v>9</v>
      </c>
      <c r="D128" s="3" t="s">
        <v>9</v>
      </c>
      <c r="E128" s="3" t="s">
        <v>9</v>
      </c>
      <c r="F128" s="14" t="s">
        <v>9</v>
      </c>
      <c r="G128" s="14" t="s">
        <v>9</v>
      </c>
      <c r="H128" s="164"/>
    </row>
    <row r="129" spans="1:8" x14ac:dyDescent="0.2">
      <c r="A129" s="3" t="s">
        <v>9</v>
      </c>
      <c r="B129" s="3" t="s">
        <v>9</v>
      </c>
      <c r="C129" s="13" t="s">
        <v>9</v>
      </c>
      <c r="D129" s="3" t="s">
        <v>9</v>
      </c>
      <c r="E129" s="3" t="s">
        <v>9</v>
      </c>
      <c r="F129" s="14" t="s">
        <v>9</v>
      </c>
      <c r="G129" s="14" t="s">
        <v>9</v>
      </c>
      <c r="H129" s="164"/>
    </row>
    <row r="130" spans="1:8" ht="25.5" x14ac:dyDescent="0.2">
      <c r="A130" s="3" t="s">
        <v>9</v>
      </c>
      <c r="B130" s="3" t="s">
        <v>9</v>
      </c>
      <c r="C130" s="4" t="s">
        <v>134</v>
      </c>
      <c r="D130" s="3" t="s">
        <v>9</v>
      </c>
      <c r="E130" s="3" t="s">
        <v>9</v>
      </c>
      <c r="F130" s="14" t="s">
        <v>9</v>
      </c>
      <c r="G130" s="14" t="s">
        <v>9</v>
      </c>
      <c r="H130" s="164"/>
    </row>
    <row r="131" spans="1:8" x14ac:dyDescent="0.2">
      <c r="A131" s="3" t="s">
        <v>9</v>
      </c>
      <c r="B131" s="3" t="s">
        <v>9</v>
      </c>
      <c r="C131" s="4" t="s">
        <v>110</v>
      </c>
      <c r="D131" s="3" t="s">
        <v>9</v>
      </c>
      <c r="E131" s="3" t="s">
        <v>9</v>
      </c>
      <c r="F131" s="15">
        <v>0</v>
      </c>
      <c r="G131" s="16">
        <v>0</v>
      </c>
      <c r="H131" s="164"/>
    </row>
    <row r="132" spans="1:8" x14ac:dyDescent="0.2">
      <c r="A132" s="3" t="s">
        <v>9</v>
      </c>
      <c r="B132" s="3" t="s">
        <v>9</v>
      </c>
      <c r="C132" s="13" t="s">
        <v>9</v>
      </c>
      <c r="D132" s="3" t="s">
        <v>9</v>
      </c>
      <c r="E132" s="3" t="s">
        <v>9</v>
      </c>
      <c r="F132" s="14" t="s">
        <v>9</v>
      </c>
      <c r="G132" s="14" t="s">
        <v>9</v>
      </c>
      <c r="H132" s="164"/>
    </row>
    <row r="133" spans="1:8" x14ac:dyDescent="0.2">
      <c r="A133" s="3" t="s">
        <v>9</v>
      </c>
      <c r="B133" s="6" t="s">
        <v>9</v>
      </c>
      <c r="C133" s="6" t="s">
        <v>9</v>
      </c>
      <c r="D133" s="4" t="s">
        <v>9</v>
      </c>
      <c r="E133" s="3" t="s">
        <v>9</v>
      </c>
      <c r="F133" s="6" t="s">
        <v>9</v>
      </c>
      <c r="G133" s="10" t="s">
        <v>9</v>
      </c>
      <c r="H133" s="164"/>
    </row>
    <row r="134" spans="1:8" x14ac:dyDescent="0.2">
      <c r="A134" s="10" t="s">
        <v>9</v>
      </c>
      <c r="B134" s="6" t="s">
        <v>9</v>
      </c>
      <c r="C134" s="6" t="s">
        <v>135</v>
      </c>
      <c r="D134" s="6" t="s">
        <v>9</v>
      </c>
      <c r="E134" s="10" t="s">
        <v>9</v>
      </c>
      <c r="F134" s="8">
        <v>-340.81483259999999</v>
      </c>
      <c r="G134" s="9">
        <v>-4.361658E-3</v>
      </c>
      <c r="H134" s="164"/>
    </row>
    <row r="135" spans="1:8" x14ac:dyDescent="0.2">
      <c r="A135" s="13" t="s">
        <v>9</v>
      </c>
      <c r="B135" s="13" t="s">
        <v>9</v>
      </c>
      <c r="C135" s="4" t="s">
        <v>136</v>
      </c>
      <c r="D135" s="17" t="s">
        <v>9</v>
      </c>
      <c r="E135" s="17" t="s">
        <v>9</v>
      </c>
      <c r="F135" s="11">
        <f>+F70+F117+F134</f>
        <v>78138.818298400016</v>
      </c>
      <c r="G135" s="12">
        <f>G70+G119+G134</f>
        <v>0.99999999799999995</v>
      </c>
      <c r="H135" s="164"/>
    </row>
    <row r="136" spans="1:8" ht="14.1" customHeight="1" x14ac:dyDescent="0.2">
      <c r="A136" s="18" t="s">
        <v>9</v>
      </c>
      <c r="B136" s="18" t="s">
        <v>9</v>
      </c>
      <c r="C136" s="18" t="s">
        <v>9</v>
      </c>
      <c r="D136" s="19" t="s">
        <v>9</v>
      </c>
      <c r="E136" s="19" t="s">
        <v>9</v>
      </c>
      <c r="F136" s="19" t="s">
        <v>9</v>
      </c>
      <c r="G136" s="19" t="s">
        <v>9</v>
      </c>
    </row>
    <row r="137" spans="1:8" ht="14.1" customHeight="1" x14ac:dyDescent="0.2">
      <c r="A137" s="20" t="s">
        <v>9</v>
      </c>
      <c r="B137" s="228" t="s">
        <v>9</v>
      </c>
      <c r="C137" s="228"/>
      <c r="D137" s="228"/>
      <c r="E137" s="228"/>
      <c r="F137" s="228"/>
      <c r="G137" s="22" t="s">
        <v>9</v>
      </c>
    </row>
    <row r="138" spans="1:8" ht="14.1" customHeight="1" x14ac:dyDescent="0.2">
      <c r="A138" s="20" t="s">
        <v>9</v>
      </c>
      <c r="B138" s="228" t="s">
        <v>9</v>
      </c>
      <c r="C138" s="228"/>
      <c r="D138" s="228"/>
      <c r="E138" s="228"/>
      <c r="F138" s="228"/>
      <c r="G138" s="22" t="s">
        <v>9</v>
      </c>
    </row>
    <row r="139" spans="1:8" ht="14.1" customHeight="1" x14ac:dyDescent="0.2">
      <c r="A139" s="20" t="s">
        <v>9</v>
      </c>
      <c r="B139" s="20" t="s">
        <v>9</v>
      </c>
      <c r="C139" s="20" t="s">
        <v>9</v>
      </c>
      <c r="D139" s="22" t="s">
        <v>9</v>
      </c>
      <c r="E139" s="22" t="s">
        <v>9</v>
      </c>
      <c r="F139" s="22" t="s">
        <v>9</v>
      </c>
      <c r="G139" s="22" t="s">
        <v>9</v>
      </c>
    </row>
    <row r="140" spans="1:8" ht="14.1" customHeight="1" x14ac:dyDescent="0.2">
      <c r="A140" s="20" t="s">
        <v>9</v>
      </c>
      <c r="B140" s="226" t="s">
        <v>138</v>
      </c>
      <c r="C140" s="227"/>
      <c r="D140" s="14" t="s">
        <v>9</v>
      </c>
      <c r="E140" s="23" t="s">
        <v>9</v>
      </c>
      <c r="F140" s="22" t="s">
        <v>9</v>
      </c>
      <c r="G140" s="22" t="s">
        <v>9</v>
      </c>
    </row>
    <row r="141" spans="1:8" ht="29.1" customHeight="1" x14ac:dyDescent="0.2">
      <c r="A141" s="20" t="s">
        <v>9</v>
      </c>
      <c r="B141" s="233" t="s">
        <v>139</v>
      </c>
      <c r="C141" s="234"/>
      <c r="D141" s="4" t="s">
        <v>140</v>
      </c>
      <c r="E141" s="23" t="s">
        <v>9</v>
      </c>
      <c r="F141" s="22" t="s">
        <v>9</v>
      </c>
      <c r="G141" s="22" t="s">
        <v>9</v>
      </c>
    </row>
    <row r="142" spans="1:8" ht="17.100000000000001" customHeight="1" x14ac:dyDescent="0.2">
      <c r="A142" s="20" t="s">
        <v>9</v>
      </c>
      <c r="B142" s="233" t="s">
        <v>141</v>
      </c>
      <c r="C142" s="234"/>
      <c r="D142" s="4" t="s">
        <v>140</v>
      </c>
      <c r="E142" s="23" t="s">
        <v>9</v>
      </c>
      <c r="F142" s="22" t="s">
        <v>9</v>
      </c>
      <c r="G142" s="22" t="s">
        <v>9</v>
      </c>
    </row>
    <row r="143" spans="1:8" ht="17.100000000000001" customHeight="1" x14ac:dyDescent="0.2">
      <c r="A143" s="20" t="s">
        <v>9</v>
      </c>
      <c r="B143" s="233" t="s">
        <v>142</v>
      </c>
      <c r="C143" s="234"/>
      <c r="D143" s="14" t="s">
        <v>9</v>
      </c>
      <c r="E143" s="23" t="s">
        <v>9</v>
      </c>
      <c r="F143" s="22" t="s">
        <v>9</v>
      </c>
      <c r="G143" s="22" t="s">
        <v>9</v>
      </c>
    </row>
    <row r="144" spans="1:8" ht="24" customHeight="1" x14ac:dyDescent="0.2">
      <c r="A144" s="24" t="s">
        <v>9</v>
      </c>
      <c r="B144" s="25" t="s">
        <v>9</v>
      </c>
      <c r="C144" s="25" t="s">
        <v>143</v>
      </c>
      <c r="D144" s="25" t="s">
        <v>144</v>
      </c>
      <c r="E144" s="24" t="s">
        <v>9</v>
      </c>
      <c r="F144" s="24" t="s">
        <v>9</v>
      </c>
      <c r="G144" s="24" t="s">
        <v>9</v>
      </c>
    </row>
    <row r="145" spans="1:7" ht="18" customHeight="1" x14ac:dyDescent="0.2">
      <c r="A145" s="24" t="s">
        <v>9</v>
      </c>
      <c r="B145" s="25" t="s">
        <v>145</v>
      </c>
      <c r="C145" s="25" t="s">
        <v>146</v>
      </c>
      <c r="D145" s="25" t="s">
        <v>147</v>
      </c>
      <c r="E145" s="24" t="s">
        <v>9</v>
      </c>
      <c r="F145" s="24" t="s">
        <v>9</v>
      </c>
      <c r="G145" s="24" t="s">
        <v>9</v>
      </c>
    </row>
    <row r="146" spans="1:7" ht="17.100000000000001" customHeight="1" x14ac:dyDescent="0.2">
      <c r="A146" s="24" t="s">
        <v>9</v>
      </c>
      <c r="B146" s="6" t="s">
        <v>148</v>
      </c>
      <c r="C146" s="26">
        <v>15.291</v>
      </c>
      <c r="D146" s="26">
        <v>15.8543</v>
      </c>
      <c r="E146" s="24" t="s">
        <v>9</v>
      </c>
      <c r="F146" s="21" t="s">
        <v>9</v>
      </c>
      <c r="G146" s="27" t="s">
        <v>9</v>
      </c>
    </row>
    <row r="147" spans="1:7" ht="17.100000000000001" customHeight="1" x14ac:dyDescent="0.2">
      <c r="A147" s="24" t="s">
        <v>9</v>
      </c>
      <c r="B147" s="6" t="s">
        <v>839</v>
      </c>
      <c r="C147" s="26">
        <v>15.276</v>
      </c>
      <c r="D147" s="26">
        <v>14.753500000000001</v>
      </c>
      <c r="E147" s="24" t="s">
        <v>9</v>
      </c>
      <c r="F147" s="21" t="s">
        <v>9</v>
      </c>
      <c r="G147" s="27" t="s">
        <v>9</v>
      </c>
    </row>
    <row r="148" spans="1:7" ht="17.100000000000001" customHeight="1" x14ac:dyDescent="0.2">
      <c r="A148" s="24" t="s">
        <v>9</v>
      </c>
      <c r="B148" s="6" t="s">
        <v>149</v>
      </c>
      <c r="C148" s="26">
        <v>14.772600000000001</v>
      </c>
      <c r="D148" s="26">
        <v>15.2949</v>
      </c>
      <c r="E148" s="24" t="s">
        <v>9</v>
      </c>
      <c r="F148" s="21" t="s">
        <v>9</v>
      </c>
      <c r="G148" s="27" t="s">
        <v>9</v>
      </c>
    </row>
    <row r="149" spans="1:7" ht="17.100000000000001" customHeight="1" x14ac:dyDescent="0.2">
      <c r="A149" s="24" t="s">
        <v>9</v>
      </c>
      <c r="B149" s="6" t="s">
        <v>840</v>
      </c>
      <c r="C149" s="26">
        <v>14.773099999999999</v>
      </c>
      <c r="D149" s="26">
        <v>14.245900000000001</v>
      </c>
      <c r="E149" s="24" t="s">
        <v>9</v>
      </c>
      <c r="F149" s="21" t="s">
        <v>9</v>
      </c>
      <c r="G149" s="27" t="s">
        <v>9</v>
      </c>
    </row>
    <row r="150" spans="1:7" ht="14.1" customHeight="1" x14ac:dyDescent="0.2">
      <c r="A150" s="24" t="s">
        <v>9</v>
      </c>
      <c r="B150" s="24" t="s">
        <v>9</v>
      </c>
      <c r="C150" s="24" t="s">
        <v>9</v>
      </c>
      <c r="D150" s="24" t="s">
        <v>9</v>
      </c>
      <c r="E150" s="24" t="s">
        <v>9</v>
      </c>
      <c r="F150" s="24" t="s">
        <v>9</v>
      </c>
      <c r="G150" s="24" t="s">
        <v>9</v>
      </c>
    </row>
    <row r="151" spans="1:7" ht="17.100000000000001" customHeight="1" x14ac:dyDescent="0.2">
      <c r="A151" s="24" t="s">
        <v>9</v>
      </c>
      <c r="B151" s="233" t="s">
        <v>1003</v>
      </c>
      <c r="C151" s="234"/>
      <c r="D151" s="4" t="s">
        <v>140</v>
      </c>
      <c r="E151" s="24" t="s">
        <v>9</v>
      </c>
      <c r="F151" s="24" t="s">
        <v>9</v>
      </c>
      <c r="G151" s="24" t="s">
        <v>9</v>
      </c>
    </row>
    <row r="152" spans="1:7" ht="18" customHeight="1" x14ac:dyDescent="0.2">
      <c r="A152" s="24" t="s">
        <v>9</v>
      </c>
      <c r="B152" s="28" t="s">
        <v>150</v>
      </c>
      <c r="C152" s="28" t="s">
        <v>150</v>
      </c>
      <c r="D152" s="28" t="s">
        <v>9</v>
      </c>
      <c r="E152" s="24" t="s">
        <v>9</v>
      </c>
      <c r="F152" s="24" t="s">
        <v>9</v>
      </c>
      <c r="G152" s="24" t="s">
        <v>9</v>
      </c>
    </row>
    <row r="153" spans="1:7" s="169" customFormat="1" x14ac:dyDescent="0.2">
      <c r="B153" s="235" t="s">
        <v>841</v>
      </c>
      <c r="C153" s="235"/>
      <c r="D153" s="235"/>
      <c r="E153" s="235"/>
      <c r="F153" s="235"/>
    </row>
    <row r="154" spans="1:7" ht="14.1" customHeight="1" x14ac:dyDescent="0.2">
      <c r="A154" s="24" t="s">
        <v>9</v>
      </c>
      <c r="B154" s="21" t="s">
        <v>9</v>
      </c>
      <c r="C154" s="21" t="s">
        <v>9</v>
      </c>
      <c r="D154" s="24" t="s">
        <v>9</v>
      </c>
      <c r="E154" s="24" t="s">
        <v>9</v>
      </c>
      <c r="F154" s="24" t="s">
        <v>9</v>
      </c>
      <c r="G154" s="24" t="s">
        <v>9</v>
      </c>
    </row>
    <row r="155" spans="1:7" ht="29.1" customHeight="1" x14ac:dyDescent="0.2">
      <c r="A155" s="24" t="s">
        <v>9</v>
      </c>
      <c r="B155" s="233" t="s">
        <v>151</v>
      </c>
      <c r="C155" s="234"/>
      <c r="D155" s="4" t="s">
        <v>140</v>
      </c>
      <c r="E155" s="24" t="s">
        <v>9</v>
      </c>
      <c r="F155" s="24" t="s">
        <v>9</v>
      </c>
      <c r="G155" s="24" t="s">
        <v>9</v>
      </c>
    </row>
    <row r="156" spans="1:7" ht="29.1" customHeight="1" x14ac:dyDescent="0.2">
      <c r="A156" s="24" t="s">
        <v>9</v>
      </c>
      <c r="B156" s="233" t="s">
        <v>152</v>
      </c>
      <c r="C156" s="234"/>
      <c r="D156" s="4" t="s">
        <v>140</v>
      </c>
      <c r="E156" s="24" t="s">
        <v>9</v>
      </c>
      <c r="F156" s="24" t="s">
        <v>9</v>
      </c>
      <c r="G156" s="24" t="s">
        <v>9</v>
      </c>
    </row>
    <row r="157" spans="1:7" ht="17.100000000000001" customHeight="1" x14ac:dyDescent="0.2">
      <c r="A157" s="24" t="s">
        <v>9</v>
      </c>
      <c r="B157" s="233" t="s">
        <v>153</v>
      </c>
      <c r="C157" s="234"/>
      <c r="D157" s="29">
        <v>0.9467270084854047</v>
      </c>
      <c r="E157" s="24" t="s">
        <v>9</v>
      </c>
      <c r="F157" s="21" t="s">
        <v>9</v>
      </c>
      <c r="G157" s="27" t="s">
        <v>9</v>
      </c>
    </row>
    <row r="158" spans="1:7" ht="17.100000000000001" customHeight="1" x14ac:dyDescent="0.2">
      <c r="A158" s="24" t="s">
        <v>9</v>
      </c>
      <c r="B158" s="233" t="s">
        <v>154</v>
      </c>
      <c r="C158" s="234"/>
      <c r="D158" s="4" t="s">
        <v>140</v>
      </c>
      <c r="E158" s="24" t="s">
        <v>9</v>
      </c>
      <c r="F158" s="24" t="s">
        <v>9</v>
      </c>
      <c r="G158" s="24" t="s">
        <v>9</v>
      </c>
    </row>
  </sheetData>
  <mergeCells count="15">
    <mergeCell ref="B157:C157"/>
    <mergeCell ref="B158:C158"/>
    <mergeCell ref="B141:C141"/>
    <mergeCell ref="B142:C142"/>
    <mergeCell ref="B143:C143"/>
    <mergeCell ref="B151:C151"/>
    <mergeCell ref="B155:C155"/>
    <mergeCell ref="B156:C156"/>
    <mergeCell ref="B153:F153"/>
    <mergeCell ref="B140:C140"/>
    <mergeCell ref="B137:F137"/>
    <mergeCell ref="B138:F138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H16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40.7109375" bestFit="1" customWidth="1"/>
    <col min="4" max="4" width="17.85546875" customWidth="1"/>
    <col min="5" max="6" width="19.140625" customWidth="1"/>
    <col min="7" max="7" width="16.42578125" customWidth="1"/>
    <col min="8" max="8" width="12.140625" bestFit="1" customWidth="1"/>
    <col min="9" max="9" width="17.42578125" bestFit="1" customWidth="1"/>
    <col min="10" max="10" width="22.28515625" bestFit="1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711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ht="25.5" x14ac:dyDescent="0.2">
      <c r="A7" s="5">
        <v>1</v>
      </c>
      <c r="B7" s="6" t="s">
        <v>417</v>
      </c>
      <c r="C7" s="6" t="s">
        <v>418</v>
      </c>
      <c r="D7" s="6" t="s">
        <v>67</v>
      </c>
      <c r="E7" s="7">
        <v>34000</v>
      </c>
      <c r="F7" s="8">
        <v>793.322</v>
      </c>
      <c r="G7" s="9">
        <v>7.3500198000000003E-2</v>
      </c>
      <c r="H7" s="164"/>
    </row>
    <row r="8" spans="1:8" x14ac:dyDescent="0.2">
      <c r="A8" s="5">
        <v>2</v>
      </c>
      <c r="B8" s="6" t="s">
        <v>405</v>
      </c>
      <c r="C8" s="6" t="s">
        <v>406</v>
      </c>
      <c r="D8" s="6" t="s">
        <v>161</v>
      </c>
      <c r="E8" s="7">
        <v>31000</v>
      </c>
      <c r="F8" s="8">
        <v>756.75649999999996</v>
      </c>
      <c r="G8" s="9">
        <v>7.0112455000000004E-2</v>
      </c>
      <c r="H8" s="164"/>
    </row>
    <row r="9" spans="1:8" x14ac:dyDescent="0.2">
      <c r="A9" s="5">
        <v>3</v>
      </c>
      <c r="B9" s="6" t="s">
        <v>20</v>
      </c>
      <c r="C9" s="6" t="s">
        <v>21</v>
      </c>
      <c r="D9" s="6" t="s">
        <v>22</v>
      </c>
      <c r="E9" s="7">
        <v>105500</v>
      </c>
      <c r="F9" s="8">
        <v>720.03750000000002</v>
      </c>
      <c r="G9" s="9">
        <v>6.6710489999999997E-2</v>
      </c>
      <c r="H9" s="164"/>
    </row>
    <row r="10" spans="1:8" x14ac:dyDescent="0.2">
      <c r="A10" s="5">
        <v>4</v>
      </c>
      <c r="B10" s="6" t="s">
        <v>15</v>
      </c>
      <c r="C10" s="6" t="s">
        <v>16</v>
      </c>
      <c r="D10" s="6" t="s">
        <v>17</v>
      </c>
      <c r="E10" s="7">
        <v>26000</v>
      </c>
      <c r="F10" s="8">
        <v>529.178</v>
      </c>
      <c r="G10" s="9">
        <v>4.9027618000000002E-2</v>
      </c>
      <c r="H10" s="164"/>
    </row>
    <row r="11" spans="1:8" x14ac:dyDescent="0.2">
      <c r="A11" s="5">
        <v>5</v>
      </c>
      <c r="B11" s="6" t="s">
        <v>432</v>
      </c>
      <c r="C11" s="6" t="s">
        <v>433</v>
      </c>
      <c r="D11" s="6" t="s">
        <v>179</v>
      </c>
      <c r="E11" s="7">
        <v>40000</v>
      </c>
      <c r="F11" s="8">
        <v>483.82</v>
      </c>
      <c r="G11" s="9">
        <v>4.4825260999999998E-2</v>
      </c>
      <c r="H11" s="164"/>
    </row>
    <row r="12" spans="1:8" x14ac:dyDescent="0.2">
      <c r="A12" s="5">
        <v>6</v>
      </c>
      <c r="B12" s="6" t="s">
        <v>403</v>
      </c>
      <c r="C12" s="6" t="s">
        <v>404</v>
      </c>
      <c r="D12" s="6" t="s">
        <v>179</v>
      </c>
      <c r="E12" s="7">
        <v>27000</v>
      </c>
      <c r="F12" s="8">
        <v>434.83499999999998</v>
      </c>
      <c r="G12" s="9">
        <v>4.0286868000000003E-2</v>
      </c>
      <c r="H12" s="164"/>
    </row>
    <row r="13" spans="1:8" x14ac:dyDescent="0.2">
      <c r="A13" s="5">
        <v>7</v>
      </c>
      <c r="B13" s="6" t="s">
        <v>332</v>
      </c>
      <c r="C13" s="6" t="s">
        <v>333</v>
      </c>
      <c r="D13" s="6" t="s">
        <v>59</v>
      </c>
      <c r="E13" s="7">
        <v>84500</v>
      </c>
      <c r="F13" s="8">
        <v>364.82875000000001</v>
      </c>
      <c r="G13" s="9">
        <v>3.3800885000000003E-2</v>
      </c>
      <c r="H13" s="164"/>
    </row>
    <row r="14" spans="1:8" x14ac:dyDescent="0.2">
      <c r="A14" s="5">
        <v>8</v>
      </c>
      <c r="B14" s="6" t="s">
        <v>79</v>
      </c>
      <c r="C14" s="6" t="s">
        <v>80</v>
      </c>
      <c r="D14" s="6" t="s">
        <v>22</v>
      </c>
      <c r="E14" s="7">
        <v>24500</v>
      </c>
      <c r="F14" s="8">
        <v>349.48025000000001</v>
      </c>
      <c r="G14" s="9">
        <v>3.2378866999999999E-2</v>
      </c>
      <c r="H14" s="164"/>
    </row>
    <row r="15" spans="1:8" x14ac:dyDescent="0.2">
      <c r="A15" s="5">
        <v>9</v>
      </c>
      <c r="B15" s="6" t="s">
        <v>23</v>
      </c>
      <c r="C15" s="6" t="s">
        <v>24</v>
      </c>
      <c r="D15" s="6" t="s">
        <v>25</v>
      </c>
      <c r="E15" s="7">
        <v>58871</v>
      </c>
      <c r="F15" s="8">
        <v>330.64897150000002</v>
      </c>
      <c r="G15" s="9">
        <v>3.0634175E-2</v>
      </c>
      <c r="H15" s="164"/>
    </row>
    <row r="16" spans="1:8" ht="25.5" x14ac:dyDescent="0.2">
      <c r="A16" s="5">
        <v>10</v>
      </c>
      <c r="B16" s="6" t="s">
        <v>393</v>
      </c>
      <c r="C16" s="6" t="s">
        <v>394</v>
      </c>
      <c r="D16" s="6" t="s">
        <v>67</v>
      </c>
      <c r="E16" s="7">
        <v>37000</v>
      </c>
      <c r="F16" s="8">
        <v>279.8125</v>
      </c>
      <c r="G16" s="9">
        <v>2.5924244999999999E-2</v>
      </c>
      <c r="H16" s="164"/>
    </row>
    <row r="17" spans="1:8" ht="25.5" x14ac:dyDescent="0.2">
      <c r="A17" s="5">
        <v>11</v>
      </c>
      <c r="B17" s="6" t="s">
        <v>485</v>
      </c>
      <c r="C17" s="6" t="s">
        <v>486</v>
      </c>
      <c r="D17" s="6" t="s">
        <v>67</v>
      </c>
      <c r="E17" s="7">
        <v>40000</v>
      </c>
      <c r="F17" s="8">
        <v>256.3</v>
      </c>
      <c r="G17" s="9">
        <v>2.3745843999999999E-2</v>
      </c>
      <c r="H17" s="164"/>
    </row>
    <row r="18" spans="1:8" s="150" customFormat="1" x14ac:dyDescent="0.2">
      <c r="A18" s="5">
        <v>12</v>
      </c>
      <c r="B18" s="6" t="s">
        <v>970</v>
      </c>
      <c r="C18" s="6" t="s">
        <v>971</v>
      </c>
      <c r="D18" s="6" t="s">
        <v>37</v>
      </c>
      <c r="E18" s="7">
        <v>64000</v>
      </c>
      <c r="F18" s="8">
        <v>231.54560000000001</v>
      </c>
      <c r="G18" s="9">
        <v>2.145238E-2</v>
      </c>
      <c r="H18" s="164"/>
    </row>
    <row r="19" spans="1:8" x14ac:dyDescent="0.2">
      <c r="A19" s="5">
        <v>13</v>
      </c>
      <c r="B19" s="6" t="s">
        <v>407</v>
      </c>
      <c r="C19" s="6" t="s">
        <v>408</v>
      </c>
      <c r="D19" s="6" t="s">
        <v>22</v>
      </c>
      <c r="E19" s="7">
        <v>48000</v>
      </c>
      <c r="F19" s="8">
        <v>207.26400000000001</v>
      </c>
      <c r="G19" s="9">
        <v>1.9202726E-2</v>
      </c>
      <c r="H19" s="164"/>
    </row>
    <row r="20" spans="1:8" ht="25.5" x14ac:dyDescent="0.2">
      <c r="A20" s="5">
        <v>14</v>
      </c>
      <c r="B20" s="6" t="s">
        <v>428</v>
      </c>
      <c r="C20" s="6" t="s">
        <v>429</v>
      </c>
      <c r="D20" s="6" t="s">
        <v>67</v>
      </c>
      <c r="E20" s="7">
        <v>94000</v>
      </c>
      <c r="F20" s="8">
        <v>192.65299999999999</v>
      </c>
      <c r="G20" s="9">
        <v>1.7849037000000002E-2</v>
      </c>
      <c r="H20" s="164"/>
    </row>
    <row r="21" spans="1:8" ht="25.5" x14ac:dyDescent="0.2">
      <c r="A21" s="5">
        <v>15</v>
      </c>
      <c r="B21" s="6" t="s">
        <v>33</v>
      </c>
      <c r="C21" s="6" t="s">
        <v>34</v>
      </c>
      <c r="D21" s="6" t="s">
        <v>925</v>
      </c>
      <c r="E21" s="7">
        <v>2000</v>
      </c>
      <c r="F21" s="8">
        <v>152.38399999999999</v>
      </c>
      <c r="G21" s="9">
        <v>1.4118169E-2</v>
      </c>
      <c r="H21" s="164"/>
    </row>
    <row r="22" spans="1:8" x14ac:dyDescent="0.2">
      <c r="A22" s="5">
        <v>16</v>
      </c>
      <c r="B22" s="6" t="s">
        <v>419</v>
      </c>
      <c r="C22" s="6" t="s">
        <v>420</v>
      </c>
      <c r="D22" s="6" t="s">
        <v>179</v>
      </c>
      <c r="E22" s="7">
        <v>4639</v>
      </c>
      <c r="F22" s="8">
        <v>146.9380055</v>
      </c>
      <c r="G22" s="9">
        <v>1.3613605000000001E-2</v>
      </c>
      <c r="H22" s="164"/>
    </row>
    <row r="23" spans="1:8" x14ac:dyDescent="0.2">
      <c r="A23" s="5">
        <v>17</v>
      </c>
      <c r="B23" s="6" t="s">
        <v>357</v>
      </c>
      <c r="C23" s="6" t="s">
        <v>358</v>
      </c>
      <c r="D23" s="6" t="s">
        <v>22</v>
      </c>
      <c r="E23" s="7">
        <v>18600</v>
      </c>
      <c r="F23" s="8">
        <v>131.8554</v>
      </c>
      <c r="G23" s="9">
        <v>1.2216222000000001E-2</v>
      </c>
      <c r="H23" s="164"/>
    </row>
    <row r="24" spans="1:8" x14ac:dyDescent="0.2">
      <c r="A24" s="5">
        <v>18</v>
      </c>
      <c r="B24" s="6" t="s">
        <v>334</v>
      </c>
      <c r="C24" s="6" t="s">
        <v>335</v>
      </c>
      <c r="D24" s="6" t="s">
        <v>22</v>
      </c>
      <c r="E24" s="7">
        <v>150000</v>
      </c>
      <c r="F24" s="8">
        <v>131.17500000000001</v>
      </c>
      <c r="G24" s="9">
        <v>1.2153183999999999E-2</v>
      </c>
      <c r="H24" s="164"/>
    </row>
    <row r="25" spans="1:8" x14ac:dyDescent="0.2">
      <c r="A25" s="5">
        <v>19</v>
      </c>
      <c r="B25" s="6" t="s">
        <v>12</v>
      </c>
      <c r="C25" s="6" t="s">
        <v>13</v>
      </c>
      <c r="D25" s="6" t="s">
        <v>14</v>
      </c>
      <c r="E25" s="7">
        <v>8000</v>
      </c>
      <c r="F25" s="8">
        <v>128.11600000000001</v>
      </c>
      <c r="G25" s="9">
        <v>1.1869772000000001E-2</v>
      </c>
      <c r="H25" s="164"/>
    </row>
    <row r="26" spans="1:8" x14ac:dyDescent="0.2">
      <c r="A26" s="5">
        <v>20</v>
      </c>
      <c r="B26" s="6" t="s">
        <v>395</v>
      </c>
      <c r="C26" s="6" t="s">
        <v>396</v>
      </c>
      <c r="D26" s="6" t="s">
        <v>932</v>
      </c>
      <c r="E26" s="7">
        <v>900</v>
      </c>
      <c r="F26" s="8">
        <v>127.99979999999999</v>
      </c>
      <c r="G26" s="9">
        <v>1.1859006E-2</v>
      </c>
      <c r="H26" s="164"/>
    </row>
    <row r="27" spans="1:8" x14ac:dyDescent="0.2">
      <c r="A27" s="5">
        <v>21</v>
      </c>
      <c r="B27" s="6" t="s">
        <v>569</v>
      </c>
      <c r="C27" s="6" t="s">
        <v>570</v>
      </c>
      <c r="D27" s="6" t="s">
        <v>88</v>
      </c>
      <c r="E27" s="7">
        <v>3250</v>
      </c>
      <c r="F27" s="8">
        <v>124.462</v>
      </c>
      <c r="G27" s="9">
        <v>1.1531234E-2</v>
      </c>
      <c r="H27" s="164"/>
    </row>
    <row r="28" spans="1:8" x14ac:dyDescent="0.2">
      <c r="A28" s="5">
        <v>22</v>
      </c>
      <c r="B28" s="6" t="s">
        <v>53</v>
      </c>
      <c r="C28" s="6" t="s">
        <v>54</v>
      </c>
      <c r="D28" s="6" t="s">
        <v>17</v>
      </c>
      <c r="E28" s="7">
        <v>27200</v>
      </c>
      <c r="F28" s="8">
        <v>121.176</v>
      </c>
      <c r="G28" s="9">
        <v>1.1226791E-2</v>
      </c>
      <c r="H28" s="164"/>
    </row>
    <row r="29" spans="1:8" x14ac:dyDescent="0.2">
      <c r="A29" s="5">
        <v>23</v>
      </c>
      <c r="B29" s="6" t="s">
        <v>436</v>
      </c>
      <c r="C29" s="6" t="s">
        <v>437</v>
      </c>
      <c r="D29" s="6" t="s">
        <v>22</v>
      </c>
      <c r="E29" s="7">
        <v>6000</v>
      </c>
      <c r="F29" s="8">
        <v>99.287999999999997</v>
      </c>
      <c r="G29" s="9">
        <v>9.1988969999999993E-3</v>
      </c>
      <c r="H29" s="164"/>
    </row>
    <row r="30" spans="1:8" x14ac:dyDescent="0.2">
      <c r="A30" s="5">
        <v>24</v>
      </c>
      <c r="B30" s="6" t="s">
        <v>304</v>
      </c>
      <c r="C30" s="6" t="s">
        <v>305</v>
      </c>
      <c r="D30" s="6" t="s">
        <v>932</v>
      </c>
      <c r="E30" s="7">
        <v>8000</v>
      </c>
      <c r="F30" s="8">
        <v>89.768000000000001</v>
      </c>
      <c r="G30" s="9">
        <v>8.3168819999999994E-3</v>
      </c>
      <c r="H30" s="164"/>
    </row>
    <row r="31" spans="1:8" x14ac:dyDescent="0.2">
      <c r="A31" s="5">
        <v>25</v>
      </c>
      <c r="B31" s="6" t="s">
        <v>712</v>
      </c>
      <c r="C31" s="6" t="s">
        <v>713</v>
      </c>
      <c r="D31" s="6" t="s">
        <v>928</v>
      </c>
      <c r="E31" s="7">
        <v>15000</v>
      </c>
      <c r="F31" s="8">
        <v>86.94</v>
      </c>
      <c r="G31" s="9">
        <v>8.0548719999999994E-3</v>
      </c>
      <c r="H31" s="164"/>
    </row>
    <row r="32" spans="1:8" x14ac:dyDescent="0.2">
      <c r="A32" s="5">
        <v>26</v>
      </c>
      <c r="B32" s="6" t="s">
        <v>423</v>
      </c>
      <c r="C32" s="6" t="s">
        <v>424</v>
      </c>
      <c r="D32" s="6" t="s">
        <v>200</v>
      </c>
      <c r="E32" s="7">
        <v>1600</v>
      </c>
      <c r="F32" s="8">
        <v>78.497600000000006</v>
      </c>
      <c r="G32" s="9">
        <v>7.272695E-3</v>
      </c>
      <c r="H32" s="164"/>
    </row>
    <row r="33" spans="1:8" s="150" customFormat="1" x14ac:dyDescent="0.2">
      <c r="A33" s="5">
        <v>27</v>
      </c>
      <c r="B33" s="6" t="s">
        <v>968</v>
      </c>
      <c r="C33" s="6" t="s">
        <v>969</v>
      </c>
      <c r="D33" s="6" t="s">
        <v>45</v>
      </c>
      <c r="E33" s="7">
        <v>65000</v>
      </c>
      <c r="F33" s="8">
        <v>77.323999999999998</v>
      </c>
      <c r="G33" s="9">
        <v>7.1639599999999996E-3</v>
      </c>
      <c r="H33" s="164"/>
    </row>
    <row r="34" spans="1:8" ht="25.5" x14ac:dyDescent="0.2">
      <c r="A34" s="5">
        <v>28</v>
      </c>
      <c r="B34" s="6" t="s">
        <v>18</v>
      </c>
      <c r="C34" s="6" t="s">
        <v>19</v>
      </c>
      <c r="D34" s="6" t="s">
        <v>925</v>
      </c>
      <c r="E34" s="7">
        <v>7000</v>
      </c>
      <c r="F34" s="8">
        <v>76.524000000000001</v>
      </c>
      <c r="G34" s="9">
        <v>7.0898439999999997E-3</v>
      </c>
      <c r="H34" s="164"/>
    </row>
    <row r="35" spans="1:8" x14ac:dyDescent="0.2">
      <c r="A35" s="5">
        <v>29</v>
      </c>
      <c r="B35" s="6" t="s">
        <v>371</v>
      </c>
      <c r="C35" s="6" t="s">
        <v>372</v>
      </c>
      <c r="D35" s="6" t="s">
        <v>179</v>
      </c>
      <c r="E35" s="7">
        <v>7000</v>
      </c>
      <c r="F35" s="8">
        <v>71.746499999999997</v>
      </c>
      <c r="G35" s="9">
        <v>6.6472149999999997E-3</v>
      </c>
      <c r="H35" s="164"/>
    </row>
    <row r="36" spans="1:8" x14ac:dyDescent="0.2">
      <c r="A36" s="5">
        <v>30</v>
      </c>
      <c r="B36" s="6" t="s">
        <v>264</v>
      </c>
      <c r="C36" s="6" t="s">
        <v>265</v>
      </c>
      <c r="D36" s="6" t="s">
        <v>266</v>
      </c>
      <c r="E36" s="7">
        <v>7000</v>
      </c>
      <c r="F36" s="8">
        <v>56.598500000000001</v>
      </c>
      <c r="G36" s="9">
        <v>5.2437739999999997E-3</v>
      </c>
      <c r="H36" s="164"/>
    </row>
    <row r="37" spans="1:8" x14ac:dyDescent="0.2">
      <c r="A37" s="5">
        <v>31</v>
      </c>
      <c r="B37" s="6" t="s">
        <v>74</v>
      </c>
      <c r="C37" s="6" t="s">
        <v>75</v>
      </c>
      <c r="D37" s="6" t="s">
        <v>76</v>
      </c>
      <c r="E37" s="7">
        <v>40000</v>
      </c>
      <c r="F37" s="8">
        <v>55.82</v>
      </c>
      <c r="G37" s="9">
        <v>5.1716469999999997E-3</v>
      </c>
      <c r="H37" s="164"/>
    </row>
    <row r="38" spans="1:8" x14ac:dyDescent="0.2">
      <c r="A38" s="5">
        <v>32</v>
      </c>
      <c r="B38" s="6" t="s">
        <v>359</v>
      </c>
      <c r="C38" s="6" t="s">
        <v>360</v>
      </c>
      <c r="D38" s="6" t="s">
        <v>161</v>
      </c>
      <c r="E38" s="7">
        <v>3500</v>
      </c>
      <c r="F38" s="8">
        <v>48.653500000000001</v>
      </c>
      <c r="G38" s="9">
        <v>4.50768E-3</v>
      </c>
      <c r="H38" s="164"/>
    </row>
    <row r="39" spans="1:8" x14ac:dyDescent="0.2">
      <c r="A39" s="5">
        <v>33</v>
      </c>
      <c r="B39" s="6" t="s">
        <v>421</v>
      </c>
      <c r="C39" s="6" t="s">
        <v>422</v>
      </c>
      <c r="D39" s="6" t="s">
        <v>88</v>
      </c>
      <c r="E39" s="7">
        <v>6500</v>
      </c>
      <c r="F39" s="8">
        <v>48.301499999999997</v>
      </c>
      <c r="G39" s="9">
        <v>4.4750679999999996E-3</v>
      </c>
      <c r="H39" s="164"/>
    </row>
    <row r="40" spans="1:8" x14ac:dyDescent="0.2">
      <c r="A40" s="5">
        <v>34</v>
      </c>
      <c r="B40" s="6" t="s">
        <v>377</v>
      </c>
      <c r="C40" s="6" t="s">
        <v>378</v>
      </c>
      <c r="D40" s="6" t="s">
        <v>346</v>
      </c>
      <c r="E40" s="7">
        <v>35775</v>
      </c>
      <c r="F40" s="8">
        <v>47.759625</v>
      </c>
      <c r="G40" s="9">
        <v>4.4248639999999997E-3</v>
      </c>
      <c r="H40" s="164"/>
    </row>
    <row r="41" spans="1:8" x14ac:dyDescent="0.2">
      <c r="A41" s="5">
        <v>35</v>
      </c>
      <c r="B41" s="6" t="s">
        <v>365</v>
      </c>
      <c r="C41" s="6" t="s">
        <v>366</v>
      </c>
      <c r="D41" s="6" t="s">
        <v>250</v>
      </c>
      <c r="E41" s="7">
        <v>5000</v>
      </c>
      <c r="F41" s="8">
        <v>45.9</v>
      </c>
      <c r="G41" s="9">
        <v>4.2525719999999996E-3</v>
      </c>
      <c r="H41" s="164"/>
    </row>
    <row r="42" spans="1:8" x14ac:dyDescent="0.2">
      <c r="A42" s="5">
        <v>36</v>
      </c>
      <c r="B42" s="6" t="s">
        <v>425</v>
      </c>
      <c r="C42" s="6" t="s">
        <v>426</v>
      </c>
      <c r="D42" s="6" t="s">
        <v>427</v>
      </c>
      <c r="E42" s="7">
        <v>10000</v>
      </c>
      <c r="F42" s="8">
        <v>44.48</v>
      </c>
      <c r="G42" s="9">
        <v>4.1210109999999999E-3</v>
      </c>
      <c r="H42" s="164"/>
    </row>
    <row r="43" spans="1:8" x14ac:dyDescent="0.2">
      <c r="A43" s="5">
        <v>37</v>
      </c>
      <c r="B43" s="6" t="s">
        <v>355</v>
      </c>
      <c r="C43" s="6" t="s">
        <v>356</v>
      </c>
      <c r="D43" s="6" t="s">
        <v>22</v>
      </c>
      <c r="E43" s="7">
        <v>50000</v>
      </c>
      <c r="F43" s="8">
        <v>40.15</v>
      </c>
      <c r="G43" s="9">
        <v>3.719843E-3</v>
      </c>
      <c r="H43" s="164"/>
    </row>
    <row r="44" spans="1:8" x14ac:dyDescent="0.2">
      <c r="A44" s="5">
        <v>38</v>
      </c>
      <c r="B44" s="6" t="s">
        <v>330</v>
      </c>
      <c r="C44" s="6" t="s">
        <v>331</v>
      </c>
      <c r="D44" s="6" t="s">
        <v>207</v>
      </c>
      <c r="E44" s="7">
        <v>125</v>
      </c>
      <c r="F44" s="8">
        <v>39.377625000000002</v>
      </c>
      <c r="G44" s="9">
        <v>3.648283E-3</v>
      </c>
      <c r="H44" s="164"/>
    </row>
    <row r="45" spans="1:8" x14ac:dyDescent="0.2">
      <c r="A45" s="5">
        <v>39</v>
      </c>
      <c r="B45" s="6" t="s">
        <v>326</v>
      </c>
      <c r="C45" s="6" t="s">
        <v>327</v>
      </c>
      <c r="D45" s="6" t="s">
        <v>200</v>
      </c>
      <c r="E45" s="7">
        <v>1000</v>
      </c>
      <c r="F45" s="8">
        <v>39.304499999999997</v>
      </c>
      <c r="G45" s="9">
        <v>3.6415079999999999E-3</v>
      </c>
      <c r="H45" s="164"/>
    </row>
    <row r="46" spans="1:8" x14ac:dyDescent="0.2">
      <c r="A46" s="5">
        <v>40</v>
      </c>
      <c r="B46" s="6" t="s">
        <v>415</v>
      </c>
      <c r="C46" s="6" t="s">
        <v>416</v>
      </c>
      <c r="D46" s="6" t="s">
        <v>179</v>
      </c>
      <c r="E46" s="7">
        <v>6000</v>
      </c>
      <c r="F46" s="8">
        <v>35.228999999999999</v>
      </c>
      <c r="G46" s="9">
        <v>3.2639190000000001E-3</v>
      </c>
      <c r="H46" s="164"/>
    </row>
    <row r="47" spans="1:8" x14ac:dyDescent="0.2">
      <c r="A47" s="5">
        <v>41</v>
      </c>
      <c r="B47" s="6" t="s">
        <v>501</v>
      </c>
      <c r="C47" s="6" t="s">
        <v>502</v>
      </c>
      <c r="D47" s="6" t="s">
        <v>88</v>
      </c>
      <c r="E47" s="7">
        <v>11300</v>
      </c>
      <c r="F47" s="8">
        <v>33.216349999999998</v>
      </c>
      <c r="G47" s="9">
        <v>3.0774489999999999E-3</v>
      </c>
      <c r="H47" s="164"/>
    </row>
    <row r="48" spans="1:8" x14ac:dyDescent="0.2">
      <c r="A48" s="5">
        <v>42</v>
      </c>
      <c r="B48" s="6" t="s">
        <v>580</v>
      </c>
      <c r="C48" s="6" t="s">
        <v>581</v>
      </c>
      <c r="D48" s="6" t="s">
        <v>932</v>
      </c>
      <c r="E48" s="7">
        <v>5000</v>
      </c>
      <c r="F48" s="8">
        <v>33.202500000000001</v>
      </c>
      <c r="G48" s="9">
        <v>3.076166E-3</v>
      </c>
      <c r="H48" s="164"/>
    </row>
    <row r="49" spans="1:8" x14ac:dyDescent="0.2">
      <c r="A49" s="5">
        <v>43</v>
      </c>
      <c r="B49" s="6" t="s">
        <v>353</v>
      </c>
      <c r="C49" s="6" t="s">
        <v>354</v>
      </c>
      <c r="D49" s="6" t="s">
        <v>50</v>
      </c>
      <c r="E49" s="7">
        <v>5000</v>
      </c>
      <c r="F49" s="8">
        <v>32.195</v>
      </c>
      <c r="G49" s="9">
        <v>2.9828229999999999E-3</v>
      </c>
      <c r="H49" s="164"/>
    </row>
    <row r="50" spans="1:8" x14ac:dyDescent="0.2">
      <c r="A50" s="5">
        <v>44</v>
      </c>
      <c r="B50" s="6" t="s">
        <v>627</v>
      </c>
      <c r="C50" s="6" t="s">
        <v>628</v>
      </c>
      <c r="D50" s="6" t="s">
        <v>932</v>
      </c>
      <c r="E50" s="7">
        <v>4600</v>
      </c>
      <c r="F50" s="8">
        <v>29.1157</v>
      </c>
      <c r="G50" s="9">
        <v>2.6975300000000001E-3</v>
      </c>
      <c r="H50" s="164"/>
    </row>
    <row r="51" spans="1:8" x14ac:dyDescent="0.2">
      <c r="A51" s="5">
        <v>45</v>
      </c>
      <c r="B51" s="6" t="s">
        <v>506</v>
      </c>
      <c r="C51" s="6" t="s">
        <v>507</v>
      </c>
      <c r="D51" s="6" t="s">
        <v>200</v>
      </c>
      <c r="E51" s="7">
        <v>350</v>
      </c>
      <c r="F51" s="8">
        <v>16.4892</v>
      </c>
      <c r="G51" s="9">
        <v>1.5277019999999999E-3</v>
      </c>
      <c r="H51" s="164"/>
    </row>
    <row r="52" spans="1:8" x14ac:dyDescent="0.2">
      <c r="A52" s="3" t="s">
        <v>9</v>
      </c>
      <c r="B52" s="3" t="s">
        <v>9</v>
      </c>
      <c r="C52" s="4" t="s">
        <v>110</v>
      </c>
      <c r="D52" s="3" t="s">
        <v>9</v>
      </c>
      <c r="E52" s="3" t="s">
        <v>9</v>
      </c>
      <c r="F52" s="11">
        <v>8220.4693769999994</v>
      </c>
      <c r="G52" s="12">
        <v>0.76161523599999936</v>
      </c>
      <c r="H52" s="164"/>
    </row>
    <row r="53" spans="1:8" x14ac:dyDescent="0.2">
      <c r="A53" s="3" t="s">
        <v>9</v>
      </c>
      <c r="B53" s="3" t="s">
        <v>9</v>
      </c>
      <c r="C53" s="13" t="s">
        <v>9</v>
      </c>
      <c r="D53" s="3" t="s">
        <v>9</v>
      </c>
      <c r="E53" s="3" t="s">
        <v>9</v>
      </c>
      <c r="F53" s="14" t="s">
        <v>9</v>
      </c>
      <c r="G53" s="14" t="s">
        <v>9</v>
      </c>
      <c r="H53" s="164"/>
    </row>
    <row r="54" spans="1:8" x14ac:dyDescent="0.2">
      <c r="A54" s="3" t="s">
        <v>9</v>
      </c>
      <c r="B54" s="3" t="s">
        <v>9</v>
      </c>
      <c r="C54" s="4" t="s">
        <v>111</v>
      </c>
      <c r="D54" s="3" t="s">
        <v>9</v>
      </c>
      <c r="E54" s="3" t="s">
        <v>9</v>
      </c>
      <c r="F54" s="3" t="s">
        <v>9</v>
      </c>
      <c r="G54" s="3" t="s">
        <v>9</v>
      </c>
      <c r="H54" s="164"/>
    </row>
    <row r="55" spans="1:8" x14ac:dyDescent="0.2">
      <c r="A55" s="3" t="s">
        <v>9</v>
      </c>
      <c r="B55" s="3" t="s">
        <v>9</v>
      </c>
      <c r="C55" s="4" t="s">
        <v>110</v>
      </c>
      <c r="D55" s="3" t="s">
        <v>9</v>
      </c>
      <c r="E55" s="3" t="s">
        <v>9</v>
      </c>
      <c r="F55" s="15">
        <v>0</v>
      </c>
      <c r="G55" s="16">
        <v>0</v>
      </c>
      <c r="H55" s="164"/>
    </row>
    <row r="56" spans="1:8" x14ac:dyDescent="0.2">
      <c r="A56" s="3" t="s">
        <v>9</v>
      </c>
      <c r="B56" s="3" t="s">
        <v>9</v>
      </c>
      <c r="C56" s="13" t="s">
        <v>9</v>
      </c>
      <c r="D56" s="3" t="s">
        <v>9</v>
      </c>
      <c r="E56" s="3" t="s">
        <v>9</v>
      </c>
      <c r="F56" s="14" t="s">
        <v>9</v>
      </c>
      <c r="G56" s="14" t="s">
        <v>9</v>
      </c>
      <c r="H56" s="164"/>
    </row>
    <row r="57" spans="1:8" x14ac:dyDescent="0.2">
      <c r="A57" s="3" t="s">
        <v>9</v>
      </c>
      <c r="B57" s="3" t="s">
        <v>9</v>
      </c>
      <c r="C57" s="4" t="s">
        <v>112</v>
      </c>
      <c r="D57" s="3" t="s">
        <v>9</v>
      </c>
      <c r="E57" s="3" t="s">
        <v>9</v>
      </c>
      <c r="F57" s="3" t="s">
        <v>9</v>
      </c>
      <c r="G57" s="3" t="s">
        <v>9</v>
      </c>
      <c r="H57" s="164"/>
    </row>
    <row r="58" spans="1:8" x14ac:dyDescent="0.2">
      <c r="A58" s="3" t="s">
        <v>9</v>
      </c>
      <c r="B58" s="3" t="s">
        <v>9</v>
      </c>
      <c r="C58" s="4" t="s">
        <v>110</v>
      </c>
      <c r="D58" s="3" t="s">
        <v>9</v>
      </c>
      <c r="E58" s="3" t="s">
        <v>9</v>
      </c>
      <c r="F58" s="15">
        <v>0</v>
      </c>
      <c r="G58" s="16">
        <v>0</v>
      </c>
      <c r="H58" s="164"/>
    </row>
    <row r="59" spans="1:8" x14ac:dyDescent="0.2">
      <c r="A59" s="3" t="s">
        <v>9</v>
      </c>
      <c r="B59" s="3" t="s">
        <v>9</v>
      </c>
      <c r="C59" s="13" t="s">
        <v>9</v>
      </c>
      <c r="D59" s="3" t="s">
        <v>9</v>
      </c>
      <c r="E59" s="3" t="s">
        <v>9</v>
      </c>
      <c r="F59" s="14" t="s">
        <v>9</v>
      </c>
      <c r="G59" s="14" t="s">
        <v>9</v>
      </c>
      <c r="H59" s="164"/>
    </row>
    <row r="60" spans="1:8" x14ac:dyDescent="0.2">
      <c r="A60" s="3" t="s">
        <v>9</v>
      </c>
      <c r="B60" s="3" t="s">
        <v>9</v>
      </c>
      <c r="C60" s="4" t="s">
        <v>113</v>
      </c>
      <c r="D60" s="3" t="s">
        <v>9</v>
      </c>
      <c r="E60" s="3" t="s">
        <v>9</v>
      </c>
      <c r="F60" s="3" t="s">
        <v>9</v>
      </c>
      <c r="G60" s="3" t="s">
        <v>9</v>
      </c>
      <c r="H60" s="164"/>
    </row>
    <row r="61" spans="1:8" x14ac:dyDescent="0.2">
      <c r="A61" s="3" t="s">
        <v>9</v>
      </c>
      <c r="B61" s="3" t="s">
        <v>9</v>
      </c>
      <c r="C61" s="4" t="s">
        <v>110</v>
      </c>
      <c r="D61" s="3" t="s">
        <v>9</v>
      </c>
      <c r="E61" s="3" t="s">
        <v>9</v>
      </c>
      <c r="F61" s="15">
        <v>0</v>
      </c>
      <c r="G61" s="16">
        <v>0</v>
      </c>
      <c r="H61" s="164"/>
    </row>
    <row r="62" spans="1:8" x14ac:dyDescent="0.2">
      <c r="A62" s="3" t="s">
        <v>9</v>
      </c>
      <c r="B62" s="3" t="s">
        <v>9</v>
      </c>
      <c r="C62" s="13" t="s">
        <v>9</v>
      </c>
      <c r="D62" s="3" t="s">
        <v>9</v>
      </c>
      <c r="E62" s="3" t="s">
        <v>9</v>
      </c>
      <c r="F62" s="14" t="s">
        <v>9</v>
      </c>
      <c r="G62" s="14" t="s">
        <v>9</v>
      </c>
      <c r="H62" s="164"/>
    </row>
    <row r="63" spans="1:8" x14ac:dyDescent="0.2">
      <c r="A63" s="3" t="s">
        <v>9</v>
      </c>
      <c r="B63" s="3" t="s">
        <v>9</v>
      </c>
      <c r="C63" s="4" t="s">
        <v>114</v>
      </c>
      <c r="D63" s="3" t="s">
        <v>9</v>
      </c>
      <c r="E63" s="3" t="s">
        <v>9</v>
      </c>
      <c r="F63" s="14" t="s">
        <v>9</v>
      </c>
      <c r="G63" s="14" t="s">
        <v>9</v>
      </c>
      <c r="H63" s="164"/>
    </row>
    <row r="64" spans="1:8" x14ac:dyDescent="0.2">
      <c r="A64" s="3" t="s">
        <v>9</v>
      </c>
      <c r="B64" s="3" t="s">
        <v>9</v>
      </c>
      <c r="C64" s="4" t="s">
        <v>110</v>
      </c>
      <c r="D64" s="3" t="s">
        <v>9</v>
      </c>
      <c r="E64" s="3" t="s">
        <v>9</v>
      </c>
      <c r="F64" s="15">
        <v>0</v>
      </c>
      <c r="G64" s="16">
        <v>0</v>
      </c>
      <c r="H64" s="164"/>
    </row>
    <row r="65" spans="1:8" x14ac:dyDescent="0.2">
      <c r="A65" s="3" t="s">
        <v>9</v>
      </c>
      <c r="B65" s="3" t="s">
        <v>9</v>
      </c>
      <c r="C65" s="13" t="s">
        <v>9</v>
      </c>
      <c r="D65" s="3" t="s">
        <v>9</v>
      </c>
      <c r="E65" s="3" t="s">
        <v>9</v>
      </c>
      <c r="F65" s="14" t="s">
        <v>9</v>
      </c>
      <c r="G65" s="14" t="s">
        <v>9</v>
      </c>
      <c r="H65" s="164"/>
    </row>
    <row r="66" spans="1:8" x14ac:dyDescent="0.2">
      <c r="A66" s="3" t="s">
        <v>9</v>
      </c>
      <c r="B66" s="3" t="s">
        <v>9</v>
      </c>
      <c r="C66" s="4" t="s">
        <v>115</v>
      </c>
      <c r="D66" s="3" t="s">
        <v>9</v>
      </c>
      <c r="E66" s="3" t="s">
        <v>9</v>
      </c>
      <c r="F66" s="14" t="s">
        <v>9</v>
      </c>
      <c r="G66" s="14" t="s">
        <v>9</v>
      </c>
      <c r="H66" s="164"/>
    </row>
    <row r="67" spans="1:8" x14ac:dyDescent="0.2">
      <c r="A67" s="5">
        <v>1</v>
      </c>
      <c r="B67" s="6"/>
      <c r="C67" s="6" t="s">
        <v>933</v>
      </c>
      <c r="D67" s="6" t="s">
        <v>696</v>
      </c>
      <c r="E67" s="7">
        <v>-18000</v>
      </c>
      <c r="F67" s="8">
        <v>-80.468999999999994</v>
      </c>
      <c r="G67" s="127">
        <v>-7.4553400000000004E-3</v>
      </c>
      <c r="H67" s="164"/>
    </row>
    <row r="68" spans="1:8" x14ac:dyDescent="0.2">
      <c r="A68" s="5">
        <v>2</v>
      </c>
      <c r="B68" s="6"/>
      <c r="C68" s="6" t="s">
        <v>934</v>
      </c>
      <c r="D68" s="6" t="s">
        <v>696</v>
      </c>
      <c r="E68" s="7">
        <v>-15000</v>
      </c>
      <c r="F68" s="8">
        <v>-86.55</v>
      </c>
      <c r="G68" s="127">
        <v>-8.0187399999999999E-3</v>
      </c>
      <c r="H68" s="164"/>
    </row>
    <row r="69" spans="1:8" x14ac:dyDescent="0.2">
      <c r="A69" s="5">
        <v>3</v>
      </c>
      <c r="B69" s="6"/>
      <c r="C69" s="6" t="s">
        <v>935</v>
      </c>
      <c r="D69" s="6" t="s">
        <v>696</v>
      </c>
      <c r="E69" s="7">
        <v>-3250</v>
      </c>
      <c r="F69" s="8">
        <v>-125.016125</v>
      </c>
      <c r="G69" s="127">
        <v>-1.158257E-2</v>
      </c>
      <c r="H69" s="164"/>
    </row>
    <row r="70" spans="1:8" x14ac:dyDescent="0.2">
      <c r="A70" s="5">
        <v>4</v>
      </c>
      <c r="B70" s="6"/>
      <c r="C70" s="6" t="s">
        <v>936</v>
      </c>
      <c r="D70" s="6" t="s">
        <v>696</v>
      </c>
      <c r="E70" s="7">
        <v>-150000</v>
      </c>
      <c r="F70" s="8">
        <v>-131.47499999999999</v>
      </c>
      <c r="G70" s="127">
        <v>-1.2180979999999999E-2</v>
      </c>
      <c r="H70" s="164"/>
    </row>
    <row r="71" spans="1:8" x14ac:dyDescent="0.2">
      <c r="A71" s="5">
        <v>5</v>
      </c>
      <c r="B71" s="6"/>
      <c r="C71" s="6" t="s">
        <v>937</v>
      </c>
      <c r="D71" s="6" t="s">
        <v>696</v>
      </c>
      <c r="E71" s="7">
        <v>-80000</v>
      </c>
      <c r="F71" s="8">
        <v>-164.6</v>
      </c>
      <c r="G71" s="127">
        <v>-1.524996E-2</v>
      </c>
      <c r="H71" s="164"/>
    </row>
    <row r="72" spans="1:8" x14ac:dyDescent="0.2">
      <c r="A72" s="5">
        <v>6</v>
      </c>
      <c r="B72" s="6"/>
      <c r="C72" s="6" t="s">
        <v>938</v>
      </c>
      <c r="D72" s="6" t="s">
        <v>696</v>
      </c>
      <c r="E72" s="7">
        <v>-10000</v>
      </c>
      <c r="F72" s="8">
        <v>-204.13</v>
      </c>
      <c r="G72" s="127">
        <v>-1.8912370000000001E-2</v>
      </c>
      <c r="H72" s="164"/>
    </row>
    <row r="73" spans="1:8" x14ac:dyDescent="0.2">
      <c r="A73" s="5">
        <v>7</v>
      </c>
      <c r="B73" s="6"/>
      <c r="C73" s="6" t="s">
        <v>939</v>
      </c>
      <c r="D73" s="6" t="s">
        <v>696</v>
      </c>
      <c r="E73" s="7">
        <v>-27000</v>
      </c>
      <c r="F73" s="8">
        <v>-205.0515</v>
      </c>
      <c r="G73" s="127">
        <v>-1.8997739999999999E-2</v>
      </c>
      <c r="H73" s="164"/>
    </row>
    <row r="74" spans="1:8" x14ac:dyDescent="0.2">
      <c r="A74" s="5">
        <v>8</v>
      </c>
      <c r="B74" s="6"/>
      <c r="C74" s="6" t="s">
        <v>940</v>
      </c>
      <c r="D74" s="6" t="s">
        <v>696</v>
      </c>
      <c r="E74" s="7">
        <v>-38871</v>
      </c>
      <c r="F74" s="8">
        <v>-218.90203650000001</v>
      </c>
      <c r="G74" s="127">
        <v>-2.0280969999999999E-2</v>
      </c>
      <c r="H74" s="164"/>
    </row>
    <row r="75" spans="1:8" x14ac:dyDescent="0.2">
      <c r="A75" s="5">
        <v>9</v>
      </c>
      <c r="B75" s="6"/>
      <c r="C75" s="6" t="s">
        <v>941</v>
      </c>
      <c r="D75" s="6" t="s">
        <v>696</v>
      </c>
      <c r="E75" s="7">
        <v>-40000</v>
      </c>
      <c r="F75" s="8">
        <v>-257.08</v>
      </c>
      <c r="G75" s="127">
        <v>-2.381811E-2</v>
      </c>
      <c r="H75" s="164"/>
    </row>
    <row r="76" spans="1:8" x14ac:dyDescent="0.2">
      <c r="A76" s="5">
        <v>10</v>
      </c>
      <c r="B76" s="6"/>
      <c r="C76" s="6" t="s">
        <v>942</v>
      </c>
      <c r="D76" s="6" t="s">
        <v>696</v>
      </c>
      <c r="E76" s="7">
        <v>-60000</v>
      </c>
      <c r="F76" s="8">
        <v>-260.07</v>
      </c>
      <c r="G76" s="127">
        <v>-2.4095129999999999E-2</v>
      </c>
      <c r="H76" s="164"/>
    </row>
    <row r="77" spans="1:8" x14ac:dyDescent="0.2">
      <c r="A77" s="5">
        <v>11</v>
      </c>
      <c r="B77" s="6"/>
      <c r="C77" s="6" t="s">
        <v>943</v>
      </c>
      <c r="D77" s="6" t="s">
        <v>696</v>
      </c>
      <c r="E77" s="7">
        <v>-55000</v>
      </c>
      <c r="F77" s="8">
        <v>-376.00749999999999</v>
      </c>
      <c r="G77" s="127">
        <v>-3.4836579999999999E-2</v>
      </c>
      <c r="H77" s="164"/>
    </row>
    <row r="78" spans="1:8" x14ac:dyDescent="0.2">
      <c r="A78" s="5">
        <v>12</v>
      </c>
      <c r="B78" s="6"/>
      <c r="C78" s="6" t="s">
        <v>944</v>
      </c>
      <c r="D78" s="6" t="s">
        <v>696</v>
      </c>
      <c r="E78" s="7">
        <v>-36000</v>
      </c>
      <c r="F78" s="8">
        <v>-436.23</v>
      </c>
      <c r="G78" s="127">
        <v>-4.0416109999999998E-2</v>
      </c>
      <c r="H78" s="164"/>
    </row>
    <row r="79" spans="1:8" x14ac:dyDescent="0.2">
      <c r="A79" s="5">
        <v>13</v>
      </c>
      <c r="B79" s="6"/>
      <c r="C79" s="6" t="s">
        <v>945</v>
      </c>
      <c r="D79" s="6" t="s">
        <v>696</v>
      </c>
      <c r="E79" s="7">
        <v>-21000</v>
      </c>
      <c r="F79" s="8">
        <v>-513.471</v>
      </c>
      <c r="G79" s="127">
        <v>-4.7572389999999999E-2</v>
      </c>
      <c r="H79" s="164"/>
    </row>
    <row r="80" spans="1:8" x14ac:dyDescent="0.2">
      <c r="A80" s="5">
        <v>14</v>
      </c>
      <c r="B80" s="6"/>
      <c r="C80" s="6" t="s">
        <v>946</v>
      </c>
      <c r="D80" s="6" t="s">
        <v>696</v>
      </c>
      <c r="E80" s="7">
        <v>-30000</v>
      </c>
      <c r="F80" s="8">
        <v>-702.97500000000002</v>
      </c>
      <c r="G80" s="127">
        <v>-6.5129670000000001E-2</v>
      </c>
      <c r="H80" s="164"/>
    </row>
    <row r="81" spans="1:8" x14ac:dyDescent="0.2">
      <c r="A81" s="3" t="s">
        <v>9</v>
      </c>
      <c r="B81" s="3" t="s">
        <v>9</v>
      </c>
      <c r="C81" s="4" t="s">
        <v>110</v>
      </c>
      <c r="D81" s="3" t="s">
        <v>9</v>
      </c>
      <c r="E81" s="3" t="s">
        <v>9</v>
      </c>
      <c r="F81" s="11">
        <f>SUM(F67:F80)</f>
        <v>-3762.0271614999997</v>
      </c>
      <c r="G81" s="12">
        <f>SUM(G67:G80)</f>
        <v>-0.34854666000000001</v>
      </c>
      <c r="H81" s="164"/>
    </row>
    <row r="82" spans="1:8" x14ac:dyDescent="0.2">
      <c r="A82" s="3" t="s">
        <v>9</v>
      </c>
      <c r="B82" s="3" t="s">
        <v>9</v>
      </c>
      <c r="C82" s="13" t="s">
        <v>9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116</v>
      </c>
      <c r="D83" s="3" t="s">
        <v>9</v>
      </c>
      <c r="E83" s="3" t="s">
        <v>9</v>
      </c>
      <c r="F83" s="11">
        <v>8220.4693769999994</v>
      </c>
      <c r="G83" s="12">
        <v>0.76161523599999936</v>
      </c>
      <c r="H83" s="164"/>
    </row>
    <row r="84" spans="1:8" x14ac:dyDescent="0.2">
      <c r="A84" s="3" t="s">
        <v>9</v>
      </c>
      <c r="B84" s="3" t="s">
        <v>9</v>
      </c>
      <c r="C84" s="13" t="s">
        <v>9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117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11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5">
        <v>1</v>
      </c>
      <c r="B87" s="6" t="s">
        <v>715</v>
      </c>
      <c r="C87" s="6" t="s">
        <v>716</v>
      </c>
      <c r="D87" s="6" t="s">
        <v>690</v>
      </c>
      <c r="E87" s="7">
        <v>50</v>
      </c>
      <c r="F87" s="8">
        <v>514.47500000000002</v>
      </c>
      <c r="G87" s="9">
        <v>4.7665405000000001E-2</v>
      </c>
      <c r="H87" s="171">
        <v>3.84</v>
      </c>
    </row>
    <row r="88" spans="1:8" ht="25.5" x14ac:dyDescent="0.2">
      <c r="A88" s="5">
        <v>2</v>
      </c>
      <c r="B88" s="6" t="s">
        <v>717</v>
      </c>
      <c r="C88" s="6" t="s">
        <v>718</v>
      </c>
      <c r="D88" s="6" t="s">
        <v>690</v>
      </c>
      <c r="E88" s="7">
        <v>30</v>
      </c>
      <c r="F88" s="8">
        <v>308.1456</v>
      </c>
      <c r="G88" s="9">
        <v>2.8549267999999999E-2</v>
      </c>
      <c r="H88" s="171">
        <v>4.0149999999999997</v>
      </c>
    </row>
    <row r="89" spans="1:8" x14ac:dyDescent="0.2">
      <c r="A89" s="5">
        <v>3</v>
      </c>
      <c r="B89" s="6" t="s">
        <v>719</v>
      </c>
      <c r="C89" s="6" t="s">
        <v>720</v>
      </c>
      <c r="D89" s="6" t="s">
        <v>690</v>
      </c>
      <c r="E89" s="7">
        <v>20</v>
      </c>
      <c r="F89" s="8">
        <v>209.9562</v>
      </c>
      <c r="G89" s="9">
        <v>1.9452154999999999E-2</v>
      </c>
      <c r="H89" s="171">
        <v>4.59</v>
      </c>
    </row>
    <row r="90" spans="1:8" x14ac:dyDescent="0.2">
      <c r="A90" s="3" t="s">
        <v>9</v>
      </c>
      <c r="B90" s="3" t="s">
        <v>9</v>
      </c>
      <c r="C90" s="4" t="s">
        <v>110</v>
      </c>
      <c r="D90" s="3" t="s">
        <v>9</v>
      </c>
      <c r="E90" s="3" t="s">
        <v>9</v>
      </c>
      <c r="F90" s="11">
        <v>1032.5768</v>
      </c>
      <c r="G90" s="12">
        <v>9.5666827999999995E-2</v>
      </c>
      <c r="H90" s="164"/>
    </row>
    <row r="91" spans="1:8" x14ac:dyDescent="0.2">
      <c r="A91" s="3" t="s">
        <v>9</v>
      </c>
      <c r="B91" s="3" t="s">
        <v>9</v>
      </c>
      <c r="C91" s="13" t="s">
        <v>9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x14ac:dyDescent="0.2">
      <c r="A92" s="3" t="s">
        <v>9</v>
      </c>
      <c r="B92" s="3" t="s">
        <v>9</v>
      </c>
      <c r="C92" s="4" t="s">
        <v>118</v>
      </c>
      <c r="D92" s="3" t="s">
        <v>9</v>
      </c>
      <c r="E92" s="3" t="s">
        <v>9</v>
      </c>
      <c r="F92" s="3" t="s">
        <v>9</v>
      </c>
      <c r="G92" s="3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110</v>
      </c>
      <c r="D93" s="3" t="s">
        <v>9</v>
      </c>
      <c r="E93" s="3" t="s">
        <v>9</v>
      </c>
      <c r="F93" s="15">
        <v>0</v>
      </c>
      <c r="G93" s="16">
        <v>0</v>
      </c>
      <c r="H93" s="164"/>
    </row>
    <row r="94" spans="1:8" x14ac:dyDescent="0.2">
      <c r="A94" s="3" t="s">
        <v>9</v>
      </c>
      <c r="B94" s="3" t="s">
        <v>9</v>
      </c>
      <c r="C94" s="13" t="s">
        <v>9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119</v>
      </c>
      <c r="D95" s="3" t="s">
        <v>9</v>
      </c>
      <c r="E95" s="3" t="s">
        <v>9</v>
      </c>
      <c r="F95" s="3" t="s">
        <v>9</v>
      </c>
      <c r="G95" s="3" t="s">
        <v>9</v>
      </c>
      <c r="H95" s="164"/>
    </row>
    <row r="96" spans="1:8" x14ac:dyDescent="0.2">
      <c r="A96" s="5">
        <v>1</v>
      </c>
      <c r="B96" s="6" t="s">
        <v>721</v>
      </c>
      <c r="C96" s="6" t="s">
        <v>924</v>
      </c>
      <c r="D96" s="6" t="s">
        <v>722</v>
      </c>
      <c r="E96" s="7">
        <v>200000</v>
      </c>
      <c r="F96" s="8">
        <v>212.4922</v>
      </c>
      <c r="G96" s="9">
        <v>1.9687112E-2</v>
      </c>
      <c r="H96" s="171">
        <v>4.6360000000000001</v>
      </c>
    </row>
    <row r="97" spans="1:8" x14ac:dyDescent="0.2">
      <c r="A97" s="3" t="s">
        <v>9</v>
      </c>
      <c r="B97" s="3" t="s">
        <v>9</v>
      </c>
      <c r="C97" s="4" t="s">
        <v>110</v>
      </c>
      <c r="D97" s="3" t="s">
        <v>9</v>
      </c>
      <c r="E97" s="3" t="s">
        <v>9</v>
      </c>
      <c r="F97" s="11">
        <v>212.4922</v>
      </c>
      <c r="G97" s="12">
        <v>1.9687112E-2</v>
      </c>
      <c r="H97" s="164"/>
    </row>
    <row r="98" spans="1:8" x14ac:dyDescent="0.2">
      <c r="A98" s="3" t="s">
        <v>9</v>
      </c>
      <c r="B98" s="3" t="s">
        <v>9</v>
      </c>
      <c r="C98" s="13" t="s">
        <v>9</v>
      </c>
      <c r="D98" s="3" t="s">
        <v>9</v>
      </c>
      <c r="E98" s="3" t="s">
        <v>9</v>
      </c>
      <c r="F98" s="14" t="s">
        <v>9</v>
      </c>
      <c r="G98" s="14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120</v>
      </c>
      <c r="D99" s="3" t="s">
        <v>9</v>
      </c>
      <c r="E99" s="3" t="s">
        <v>9</v>
      </c>
      <c r="F99" s="14" t="s">
        <v>9</v>
      </c>
      <c r="G99" s="14" t="s">
        <v>9</v>
      </c>
      <c r="H99" s="164"/>
    </row>
    <row r="100" spans="1:8" x14ac:dyDescent="0.2">
      <c r="A100" s="3" t="s">
        <v>9</v>
      </c>
      <c r="B100" s="3" t="s">
        <v>9</v>
      </c>
      <c r="C100" s="4" t="s">
        <v>110</v>
      </c>
      <c r="D100" s="3" t="s">
        <v>9</v>
      </c>
      <c r="E100" s="3" t="s">
        <v>9</v>
      </c>
      <c r="F100" s="15">
        <v>0</v>
      </c>
      <c r="G100" s="16">
        <v>0</v>
      </c>
      <c r="H100" s="164"/>
    </row>
    <row r="101" spans="1:8" x14ac:dyDescent="0.2">
      <c r="A101" s="3" t="s">
        <v>9</v>
      </c>
      <c r="B101" s="3" t="s">
        <v>9</v>
      </c>
      <c r="C101" s="13" t="s">
        <v>9</v>
      </c>
      <c r="D101" s="3" t="s">
        <v>9</v>
      </c>
      <c r="E101" s="3" t="s">
        <v>9</v>
      </c>
      <c r="F101" s="14" t="s">
        <v>9</v>
      </c>
      <c r="G101" s="14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121</v>
      </c>
      <c r="D102" s="3" t="s">
        <v>9</v>
      </c>
      <c r="E102" s="3" t="s">
        <v>9</v>
      </c>
      <c r="F102" s="11">
        <v>1245.069</v>
      </c>
      <c r="G102" s="12">
        <v>0.11535394</v>
      </c>
      <c r="H102" s="164"/>
    </row>
    <row r="103" spans="1:8" x14ac:dyDescent="0.2">
      <c r="A103" s="3" t="s">
        <v>9</v>
      </c>
      <c r="B103" s="3" t="s">
        <v>9</v>
      </c>
      <c r="C103" s="13" t="s">
        <v>9</v>
      </c>
      <c r="D103" s="3" t="s">
        <v>9</v>
      </c>
      <c r="E103" s="3" t="s">
        <v>9</v>
      </c>
      <c r="F103" s="14" t="s">
        <v>9</v>
      </c>
      <c r="G103" s="14" t="s">
        <v>9</v>
      </c>
      <c r="H103" s="164"/>
    </row>
    <row r="104" spans="1:8" x14ac:dyDescent="0.2">
      <c r="A104" s="3" t="s">
        <v>9</v>
      </c>
      <c r="B104" s="3" t="s">
        <v>9</v>
      </c>
      <c r="C104" s="4" t="s">
        <v>122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4" t="s">
        <v>123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x14ac:dyDescent="0.2">
      <c r="A106" s="3" t="s">
        <v>9</v>
      </c>
      <c r="B106" s="3" t="s">
        <v>9</v>
      </c>
      <c r="C106" s="4" t="s">
        <v>110</v>
      </c>
      <c r="D106" s="3" t="s">
        <v>9</v>
      </c>
      <c r="E106" s="3" t="s">
        <v>9</v>
      </c>
      <c r="F106" s="15">
        <v>0</v>
      </c>
      <c r="G106" s="16">
        <v>0</v>
      </c>
      <c r="H106" s="164"/>
    </row>
    <row r="107" spans="1:8" x14ac:dyDescent="0.2">
      <c r="A107" s="3" t="s">
        <v>9</v>
      </c>
      <c r="B107" s="3" t="s">
        <v>9</v>
      </c>
      <c r="C107" s="13" t="s">
        <v>9</v>
      </c>
      <c r="D107" s="3" t="s">
        <v>9</v>
      </c>
      <c r="E107" s="3" t="s">
        <v>9</v>
      </c>
      <c r="F107" s="14" t="s">
        <v>9</v>
      </c>
      <c r="G107" s="14" t="s">
        <v>9</v>
      </c>
      <c r="H107" s="164"/>
    </row>
    <row r="108" spans="1:8" x14ac:dyDescent="0.2">
      <c r="A108" s="3" t="s">
        <v>9</v>
      </c>
      <c r="B108" s="3" t="s">
        <v>9</v>
      </c>
      <c r="C108" s="4" t="s">
        <v>124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3" t="s">
        <v>9</v>
      </c>
      <c r="C109" s="4" t="s">
        <v>110</v>
      </c>
      <c r="D109" s="3" t="s">
        <v>9</v>
      </c>
      <c r="E109" s="3" t="s">
        <v>9</v>
      </c>
      <c r="F109" s="15">
        <v>0</v>
      </c>
      <c r="G109" s="16">
        <v>0</v>
      </c>
      <c r="H109" s="164"/>
    </row>
    <row r="110" spans="1:8" x14ac:dyDescent="0.2">
      <c r="A110" s="3" t="s">
        <v>9</v>
      </c>
      <c r="B110" s="3" t="s">
        <v>9</v>
      </c>
      <c r="C110" s="13" t="s">
        <v>9</v>
      </c>
      <c r="D110" s="3" t="s">
        <v>9</v>
      </c>
      <c r="E110" s="3" t="s">
        <v>9</v>
      </c>
      <c r="F110" s="14" t="s">
        <v>9</v>
      </c>
      <c r="G110" s="14" t="s">
        <v>9</v>
      </c>
      <c r="H110" s="164"/>
    </row>
    <row r="111" spans="1:8" x14ac:dyDescent="0.2">
      <c r="A111" s="3" t="s">
        <v>9</v>
      </c>
      <c r="B111" s="3" t="s">
        <v>9</v>
      </c>
      <c r="C111" s="4" t="s">
        <v>125</v>
      </c>
      <c r="D111" s="3" t="s">
        <v>9</v>
      </c>
      <c r="E111" s="3" t="s">
        <v>9</v>
      </c>
      <c r="F111" s="14" t="s">
        <v>9</v>
      </c>
      <c r="G111" s="14" t="s">
        <v>9</v>
      </c>
      <c r="H111" s="164"/>
    </row>
    <row r="112" spans="1:8" x14ac:dyDescent="0.2">
      <c r="A112" s="3" t="s">
        <v>9</v>
      </c>
      <c r="B112" s="3" t="s">
        <v>9</v>
      </c>
      <c r="C112" s="4" t="s">
        <v>110</v>
      </c>
      <c r="D112" s="3" t="s">
        <v>9</v>
      </c>
      <c r="E112" s="3" t="s">
        <v>9</v>
      </c>
      <c r="F112" s="15">
        <v>0</v>
      </c>
      <c r="G112" s="16">
        <v>0</v>
      </c>
      <c r="H112" s="164"/>
    </row>
    <row r="113" spans="1:8" x14ac:dyDescent="0.2">
      <c r="A113" s="3" t="s">
        <v>9</v>
      </c>
      <c r="B113" s="3" t="s">
        <v>9</v>
      </c>
      <c r="C113" s="13" t="s">
        <v>9</v>
      </c>
      <c r="D113" s="3" t="s">
        <v>9</v>
      </c>
      <c r="E113" s="3" t="s">
        <v>9</v>
      </c>
      <c r="F113" s="14" t="s">
        <v>9</v>
      </c>
      <c r="G113" s="14" t="s">
        <v>9</v>
      </c>
      <c r="H113" s="164"/>
    </row>
    <row r="114" spans="1:8" x14ac:dyDescent="0.2">
      <c r="A114" s="3" t="s">
        <v>9</v>
      </c>
      <c r="B114" s="3" t="s">
        <v>9</v>
      </c>
      <c r="C114" s="4" t="s">
        <v>126</v>
      </c>
      <c r="D114" s="3" t="s">
        <v>9</v>
      </c>
      <c r="E114" s="3" t="s">
        <v>9</v>
      </c>
      <c r="F114" s="14" t="s">
        <v>9</v>
      </c>
      <c r="G114" s="14" t="s">
        <v>9</v>
      </c>
      <c r="H114" s="164"/>
    </row>
    <row r="115" spans="1:8" x14ac:dyDescent="0.2">
      <c r="A115" s="5">
        <v>1</v>
      </c>
      <c r="B115" s="6"/>
      <c r="C115" s="6" t="s">
        <v>127</v>
      </c>
      <c r="D115" s="6"/>
      <c r="E115" s="10" t="s">
        <v>9</v>
      </c>
      <c r="F115" s="8">
        <v>225.12773369999999</v>
      </c>
      <c r="G115" s="9">
        <v>2.0857777000000001E-2</v>
      </c>
      <c r="H115" s="90">
        <v>3.22</v>
      </c>
    </row>
    <row r="116" spans="1:8" x14ac:dyDescent="0.2">
      <c r="A116" s="5">
        <v>2</v>
      </c>
      <c r="B116" s="6"/>
      <c r="C116" s="6" t="s">
        <v>128</v>
      </c>
      <c r="D116" s="6"/>
      <c r="E116" s="10" t="s">
        <v>9</v>
      </c>
      <c r="F116" s="8">
        <v>63.620037699999997</v>
      </c>
      <c r="G116" s="9">
        <v>5.8943090000000004E-3</v>
      </c>
      <c r="H116" s="90">
        <v>3.34</v>
      </c>
    </row>
    <row r="117" spans="1:8" x14ac:dyDescent="0.2">
      <c r="A117" s="3" t="s">
        <v>9</v>
      </c>
      <c r="B117" s="3" t="s">
        <v>9</v>
      </c>
      <c r="C117" s="4" t="s">
        <v>110</v>
      </c>
      <c r="D117" s="3" t="s">
        <v>9</v>
      </c>
      <c r="E117" s="3" t="s">
        <v>9</v>
      </c>
      <c r="F117" s="11">
        <v>288.74777139999998</v>
      </c>
      <c r="G117" s="12">
        <v>2.6752086000000001E-2</v>
      </c>
      <c r="H117" s="164"/>
    </row>
    <row r="118" spans="1:8" x14ac:dyDescent="0.2">
      <c r="A118" s="3" t="s">
        <v>9</v>
      </c>
      <c r="B118" s="3" t="s">
        <v>9</v>
      </c>
      <c r="C118" s="13" t="s">
        <v>9</v>
      </c>
      <c r="D118" s="3" t="s">
        <v>9</v>
      </c>
      <c r="E118" s="3" t="s">
        <v>9</v>
      </c>
      <c r="F118" s="14" t="s">
        <v>9</v>
      </c>
      <c r="G118" s="14" t="s">
        <v>9</v>
      </c>
      <c r="H118" s="164"/>
    </row>
    <row r="119" spans="1:8" x14ac:dyDescent="0.2">
      <c r="A119" s="3" t="s">
        <v>9</v>
      </c>
      <c r="B119" s="3" t="s">
        <v>9</v>
      </c>
      <c r="C119" s="4" t="s">
        <v>129</v>
      </c>
      <c r="D119" s="3" t="s">
        <v>9</v>
      </c>
      <c r="E119" s="3" t="s">
        <v>9</v>
      </c>
      <c r="F119" s="11">
        <v>288.74777139999998</v>
      </c>
      <c r="G119" s="12">
        <v>2.6752086000000001E-2</v>
      </c>
      <c r="H119" s="164"/>
    </row>
    <row r="120" spans="1:8" x14ac:dyDescent="0.2">
      <c r="A120" s="3" t="s">
        <v>9</v>
      </c>
      <c r="B120" s="3" t="s">
        <v>9</v>
      </c>
      <c r="C120" s="14" t="s">
        <v>9</v>
      </c>
      <c r="D120" s="3" t="s">
        <v>9</v>
      </c>
      <c r="E120" s="3" t="s">
        <v>9</v>
      </c>
      <c r="F120" s="3" t="s">
        <v>9</v>
      </c>
      <c r="G120" s="3" t="s">
        <v>9</v>
      </c>
      <c r="H120" s="164"/>
    </row>
    <row r="121" spans="1:8" x14ac:dyDescent="0.2">
      <c r="A121" s="3" t="s">
        <v>9</v>
      </c>
      <c r="B121" s="3" t="s">
        <v>9</v>
      </c>
      <c r="C121" s="4" t="s">
        <v>130</v>
      </c>
      <c r="D121" s="3" t="s">
        <v>9</v>
      </c>
      <c r="E121" s="3" t="s">
        <v>9</v>
      </c>
      <c r="F121" s="3" t="s">
        <v>9</v>
      </c>
      <c r="G121" s="3" t="s">
        <v>9</v>
      </c>
      <c r="H121" s="164"/>
    </row>
    <row r="122" spans="1:8" x14ac:dyDescent="0.2">
      <c r="A122" s="3" t="s">
        <v>9</v>
      </c>
      <c r="B122" s="3" t="s">
        <v>9</v>
      </c>
      <c r="C122" s="4" t="s">
        <v>131</v>
      </c>
      <c r="D122" s="3" t="s">
        <v>9</v>
      </c>
      <c r="E122" s="3" t="s">
        <v>9</v>
      </c>
      <c r="F122" s="3" t="s">
        <v>9</v>
      </c>
      <c r="G122" s="3" t="s">
        <v>9</v>
      </c>
      <c r="H122" s="164"/>
    </row>
    <row r="123" spans="1:8" x14ac:dyDescent="0.2">
      <c r="A123" s="3" t="s">
        <v>9</v>
      </c>
      <c r="B123" s="3" t="s">
        <v>9</v>
      </c>
      <c r="C123" s="4" t="s">
        <v>110</v>
      </c>
      <c r="D123" s="3" t="s">
        <v>9</v>
      </c>
      <c r="E123" s="3" t="s">
        <v>9</v>
      </c>
      <c r="F123" s="15">
        <v>0</v>
      </c>
      <c r="G123" s="16">
        <v>0</v>
      </c>
      <c r="H123" s="164"/>
    </row>
    <row r="124" spans="1:8" x14ac:dyDescent="0.2">
      <c r="A124" s="3" t="s">
        <v>9</v>
      </c>
      <c r="B124" s="3" t="s">
        <v>9</v>
      </c>
      <c r="C124" s="13" t="s">
        <v>9</v>
      </c>
      <c r="D124" s="3" t="s">
        <v>9</v>
      </c>
      <c r="E124" s="3" t="s">
        <v>9</v>
      </c>
      <c r="F124" s="14" t="s">
        <v>9</v>
      </c>
      <c r="G124" s="14" t="s">
        <v>9</v>
      </c>
      <c r="H124" s="164"/>
    </row>
    <row r="125" spans="1:8" x14ac:dyDescent="0.2">
      <c r="A125" s="3" t="s">
        <v>9</v>
      </c>
      <c r="B125" s="3" t="s">
        <v>9</v>
      </c>
      <c r="C125" s="4" t="s">
        <v>132</v>
      </c>
      <c r="D125" s="3" t="s">
        <v>9</v>
      </c>
      <c r="E125" s="3" t="s">
        <v>9</v>
      </c>
      <c r="F125" s="3" t="s">
        <v>9</v>
      </c>
      <c r="G125" s="3" t="s">
        <v>9</v>
      </c>
      <c r="H125" s="164"/>
    </row>
    <row r="126" spans="1:8" x14ac:dyDescent="0.2">
      <c r="A126" s="3" t="s">
        <v>9</v>
      </c>
      <c r="B126" s="3" t="s">
        <v>9</v>
      </c>
      <c r="C126" s="4" t="s">
        <v>133</v>
      </c>
      <c r="D126" s="3" t="s">
        <v>9</v>
      </c>
      <c r="E126" s="3" t="s">
        <v>9</v>
      </c>
      <c r="F126" s="3" t="s">
        <v>9</v>
      </c>
      <c r="G126" s="3" t="s">
        <v>9</v>
      </c>
      <c r="H126" s="164"/>
    </row>
    <row r="127" spans="1:8" x14ac:dyDescent="0.2">
      <c r="A127" s="3" t="s">
        <v>9</v>
      </c>
      <c r="B127" s="3" t="s">
        <v>9</v>
      </c>
      <c r="C127" s="4" t="s">
        <v>110</v>
      </c>
      <c r="D127" s="3" t="s">
        <v>9</v>
      </c>
      <c r="E127" s="3" t="s">
        <v>9</v>
      </c>
      <c r="F127" s="15">
        <v>0</v>
      </c>
      <c r="G127" s="16">
        <v>0</v>
      </c>
      <c r="H127" s="164"/>
    </row>
    <row r="128" spans="1:8" x14ac:dyDescent="0.2">
      <c r="A128" s="3" t="s">
        <v>9</v>
      </c>
      <c r="B128" s="3" t="s">
        <v>9</v>
      </c>
      <c r="C128" s="13" t="s">
        <v>9</v>
      </c>
      <c r="D128" s="3" t="s">
        <v>9</v>
      </c>
      <c r="E128" s="3" t="s">
        <v>9</v>
      </c>
      <c r="F128" s="14" t="s">
        <v>9</v>
      </c>
      <c r="G128" s="14" t="s">
        <v>9</v>
      </c>
      <c r="H128" s="164"/>
    </row>
    <row r="129" spans="1:8" x14ac:dyDescent="0.2">
      <c r="A129" s="3" t="s">
        <v>9</v>
      </c>
      <c r="B129" s="3" t="s">
        <v>9</v>
      </c>
      <c r="C129" s="13" t="s">
        <v>9</v>
      </c>
      <c r="D129" s="3" t="s">
        <v>9</v>
      </c>
      <c r="E129" s="3" t="s">
        <v>9</v>
      </c>
      <c r="F129" s="14" t="s">
        <v>9</v>
      </c>
      <c r="G129" s="14" t="s">
        <v>9</v>
      </c>
      <c r="H129" s="164"/>
    </row>
    <row r="130" spans="1:8" x14ac:dyDescent="0.2">
      <c r="A130" s="3" t="s">
        <v>9</v>
      </c>
      <c r="B130" s="3" t="s">
        <v>9</v>
      </c>
      <c r="C130" s="4" t="s">
        <v>134</v>
      </c>
      <c r="D130" s="3" t="s">
        <v>9</v>
      </c>
      <c r="E130" s="3" t="s">
        <v>9</v>
      </c>
      <c r="F130" s="14" t="s">
        <v>9</v>
      </c>
      <c r="G130" s="14" t="s">
        <v>9</v>
      </c>
      <c r="H130" s="164"/>
    </row>
    <row r="131" spans="1:8" x14ac:dyDescent="0.2">
      <c r="A131" s="3" t="s">
        <v>9</v>
      </c>
      <c r="B131" s="3" t="s">
        <v>9</v>
      </c>
      <c r="C131" s="4" t="s">
        <v>110</v>
      </c>
      <c r="D131" s="3" t="s">
        <v>9</v>
      </c>
      <c r="E131" s="3" t="s">
        <v>9</v>
      </c>
      <c r="F131" s="15">
        <v>0</v>
      </c>
      <c r="G131" s="16">
        <v>0</v>
      </c>
      <c r="H131" s="164"/>
    </row>
    <row r="132" spans="1:8" x14ac:dyDescent="0.2">
      <c r="A132" s="3" t="s">
        <v>9</v>
      </c>
      <c r="B132" s="3" t="s">
        <v>9</v>
      </c>
      <c r="C132" s="13" t="s">
        <v>9</v>
      </c>
      <c r="D132" s="3" t="s">
        <v>9</v>
      </c>
      <c r="E132" s="3" t="s">
        <v>9</v>
      </c>
      <c r="F132" s="14" t="s">
        <v>9</v>
      </c>
      <c r="G132" s="14" t="s">
        <v>9</v>
      </c>
      <c r="H132" s="164"/>
    </row>
    <row r="133" spans="1:8" x14ac:dyDescent="0.2">
      <c r="A133" s="10" t="s">
        <v>9</v>
      </c>
      <c r="B133" s="6" t="s">
        <v>9</v>
      </c>
      <c r="C133" s="6" t="s">
        <v>698</v>
      </c>
      <c r="D133" s="6" t="s">
        <v>9</v>
      </c>
      <c r="E133" s="10" t="s">
        <v>9</v>
      </c>
      <c r="F133" s="8">
        <v>1140.8032645000001</v>
      </c>
      <c r="G133" s="9">
        <v>0.105693862</v>
      </c>
      <c r="H133" s="164"/>
    </row>
    <row r="134" spans="1:8" x14ac:dyDescent="0.2">
      <c r="A134" s="10" t="s">
        <v>9</v>
      </c>
      <c r="B134" s="6" t="s">
        <v>9</v>
      </c>
      <c r="C134" s="6" t="s">
        <v>135</v>
      </c>
      <c r="D134" s="6" t="s">
        <v>9</v>
      </c>
      <c r="E134" s="10" t="s">
        <v>9</v>
      </c>
      <c r="F134" s="8">
        <v>-101.62192680999942</v>
      </c>
      <c r="G134" s="9">
        <v>-9.4151239999993308E-3</v>
      </c>
      <c r="H134" s="164"/>
    </row>
    <row r="135" spans="1:8" x14ac:dyDescent="0.2">
      <c r="A135" s="13" t="s">
        <v>9</v>
      </c>
      <c r="B135" s="13" t="s">
        <v>9</v>
      </c>
      <c r="C135" s="4" t="s">
        <v>136</v>
      </c>
      <c r="D135" s="17" t="s">
        <v>9</v>
      </c>
      <c r="E135" s="17" t="s">
        <v>9</v>
      </c>
      <c r="F135" s="11">
        <v>10793.467486090001</v>
      </c>
      <c r="G135" s="12">
        <v>1</v>
      </c>
      <c r="H135" s="164"/>
    </row>
    <row r="136" spans="1:8" ht="14.1" customHeight="1" x14ac:dyDescent="0.2">
      <c r="A136" s="18" t="s">
        <v>9</v>
      </c>
      <c r="B136" s="18" t="s">
        <v>9</v>
      </c>
      <c r="C136" s="18" t="s">
        <v>9</v>
      </c>
      <c r="D136" s="19" t="s">
        <v>9</v>
      </c>
      <c r="E136" s="19" t="s">
        <v>9</v>
      </c>
      <c r="F136" s="19" t="s">
        <v>9</v>
      </c>
      <c r="G136" s="19" t="s">
        <v>9</v>
      </c>
    </row>
    <row r="137" spans="1:8" ht="17.100000000000001" customHeight="1" x14ac:dyDescent="0.2">
      <c r="A137" s="20" t="s">
        <v>9</v>
      </c>
      <c r="B137" s="228" t="s">
        <v>691</v>
      </c>
      <c r="C137" s="228"/>
      <c r="D137" s="228"/>
      <c r="E137" s="228"/>
      <c r="F137" s="228"/>
      <c r="G137" s="22" t="s">
        <v>9</v>
      </c>
    </row>
    <row r="138" spans="1:8" ht="17.100000000000001" customHeight="1" x14ac:dyDescent="0.2">
      <c r="A138" s="20" t="s">
        <v>9</v>
      </c>
      <c r="B138" s="228" t="s">
        <v>137</v>
      </c>
      <c r="C138" s="228"/>
      <c r="D138" s="228"/>
      <c r="E138" s="228"/>
      <c r="F138" s="228"/>
      <c r="G138" s="22" t="s">
        <v>9</v>
      </c>
    </row>
    <row r="139" spans="1:8" ht="14.1" customHeight="1" x14ac:dyDescent="0.2">
      <c r="A139" s="20" t="s">
        <v>9</v>
      </c>
      <c r="B139" s="20" t="s">
        <v>9</v>
      </c>
      <c r="C139" s="20" t="s">
        <v>9</v>
      </c>
      <c r="D139" s="22" t="s">
        <v>9</v>
      </c>
      <c r="E139" s="22" t="s">
        <v>9</v>
      </c>
      <c r="F139" s="22" t="s">
        <v>9</v>
      </c>
      <c r="G139" s="22" t="s">
        <v>9</v>
      </c>
    </row>
    <row r="140" spans="1:8" ht="14.1" customHeight="1" x14ac:dyDescent="0.2">
      <c r="A140" s="20" t="s">
        <v>9</v>
      </c>
      <c r="B140" s="226" t="s">
        <v>138</v>
      </c>
      <c r="C140" s="227"/>
      <c r="D140" s="14" t="s">
        <v>9</v>
      </c>
      <c r="E140" s="23" t="s">
        <v>9</v>
      </c>
      <c r="F140" s="22" t="s">
        <v>9</v>
      </c>
      <c r="G140" s="22" t="s">
        <v>9</v>
      </c>
    </row>
    <row r="141" spans="1:8" ht="29.1" customHeight="1" x14ac:dyDescent="0.2">
      <c r="A141" s="20" t="s">
        <v>9</v>
      </c>
      <c r="B141" s="233" t="s">
        <v>139</v>
      </c>
      <c r="C141" s="234"/>
      <c r="D141" s="4" t="s">
        <v>140</v>
      </c>
      <c r="E141" s="23" t="s">
        <v>9</v>
      </c>
      <c r="F141" s="22" t="s">
        <v>9</v>
      </c>
      <c r="G141" s="22" t="s">
        <v>9</v>
      </c>
    </row>
    <row r="142" spans="1:8" ht="17.100000000000001" customHeight="1" x14ac:dyDescent="0.2">
      <c r="A142" s="20" t="s">
        <v>9</v>
      </c>
      <c r="B142" s="233" t="s">
        <v>141</v>
      </c>
      <c r="C142" s="234"/>
      <c r="D142" s="4" t="s">
        <v>140</v>
      </c>
      <c r="E142" s="23" t="s">
        <v>9</v>
      </c>
      <c r="F142" s="22" t="s">
        <v>9</v>
      </c>
      <c r="G142" s="22" t="s">
        <v>9</v>
      </c>
    </row>
    <row r="143" spans="1:8" ht="17.100000000000001" customHeight="1" x14ac:dyDescent="0.2">
      <c r="A143" s="20" t="s">
        <v>9</v>
      </c>
      <c r="B143" s="233" t="s">
        <v>142</v>
      </c>
      <c r="C143" s="234"/>
      <c r="D143" s="14" t="s">
        <v>9</v>
      </c>
      <c r="E143" s="23" t="s">
        <v>9</v>
      </c>
      <c r="F143" s="22" t="s">
        <v>9</v>
      </c>
      <c r="G143" s="22" t="s">
        <v>9</v>
      </c>
    </row>
    <row r="144" spans="1:8" ht="24" customHeight="1" x14ac:dyDescent="0.2">
      <c r="A144" s="24" t="s">
        <v>9</v>
      </c>
      <c r="B144" s="25" t="s">
        <v>9</v>
      </c>
      <c r="C144" s="25" t="s">
        <v>143</v>
      </c>
      <c r="D144" s="25" t="s">
        <v>144</v>
      </c>
      <c r="E144" s="24" t="s">
        <v>9</v>
      </c>
      <c r="F144" s="24" t="s">
        <v>9</v>
      </c>
      <c r="G144" s="24" t="s">
        <v>9</v>
      </c>
    </row>
    <row r="145" spans="1:7" ht="18" customHeight="1" x14ac:dyDescent="0.2">
      <c r="A145" s="24" t="s">
        <v>9</v>
      </c>
      <c r="B145" s="25" t="s">
        <v>145</v>
      </c>
      <c r="C145" s="25" t="s">
        <v>146</v>
      </c>
      <c r="D145" s="25" t="s">
        <v>147</v>
      </c>
      <c r="E145" s="24" t="s">
        <v>9</v>
      </c>
      <c r="F145" s="24" t="s">
        <v>9</v>
      </c>
      <c r="G145" s="24" t="s">
        <v>9</v>
      </c>
    </row>
    <row r="146" spans="1:7" ht="17.100000000000001" customHeight="1" x14ac:dyDescent="0.2">
      <c r="A146" s="24" t="s">
        <v>9</v>
      </c>
      <c r="B146" s="6" t="s">
        <v>148</v>
      </c>
      <c r="C146" s="26">
        <v>12.652200000000001</v>
      </c>
      <c r="D146" s="26">
        <v>12.7498</v>
      </c>
      <c r="E146" s="24" t="s">
        <v>9</v>
      </c>
      <c r="F146" s="21" t="s">
        <v>9</v>
      </c>
      <c r="G146" s="27" t="s">
        <v>9</v>
      </c>
    </row>
    <row r="147" spans="1:7" ht="17.100000000000001" customHeight="1" x14ac:dyDescent="0.2">
      <c r="A147" s="24" t="s">
        <v>9</v>
      </c>
      <c r="B147" s="6" t="s">
        <v>839</v>
      </c>
      <c r="C147" s="26">
        <v>12.652200000000001</v>
      </c>
      <c r="D147" s="26">
        <v>12.749700000000001</v>
      </c>
      <c r="E147" s="24" t="s">
        <v>9</v>
      </c>
      <c r="F147" s="21" t="s">
        <v>9</v>
      </c>
      <c r="G147" s="27" t="s">
        <v>9</v>
      </c>
    </row>
    <row r="148" spans="1:7" ht="17.100000000000001" customHeight="1" x14ac:dyDescent="0.2">
      <c r="A148" s="24" t="s">
        <v>9</v>
      </c>
      <c r="B148" s="6" t="s">
        <v>149</v>
      </c>
      <c r="C148" s="26">
        <v>12.097300000000001</v>
      </c>
      <c r="D148" s="26">
        <v>12.1732</v>
      </c>
      <c r="E148" s="24" t="s">
        <v>9</v>
      </c>
      <c r="F148" s="21" t="s">
        <v>9</v>
      </c>
      <c r="G148" s="27" t="s">
        <v>9</v>
      </c>
    </row>
    <row r="149" spans="1:7" ht="17.100000000000001" customHeight="1" x14ac:dyDescent="0.2">
      <c r="A149" s="24" t="s">
        <v>9</v>
      </c>
      <c r="B149" s="6" t="s">
        <v>840</v>
      </c>
      <c r="C149" s="26">
        <v>12.097099999999999</v>
      </c>
      <c r="D149" s="26">
        <v>12.173</v>
      </c>
      <c r="E149" s="24" t="s">
        <v>9</v>
      </c>
      <c r="F149" s="21" t="s">
        <v>9</v>
      </c>
      <c r="G149" s="27" t="s">
        <v>9</v>
      </c>
    </row>
    <row r="150" spans="1:7" ht="14.1" customHeight="1" x14ac:dyDescent="0.2">
      <c r="A150" s="24" t="s">
        <v>9</v>
      </c>
      <c r="B150" s="24" t="s">
        <v>9</v>
      </c>
      <c r="C150" s="24" t="s">
        <v>9</v>
      </c>
      <c r="D150" s="24" t="s">
        <v>9</v>
      </c>
      <c r="E150" s="24" t="s">
        <v>9</v>
      </c>
      <c r="F150" s="24" t="s">
        <v>9</v>
      </c>
      <c r="G150" s="24" t="s">
        <v>9</v>
      </c>
    </row>
    <row r="151" spans="1:7" ht="17.100000000000001" customHeight="1" x14ac:dyDescent="0.2">
      <c r="A151" s="24" t="s">
        <v>9</v>
      </c>
      <c r="B151" s="233" t="s">
        <v>1003</v>
      </c>
      <c r="C151" s="234"/>
      <c r="D151" s="4" t="s">
        <v>140</v>
      </c>
      <c r="E151" s="24" t="s">
        <v>9</v>
      </c>
      <c r="F151" s="24" t="s">
        <v>9</v>
      </c>
      <c r="G151" s="24" t="s">
        <v>9</v>
      </c>
    </row>
    <row r="152" spans="1:7" ht="18" customHeight="1" x14ac:dyDescent="0.2">
      <c r="A152" s="24" t="s">
        <v>9</v>
      </c>
      <c r="B152" s="28" t="s">
        <v>150</v>
      </c>
      <c r="C152" s="28" t="s">
        <v>150</v>
      </c>
      <c r="D152" s="28" t="s">
        <v>9</v>
      </c>
      <c r="E152" s="24" t="s">
        <v>9</v>
      </c>
      <c r="F152" s="24" t="s">
        <v>9</v>
      </c>
      <c r="G152" s="24" t="s">
        <v>9</v>
      </c>
    </row>
    <row r="153" spans="1:7" s="169" customFormat="1" x14ac:dyDescent="0.2">
      <c r="B153" s="235" t="s">
        <v>841</v>
      </c>
      <c r="C153" s="235"/>
      <c r="D153" s="235"/>
      <c r="E153" s="235"/>
      <c r="F153" s="235"/>
    </row>
    <row r="154" spans="1:7" ht="14.1" customHeight="1" x14ac:dyDescent="0.2">
      <c r="A154" s="24" t="s">
        <v>9</v>
      </c>
      <c r="B154" s="21" t="s">
        <v>9</v>
      </c>
      <c r="C154" s="21" t="s">
        <v>9</v>
      </c>
      <c r="D154" s="24" t="s">
        <v>9</v>
      </c>
      <c r="E154" s="24" t="s">
        <v>9</v>
      </c>
      <c r="F154" s="24" t="s">
        <v>9</v>
      </c>
      <c r="G154" s="24" t="s">
        <v>9</v>
      </c>
    </row>
    <row r="155" spans="1:7" ht="29.1" customHeight="1" x14ac:dyDescent="0.2">
      <c r="A155" s="24" t="s">
        <v>9</v>
      </c>
      <c r="B155" s="233" t="s">
        <v>151</v>
      </c>
      <c r="C155" s="234"/>
      <c r="D155" s="4" t="s">
        <v>974</v>
      </c>
      <c r="E155" s="24" t="s">
        <v>9</v>
      </c>
      <c r="F155" s="24" t="s">
        <v>9</v>
      </c>
      <c r="G155" s="24" t="s">
        <v>9</v>
      </c>
    </row>
    <row r="156" spans="1:7" ht="29.1" customHeight="1" x14ac:dyDescent="0.2">
      <c r="A156" s="24" t="s">
        <v>9</v>
      </c>
      <c r="B156" s="233" t="s">
        <v>152</v>
      </c>
      <c r="C156" s="234"/>
      <c r="D156" s="4" t="s">
        <v>140</v>
      </c>
      <c r="E156" s="24" t="s">
        <v>9</v>
      </c>
      <c r="F156" s="24" t="s">
        <v>9</v>
      </c>
      <c r="G156" s="24" t="s">
        <v>9</v>
      </c>
    </row>
    <row r="157" spans="1:7" ht="17.100000000000001" customHeight="1" x14ac:dyDescent="0.2">
      <c r="A157" s="153" t="s">
        <v>9</v>
      </c>
      <c r="B157" s="236" t="s">
        <v>977</v>
      </c>
      <c r="C157" s="237"/>
      <c r="D157" s="157">
        <v>0.54850896061157939</v>
      </c>
      <c r="E157" s="153" t="s">
        <v>9</v>
      </c>
      <c r="F157" s="154" t="s">
        <v>9</v>
      </c>
      <c r="G157" s="155" t="s">
        <v>9</v>
      </c>
    </row>
    <row r="158" spans="1:7" ht="17.100000000000001" customHeight="1" x14ac:dyDescent="0.2">
      <c r="A158" s="153" t="s">
        <v>9</v>
      </c>
      <c r="B158" s="236" t="s">
        <v>978</v>
      </c>
      <c r="C158" s="237"/>
      <c r="D158" s="157">
        <v>0.52359915175034444</v>
      </c>
      <c r="E158" s="153" t="s">
        <v>9</v>
      </c>
      <c r="F158" s="153" t="s">
        <v>9</v>
      </c>
      <c r="G158" s="153" t="s">
        <v>9</v>
      </c>
    </row>
    <row r="159" spans="1:7" ht="17.100000000000001" customHeight="1" x14ac:dyDescent="0.2">
      <c r="A159" s="24" t="s">
        <v>9</v>
      </c>
      <c r="B159" s="233" t="s">
        <v>979</v>
      </c>
      <c r="C159" s="234"/>
      <c r="D159" s="29">
        <v>4.5935934446721562</v>
      </c>
      <c r="E159" s="24" t="s">
        <v>9</v>
      </c>
      <c r="F159" s="21" t="s">
        <v>9</v>
      </c>
      <c r="G159" s="27" t="s">
        <v>9</v>
      </c>
    </row>
    <row r="160" spans="1:7" ht="17.100000000000001" customHeight="1" x14ac:dyDescent="0.2">
      <c r="A160" s="24" t="s">
        <v>9</v>
      </c>
      <c r="B160" s="233" t="s">
        <v>980</v>
      </c>
      <c r="C160" s="234"/>
      <c r="D160" s="4" t="s">
        <v>140</v>
      </c>
      <c r="E160" s="24" t="s">
        <v>9</v>
      </c>
      <c r="F160" s="24" t="s">
        <v>9</v>
      </c>
      <c r="G160" s="24" t="s">
        <v>9</v>
      </c>
    </row>
  </sheetData>
  <mergeCells count="17">
    <mergeCell ref="B159:C159"/>
    <mergeCell ref="B160:C160"/>
    <mergeCell ref="B141:C141"/>
    <mergeCell ref="B142:C142"/>
    <mergeCell ref="B143:C143"/>
    <mergeCell ref="B151:C151"/>
    <mergeCell ref="B155:C155"/>
    <mergeCell ref="B156:C156"/>
    <mergeCell ref="B157:C157"/>
    <mergeCell ref="B158:C158"/>
    <mergeCell ref="B153:F153"/>
    <mergeCell ref="B140:C140"/>
    <mergeCell ref="B137:F137"/>
    <mergeCell ref="B138:F138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H122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723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79</v>
      </c>
      <c r="C7" s="6" t="s">
        <v>80</v>
      </c>
      <c r="D7" s="6" t="s">
        <v>22</v>
      </c>
      <c r="E7" s="7">
        <v>539151</v>
      </c>
      <c r="F7" s="8">
        <v>7690.7194394999997</v>
      </c>
      <c r="G7" s="9">
        <v>0.19543932999999999</v>
      </c>
      <c r="H7" s="164"/>
    </row>
    <row r="8" spans="1:8" x14ac:dyDescent="0.2">
      <c r="A8" s="5">
        <v>2</v>
      </c>
      <c r="B8" s="6" t="s">
        <v>20</v>
      </c>
      <c r="C8" s="6" t="s">
        <v>21</v>
      </c>
      <c r="D8" s="6" t="s">
        <v>22</v>
      </c>
      <c r="E8" s="7">
        <v>886497</v>
      </c>
      <c r="F8" s="8">
        <v>6050.3420249999999</v>
      </c>
      <c r="G8" s="9">
        <v>0.153753468</v>
      </c>
      <c r="H8" s="164"/>
    </row>
    <row r="9" spans="1:8" ht="25.5" x14ac:dyDescent="0.2">
      <c r="A9" s="5">
        <v>3</v>
      </c>
      <c r="B9" s="6" t="s">
        <v>405</v>
      </c>
      <c r="C9" s="6" t="s">
        <v>406</v>
      </c>
      <c r="D9" s="6" t="s">
        <v>161</v>
      </c>
      <c r="E9" s="7">
        <v>161518</v>
      </c>
      <c r="F9" s="8">
        <v>3942.8966569999998</v>
      </c>
      <c r="G9" s="9">
        <v>0.100198309</v>
      </c>
      <c r="H9" s="164"/>
    </row>
    <row r="10" spans="1:8" x14ac:dyDescent="0.2">
      <c r="A10" s="5">
        <v>4</v>
      </c>
      <c r="B10" s="6" t="s">
        <v>407</v>
      </c>
      <c r="C10" s="6" t="s">
        <v>408</v>
      </c>
      <c r="D10" s="6" t="s">
        <v>22</v>
      </c>
      <c r="E10" s="7">
        <v>782092</v>
      </c>
      <c r="F10" s="8">
        <v>3377.0732560000001</v>
      </c>
      <c r="G10" s="9">
        <v>8.5819401000000003E-2</v>
      </c>
      <c r="H10" s="164"/>
    </row>
    <row r="11" spans="1:8" x14ac:dyDescent="0.2">
      <c r="A11" s="5">
        <v>5</v>
      </c>
      <c r="B11" s="6" t="s">
        <v>357</v>
      </c>
      <c r="C11" s="6" t="s">
        <v>358</v>
      </c>
      <c r="D11" s="6" t="s">
        <v>22</v>
      </c>
      <c r="E11" s="7">
        <v>466660</v>
      </c>
      <c r="F11" s="8">
        <v>3308.15274</v>
      </c>
      <c r="G11" s="9">
        <v>8.4067968000000007E-2</v>
      </c>
      <c r="H11" s="164"/>
    </row>
    <row r="12" spans="1:8" x14ac:dyDescent="0.2">
      <c r="A12" s="5">
        <v>6</v>
      </c>
      <c r="B12" s="6" t="s">
        <v>395</v>
      </c>
      <c r="C12" s="6" t="s">
        <v>396</v>
      </c>
      <c r="D12" s="6" t="s">
        <v>932</v>
      </c>
      <c r="E12" s="7">
        <v>17895</v>
      </c>
      <c r="F12" s="8">
        <v>2545.0626900000002</v>
      </c>
      <c r="G12" s="9">
        <v>6.4676048999999999E-2</v>
      </c>
      <c r="H12" s="164"/>
    </row>
    <row r="13" spans="1:8" x14ac:dyDescent="0.2">
      <c r="A13" s="5">
        <v>7</v>
      </c>
      <c r="B13" s="6" t="s">
        <v>516</v>
      </c>
      <c r="C13" s="6" t="s">
        <v>517</v>
      </c>
      <c r="D13" s="6" t="s">
        <v>22</v>
      </c>
      <c r="E13" s="7">
        <v>517173</v>
      </c>
      <c r="F13" s="8">
        <v>1810.3640865</v>
      </c>
      <c r="G13" s="9">
        <v>4.6005624000000002E-2</v>
      </c>
      <c r="H13" s="164"/>
    </row>
    <row r="14" spans="1:8" x14ac:dyDescent="0.2">
      <c r="A14" s="5">
        <v>8</v>
      </c>
      <c r="B14" s="6" t="s">
        <v>208</v>
      </c>
      <c r="C14" s="6" t="s">
        <v>209</v>
      </c>
      <c r="D14" s="6" t="s">
        <v>161</v>
      </c>
      <c r="E14" s="7">
        <v>198851</v>
      </c>
      <c r="F14" s="8">
        <v>1193.4042764999999</v>
      </c>
      <c r="G14" s="9">
        <v>3.0327218999999999E-2</v>
      </c>
      <c r="H14" s="164"/>
    </row>
    <row r="15" spans="1:8" x14ac:dyDescent="0.2">
      <c r="A15" s="5">
        <v>9</v>
      </c>
      <c r="B15" s="6" t="s">
        <v>436</v>
      </c>
      <c r="C15" s="6" t="s">
        <v>437</v>
      </c>
      <c r="D15" s="6" t="s">
        <v>22</v>
      </c>
      <c r="E15" s="7">
        <v>62105</v>
      </c>
      <c r="F15" s="8">
        <v>1027.71354</v>
      </c>
      <c r="G15" s="9">
        <v>2.6116626E-2</v>
      </c>
      <c r="H15" s="164"/>
    </row>
    <row r="16" spans="1:8" x14ac:dyDescent="0.2">
      <c r="A16" s="5">
        <v>10</v>
      </c>
      <c r="B16" s="6" t="s">
        <v>650</v>
      </c>
      <c r="C16" s="6" t="s">
        <v>651</v>
      </c>
      <c r="D16" s="6" t="s">
        <v>22</v>
      </c>
      <c r="E16" s="7">
        <v>98676</v>
      </c>
      <c r="F16" s="8">
        <v>968.01156000000003</v>
      </c>
      <c r="G16" s="9">
        <v>2.4599458000000001E-2</v>
      </c>
      <c r="H16" s="164"/>
    </row>
    <row r="17" spans="1:8" x14ac:dyDescent="0.2">
      <c r="A17" s="5">
        <v>11</v>
      </c>
      <c r="B17" s="6" t="s">
        <v>310</v>
      </c>
      <c r="C17" s="6" t="s">
        <v>311</v>
      </c>
      <c r="D17" s="6" t="s">
        <v>22</v>
      </c>
      <c r="E17" s="7">
        <v>70067</v>
      </c>
      <c r="F17" s="8">
        <v>854.60719900000004</v>
      </c>
      <c r="G17" s="9">
        <v>2.1717586000000001E-2</v>
      </c>
      <c r="H17" s="164"/>
    </row>
    <row r="18" spans="1:8" x14ac:dyDescent="0.2">
      <c r="A18" s="5">
        <v>12</v>
      </c>
      <c r="B18" s="6" t="s">
        <v>359</v>
      </c>
      <c r="C18" s="6" t="s">
        <v>360</v>
      </c>
      <c r="D18" s="6" t="s">
        <v>161</v>
      </c>
      <c r="E18" s="7">
        <v>54241</v>
      </c>
      <c r="F18" s="8">
        <v>754.004141</v>
      </c>
      <c r="G18" s="9">
        <v>1.9161025000000002E-2</v>
      </c>
      <c r="H18" s="164"/>
    </row>
    <row r="19" spans="1:8" ht="25.5" x14ac:dyDescent="0.2">
      <c r="A19" s="5">
        <v>13</v>
      </c>
      <c r="B19" s="6" t="s">
        <v>314</v>
      </c>
      <c r="C19" s="6" t="s">
        <v>315</v>
      </c>
      <c r="D19" s="6" t="s">
        <v>161</v>
      </c>
      <c r="E19" s="7">
        <v>141241</v>
      </c>
      <c r="F19" s="8">
        <v>671.95405749999998</v>
      </c>
      <c r="G19" s="9">
        <v>1.7075937999999999E-2</v>
      </c>
      <c r="H19" s="164"/>
    </row>
    <row r="20" spans="1:8" x14ac:dyDescent="0.2">
      <c r="A20" s="5">
        <v>14</v>
      </c>
      <c r="B20" s="6" t="s">
        <v>334</v>
      </c>
      <c r="C20" s="6" t="s">
        <v>335</v>
      </c>
      <c r="D20" s="6" t="s">
        <v>22</v>
      </c>
      <c r="E20" s="7">
        <v>627218</v>
      </c>
      <c r="F20" s="8">
        <v>548.50214100000005</v>
      </c>
      <c r="G20" s="9">
        <v>1.3938733999999999E-2</v>
      </c>
      <c r="H20" s="164"/>
    </row>
    <row r="21" spans="1:8" x14ac:dyDescent="0.2">
      <c r="A21" s="5">
        <v>15</v>
      </c>
      <c r="B21" s="6" t="s">
        <v>724</v>
      </c>
      <c r="C21" s="6" t="s">
        <v>725</v>
      </c>
      <c r="D21" s="6" t="s">
        <v>161</v>
      </c>
      <c r="E21" s="7">
        <v>414772</v>
      </c>
      <c r="F21" s="8">
        <v>480.30597599999999</v>
      </c>
      <c r="G21" s="9">
        <v>1.2205707999999999E-2</v>
      </c>
      <c r="H21" s="164"/>
    </row>
    <row r="22" spans="1:8" x14ac:dyDescent="0.2">
      <c r="A22" s="5">
        <v>16</v>
      </c>
      <c r="B22" s="6" t="s">
        <v>559</v>
      </c>
      <c r="C22" s="6" t="s">
        <v>560</v>
      </c>
      <c r="D22" s="6" t="s">
        <v>161</v>
      </c>
      <c r="E22" s="7">
        <v>7202</v>
      </c>
      <c r="F22" s="8">
        <v>448.54776199999998</v>
      </c>
      <c r="G22" s="9">
        <v>1.1398657E-2</v>
      </c>
      <c r="H22" s="164"/>
    </row>
    <row r="23" spans="1:8" x14ac:dyDescent="0.2">
      <c r="A23" s="5">
        <v>17</v>
      </c>
      <c r="B23" s="6" t="s">
        <v>409</v>
      </c>
      <c r="C23" s="6" t="s">
        <v>410</v>
      </c>
      <c r="D23" s="6" t="s">
        <v>932</v>
      </c>
      <c r="E23" s="7">
        <v>37738</v>
      </c>
      <c r="F23" s="8">
        <v>414.58966800000002</v>
      </c>
      <c r="G23" s="9">
        <v>1.0535701999999999E-2</v>
      </c>
      <c r="H23" s="164"/>
    </row>
    <row r="24" spans="1:8" x14ac:dyDescent="0.2">
      <c r="A24" s="5">
        <v>18</v>
      </c>
      <c r="B24" s="6" t="s">
        <v>304</v>
      </c>
      <c r="C24" s="6" t="s">
        <v>305</v>
      </c>
      <c r="D24" s="6" t="s">
        <v>932</v>
      </c>
      <c r="E24" s="7">
        <v>31042</v>
      </c>
      <c r="F24" s="8">
        <v>348.32228199999997</v>
      </c>
      <c r="G24" s="9">
        <v>8.8516910000000001E-3</v>
      </c>
      <c r="H24" s="164"/>
    </row>
    <row r="25" spans="1:8" ht="25.5" x14ac:dyDescent="0.2">
      <c r="A25" s="5">
        <v>19</v>
      </c>
      <c r="B25" s="6" t="s">
        <v>438</v>
      </c>
      <c r="C25" s="6" t="s">
        <v>439</v>
      </c>
      <c r="D25" s="6" t="s">
        <v>932</v>
      </c>
      <c r="E25" s="7">
        <v>19277</v>
      </c>
      <c r="F25" s="8">
        <v>284.48032749999999</v>
      </c>
      <c r="G25" s="9">
        <v>7.2293160000000004E-3</v>
      </c>
      <c r="H25" s="164"/>
    </row>
    <row r="26" spans="1:8" x14ac:dyDescent="0.2">
      <c r="A26" s="5">
        <v>20</v>
      </c>
      <c r="B26" s="6" t="s">
        <v>580</v>
      </c>
      <c r="C26" s="6" t="s">
        <v>581</v>
      </c>
      <c r="D26" s="6" t="s">
        <v>932</v>
      </c>
      <c r="E26" s="7">
        <v>39000</v>
      </c>
      <c r="F26" s="8">
        <v>258.97949999999997</v>
      </c>
      <c r="G26" s="9">
        <v>6.5812800000000001E-3</v>
      </c>
      <c r="H26" s="164"/>
    </row>
    <row r="27" spans="1:8" x14ac:dyDescent="0.2">
      <c r="A27" s="5">
        <v>21</v>
      </c>
      <c r="B27" s="6" t="s">
        <v>383</v>
      </c>
      <c r="C27" s="6" t="s">
        <v>384</v>
      </c>
      <c r="D27" s="6" t="s">
        <v>161</v>
      </c>
      <c r="E27" s="7">
        <v>59054</v>
      </c>
      <c r="F27" s="8">
        <v>242.38714300000001</v>
      </c>
      <c r="G27" s="9">
        <v>6.1596289999999998E-3</v>
      </c>
      <c r="H27" s="164"/>
    </row>
    <row r="28" spans="1:8" x14ac:dyDescent="0.2">
      <c r="A28" s="5">
        <v>22</v>
      </c>
      <c r="B28" s="6" t="s">
        <v>726</v>
      </c>
      <c r="C28" s="6" t="s">
        <v>727</v>
      </c>
      <c r="D28" s="6" t="s">
        <v>161</v>
      </c>
      <c r="E28" s="7">
        <v>184713</v>
      </c>
      <c r="F28" s="8">
        <v>195.61106699999999</v>
      </c>
      <c r="G28" s="9">
        <v>4.9709389999999997E-3</v>
      </c>
      <c r="H28" s="164"/>
    </row>
    <row r="29" spans="1:8" x14ac:dyDescent="0.2">
      <c r="A29" s="5">
        <v>23</v>
      </c>
      <c r="B29" s="6" t="s">
        <v>550</v>
      </c>
      <c r="C29" s="6" t="s">
        <v>551</v>
      </c>
      <c r="D29" s="6" t="s">
        <v>927</v>
      </c>
      <c r="E29" s="7">
        <v>16200</v>
      </c>
      <c r="F29" s="8">
        <v>168.76349999999999</v>
      </c>
      <c r="G29" s="9">
        <v>4.2886790000000001E-3</v>
      </c>
      <c r="H29" s="164"/>
    </row>
    <row r="30" spans="1:8" x14ac:dyDescent="0.2">
      <c r="A30" s="5">
        <v>24</v>
      </c>
      <c r="B30" s="6" t="s">
        <v>347</v>
      </c>
      <c r="C30" s="6" t="s">
        <v>348</v>
      </c>
      <c r="D30" s="6" t="s">
        <v>927</v>
      </c>
      <c r="E30" s="7">
        <v>15113</v>
      </c>
      <c r="F30" s="8">
        <v>109.56925</v>
      </c>
      <c r="G30" s="9">
        <v>2.7844129999999999E-3</v>
      </c>
      <c r="H30" s="164"/>
    </row>
    <row r="31" spans="1:8" ht="25.5" x14ac:dyDescent="0.2">
      <c r="A31" s="5">
        <v>25</v>
      </c>
      <c r="B31" s="6" t="s">
        <v>728</v>
      </c>
      <c r="C31" s="6" t="s">
        <v>729</v>
      </c>
      <c r="D31" s="6" t="s">
        <v>161</v>
      </c>
      <c r="E31" s="7">
        <v>31804</v>
      </c>
      <c r="F31" s="8">
        <v>48.151255999999997</v>
      </c>
      <c r="G31" s="9">
        <v>1.2236370000000001E-3</v>
      </c>
      <c r="H31" s="164"/>
    </row>
    <row r="32" spans="1:8" x14ac:dyDescent="0.2">
      <c r="A32" s="3" t="s">
        <v>9</v>
      </c>
      <c r="B32" s="3" t="s">
        <v>9</v>
      </c>
      <c r="C32" s="4" t="s">
        <v>110</v>
      </c>
      <c r="D32" s="3" t="s">
        <v>9</v>
      </c>
      <c r="E32" s="3" t="s">
        <v>9</v>
      </c>
      <c r="F32" s="11">
        <v>37742.515540499997</v>
      </c>
      <c r="G32" s="12">
        <v>0.959126386</v>
      </c>
      <c r="H32" s="164"/>
    </row>
    <row r="33" spans="1:8" x14ac:dyDescent="0.2">
      <c r="A33" s="3" t="s">
        <v>9</v>
      </c>
      <c r="B33" s="3" t="s">
        <v>9</v>
      </c>
      <c r="C33" s="13" t="s">
        <v>9</v>
      </c>
      <c r="D33" s="3" t="s">
        <v>9</v>
      </c>
      <c r="E33" s="3" t="s">
        <v>9</v>
      </c>
      <c r="F33" s="14" t="s">
        <v>9</v>
      </c>
      <c r="G33" s="14" t="s">
        <v>9</v>
      </c>
      <c r="H33" s="164"/>
    </row>
    <row r="34" spans="1:8" x14ac:dyDescent="0.2">
      <c r="A34" s="3" t="s">
        <v>9</v>
      </c>
      <c r="B34" s="3" t="s">
        <v>9</v>
      </c>
      <c r="C34" s="4" t="s">
        <v>111</v>
      </c>
      <c r="D34" s="3" t="s">
        <v>9</v>
      </c>
      <c r="E34" s="3" t="s">
        <v>9</v>
      </c>
      <c r="F34" s="3" t="s">
        <v>9</v>
      </c>
      <c r="G34" s="3" t="s">
        <v>9</v>
      </c>
      <c r="H34" s="164"/>
    </row>
    <row r="35" spans="1:8" x14ac:dyDescent="0.2">
      <c r="A35" s="3" t="s">
        <v>9</v>
      </c>
      <c r="B35" s="3" t="s">
        <v>9</v>
      </c>
      <c r="C35" s="4" t="s">
        <v>110</v>
      </c>
      <c r="D35" s="3" t="s">
        <v>9</v>
      </c>
      <c r="E35" s="3" t="s">
        <v>9</v>
      </c>
      <c r="F35" s="15">
        <v>0</v>
      </c>
      <c r="G35" s="16">
        <v>0</v>
      </c>
      <c r="H35" s="164"/>
    </row>
    <row r="36" spans="1:8" x14ac:dyDescent="0.2">
      <c r="A36" s="3" t="s">
        <v>9</v>
      </c>
      <c r="B36" s="3" t="s">
        <v>9</v>
      </c>
      <c r="C36" s="13" t="s">
        <v>9</v>
      </c>
      <c r="D36" s="3" t="s">
        <v>9</v>
      </c>
      <c r="E36" s="3" t="s">
        <v>9</v>
      </c>
      <c r="F36" s="14" t="s">
        <v>9</v>
      </c>
      <c r="G36" s="14" t="s">
        <v>9</v>
      </c>
      <c r="H36" s="164"/>
    </row>
    <row r="37" spans="1:8" x14ac:dyDescent="0.2">
      <c r="A37" s="3" t="s">
        <v>9</v>
      </c>
      <c r="B37" s="3" t="s">
        <v>9</v>
      </c>
      <c r="C37" s="4" t="s">
        <v>112</v>
      </c>
      <c r="D37" s="3" t="s">
        <v>9</v>
      </c>
      <c r="E37" s="3" t="s">
        <v>9</v>
      </c>
      <c r="F37" s="3" t="s">
        <v>9</v>
      </c>
      <c r="G37" s="3" t="s">
        <v>9</v>
      </c>
      <c r="H37" s="164"/>
    </row>
    <row r="38" spans="1:8" x14ac:dyDescent="0.2">
      <c r="A38" s="3" t="s">
        <v>9</v>
      </c>
      <c r="B38" s="3" t="s">
        <v>9</v>
      </c>
      <c r="C38" s="4" t="s">
        <v>110</v>
      </c>
      <c r="D38" s="3" t="s">
        <v>9</v>
      </c>
      <c r="E38" s="3" t="s">
        <v>9</v>
      </c>
      <c r="F38" s="15">
        <v>0</v>
      </c>
      <c r="G38" s="16">
        <v>0</v>
      </c>
      <c r="H38" s="164"/>
    </row>
    <row r="39" spans="1:8" x14ac:dyDescent="0.2">
      <c r="A39" s="3" t="s">
        <v>9</v>
      </c>
      <c r="B39" s="3" t="s">
        <v>9</v>
      </c>
      <c r="C39" s="13" t="s">
        <v>9</v>
      </c>
      <c r="D39" s="3" t="s">
        <v>9</v>
      </c>
      <c r="E39" s="3" t="s">
        <v>9</v>
      </c>
      <c r="F39" s="14" t="s">
        <v>9</v>
      </c>
      <c r="G39" s="14" t="s">
        <v>9</v>
      </c>
      <c r="H39" s="164"/>
    </row>
    <row r="40" spans="1:8" x14ac:dyDescent="0.2">
      <c r="A40" s="3" t="s">
        <v>9</v>
      </c>
      <c r="B40" s="3" t="s">
        <v>9</v>
      </c>
      <c r="C40" s="4" t="s">
        <v>113</v>
      </c>
      <c r="D40" s="3" t="s">
        <v>9</v>
      </c>
      <c r="E40" s="3" t="s">
        <v>9</v>
      </c>
      <c r="F40" s="3" t="s">
        <v>9</v>
      </c>
      <c r="G40" s="3" t="s">
        <v>9</v>
      </c>
      <c r="H40" s="164"/>
    </row>
    <row r="41" spans="1:8" x14ac:dyDescent="0.2">
      <c r="A41" s="3" t="s">
        <v>9</v>
      </c>
      <c r="B41" s="3" t="s">
        <v>9</v>
      </c>
      <c r="C41" s="4" t="s">
        <v>110</v>
      </c>
      <c r="D41" s="3" t="s">
        <v>9</v>
      </c>
      <c r="E41" s="3" t="s">
        <v>9</v>
      </c>
      <c r="F41" s="15">
        <v>0</v>
      </c>
      <c r="G41" s="16">
        <v>0</v>
      </c>
      <c r="H41" s="164"/>
    </row>
    <row r="42" spans="1:8" x14ac:dyDescent="0.2">
      <c r="A42" s="3" t="s">
        <v>9</v>
      </c>
      <c r="B42" s="3" t="s">
        <v>9</v>
      </c>
      <c r="C42" s="13" t="s">
        <v>9</v>
      </c>
      <c r="D42" s="3" t="s">
        <v>9</v>
      </c>
      <c r="E42" s="3" t="s">
        <v>9</v>
      </c>
      <c r="F42" s="14" t="s">
        <v>9</v>
      </c>
      <c r="G42" s="14" t="s">
        <v>9</v>
      </c>
      <c r="H42" s="164"/>
    </row>
    <row r="43" spans="1:8" x14ac:dyDescent="0.2">
      <c r="A43" s="3" t="s">
        <v>9</v>
      </c>
      <c r="B43" s="3" t="s">
        <v>9</v>
      </c>
      <c r="C43" s="4" t="s">
        <v>114</v>
      </c>
      <c r="D43" s="3" t="s">
        <v>9</v>
      </c>
      <c r="E43" s="3" t="s">
        <v>9</v>
      </c>
      <c r="F43" s="14" t="s">
        <v>9</v>
      </c>
      <c r="G43" s="14" t="s">
        <v>9</v>
      </c>
      <c r="H43" s="164"/>
    </row>
    <row r="44" spans="1:8" x14ac:dyDescent="0.2">
      <c r="A44" s="3" t="s">
        <v>9</v>
      </c>
      <c r="B44" s="3" t="s">
        <v>9</v>
      </c>
      <c r="C44" s="4" t="s">
        <v>110</v>
      </c>
      <c r="D44" s="3" t="s">
        <v>9</v>
      </c>
      <c r="E44" s="3" t="s">
        <v>9</v>
      </c>
      <c r="F44" s="15">
        <v>0</v>
      </c>
      <c r="G44" s="16">
        <v>0</v>
      </c>
      <c r="H44" s="164"/>
    </row>
    <row r="45" spans="1:8" x14ac:dyDescent="0.2">
      <c r="A45" s="3" t="s">
        <v>9</v>
      </c>
      <c r="B45" s="3" t="s">
        <v>9</v>
      </c>
      <c r="C45" s="13" t="s">
        <v>9</v>
      </c>
      <c r="D45" s="3" t="s">
        <v>9</v>
      </c>
      <c r="E45" s="3" t="s">
        <v>9</v>
      </c>
      <c r="F45" s="14" t="s">
        <v>9</v>
      </c>
      <c r="G45" s="14" t="s">
        <v>9</v>
      </c>
      <c r="H45" s="164"/>
    </row>
    <row r="46" spans="1:8" x14ac:dyDescent="0.2">
      <c r="A46" s="3" t="s">
        <v>9</v>
      </c>
      <c r="B46" s="3" t="s">
        <v>9</v>
      </c>
      <c r="C46" s="4" t="s">
        <v>115</v>
      </c>
      <c r="D46" s="3" t="s">
        <v>9</v>
      </c>
      <c r="E46" s="3" t="s">
        <v>9</v>
      </c>
      <c r="F46" s="14" t="s">
        <v>9</v>
      </c>
      <c r="G46" s="14" t="s">
        <v>9</v>
      </c>
      <c r="H46" s="164"/>
    </row>
    <row r="47" spans="1:8" x14ac:dyDescent="0.2">
      <c r="A47" s="3" t="s">
        <v>9</v>
      </c>
      <c r="B47" s="3" t="s">
        <v>9</v>
      </c>
      <c r="C47" s="4" t="s">
        <v>110</v>
      </c>
      <c r="D47" s="3" t="s">
        <v>9</v>
      </c>
      <c r="E47" s="3" t="s">
        <v>9</v>
      </c>
      <c r="F47" s="15">
        <v>0</v>
      </c>
      <c r="G47" s="16">
        <v>0</v>
      </c>
      <c r="H47" s="164"/>
    </row>
    <row r="48" spans="1:8" x14ac:dyDescent="0.2">
      <c r="A48" s="3" t="s">
        <v>9</v>
      </c>
      <c r="B48" s="3" t="s">
        <v>9</v>
      </c>
      <c r="C48" s="13" t="s">
        <v>9</v>
      </c>
      <c r="D48" s="3" t="s">
        <v>9</v>
      </c>
      <c r="E48" s="3" t="s">
        <v>9</v>
      </c>
      <c r="F48" s="14" t="s">
        <v>9</v>
      </c>
      <c r="G48" s="14" t="s">
        <v>9</v>
      </c>
      <c r="H48" s="164"/>
    </row>
    <row r="49" spans="1:8" x14ac:dyDescent="0.2">
      <c r="A49" s="3" t="s">
        <v>9</v>
      </c>
      <c r="B49" s="3" t="s">
        <v>9</v>
      </c>
      <c r="C49" s="4" t="s">
        <v>116</v>
      </c>
      <c r="D49" s="3" t="s">
        <v>9</v>
      </c>
      <c r="E49" s="3" t="s">
        <v>9</v>
      </c>
      <c r="F49" s="11">
        <v>37742.515540499997</v>
      </c>
      <c r="G49" s="12">
        <v>0.959126386</v>
      </c>
      <c r="H49" s="164"/>
    </row>
    <row r="50" spans="1:8" x14ac:dyDescent="0.2">
      <c r="A50" s="3" t="s">
        <v>9</v>
      </c>
      <c r="B50" s="3" t="s">
        <v>9</v>
      </c>
      <c r="C50" s="13" t="s">
        <v>9</v>
      </c>
      <c r="D50" s="3" t="s">
        <v>9</v>
      </c>
      <c r="E50" s="3" t="s">
        <v>9</v>
      </c>
      <c r="F50" s="14" t="s">
        <v>9</v>
      </c>
      <c r="G50" s="14" t="s">
        <v>9</v>
      </c>
      <c r="H50" s="164"/>
    </row>
    <row r="51" spans="1:8" x14ac:dyDescent="0.2">
      <c r="A51" s="3" t="s">
        <v>9</v>
      </c>
      <c r="B51" s="3" t="s">
        <v>9</v>
      </c>
      <c r="C51" s="4" t="s">
        <v>117</v>
      </c>
      <c r="D51" s="3" t="s">
        <v>9</v>
      </c>
      <c r="E51" s="3" t="s">
        <v>9</v>
      </c>
      <c r="F51" s="14" t="s">
        <v>9</v>
      </c>
      <c r="G51" s="14" t="s">
        <v>9</v>
      </c>
      <c r="H51" s="164"/>
    </row>
    <row r="52" spans="1:8" ht="25.5" x14ac:dyDescent="0.2">
      <c r="A52" s="3" t="s">
        <v>9</v>
      </c>
      <c r="B52" s="3" t="s">
        <v>9</v>
      </c>
      <c r="C52" s="4" t="s">
        <v>11</v>
      </c>
      <c r="D52" s="3" t="s">
        <v>9</v>
      </c>
      <c r="E52" s="3" t="s">
        <v>9</v>
      </c>
      <c r="F52" s="14" t="s">
        <v>9</v>
      </c>
      <c r="G52" s="14" t="s">
        <v>9</v>
      </c>
      <c r="H52" s="164"/>
    </row>
    <row r="53" spans="1:8" x14ac:dyDescent="0.2">
      <c r="A53" s="3" t="s">
        <v>9</v>
      </c>
      <c r="B53" s="3" t="s">
        <v>9</v>
      </c>
      <c r="C53" s="4" t="s">
        <v>110</v>
      </c>
      <c r="D53" s="3" t="s">
        <v>9</v>
      </c>
      <c r="E53" s="3" t="s">
        <v>9</v>
      </c>
      <c r="F53" s="15">
        <v>0</v>
      </c>
      <c r="G53" s="16">
        <v>0</v>
      </c>
      <c r="H53" s="164"/>
    </row>
    <row r="54" spans="1:8" x14ac:dyDescent="0.2">
      <c r="A54" s="3" t="s">
        <v>9</v>
      </c>
      <c r="B54" s="3" t="s">
        <v>9</v>
      </c>
      <c r="C54" s="13" t="s">
        <v>9</v>
      </c>
      <c r="D54" s="3" t="s">
        <v>9</v>
      </c>
      <c r="E54" s="3" t="s">
        <v>9</v>
      </c>
      <c r="F54" s="14" t="s">
        <v>9</v>
      </c>
      <c r="G54" s="14" t="s">
        <v>9</v>
      </c>
      <c r="H54" s="164"/>
    </row>
    <row r="55" spans="1:8" x14ac:dyDescent="0.2">
      <c r="A55" s="3" t="s">
        <v>9</v>
      </c>
      <c r="B55" s="3" t="s">
        <v>9</v>
      </c>
      <c r="C55" s="4" t="s">
        <v>118</v>
      </c>
      <c r="D55" s="3" t="s">
        <v>9</v>
      </c>
      <c r="E55" s="3" t="s">
        <v>9</v>
      </c>
      <c r="F55" s="3" t="s">
        <v>9</v>
      </c>
      <c r="G55" s="3" t="s">
        <v>9</v>
      </c>
      <c r="H55" s="164"/>
    </row>
    <row r="56" spans="1:8" x14ac:dyDescent="0.2">
      <c r="A56" s="3" t="s">
        <v>9</v>
      </c>
      <c r="B56" s="3" t="s">
        <v>9</v>
      </c>
      <c r="C56" s="4" t="s">
        <v>110</v>
      </c>
      <c r="D56" s="3" t="s">
        <v>9</v>
      </c>
      <c r="E56" s="3" t="s">
        <v>9</v>
      </c>
      <c r="F56" s="15">
        <v>0</v>
      </c>
      <c r="G56" s="16">
        <v>0</v>
      </c>
      <c r="H56" s="164"/>
    </row>
    <row r="57" spans="1:8" x14ac:dyDescent="0.2">
      <c r="A57" s="3" t="s">
        <v>9</v>
      </c>
      <c r="B57" s="3" t="s">
        <v>9</v>
      </c>
      <c r="C57" s="13" t="s">
        <v>9</v>
      </c>
      <c r="D57" s="3" t="s">
        <v>9</v>
      </c>
      <c r="E57" s="3" t="s">
        <v>9</v>
      </c>
      <c r="F57" s="14" t="s">
        <v>9</v>
      </c>
      <c r="G57" s="14" t="s">
        <v>9</v>
      </c>
      <c r="H57" s="164"/>
    </row>
    <row r="58" spans="1:8" x14ac:dyDescent="0.2">
      <c r="A58" s="3" t="s">
        <v>9</v>
      </c>
      <c r="B58" s="3" t="s">
        <v>9</v>
      </c>
      <c r="C58" s="4" t="s">
        <v>119</v>
      </c>
      <c r="D58" s="3" t="s">
        <v>9</v>
      </c>
      <c r="E58" s="3" t="s">
        <v>9</v>
      </c>
      <c r="F58" s="3" t="s">
        <v>9</v>
      </c>
      <c r="G58" s="3" t="s">
        <v>9</v>
      </c>
      <c r="H58" s="164"/>
    </row>
    <row r="59" spans="1:8" x14ac:dyDescent="0.2">
      <c r="A59" s="3" t="s">
        <v>9</v>
      </c>
      <c r="B59" s="3" t="s">
        <v>9</v>
      </c>
      <c r="C59" s="4" t="s">
        <v>110</v>
      </c>
      <c r="D59" s="3" t="s">
        <v>9</v>
      </c>
      <c r="E59" s="3" t="s">
        <v>9</v>
      </c>
      <c r="F59" s="15">
        <v>0</v>
      </c>
      <c r="G59" s="16">
        <v>0</v>
      </c>
      <c r="H59" s="164"/>
    </row>
    <row r="60" spans="1:8" x14ac:dyDescent="0.2">
      <c r="A60" s="3" t="s">
        <v>9</v>
      </c>
      <c r="B60" s="3" t="s">
        <v>9</v>
      </c>
      <c r="C60" s="13" t="s">
        <v>9</v>
      </c>
      <c r="D60" s="3" t="s">
        <v>9</v>
      </c>
      <c r="E60" s="3" t="s">
        <v>9</v>
      </c>
      <c r="F60" s="14" t="s">
        <v>9</v>
      </c>
      <c r="G60" s="14" t="s">
        <v>9</v>
      </c>
      <c r="H60" s="164"/>
    </row>
    <row r="61" spans="1:8" x14ac:dyDescent="0.2">
      <c r="A61" s="3" t="s">
        <v>9</v>
      </c>
      <c r="B61" s="3" t="s">
        <v>9</v>
      </c>
      <c r="C61" s="4" t="s">
        <v>120</v>
      </c>
      <c r="D61" s="3" t="s">
        <v>9</v>
      </c>
      <c r="E61" s="3" t="s">
        <v>9</v>
      </c>
      <c r="F61" s="14" t="s">
        <v>9</v>
      </c>
      <c r="G61" s="14" t="s">
        <v>9</v>
      </c>
      <c r="H61" s="164"/>
    </row>
    <row r="62" spans="1:8" x14ac:dyDescent="0.2">
      <c r="A62" s="3" t="s">
        <v>9</v>
      </c>
      <c r="B62" s="3" t="s">
        <v>9</v>
      </c>
      <c r="C62" s="4" t="s">
        <v>110</v>
      </c>
      <c r="D62" s="3" t="s">
        <v>9</v>
      </c>
      <c r="E62" s="3" t="s">
        <v>9</v>
      </c>
      <c r="F62" s="15">
        <v>0</v>
      </c>
      <c r="G62" s="16">
        <v>0</v>
      </c>
      <c r="H62" s="164"/>
    </row>
    <row r="63" spans="1:8" x14ac:dyDescent="0.2">
      <c r="A63" s="3" t="s">
        <v>9</v>
      </c>
      <c r="B63" s="3" t="s">
        <v>9</v>
      </c>
      <c r="C63" s="13" t="s">
        <v>9</v>
      </c>
      <c r="D63" s="3" t="s">
        <v>9</v>
      </c>
      <c r="E63" s="3" t="s">
        <v>9</v>
      </c>
      <c r="F63" s="14" t="s">
        <v>9</v>
      </c>
      <c r="G63" s="14" t="s">
        <v>9</v>
      </c>
      <c r="H63" s="164"/>
    </row>
    <row r="64" spans="1:8" x14ac:dyDescent="0.2">
      <c r="A64" s="3" t="s">
        <v>9</v>
      </c>
      <c r="B64" s="3" t="s">
        <v>9</v>
      </c>
      <c r="C64" s="4" t="s">
        <v>121</v>
      </c>
      <c r="D64" s="3" t="s">
        <v>9</v>
      </c>
      <c r="E64" s="3" t="s">
        <v>9</v>
      </c>
      <c r="F64" s="11">
        <v>0</v>
      </c>
      <c r="G64" s="12">
        <v>0</v>
      </c>
      <c r="H64" s="164"/>
    </row>
    <row r="65" spans="1:8" x14ac:dyDescent="0.2">
      <c r="A65" s="3" t="s">
        <v>9</v>
      </c>
      <c r="B65" s="3" t="s">
        <v>9</v>
      </c>
      <c r="C65" s="13" t="s">
        <v>9</v>
      </c>
      <c r="D65" s="3" t="s">
        <v>9</v>
      </c>
      <c r="E65" s="3" t="s">
        <v>9</v>
      </c>
      <c r="F65" s="14" t="s">
        <v>9</v>
      </c>
      <c r="G65" s="14" t="s">
        <v>9</v>
      </c>
      <c r="H65" s="164"/>
    </row>
    <row r="66" spans="1:8" x14ac:dyDescent="0.2">
      <c r="A66" s="3" t="s">
        <v>9</v>
      </c>
      <c r="B66" s="3" t="s">
        <v>9</v>
      </c>
      <c r="C66" s="4" t="s">
        <v>122</v>
      </c>
      <c r="D66" s="3" t="s">
        <v>9</v>
      </c>
      <c r="E66" s="3" t="s">
        <v>9</v>
      </c>
      <c r="F66" s="14" t="s">
        <v>9</v>
      </c>
      <c r="G66" s="14" t="s">
        <v>9</v>
      </c>
      <c r="H66" s="164"/>
    </row>
    <row r="67" spans="1:8" x14ac:dyDescent="0.2">
      <c r="A67" s="3" t="s">
        <v>9</v>
      </c>
      <c r="B67" s="3" t="s">
        <v>9</v>
      </c>
      <c r="C67" s="4" t="s">
        <v>123</v>
      </c>
      <c r="D67" s="3" t="s">
        <v>9</v>
      </c>
      <c r="E67" s="3" t="s">
        <v>9</v>
      </c>
      <c r="F67" s="14" t="s">
        <v>9</v>
      </c>
      <c r="G67" s="14" t="s">
        <v>9</v>
      </c>
      <c r="H67" s="164"/>
    </row>
    <row r="68" spans="1:8" x14ac:dyDescent="0.2">
      <c r="A68" s="3" t="s">
        <v>9</v>
      </c>
      <c r="B68" s="3" t="s">
        <v>9</v>
      </c>
      <c r="C68" s="4" t="s">
        <v>110</v>
      </c>
      <c r="D68" s="3" t="s">
        <v>9</v>
      </c>
      <c r="E68" s="3" t="s">
        <v>9</v>
      </c>
      <c r="F68" s="15">
        <v>0</v>
      </c>
      <c r="G68" s="16">
        <v>0</v>
      </c>
      <c r="H68" s="164"/>
    </row>
    <row r="69" spans="1:8" x14ac:dyDescent="0.2">
      <c r="A69" s="3" t="s">
        <v>9</v>
      </c>
      <c r="B69" s="3" t="s">
        <v>9</v>
      </c>
      <c r="C69" s="13" t="s">
        <v>9</v>
      </c>
      <c r="D69" s="3" t="s">
        <v>9</v>
      </c>
      <c r="E69" s="3" t="s">
        <v>9</v>
      </c>
      <c r="F69" s="14" t="s">
        <v>9</v>
      </c>
      <c r="G69" s="14" t="s">
        <v>9</v>
      </c>
      <c r="H69" s="164"/>
    </row>
    <row r="70" spans="1:8" x14ac:dyDescent="0.2">
      <c r="A70" s="3" t="s">
        <v>9</v>
      </c>
      <c r="B70" s="3" t="s">
        <v>9</v>
      </c>
      <c r="C70" s="4" t="s">
        <v>124</v>
      </c>
      <c r="D70" s="3" t="s">
        <v>9</v>
      </c>
      <c r="E70" s="3" t="s">
        <v>9</v>
      </c>
      <c r="F70" s="14" t="s">
        <v>9</v>
      </c>
      <c r="G70" s="14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110</v>
      </c>
      <c r="D71" s="3" t="s">
        <v>9</v>
      </c>
      <c r="E71" s="3" t="s">
        <v>9</v>
      </c>
      <c r="F71" s="15">
        <v>0</v>
      </c>
      <c r="G71" s="16">
        <v>0</v>
      </c>
      <c r="H71" s="164"/>
    </row>
    <row r="72" spans="1:8" x14ac:dyDescent="0.2">
      <c r="A72" s="3" t="s">
        <v>9</v>
      </c>
      <c r="B72" s="3" t="s">
        <v>9</v>
      </c>
      <c r="C72" s="13" t="s">
        <v>9</v>
      </c>
      <c r="D72" s="3" t="s">
        <v>9</v>
      </c>
      <c r="E72" s="3" t="s">
        <v>9</v>
      </c>
      <c r="F72" s="14" t="s">
        <v>9</v>
      </c>
      <c r="G72" s="14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125</v>
      </c>
      <c r="D73" s="3" t="s">
        <v>9</v>
      </c>
      <c r="E73" s="3" t="s">
        <v>9</v>
      </c>
      <c r="F73" s="14" t="s">
        <v>9</v>
      </c>
      <c r="G73" s="14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110</v>
      </c>
      <c r="D74" s="3" t="s">
        <v>9</v>
      </c>
      <c r="E74" s="3" t="s">
        <v>9</v>
      </c>
      <c r="F74" s="15">
        <v>0</v>
      </c>
      <c r="G74" s="16">
        <v>0</v>
      </c>
      <c r="H74" s="164"/>
    </row>
    <row r="75" spans="1:8" x14ac:dyDescent="0.2">
      <c r="A75" s="3" t="s">
        <v>9</v>
      </c>
      <c r="B75" s="3" t="s">
        <v>9</v>
      </c>
      <c r="C75" s="13" t="s">
        <v>9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126</v>
      </c>
      <c r="D76" s="3" t="s">
        <v>9</v>
      </c>
      <c r="E76" s="3" t="s">
        <v>9</v>
      </c>
      <c r="F76" s="14" t="s">
        <v>9</v>
      </c>
      <c r="G76" s="14" t="s">
        <v>9</v>
      </c>
      <c r="H76" s="164"/>
    </row>
    <row r="77" spans="1:8" x14ac:dyDescent="0.2">
      <c r="A77" s="5">
        <v>1</v>
      </c>
      <c r="B77" s="6"/>
      <c r="C77" s="6" t="s">
        <v>127</v>
      </c>
      <c r="D77" s="6"/>
      <c r="E77" s="10" t="s">
        <v>9</v>
      </c>
      <c r="F77" s="8">
        <v>1144.5850558</v>
      </c>
      <c r="G77" s="9">
        <v>2.9086607E-2</v>
      </c>
      <c r="H77" s="90">
        <v>3.22</v>
      </c>
    </row>
    <row r="78" spans="1:8" x14ac:dyDescent="0.2">
      <c r="A78" s="5">
        <v>2</v>
      </c>
      <c r="B78" s="6"/>
      <c r="C78" s="6" t="s">
        <v>128</v>
      </c>
      <c r="D78" s="6"/>
      <c r="E78" s="10" t="s">
        <v>9</v>
      </c>
      <c r="F78" s="8">
        <v>323.45421599999997</v>
      </c>
      <c r="G78" s="9">
        <v>8.2197350000000006E-3</v>
      </c>
      <c r="H78" s="90">
        <v>3.34</v>
      </c>
    </row>
    <row r="79" spans="1:8" x14ac:dyDescent="0.2">
      <c r="A79" s="3" t="s">
        <v>9</v>
      </c>
      <c r="B79" s="3" t="s">
        <v>9</v>
      </c>
      <c r="C79" s="4" t="s">
        <v>110</v>
      </c>
      <c r="D79" s="3" t="s">
        <v>9</v>
      </c>
      <c r="E79" s="3" t="s">
        <v>9</v>
      </c>
      <c r="F79" s="11">
        <v>1468.0392718000001</v>
      </c>
      <c r="G79" s="12">
        <v>3.7306341999999999E-2</v>
      </c>
      <c r="H79" s="164"/>
    </row>
    <row r="80" spans="1:8" x14ac:dyDescent="0.2">
      <c r="A80" s="3" t="s">
        <v>9</v>
      </c>
      <c r="B80" s="3" t="s">
        <v>9</v>
      </c>
      <c r="C80" s="13" t="s">
        <v>9</v>
      </c>
      <c r="D80" s="3" t="s">
        <v>9</v>
      </c>
      <c r="E80" s="3" t="s">
        <v>9</v>
      </c>
      <c r="F80" s="14" t="s">
        <v>9</v>
      </c>
      <c r="G80" s="14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129</v>
      </c>
      <c r="D81" s="3" t="s">
        <v>9</v>
      </c>
      <c r="E81" s="3" t="s">
        <v>9</v>
      </c>
      <c r="F81" s="11">
        <v>1468.0392718000001</v>
      </c>
      <c r="G81" s="12">
        <v>3.7306341999999999E-2</v>
      </c>
      <c r="H81" s="164"/>
    </row>
    <row r="82" spans="1:8" x14ac:dyDescent="0.2">
      <c r="A82" s="3" t="s">
        <v>9</v>
      </c>
      <c r="B82" s="3" t="s">
        <v>9</v>
      </c>
      <c r="C82" s="14" t="s">
        <v>9</v>
      </c>
      <c r="D82" s="3" t="s">
        <v>9</v>
      </c>
      <c r="E82" s="3" t="s">
        <v>9</v>
      </c>
      <c r="F82" s="3" t="s">
        <v>9</v>
      </c>
      <c r="G82" s="3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130</v>
      </c>
      <c r="D83" s="3" t="s">
        <v>9</v>
      </c>
      <c r="E83" s="3" t="s">
        <v>9</v>
      </c>
      <c r="F83" s="3" t="s">
        <v>9</v>
      </c>
      <c r="G83" s="3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131</v>
      </c>
      <c r="D84" s="3" t="s">
        <v>9</v>
      </c>
      <c r="E84" s="3" t="s">
        <v>9</v>
      </c>
      <c r="F84" s="3" t="s">
        <v>9</v>
      </c>
      <c r="G84" s="3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110</v>
      </c>
      <c r="D85" s="3" t="s">
        <v>9</v>
      </c>
      <c r="E85" s="3" t="s">
        <v>9</v>
      </c>
      <c r="F85" s="15">
        <v>0</v>
      </c>
      <c r="G85" s="16">
        <v>0</v>
      </c>
      <c r="H85" s="164"/>
    </row>
    <row r="86" spans="1:8" x14ac:dyDescent="0.2">
      <c r="A86" s="3" t="s">
        <v>9</v>
      </c>
      <c r="B86" s="3" t="s">
        <v>9</v>
      </c>
      <c r="C86" s="13" t="s">
        <v>9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132</v>
      </c>
      <c r="D87" s="3" t="s">
        <v>9</v>
      </c>
      <c r="E87" s="3" t="s">
        <v>9</v>
      </c>
      <c r="F87" s="3" t="s">
        <v>9</v>
      </c>
      <c r="G87" s="3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133</v>
      </c>
      <c r="D88" s="3" t="s">
        <v>9</v>
      </c>
      <c r="E88" s="3" t="s">
        <v>9</v>
      </c>
      <c r="F88" s="3" t="s">
        <v>9</v>
      </c>
      <c r="G88" s="3" t="s">
        <v>9</v>
      </c>
      <c r="H88" s="164"/>
    </row>
    <row r="89" spans="1:8" x14ac:dyDescent="0.2">
      <c r="A89" s="3" t="s">
        <v>9</v>
      </c>
      <c r="B89" s="3" t="s">
        <v>9</v>
      </c>
      <c r="C89" s="4" t="s">
        <v>110</v>
      </c>
      <c r="D89" s="3" t="s">
        <v>9</v>
      </c>
      <c r="E89" s="3" t="s">
        <v>9</v>
      </c>
      <c r="F89" s="15">
        <v>0</v>
      </c>
      <c r="G89" s="16">
        <v>0</v>
      </c>
      <c r="H89" s="164"/>
    </row>
    <row r="90" spans="1:8" x14ac:dyDescent="0.2">
      <c r="A90" s="3" t="s">
        <v>9</v>
      </c>
      <c r="B90" s="3" t="s">
        <v>9</v>
      </c>
      <c r="C90" s="13" t="s">
        <v>9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13" t="s">
        <v>9</v>
      </c>
      <c r="D91" s="3" t="s">
        <v>9</v>
      </c>
      <c r="E91" s="3" t="s">
        <v>9</v>
      </c>
      <c r="F91" s="14" t="s">
        <v>9</v>
      </c>
      <c r="G91" s="14" t="s">
        <v>9</v>
      </c>
      <c r="H91" s="164"/>
    </row>
    <row r="92" spans="1:8" ht="25.5" x14ac:dyDescent="0.2">
      <c r="A92" s="3" t="s">
        <v>9</v>
      </c>
      <c r="B92" s="3" t="s">
        <v>9</v>
      </c>
      <c r="C92" s="4" t="s">
        <v>134</v>
      </c>
      <c r="D92" s="3" t="s">
        <v>9</v>
      </c>
      <c r="E92" s="3" t="s">
        <v>9</v>
      </c>
      <c r="F92" s="14" t="s">
        <v>9</v>
      </c>
      <c r="G92" s="14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110</v>
      </c>
      <c r="D93" s="3" t="s">
        <v>9</v>
      </c>
      <c r="E93" s="3" t="s">
        <v>9</v>
      </c>
      <c r="F93" s="15">
        <v>0</v>
      </c>
      <c r="G93" s="16">
        <v>0</v>
      </c>
      <c r="H93" s="164"/>
    </row>
    <row r="94" spans="1:8" x14ac:dyDescent="0.2">
      <c r="A94" s="3" t="s">
        <v>9</v>
      </c>
      <c r="B94" s="3" t="s">
        <v>9</v>
      </c>
      <c r="C94" s="13" t="s">
        <v>9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6" t="s">
        <v>9</v>
      </c>
      <c r="C95" s="6" t="s">
        <v>9</v>
      </c>
      <c r="D95" s="4" t="s">
        <v>9</v>
      </c>
      <c r="E95" s="3" t="s">
        <v>9</v>
      </c>
      <c r="F95" s="6" t="s">
        <v>9</v>
      </c>
      <c r="G95" s="10" t="s">
        <v>9</v>
      </c>
      <c r="H95" s="164"/>
    </row>
    <row r="96" spans="1:8" x14ac:dyDescent="0.2">
      <c r="A96" s="10" t="s">
        <v>9</v>
      </c>
      <c r="B96" s="6" t="s">
        <v>9</v>
      </c>
      <c r="C96" s="6" t="s">
        <v>135</v>
      </c>
      <c r="D96" s="6" t="s">
        <v>9</v>
      </c>
      <c r="E96" s="10" t="s">
        <v>9</v>
      </c>
      <c r="F96" s="8">
        <v>140.37550608000001</v>
      </c>
      <c r="G96" s="9">
        <v>3.5672730000000001E-3</v>
      </c>
      <c r="H96" s="164"/>
    </row>
    <row r="97" spans="1:8" x14ac:dyDescent="0.2">
      <c r="A97" s="13" t="s">
        <v>9</v>
      </c>
      <c r="B97" s="13" t="s">
        <v>9</v>
      </c>
      <c r="C97" s="4" t="s">
        <v>136</v>
      </c>
      <c r="D97" s="17" t="s">
        <v>9</v>
      </c>
      <c r="E97" s="17" t="s">
        <v>9</v>
      </c>
      <c r="F97" s="11">
        <v>39350.93031838</v>
      </c>
      <c r="G97" s="12">
        <v>1.0000000010000001</v>
      </c>
      <c r="H97" s="164"/>
    </row>
    <row r="98" spans="1:8" ht="14.1" customHeight="1" x14ac:dyDescent="0.2">
      <c r="A98" s="18" t="s">
        <v>9</v>
      </c>
      <c r="B98" s="18" t="s">
        <v>9</v>
      </c>
      <c r="C98" s="18" t="s">
        <v>9</v>
      </c>
      <c r="D98" s="19" t="s">
        <v>9</v>
      </c>
      <c r="E98" s="19" t="s">
        <v>9</v>
      </c>
      <c r="F98" s="19" t="s">
        <v>9</v>
      </c>
      <c r="G98" s="19" t="s">
        <v>9</v>
      </c>
    </row>
    <row r="99" spans="1:8" ht="14.1" customHeight="1" x14ac:dyDescent="0.2">
      <c r="A99" s="20" t="s">
        <v>9</v>
      </c>
      <c r="B99" s="228" t="s">
        <v>9</v>
      </c>
      <c r="C99" s="228"/>
      <c r="D99" s="228"/>
      <c r="E99" s="228"/>
      <c r="F99" s="228"/>
      <c r="G99" s="22" t="s">
        <v>9</v>
      </c>
    </row>
    <row r="100" spans="1:8" ht="14.1" customHeight="1" x14ac:dyDescent="0.2">
      <c r="A100" s="20" t="s">
        <v>9</v>
      </c>
      <c r="B100" s="228" t="s">
        <v>9</v>
      </c>
      <c r="C100" s="228"/>
      <c r="D100" s="228"/>
      <c r="E100" s="228"/>
      <c r="F100" s="228"/>
      <c r="G100" s="22" t="s">
        <v>9</v>
      </c>
    </row>
    <row r="101" spans="1:8" ht="14.1" customHeight="1" x14ac:dyDescent="0.2">
      <c r="A101" s="20" t="s">
        <v>9</v>
      </c>
      <c r="B101" s="20" t="s">
        <v>9</v>
      </c>
      <c r="C101" s="20" t="s">
        <v>9</v>
      </c>
      <c r="D101" s="22" t="s">
        <v>9</v>
      </c>
      <c r="E101" s="22" t="s">
        <v>9</v>
      </c>
      <c r="F101" s="22" t="s">
        <v>9</v>
      </c>
      <c r="G101" s="22" t="s">
        <v>9</v>
      </c>
    </row>
    <row r="102" spans="1:8" ht="14.1" customHeight="1" x14ac:dyDescent="0.2">
      <c r="A102" s="20" t="s">
        <v>9</v>
      </c>
      <c r="B102" s="226" t="s">
        <v>138</v>
      </c>
      <c r="C102" s="227"/>
      <c r="D102" s="14" t="s">
        <v>9</v>
      </c>
      <c r="E102" s="23" t="s">
        <v>9</v>
      </c>
      <c r="F102" s="22" t="s">
        <v>9</v>
      </c>
      <c r="G102" s="22" t="s">
        <v>9</v>
      </c>
    </row>
    <row r="103" spans="1:8" ht="29.1" customHeight="1" x14ac:dyDescent="0.2">
      <c r="A103" s="20" t="s">
        <v>9</v>
      </c>
      <c r="B103" s="233" t="s">
        <v>139</v>
      </c>
      <c r="C103" s="234"/>
      <c r="D103" s="4" t="s">
        <v>140</v>
      </c>
      <c r="E103" s="23" t="s">
        <v>9</v>
      </c>
      <c r="F103" s="22" t="s">
        <v>9</v>
      </c>
      <c r="G103" s="22" t="s">
        <v>9</v>
      </c>
    </row>
    <row r="104" spans="1:8" ht="17.100000000000001" customHeight="1" x14ac:dyDescent="0.2">
      <c r="A104" s="20" t="s">
        <v>9</v>
      </c>
      <c r="B104" s="233" t="s">
        <v>141</v>
      </c>
      <c r="C104" s="234"/>
      <c r="D104" s="4" t="s">
        <v>140</v>
      </c>
      <c r="E104" s="23" t="s">
        <v>9</v>
      </c>
      <c r="F104" s="22" t="s">
        <v>9</v>
      </c>
      <c r="G104" s="22" t="s">
        <v>9</v>
      </c>
    </row>
    <row r="105" spans="1:8" ht="17.100000000000001" customHeight="1" x14ac:dyDescent="0.2">
      <c r="A105" s="20" t="s">
        <v>9</v>
      </c>
      <c r="B105" s="233" t="s">
        <v>142</v>
      </c>
      <c r="C105" s="234"/>
      <c r="D105" s="14" t="s">
        <v>9</v>
      </c>
      <c r="E105" s="23" t="s">
        <v>9</v>
      </c>
      <c r="F105" s="22" t="s">
        <v>9</v>
      </c>
      <c r="G105" s="22" t="s">
        <v>9</v>
      </c>
    </row>
    <row r="106" spans="1:8" ht="24" customHeight="1" x14ac:dyDescent="0.2">
      <c r="A106" s="24" t="s">
        <v>9</v>
      </c>
      <c r="B106" s="25" t="s">
        <v>9</v>
      </c>
      <c r="C106" s="25" t="s">
        <v>143</v>
      </c>
      <c r="D106" s="25" t="s">
        <v>144</v>
      </c>
      <c r="E106" s="24" t="s">
        <v>9</v>
      </c>
      <c r="F106" s="24" t="s">
        <v>9</v>
      </c>
      <c r="G106" s="24" t="s">
        <v>9</v>
      </c>
    </row>
    <row r="107" spans="1:8" ht="18" customHeight="1" x14ac:dyDescent="0.2">
      <c r="A107" s="24" t="s">
        <v>9</v>
      </c>
      <c r="B107" s="25" t="s">
        <v>145</v>
      </c>
      <c r="C107" s="25" t="s">
        <v>146</v>
      </c>
      <c r="D107" s="25" t="s">
        <v>147</v>
      </c>
      <c r="E107" s="24" t="s">
        <v>9</v>
      </c>
      <c r="F107" s="24" t="s">
        <v>9</v>
      </c>
      <c r="G107" s="24" t="s">
        <v>9</v>
      </c>
    </row>
    <row r="108" spans="1:8" ht="17.100000000000001" customHeight="1" x14ac:dyDescent="0.2">
      <c r="A108" s="24" t="s">
        <v>9</v>
      </c>
      <c r="B108" s="6" t="s">
        <v>148</v>
      </c>
      <c r="C108" s="26">
        <v>59.363300000000002</v>
      </c>
      <c r="D108" s="26">
        <v>60.103400000000001</v>
      </c>
      <c r="E108" s="24" t="s">
        <v>9</v>
      </c>
      <c r="F108" s="21" t="s">
        <v>9</v>
      </c>
      <c r="G108" s="27" t="s">
        <v>9</v>
      </c>
    </row>
    <row r="109" spans="1:8" ht="17.100000000000001" customHeight="1" x14ac:dyDescent="0.2">
      <c r="A109" s="24" t="s">
        <v>9</v>
      </c>
      <c r="B109" s="6" t="s">
        <v>839</v>
      </c>
      <c r="C109" s="26">
        <v>23.3142</v>
      </c>
      <c r="D109" s="26">
        <v>23.604900000000001</v>
      </c>
      <c r="E109" s="24" t="s">
        <v>9</v>
      </c>
      <c r="F109" s="21" t="s">
        <v>9</v>
      </c>
      <c r="G109" s="27" t="s">
        <v>9</v>
      </c>
    </row>
    <row r="110" spans="1:8" ht="29.1" customHeight="1" x14ac:dyDescent="0.2">
      <c r="A110" s="24" t="s">
        <v>9</v>
      </c>
      <c r="B110" s="6" t="s">
        <v>401</v>
      </c>
      <c r="C110" s="26">
        <v>61.036499999999997</v>
      </c>
      <c r="D110" s="26">
        <v>61.797499999999999</v>
      </c>
      <c r="E110" s="24" t="s">
        <v>9</v>
      </c>
      <c r="F110" s="21" t="s">
        <v>9</v>
      </c>
      <c r="G110" s="27" t="s">
        <v>9</v>
      </c>
    </row>
    <row r="111" spans="1:8" ht="29.1" customHeight="1" x14ac:dyDescent="0.2">
      <c r="A111" s="24" t="s">
        <v>9</v>
      </c>
      <c r="B111" s="6" t="s">
        <v>1004</v>
      </c>
      <c r="C111" s="26">
        <v>23.726500000000001</v>
      </c>
      <c r="D111" s="26">
        <v>24.022600000000001</v>
      </c>
      <c r="E111" s="24" t="s">
        <v>9</v>
      </c>
      <c r="F111" s="21" t="s">
        <v>9</v>
      </c>
      <c r="G111" s="27" t="s">
        <v>9</v>
      </c>
    </row>
    <row r="112" spans="1:8" ht="17.100000000000001" customHeight="1" x14ac:dyDescent="0.2">
      <c r="A112" s="24" t="s">
        <v>9</v>
      </c>
      <c r="B112" s="6" t="s">
        <v>149</v>
      </c>
      <c r="C112" s="26">
        <v>55.736499999999999</v>
      </c>
      <c r="D112" s="26">
        <v>56.3645</v>
      </c>
      <c r="E112" s="24" t="s">
        <v>9</v>
      </c>
      <c r="F112" s="21" t="s">
        <v>9</v>
      </c>
      <c r="G112" s="27" t="s">
        <v>9</v>
      </c>
    </row>
    <row r="113" spans="1:7" ht="17.100000000000001" customHeight="1" x14ac:dyDescent="0.2">
      <c r="A113" s="24" t="s">
        <v>9</v>
      </c>
      <c r="B113" s="6" t="s">
        <v>840</v>
      </c>
      <c r="C113" s="26">
        <v>21.533799999999999</v>
      </c>
      <c r="D113" s="26">
        <v>21.776399999999999</v>
      </c>
      <c r="E113" s="24" t="s">
        <v>9</v>
      </c>
      <c r="F113" s="21" t="s">
        <v>9</v>
      </c>
      <c r="G113" s="27" t="s">
        <v>9</v>
      </c>
    </row>
    <row r="114" spans="1:7" ht="14.1" customHeight="1" x14ac:dyDescent="0.2">
      <c r="A114" s="24" t="s">
        <v>9</v>
      </c>
      <c r="B114" s="24" t="s">
        <v>9</v>
      </c>
      <c r="C114" s="24" t="s">
        <v>9</v>
      </c>
      <c r="D114" s="24" t="s">
        <v>9</v>
      </c>
      <c r="E114" s="24" t="s">
        <v>9</v>
      </c>
      <c r="F114" s="24" t="s">
        <v>9</v>
      </c>
      <c r="G114" s="24" t="s">
        <v>9</v>
      </c>
    </row>
    <row r="115" spans="1:7" ht="17.100000000000001" customHeight="1" x14ac:dyDescent="0.2">
      <c r="A115" s="24" t="s">
        <v>9</v>
      </c>
      <c r="B115" s="233" t="s">
        <v>1003</v>
      </c>
      <c r="C115" s="234"/>
      <c r="D115" s="4" t="s">
        <v>140</v>
      </c>
      <c r="E115" s="24" t="s">
        <v>9</v>
      </c>
      <c r="F115" s="24" t="s">
        <v>9</v>
      </c>
      <c r="G115" s="24" t="s">
        <v>9</v>
      </c>
    </row>
    <row r="116" spans="1:7" ht="18" customHeight="1" x14ac:dyDescent="0.2">
      <c r="A116" s="24" t="s">
        <v>9</v>
      </c>
      <c r="B116" s="28" t="s">
        <v>150</v>
      </c>
      <c r="C116" s="28" t="s">
        <v>150</v>
      </c>
      <c r="D116" s="28" t="s">
        <v>9</v>
      </c>
      <c r="E116" s="24" t="s">
        <v>9</v>
      </c>
      <c r="F116" s="24" t="s">
        <v>9</v>
      </c>
      <c r="G116" s="24" t="s">
        <v>9</v>
      </c>
    </row>
    <row r="117" spans="1:7" s="169" customFormat="1" x14ac:dyDescent="0.2">
      <c r="B117" s="235" t="s">
        <v>841</v>
      </c>
      <c r="C117" s="235"/>
      <c r="D117" s="235"/>
      <c r="E117" s="235"/>
      <c r="F117" s="235"/>
    </row>
    <row r="118" spans="1:7" ht="14.1" customHeight="1" x14ac:dyDescent="0.2">
      <c r="A118" s="24" t="s">
        <v>9</v>
      </c>
      <c r="B118" s="21" t="s">
        <v>9</v>
      </c>
      <c r="C118" s="21" t="s">
        <v>9</v>
      </c>
      <c r="D118" s="24" t="s">
        <v>9</v>
      </c>
      <c r="E118" s="24" t="s">
        <v>9</v>
      </c>
      <c r="F118" s="24" t="s">
        <v>9</v>
      </c>
      <c r="G118" s="24" t="s">
        <v>9</v>
      </c>
    </row>
    <row r="119" spans="1:7" ht="29.1" customHeight="1" x14ac:dyDescent="0.2">
      <c r="A119" s="24" t="s">
        <v>9</v>
      </c>
      <c r="B119" s="233" t="s">
        <v>151</v>
      </c>
      <c r="C119" s="234"/>
      <c r="D119" s="4" t="s">
        <v>140</v>
      </c>
      <c r="E119" s="24" t="s">
        <v>9</v>
      </c>
      <c r="F119" s="24" t="s">
        <v>9</v>
      </c>
      <c r="G119" s="24" t="s">
        <v>9</v>
      </c>
    </row>
    <row r="120" spans="1:7" ht="29.1" customHeight="1" x14ac:dyDescent="0.2">
      <c r="A120" s="24" t="s">
        <v>9</v>
      </c>
      <c r="B120" s="233" t="s">
        <v>152</v>
      </c>
      <c r="C120" s="234"/>
      <c r="D120" s="4" t="s">
        <v>140</v>
      </c>
      <c r="E120" s="24" t="s">
        <v>9</v>
      </c>
      <c r="F120" s="24" t="s">
        <v>9</v>
      </c>
      <c r="G120" s="24" t="s">
        <v>9</v>
      </c>
    </row>
    <row r="121" spans="1:7" ht="17.100000000000001" customHeight="1" x14ac:dyDescent="0.2">
      <c r="A121" s="24" t="s">
        <v>9</v>
      </c>
      <c r="B121" s="233" t="s">
        <v>153</v>
      </c>
      <c r="C121" s="234"/>
      <c r="D121" s="29">
        <v>0.23111962673119313</v>
      </c>
      <c r="E121" s="24" t="s">
        <v>9</v>
      </c>
      <c r="F121" s="21" t="s">
        <v>9</v>
      </c>
      <c r="G121" s="27" t="s">
        <v>9</v>
      </c>
    </row>
    <row r="122" spans="1:7" ht="17.100000000000001" customHeight="1" x14ac:dyDescent="0.2">
      <c r="A122" s="24" t="s">
        <v>9</v>
      </c>
      <c r="B122" s="233" t="s">
        <v>154</v>
      </c>
      <c r="C122" s="234"/>
      <c r="D122" s="4" t="s">
        <v>140</v>
      </c>
      <c r="E122" s="24" t="s">
        <v>9</v>
      </c>
      <c r="F122" s="24" t="s">
        <v>9</v>
      </c>
      <c r="G122" s="24" t="s">
        <v>9</v>
      </c>
    </row>
  </sheetData>
  <mergeCells count="15">
    <mergeCell ref="B121:C121"/>
    <mergeCell ref="B122:C122"/>
    <mergeCell ref="B103:C103"/>
    <mergeCell ref="B104:C104"/>
    <mergeCell ref="B105:C105"/>
    <mergeCell ref="B115:C115"/>
    <mergeCell ref="B119:C119"/>
    <mergeCell ref="B120:C120"/>
    <mergeCell ref="B117:F117"/>
    <mergeCell ref="B102:C102"/>
    <mergeCell ref="B99:F99"/>
    <mergeCell ref="B100:F10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H134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730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20</v>
      </c>
      <c r="C7" s="6" t="s">
        <v>21</v>
      </c>
      <c r="D7" s="6" t="s">
        <v>22</v>
      </c>
      <c r="E7" s="7">
        <v>102145</v>
      </c>
      <c r="F7" s="8">
        <v>697.13962500000002</v>
      </c>
      <c r="G7" s="9">
        <v>7.8563340999999995E-2</v>
      </c>
      <c r="H7" s="164"/>
    </row>
    <row r="8" spans="1:8" x14ac:dyDescent="0.2">
      <c r="A8" s="5">
        <v>2</v>
      </c>
      <c r="B8" s="6" t="s">
        <v>407</v>
      </c>
      <c r="C8" s="6" t="s">
        <v>408</v>
      </c>
      <c r="D8" s="6" t="s">
        <v>22</v>
      </c>
      <c r="E8" s="7">
        <v>150297</v>
      </c>
      <c r="F8" s="8">
        <v>648.98244599999998</v>
      </c>
      <c r="G8" s="9">
        <v>7.3136323000000003E-2</v>
      </c>
      <c r="H8" s="164"/>
    </row>
    <row r="9" spans="1:8" x14ac:dyDescent="0.2">
      <c r="A9" s="5">
        <v>3</v>
      </c>
      <c r="B9" s="6" t="s">
        <v>357</v>
      </c>
      <c r="C9" s="6" t="s">
        <v>358</v>
      </c>
      <c r="D9" s="6" t="s">
        <v>22</v>
      </c>
      <c r="E9" s="7">
        <v>68473</v>
      </c>
      <c r="F9" s="8">
        <v>485.40509700000001</v>
      </c>
      <c r="G9" s="9">
        <v>5.4702163999999998E-2</v>
      </c>
      <c r="H9" s="164"/>
    </row>
    <row r="10" spans="1:8" x14ac:dyDescent="0.2">
      <c r="A10" s="5">
        <v>4</v>
      </c>
      <c r="B10" s="6" t="s">
        <v>12</v>
      </c>
      <c r="C10" s="6" t="s">
        <v>13</v>
      </c>
      <c r="D10" s="6" t="s">
        <v>14</v>
      </c>
      <c r="E10" s="7">
        <v>28039</v>
      </c>
      <c r="F10" s="8">
        <v>449.03056550000002</v>
      </c>
      <c r="G10" s="9">
        <v>5.0602978E-2</v>
      </c>
      <c r="H10" s="164"/>
    </row>
    <row r="11" spans="1:8" x14ac:dyDescent="0.2">
      <c r="A11" s="5">
        <v>5</v>
      </c>
      <c r="B11" s="6" t="s">
        <v>23</v>
      </c>
      <c r="C11" s="6" t="s">
        <v>24</v>
      </c>
      <c r="D11" s="6" t="s">
        <v>25</v>
      </c>
      <c r="E11" s="7">
        <v>66285</v>
      </c>
      <c r="F11" s="8">
        <v>372.28970249999998</v>
      </c>
      <c r="G11" s="9">
        <v>4.1954756000000003E-2</v>
      </c>
      <c r="H11" s="164"/>
    </row>
    <row r="12" spans="1:8" x14ac:dyDescent="0.2">
      <c r="A12" s="5">
        <v>6</v>
      </c>
      <c r="B12" s="6" t="s">
        <v>242</v>
      </c>
      <c r="C12" s="6" t="s">
        <v>243</v>
      </c>
      <c r="D12" s="6" t="s">
        <v>59</v>
      </c>
      <c r="E12" s="7">
        <v>27548</v>
      </c>
      <c r="F12" s="8">
        <v>363.89530600000001</v>
      </c>
      <c r="G12" s="9">
        <v>4.1008758999999999E-2</v>
      </c>
      <c r="H12" s="164"/>
    </row>
    <row r="13" spans="1:8" ht="25.5" x14ac:dyDescent="0.2">
      <c r="A13" s="5">
        <v>7</v>
      </c>
      <c r="B13" s="6" t="s">
        <v>405</v>
      </c>
      <c r="C13" s="6" t="s">
        <v>406</v>
      </c>
      <c r="D13" s="6" t="s">
        <v>161</v>
      </c>
      <c r="E13" s="7">
        <v>13870</v>
      </c>
      <c r="F13" s="8">
        <v>338.58750500000002</v>
      </c>
      <c r="G13" s="9">
        <v>3.8156726000000002E-2</v>
      </c>
      <c r="H13" s="164"/>
    </row>
    <row r="14" spans="1:8" x14ac:dyDescent="0.2">
      <c r="A14" s="5">
        <v>8</v>
      </c>
      <c r="B14" s="6" t="s">
        <v>355</v>
      </c>
      <c r="C14" s="6" t="s">
        <v>356</v>
      </c>
      <c r="D14" s="6" t="s">
        <v>22</v>
      </c>
      <c r="E14" s="7">
        <v>367875</v>
      </c>
      <c r="F14" s="8">
        <v>295.40362499999998</v>
      </c>
      <c r="G14" s="9">
        <v>3.3290169000000001E-2</v>
      </c>
      <c r="H14" s="164"/>
    </row>
    <row r="15" spans="1:8" x14ac:dyDescent="0.2">
      <c r="A15" s="5">
        <v>9</v>
      </c>
      <c r="B15" s="6" t="s">
        <v>53</v>
      </c>
      <c r="C15" s="6" t="s">
        <v>54</v>
      </c>
      <c r="D15" s="6" t="s">
        <v>17</v>
      </c>
      <c r="E15" s="7">
        <v>60850</v>
      </c>
      <c r="F15" s="8">
        <v>271.08674999999999</v>
      </c>
      <c r="G15" s="9">
        <v>3.0549806999999998E-2</v>
      </c>
      <c r="H15" s="164"/>
    </row>
    <row r="16" spans="1:8" x14ac:dyDescent="0.2">
      <c r="A16" s="5">
        <v>10</v>
      </c>
      <c r="B16" s="6" t="s">
        <v>74</v>
      </c>
      <c r="C16" s="6" t="s">
        <v>75</v>
      </c>
      <c r="D16" s="6" t="s">
        <v>76</v>
      </c>
      <c r="E16" s="7">
        <v>191369</v>
      </c>
      <c r="F16" s="8">
        <v>267.05543949999998</v>
      </c>
      <c r="G16" s="9">
        <v>3.0095502999999999E-2</v>
      </c>
      <c r="H16" s="164"/>
    </row>
    <row r="17" spans="1:8" x14ac:dyDescent="0.2">
      <c r="A17" s="5">
        <v>11</v>
      </c>
      <c r="B17" s="6" t="s">
        <v>334</v>
      </c>
      <c r="C17" s="6" t="s">
        <v>335</v>
      </c>
      <c r="D17" s="6" t="s">
        <v>22</v>
      </c>
      <c r="E17" s="7">
        <v>289203</v>
      </c>
      <c r="F17" s="8">
        <v>252.90802350000001</v>
      </c>
      <c r="G17" s="9">
        <v>2.8501176E-2</v>
      </c>
      <c r="H17" s="164"/>
    </row>
    <row r="18" spans="1:8" x14ac:dyDescent="0.2">
      <c r="A18" s="5">
        <v>12</v>
      </c>
      <c r="B18" s="6" t="s">
        <v>676</v>
      </c>
      <c r="C18" s="6" t="s">
        <v>677</v>
      </c>
      <c r="D18" s="6" t="s">
        <v>17</v>
      </c>
      <c r="E18" s="7">
        <v>236958</v>
      </c>
      <c r="F18" s="8">
        <v>244.422177</v>
      </c>
      <c r="G18" s="9">
        <v>2.7544873000000001E-2</v>
      </c>
      <c r="H18" s="164"/>
    </row>
    <row r="19" spans="1:8" ht="25.5" x14ac:dyDescent="0.2">
      <c r="A19" s="5">
        <v>13</v>
      </c>
      <c r="B19" s="6" t="s">
        <v>63</v>
      </c>
      <c r="C19" s="6" t="s">
        <v>64</v>
      </c>
      <c r="D19" s="6" t="s">
        <v>40</v>
      </c>
      <c r="E19" s="7">
        <v>29885</v>
      </c>
      <c r="F19" s="8">
        <v>237.36161250000001</v>
      </c>
      <c r="G19" s="9">
        <v>2.6749190999999999E-2</v>
      </c>
      <c r="H19" s="164"/>
    </row>
    <row r="20" spans="1:8" x14ac:dyDescent="0.2">
      <c r="A20" s="5">
        <v>14</v>
      </c>
      <c r="B20" s="6" t="s">
        <v>232</v>
      </c>
      <c r="C20" s="6" t="s">
        <v>233</v>
      </c>
      <c r="D20" s="6" t="s">
        <v>37</v>
      </c>
      <c r="E20" s="7">
        <v>25232</v>
      </c>
      <c r="F20" s="8">
        <v>217.916168</v>
      </c>
      <c r="G20" s="9">
        <v>2.4557809999999999E-2</v>
      </c>
      <c r="H20" s="164"/>
    </row>
    <row r="21" spans="1:8" x14ac:dyDescent="0.2">
      <c r="A21" s="5">
        <v>15</v>
      </c>
      <c r="B21" s="6" t="s">
        <v>731</v>
      </c>
      <c r="C21" s="6" t="s">
        <v>732</v>
      </c>
      <c r="D21" s="6" t="s">
        <v>346</v>
      </c>
      <c r="E21" s="7">
        <v>98000</v>
      </c>
      <c r="F21" s="8">
        <v>205.99600000000001</v>
      </c>
      <c r="G21" s="9">
        <v>2.3214479999999999E-2</v>
      </c>
      <c r="H21" s="164"/>
    </row>
    <row r="22" spans="1:8" ht="25.5" x14ac:dyDescent="0.2">
      <c r="A22" s="5">
        <v>16</v>
      </c>
      <c r="B22" s="6" t="s">
        <v>728</v>
      </c>
      <c r="C22" s="6" t="s">
        <v>729</v>
      </c>
      <c r="D22" s="6" t="s">
        <v>161</v>
      </c>
      <c r="E22" s="7">
        <v>130130</v>
      </c>
      <c r="F22" s="8">
        <v>197.01682</v>
      </c>
      <c r="G22" s="9">
        <v>2.2202581999999998E-2</v>
      </c>
      <c r="H22" s="164"/>
    </row>
    <row r="23" spans="1:8" ht="25.5" x14ac:dyDescent="0.2">
      <c r="A23" s="5">
        <v>17</v>
      </c>
      <c r="B23" s="6" t="s">
        <v>428</v>
      </c>
      <c r="C23" s="6" t="s">
        <v>429</v>
      </c>
      <c r="D23" s="6" t="s">
        <v>67</v>
      </c>
      <c r="E23" s="7">
        <v>96116</v>
      </c>
      <c r="F23" s="8">
        <v>196.98974200000001</v>
      </c>
      <c r="G23" s="9">
        <v>2.2199529999999999E-2</v>
      </c>
      <c r="H23" s="164"/>
    </row>
    <row r="24" spans="1:8" x14ac:dyDescent="0.2">
      <c r="A24" s="5">
        <v>18</v>
      </c>
      <c r="B24" s="6" t="s">
        <v>411</v>
      </c>
      <c r="C24" s="6" t="s">
        <v>412</v>
      </c>
      <c r="D24" s="6" t="s">
        <v>59</v>
      </c>
      <c r="E24" s="7">
        <v>13719</v>
      </c>
      <c r="F24" s="8">
        <v>196.77161699999999</v>
      </c>
      <c r="G24" s="9">
        <v>2.2174948999999999E-2</v>
      </c>
      <c r="H24" s="164"/>
    </row>
    <row r="25" spans="1:8" x14ac:dyDescent="0.2">
      <c r="A25" s="5">
        <v>19</v>
      </c>
      <c r="B25" s="6" t="s">
        <v>505</v>
      </c>
      <c r="C25" s="6" t="s">
        <v>400</v>
      </c>
      <c r="D25" s="6" t="s">
        <v>346</v>
      </c>
      <c r="E25" s="7">
        <v>83497</v>
      </c>
      <c r="F25" s="8">
        <v>187.24202249999999</v>
      </c>
      <c r="G25" s="9">
        <v>2.1101022000000001E-2</v>
      </c>
      <c r="H25" s="164"/>
    </row>
    <row r="26" spans="1:8" x14ac:dyDescent="0.2">
      <c r="A26" s="5">
        <v>20</v>
      </c>
      <c r="B26" s="6" t="s">
        <v>41</v>
      </c>
      <c r="C26" s="6" t="s">
        <v>42</v>
      </c>
      <c r="D26" s="6" t="s">
        <v>28</v>
      </c>
      <c r="E26" s="7">
        <v>16130</v>
      </c>
      <c r="F26" s="8">
        <v>186.96283</v>
      </c>
      <c r="G26" s="9">
        <v>2.1069559000000002E-2</v>
      </c>
      <c r="H26" s="164"/>
    </row>
    <row r="27" spans="1:8" ht="25.5" x14ac:dyDescent="0.2">
      <c r="A27" s="5">
        <v>21</v>
      </c>
      <c r="B27" s="6" t="s">
        <v>240</v>
      </c>
      <c r="C27" s="6" t="s">
        <v>241</v>
      </c>
      <c r="D27" s="6" t="s">
        <v>925</v>
      </c>
      <c r="E27" s="7">
        <v>88617</v>
      </c>
      <c r="F27" s="8">
        <v>170.27756550000001</v>
      </c>
      <c r="G27" s="9">
        <v>1.9189233E-2</v>
      </c>
      <c r="H27" s="164"/>
    </row>
    <row r="28" spans="1:8" x14ac:dyDescent="0.2">
      <c r="A28" s="5">
        <v>22</v>
      </c>
      <c r="B28" s="6" t="s">
        <v>353</v>
      </c>
      <c r="C28" s="6" t="s">
        <v>354</v>
      </c>
      <c r="D28" s="6" t="s">
        <v>50</v>
      </c>
      <c r="E28" s="7">
        <v>26338</v>
      </c>
      <c r="F28" s="8">
        <v>169.59038200000001</v>
      </c>
      <c r="G28" s="9">
        <v>1.9111791E-2</v>
      </c>
      <c r="H28" s="164"/>
    </row>
    <row r="29" spans="1:8" x14ac:dyDescent="0.2">
      <c r="A29" s="5">
        <v>23</v>
      </c>
      <c r="B29" s="6" t="s">
        <v>733</v>
      </c>
      <c r="C29" s="6" t="s">
        <v>734</v>
      </c>
      <c r="D29" s="6" t="s">
        <v>172</v>
      </c>
      <c r="E29" s="7">
        <v>8727</v>
      </c>
      <c r="F29" s="8">
        <v>166.65515550000001</v>
      </c>
      <c r="G29" s="9">
        <v>1.8781009000000001E-2</v>
      </c>
      <c r="H29" s="164"/>
    </row>
    <row r="30" spans="1:8" x14ac:dyDescent="0.2">
      <c r="A30" s="5">
        <v>24</v>
      </c>
      <c r="B30" s="6" t="s">
        <v>633</v>
      </c>
      <c r="C30" s="6" t="s">
        <v>634</v>
      </c>
      <c r="D30" s="6" t="s">
        <v>635</v>
      </c>
      <c r="E30" s="7">
        <v>82736</v>
      </c>
      <c r="F30" s="8">
        <v>149.917632</v>
      </c>
      <c r="G30" s="9">
        <v>1.6894793000000002E-2</v>
      </c>
      <c r="H30" s="164"/>
    </row>
    <row r="31" spans="1:8" x14ac:dyDescent="0.2">
      <c r="A31" s="5">
        <v>25</v>
      </c>
      <c r="B31" s="6" t="s">
        <v>332</v>
      </c>
      <c r="C31" s="6" t="s">
        <v>333</v>
      </c>
      <c r="D31" s="6" t="s">
        <v>59</v>
      </c>
      <c r="E31" s="7">
        <v>33343</v>
      </c>
      <c r="F31" s="8">
        <v>143.95840250000001</v>
      </c>
      <c r="G31" s="9">
        <v>1.6223225000000001E-2</v>
      </c>
      <c r="H31" s="164"/>
    </row>
    <row r="32" spans="1:8" x14ac:dyDescent="0.2">
      <c r="A32" s="5">
        <v>26</v>
      </c>
      <c r="B32" s="6" t="s">
        <v>103</v>
      </c>
      <c r="C32" s="6" t="s">
        <v>104</v>
      </c>
      <c r="D32" s="6" t="s">
        <v>76</v>
      </c>
      <c r="E32" s="7">
        <v>39574</v>
      </c>
      <c r="F32" s="8">
        <v>136.96561399999999</v>
      </c>
      <c r="G32" s="9">
        <v>1.5435180999999999E-2</v>
      </c>
      <c r="H32" s="164"/>
    </row>
    <row r="33" spans="1:8" x14ac:dyDescent="0.2">
      <c r="A33" s="5">
        <v>27</v>
      </c>
      <c r="B33" s="6" t="s">
        <v>636</v>
      </c>
      <c r="C33" s="6" t="s">
        <v>637</v>
      </c>
      <c r="D33" s="6" t="s">
        <v>45</v>
      </c>
      <c r="E33" s="7">
        <v>115235</v>
      </c>
      <c r="F33" s="8">
        <v>136.20777000000001</v>
      </c>
      <c r="G33" s="9">
        <v>1.5349777E-2</v>
      </c>
      <c r="H33" s="164"/>
    </row>
    <row r="34" spans="1:8" x14ac:dyDescent="0.2">
      <c r="A34" s="5">
        <v>28</v>
      </c>
      <c r="B34" s="6" t="s">
        <v>650</v>
      </c>
      <c r="C34" s="6" t="s">
        <v>651</v>
      </c>
      <c r="D34" s="6" t="s">
        <v>22</v>
      </c>
      <c r="E34" s="7">
        <v>12805</v>
      </c>
      <c r="F34" s="8">
        <v>125.61705000000001</v>
      </c>
      <c r="G34" s="9">
        <v>1.4156268E-2</v>
      </c>
      <c r="H34" s="164"/>
    </row>
    <row r="35" spans="1:8" x14ac:dyDescent="0.2">
      <c r="A35" s="5">
        <v>29</v>
      </c>
      <c r="B35" s="6" t="s">
        <v>501</v>
      </c>
      <c r="C35" s="6" t="s">
        <v>502</v>
      </c>
      <c r="D35" s="6" t="s">
        <v>88</v>
      </c>
      <c r="E35" s="7">
        <v>42223</v>
      </c>
      <c r="F35" s="8">
        <v>124.1145085</v>
      </c>
      <c r="G35" s="9">
        <v>1.398694E-2</v>
      </c>
      <c r="H35" s="164"/>
    </row>
    <row r="36" spans="1:8" x14ac:dyDescent="0.2">
      <c r="A36" s="5">
        <v>30</v>
      </c>
      <c r="B36" s="6" t="s">
        <v>72</v>
      </c>
      <c r="C36" s="6" t="s">
        <v>73</v>
      </c>
      <c r="D36" s="6" t="s">
        <v>28</v>
      </c>
      <c r="E36" s="7">
        <v>13730</v>
      </c>
      <c r="F36" s="8">
        <v>117.03452</v>
      </c>
      <c r="G36" s="9">
        <v>1.3189068999999999E-2</v>
      </c>
      <c r="H36" s="164"/>
    </row>
    <row r="37" spans="1:8" x14ac:dyDescent="0.2">
      <c r="A37" s="5">
        <v>31</v>
      </c>
      <c r="B37" s="6" t="s">
        <v>726</v>
      </c>
      <c r="C37" s="6" t="s">
        <v>727</v>
      </c>
      <c r="D37" s="6" t="s">
        <v>161</v>
      </c>
      <c r="E37" s="7">
        <v>108168</v>
      </c>
      <c r="F37" s="8">
        <v>114.54991200000001</v>
      </c>
      <c r="G37" s="9">
        <v>1.2909069E-2</v>
      </c>
      <c r="H37" s="164"/>
    </row>
    <row r="38" spans="1:8" x14ac:dyDescent="0.2">
      <c r="A38" s="5">
        <v>32</v>
      </c>
      <c r="B38" s="6" t="s">
        <v>264</v>
      </c>
      <c r="C38" s="6" t="s">
        <v>265</v>
      </c>
      <c r="D38" s="6" t="s">
        <v>266</v>
      </c>
      <c r="E38" s="7">
        <v>12900</v>
      </c>
      <c r="F38" s="8">
        <v>104.30295</v>
      </c>
      <c r="G38" s="9">
        <v>1.1754300000000001E-2</v>
      </c>
      <c r="H38" s="164"/>
    </row>
    <row r="39" spans="1:8" x14ac:dyDescent="0.2">
      <c r="A39" s="5">
        <v>33</v>
      </c>
      <c r="B39" s="6" t="s">
        <v>654</v>
      </c>
      <c r="C39" s="6" t="s">
        <v>655</v>
      </c>
      <c r="D39" s="6" t="s">
        <v>200</v>
      </c>
      <c r="E39" s="7">
        <v>9147</v>
      </c>
      <c r="F39" s="8">
        <v>101.29387800000001</v>
      </c>
      <c r="G39" s="9">
        <v>1.1415196000000001E-2</v>
      </c>
      <c r="H39" s="164"/>
    </row>
    <row r="40" spans="1:8" x14ac:dyDescent="0.2">
      <c r="A40" s="5">
        <v>34</v>
      </c>
      <c r="B40" s="6" t="s">
        <v>413</v>
      </c>
      <c r="C40" s="6" t="s">
        <v>414</v>
      </c>
      <c r="D40" s="6" t="s">
        <v>200</v>
      </c>
      <c r="E40" s="7">
        <v>12805</v>
      </c>
      <c r="F40" s="8">
        <v>99.104297500000001</v>
      </c>
      <c r="G40" s="9">
        <v>1.1168444E-2</v>
      </c>
      <c r="H40" s="164"/>
    </row>
    <row r="41" spans="1:8" x14ac:dyDescent="0.2">
      <c r="A41" s="5">
        <v>35</v>
      </c>
      <c r="B41" s="6" t="s">
        <v>546</v>
      </c>
      <c r="C41" s="6" t="s">
        <v>547</v>
      </c>
      <c r="D41" s="6" t="s">
        <v>22</v>
      </c>
      <c r="E41" s="7">
        <v>62204</v>
      </c>
      <c r="F41" s="8">
        <v>86.463560000000001</v>
      </c>
      <c r="G41" s="9">
        <v>9.7439109999999992E-3</v>
      </c>
      <c r="H41" s="164"/>
    </row>
    <row r="42" spans="1:8" x14ac:dyDescent="0.2">
      <c r="A42" s="5">
        <v>36</v>
      </c>
      <c r="B42" s="6" t="s">
        <v>301</v>
      </c>
      <c r="C42" s="6" t="s">
        <v>302</v>
      </c>
      <c r="D42" s="6" t="s">
        <v>930</v>
      </c>
      <c r="E42" s="7">
        <v>219457</v>
      </c>
      <c r="F42" s="8">
        <v>82.076918000000006</v>
      </c>
      <c r="G42" s="9">
        <v>9.2495630000000006E-3</v>
      </c>
      <c r="H42" s="164"/>
    </row>
    <row r="43" spans="1:8" ht="25.5" x14ac:dyDescent="0.2">
      <c r="A43" s="5">
        <v>37</v>
      </c>
      <c r="B43" s="6" t="s">
        <v>735</v>
      </c>
      <c r="C43" s="6" t="s">
        <v>736</v>
      </c>
      <c r="D43" s="6" t="s">
        <v>925</v>
      </c>
      <c r="E43" s="7">
        <v>20364</v>
      </c>
      <c r="F43" s="8">
        <v>68.199036000000007</v>
      </c>
      <c r="G43" s="9">
        <v>7.6856110000000002E-3</v>
      </c>
      <c r="H43" s="164"/>
    </row>
    <row r="44" spans="1:8" x14ac:dyDescent="0.2">
      <c r="A44" s="5">
        <v>38</v>
      </c>
      <c r="B44" s="6" t="s">
        <v>737</v>
      </c>
      <c r="C44" s="6" t="s">
        <v>738</v>
      </c>
      <c r="D44" s="6" t="s">
        <v>22</v>
      </c>
      <c r="E44" s="7">
        <v>178000</v>
      </c>
      <c r="F44" s="8">
        <v>67.551000000000002</v>
      </c>
      <c r="G44" s="9">
        <v>7.6125819999999997E-3</v>
      </c>
      <c r="H44" s="164"/>
    </row>
    <row r="45" spans="1:8" x14ac:dyDescent="0.2">
      <c r="A45" s="3" t="s">
        <v>9</v>
      </c>
      <c r="B45" s="3" t="s">
        <v>9</v>
      </c>
      <c r="C45" s="4" t="s">
        <v>110</v>
      </c>
      <c r="D45" s="3" t="s">
        <v>9</v>
      </c>
      <c r="E45" s="3" t="s">
        <v>9</v>
      </c>
      <c r="F45" s="11">
        <v>8476.3432255000007</v>
      </c>
      <c r="G45" s="12">
        <v>0.95523166000000004</v>
      </c>
      <c r="H45" s="164"/>
    </row>
    <row r="46" spans="1:8" x14ac:dyDescent="0.2">
      <c r="A46" s="3" t="s">
        <v>9</v>
      </c>
      <c r="B46" s="3" t="s">
        <v>9</v>
      </c>
      <c r="C46" s="13" t="s">
        <v>9</v>
      </c>
      <c r="D46" s="3" t="s">
        <v>9</v>
      </c>
      <c r="E46" s="3" t="s">
        <v>9</v>
      </c>
      <c r="F46" s="14" t="s">
        <v>9</v>
      </c>
      <c r="G46" s="14" t="s">
        <v>9</v>
      </c>
      <c r="H46" s="164"/>
    </row>
    <row r="47" spans="1:8" x14ac:dyDescent="0.2">
      <c r="A47" s="3" t="s">
        <v>9</v>
      </c>
      <c r="B47" s="3" t="s">
        <v>9</v>
      </c>
      <c r="C47" s="4" t="s">
        <v>111</v>
      </c>
      <c r="D47" s="3" t="s">
        <v>9</v>
      </c>
      <c r="E47" s="3" t="s">
        <v>9</v>
      </c>
      <c r="F47" s="3" t="s">
        <v>9</v>
      </c>
      <c r="G47" s="3" t="s">
        <v>9</v>
      </c>
      <c r="H47" s="164"/>
    </row>
    <row r="48" spans="1:8" x14ac:dyDescent="0.2">
      <c r="A48" s="3" t="s">
        <v>9</v>
      </c>
      <c r="B48" s="3" t="s">
        <v>9</v>
      </c>
      <c r="C48" s="4" t="s">
        <v>110</v>
      </c>
      <c r="D48" s="3" t="s">
        <v>9</v>
      </c>
      <c r="E48" s="3" t="s">
        <v>9</v>
      </c>
      <c r="F48" s="15">
        <v>0</v>
      </c>
      <c r="G48" s="16">
        <v>0</v>
      </c>
      <c r="H48" s="164"/>
    </row>
    <row r="49" spans="1:8" x14ac:dyDescent="0.2">
      <c r="A49" s="3" t="s">
        <v>9</v>
      </c>
      <c r="B49" s="3" t="s">
        <v>9</v>
      </c>
      <c r="C49" s="13" t="s">
        <v>9</v>
      </c>
      <c r="D49" s="3" t="s">
        <v>9</v>
      </c>
      <c r="E49" s="3" t="s">
        <v>9</v>
      </c>
      <c r="F49" s="14" t="s">
        <v>9</v>
      </c>
      <c r="G49" s="14" t="s">
        <v>9</v>
      </c>
      <c r="H49" s="164"/>
    </row>
    <row r="50" spans="1:8" x14ac:dyDescent="0.2">
      <c r="A50" s="3" t="s">
        <v>9</v>
      </c>
      <c r="B50" s="3" t="s">
        <v>9</v>
      </c>
      <c r="C50" s="4" t="s">
        <v>112</v>
      </c>
      <c r="D50" s="3" t="s">
        <v>9</v>
      </c>
      <c r="E50" s="3" t="s">
        <v>9</v>
      </c>
      <c r="F50" s="3" t="s">
        <v>9</v>
      </c>
      <c r="G50" s="3" t="s">
        <v>9</v>
      </c>
      <c r="H50" s="164"/>
    </row>
    <row r="51" spans="1:8" x14ac:dyDescent="0.2">
      <c r="A51" s="3" t="s">
        <v>9</v>
      </c>
      <c r="B51" s="3" t="s">
        <v>9</v>
      </c>
      <c r="C51" s="4" t="s">
        <v>110</v>
      </c>
      <c r="D51" s="3" t="s">
        <v>9</v>
      </c>
      <c r="E51" s="3" t="s">
        <v>9</v>
      </c>
      <c r="F51" s="15">
        <v>0</v>
      </c>
      <c r="G51" s="16">
        <v>0</v>
      </c>
      <c r="H51" s="164"/>
    </row>
    <row r="52" spans="1:8" x14ac:dyDescent="0.2">
      <c r="A52" s="3" t="s">
        <v>9</v>
      </c>
      <c r="B52" s="3" t="s">
        <v>9</v>
      </c>
      <c r="C52" s="13" t="s">
        <v>9</v>
      </c>
      <c r="D52" s="3" t="s">
        <v>9</v>
      </c>
      <c r="E52" s="3" t="s">
        <v>9</v>
      </c>
      <c r="F52" s="14" t="s">
        <v>9</v>
      </c>
      <c r="G52" s="14" t="s">
        <v>9</v>
      </c>
      <c r="H52" s="164"/>
    </row>
    <row r="53" spans="1:8" x14ac:dyDescent="0.2">
      <c r="A53" s="3" t="s">
        <v>9</v>
      </c>
      <c r="B53" s="3" t="s">
        <v>9</v>
      </c>
      <c r="C53" s="4" t="s">
        <v>113</v>
      </c>
      <c r="D53" s="3" t="s">
        <v>9</v>
      </c>
      <c r="E53" s="3" t="s">
        <v>9</v>
      </c>
      <c r="F53" s="3" t="s">
        <v>9</v>
      </c>
      <c r="G53" s="3" t="s">
        <v>9</v>
      </c>
      <c r="H53" s="164"/>
    </row>
    <row r="54" spans="1:8" x14ac:dyDescent="0.2">
      <c r="A54" s="3" t="s">
        <v>9</v>
      </c>
      <c r="B54" s="3" t="s">
        <v>9</v>
      </c>
      <c r="C54" s="4" t="s">
        <v>110</v>
      </c>
      <c r="D54" s="3" t="s">
        <v>9</v>
      </c>
      <c r="E54" s="3" t="s">
        <v>9</v>
      </c>
      <c r="F54" s="15">
        <v>0</v>
      </c>
      <c r="G54" s="16">
        <v>0</v>
      </c>
      <c r="H54" s="164"/>
    </row>
    <row r="55" spans="1:8" x14ac:dyDescent="0.2">
      <c r="A55" s="3" t="s">
        <v>9</v>
      </c>
      <c r="B55" s="3" t="s">
        <v>9</v>
      </c>
      <c r="C55" s="13" t="s">
        <v>9</v>
      </c>
      <c r="D55" s="3" t="s">
        <v>9</v>
      </c>
      <c r="E55" s="3" t="s">
        <v>9</v>
      </c>
      <c r="F55" s="14" t="s">
        <v>9</v>
      </c>
      <c r="G55" s="14" t="s">
        <v>9</v>
      </c>
      <c r="H55" s="164"/>
    </row>
    <row r="56" spans="1:8" x14ac:dyDescent="0.2">
      <c r="A56" s="3" t="s">
        <v>9</v>
      </c>
      <c r="B56" s="3" t="s">
        <v>9</v>
      </c>
      <c r="C56" s="4" t="s">
        <v>114</v>
      </c>
      <c r="D56" s="3" t="s">
        <v>9</v>
      </c>
      <c r="E56" s="3" t="s">
        <v>9</v>
      </c>
      <c r="F56" s="14" t="s">
        <v>9</v>
      </c>
      <c r="G56" s="14" t="s">
        <v>9</v>
      </c>
      <c r="H56" s="164"/>
    </row>
    <row r="57" spans="1:8" s="168" customFormat="1" ht="25.5" x14ac:dyDescent="0.2">
      <c r="A57" s="5">
        <v>1</v>
      </c>
      <c r="B57" s="6" t="s">
        <v>990</v>
      </c>
      <c r="C57" s="6" t="s">
        <v>991</v>
      </c>
      <c r="D57" s="6" t="s">
        <v>161</v>
      </c>
      <c r="E57" s="7">
        <v>12000</v>
      </c>
      <c r="F57" s="8">
        <v>81.599999999999994</v>
      </c>
      <c r="G57" s="9">
        <v>9.1958200000000004E-3</v>
      </c>
      <c r="H57" s="164"/>
    </row>
    <row r="58" spans="1:8" x14ac:dyDescent="0.2">
      <c r="A58" s="3" t="s">
        <v>9</v>
      </c>
      <c r="B58" s="3" t="s">
        <v>9</v>
      </c>
      <c r="C58" s="4" t="s">
        <v>110</v>
      </c>
      <c r="D58" s="3" t="s">
        <v>9</v>
      </c>
      <c r="E58" s="3" t="s">
        <v>9</v>
      </c>
      <c r="F58" s="15">
        <v>81.599999999999994</v>
      </c>
      <c r="G58" s="16">
        <v>9.1958200000000004E-3</v>
      </c>
      <c r="H58" s="164"/>
    </row>
    <row r="59" spans="1:8" x14ac:dyDescent="0.2">
      <c r="A59" s="3" t="s">
        <v>9</v>
      </c>
      <c r="B59" s="3" t="s">
        <v>9</v>
      </c>
      <c r="C59" s="13" t="s">
        <v>9</v>
      </c>
      <c r="D59" s="3" t="s">
        <v>9</v>
      </c>
      <c r="E59" s="3" t="s">
        <v>9</v>
      </c>
      <c r="F59" s="14" t="s">
        <v>9</v>
      </c>
      <c r="G59" s="14" t="s">
        <v>9</v>
      </c>
      <c r="H59" s="164"/>
    </row>
    <row r="60" spans="1:8" x14ac:dyDescent="0.2">
      <c r="A60" s="3" t="s">
        <v>9</v>
      </c>
      <c r="B60" s="3" t="s">
        <v>9</v>
      </c>
      <c r="C60" s="4" t="s">
        <v>115</v>
      </c>
      <c r="D60" s="3" t="s">
        <v>9</v>
      </c>
      <c r="E60" s="3" t="s">
        <v>9</v>
      </c>
      <c r="F60" s="14" t="s">
        <v>9</v>
      </c>
      <c r="G60" s="14" t="s">
        <v>9</v>
      </c>
      <c r="H60" s="164"/>
    </row>
    <row r="61" spans="1:8" x14ac:dyDescent="0.2">
      <c r="A61" s="3" t="s">
        <v>9</v>
      </c>
      <c r="B61" s="3" t="s">
        <v>9</v>
      </c>
      <c r="C61" s="4" t="s">
        <v>110</v>
      </c>
      <c r="D61" s="3" t="s">
        <v>9</v>
      </c>
      <c r="E61" s="3" t="s">
        <v>9</v>
      </c>
      <c r="F61" s="15">
        <v>0</v>
      </c>
      <c r="G61" s="16">
        <v>0</v>
      </c>
      <c r="H61" s="164"/>
    </row>
    <row r="62" spans="1:8" x14ac:dyDescent="0.2">
      <c r="A62" s="3" t="s">
        <v>9</v>
      </c>
      <c r="B62" s="3" t="s">
        <v>9</v>
      </c>
      <c r="C62" s="13" t="s">
        <v>9</v>
      </c>
      <c r="D62" s="3" t="s">
        <v>9</v>
      </c>
      <c r="E62" s="3" t="s">
        <v>9</v>
      </c>
      <c r="F62" s="14" t="s">
        <v>9</v>
      </c>
      <c r="G62" s="14" t="s">
        <v>9</v>
      </c>
      <c r="H62" s="164"/>
    </row>
    <row r="63" spans="1:8" x14ac:dyDescent="0.2">
      <c r="A63" s="3" t="s">
        <v>9</v>
      </c>
      <c r="B63" s="3" t="s">
        <v>9</v>
      </c>
      <c r="C63" s="4" t="s">
        <v>116</v>
      </c>
      <c r="D63" s="3" t="s">
        <v>9</v>
      </c>
      <c r="E63" s="3" t="s">
        <v>9</v>
      </c>
      <c r="F63" s="11">
        <v>8557.9432255000011</v>
      </c>
      <c r="G63" s="12">
        <v>0.96442748</v>
      </c>
      <c r="H63" s="164"/>
    </row>
    <row r="64" spans="1:8" x14ac:dyDescent="0.2">
      <c r="A64" s="3" t="s">
        <v>9</v>
      </c>
      <c r="B64" s="3" t="s">
        <v>9</v>
      </c>
      <c r="C64" s="13" t="s">
        <v>9</v>
      </c>
      <c r="D64" s="3" t="s">
        <v>9</v>
      </c>
      <c r="E64" s="3" t="s">
        <v>9</v>
      </c>
      <c r="F64" s="14" t="s">
        <v>9</v>
      </c>
      <c r="G64" s="14" t="s">
        <v>9</v>
      </c>
      <c r="H64" s="164"/>
    </row>
    <row r="65" spans="1:8" x14ac:dyDescent="0.2">
      <c r="A65" s="3" t="s">
        <v>9</v>
      </c>
      <c r="B65" s="3" t="s">
        <v>9</v>
      </c>
      <c r="C65" s="4" t="s">
        <v>117</v>
      </c>
      <c r="D65" s="3" t="s">
        <v>9</v>
      </c>
      <c r="E65" s="3" t="s">
        <v>9</v>
      </c>
      <c r="F65" s="14" t="s">
        <v>9</v>
      </c>
      <c r="G65" s="14" t="s">
        <v>9</v>
      </c>
      <c r="H65" s="164"/>
    </row>
    <row r="66" spans="1:8" ht="25.5" x14ac:dyDescent="0.2">
      <c r="A66" s="3" t="s">
        <v>9</v>
      </c>
      <c r="B66" s="3" t="s">
        <v>9</v>
      </c>
      <c r="C66" s="4" t="s">
        <v>11</v>
      </c>
      <c r="D66" s="3" t="s">
        <v>9</v>
      </c>
      <c r="E66" s="3" t="s">
        <v>9</v>
      </c>
      <c r="F66" s="14" t="s">
        <v>9</v>
      </c>
      <c r="G66" s="14" t="s">
        <v>9</v>
      </c>
      <c r="H66" s="164"/>
    </row>
    <row r="67" spans="1:8" x14ac:dyDescent="0.2">
      <c r="A67" s="3" t="s">
        <v>9</v>
      </c>
      <c r="B67" s="3" t="s">
        <v>9</v>
      </c>
      <c r="C67" s="4" t="s">
        <v>110</v>
      </c>
      <c r="D67" s="3" t="s">
        <v>9</v>
      </c>
      <c r="E67" s="3" t="s">
        <v>9</v>
      </c>
      <c r="F67" s="15">
        <v>0</v>
      </c>
      <c r="G67" s="16">
        <v>0</v>
      </c>
      <c r="H67" s="164"/>
    </row>
    <row r="68" spans="1:8" x14ac:dyDescent="0.2">
      <c r="A68" s="3" t="s">
        <v>9</v>
      </c>
      <c r="B68" s="3" t="s">
        <v>9</v>
      </c>
      <c r="C68" s="13" t="s">
        <v>9</v>
      </c>
      <c r="D68" s="3" t="s">
        <v>9</v>
      </c>
      <c r="E68" s="3" t="s">
        <v>9</v>
      </c>
      <c r="F68" s="14" t="s">
        <v>9</v>
      </c>
      <c r="G68" s="14" t="s">
        <v>9</v>
      </c>
      <c r="H68" s="164"/>
    </row>
    <row r="69" spans="1:8" x14ac:dyDescent="0.2">
      <c r="A69" s="3" t="s">
        <v>9</v>
      </c>
      <c r="B69" s="3" t="s">
        <v>9</v>
      </c>
      <c r="C69" s="4" t="s">
        <v>118</v>
      </c>
      <c r="D69" s="3" t="s">
        <v>9</v>
      </c>
      <c r="E69" s="3" t="s">
        <v>9</v>
      </c>
      <c r="F69" s="3" t="s">
        <v>9</v>
      </c>
      <c r="G69" s="3" t="s">
        <v>9</v>
      </c>
      <c r="H69" s="164"/>
    </row>
    <row r="70" spans="1:8" x14ac:dyDescent="0.2">
      <c r="A70" s="3" t="s">
        <v>9</v>
      </c>
      <c r="B70" s="3" t="s">
        <v>9</v>
      </c>
      <c r="C70" s="4" t="s">
        <v>110</v>
      </c>
      <c r="D70" s="3" t="s">
        <v>9</v>
      </c>
      <c r="E70" s="3" t="s">
        <v>9</v>
      </c>
      <c r="F70" s="15">
        <v>0</v>
      </c>
      <c r="G70" s="16">
        <v>0</v>
      </c>
      <c r="H70" s="164"/>
    </row>
    <row r="71" spans="1:8" x14ac:dyDescent="0.2">
      <c r="A71" s="3" t="s">
        <v>9</v>
      </c>
      <c r="B71" s="3" t="s">
        <v>9</v>
      </c>
      <c r="C71" s="13" t="s">
        <v>9</v>
      </c>
      <c r="D71" s="3" t="s">
        <v>9</v>
      </c>
      <c r="E71" s="3" t="s">
        <v>9</v>
      </c>
      <c r="F71" s="14" t="s">
        <v>9</v>
      </c>
      <c r="G71" s="14" t="s">
        <v>9</v>
      </c>
      <c r="H71" s="164"/>
    </row>
    <row r="72" spans="1:8" x14ac:dyDescent="0.2">
      <c r="A72" s="3" t="s">
        <v>9</v>
      </c>
      <c r="B72" s="3" t="s">
        <v>9</v>
      </c>
      <c r="C72" s="4" t="s">
        <v>119</v>
      </c>
      <c r="D72" s="3" t="s">
        <v>9</v>
      </c>
      <c r="E72" s="3" t="s">
        <v>9</v>
      </c>
      <c r="F72" s="3" t="s">
        <v>9</v>
      </c>
      <c r="G72" s="3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110</v>
      </c>
      <c r="D73" s="3" t="s">
        <v>9</v>
      </c>
      <c r="E73" s="3" t="s">
        <v>9</v>
      </c>
      <c r="F73" s="15">
        <v>0</v>
      </c>
      <c r="G73" s="16">
        <v>0</v>
      </c>
      <c r="H73" s="164"/>
    </row>
    <row r="74" spans="1:8" x14ac:dyDescent="0.2">
      <c r="A74" s="3" t="s">
        <v>9</v>
      </c>
      <c r="B74" s="3" t="s">
        <v>9</v>
      </c>
      <c r="C74" s="13" t="s">
        <v>9</v>
      </c>
      <c r="D74" s="3" t="s">
        <v>9</v>
      </c>
      <c r="E74" s="3" t="s">
        <v>9</v>
      </c>
      <c r="F74" s="14" t="s">
        <v>9</v>
      </c>
      <c r="G74" s="14" t="s">
        <v>9</v>
      </c>
      <c r="H74" s="164"/>
    </row>
    <row r="75" spans="1:8" x14ac:dyDescent="0.2">
      <c r="A75" s="3" t="s">
        <v>9</v>
      </c>
      <c r="B75" s="3" t="s">
        <v>9</v>
      </c>
      <c r="C75" s="4" t="s">
        <v>120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110</v>
      </c>
      <c r="D76" s="3" t="s">
        <v>9</v>
      </c>
      <c r="E76" s="3" t="s">
        <v>9</v>
      </c>
      <c r="F76" s="15">
        <v>0</v>
      </c>
      <c r="G76" s="16">
        <v>0</v>
      </c>
      <c r="H76" s="164"/>
    </row>
    <row r="77" spans="1:8" x14ac:dyDescent="0.2">
      <c r="A77" s="3" t="s">
        <v>9</v>
      </c>
      <c r="B77" s="3" t="s">
        <v>9</v>
      </c>
      <c r="C77" s="13" t="s">
        <v>9</v>
      </c>
      <c r="D77" s="3" t="s">
        <v>9</v>
      </c>
      <c r="E77" s="3" t="s">
        <v>9</v>
      </c>
      <c r="F77" s="14" t="s">
        <v>9</v>
      </c>
      <c r="G77" s="14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121</v>
      </c>
      <c r="D78" s="3" t="s">
        <v>9</v>
      </c>
      <c r="E78" s="3" t="s">
        <v>9</v>
      </c>
      <c r="F78" s="11">
        <v>0</v>
      </c>
      <c r="G78" s="12">
        <v>0</v>
      </c>
      <c r="H78" s="164"/>
    </row>
    <row r="79" spans="1:8" x14ac:dyDescent="0.2">
      <c r="A79" s="3" t="s">
        <v>9</v>
      </c>
      <c r="B79" s="3" t="s">
        <v>9</v>
      </c>
      <c r="C79" s="13" t="s">
        <v>9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122</v>
      </c>
      <c r="D80" s="3" t="s">
        <v>9</v>
      </c>
      <c r="E80" s="3" t="s">
        <v>9</v>
      </c>
      <c r="F80" s="14" t="s">
        <v>9</v>
      </c>
      <c r="G80" s="14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123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110</v>
      </c>
      <c r="D82" s="3" t="s">
        <v>9</v>
      </c>
      <c r="E82" s="3" t="s">
        <v>9</v>
      </c>
      <c r="F82" s="15">
        <v>0</v>
      </c>
      <c r="G82" s="16">
        <v>0</v>
      </c>
      <c r="H82" s="164"/>
    </row>
    <row r="83" spans="1:8" x14ac:dyDescent="0.2">
      <c r="A83" s="3" t="s">
        <v>9</v>
      </c>
      <c r="B83" s="3" t="s">
        <v>9</v>
      </c>
      <c r="C83" s="13" t="s">
        <v>9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124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110</v>
      </c>
      <c r="D85" s="3" t="s">
        <v>9</v>
      </c>
      <c r="E85" s="3" t="s">
        <v>9</v>
      </c>
      <c r="F85" s="15">
        <v>0</v>
      </c>
      <c r="G85" s="16">
        <v>0</v>
      </c>
      <c r="H85" s="164"/>
    </row>
    <row r="86" spans="1:8" x14ac:dyDescent="0.2">
      <c r="A86" s="3" t="s">
        <v>9</v>
      </c>
      <c r="B86" s="3" t="s">
        <v>9</v>
      </c>
      <c r="C86" s="13" t="s">
        <v>9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125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110</v>
      </c>
      <c r="D88" s="3" t="s">
        <v>9</v>
      </c>
      <c r="E88" s="3" t="s">
        <v>9</v>
      </c>
      <c r="F88" s="15">
        <v>0</v>
      </c>
      <c r="G88" s="16">
        <v>0</v>
      </c>
      <c r="H88" s="164"/>
    </row>
    <row r="89" spans="1:8" x14ac:dyDescent="0.2">
      <c r="A89" s="3" t="s">
        <v>9</v>
      </c>
      <c r="B89" s="3" t="s">
        <v>9</v>
      </c>
      <c r="C89" s="13" t="s">
        <v>9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126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5">
        <v>1</v>
      </c>
      <c r="B91" s="6"/>
      <c r="C91" s="6" t="s">
        <v>127</v>
      </c>
      <c r="D91" s="6"/>
      <c r="E91" s="10" t="s">
        <v>9</v>
      </c>
      <c r="F91" s="8">
        <v>255.3541362</v>
      </c>
      <c r="G91" s="9">
        <v>2.8776837999999999E-2</v>
      </c>
      <c r="H91" s="90">
        <v>3.22</v>
      </c>
    </row>
    <row r="92" spans="1:8" x14ac:dyDescent="0.2">
      <c r="A92" s="5">
        <v>2</v>
      </c>
      <c r="B92" s="6"/>
      <c r="C92" s="6" t="s">
        <v>128</v>
      </c>
      <c r="D92" s="6"/>
      <c r="E92" s="10" t="s">
        <v>9</v>
      </c>
      <c r="F92" s="8">
        <v>72.161854599999998</v>
      </c>
      <c r="G92" s="9">
        <v>8.1321959999999995E-3</v>
      </c>
      <c r="H92" s="90">
        <v>3.34</v>
      </c>
    </row>
    <row r="93" spans="1:8" x14ac:dyDescent="0.2">
      <c r="A93" s="3" t="s">
        <v>9</v>
      </c>
      <c r="B93" s="3" t="s">
        <v>9</v>
      </c>
      <c r="C93" s="4" t="s">
        <v>110</v>
      </c>
      <c r="D93" s="3" t="s">
        <v>9</v>
      </c>
      <c r="E93" s="3" t="s">
        <v>9</v>
      </c>
      <c r="F93" s="11">
        <v>327.5159908</v>
      </c>
      <c r="G93" s="12">
        <v>3.6909034E-2</v>
      </c>
      <c r="H93" s="164"/>
    </row>
    <row r="94" spans="1:8" x14ac:dyDescent="0.2">
      <c r="A94" s="3" t="s">
        <v>9</v>
      </c>
      <c r="B94" s="3" t="s">
        <v>9</v>
      </c>
      <c r="C94" s="13" t="s">
        <v>9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129</v>
      </c>
      <c r="D95" s="3" t="s">
        <v>9</v>
      </c>
      <c r="E95" s="3" t="s">
        <v>9</v>
      </c>
      <c r="F95" s="11">
        <v>327.5159908</v>
      </c>
      <c r="G95" s="12">
        <v>3.6909034E-2</v>
      </c>
      <c r="H95" s="164"/>
    </row>
    <row r="96" spans="1:8" x14ac:dyDescent="0.2">
      <c r="A96" s="3" t="s">
        <v>9</v>
      </c>
      <c r="B96" s="3" t="s">
        <v>9</v>
      </c>
      <c r="C96" s="14" t="s">
        <v>9</v>
      </c>
      <c r="D96" s="3" t="s">
        <v>9</v>
      </c>
      <c r="E96" s="3" t="s">
        <v>9</v>
      </c>
      <c r="F96" s="3" t="s">
        <v>9</v>
      </c>
      <c r="G96" s="3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130</v>
      </c>
      <c r="D97" s="3" t="s">
        <v>9</v>
      </c>
      <c r="E97" s="3" t="s">
        <v>9</v>
      </c>
      <c r="F97" s="3" t="s">
        <v>9</v>
      </c>
      <c r="G97" s="3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131</v>
      </c>
      <c r="D98" s="3" t="s">
        <v>9</v>
      </c>
      <c r="E98" s="3" t="s">
        <v>9</v>
      </c>
      <c r="F98" s="3" t="s">
        <v>9</v>
      </c>
      <c r="G98" s="3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110</v>
      </c>
      <c r="D99" s="3" t="s">
        <v>9</v>
      </c>
      <c r="E99" s="3" t="s">
        <v>9</v>
      </c>
      <c r="F99" s="15">
        <v>0</v>
      </c>
      <c r="G99" s="16">
        <v>0</v>
      </c>
      <c r="H99" s="164"/>
    </row>
    <row r="100" spans="1:8" x14ac:dyDescent="0.2">
      <c r="A100" s="3" t="s">
        <v>9</v>
      </c>
      <c r="B100" s="3" t="s">
        <v>9</v>
      </c>
      <c r="C100" s="13" t="s">
        <v>9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132</v>
      </c>
      <c r="D101" s="3" t="s">
        <v>9</v>
      </c>
      <c r="E101" s="3" t="s">
        <v>9</v>
      </c>
      <c r="F101" s="3" t="s">
        <v>9</v>
      </c>
      <c r="G101" s="3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133</v>
      </c>
      <c r="D102" s="3" t="s">
        <v>9</v>
      </c>
      <c r="E102" s="3" t="s">
        <v>9</v>
      </c>
      <c r="F102" s="3" t="s">
        <v>9</v>
      </c>
      <c r="G102" s="3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110</v>
      </c>
      <c r="D103" s="3" t="s">
        <v>9</v>
      </c>
      <c r="E103" s="3" t="s">
        <v>9</v>
      </c>
      <c r="F103" s="15">
        <v>0</v>
      </c>
      <c r="G103" s="16">
        <v>0</v>
      </c>
      <c r="H103" s="164"/>
    </row>
    <row r="104" spans="1:8" x14ac:dyDescent="0.2">
      <c r="A104" s="3" t="s">
        <v>9</v>
      </c>
      <c r="B104" s="3" t="s">
        <v>9</v>
      </c>
      <c r="C104" s="13" t="s">
        <v>9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13" t="s">
        <v>9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ht="25.5" x14ac:dyDescent="0.2">
      <c r="A106" s="3" t="s">
        <v>9</v>
      </c>
      <c r="B106" s="3" t="s">
        <v>9</v>
      </c>
      <c r="C106" s="4" t="s">
        <v>134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110</v>
      </c>
      <c r="D107" s="3" t="s">
        <v>9</v>
      </c>
      <c r="E107" s="3" t="s">
        <v>9</v>
      </c>
      <c r="F107" s="15">
        <v>0</v>
      </c>
      <c r="G107" s="16">
        <v>0</v>
      </c>
      <c r="H107" s="164"/>
    </row>
    <row r="108" spans="1:8" x14ac:dyDescent="0.2">
      <c r="A108" s="3" t="s">
        <v>9</v>
      </c>
      <c r="B108" s="3" t="s">
        <v>9</v>
      </c>
      <c r="C108" s="13" t="s">
        <v>9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6" t="s">
        <v>9</v>
      </c>
      <c r="C109" s="6" t="s">
        <v>9</v>
      </c>
      <c r="D109" s="4" t="s">
        <v>9</v>
      </c>
      <c r="E109" s="3" t="s">
        <v>9</v>
      </c>
      <c r="F109" s="6" t="s">
        <v>9</v>
      </c>
      <c r="G109" s="10" t="s">
        <v>9</v>
      </c>
      <c r="H109" s="164"/>
    </row>
    <row r="110" spans="1:8" x14ac:dyDescent="0.2">
      <c r="A110" s="10" t="s">
        <v>9</v>
      </c>
      <c r="B110" s="6" t="s">
        <v>9</v>
      </c>
      <c r="C110" s="6" t="s">
        <v>135</v>
      </c>
      <c r="D110" s="6" t="s">
        <v>9</v>
      </c>
      <c r="E110" s="10" t="s">
        <v>9</v>
      </c>
      <c r="F110" s="8">
        <v>-11.85965699</v>
      </c>
      <c r="G110" s="9">
        <v>-1.33651E-3</v>
      </c>
      <c r="H110" s="164"/>
    </row>
    <row r="111" spans="1:8" x14ac:dyDescent="0.2">
      <c r="A111" s="13" t="s">
        <v>9</v>
      </c>
      <c r="B111" s="13" t="s">
        <v>9</v>
      </c>
      <c r="C111" s="4" t="s">
        <v>136</v>
      </c>
      <c r="D111" s="17" t="s">
        <v>9</v>
      </c>
      <c r="E111" s="17" t="s">
        <v>9</v>
      </c>
      <c r="F111" s="11">
        <v>8873.5995593100015</v>
      </c>
      <c r="G111" s="12">
        <v>1.0000000039999999</v>
      </c>
      <c r="H111" s="164"/>
    </row>
    <row r="112" spans="1:8" ht="14.1" customHeight="1" x14ac:dyDescent="0.2">
      <c r="A112" s="18" t="s">
        <v>9</v>
      </c>
      <c r="B112" s="18" t="s">
        <v>9</v>
      </c>
      <c r="C112" s="18" t="s">
        <v>9</v>
      </c>
      <c r="D112" s="19" t="s">
        <v>9</v>
      </c>
      <c r="E112" s="19" t="s">
        <v>9</v>
      </c>
      <c r="F112" s="19" t="s">
        <v>9</v>
      </c>
      <c r="G112" s="19" t="s">
        <v>9</v>
      </c>
    </row>
    <row r="113" spans="1:7" ht="14.1" customHeight="1" x14ac:dyDescent="0.2">
      <c r="A113" s="20" t="s">
        <v>9</v>
      </c>
      <c r="B113" s="228" t="s">
        <v>9</v>
      </c>
      <c r="C113" s="228"/>
      <c r="D113" s="228"/>
      <c r="E113" s="228"/>
      <c r="F113" s="228"/>
      <c r="G113" s="22" t="s">
        <v>9</v>
      </c>
    </row>
    <row r="114" spans="1:7" ht="14.1" customHeight="1" x14ac:dyDescent="0.2">
      <c r="A114" s="20" t="s">
        <v>9</v>
      </c>
      <c r="B114" s="228" t="s">
        <v>9</v>
      </c>
      <c r="C114" s="228"/>
      <c r="D114" s="228"/>
      <c r="E114" s="228"/>
      <c r="F114" s="228"/>
      <c r="G114" s="22" t="s">
        <v>9</v>
      </c>
    </row>
    <row r="115" spans="1:7" ht="14.1" customHeight="1" x14ac:dyDescent="0.2">
      <c r="A115" s="20" t="s">
        <v>9</v>
      </c>
      <c r="B115" s="20" t="s">
        <v>9</v>
      </c>
      <c r="C115" s="20" t="s">
        <v>9</v>
      </c>
      <c r="D115" s="22" t="s">
        <v>9</v>
      </c>
      <c r="E115" s="22" t="s">
        <v>9</v>
      </c>
      <c r="F115" s="22" t="s">
        <v>9</v>
      </c>
      <c r="G115" s="22" t="s">
        <v>9</v>
      </c>
    </row>
    <row r="116" spans="1:7" ht="14.1" customHeight="1" x14ac:dyDescent="0.2">
      <c r="A116" s="20" t="s">
        <v>9</v>
      </c>
      <c r="B116" s="226" t="s">
        <v>138</v>
      </c>
      <c r="C116" s="227"/>
      <c r="D116" s="14" t="s">
        <v>9</v>
      </c>
      <c r="E116" s="23" t="s">
        <v>9</v>
      </c>
      <c r="F116" s="22" t="s">
        <v>9</v>
      </c>
      <c r="G116" s="22" t="s">
        <v>9</v>
      </c>
    </row>
    <row r="117" spans="1:7" ht="29.1" customHeight="1" x14ac:dyDescent="0.2">
      <c r="A117" s="20" t="s">
        <v>9</v>
      </c>
      <c r="B117" s="233" t="s">
        <v>139</v>
      </c>
      <c r="C117" s="234"/>
      <c r="D117" s="4" t="s">
        <v>140</v>
      </c>
      <c r="E117" s="23" t="s">
        <v>9</v>
      </c>
      <c r="F117" s="22" t="s">
        <v>9</v>
      </c>
      <c r="G117" s="22" t="s">
        <v>9</v>
      </c>
    </row>
    <row r="118" spans="1:7" ht="17.100000000000001" customHeight="1" x14ac:dyDescent="0.2">
      <c r="A118" s="20" t="s">
        <v>9</v>
      </c>
      <c r="B118" s="233" t="s">
        <v>141</v>
      </c>
      <c r="C118" s="234"/>
      <c r="D118" s="4" t="s">
        <v>140</v>
      </c>
      <c r="E118" s="23" t="s">
        <v>9</v>
      </c>
      <c r="F118" s="22" t="s">
        <v>9</v>
      </c>
      <c r="G118" s="22" t="s">
        <v>9</v>
      </c>
    </row>
    <row r="119" spans="1:7" ht="17.100000000000001" customHeight="1" x14ac:dyDescent="0.2">
      <c r="A119" s="20" t="s">
        <v>9</v>
      </c>
      <c r="B119" s="233" t="s">
        <v>142</v>
      </c>
      <c r="C119" s="234"/>
      <c r="D119" s="14" t="s">
        <v>9</v>
      </c>
      <c r="E119" s="23" t="s">
        <v>9</v>
      </c>
      <c r="F119" s="22" t="s">
        <v>9</v>
      </c>
      <c r="G119" s="22" t="s">
        <v>9</v>
      </c>
    </row>
    <row r="120" spans="1:7" ht="24" customHeight="1" x14ac:dyDescent="0.2">
      <c r="A120" s="24" t="s">
        <v>9</v>
      </c>
      <c r="B120" s="25" t="s">
        <v>9</v>
      </c>
      <c r="C120" s="25" t="s">
        <v>143</v>
      </c>
      <c r="D120" s="25" t="s">
        <v>144</v>
      </c>
      <c r="E120" s="24" t="s">
        <v>9</v>
      </c>
      <c r="F120" s="24" t="s">
        <v>9</v>
      </c>
      <c r="G120" s="24" t="s">
        <v>9</v>
      </c>
    </row>
    <row r="121" spans="1:7" ht="18" customHeight="1" x14ac:dyDescent="0.2">
      <c r="A121" s="24" t="s">
        <v>9</v>
      </c>
      <c r="B121" s="25" t="s">
        <v>145</v>
      </c>
      <c r="C121" s="25" t="s">
        <v>146</v>
      </c>
      <c r="D121" s="25" t="s">
        <v>147</v>
      </c>
      <c r="E121" s="24" t="s">
        <v>9</v>
      </c>
      <c r="F121" s="24" t="s">
        <v>9</v>
      </c>
      <c r="G121" s="24" t="s">
        <v>9</v>
      </c>
    </row>
    <row r="122" spans="1:7" ht="17.100000000000001" customHeight="1" x14ac:dyDescent="0.2">
      <c r="A122" s="24" t="s">
        <v>9</v>
      </c>
      <c r="B122" s="6" t="s">
        <v>148</v>
      </c>
      <c r="C122" s="26">
        <v>15.191599999999999</v>
      </c>
      <c r="D122" s="26">
        <v>15.7684</v>
      </c>
      <c r="E122" s="24" t="s">
        <v>9</v>
      </c>
      <c r="F122" s="21" t="s">
        <v>9</v>
      </c>
      <c r="G122" s="27" t="s">
        <v>9</v>
      </c>
    </row>
    <row r="123" spans="1:7" ht="17.100000000000001" customHeight="1" x14ac:dyDescent="0.2">
      <c r="A123" s="24" t="s">
        <v>9</v>
      </c>
      <c r="B123" s="6" t="s">
        <v>839</v>
      </c>
      <c r="C123" s="26">
        <v>13.301600000000001</v>
      </c>
      <c r="D123" s="26">
        <v>13.8066</v>
      </c>
      <c r="E123" s="24" t="s">
        <v>9</v>
      </c>
      <c r="F123" s="21" t="s">
        <v>9</v>
      </c>
      <c r="G123" s="27" t="s">
        <v>9</v>
      </c>
    </row>
    <row r="124" spans="1:7" ht="17.100000000000001" customHeight="1" x14ac:dyDescent="0.2">
      <c r="A124" s="24" t="s">
        <v>9</v>
      </c>
      <c r="B124" s="6" t="s">
        <v>149</v>
      </c>
      <c r="C124" s="26">
        <v>14.647</v>
      </c>
      <c r="D124" s="26">
        <v>15.1951</v>
      </c>
      <c r="E124" s="24" t="s">
        <v>9</v>
      </c>
      <c r="F124" s="21" t="s">
        <v>9</v>
      </c>
      <c r="G124" s="27" t="s">
        <v>9</v>
      </c>
    </row>
    <row r="125" spans="1:7" ht="17.100000000000001" customHeight="1" x14ac:dyDescent="0.2">
      <c r="A125" s="24" t="s">
        <v>9</v>
      </c>
      <c r="B125" s="6" t="s">
        <v>840</v>
      </c>
      <c r="C125" s="26">
        <v>13.167</v>
      </c>
      <c r="D125" s="26">
        <v>13.659800000000001</v>
      </c>
      <c r="E125" s="24" t="s">
        <v>9</v>
      </c>
      <c r="F125" s="21" t="s">
        <v>9</v>
      </c>
      <c r="G125" s="27" t="s">
        <v>9</v>
      </c>
    </row>
    <row r="126" spans="1:7" ht="14.1" customHeight="1" x14ac:dyDescent="0.2">
      <c r="A126" s="24" t="s">
        <v>9</v>
      </c>
      <c r="B126" s="24" t="s">
        <v>9</v>
      </c>
      <c r="C126" s="24" t="s">
        <v>9</v>
      </c>
      <c r="D126" s="24" t="s">
        <v>9</v>
      </c>
      <c r="E126" s="24" t="s">
        <v>9</v>
      </c>
      <c r="F126" s="24" t="s">
        <v>9</v>
      </c>
      <c r="G126" s="24" t="s">
        <v>9</v>
      </c>
    </row>
    <row r="127" spans="1:7" ht="17.100000000000001" customHeight="1" x14ac:dyDescent="0.2">
      <c r="A127" s="24" t="s">
        <v>9</v>
      </c>
      <c r="B127" s="233" t="s">
        <v>1003</v>
      </c>
      <c r="C127" s="234"/>
      <c r="D127" s="4" t="s">
        <v>140</v>
      </c>
      <c r="E127" s="24" t="s">
        <v>9</v>
      </c>
      <c r="F127" s="24" t="s">
        <v>9</v>
      </c>
      <c r="G127" s="24" t="s">
        <v>9</v>
      </c>
    </row>
    <row r="128" spans="1:7" ht="18" customHeight="1" x14ac:dyDescent="0.2">
      <c r="A128" s="24" t="s">
        <v>9</v>
      </c>
      <c r="B128" s="28" t="s">
        <v>150</v>
      </c>
      <c r="C128" s="28" t="s">
        <v>150</v>
      </c>
      <c r="D128" s="28" t="s">
        <v>9</v>
      </c>
      <c r="E128" s="24" t="s">
        <v>9</v>
      </c>
      <c r="F128" s="24" t="s">
        <v>9</v>
      </c>
      <c r="G128" s="24" t="s">
        <v>9</v>
      </c>
    </row>
    <row r="129" spans="1:7" s="169" customFormat="1" x14ac:dyDescent="0.2">
      <c r="B129" s="235" t="s">
        <v>841</v>
      </c>
      <c r="C129" s="235"/>
      <c r="D129" s="235"/>
      <c r="E129" s="235"/>
      <c r="F129" s="235"/>
    </row>
    <row r="130" spans="1:7" ht="14.1" customHeight="1" x14ac:dyDescent="0.2">
      <c r="A130" s="24" t="s">
        <v>9</v>
      </c>
      <c r="B130" s="21" t="s">
        <v>9</v>
      </c>
      <c r="C130" s="21" t="s">
        <v>9</v>
      </c>
      <c r="D130" s="24" t="s">
        <v>9</v>
      </c>
      <c r="E130" s="24" t="s">
        <v>9</v>
      </c>
      <c r="F130" s="24" t="s">
        <v>9</v>
      </c>
      <c r="G130" s="24" t="s">
        <v>9</v>
      </c>
    </row>
    <row r="131" spans="1:7" ht="29.1" customHeight="1" x14ac:dyDescent="0.2">
      <c r="A131" s="24" t="s">
        <v>9</v>
      </c>
      <c r="B131" s="233" t="s">
        <v>151</v>
      </c>
      <c r="C131" s="234"/>
      <c r="D131" s="4" t="s">
        <v>140</v>
      </c>
      <c r="E131" s="24" t="s">
        <v>9</v>
      </c>
      <c r="F131" s="24" t="s">
        <v>9</v>
      </c>
      <c r="G131" s="24" t="s">
        <v>9</v>
      </c>
    </row>
    <row r="132" spans="1:7" ht="29.1" customHeight="1" x14ac:dyDescent="0.2">
      <c r="A132" s="24" t="s">
        <v>9</v>
      </c>
      <c r="B132" s="233" t="s">
        <v>152</v>
      </c>
      <c r="C132" s="234"/>
      <c r="D132" s="4" t="s">
        <v>140</v>
      </c>
      <c r="E132" s="24" t="s">
        <v>9</v>
      </c>
      <c r="F132" s="24" t="s">
        <v>9</v>
      </c>
      <c r="G132" s="24" t="s">
        <v>9</v>
      </c>
    </row>
    <row r="133" spans="1:7" ht="17.100000000000001" customHeight="1" x14ac:dyDescent="0.2">
      <c r="A133" s="24" t="s">
        <v>9</v>
      </c>
      <c r="B133" s="233" t="s">
        <v>153</v>
      </c>
      <c r="C133" s="234"/>
      <c r="D133" s="29">
        <v>0.55464645380975131</v>
      </c>
      <c r="E133" s="24" t="s">
        <v>9</v>
      </c>
      <c r="F133" s="21" t="s">
        <v>9</v>
      </c>
      <c r="G133" s="27" t="s">
        <v>9</v>
      </c>
    </row>
    <row r="134" spans="1:7" ht="17.100000000000001" customHeight="1" x14ac:dyDescent="0.2">
      <c r="A134" s="24" t="s">
        <v>9</v>
      </c>
      <c r="B134" s="233" t="s">
        <v>154</v>
      </c>
      <c r="C134" s="234"/>
      <c r="D134" s="4" t="s">
        <v>140</v>
      </c>
      <c r="E134" s="24" t="s">
        <v>9</v>
      </c>
      <c r="F134" s="24" t="s">
        <v>9</v>
      </c>
      <c r="G134" s="24" t="s">
        <v>9</v>
      </c>
    </row>
  </sheetData>
  <mergeCells count="15">
    <mergeCell ref="B133:C133"/>
    <mergeCell ref="B134:C134"/>
    <mergeCell ref="B117:C117"/>
    <mergeCell ref="B118:C118"/>
    <mergeCell ref="B119:C119"/>
    <mergeCell ref="B127:C127"/>
    <mergeCell ref="B131:C131"/>
    <mergeCell ref="B132:C132"/>
    <mergeCell ref="B129:F129"/>
    <mergeCell ref="B116:C116"/>
    <mergeCell ref="B113:F113"/>
    <mergeCell ref="B114:F114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H130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739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20</v>
      </c>
      <c r="C7" s="6" t="s">
        <v>21</v>
      </c>
      <c r="D7" s="6" t="s">
        <v>22</v>
      </c>
      <c r="E7" s="7">
        <v>47713</v>
      </c>
      <c r="F7" s="8">
        <v>325.64122500000002</v>
      </c>
      <c r="G7" s="9">
        <v>7.9263116999999994E-2</v>
      </c>
      <c r="H7" s="164"/>
    </row>
    <row r="8" spans="1:8" x14ac:dyDescent="0.2">
      <c r="A8" s="5">
        <v>2</v>
      </c>
      <c r="B8" s="6" t="s">
        <v>407</v>
      </c>
      <c r="C8" s="6" t="s">
        <v>408</v>
      </c>
      <c r="D8" s="6" t="s">
        <v>22</v>
      </c>
      <c r="E8" s="7">
        <v>65489</v>
      </c>
      <c r="F8" s="8">
        <v>282.78150199999999</v>
      </c>
      <c r="G8" s="9">
        <v>6.8830792000000002E-2</v>
      </c>
      <c r="H8" s="164"/>
    </row>
    <row r="9" spans="1:8" x14ac:dyDescent="0.2">
      <c r="A9" s="5">
        <v>3</v>
      </c>
      <c r="B9" s="6" t="s">
        <v>23</v>
      </c>
      <c r="C9" s="6" t="s">
        <v>24</v>
      </c>
      <c r="D9" s="6" t="s">
        <v>25</v>
      </c>
      <c r="E9" s="7">
        <v>36000</v>
      </c>
      <c r="F9" s="8">
        <v>202.19399999999999</v>
      </c>
      <c r="G9" s="9">
        <v>4.9215288000000003E-2</v>
      </c>
      <c r="H9" s="164"/>
    </row>
    <row r="10" spans="1:8" x14ac:dyDescent="0.2">
      <c r="A10" s="5">
        <v>4</v>
      </c>
      <c r="B10" s="6" t="s">
        <v>357</v>
      </c>
      <c r="C10" s="6" t="s">
        <v>358</v>
      </c>
      <c r="D10" s="6" t="s">
        <v>22</v>
      </c>
      <c r="E10" s="7">
        <v>28150</v>
      </c>
      <c r="F10" s="8">
        <v>199.55535</v>
      </c>
      <c r="G10" s="9">
        <v>4.8573023999999999E-2</v>
      </c>
      <c r="H10" s="164"/>
    </row>
    <row r="11" spans="1:8" x14ac:dyDescent="0.2">
      <c r="A11" s="5">
        <v>5</v>
      </c>
      <c r="B11" s="6" t="s">
        <v>242</v>
      </c>
      <c r="C11" s="6" t="s">
        <v>243</v>
      </c>
      <c r="D11" s="6" t="s">
        <v>59</v>
      </c>
      <c r="E11" s="7">
        <v>13280</v>
      </c>
      <c r="F11" s="8">
        <v>175.42215999999999</v>
      </c>
      <c r="G11" s="9">
        <v>4.2698854000000001E-2</v>
      </c>
      <c r="H11" s="164"/>
    </row>
    <row r="12" spans="1:8" x14ac:dyDescent="0.2">
      <c r="A12" s="5">
        <v>6</v>
      </c>
      <c r="B12" s="6" t="s">
        <v>411</v>
      </c>
      <c r="C12" s="6" t="s">
        <v>412</v>
      </c>
      <c r="D12" s="6" t="s">
        <v>59</v>
      </c>
      <c r="E12" s="7">
        <v>11306</v>
      </c>
      <c r="F12" s="8">
        <v>162.161958</v>
      </c>
      <c r="G12" s="9">
        <v>3.9471237999999999E-2</v>
      </c>
      <c r="H12" s="164"/>
    </row>
    <row r="13" spans="1:8" x14ac:dyDescent="0.2">
      <c r="A13" s="5">
        <v>7</v>
      </c>
      <c r="B13" s="6" t="s">
        <v>355</v>
      </c>
      <c r="C13" s="6" t="s">
        <v>356</v>
      </c>
      <c r="D13" s="6" t="s">
        <v>22</v>
      </c>
      <c r="E13" s="7">
        <v>189994</v>
      </c>
      <c r="F13" s="8">
        <v>152.56518199999999</v>
      </c>
      <c r="G13" s="9">
        <v>3.7135322999999998E-2</v>
      </c>
      <c r="H13" s="164"/>
    </row>
    <row r="14" spans="1:8" x14ac:dyDescent="0.2">
      <c r="A14" s="5">
        <v>8</v>
      </c>
      <c r="B14" s="6" t="s">
        <v>353</v>
      </c>
      <c r="C14" s="6" t="s">
        <v>354</v>
      </c>
      <c r="D14" s="6" t="s">
        <v>50</v>
      </c>
      <c r="E14" s="7">
        <v>22001</v>
      </c>
      <c r="F14" s="8">
        <v>141.66443899999999</v>
      </c>
      <c r="G14" s="9">
        <v>3.4482012999999999E-2</v>
      </c>
      <c r="H14" s="164"/>
    </row>
    <row r="15" spans="1:8" x14ac:dyDescent="0.2">
      <c r="A15" s="5">
        <v>9</v>
      </c>
      <c r="B15" s="6" t="s">
        <v>74</v>
      </c>
      <c r="C15" s="6" t="s">
        <v>75</v>
      </c>
      <c r="D15" s="6" t="s">
        <v>76</v>
      </c>
      <c r="E15" s="7">
        <v>94248</v>
      </c>
      <c r="F15" s="8">
        <v>131.52308400000001</v>
      </c>
      <c r="G15" s="9">
        <v>3.2013543999999998E-2</v>
      </c>
      <c r="H15" s="164"/>
    </row>
    <row r="16" spans="1:8" x14ac:dyDescent="0.2">
      <c r="A16" s="5">
        <v>10</v>
      </c>
      <c r="B16" s="6" t="s">
        <v>103</v>
      </c>
      <c r="C16" s="6" t="s">
        <v>104</v>
      </c>
      <c r="D16" s="6" t="s">
        <v>76</v>
      </c>
      <c r="E16" s="7">
        <v>36000</v>
      </c>
      <c r="F16" s="8">
        <v>124.596</v>
      </c>
      <c r="G16" s="9">
        <v>3.0327448E-2</v>
      </c>
      <c r="H16" s="164"/>
    </row>
    <row r="17" spans="1:8" x14ac:dyDescent="0.2">
      <c r="A17" s="5">
        <v>11</v>
      </c>
      <c r="B17" s="6" t="s">
        <v>740</v>
      </c>
      <c r="C17" s="6" t="s">
        <v>741</v>
      </c>
      <c r="D17" s="6" t="s">
        <v>250</v>
      </c>
      <c r="E17" s="7">
        <v>100000</v>
      </c>
      <c r="F17" s="8">
        <v>122.25</v>
      </c>
      <c r="G17" s="9">
        <v>2.9756417E-2</v>
      </c>
      <c r="H17" s="164"/>
    </row>
    <row r="18" spans="1:8" x14ac:dyDescent="0.2">
      <c r="A18" s="5">
        <v>12</v>
      </c>
      <c r="B18" s="6" t="s">
        <v>183</v>
      </c>
      <c r="C18" s="6" t="s">
        <v>184</v>
      </c>
      <c r="D18" s="6" t="s">
        <v>59</v>
      </c>
      <c r="E18" s="7">
        <v>40000</v>
      </c>
      <c r="F18" s="8">
        <v>121.74</v>
      </c>
      <c r="G18" s="9">
        <v>2.963228E-2</v>
      </c>
      <c r="H18" s="164"/>
    </row>
    <row r="19" spans="1:8" x14ac:dyDescent="0.2">
      <c r="A19" s="5">
        <v>13</v>
      </c>
      <c r="B19" s="6" t="s">
        <v>264</v>
      </c>
      <c r="C19" s="6" t="s">
        <v>265</v>
      </c>
      <c r="D19" s="6" t="s">
        <v>266</v>
      </c>
      <c r="E19" s="7">
        <v>15000</v>
      </c>
      <c r="F19" s="8">
        <v>121.2825</v>
      </c>
      <c r="G19" s="9">
        <v>2.9520920999999999E-2</v>
      </c>
      <c r="H19" s="164"/>
    </row>
    <row r="20" spans="1:8" x14ac:dyDescent="0.2">
      <c r="A20" s="5">
        <v>14</v>
      </c>
      <c r="B20" s="6" t="s">
        <v>733</v>
      </c>
      <c r="C20" s="6" t="s">
        <v>734</v>
      </c>
      <c r="D20" s="6" t="s">
        <v>172</v>
      </c>
      <c r="E20" s="7">
        <v>6000</v>
      </c>
      <c r="F20" s="8">
        <v>114.57899999999999</v>
      </c>
      <c r="G20" s="9">
        <v>2.7889246999999999E-2</v>
      </c>
      <c r="H20" s="164"/>
    </row>
    <row r="21" spans="1:8" x14ac:dyDescent="0.2">
      <c r="A21" s="5">
        <v>15</v>
      </c>
      <c r="B21" s="6" t="s">
        <v>505</v>
      </c>
      <c r="C21" s="6" t="s">
        <v>400</v>
      </c>
      <c r="D21" s="6" t="s">
        <v>346</v>
      </c>
      <c r="E21" s="7">
        <v>50965</v>
      </c>
      <c r="F21" s="8">
        <v>114.2890125</v>
      </c>
      <c r="G21" s="9">
        <v>2.7818663E-2</v>
      </c>
      <c r="H21" s="164"/>
    </row>
    <row r="22" spans="1:8" x14ac:dyDescent="0.2">
      <c r="A22" s="5">
        <v>16</v>
      </c>
      <c r="B22" s="6" t="s">
        <v>633</v>
      </c>
      <c r="C22" s="6" t="s">
        <v>634</v>
      </c>
      <c r="D22" s="6" t="s">
        <v>635</v>
      </c>
      <c r="E22" s="7">
        <v>57760</v>
      </c>
      <c r="F22" s="8">
        <v>104.66112</v>
      </c>
      <c r="G22" s="9">
        <v>2.5475173E-2</v>
      </c>
      <c r="H22" s="164"/>
    </row>
    <row r="23" spans="1:8" x14ac:dyDescent="0.2">
      <c r="A23" s="5">
        <v>17</v>
      </c>
      <c r="B23" s="6" t="s">
        <v>676</v>
      </c>
      <c r="C23" s="6" t="s">
        <v>677</v>
      </c>
      <c r="D23" s="6" t="s">
        <v>17</v>
      </c>
      <c r="E23" s="7">
        <v>100000</v>
      </c>
      <c r="F23" s="8">
        <v>103.15</v>
      </c>
      <c r="G23" s="9">
        <v>2.5107357E-2</v>
      </c>
      <c r="H23" s="164"/>
    </row>
    <row r="24" spans="1:8" x14ac:dyDescent="0.2">
      <c r="A24" s="5">
        <v>18</v>
      </c>
      <c r="B24" s="6" t="s">
        <v>359</v>
      </c>
      <c r="C24" s="6" t="s">
        <v>360</v>
      </c>
      <c r="D24" s="6" t="s">
        <v>161</v>
      </c>
      <c r="E24" s="7">
        <v>7400</v>
      </c>
      <c r="F24" s="8">
        <v>102.8674</v>
      </c>
      <c r="G24" s="9">
        <v>2.5038570999999999E-2</v>
      </c>
      <c r="H24" s="164"/>
    </row>
    <row r="25" spans="1:8" x14ac:dyDescent="0.2">
      <c r="A25" s="5">
        <v>19</v>
      </c>
      <c r="B25" s="6" t="s">
        <v>187</v>
      </c>
      <c r="C25" s="6" t="s">
        <v>188</v>
      </c>
      <c r="D25" s="6" t="s">
        <v>182</v>
      </c>
      <c r="E25" s="7">
        <v>40000</v>
      </c>
      <c r="F25" s="8">
        <v>100.08</v>
      </c>
      <c r="G25" s="9">
        <v>2.4360099999999999E-2</v>
      </c>
      <c r="H25" s="164"/>
    </row>
    <row r="26" spans="1:8" ht="25.5" x14ac:dyDescent="0.2">
      <c r="A26" s="5">
        <v>20</v>
      </c>
      <c r="B26" s="6" t="s">
        <v>63</v>
      </c>
      <c r="C26" s="6" t="s">
        <v>64</v>
      </c>
      <c r="D26" s="6" t="s">
        <v>40</v>
      </c>
      <c r="E26" s="7">
        <v>12000</v>
      </c>
      <c r="F26" s="8">
        <v>95.31</v>
      </c>
      <c r="G26" s="9">
        <v>2.3199052000000001E-2</v>
      </c>
      <c r="H26" s="164"/>
    </row>
    <row r="27" spans="1:8" x14ac:dyDescent="0.2">
      <c r="A27" s="5">
        <v>21</v>
      </c>
      <c r="B27" s="6" t="s">
        <v>205</v>
      </c>
      <c r="C27" s="6" t="s">
        <v>206</v>
      </c>
      <c r="D27" s="6" t="s">
        <v>207</v>
      </c>
      <c r="E27" s="7">
        <v>35000</v>
      </c>
      <c r="F27" s="8">
        <v>93.957499999999996</v>
      </c>
      <c r="G27" s="9">
        <v>2.2869845E-2</v>
      </c>
      <c r="H27" s="164"/>
    </row>
    <row r="28" spans="1:8" x14ac:dyDescent="0.2">
      <c r="A28" s="5">
        <v>22</v>
      </c>
      <c r="B28" s="6" t="s">
        <v>742</v>
      </c>
      <c r="C28" s="6" t="s">
        <v>743</v>
      </c>
      <c r="D28" s="6" t="s">
        <v>161</v>
      </c>
      <c r="E28" s="7">
        <v>5000</v>
      </c>
      <c r="F28" s="8">
        <v>92.957499999999996</v>
      </c>
      <c r="G28" s="9">
        <v>2.2626439000000002E-2</v>
      </c>
      <c r="H28" s="164"/>
    </row>
    <row r="29" spans="1:8" ht="25.5" x14ac:dyDescent="0.2">
      <c r="A29" s="5">
        <v>23</v>
      </c>
      <c r="B29" s="6" t="s">
        <v>324</v>
      </c>
      <c r="C29" s="6" t="s">
        <v>325</v>
      </c>
      <c r="D29" s="6" t="s">
        <v>67</v>
      </c>
      <c r="E29" s="7">
        <v>16000</v>
      </c>
      <c r="F29" s="8">
        <v>89.415999999999997</v>
      </c>
      <c r="G29" s="9">
        <v>2.1764414999999999E-2</v>
      </c>
      <c r="H29" s="164"/>
    </row>
    <row r="30" spans="1:8" ht="25.5" x14ac:dyDescent="0.2">
      <c r="A30" s="5">
        <v>24</v>
      </c>
      <c r="B30" s="6" t="s">
        <v>728</v>
      </c>
      <c r="C30" s="6" t="s">
        <v>729</v>
      </c>
      <c r="D30" s="6" t="s">
        <v>161</v>
      </c>
      <c r="E30" s="7">
        <v>58527</v>
      </c>
      <c r="F30" s="8">
        <v>88.609877999999995</v>
      </c>
      <c r="G30" s="9">
        <v>2.1568199999999999E-2</v>
      </c>
      <c r="H30" s="164"/>
    </row>
    <row r="31" spans="1:8" ht="25.5" x14ac:dyDescent="0.2">
      <c r="A31" s="5">
        <v>25</v>
      </c>
      <c r="B31" s="6" t="s">
        <v>248</v>
      </c>
      <c r="C31" s="6" t="s">
        <v>249</v>
      </c>
      <c r="D31" s="6" t="s">
        <v>67</v>
      </c>
      <c r="E31" s="7">
        <v>19000</v>
      </c>
      <c r="F31" s="8">
        <v>83.03</v>
      </c>
      <c r="G31" s="9">
        <v>2.0210023000000001E-2</v>
      </c>
      <c r="H31" s="164"/>
    </row>
    <row r="32" spans="1:8" ht="25.5" x14ac:dyDescent="0.2">
      <c r="A32" s="5">
        <v>26</v>
      </c>
      <c r="B32" s="6" t="s">
        <v>744</v>
      </c>
      <c r="C32" s="6" t="s">
        <v>745</v>
      </c>
      <c r="D32" s="6" t="s">
        <v>925</v>
      </c>
      <c r="E32" s="7">
        <v>50000</v>
      </c>
      <c r="F32" s="8">
        <v>80.575000000000003</v>
      </c>
      <c r="G32" s="9">
        <v>1.9612461000000001E-2</v>
      </c>
      <c r="H32" s="164"/>
    </row>
    <row r="33" spans="1:8" x14ac:dyDescent="0.2">
      <c r="A33" s="5">
        <v>27</v>
      </c>
      <c r="B33" s="6" t="s">
        <v>654</v>
      </c>
      <c r="C33" s="6" t="s">
        <v>655</v>
      </c>
      <c r="D33" s="6" t="s">
        <v>200</v>
      </c>
      <c r="E33" s="7">
        <v>7217</v>
      </c>
      <c r="F33" s="8">
        <v>79.921058000000002</v>
      </c>
      <c r="G33" s="9">
        <v>1.9453287E-2</v>
      </c>
      <c r="H33" s="164"/>
    </row>
    <row r="34" spans="1:8" ht="25.5" x14ac:dyDescent="0.2">
      <c r="A34" s="5">
        <v>28</v>
      </c>
      <c r="B34" s="6" t="s">
        <v>240</v>
      </c>
      <c r="C34" s="6" t="s">
        <v>241</v>
      </c>
      <c r="D34" s="6" t="s">
        <v>925</v>
      </c>
      <c r="E34" s="7">
        <v>40000</v>
      </c>
      <c r="F34" s="8">
        <v>76.86</v>
      </c>
      <c r="G34" s="9">
        <v>1.8708206000000002E-2</v>
      </c>
      <c r="H34" s="164"/>
    </row>
    <row r="35" spans="1:8" x14ac:dyDescent="0.2">
      <c r="A35" s="5">
        <v>29</v>
      </c>
      <c r="B35" s="6" t="s">
        <v>501</v>
      </c>
      <c r="C35" s="6" t="s">
        <v>502</v>
      </c>
      <c r="D35" s="6" t="s">
        <v>88</v>
      </c>
      <c r="E35" s="7">
        <v>25427</v>
      </c>
      <c r="F35" s="8">
        <v>74.742666499999999</v>
      </c>
      <c r="G35" s="9">
        <v>1.8192834000000001E-2</v>
      </c>
      <c r="H35" s="164"/>
    </row>
    <row r="36" spans="1:8" x14ac:dyDescent="0.2">
      <c r="A36" s="5">
        <v>30</v>
      </c>
      <c r="B36" s="6" t="s">
        <v>413</v>
      </c>
      <c r="C36" s="6" t="s">
        <v>414</v>
      </c>
      <c r="D36" s="6" t="s">
        <v>200</v>
      </c>
      <c r="E36" s="7">
        <v>8119</v>
      </c>
      <c r="F36" s="8">
        <v>62.837000500000002</v>
      </c>
      <c r="G36" s="9">
        <v>1.529492E-2</v>
      </c>
      <c r="H36" s="164"/>
    </row>
    <row r="37" spans="1:8" x14ac:dyDescent="0.2">
      <c r="A37" s="5">
        <v>31</v>
      </c>
      <c r="B37" s="6" t="s">
        <v>332</v>
      </c>
      <c r="C37" s="6" t="s">
        <v>333</v>
      </c>
      <c r="D37" s="6" t="s">
        <v>59</v>
      </c>
      <c r="E37" s="7">
        <v>12997</v>
      </c>
      <c r="F37" s="8">
        <v>56.1145475</v>
      </c>
      <c r="G37" s="9">
        <v>1.3658633E-2</v>
      </c>
      <c r="H37" s="164"/>
    </row>
    <row r="38" spans="1:8" ht="25.5" x14ac:dyDescent="0.2">
      <c r="A38" s="5">
        <v>32</v>
      </c>
      <c r="B38" s="6" t="s">
        <v>746</v>
      </c>
      <c r="C38" s="6" t="s">
        <v>747</v>
      </c>
      <c r="D38" s="6" t="s">
        <v>931</v>
      </c>
      <c r="E38" s="7">
        <v>30000</v>
      </c>
      <c r="F38" s="8">
        <v>42.015000000000001</v>
      </c>
      <c r="G38" s="9">
        <v>1.0226715000000001E-2</v>
      </c>
      <c r="H38" s="164"/>
    </row>
    <row r="39" spans="1:8" ht="25.5" x14ac:dyDescent="0.2">
      <c r="A39" s="5">
        <v>33</v>
      </c>
      <c r="B39" s="6" t="s">
        <v>518</v>
      </c>
      <c r="C39" s="6" t="s">
        <v>519</v>
      </c>
      <c r="D39" s="6" t="s">
        <v>67</v>
      </c>
      <c r="E39" s="7">
        <v>11000</v>
      </c>
      <c r="F39" s="8">
        <v>41.9375</v>
      </c>
      <c r="G39" s="9">
        <v>1.0207851E-2</v>
      </c>
      <c r="H39" s="164"/>
    </row>
    <row r="40" spans="1:8" x14ac:dyDescent="0.2">
      <c r="A40" s="5">
        <v>34</v>
      </c>
      <c r="B40" s="6" t="s">
        <v>748</v>
      </c>
      <c r="C40" s="6" t="s">
        <v>749</v>
      </c>
      <c r="D40" s="6" t="s">
        <v>22</v>
      </c>
      <c r="E40" s="7">
        <v>80000</v>
      </c>
      <c r="F40" s="8">
        <v>38.96</v>
      </c>
      <c r="G40" s="9">
        <v>9.4831080000000005E-3</v>
      </c>
      <c r="H40" s="164"/>
    </row>
    <row r="41" spans="1:8" x14ac:dyDescent="0.2">
      <c r="A41" s="5">
        <v>35</v>
      </c>
      <c r="B41" s="6" t="s">
        <v>170</v>
      </c>
      <c r="C41" s="6" t="s">
        <v>171</v>
      </c>
      <c r="D41" s="6" t="s">
        <v>172</v>
      </c>
      <c r="E41" s="7">
        <v>1175</v>
      </c>
      <c r="F41" s="8">
        <v>14.642262499999999</v>
      </c>
      <c r="G41" s="9">
        <v>3.5640189999999999E-3</v>
      </c>
      <c r="H41" s="164"/>
    </row>
    <row r="42" spans="1:8" x14ac:dyDescent="0.2">
      <c r="A42" s="3" t="s">
        <v>9</v>
      </c>
      <c r="B42" s="3" t="s">
        <v>9</v>
      </c>
      <c r="C42" s="4" t="s">
        <v>110</v>
      </c>
      <c r="D42" s="3" t="s">
        <v>9</v>
      </c>
      <c r="E42" s="3" t="s">
        <v>9</v>
      </c>
      <c r="F42" s="11">
        <v>4014.8898454999999</v>
      </c>
      <c r="G42" s="12">
        <v>0.977249378</v>
      </c>
      <c r="H42" s="164"/>
    </row>
    <row r="43" spans="1:8" x14ac:dyDescent="0.2">
      <c r="A43" s="3" t="s">
        <v>9</v>
      </c>
      <c r="B43" s="3" t="s">
        <v>9</v>
      </c>
      <c r="C43" s="13" t="s">
        <v>9</v>
      </c>
      <c r="D43" s="3" t="s">
        <v>9</v>
      </c>
      <c r="E43" s="3" t="s">
        <v>9</v>
      </c>
      <c r="F43" s="14" t="s">
        <v>9</v>
      </c>
      <c r="G43" s="14" t="s">
        <v>9</v>
      </c>
      <c r="H43" s="164"/>
    </row>
    <row r="44" spans="1:8" x14ac:dyDescent="0.2">
      <c r="A44" s="3" t="s">
        <v>9</v>
      </c>
      <c r="B44" s="3" t="s">
        <v>9</v>
      </c>
      <c r="C44" s="4" t="s">
        <v>111</v>
      </c>
      <c r="D44" s="3" t="s">
        <v>9</v>
      </c>
      <c r="E44" s="3" t="s">
        <v>9</v>
      </c>
      <c r="F44" s="3" t="s">
        <v>9</v>
      </c>
      <c r="G44" s="3" t="s">
        <v>9</v>
      </c>
      <c r="H44" s="164"/>
    </row>
    <row r="45" spans="1:8" x14ac:dyDescent="0.2">
      <c r="A45" s="3" t="s">
        <v>9</v>
      </c>
      <c r="B45" s="3" t="s">
        <v>9</v>
      </c>
      <c r="C45" s="4" t="s">
        <v>110</v>
      </c>
      <c r="D45" s="3" t="s">
        <v>9</v>
      </c>
      <c r="E45" s="3" t="s">
        <v>9</v>
      </c>
      <c r="F45" s="15">
        <v>0</v>
      </c>
      <c r="G45" s="16">
        <v>0</v>
      </c>
      <c r="H45" s="164"/>
    </row>
    <row r="46" spans="1:8" x14ac:dyDescent="0.2">
      <c r="A46" s="3" t="s">
        <v>9</v>
      </c>
      <c r="B46" s="3" t="s">
        <v>9</v>
      </c>
      <c r="C46" s="13" t="s">
        <v>9</v>
      </c>
      <c r="D46" s="3" t="s">
        <v>9</v>
      </c>
      <c r="E46" s="3" t="s">
        <v>9</v>
      </c>
      <c r="F46" s="14" t="s">
        <v>9</v>
      </c>
      <c r="G46" s="14" t="s">
        <v>9</v>
      </c>
      <c r="H46" s="164"/>
    </row>
    <row r="47" spans="1:8" x14ac:dyDescent="0.2">
      <c r="A47" s="3" t="s">
        <v>9</v>
      </c>
      <c r="B47" s="3" t="s">
        <v>9</v>
      </c>
      <c r="C47" s="4" t="s">
        <v>112</v>
      </c>
      <c r="D47" s="3" t="s">
        <v>9</v>
      </c>
      <c r="E47" s="3" t="s">
        <v>9</v>
      </c>
      <c r="F47" s="3" t="s">
        <v>9</v>
      </c>
      <c r="G47" s="3" t="s">
        <v>9</v>
      </c>
      <c r="H47" s="164"/>
    </row>
    <row r="48" spans="1:8" x14ac:dyDescent="0.2">
      <c r="A48" s="3" t="s">
        <v>9</v>
      </c>
      <c r="B48" s="3" t="s">
        <v>9</v>
      </c>
      <c r="C48" s="4" t="s">
        <v>110</v>
      </c>
      <c r="D48" s="3" t="s">
        <v>9</v>
      </c>
      <c r="E48" s="3" t="s">
        <v>9</v>
      </c>
      <c r="F48" s="15">
        <v>0</v>
      </c>
      <c r="G48" s="16">
        <v>0</v>
      </c>
      <c r="H48" s="164"/>
    </row>
    <row r="49" spans="1:8" x14ac:dyDescent="0.2">
      <c r="A49" s="3" t="s">
        <v>9</v>
      </c>
      <c r="B49" s="3" t="s">
        <v>9</v>
      </c>
      <c r="C49" s="13" t="s">
        <v>9</v>
      </c>
      <c r="D49" s="3" t="s">
        <v>9</v>
      </c>
      <c r="E49" s="3" t="s">
        <v>9</v>
      </c>
      <c r="F49" s="14" t="s">
        <v>9</v>
      </c>
      <c r="G49" s="14" t="s">
        <v>9</v>
      </c>
      <c r="H49" s="164"/>
    </row>
    <row r="50" spans="1:8" x14ac:dyDescent="0.2">
      <c r="A50" s="3" t="s">
        <v>9</v>
      </c>
      <c r="B50" s="3" t="s">
        <v>9</v>
      </c>
      <c r="C50" s="4" t="s">
        <v>113</v>
      </c>
      <c r="D50" s="3" t="s">
        <v>9</v>
      </c>
      <c r="E50" s="3" t="s">
        <v>9</v>
      </c>
      <c r="F50" s="3" t="s">
        <v>9</v>
      </c>
      <c r="G50" s="3" t="s">
        <v>9</v>
      </c>
      <c r="H50" s="164"/>
    </row>
    <row r="51" spans="1:8" x14ac:dyDescent="0.2">
      <c r="A51" s="3" t="s">
        <v>9</v>
      </c>
      <c r="B51" s="3" t="s">
        <v>9</v>
      </c>
      <c r="C51" s="4" t="s">
        <v>110</v>
      </c>
      <c r="D51" s="3" t="s">
        <v>9</v>
      </c>
      <c r="E51" s="3" t="s">
        <v>9</v>
      </c>
      <c r="F51" s="15">
        <v>0</v>
      </c>
      <c r="G51" s="16">
        <v>0</v>
      </c>
      <c r="H51" s="164"/>
    </row>
    <row r="52" spans="1:8" x14ac:dyDescent="0.2">
      <c r="A52" s="3" t="s">
        <v>9</v>
      </c>
      <c r="B52" s="3" t="s">
        <v>9</v>
      </c>
      <c r="C52" s="13" t="s">
        <v>9</v>
      </c>
      <c r="D52" s="3" t="s">
        <v>9</v>
      </c>
      <c r="E52" s="3" t="s">
        <v>9</v>
      </c>
      <c r="F52" s="14" t="s">
        <v>9</v>
      </c>
      <c r="G52" s="14" t="s">
        <v>9</v>
      </c>
      <c r="H52" s="164"/>
    </row>
    <row r="53" spans="1:8" x14ac:dyDescent="0.2">
      <c r="A53" s="3" t="s">
        <v>9</v>
      </c>
      <c r="B53" s="3" t="s">
        <v>9</v>
      </c>
      <c r="C53" s="4" t="s">
        <v>114</v>
      </c>
      <c r="D53" s="3" t="s">
        <v>9</v>
      </c>
      <c r="E53" s="3" t="s">
        <v>9</v>
      </c>
      <c r="F53" s="14" t="s">
        <v>9</v>
      </c>
      <c r="G53" s="14" t="s">
        <v>9</v>
      </c>
      <c r="H53" s="164"/>
    </row>
    <row r="54" spans="1:8" x14ac:dyDescent="0.2">
      <c r="A54" s="3" t="s">
        <v>9</v>
      </c>
      <c r="B54" s="3" t="s">
        <v>9</v>
      </c>
      <c r="C54" s="4" t="s">
        <v>110</v>
      </c>
      <c r="D54" s="3" t="s">
        <v>9</v>
      </c>
      <c r="E54" s="3" t="s">
        <v>9</v>
      </c>
      <c r="F54" s="15">
        <v>0</v>
      </c>
      <c r="G54" s="16">
        <v>0</v>
      </c>
      <c r="H54" s="164"/>
    </row>
    <row r="55" spans="1:8" x14ac:dyDescent="0.2">
      <c r="A55" s="3" t="s">
        <v>9</v>
      </c>
      <c r="B55" s="3" t="s">
        <v>9</v>
      </c>
      <c r="C55" s="13" t="s">
        <v>9</v>
      </c>
      <c r="D55" s="3" t="s">
        <v>9</v>
      </c>
      <c r="E55" s="3" t="s">
        <v>9</v>
      </c>
      <c r="F55" s="14" t="s">
        <v>9</v>
      </c>
      <c r="G55" s="14" t="s">
        <v>9</v>
      </c>
      <c r="H55" s="164"/>
    </row>
    <row r="56" spans="1:8" x14ac:dyDescent="0.2">
      <c r="A56" s="3" t="s">
        <v>9</v>
      </c>
      <c r="B56" s="3" t="s">
        <v>9</v>
      </c>
      <c r="C56" s="4" t="s">
        <v>115</v>
      </c>
      <c r="D56" s="3" t="s">
        <v>9</v>
      </c>
      <c r="E56" s="3" t="s">
        <v>9</v>
      </c>
      <c r="F56" s="14" t="s">
        <v>9</v>
      </c>
      <c r="G56" s="14" t="s">
        <v>9</v>
      </c>
      <c r="H56" s="164"/>
    </row>
    <row r="57" spans="1:8" x14ac:dyDescent="0.2">
      <c r="A57" s="3" t="s">
        <v>9</v>
      </c>
      <c r="B57" s="3" t="s">
        <v>9</v>
      </c>
      <c r="C57" s="4" t="s">
        <v>110</v>
      </c>
      <c r="D57" s="3" t="s">
        <v>9</v>
      </c>
      <c r="E57" s="3" t="s">
        <v>9</v>
      </c>
      <c r="F57" s="15">
        <v>0</v>
      </c>
      <c r="G57" s="16">
        <v>0</v>
      </c>
      <c r="H57" s="164"/>
    </row>
    <row r="58" spans="1:8" x14ac:dyDescent="0.2">
      <c r="A58" s="3" t="s">
        <v>9</v>
      </c>
      <c r="B58" s="3" t="s">
        <v>9</v>
      </c>
      <c r="C58" s="13" t="s">
        <v>9</v>
      </c>
      <c r="D58" s="3" t="s">
        <v>9</v>
      </c>
      <c r="E58" s="3" t="s">
        <v>9</v>
      </c>
      <c r="F58" s="14" t="s">
        <v>9</v>
      </c>
      <c r="G58" s="14" t="s">
        <v>9</v>
      </c>
      <c r="H58" s="164"/>
    </row>
    <row r="59" spans="1:8" x14ac:dyDescent="0.2">
      <c r="A59" s="3" t="s">
        <v>9</v>
      </c>
      <c r="B59" s="3" t="s">
        <v>9</v>
      </c>
      <c r="C59" s="4" t="s">
        <v>116</v>
      </c>
      <c r="D59" s="3" t="s">
        <v>9</v>
      </c>
      <c r="E59" s="3" t="s">
        <v>9</v>
      </c>
      <c r="F59" s="11">
        <v>4014.8898454999999</v>
      </c>
      <c r="G59" s="12">
        <v>0.977249378</v>
      </c>
      <c r="H59" s="164"/>
    </row>
    <row r="60" spans="1:8" x14ac:dyDescent="0.2">
      <c r="A60" s="3" t="s">
        <v>9</v>
      </c>
      <c r="B60" s="3" t="s">
        <v>9</v>
      </c>
      <c r="C60" s="13" t="s">
        <v>9</v>
      </c>
      <c r="D60" s="3" t="s">
        <v>9</v>
      </c>
      <c r="E60" s="3" t="s">
        <v>9</v>
      </c>
      <c r="F60" s="14" t="s">
        <v>9</v>
      </c>
      <c r="G60" s="14" t="s">
        <v>9</v>
      </c>
      <c r="H60" s="164"/>
    </row>
    <row r="61" spans="1:8" x14ac:dyDescent="0.2">
      <c r="A61" s="3" t="s">
        <v>9</v>
      </c>
      <c r="B61" s="3" t="s">
        <v>9</v>
      </c>
      <c r="C61" s="4" t="s">
        <v>117</v>
      </c>
      <c r="D61" s="3" t="s">
        <v>9</v>
      </c>
      <c r="E61" s="3" t="s">
        <v>9</v>
      </c>
      <c r="F61" s="14" t="s">
        <v>9</v>
      </c>
      <c r="G61" s="14" t="s">
        <v>9</v>
      </c>
      <c r="H61" s="164"/>
    </row>
    <row r="62" spans="1:8" ht="25.5" x14ac:dyDescent="0.2">
      <c r="A62" s="3" t="s">
        <v>9</v>
      </c>
      <c r="B62" s="3" t="s">
        <v>9</v>
      </c>
      <c r="C62" s="4" t="s">
        <v>11</v>
      </c>
      <c r="D62" s="3" t="s">
        <v>9</v>
      </c>
      <c r="E62" s="3" t="s">
        <v>9</v>
      </c>
      <c r="F62" s="14" t="s">
        <v>9</v>
      </c>
      <c r="G62" s="14" t="s">
        <v>9</v>
      </c>
      <c r="H62" s="164"/>
    </row>
    <row r="63" spans="1:8" x14ac:dyDescent="0.2">
      <c r="A63" s="3" t="s">
        <v>9</v>
      </c>
      <c r="B63" s="3" t="s">
        <v>9</v>
      </c>
      <c r="C63" s="4" t="s">
        <v>110</v>
      </c>
      <c r="D63" s="3" t="s">
        <v>9</v>
      </c>
      <c r="E63" s="3" t="s">
        <v>9</v>
      </c>
      <c r="F63" s="15">
        <v>0</v>
      </c>
      <c r="G63" s="16">
        <v>0</v>
      </c>
      <c r="H63" s="164"/>
    </row>
    <row r="64" spans="1:8" x14ac:dyDescent="0.2">
      <c r="A64" s="3" t="s">
        <v>9</v>
      </c>
      <c r="B64" s="3" t="s">
        <v>9</v>
      </c>
      <c r="C64" s="13" t="s">
        <v>9</v>
      </c>
      <c r="D64" s="3" t="s">
        <v>9</v>
      </c>
      <c r="E64" s="3" t="s">
        <v>9</v>
      </c>
      <c r="F64" s="14" t="s">
        <v>9</v>
      </c>
      <c r="G64" s="14" t="s">
        <v>9</v>
      </c>
      <c r="H64" s="164"/>
    </row>
    <row r="65" spans="1:8" x14ac:dyDescent="0.2">
      <c r="A65" s="3" t="s">
        <v>9</v>
      </c>
      <c r="B65" s="3" t="s">
        <v>9</v>
      </c>
      <c r="C65" s="4" t="s">
        <v>118</v>
      </c>
      <c r="D65" s="3" t="s">
        <v>9</v>
      </c>
      <c r="E65" s="3" t="s">
        <v>9</v>
      </c>
      <c r="F65" s="3" t="s">
        <v>9</v>
      </c>
      <c r="G65" s="3" t="s">
        <v>9</v>
      </c>
      <c r="H65" s="164"/>
    </row>
    <row r="66" spans="1:8" x14ac:dyDescent="0.2">
      <c r="A66" s="3" t="s">
        <v>9</v>
      </c>
      <c r="B66" s="3" t="s">
        <v>9</v>
      </c>
      <c r="C66" s="4" t="s">
        <v>110</v>
      </c>
      <c r="D66" s="3" t="s">
        <v>9</v>
      </c>
      <c r="E66" s="3" t="s">
        <v>9</v>
      </c>
      <c r="F66" s="15">
        <v>0</v>
      </c>
      <c r="G66" s="16">
        <v>0</v>
      </c>
      <c r="H66" s="164"/>
    </row>
    <row r="67" spans="1:8" x14ac:dyDescent="0.2">
      <c r="A67" s="3" t="s">
        <v>9</v>
      </c>
      <c r="B67" s="3" t="s">
        <v>9</v>
      </c>
      <c r="C67" s="13" t="s">
        <v>9</v>
      </c>
      <c r="D67" s="3" t="s">
        <v>9</v>
      </c>
      <c r="E67" s="3" t="s">
        <v>9</v>
      </c>
      <c r="F67" s="14" t="s">
        <v>9</v>
      </c>
      <c r="G67" s="14" t="s">
        <v>9</v>
      </c>
      <c r="H67" s="164"/>
    </row>
    <row r="68" spans="1:8" x14ac:dyDescent="0.2">
      <c r="A68" s="3" t="s">
        <v>9</v>
      </c>
      <c r="B68" s="3" t="s">
        <v>9</v>
      </c>
      <c r="C68" s="4" t="s">
        <v>119</v>
      </c>
      <c r="D68" s="3" t="s">
        <v>9</v>
      </c>
      <c r="E68" s="3" t="s">
        <v>9</v>
      </c>
      <c r="F68" s="3" t="s">
        <v>9</v>
      </c>
      <c r="G68" s="3" t="s">
        <v>9</v>
      </c>
      <c r="H68" s="164"/>
    </row>
    <row r="69" spans="1:8" x14ac:dyDescent="0.2">
      <c r="A69" s="3" t="s">
        <v>9</v>
      </c>
      <c r="B69" s="3" t="s">
        <v>9</v>
      </c>
      <c r="C69" s="4" t="s">
        <v>110</v>
      </c>
      <c r="D69" s="3" t="s">
        <v>9</v>
      </c>
      <c r="E69" s="3" t="s">
        <v>9</v>
      </c>
      <c r="F69" s="15">
        <v>0</v>
      </c>
      <c r="G69" s="16">
        <v>0</v>
      </c>
      <c r="H69" s="164"/>
    </row>
    <row r="70" spans="1:8" x14ac:dyDescent="0.2">
      <c r="A70" s="3" t="s">
        <v>9</v>
      </c>
      <c r="B70" s="3" t="s">
        <v>9</v>
      </c>
      <c r="C70" s="13" t="s">
        <v>9</v>
      </c>
      <c r="D70" s="3" t="s">
        <v>9</v>
      </c>
      <c r="E70" s="3" t="s">
        <v>9</v>
      </c>
      <c r="F70" s="14" t="s">
        <v>9</v>
      </c>
      <c r="G70" s="14" t="s">
        <v>9</v>
      </c>
      <c r="H70" s="164"/>
    </row>
    <row r="71" spans="1:8" x14ac:dyDescent="0.2">
      <c r="A71" s="3" t="s">
        <v>9</v>
      </c>
      <c r="B71" s="3" t="s">
        <v>9</v>
      </c>
      <c r="C71" s="4" t="s">
        <v>120</v>
      </c>
      <c r="D71" s="3" t="s">
        <v>9</v>
      </c>
      <c r="E71" s="3" t="s">
        <v>9</v>
      </c>
      <c r="F71" s="14" t="s">
        <v>9</v>
      </c>
      <c r="G71" s="14" t="s">
        <v>9</v>
      </c>
      <c r="H71" s="164"/>
    </row>
    <row r="72" spans="1:8" x14ac:dyDescent="0.2">
      <c r="A72" s="3" t="s">
        <v>9</v>
      </c>
      <c r="B72" s="3" t="s">
        <v>9</v>
      </c>
      <c r="C72" s="4" t="s">
        <v>110</v>
      </c>
      <c r="D72" s="3" t="s">
        <v>9</v>
      </c>
      <c r="E72" s="3" t="s">
        <v>9</v>
      </c>
      <c r="F72" s="15">
        <v>0</v>
      </c>
      <c r="G72" s="16">
        <v>0</v>
      </c>
      <c r="H72" s="164"/>
    </row>
    <row r="73" spans="1:8" x14ac:dyDescent="0.2">
      <c r="A73" s="3" t="s">
        <v>9</v>
      </c>
      <c r="B73" s="3" t="s">
        <v>9</v>
      </c>
      <c r="C73" s="13" t="s">
        <v>9</v>
      </c>
      <c r="D73" s="3" t="s">
        <v>9</v>
      </c>
      <c r="E73" s="3" t="s">
        <v>9</v>
      </c>
      <c r="F73" s="14" t="s">
        <v>9</v>
      </c>
      <c r="G73" s="14" t="s">
        <v>9</v>
      </c>
      <c r="H73" s="164"/>
    </row>
    <row r="74" spans="1:8" x14ac:dyDescent="0.2">
      <c r="A74" s="3" t="s">
        <v>9</v>
      </c>
      <c r="B74" s="3" t="s">
        <v>9</v>
      </c>
      <c r="C74" s="4" t="s">
        <v>121</v>
      </c>
      <c r="D74" s="3" t="s">
        <v>9</v>
      </c>
      <c r="E74" s="3" t="s">
        <v>9</v>
      </c>
      <c r="F74" s="11">
        <v>0</v>
      </c>
      <c r="G74" s="12">
        <v>0</v>
      </c>
      <c r="H74" s="164"/>
    </row>
    <row r="75" spans="1:8" x14ac:dyDescent="0.2">
      <c r="A75" s="3" t="s">
        <v>9</v>
      </c>
      <c r="B75" s="3" t="s">
        <v>9</v>
      </c>
      <c r="C75" s="13" t="s">
        <v>9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122</v>
      </c>
      <c r="D76" s="3" t="s">
        <v>9</v>
      </c>
      <c r="E76" s="3" t="s">
        <v>9</v>
      </c>
      <c r="F76" s="14" t="s">
        <v>9</v>
      </c>
      <c r="G76" s="14" t="s">
        <v>9</v>
      </c>
      <c r="H76" s="164"/>
    </row>
    <row r="77" spans="1:8" x14ac:dyDescent="0.2">
      <c r="A77" s="3" t="s">
        <v>9</v>
      </c>
      <c r="B77" s="3" t="s">
        <v>9</v>
      </c>
      <c r="C77" s="4" t="s">
        <v>123</v>
      </c>
      <c r="D77" s="3" t="s">
        <v>9</v>
      </c>
      <c r="E77" s="3" t="s">
        <v>9</v>
      </c>
      <c r="F77" s="14" t="s">
        <v>9</v>
      </c>
      <c r="G77" s="14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110</v>
      </c>
      <c r="D78" s="3" t="s">
        <v>9</v>
      </c>
      <c r="E78" s="3" t="s">
        <v>9</v>
      </c>
      <c r="F78" s="15">
        <v>0</v>
      </c>
      <c r="G78" s="16">
        <v>0</v>
      </c>
      <c r="H78" s="164"/>
    </row>
    <row r="79" spans="1:8" x14ac:dyDescent="0.2">
      <c r="A79" s="3" t="s">
        <v>9</v>
      </c>
      <c r="B79" s="3" t="s">
        <v>9</v>
      </c>
      <c r="C79" s="13" t="s">
        <v>9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124</v>
      </c>
      <c r="D80" s="3" t="s">
        <v>9</v>
      </c>
      <c r="E80" s="3" t="s">
        <v>9</v>
      </c>
      <c r="F80" s="14" t="s">
        <v>9</v>
      </c>
      <c r="G80" s="14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110</v>
      </c>
      <c r="D81" s="3" t="s">
        <v>9</v>
      </c>
      <c r="E81" s="3" t="s">
        <v>9</v>
      </c>
      <c r="F81" s="15">
        <v>0</v>
      </c>
      <c r="G81" s="16">
        <v>0</v>
      </c>
      <c r="H81" s="164"/>
    </row>
    <row r="82" spans="1:8" x14ac:dyDescent="0.2">
      <c r="A82" s="3" t="s">
        <v>9</v>
      </c>
      <c r="B82" s="3" t="s">
        <v>9</v>
      </c>
      <c r="C82" s="13" t="s">
        <v>9</v>
      </c>
      <c r="D82" s="3" t="s">
        <v>9</v>
      </c>
      <c r="E82" s="3" t="s">
        <v>9</v>
      </c>
      <c r="F82" s="14" t="s">
        <v>9</v>
      </c>
      <c r="G82" s="14" t="s">
        <v>9</v>
      </c>
      <c r="H82" s="164"/>
    </row>
    <row r="83" spans="1:8" x14ac:dyDescent="0.2">
      <c r="A83" s="3" t="s">
        <v>9</v>
      </c>
      <c r="B83" s="3" t="s">
        <v>9</v>
      </c>
      <c r="C83" s="4" t="s">
        <v>125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110</v>
      </c>
      <c r="D84" s="3" t="s">
        <v>9</v>
      </c>
      <c r="E84" s="3" t="s">
        <v>9</v>
      </c>
      <c r="F84" s="15">
        <v>0</v>
      </c>
      <c r="G84" s="16">
        <v>0</v>
      </c>
      <c r="H84" s="164"/>
    </row>
    <row r="85" spans="1:8" x14ac:dyDescent="0.2">
      <c r="A85" s="3" t="s">
        <v>9</v>
      </c>
      <c r="B85" s="3" t="s">
        <v>9</v>
      </c>
      <c r="C85" s="13" t="s">
        <v>9</v>
      </c>
      <c r="D85" s="3" t="s">
        <v>9</v>
      </c>
      <c r="E85" s="3" t="s">
        <v>9</v>
      </c>
      <c r="F85" s="14" t="s">
        <v>9</v>
      </c>
      <c r="G85" s="14" t="s">
        <v>9</v>
      </c>
      <c r="H85" s="164"/>
    </row>
    <row r="86" spans="1:8" x14ac:dyDescent="0.2">
      <c r="A86" s="3" t="s">
        <v>9</v>
      </c>
      <c r="B86" s="3" t="s">
        <v>9</v>
      </c>
      <c r="C86" s="4" t="s">
        <v>126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5">
        <v>1</v>
      </c>
      <c r="B87" s="6"/>
      <c r="C87" s="6" t="s">
        <v>127</v>
      </c>
      <c r="D87" s="6"/>
      <c r="E87" s="10" t="s">
        <v>9</v>
      </c>
      <c r="F87" s="8">
        <v>141.07897220000001</v>
      </c>
      <c r="G87" s="9">
        <v>3.4339506999999998E-2</v>
      </c>
      <c r="H87" s="90">
        <v>3.22</v>
      </c>
    </row>
    <row r="88" spans="1:8" x14ac:dyDescent="0.2">
      <c r="A88" s="5">
        <v>2</v>
      </c>
      <c r="B88" s="6"/>
      <c r="C88" s="6" t="s">
        <v>128</v>
      </c>
      <c r="D88" s="6"/>
      <c r="E88" s="10" t="s">
        <v>9</v>
      </c>
      <c r="F88" s="8">
        <v>39.868233099999998</v>
      </c>
      <c r="G88" s="9">
        <v>9.7041780000000008E-3</v>
      </c>
      <c r="H88" s="90">
        <v>3.34</v>
      </c>
    </row>
    <row r="89" spans="1:8" x14ac:dyDescent="0.2">
      <c r="A89" s="3" t="s">
        <v>9</v>
      </c>
      <c r="B89" s="3" t="s">
        <v>9</v>
      </c>
      <c r="C89" s="4" t="s">
        <v>110</v>
      </c>
      <c r="D89" s="3" t="s">
        <v>9</v>
      </c>
      <c r="E89" s="3" t="s">
        <v>9</v>
      </c>
      <c r="F89" s="11">
        <v>180.94720530000001</v>
      </c>
      <c r="G89" s="12">
        <v>4.4043684999999999E-2</v>
      </c>
      <c r="H89" s="164"/>
    </row>
    <row r="90" spans="1:8" x14ac:dyDescent="0.2">
      <c r="A90" s="3" t="s">
        <v>9</v>
      </c>
      <c r="B90" s="3" t="s">
        <v>9</v>
      </c>
      <c r="C90" s="13" t="s">
        <v>9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3" t="s">
        <v>9</v>
      </c>
      <c r="B91" s="3" t="s">
        <v>9</v>
      </c>
      <c r="C91" s="4" t="s">
        <v>129</v>
      </c>
      <c r="D91" s="3" t="s">
        <v>9</v>
      </c>
      <c r="E91" s="3" t="s">
        <v>9</v>
      </c>
      <c r="F91" s="11">
        <v>180.94720530000001</v>
      </c>
      <c r="G91" s="12">
        <v>4.4043684999999999E-2</v>
      </c>
      <c r="H91" s="164"/>
    </row>
    <row r="92" spans="1:8" x14ac:dyDescent="0.2">
      <c r="A92" s="3" t="s">
        <v>9</v>
      </c>
      <c r="B92" s="3" t="s">
        <v>9</v>
      </c>
      <c r="C92" s="14" t="s">
        <v>9</v>
      </c>
      <c r="D92" s="3" t="s">
        <v>9</v>
      </c>
      <c r="E92" s="3" t="s">
        <v>9</v>
      </c>
      <c r="F92" s="3" t="s">
        <v>9</v>
      </c>
      <c r="G92" s="3" t="s">
        <v>9</v>
      </c>
      <c r="H92" s="164"/>
    </row>
    <row r="93" spans="1:8" x14ac:dyDescent="0.2">
      <c r="A93" s="3" t="s">
        <v>9</v>
      </c>
      <c r="B93" s="3" t="s">
        <v>9</v>
      </c>
      <c r="C93" s="4" t="s">
        <v>130</v>
      </c>
      <c r="D93" s="3" t="s">
        <v>9</v>
      </c>
      <c r="E93" s="3" t="s">
        <v>9</v>
      </c>
      <c r="F93" s="3" t="s">
        <v>9</v>
      </c>
      <c r="G93" s="3" t="s">
        <v>9</v>
      </c>
      <c r="H93" s="164"/>
    </row>
    <row r="94" spans="1:8" x14ac:dyDescent="0.2">
      <c r="A94" s="3" t="s">
        <v>9</v>
      </c>
      <c r="B94" s="3" t="s">
        <v>9</v>
      </c>
      <c r="C94" s="4" t="s">
        <v>131</v>
      </c>
      <c r="D94" s="3" t="s">
        <v>9</v>
      </c>
      <c r="E94" s="3" t="s">
        <v>9</v>
      </c>
      <c r="F94" s="3" t="s">
        <v>9</v>
      </c>
      <c r="G94" s="3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110</v>
      </c>
      <c r="D95" s="3" t="s">
        <v>9</v>
      </c>
      <c r="E95" s="3" t="s">
        <v>9</v>
      </c>
      <c r="F95" s="15">
        <v>0</v>
      </c>
      <c r="G95" s="16">
        <v>0</v>
      </c>
      <c r="H95" s="164"/>
    </row>
    <row r="96" spans="1:8" x14ac:dyDescent="0.2">
      <c r="A96" s="3" t="s">
        <v>9</v>
      </c>
      <c r="B96" s="3" t="s">
        <v>9</v>
      </c>
      <c r="C96" s="13" t="s">
        <v>9</v>
      </c>
      <c r="D96" s="3" t="s">
        <v>9</v>
      </c>
      <c r="E96" s="3" t="s">
        <v>9</v>
      </c>
      <c r="F96" s="14" t="s">
        <v>9</v>
      </c>
      <c r="G96" s="14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132</v>
      </c>
      <c r="D97" s="3" t="s">
        <v>9</v>
      </c>
      <c r="E97" s="3" t="s">
        <v>9</v>
      </c>
      <c r="F97" s="3" t="s">
        <v>9</v>
      </c>
      <c r="G97" s="3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133</v>
      </c>
      <c r="D98" s="3" t="s">
        <v>9</v>
      </c>
      <c r="E98" s="3" t="s">
        <v>9</v>
      </c>
      <c r="F98" s="3" t="s">
        <v>9</v>
      </c>
      <c r="G98" s="3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110</v>
      </c>
      <c r="D99" s="3" t="s">
        <v>9</v>
      </c>
      <c r="E99" s="3" t="s">
        <v>9</v>
      </c>
      <c r="F99" s="15">
        <v>0</v>
      </c>
      <c r="G99" s="16">
        <v>0</v>
      </c>
      <c r="H99" s="164"/>
    </row>
    <row r="100" spans="1:8" x14ac:dyDescent="0.2">
      <c r="A100" s="3" t="s">
        <v>9</v>
      </c>
      <c r="B100" s="3" t="s">
        <v>9</v>
      </c>
      <c r="C100" s="13" t="s">
        <v>9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13" t="s">
        <v>9</v>
      </c>
      <c r="D101" s="3" t="s">
        <v>9</v>
      </c>
      <c r="E101" s="3" t="s">
        <v>9</v>
      </c>
      <c r="F101" s="14" t="s">
        <v>9</v>
      </c>
      <c r="G101" s="14" t="s">
        <v>9</v>
      </c>
      <c r="H101" s="164"/>
    </row>
    <row r="102" spans="1:8" ht="25.5" x14ac:dyDescent="0.2">
      <c r="A102" s="3" t="s">
        <v>9</v>
      </c>
      <c r="B102" s="3" t="s">
        <v>9</v>
      </c>
      <c r="C102" s="4" t="s">
        <v>134</v>
      </c>
      <c r="D102" s="3" t="s">
        <v>9</v>
      </c>
      <c r="E102" s="3" t="s">
        <v>9</v>
      </c>
      <c r="F102" s="14" t="s">
        <v>9</v>
      </c>
      <c r="G102" s="14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110</v>
      </c>
      <c r="D103" s="3" t="s">
        <v>9</v>
      </c>
      <c r="E103" s="3" t="s">
        <v>9</v>
      </c>
      <c r="F103" s="15">
        <v>0</v>
      </c>
      <c r="G103" s="16">
        <v>0</v>
      </c>
      <c r="H103" s="164"/>
    </row>
    <row r="104" spans="1:8" x14ac:dyDescent="0.2">
      <c r="A104" s="3" t="s">
        <v>9</v>
      </c>
      <c r="B104" s="3" t="s">
        <v>9</v>
      </c>
      <c r="C104" s="13" t="s">
        <v>9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6" t="s">
        <v>9</v>
      </c>
      <c r="C105" s="6" t="s">
        <v>9</v>
      </c>
      <c r="D105" s="4" t="s">
        <v>9</v>
      </c>
      <c r="E105" s="3" t="s">
        <v>9</v>
      </c>
      <c r="F105" s="6" t="s">
        <v>9</v>
      </c>
      <c r="G105" s="10" t="s">
        <v>9</v>
      </c>
      <c r="H105" s="164"/>
    </row>
    <row r="106" spans="1:8" x14ac:dyDescent="0.2">
      <c r="A106" s="10" t="s">
        <v>9</v>
      </c>
      <c r="B106" s="6" t="s">
        <v>9</v>
      </c>
      <c r="C106" s="6" t="s">
        <v>135</v>
      </c>
      <c r="D106" s="6" t="s">
        <v>9</v>
      </c>
      <c r="E106" s="10" t="s">
        <v>9</v>
      </c>
      <c r="F106" s="8">
        <v>-87.479517700000002</v>
      </c>
      <c r="G106" s="9">
        <v>-2.1293063000000001E-2</v>
      </c>
      <c r="H106" s="164"/>
    </row>
    <row r="107" spans="1:8" x14ac:dyDescent="0.2">
      <c r="A107" s="13" t="s">
        <v>9</v>
      </c>
      <c r="B107" s="13" t="s">
        <v>9</v>
      </c>
      <c r="C107" s="4" t="s">
        <v>136</v>
      </c>
      <c r="D107" s="17" t="s">
        <v>9</v>
      </c>
      <c r="E107" s="17" t="s">
        <v>9</v>
      </c>
      <c r="F107" s="11">
        <v>4108.3575331000002</v>
      </c>
      <c r="G107" s="12">
        <v>1</v>
      </c>
      <c r="H107" s="164"/>
    </row>
    <row r="108" spans="1:8" ht="14.1" customHeight="1" x14ac:dyDescent="0.2">
      <c r="A108" s="18" t="s">
        <v>9</v>
      </c>
      <c r="B108" s="18" t="s">
        <v>9</v>
      </c>
      <c r="C108" s="18" t="s">
        <v>9</v>
      </c>
      <c r="D108" s="19" t="s">
        <v>9</v>
      </c>
      <c r="E108" s="19" t="s">
        <v>9</v>
      </c>
      <c r="F108" s="19" t="s">
        <v>9</v>
      </c>
      <c r="G108" s="19" t="s">
        <v>9</v>
      </c>
    </row>
    <row r="109" spans="1:8" ht="14.1" customHeight="1" x14ac:dyDescent="0.2">
      <c r="A109" s="20" t="s">
        <v>9</v>
      </c>
      <c r="B109" s="228" t="s">
        <v>9</v>
      </c>
      <c r="C109" s="228"/>
      <c r="D109" s="228"/>
      <c r="E109" s="228"/>
      <c r="F109" s="228"/>
      <c r="G109" s="22" t="s">
        <v>9</v>
      </c>
    </row>
    <row r="110" spans="1:8" ht="14.1" customHeight="1" x14ac:dyDescent="0.2">
      <c r="A110" s="20" t="s">
        <v>9</v>
      </c>
      <c r="B110" s="228" t="s">
        <v>9</v>
      </c>
      <c r="C110" s="228"/>
      <c r="D110" s="228"/>
      <c r="E110" s="228"/>
      <c r="F110" s="228"/>
      <c r="G110" s="22" t="s">
        <v>9</v>
      </c>
    </row>
    <row r="111" spans="1:8" ht="14.1" customHeight="1" x14ac:dyDescent="0.2">
      <c r="A111" s="20" t="s">
        <v>9</v>
      </c>
      <c r="B111" s="20" t="s">
        <v>9</v>
      </c>
      <c r="C111" s="20" t="s">
        <v>9</v>
      </c>
      <c r="D111" s="22" t="s">
        <v>9</v>
      </c>
      <c r="E111" s="22" t="s">
        <v>9</v>
      </c>
      <c r="F111" s="22" t="s">
        <v>9</v>
      </c>
      <c r="G111" s="22" t="s">
        <v>9</v>
      </c>
    </row>
    <row r="112" spans="1:8" ht="14.1" customHeight="1" x14ac:dyDescent="0.2">
      <c r="A112" s="20" t="s">
        <v>9</v>
      </c>
      <c r="B112" s="226" t="s">
        <v>138</v>
      </c>
      <c r="C112" s="227"/>
      <c r="D112" s="14" t="s">
        <v>9</v>
      </c>
      <c r="E112" s="23" t="s">
        <v>9</v>
      </c>
      <c r="F112" s="22" t="s">
        <v>9</v>
      </c>
      <c r="G112" s="22" t="s">
        <v>9</v>
      </c>
    </row>
    <row r="113" spans="1:7" ht="29.1" customHeight="1" x14ac:dyDescent="0.2">
      <c r="A113" s="20" t="s">
        <v>9</v>
      </c>
      <c r="B113" s="233" t="s">
        <v>139</v>
      </c>
      <c r="C113" s="234"/>
      <c r="D113" s="4" t="s">
        <v>140</v>
      </c>
      <c r="E113" s="23" t="s">
        <v>9</v>
      </c>
      <c r="F113" s="22" t="s">
        <v>9</v>
      </c>
      <c r="G113" s="22" t="s">
        <v>9</v>
      </c>
    </row>
    <row r="114" spans="1:7" ht="17.100000000000001" customHeight="1" x14ac:dyDescent="0.2">
      <c r="A114" s="20" t="s">
        <v>9</v>
      </c>
      <c r="B114" s="233" t="s">
        <v>141</v>
      </c>
      <c r="C114" s="234"/>
      <c r="D114" s="4" t="s">
        <v>140</v>
      </c>
      <c r="E114" s="23" t="s">
        <v>9</v>
      </c>
      <c r="F114" s="22" t="s">
        <v>9</v>
      </c>
      <c r="G114" s="22" t="s">
        <v>9</v>
      </c>
    </row>
    <row r="115" spans="1:7" ht="17.100000000000001" customHeight="1" x14ac:dyDescent="0.2">
      <c r="A115" s="20" t="s">
        <v>9</v>
      </c>
      <c r="B115" s="233" t="s">
        <v>142</v>
      </c>
      <c r="C115" s="234"/>
      <c r="D115" s="14" t="s">
        <v>9</v>
      </c>
      <c r="E115" s="23" t="s">
        <v>9</v>
      </c>
      <c r="F115" s="22" t="s">
        <v>9</v>
      </c>
      <c r="G115" s="22" t="s">
        <v>9</v>
      </c>
    </row>
    <row r="116" spans="1:7" ht="24" customHeight="1" x14ac:dyDescent="0.2">
      <c r="A116" s="24" t="s">
        <v>9</v>
      </c>
      <c r="B116" s="25" t="s">
        <v>9</v>
      </c>
      <c r="C116" s="25" t="s">
        <v>143</v>
      </c>
      <c r="D116" s="25" t="s">
        <v>144</v>
      </c>
      <c r="E116" s="24" t="s">
        <v>9</v>
      </c>
      <c r="F116" s="24" t="s">
        <v>9</v>
      </c>
      <c r="G116" s="24" t="s">
        <v>9</v>
      </c>
    </row>
    <row r="117" spans="1:7" ht="18" customHeight="1" x14ac:dyDescent="0.2">
      <c r="A117" s="24" t="s">
        <v>9</v>
      </c>
      <c r="B117" s="25" t="s">
        <v>145</v>
      </c>
      <c r="C117" s="25" t="s">
        <v>146</v>
      </c>
      <c r="D117" s="25" t="s">
        <v>147</v>
      </c>
      <c r="E117" s="24" t="s">
        <v>9</v>
      </c>
      <c r="F117" s="24" t="s">
        <v>9</v>
      </c>
      <c r="G117" s="24" t="s">
        <v>9</v>
      </c>
    </row>
    <row r="118" spans="1:7" ht="17.100000000000001" customHeight="1" x14ac:dyDescent="0.2">
      <c r="A118" s="24" t="s">
        <v>9</v>
      </c>
      <c r="B118" s="6" t="s">
        <v>148</v>
      </c>
      <c r="C118" s="26">
        <v>13.896000000000001</v>
      </c>
      <c r="D118" s="26">
        <v>14.689399999999999</v>
      </c>
      <c r="E118" s="24" t="s">
        <v>9</v>
      </c>
      <c r="F118" s="21" t="s">
        <v>9</v>
      </c>
      <c r="G118" s="27" t="s">
        <v>9</v>
      </c>
    </row>
    <row r="119" spans="1:7" ht="17.100000000000001" customHeight="1" x14ac:dyDescent="0.2">
      <c r="A119" s="24" t="s">
        <v>9</v>
      </c>
      <c r="B119" s="6" t="s">
        <v>839</v>
      </c>
      <c r="C119" s="26">
        <v>12.875500000000001</v>
      </c>
      <c r="D119" s="26">
        <v>13.6107</v>
      </c>
      <c r="E119" s="24" t="s">
        <v>9</v>
      </c>
      <c r="F119" s="21" t="s">
        <v>9</v>
      </c>
      <c r="G119" s="27" t="s">
        <v>9</v>
      </c>
    </row>
    <row r="120" spans="1:7" ht="17.100000000000001" customHeight="1" x14ac:dyDescent="0.2">
      <c r="A120" s="24" t="s">
        <v>9</v>
      </c>
      <c r="B120" s="6" t="s">
        <v>149</v>
      </c>
      <c r="C120" s="26">
        <v>13.514900000000001</v>
      </c>
      <c r="D120" s="26">
        <v>14.280200000000001</v>
      </c>
      <c r="E120" s="24" t="s">
        <v>9</v>
      </c>
      <c r="F120" s="21" t="s">
        <v>9</v>
      </c>
      <c r="G120" s="27" t="s">
        <v>9</v>
      </c>
    </row>
    <row r="121" spans="1:7" ht="17.100000000000001" customHeight="1" x14ac:dyDescent="0.2">
      <c r="A121" s="24" t="s">
        <v>9</v>
      </c>
      <c r="B121" s="6" t="s">
        <v>840</v>
      </c>
      <c r="C121" s="26">
        <v>12.7849</v>
      </c>
      <c r="D121" s="26">
        <v>13.508800000000001</v>
      </c>
      <c r="E121" s="24" t="s">
        <v>9</v>
      </c>
      <c r="F121" s="21" t="s">
        <v>9</v>
      </c>
      <c r="G121" s="27" t="s">
        <v>9</v>
      </c>
    </row>
    <row r="122" spans="1:7" ht="14.1" customHeight="1" x14ac:dyDescent="0.2">
      <c r="A122" s="24" t="s">
        <v>9</v>
      </c>
      <c r="B122" s="24" t="s">
        <v>9</v>
      </c>
      <c r="C122" s="24" t="s">
        <v>9</v>
      </c>
      <c r="D122" s="24" t="s">
        <v>9</v>
      </c>
      <c r="E122" s="24" t="s">
        <v>9</v>
      </c>
      <c r="F122" s="24" t="s">
        <v>9</v>
      </c>
      <c r="G122" s="24" t="s">
        <v>9</v>
      </c>
    </row>
    <row r="123" spans="1:7" ht="17.100000000000001" customHeight="1" x14ac:dyDescent="0.2">
      <c r="A123" s="24" t="s">
        <v>9</v>
      </c>
      <c r="B123" s="233" t="s">
        <v>1003</v>
      </c>
      <c r="C123" s="234"/>
      <c r="D123" s="4" t="s">
        <v>140</v>
      </c>
      <c r="E123" s="24" t="s">
        <v>9</v>
      </c>
      <c r="F123" s="24" t="s">
        <v>9</v>
      </c>
      <c r="G123" s="24" t="s">
        <v>9</v>
      </c>
    </row>
    <row r="124" spans="1:7" ht="18" customHeight="1" x14ac:dyDescent="0.2">
      <c r="A124" s="24" t="s">
        <v>9</v>
      </c>
      <c r="B124" s="28" t="s">
        <v>150</v>
      </c>
      <c r="C124" s="28" t="s">
        <v>150</v>
      </c>
      <c r="D124" s="28" t="s">
        <v>9</v>
      </c>
      <c r="E124" s="24" t="s">
        <v>9</v>
      </c>
      <c r="F124" s="24" t="s">
        <v>9</v>
      </c>
      <c r="G124" s="24" t="s">
        <v>9</v>
      </c>
    </row>
    <row r="125" spans="1:7" s="169" customFormat="1" x14ac:dyDescent="0.2">
      <c r="B125" s="235" t="s">
        <v>841</v>
      </c>
      <c r="C125" s="235"/>
      <c r="D125" s="235"/>
      <c r="E125" s="235"/>
      <c r="F125" s="235"/>
    </row>
    <row r="126" spans="1:7" ht="14.1" customHeight="1" x14ac:dyDescent="0.2">
      <c r="A126" s="24" t="s">
        <v>9</v>
      </c>
      <c r="B126" s="21" t="s">
        <v>9</v>
      </c>
      <c r="C126" s="21" t="s">
        <v>9</v>
      </c>
      <c r="D126" s="24" t="s">
        <v>9</v>
      </c>
      <c r="E126" s="24" t="s">
        <v>9</v>
      </c>
      <c r="F126" s="24" t="s">
        <v>9</v>
      </c>
      <c r="G126" s="24" t="s">
        <v>9</v>
      </c>
    </row>
    <row r="127" spans="1:7" ht="29.1" customHeight="1" x14ac:dyDescent="0.2">
      <c r="A127" s="24" t="s">
        <v>9</v>
      </c>
      <c r="B127" s="233" t="s">
        <v>151</v>
      </c>
      <c r="C127" s="234"/>
      <c r="D127" s="4" t="s">
        <v>140</v>
      </c>
      <c r="E127" s="24" t="s">
        <v>9</v>
      </c>
      <c r="F127" s="24" t="s">
        <v>9</v>
      </c>
      <c r="G127" s="24" t="s">
        <v>9</v>
      </c>
    </row>
    <row r="128" spans="1:7" ht="29.1" customHeight="1" x14ac:dyDescent="0.2">
      <c r="A128" s="24" t="s">
        <v>9</v>
      </c>
      <c r="B128" s="233" t="s">
        <v>152</v>
      </c>
      <c r="C128" s="234"/>
      <c r="D128" s="4" t="s">
        <v>140</v>
      </c>
      <c r="E128" s="24" t="s">
        <v>9</v>
      </c>
      <c r="F128" s="24" t="s">
        <v>9</v>
      </c>
      <c r="G128" s="24" t="s">
        <v>9</v>
      </c>
    </row>
    <row r="129" spans="1:7" ht="17.100000000000001" customHeight="1" x14ac:dyDescent="0.2">
      <c r="A129" s="24" t="s">
        <v>9</v>
      </c>
      <c r="B129" s="233" t="s">
        <v>153</v>
      </c>
      <c r="C129" s="234"/>
      <c r="D129" s="29">
        <v>0.81287687520869345</v>
      </c>
      <c r="E129" s="24" t="s">
        <v>9</v>
      </c>
      <c r="F129" s="21" t="s">
        <v>9</v>
      </c>
      <c r="G129" s="27" t="s">
        <v>9</v>
      </c>
    </row>
    <row r="130" spans="1:7" ht="17.100000000000001" customHeight="1" x14ac:dyDescent="0.2">
      <c r="A130" s="24" t="s">
        <v>9</v>
      </c>
      <c r="B130" s="233" t="s">
        <v>154</v>
      </c>
      <c r="C130" s="234"/>
      <c r="D130" s="4" t="s">
        <v>140</v>
      </c>
      <c r="E130" s="24" t="s">
        <v>9</v>
      </c>
      <c r="F130" s="24" t="s">
        <v>9</v>
      </c>
      <c r="G130" s="24" t="s">
        <v>9</v>
      </c>
    </row>
  </sheetData>
  <mergeCells count="15">
    <mergeCell ref="B129:C129"/>
    <mergeCell ref="B130:C130"/>
    <mergeCell ref="B113:C113"/>
    <mergeCell ref="B114:C114"/>
    <mergeCell ref="B115:C115"/>
    <mergeCell ref="B123:C123"/>
    <mergeCell ref="B127:C127"/>
    <mergeCell ref="B128:C128"/>
    <mergeCell ref="B125:F125"/>
    <mergeCell ref="B112:C112"/>
    <mergeCell ref="B109:F109"/>
    <mergeCell ref="B110:F11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H134"/>
  <sheetViews>
    <sheetView showGridLines="0" workbookViewId="0">
      <selection activeCell="A4" sqref="A4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8" ht="15" x14ac:dyDescent="0.2">
      <c r="A1" s="229" t="s">
        <v>0</v>
      </c>
      <c r="B1" s="229"/>
      <c r="C1" s="229"/>
      <c r="D1" s="229"/>
      <c r="E1" s="229"/>
      <c r="F1" s="229"/>
      <c r="G1" s="229"/>
      <c r="H1" s="229"/>
    </row>
    <row r="2" spans="1:8" ht="15" x14ac:dyDescent="0.2">
      <c r="A2" s="230" t="s">
        <v>750</v>
      </c>
      <c r="B2" s="231"/>
      <c r="C2" s="231"/>
      <c r="D2" s="231"/>
      <c r="E2" s="231"/>
      <c r="F2" s="231"/>
      <c r="G2" s="231"/>
      <c r="H2" s="232"/>
    </row>
    <row r="3" spans="1:8" ht="15" x14ac:dyDescent="0.2">
      <c r="A3" s="229" t="s">
        <v>988</v>
      </c>
      <c r="B3" s="229"/>
      <c r="C3" s="229"/>
      <c r="D3" s="229"/>
      <c r="E3" s="229"/>
      <c r="F3" s="229"/>
      <c r="G3" s="229"/>
      <c r="H3" s="229"/>
    </row>
    <row r="4" spans="1:8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170" t="s">
        <v>828</v>
      </c>
    </row>
    <row r="5" spans="1:8" x14ac:dyDescent="0.2">
      <c r="A5" s="3" t="s">
        <v>9</v>
      </c>
      <c r="B5" s="3" t="s">
        <v>9</v>
      </c>
      <c r="C5" s="4" t="s">
        <v>10</v>
      </c>
      <c r="D5" s="3" t="s">
        <v>9</v>
      </c>
      <c r="E5" s="3" t="s">
        <v>9</v>
      </c>
      <c r="F5" s="3" t="s">
        <v>9</v>
      </c>
      <c r="G5" s="3" t="s">
        <v>9</v>
      </c>
      <c r="H5" s="164"/>
    </row>
    <row r="6" spans="1:8" ht="25.5" x14ac:dyDescent="0.2">
      <c r="A6" s="3" t="s">
        <v>9</v>
      </c>
      <c r="B6" s="3" t="s">
        <v>9</v>
      </c>
      <c r="C6" s="4" t="s">
        <v>11</v>
      </c>
      <c r="D6" s="3" t="s">
        <v>9</v>
      </c>
      <c r="E6" s="3" t="s">
        <v>9</v>
      </c>
      <c r="F6" s="3" t="s">
        <v>9</v>
      </c>
      <c r="G6" s="3" t="s">
        <v>9</v>
      </c>
      <c r="H6" s="164"/>
    </row>
    <row r="7" spans="1:8" x14ac:dyDescent="0.2">
      <c r="A7" s="5">
        <v>1</v>
      </c>
      <c r="B7" s="6" t="s">
        <v>20</v>
      </c>
      <c r="C7" s="6" t="s">
        <v>21</v>
      </c>
      <c r="D7" s="6" t="s">
        <v>22</v>
      </c>
      <c r="E7" s="7">
        <v>180295</v>
      </c>
      <c r="F7" s="8">
        <v>1230.513375</v>
      </c>
      <c r="G7" s="9">
        <v>7.8834182000000003E-2</v>
      </c>
      <c r="H7" s="164"/>
    </row>
    <row r="8" spans="1:8" x14ac:dyDescent="0.2">
      <c r="A8" s="5">
        <v>2</v>
      </c>
      <c r="B8" s="6" t="s">
        <v>407</v>
      </c>
      <c r="C8" s="6" t="s">
        <v>408</v>
      </c>
      <c r="D8" s="6" t="s">
        <v>22</v>
      </c>
      <c r="E8" s="7">
        <v>264724</v>
      </c>
      <c r="F8" s="8">
        <v>1143.0782320000001</v>
      </c>
      <c r="G8" s="9">
        <v>7.3232554000000005E-2</v>
      </c>
      <c r="H8" s="164"/>
    </row>
    <row r="9" spans="1:8" x14ac:dyDescent="0.2">
      <c r="A9" s="5">
        <v>3</v>
      </c>
      <c r="B9" s="6" t="s">
        <v>357</v>
      </c>
      <c r="C9" s="6" t="s">
        <v>358</v>
      </c>
      <c r="D9" s="6" t="s">
        <v>22</v>
      </c>
      <c r="E9" s="7">
        <v>120791</v>
      </c>
      <c r="F9" s="8">
        <v>856.28739900000005</v>
      </c>
      <c r="G9" s="9">
        <v>5.4858985999999998E-2</v>
      </c>
      <c r="H9" s="164"/>
    </row>
    <row r="10" spans="1:8" x14ac:dyDescent="0.2">
      <c r="A10" s="5">
        <v>4</v>
      </c>
      <c r="B10" s="6" t="s">
        <v>12</v>
      </c>
      <c r="C10" s="6" t="s">
        <v>13</v>
      </c>
      <c r="D10" s="6" t="s">
        <v>14</v>
      </c>
      <c r="E10" s="7">
        <v>49460</v>
      </c>
      <c r="F10" s="8">
        <v>792.07717000000002</v>
      </c>
      <c r="G10" s="9">
        <v>5.0745288E-2</v>
      </c>
      <c r="H10" s="164"/>
    </row>
    <row r="11" spans="1:8" x14ac:dyDescent="0.2">
      <c r="A11" s="5">
        <v>5</v>
      </c>
      <c r="B11" s="6" t="s">
        <v>23</v>
      </c>
      <c r="C11" s="6" t="s">
        <v>24</v>
      </c>
      <c r="D11" s="6" t="s">
        <v>25</v>
      </c>
      <c r="E11" s="7">
        <v>117223</v>
      </c>
      <c r="F11" s="8">
        <v>658.38297950000003</v>
      </c>
      <c r="G11" s="9">
        <v>4.2180024000000003E-2</v>
      </c>
      <c r="H11" s="164"/>
    </row>
    <row r="12" spans="1:8" x14ac:dyDescent="0.2">
      <c r="A12" s="5">
        <v>6</v>
      </c>
      <c r="B12" s="6" t="s">
        <v>242</v>
      </c>
      <c r="C12" s="6" t="s">
        <v>243</v>
      </c>
      <c r="D12" s="6" t="s">
        <v>59</v>
      </c>
      <c r="E12" s="7">
        <v>48594</v>
      </c>
      <c r="F12" s="8">
        <v>641.90244299999995</v>
      </c>
      <c r="G12" s="9">
        <v>4.1124180000000003E-2</v>
      </c>
      <c r="H12" s="164"/>
    </row>
    <row r="13" spans="1:8" ht="25.5" x14ac:dyDescent="0.2">
      <c r="A13" s="5">
        <v>7</v>
      </c>
      <c r="B13" s="6" t="s">
        <v>405</v>
      </c>
      <c r="C13" s="6" t="s">
        <v>406</v>
      </c>
      <c r="D13" s="6" t="s">
        <v>161</v>
      </c>
      <c r="E13" s="7">
        <v>24388</v>
      </c>
      <c r="F13" s="8">
        <v>595.34766200000001</v>
      </c>
      <c r="G13" s="9">
        <v>3.8141596999999999E-2</v>
      </c>
      <c r="H13" s="164"/>
    </row>
    <row r="14" spans="1:8" x14ac:dyDescent="0.2">
      <c r="A14" s="5">
        <v>8</v>
      </c>
      <c r="B14" s="6" t="s">
        <v>355</v>
      </c>
      <c r="C14" s="6" t="s">
        <v>356</v>
      </c>
      <c r="D14" s="6" t="s">
        <v>22</v>
      </c>
      <c r="E14" s="7">
        <v>651045</v>
      </c>
      <c r="F14" s="8">
        <v>522.78913499999999</v>
      </c>
      <c r="G14" s="9">
        <v>3.3493056E-2</v>
      </c>
      <c r="H14" s="164"/>
    </row>
    <row r="15" spans="1:8" x14ac:dyDescent="0.2">
      <c r="A15" s="5">
        <v>9</v>
      </c>
      <c r="B15" s="6" t="s">
        <v>53</v>
      </c>
      <c r="C15" s="6" t="s">
        <v>54</v>
      </c>
      <c r="D15" s="6" t="s">
        <v>17</v>
      </c>
      <c r="E15" s="7">
        <v>107368</v>
      </c>
      <c r="F15" s="8">
        <v>478.32443999999998</v>
      </c>
      <c r="G15" s="9">
        <v>3.0644377E-2</v>
      </c>
      <c r="H15" s="164"/>
    </row>
    <row r="16" spans="1:8" x14ac:dyDescent="0.2">
      <c r="A16" s="5">
        <v>10</v>
      </c>
      <c r="B16" s="6" t="s">
        <v>74</v>
      </c>
      <c r="C16" s="6" t="s">
        <v>75</v>
      </c>
      <c r="D16" s="6" t="s">
        <v>76</v>
      </c>
      <c r="E16" s="7">
        <v>337303</v>
      </c>
      <c r="F16" s="8">
        <v>470.70633650000002</v>
      </c>
      <c r="G16" s="9">
        <v>3.0156315E-2</v>
      </c>
      <c r="H16" s="164"/>
    </row>
    <row r="17" spans="1:8" x14ac:dyDescent="0.2">
      <c r="A17" s="5">
        <v>11</v>
      </c>
      <c r="B17" s="6" t="s">
        <v>334</v>
      </c>
      <c r="C17" s="6" t="s">
        <v>335</v>
      </c>
      <c r="D17" s="6" t="s">
        <v>22</v>
      </c>
      <c r="E17" s="7">
        <v>508830</v>
      </c>
      <c r="F17" s="8">
        <v>444.971835</v>
      </c>
      <c r="G17" s="9">
        <v>2.8507606000000001E-2</v>
      </c>
      <c r="H17" s="164"/>
    </row>
    <row r="18" spans="1:8" x14ac:dyDescent="0.2">
      <c r="A18" s="5">
        <v>12</v>
      </c>
      <c r="B18" s="6" t="s">
        <v>676</v>
      </c>
      <c r="C18" s="6" t="s">
        <v>677</v>
      </c>
      <c r="D18" s="6" t="s">
        <v>17</v>
      </c>
      <c r="E18" s="7">
        <v>417847</v>
      </c>
      <c r="F18" s="8">
        <v>431.00918050000001</v>
      </c>
      <c r="G18" s="9">
        <v>2.7613072999999998E-2</v>
      </c>
      <c r="H18" s="164"/>
    </row>
    <row r="19" spans="1:8" ht="25.5" x14ac:dyDescent="0.2">
      <c r="A19" s="5">
        <v>13</v>
      </c>
      <c r="B19" s="6" t="s">
        <v>63</v>
      </c>
      <c r="C19" s="6" t="s">
        <v>64</v>
      </c>
      <c r="D19" s="6" t="s">
        <v>40</v>
      </c>
      <c r="E19" s="7">
        <v>52829</v>
      </c>
      <c r="F19" s="8">
        <v>419.59433250000001</v>
      </c>
      <c r="G19" s="9">
        <v>2.6881769E-2</v>
      </c>
      <c r="H19" s="164"/>
    </row>
    <row r="20" spans="1:8" x14ac:dyDescent="0.2">
      <c r="A20" s="5">
        <v>14</v>
      </c>
      <c r="B20" s="6" t="s">
        <v>232</v>
      </c>
      <c r="C20" s="6" t="s">
        <v>233</v>
      </c>
      <c r="D20" s="6" t="s">
        <v>37</v>
      </c>
      <c r="E20" s="7">
        <v>44408</v>
      </c>
      <c r="F20" s="8">
        <v>383.52969200000001</v>
      </c>
      <c r="G20" s="9">
        <v>2.4571248E-2</v>
      </c>
      <c r="H20" s="164"/>
    </row>
    <row r="21" spans="1:8" x14ac:dyDescent="0.2">
      <c r="A21" s="5">
        <v>15</v>
      </c>
      <c r="B21" s="6" t="s">
        <v>731</v>
      </c>
      <c r="C21" s="6" t="s">
        <v>732</v>
      </c>
      <c r="D21" s="6" t="s">
        <v>346</v>
      </c>
      <c r="E21" s="7">
        <v>173000</v>
      </c>
      <c r="F21" s="8">
        <v>363.64600000000002</v>
      </c>
      <c r="G21" s="9">
        <v>2.3297378000000001E-2</v>
      </c>
      <c r="H21" s="164"/>
    </row>
    <row r="22" spans="1:8" x14ac:dyDescent="0.2">
      <c r="A22" s="5">
        <v>16</v>
      </c>
      <c r="B22" s="6" t="s">
        <v>411</v>
      </c>
      <c r="C22" s="6" t="s">
        <v>412</v>
      </c>
      <c r="D22" s="6" t="s">
        <v>59</v>
      </c>
      <c r="E22" s="7">
        <v>24230</v>
      </c>
      <c r="F22" s="8">
        <v>347.53089</v>
      </c>
      <c r="G22" s="9">
        <v>2.2264946000000001E-2</v>
      </c>
      <c r="H22" s="164"/>
    </row>
    <row r="23" spans="1:8" ht="25.5" x14ac:dyDescent="0.2">
      <c r="A23" s="5">
        <v>17</v>
      </c>
      <c r="B23" s="6" t="s">
        <v>728</v>
      </c>
      <c r="C23" s="6" t="s">
        <v>729</v>
      </c>
      <c r="D23" s="6" t="s">
        <v>161</v>
      </c>
      <c r="E23" s="7">
        <v>229311</v>
      </c>
      <c r="F23" s="8">
        <v>347.17685399999999</v>
      </c>
      <c r="G23" s="9">
        <v>2.2242264000000001E-2</v>
      </c>
      <c r="H23" s="164"/>
    </row>
    <row r="24" spans="1:8" ht="25.5" x14ac:dyDescent="0.2">
      <c r="A24" s="5">
        <v>18</v>
      </c>
      <c r="B24" s="6" t="s">
        <v>428</v>
      </c>
      <c r="C24" s="6" t="s">
        <v>429</v>
      </c>
      <c r="D24" s="6" t="s">
        <v>67</v>
      </c>
      <c r="E24" s="7">
        <v>169132</v>
      </c>
      <c r="F24" s="8">
        <v>346.636034</v>
      </c>
      <c r="G24" s="9">
        <v>2.2207615999999999E-2</v>
      </c>
      <c r="H24" s="164"/>
    </row>
    <row r="25" spans="1:8" x14ac:dyDescent="0.2">
      <c r="A25" s="5">
        <v>19</v>
      </c>
      <c r="B25" s="6" t="s">
        <v>41</v>
      </c>
      <c r="C25" s="6" t="s">
        <v>42</v>
      </c>
      <c r="D25" s="6" t="s">
        <v>28</v>
      </c>
      <c r="E25" s="7">
        <v>28518</v>
      </c>
      <c r="F25" s="8">
        <v>330.55213800000001</v>
      </c>
      <c r="G25" s="9">
        <v>2.1177182999999999E-2</v>
      </c>
      <c r="H25" s="164"/>
    </row>
    <row r="26" spans="1:8" x14ac:dyDescent="0.2">
      <c r="A26" s="5">
        <v>20</v>
      </c>
      <c r="B26" s="6" t="s">
        <v>505</v>
      </c>
      <c r="C26" s="6" t="s">
        <v>400</v>
      </c>
      <c r="D26" s="6" t="s">
        <v>346</v>
      </c>
      <c r="E26" s="7">
        <v>147228</v>
      </c>
      <c r="F26" s="8">
        <v>330.15879000000001</v>
      </c>
      <c r="G26" s="9">
        <v>2.1151982999999999E-2</v>
      </c>
      <c r="H26" s="164"/>
    </row>
    <row r="27" spans="1:8" ht="25.5" x14ac:dyDescent="0.2">
      <c r="A27" s="5">
        <v>21</v>
      </c>
      <c r="B27" s="6" t="s">
        <v>240</v>
      </c>
      <c r="C27" s="6" t="s">
        <v>241</v>
      </c>
      <c r="D27" s="6" t="s">
        <v>925</v>
      </c>
      <c r="E27" s="7">
        <v>155877</v>
      </c>
      <c r="F27" s="8">
        <v>299.51765549999999</v>
      </c>
      <c r="G27" s="9">
        <v>1.9188924999999999E-2</v>
      </c>
      <c r="H27" s="164"/>
    </row>
    <row r="28" spans="1:8" x14ac:dyDescent="0.2">
      <c r="A28" s="5">
        <v>22</v>
      </c>
      <c r="B28" s="6" t="s">
        <v>353</v>
      </c>
      <c r="C28" s="6" t="s">
        <v>354</v>
      </c>
      <c r="D28" s="6" t="s">
        <v>50</v>
      </c>
      <c r="E28" s="7">
        <v>46443</v>
      </c>
      <c r="F28" s="8">
        <v>299.04647699999998</v>
      </c>
      <c r="G28" s="9">
        <v>1.9158739000000001E-2</v>
      </c>
      <c r="H28" s="164"/>
    </row>
    <row r="29" spans="1:8" x14ac:dyDescent="0.2">
      <c r="A29" s="5">
        <v>23</v>
      </c>
      <c r="B29" s="6" t="s">
        <v>733</v>
      </c>
      <c r="C29" s="6" t="s">
        <v>734</v>
      </c>
      <c r="D29" s="6" t="s">
        <v>172</v>
      </c>
      <c r="E29" s="7">
        <v>15187</v>
      </c>
      <c r="F29" s="8">
        <v>290.01854550000002</v>
      </c>
      <c r="G29" s="9">
        <v>1.8580354E-2</v>
      </c>
      <c r="H29" s="164"/>
    </row>
    <row r="30" spans="1:8" x14ac:dyDescent="0.2">
      <c r="A30" s="5">
        <v>24</v>
      </c>
      <c r="B30" s="6" t="s">
        <v>633</v>
      </c>
      <c r="C30" s="6" t="s">
        <v>634</v>
      </c>
      <c r="D30" s="6" t="s">
        <v>635</v>
      </c>
      <c r="E30" s="7">
        <v>146319</v>
      </c>
      <c r="F30" s="8">
        <v>265.13002799999998</v>
      </c>
      <c r="G30" s="9">
        <v>1.6985844E-2</v>
      </c>
      <c r="H30" s="164"/>
    </row>
    <row r="31" spans="1:8" x14ac:dyDescent="0.2">
      <c r="A31" s="5">
        <v>25</v>
      </c>
      <c r="B31" s="6" t="s">
        <v>332</v>
      </c>
      <c r="C31" s="6" t="s">
        <v>333</v>
      </c>
      <c r="D31" s="6" t="s">
        <v>59</v>
      </c>
      <c r="E31" s="7">
        <v>58801</v>
      </c>
      <c r="F31" s="8">
        <v>253.87331750000001</v>
      </c>
      <c r="G31" s="9">
        <v>1.6264671000000001E-2</v>
      </c>
      <c r="H31" s="164"/>
    </row>
    <row r="32" spans="1:8" x14ac:dyDescent="0.2">
      <c r="A32" s="5">
        <v>26</v>
      </c>
      <c r="B32" s="6" t="s">
        <v>636</v>
      </c>
      <c r="C32" s="6" t="s">
        <v>637</v>
      </c>
      <c r="D32" s="6" t="s">
        <v>45</v>
      </c>
      <c r="E32" s="7">
        <v>203421</v>
      </c>
      <c r="F32" s="8">
        <v>240.443622</v>
      </c>
      <c r="G32" s="9">
        <v>1.5404283E-2</v>
      </c>
      <c r="H32" s="164"/>
    </row>
    <row r="33" spans="1:8" x14ac:dyDescent="0.2">
      <c r="A33" s="5">
        <v>27</v>
      </c>
      <c r="B33" s="6" t="s">
        <v>103</v>
      </c>
      <c r="C33" s="6" t="s">
        <v>104</v>
      </c>
      <c r="D33" s="6" t="s">
        <v>76</v>
      </c>
      <c r="E33" s="7">
        <v>69341</v>
      </c>
      <c r="F33" s="8">
        <v>239.98920100000001</v>
      </c>
      <c r="G33" s="9">
        <v>1.5375170000000001E-2</v>
      </c>
      <c r="H33" s="164"/>
    </row>
    <row r="34" spans="1:8" x14ac:dyDescent="0.2">
      <c r="A34" s="5">
        <v>28</v>
      </c>
      <c r="B34" s="6" t="s">
        <v>650</v>
      </c>
      <c r="C34" s="6" t="s">
        <v>651</v>
      </c>
      <c r="D34" s="6" t="s">
        <v>22</v>
      </c>
      <c r="E34" s="7">
        <v>22455</v>
      </c>
      <c r="F34" s="8">
        <v>220.28354999999999</v>
      </c>
      <c r="G34" s="9">
        <v>1.4112705999999999E-2</v>
      </c>
      <c r="H34" s="164"/>
    </row>
    <row r="35" spans="1:8" x14ac:dyDescent="0.2">
      <c r="A35" s="5">
        <v>29</v>
      </c>
      <c r="B35" s="6" t="s">
        <v>501</v>
      </c>
      <c r="C35" s="6" t="s">
        <v>502</v>
      </c>
      <c r="D35" s="6" t="s">
        <v>88</v>
      </c>
      <c r="E35" s="7">
        <v>74548</v>
      </c>
      <c r="F35" s="8">
        <v>219.13384600000001</v>
      </c>
      <c r="G35" s="9">
        <v>1.4039049E-2</v>
      </c>
      <c r="H35" s="164"/>
    </row>
    <row r="36" spans="1:8" x14ac:dyDescent="0.2">
      <c r="A36" s="5">
        <v>30</v>
      </c>
      <c r="B36" s="6" t="s">
        <v>72</v>
      </c>
      <c r="C36" s="6" t="s">
        <v>73</v>
      </c>
      <c r="D36" s="6" t="s">
        <v>28</v>
      </c>
      <c r="E36" s="7">
        <v>24242</v>
      </c>
      <c r="F36" s="8">
        <v>206.63880800000001</v>
      </c>
      <c r="G36" s="9">
        <v>1.3238541E-2</v>
      </c>
      <c r="H36" s="164"/>
    </row>
    <row r="37" spans="1:8" x14ac:dyDescent="0.2">
      <c r="A37" s="5">
        <v>31</v>
      </c>
      <c r="B37" s="6" t="s">
        <v>726</v>
      </c>
      <c r="C37" s="6" t="s">
        <v>727</v>
      </c>
      <c r="D37" s="6" t="s">
        <v>161</v>
      </c>
      <c r="E37" s="7">
        <v>191037</v>
      </c>
      <c r="F37" s="8">
        <v>202.30818300000001</v>
      </c>
      <c r="G37" s="9">
        <v>1.2961093999999999E-2</v>
      </c>
      <c r="H37" s="164"/>
    </row>
    <row r="38" spans="1:8" x14ac:dyDescent="0.2">
      <c r="A38" s="5">
        <v>32</v>
      </c>
      <c r="B38" s="6" t="s">
        <v>264</v>
      </c>
      <c r="C38" s="6" t="s">
        <v>265</v>
      </c>
      <c r="D38" s="6" t="s">
        <v>266</v>
      </c>
      <c r="E38" s="7">
        <v>22774</v>
      </c>
      <c r="F38" s="8">
        <v>184.13917699999999</v>
      </c>
      <c r="G38" s="9">
        <v>1.1797077E-2</v>
      </c>
      <c r="H38" s="164"/>
    </row>
    <row r="39" spans="1:8" x14ac:dyDescent="0.2">
      <c r="A39" s="5">
        <v>33</v>
      </c>
      <c r="B39" s="6" t="s">
        <v>654</v>
      </c>
      <c r="C39" s="6" t="s">
        <v>655</v>
      </c>
      <c r="D39" s="6" t="s">
        <v>200</v>
      </c>
      <c r="E39" s="7">
        <v>16040</v>
      </c>
      <c r="F39" s="8">
        <v>177.62696</v>
      </c>
      <c r="G39" s="9">
        <v>1.1379864999999999E-2</v>
      </c>
      <c r="H39" s="164"/>
    </row>
    <row r="40" spans="1:8" x14ac:dyDescent="0.2">
      <c r="A40" s="5">
        <v>34</v>
      </c>
      <c r="B40" s="6" t="s">
        <v>413</v>
      </c>
      <c r="C40" s="6" t="s">
        <v>414</v>
      </c>
      <c r="D40" s="6" t="s">
        <v>200</v>
      </c>
      <c r="E40" s="7">
        <v>22605</v>
      </c>
      <c r="F40" s="8">
        <v>174.95139750000001</v>
      </c>
      <c r="G40" s="9">
        <v>1.1208452000000001E-2</v>
      </c>
      <c r="H40" s="164"/>
    </row>
    <row r="41" spans="1:8" x14ac:dyDescent="0.2">
      <c r="A41" s="5">
        <v>35</v>
      </c>
      <c r="B41" s="6" t="s">
        <v>546</v>
      </c>
      <c r="C41" s="6" t="s">
        <v>547</v>
      </c>
      <c r="D41" s="6" t="s">
        <v>22</v>
      </c>
      <c r="E41" s="7">
        <v>110000</v>
      </c>
      <c r="F41" s="8">
        <v>152.9</v>
      </c>
      <c r="G41" s="9">
        <v>9.795705E-3</v>
      </c>
      <c r="H41" s="164"/>
    </row>
    <row r="42" spans="1:8" x14ac:dyDescent="0.2">
      <c r="A42" s="5">
        <v>36</v>
      </c>
      <c r="B42" s="6" t="s">
        <v>301</v>
      </c>
      <c r="C42" s="6" t="s">
        <v>302</v>
      </c>
      <c r="D42" s="6" t="s">
        <v>930</v>
      </c>
      <c r="E42" s="7">
        <v>385868</v>
      </c>
      <c r="F42" s="8">
        <v>144.31463199999999</v>
      </c>
      <c r="G42" s="9">
        <v>9.2456740000000006E-3</v>
      </c>
      <c r="H42" s="164"/>
    </row>
    <row r="43" spans="1:8" ht="25.5" x14ac:dyDescent="0.2">
      <c r="A43" s="5">
        <v>37</v>
      </c>
      <c r="B43" s="6" t="s">
        <v>735</v>
      </c>
      <c r="C43" s="6" t="s">
        <v>736</v>
      </c>
      <c r="D43" s="6" t="s">
        <v>925</v>
      </c>
      <c r="E43" s="7">
        <v>36059</v>
      </c>
      <c r="F43" s="8">
        <v>120.761591</v>
      </c>
      <c r="G43" s="9">
        <v>7.736723E-3</v>
      </c>
      <c r="H43" s="164"/>
    </row>
    <row r="44" spans="1:8" x14ac:dyDescent="0.2">
      <c r="A44" s="5">
        <v>38</v>
      </c>
      <c r="B44" s="6" t="s">
        <v>737</v>
      </c>
      <c r="C44" s="6" t="s">
        <v>738</v>
      </c>
      <c r="D44" s="6" t="s">
        <v>22</v>
      </c>
      <c r="E44" s="7">
        <v>310000</v>
      </c>
      <c r="F44" s="8">
        <v>117.645</v>
      </c>
      <c r="G44" s="9">
        <v>7.537055E-3</v>
      </c>
      <c r="H44" s="164"/>
    </row>
    <row r="45" spans="1:8" x14ac:dyDescent="0.2">
      <c r="A45" s="3" t="s">
        <v>9</v>
      </c>
      <c r="B45" s="3" t="s">
        <v>9</v>
      </c>
      <c r="C45" s="4" t="s">
        <v>110</v>
      </c>
      <c r="D45" s="3" t="s">
        <v>9</v>
      </c>
      <c r="E45" s="3" t="s">
        <v>9</v>
      </c>
      <c r="F45" s="11">
        <v>14942.936909</v>
      </c>
      <c r="G45" s="12">
        <v>0.95733555199999998</v>
      </c>
      <c r="H45" s="164"/>
    </row>
    <row r="46" spans="1:8" x14ac:dyDescent="0.2">
      <c r="A46" s="3" t="s">
        <v>9</v>
      </c>
      <c r="B46" s="3" t="s">
        <v>9</v>
      </c>
      <c r="C46" s="13" t="s">
        <v>9</v>
      </c>
      <c r="D46" s="3" t="s">
        <v>9</v>
      </c>
      <c r="E46" s="3" t="s">
        <v>9</v>
      </c>
      <c r="F46" s="14" t="s">
        <v>9</v>
      </c>
      <c r="G46" s="14" t="s">
        <v>9</v>
      </c>
      <c r="H46" s="164"/>
    </row>
    <row r="47" spans="1:8" x14ac:dyDescent="0.2">
      <c r="A47" s="3" t="s">
        <v>9</v>
      </c>
      <c r="B47" s="3" t="s">
        <v>9</v>
      </c>
      <c r="C47" s="4" t="s">
        <v>111</v>
      </c>
      <c r="D47" s="3" t="s">
        <v>9</v>
      </c>
      <c r="E47" s="3" t="s">
        <v>9</v>
      </c>
      <c r="F47" s="3" t="s">
        <v>9</v>
      </c>
      <c r="G47" s="3" t="s">
        <v>9</v>
      </c>
      <c r="H47" s="164"/>
    </row>
    <row r="48" spans="1:8" x14ac:dyDescent="0.2">
      <c r="A48" s="3" t="s">
        <v>9</v>
      </c>
      <c r="B48" s="3" t="s">
        <v>9</v>
      </c>
      <c r="C48" s="4" t="s">
        <v>110</v>
      </c>
      <c r="D48" s="3" t="s">
        <v>9</v>
      </c>
      <c r="E48" s="3" t="s">
        <v>9</v>
      </c>
      <c r="F48" s="15">
        <v>0</v>
      </c>
      <c r="G48" s="16">
        <v>0</v>
      </c>
      <c r="H48" s="164"/>
    </row>
    <row r="49" spans="1:8" x14ac:dyDescent="0.2">
      <c r="A49" s="3" t="s">
        <v>9</v>
      </c>
      <c r="B49" s="3" t="s">
        <v>9</v>
      </c>
      <c r="C49" s="13" t="s">
        <v>9</v>
      </c>
      <c r="D49" s="3" t="s">
        <v>9</v>
      </c>
      <c r="E49" s="3" t="s">
        <v>9</v>
      </c>
      <c r="F49" s="14" t="s">
        <v>9</v>
      </c>
      <c r="G49" s="14" t="s">
        <v>9</v>
      </c>
      <c r="H49" s="164"/>
    </row>
    <row r="50" spans="1:8" x14ac:dyDescent="0.2">
      <c r="A50" s="3" t="s">
        <v>9</v>
      </c>
      <c r="B50" s="3" t="s">
        <v>9</v>
      </c>
      <c r="C50" s="4" t="s">
        <v>112</v>
      </c>
      <c r="D50" s="3" t="s">
        <v>9</v>
      </c>
      <c r="E50" s="3" t="s">
        <v>9</v>
      </c>
      <c r="F50" s="3" t="s">
        <v>9</v>
      </c>
      <c r="G50" s="3" t="s">
        <v>9</v>
      </c>
      <c r="H50" s="164"/>
    </row>
    <row r="51" spans="1:8" x14ac:dyDescent="0.2">
      <c r="A51" s="3" t="s">
        <v>9</v>
      </c>
      <c r="B51" s="3" t="s">
        <v>9</v>
      </c>
      <c r="C51" s="4" t="s">
        <v>110</v>
      </c>
      <c r="D51" s="3" t="s">
        <v>9</v>
      </c>
      <c r="E51" s="3" t="s">
        <v>9</v>
      </c>
      <c r="F51" s="15">
        <v>0</v>
      </c>
      <c r="G51" s="16">
        <v>0</v>
      </c>
      <c r="H51" s="164"/>
    </row>
    <row r="52" spans="1:8" x14ac:dyDescent="0.2">
      <c r="A52" s="3" t="s">
        <v>9</v>
      </c>
      <c r="B52" s="3" t="s">
        <v>9</v>
      </c>
      <c r="C52" s="13" t="s">
        <v>9</v>
      </c>
      <c r="D52" s="3" t="s">
        <v>9</v>
      </c>
      <c r="E52" s="3" t="s">
        <v>9</v>
      </c>
      <c r="F52" s="14" t="s">
        <v>9</v>
      </c>
      <c r="G52" s="14" t="s">
        <v>9</v>
      </c>
      <c r="H52" s="164"/>
    </row>
    <row r="53" spans="1:8" x14ac:dyDescent="0.2">
      <c r="A53" s="3" t="s">
        <v>9</v>
      </c>
      <c r="B53" s="3" t="s">
        <v>9</v>
      </c>
      <c r="C53" s="4" t="s">
        <v>113</v>
      </c>
      <c r="D53" s="3" t="s">
        <v>9</v>
      </c>
      <c r="E53" s="3" t="s">
        <v>9</v>
      </c>
      <c r="F53" s="3" t="s">
        <v>9</v>
      </c>
      <c r="G53" s="3" t="s">
        <v>9</v>
      </c>
      <c r="H53" s="164"/>
    </row>
    <row r="54" spans="1:8" x14ac:dyDescent="0.2">
      <c r="A54" s="3" t="s">
        <v>9</v>
      </c>
      <c r="B54" s="3" t="s">
        <v>9</v>
      </c>
      <c r="C54" s="4" t="s">
        <v>110</v>
      </c>
      <c r="D54" s="3" t="s">
        <v>9</v>
      </c>
      <c r="E54" s="3" t="s">
        <v>9</v>
      </c>
      <c r="F54" s="15">
        <v>0</v>
      </c>
      <c r="G54" s="16">
        <v>0</v>
      </c>
      <c r="H54" s="164"/>
    </row>
    <row r="55" spans="1:8" x14ac:dyDescent="0.2">
      <c r="A55" s="3" t="s">
        <v>9</v>
      </c>
      <c r="B55" s="3" t="s">
        <v>9</v>
      </c>
      <c r="C55" s="13" t="s">
        <v>9</v>
      </c>
      <c r="D55" s="3" t="s">
        <v>9</v>
      </c>
      <c r="E55" s="3" t="s">
        <v>9</v>
      </c>
      <c r="F55" s="14" t="s">
        <v>9</v>
      </c>
      <c r="G55" s="14" t="s">
        <v>9</v>
      </c>
      <c r="H55" s="164"/>
    </row>
    <row r="56" spans="1:8" x14ac:dyDescent="0.2">
      <c r="A56" s="3" t="s">
        <v>9</v>
      </c>
      <c r="B56" s="3" t="s">
        <v>9</v>
      </c>
      <c r="C56" s="4" t="s">
        <v>114</v>
      </c>
      <c r="D56" s="3" t="s">
        <v>9</v>
      </c>
      <c r="E56" s="3" t="s">
        <v>9</v>
      </c>
      <c r="F56" s="14" t="s">
        <v>9</v>
      </c>
      <c r="G56" s="14" t="s">
        <v>9</v>
      </c>
      <c r="H56" s="164"/>
    </row>
    <row r="57" spans="1:8" s="168" customFormat="1" ht="25.5" x14ac:dyDescent="0.2">
      <c r="A57" s="5">
        <v>1</v>
      </c>
      <c r="B57" s="6" t="s">
        <v>990</v>
      </c>
      <c r="C57" s="6" t="s">
        <v>991</v>
      </c>
      <c r="D57" s="6" t="s">
        <v>161</v>
      </c>
      <c r="E57" s="7">
        <v>21600</v>
      </c>
      <c r="F57" s="8">
        <v>146.88000000000002</v>
      </c>
      <c r="G57" s="9">
        <v>9.4100299999999998E-3</v>
      </c>
      <c r="H57" s="164"/>
    </row>
    <row r="58" spans="1:8" x14ac:dyDescent="0.2">
      <c r="A58" s="3" t="s">
        <v>9</v>
      </c>
      <c r="B58" s="3" t="s">
        <v>9</v>
      </c>
      <c r="C58" s="4" t="s">
        <v>110</v>
      </c>
      <c r="D58" s="3" t="s">
        <v>9</v>
      </c>
      <c r="E58" s="3" t="s">
        <v>9</v>
      </c>
      <c r="F58" s="15">
        <v>146.88000000000002</v>
      </c>
      <c r="G58" s="16">
        <v>9.4100299999999998E-3</v>
      </c>
      <c r="H58" s="164"/>
    </row>
    <row r="59" spans="1:8" x14ac:dyDescent="0.2">
      <c r="A59" s="3" t="s">
        <v>9</v>
      </c>
      <c r="B59" s="3" t="s">
        <v>9</v>
      </c>
      <c r="C59" s="13" t="s">
        <v>9</v>
      </c>
      <c r="D59" s="3" t="s">
        <v>9</v>
      </c>
      <c r="E59" s="3" t="s">
        <v>9</v>
      </c>
      <c r="F59" s="14" t="s">
        <v>9</v>
      </c>
      <c r="G59" s="14" t="s">
        <v>9</v>
      </c>
      <c r="H59" s="164"/>
    </row>
    <row r="60" spans="1:8" x14ac:dyDescent="0.2">
      <c r="A60" s="3" t="s">
        <v>9</v>
      </c>
      <c r="B60" s="3" t="s">
        <v>9</v>
      </c>
      <c r="C60" s="4" t="s">
        <v>115</v>
      </c>
      <c r="D60" s="3" t="s">
        <v>9</v>
      </c>
      <c r="E60" s="3" t="s">
        <v>9</v>
      </c>
      <c r="F60" s="14" t="s">
        <v>9</v>
      </c>
      <c r="G60" s="14" t="s">
        <v>9</v>
      </c>
      <c r="H60" s="164"/>
    </row>
    <row r="61" spans="1:8" x14ac:dyDescent="0.2">
      <c r="A61" s="3" t="s">
        <v>9</v>
      </c>
      <c r="B61" s="3" t="s">
        <v>9</v>
      </c>
      <c r="C61" s="4" t="s">
        <v>110</v>
      </c>
      <c r="D61" s="3" t="s">
        <v>9</v>
      </c>
      <c r="E61" s="3" t="s">
        <v>9</v>
      </c>
      <c r="F61" s="15">
        <v>0</v>
      </c>
      <c r="G61" s="16">
        <v>0</v>
      </c>
      <c r="H61" s="164"/>
    </row>
    <row r="62" spans="1:8" x14ac:dyDescent="0.2">
      <c r="A62" s="3" t="s">
        <v>9</v>
      </c>
      <c r="B62" s="3" t="s">
        <v>9</v>
      </c>
      <c r="C62" s="13" t="s">
        <v>9</v>
      </c>
      <c r="D62" s="3" t="s">
        <v>9</v>
      </c>
      <c r="E62" s="3" t="s">
        <v>9</v>
      </c>
      <c r="F62" s="14" t="s">
        <v>9</v>
      </c>
      <c r="G62" s="14" t="s">
        <v>9</v>
      </c>
      <c r="H62" s="164"/>
    </row>
    <row r="63" spans="1:8" x14ac:dyDescent="0.2">
      <c r="A63" s="3" t="s">
        <v>9</v>
      </c>
      <c r="B63" s="3" t="s">
        <v>9</v>
      </c>
      <c r="C63" s="4" t="s">
        <v>116</v>
      </c>
      <c r="D63" s="3" t="s">
        <v>9</v>
      </c>
      <c r="E63" s="3" t="s">
        <v>9</v>
      </c>
      <c r="F63" s="11">
        <v>15089.816908999999</v>
      </c>
      <c r="G63" s="12">
        <v>0.96674558199999994</v>
      </c>
      <c r="H63" s="164"/>
    </row>
    <row r="64" spans="1:8" x14ac:dyDescent="0.2">
      <c r="A64" s="3" t="s">
        <v>9</v>
      </c>
      <c r="B64" s="3" t="s">
        <v>9</v>
      </c>
      <c r="C64" s="13" t="s">
        <v>9</v>
      </c>
      <c r="D64" s="3" t="s">
        <v>9</v>
      </c>
      <c r="E64" s="3" t="s">
        <v>9</v>
      </c>
      <c r="F64" s="14" t="s">
        <v>9</v>
      </c>
      <c r="G64" s="14" t="s">
        <v>9</v>
      </c>
      <c r="H64" s="164"/>
    </row>
    <row r="65" spans="1:8" x14ac:dyDescent="0.2">
      <c r="A65" s="3" t="s">
        <v>9</v>
      </c>
      <c r="B65" s="3" t="s">
        <v>9</v>
      </c>
      <c r="C65" s="4" t="s">
        <v>117</v>
      </c>
      <c r="D65" s="3" t="s">
        <v>9</v>
      </c>
      <c r="E65" s="3" t="s">
        <v>9</v>
      </c>
      <c r="F65" s="14" t="s">
        <v>9</v>
      </c>
      <c r="G65" s="14" t="s">
        <v>9</v>
      </c>
      <c r="H65" s="164"/>
    </row>
    <row r="66" spans="1:8" ht="25.5" x14ac:dyDescent="0.2">
      <c r="A66" s="3" t="s">
        <v>9</v>
      </c>
      <c r="B66" s="3" t="s">
        <v>9</v>
      </c>
      <c r="C66" s="4" t="s">
        <v>11</v>
      </c>
      <c r="D66" s="3" t="s">
        <v>9</v>
      </c>
      <c r="E66" s="3" t="s">
        <v>9</v>
      </c>
      <c r="F66" s="14" t="s">
        <v>9</v>
      </c>
      <c r="G66" s="14" t="s">
        <v>9</v>
      </c>
      <c r="H66" s="164"/>
    </row>
    <row r="67" spans="1:8" x14ac:dyDescent="0.2">
      <c r="A67" s="3" t="s">
        <v>9</v>
      </c>
      <c r="B67" s="3" t="s">
        <v>9</v>
      </c>
      <c r="C67" s="4" t="s">
        <v>110</v>
      </c>
      <c r="D67" s="3" t="s">
        <v>9</v>
      </c>
      <c r="E67" s="3" t="s">
        <v>9</v>
      </c>
      <c r="F67" s="15">
        <v>0</v>
      </c>
      <c r="G67" s="16">
        <v>0</v>
      </c>
      <c r="H67" s="164"/>
    </row>
    <row r="68" spans="1:8" x14ac:dyDescent="0.2">
      <c r="A68" s="3" t="s">
        <v>9</v>
      </c>
      <c r="B68" s="3" t="s">
        <v>9</v>
      </c>
      <c r="C68" s="13" t="s">
        <v>9</v>
      </c>
      <c r="D68" s="3" t="s">
        <v>9</v>
      </c>
      <c r="E68" s="3" t="s">
        <v>9</v>
      </c>
      <c r="F68" s="14" t="s">
        <v>9</v>
      </c>
      <c r="G68" s="14" t="s">
        <v>9</v>
      </c>
      <c r="H68" s="164"/>
    </row>
    <row r="69" spans="1:8" x14ac:dyDescent="0.2">
      <c r="A69" s="3" t="s">
        <v>9</v>
      </c>
      <c r="B69" s="3" t="s">
        <v>9</v>
      </c>
      <c r="C69" s="4" t="s">
        <v>118</v>
      </c>
      <c r="D69" s="3" t="s">
        <v>9</v>
      </c>
      <c r="E69" s="3" t="s">
        <v>9</v>
      </c>
      <c r="F69" s="3" t="s">
        <v>9</v>
      </c>
      <c r="G69" s="3" t="s">
        <v>9</v>
      </c>
      <c r="H69" s="164"/>
    </row>
    <row r="70" spans="1:8" x14ac:dyDescent="0.2">
      <c r="A70" s="3" t="s">
        <v>9</v>
      </c>
      <c r="B70" s="3" t="s">
        <v>9</v>
      </c>
      <c r="C70" s="4" t="s">
        <v>110</v>
      </c>
      <c r="D70" s="3" t="s">
        <v>9</v>
      </c>
      <c r="E70" s="3" t="s">
        <v>9</v>
      </c>
      <c r="F70" s="15">
        <v>0</v>
      </c>
      <c r="G70" s="16">
        <v>0</v>
      </c>
      <c r="H70" s="164"/>
    </row>
    <row r="71" spans="1:8" x14ac:dyDescent="0.2">
      <c r="A71" s="3" t="s">
        <v>9</v>
      </c>
      <c r="B71" s="3" t="s">
        <v>9</v>
      </c>
      <c r="C71" s="13" t="s">
        <v>9</v>
      </c>
      <c r="D71" s="3" t="s">
        <v>9</v>
      </c>
      <c r="E71" s="3" t="s">
        <v>9</v>
      </c>
      <c r="F71" s="14" t="s">
        <v>9</v>
      </c>
      <c r="G71" s="14" t="s">
        <v>9</v>
      </c>
      <c r="H71" s="164"/>
    </row>
    <row r="72" spans="1:8" x14ac:dyDescent="0.2">
      <c r="A72" s="3" t="s">
        <v>9</v>
      </c>
      <c r="B72" s="3" t="s">
        <v>9</v>
      </c>
      <c r="C72" s="4" t="s">
        <v>119</v>
      </c>
      <c r="D72" s="3" t="s">
        <v>9</v>
      </c>
      <c r="E72" s="3" t="s">
        <v>9</v>
      </c>
      <c r="F72" s="3" t="s">
        <v>9</v>
      </c>
      <c r="G72" s="3" t="s">
        <v>9</v>
      </c>
      <c r="H72" s="164"/>
    </row>
    <row r="73" spans="1:8" x14ac:dyDescent="0.2">
      <c r="A73" s="3" t="s">
        <v>9</v>
      </c>
      <c r="B73" s="3" t="s">
        <v>9</v>
      </c>
      <c r="C73" s="4" t="s">
        <v>110</v>
      </c>
      <c r="D73" s="3" t="s">
        <v>9</v>
      </c>
      <c r="E73" s="3" t="s">
        <v>9</v>
      </c>
      <c r="F73" s="15">
        <v>0</v>
      </c>
      <c r="G73" s="16">
        <v>0</v>
      </c>
      <c r="H73" s="164"/>
    </row>
    <row r="74" spans="1:8" x14ac:dyDescent="0.2">
      <c r="A74" s="3" t="s">
        <v>9</v>
      </c>
      <c r="B74" s="3" t="s">
        <v>9</v>
      </c>
      <c r="C74" s="13" t="s">
        <v>9</v>
      </c>
      <c r="D74" s="3" t="s">
        <v>9</v>
      </c>
      <c r="E74" s="3" t="s">
        <v>9</v>
      </c>
      <c r="F74" s="14" t="s">
        <v>9</v>
      </c>
      <c r="G74" s="14" t="s">
        <v>9</v>
      </c>
      <c r="H74" s="164"/>
    </row>
    <row r="75" spans="1:8" x14ac:dyDescent="0.2">
      <c r="A75" s="3" t="s">
        <v>9</v>
      </c>
      <c r="B75" s="3" t="s">
        <v>9</v>
      </c>
      <c r="C75" s="4" t="s">
        <v>120</v>
      </c>
      <c r="D75" s="3" t="s">
        <v>9</v>
      </c>
      <c r="E75" s="3" t="s">
        <v>9</v>
      </c>
      <c r="F75" s="14" t="s">
        <v>9</v>
      </c>
      <c r="G75" s="14" t="s">
        <v>9</v>
      </c>
      <c r="H75" s="164"/>
    </row>
    <row r="76" spans="1:8" x14ac:dyDescent="0.2">
      <c r="A76" s="3" t="s">
        <v>9</v>
      </c>
      <c r="B76" s="3" t="s">
        <v>9</v>
      </c>
      <c r="C76" s="4" t="s">
        <v>110</v>
      </c>
      <c r="D76" s="3" t="s">
        <v>9</v>
      </c>
      <c r="E76" s="3" t="s">
        <v>9</v>
      </c>
      <c r="F76" s="15">
        <v>0</v>
      </c>
      <c r="G76" s="16">
        <v>0</v>
      </c>
      <c r="H76" s="164"/>
    </row>
    <row r="77" spans="1:8" x14ac:dyDescent="0.2">
      <c r="A77" s="3" t="s">
        <v>9</v>
      </c>
      <c r="B77" s="3" t="s">
        <v>9</v>
      </c>
      <c r="C77" s="13" t="s">
        <v>9</v>
      </c>
      <c r="D77" s="3" t="s">
        <v>9</v>
      </c>
      <c r="E77" s="3" t="s">
        <v>9</v>
      </c>
      <c r="F77" s="14" t="s">
        <v>9</v>
      </c>
      <c r="G77" s="14" t="s">
        <v>9</v>
      </c>
      <c r="H77" s="164"/>
    </row>
    <row r="78" spans="1:8" x14ac:dyDescent="0.2">
      <c r="A78" s="3" t="s">
        <v>9</v>
      </c>
      <c r="B78" s="3" t="s">
        <v>9</v>
      </c>
      <c r="C78" s="4" t="s">
        <v>121</v>
      </c>
      <c r="D78" s="3" t="s">
        <v>9</v>
      </c>
      <c r="E78" s="3" t="s">
        <v>9</v>
      </c>
      <c r="F78" s="11">
        <v>0</v>
      </c>
      <c r="G78" s="12">
        <v>0</v>
      </c>
      <c r="H78" s="164"/>
    </row>
    <row r="79" spans="1:8" x14ac:dyDescent="0.2">
      <c r="A79" s="3" t="s">
        <v>9</v>
      </c>
      <c r="B79" s="3" t="s">
        <v>9</v>
      </c>
      <c r="C79" s="13" t="s">
        <v>9</v>
      </c>
      <c r="D79" s="3" t="s">
        <v>9</v>
      </c>
      <c r="E79" s="3" t="s">
        <v>9</v>
      </c>
      <c r="F79" s="14" t="s">
        <v>9</v>
      </c>
      <c r="G79" s="14" t="s">
        <v>9</v>
      </c>
      <c r="H79" s="164"/>
    </row>
    <row r="80" spans="1:8" x14ac:dyDescent="0.2">
      <c r="A80" s="3" t="s">
        <v>9</v>
      </c>
      <c r="B80" s="3" t="s">
        <v>9</v>
      </c>
      <c r="C80" s="4" t="s">
        <v>122</v>
      </c>
      <c r="D80" s="3" t="s">
        <v>9</v>
      </c>
      <c r="E80" s="3" t="s">
        <v>9</v>
      </c>
      <c r="F80" s="14" t="s">
        <v>9</v>
      </c>
      <c r="G80" s="14" t="s">
        <v>9</v>
      </c>
      <c r="H80" s="164"/>
    </row>
    <row r="81" spans="1:8" x14ac:dyDescent="0.2">
      <c r="A81" s="3" t="s">
        <v>9</v>
      </c>
      <c r="B81" s="3" t="s">
        <v>9</v>
      </c>
      <c r="C81" s="4" t="s">
        <v>123</v>
      </c>
      <c r="D81" s="3" t="s">
        <v>9</v>
      </c>
      <c r="E81" s="3" t="s">
        <v>9</v>
      </c>
      <c r="F81" s="14" t="s">
        <v>9</v>
      </c>
      <c r="G81" s="14" t="s">
        <v>9</v>
      </c>
      <c r="H81" s="164"/>
    </row>
    <row r="82" spans="1:8" x14ac:dyDescent="0.2">
      <c r="A82" s="3" t="s">
        <v>9</v>
      </c>
      <c r="B82" s="3" t="s">
        <v>9</v>
      </c>
      <c r="C82" s="4" t="s">
        <v>110</v>
      </c>
      <c r="D82" s="3" t="s">
        <v>9</v>
      </c>
      <c r="E82" s="3" t="s">
        <v>9</v>
      </c>
      <c r="F82" s="15">
        <v>0</v>
      </c>
      <c r="G82" s="16">
        <v>0</v>
      </c>
      <c r="H82" s="164"/>
    </row>
    <row r="83" spans="1:8" x14ac:dyDescent="0.2">
      <c r="A83" s="3" t="s">
        <v>9</v>
      </c>
      <c r="B83" s="3" t="s">
        <v>9</v>
      </c>
      <c r="C83" s="13" t="s">
        <v>9</v>
      </c>
      <c r="D83" s="3" t="s">
        <v>9</v>
      </c>
      <c r="E83" s="3" t="s">
        <v>9</v>
      </c>
      <c r="F83" s="14" t="s">
        <v>9</v>
      </c>
      <c r="G83" s="14" t="s">
        <v>9</v>
      </c>
      <c r="H83" s="164"/>
    </row>
    <row r="84" spans="1:8" x14ac:dyDescent="0.2">
      <c r="A84" s="3" t="s">
        <v>9</v>
      </c>
      <c r="B84" s="3" t="s">
        <v>9</v>
      </c>
      <c r="C84" s="4" t="s">
        <v>124</v>
      </c>
      <c r="D84" s="3" t="s">
        <v>9</v>
      </c>
      <c r="E84" s="3" t="s">
        <v>9</v>
      </c>
      <c r="F84" s="14" t="s">
        <v>9</v>
      </c>
      <c r="G84" s="14" t="s">
        <v>9</v>
      </c>
      <c r="H84" s="164"/>
    </row>
    <row r="85" spans="1:8" x14ac:dyDescent="0.2">
      <c r="A85" s="3" t="s">
        <v>9</v>
      </c>
      <c r="B85" s="3" t="s">
        <v>9</v>
      </c>
      <c r="C85" s="4" t="s">
        <v>110</v>
      </c>
      <c r="D85" s="3" t="s">
        <v>9</v>
      </c>
      <c r="E85" s="3" t="s">
        <v>9</v>
      </c>
      <c r="F85" s="15">
        <v>0</v>
      </c>
      <c r="G85" s="16">
        <v>0</v>
      </c>
      <c r="H85" s="164"/>
    </row>
    <row r="86" spans="1:8" x14ac:dyDescent="0.2">
      <c r="A86" s="3" t="s">
        <v>9</v>
      </c>
      <c r="B86" s="3" t="s">
        <v>9</v>
      </c>
      <c r="C86" s="13" t="s">
        <v>9</v>
      </c>
      <c r="D86" s="3" t="s">
        <v>9</v>
      </c>
      <c r="E86" s="3" t="s">
        <v>9</v>
      </c>
      <c r="F86" s="14" t="s">
        <v>9</v>
      </c>
      <c r="G86" s="14" t="s">
        <v>9</v>
      </c>
      <c r="H86" s="164"/>
    </row>
    <row r="87" spans="1:8" x14ac:dyDescent="0.2">
      <c r="A87" s="3" t="s">
        <v>9</v>
      </c>
      <c r="B87" s="3" t="s">
        <v>9</v>
      </c>
      <c r="C87" s="4" t="s">
        <v>125</v>
      </c>
      <c r="D87" s="3" t="s">
        <v>9</v>
      </c>
      <c r="E87" s="3" t="s">
        <v>9</v>
      </c>
      <c r="F87" s="14" t="s">
        <v>9</v>
      </c>
      <c r="G87" s="14" t="s">
        <v>9</v>
      </c>
      <c r="H87" s="164"/>
    </row>
    <row r="88" spans="1:8" x14ac:dyDescent="0.2">
      <c r="A88" s="3" t="s">
        <v>9</v>
      </c>
      <c r="B88" s="3" t="s">
        <v>9</v>
      </c>
      <c r="C88" s="4" t="s">
        <v>110</v>
      </c>
      <c r="D88" s="3" t="s">
        <v>9</v>
      </c>
      <c r="E88" s="3" t="s">
        <v>9</v>
      </c>
      <c r="F88" s="15">
        <v>0</v>
      </c>
      <c r="G88" s="16">
        <v>0</v>
      </c>
      <c r="H88" s="164"/>
    </row>
    <row r="89" spans="1:8" x14ac:dyDescent="0.2">
      <c r="A89" s="3" t="s">
        <v>9</v>
      </c>
      <c r="B89" s="3" t="s">
        <v>9</v>
      </c>
      <c r="C89" s="13" t="s">
        <v>9</v>
      </c>
      <c r="D89" s="3" t="s">
        <v>9</v>
      </c>
      <c r="E89" s="3" t="s">
        <v>9</v>
      </c>
      <c r="F89" s="14" t="s">
        <v>9</v>
      </c>
      <c r="G89" s="14" t="s">
        <v>9</v>
      </c>
      <c r="H89" s="164"/>
    </row>
    <row r="90" spans="1:8" x14ac:dyDescent="0.2">
      <c r="A90" s="3" t="s">
        <v>9</v>
      </c>
      <c r="B90" s="3" t="s">
        <v>9</v>
      </c>
      <c r="C90" s="4" t="s">
        <v>126</v>
      </c>
      <c r="D90" s="3" t="s">
        <v>9</v>
      </c>
      <c r="E90" s="3" t="s">
        <v>9</v>
      </c>
      <c r="F90" s="14" t="s">
        <v>9</v>
      </c>
      <c r="G90" s="14" t="s">
        <v>9</v>
      </c>
      <c r="H90" s="164"/>
    </row>
    <row r="91" spans="1:8" x14ac:dyDescent="0.2">
      <c r="A91" s="5">
        <v>1</v>
      </c>
      <c r="B91" s="6"/>
      <c r="C91" s="6" t="s">
        <v>127</v>
      </c>
      <c r="D91" s="6"/>
      <c r="E91" s="10" t="s">
        <v>9</v>
      </c>
      <c r="F91" s="8">
        <v>422.35245029999999</v>
      </c>
      <c r="G91" s="9">
        <v>2.7058470000000001E-2</v>
      </c>
      <c r="H91" s="90">
        <v>3.22</v>
      </c>
    </row>
    <row r="92" spans="1:8" x14ac:dyDescent="0.2">
      <c r="A92" s="5">
        <v>2</v>
      </c>
      <c r="B92" s="6"/>
      <c r="C92" s="6" t="s">
        <v>128</v>
      </c>
      <c r="D92" s="6"/>
      <c r="E92" s="10" t="s">
        <v>9</v>
      </c>
      <c r="F92" s="8">
        <v>119.3547726</v>
      </c>
      <c r="G92" s="9">
        <v>7.6465939999999996E-3</v>
      </c>
      <c r="H92" s="90">
        <v>3.34</v>
      </c>
    </row>
    <row r="93" spans="1:8" x14ac:dyDescent="0.2">
      <c r="A93" s="3" t="s">
        <v>9</v>
      </c>
      <c r="B93" s="3" t="s">
        <v>9</v>
      </c>
      <c r="C93" s="4" t="s">
        <v>110</v>
      </c>
      <c r="D93" s="3" t="s">
        <v>9</v>
      </c>
      <c r="E93" s="3" t="s">
        <v>9</v>
      </c>
      <c r="F93" s="11">
        <v>541.70722290000003</v>
      </c>
      <c r="G93" s="12">
        <v>3.4705064000000001E-2</v>
      </c>
      <c r="H93" s="164"/>
    </row>
    <row r="94" spans="1:8" x14ac:dyDescent="0.2">
      <c r="A94" s="3" t="s">
        <v>9</v>
      </c>
      <c r="B94" s="3" t="s">
        <v>9</v>
      </c>
      <c r="C94" s="13" t="s">
        <v>9</v>
      </c>
      <c r="D94" s="3" t="s">
        <v>9</v>
      </c>
      <c r="E94" s="3" t="s">
        <v>9</v>
      </c>
      <c r="F94" s="14" t="s">
        <v>9</v>
      </c>
      <c r="G94" s="14" t="s">
        <v>9</v>
      </c>
      <c r="H94" s="164"/>
    </row>
    <row r="95" spans="1:8" x14ac:dyDescent="0.2">
      <c r="A95" s="3" t="s">
        <v>9</v>
      </c>
      <c r="B95" s="3" t="s">
        <v>9</v>
      </c>
      <c r="C95" s="4" t="s">
        <v>129</v>
      </c>
      <c r="D95" s="3" t="s">
        <v>9</v>
      </c>
      <c r="E95" s="3" t="s">
        <v>9</v>
      </c>
      <c r="F95" s="11">
        <v>541.70722290000003</v>
      </c>
      <c r="G95" s="12">
        <v>3.4705064000000001E-2</v>
      </c>
      <c r="H95" s="164"/>
    </row>
    <row r="96" spans="1:8" x14ac:dyDescent="0.2">
      <c r="A96" s="3" t="s">
        <v>9</v>
      </c>
      <c r="B96" s="3" t="s">
        <v>9</v>
      </c>
      <c r="C96" s="14" t="s">
        <v>9</v>
      </c>
      <c r="D96" s="3" t="s">
        <v>9</v>
      </c>
      <c r="E96" s="3" t="s">
        <v>9</v>
      </c>
      <c r="F96" s="3" t="s">
        <v>9</v>
      </c>
      <c r="G96" s="3" t="s">
        <v>9</v>
      </c>
      <c r="H96" s="164"/>
    </row>
    <row r="97" spans="1:8" x14ac:dyDescent="0.2">
      <c r="A97" s="3" t="s">
        <v>9</v>
      </c>
      <c r="B97" s="3" t="s">
        <v>9</v>
      </c>
      <c r="C97" s="4" t="s">
        <v>130</v>
      </c>
      <c r="D97" s="3" t="s">
        <v>9</v>
      </c>
      <c r="E97" s="3" t="s">
        <v>9</v>
      </c>
      <c r="F97" s="3" t="s">
        <v>9</v>
      </c>
      <c r="G97" s="3" t="s">
        <v>9</v>
      </c>
      <c r="H97" s="164"/>
    </row>
    <row r="98" spans="1:8" x14ac:dyDescent="0.2">
      <c r="A98" s="3" t="s">
        <v>9</v>
      </c>
      <c r="B98" s="3" t="s">
        <v>9</v>
      </c>
      <c r="C98" s="4" t="s">
        <v>131</v>
      </c>
      <c r="D98" s="3" t="s">
        <v>9</v>
      </c>
      <c r="E98" s="3" t="s">
        <v>9</v>
      </c>
      <c r="F98" s="3" t="s">
        <v>9</v>
      </c>
      <c r="G98" s="3" t="s">
        <v>9</v>
      </c>
      <c r="H98" s="164"/>
    </row>
    <row r="99" spans="1:8" x14ac:dyDescent="0.2">
      <c r="A99" s="3" t="s">
        <v>9</v>
      </c>
      <c r="B99" s="3" t="s">
        <v>9</v>
      </c>
      <c r="C99" s="4" t="s">
        <v>110</v>
      </c>
      <c r="D99" s="3" t="s">
        <v>9</v>
      </c>
      <c r="E99" s="3" t="s">
        <v>9</v>
      </c>
      <c r="F99" s="15">
        <v>0</v>
      </c>
      <c r="G99" s="16">
        <v>0</v>
      </c>
      <c r="H99" s="164"/>
    </row>
    <row r="100" spans="1:8" x14ac:dyDescent="0.2">
      <c r="A100" s="3" t="s">
        <v>9</v>
      </c>
      <c r="B100" s="3" t="s">
        <v>9</v>
      </c>
      <c r="C100" s="13" t="s">
        <v>9</v>
      </c>
      <c r="D100" s="3" t="s">
        <v>9</v>
      </c>
      <c r="E100" s="3" t="s">
        <v>9</v>
      </c>
      <c r="F100" s="14" t="s">
        <v>9</v>
      </c>
      <c r="G100" s="14" t="s">
        <v>9</v>
      </c>
      <c r="H100" s="164"/>
    </row>
    <row r="101" spans="1:8" x14ac:dyDescent="0.2">
      <c r="A101" s="3" t="s">
        <v>9</v>
      </c>
      <c r="B101" s="3" t="s">
        <v>9</v>
      </c>
      <c r="C101" s="4" t="s">
        <v>132</v>
      </c>
      <c r="D101" s="3" t="s">
        <v>9</v>
      </c>
      <c r="E101" s="3" t="s">
        <v>9</v>
      </c>
      <c r="F101" s="3" t="s">
        <v>9</v>
      </c>
      <c r="G101" s="3" t="s">
        <v>9</v>
      </c>
      <c r="H101" s="164"/>
    </row>
    <row r="102" spans="1:8" x14ac:dyDescent="0.2">
      <c r="A102" s="3" t="s">
        <v>9</v>
      </c>
      <c r="B102" s="3" t="s">
        <v>9</v>
      </c>
      <c r="C102" s="4" t="s">
        <v>133</v>
      </c>
      <c r="D102" s="3" t="s">
        <v>9</v>
      </c>
      <c r="E102" s="3" t="s">
        <v>9</v>
      </c>
      <c r="F102" s="3" t="s">
        <v>9</v>
      </c>
      <c r="G102" s="3" t="s">
        <v>9</v>
      </c>
      <c r="H102" s="164"/>
    </row>
    <row r="103" spans="1:8" x14ac:dyDescent="0.2">
      <c r="A103" s="3" t="s">
        <v>9</v>
      </c>
      <c r="B103" s="3" t="s">
        <v>9</v>
      </c>
      <c r="C103" s="4" t="s">
        <v>110</v>
      </c>
      <c r="D103" s="3" t="s">
        <v>9</v>
      </c>
      <c r="E103" s="3" t="s">
        <v>9</v>
      </c>
      <c r="F103" s="15">
        <v>0</v>
      </c>
      <c r="G103" s="16">
        <v>0</v>
      </c>
      <c r="H103" s="164"/>
    </row>
    <row r="104" spans="1:8" x14ac:dyDescent="0.2">
      <c r="A104" s="3" t="s">
        <v>9</v>
      </c>
      <c r="B104" s="3" t="s">
        <v>9</v>
      </c>
      <c r="C104" s="13" t="s">
        <v>9</v>
      </c>
      <c r="D104" s="3" t="s">
        <v>9</v>
      </c>
      <c r="E104" s="3" t="s">
        <v>9</v>
      </c>
      <c r="F104" s="14" t="s">
        <v>9</v>
      </c>
      <c r="G104" s="14" t="s">
        <v>9</v>
      </c>
      <c r="H104" s="164"/>
    </row>
    <row r="105" spans="1:8" x14ac:dyDescent="0.2">
      <c r="A105" s="3" t="s">
        <v>9</v>
      </c>
      <c r="B105" s="3" t="s">
        <v>9</v>
      </c>
      <c r="C105" s="13" t="s">
        <v>9</v>
      </c>
      <c r="D105" s="3" t="s">
        <v>9</v>
      </c>
      <c r="E105" s="3" t="s">
        <v>9</v>
      </c>
      <c r="F105" s="14" t="s">
        <v>9</v>
      </c>
      <c r="G105" s="14" t="s">
        <v>9</v>
      </c>
      <c r="H105" s="164"/>
    </row>
    <row r="106" spans="1:8" ht="25.5" x14ac:dyDescent="0.2">
      <c r="A106" s="3" t="s">
        <v>9</v>
      </c>
      <c r="B106" s="3" t="s">
        <v>9</v>
      </c>
      <c r="C106" s="4" t="s">
        <v>134</v>
      </c>
      <c r="D106" s="3" t="s">
        <v>9</v>
      </c>
      <c r="E106" s="3" t="s">
        <v>9</v>
      </c>
      <c r="F106" s="14" t="s">
        <v>9</v>
      </c>
      <c r="G106" s="14" t="s">
        <v>9</v>
      </c>
      <c r="H106" s="164"/>
    </row>
    <row r="107" spans="1:8" x14ac:dyDescent="0.2">
      <c r="A107" s="3" t="s">
        <v>9</v>
      </c>
      <c r="B107" s="3" t="s">
        <v>9</v>
      </c>
      <c r="C107" s="4" t="s">
        <v>110</v>
      </c>
      <c r="D107" s="3" t="s">
        <v>9</v>
      </c>
      <c r="E107" s="3" t="s">
        <v>9</v>
      </c>
      <c r="F107" s="15">
        <v>0</v>
      </c>
      <c r="G107" s="16">
        <v>0</v>
      </c>
      <c r="H107" s="164"/>
    </row>
    <row r="108" spans="1:8" x14ac:dyDescent="0.2">
      <c r="A108" s="3" t="s">
        <v>9</v>
      </c>
      <c r="B108" s="3" t="s">
        <v>9</v>
      </c>
      <c r="C108" s="13" t="s">
        <v>9</v>
      </c>
      <c r="D108" s="3" t="s">
        <v>9</v>
      </c>
      <c r="E108" s="3" t="s">
        <v>9</v>
      </c>
      <c r="F108" s="14" t="s">
        <v>9</v>
      </c>
      <c r="G108" s="14" t="s">
        <v>9</v>
      </c>
      <c r="H108" s="164"/>
    </row>
    <row r="109" spans="1:8" x14ac:dyDescent="0.2">
      <c r="A109" s="3" t="s">
        <v>9</v>
      </c>
      <c r="B109" s="6" t="s">
        <v>9</v>
      </c>
      <c r="C109" s="6" t="s">
        <v>9</v>
      </c>
      <c r="D109" s="4" t="s">
        <v>9</v>
      </c>
      <c r="E109" s="3" t="s">
        <v>9</v>
      </c>
      <c r="F109" s="6" t="s">
        <v>9</v>
      </c>
      <c r="G109" s="10" t="s">
        <v>9</v>
      </c>
      <c r="H109" s="164"/>
    </row>
    <row r="110" spans="1:8" x14ac:dyDescent="0.2">
      <c r="A110" s="10" t="s">
        <v>9</v>
      </c>
      <c r="B110" s="6" t="s">
        <v>9</v>
      </c>
      <c r="C110" s="6" t="s">
        <v>135</v>
      </c>
      <c r="D110" s="6" t="s">
        <v>9</v>
      </c>
      <c r="E110" s="10" t="s">
        <v>9</v>
      </c>
      <c r="F110" s="8">
        <v>-22.642946609999999</v>
      </c>
      <c r="G110" s="9">
        <v>-1.450645E-3</v>
      </c>
      <c r="H110" s="164"/>
    </row>
    <row r="111" spans="1:8" x14ac:dyDescent="0.2">
      <c r="A111" s="13" t="s">
        <v>9</v>
      </c>
      <c r="B111" s="13" t="s">
        <v>9</v>
      </c>
      <c r="C111" s="4" t="s">
        <v>136</v>
      </c>
      <c r="D111" s="17" t="s">
        <v>9</v>
      </c>
      <c r="E111" s="17" t="s">
        <v>9</v>
      </c>
      <c r="F111" s="11">
        <v>15608.88118529</v>
      </c>
      <c r="G111" s="12">
        <v>1.0000000009999999</v>
      </c>
      <c r="H111" s="164"/>
    </row>
    <row r="112" spans="1:8" ht="14.1" customHeight="1" x14ac:dyDescent="0.2">
      <c r="A112" s="18" t="s">
        <v>9</v>
      </c>
      <c r="B112" s="18" t="s">
        <v>9</v>
      </c>
      <c r="C112" s="18" t="s">
        <v>9</v>
      </c>
      <c r="D112" s="19" t="s">
        <v>9</v>
      </c>
      <c r="E112" s="19" t="s">
        <v>9</v>
      </c>
      <c r="F112" s="19" t="s">
        <v>9</v>
      </c>
      <c r="G112" s="19" t="s">
        <v>9</v>
      </c>
    </row>
    <row r="113" spans="1:7" ht="14.1" customHeight="1" x14ac:dyDescent="0.2">
      <c r="A113" s="20" t="s">
        <v>9</v>
      </c>
      <c r="B113" s="228" t="s">
        <v>9</v>
      </c>
      <c r="C113" s="228"/>
      <c r="D113" s="228"/>
      <c r="E113" s="228"/>
      <c r="F113" s="228"/>
      <c r="G113" s="22" t="s">
        <v>9</v>
      </c>
    </row>
    <row r="114" spans="1:7" ht="14.1" customHeight="1" x14ac:dyDescent="0.2">
      <c r="A114" s="20" t="s">
        <v>9</v>
      </c>
      <c r="B114" s="228" t="s">
        <v>9</v>
      </c>
      <c r="C114" s="228"/>
      <c r="D114" s="228"/>
      <c r="E114" s="228"/>
      <c r="F114" s="228"/>
      <c r="G114" s="22" t="s">
        <v>9</v>
      </c>
    </row>
    <row r="115" spans="1:7" ht="14.1" customHeight="1" x14ac:dyDescent="0.2">
      <c r="A115" s="20" t="s">
        <v>9</v>
      </c>
      <c r="B115" s="20" t="s">
        <v>9</v>
      </c>
      <c r="C115" s="20" t="s">
        <v>9</v>
      </c>
      <c r="D115" s="22" t="s">
        <v>9</v>
      </c>
      <c r="E115" s="22" t="s">
        <v>9</v>
      </c>
      <c r="F115" s="22" t="s">
        <v>9</v>
      </c>
      <c r="G115" s="22" t="s">
        <v>9</v>
      </c>
    </row>
    <row r="116" spans="1:7" ht="14.1" customHeight="1" x14ac:dyDescent="0.2">
      <c r="A116" s="20" t="s">
        <v>9</v>
      </c>
      <c r="B116" s="226" t="s">
        <v>138</v>
      </c>
      <c r="C116" s="227"/>
      <c r="D116" s="14" t="s">
        <v>9</v>
      </c>
      <c r="E116" s="23" t="s">
        <v>9</v>
      </c>
      <c r="F116" s="22" t="s">
        <v>9</v>
      </c>
      <c r="G116" s="22" t="s">
        <v>9</v>
      </c>
    </row>
    <row r="117" spans="1:7" ht="29.1" customHeight="1" x14ac:dyDescent="0.2">
      <c r="A117" s="20" t="s">
        <v>9</v>
      </c>
      <c r="B117" s="233" t="s">
        <v>139</v>
      </c>
      <c r="C117" s="234"/>
      <c r="D117" s="4" t="s">
        <v>140</v>
      </c>
      <c r="E117" s="23" t="s">
        <v>9</v>
      </c>
      <c r="F117" s="22" t="s">
        <v>9</v>
      </c>
      <c r="G117" s="22" t="s">
        <v>9</v>
      </c>
    </row>
    <row r="118" spans="1:7" ht="17.100000000000001" customHeight="1" x14ac:dyDescent="0.2">
      <c r="A118" s="20" t="s">
        <v>9</v>
      </c>
      <c r="B118" s="233" t="s">
        <v>141</v>
      </c>
      <c r="C118" s="234"/>
      <c r="D118" s="4" t="s">
        <v>140</v>
      </c>
      <c r="E118" s="23" t="s">
        <v>9</v>
      </c>
      <c r="F118" s="22" t="s">
        <v>9</v>
      </c>
      <c r="G118" s="22" t="s">
        <v>9</v>
      </c>
    </row>
    <row r="119" spans="1:7" ht="17.100000000000001" customHeight="1" x14ac:dyDescent="0.2">
      <c r="A119" s="20" t="s">
        <v>9</v>
      </c>
      <c r="B119" s="233" t="s">
        <v>142</v>
      </c>
      <c r="C119" s="234"/>
      <c r="D119" s="14" t="s">
        <v>9</v>
      </c>
      <c r="E119" s="23" t="s">
        <v>9</v>
      </c>
      <c r="F119" s="22" t="s">
        <v>9</v>
      </c>
      <c r="G119" s="22" t="s">
        <v>9</v>
      </c>
    </row>
    <row r="120" spans="1:7" ht="24" customHeight="1" x14ac:dyDescent="0.2">
      <c r="A120" s="24" t="s">
        <v>9</v>
      </c>
      <c r="B120" s="25" t="s">
        <v>9</v>
      </c>
      <c r="C120" s="25" t="s">
        <v>143</v>
      </c>
      <c r="D120" s="25" t="s">
        <v>144</v>
      </c>
      <c r="E120" s="24" t="s">
        <v>9</v>
      </c>
      <c r="F120" s="24" t="s">
        <v>9</v>
      </c>
      <c r="G120" s="24" t="s">
        <v>9</v>
      </c>
    </row>
    <row r="121" spans="1:7" ht="18" customHeight="1" x14ac:dyDescent="0.2">
      <c r="A121" s="24" t="s">
        <v>9</v>
      </c>
      <c r="B121" s="25" t="s">
        <v>145</v>
      </c>
      <c r="C121" s="25" t="s">
        <v>146</v>
      </c>
      <c r="D121" s="25" t="s">
        <v>147</v>
      </c>
      <c r="E121" s="24" t="s">
        <v>9</v>
      </c>
      <c r="F121" s="24" t="s">
        <v>9</v>
      </c>
      <c r="G121" s="24" t="s">
        <v>9</v>
      </c>
    </row>
    <row r="122" spans="1:7" ht="17.100000000000001" customHeight="1" x14ac:dyDescent="0.2">
      <c r="A122" s="24" t="s">
        <v>9</v>
      </c>
      <c r="B122" s="6" t="s">
        <v>148</v>
      </c>
      <c r="C122" s="26">
        <v>15.350199999999999</v>
      </c>
      <c r="D122" s="26">
        <v>15.9337</v>
      </c>
      <c r="E122" s="24" t="s">
        <v>9</v>
      </c>
      <c r="F122" s="21" t="s">
        <v>9</v>
      </c>
      <c r="G122" s="27" t="s">
        <v>9</v>
      </c>
    </row>
    <row r="123" spans="1:7" ht="17.100000000000001" customHeight="1" x14ac:dyDescent="0.2">
      <c r="A123" s="24" t="s">
        <v>9</v>
      </c>
      <c r="B123" s="6" t="s">
        <v>839</v>
      </c>
      <c r="C123" s="26">
        <v>13.340199999999999</v>
      </c>
      <c r="D123" s="26">
        <v>13.847300000000001</v>
      </c>
      <c r="E123" s="24" t="s">
        <v>9</v>
      </c>
      <c r="F123" s="21" t="s">
        <v>9</v>
      </c>
      <c r="G123" s="27" t="s">
        <v>9</v>
      </c>
    </row>
    <row r="124" spans="1:7" ht="17.100000000000001" customHeight="1" x14ac:dyDescent="0.2">
      <c r="A124" s="24" t="s">
        <v>9</v>
      </c>
      <c r="B124" s="6" t="s">
        <v>149</v>
      </c>
      <c r="C124" s="26">
        <v>14.7616</v>
      </c>
      <c r="D124" s="26">
        <v>15.3146</v>
      </c>
      <c r="E124" s="24" t="s">
        <v>9</v>
      </c>
      <c r="F124" s="21" t="s">
        <v>9</v>
      </c>
      <c r="G124" s="27" t="s">
        <v>9</v>
      </c>
    </row>
    <row r="125" spans="1:7" ht="17.100000000000001" customHeight="1" x14ac:dyDescent="0.2">
      <c r="A125" s="24" t="s">
        <v>9</v>
      </c>
      <c r="B125" s="6" t="s">
        <v>840</v>
      </c>
      <c r="C125" s="26">
        <v>13.191700000000001</v>
      </c>
      <c r="D125" s="26">
        <v>13.6859</v>
      </c>
      <c r="E125" s="24" t="s">
        <v>9</v>
      </c>
      <c r="F125" s="21" t="s">
        <v>9</v>
      </c>
      <c r="G125" s="27" t="s">
        <v>9</v>
      </c>
    </row>
    <row r="126" spans="1:7" ht="14.1" customHeight="1" x14ac:dyDescent="0.2">
      <c r="A126" s="24" t="s">
        <v>9</v>
      </c>
      <c r="B126" s="24" t="s">
        <v>9</v>
      </c>
      <c r="C126" s="24" t="s">
        <v>9</v>
      </c>
      <c r="D126" s="24" t="s">
        <v>9</v>
      </c>
      <c r="E126" s="24" t="s">
        <v>9</v>
      </c>
      <c r="F126" s="24" t="s">
        <v>9</v>
      </c>
      <c r="G126" s="24" t="s">
        <v>9</v>
      </c>
    </row>
    <row r="127" spans="1:7" ht="17.100000000000001" customHeight="1" x14ac:dyDescent="0.2">
      <c r="A127" s="24" t="s">
        <v>9</v>
      </c>
      <c r="B127" s="233" t="s">
        <v>1003</v>
      </c>
      <c r="C127" s="234"/>
      <c r="D127" s="4" t="s">
        <v>140</v>
      </c>
      <c r="E127" s="24" t="s">
        <v>9</v>
      </c>
      <c r="F127" s="24" t="s">
        <v>9</v>
      </c>
      <c r="G127" s="24" t="s">
        <v>9</v>
      </c>
    </row>
    <row r="128" spans="1:7" ht="18" customHeight="1" x14ac:dyDescent="0.2">
      <c r="A128" s="24" t="s">
        <v>9</v>
      </c>
      <c r="B128" s="28" t="s">
        <v>150</v>
      </c>
      <c r="C128" s="28" t="s">
        <v>150</v>
      </c>
      <c r="D128" s="28" t="s">
        <v>9</v>
      </c>
      <c r="E128" s="24" t="s">
        <v>9</v>
      </c>
      <c r="F128" s="24" t="s">
        <v>9</v>
      </c>
      <c r="G128" s="24" t="s">
        <v>9</v>
      </c>
    </row>
    <row r="129" spans="1:7" s="169" customFormat="1" x14ac:dyDescent="0.2">
      <c r="B129" s="235" t="s">
        <v>841</v>
      </c>
      <c r="C129" s="235"/>
      <c r="D129" s="235"/>
      <c r="E129" s="235"/>
      <c r="F129" s="235"/>
    </row>
    <row r="130" spans="1:7" ht="14.1" customHeight="1" x14ac:dyDescent="0.2">
      <c r="A130" s="24" t="s">
        <v>9</v>
      </c>
      <c r="B130" s="21" t="s">
        <v>9</v>
      </c>
      <c r="C130" s="21" t="s">
        <v>9</v>
      </c>
      <c r="D130" s="24" t="s">
        <v>9</v>
      </c>
      <c r="E130" s="24" t="s">
        <v>9</v>
      </c>
      <c r="F130" s="24" t="s">
        <v>9</v>
      </c>
      <c r="G130" s="24" t="s">
        <v>9</v>
      </c>
    </row>
    <row r="131" spans="1:7" ht="29.1" customHeight="1" x14ac:dyDescent="0.2">
      <c r="A131" s="24" t="s">
        <v>9</v>
      </c>
      <c r="B131" s="233" t="s">
        <v>151</v>
      </c>
      <c r="C131" s="234"/>
      <c r="D131" s="4" t="s">
        <v>140</v>
      </c>
      <c r="E131" s="24" t="s">
        <v>9</v>
      </c>
      <c r="F131" s="24" t="s">
        <v>9</v>
      </c>
      <c r="G131" s="24" t="s">
        <v>9</v>
      </c>
    </row>
    <row r="132" spans="1:7" ht="29.1" customHeight="1" x14ac:dyDescent="0.2">
      <c r="A132" s="24" t="s">
        <v>9</v>
      </c>
      <c r="B132" s="233" t="s">
        <v>152</v>
      </c>
      <c r="C132" s="234"/>
      <c r="D132" s="4" t="s">
        <v>140</v>
      </c>
      <c r="E132" s="24" t="s">
        <v>9</v>
      </c>
      <c r="F132" s="24" t="s">
        <v>9</v>
      </c>
      <c r="G132" s="24" t="s">
        <v>9</v>
      </c>
    </row>
    <row r="133" spans="1:7" ht="17.100000000000001" customHeight="1" x14ac:dyDescent="0.2">
      <c r="A133" s="24" t="s">
        <v>9</v>
      </c>
      <c r="B133" s="233" t="s">
        <v>153</v>
      </c>
      <c r="C133" s="234"/>
      <c r="D133" s="29">
        <v>0.55302737156990922</v>
      </c>
      <c r="E133" s="24" t="s">
        <v>9</v>
      </c>
      <c r="F133" s="21" t="s">
        <v>9</v>
      </c>
      <c r="G133" s="27" t="s">
        <v>9</v>
      </c>
    </row>
    <row r="134" spans="1:7" ht="17.100000000000001" customHeight="1" x14ac:dyDescent="0.2">
      <c r="A134" s="24" t="s">
        <v>9</v>
      </c>
      <c r="B134" s="233" t="s">
        <v>154</v>
      </c>
      <c r="C134" s="234"/>
      <c r="D134" s="4" t="s">
        <v>140</v>
      </c>
      <c r="E134" s="24" t="s">
        <v>9</v>
      </c>
      <c r="F134" s="24" t="s">
        <v>9</v>
      </c>
      <c r="G134" s="24" t="s">
        <v>9</v>
      </c>
    </row>
  </sheetData>
  <mergeCells count="15">
    <mergeCell ref="B133:C133"/>
    <mergeCell ref="B134:C134"/>
    <mergeCell ref="B117:C117"/>
    <mergeCell ref="B118:C118"/>
    <mergeCell ref="B119:C119"/>
    <mergeCell ref="B127:C127"/>
    <mergeCell ref="B131:C131"/>
    <mergeCell ref="B132:C132"/>
    <mergeCell ref="B129:F129"/>
    <mergeCell ref="B116:C116"/>
    <mergeCell ref="B113:F113"/>
    <mergeCell ref="B114:F114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ABC4-E68D-4156-9151-E24D81B62882}">
  <dimension ref="A1:K36"/>
  <sheetViews>
    <sheetView workbookViewId="0">
      <selection activeCell="A4" sqref="A4"/>
    </sheetView>
  </sheetViews>
  <sheetFormatPr defaultRowHeight="15" x14ac:dyDescent="0.25"/>
  <cols>
    <col min="1" max="1" width="5.42578125" style="64" bestFit="1" customWidth="1"/>
    <col min="2" max="2" width="19.7109375" style="64" bestFit="1" customWidth="1"/>
    <col min="3" max="3" width="40.28515625" style="64" bestFit="1" customWidth="1"/>
    <col min="4" max="4" width="15.28515625" style="64" bestFit="1" customWidth="1"/>
    <col min="5" max="5" width="11.42578125" style="64" bestFit="1" customWidth="1"/>
    <col min="6" max="6" width="10.140625" style="64" bestFit="1" customWidth="1"/>
    <col min="7" max="7" width="8.5703125" style="64" bestFit="1" customWidth="1"/>
    <col min="8" max="8" width="8.42578125" style="64" bestFit="1" customWidth="1"/>
    <col min="9" max="10" width="9.140625" style="64"/>
    <col min="11" max="11" width="10.5703125" style="64" bestFit="1" customWidth="1"/>
    <col min="12" max="250" width="9.140625" style="64"/>
    <col min="251" max="251" width="5.42578125" style="64" bestFit="1" customWidth="1"/>
    <col min="252" max="252" width="20.42578125" style="64" bestFit="1" customWidth="1"/>
    <col min="253" max="253" width="41.42578125" style="64" customWidth="1"/>
    <col min="254" max="254" width="15.28515625" style="64" bestFit="1" customWidth="1"/>
    <col min="255" max="255" width="16.7109375" style="64" bestFit="1" customWidth="1"/>
    <col min="256" max="256" width="11.28515625" style="64" bestFit="1" customWidth="1"/>
    <col min="257" max="257" width="14" style="64" bestFit="1" customWidth="1"/>
    <col min="258" max="258" width="11.85546875" style="64" bestFit="1" customWidth="1"/>
    <col min="259" max="259" width="14.85546875" style="64" bestFit="1" customWidth="1"/>
    <col min="260" max="260" width="9.7109375" style="64" customWidth="1"/>
    <col min="261" max="261" width="4.85546875" style="64" customWidth="1"/>
    <col min="262" max="506" width="9.140625" style="64"/>
    <col min="507" max="507" width="5.42578125" style="64" bestFit="1" customWidth="1"/>
    <col min="508" max="508" width="20.42578125" style="64" bestFit="1" customWidth="1"/>
    <col min="509" max="509" width="41.42578125" style="64" customWidth="1"/>
    <col min="510" max="510" width="15.28515625" style="64" bestFit="1" customWidth="1"/>
    <col min="511" max="511" width="16.7109375" style="64" bestFit="1" customWidth="1"/>
    <col min="512" max="512" width="11.28515625" style="64" bestFit="1" customWidth="1"/>
    <col min="513" max="513" width="14" style="64" bestFit="1" customWidth="1"/>
    <col min="514" max="514" width="11.85546875" style="64" bestFit="1" customWidth="1"/>
    <col min="515" max="515" width="14.85546875" style="64" bestFit="1" customWidth="1"/>
    <col min="516" max="516" width="9.7109375" style="64" customWidth="1"/>
    <col min="517" max="517" width="4.85546875" style="64" customWidth="1"/>
    <col min="518" max="762" width="9.140625" style="64"/>
    <col min="763" max="763" width="5.42578125" style="64" bestFit="1" customWidth="1"/>
    <col min="764" max="764" width="20.42578125" style="64" bestFit="1" customWidth="1"/>
    <col min="765" max="765" width="41.42578125" style="64" customWidth="1"/>
    <col min="766" max="766" width="15.28515625" style="64" bestFit="1" customWidth="1"/>
    <col min="767" max="767" width="16.7109375" style="64" bestFit="1" customWidth="1"/>
    <col min="768" max="768" width="11.28515625" style="64" bestFit="1" customWidth="1"/>
    <col min="769" max="769" width="14" style="64" bestFit="1" customWidth="1"/>
    <col min="770" max="770" width="11.85546875" style="64" bestFit="1" customWidth="1"/>
    <col min="771" max="771" width="14.85546875" style="64" bestFit="1" customWidth="1"/>
    <col min="772" max="772" width="9.7109375" style="64" customWidth="1"/>
    <col min="773" max="773" width="4.85546875" style="64" customWidth="1"/>
    <col min="774" max="1018" width="9.140625" style="64"/>
    <col min="1019" max="1019" width="5.42578125" style="64" bestFit="1" customWidth="1"/>
    <col min="1020" max="1020" width="20.42578125" style="64" bestFit="1" customWidth="1"/>
    <col min="1021" max="1021" width="41.42578125" style="64" customWidth="1"/>
    <col min="1022" max="1022" width="15.28515625" style="64" bestFit="1" customWidth="1"/>
    <col min="1023" max="1023" width="16.7109375" style="64" bestFit="1" customWidth="1"/>
    <col min="1024" max="1024" width="11.28515625" style="64" bestFit="1" customWidth="1"/>
    <col min="1025" max="1025" width="14" style="64" bestFit="1" customWidth="1"/>
    <col min="1026" max="1026" width="11.85546875" style="64" bestFit="1" customWidth="1"/>
    <col min="1027" max="1027" width="14.85546875" style="64" bestFit="1" customWidth="1"/>
    <col min="1028" max="1028" width="9.7109375" style="64" customWidth="1"/>
    <col min="1029" max="1029" width="4.85546875" style="64" customWidth="1"/>
    <col min="1030" max="1274" width="9.140625" style="64"/>
    <col min="1275" max="1275" width="5.42578125" style="64" bestFit="1" customWidth="1"/>
    <col min="1276" max="1276" width="20.42578125" style="64" bestFit="1" customWidth="1"/>
    <col min="1277" max="1277" width="41.42578125" style="64" customWidth="1"/>
    <col min="1278" max="1278" width="15.28515625" style="64" bestFit="1" customWidth="1"/>
    <col min="1279" max="1279" width="16.7109375" style="64" bestFit="1" customWidth="1"/>
    <col min="1280" max="1280" width="11.28515625" style="64" bestFit="1" customWidth="1"/>
    <col min="1281" max="1281" width="14" style="64" bestFit="1" customWidth="1"/>
    <col min="1282" max="1282" width="11.85546875" style="64" bestFit="1" customWidth="1"/>
    <col min="1283" max="1283" width="14.85546875" style="64" bestFit="1" customWidth="1"/>
    <col min="1284" max="1284" width="9.7109375" style="64" customWidth="1"/>
    <col min="1285" max="1285" width="4.85546875" style="64" customWidth="1"/>
    <col min="1286" max="1530" width="9.140625" style="64"/>
    <col min="1531" max="1531" width="5.42578125" style="64" bestFit="1" customWidth="1"/>
    <col min="1532" max="1532" width="20.42578125" style="64" bestFit="1" customWidth="1"/>
    <col min="1533" max="1533" width="41.42578125" style="64" customWidth="1"/>
    <col min="1534" max="1534" width="15.28515625" style="64" bestFit="1" customWidth="1"/>
    <col min="1535" max="1535" width="16.7109375" style="64" bestFit="1" customWidth="1"/>
    <col min="1536" max="1536" width="11.28515625" style="64" bestFit="1" customWidth="1"/>
    <col min="1537" max="1537" width="14" style="64" bestFit="1" customWidth="1"/>
    <col min="1538" max="1538" width="11.85546875" style="64" bestFit="1" customWidth="1"/>
    <col min="1539" max="1539" width="14.85546875" style="64" bestFit="1" customWidth="1"/>
    <col min="1540" max="1540" width="9.7109375" style="64" customWidth="1"/>
    <col min="1541" max="1541" width="4.85546875" style="64" customWidth="1"/>
    <col min="1542" max="1786" width="9.140625" style="64"/>
    <col min="1787" max="1787" width="5.42578125" style="64" bestFit="1" customWidth="1"/>
    <col min="1788" max="1788" width="20.42578125" style="64" bestFit="1" customWidth="1"/>
    <col min="1789" max="1789" width="41.42578125" style="64" customWidth="1"/>
    <col min="1790" max="1790" width="15.28515625" style="64" bestFit="1" customWidth="1"/>
    <col min="1791" max="1791" width="16.7109375" style="64" bestFit="1" customWidth="1"/>
    <col min="1792" max="1792" width="11.28515625" style="64" bestFit="1" customWidth="1"/>
    <col min="1793" max="1793" width="14" style="64" bestFit="1" customWidth="1"/>
    <col min="1794" max="1794" width="11.85546875" style="64" bestFit="1" customWidth="1"/>
    <col min="1795" max="1795" width="14.85546875" style="64" bestFit="1" customWidth="1"/>
    <col min="1796" max="1796" width="9.7109375" style="64" customWidth="1"/>
    <col min="1797" max="1797" width="4.85546875" style="64" customWidth="1"/>
    <col min="1798" max="2042" width="9.140625" style="64"/>
    <col min="2043" max="2043" width="5.42578125" style="64" bestFit="1" customWidth="1"/>
    <col min="2044" max="2044" width="20.42578125" style="64" bestFit="1" customWidth="1"/>
    <col min="2045" max="2045" width="41.42578125" style="64" customWidth="1"/>
    <col min="2046" max="2046" width="15.28515625" style="64" bestFit="1" customWidth="1"/>
    <col min="2047" max="2047" width="16.7109375" style="64" bestFit="1" customWidth="1"/>
    <col min="2048" max="2048" width="11.28515625" style="64" bestFit="1" customWidth="1"/>
    <col min="2049" max="2049" width="14" style="64" bestFit="1" customWidth="1"/>
    <col min="2050" max="2050" width="11.85546875" style="64" bestFit="1" customWidth="1"/>
    <col min="2051" max="2051" width="14.85546875" style="64" bestFit="1" customWidth="1"/>
    <col min="2052" max="2052" width="9.7109375" style="64" customWidth="1"/>
    <col min="2053" max="2053" width="4.85546875" style="64" customWidth="1"/>
    <col min="2054" max="2298" width="9.140625" style="64"/>
    <col min="2299" max="2299" width="5.42578125" style="64" bestFit="1" customWidth="1"/>
    <col min="2300" max="2300" width="20.42578125" style="64" bestFit="1" customWidth="1"/>
    <col min="2301" max="2301" width="41.42578125" style="64" customWidth="1"/>
    <col min="2302" max="2302" width="15.28515625" style="64" bestFit="1" customWidth="1"/>
    <col min="2303" max="2303" width="16.7109375" style="64" bestFit="1" customWidth="1"/>
    <col min="2304" max="2304" width="11.28515625" style="64" bestFit="1" customWidth="1"/>
    <col min="2305" max="2305" width="14" style="64" bestFit="1" customWidth="1"/>
    <col min="2306" max="2306" width="11.85546875" style="64" bestFit="1" customWidth="1"/>
    <col min="2307" max="2307" width="14.85546875" style="64" bestFit="1" customWidth="1"/>
    <col min="2308" max="2308" width="9.7109375" style="64" customWidth="1"/>
    <col min="2309" max="2309" width="4.85546875" style="64" customWidth="1"/>
    <col min="2310" max="2554" width="9.140625" style="64"/>
    <col min="2555" max="2555" width="5.42578125" style="64" bestFit="1" customWidth="1"/>
    <col min="2556" max="2556" width="20.42578125" style="64" bestFit="1" customWidth="1"/>
    <col min="2557" max="2557" width="41.42578125" style="64" customWidth="1"/>
    <col min="2558" max="2558" width="15.28515625" style="64" bestFit="1" customWidth="1"/>
    <col min="2559" max="2559" width="16.7109375" style="64" bestFit="1" customWidth="1"/>
    <col min="2560" max="2560" width="11.28515625" style="64" bestFit="1" customWidth="1"/>
    <col min="2561" max="2561" width="14" style="64" bestFit="1" customWidth="1"/>
    <col min="2562" max="2562" width="11.85546875" style="64" bestFit="1" customWidth="1"/>
    <col min="2563" max="2563" width="14.85546875" style="64" bestFit="1" customWidth="1"/>
    <col min="2564" max="2564" width="9.7109375" style="64" customWidth="1"/>
    <col min="2565" max="2565" width="4.85546875" style="64" customWidth="1"/>
    <col min="2566" max="2810" width="9.140625" style="64"/>
    <col min="2811" max="2811" width="5.42578125" style="64" bestFit="1" customWidth="1"/>
    <col min="2812" max="2812" width="20.42578125" style="64" bestFit="1" customWidth="1"/>
    <col min="2813" max="2813" width="41.42578125" style="64" customWidth="1"/>
    <col min="2814" max="2814" width="15.28515625" style="64" bestFit="1" customWidth="1"/>
    <col min="2815" max="2815" width="16.7109375" style="64" bestFit="1" customWidth="1"/>
    <col min="2816" max="2816" width="11.28515625" style="64" bestFit="1" customWidth="1"/>
    <col min="2817" max="2817" width="14" style="64" bestFit="1" customWidth="1"/>
    <col min="2818" max="2818" width="11.85546875" style="64" bestFit="1" customWidth="1"/>
    <col min="2819" max="2819" width="14.85546875" style="64" bestFit="1" customWidth="1"/>
    <col min="2820" max="2820" width="9.7109375" style="64" customWidth="1"/>
    <col min="2821" max="2821" width="4.85546875" style="64" customWidth="1"/>
    <col min="2822" max="3066" width="9.140625" style="64"/>
    <col min="3067" max="3067" width="5.42578125" style="64" bestFit="1" customWidth="1"/>
    <col min="3068" max="3068" width="20.42578125" style="64" bestFit="1" customWidth="1"/>
    <col min="3069" max="3069" width="41.42578125" style="64" customWidth="1"/>
    <col min="3070" max="3070" width="15.28515625" style="64" bestFit="1" customWidth="1"/>
    <col min="3071" max="3071" width="16.7109375" style="64" bestFit="1" customWidth="1"/>
    <col min="3072" max="3072" width="11.28515625" style="64" bestFit="1" customWidth="1"/>
    <col min="3073" max="3073" width="14" style="64" bestFit="1" customWidth="1"/>
    <col min="3074" max="3074" width="11.85546875" style="64" bestFit="1" customWidth="1"/>
    <col min="3075" max="3075" width="14.85546875" style="64" bestFit="1" customWidth="1"/>
    <col min="3076" max="3076" width="9.7109375" style="64" customWidth="1"/>
    <col min="3077" max="3077" width="4.85546875" style="64" customWidth="1"/>
    <col min="3078" max="3322" width="9.140625" style="64"/>
    <col min="3323" max="3323" width="5.42578125" style="64" bestFit="1" customWidth="1"/>
    <col min="3324" max="3324" width="20.42578125" style="64" bestFit="1" customWidth="1"/>
    <col min="3325" max="3325" width="41.42578125" style="64" customWidth="1"/>
    <col min="3326" max="3326" width="15.28515625" style="64" bestFit="1" customWidth="1"/>
    <col min="3327" max="3327" width="16.7109375" style="64" bestFit="1" customWidth="1"/>
    <col min="3328" max="3328" width="11.28515625" style="64" bestFit="1" customWidth="1"/>
    <col min="3329" max="3329" width="14" style="64" bestFit="1" customWidth="1"/>
    <col min="3330" max="3330" width="11.85546875" style="64" bestFit="1" customWidth="1"/>
    <col min="3331" max="3331" width="14.85546875" style="64" bestFit="1" customWidth="1"/>
    <col min="3332" max="3332" width="9.7109375" style="64" customWidth="1"/>
    <col min="3333" max="3333" width="4.85546875" style="64" customWidth="1"/>
    <col min="3334" max="3578" width="9.140625" style="64"/>
    <col min="3579" max="3579" width="5.42578125" style="64" bestFit="1" customWidth="1"/>
    <col min="3580" max="3580" width="20.42578125" style="64" bestFit="1" customWidth="1"/>
    <col min="3581" max="3581" width="41.42578125" style="64" customWidth="1"/>
    <col min="3582" max="3582" width="15.28515625" style="64" bestFit="1" customWidth="1"/>
    <col min="3583" max="3583" width="16.7109375" style="64" bestFit="1" customWidth="1"/>
    <col min="3584" max="3584" width="11.28515625" style="64" bestFit="1" customWidth="1"/>
    <col min="3585" max="3585" width="14" style="64" bestFit="1" customWidth="1"/>
    <col min="3586" max="3586" width="11.85546875" style="64" bestFit="1" customWidth="1"/>
    <col min="3587" max="3587" width="14.85546875" style="64" bestFit="1" customWidth="1"/>
    <col min="3588" max="3588" width="9.7109375" style="64" customWidth="1"/>
    <col min="3589" max="3589" width="4.85546875" style="64" customWidth="1"/>
    <col min="3590" max="3834" width="9.140625" style="64"/>
    <col min="3835" max="3835" width="5.42578125" style="64" bestFit="1" customWidth="1"/>
    <col min="3836" max="3836" width="20.42578125" style="64" bestFit="1" customWidth="1"/>
    <col min="3837" max="3837" width="41.42578125" style="64" customWidth="1"/>
    <col min="3838" max="3838" width="15.28515625" style="64" bestFit="1" customWidth="1"/>
    <col min="3839" max="3839" width="16.7109375" style="64" bestFit="1" customWidth="1"/>
    <col min="3840" max="3840" width="11.28515625" style="64" bestFit="1" customWidth="1"/>
    <col min="3841" max="3841" width="14" style="64" bestFit="1" customWidth="1"/>
    <col min="3842" max="3842" width="11.85546875" style="64" bestFit="1" customWidth="1"/>
    <col min="3843" max="3843" width="14.85546875" style="64" bestFit="1" customWidth="1"/>
    <col min="3844" max="3844" width="9.7109375" style="64" customWidth="1"/>
    <col min="3845" max="3845" width="4.85546875" style="64" customWidth="1"/>
    <col min="3846" max="4090" width="9.140625" style="64"/>
    <col min="4091" max="4091" width="5.42578125" style="64" bestFit="1" customWidth="1"/>
    <col min="4092" max="4092" width="20.42578125" style="64" bestFit="1" customWidth="1"/>
    <col min="4093" max="4093" width="41.42578125" style="64" customWidth="1"/>
    <col min="4094" max="4094" width="15.28515625" style="64" bestFit="1" customWidth="1"/>
    <col min="4095" max="4095" width="16.7109375" style="64" bestFit="1" customWidth="1"/>
    <col min="4096" max="4096" width="11.28515625" style="64" bestFit="1" customWidth="1"/>
    <col min="4097" max="4097" width="14" style="64" bestFit="1" customWidth="1"/>
    <col min="4098" max="4098" width="11.85546875" style="64" bestFit="1" customWidth="1"/>
    <col min="4099" max="4099" width="14.85546875" style="64" bestFit="1" customWidth="1"/>
    <col min="4100" max="4100" width="9.7109375" style="64" customWidth="1"/>
    <col min="4101" max="4101" width="4.85546875" style="64" customWidth="1"/>
    <col min="4102" max="4346" width="9.140625" style="64"/>
    <col min="4347" max="4347" width="5.42578125" style="64" bestFit="1" customWidth="1"/>
    <col min="4348" max="4348" width="20.42578125" style="64" bestFit="1" customWidth="1"/>
    <col min="4349" max="4349" width="41.42578125" style="64" customWidth="1"/>
    <col min="4350" max="4350" width="15.28515625" style="64" bestFit="1" customWidth="1"/>
    <col min="4351" max="4351" width="16.7109375" style="64" bestFit="1" customWidth="1"/>
    <col min="4352" max="4352" width="11.28515625" style="64" bestFit="1" customWidth="1"/>
    <col min="4353" max="4353" width="14" style="64" bestFit="1" customWidth="1"/>
    <col min="4354" max="4354" width="11.85546875" style="64" bestFit="1" customWidth="1"/>
    <col min="4355" max="4355" width="14.85546875" style="64" bestFit="1" customWidth="1"/>
    <col min="4356" max="4356" width="9.7109375" style="64" customWidth="1"/>
    <col min="4357" max="4357" width="4.85546875" style="64" customWidth="1"/>
    <col min="4358" max="4602" width="9.140625" style="64"/>
    <col min="4603" max="4603" width="5.42578125" style="64" bestFit="1" customWidth="1"/>
    <col min="4604" max="4604" width="20.42578125" style="64" bestFit="1" customWidth="1"/>
    <col min="4605" max="4605" width="41.42578125" style="64" customWidth="1"/>
    <col min="4606" max="4606" width="15.28515625" style="64" bestFit="1" customWidth="1"/>
    <col min="4607" max="4607" width="16.7109375" style="64" bestFit="1" customWidth="1"/>
    <col min="4608" max="4608" width="11.28515625" style="64" bestFit="1" customWidth="1"/>
    <col min="4609" max="4609" width="14" style="64" bestFit="1" customWidth="1"/>
    <col min="4610" max="4610" width="11.85546875" style="64" bestFit="1" customWidth="1"/>
    <col min="4611" max="4611" width="14.85546875" style="64" bestFit="1" customWidth="1"/>
    <col min="4612" max="4612" width="9.7109375" style="64" customWidth="1"/>
    <col min="4613" max="4613" width="4.85546875" style="64" customWidth="1"/>
    <col min="4614" max="4858" width="9.140625" style="64"/>
    <col min="4859" max="4859" width="5.42578125" style="64" bestFit="1" customWidth="1"/>
    <col min="4860" max="4860" width="20.42578125" style="64" bestFit="1" customWidth="1"/>
    <col min="4861" max="4861" width="41.42578125" style="64" customWidth="1"/>
    <col min="4862" max="4862" width="15.28515625" style="64" bestFit="1" customWidth="1"/>
    <col min="4863" max="4863" width="16.7109375" style="64" bestFit="1" customWidth="1"/>
    <col min="4864" max="4864" width="11.28515625" style="64" bestFit="1" customWidth="1"/>
    <col min="4865" max="4865" width="14" style="64" bestFit="1" customWidth="1"/>
    <col min="4866" max="4866" width="11.85546875" style="64" bestFit="1" customWidth="1"/>
    <col min="4867" max="4867" width="14.85546875" style="64" bestFit="1" customWidth="1"/>
    <col min="4868" max="4868" width="9.7109375" style="64" customWidth="1"/>
    <col min="4869" max="4869" width="4.85546875" style="64" customWidth="1"/>
    <col min="4870" max="5114" width="9.140625" style="64"/>
    <col min="5115" max="5115" width="5.42578125" style="64" bestFit="1" customWidth="1"/>
    <col min="5116" max="5116" width="20.42578125" style="64" bestFit="1" customWidth="1"/>
    <col min="5117" max="5117" width="41.42578125" style="64" customWidth="1"/>
    <col min="5118" max="5118" width="15.28515625" style="64" bestFit="1" customWidth="1"/>
    <col min="5119" max="5119" width="16.7109375" style="64" bestFit="1" customWidth="1"/>
    <col min="5120" max="5120" width="11.28515625" style="64" bestFit="1" customWidth="1"/>
    <col min="5121" max="5121" width="14" style="64" bestFit="1" customWidth="1"/>
    <col min="5122" max="5122" width="11.85546875" style="64" bestFit="1" customWidth="1"/>
    <col min="5123" max="5123" width="14.85546875" style="64" bestFit="1" customWidth="1"/>
    <col min="5124" max="5124" width="9.7109375" style="64" customWidth="1"/>
    <col min="5125" max="5125" width="4.85546875" style="64" customWidth="1"/>
    <col min="5126" max="5370" width="9.140625" style="64"/>
    <col min="5371" max="5371" width="5.42578125" style="64" bestFit="1" customWidth="1"/>
    <col min="5372" max="5372" width="20.42578125" style="64" bestFit="1" customWidth="1"/>
    <col min="5373" max="5373" width="41.42578125" style="64" customWidth="1"/>
    <col min="5374" max="5374" width="15.28515625" style="64" bestFit="1" customWidth="1"/>
    <col min="5375" max="5375" width="16.7109375" style="64" bestFit="1" customWidth="1"/>
    <col min="5376" max="5376" width="11.28515625" style="64" bestFit="1" customWidth="1"/>
    <col min="5377" max="5377" width="14" style="64" bestFit="1" customWidth="1"/>
    <col min="5378" max="5378" width="11.85546875" style="64" bestFit="1" customWidth="1"/>
    <col min="5379" max="5379" width="14.85546875" style="64" bestFit="1" customWidth="1"/>
    <col min="5380" max="5380" width="9.7109375" style="64" customWidth="1"/>
    <col min="5381" max="5381" width="4.85546875" style="64" customWidth="1"/>
    <col min="5382" max="5626" width="9.140625" style="64"/>
    <col min="5627" max="5627" width="5.42578125" style="64" bestFit="1" customWidth="1"/>
    <col min="5628" max="5628" width="20.42578125" style="64" bestFit="1" customWidth="1"/>
    <col min="5629" max="5629" width="41.42578125" style="64" customWidth="1"/>
    <col min="5630" max="5630" width="15.28515625" style="64" bestFit="1" customWidth="1"/>
    <col min="5631" max="5631" width="16.7109375" style="64" bestFit="1" customWidth="1"/>
    <col min="5632" max="5632" width="11.28515625" style="64" bestFit="1" customWidth="1"/>
    <col min="5633" max="5633" width="14" style="64" bestFit="1" customWidth="1"/>
    <col min="5634" max="5634" width="11.85546875" style="64" bestFit="1" customWidth="1"/>
    <col min="5635" max="5635" width="14.85546875" style="64" bestFit="1" customWidth="1"/>
    <col min="5636" max="5636" width="9.7109375" style="64" customWidth="1"/>
    <col min="5637" max="5637" width="4.85546875" style="64" customWidth="1"/>
    <col min="5638" max="5882" width="9.140625" style="64"/>
    <col min="5883" max="5883" width="5.42578125" style="64" bestFit="1" customWidth="1"/>
    <col min="5884" max="5884" width="20.42578125" style="64" bestFit="1" customWidth="1"/>
    <col min="5885" max="5885" width="41.42578125" style="64" customWidth="1"/>
    <col min="5886" max="5886" width="15.28515625" style="64" bestFit="1" customWidth="1"/>
    <col min="5887" max="5887" width="16.7109375" style="64" bestFit="1" customWidth="1"/>
    <col min="5888" max="5888" width="11.28515625" style="64" bestFit="1" customWidth="1"/>
    <col min="5889" max="5889" width="14" style="64" bestFit="1" customWidth="1"/>
    <col min="5890" max="5890" width="11.85546875" style="64" bestFit="1" customWidth="1"/>
    <col min="5891" max="5891" width="14.85546875" style="64" bestFit="1" customWidth="1"/>
    <col min="5892" max="5892" width="9.7109375" style="64" customWidth="1"/>
    <col min="5893" max="5893" width="4.85546875" style="64" customWidth="1"/>
    <col min="5894" max="6138" width="9.140625" style="64"/>
    <col min="6139" max="6139" width="5.42578125" style="64" bestFit="1" customWidth="1"/>
    <col min="6140" max="6140" width="20.42578125" style="64" bestFit="1" customWidth="1"/>
    <col min="6141" max="6141" width="41.42578125" style="64" customWidth="1"/>
    <col min="6142" max="6142" width="15.28515625" style="64" bestFit="1" customWidth="1"/>
    <col min="6143" max="6143" width="16.7109375" style="64" bestFit="1" customWidth="1"/>
    <col min="6144" max="6144" width="11.28515625" style="64" bestFit="1" customWidth="1"/>
    <col min="6145" max="6145" width="14" style="64" bestFit="1" customWidth="1"/>
    <col min="6146" max="6146" width="11.85546875" style="64" bestFit="1" customWidth="1"/>
    <col min="6147" max="6147" width="14.85546875" style="64" bestFit="1" customWidth="1"/>
    <col min="6148" max="6148" width="9.7109375" style="64" customWidth="1"/>
    <col min="6149" max="6149" width="4.85546875" style="64" customWidth="1"/>
    <col min="6150" max="6394" width="9.140625" style="64"/>
    <col min="6395" max="6395" width="5.42578125" style="64" bestFit="1" customWidth="1"/>
    <col min="6396" max="6396" width="20.42578125" style="64" bestFit="1" customWidth="1"/>
    <col min="6397" max="6397" width="41.42578125" style="64" customWidth="1"/>
    <col min="6398" max="6398" width="15.28515625" style="64" bestFit="1" customWidth="1"/>
    <col min="6399" max="6399" width="16.7109375" style="64" bestFit="1" customWidth="1"/>
    <col min="6400" max="6400" width="11.28515625" style="64" bestFit="1" customWidth="1"/>
    <col min="6401" max="6401" width="14" style="64" bestFit="1" customWidth="1"/>
    <col min="6402" max="6402" width="11.85546875" style="64" bestFit="1" customWidth="1"/>
    <col min="6403" max="6403" width="14.85546875" style="64" bestFit="1" customWidth="1"/>
    <col min="6404" max="6404" width="9.7109375" style="64" customWidth="1"/>
    <col min="6405" max="6405" width="4.85546875" style="64" customWidth="1"/>
    <col min="6406" max="6650" width="9.140625" style="64"/>
    <col min="6651" max="6651" width="5.42578125" style="64" bestFit="1" customWidth="1"/>
    <col min="6652" max="6652" width="20.42578125" style="64" bestFit="1" customWidth="1"/>
    <col min="6653" max="6653" width="41.42578125" style="64" customWidth="1"/>
    <col min="6654" max="6654" width="15.28515625" style="64" bestFit="1" customWidth="1"/>
    <col min="6655" max="6655" width="16.7109375" style="64" bestFit="1" customWidth="1"/>
    <col min="6656" max="6656" width="11.28515625" style="64" bestFit="1" customWidth="1"/>
    <col min="6657" max="6657" width="14" style="64" bestFit="1" customWidth="1"/>
    <col min="6658" max="6658" width="11.85546875" style="64" bestFit="1" customWidth="1"/>
    <col min="6659" max="6659" width="14.85546875" style="64" bestFit="1" customWidth="1"/>
    <col min="6660" max="6660" width="9.7109375" style="64" customWidth="1"/>
    <col min="6661" max="6661" width="4.85546875" style="64" customWidth="1"/>
    <col min="6662" max="6906" width="9.140625" style="64"/>
    <col min="6907" max="6907" width="5.42578125" style="64" bestFit="1" customWidth="1"/>
    <col min="6908" max="6908" width="20.42578125" style="64" bestFit="1" customWidth="1"/>
    <col min="6909" max="6909" width="41.42578125" style="64" customWidth="1"/>
    <col min="6910" max="6910" width="15.28515625" style="64" bestFit="1" customWidth="1"/>
    <col min="6911" max="6911" width="16.7109375" style="64" bestFit="1" customWidth="1"/>
    <col min="6912" max="6912" width="11.28515625" style="64" bestFit="1" customWidth="1"/>
    <col min="6913" max="6913" width="14" style="64" bestFit="1" customWidth="1"/>
    <col min="6914" max="6914" width="11.85546875" style="64" bestFit="1" customWidth="1"/>
    <col min="6915" max="6915" width="14.85546875" style="64" bestFit="1" customWidth="1"/>
    <col min="6916" max="6916" width="9.7109375" style="64" customWidth="1"/>
    <col min="6917" max="6917" width="4.85546875" style="64" customWidth="1"/>
    <col min="6918" max="7162" width="9.140625" style="64"/>
    <col min="7163" max="7163" width="5.42578125" style="64" bestFit="1" customWidth="1"/>
    <col min="7164" max="7164" width="20.42578125" style="64" bestFit="1" customWidth="1"/>
    <col min="7165" max="7165" width="41.42578125" style="64" customWidth="1"/>
    <col min="7166" max="7166" width="15.28515625" style="64" bestFit="1" customWidth="1"/>
    <col min="7167" max="7167" width="16.7109375" style="64" bestFit="1" customWidth="1"/>
    <col min="7168" max="7168" width="11.28515625" style="64" bestFit="1" customWidth="1"/>
    <col min="7169" max="7169" width="14" style="64" bestFit="1" customWidth="1"/>
    <col min="7170" max="7170" width="11.85546875" style="64" bestFit="1" customWidth="1"/>
    <col min="7171" max="7171" width="14.85546875" style="64" bestFit="1" customWidth="1"/>
    <col min="7172" max="7172" width="9.7109375" style="64" customWidth="1"/>
    <col min="7173" max="7173" width="4.85546875" style="64" customWidth="1"/>
    <col min="7174" max="7418" width="9.140625" style="64"/>
    <col min="7419" max="7419" width="5.42578125" style="64" bestFit="1" customWidth="1"/>
    <col min="7420" max="7420" width="20.42578125" style="64" bestFit="1" customWidth="1"/>
    <col min="7421" max="7421" width="41.42578125" style="64" customWidth="1"/>
    <col min="7422" max="7422" width="15.28515625" style="64" bestFit="1" customWidth="1"/>
    <col min="7423" max="7423" width="16.7109375" style="64" bestFit="1" customWidth="1"/>
    <col min="7424" max="7424" width="11.28515625" style="64" bestFit="1" customWidth="1"/>
    <col min="7425" max="7425" width="14" style="64" bestFit="1" customWidth="1"/>
    <col min="7426" max="7426" width="11.85546875" style="64" bestFit="1" customWidth="1"/>
    <col min="7427" max="7427" width="14.85546875" style="64" bestFit="1" customWidth="1"/>
    <col min="7428" max="7428" width="9.7109375" style="64" customWidth="1"/>
    <col min="7429" max="7429" width="4.85546875" style="64" customWidth="1"/>
    <col min="7430" max="7674" width="9.140625" style="64"/>
    <col min="7675" max="7675" width="5.42578125" style="64" bestFit="1" customWidth="1"/>
    <col min="7676" max="7676" width="20.42578125" style="64" bestFit="1" customWidth="1"/>
    <col min="7677" max="7677" width="41.42578125" style="64" customWidth="1"/>
    <col min="7678" max="7678" width="15.28515625" style="64" bestFit="1" customWidth="1"/>
    <col min="7679" max="7679" width="16.7109375" style="64" bestFit="1" customWidth="1"/>
    <col min="7680" max="7680" width="11.28515625" style="64" bestFit="1" customWidth="1"/>
    <col min="7681" max="7681" width="14" style="64" bestFit="1" customWidth="1"/>
    <col min="7682" max="7682" width="11.85546875" style="64" bestFit="1" customWidth="1"/>
    <col min="7683" max="7683" width="14.85546875" style="64" bestFit="1" customWidth="1"/>
    <col min="7684" max="7684" width="9.7109375" style="64" customWidth="1"/>
    <col min="7685" max="7685" width="4.85546875" style="64" customWidth="1"/>
    <col min="7686" max="7930" width="9.140625" style="64"/>
    <col min="7931" max="7931" width="5.42578125" style="64" bestFit="1" customWidth="1"/>
    <col min="7932" max="7932" width="20.42578125" style="64" bestFit="1" customWidth="1"/>
    <col min="7933" max="7933" width="41.42578125" style="64" customWidth="1"/>
    <col min="7934" max="7934" width="15.28515625" style="64" bestFit="1" customWidth="1"/>
    <col min="7935" max="7935" width="16.7109375" style="64" bestFit="1" customWidth="1"/>
    <col min="7936" max="7936" width="11.28515625" style="64" bestFit="1" customWidth="1"/>
    <col min="7937" max="7937" width="14" style="64" bestFit="1" customWidth="1"/>
    <col min="7938" max="7938" width="11.85546875" style="64" bestFit="1" customWidth="1"/>
    <col min="7939" max="7939" width="14.85546875" style="64" bestFit="1" customWidth="1"/>
    <col min="7940" max="7940" width="9.7109375" style="64" customWidth="1"/>
    <col min="7941" max="7941" width="4.85546875" style="64" customWidth="1"/>
    <col min="7942" max="8186" width="9.140625" style="64"/>
    <col min="8187" max="8187" width="5.42578125" style="64" bestFit="1" customWidth="1"/>
    <col min="8188" max="8188" width="20.42578125" style="64" bestFit="1" customWidth="1"/>
    <col min="8189" max="8189" width="41.42578125" style="64" customWidth="1"/>
    <col min="8190" max="8190" width="15.28515625" style="64" bestFit="1" customWidth="1"/>
    <col min="8191" max="8191" width="16.7109375" style="64" bestFit="1" customWidth="1"/>
    <col min="8192" max="8192" width="11.28515625" style="64" bestFit="1" customWidth="1"/>
    <col min="8193" max="8193" width="14" style="64" bestFit="1" customWidth="1"/>
    <col min="8194" max="8194" width="11.85546875" style="64" bestFit="1" customWidth="1"/>
    <col min="8195" max="8195" width="14.85546875" style="64" bestFit="1" customWidth="1"/>
    <col min="8196" max="8196" width="9.7109375" style="64" customWidth="1"/>
    <col min="8197" max="8197" width="4.85546875" style="64" customWidth="1"/>
    <col min="8198" max="8442" width="9.140625" style="64"/>
    <col min="8443" max="8443" width="5.42578125" style="64" bestFit="1" customWidth="1"/>
    <col min="8444" max="8444" width="20.42578125" style="64" bestFit="1" customWidth="1"/>
    <col min="8445" max="8445" width="41.42578125" style="64" customWidth="1"/>
    <col min="8446" max="8446" width="15.28515625" style="64" bestFit="1" customWidth="1"/>
    <col min="8447" max="8447" width="16.7109375" style="64" bestFit="1" customWidth="1"/>
    <col min="8448" max="8448" width="11.28515625" style="64" bestFit="1" customWidth="1"/>
    <col min="8449" max="8449" width="14" style="64" bestFit="1" customWidth="1"/>
    <col min="8450" max="8450" width="11.85546875" style="64" bestFit="1" customWidth="1"/>
    <col min="8451" max="8451" width="14.85546875" style="64" bestFit="1" customWidth="1"/>
    <col min="8452" max="8452" width="9.7109375" style="64" customWidth="1"/>
    <col min="8453" max="8453" width="4.85546875" style="64" customWidth="1"/>
    <col min="8454" max="8698" width="9.140625" style="64"/>
    <col min="8699" max="8699" width="5.42578125" style="64" bestFit="1" customWidth="1"/>
    <col min="8700" max="8700" width="20.42578125" style="64" bestFit="1" customWidth="1"/>
    <col min="8701" max="8701" width="41.42578125" style="64" customWidth="1"/>
    <col min="8702" max="8702" width="15.28515625" style="64" bestFit="1" customWidth="1"/>
    <col min="8703" max="8703" width="16.7109375" style="64" bestFit="1" customWidth="1"/>
    <col min="8704" max="8704" width="11.28515625" style="64" bestFit="1" customWidth="1"/>
    <col min="8705" max="8705" width="14" style="64" bestFit="1" customWidth="1"/>
    <col min="8706" max="8706" width="11.85546875" style="64" bestFit="1" customWidth="1"/>
    <col min="8707" max="8707" width="14.85546875" style="64" bestFit="1" customWidth="1"/>
    <col min="8708" max="8708" width="9.7109375" style="64" customWidth="1"/>
    <col min="8709" max="8709" width="4.85546875" style="64" customWidth="1"/>
    <col min="8710" max="8954" width="9.140625" style="64"/>
    <col min="8955" max="8955" width="5.42578125" style="64" bestFit="1" customWidth="1"/>
    <col min="8956" max="8956" width="20.42578125" style="64" bestFit="1" customWidth="1"/>
    <col min="8957" max="8957" width="41.42578125" style="64" customWidth="1"/>
    <col min="8958" max="8958" width="15.28515625" style="64" bestFit="1" customWidth="1"/>
    <col min="8959" max="8959" width="16.7109375" style="64" bestFit="1" customWidth="1"/>
    <col min="8960" max="8960" width="11.28515625" style="64" bestFit="1" customWidth="1"/>
    <col min="8961" max="8961" width="14" style="64" bestFit="1" customWidth="1"/>
    <col min="8962" max="8962" width="11.85546875" style="64" bestFit="1" customWidth="1"/>
    <col min="8963" max="8963" width="14.85546875" style="64" bestFit="1" customWidth="1"/>
    <col min="8964" max="8964" width="9.7109375" style="64" customWidth="1"/>
    <col min="8965" max="8965" width="4.85546875" style="64" customWidth="1"/>
    <col min="8966" max="9210" width="9.140625" style="64"/>
    <col min="9211" max="9211" width="5.42578125" style="64" bestFit="1" customWidth="1"/>
    <col min="9212" max="9212" width="20.42578125" style="64" bestFit="1" customWidth="1"/>
    <col min="9213" max="9213" width="41.42578125" style="64" customWidth="1"/>
    <col min="9214" max="9214" width="15.28515625" style="64" bestFit="1" customWidth="1"/>
    <col min="9215" max="9215" width="16.7109375" style="64" bestFit="1" customWidth="1"/>
    <col min="9216" max="9216" width="11.28515625" style="64" bestFit="1" customWidth="1"/>
    <col min="9217" max="9217" width="14" style="64" bestFit="1" customWidth="1"/>
    <col min="9218" max="9218" width="11.85546875" style="64" bestFit="1" customWidth="1"/>
    <col min="9219" max="9219" width="14.85546875" style="64" bestFit="1" customWidth="1"/>
    <col min="9220" max="9220" width="9.7109375" style="64" customWidth="1"/>
    <col min="9221" max="9221" width="4.85546875" style="64" customWidth="1"/>
    <col min="9222" max="9466" width="9.140625" style="64"/>
    <col min="9467" max="9467" width="5.42578125" style="64" bestFit="1" customWidth="1"/>
    <col min="9468" max="9468" width="20.42578125" style="64" bestFit="1" customWidth="1"/>
    <col min="9469" max="9469" width="41.42578125" style="64" customWidth="1"/>
    <col min="9470" max="9470" width="15.28515625" style="64" bestFit="1" customWidth="1"/>
    <col min="9471" max="9471" width="16.7109375" style="64" bestFit="1" customWidth="1"/>
    <col min="9472" max="9472" width="11.28515625" style="64" bestFit="1" customWidth="1"/>
    <col min="9473" max="9473" width="14" style="64" bestFit="1" customWidth="1"/>
    <col min="9474" max="9474" width="11.85546875" style="64" bestFit="1" customWidth="1"/>
    <col min="9475" max="9475" width="14.85546875" style="64" bestFit="1" customWidth="1"/>
    <col min="9476" max="9476" width="9.7109375" style="64" customWidth="1"/>
    <col min="9477" max="9477" width="4.85546875" style="64" customWidth="1"/>
    <col min="9478" max="9722" width="9.140625" style="64"/>
    <col min="9723" max="9723" width="5.42578125" style="64" bestFit="1" customWidth="1"/>
    <col min="9724" max="9724" width="20.42578125" style="64" bestFit="1" customWidth="1"/>
    <col min="9725" max="9725" width="41.42578125" style="64" customWidth="1"/>
    <col min="9726" max="9726" width="15.28515625" style="64" bestFit="1" customWidth="1"/>
    <col min="9727" max="9727" width="16.7109375" style="64" bestFit="1" customWidth="1"/>
    <col min="9728" max="9728" width="11.28515625" style="64" bestFit="1" customWidth="1"/>
    <col min="9729" max="9729" width="14" style="64" bestFit="1" customWidth="1"/>
    <col min="9730" max="9730" width="11.85546875" style="64" bestFit="1" customWidth="1"/>
    <col min="9731" max="9731" width="14.85546875" style="64" bestFit="1" customWidth="1"/>
    <col min="9732" max="9732" width="9.7109375" style="64" customWidth="1"/>
    <col min="9733" max="9733" width="4.85546875" style="64" customWidth="1"/>
    <col min="9734" max="9978" width="9.140625" style="64"/>
    <col min="9979" max="9979" width="5.42578125" style="64" bestFit="1" customWidth="1"/>
    <col min="9980" max="9980" width="20.42578125" style="64" bestFit="1" customWidth="1"/>
    <col min="9981" max="9981" width="41.42578125" style="64" customWidth="1"/>
    <col min="9982" max="9982" width="15.28515625" style="64" bestFit="1" customWidth="1"/>
    <col min="9983" max="9983" width="16.7109375" style="64" bestFit="1" customWidth="1"/>
    <col min="9984" max="9984" width="11.28515625" style="64" bestFit="1" customWidth="1"/>
    <col min="9985" max="9985" width="14" style="64" bestFit="1" customWidth="1"/>
    <col min="9986" max="9986" width="11.85546875" style="64" bestFit="1" customWidth="1"/>
    <col min="9987" max="9987" width="14.85546875" style="64" bestFit="1" customWidth="1"/>
    <col min="9988" max="9988" width="9.7109375" style="64" customWidth="1"/>
    <col min="9989" max="9989" width="4.85546875" style="64" customWidth="1"/>
    <col min="9990" max="10234" width="9.140625" style="64"/>
    <col min="10235" max="10235" width="5.42578125" style="64" bestFit="1" customWidth="1"/>
    <col min="10236" max="10236" width="20.42578125" style="64" bestFit="1" customWidth="1"/>
    <col min="10237" max="10237" width="41.42578125" style="64" customWidth="1"/>
    <col min="10238" max="10238" width="15.28515625" style="64" bestFit="1" customWidth="1"/>
    <col min="10239" max="10239" width="16.7109375" style="64" bestFit="1" customWidth="1"/>
    <col min="10240" max="10240" width="11.28515625" style="64" bestFit="1" customWidth="1"/>
    <col min="10241" max="10241" width="14" style="64" bestFit="1" customWidth="1"/>
    <col min="10242" max="10242" width="11.85546875" style="64" bestFit="1" customWidth="1"/>
    <col min="10243" max="10243" width="14.85546875" style="64" bestFit="1" customWidth="1"/>
    <col min="10244" max="10244" width="9.7109375" style="64" customWidth="1"/>
    <col min="10245" max="10245" width="4.85546875" style="64" customWidth="1"/>
    <col min="10246" max="10490" width="9.140625" style="64"/>
    <col min="10491" max="10491" width="5.42578125" style="64" bestFit="1" customWidth="1"/>
    <col min="10492" max="10492" width="20.42578125" style="64" bestFit="1" customWidth="1"/>
    <col min="10493" max="10493" width="41.42578125" style="64" customWidth="1"/>
    <col min="10494" max="10494" width="15.28515625" style="64" bestFit="1" customWidth="1"/>
    <col min="10495" max="10495" width="16.7109375" style="64" bestFit="1" customWidth="1"/>
    <col min="10496" max="10496" width="11.28515625" style="64" bestFit="1" customWidth="1"/>
    <col min="10497" max="10497" width="14" style="64" bestFit="1" customWidth="1"/>
    <col min="10498" max="10498" width="11.85546875" style="64" bestFit="1" customWidth="1"/>
    <col min="10499" max="10499" width="14.85546875" style="64" bestFit="1" customWidth="1"/>
    <col min="10500" max="10500" width="9.7109375" style="64" customWidth="1"/>
    <col min="10501" max="10501" width="4.85546875" style="64" customWidth="1"/>
    <col min="10502" max="10746" width="9.140625" style="64"/>
    <col min="10747" max="10747" width="5.42578125" style="64" bestFit="1" customWidth="1"/>
    <col min="10748" max="10748" width="20.42578125" style="64" bestFit="1" customWidth="1"/>
    <col min="10749" max="10749" width="41.42578125" style="64" customWidth="1"/>
    <col min="10750" max="10750" width="15.28515625" style="64" bestFit="1" customWidth="1"/>
    <col min="10751" max="10751" width="16.7109375" style="64" bestFit="1" customWidth="1"/>
    <col min="10752" max="10752" width="11.28515625" style="64" bestFit="1" customWidth="1"/>
    <col min="10753" max="10753" width="14" style="64" bestFit="1" customWidth="1"/>
    <col min="10754" max="10754" width="11.85546875" style="64" bestFit="1" customWidth="1"/>
    <col min="10755" max="10755" width="14.85546875" style="64" bestFit="1" customWidth="1"/>
    <col min="10756" max="10756" width="9.7109375" style="64" customWidth="1"/>
    <col min="10757" max="10757" width="4.85546875" style="64" customWidth="1"/>
    <col min="10758" max="11002" width="9.140625" style="64"/>
    <col min="11003" max="11003" width="5.42578125" style="64" bestFit="1" customWidth="1"/>
    <col min="11004" max="11004" width="20.42578125" style="64" bestFit="1" customWidth="1"/>
    <col min="11005" max="11005" width="41.42578125" style="64" customWidth="1"/>
    <col min="11006" max="11006" width="15.28515625" style="64" bestFit="1" customWidth="1"/>
    <col min="11007" max="11007" width="16.7109375" style="64" bestFit="1" customWidth="1"/>
    <col min="11008" max="11008" width="11.28515625" style="64" bestFit="1" customWidth="1"/>
    <col min="11009" max="11009" width="14" style="64" bestFit="1" customWidth="1"/>
    <col min="11010" max="11010" width="11.85546875" style="64" bestFit="1" customWidth="1"/>
    <col min="11011" max="11011" width="14.85546875" style="64" bestFit="1" customWidth="1"/>
    <col min="11012" max="11012" width="9.7109375" style="64" customWidth="1"/>
    <col min="11013" max="11013" width="4.85546875" style="64" customWidth="1"/>
    <col min="11014" max="11258" width="9.140625" style="64"/>
    <col min="11259" max="11259" width="5.42578125" style="64" bestFit="1" customWidth="1"/>
    <col min="11260" max="11260" width="20.42578125" style="64" bestFit="1" customWidth="1"/>
    <col min="11261" max="11261" width="41.42578125" style="64" customWidth="1"/>
    <col min="11262" max="11262" width="15.28515625" style="64" bestFit="1" customWidth="1"/>
    <col min="11263" max="11263" width="16.7109375" style="64" bestFit="1" customWidth="1"/>
    <col min="11264" max="11264" width="11.28515625" style="64" bestFit="1" customWidth="1"/>
    <col min="11265" max="11265" width="14" style="64" bestFit="1" customWidth="1"/>
    <col min="11266" max="11266" width="11.85546875" style="64" bestFit="1" customWidth="1"/>
    <col min="11267" max="11267" width="14.85546875" style="64" bestFit="1" customWidth="1"/>
    <col min="11268" max="11268" width="9.7109375" style="64" customWidth="1"/>
    <col min="11269" max="11269" width="4.85546875" style="64" customWidth="1"/>
    <col min="11270" max="11514" width="9.140625" style="64"/>
    <col min="11515" max="11515" width="5.42578125" style="64" bestFit="1" customWidth="1"/>
    <col min="11516" max="11516" width="20.42578125" style="64" bestFit="1" customWidth="1"/>
    <col min="11517" max="11517" width="41.42578125" style="64" customWidth="1"/>
    <col min="11518" max="11518" width="15.28515625" style="64" bestFit="1" customWidth="1"/>
    <col min="11519" max="11519" width="16.7109375" style="64" bestFit="1" customWidth="1"/>
    <col min="11520" max="11520" width="11.28515625" style="64" bestFit="1" customWidth="1"/>
    <col min="11521" max="11521" width="14" style="64" bestFit="1" customWidth="1"/>
    <col min="11522" max="11522" width="11.85546875" style="64" bestFit="1" customWidth="1"/>
    <col min="11523" max="11523" width="14.85546875" style="64" bestFit="1" customWidth="1"/>
    <col min="11524" max="11524" width="9.7109375" style="64" customWidth="1"/>
    <col min="11525" max="11525" width="4.85546875" style="64" customWidth="1"/>
    <col min="11526" max="11770" width="9.140625" style="64"/>
    <col min="11771" max="11771" width="5.42578125" style="64" bestFit="1" customWidth="1"/>
    <col min="11772" max="11772" width="20.42578125" style="64" bestFit="1" customWidth="1"/>
    <col min="11773" max="11773" width="41.42578125" style="64" customWidth="1"/>
    <col min="11774" max="11774" width="15.28515625" style="64" bestFit="1" customWidth="1"/>
    <col min="11775" max="11775" width="16.7109375" style="64" bestFit="1" customWidth="1"/>
    <col min="11776" max="11776" width="11.28515625" style="64" bestFit="1" customWidth="1"/>
    <col min="11777" max="11777" width="14" style="64" bestFit="1" customWidth="1"/>
    <col min="11778" max="11778" width="11.85546875" style="64" bestFit="1" customWidth="1"/>
    <col min="11779" max="11779" width="14.85546875" style="64" bestFit="1" customWidth="1"/>
    <col min="11780" max="11780" width="9.7109375" style="64" customWidth="1"/>
    <col min="11781" max="11781" width="4.85546875" style="64" customWidth="1"/>
    <col min="11782" max="12026" width="9.140625" style="64"/>
    <col min="12027" max="12027" width="5.42578125" style="64" bestFit="1" customWidth="1"/>
    <col min="12028" max="12028" width="20.42578125" style="64" bestFit="1" customWidth="1"/>
    <col min="12029" max="12029" width="41.42578125" style="64" customWidth="1"/>
    <col min="12030" max="12030" width="15.28515625" style="64" bestFit="1" customWidth="1"/>
    <col min="12031" max="12031" width="16.7109375" style="64" bestFit="1" customWidth="1"/>
    <col min="12032" max="12032" width="11.28515625" style="64" bestFit="1" customWidth="1"/>
    <col min="12033" max="12033" width="14" style="64" bestFit="1" customWidth="1"/>
    <col min="12034" max="12034" width="11.85546875" style="64" bestFit="1" customWidth="1"/>
    <col min="12035" max="12035" width="14.85546875" style="64" bestFit="1" customWidth="1"/>
    <col min="12036" max="12036" width="9.7109375" style="64" customWidth="1"/>
    <col min="12037" max="12037" width="4.85546875" style="64" customWidth="1"/>
    <col min="12038" max="12282" width="9.140625" style="64"/>
    <col min="12283" max="12283" width="5.42578125" style="64" bestFit="1" customWidth="1"/>
    <col min="12284" max="12284" width="20.42578125" style="64" bestFit="1" customWidth="1"/>
    <col min="12285" max="12285" width="41.42578125" style="64" customWidth="1"/>
    <col min="12286" max="12286" width="15.28515625" style="64" bestFit="1" customWidth="1"/>
    <col min="12287" max="12287" width="16.7109375" style="64" bestFit="1" customWidth="1"/>
    <col min="12288" max="12288" width="11.28515625" style="64" bestFit="1" customWidth="1"/>
    <col min="12289" max="12289" width="14" style="64" bestFit="1" customWidth="1"/>
    <col min="12290" max="12290" width="11.85546875" style="64" bestFit="1" customWidth="1"/>
    <col min="12291" max="12291" width="14.85546875" style="64" bestFit="1" customWidth="1"/>
    <col min="12292" max="12292" width="9.7109375" style="64" customWidth="1"/>
    <col min="12293" max="12293" width="4.85546875" style="64" customWidth="1"/>
    <col min="12294" max="12538" width="9.140625" style="64"/>
    <col min="12539" max="12539" width="5.42578125" style="64" bestFit="1" customWidth="1"/>
    <col min="12540" max="12540" width="20.42578125" style="64" bestFit="1" customWidth="1"/>
    <col min="12541" max="12541" width="41.42578125" style="64" customWidth="1"/>
    <col min="12542" max="12542" width="15.28515625" style="64" bestFit="1" customWidth="1"/>
    <col min="12543" max="12543" width="16.7109375" style="64" bestFit="1" customWidth="1"/>
    <col min="12544" max="12544" width="11.28515625" style="64" bestFit="1" customWidth="1"/>
    <col min="12545" max="12545" width="14" style="64" bestFit="1" customWidth="1"/>
    <col min="12546" max="12546" width="11.85546875" style="64" bestFit="1" customWidth="1"/>
    <col min="12547" max="12547" width="14.85546875" style="64" bestFit="1" customWidth="1"/>
    <col min="12548" max="12548" width="9.7109375" style="64" customWidth="1"/>
    <col min="12549" max="12549" width="4.85546875" style="64" customWidth="1"/>
    <col min="12550" max="12794" width="9.140625" style="64"/>
    <col min="12795" max="12795" width="5.42578125" style="64" bestFit="1" customWidth="1"/>
    <col min="12796" max="12796" width="20.42578125" style="64" bestFit="1" customWidth="1"/>
    <col min="12797" max="12797" width="41.42578125" style="64" customWidth="1"/>
    <col min="12798" max="12798" width="15.28515625" style="64" bestFit="1" customWidth="1"/>
    <col min="12799" max="12799" width="16.7109375" style="64" bestFit="1" customWidth="1"/>
    <col min="12800" max="12800" width="11.28515625" style="64" bestFit="1" customWidth="1"/>
    <col min="12801" max="12801" width="14" style="64" bestFit="1" customWidth="1"/>
    <col min="12802" max="12802" width="11.85546875" style="64" bestFit="1" customWidth="1"/>
    <col min="12803" max="12803" width="14.85546875" style="64" bestFit="1" customWidth="1"/>
    <col min="12804" max="12804" width="9.7109375" style="64" customWidth="1"/>
    <col min="12805" max="12805" width="4.85546875" style="64" customWidth="1"/>
    <col min="12806" max="13050" width="9.140625" style="64"/>
    <col min="13051" max="13051" width="5.42578125" style="64" bestFit="1" customWidth="1"/>
    <col min="13052" max="13052" width="20.42578125" style="64" bestFit="1" customWidth="1"/>
    <col min="13053" max="13053" width="41.42578125" style="64" customWidth="1"/>
    <col min="13054" max="13054" width="15.28515625" style="64" bestFit="1" customWidth="1"/>
    <col min="13055" max="13055" width="16.7109375" style="64" bestFit="1" customWidth="1"/>
    <col min="13056" max="13056" width="11.28515625" style="64" bestFit="1" customWidth="1"/>
    <col min="13057" max="13057" width="14" style="64" bestFit="1" customWidth="1"/>
    <col min="13058" max="13058" width="11.85546875" style="64" bestFit="1" customWidth="1"/>
    <col min="13059" max="13059" width="14.85546875" style="64" bestFit="1" customWidth="1"/>
    <col min="13060" max="13060" width="9.7109375" style="64" customWidth="1"/>
    <col min="13061" max="13061" width="4.85546875" style="64" customWidth="1"/>
    <col min="13062" max="13306" width="9.140625" style="64"/>
    <col min="13307" max="13307" width="5.42578125" style="64" bestFit="1" customWidth="1"/>
    <col min="13308" max="13308" width="20.42578125" style="64" bestFit="1" customWidth="1"/>
    <col min="13309" max="13309" width="41.42578125" style="64" customWidth="1"/>
    <col min="13310" max="13310" width="15.28515625" style="64" bestFit="1" customWidth="1"/>
    <col min="13311" max="13311" width="16.7109375" style="64" bestFit="1" customWidth="1"/>
    <col min="13312" max="13312" width="11.28515625" style="64" bestFit="1" customWidth="1"/>
    <col min="13313" max="13313" width="14" style="64" bestFit="1" customWidth="1"/>
    <col min="13314" max="13314" width="11.85546875" style="64" bestFit="1" customWidth="1"/>
    <col min="13315" max="13315" width="14.85546875" style="64" bestFit="1" customWidth="1"/>
    <col min="13316" max="13316" width="9.7109375" style="64" customWidth="1"/>
    <col min="13317" max="13317" width="4.85546875" style="64" customWidth="1"/>
    <col min="13318" max="13562" width="9.140625" style="64"/>
    <col min="13563" max="13563" width="5.42578125" style="64" bestFit="1" customWidth="1"/>
    <col min="13564" max="13564" width="20.42578125" style="64" bestFit="1" customWidth="1"/>
    <col min="13565" max="13565" width="41.42578125" style="64" customWidth="1"/>
    <col min="13566" max="13566" width="15.28515625" style="64" bestFit="1" customWidth="1"/>
    <col min="13567" max="13567" width="16.7109375" style="64" bestFit="1" customWidth="1"/>
    <col min="13568" max="13568" width="11.28515625" style="64" bestFit="1" customWidth="1"/>
    <col min="13569" max="13569" width="14" style="64" bestFit="1" customWidth="1"/>
    <col min="13570" max="13570" width="11.85546875" style="64" bestFit="1" customWidth="1"/>
    <col min="13571" max="13571" width="14.85546875" style="64" bestFit="1" customWidth="1"/>
    <col min="13572" max="13572" width="9.7109375" style="64" customWidth="1"/>
    <col min="13573" max="13573" width="4.85546875" style="64" customWidth="1"/>
    <col min="13574" max="13818" width="9.140625" style="64"/>
    <col min="13819" max="13819" width="5.42578125" style="64" bestFit="1" customWidth="1"/>
    <col min="13820" max="13820" width="20.42578125" style="64" bestFit="1" customWidth="1"/>
    <col min="13821" max="13821" width="41.42578125" style="64" customWidth="1"/>
    <col min="13822" max="13822" width="15.28515625" style="64" bestFit="1" customWidth="1"/>
    <col min="13823" max="13823" width="16.7109375" style="64" bestFit="1" customWidth="1"/>
    <col min="13824" max="13824" width="11.28515625" style="64" bestFit="1" customWidth="1"/>
    <col min="13825" max="13825" width="14" style="64" bestFit="1" customWidth="1"/>
    <col min="13826" max="13826" width="11.85546875" style="64" bestFit="1" customWidth="1"/>
    <col min="13827" max="13827" width="14.85546875" style="64" bestFit="1" customWidth="1"/>
    <col min="13828" max="13828" width="9.7109375" style="64" customWidth="1"/>
    <col min="13829" max="13829" width="4.85546875" style="64" customWidth="1"/>
    <col min="13830" max="14074" width="9.140625" style="64"/>
    <col min="14075" max="14075" width="5.42578125" style="64" bestFit="1" customWidth="1"/>
    <col min="14076" max="14076" width="20.42578125" style="64" bestFit="1" customWidth="1"/>
    <col min="14077" max="14077" width="41.42578125" style="64" customWidth="1"/>
    <col min="14078" max="14078" width="15.28515625" style="64" bestFit="1" customWidth="1"/>
    <col min="14079" max="14079" width="16.7109375" style="64" bestFit="1" customWidth="1"/>
    <col min="14080" max="14080" width="11.28515625" style="64" bestFit="1" customWidth="1"/>
    <col min="14081" max="14081" width="14" style="64" bestFit="1" customWidth="1"/>
    <col min="14082" max="14082" width="11.85546875" style="64" bestFit="1" customWidth="1"/>
    <col min="14083" max="14083" width="14.85546875" style="64" bestFit="1" customWidth="1"/>
    <col min="14084" max="14084" width="9.7109375" style="64" customWidth="1"/>
    <col min="14085" max="14085" width="4.85546875" style="64" customWidth="1"/>
    <col min="14086" max="14330" width="9.140625" style="64"/>
    <col min="14331" max="14331" width="5.42578125" style="64" bestFit="1" customWidth="1"/>
    <col min="14332" max="14332" width="20.42578125" style="64" bestFit="1" customWidth="1"/>
    <col min="14333" max="14333" width="41.42578125" style="64" customWidth="1"/>
    <col min="14334" max="14334" width="15.28515625" style="64" bestFit="1" customWidth="1"/>
    <col min="14335" max="14335" width="16.7109375" style="64" bestFit="1" customWidth="1"/>
    <col min="14336" max="14336" width="11.28515625" style="64" bestFit="1" customWidth="1"/>
    <col min="14337" max="14337" width="14" style="64" bestFit="1" customWidth="1"/>
    <col min="14338" max="14338" width="11.85546875" style="64" bestFit="1" customWidth="1"/>
    <col min="14339" max="14339" width="14.85546875" style="64" bestFit="1" customWidth="1"/>
    <col min="14340" max="14340" width="9.7109375" style="64" customWidth="1"/>
    <col min="14341" max="14341" width="4.85546875" style="64" customWidth="1"/>
    <col min="14342" max="14586" width="9.140625" style="64"/>
    <col min="14587" max="14587" width="5.42578125" style="64" bestFit="1" customWidth="1"/>
    <col min="14588" max="14588" width="20.42578125" style="64" bestFit="1" customWidth="1"/>
    <col min="14589" max="14589" width="41.42578125" style="64" customWidth="1"/>
    <col min="14590" max="14590" width="15.28515625" style="64" bestFit="1" customWidth="1"/>
    <col min="14591" max="14591" width="16.7109375" style="64" bestFit="1" customWidth="1"/>
    <col min="14592" max="14592" width="11.28515625" style="64" bestFit="1" customWidth="1"/>
    <col min="14593" max="14593" width="14" style="64" bestFit="1" customWidth="1"/>
    <col min="14594" max="14594" width="11.85546875" style="64" bestFit="1" customWidth="1"/>
    <col min="14595" max="14595" width="14.85546875" style="64" bestFit="1" customWidth="1"/>
    <col min="14596" max="14596" width="9.7109375" style="64" customWidth="1"/>
    <col min="14597" max="14597" width="4.85546875" style="64" customWidth="1"/>
    <col min="14598" max="14842" width="9.140625" style="64"/>
    <col min="14843" max="14843" width="5.42578125" style="64" bestFit="1" customWidth="1"/>
    <col min="14844" max="14844" width="20.42578125" style="64" bestFit="1" customWidth="1"/>
    <col min="14845" max="14845" width="41.42578125" style="64" customWidth="1"/>
    <col min="14846" max="14846" width="15.28515625" style="64" bestFit="1" customWidth="1"/>
    <col min="14847" max="14847" width="16.7109375" style="64" bestFit="1" customWidth="1"/>
    <col min="14848" max="14848" width="11.28515625" style="64" bestFit="1" customWidth="1"/>
    <col min="14849" max="14849" width="14" style="64" bestFit="1" customWidth="1"/>
    <col min="14850" max="14850" width="11.85546875" style="64" bestFit="1" customWidth="1"/>
    <col min="14851" max="14851" width="14.85546875" style="64" bestFit="1" customWidth="1"/>
    <col min="14852" max="14852" width="9.7109375" style="64" customWidth="1"/>
    <col min="14853" max="14853" width="4.85546875" style="64" customWidth="1"/>
    <col min="14854" max="15098" width="9.140625" style="64"/>
    <col min="15099" max="15099" width="5.42578125" style="64" bestFit="1" customWidth="1"/>
    <col min="15100" max="15100" width="20.42578125" style="64" bestFit="1" customWidth="1"/>
    <col min="15101" max="15101" width="41.42578125" style="64" customWidth="1"/>
    <col min="15102" max="15102" width="15.28515625" style="64" bestFit="1" customWidth="1"/>
    <col min="15103" max="15103" width="16.7109375" style="64" bestFit="1" customWidth="1"/>
    <col min="15104" max="15104" width="11.28515625" style="64" bestFit="1" customWidth="1"/>
    <col min="15105" max="15105" width="14" style="64" bestFit="1" customWidth="1"/>
    <col min="15106" max="15106" width="11.85546875" style="64" bestFit="1" customWidth="1"/>
    <col min="15107" max="15107" width="14.85546875" style="64" bestFit="1" customWidth="1"/>
    <col min="15108" max="15108" width="9.7109375" style="64" customWidth="1"/>
    <col min="15109" max="15109" width="4.85546875" style="64" customWidth="1"/>
    <col min="15110" max="15354" width="9.140625" style="64"/>
    <col min="15355" max="15355" width="5.42578125" style="64" bestFit="1" customWidth="1"/>
    <col min="15356" max="15356" width="20.42578125" style="64" bestFit="1" customWidth="1"/>
    <col min="15357" max="15357" width="41.42578125" style="64" customWidth="1"/>
    <col min="15358" max="15358" width="15.28515625" style="64" bestFit="1" customWidth="1"/>
    <col min="15359" max="15359" width="16.7109375" style="64" bestFit="1" customWidth="1"/>
    <col min="15360" max="15360" width="11.28515625" style="64" bestFit="1" customWidth="1"/>
    <col min="15361" max="15361" width="14" style="64" bestFit="1" customWidth="1"/>
    <col min="15362" max="15362" width="11.85546875" style="64" bestFit="1" customWidth="1"/>
    <col min="15363" max="15363" width="14.85546875" style="64" bestFit="1" customWidth="1"/>
    <col min="15364" max="15364" width="9.7109375" style="64" customWidth="1"/>
    <col min="15365" max="15365" width="4.85546875" style="64" customWidth="1"/>
    <col min="15366" max="15610" width="9.140625" style="64"/>
    <col min="15611" max="15611" width="5.42578125" style="64" bestFit="1" customWidth="1"/>
    <col min="15612" max="15612" width="20.42578125" style="64" bestFit="1" customWidth="1"/>
    <col min="15613" max="15613" width="41.42578125" style="64" customWidth="1"/>
    <col min="15614" max="15614" width="15.28515625" style="64" bestFit="1" customWidth="1"/>
    <col min="15615" max="15615" width="16.7109375" style="64" bestFit="1" customWidth="1"/>
    <col min="15616" max="15616" width="11.28515625" style="64" bestFit="1" customWidth="1"/>
    <col min="15617" max="15617" width="14" style="64" bestFit="1" customWidth="1"/>
    <col min="15618" max="15618" width="11.85546875" style="64" bestFit="1" customWidth="1"/>
    <col min="15619" max="15619" width="14.85546875" style="64" bestFit="1" customWidth="1"/>
    <col min="15620" max="15620" width="9.7109375" style="64" customWidth="1"/>
    <col min="15621" max="15621" width="4.85546875" style="64" customWidth="1"/>
    <col min="15622" max="15866" width="9.140625" style="64"/>
    <col min="15867" max="15867" width="5.42578125" style="64" bestFit="1" customWidth="1"/>
    <col min="15868" max="15868" width="20.42578125" style="64" bestFit="1" customWidth="1"/>
    <col min="15869" max="15869" width="41.42578125" style="64" customWidth="1"/>
    <col min="15870" max="15870" width="15.28515625" style="64" bestFit="1" customWidth="1"/>
    <col min="15871" max="15871" width="16.7109375" style="64" bestFit="1" customWidth="1"/>
    <col min="15872" max="15872" width="11.28515625" style="64" bestFit="1" customWidth="1"/>
    <col min="15873" max="15873" width="14" style="64" bestFit="1" customWidth="1"/>
    <col min="15874" max="15874" width="11.85546875" style="64" bestFit="1" customWidth="1"/>
    <col min="15875" max="15875" width="14.85546875" style="64" bestFit="1" customWidth="1"/>
    <col min="15876" max="15876" width="9.7109375" style="64" customWidth="1"/>
    <col min="15877" max="15877" width="4.85546875" style="64" customWidth="1"/>
    <col min="15878" max="16122" width="9.140625" style="64"/>
    <col min="16123" max="16123" width="5.42578125" style="64" bestFit="1" customWidth="1"/>
    <col min="16124" max="16124" width="20.42578125" style="64" bestFit="1" customWidth="1"/>
    <col min="16125" max="16125" width="41.42578125" style="64" customWidth="1"/>
    <col min="16126" max="16126" width="15.28515625" style="64" bestFit="1" customWidth="1"/>
    <col min="16127" max="16127" width="16.7109375" style="64" bestFit="1" customWidth="1"/>
    <col min="16128" max="16128" width="11.28515625" style="64" bestFit="1" customWidth="1"/>
    <col min="16129" max="16129" width="14" style="64" bestFit="1" customWidth="1"/>
    <col min="16130" max="16130" width="11.85546875" style="64" bestFit="1" customWidth="1"/>
    <col min="16131" max="16131" width="14.85546875" style="64" bestFit="1" customWidth="1"/>
    <col min="16132" max="16132" width="9.7109375" style="64" customWidth="1"/>
    <col min="16133" max="16133" width="4.85546875" style="64" customWidth="1"/>
    <col min="16134" max="16384" width="9.140625" style="64"/>
  </cols>
  <sheetData>
    <row r="1" spans="1:11" x14ac:dyDescent="0.25">
      <c r="A1" s="258" t="s">
        <v>0</v>
      </c>
      <c r="B1" s="258"/>
      <c r="C1" s="258"/>
      <c r="D1" s="258"/>
      <c r="E1" s="258"/>
      <c r="F1" s="258"/>
      <c r="G1" s="258"/>
      <c r="H1" s="258"/>
    </row>
    <row r="2" spans="1:11" x14ac:dyDescent="0.25">
      <c r="A2" s="259" t="s">
        <v>823</v>
      </c>
      <c r="B2" s="259"/>
      <c r="C2" s="259"/>
      <c r="D2" s="259"/>
      <c r="E2" s="259"/>
      <c r="F2" s="259"/>
      <c r="G2" s="259"/>
      <c r="H2" s="259"/>
    </row>
    <row r="3" spans="1:11" ht="15" customHeight="1" x14ac:dyDescent="0.25">
      <c r="A3" s="260" t="s">
        <v>989</v>
      </c>
      <c r="B3" s="260"/>
      <c r="C3" s="260"/>
      <c r="D3" s="260"/>
      <c r="E3" s="260"/>
      <c r="F3" s="260"/>
      <c r="G3" s="260"/>
      <c r="H3" s="260"/>
    </row>
    <row r="4" spans="1:11" ht="30" x14ac:dyDescent="0.25">
      <c r="A4" s="65" t="s">
        <v>824</v>
      </c>
      <c r="B4" s="65" t="s">
        <v>825</v>
      </c>
      <c r="C4" s="65" t="s">
        <v>826</v>
      </c>
      <c r="D4" s="65" t="s">
        <v>827</v>
      </c>
      <c r="E4" s="65" t="s">
        <v>6</v>
      </c>
      <c r="F4" s="65" t="s">
        <v>7</v>
      </c>
      <c r="G4" s="65" t="s">
        <v>8</v>
      </c>
      <c r="H4" s="66" t="s">
        <v>828</v>
      </c>
    </row>
    <row r="5" spans="1:11" ht="26.25" x14ac:dyDescent="0.25">
      <c r="A5" s="67"/>
      <c r="B5" s="67"/>
      <c r="C5" s="68" t="s">
        <v>829</v>
      </c>
      <c r="D5" s="67"/>
      <c r="E5" s="67"/>
      <c r="F5" s="69"/>
      <c r="G5" s="69"/>
      <c r="H5" s="70"/>
    </row>
    <row r="6" spans="1:11" ht="26.25" x14ac:dyDescent="0.25">
      <c r="A6" s="67">
        <v>1</v>
      </c>
      <c r="B6" s="67" t="s">
        <v>830</v>
      </c>
      <c r="C6" s="71" t="s">
        <v>831</v>
      </c>
      <c r="D6" s="67" t="s">
        <v>832</v>
      </c>
      <c r="E6" s="72">
        <v>8192329.7149999999</v>
      </c>
      <c r="F6" s="73">
        <v>8074.5983573000003</v>
      </c>
      <c r="G6" s="74">
        <f>F6/$F$18*100</f>
        <v>94.788967478336943</v>
      </c>
      <c r="H6" s="70"/>
      <c r="I6" s="75"/>
      <c r="K6" s="76"/>
    </row>
    <row r="7" spans="1:11" x14ac:dyDescent="0.25">
      <c r="A7" s="77"/>
      <c r="B7" s="70"/>
      <c r="C7" s="70"/>
      <c r="D7" s="70"/>
      <c r="E7" s="70"/>
      <c r="F7" s="70"/>
      <c r="G7" s="70"/>
      <c r="H7" s="78"/>
    </row>
    <row r="8" spans="1:11" ht="25.5" x14ac:dyDescent="0.25">
      <c r="A8" s="79"/>
      <c r="B8" s="79"/>
      <c r="C8" s="80" t="s">
        <v>833</v>
      </c>
      <c r="D8" s="80"/>
      <c r="E8" s="81"/>
      <c r="F8" s="82">
        <v>8074.5983573000003</v>
      </c>
      <c r="G8" s="83">
        <v>94.788967478336943</v>
      </c>
      <c r="H8" s="84"/>
    </row>
    <row r="9" spans="1:11" x14ac:dyDescent="0.25">
      <c r="A9" s="79"/>
      <c r="B9" s="79"/>
      <c r="C9" s="79"/>
      <c r="D9" s="79"/>
      <c r="E9" s="79"/>
      <c r="F9" s="85"/>
      <c r="G9" s="79"/>
      <c r="H9" s="70"/>
    </row>
    <row r="10" spans="1:11" x14ac:dyDescent="0.25">
      <c r="A10" s="67"/>
      <c r="B10" s="67"/>
      <c r="C10" s="86" t="s">
        <v>834</v>
      </c>
      <c r="D10" s="86"/>
      <c r="E10" s="86"/>
      <c r="F10" s="87"/>
      <c r="G10" s="79"/>
      <c r="H10" s="70"/>
    </row>
    <row r="11" spans="1:11" x14ac:dyDescent="0.25">
      <c r="A11" s="79"/>
      <c r="B11" s="79"/>
      <c r="C11" s="88" t="s">
        <v>127</v>
      </c>
      <c r="D11" s="86"/>
      <c r="E11" s="86"/>
      <c r="F11" s="89">
        <v>97.602898089999997</v>
      </c>
      <c r="G11" s="74">
        <f>F11/$F$18*100</f>
        <v>1.1457756192269655</v>
      </c>
      <c r="H11" s="90">
        <v>3.22</v>
      </c>
    </row>
    <row r="12" spans="1:11" x14ac:dyDescent="0.25">
      <c r="A12" s="79"/>
      <c r="B12" s="79"/>
      <c r="C12" s="88" t="s">
        <v>128</v>
      </c>
      <c r="D12" s="86"/>
      <c r="E12" s="86"/>
      <c r="F12" s="89">
        <v>345.38064809100001</v>
      </c>
      <c r="G12" s="74">
        <f>F12/$F$18*100</f>
        <v>4.0544772099960928</v>
      </c>
      <c r="H12" s="90">
        <v>3.34</v>
      </c>
    </row>
    <row r="13" spans="1:11" x14ac:dyDescent="0.25">
      <c r="A13" s="79"/>
      <c r="B13" s="79"/>
      <c r="C13" s="88"/>
      <c r="D13" s="86"/>
      <c r="E13" s="86"/>
      <c r="F13" s="89"/>
      <c r="G13" s="74"/>
      <c r="H13" s="70"/>
    </row>
    <row r="14" spans="1:11" x14ac:dyDescent="0.25">
      <c r="A14" s="79"/>
      <c r="B14" s="79"/>
      <c r="C14" s="91" t="s">
        <v>129</v>
      </c>
      <c r="D14" s="79"/>
      <c r="E14" s="79"/>
      <c r="F14" s="92">
        <v>442.98354618100001</v>
      </c>
      <c r="G14" s="83">
        <v>5.2002528292230581</v>
      </c>
      <c r="H14" s="70"/>
    </row>
    <row r="15" spans="1:11" x14ac:dyDescent="0.25">
      <c r="A15" s="79"/>
      <c r="B15" s="79"/>
      <c r="C15" s="79"/>
      <c r="D15" s="79"/>
      <c r="E15" s="79"/>
      <c r="F15" s="85"/>
      <c r="G15" s="79"/>
      <c r="H15" s="70"/>
    </row>
    <row r="16" spans="1:11" x14ac:dyDescent="0.25">
      <c r="A16" s="79"/>
      <c r="B16" s="79"/>
      <c r="C16" s="88" t="s">
        <v>835</v>
      </c>
      <c r="D16" s="86"/>
      <c r="E16" s="86"/>
      <c r="F16" s="89">
        <v>0.91826811899863969</v>
      </c>
      <c r="G16" s="74">
        <v>1.0779692439991636E-2</v>
      </c>
      <c r="H16" s="93"/>
    </row>
    <row r="17" spans="1:9" x14ac:dyDescent="0.25">
      <c r="A17" s="79"/>
      <c r="B17" s="79"/>
      <c r="C17" s="79"/>
      <c r="D17" s="79"/>
      <c r="E17" s="79"/>
      <c r="F17" s="85"/>
      <c r="G17" s="79"/>
      <c r="H17" s="70"/>
    </row>
    <row r="18" spans="1:9" x14ac:dyDescent="0.25">
      <c r="A18" s="79"/>
      <c r="B18" s="79"/>
      <c r="C18" s="91" t="s">
        <v>136</v>
      </c>
      <c r="D18" s="79"/>
      <c r="E18" s="79"/>
      <c r="F18" s="92">
        <v>8518.5001715999988</v>
      </c>
      <c r="G18" s="94">
        <v>100</v>
      </c>
      <c r="H18" s="95"/>
      <c r="I18" s="75"/>
    </row>
    <row r="19" spans="1:9" x14ac:dyDescent="0.25">
      <c r="F19" s="96"/>
      <c r="H19" s="97"/>
    </row>
    <row r="20" spans="1:9" x14ac:dyDescent="0.25">
      <c r="B20" s="98" t="s">
        <v>138</v>
      </c>
      <c r="C20" s="99"/>
      <c r="D20" s="99"/>
      <c r="E20" s="99"/>
      <c r="F20" s="100"/>
      <c r="G20" s="99"/>
    </row>
    <row r="21" spans="1:9" x14ac:dyDescent="0.25">
      <c r="B21" s="99" t="s">
        <v>836</v>
      </c>
      <c r="C21" s="99"/>
      <c r="D21" s="99"/>
      <c r="E21" s="99"/>
      <c r="F21" s="101"/>
      <c r="G21" s="101"/>
    </row>
    <row r="22" spans="1:9" x14ac:dyDescent="0.25">
      <c r="B22" s="256" t="s">
        <v>837</v>
      </c>
      <c r="C22" s="256"/>
      <c r="D22" s="99"/>
      <c r="E22" s="99"/>
      <c r="F22" s="102"/>
      <c r="G22" s="102"/>
    </row>
    <row r="23" spans="1:9" x14ac:dyDescent="0.25">
      <c r="B23" s="256" t="s">
        <v>142</v>
      </c>
      <c r="C23" s="256"/>
      <c r="D23" s="103"/>
      <c r="E23" s="103"/>
      <c r="F23" s="99" t="s">
        <v>150</v>
      </c>
      <c r="G23" s="99"/>
    </row>
    <row r="24" spans="1:9" x14ac:dyDescent="0.25">
      <c r="B24" s="104"/>
      <c r="C24" s="104"/>
      <c r="D24" s="103"/>
      <c r="E24" s="103"/>
      <c r="F24" s="99"/>
      <c r="G24" s="99"/>
    </row>
    <row r="25" spans="1:9" x14ac:dyDescent="0.25">
      <c r="B25" s="105"/>
      <c r="C25" s="106" t="s">
        <v>143</v>
      </c>
      <c r="D25" s="106" t="s">
        <v>144</v>
      </c>
      <c r="E25" s="107"/>
      <c r="F25" s="107"/>
      <c r="G25" s="99"/>
    </row>
    <row r="26" spans="1:9" x14ac:dyDescent="0.25">
      <c r="B26" s="108" t="s">
        <v>838</v>
      </c>
      <c r="C26" s="109">
        <v>44377</v>
      </c>
      <c r="D26" s="109">
        <v>44408</v>
      </c>
      <c r="E26" s="110"/>
      <c r="F26" s="110"/>
      <c r="G26" s="111"/>
    </row>
    <row r="27" spans="1:9" x14ac:dyDescent="0.25">
      <c r="B27" s="112" t="s">
        <v>148</v>
      </c>
      <c r="C27" s="113">
        <v>26.396100000000001</v>
      </c>
      <c r="D27" s="113">
        <v>26.712800000000001</v>
      </c>
      <c r="E27" s="114"/>
      <c r="F27" s="111"/>
      <c r="G27" s="111"/>
    </row>
    <row r="28" spans="1:9" x14ac:dyDescent="0.25">
      <c r="B28" s="115" t="s">
        <v>839</v>
      </c>
      <c r="C28" s="113">
        <v>23.483000000000001</v>
      </c>
      <c r="D28" s="113">
        <v>23.764399999999998</v>
      </c>
      <c r="E28" s="114"/>
      <c r="F28" s="111"/>
      <c r="G28" s="111"/>
    </row>
    <row r="29" spans="1:9" x14ac:dyDescent="0.25">
      <c r="B29" s="112" t="s">
        <v>149</v>
      </c>
      <c r="C29" s="113">
        <v>25.1554</v>
      </c>
      <c r="D29" s="113">
        <v>25.4359</v>
      </c>
      <c r="E29" s="114"/>
      <c r="F29" s="111"/>
      <c r="G29" s="111"/>
    </row>
    <row r="30" spans="1:9" x14ac:dyDescent="0.25">
      <c r="B30" s="115" t="s">
        <v>840</v>
      </c>
      <c r="C30" s="113">
        <v>21.557099999999998</v>
      </c>
      <c r="D30" s="113">
        <v>21.797499999999999</v>
      </c>
      <c r="E30" s="114"/>
      <c r="F30" s="111"/>
      <c r="G30" s="111"/>
    </row>
    <row r="31" spans="1:9" ht="15" customHeight="1" x14ac:dyDescent="0.25">
      <c r="B31" s="116" t="s">
        <v>841</v>
      </c>
      <c r="C31" s="117"/>
      <c r="D31" s="117"/>
      <c r="E31" s="117"/>
      <c r="F31" s="117"/>
      <c r="G31" s="99"/>
    </row>
    <row r="32" spans="1:9" ht="15" customHeight="1" x14ac:dyDescent="0.25">
      <c r="B32" s="116"/>
      <c r="C32" s="117"/>
      <c r="D32" s="117"/>
      <c r="E32" s="117"/>
      <c r="F32" s="117"/>
      <c r="G32" s="99"/>
    </row>
    <row r="33" spans="2:7" x14ac:dyDescent="0.25">
      <c r="B33" s="261" t="s">
        <v>842</v>
      </c>
      <c r="C33" s="261"/>
      <c r="D33" s="261"/>
      <c r="E33" s="118"/>
      <c r="F33" s="118"/>
      <c r="G33" s="111"/>
    </row>
    <row r="34" spans="2:7" x14ac:dyDescent="0.25">
      <c r="B34" s="256" t="s">
        <v>843</v>
      </c>
      <c r="C34" s="256"/>
      <c r="D34" s="256"/>
      <c r="E34" s="99"/>
      <c r="F34" s="99"/>
      <c r="G34" s="99"/>
    </row>
    <row r="35" spans="2:7" ht="15" customHeight="1" x14ac:dyDescent="0.25">
      <c r="B35" s="119" t="s">
        <v>844</v>
      </c>
      <c r="C35" s="119"/>
      <c r="D35" s="119"/>
      <c r="E35" s="120"/>
      <c r="F35" s="120"/>
      <c r="G35" s="99"/>
    </row>
    <row r="36" spans="2:7" x14ac:dyDescent="0.25">
      <c r="B36" s="257" t="s">
        <v>845</v>
      </c>
      <c r="C36" s="257"/>
      <c r="D36" s="257"/>
      <c r="E36" s="111"/>
      <c r="F36" s="111"/>
      <c r="G36" s="111"/>
    </row>
  </sheetData>
  <mergeCells count="8">
    <mergeCell ref="B34:D34"/>
    <mergeCell ref="B36:D36"/>
    <mergeCell ref="A1:H1"/>
    <mergeCell ref="A2:H2"/>
    <mergeCell ref="A3:H3"/>
    <mergeCell ref="B22:C22"/>
    <mergeCell ref="B23:C23"/>
    <mergeCell ref="B33:D33"/>
  </mergeCells>
  <pageMargins left="0.7" right="0.7" top="0.75" bottom="0.75" header="0.3" footer="0.3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7FD8-14F6-4E62-AAF6-4633DF64E537}">
  <dimension ref="B1:L209"/>
  <sheetViews>
    <sheetView workbookViewId="0"/>
  </sheetViews>
  <sheetFormatPr defaultRowHeight="12.75" x14ac:dyDescent="0.2"/>
  <cols>
    <col min="1" max="1" width="6" style="289" customWidth="1"/>
    <col min="2" max="2" width="41.140625" style="289" customWidth="1"/>
    <col min="3" max="3" width="44.85546875" style="289" bestFit="1" customWidth="1"/>
    <col min="4" max="4" width="18.7109375" style="289" customWidth="1"/>
    <col min="5" max="5" width="21.28515625" style="289" customWidth="1"/>
    <col min="6" max="6" width="16.5703125" style="289" customWidth="1"/>
    <col min="7" max="7" width="19" style="289" customWidth="1"/>
    <col min="8" max="8" width="17.5703125" style="289" customWidth="1"/>
    <col min="9" max="9" width="15.5703125" style="289" bestFit="1" customWidth="1"/>
    <col min="10" max="10" width="13.5703125" style="289" customWidth="1"/>
    <col min="11" max="11" width="20.5703125" style="289" customWidth="1"/>
    <col min="12" max="12" width="12.42578125" style="289" bestFit="1" customWidth="1"/>
    <col min="13" max="256" width="9.140625" style="289"/>
    <col min="257" max="257" width="23" style="289" customWidth="1"/>
    <col min="258" max="258" width="41.140625" style="289" customWidth="1"/>
    <col min="259" max="259" width="44.85546875" style="289" bestFit="1" customWidth="1"/>
    <col min="260" max="260" width="18.7109375" style="289" customWidth="1"/>
    <col min="261" max="261" width="21.28515625" style="289" customWidth="1"/>
    <col min="262" max="262" width="16.5703125" style="289" customWidth="1"/>
    <col min="263" max="263" width="19" style="289" customWidth="1"/>
    <col min="264" max="264" width="17.5703125" style="289" customWidth="1"/>
    <col min="265" max="265" width="15.5703125" style="289" bestFit="1" customWidth="1"/>
    <col min="266" max="266" width="13.5703125" style="289" customWidth="1"/>
    <col min="267" max="267" width="20.5703125" style="289" customWidth="1"/>
    <col min="268" max="268" width="12.42578125" style="289" bestFit="1" customWidth="1"/>
    <col min="269" max="512" width="9.140625" style="289"/>
    <col min="513" max="513" width="23" style="289" customWidth="1"/>
    <col min="514" max="514" width="41.140625" style="289" customWidth="1"/>
    <col min="515" max="515" width="44.85546875" style="289" bestFit="1" customWidth="1"/>
    <col min="516" max="516" width="18.7109375" style="289" customWidth="1"/>
    <col min="517" max="517" width="21.28515625" style="289" customWidth="1"/>
    <col min="518" max="518" width="16.5703125" style="289" customWidth="1"/>
    <col min="519" max="519" width="19" style="289" customWidth="1"/>
    <col min="520" max="520" width="17.5703125" style="289" customWidth="1"/>
    <col min="521" max="521" width="15.5703125" style="289" bestFit="1" customWidth="1"/>
    <col min="522" max="522" width="13.5703125" style="289" customWidth="1"/>
    <col min="523" max="523" width="20.5703125" style="289" customWidth="1"/>
    <col min="524" max="524" width="12.42578125" style="289" bestFit="1" customWidth="1"/>
    <col min="525" max="768" width="9.140625" style="289"/>
    <col min="769" max="769" width="23" style="289" customWidth="1"/>
    <col min="770" max="770" width="41.140625" style="289" customWidth="1"/>
    <col min="771" max="771" width="44.85546875" style="289" bestFit="1" customWidth="1"/>
    <col min="772" max="772" width="18.7109375" style="289" customWidth="1"/>
    <col min="773" max="773" width="21.28515625" style="289" customWidth="1"/>
    <col min="774" max="774" width="16.5703125" style="289" customWidth="1"/>
    <col min="775" max="775" width="19" style="289" customWidth="1"/>
    <col min="776" max="776" width="17.5703125" style="289" customWidth="1"/>
    <col min="777" max="777" width="15.5703125" style="289" bestFit="1" customWidth="1"/>
    <col min="778" max="778" width="13.5703125" style="289" customWidth="1"/>
    <col min="779" max="779" width="20.5703125" style="289" customWidth="1"/>
    <col min="780" max="780" width="12.42578125" style="289" bestFit="1" customWidth="1"/>
    <col min="781" max="1024" width="9.140625" style="289"/>
    <col min="1025" max="1025" width="23" style="289" customWidth="1"/>
    <col min="1026" max="1026" width="41.140625" style="289" customWidth="1"/>
    <col min="1027" max="1027" width="44.85546875" style="289" bestFit="1" customWidth="1"/>
    <col min="1028" max="1028" width="18.7109375" style="289" customWidth="1"/>
    <col min="1029" max="1029" width="21.28515625" style="289" customWidth="1"/>
    <col min="1030" max="1030" width="16.5703125" style="289" customWidth="1"/>
    <col min="1031" max="1031" width="19" style="289" customWidth="1"/>
    <col min="1032" max="1032" width="17.5703125" style="289" customWidth="1"/>
    <col min="1033" max="1033" width="15.5703125" style="289" bestFit="1" customWidth="1"/>
    <col min="1034" max="1034" width="13.5703125" style="289" customWidth="1"/>
    <col min="1035" max="1035" width="20.5703125" style="289" customWidth="1"/>
    <col min="1036" max="1036" width="12.42578125" style="289" bestFit="1" customWidth="1"/>
    <col min="1037" max="1280" width="9.140625" style="289"/>
    <col min="1281" max="1281" width="23" style="289" customWidth="1"/>
    <col min="1282" max="1282" width="41.140625" style="289" customWidth="1"/>
    <col min="1283" max="1283" width="44.85546875" style="289" bestFit="1" customWidth="1"/>
    <col min="1284" max="1284" width="18.7109375" style="289" customWidth="1"/>
    <col min="1285" max="1285" width="21.28515625" style="289" customWidth="1"/>
    <col min="1286" max="1286" width="16.5703125" style="289" customWidth="1"/>
    <col min="1287" max="1287" width="19" style="289" customWidth="1"/>
    <col min="1288" max="1288" width="17.5703125" style="289" customWidth="1"/>
    <col min="1289" max="1289" width="15.5703125" style="289" bestFit="1" customWidth="1"/>
    <col min="1290" max="1290" width="13.5703125" style="289" customWidth="1"/>
    <col min="1291" max="1291" width="20.5703125" style="289" customWidth="1"/>
    <col min="1292" max="1292" width="12.42578125" style="289" bestFit="1" customWidth="1"/>
    <col min="1293" max="1536" width="9.140625" style="289"/>
    <col min="1537" max="1537" width="23" style="289" customWidth="1"/>
    <col min="1538" max="1538" width="41.140625" style="289" customWidth="1"/>
    <col min="1539" max="1539" width="44.85546875" style="289" bestFit="1" customWidth="1"/>
    <col min="1540" max="1540" width="18.7109375" style="289" customWidth="1"/>
    <col min="1541" max="1541" width="21.28515625" style="289" customWidth="1"/>
    <col min="1542" max="1542" width="16.5703125" style="289" customWidth="1"/>
    <col min="1543" max="1543" width="19" style="289" customWidth="1"/>
    <col min="1544" max="1544" width="17.5703125" style="289" customWidth="1"/>
    <col min="1545" max="1545" width="15.5703125" style="289" bestFit="1" customWidth="1"/>
    <col min="1546" max="1546" width="13.5703125" style="289" customWidth="1"/>
    <col min="1547" max="1547" width="20.5703125" style="289" customWidth="1"/>
    <col min="1548" max="1548" width="12.42578125" style="289" bestFit="1" customWidth="1"/>
    <col min="1549" max="1792" width="9.140625" style="289"/>
    <col min="1793" max="1793" width="23" style="289" customWidth="1"/>
    <col min="1794" max="1794" width="41.140625" style="289" customWidth="1"/>
    <col min="1795" max="1795" width="44.85546875" style="289" bestFit="1" customWidth="1"/>
    <col min="1796" max="1796" width="18.7109375" style="289" customWidth="1"/>
    <col min="1797" max="1797" width="21.28515625" style="289" customWidth="1"/>
    <col min="1798" max="1798" width="16.5703125" style="289" customWidth="1"/>
    <col min="1799" max="1799" width="19" style="289" customWidth="1"/>
    <col min="1800" max="1800" width="17.5703125" style="289" customWidth="1"/>
    <col min="1801" max="1801" width="15.5703125" style="289" bestFit="1" customWidth="1"/>
    <col min="1802" max="1802" width="13.5703125" style="289" customWidth="1"/>
    <col min="1803" max="1803" width="20.5703125" style="289" customWidth="1"/>
    <col min="1804" max="1804" width="12.42578125" style="289" bestFit="1" customWidth="1"/>
    <col min="1805" max="2048" width="9.140625" style="289"/>
    <col min="2049" max="2049" width="23" style="289" customWidth="1"/>
    <col min="2050" max="2050" width="41.140625" style="289" customWidth="1"/>
    <col min="2051" max="2051" width="44.85546875" style="289" bestFit="1" customWidth="1"/>
    <col min="2052" max="2052" width="18.7109375" style="289" customWidth="1"/>
    <col min="2053" max="2053" width="21.28515625" style="289" customWidth="1"/>
    <col min="2054" max="2054" width="16.5703125" style="289" customWidth="1"/>
    <col min="2055" max="2055" width="19" style="289" customWidth="1"/>
    <col min="2056" max="2056" width="17.5703125" style="289" customWidth="1"/>
    <col min="2057" max="2057" width="15.5703125" style="289" bestFit="1" customWidth="1"/>
    <col min="2058" max="2058" width="13.5703125" style="289" customWidth="1"/>
    <col min="2059" max="2059" width="20.5703125" style="289" customWidth="1"/>
    <col min="2060" max="2060" width="12.42578125" style="289" bestFit="1" customWidth="1"/>
    <col min="2061" max="2304" width="9.140625" style="289"/>
    <col min="2305" max="2305" width="23" style="289" customWidth="1"/>
    <col min="2306" max="2306" width="41.140625" style="289" customWidth="1"/>
    <col min="2307" max="2307" width="44.85546875" style="289" bestFit="1" customWidth="1"/>
    <col min="2308" max="2308" width="18.7109375" style="289" customWidth="1"/>
    <col min="2309" max="2309" width="21.28515625" style="289" customWidth="1"/>
    <col min="2310" max="2310" width="16.5703125" style="289" customWidth="1"/>
    <col min="2311" max="2311" width="19" style="289" customWidth="1"/>
    <col min="2312" max="2312" width="17.5703125" style="289" customWidth="1"/>
    <col min="2313" max="2313" width="15.5703125" style="289" bestFit="1" customWidth="1"/>
    <col min="2314" max="2314" width="13.5703125" style="289" customWidth="1"/>
    <col min="2315" max="2315" width="20.5703125" style="289" customWidth="1"/>
    <col min="2316" max="2316" width="12.42578125" style="289" bestFit="1" customWidth="1"/>
    <col min="2317" max="2560" width="9.140625" style="289"/>
    <col min="2561" max="2561" width="23" style="289" customWidth="1"/>
    <col min="2562" max="2562" width="41.140625" style="289" customWidth="1"/>
    <col min="2563" max="2563" width="44.85546875" style="289" bestFit="1" customWidth="1"/>
    <col min="2564" max="2564" width="18.7109375" style="289" customWidth="1"/>
    <col min="2565" max="2565" width="21.28515625" style="289" customWidth="1"/>
    <col min="2566" max="2566" width="16.5703125" style="289" customWidth="1"/>
    <col min="2567" max="2567" width="19" style="289" customWidth="1"/>
    <col min="2568" max="2568" width="17.5703125" style="289" customWidth="1"/>
    <col min="2569" max="2569" width="15.5703125" style="289" bestFit="1" customWidth="1"/>
    <col min="2570" max="2570" width="13.5703125" style="289" customWidth="1"/>
    <col min="2571" max="2571" width="20.5703125" style="289" customWidth="1"/>
    <col min="2572" max="2572" width="12.42578125" style="289" bestFit="1" customWidth="1"/>
    <col min="2573" max="2816" width="9.140625" style="289"/>
    <col min="2817" max="2817" width="23" style="289" customWidth="1"/>
    <col min="2818" max="2818" width="41.140625" style="289" customWidth="1"/>
    <col min="2819" max="2819" width="44.85546875" style="289" bestFit="1" customWidth="1"/>
    <col min="2820" max="2820" width="18.7109375" style="289" customWidth="1"/>
    <col min="2821" max="2821" width="21.28515625" style="289" customWidth="1"/>
    <col min="2822" max="2822" width="16.5703125" style="289" customWidth="1"/>
    <col min="2823" max="2823" width="19" style="289" customWidth="1"/>
    <col min="2824" max="2824" width="17.5703125" style="289" customWidth="1"/>
    <col min="2825" max="2825" width="15.5703125" style="289" bestFit="1" customWidth="1"/>
    <col min="2826" max="2826" width="13.5703125" style="289" customWidth="1"/>
    <col min="2827" max="2827" width="20.5703125" style="289" customWidth="1"/>
    <col min="2828" max="2828" width="12.42578125" style="289" bestFit="1" customWidth="1"/>
    <col min="2829" max="3072" width="9.140625" style="289"/>
    <col min="3073" max="3073" width="23" style="289" customWidth="1"/>
    <col min="3074" max="3074" width="41.140625" style="289" customWidth="1"/>
    <col min="3075" max="3075" width="44.85546875" style="289" bestFit="1" customWidth="1"/>
    <col min="3076" max="3076" width="18.7109375" style="289" customWidth="1"/>
    <col min="3077" max="3077" width="21.28515625" style="289" customWidth="1"/>
    <col min="3078" max="3078" width="16.5703125" style="289" customWidth="1"/>
    <col min="3079" max="3079" width="19" style="289" customWidth="1"/>
    <col min="3080" max="3080" width="17.5703125" style="289" customWidth="1"/>
    <col min="3081" max="3081" width="15.5703125" style="289" bestFit="1" customWidth="1"/>
    <col min="3082" max="3082" width="13.5703125" style="289" customWidth="1"/>
    <col min="3083" max="3083" width="20.5703125" style="289" customWidth="1"/>
    <col min="3084" max="3084" width="12.42578125" style="289" bestFit="1" customWidth="1"/>
    <col min="3085" max="3328" width="9.140625" style="289"/>
    <col min="3329" max="3329" width="23" style="289" customWidth="1"/>
    <col min="3330" max="3330" width="41.140625" style="289" customWidth="1"/>
    <col min="3331" max="3331" width="44.85546875" style="289" bestFit="1" customWidth="1"/>
    <col min="3332" max="3332" width="18.7109375" style="289" customWidth="1"/>
    <col min="3333" max="3333" width="21.28515625" style="289" customWidth="1"/>
    <col min="3334" max="3334" width="16.5703125" style="289" customWidth="1"/>
    <col min="3335" max="3335" width="19" style="289" customWidth="1"/>
    <col min="3336" max="3336" width="17.5703125" style="289" customWidth="1"/>
    <col min="3337" max="3337" width="15.5703125" style="289" bestFit="1" customWidth="1"/>
    <col min="3338" max="3338" width="13.5703125" style="289" customWidth="1"/>
    <col min="3339" max="3339" width="20.5703125" style="289" customWidth="1"/>
    <col min="3340" max="3340" width="12.42578125" style="289" bestFit="1" customWidth="1"/>
    <col min="3341" max="3584" width="9.140625" style="289"/>
    <col min="3585" max="3585" width="23" style="289" customWidth="1"/>
    <col min="3586" max="3586" width="41.140625" style="289" customWidth="1"/>
    <col min="3587" max="3587" width="44.85546875" style="289" bestFit="1" customWidth="1"/>
    <col min="3588" max="3588" width="18.7109375" style="289" customWidth="1"/>
    <col min="3589" max="3589" width="21.28515625" style="289" customWidth="1"/>
    <col min="3590" max="3590" width="16.5703125" style="289" customWidth="1"/>
    <col min="3591" max="3591" width="19" style="289" customWidth="1"/>
    <col min="3592" max="3592" width="17.5703125" style="289" customWidth="1"/>
    <col min="3593" max="3593" width="15.5703125" style="289" bestFit="1" customWidth="1"/>
    <col min="3594" max="3594" width="13.5703125" style="289" customWidth="1"/>
    <col min="3595" max="3595" width="20.5703125" style="289" customWidth="1"/>
    <col min="3596" max="3596" width="12.42578125" style="289" bestFit="1" customWidth="1"/>
    <col min="3597" max="3840" width="9.140625" style="289"/>
    <col min="3841" max="3841" width="23" style="289" customWidth="1"/>
    <col min="3842" max="3842" width="41.140625" style="289" customWidth="1"/>
    <col min="3843" max="3843" width="44.85546875" style="289" bestFit="1" customWidth="1"/>
    <col min="3844" max="3844" width="18.7109375" style="289" customWidth="1"/>
    <col min="3845" max="3845" width="21.28515625" style="289" customWidth="1"/>
    <col min="3846" max="3846" width="16.5703125" style="289" customWidth="1"/>
    <col min="3847" max="3847" width="19" style="289" customWidth="1"/>
    <col min="3848" max="3848" width="17.5703125" style="289" customWidth="1"/>
    <col min="3849" max="3849" width="15.5703125" style="289" bestFit="1" customWidth="1"/>
    <col min="3850" max="3850" width="13.5703125" style="289" customWidth="1"/>
    <col min="3851" max="3851" width="20.5703125" style="289" customWidth="1"/>
    <col min="3852" max="3852" width="12.42578125" style="289" bestFit="1" customWidth="1"/>
    <col min="3853" max="4096" width="9.140625" style="289"/>
    <col min="4097" max="4097" width="23" style="289" customWidth="1"/>
    <col min="4098" max="4098" width="41.140625" style="289" customWidth="1"/>
    <col min="4099" max="4099" width="44.85546875" style="289" bestFit="1" customWidth="1"/>
    <col min="4100" max="4100" width="18.7109375" style="289" customWidth="1"/>
    <col min="4101" max="4101" width="21.28515625" style="289" customWidth="1"/>
    <col min="4102" max="4102" width="16.5703125" style="289" customWidth="1"/>
    <col min="4103" max="4103" width="19" style="289" customWidth="1"/>
    <col min="4104" max="4104" width="17.5703125" style="289" customWidth="1"/>
    <col min="4105" max="4105" width="15.5703125" style="289" bestFit="1" customWidth="1"/>
    <col min="4106" max="4106" width="13.5703125" style="289" customWidth="1"/>
    <col min="4107" max="4107" width="20.5703125" style="289" customWidth="1"/>
    <col min="4108" max="4108" width="12.42578125" style="289" bestFit="1" customWidth="1"/>
    <col min="4109" max="4352" width="9.140625" style="289"/>
    <col min="4353" max="4353" width="23" style="289" customWidth="1"/>
    <col min="4354" max="4354" width="41.140625" style="289" customWidth="1"/>
    <col min="4355" max="4355" width="44.85546875" style="289" bestFit="1" customWidth="1"/>
    <col min="4356" max="4356" width="18.7109375" style="289" customWidth="1"/>
    <col min="4357" max="4357" width="21.28515625" style="289" customWidth="1"/>
    <col min="4358" max="4358" width="16.5703125" style="289" customWidth="1"/>
    <col min="4359" max="4359" width="19" style="289" customWidth="1"/>
    <col min="4360" max="4360" width="17.5703125" style="289" customWidth="1"/>
    <col min="4361" max="4361" width="15.5703125" style="289" bestFit="1" customWidth="1"/>
    <col min="4362" max="4362" width="13.5703125" style="289" customWidth="1"/>
    <col min="4363" max="4363" width="20.5703125" style="289" customWidth="1"/>
    <col min="4364" max="4364" width="12.42578125" style="289" bestFit="1" customWidth="1"/>
    <col min="4365" max="4608" width="9.140625" style="289"/>
    <col min="4609" max="4609" width="23" style="289" customWidth="1"/>
    <col min="4610" max="4610" width="41.140625" style="289" customWidth="1"/>
    <col min="4611" max="4611" width="44.85546875" style="289" bestFit="1" customWidth="1"/>
    <col min="4612" max="4612" width="18.7109375" style="289" customWidth="1"/>
    <col min="4613" max="4613" width="21.28515625" style="289" customWidth="1"/>
    <col min="4614" max="4614" width="16.5703125" style="289" customWidth="1"/>
    <col min="4615" max="4615" width="19" style="289" customWidth="1"/>
    <col min="4616" max="4616" width="17.5703125" style="289" customWidth="1"/>
    <col min="4617" max="4617" width="15.5703125" style="289" bestFit="1" customWidth="1"/>
    <col min="4618" max="4618" width="13.5703125" style="289" customWidth="1"/>
    <col min="4619" max="4619" width="20.5703125" style="289" customWidth="1"/>
    <col min="4620" max="4620" width="12.42578125" style="289" bestFit="1" customWidth="1"/>
    <col min="4621" max="4864" width="9.140625" style="289"/>
    <col min="4865" max="4865" width="23" style="289" customWidth="1"/>
    <col min="4866" max="4866" width="41.140625" style="289" customWidth="1"/>
    <col min="4867" max="4867" width="44.85546875" style="289" bestFit="1" customWidth="1"/>
    <col min="4868" max="4868" width="18.7109375" style="289" customWidth="1"/>
    <col min="4869" max="4869" width="21.28515625" style="289" customWidth="1"/>
    <col min="4870" max="4870" width="16.5703125" style="289" customWidth="1"/>
    <col min="4871" max="4871" width="19" style="289" customWidth="1"/>
    <col min="4872" max="4872" width="17.5703125" style="289" customWidth="1"/>
    <col min="4873" max="4873" width="15.5703125" style="289" bestFit="1" customWidth="1"/>
    <col min="4874" max="4874" width="13.5703125" style="289" customWidth="1"/>
    <col min="4875" max="4875" width="20.5703125" style="289" customWidth="1"/>
    <col min="4876" max="4876" width="12.42578125" style="289" bestFit="1" customWidth="1"/>
    <col min="4877" max="5120" width="9.140625" style="289"/>
    <col min="5121" max="5121" width="23" style="289" customWidth="1"/>
    <col min="5122" max="5122" width="41.140625" style="289" customWidth="1"/>
    <col min="5123" max="5123" width="44.85546875" style="289" bestFit="1" customWidth="1"/>
    <col min="5124" max="5124" width="18.7109375" style="289" customWidth="1"/>
    <col min="5125" max="5125" width="21.28515625" style="289" customWidth="1"/>
    <col min="5126" max="5126" width="16.5703125" style="289" customWidth="1"/>
    <col min="5127" max="5127" width="19" style="289" customWidth="1"/>
    <col min="5128" max="5128" width="17.5703125" style="289" customWidth="1"/>
    <col min="5129" max="5129" width="15.5703125" style="289" bestFit="1" customWidth="1"/>
    <col min="5130" max="5130" width="13.5703125" style="289" customWidth="1"/>
    <col min="5131" max="5131" width="20.5703125" style="289" customWidth="1"/>
    <col min="5132" max="5132" width="12.42578125" style="289" bestFit="1" customWidth="1"/>
    <col min="5133" max="5376" width="9.140625" style="289"/>
    <col min="5377" max="5377" width="23" style="289" customWidth="1"/>
    <col min="5378" max="5378" width="41.140625" style="289" customWidth="1"/>
    <col min="5379" max="5379" width="44.85546875" style="289" bestFit="1" customWidth="1"/>
    <col min="5380" max="5380" width="18.7109375" style="289" customWidth="1"/>
    <col min="5381" max="5381" width="21.28515625" style="289" customWidth="1"/>
    <col min="5382" max="5382" width="16.5703125" style="289" customWidth="1"/>
    <col min="5383" max="5383" width="19" style="289" customWidth="1"/>
    <col min="5384" max="5384" width="17.5703125" style="289" customWidth="1"/>
    <col min="5385" max="5385" width="15.5703125" style="289" bestFit="1" customWidth="1"/>
    <col min="5386" max="5386" width="13.5703125" style="289" customWidth="1"/>
    <col min="5387" max="5387" width="20.5703125" style="289" customWidth="1"/>
    <col min="5388" max="5388" width="12.42578125" style="289" bestFit="1" customWidth="1"/>
    <col min="5389" max="5632" width="9.140625" style="289"/>
    <col min="5633" max="5633" width="23" style="289" customWidth="1"/>
    <col min="5634" max="5634" width="41.140625" style="289" customWidth="1"/>
    <col min="5635" max="5635" width="44.85546875" style="289" bestFit="1" customWidth="1"/>
    <col min="5636" max="5636" width="18.7109375" style="289" customWidth="1"/>
    <col min="5637" max="5637" width="21.28515625" style="289" customWidth="1"/>
    <col min="5638" max="5638" width="16.5703125" style="289" customWidth="1"/>
    <col min="5639" max="5639" width="19" style="289" customWidth="1"/>
    <col min="5640" max="5640" width="17.5703125" style="289" customWidth="1"/>
    <col min="5641" max="5641" width="15.5703125" style="289" bestFit="1" customWidth="1"/>
    <col min="5642" max="5642" width="13.5703125" style="289" customWidth="1"/>
    <col min="5643" max="5643" width="20.5703125" style="289" customWidth="1"/>
    <col min="5644" max="5644" width="12.42578125" style="289" bestFit="1" customWidth="1"/>
    <col min="5645" max="5888" width="9.140625" style="289"/>
    <col min="5889" max="5889" width="23" style="289" customWidth="1"/>
    <col min="5890" max="5890" width="41.140625" style="289" customWidth="1"/>
    <col min="5891" max="5891" width="44.85546875" style="289" bestFit="1" customWidth="1"/>
    <col min="5892" max="5892" width="18.7109375" style="289" customWidth="1"/>
    <col min="5893" max="5893" width="21.28515625" style="289" customWidth="1"/>
    <col min="5894" max="5894" width="16.5703125" style="289" customWidth="1"/>
    <col min="5895" max="5895" width="19" style="289" customWidth="1"/>
    <col min="5896" max="5896" width="17.5703125" style="289" customWidth="1"/>
    <col min="5897" max="5897" width="15.5703125" style="289" bestFit="1" customWidth="1"/>
    <col min="5898" max="5898" width="13.5703125" style="289" customWidth="1"/>
    <col min="5899" max="5899" width="20.5703125" style="289" customWidth="1"/>
    <col min="5900" max="5900" width="12.42578125" style="289" bestFit="1" customWidth="1"/>
    <col min="5901" max="6144" width="9.140625" style="289"/>
    <col min="6145" max="6145" width="23" style="289" customWidth="1"/>
    <col min="6146" max="6146" width="41.140625" style="289" customWidth="1"/>
    <col min="6147" max="6147" width="44.85546875" style="289" bestFit="1" customWidth="1"/>
    <col min="6148" max="6148" width="18.7109375" style="289" customWidth="1"/>
    <col min="6149" max="6149" width="21.28515625" style="289" customWidth="1"/>
    <col min="6150" max="6150" width="16.5703125" style="289" customWidth="1"/>
    <col min="6151" max="6151" width="19" style="289" customWidth="1"/>
    <col min="6152" max="6152" width="17.5703125" style="289" customWidth="1"/>
    <col min="6153" max="6153" width="15.5703125" style="289" bestFit="1" customWidth="1"/>
    <col min="6154" max="6154" width="13.5703125" style="289" customWidth="1"/>
    <col min="6155" max="6155" width="20.5703125" style="289" customWidth="1"/>
    <col min="6156" max="6156" width="12.42578125" style="289" bestFit="1" customWidth="1"/>
    <col min="6157" max="6400" width="9.140625" style="289"/>
    <col min="6401" max="6401" width="23" style="289" customWidth="1"/>
    <col min="6402" max="6402" width="41.140625" style="289" customWidth="1"/>
    <col min="6403" max="6403" width="44.85546875" style="289" bestFit="1" customWidth="1"/>
    <col min="6404" max="6404" width="18.7109375" style="289" customWidth="1"/>
    <col min="6405" max="6405" width="21.28515625" style="289" customWidth="1"/>
    <col min="6406" max="6406" width="16.5703125" style="289" customWidth="1"/>
    <col min="6407" max="6407" width="19" style="289" customWidth="1"/>
    <col min="6408" max="6408" width="17.5703125" style="289" customWidth="1"/>
    <col min="6409" max="6409" width="15.5703125" style="289" bestFit="1" customWidth="1"/>
    <col min="6410" max="6410" width="13.5703125" style="289" customWidth="1"/>
    <col min="6411" max="6411" width="20.5703125" style="289" customWidth="1"/>
    <col min="6412" max="6412" width="12.42578125" style="289" bestFit="1" customWidth="1"/>
    <col min="6413" max="6656" width="9.140625" style="289"/>
    <col min="6657" max="6657" width="23" style="289" customWidth="1"/>
    <col min="6658" max="6658" width="41.140625" style="289" customWidth="1"/>
    <col min="6659" max="6659" width="44.85546875" style="289" bestFit="1" customWidth="1"/>
    <col min="6660" max="6660" width="18.7109375" style="289" customWidth="1"/>
    <col min="6661" max="6661" width="21.28515625" style="289" customWidth="1"/>
    <col min="6662" max="6662" width="16.5703125" style="289" customWidth="1"/>
    <col min="6663" max="6663" width="19" style="289" customWidth="1"/>
    <col min="6664" max="6664" width="17.5703125" style="289" customWidth="1"/>
    <col min="6665" max="6665" width="15.5703125" style="289" bestFit="1" customWidth="1"/>
    <col min="6666" max="6666" width="13.5703125" style="289" customWidth="1"/>
    <col min="6667" max="6667" width="20.5703125" style="289" customWidth="1"/>
    <col min="6668" max="6668" width="12.42578125" style="289" bestFit="1" customWidth="1"/>
    <col min="6669" max="6912" width="9.140625" style="289"/>
    <col min="6913" max="6913" width="23" style="289" customWidth="1"/>
    <col min="6914" max="6914" width="41.140625" style="289" customWidth="1"/>
    <col min="6915" max="6915" width="44.85546875" style="289" bestFit="1" customWidth="1"/>
    <col min="6916" max="6916" width="18.7109375" style="289" customWidth="1"/>
    <col min="6917" max="6917" width="21.28515625" style="289" customWidth="1"/>
    <col min="6918" max="6918" width="16.5703125" style="289" customWidth="1"/>
    <col min="6919" max="6919" width="19" style="289" customWidth="1"/>
    <col min="6920" max="6920" width="17.5703125" style="289" customWidth="1"/>
    <col min="6921" max="6921" width="15.5703125" style="289" bestFit="1" customWidth="1"/>
    <col min="6922" max="6922" width="13.5703125" style="289" customWidth="1"/>
    <col min="6923" max="6923" width="20.5703125" style="289" customWidth="1"/>
    <col min="6924" max="6924" width="12.42578125" style="289" bestFit="1" customWidth="1"/>
    <col min="6925" max="7168" width="9.140625" style="289"/>
    <col min="7169" max="7169" width="23" style="289" customWidth="1"/>
    <col min="7170" max="7170" width="41.140625" style="289" customWidth="1"/>
    <col min="7171" max="7171" width="44.85546875" style="289" bestFit="1" customWidth="1"/>
    <col min="7172" max="7172" width="18.7109375" style="289" customWidth="1"/>
    <col min="7173" max="7173" width="21.28515625" style="289" customWidth="1"/>
    <col min="7174" max="7174" width="16.5703125" style="289" customWidth="1"/>
    <col min="7175" max="7175" width="19" style="289" customWidth="1"/>
    <col min="7176" max="7176" width="17.5703125" style="289" customWidth="1"/>
    <col min="7177" max="7177" width="15.5703125" style="289" bestFit="1" customWidth="1"/>
    <col min="7178" max="7178" width="13.5703125" style="289" customWidth="1"/>
    <col min="7179" max="7179" width="20.5703125" style="289" customWidth="1"/>
    <col min="7180" max="7180" width="12.42578125" style="289" bestFit="1" customWidth="1"/>
    <col min="7181" max="7424" width="9.140625" style="289"/>
    <col min="7425" max="7425" width="23" style="289" customWidth="1"/>
    <col min="7426" max="7426" width="41.140625" style="289" customWidth="1"/>
    <col min="7427" max="7427" width="44.85546875" style="289" bestFit="1" customWidth="1"/>
    <col min="7428" max="7428" width="18.7109375" style="289" customWidth="1"/>
    <col min="7429" max="7429" width="21.28515625" style="289" customWidth="1"/>
    <col min="7430" max="7430" width="16.5703125" style="289" customWidth="1"/>
    <col min="7431" max="7431" width="19" style="289" customWidth="1"/>
    <col min="7432" max="7432" width="17.5703125" style="289" customWidth="1"/>
    <col min="7433" max="7433" width="15.5703125" style="289" bestFit="1" customWidth="1"/>
    <col min="7434" max="7434" width="13.5703125" style="289" customWidth="1"/>
    <col min="7435" max="7435" width="20.5703125" style="289" customWidth="1"/>
    <col min="7436" max="7436" width="12.42578125" style="289" bestFit="1" customWidth="1"/>
    <col min="7437" max="7680" width="9.140625" style="289"/>
    <col min="7681" max="7681" width="23" style="289" customWidth="1"/>
    <col min="7682" max="7682" width="41.140625" style="289" customWidth="1"/>
    <col min="7683" max="7683" width="44.85546875" style="289" bestFit="1" customWidth="1"/>
    <col min="7684" max="7684" width="18.7109375" style="289" customWidth="1"/>
    <col min="7685" max="7685" width="21.28515625" style="289" customWidth="1"/>
    <col min="7686" max="7686" width="16.5703125" style="289" customWidth="1"/>
    <col min="7687" max="7687" width="19" style="289" customWidth="1"/>
    <col min="7688" max="7688" width="17.5703125" style="289" customWidth="1"/>
    <col min="7689" max="7689" width="15.5703125" style="289" bestFit="1" customWidth="1"/>
    <col min="7690" max="7690" width="13.5703125" style="289" customWidth="1"/>
    <col min="7691" max="7691" width="20.5703125" style="289" customWidth="1"/>
    <col min="7692" max="7692" width="12.42578125" style="289" bestFit="1" customWidth="1"/>
    <col min="7693" max="7936" width="9.140625" style="289"/>
    <col min="7937" max="7937" width="23" style="289" customWidth="1"/>
    <col min="7938" max="7938" width="41.140625" style="289" customWidth="1"/>
    <col min="7939" max="7939" width="44.85546875" style="289" bestFit="1" customWidth="1"/>
    <col min="7940" max="7940" width="18.7109375" style="289" customWidth="1"/>
    <col min="7941" max="7941" width="21.28515625" style="289" customWidth="1"/>
    <col min="7942" max="7942" width="16.5703125" style="289" customWidth="1"/>
    <col min="7943" max="7943" width="19" style="289" customWidth="1"/>
    <col min="7944" max="7944" width="17.5703125" style="289" customWidth="1"/>
    <col min="7945" max="7945" width="15.5703125" style="289" bestFit="1" customWidth="1"/>
    <col min="7946" max="7946" width="13.5703125" style="289" customWidth="1"/>
    <col min="7947" max="7947" width="20.5703125" style="289" customWidth="1"/>
    <col min="7948" max="7948" width="12.42578125" style="289" bestFit="1" customWidth="1"/>
    <col min="7949" max="8192" width="9.140625" style="289"/>
    <col min="8193" max="8193" width="23" style="289" customWidth="1"/>
    <col min="8194" max="8194" width="41.140625" style="289" customWidth="1"/>
    <col min="8195" max="8195" width="44.85546875" style="289" bestFit="1" customWidth="1"/>
    <col min="8196" max="8196" width="18.7109375" style="289" customWidth="1"/>
    <col min="8197" max="8197" width="21.28515625" style="289" customWidth="1"/>
    <col min="8198" max="8198" width="16.5703125" style="289" customWidth="1"/>
    <col min="8199" max="8199" width="19" style="289" customWidth="1"/>
    <col min="8200" max="8200" width="17.5703125" style="289" customWidth="1"/>
    <col min="8201" max="8201" width="15.5703125" style="289" bestFit="1" customWidth="1"/>
    <col min="8202" max="8202" width="13.5703125" style="289" customWidth="1"/>
    <col min="8203" max="8203" width="20.5703125" style="289" customWidth="1"/>
    <col min="8204" max="8204" width="12.42578125" style="289" bestFit="1" customWidth="1"/>
    <col min="8205" max="8448" width="9.140625" style="289"/>
    <col min="8449" max="8449" width="23" style="289" customWidth="1"/>
    <col min="8450" max="8450" width="41.140625" style="289" customWidth="1"/>
    <col min="8451" max="8451" width="44.85546875" style="289" bestFit="1" customWidth="1"/>
    <col min="8452" max="8452" width="18.7109375" style="289" customWidth="1"/>
    <col min="8453" max="8453" width="21.28515625" style="289" customWidth="1"/>
    <col min="8454" max="8454" width="16.5703125" style="289" customWidth="1"/>
    <col min="8455" max="8455" width="19" style="289" customWidth="1"/>
    <col min="8456" max="8456" width="17.5703125" style="289" customWidth="1"/>
    <col min="8457" max="8457" width="15.5703125" style="289" bestFit="1" customWidth="1"/>
    <col min="8458" max="8458" width="13.5703125" style="289" customWidth="1"/>
    <col min="8459" max="8459" width="20.5703125" style="289" customWidth="1"/>
    <col min="8460" max="8460" width="12.42578125" style="289" bestFit="1" customWidth="1"/>
    <col min="8461" max="8704" width="9.140625" style="289"/>
    <col min="8705" max="8705" width="23" style="289" customWidth="1"/>
    <col min="8706" max="8706" width="41.140625" style="289" customWidth="1"/>
    <col min="8707" max="8707" width="44.85546875" style="289" bestFit="1" customWidth="1"/>
    <col min="8708" max="8708" width="18.7109375" style="289" customWidth="1"/>
    <col min="8709" max="8709" width="21.28515625" style="289" customWidth="1"/>
    <col min="8710" max="8710" width="16.5703125" style="289" customWidth="1"/>
    <col min="8711" max="8711" width="19" style="289" customWidth="1"/>
    <col min="8712" max="8712" width="17.5703125" style="289" customWidth="1"/>
    <col min="8713" max="8713" width="15.5703125" style="289" bestFit="1" customWidth="1"/>
    <col min="8714" max="8714" width="13.5703125" style="289" customWidth="1"/>
    <col min="8715" max="8715" width="20.5703125" style="289" customWidth="1"/>
    <col min="8716" max="8716" width="12.42578125" style="289" bestFit="1" customWidth="1"/>
    <col min="8717" max="8960" width="9.140625" style="289"/>
    <col min="8961" max="8961" width="23" style="289" customWidth="1"/>
    <col min="8962" max="8962" width="41.140625" style="289" customWidth="1"/>
    <col min="8963" max="8963" width="44.85546875" style="289" bestFit="1" customWidth="1"/>
    <col min="8964" max="8964" width="18.7109375" style="289" customWidth="1"/>
    <col min="8965" max="8965" width="21.28515625" style="289" customWidth="1"/>
    <col min="8966" max="8966" width="16.5703125" style="289" customWidth="1"/>
    <col min="8967" max="8967" width="19" style="289" customWidth="1"/>
    <col min="8968" max="8968" width="17.5703125" style="289" customWidth="1"/>
    <col min="8969" max="8969" width="15.5703125" style="289" bestFit="1" customWidth="1"/>
    <col min="8970" max="8970" width="13.5703125" style="289" customWidth="1"/>
    <col min="8971" max="8971" width="20.5703125" style="289" customWidth="1"/>
    <col min="8972" max="8972" width="12.42578125" style="289" bestFit="1" customWidth="1"/>
    <col min="8973" max="9216" width="9.140625" style="289"/>
    <col min="9217" max="9217" width="23" style="289" customWidth="1"/>
    <col min="9218" max="9218" width="41.140625" style="289" customWidth="1"/>
    <col min="9219" max="9219" width="44.85546875" style="289" bestFit="1" customWidth="1"/>
    <col min="9220" max="9220" width="18.7109375" style="289" customWidth="1"/>
    <col min="9221" max="9221" width="21.28515625" style="289" customWidth="1"/>
    <col min="9222" max="9222" width="16.5703125" style="289" customWidth="1"/>
    <col min="9223" max="9223" width="19" style="289" customWidth="1"/>
    <col min="9224" max="9224" width="17.5703125" style="289" customWidth="1"/>
    <col min="9225" max="9225" width="15.5703125" style="289" bestFit="1" customWidth="1"/>
    <col min="9226" max="9226" width="13.5703125" style="289" customWidth="1"/>
    <col min="9227" max="9227" width="20.5703125" style="289" customWidth="1"/>
    <col min="9228" max="9228" width="12.42578125" style="289" bestFit="1" customWidth="1"/>
    <col min="9229" max="9472" width="9.140625" style="289"/>
    <col min="9473" max="9473" width="23" style="289" customWidth="1"/>
    <col min="9474" max="9474" width="41.140625" style="289" customWidth="1"/>
    <col min="9475" max="9475" width="44.85546875" style="289" bestFit="1" customWidth="1"/>
    <col min="9476" max="9476" width="18.7109375" style="289" customWidth="1"/>
    <col min="9477" max="9477" width="21.28515625" style="289" customWidth="1"/>
    <col min="9478" max="9478" width="16.5703125" style="289" customWidth="1"/>
    <col min="9479" max="9479" width="19" style="289" customWidth="1"/>
    <col min="9480" max="9480" width="17.5703125" style="289" customWidth="1"/>
    <col min="9481" max="9481" width="15.5703125" style="289" bestFit="1" customWidth="1"/>
    <col min="9482" max="9482" width="13.5703125" style="289" customWidth="1"/>
    <col min="9483" max="9483" width="20.5703125" style="289" customWidth="1"/>
    <col min="9484" max="9484" width="12.42578125" style="289" bestFit="1" customWidth="1"/>
    <col min="9485" max="9728" width="9.140625" style="289"/>
    <col min="9729" max="9729" width="23" style="289" customWidth="1"/>
    <col min="9730" max="9730" width="41.140625" style="289" customWidth="1"/>
    <col min="9731" max="9731" width="44.85546875" style="289" bestFit="1" customWidth="1"/>
    <col min="9732" max="9732" width="18.7109375" style="289" customWidth="1"/>
    <col min="9733" max="9733" width="21.28515625" style="289" customWidth="1"/>
    <col min="9734" max="9734" width="16.5703125" style="289" customWidth="1"/>
    <col min="9735" max="9735" width="19" style="289" customWidth="1"/>
    <col min="9736" max="9736" width="17.5703125" style="289" customWidth="1"/>
    <col min="9737" max="9737" width="15.5703125" style="289" bestFit="1" customWidth="1"/>
    <col min="9738" max="9738" width="13.5703125" style="289" customWidth="1"/>
    <col min="9739" max="9739" width="20.5703125" style="289" customWidth="1"/>
    <col min="9740" max="9740" width="12.42578125" style="289" bestFit="1" customWidth="1"/>
    <col min="9741" max="9984" width="9.140625" style="289"/>
    <col min="9985" max="9985" width="23" style="289" customWidth="1"/>
    <col min="9986" max="9986" width="41.140625" style="289" customWidth="1"/>
    <col min="9987" max="9987" width="44.85546875" style="289" bestFit="1" customWidth="1"/>
    <col min="9988" max="9988" width="18.7109375" style="289" customWidth="1"/>
    <col min="9989" max="9989" width="21.28515625" style="289" customWidth="1"/>
    <col min="9990" max="9990" width="16.5703125" style="289" customWidth="1"/>
    <col min="9991" max="9991" width="19" style="289" customWidth="1"/>
    <col min="9992" max="9992" width="17.5703125" style="289" customWidth="1"/>
    <col min="9993" max="9993" width="15.5703125" style="289" bestFit="1" customWidth="1"/>
    <col min="9994" max="9994" width="13.5703125" style="289" customWidth="1"/>
    <col min="9995" max="9995" width="20.5703125" style="289" customWidth="1"/>
    <col min="9996" max="9996" width="12.42578125" style="289" bestFit="1" customWidth="1"/>
    <col min="9997" max="10240" width="9.140625" style="289"/>
    <col min="10241" max="10241" width="23" style="289" customWidth="1"/>
    <col min="10242" max="10242" width="41.140625" style="289" customWidth="1"/>
    <col min="10243" max="10243" width="44.85546875" style="289" bestFit="1" customWidth="1"/>
    <col min="10244" max="10244" width="18.7109375" style="289" customWidth="1"/>
    <col min="10245" max="10245" width="21.28515625" style="289" customWidth="1"/>
    <col min="10246" max="10246" width="16.5703125" style="289" customWidth="1"/>
    <col min="10247" max="10247" width="19" style="289" customWidth="1"/>
    <col min="10248" max="10248" width="17.5703125" style="289" customWidth="1"/>
    <col min="10249" max="10249" width="15.5703125" style="289" bestFit="1" customWidth="1"/>
    <col min="10250" max="10250" width="13.5703125" style="289" customWidth="1"/>
    <col min="10251" max="10251" width="20.5703125" style="289" customWidth="1"/>
    <col min="10252" max="10252" width="12.42578125" style="289" bestFit="1" customWidth="1"/>
    <col min="10253" max="10496" width="9.140625" style="289"/>
    <col min="10497" max="10497" width="23" style="289" customWidth="1"/>
    <col min="10498" max="10498" width="41.140625" style="289" customWidth="1"/>
    <col min="10499" max="10499" width="44.85546875" style="289" bestFit="1" customWidth="1"/>
    <col min="10500" max="10500" width="18.7109375" style="289" customWidth="1"/>
    <col min="10501" max="10501" width="21.28515625" style="289" customWidth="1"/>
    <col min="10502" max="10502" width="16.5703125" style="289" customWidth="1"/>
    <col min="10503" max="10503" width="19" style="289" customWidth="1"/>
    <col min="10504" max="10504" width="17.5703125" style="289" customWidth="1"/>
    <col min="10505" max="10505" width="15.5703125" style="289" bestFit="1" customWidth="1"/>
    <col min="10506" max="10506" width="13.5703125" style="289" customWidth="1"/>
    <col min="10507" max="10507" width="20.5703125" style="289" customWidth="1"/>
    <col min="10508" max="10508" width="12.42578125" style="289" bestFit="1" customWidth="1"/>
    <col min="10509" max="10752" width="9.140625" style="289"/>
    <col min="10753" max="10753" width="23" style="289" customWidth="1"/>
    <col min="10754" max="10754" width="41.140625" style="289" customWidth="1"/>
    <col min="10755" max="10755" width="44.85546875" style="289" bestFit="1" customWidth="1"/>
    <col min="10756" max="10756" width="18.7109375" style="289" customWidth="1"/>
    <col min="10757" max="10757" width="21.28515625" style="289" customWidth="1"/>
    <col min="10758" max="10758" width="16.5703125" style="289" customWidth="1"/>
    <col min="10759" max="10759" width="19" style="289" customWidth="1"/>
    <col min="10760" max="10760" width="17.5703125" style="289" customWidth="1"/>
    <col min="10761" max="10761" width="15.5703125" style="289" bestFit="1" customWidth="1"/>
    <col min="10762" max="10762" width="13.5703125" style="289" customWidth="1"/>
    <col min="10763" max="10763" width="20.5703125" style="289" customWidth="1"/>
    <col min="10764" max="10764" width="12.42578125" style="289" bestFit="1" customWidth="1"/>
    <col min="10765" max="11008" width="9.140625" style="289"/>
    <col min="11009" max="11009" width="23" style="289" customWidth="1"/>
    <col min="11010" max="11010" width="41.140625" style="289" customWidth="1"/>
    <col min="11011" max="11011" width="44.85546875" style="289" bestFit="1" customWidth="1"/>
    <col min="11012" max="11012" width="18.7109375" style="289" customWidth="1"/>
    <col min="11013" max="11013" width="21.28515625" style="289" customWidth="1"/>
    <col min="11014" max="11014" width="16.5703125" style="289" customWidth="1"/>
    <col min="11015" max="11015" width="19" style="289" customWidth="1"/>
    <col min="11016" max="11016" width="17.5703125" style="289" customWidth="1"/>
    <col min="11017" max="11017" width="15.5703125" style="289" bestFit="1" customWidth="1"/>
    <col min="11018" max="11018" width="13.5703125" style="289" customWidth="1"/>
    <col min="11019" max="11019" width="20.5703125" style="289" customWidth="1"/>
    <col min="11020" max="11020" width="12.42578125" style="289" bestFit="1" customWidth="1"/>
    <col min="11021" max="11264" width="9.140625" style="289"/>
    <col min="11265" max="11265" width="23" style="289" customWidth="1"/>
    <col min="11266" max="11266" width="41.140625" style="289" customWidth="1"/>
    <col min="11267" max="11267" width="44.85546875" style="289" bestFit="1" customWidth="1"/>
    <col min="11268" max="11268" width="18.7109375" style="289" customWidth="1"/>
    <col min="11269" max="11269" width="21.28515625" style="289" customWidth="1"/>
    <col min="11270" max="11270" width="16.5703125" style="289" customWidth="1"/>
    <col min="11271" max="11271" width="19" style="289" customWidth="1"/>
    <col min="11272" max="11272" width="17.5703125" style="289" customWidth="1"/>
    <col min="11273" max="11273" width="15.5703125" style="289" bestFit="1" customWidth="1"/>
    <col min="11274" max="11274" width="13.5703125" style="289" customWidth="1"/>
    <col min="11275" max="11275" width="20.5703125" style="289" customWidth="1"/>
    <col min="11276" max="11276" width="12.42578125" style="289" bestFit="1" customWidth="1"/>
    <col min="11277" max="11520" width="9.140625" style="289"/>
    <col min="11521" max="11521" width="23" style="289" customWidth="1"/>
    <col min="11522" max="11522" width="41.140625" style="289" customWidth="1"/>
    <col min="11523" max="11523" width="44.85546875" style="289" bestFit="1" customWidth="1"/>
    <col min="11524" max="11524" width="18.7109375" style="289" customWidth="1"/>
    <col min="11525" max="11525" width="21.28515625" style="289" customWidth="1"/>
    <col min="11526" max="11526" width="16.5703125" style="289" customWidth="1"/>
    <col min="11527" max="11527" width="19" style="289" customWidth="1"/>
    <col min="11528" max="11528" width="17.5703125" style="289" customWidth="1"/>
    <col min="11529" max="11529" width="15.5703125" style="289" bestFit="1" customWidth="1"/>
    <col min="11530" max="11530" width="13.5703125" style="289" customWidth="1"/>
    <col min="11531" max="11531" width="20.5703125" style="289" customWidth="1"/>
    <col min="11532" max="11532" width="12.42578125" style="289" bestFit="1" customWidth="1"/>
    <col min="11533" max="11776" width="9.140625" style="289"/>
    <col min="11777" max="11777" width="23" style="289" customWidth="1"/>
    <col min="11778" max="11778" width="41.140625" style="289" customWidth="1"/>
    <col min="11779" max="11779" width="44.85546875" style="289" bestFit="1" customWidth="1"/>
    <col min="11780" max="11780" width="18.7109375" style="289" customWidth="1"/>
    <col min="11781" max="11781" width="21.28515625" style="289" customWidth="1"/>
    <col min="11782" max="11782" width="16.5703125" style="289" customWidth="1"/>
    <col min="11783" max="11783" width="19" style="289" customWidth="1"/>
    <col min="11784" max="11784" width="17.5703125" style="289" customWidth="1"/>
    <col min="11785" max="11785" width="15.5703125" style="289" bestFit="1" customWidth="1"/>
    <col min="11786" max="11786" width="13.5703125" style="289" customWidth="1"/>
    <col min="11787" max="11787" width="20.5703125" style="289" customWidth="1"/>
    <col min="11788" max="11788" width="12.42578125" style="289" bestFit="1" customWidth="1"/>
    <col min="11789" max="12032" width="9.140625" style="289"/>
    <col min="12033" max="12033" width="23" style="289" customWidth="1"/>
    <col min="12034" max="12034" width="41.140625" style="289" customWidth="1"/>
    <col min="12035" max="12035" width="44.85546875" style="289" bestFit="1" customWidth="1"/>
    <col min="12036" max="12036" width="18.7109375" style="289" customWidth="1"/>
    <col min="12037" max="12037" width="21.28515625" style="289" customWidth="1"/>
    <col min="12038" max="12038" width="16.5703125" style="289" customWidth="1"/>
    <col min="12039" max="12039" width="19" style="289" customWidth="1"/>
    <col min="12040" max="12040" width="17.5703125" style="289" customWidth="1"/>
    <col min="12041" max="12041" width="15.5703125" style="289" bestFit="1" customWidth="1"/>
    <col min="12042" max="12042" width="13.5703125" style="289" customWidth="1"/>
    <col min="12043" max="12043" width="20.5703125" style="289" customWidth="1"/>
    <col min="12044" max="12044" width="12.42578125" style="289" bestFit="1" customWidth="1"/>
    <col min="12045" max="12288" width="9.140625" style="289"/>
    <col min="12289" max="12289" width="23" style="289" customWidth="1"/>
    <col min="12290" max="12290" width="41.140625" style="289" customWidth="1"/>
    <col min="12291" max="12291" width="44.85546875" style="289" bestFit="1" customWidth="1"/>
    <col min="12292" max="12292" width="18.7109375" style="289" customWidth="1"/>
    <col min="12293" max="12293" width="21.28515625" style="289" customWidth="1"/>
    <col min="12294" max="12294" width="16.5703125" style="289" customWidth="1"/>
    <col min="12295" max="12295" width="19" style="289" customWidth="1"/>
    <col min="12296" max="12296" width="17.5703125" style="289" customWidth="1"/>
    <col min="12297" max="12297" width="15.5703125" style="289" bestFit="1" customWidth="1"/>
    <col min="12298" max="12298" width="13.5703125" style="289" customWidth="1"/>
    <col min="12299" max="12299" width="20.5703125" style="289" customWidth="1"/>
    <col min="12300" max="12300" width="12.42578125" style="289" bestFit="1" customWidth="1"/>
    <col min="12301" max="12544" width="9.140625" style="289"/>
    <col min="12545" max="12545" width="23" style="289" customWidth="1"/>
    <col min="12546" max="12546" width="41.140625" style="289" customWidth="1"/>
    <col min="12547" max="12547" width="44.85546875" style="289" bestFit="1" customWidth="1"/>
    <col min="12548" max="12548" width="18.7109375" style="289" customWidth="1"/>
    <col min="12549" max="12549" width="21.28515625" style="289" customWidth="1"/>
    <col min="12550" max="12550" width="16.5703125" style="289" customWidth="1"/>
    <col min="12551" max="12551" width="19" style="289" customWidth="1"/>
    <col min="12552" max="12552" width="17.5703125" style="289" customWidth="1"/>
    <col min="12553" max="12553" width="15.5703125" style="289" bestFit="1" customWidth="1"/>
    <col min="12554" max="12554" width="13.5703125" style="289" customWidth="1"/>
    <col min="12555" max="12555" width="20.5703125" style="289" customWidth="1"/>
    <col min="12556" max="12556" width="12.42578125" style="289" bestFit="1" customWidth="1"/>
    <col min="12557" max="12800" width="9.140625" style="289"/>
    <col min="12801" max="12801" width="23" style="289" customWidth="1"/>
    <col min="12802" max="12802" width="41.140625" style="289" customWidth="1"/>
    <col min="12803" max="12803" width="44.85546875" style="289" bestFit="1" customWidth="1"/>
    <col min="12804" max="12804" width="18.7109375" style="289" customWidth="1"/>
    <col min="12805" max="12805" width="21.28515625" style="289" customWidth="1"/>
    <col min="12806" max="12806" width="16.5703125" style="289" customWidth="1"/>
    <col min="12807" max="12807" width="19" style="289" customWidth="1"/>
    <col min="12808" max="12808" width="17.5703125" style="289" customWidth="1"/>
    <col min="12809" max="12809" width="15.5703125" style="289" bestFit="1" customWidth="1"/>
    <col min="12810" max="12810" width="13.5703125" style="289" customWidth="1"/>
    <col min="12811" max="12811" width="20.5703125" style="289" customWidth="1"/>
    <col min="12812" max="12812" width="12.42578125" style="289" bestFit="1" customWidth="1"/>
    <col min="12813" max="13056" width="9.140625" style="289"/>
    <col min="13057" max="13057" width="23" style="289" customWidth="1"/>
    <col min="13058" max="13058" width="41.140625" style="289" customWidth="1"/>
    <col min="13059" max="13059" width="44.85546875" style="289" bestFit="1" customWidth="1"/>
    <col min="13060" max="13060" width="18.7109375" style="289" customWidth="1"/>
    <col min="13061" max="13061" width="21.28515625" style="289" customWidth="1"/>
    <col min="13062" max="13062" width="16.5703125" style="289" customWidth="1"/>
    <col min="13063" max="13063" width="19" style="289" customWidth="1"/>
    <col min="13064" max="13064" width="17.5703125" style="289" customWidth="1"/>
    <col min="13065" max="13065" width="15.5703125" style="289" bestFit="1" customWidth="1"/>
    <col min="13066" max="13066" width="13.5703125" style="289" customWidth="1"/>
    <col min="13067" max="13067" width="20.5703125" style="289" customWidth="1"/>
    <col min="13068" max="13068" width="12.42578125" style="289" bestFit="1" customWidth="1"/>
    <col min="13069" max="13312" width="9.140625" style="289"/>
    <col min="13313" max="13313" width="23" style="289" customWidth="1"/>
    <col min="13314" max="13314" width="41.140625" style="289" customWidth="1"/>
    <col min="13315" max="13315" width="44.85546875" style="289" bestFit="1" customWidth="1"/>
    <col min="13316" max="13316" width="18.7109375" style="289" customWidth="1"/>
    <col min="13317" max="13317" width="21.28515625" style="289" customWidth="1"/>
    <col min="13318" max="13318" width="16.5703125" style="289" customWidth="1"/>
    <col min="13319" max="13319" width="19" style="289" customWidth="1"/>
    <col min="13320" max="13320" width="17.5703125" style="289" customWidth="1"/>
    <col min="13321" max="13321" width="15.5703125" style="289" bestFit="1" customWidth="1"/>
    <col min="13322" max="13322" width="13.5703125" style="289" customWidth="1"/>
    <col min="13323" max="13323" width="20.5703125" style="289" customWidth="1"/>
    <col min="13324" max="13324" width="12.42578125" style="289" bestFit="1" customWidth="1"/>
    <col min="13325" max="13568" width="9.140625" style="289"/>
    <col min="13569" max="13569" width="23" style="289" customWidth="1"/>
    <col min="13570" max="13570" width="41.140625" style="289" customWidth="1"/>
    <col min="13571" max="13571" width="44.85546875" style="289" bestFit="1" customWidth="1"/>
    <col min="13572" max="13572" width="18.7109375" style="289" customWidth="1"/>
    <col min="13573" max="13573" width="21.28515625" style="289" customWidth="1"/>
    <col min="13574" max="13574" width="16.5703125" style="289" customWidth="1"/>
    <col min="13575" max="13575" width="19" style="289" customWidth="1"/>
    <col min="13576" max="13576" width="17.5703125" style="289" customWidth="1"/>
    <col min="13577" max="13577" width="15.5703125" style="289" bestFit="1" customWidth="1"/>
    <col min="13578" max="13578" width="13.5703125" style="289" customWidth="1"/>
    <col min="13579" max="13579" width="20.5703125" style="289" customWidth="1"/>
    <col min="13580" max="13580" width="12.42578125" style="289" bestFit="1" customWidth="1"/>
    <col min="13581" max="13824" width="9.140625" style="289"/>
    <col min="13825" max="13825" width="23" style="289" customWidth="1"/>
    <col min="13826" max="13826" width="41.140625" style="289" customWidth="1"/>
    <col min="13827" max="13827" width="44.85546875" style="289" bestFit="1" customWidth="1"/>
    <col min="13828" max="13828" width="18.7109375" style="289" customWidth="1"/>
    <col min="13829" max="13829" width="21.28515625" style="289" customWidth="1"/>
    <col min="13830" max="13830" width="16.5703125" style="289" customWidth="1"/>
    <col min="13831" max="13831" width="19" style="289" customWidth="1"/>
    <col min="13832" max="13832" width="17.5703125" style="289" customWidth="1"/>
    <col min="13833" max="13833" width="15.5703125" style="289" bestFit="1" customWidth="1"/>
    <col min="13834" max="13834" width="13.5703125" style="289" customWidth="1"/>
    <col min="13835" max="13835" width="20.5703125" style="289" customWidth="1"/>
    <col min="13836" max="13836" width="12.42578125" style="289" bestFit="1" customWidth="1"/>
    <col min="13837" max="14080" width="9.140625" style="289"/>
    <col min="14081" max="14081" width="23" style="289" customWidth="1"/>
    <col min="14082" max="14082" width="41.140625" style="289" customWidth="1"/>
    <col min="14083" max="14083" width="44.85546875" style="289" bestFit="1" customWidth="1"/>
    <col min="14084" max="14084" width="18.7109375" style="289" customWidth="1"/>
    <col min="14085" max="14085" width="21.28515625" style="289" customWidth="1"/>
    <col min="14086" max="14086" width="16.5703125" style="289" customWidth="1"/>
    <col min="14087" max="14087" width="19" style="289" customWidth="1"/>
    <col min="14088" max="14088" width="17.5703125" style="289" customWidth="1"/>
    <col min="14089" max="14089" width="15.5703125" style="289" bestFit="1" customWidth="1"/>
    <col min="14090" max="14090" width="13.5703125" style="289" customWidth="1"/>
    <col min="14091" max="14091" width="20.5703125" style="289" customWidth="1"/>
    <col min="14092" max="14092" width="12.42578125" style="289" bestFit="1" customWidth="1"/>
    <col min="14093" max="14336" width="9.140625" style="289"/>
    <col min="14337" max="14337" width="23" style="289" customWidth="1"/>
    <col min="14338" max="14338" width="41.140625" style="289" customWidth="1"/>
    <col min="14339" max="14339" width="44.85546875" style="289" bestFit="1" customWidth="1"/>
    <col min="14340" max="14340" width="18.7109375" style="289" customWidth="1"/>
    <col min="14341" max="14341" width="21.28515625" style="289" customWidth="1"/>
    <col min="14342" max="14342" width="16.5703125" style="289" customWidth="1"/>
    <col min="14343" max="14343" width="19" style="289" customWidth="1"/>
    <col min="14344" max="14344" width="17.5703125" style="289" customWidth="1"/>
    <col min="14345" max="14345" width="15.5703125" style="289" bestFit="1" customWidth="1"/>
    <col min="14346" max="14346" width="13.5703125" style="289" customWidth="1"/>
    <col min="14347" max="14347" width="20.5703125" style="289" customWidth="1"/>
    <col min="14348" max="14348" width="12.42578125" style="289" bestFit="1" customWidth="1"/>
    <col min="14349" max="14592" width="9.140625" style="289"/>
    <col min="14593" max="14593" width="23" style="289" customWidth="1"/>
    <col min="14594" max="14594" width="41.140625" style="289" customWidth="1"/>
    <col min="14595" max="14595" width="44.85546875" style="289" bestFit="1" customWidth="1"/>
    <col min="14596" max="14596" width="18.7109375" style="289" customWidth="1"/>
    <col min="14597" max="14597" width="21.28515625" style="289" customWidth="1"/>
    <col min="14598" max="14598" width="16.5703125" style="289" customWidth="1"/>
    <col min="14599" max="14599" width="19" style="289" customWidth="1"/>
    <col min="14600" max="14600" width="17.5703125" style="289" customWidth="1"/>
    <col min="14601" max="14601" width="15.5703125" style="289" bestFit="1" customWidth="1"/>
    <col min="14602" max="14602" width="13.5703125" style="289" customWidth="1"/>
    <col min="14603" max="14603" width="20.5703125" style="289" customWidth="1"/>
    <col min="14604" max="14604" width="12.42578125" style="289" bestFit="1" customWidth="1"/>
    <col min="14605" max="14848" width="9.140625" style="289"/>
    <col min="14849" max="14849" width="23" style="289" customWidth="1"/>
    <col min="14850" max="14850" width="41.140625" style="289" customWidth="1"/>
    <col min="14851" max="14851" width="44.85546875" style="289" bestFit="1" customWidth="1"/>
    <col min="14852" max="14852" width="18.7109375" style="289" customWidth="1"/>
    <col min="14853" max="14853" width="21.28515625" style="289" customWidth="1"/>
    <col min="14854" max="14854" width="16.5703125" style="289" customWidth="1"/>
    <col min="14855" max="14855" width="19" style="289" customWidth="1"/>
    <col min="14856" max="14856" width="17.5703125" style="289" customWidth="1"/>
    <col min="14857" max="14857" width="15.5703125" style="289" bestFit="1" customWidth="1"/>
    <col min="14858" max="14858" width="13.5703125" style="289" customWidth="1"/>
    <col min="14859" max="14859" width="20.5703125" style="289" customWidth="1"/>
    <col min="14860" max="14860" width="12.42578125" style="289" bestFit="1" customWidth="1"/>
    <col min="14861" max="15104" width="9.140625" style="289"/>
    <col min="15105" max="15105" width="23" style="289" customWidth="1"/>
    <col min="15106" max="15106" width="41.140625" style="289" customWidth="1"/>
    <col min="15107" max="15107" width="44.85546875" style="289" bestFit="1" customWidth="1"/>
    <col min="15108" max="15108" width="18.7109375" style="289" customWidth="1"/>
    <col min="15109" max="15109" width="21.28515625" style="289" customWidth="1"/>
    <col min="15110" max="15110" width="16.5703125" style="289" customWidth="1"/>
    <col min="15111" max="15111" width="19" style="289" customWidth="1"/>
    <col min="15112" max="15112" width="17.5703125" style="289" customWidth="1"/>
    <col min="15113" max="15113" width="15.5703125" style="289" bestFit="1" customWidth="1"/>
    <col min="15114" max="15114" width="13.5703125" style="289" customWidth="1"/>
    <col min="15115" max="15115" width="20.5703125" style="289" customWidth="1"/>
    <col min="15116" max="15116" width="12.42578125" style="289" bestFit="1" customWidth="1"/>
    <col min="15117" max="15360" width="9.140625" style="289"/>
    <col min="15361" max="15361" width="23" style="289" customWidth="1"/>
    <col min="15362" max="15362" width="41.140625" style="289" customWidth="1"/>
    <col min="15363" max="15363" width="44.85546875" style="289" bestFit="1" customWidth="1"/>
    <col min="15364" max="15364" width="18.7109375" style="289" customWidth="1"/>
    <col min="15365" max="15365" width="21.28515625" style="289" customWidth="1"/>
    <col min="15366" max="15366" width="16.5703125" style="289" customWidth="1"/>
    <col min="15367" max="15367" width="19" style="289" customWidth="1"/>
    <col min="15368" max="15368" width="17.5703125" style="289" customWidth="1"/>
    <col min="15369" max="15369" width="15.5703125" style="289" bestFit="1" customWidth="1"/>
    <col min="15370" max="15370" width="13.5703125" style="289" customWidth="1"/>
    <col min="15371" max="15371" width="20.5703125" style="289" customWidth="1"/>
    <col min="15372" max="15372" width="12.42578125" style="289" bestFit="1" customWidth="1"/>
    <col min="15373" max="15616" width="9.140625" style="289"/>
    <col min="15617" max="15617" width="23" style="289" customWidth="1"/>
    <col min="15618" max="15618" width="41.140625" style="289" customWidth="1"/>
    <col min="15619" max="15619" width="44.85546875" style="289" bestFit="1" customWidth="1"/>
    <col min="15620" max="15620" width="18.7109375" style="289" customWidth="1"/>
    <col min="15621" max="15621" width="21.28515625" style="289" customWidth="1"/>
    <col min="15622" max="15622" width="16.5703125" style="289" customWidth="1"/>
    <col min="15623" max="15623" width="19" style="289" customWidth="1"/>
    <col min="15624" max="15624" width="17.5703125" style="289" customWidth="1"/>
    <col min="15625" max="15625" width="15.5703125" style="289" bestFit="1" customWidth="1"/>
    <col min="15626" max="15626" width="13.5703125" style="289" customWidth="1"/>
    <col min="15627" max="15627" width="20.5703125" style="289" customWidth="1"/>
    <col min="15628" max="15628" width="12.42578125" style="289" bestFit="1" customWidth="1"/>
    <col min="15629" max="15872" width="9.140625" style="289"/>
    <col min="15873" max="15873" width="23" style="289" customWidth="1"/>
    <col min="15874" max="15874" width="41.140625" style="289" customWidth="1"/>
    <col min="15875" max="15875" width="44.85546875" style="289" bestFit="1" customWidth="1"/>
    <col min="15876" max="15876" width="18.7109375" style="289" customWidth="1"/>
    <col min="15877" max="15877" width="21.28515625" style="289" customWidth="1"/>
    <col min="15878" max="15878" width="16.5703125" style="289" customWidth="1"/>
    <col min="15879" max="15879" width="19" style="289" customWidth="1"/>
    <col min="15880" max="15880" width="17.5703125" style="289" customWidth="1"/>
    <col min="15881" max="15881" width="15.5703125" style="289" bestFit="1" customWidth="1"/>
    <col min="15882" max="15882" width="13.5703125" style="289" customWidth="1"/>
    <col min="15883" max="15883" width="20.5703125" style="289" customWidth="1"/>
    <col min="15884" max="15884" width="12.42578125" style="289" bestFit="1" customWidth="1"/>
    <col min="15885" max="16128" width="9.140625" style="289"/>
    <col min="16129" max="16129" width="23" style="289" customWidth="1"/>
    <col min="16130" max="16130" width="41.140625" style="289" customWidth="1"/>
    <col min="16131" max="16131" width="44.85546875" style="289" bestFit="1" customWidth="1"/>
    <col min="16132" max="16132" width="18.7109375" style="289" customWidth="1"/>
    <col min="16133" max="16133" width="21.28515625" style="289" customWidth="1"/>
    <col min="16134" max="16134" width="16.5703125" style="289" customWidth="1"/>
    <col min="16135" max="16135" width="19" style="289" customWidth="1"/>
    <col min="16136" max="16136" width="17.5703125" style="289" customWidth="1"/>
    <col min="16137" max="16137" width="15.5703125" style="289" bestFit="1" customWidth="1"/>
    <col min="16138" max="16138" width="13.5703125" style="289" customWidth="1"/>
    <col min="16139" max="16139" width="20.5703125" style="289" customWidth="1"/>
    <col min="16140" max="16140" width="12.42578125" style="289" bestFit="1" customWidth="1"/>
    <col min="16141" max="16384" width="9.140625" style="289"/>
  </cols>
  <sheetData>
    <row r="1" spans="2:7" x14ac:dyDescent="0.2">
      <c r="G1" s="290" t="s">
        <v>1006</v>
      </c>
    </row>
    <row r="2" spans="2:7" x14ac:dyDescent="0.2">
      <c r="B2" s="291" t="s">
        <v>1007</v>
      </c>
      <c r="C2" s="291"/>
      <c r="D2" s="291"/>
      <c r="E2" s="291"/>
      <c r="F2" s="291"/>
      <c r="G2" s="291"/>
    </row>
    <row r="3" spans="2:7" x14ac:dyDescent="0.2">
      <c r="B3" s="291" t="s">
        <v>1008</v>
      </c>
      <c r="C3" s="291"/>
      <c r="D3" s="291"/>
      <c r="E3" s="291"/>
      <c r="F3" s="291"/>
      <c r="G3" s="291"/>
    </row>
    <row r="4" spans="2:7" x14ac:dyDescent="0.2">
      <c r="B4" s="290"/>
      <c r="C4" s="290"/>
      <c r="D4" s="290"/>
      <c r="E4" s="290"/>
      <c r="F4" s="290"/>
      <c r="G4" s="290"/>
    </row>
    <row r="5" spans="2:7" x14ac:dyDescent="0.2">
      <c r="B5" s="291" t="s">
        <v>1009</v>
      </c>
      <c r="C5" s="291"/>
      <c r="D5" s="291"/>
      <c r="E5" s="291"/>
      <c r="F5" s="291"/>
      <c r="G5" s="291"/>
    </row>
    <row r="6" spans="2:7" x14ac:dyDescent="0.2">
      <c r="B6" s="290" t="s">
        <v>1010</v>
      </c>
    </row>
    <row r="8" spans="2:7" ht="25.5" x14ac:dyDescent="0.2">
      <c r="B8" s="292" t="s">
        <v>1011</v>
      </c>
      <c r="C8" s="292" t="s">
        <v>1012</v>
      </c>
      <c r="D8" s="292" t="s">
        <v>1013</v>
      </c>
      <c r="E8" s="293" t="s">
        <v>1014</v>
      </c>
      <c r="F8" s="293" t="s">
        <v>1015</v>
      </c>
      <c r="G8" s="293" t="s">
        <v>1016</v>
      </c>
    </row>
    <row r="9" spans="2:7" x14ac:dyDescent="0.2">
      <c r="B9" s="294" t="s">
        <v>693</v>
      </c>
      <c r="C9" s="295" t="s">
        <v>951</v>
      </c>
      <c r="D9" s="296" t="s">
        <v>1017</v>
      </c>
      <c r="E9" s="297">
        <v>686.26</v>
      </c>
      <c r="F9" s="297">
        <v>677.55</v>
      </c>
      <c r="G9" s="298">
        <v>53.842274399999994</v>
      </c>
    </row>
    <row r="10" spans="2:7" x14ac:dyDescent="0.2">
      <c r="B10" s="294" t="s">
        <v>693</v>
      </c>
      <c r="C10" s="295" t="s">
        <v>958</v>
      </c>
      <c r="D10" s="296" t="s">
        <v>1017</v>
      </c>
      <c r="E10" s="297">
        <v>4128.8599999999997</v>
      </c>
      <c r="F10" s="297">
        <v>4049.05</v>
      </c>
      <c r="G10" s="298">
        <v>135.87402640000002</v>
      </c>
    </row>
    <row r="11" spans="2:7" x14ac:dyDescent="0.2">
      <c r="B11" s="294" t="s">
        <v>693</v>
      </c>
      <c r="C11" s="295" t="s">
        <v>957</v>
      </c>
      <c r="D11" s="296" t="s">
        <v>1017</v>
      </c>
      <c r="E11" s="297">
        <v>735.39</v>
      </c>
      <c r="F11" s="297">
        <v>712</v>
      </c>
      <c r="G11" s="298">
        <v>152.5752</v>
      </c>
    </row>
    <row r="12" spans="2:7" x14ac:dyDescent="0.2">
      <c r="B12" s="294" t="s">
        <v>693</v>
      </c>
      <c r="C12" s="295" t="s">
        <v>960</v>
      </c>
      <c r="D12" s="296" t="s">
        <v>1017</v>
      </c>
      <c r="E12" s="297">
        <v>13612.76</v>
      </c>
      <c r="F12" s="297">
        <v>14259.15</v>
      </c>
      <c r="G12" s="298">
        <v>208.92338359999999</v>
      </c>
    </row>
    <row r="13" spans="2:7" x14ac:dyDescent="0.2">
      <c r="B13" s="294" t="s">
        <v>693</v>
      </c>
      <c r="C13" s="295" t="s">
        <v>955</v>
      </c>
      <c r="D13" s="296" t="s">
        <v>1017</v>
      </c>
      <c r="E13" s="297">
        <v>788.25</v>
      </c>
      <c r="F13" s="297">
        <v>775.4</v>
      </c>
      <c r="G13" s="298">
        <v>78.167310000000001</v>
      </c>
    </row>
    <row r="14" spans="2:7" x14ac:dyDescent="0.2">
      <c r="B14" s="294" t="s">
        <v>693</v>
      </c>
      <c r="C14" s="295" t="s">
        <v>933</v>
      </c>
      <c r="D14" s="296" t="s">
        <v>1017</v>
      </c>
      <c r="E14" s="297">
        <v>458.25</v>
      </c>
      <c r="F14" s="297">
        <v>447.05</v>
      </c>
      <c r="G14" s="298">
        <v>70.753230000000002</v>
      </c>
    </row>
    <row r="15" spans="2:7" x14ac:dyDescent="0.2">
      <c r="B15" s="294" t="s">
        <v>693</v>
      </c>
      <c r="C15" s="295" t="s">
        <v>949</v>
      </c>
      <c r="D15" s="296" t="s">
        <v>1017</v>
      </c>
      <c r="E15" s="297">
        <v>144.03</v>
      </c>
      <c r="F15" s="297">
        <v>152.19999999999999</v>
      </c>
      <c r="G15" s="298">
        <v>55.307340000000003</v>
      </c>
    </row>
    <row r="16" spans="2:7" x14ac:dyDescent="0.2">
      <c r="B16" s="294" t="s">
        <v>693</v>
      </c>
      <c r="C16" s="295" t="s">
        <v>952</v>
      </c>
      <c r="D16" s="296" t="s">
        <v>1017</v>
      </c>
      <c r="E16" s="297">
        <v>673.95</v>
      </c>
      <c r="F16" s="297">
        <v>666.85</v>
      </c>
      <c r="G16" s="298">
        <v>49.070919000000004</v>
      </c>
    </row>
    <row r="17" spans="2:7" x14ac:dyDescent="0.2">
      <c r="B17" s="294" t="s">
        <v>693</v>
      </c>
      <c r="C17" s="295" t="s">
        <v>946</v>
      </c>
      <c r="D17" s="296" t="s">
        <v>1017</v>
      </c>
      <c r="E17" s="297">
        <v>2351.67</v>
      </c>
      <c r="F17" s="297">
        <v>2343.25</v>
      </c>
      <c r="G17" s="298">
        <v>37.234239000000002</v>
      </c>
    </row>
    <row r="18" spans="2:7" x14ac:dyDescent="0.2">
      <c r="B18" s="294" t="s">
        <v>693</v>
      </c>
      <c r="C18" s="295" t="s">
        <v>943</v>
      </c>
      <c r="D18" s="296" t="s">
        <v>1017</v>
      </c>
      <c r="E18" s="297">
        <v>682.7</v>
      </c>
      <c r="F18" s="297">
        <v>683.65</v>
      </c>
      <c r="G18" s="298">
        <v>93.537464</v>
      </c>
    </row>
    <row r="19" spans="2:7" x14ac:dyDescent="0.2">
      <c r="B19" s="294" t="s">
        <v>693</v>
      </c>
      <c r="C19" s="295" t="s">
        <v>956</v>
      </c>
      <c r="D19" s="296" t="s">
        <v>1017</v>
      </c>
      <c r="E19" s="297">
        <v>548.30999999999995</v>
      </c>
      <c r="F19" s="297">
        <v>560.29999999999995</v>
      </c>
      <c r="G19" s="298">
        <v>70.543375999999995</v>
      </c>
    </row>
    <row r="20" spans="2:7" x14ac:dyDescent="0.2">
      <c r="B20" s="294" t="s">
        <v>693</v>
      </c>
      <c r="C20" s="295" t="s">
        <v>937</v>
      </c>
      <c r="D20" s="296" t="s">
        <v>1017</v>
      </c>
      <c r="E20" s="297">
        <v>209.5</v>
      </c>
      <c r="F20" s="297">
        <v>205.75</v>
      </c>
      <c r="G20" s="298">
        <v>21.523800000000001</v>
      </c>
    </row>
    <row r="21" spans="2:7" x14ac:dyDescent="0.2">
      <c r="B21" s="294" t="s">
        <v>693</v>
      </c>
      <c r="C21" s="295" t="s">
        <v>942</v>
      </c>
      <c r="D21" s="296" t="s">
        <v>1017</v>
      </c>
      <c r="E21" s="297">
        <v>423.25</v>
      </c>
      <c r="F21" s="297">
        <v>433.45</v>
      </c>
      <c r="G21" s="298">
        <v>134.46067679999999</v>
      </c>
    </row>
    <row r="22" spans="2:7" x14ac:dyDescent="0.2">
      <c r="B22" s="299" t="s">
        <v>693</v>
      </c>
      <c r="C22" s="300" t="s">
        <v>954</v>
      </c>
      <c r="D22" s="296" t="s">
        <v>1017</v>
      </c>
      <c r="E22" s="297">
        <v>435.02</v>
      </c>
      <c r="F22" s="297">
        <v>412.05</v>
      </c>
      <c r="G22" s="298">
        <v>90.411659999999998</v>
      </c>
    </row>
    <row r="23" spans="2:7" x14ac:dyDescent="0.2">
      <c r="B23" s="294" t="s">
        <v>693</v>
      </c>
      <c r="C23" s="301" t="s">
        <v>948</v>
      </c>
      <c r="D23" s="296" t="s">
        <v>1017</v>
      </c>
      <c r="E23" s="297">
        <v>228.6</v>
      </c>
      <c r="F23" s="297">
        <v>233.25</v>
      </c>
      <c r="G23" s="298">
        <v>56.828625999999993</v>
      </c>
    </row>
    <row r="24" spans="2:7" x14ac:dyDescent="0.2">
      <c r="B24" s="294" t="s">
        <v>693</v>
      </c>
      <c r="C24" s="301" t="s">
        <v>947</v>
      </c>
      <c r="D24" s="296" t="s">
        <v>1017</v>
      </c>
      <c r="E24" s="297">
        <v>31644.18</v>
      </c>
      <c r="F24" s="297">
        <v>31626.799999999999</v>
      </c>
      <c r="G24" s="298">
        <v>21.060414000000005</v>
      </c>
    </row>
    <row r="25" spans="2:7" x14ac:dyDescent="0.2">
      <c r="B25" s="294" t="s">
        <v>693</v>
      </c>
      <c r="C25" s="302" t="s">
        <v>938</v>
      </c>
      <c r="D25" s="296" t="s">
        <v>1017</v>
      </c>
      <c r="E25" s="297">
        <v>2041.46</v>
      </c>
      <c r="F25" s="297">
        <v>2041.3</v>
      </c>
      <c r="G25" s="298">
        <v>54.093302399999999</v>
      </c>
    </row>
    <row r="26" spans="2:7" x14ac:dyDescent="0.2">
      <c r="B26" s="294" t="s">
        <v>693</v>
      </c>
      <c r="C26" s="302" t="s">
        <v>959</v>
      </c>
      <c r="D26" s="296" t="s">
        <v>1017</v>
      </c>
      <c r="E26" s="297">
        <v>425.56</v>
      </c>
      <c r="F26" s="297">
        <v>432.45</v>
      </c>
      <c r="G26" s="298">
        <v>205.11326699999998</v>
      </c>
    </row>
    <row r="27" spans="2:7" x14ac:dyDescent="0.2">
      <c r="B27" s="294" t="s">
        <v>693</v>
      </c>
      <c r="C27" s="302" t="s">
        <v>953</v>
      </c>
      <c r="D27" s="296" t="s">
        <v>1017</v>
      </c>
      <c r="E27" s="297">
        <v>1398.23</v>
      </c>
      <c r="F27" s="297">
        <v>1397.7</v>
      </c>
      <c r="G27" s="298">
        <v>92.018177999999992</v>
      </c>
    </row>
    <row r="28" spans="2:7" x14ac:dyDescent="0.2">
      <c r="B28" s="294" t="s">
        <v>693</v>
      </c>
      <c r="C28" s="302" t="s">
        <v>950</v>
      </c>
      <c r="D28" s="296" t="s">
        <v>1017</v>
      </c>
      <c r="E28" s="297">
        <v>272.7</v>
      </c>
      <c r="F28" s="297">
        <v>302.2</v>
      </c>
      <c r="G28" s="298">
        <v>65.625140000000002</v>
      </c>
    </row>
    <row r="29" spans="2:7" x14ac:dyDescent="0.2">
      <c r="B29" s="294" t="s">
        <v>795</v>
      </c>
      <c r="C29" s="303" t="s">
        <v>951</v>
      </c>
      <c r="D29" s="296" t="s">
        <v>1017</v>
      </c>
      <c r="E29" s="297">
        <v>686.79</v>
      </c>
      <c r="F29" s="297">
        <v>677.55</v>
      </c>
      <c r="G29" s="298">
        <v>53.842274399999994</v>
      </c>
    </row>
    <row r="30" spans="2:7" x14ac:dyDescent="0.2">
      <c r="B30" s="294" t="s">
        <v>795</v>
      </c>
      <c r="C30" s="303" t="s">
        <v>957</v>
      </c>
      <c r="D30" s="296" t="s">
        <v>1017</v>
      </c>
      <c r="E30" s="297">
        <v>720.43</v>
      </c>
      <c r="F30" s="297">
        <v>712</v>
      </c>
      <c r="G30" s="298">
        <v>144.94644</v>
      </c>
    </row>
    <row r="31" spans="2:7" x14ac:dyDescent="0.2">
      <c r="B31" s="294" t="s">
        <v>795</v>
      </c>
      <c r="C31" s="303" t="s">
        <v>940</v>
      </c>
      <c r="D31" s="296" t="s">
        <v>1017</v>
      </c>
      <c r="E31" s="297">
        <v>552.79</v>
      </c>
      <c r="F31" s="297">
        <v>563.15</v>
      </c>
      <c r="G31" s="298">
        <v>344.21420109999997</v>
      </c>
    </row>
    <row r="32" spans="2:7" x14ac:dyDescent="0.2">
      <c r="B32" s="294" t="s">
        <v>795</v>
      </c>
      <c r="C32" s="303" t="s">
        <v>962</v>
      </c>
      <c r="D32" s="296" t="s">
        <v>1017</v>
      </c>
      <c r="E32" s="297">
        <v>5100.8500000000004</v>
      </c>
      <c r="F32" s="297">
        <v>4730.55</v>
      </c>
      <c r="G32" s="298">
        <v>184.69145600000002</v>
      </c>
    </row>
    <row r="33" spans="2:8" x14ac:dyDescent="0.2">
      <c r="B33" s="294" t="s">
        <v>795</v>
      </c>
      <c r="C33" s="303" t="s">
        <v>945</v>
      </c>
      <c r="D33" s="296" t="s">
        <v>1017</v>
      </c>
      <c r="E33" s="297">
        <v>2420.02</v>
      </c>
      <c r="F33" s="297">
        <v>2445.1</v>
      </c>
      <c r="G33" s="298">
        <v>322.61503499999998</v>
      </c>
    </row>
    <row r="34" spans="2:8" x14ac:dyDescent="0.2">
      <c r="B34" s="294" t="s">
        <v>795</v>
      </c>
      <c r="C34" s="303" t="s">
        <v>952</v>
      </c>
      <c r="D34" s="296" t="s">
        <v>1017</v>
      </c>
      <c r="E34" s="297">
        <v>667.11</v>
      </c>
      <c r="F34" s="297">
        <v>666.85</v>
      </c>
      <c r="G34" s="298">
        <v>212.64064900000002</v>
      </c>
      <c r="H34" s="304"/>
    </row>
    <row r="35" spans="2:8" ht="18" customHeight="1" x14ac:dyDescent="0.2">
      <c r="B35" s="294" t="s">
        <v>795</v>
      </c>
      <c r="C35" s="303" t="s">
        <v>943</v>
      </c>
      <c r="D35" s="296" t="s">
        <v>1017</v>
      </c>
      <c r="E35" s="297">
        <v>677.99</v>
      </c>
      <c r="F35" s="297">
        <v>683.65</v>
      </c>
      <c r="G35" s="298">
        <v>823.12968320000004</v>
      </c>
      <c r="H35" s="304"/>
    </row>
    <row r="36" spans="2:8" x14ac:dyDescent="0.2">
      <c r="B36" s="294" t="s">
        <v>795</v>
      </c>
      <c r="C36" s="303" t="s">
        <v>966</v>
      </c>
      <c r="D36" s="296" t="s">
        <v>1017</v>
      </c>
      <c r="E36" s="297">
        <v>535.57000000000005</v>
      </c>
      <c r="F36" s="297">
        <v>549.35</v>
      </c>
      <c r="G36" s="298">
        <v>271.45229999999998</v>
      </c>
      <c r="H36" s="304"/>
    </row>
    <row r="37" spans="2:8" x14ac:dyDescent="0.2">
      <c r="B37" s="294" t="s">
        <v>795</v>
      </c>
      <c r="C37" s="303" t="s">
        <v>941</v>
      </c>
      <c r="D37" s="296" t="s">
        <v>1017</v>
      </c>
      <c r="E37" s="297">
        <v>648.62</v>
      </c>
      <c r="F37" s="297">
        <v>642.70000000000005</v>
      </c>
      <c r="G37" s="298">
        <v>377.17471200000006</v>
      </c>
      <c r="H37" s="304"/>
    </row>
    <row r="38" spans="2:8" x14ac:dyDescent="0.2">
      <c r="B38" s="294" t="s">
        <v>795</v>
      </c>
      <c r="C38" s="303" t="s">
        <v>967</v>
      </c>
      <c r="D38" s="296" t="s">
        <v>1017</v>
      </c>
      <c r="E38" s="297">
        <v>15787.83</v>
      </c>
      <c r="F38" s="297">
        <v>15777.25</v>
      </c>
      <c r="G38" s="298">
        <v>556.79534999999998</v>
      </c>
      <c r="H38" s="304"/>
    </row>
    <row r="39" spans="2:8" x14ac:dyDescent="0.2">
      <c r="B39" s="294" t="s">
        <v>795</v>
      </c>
      <c r="C39" s="303" t="s">
        <v>964</v>
      </c>
      <c r="D39" s="296" t="s">
        <v>1017</v>
      </c>
      <c r="E39" s="297">
        <v>2294.37</v>
      </c>
      <c r="F39" s="297">
        <v>2289.4</v>
      </c>
      <c r="G39" s="298">
        <v>233.90681499999999</v>
      </c>
      <c r="H39" s="304"/>
    </row>
    <row r="40" spans="2:8" x14ac:dyDescent="0.2">
      <c r="B40" s="294" t="s">
        <v>795</v>
      </c>
      <c r="C40" s="303" t="s">
        <v>961</v>
      </c>
      <c r="D40" s="296" t="s">
        <v>1017</v>
      </c>
      <c r="E40" s="297">
        <v>39.549999999999997</v>
      </c>
      <c r="F40" s="297">
        <v>39.65</v>
      </c>
      <c r="G40" s="298">
        <v>141.43688</v>
      </c>
      <c r="H40" s="304"/>
    </row>
    <row r="41" spans="2:8" x14ac:dyDescent="0.2">
      <c r="B41" s="294" t="s">
        <v>795</v>
      </c>
      <c r="C41" s="303" t="s">
        <v>938</v>
      </c>
      <c r="D41" s="296" t="s">
        <v>1017</v>
      </c>
      <c r="E41" s="297">
        <v>2062.7800000000002</v>
      </c>
      <c r="F41" s="297">
        <v>2041.3</v>
      </c>
      <c r="G41" s="305">
        <v>405.69976800000006</v>
      </c>
      <c r="H41" s="304"/>
    </row>
    <row r="42" spans="2:8" x14ac:dyDescent="0.2">
      <c r="B42" s="294" t="s">
        <v>795</v>
      </c>
      <c r="C42" s="303" t="s">
        <v>965</v>
      </c>
      <c r="D42" s="296" t="s">
        <v>1017</v>
      </c>
      <c r="E42" s="297">
        <v>139.9</v>
      </c>
      <c r="F42" s="297">
        <v>142.55000000000001</v>
      </c>
      <c r="G42" s="305">
        <v>558.60726520000003</v>
      </c>
      <c r="H42" s="304"/>
    </row>
    <row r="43" spans="2:8" x14ac:dyDescent="0.2">
      <c r="B43" s="294" t="s">
        <v>795</v>
      </c>
      <c r="C43" s="303" t="s">
        <v>959</v>
      </c>
      <c r="D43" s="296" t="s">
        <v>1017</v>
      </c>
      <c r="E43" s="297">
        <v>425.2</v>
      </c>
      <c r="F43" s="297">
        <v>432.45</v>
      </c>
      <c r="G43" s="305">
        <v>683.71088999999995</v>
      </c>
      <c r="H43" s="304"/>
    </row>
    <row r="44" spans="2:8" x14ac:dyDescent="0.2">
      <c r="B44" s="294" t="s">
        <v>795</v>
      </c>
      <c r="C44" s="303" t="s">
        <v>963</v>
      </c>
      <c r="D44" s="296" t="s">
        <v>1017</v>
      </c>
      <c r="E44" s="297">
        <v>3177.98</v>
      </c>
      <c r="F44" s="297">
        <v>3181.55</v>
      </c>
      <c r="G44" s="305">
        <v>207.73093120000001</v>
      </c>
      <c r="H44" s="304"/>
    </row>
    <row r="45" spans="2:8" x14ac:dyDescent="0.2">
      <c r="B45" s="294" t="s">
        <v>795</v>
      </c>
      <c r="C45" s="303" t="s">
        <v>944</v>
      </c>
      <c r="D45" s="296" t="s">
        <v>1017</v>
      </c>
      <c r="E45" s="297">
        <v>1115.77</v>
      </c>
      <c r="F45" s="297">
        <v>1211.75</v>
      </c>
      <c r="G45" s="305">
        <v>270.59707500000002</v>
      </c>
      <c r="H45" s="306"/>
    </row>
    <row r="46" spans="2:8" x14ac:dyDescent="0.2">
      <c r="B46" s="294" t="s">
        <v>795</v>
      </c>
      <c r="C46" s="303" t="s">
        <v>950</v>
      </c>
      <c r="D46" s="296" t="s">
        <v>1017</v>
      </c>
      <c r="E46" s="297">
        <v>267.39999999999998</v>
      </c>
      <c r="F46" s="297">
        <v>302.2</v>
      </c>
      <c r="G46" s="305">
        <v>55.781369000000005</v>
      </c>
      <c r="H46" s="304"/>
    </row>
    <row r="47" spans="2:8" x14ac:dyDescent="0.2">
      <c r="B47" s="294" t="s">
        <v>711</v>
      </c>
      <c r="C47" s="303" t="s">
        <v>935</v>
      </c>
      <c r="D47" s="296" t="s">
        <v>1017</v>
      </c>
      <c r="E47" s="297">
        <v>3821.76</v>
      </c>
      <c r="F47" s="297">
        <v>3846.65</v>
      </c>
      <c r="G47" s="305">
        <v>26.137304700000001</v>
      </c>
      <c r="H47" s="307"/>
    </row>
    <row r="48" spans="2:8" x14ac:dyDescent="0.2">
      <c r="B48" s="294" t="s">
        <v>711</v>
      </c>
      <c r="C48" s="303" t="s">
        <v>940</v>
      </c>
      <c r="D48" s="296" t="s">
        <v>1017</v>
      </c>
      <c r="E48" s="297">
        <v>542.19000000000005</v>
      </c>
      <c r="F48" s="297">
        <v>563.15</v>
      </c>
      <c r="G48" s="305">
        <v>54.349610699999999</v>
      </c>
      <c r="H48" s="307"/>
    </row>
    <row r="49" spans="2:7" x14ac:dyDescent="0.2">
      <c r="B49" s="294" t="s">
        <v>711</v>
      </c>
      <c r="C49" s="303" t="s">
        <v>933</v>
      </c>
      <c r="D49" s="296" t="s">
        <v>1017</v>
      </c>
      <c r="E49" s="297">
        <v>455.01</v>
      </c>
      <c r="F49" s="297">
        <v>447.05</v>
      </c>
      <c r="G49" s="298">
        <v>35.376615000000001</v>
      </c>
    </row>
    <row r="50" spans="2:7" x14ac:dyDescent="0.2">
      <c r="B50" s="294" t="s">
        <v>711</v>
      </c>
      <c r="C50" s="303" t="s">
        <v>936</v>
      </c>
      <c r="D50" s="296" t="s">
        <v>1017</v>
      </c>
      <c r="E50" s="297">
        <v>85.72</v>
      </c>
      <c r="F50" s="297">
        <v>87.65</v>
      </c>
      <c r="G50" s="298">
        <v>38.216625000000001</v>
      </c>
    </row>
    <row r="51" spans="2:7" x14ac:dyDescent="0.2">
      <c r="B51" s="294" t="s">
        <v>711</v>
      </c>
      <c r="C51" s="303" t="s">
        <v>945</v>
      </c>
      <c r="D51" s="296" t="s">
        <v>1017</v>
      </c>
      <c r="E51" s="297">
        <v>2419.89</v>
      </c>
      <c r="F51" s="297">
        <v>2445.1</v>
      </c>
      <c r="G51" s="298">
        <v>132.84148500000001</v>
      </c>
    </row>
    <row r="52" spans="2:7" x14ac:dyDescent="0.2">
      <c r="B52" s="294" t="s">
        <v>711</v>
      </c>
      <c r="C52" s="303" t="s">
        <v>946</v>
      </c>
      <c r="D52" s="296" t="s">
        <v>1017</v>
      </c>
      <c r="E52" s="297">
        <v>2361.64</v>
      </c>
      <c r="F52" s="297">
        <v>2343.25</v>
      </c>
      <c r="G52" s="298">
        <v>124.11413</v>
      </c>
    </row>
    <row r="53" spans="2:7" x14ac:dyDescent="0.2">
      <c r="B53" s="294" t="s">
        <v>711</v>
      </c>
      <c r="C53" s="303" t="s">
        <v>943</v>
      </c>
      <c r="D53" s="296" t="s">
        <v>1017</v>
      </c>
      <c r="E53" s="297">
        <v>681.21</v>
      </c>
      <c r="F53" s="297">
        <v>683.65</v>
      </c>
      <c r="G53" s="298">
        <v>93.537464</v>
      </c>
    </row>
    <row r="54" spans="2:7" x14ac:dyDescent="0.2">
      <c r="B54" s="294" t="s">
        <v>711</v>
      </c>
      <c r="C54" s="303" t="s">
        <v>937</v>
      </c>
      <c r="D54" s="296" t="s">
        <v>1017</v>
      </c>
      <c r="E54" s="297">
        <v>210.25</v>
      </c>
      <c r="F54" s="297">
        <v>205.75</v>
      </c>
      <c r="G54" s="298">
        <v>35.872999999999998</v>
      </c>
    </row>
    <row r="55" spans="2:7" x14ac:dyDescent="0.2">
      <c r="B55" s="294" t="s">
        <v>711</v>
      </c>
      <c r="C55" s="303" t="s">
        <v>942</v>
      </c>
      <c r="D55" s="296" t="s">
        <v>1017</v>
      </c>
      <c r="E55" s="297">
        <v>405.53</v>
      </c>
      <c r="F55" s="297">
        <v>433.45</v>
      </c>
      <c r="G55" s="298">
        <v>89.640451200000015</v>
      </c>
    </row>
    <row r="56" spans="2:7" x14ac:dyDescent="0.2">
      <c r="B56" s="294" t="s">
        <v>711</v>
      </c>
      <c r="C56" s="303" t="s">
        <v>941</v>
      </c>
      <c r="D56" s="296" t="s">
        <v>1017</v>
      </c>
      <c r="E56" s="297">
        <v>649.44000000000005</v>
      </c>
      <c r="F56" s="297">
        <v>642.70000000000005</v>
      </c>
      <c r="G56" s="298">
        <v>50.289961599999998</v>
      </c>
    </row>
    <row r="57" spans="2:7" x14ac:dyDescent="0.2">
      <c r="B57" s="294" t="s">
        <v>711</v>
      </c>
      <c r="C57" s="303" t="s">
        <v>938</v>
      </c>
      <c r="D57" s="296" t="s">
        <v>1017</v>
      </c>
      <c r="E57" s="297">
        <v>2056.46</v>
      </c>
      <c r="F57" s="297">
        <v>2041.3</v>
      </c>
      <c r="G57" s="298">
        <v>45.077752000000004</v>
      </c>
    </row>
    <row r="58" spans="2:7" x14ac:dyDescent="0.2">
      <c r="B58" s="294" t="s">
        <v>711</v>
      </c>
      <c r="C58" s="303" t="s">
        <v>934</v>
      </c>
      <c r="D58" s="296" t="s">
        <v>1017</v>
      </c>
      <c r="E58" s="297">
        <v>575.47</v>
      </c>
      <c r="F58" s="297">
        <v>577</v>
      </c>
      <c r="G58" s="298">
        <v>34.130249999999997</v>
      </c>
    </row>
    <row r="59" spans="2:7" x14ac:dyDescent="0.2">
      <c r="B59" s="294" t="s">
        <v>711</v>
      </c>
      <c r="C59" s="303" t="s">
        <v>939</v>
      </c>
      <c r="D59" s="296" t="s">
        <v>1017</v>
      </c>
      <c r="E59" s="297">
        <v>781.25</v>
      </c>
      <c r="F59" s="297">
        <v>759.45</v>
      </c>
      <c r="G59" s="298">
        <v>55.344802000000001</v>
      </c>
    </row>
    <row r="60" spans="2:7" x14ac:dyDescent="0.2">
      <c r="B60" s="294" t="s">
        <v>711</v>
      </c>
      <c r="C60" s="295" t="s">
        <v>944</v>
      </c>
      <c r="D60" s="296" t="s">
        <v>1017</v>
      </c>
      <c r="E60" s="297">
        <v>1118.52</v>
      </c>
      <c r="F60" s="297">
        <v>1211.75</v>
      </c>
      <c r="G60" s="298">
        <v>95.504850000000005</v>
      </c>
    </row>
    <row r="61" spans="2:7" x14ac:dyDescent="0.2">
      <c r="B61" s="308"/>
      <c r="C61" s="309"/>
      <c r="E61" s="310"/>
      <c r="F61" s="310"/>
      <c r="G61" s="310"/>
    </row>
    <row r="63" spans="2:7" x14ac:dyDescent="0.2">
      <c r="B63" s="290" t="s">
        <v>1018</v>
      </c>
    </row>
    <row r="65" spans="2:11" x14ac:dyDescent="0.2">
      <c r="B65" s="311" t="s">
        <v>1011</v>
      </c>
      <c r="C65" s="311" t="s">
        <v>1019</v>
      </c>
    </row>
    <row r="66" spans="2:11" x14ac:dyDescent="0.2">
      <c r="B66" s="294" t="s">
        <v>693</v>
      </c>
      <c r="C66" s="312">
        <v>71.28</v>
      </c>
    </row>
    <row r="67" spans="2:11" x14ac:dyDescent="0.2">
      <c r="B67" s="294" t="s">
        <v>795</v>
      </c>
      <c r="C67" s="312">
        <v>23.9</v>
      </c>
    </row>
    <row r="68" spans="2:11" x14ac:dyDescent="0.2">
      <c r="B68" s="314" t="s">
        <v>711</v>
      </c>
      <c r="C68" s="312">
        <v>34.85</v>
      </c>
    </row>
    <row r="70" spans="2:11" x14ac:dyDescent="0.2">
      <c r="B70" s="290" t="s">
        <v>1020</v>
      </c>
    </row>
    <row r="71" spans="2:11" x14ac:dyDescent="0.2">
      <c r="B71" s="290"/>
    </row>
    <row r="72" spans="2:11" ht="63.75" x14ac:dyDescent="0.2">
      <c r="B72" s="292" t="s">
        <v>1011</v>
      </c>
      <c r="C72" s="293" t="s">
        <v>1021</v>
      </c>
      <c r="D72" s="293" t="s">
        <v>1022</v>
      </c>
      <c r="E72" s="293" t="s">
        <v>1023</v>
      </c>
      <c r="F72" s="293" t="s">
        <v>1024</v>
      </c>
      <c r="G72" s="293" t="s">
        <v>1025</v>
      </c>
    </row>
    <row r="73" spans="2:11" ht="15" customHeight="1" x14ac:dyDescent="0.2">
      <c r="B73" s="314" t="s">
        <v>764</v>
      </c>
      <c r="C73" s="315">
        <v>500</v>
      </c>
      <c r="D73" s="315">
        <v>500</v>
      </c>
      <c r="E73" s="305">
        <v>3653.5999000000002</v>
      </c>
      <c r="F73" s="305">
        <v>3563.7611000000002</v>
      </c>
      <c r="G73" s="316">
        <v>-89.838799999999992</v>
      </c>
      <c r="H73" s="317"/>
      <c r="I73" s="318"/>
      <c r="J73" s="319"/>
    </row>
    <row r="74" spans="2:11" ht="15" customHeight="1" x14ac:dyDescent="0.2">
      <c r="B74" s="320" t="s">
        <v>493</v>
      </c>
      <c r="C74" s="321">
        <v>150</v>
      </c>
      <c r="D74" s="321">
        <v>150</v>
      </c>
      <c r="E74" s="322">
        <v>1264.2937999999999</v>
      </c>
      <c r="F74" s="322">
        <v>1229.8857</v>
      </c>
      <c r="G74" s="316">
        <v>-34.408099999999877</v>
      </c>
      <c r="H74" s="317"/>
      <c r="I74" s="318"/>
      <c r="J74" s="319"/>
    </row>
    <row r="75" spans="2:11" ht="15" customHeight="1" x14ac:dyDescent="0.2">
      <c r="B75" s="294" t="s">
        <v>693</v>
      </c>
      <c r="C75" s="315">
        <v>2393</v>
      </c>
      <c r="D75" s="315">
        <v>2393</v>
      </c>
      <c r="E75" s="305">
        <v>19507.5733</v>
      </c>
      <c r="F75" s="305">
        <v>19105.609800000002</v>
      </c>
      <c r="G75" s="316">
        <v>-401.96349999999802</v>
      </c>
      <c r="H75" s="317"/>
      <c r="I75" s="318"/>
      <c r="J75" s="319"/>
    </row>
    <row r="76" spans="2:11" ht="15" customHeight="1" x14ac:dyDescent="0.2">
      <c r="B76" s="294" t="s">
        <v>795</v>
      </c>
      <c r="C76" s="321">
        <v>12050</v>
      </c>
      <c r="D76" s="321">
        <v>12050</v>
      </c>
      <c r="E76" s="322">
        <v>102967.02609999999</v>
      </c>
      <c r="F76" s="322">
        <v>99844.065499999997</v>
      </c>
      <c r="G76" s="316">
        <v>-3122.9605999999912</v>
      </c>
      <c r="H76" s="317"/>
      <c r="I76" s="322"/>
      <c r="J76" s="322"/>
      <c r="K76" s="319"/>
    </row>
    <row r="77" spans="2:11" ht="15" customHeight="1" x14ac:dyDescent="0.2">
      <c r="B77" s="314" t="s">
        <v>699</v>
      </c>
      <c r="C77" s="315">
        <v>225</v>
      </c>
      <c r="D77" s="315">
        <v>225</v>
      </c>
      <c r="E77" s="305">
        <v>1868.9585999999999</v>
      </c>
      <c r="F77" s="305">
        <v>1845.4069999999999</v>
      </c>
      <c r="G77" s="316">
        <v>-23.551600000000008</v>
      </c>
      <c r="H77" s="317"/>
      <c r="I77" s="318"/>
      <c r="J77" s="319"/>
    </row>
    <row r="78" spans="2:11" ht="15" customHeight="1" x14ac:dyDescent="0.2">
      <c r="B78" s="294" t="s">
        <v>711</v>
      </c>
      <c r="C78" s="321">
        <v>1806</v>
      </c>
      <c r="D78" s="321">
        <v>1806</v>
      </c>
      <c r="E78" s="322">
        <v>14643.899099999999</v>
      </c>
      <c r="F78" s="322">
        <v>14387.2451</v>
      </c>
      <c r="G78" s="316">
        <v>-256.65399999999863</v>
      </c>
      <c r="H78" s="317"/>
      <c r="I78" s="323"/>
      <c r="J78" s="323"/>
    </row>
    <row r="79" spans="2:11" ht="15" hidden="1" customHeight="1" x14ac:dyDescent="0.2">
      <c r="B79" s="320" t="s">
        <v>554</v>
      </c>
      <c r="C79" s="321"/>
      <c r="D79" s="321"/>
      <c r="E79" s="322"/>
      <c r="F79" s="322"/>
      <c r="G79" s="316">
        <f t="shared" ref="G74:G99" si="0">+F79-E79</f>
        <v>0</v>
      </c>
      <c r="H79" s="317"/>
      <c r="I79" s="318"/>
      <c r="J79" s="319"/>
    </row>
    <row r="80" spans="2:11" ht="15" hidden="1" customHeight="1" x14ac:dyDescent="0.2">
      <c r="B80" s="314" t="s">
        <v>797</v>
      </c>
      <c r="C80" s="321"/>
      <c r="D80" s="321"/>
      <c r="E80" s="322"/>
      <c r="F80" s="322"/>
      <c r="G80" s="316">
        <f t="shared" si="0"/>
        <v>0</v>
      </c>
      <c r="H80" s="317"/>
      <c r="I80" s="318"/>
      <c r="J80" s="319"/>
    </row>
    <row r="81" spans="2:10" ht="15" hidden="1" customHeight="1" x14ac:dyDescent="0.2">
      <c r="B81" s="314" t="s">
        <v>303</v>
      </c>
      <c r="C81" s="315"/>
      <c r="D81" s="315"/>
      <c r="E81" s="305"/>
      <c r="F81" s="305"/>
      <c r="G81" s="316">
        <f t="shared" si="0"/>
        <v>0</v>
      </c>
      <c r="H81" s="317"/>
      <c r="I81" s="318"/>
      <c r="J81" s="319"/>
    </row>
    <row r="82" spans="2:10" ht="15" hidden="1" customHeight="1" x14ac:dyDescent="0.2">
      <c r="B82" s="314" t="str">
        <f>B129</f>
        <v>Sundaram Equity Fund</v>
      </c>
      <c r="C82" s="315"/>
      <c r="D82" s="315"/>
      <c r="E82" s="305"/>
      <c r="F82" s="305"/>
      <c r="G82" s="316">
        <f t="shared" si="0"/>
        <v>0</v>
      </c>
      <c r="H82" s="317"/>
      <c r="I82" s="318"/>
      <c r="J82" s="319"/>
    </row>
    <row r="83" spans="2:10" ht="15" hidden="1" customHeight="1" x14ac:dyDescent="0.2">
      <c r="B83" s="314" t="str">
        <f>B146</f>
        <v>Sundaram Small Cap Fund</v>
      </c>
      <c r="C83" s="315"/>
      <c r="D83" s="315"/>
      <c r="E83" s="305"/>
      <c r="F83" s="305"/>
      <c r="G83" s="316">
        <f t="shared" si="0"/>
        <v>0</v>
      </c>
      <c r="H83" s="317"/>
      <c r="I83" s="318"/>
      <c r="J83" s="319"/>
    </row>
    <row r="84" spans="2:10" ht="15" hidden="1" customHeight="1" x14ac:dyDescent="0.2">
      <c r="B84" s="294" t="s">
        <v>1026</v>
      </c>
      <c r="C84" s="321"/>
      <c r="D84" s="321"/>
      <c r="E84" s="322"/>
      <c r="F84" s="322"/>
      <c r="G84" s="316">
        <f t="shared" si="0"/>
        <v>0</v>
      </c>
      <c r="H84" s="317"/>
      <c r="I84" s="318"/>
      <c r="J84" s="319"/>
    </row>
    <row r="85" spans="2:10" ht="15" hidden="1" customHeight="1" x14ac:dyDescent="0.2">
      <c r="B85" s="294" t="s">
        <v>1027</v>
      </c>
      <c r="C85" s="321"/>
      <c r="D85" s="321"/>
      <c r="E85" s="322"/>
      <c r="F85" s="322"/>
      <c r="G85" s="316">
        <f t="shared" si="0"/>
        <v>0</v>
      </c>
      <c r="H85" s="317"/>
      <c r="I85" s="318"/>
      <c r="J85" s="319"/>
    </row>
    <row r="86" spans="2:10" ht="15" hidden="1" customHeight="1" x14ac:dyDescent="0.2">
      <c r="B86" s="294" t="s">
        <v>1028</v>
      </c>
      <c r="C86" s="321"/>
      <c r="D86" s="321"/>
      <c r="E86" s="322"/>
      <c r="F86" s="322"/>
      <c r="G86" s="316">
        <f t="shared" si="0"/>
        <v>0</v>
      </c>
      <c r="H86" s="317"/>
      <c r="I86" s="318"/>
      <c r="J86" s="319"/>
    </row>
    <row r="87" spans="2:10" ht="15" hidden="1" customHeight="1" x14ac:dyDescent="0.2">
      <c r="B87" s="294" t="s">
        <v>1029</v>
      </c>
      <c r="C87" s="321"/>
      <c r="D87" s="321"/>
      <c r="E87" s="322"/>
      <c r="F87" s="322"/>
      <c r="G87" s="316">
        <f t="shared" si="0"/>
        <v>0</v>
      </c>
      <c r="H87" s="317"/>
      <c r="I87" s="318"/>
      <c r="J87" s="319"/>
    </row>
    <row r="88" spans="2:10" ht="15" hidden="1" customHeight="1" x14ac:dyDescent="0.2">
      <c r="B88" s="294" t="s">
        <v>450</v>
      </c>
      <c r="C88" s="321"/>
      <c r="D88" s="321"/>
      <c r="E88" s="322"/>
      <c r="F88" s="322"/>
      <c r="G88" s="316">
        <f t="shared" si="0"/>
        <v>0</v>
      </c>
      <c r="H88" s="317"/>
      <c r="I88" s="318"/>
      <c r="J88" s="319"/>
    </row>
    <row r="89" spans="2:10" ht="15" hidden="1" customHeight="1" x14ac:dyDescent="0.2">
      <c r="B89" s="294" t="s">
        <v>469</v>
      </c>
      <c r="C89" s="321"/>
      <c r="D89" s="321"/>
      <c r="E89" s="322"/>
      <c r="F89" s="322"/>
      <c r="G89" s="316">
        <f t="shared" si="0"/>
        <v>0</v>
      </c>
      <c r="H89" s="317"/>
      <c r="I89" s="318"/>
      <c r="J89" s="319"/>
    </row>
    <row r="90" spans="2:10" ht="15" hidden="1" customHeight="1" x14ac:dyDescent="0.2">
      <c r="B90" s="294" t="s">
        <v>470</v>
      </c>
      <c r="C90" s="321"/>
      <c r="D90" s="321"/>
      <c r="E90" s="322"/>
      <c r="F90" s="322"/>
      <c r="G90" s="316">
        <f t="shared" si="0"/>
        <v>0</v>
      </c>
      <c r="H90" s="317"/>
      <c r="I90" s="318"/>
      <c r="J90" s="319"/>
    </row>
    <row r="91" spans="2:10" ht="15" hidden="1" customHeight="1" x14ac:dyDescent="0.2">
      <c r="B91" s="294" t="s">
        <v>473</v>
      </c>
      <c r="C91" s="321"/>
      <c r="D91" s="321"/>
      <c r="E91" s="322"/>
      <c r="F91" s="322"/>
      <c r="G91" s="316">
        <f t="shared" si="0"/>
        <v>0</v>
      </c>
      <c r="H91" s="317"/>
      <c r="I91" s="318"/>
      <c r="J91" s="319"/>
    </row>
    <row r="92" spans="2:10" ht="15" hidden="1" customHeight="1" x14ac:dyDescent="0.2">
      <c r="B92" s="294" t="s">
        <v>476</v>
      </c>
      <c r="C92" s="321"/>
      <c r="D92" s="321"/>
      <c r="E92" s="322"/>
      <c r="F92" s="322"/>
      <c r="G92" s="316">
        <f t="shared" si="0"/>
        <v>0</v>
      </c>
      <c r="H92" s="317"/>
      <c r="I92" s="318"/>
      <c r="J92" s="319"/>
    </row>
    <row r="93" spans="2:10" ht="15" hidden="1" customHeight="1" x14ac:dyDescent="0.2">
      <c r="B93" s="294" t="s">
        <v>474</v>
      </c>
      <c r="C93" s="321"/>
      <c r="D93" s="321"/>
      <c r="E93" s="322"/>
      <c r="F93" s="322"/>
      <c r="G93" s="316">
        <f t="shared" si="0"/>
        <v>0</v>
      </c>
      <c r="H93" s="317"/>
      <c r="I93" s="318"/>
      <c r="J93" s="319"/>
    </row>
    <row r="94" spans="2:10" ht="15" hidden="1" customHeight="1" x14ac:dyDescent="0.2">
      <c r="B94" s="294" t="s">
        <v>475</v>
      </c>
      <c r="C94" s="321"/>
      <c r="D94" s="321"/>
      <c r="E94" s="322"/>
      <c r="F94" s="322"/>
      <c r="G94" s="316">
        <f t="shared" si="0"/>
        <v>0</v>
      </c>
      <c r="H94" s="317"/>
      <c r="I94" s="318"/>
      <c r="J94" s="319"/>
    </row>
    <row r="95" spans="2:10" ht="15" hidden="1" customHeight="1" x14ac:dyDescent="0.2">
      <c r="B95" s="294" t="s">
        <v>298</v>
      </c>
      <c r="C95" s="321"/>
      <c r="D95" s="321"/>
      <c r="E95" s="322"/>
      <c r="F95" s="322"/>
      <c r="G95" s="316">
        <f t="shared" si="0"/>
        <v>0</v>
      </c>
      <c r="H95" s="317"/>
      <c r="I95" s="318"/>
      <c r="J95" s="319"/>
    </row>
    <row r="96" spans="2:10" ht="15" hidden="1" customHeight="1" x14ac:dyDescent="0.2">
      <c r="B96" s="294" t="s">
        <v>295</v>
      </c>
      <c r="C96" s="321"/>
      <c r="D96" s="321"/>
      <c r="E96" s="322"/>
      <c r="F96" s="322"/>
      <c r="G96" s="316">
        <f t="shared" si="0"/>
        <v>0</v>
      </c>
      <c r="H96" s="317"/>
      <c r="I96" s="318"/>
      <c r="J96" s="319"/>
    </row>
    <row r="97" spans="2:12" ht="15" hidden="1" customHeight="1" x14ac:dyDescent="0.2">
      <c r="B97" s="294" t="s">
        <v>155</v>
      </c>
      <c r="C97" s="321"/>
      <c r="D97" s="321"/>
      <c r="E97" s="322"/>
      <c r="F97" s="322"/>
      <c r="G97" s="316">
        <f t="shared" si="0"/>
        <v>0</v>
      </c>
      <c r="H97" s="317"/>
      <c r="I97" s="318"/>
      <c r="J97" s="319"/>
    </row>
    <row r="98" spans="2:12" ht="15" hidden="1" customHeight="1" x14ac:dyDescent="0.2">
      <c r="B98" s="294" t="s">
        <v>292</v>
      </c>
      <c r="C98" s="321"/>
      <c r="D98" s="321"/>
      <c r="E98" s="322"/>
      <c r="F98" s="322"/>
      <c r="G98" s="316">
        <f t="shared" si="0"/>
        <v>0</v>
      </c>
      <c r="H98" s="317"/>
      <c r="I98" s="318"/>
      <c r="J98" s="319"/>
    </row>
    <row r="99" spans="2:12" ht="15" hidden="1" customHeight="1" x14ac:dyDescent="0.2">
      <c r="B99" s="294" t="s">
        <v>1030</v>
      </c>
      <c r="C99" s="321"/>
      <c r="D99" s="321"/>
      <c r="E99" s="322"/>
      <c r="F99" s="322"/>
      <c r="G99" s="316">
        <f t="shared" si="0"/>
        <v>0</v>
      </c>
      <c r="H99" s="317"/>
      <c r="I99" s="318"/>
      <c r="J99" s="319"/>
    </row>
    <row r="100" spans="2:12" ht="15" customHeight="1" x14ac:dyDescent="0.2">
      <c r="H100" s="317"/>
      <c r="I100" s="318"/>
      <c r="J100" s="319"/>
    </row>
    <row r="101" spans="2:12" ht="15" customHeight="1" x14ac:dyDescent="0.2">
      <c r="E101" s="319"/>
      <c r="F101" s="319"/>
      <c r="H101" s="317"/>
      <c r="I101" s="318"/>
      <c r="J101" s="319"/>
    </row>
    <row r="102" spans="2:12" x14ac:dyDescent="0.2">
      <c r="B102" s="290" t="s">
        <v>1031</v>
      </c>
      <c r="F102" s="319"/>
      <c r="G102" s="318"/>
      <c r="H102" s="317"/>
      <c r="I102" s="318"/>
      <c r="L102" s="317"/>
    </row>
    <row r="103" spans="2:12" x14ac:dyDescent="0.2">
      <c r="H103" s="324"/>
      <c r="L103" s="318"/>
    </row>
    <row r="104" spans="2:12" ht="25.5" x14ac:dyDescent="0.2">
      <c r="B104" s="292" t="s">
        <v>1011</v>
      </c>
      <c r="C104" s="292" t="s">
        <v>1012</v>
      </c>
      <c r="D104" s="292" t="s">
        <v>1013</v>
      </c>
      <c r="E104" s="293" t="s">
        <v>1014</v>
      </c>
      <c r="F104" s="293" t="s">
        <v>1015</v>
      </c>
      <c r="G104" s="293" t="s">
        <v>1032</v>
      </c>
    </row>
    <row r="105" spans="2:12" x14ac:dyDescent="0.2">
      <c r="B105" s="296" t="s">
        <v>1033</v>
      </c>
      <c r="C105" s="296" t="s">
        <v>1033</v>
      </c>
      <c r="D105" s="296" t="s">
        <v>1034</v>
      </c>
      <c r="E105" s="296" t="s">
        <v>1033</v>
      </c>
      <c r="F105" s="296" t="s">
        <v>1033</v>
      </c>
      <c r="G105" s="296" t="s">
        <v>1033</v>
      </c>
    </row>
    <row r="106" spans="2:12" x14ac:dyDescent="0.2">
      <c r="D106" s="325"/>
      <c r="E106" s="326"/>
      <c r="F106" s="326"/>
      <c r="G106" s="326"/>
      <c r="I106" s="318"/>
    </row>
    <row r="107" spans="2:12" x14ac:dyDescent="0.2">
      <c r="C107" s="327"/>
      <c r="D107" s="328"/>
      <c r="E107" s="329"/>
      <c r="F107" s="330"/>
      <c r="G107" s="330"/>
      <c r="I107" s="318"/>
    </row>
    <row r="108" spans="2:12" x14ac:dyDescent="0.2">
      <c r="B108" s="290" t="s">
        <v>1035</v>
      </c>
      <c r="I108" s="318"/>
    </row>
    <row r="109" spans="2:12" x14ac:dyDescent="0.2">
      <c r="I109" s="318"/>
      <c r="L109" s="319"/>
    </row>
    <row r="110" spans="2:12" x14ac:dyDescent="0.2">
      <c r="B110" s="311" t="s">
        <v>1011</v>
      </c>
      <c r="C110" s="311" t="s">
        <v>1019</v>
      </c>
    </row>
    <row r="111" spans="2:12" x14ac:dyDescent="0.2">
      <c r="B111" s="296" t="s">
        <v>1033</v>
      </c>
      <c r="C111" s="296" t="s">
        <v>1033</v>
      </c>
    </row>
    <row r="112" spans="2:12" x14ac:dyDescent="0.2">
      <c r="B112" s="331"/>
      <c r="C112" s="332"/>
    </row>
    <row r="113" spans="2:9" x14ac:dyDescent="0.2">
      <c r="B113" s="331"/>
      <c r="C113" s="332"/>
    </row>
    <row r="114" spans="2:9" x14ac:dyDescent="0.2">
      <c r="B114" s="290" t="s">
        <v>1036</v>
      </c>
    </row>
    <row r="115" spans="2:9" x14ac:dyDescent="0.2">
      <c r="B115" s="290"/>
    </row>
    <row r="116" spans="2:9" ht="63.75" x14ac:dyDescent="0.2">
      <c r="B116" s="292" t="s">
        <v>1011</v>
      </c>
      <c r="C116" s="293" t="s">
        <v>1021</v>
      </c>
      <c r="D116" s="293" t="s">
        <v>1022</v>
      </c>
      <c r="E116" s="293" t="s">
        <v>1023</v>
      </c>
      <c r="F116" s="293" t="s">
        <v>1037</v>
      </c>
      <c r="G116" s="293" t="s">
        <v>1038</v>
      </c>
    </row>
    <row r="117" spans="2:9" ht="15" customHeight="1" x14ac:dyDescent="0.2">
      <c r="B117" s="294" t="s">
        <v>1</v>
      </c>
      <c r="C117" s="321">
        <v>186</v>
      </c>
      <c r="D117" s="321">
        <v>186</v>
      </c>
      <c r="E117" s="322">
        <v>1514.4937</v>
      </c>
      <c r="F117" s="322">
        <v>1546.2087999999999</v>
      </c>
      <c r="G117" s="333">
        <v>31.715099999999893</v>
      </c>
      <c r="H117" s="317"/>
      <c r="I117" s="318"/>
    </row>
    <row r="118" spans="2:9" hidden="1" x14ac:dyDescent="0.2">
      <c r="B118" s="314" t="s">
        <v>764</v>
      </c>
      <c r="C118" s="313"/>
      <c r="D118" s="313"/>
      <c r="E118" s="334"/>
      <c r="F118" s="334"/>
      <c r="G118" s="333">
        <v>0</v>
      </c>
    </row>
    <row r="119" spans="2:9" hidden="1" x14ac:dyDescent="0.2">
      <c r="B119" s="314" t="s">
        <v>493</v>
      </c>
      <c r="C119" s="313"/>
      <c r="D119" s="313"/>
      <c r="E119" s="334"/>
      <c r="F119" s="334"/>
      <c r="G119" s="333">
        <v>0</v>
      </c>
    </row>
    <row r="120" spans="2:9" ht="15" hidden="1" customHeight="1" x14ac:dyDescent="0.2">
      <c r="B120" s="294" t="s">
        <v>693</v>
      </c>
      <c r="C120" s="335"/>
      <c r="D120" s="335"/>
      <c r="E120" s="334"/>
      <c r="F120" s="334"/>
      <c r="G120" s="333">
        <v>0</v>
      </c>
      <c r="H120" s="336"/>
      <c r="I120" s="337"/>
    </row>
    <row r="121" spans="2:9" x14ac:dyDescent="0.2">
      <c r="B121" s="294" t="s">
        <v>795</v>
      </c>
      <c r="C121" s="335">
        <v>952</v>
      </c>
      <c r="D121" s="335">
        <v>952</v>
      </c>
      <c r="E121" s="334">
        <v>8135.0730999999996</v>
      </c>
      <c r="F121" s="334">
        <v>8105.1299999999992</v>
      </c>
      <c r="G121" s="333">
        <v>-29.943100000000413</v>
      </c>
      <c r="H121" s="336"/>
      <c r="I121" s="318"/>
    </row>
    <row r="122" spans="2:9" x14ac:dyDescent="0.2">
      <c r="B122" s="314" t="s">
        <v>764</v>
      </c>
      <c r="C122" s="335">
        <v>660</v>
      </c>
      <c r="D122" s="335">
        <v>660</v>
      </c>
      <c r="E122" s="334">
        <v>5131.2337331999997</v>
      </c>
      <c r="F122" s="334">
        <v>4978.7044343999996</v>
      </c>
      <c r="G122" s="333">
        <v>-152.52929880000011</v>
      </c>
      <c r="H122" s="336"/>
      <c r="I122" s="318"/>
    </row>
    <row r="123" spans="2:9" x14ac:dyDescent="0.2">
      <c r="B123" s="320" t="s">
        <v>493</v>
      </c>
      <c r="C123" s="313">
        <v>250</v>
      </c>
      <c r="D123" s="313">
        <v>250</v>
      </c>
      <c r="E123" s="334">
        <v>1517.3780769</v>
      </c>
      <c r="F123" s="334">
        <v>1594.5</v>
      </c>
      <c r="G123" s="333">
        <v>77.121923100000004</v>
      </c>
    </row>
    <row r="124" spans="2:9" s="290" customFormat="1" x14ac:dyDescent="0.2">
      <c r="B124" s="320" t="s">
        <v>554</v>
      </c>
      <c r="C124" s="321">
        <v>50</v>
      </c>
      <c r="D124" s="321">
        <v>50</v>
      </c>
      <c r="E124" s="322">
        <v>495.94999039999999</v>
      </c>
      <c r="F124" s="322">
        <v>530.76250000000005</v>
      </c>
      <c r="G124" s="333">
        <v>34.812509600000055</v>
      </c>
      <c r="H124" s="336"/>
      <c r="I124" s="338"/>
    </row>
    <row r="125" spans="2:9" x14ac:dyDescent="0.2">
      <c r="B125" s="314" t="s">
        <v>797</v>
      </c>
      <c r="C125" s="313">
        <v>1650</v>
      </c>
      <c r="D125" s="313">
        <v>1650</v>
      </c>
      <c r="E125" s="334">
        <v>11599.911244200001</v>
      </c>
      <c r="F125" s="334">
        <v>12029.942695899999</v>
      </c>
      <c r="G125" s="333">
        <v>430.0314516999988</v>
      </c>
      <c r="H125" s="339"/>
    </row>
    <row r="126" spans="2:9" x14ac:dyDescent="0.2">
      <c r="B126" s="320" t="s">
        <v>699</v>
      </c>
      <c r="C126" s="335">
        <v>200</v>
      </c>
      <c r="D126" s="335">
        <v>200</v>
      </c>
      <c r="E126" s="334">
        <v>1212.3756036</v>
      </c>
      <c r="F126" s="334">
        <v>1275.5999999999999</v>
      </c>
      <c r="G126" s="333">
        <v>63.224396399999932</v>
      </c>
      <c r="H126" s="336"/>
      <c r="I126" s="339"/>
    </row>
    <row r="127" spans="2:9" x14ac:dyDescent="0.2">
      <c r="B127" s="340" t="s">
        <v>571</v>
      </c>
      <c r="C127" s="335">
        <v>200</v>
      </c>
      <c r="D127" s="335">
        <v>200</v>
      </c>
      <c r="E127" s="334">
        <v>3074.3</v>
      </c>
      <c r="F127" s="334">
        <v>3083.01</v>
      </c>
      <c r="G127" s="333">
        <v>8.7100000000000364</v>
      </c>
      <c r="H127" s="336"/>
    </row>
    <row r="128" spans="2:9" hidden="1" x14ac:dyDescent="0.2">
      <c r="B128" s="314" t="s">
        <v>797</v>
      </c>
      <c r="C128" s="335"/>
      <c r="D128" s="335"/>
      <c r="E128" s="334"/>
      <c r="F128" s="334"/>
      <c r="G128" s="333">
        <v>0</v>
      </c>
      <c r="H128" s="336"/>
      <c r="I128" s="318"/>
    </row>
    <row r="129" spans="2:9" s="290" customFormat="1" x14ac:dyDescent="0.2">
      <c r="B129" s="294" t="s">
        <v>700</v>
      </c>
      <c r="C129" s="321">
        <v>808</v>
      </c>
      <c r="D129" s="321">
        <v>808</v>
      </c>
      <c r="E129" s="322">
        <v>6441.5020000000004</v>
      </c>
      <c r="F129" s="322">
        <v>6415.01</v>
      </c>
      <c r="G129" s="333">
        <v>-26.492000000000189</v>
      </c>
      <c r="H129" s="336"/>
      <c r="I129" s="338"/>
    </row>
    <row r="130" spans="2:9" s="290" customFormat="1" hidden="1" x14ac:dyDescent="0.2">
      <c r="B130" s="294" t="s">
        <v>723</v>
      </c>
      <c r="C130" s="321"/>
      <c r="D130" s="321"/>
      <c r="E130" s="322"/>
      <c r="F130" s="322"/>
      <c r="G130" s="333">
        <f t="shared" ref="G117:G146" si="1">+F130-E130</f>
        <v>0</v>
      </c>
      <c r="H130" s="336"/>
      <c r="I130" s="338"/>
    </row>
    <row r="131" spans="2:9" hidden="1" x14ac:dyDescent="0.2">
      <c r="B131" s="294" t="s">
        <v>475</v>
      </c>
      <c r="C131" s="321"/>
      <c r="D131" s="321"/>
      <c r="E131" s="322"/>
      <c r="F131" s="322"/>
      <c r="G131" s="333">
        <f t="shared" si="1"/>
        <v>0</v>
      </c>
      <c r="H131" s="317"/>
      <c r="I131" s="318"/>
    </row>
    <row r="132" spans="2:9" hidden="1" x14ac:dyDescent="0.2">
      <c r="B132" s="294" t="s">
        <v>474</v>
      </c>
      <c r="C132" s="321"/>
      <c r="D132" s="321"/>
      <c r="E132" s="322"/>
      <c r="F132" s="322"/>
      <c r="G132" s="333">
        <f t="shared" si="1"/>
        <v>0</v>
      </c>
      <c r="H132" s="317"/>
      <c r="I132" s="318"/>
    </row>
    <row r="133" spans="2:9" hidden="1" x14ac:dyDescent="0.2">
      <c r="B133" s="294" t="s">
        <v>473</v>
      </c>
      <c r="C133" s="321"/>
      <c r="D133" s="321"/>
      <c r="E133" s="322"/>
      <c r="F133" s="322"/>
      <c r="G133" s="333">
        <f t="shared" si="1"/>
        <v>0</v>
      </c>
      <c r="H133" s="317"/>
      <c r="I133" s="318"/>
    </row>
    <row r="134" spans="2:9" hidden="1" x14ac:dyDescent="0.2">
      <c r="B134" s="294" t="s">
        <v>470</v>
      </c>
      <c r="C134" s="321"/>
      <c r="D134" s="321"/>
      <c r="E134" s="322"/>
      <c r="F134" s="322"/>
      <c r="G134" s="333">
        <f t="shared" si="1"/>
        <v>0</v>
      </c>
      <c r="H134" s="317"/>
      <c r="I134" s="318"/>
    </row>
    <row r="135" spans="2:9" hidden="1" x14ac:dyDescent="0.2">
      <c r="B135" s="294" t="s">
        <v>469</v>
      </c>
      <c r="C135" s="321"/>
      <c r="D135" s="321"/>
      <c r="E135" s="322"/>
      <c r="F135" s="322"/>
      <c r="G135" s="333">
        <f t="shared" si="1"/>
        <v>0</v>
      </c>
      <c r="H135" s="317"/>
      <c r="I135" s="318"/>
    </row>
    <row r="136" spans="2:9" hidden="1" x14ac:dyDescent="0.2">
      <c r="B136" s="294" t="s">
        <v>450</v>
      </c>
      <c r="C136" s="321"/>
      <c r="D136" s="321"/>
      <c r="E136" s="322"/>
      <c r="F136" s="322"/>
      <c r="G136" s="333">
        <f t="shared" si="1"/>
        <v>0</v>
      </c>
      <c r="H136" s="317"/>
      <c r="I136" s="318"/>
    </row>
    <row r="137" spans="2:9" hidden="1" x14ac:dyDescent="0.2">
      <c r="B137" s="294" t="s">
        <v>402</v>
      </c>
      <c r="C137" s="321"/>
      <c r="D137" s="321"/>
      <c r="E137" s="322"/>
      <c r="F137" s="322"/>
      <c r="G137" s="333">
        <f t="shared" si="1"/>
        <v>0</v>
      </c>
      <c r="H137" s="317"/>
      <c r="I137" s="318"/>
    </row>
    <row r="138" spans="2:9" hidden="1" x14ac:dyDescent="0.2">
      <c r="B138" s="294" t="s">
        <v>762</v>
      </c>
      <c r="C138" s="321"/>
      <c r="D138" s="321"/>
      <c r="E138" s="322"/>
      <c r="F138" s="322"/>
      <c r="G138" s="333">
        <f t="shared" si="1"/>
        <v>0</v>
      </c>
      <c r="H138" s="317"/>
      <c r="I138" s="318"/>
    </row>
    <row r="139" spans="2:9" hidden="1" x14ac:dyDescent="0.2">
      <c r="B139" s="294" t="s">
        <v>1027</v>
      </c>
      <c r="C139" s="321"/>
      <c r="D139" s="321"/>
      <c r="E139" s="322"/>
      <c r="F139" s="322"/>
      <c r="G139" s="333">
        <f t="shared" si="1"/>
        <v>0</v>
      </c>
      <c r="H139" s="317"/>
      <c r="I139" s="318"/>
    </row>
    <row r="140" spans="2:9" hidden="1" x14ac:dyDescent="0.2">
      <c r="B140" s="294" t="s">
        <v>1026</v>
      </c>
      <c r="C140" s="321"/>
      <c r="D140" s="321"/>
      <c r="E140" s="322"/>
      <c r="F140" s="322"/>
      <c r="G140" s="333">
        <f t="shared" si="1"/>
        <v>0</v>
      </c>
      <c r="H140" s="317"/>
      <c r="I140" s="318"/>
    </row>
    <row r="141" spans="2:9" hidden="1" x14ac:dyDescent="0.2">
      <c r="B141" s="294" t="s">
        <v>298</v>
      </c>
      <c r="C141" s="321"/>
      <c r="D141" s="321"/>
      <c r="E141" s="322"/>
      <c r="F141" s="322"/>
      <c r="G141" s="333">
        <f t="shared" si="1"/>
        <v>0</v>
      </c>
      <c r="H141" s="317"/>
      <c r="I141" s="318"/>
    </row>
    <row r="142" spans="2:9" hidden="1" x14ac:dyDescent="0.2">
      <c r="B142" s="294" t="s">
        <v>295</v>
      </c>
      <c r="C142" s="321"/>
      <c r="D142" s="321"/>
      <c r="E142" s="322"/>
      <c r="F142" s="322"/>
      <c r="G142" s="333">
        <f t="shared" si="1"/>
        <v>0</v>
      </c>
      <c r="H142" s="317"/>
      <c r="I142" s="318"/>
    </row>
    <row r="143" spans="2:9" hidden="1" x14ac:dyDescent="0.2">
      <c r="B143" s="294" t="s">
        <v>1028</v>
      </c>
      <c r="C143" s="321"/>
      <c r="D143" s="321"/>
      <c r="E143" s="322"/>
      <c r="F143" s="322"/>
      <c r="G143" s="333">
        <f t="shared" si="1"/>
        <v>0</v>
      </c>
      <c r="H143" s="317"/>
      <c r="I143" s="318"/>
    </row>
    <row r="144" spans="2:9" hidden="1" x14ac:dyDescent="0.2">
      <c r="B144" s="294" t="s">
        <v>1029</v>
      </c>
      <c r="C144" s="321"/>
      <c r="D144" s="321"/>
      <c r="E144" s="322"/>
      <c r="F144" s="322"/>
      <c r="G144" s="333">
        <f t="shared" si="1"/>
        <v>0</v>
      </c>
      <c r="H144" s="317"/>
      <c r="I144" s="318"/>
    </row>
    <row r="145" spans="2:9" hidden="1" x14ac:dyDescent="0.2">
      <c r="B145" s="294" t="s">
        <v>1030</v>
      </c>
      <c r="C145" s="321"/>
      <c r="D145" s="321"/>
      <c r="E145" s="322"/>
      <c r="F145" s="322"/>
      <c r="G145" s="333">
        <f t="shared" si="1"/>
        <v>0</v>
      </c>
      <c r="H145" s="317"/>
      <c r="I145" s="318"/>
    </row>
    <row r="146" spans="2:9" hidden="1" x14ac:dyDescent="0.2">
      <c r="B146" s="294" t="s">
        <v>513</v>
      </c>
      <c r="C146" s="321"/>
      <c r="D146" s="321"/>
      <c r="E146" s="322"/>
      <c r="F146" s="322"/>
      <c r="G146" s="333">
        <f t="shared" si="1"/>
        <v>0</v>
      </c>
      <c r="H146" s="317"/>
      <c r="I146" s="318"/>
    </row>
    <row r="147" spans="2:9" ht="15" customHeight="1" x14ac:dyDescent="0.2">
      <c r="H147" s="317"/>
      <c r="I147" s="318"/>
    </row>
    <row r="148" spans="2:9" x14ac:dyDescent="0.2">
      <c r="B148" s="341"/>
      <c r="C148" s="342"/>
      <c r="D148" s="342"/>
      <c r="E148" s="343"/>
      <c r="F148" s="343"/>
      <c r="G148" s="343"/>
      <c r="H148" s="318"/>
    </row>
    <row r="149" spans="2:9" x14ac:dyDescent="0.2">
      <c r="B149" s="290" t="s">
        <v>1039</v>
      </c>
      <c r="D149" s="344"/>
    </row>
    <row r="151" spans="2:9" ht="25.5" x14ac:dyDescent="0.2">
      <c r="B151" s="293" t="s">
        <v>1011</v>
      </c>
      <c r="C151" s="293" t="s">
        <v>1012</v>
      </c>
      <c r="D151" s="293" t="s">
        <v>1040</v>
      </c>
      <c r="E151" s="293" t="s">
        <v>1041</v>
      </c>
      <c r="F151" s="293" t="s">
        <v>1042</v>
      </c>
      <c r="G151" s="293" t="s">
        <v>1043</v>
      </c>
    </row>
    <row r="152" spans="2:9" x14ac:dyDescent="0.2">
      <c r="B152" s="345" t="s">
        <v>1033</v>
      </c>
      <c r="C152" s="345" t="s">
        <v>1033</v>
      </c>
      <c r="D152" s="345" t="s">
        <v>1033</v>
      </c>
      <c r="E152" s="345" t="s">
        <v>1033</v>
      </c>
      <c r="F152" s="345" t="s">
        <v>1033</v>
      </c>
      <c r="G152" s="345" t="s">
        <v>1033</v>
      </c>
    </row>
    <row r="153" spans="2:9" x14ac:dyDescent="0.2">
      <c r="D153" s="344"/>
      <c r="E153" s="344"/>
      <c r="F153" s="346"/>
      <c r="G153" s="346"/>
    </row>
    <row r="154" spans="2:9" x14ac:dyDescent="0.2">
      <c r="D154" s="344"/>
      <c r="E154" s="344"/>
      <c r="F154" s="346"/>
      <c r="G154" s="346"/>
    </row>
    <row r="155" spans="2:9" x14ac:dyDescent="0.2">
      <c r="B155" s="290" t="s">
        <v>1044</v>
      </c>
      <c r="G155" s="289" t="s">
        <v>150</v>
      </c>
    </row>
    <row r="156" spans="2:9" x14ac:dyDescent="0.2">
      <c r="B156" s="290"/>
    </row>
    <row r="157" spans="2:9" x14ac:dyDescent="0.2">
      <c r="B157" s="311" t="s">
        <v>1011</v>
      </c>
      <c r="C157" s="311" t="s">
        <v>1019</v>
      </c>
    </row>
    <row r="158" spans="2:9" x14ac:dyDescent="0.2">
      <c r="B158" s="345" t="s">
        <v>1033</v>
      </c>
      <c r="C158" s="345" t="s">
        <v>1033</v>
      </c>
    </row>
    <row r="159" spans="2:9" x14ac:dyDescent="0.2">
      <c r="C159" s="347"/>
      <c r="D159" s="332"/>
    </row>
    <row r="160" spans="2:9" x14ac:dyDescent="0.2">
      <c r="B160" s="290" t="s">
        <v>1045</v>
      </c>
    </row>
    <row r="162" spans="2:7" ht="38.25" x14ac:dyDescent="0.2">
      <c r="B162" s="292" t="s">
        <v>1011</v>
      </c>
      <c r="C162" s="293" t="s">
        <v>1046</v>
      </c>
      <c r="D162" s="293" t="s">
        <v>1047</v>
      </c>
      <c r="E162" s="293" t="s">
        <v>1048</v>
      </c>
      <c r="F162" s="293" t="s">
        <v>1049</v>
      </c>
    </row>
    <row r="163" spans="2:7" x14ac:dyDescent="0.2">
      <c r="B163" s="340"/>
      <c r="C163" s="345"/>
      <c r="D163" s="348"/>
      <c r="E163" s="333"/>
      <c r="F163" s="333">
        <f>+E163-D163</f>
        <v>0</v>
      </c>
    </row>
    <row r="164" spans="2:7" x14ac:dyDescent="0.2">
      <c r="B164" s="349"/>
      <c r="C164" s="350"/>
      <c r="D164" s="351"/>
      <c r="E164" s="351"/>
      <c r="F164" s="352"/>
    </row>
    <row r="165" spans="2:7" x14ac:dyDescent="0.2">
      <c r="B165" s="349"/>
      <c r="C165" s="350"/>
      <c r="D165" s="351"/>
      <c r="E165" s="351"/>
      <c r="F165" s="352"/>
    </row>
    <row r="167" spans="2:7" x14ac:dyDescent="0.2">
      <c r="B167" s="290" t="s">
        <v>1050</v>
      </c>
    </row>
    <row r="169" spans="2:7" ht="25.5" x14ac:dyDescent="0.2">
      <c r="B169" s="293" t="s">
        <v>1011</v>
      </c>
      <c r="C169" s="293" t="s">
        <v>1012</v>
      </c>
      <c r="D169" s="293" t="s">
        <v>1040</v>
      </c>
      <c r="E169" s="293" t="s">
        <v>1041</v>
      </c>
      <c r="F169" s="293" t="s">
        <v>1042</v>
      </c>
      <c r="G169" s="293" t="s">
        <v>1043</v>
      </c>
    </row>
    <row r="170" spans="2:7" x14ac:dyDescent="0.2">
      <c r="B170" s="294" t="s">
        <v>1033</v>
      </c>
      <c r="C170" s="294" t="s">
        <v>1033</v>
      </c>
      <c r="D170" s="294" t="s">
        <v>1033</v>
      </c>
      <c r="E170" s="294" t="s">
        <v>1033</v>
      </c>
      <c r="F170" s="294" t="s">
        <v>1033</v>
      </c>
      <c r="G170" s="294" t="s">
        <v>1033</v>
      </c>
    </row>
    <row r="171" spans="2:7" x14ac:dyDescent="0.2">
      <c r="C171" s="327"/>
      <c r="D171" s="353"/>
      <c r="E171" s="354"/>
      <c r="F171" s="346"/>
      <c r="G171" s="346"/>
    </row>
    <row r="172" spans="2:7" x14ac:dyDescent="0.2">
      <c r="B172" s="290" t="s">
        <v>1051</v>
      </c>
    </row>
    <row r="173" spans="2:7" x14ac:dyDescent="0.2">
      <c r="B173" s="290"/>
    </row>
    <row r="174" spans="2:7" x14ac:dyDescent="0.2">
      <c r="B174" s="311" t="s">
        <v>1011</v>
      </c>
      <c r="C174" s="311" t="s">
        <v>1019</v>
      </c>
    </row>
    <row r="175" spans="2:7" x14ac:dyDescent="0.2">
      <c r="B175" s="294" t="s">
        <v>1033</v>
      </c>
      <c r="C175" s="294" t="s">
        <v>1033</v>
      </c>
    </row>
    <row r="176" spans="2:7" x14ac:dyDescent="0.2">
      <c r="B176" s="331"/>
      <c r="C176" s="332"/>
    </row>
    <row r="177" spans="2:7" x14ac:dyDescent="0.2">
      <c r="B177" s="290" t="s">
        <v>1052</v>
      </c>
    </row>
    <row r="179" spans="2:7" ht="38.25" x14ac:dyDescent="0.2">
      <c r="B179" s="292" t="s">
        <v>1011</v>
      </c>
      <c r="C179" s="293" t="s">
        <v>1046</v>
      </c>
      <c r="D179" s="293" t="s">
        <v>1053</v>
      </c>
      <c r="E179" s="293" t="s">
        <v>1054</v>
      </c>
      <c r="F179" s="293" t="s">
        <v>1049</v>
      </c>
    </row>
    <row r="180" spans="2:7" x14ac:dyDescent="0.2">
      <c r="B180" s="294"/>
      <c r="C180" s="345"/>
      <c r="D180" s="348"/>
      <c r="E180" s="345"/>
      <c r="F180" s="345"/>
    </row>
    <row r="181" spans="2:7" x14ac:dyDescent="0.2">
      <c r="G181" s="355"/>
    </row>
    <row r="182" spans="2:7" x14ac:dyDescent="0.2">
      <c r="F182" s="323"/>
      <c r="G182" s="319"/>
    </row>
    <row r="183" spans="2:7" x14ac:dyDescent="0.2">
      <c r="B183" s="290" t="s">
        <v>1055</v>
      </c>
    </row>
    <row r="184" spans="2:7" x14ac:dyDescent="0.2">
      <c r="B184" s="290"/>
    </row>
    <row r="185" spans="2:7" x14ac:dyDescent="0.2">
      <c r="E185" s="319"/>
    </row>
    <row r="186" spans="2:7" x14ac:dyDescent="0.2">
      <c r="B186" s="290" t="s">
        <v>1056</v>
      </c>
      <c r="E186" s="319"/>
    </row>
    <row r="187" spans="2:7" x14ac:dyDescent="0.2">
      <c r="E187" s="319"/>
    </row>
    <row r="188" spans="2:7" ht="25.5" x14ac:dyDescent="0.2">
      <c r="B188" s="292" t="s">
        <v>1011</v>
      </c>
      <c r="C188" s="293" t="s">
        <v>1012</v>
      </c>
      <c r="D188" s="293" t="s">
        <v>1013</v>
      </c>
      <c r="E188" s="293" t="s">
        <v>1057</v>
      </c>
      <c r="F188" s="293" t="s">
        <v>1058</v>
      </c>
      <c r="G188" s="293" t="s">
        <v>1059</v>
      </c>
    </row>
    <row r="189" spans="2:7" x14ac:dyDescent="0.2">
      <c r="B189" s="314" t="s">
        <v>1033</v>
      </c>
      <c r="C189" s="320" t="s">
        <v>1033</v>
      </c>
      <c r="D189" s="356" t="s">
        <v>1033</v>
      </c>
      <c r="E189" s="357" t="s">
        <v>1033</v>
      </c>
      <c r="F189" s="357" t="s">
        <v>1033</v>
      </c>
      <c r="G189" s="357" t="s">
        <v>1033</v>
      </c>
    </row>
    <row r="190" spans="2:7" x14ac:dyDescent="0.2">
      <c r="E190" s="319"/>
    </row>
    <row r="191" spans="2:7" x14ac:dyDescent="0.2">
      <c r="B191" s="290" t="s">
        <v>1060</v>
      </c>
      <c r="E191" s="319"/>
    </row>
    <row r="192" spans="2:7" x14ac:dyDescent="0.2">
      <c r="B192" s="290"/>
      <c r="E192" s="319"/>
    </row>
    <row r="193" spans="2:10" x14ac:dyDescent="0.2">
      <c r="B193" s="311" t="s">
        <v>1011</v>
      </c>
      <c r="C193" s="311" t="s">
        <v>1019</v>
      </c>
      <c r="E193" s="319"/>
    </row>
    <row r="194" spans="2:10" x14ac:dyDescent="0.2">
      <c r="B194" s="345" t="s">
        <v>1033</v>
      </c>
      <c r="C194" s="313" t="s">
        <v>1033</v>
      </c>
      <c r="E194" s="319"/>
    </row>
    <row r="195" spans="2:10" x14ac:dyDescent="0.2">
      <c r="E195" s="319"/>
    </row>
    <row r="196" spans="2:10" x14ac:dyDescent="0.2">
      <c r="B196" s="290" t="s">
        <v>1061</v>
      </c>
      <c r="E196" s="319"/>
    </row>
    <row r="197" spans="2:10" x14ac:dyDescent="0.2">
      <c r="E197" s="319"/>
    </row>
    <row r="198" spans="2:10" ht="63.75" x14ac:dyDescent="0.2">
      <c r="B198" s="292" t="s">
        <v>1011</v>
      </c>
      <c r="C198" s="293" t="s">
        <v>1021</v>
      </c>
      <c r="D198" s="293" t="s">
        <v>1022</v>
      </c>
      <c r="E198" s="293" t="s">
        <v>1023</v>
      </c>
      <c r="F198" s="293" t="s">
        <v>1024</v>
      </c>
      <c r="G198" s="293" t="s">
        <v>1025</v>
      </c>
    </row>
    <row r="199" spans="2:10" x14ac:dyDescent="0.2">
      <c r="B199" s="313"/>
      <c r="C199" s="313"/>
      <c r="D199" s="315"/>
      <c r="E199" s="358"/>
      <c r="F199" s="359"/>
      <c r="G199" s="360"/>
      <c r="I199" s="318"/>
      <c r="J199" s="319"/>
    </row>
    <row r="200" spans="2:10" x14ac:dyDescent="0.2">
      <c r="E200" s="319"/>
    </row>
    <row r="201" spans="2:10" x14ac:dyDescent="0.2">
      <c r="E201" s="319"/>
    </row>
    <row r="202" spans="2:10" x14ac:dyDescent="0.2">
      <c r="B202" s="290" t="s">
        <v>1062</v>
      </c>
      <c r="E202" s="319"/>
    </row>
    <row r="203" spans="2:10" x14ac:dyDescent="0.2">
      <c r="E203" s="319"/>
    </row>
    <row r="204" spans="2:10" ht="63.75" x14ac:dyDescent="0.2">
      <c r="B204" s="292" t="s">
        <v>1011</v>
      </c>
      <c r="C204" s="293" t="s">
        <v>1021</v>
      </c>
      <c r="D204" s="293" t="s">
        <v>1022</v>
      </c>
      <c r="E204" s="293" t="s">
        <v>1023</v>
      </c>
      <c r="F204" s="293" t="s">
        <v>1024</v>
      </c>
      <c r="G204" s="293" t="s">
        <v>1025</v>
      </c>
    </row>
    <row r="205" spans="2:10" x14ac:dyDescent="0.2">
      <c r="B205" s="296"/>
      <c r="C205" s="345"/>
      <c r="D205" s="345"/>
      <c r="E205" s="361"/>
      <c r="F205" s="361"/>
      <c r="G205" s="361"/>
    </row>
    <row r="206" spans="2:10" x14ac:dyDescent="0.2">
      <c r="E206" s="319"/>
    </row>
    <row r="207" spans="2:10" x14ac:dyDescent="0.2">
      <c r="E207" s="319"/>
    </row>
    <row r="208" spans="2:10" x14ac:dyDescent="0.2">
      <c r="E208" s="319"/>
    </row>
    <row r="209" spans="2:2" x14ac:dyDescent="0.2">
      <c r="B209" s="289" t="s">
        <v>1063</v>
      </c>
    </row>
  </sheetData>
  <mergeCells count="3">
    <mergeCell ref="B2:G2"/>
    <mergeCell ref="B3:G3"/>
    <mergeCell ref="B5:G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80A3-1DA8-48C5-8D7D-2F774920F036}">
  <dimension ref="B1:H23"/>
  <sheetViews>
    <sheetView workbookViewId="0">
      <selection activeCell="B1" sqref="B1"/>
    </sheetView>
  </sheetViews>
  <sheetFormatPr defaultColWidth="8.85546875" defaultRowHeight="15" x14ac:dyDescent="0.25"/>
  <cols>
    <col min="1" max="1" width="2.5703125" style="37" customWidth="1"/>
    <col min="2" max="2" width="13.42578125" style="37" bestFit="1" customWidth="1"/>
    <col min="3" max="3" width="56.140625" style="37" bestFit="1" customWidth="1"/>
    <col min="4" max="4" width="14.140625" style="37" bestFit="1" customWidth="1"/>
    <col min="5" max="5" width="18.7109375" style="37" bestFit="1" customWidth="1"/>
    <col min="6" max="6" width="26.28515625" style="37" bestFit="1" customWidth="1"/>
    <col min="7" max="7" width="11.140625" style="37" bestFit="1" customWidth="1"/>
    <col min="8" max="8" width="15" style="37" bestFit="1" customWidth="1"/>
    <col min="9" max="232" width="8.85546875" style="37"/>
    <col min="233" max="233" width="2.5703125" style="37" customWidth="1"/>
    <col min="234" max="234" width="14" style="37" bestFit="1" customWidth="1"/>
    <col min="235" max="235" width="61.140625" style="37" bestFit="1" customWidth="1"/>
    <col min="236" max="236" width="14.140625" style="37" bestFit="1" customWidth="1"/>
    <col min="237" max="237" width="18.7109375" style="37" bestFit="1" customWidth="1"/>
    <col min="238" max="238" width="29.42578125" style="37" bestFit="1" customWidth="1"/>
    <col min="239" max="239" width="11.140625" style="37" bestFit="1" customWidth="1"/>
    <col min="240" max="240" width="15" style="37" bestFit="1" customWidth="1"/>
    <col min="241" max="241" width="9.5703125" style="37" bestFit="1" customWidth="1"/>
    <col min="242" max="243" width="12" style="37" bestFit="1" customWidth="1"/>
    <col min="244" max="488" width="8.85546875" style="37"/>
    <col min="489" max="489" width="2.5703125" style="37" customWidth="1"/>
    <col min="490" max="490" width="14" style="37" bestFit="1" customWidth="1"/>
    <col min="491" max="491" width="61.140625" style="37" bestFit="1" customWidth="1"/>
    <col min="492" max="492" width="14.140625" style="37" bestFit="1" customWidth="1"/>
    <col min="493" max="493" width="18.7109375" style="37" bestFit="1" customWidth="1"/>
    <col min="494" max="494" width="29.42578125" style="37" bestFit="1" customWidth="1"/>
    <col min="495" max="495" width="11.140625" style="37" bestFit="1" customWidth="1"/>
    <col min="496" max="496" width="15" style="37" bestFit="1" customWidth="1"/>
    <col min="497" max="497" width="9.5703125" style="37" bestFit="1" customWidth="1"/>
    <col min="498" max="499" width="12" style="37" bestFit="1" customWidth="1"/>
    <col min="500" max="744" width="8.85546875" style="37"/>
    <col min="745" max="745" width="2.5703125" style="37" customWidth="1"/>
    <col min="746" max="746" width="14" style="37" bestFit="1" customWidth="1"/>
    <col min="747" max="747" width="61.140625" style="37" bestFit="1" customWidth="1"/>
    <col min="748" max="748" width="14.140625" style="37" bestFit="1" customWidth="1"/>
    <col min="749" max="749" width="18.7109375" style="37" bestFit="1" customWidth="1"/>
    <col min="750" max="750" width="29.42578125" style="37" bestFit="1" customWidth="1"/>
    <col min="751" max="751" width="11.140625" style="37" bestFit="1" customWidth="1"/>
    <col min="752" max="752" width="15" style="37" bestFit="1" customWidth="1"/>
    <col min="753" max="753" width="9.5703125" style="37" bestFit="1" customWidth="1"/>
    <col min="754" max="755" width="12" style="37" bestFit="1" customWidth="1"/>
    <col min="756" max="1000" width="8.85546875" style="37"/>
    <col min="1001" max="1001" width="2.5703125" style="37" customWidth="1"/>
    <col min="1002" max="1002" width="14" style="37" bestFit="1" customWidth="1"/>
    <col min="1003" max="1003" width="61.140625" style="37" bestFit="1" customWidth="1"/>
    <col min="1004" max="1004" width="14.140625" style="37" bestFit="1" customWidth="1"/>
    <col min="1005" max="1005" width="18.7109375" style="37" bestFit="1" customWidth="1"/>
    <col min="1006" max="1006" width="29.42578125" style="37" bestFit="1" customWidth="1"/>
    <col min="1007" max="1007" width="11.140625" style="37" bestFit="1" customWidth="1"/>
    <col min="1008" max="1008" width="15" style="37" bestFit="1" customWidth="1"/>
    <col min="1009" max="1009" width="9.5703125" style="37" bestFit="1" customWidth="1"/>
    <col min="1010" max="1011" width="12" style="37" bestFit="1" customWidth="1"/>
    <col min="1012" max="1256" width="8.85546875" style="37"/>
    <col min="1257" max="1257" width="2.5703125" style="37" customWidth="1"/>
    <col min="1258" max="1258" width="14" style="37" bestFit="1" customWidth="1"/>
    <col min="1259" max="1259" width="61.140625" style="37" bestFit="1" customWidth="1"/>
    <col min="1260" max="1260" width="14.140625" style="37" bestFit="1" customWidth="1"/>
    <col min="1261" max="1261" width="18.7109375" style="37" bestFit="1" customWidth="1"/>
    <col min="1262" max="1262" width="29.42578125" style="37" bestFit="1" customWidth="1"/>
    <col min="1263" max="1263" width="11.140625" style="37" bestFit="1" customWidth="1"/>
    <col min="1264" max="1264" width="15" style="37" bestFit="1" customWidth="1"/>
    <col min="1265" max="1265" width="9.5703125" style="37" bestFit="1" customWidth="1"/>
    <col min="1266" max="1267" width="12" style="37" bestFit="1" customWidth="1"/>
    <col min="1268" max="1512" width="8.85546875" style="37"/>
    <col min="1513" max="1513" width="2.5703125" style="37" customWidth="1"/>
    <col min="1514" max="1514" width="14" style="37" bestFit="1" customWidth="1"/>
    <col min="1515" max="1515" width="61.140625" style="37" bestFit="1" customWidth="1"/>
    <col min="1516" max="1516" width="14.140625" style="37" bestFit="1" customWidth="1"/>
    <col min="1517" max="1517" width="18.7109375" style="37" bestFit="1" customWidth="1"/>
    <col min="1518" max="1518" width="29.42578125" style="37" bestFit="1" customWidth="1"/>
    <col min="1519" max="1519" width="11.140625" style="37" bestFit="1" customWidth="1"/>
    <col min="1520" max="1520" width="15" style="37" bestFit="1" customWidth="1"/>
    <col min="1521" max="1521" width="9.5703125" style="37" bestFit="1" customWidth="1"/>
    <col min="1522" max="1523" width="12" style="37" bestFit="1" customWidth="1"/>
    <col min="1524" max="1768" width="8.85546875" style="37"/>
    <col min="1769" max="1769" width="2.5703125" style="37" customWidth="1"/>
    <col min="1770" max="1770" width="14" style="37" bestFit="1" customWidth="1"/>
    <col min="1771" max="1771" width="61.140625" style="37" bestFit="1" customWidth="1"/>
    <col min="1772" max="1772" width="14.140625" style="37" bestFit="1" customWidth="1"/>
    <col min="1773" max="1773" width="18.7109375" style="37" bestFit="1" customWidth="1"/>
    <col min="1774" max="1774" width="29.42578125" style="37" bestFit="1" customWidth="1"/>
    <col min="1775" max="1775" width="11.140625" style="37" bestFit="1" customWidth="1"/>
    <col min="1776" max="1776" width="15" style="37" bestFit="1" customWidth="1"/>
    <col min="1777" max="1777" width="9.5703125" style="37" bestFit="1" customWidth="1"/>
    <col min="1778" max="1779" width="12" style="37" bestFit="1" customWidth="1"/>
    <col min="1780" max="2024" width="8.85546875" style="37"/>
    <col min="2025" max="2025" width="2.5703125" style="37" customWidth="1"/>
    <col min="2026" max="2026" width="14" style="37" bestFit="1" customWidth="1"/>
    <col min="2027" max="2027" width="61.140625" style="37" bestFit="1" customWidth="1"/>
    <col min="2028" max="2028" width="14.140625" style="37" bestFit="1" customWidth="1"/>
    <col min="2029" max="2029" width="18.7109375" style="37" bestFit="1" customWidth="1"/>
    <col min="2030" max="2030" width="29.42578125" style="37" bestFit="1" customWidth="1"/>
    <col min="2031" max="2031" width="11.140625" style="37" bestFit="1" customWidth="1"/>
    <col min="2032" max="2032" width="15" style="37" bestFit="1" customWidth="1"/>
    <col min="2033" max="2033" width="9.5703125" style="37" bestFit="1" customWidth="1"/>
    <col min="2034" max="2035" width="12" style="37" bestFit="1" customWidth="1"/>
    <col min="2036" max="2280" width="8.85546875" style="37"/>
    <col min="2281" max="2281" width="2.5703125" style="37" customWidth="1"/>
    <col min="2282" max="2282" width="14" style="37" bestFit="1" customWidth="1"/>
    <col min="2283" max="2283" width="61.140625" style="37" bestFit="1" customWidth="1"/>
    <col min="2284" max="2284" width="14.140625" style="37" bestFit="1" customWidth="1"/>
    <col min="2285" max="2285" width="18.7109375" style="37" bestFit="1" customWidth="1"/>
    <col min="2286" max="2286" width="29.42578125" style="37" bestFit="1" customWidth="1"/>
    <col min="2287" max="2287" width="11.140625" style="37" bestFit="1" customWidth="1"/>
    <col min="2288" max="2288" width="15" style="37" bestFit="1" customWidth="1"/>
    <col min="2289" max="2289" width="9.5703125" style="37" bestFit="1" customWidth="1"/>
    <col min="2290" max="2291" width="12" style="37" bestFit="1" customWidth="1"/>
    <col min="2292" max="2536" width="8.85546875" style="37"/>
    <col min="2537" max="2537" width="2.5703125" style="37" customWidth="1"/>
    <col min="2538" max="2538" width="14" style="37" bestFit="1" customWidth="1"/>
    <col min="2539" max="2539" width="61.140625" style="37" bestFit="1" customWidth="1"/>
    <col min="2540" max="2540" width="14.140625" style="37" bestFit="1" customWidth="1"/>
    <col min="2541" max="2541" width="18.7109375" style="37" bestFit="1" customWidth="1"/>
    <col min="2542" max="2542" width="29.42578125" style="37" bestFit="1" customWidth="1"/>
    <col min="2543" max="2543" width="11.140625" style="37" bestFit="1" customWidth="1"/>
    <col min="2544" max="2544" width="15" style="37" bestFit="1" customWidth="1"/>
    <col min="2545" max="2545" width="9.5703125" style="37" bestFit="1" customWidth="1"/>
    <col min="2546" max="2547" width="12" style="37" bestFit="1" customWidth="1"/>
    <col min="2548" max="2792" width="8.85546875" style="37"/>
    <col min="2793" max="2793" width="2.5703125" style="37" customWidth="1"/>
    <col min="2794" max="2794" width="14" style="37" bestFit="1" customWidth="1"/>
    <col min="2795" max="2795" width="61.140625" style="37" bestFit="1" customWidth="1"/>
    <col min="2796" max="2796" width="14.140625" style="37" bestFit="1" customWidth="1"/>
    <col min="2797" max="2797" width="18.7109375" style="37" bestFit="1" customWidth="1"/>
    <col min="2798" max="2798" width="29.42578125" style="37" bestFit="1" customWidth="1"/>
    <col min="2799" max="2799" width="11.140625" style="37" bestFit="1" customWidth="1"/>
    <col min="2800" max="2800" width="15" style="37" bestFit="1" customWidth="1"/>
    <col min="2801" max="2801" width="9.5703125" style="37" bestFit="1" customWidth="1"/>
    <col min="2802" max="2803" width="12" style="37" bestFit="1" customWidth="1"/>
    <col min="2804" max="3048" width="8.85546875" style="37"/>
    <col min="3049" max="3049" width="2.5703125" style="37" customWidth="1"/>
    <col min="3050" max="3050" width="14" style="37" bestFit="1" customWidth="1"/>
    <col min="3051" max="3051" width="61.140625" style="37" bestFit="1" customWidth="1"/>
    <col min="3052" max="3052" width="14.140625" style="37" bestFit="1" customWidth="1"/>
    <col min="3053" max="3053" width="18.7109375" style="37" bestFit="1" customWidth="1"/>
    <col min="3054" max="3054" width="29.42578125" style="37" bestFit="1" customWidth="1"/>
    <col min="3055" max="3055" width="11.140625" style="37" bestFit="1" customWidth="1"/>
    <col min="3056" max="3056" width="15" style="37" bestFit="1" customWidth="1"/>
    <col min="3057" max="3057" width="9.5703125" style="37" bestFit="1" customWidth="1"/>
    <col min="3058" max="3059" width="12" style="37" bestFit="1" customWidth="1"/>
    <col min="3060" max="3304" width="8.85546875" style="37"/>
    <col min="3305" max="3305" width="2.5703125" style="37" customWidth="1"/>
    <col min="3306" max="3306" width="14" style="37" bestFit="1" customWidth="1"/>
    <col min="3307" max="3307" width="61.140625" style="37" bestFit="1" customWidth="1"/>
    <col min="3308" max="3308" width="14.140625" style="37" bestFit="1" customWidth="1"/>
    <col min="3309" max="3309" width="18.7109375" style="37" bestFit="1" customWidth="1"/>
    <col min="3310" max="3310" width="29.42578125" style="37" bestFit="1" customWidth="1"/>
    <col min="3311" max="3311" width="11.140625" style="37" bestFit="1" customWidth="1"/>
    <col min="3312" max="3312" width="15" style="37" bestFit="1" customWidth="1"/>
    <col min="3313" max="3313" width="9.5703125" style="37" bestFit="1" customWidth="1"/>
    <col min="3314" max="3315" width="12" style="37" bestFit="1" customWidth="1"/>
    <col min="3316" max="3560" width="8.85546875" style="37"/>
    <col min="3561" max="3561" width="2.5703125" style="37" customWidth="1"/>
    <col min="3562" max="3562" width="14" style="37" bestFit="1" customWidth="1"/>
    <col min="3563" max="3563" width="61.140625" style="37" bestFit="1" customWidth="1"/>
    <col min="3564" max="3564" width="14.140625" style="37" bestFit="1" customWidth="1"/>
    <col min="3565" max="3565" width="18.7109375" style="37" bestFit="1" customWidth="1"/>
    <col min="3566" max="3566" width="29.42578125" style="37" bestFit="1" customWidth="1"/>
    <col min="3567" max="3567" width="11.140625" style="37" bestFit="1" customWidth="1"/>
    <col min="3568" max="3568" width="15" style="37" bestFit="1" customWidth="1"/>
    <col min="3569" max="3569" width="9.5703125" style="37" bestFit="1" customWidth="1"/>
    <col min="3570" max="3571" width="12" style="37" bestFit="1" customWidth="1"/>
    <col min="3572" max="3816" width="8.85546875" style="37"/>
    <col min="3817" max="3817" width="2.5703125" style="37" customWidth="1"/>
    <col min="3818" max="3818" width="14" style="37" bestFit="1" customWidth="1"/>
    <col min="3819" max="3819" width="61.140625" style="37" bestFit="1" customWidth="1"/>
    <col min="3820" max="3820" width="14.140625" style="37" bestFit="1" customWidth="1"/>
    <col min="3821" max="3821" width="18.7109375" style="37" bestFit="1" customWidth="1"/>
    <col min="3822" max="3822" width="29.42578125" style="37" bestFit="1" customWidth="1"/>
    <col min="3823" max="3823" width="11.140625" style="37" bestFit="1" customWidth="1"/>
    <col min="3824" max="3824" width="15" style="37" bestFit="1" customWidth="1"/>
    <col min="3825" max="3825" width="9.5703125" style="37" bestFit="1" customWidth="1"/>
    <col min="3826" max="3827" width="12" style="37" bestFit="1" customWidth="1"/>
    <col min="3828" max="4072" width="8.85546875" style="37"/>
    <col min="4073" max="4073" width="2.5703125" style="37" customWidth="1"/>
    <col min="4074" max="4074" width="14" style="37" bestFit="1" customWidth="1"/>
    <col min="4075" max="4075" width="61.140625" style="37" bestFit="1" customWidth="1"/>
    <col min="4076" max="4076" width="14.140625" style="37" bestFit="1" customWidth="1"/>
    <col min="4077" max="4077" width="18.7109375" style="37" bestFit="1" customWidth="1"/>
    <col min="4078" max="4078" width="29.42578125" style="37" bestFit="1" customWidth="1"/>
    <col min="4079" max="4079" width="11.140625" style="37" bestFit="1" customWidth="1"/>
    <col min="4080" max="4080" width="15" style="37" bestFit="1" customWidth="1"/>
    <col min="4081" max="4081" width="9.5703125" style="37" bestFit="1" customWidth="1"/>
    <col min="4082" max="4083" width="12" style="37" bestFit="1" customWidth="1"/>
    <col min="4084" max="4328" width="8.85546875" style="37"/>
    <col min="4329" max="4329" width="2.5703125" style="37" customWidth="1"/>
    <col min="4330" max="4330" width="14" style="37" bestFit="1" customWidth="1"/>
    <col min="4331" max="4331" width="61.140625" style="37" bestFit="1" customWidth="1"/>
    <col min="4332" max="4332" width="14.140625" style="37" bestFit="1" customWidth="1"/>
    <col min="4333" max="4333" width="18.7109375" style="37" bestFit="1" customWidth="1"/>
    <col min="4334" max="4334" width="29.42578125" style="37" bestFit="1" customWidth="1"/>
    <col min="4335" max="4335" width="11.140625" style="37" bestFit="1" customWidth="1"/>
    <col min="4336" max="4336" width="15" style="37" bestFit="1" customWidth="1"/>
    <col min="4337" max="4337" width="9.5703125" style="37" bestFit="1" customWidth="1"/>
    <col min="4338" max="4339" width="12" style="37" bestFit="1" customWidth="1"/>
    <col min="4340" max="4584" width="8.85546875" style="37"/>
    <col min="4585" max="4585" width="2.5703125" style="37" customWidth="1"/>
    <col min="4586" max="4586" width="14" style="37" bestFit="1" customWidth="1"/>
    <col min="4587" max="4587" width="61.140625" style="37" bestFit="1" customWidth="1"/>
    <col min="4588" max="4588" width="14.140625" style="37" bestFit="1" customWidth="1"/>
    <col min="4589" max="4589" width="18.7109375" style="37" bestFit="1" customWidth="1"/>
    <col min="4590" max="4590" width="29.42578125" style="37" bestFit="1" customWidth="1"/>
    <col min="4591" max="4591" width="11.140625" style="37" bestFit="1" customWidth="1"/>
    <col min="4592" max="4592" width="15" style="37" bestFit="1" customWidth="1"/>
    <col min="4593" max="4593" width="9.5703125" style="37" bestFit="1" customWidth="1"/>
    <col min="4594" max="4595" width="12" style="37" bestFit="1" customWidth="1"/>
    <col min="4596" max="4840" width="8.85546875" style="37"/>
    <col min="4841" max="4841" width="2.5703125" style="37" customWidth="1"/>
    <col min="4842" max="4842" width="14" style="37" bestFit="1" customWidth="1"/>
    <col min="4843" max="4843" width="61.140625" style="37" bestFit="1" customWidth="1"/>
    <col min="4844" max="4844" width="14.140625" style="37" bestFit="1" customWidth="1"/>
    <col min="4845" max="4845" width="18.7109375" style="37" bestFit="1" customWidth="1"/>
    <col min="4846" max="4846" width="29.42578125" style="37" bestFit="1" customWidth="1"/>
    <col min="4847" max="4847" width="11.140625" style="37" bestFit="1" customWidth="1"/>
    <col min="4848" max="4848" width="15" style="37" bestFit="1" customWidth="1"/>
    <col min="4849" max="4849" width="9.5703125" style="37" bestFit="1" customWidth="1"/>
    <col min="4850" max="4851" width="12" style="37" bestFit="1" customWidth="1"/>
    <col min="4852" max="5096" width="8.85546875" style="37"/>
    <col min="5097" max="5097" width="2.5703125" style="37" customWidth="1"/>
    <col min="5098" max="5098" width="14" style="37" bestFit="1" customWidth="1"/>
    <col min="5099" max="5099" width="61.140625" style="37" bestFit="1" customWidth="1"/>
    <col min="5100" max="5100" width="14.140625" style="37" bestFit="1" customWidth="1"/>
    <col min="5101" max="5101" width="18.7109375" style="37" bestFit="1" customWidth="1"/>
    <col min="5102" max="5102" width="29.42578125" style="37" bestFit="1" customWidth="1"/>
    <col min="5103" max="5103" width="11.140625" style="37" bestFit="1" customWidth="1"/>
    <col min="5104" max="5104" width="15" style="37" bestFit="1" customWidth="1"/>
    <col min="5105" max="5105" width="9.5703125" style="37" bestFit="1" customWidth="1"/>
    <col min="5106" max="5107" width="12" style="37" bestFit="1" customWidth="1"/>
    <col min="5108" max="5352" width="8.85546875" style="37"/>
    <col min="5353" max="5353" width="2.5703125" style="37" customWidth="1"/>
    <col min="5354" max="5354" width="14" style="37" bestFit="1" customWidth="1"/>
    <col min="5355" max="5355" width="61.140625" style="37" bestFit="1" customWidth="1"/>
    <col min="5356" max="5356" width="14.140625" style="37" bestFit="1" customWidth="1"/>
    <col min="5357" max="5357" width="18.7109375" style="37" bestFit="1" customWidth="1"/>
    <col min="5358" max="5358" width="29.42578125" style="37" bestFit="1" customWidth="1"/>
    <col min="5359" max="5359" width="11.140625" style="37" bestFit="1" customWidth="1"/>
    <col min="5360" max="5360" width="15" style="37" bestFit="1" customWidth="1"/>
    <col min="5361" max="5361" width="9.5703125" style="37" bestFit="1" customWidth="1"/>
    <col min="5362" max="5363" width="12" style="37" bestFit="1" customWidth="1"/>
    <col min="5364" max="5608" width="8.85546875" style="37"/>
    <col min="5609" max="5609" width="2.5703125" style="37" customWidth="1"/>
    <col min="5610" max="5610" width="14" style="37" bestFit="1" customWidth="1"/>
    <col min="5611" max="5611" width="61.140625" style="37" bestFit="1" customWidth="1"/>
    <col min="5612" max="5612" width="14.140625" style="37" bestFit="1" customWidth="1"/>
    <col min="5613" max="5613" width="18.7109375" style="37" bestFit="1" customWidth="1"/>
    <col min="5614" max="5614" width="29.42578125" style="37" bestFit="1" customWidth="1"/>
    <col min="5615" max="5615" width="11.140625" style="37" bestFit="1" customWidth="1"/>
    <col min="5616" max="5616" width="15" style="37" bestFit="1" customWidth="1"/>
    <col min="5617" max="5617" width="9.5703125" style="37" bestFit="1" customWidth="1"/>
    <col min="5618" max="5619" width="12" style="37" bestFit="1" customWidth="1"/>
    <col min="5620" max="5864" width="8.85546875" style="37"/>
    <col min="5865" max="5865" width="2.5703125" style="37" customWidth="1"/>
    <col min="5866" max="5866" width="14" style="37" bestFit="1" customWidth="1"/>
    <col min="5867" max="5867" width="61.140625" style="37" bestFit="1" customWidth="1"/>
    <col min="5868" max="5868" width="14.140625" style="37" bestFit="1" customWidth="1"/>
    <col min="5869" max="5869" width="18.7109375" style="37" bestFit="1" customWidth="1"/>
    <col min="5870" max="5870" width="29.42578125" style="37" bestFit="1" customWidth="1"/>
    <col min="5871" max="5871" width="11.140625" style="37" bestFit="1" customWidth="1"/>
    <col min="5872" max="5872" width="15" style="37" bestFit="1" customWidth="1"/>
    <col min="5873" max="5873" width="9.5703125" style="37" bestFit="1" customWidth="1"/>
    <col min="5874" max="5875" width="12" style="37" bestFit="1" customWidth="1"/>
    <col min="5876" max="6120" width="8.85546875" style="37"/>
    <col min="6121" max="6121" width="2.5703125" style="37" customWidth="1"/>
    <col min="6122" max="6122" width="14" style="37" bestFit="1" customWidth="1"/>
    <col min="6123" max="6123" width="61.140625" style="37" bestFit="1" customWidth="1"/>
    <col min="6124" max="6124" width="14.140625" style="37" bestFit="1" customWidth="1"/>
    <col min="6125" max="6125" width="18.7109375" style="37" bestFit="1" customWidth="1"/>
    <col min="6126" max="6126" width="29.42578125" style="37" bestFit="1" customWidth="1"/>
    <col min="6127" max="6127" width="11.140625" style="37" bestFit="1" customWidth="1"/>
    <col min="6128" max="6128" width="15" style="37" bestFit="1" customWidth="1"/>
    <col min="6129" max="6129" width="9.5703125" style="37" bestFit="1" customWidth="1"/>
    <col min="6130" max="6131" width="12" style="37" bestFit="1" customWidth="1"/>
    <col min="6132" max="6376" width="8.85546875" style="37"/>
    <col min="6377" max="6377" width="2.5703125" style="37" customWidth="1"/>
    <col min="6378" max="6378" width="14" style="37" bestFit="1" customWidth="1"/>
    <col min="6379" max="6379" width="61.140625" style="37" bestFit="1" customWidth="1"/>
    <col min="6380" max="6380" width="14.140625" style="37" bestFit="1" customWidth="1"/>
    <col min="6381" max="6381" width="18.7109375" style="37" bestFit="1" customWidth="1"/>
    <col min="6382" max="6382" width="29.42578125" style="37" bestFit="1" customWidth="1"/>
    <col min="6383" max="6383" width="11.140625" style="37" bestFit="1" customWidth="1"/>
    <col min="6384" max="6384" width="15" style="37" bestFit="1" customWidth="1"/>
    <col min="6385" max="6385" width="9.5703125" style="37" bestFit="1" customWidth="1"/>
    <col min="6386" max="6387" width="12" style="37" bestFit="1" customWidth="1"/>
    <col min="6388" max="6632" width="8.85546875" style="37"/>
    <col min="6633" max="6633" width="2.5703125" style="37" customWidth="1"/>
    <col min="6634" max="6634" width="14" style="37" bestFit="1" customWidth="1"/>
    <col min="6635" max="6635" width="61.140625" style="37" bestFit="1" customWidth="1"/>
    <col min="6636" max="6636" width="14.140625" style="37" bestFit="1" customWidth="1"/>
    <col min="6637" max="6637" width="18.7109375" style="37" bestFit="1" customWidth="1"/>
    <col min="6638" max="6638" width="29.42578125" style="37" bestFit="1" customWidth="1"/>
    <col min="6639" max="6639" width="11.140625" style="37" bestFit="1" customWidth="1"/>
    <col min="6640" max="6640" width="15" style="37" bestFit="1" customWidth="1"/>
    <col min="6641" max="6641" width="9.5703125" style="37" bestFit="1" customWidth="1"/>
    <col min="6642" max="6643" width="12" style="37" bestFit="1" customWidth="1"/>
    <col min="6644" max="6888" width="8.85546875" style="37"/>
    <col min="6889" max="6889" width="2.5703125" style="37" customWidth="1"/>
    <col min="6890" max="6890" width="14" style="37" bestFit="1" customWidth="1"/>
    <col min="6891" max="6891" width="61.140625" style="37" bestFit="1" customWidth="1"/>
    <col min="6892" max="6892" width="14.140625" style="37" bestFit="1" customWidth="1"/>
    <col min="6893" max="6893" width="18.7109375" style="37" bestFit="1" customWidth="1"/>
    <col min="6894" max="6894" width="29.42578125" style="37" bestFit="1" customWidth="1"/>
    <col min="6895" max="6895" width="11.140625" style="37" bestFit="1" customWidth="1"/>
    <col min="6896" max="6896" width="15" style="37" bestFit="1" customWidth="1"/>
    <col min="6897" max="6897" width="9.5703125" style="37" bestFit="1" customWidth="1"/>
    <col min="6898" max="6899" width="12" style="37" bestFit="1" customWidth="1"/>
    <col min="6900" max="7144" width="8.85546875" style="37"/>
    <col min="7145" max="7145" width="2.5703125" style="37" customWidth="1"/>
    <col min="7146" max="7146" width="14" style="37" bestFit="1" customWidth="1"/>
    <col min="7147" max="7147" width="61.140625" style="37" bestFit="1" customWidth="1"/>
    <col min="7148" max="7148" width="14.140625" style="37" bestFit="1" customWidth="1"/>
    <col min="7149" max="7149" width="18.7109375" style="37" bestFit="1" customWidth="1"/>
    <col min="7150" max="7150" width="29.42578125" style="37" bestFit="1" customWidth="1"/>
    <col min="7151" max="7151" width="11.140625" style="37" bestFit="1" customWidth="1"/>
    <col min="7152" max="7152" width="15" style="37" bestFit="1" customWidth="1"/>
    <col min="7153" max="7153" width="9.5703125" style="37" bestFit="1" customWidth="1"/>
    <col min="7154" max="7155" width="12" style="37" bestFit="1" customWidth="1"/>
    <col min="7156" max="7400" width="8.85546875" style="37"/>
    <col min="7401" max="7401" width="2.5703125" style="37" customWidth="1"/>
    <col min="7402" max="7402" width="14" style="37" bestFit="1" customWidth="1"/>
    <col min="7403" max="7403" width="61.140625" style="37" bestFit="1" customWidth="1"/>
    <col min="7404" max="7404" width="14.140625" style="37" bestFit="1" customWidth="1"/>
    <col min="7405" max="7405" width="18.7109375" style="37" bestFit="1" customWidth="1"/>
    <col min="7406" max="7406" width="29.42578125" style="37" bestFit="1" customWidth="1"/>
    <col min="7407" max="7407" width="11.140625" style="37" bestFit="1" customWidth="1"/>
    <col min="7408" max="7408" width="15" style="37" bestFit="1" customWidth="1"/>
    <col min="7409" max="7409" width="9.5703125" style="37" bestFit="1" customWidth="1"/>
    <col min="7410" max="7411" width="12" style="37" bestFit="1" customWidth="1"/>
    <col min="7412" max="7656" width="8.85546875" style="37"/>
    <col min="7657" max="7657" width="2.5703125" style="37" customWidth="1"/>
    <col min="7658" max="7658" width="14" style="37" bestFit="1" customWidth="1"/>
    <col min="7659" max="7659" width="61.140625" style="37" bestFit="1" customWidth="1"/>
    <col min="7660" max="7660" width="14.140625" style="37" bestFit="1" customWidth="1"/>
    <col min="7661" max="7661" width="18.7109375" style="37" bestFit="1" customWidth="1"/>
    <col min="7662" max="7662" width="29.42578125" style="37" bestFit="1" customWidth="1"/>
    <col min="7663" max="7663" width="11.140625" style="37" bestFit="1" customWidth="1"/>
    <col min="7664" max="7664" width="15" style="37" bestFit="1" customWidth="1"/>
    <col min="7665" max="7665" width="9.5703125" style="37" bestFit="1" customWidth="1"/>
    <col min="7666" max="7667" width="12" style="37" bestFit="1" customWidth="1"/>
    <col min="7668" max="7912" width="8.85546875" style="37"/>
    <col min="7913" max="7913" width="2.5703125" style="37" customWidth="1"/>
    <col min="7914" max="7914" width="14" style="37" bestFit="1" customWidth="1"/>
    <col min="7915" max="7915" width="61.140625" style="37" bestFit="1" customWidth="1"/>
    <col min="7916" max="7916" width="14.140625" style="37" bestFit="1" customWidth="1"/>
    <col min="7917" max="7917" width="18.7109375" style="37" bestFit="1" customWidth="1"/>
    <col min="7918" max="7918" width="29.42578125" style="37" bestFit="1" customWidth="1"/>
    <col min="7919" max="7919" width="11.140625" style="37" bestFit="1" customWidth="1"/>
    <col min="7920" max="7920" width="15" style="37" bestFit="1" customWidth="1"/>
    <col min="7921" max="7921" width="9.5703125" style="37" bestFit="1" customWidth="1"/>
    <col min="7922" max="7923" width="12" style="37" bestFit="1" customWidth="1"/>
    <col min="7924" max="8168" width="8.85546875" style="37"/>
    <col min="8169" max="8169" width="2.5703125" style="37" customWidth="1"/>
    <col min="8170" max="8170" width="14" style="37" bestFit="1" customWidth="1"/>
    <col min="8171" max="8171" width="61.140625" style="37" bestFit="1" customWidth="1"/>
    <col min="8172" max="8172" width="14.140625" style="37" bestFit="1" customWidth="1"/>
    <col min="8173" max="8173" width="18.7109375" style="37" bestFit="1" customWidth="1"/>
    <col min="8174" max="8174" width="29.42578125" style="37" bestFit="1" customWidth="1"/>
    <col min="8175" max="8175" width="11.140625" style="37" bestFit="1" customWidth="1"/>
    <col min="8176" max="8176" width="15" style="37" bestFit="1" customWidth="1"/>
    <col min="8177" max="8177" width="9.5703125" style="37" bestFit="1" customWidth="1"/>
    <col min="8178" max="8179" width="12" style="37" bestFit="1" customWidth="1"/>
    <col min="8180" max="8424" width="8.85546875" style="37"/>
    <col min="8425" max="8425" width="2.5703125" style="37" customWidth="1"/>
    <col min="8426" max="8426" width="14" style="37" bestFit="1" customWidth="1"/>
    <col min="8427" max="8427" width="61.140625" style="37" bestFit="1" customWidth="1"/>
    <col min="8428" max="8428" width="14.140625" style="37" bestFit="1" customWidth="1"/>
    <col min="8429" max="8429" width="18.7109375" style="37" bestFit="1" customWidth="1"/>
    <col min="8430" max="8430" width="29.42578125" style="37" bestFit="1" customWidth="1"/>
    <col min="8431" max="8431" width="11.140625" style="37" bestFit="1" customWidth="1"/>
    <col min="8432" max="8432" width="15" style="37" bestFit="1" customWidth="1"/>
    <col min="8433" max="8433" width="9.5703125" style="37" bestFit="1" customWidth="1"/>
    <col min="8434" max="8435" width="12" style="37" bestFit="1" customWidth="1"/>
    <col min="8436" max="8680" width="8.85546875" style="37"/>
    <col min="8681" max="8681" width="2.5703125" style="37" customWidth="1"/>
    <col min="8682" max="8682" width="14" style="37" bestFit="1" customWidth="1"/>
    <col min="8683" max="8683" width="61.140625" style="37" bestFit="1" customWidth="1"/>
    <col min="8684" max="8684" width="14.140625" style="37" bestFit="1" customWidth="1"/>
    <col min="8685" max="8685" width="18.7109375" style="37" bestFit="1" customWidth="1"/>
    <col min="8686" max="8686" width="29.42578125" style="37" bestFit="1" customWidth="1"/>
    <col min="8687" max="8687" width="11.140625" style="37" bestFit="1" customWidth="1"/>
    <col min="8688" max="8688" width="15" style="37" bestFit="1" customWidth="1"/>
    <col min="8689" max="8689" width="9.5703125" style="37" bestFit="1" customWidth="1"/>
    <col min="8690" max="8691" width="12" style="37" bestFit="1" customWidth="1"/>
    <col min="8692" max="8936" width="8.85546875" style="37"/>
    <col min="8937" max="8937" width="2.5703125" style="37" customWidth="1"/>
    <col min="8938" max="8938" width="14" style="37" bestFit="1" customWidth="1"/>
    <col min="8939" max="8939" width="61.140625" style="37" bestFit="1" customWidth="1"/>
    <col min="8940" max="8940" width="14.140625" style="37" bestFit="1" customWidth="1"/>
    <col min="8941" max="8941" width="18.7109375" style="37" bestFit="1" customWidth="1"/>
    <col min="8942" max="8942" width="29.42578125" style="37" bestFit="1" customWidth="1"/>
    <col min="8943" max="8943" width="11.140625" style="37" bestFit="1" customWidth="1"/>
    <col min="8944" max="8944" width="15" style="37" bestFit="1" customWidth="1"/>
    <col min="8945" max="8945" width="9.5703125" style="37" bestFit="1" customWidth="1"/>
    <col min="8946" max="8947" width="12" style="37" bestFit="1" customWidth="1"/>
    <col min="8948" max="9192" width="8.85546875" style="37"/>
    <col min="9193" max="9193" width="2.5703125" style="37" customWidth="1"/>
    <col min="9194" max="9194" width="14" style="37" bestFit="1" customWidth="1"/>
    <col min="9195" max="9195" width="61.140625" style="37" bestFit="1" customWidth="1"/>
    <col min="9196" max="9196" width="14.140625" style="37" bestFit="1" customWidth="1"/>
    <col min="9197" max="9197" width="18.7109375" style="37" bestFit="1" customWidth="1"/>
    <col min="9198" max="9198" width="29.42578125" style="37" bestFit="1" customWidth="1"/>
    <col min="9199" max="9199" width="11.140625" style="37" bestFit="1" customWidth="1"/>
    <col min="9200" max="9200" width="15" style="37" bestFit="1" customWidth="1"/>
    <col min="9201" max="9201" width="9.5703125" style="37" bestFit="1" customWidth="1"/>
    <col min="9202" max="9203" width="12" style="37" bestFit="1" customWidth="1"/>
    <col min="9204" max="9448" width="8.85546875" style="37"/>
    <col min="9449" max="9449" width="2.5703125" style="37" customWidth="1"/>
    <col min="9450" max="9450" width="14" style="37" bestFit="1" customWidth="1"/>
    <col min="9451" max="9451" width="61.140625" style="37" bestFit="1" customWidth="1"/>
    <col min="9452" max="9452" width="14.140625" style="37" bestFit="1" customWidth="1"/>
    <col min="9453" max="9453" width="18.7109375" style="37" bestFit="1" customWidth="1"/>
    <col min="9454" max="9454" width="29.42578125" style="37" bestFit="1" customWidth="1"/>
    <col min="9455" max="9455" width="11.140625" style="37" bestFit="1" customWidth="1"/>
    <col min="9456" max="9456" width="15" style="37" bestFit="1" customWidth="1"/>
    <col min="9457" max="9457" width="9.5703125" style="37" bestFit="1" customWidth="1"/>
    <col min="9458" max="9459" width="12" style="37" bestFit="1" customWidth="1"/>
    <col min="9460" max="9704" width="8.85546875" style="37"/>
    <col min="9705" max="9705" width="2.5703125" style="37" customWidth="1"/>
    <col min="9706" max="9706" width="14" style="37" bestFit="1" customWidth="1"/>
    <col min="9707" max="9707" width="61.140625" style="37" bestFit="1" customWidth="1"/>
    <col min="9708" max="9708" width="14.140625" style="37" bestFit="1" customWidth="1"/>
    <col min="9709" max="9709" width="18.7109375" style="37" bestFit="1" customWidth="1"/>
    <col min="9710" max="9710" width="29.42578125" style="37" bestFit="1" customWidth="1"/>
    <col min="9711" max="9711" width="11.140625" style="37" bestFit="1" customWidth="1"/>
    <col min="9712" max="9712" width="15" style="37" bestFit="1" customWidth="1"/>
    <col min="9713" max="9713" width="9.5703125" style="37" bestFit="1" customWidth="1"/>
    <col min="9714" max="9715" width="12" style="37" bestFit="1" customWidth="1"/>
    <col min="9716" max="9960" width="8.85546875" style="37"/>
    <col min="9961" max="9961" width="2.5703125" style="37" customWidth="1"/>
    <col min="9962" max="9962" width="14" style="37" bestFit="1" customWidth="1"/>
    <col min="9963" max="9963" width="61.140625" style="37" bestFit="1" customWidth="1"/>
    <col min="9964" max="9964" width="14.140625" style="37" bestFit="1" customWidth="1"/>
    <col min="9965" max="9965" width="18.7109375" style="37" bestFit="1" customWidth="1"/>
    <col min="9966" max="9966" width="29.42578125" style="37" bestFit="1" customWidth="1"/>
    <col min="9967" max="9967" width="11.140625" style="37" bestFit="1" customWidth="1"/>
    <col min="9968" max="9968" width="15" style="37" bestFit="1" customWidth="1"/>
    <col min="9969" max="9969" width="9.5703125" style="37" bestFit="1" customWidth="1"/>
    <col min="9970" max="9971" width="12" style="37" bestFit="1" customWidth="1"/>
    <col min="9972" max="10216" width="8.85546875" style="37"/>
    <col min="10217" max="10217" width="2.5703125" style="37" customWidth="1"/>
    <col min="10218" max="10218" width="14" style="37" bestFit="1" customWidth="1"/>
    <col min="10219" max="10219" width="61.140625" style="37" bestFit="1" customWidth="1"/>
    <col min="10220" max="10220" width="14.140625" style="37" bestFit="1" customWidth="1"/>
    <col min="10221" max="10221" width="18.7109375" style="37" bestFit="1" customWidth="1"/>
    <col min="10222" max="10222" width="29.42578125" style="37" bestFit="1" customWidth="1"/>
    <col min="10223" max="10223" width="11.140625" style="37" bestFit="1" customWidth="1"/>
    <col min="10224" max="10224" width="15" style="37" bestFit="1" customWidth="1"/>
    <col min="10225" max="10225" width="9.5703125" style="37" bestFit="1" customWidth="1"/>
    <col min="10226" max="10227" width="12" style="37" bestFit="1" customWidth="1"/>
    <col min="10228" max="10472" width="8.85546875" style="37"/>
    <col min="10473" max="10473" width="2.5703125" style="37" customWidth="1"/>
    <col min="10474" max="10474" width="14" style="37" bestFit="1" customWidth="1"/>
    <col min="10475" max="10475" width="61.140625" style="37" bestFit="1" customWidth="1"/>
    <col min="10476" max="10476" width="14.140625" style="37" bestFit="1" customWidth="1"/>
    <col min="10477" max="10477" width="18.7109375" style="37" bestFit="1" customWidth="1"/>
    <col min="10478" max="10478" width="29.42578125" style="37" bestFit="1" customWidth="1"/>
    <col min="10479" max="10479" width="11.140625" style="37" bestFit="1" customWidth="1"/>
    <col min="10480" max="10480" width="15" style="37" bestFit="1" customWidth="1"/>
    <col min="10481" max="10481" width="9.5703125" style="37" bestFit="1" customWidth="1"/>
    <col min="10482" max="10483" width="12" style="37" bestFit="1" customWidth="1"/>
    <col min="10484" max="10728" width="8.85546875" style="37"/>
    <col min="10729" max="10729" width="2.5703125" style="37" customWidth="1"/>
    <col min="10730" max="10730" width="14" style="37" bestFit="1" customWidth="1"/>
    <col min="10731" max="10731" width="61.140625" style="37" bestFit="1" customWidth="1"/>
    <col min="10732" max="10732" width="14.140625" style="37" bestFit="1" customWidth="1"/>
    <col min="10733" max="10733" width="18.7109375" style="37" bestFit="1" customWidth="1"/>
    <col min="10734" max="10734" width="29.42578125" style="37" bestFit="1" customWidth="1"/>
    <col min="10735" max="10735" width="11.140625" style="37" bestFit="1" customWidth="1"/>
    <col min="10736" max="10736" width="15" style="37" bestFit="1" customWidth="1"/>
    <col min="10737" max="10737" width="9.5703125" style="37" bestFit="1" customWidth="1"/>
    <col min="10738" max="10739" width="12" style="37" bestFit="1" customWidth="1"/>
    <col min="10740" max="10984" width="8.85546875" style="37"/>
    <col min="10985" max="10985" width="2.5703125" style="37" customWidth="1"/>
    <col min="10986" max="10986" width="14" style="37" bestFit="1" customWidth="1"/>
    <col min="10987" max="10987" width="61.140625" style="37" bestFit="1" customWidth="1"/>
    <col min="10988" max="10988" width="14.140625" style="37" bestFit="1" customWidth="1"/>
    <col min="10989" max="10989" width="18.7109375" style="37" bestFit="1" customWidth="1"/>
    <col min="10990" max="10990" width="29.42578125" style="37" bestFit="1" customWidth="1"/>
    <col min="10991" max="10991" width="11.140625" style="37" bestFit="1" customWidth="1"/>
    <col min="10992" max="10992" width="15" style="37" bestFit="1" customWidth="1"/>
    <col min="10993" max="10993" width="9.5703125" style="37" bestFit="1" customWidth="1"/>
    <col min="10994" max="10995" width="12" style="37" bestFit="1" customWidth="1"/>
    <col min="10996" max="11240" width="8.85546875" style="37"/>
    <col min="11241" max="11241" width="2.5703125" style="37" customWidth="1"/>
    <col min="11242" max="11242" width="14" style="37" bestFit="1" customWidth="1"/>
    <col min="11243" max="11243" width="61.140625" style="37" bestFit="1" customWidth="1"/>
    <col min="11244" max="11244" width="14.140625" style="37" bestFit="1" customWidth="1"/>
    <col min="11245" max="11245" width="18.7109375" style="37" bestFit="1" customWidth="1"/>
    <col min="11246" max="11246" width="29.42578125" style="37" bestFit="1" customWidth="1"/>
    <col min="11247" max="11247" width="11.140625" style="37" bestFit="1" customWidth="1"/>
    <col min="11248" max="11248" width="15" style="37" bestFit="1" customWidth="1"/>
    <col min="11249" max="11249" width="9.5703125" style="37" bestFit="1" customWidth="1"/>
    <col min="11250" max="11251" width="12" style="37" bestFit="1" customWidth="1"/>
    <col min="11252" max="11496" width="8.85546875" style="37"/>
    <col min="11497" max="11497" width="2.5703125" style="37" customWidth="1"/>
    <col min="11498" max="11498" width="14" style="37" bestFit="1" customWidth="1"/>
    <col min="11499" max="11499" width="61.140625" style="37" bestFit="1" customWidth="1"/>
    <col min="11500" max="11500" width="14.140625" style="37" bestFit="1" customWidth="1"/>
    <col min="11501" max="11501" width="18.7109375" style="37" bestFit="1" customWidth="1"/>
    <col min="11502" max="11502" width="29.42578125" style="37" bestFit="1" customWidth="1"/>
    <col min="11503" max="11503" width="11.140625" style="37" bestFit="1" customWidth="1"/>
    <col min="11504" max="11504" width="15" style="37" bestFit="1" customWidth="1"/>
    <col min="11505" max="11505" width="9.5703125" style="37" bestFit="1" customWidth="1"/>
    <col min="11506" max="11507" width="12" style="37" bestFit="1" customWidth="1"/>
    <col min="11508" max="11752" width="8.85546875" style="37"/>
    <col min="11753" max="11753" width="2.5703125" style="37" customWidth="1"/>
    <col min="11754" max="11754" width="14" style="37" bestFit="1" customWidth="1"/>
    <col min="11755" max="11755" width="61.140625" style="37" bestFit="1" customWidth="1"/>
    <col min="11756" max="11756" width="14.140625" style="37" bestFit="1" customWidth="1"/>
    <col min="11757" max="11757" width="18.7109375" style="37" bestFit="1" customWidth="1"/>
    <col min="11758" max="11758" width="29.42578125" style="37" bestFit="1" customWidth="1"/>
    <col min="11759" max="11759" width="11.140625" style="37" bestFit="1" customWidth="1"/>
    <col min="11760" max="11760" width="15" style="37" bestFit="1" customWidth="1"/>
    <col min="11761" max="11761" width="9.5703125" style="37" bestFit="1" customWidth="1"/>
    <col min="11762" max="11763" width="12" style="37" bestFit="1" customWidth="1"/>
    <col min="11764" max="12008" width="8.85546875" style="37"/>
    <col min="12009" max="12009" width="2.5703125" style="37" customWidth="1"/>
    <col min="12010" max="12010" width="14" style="37" bestFit="1" customWidth="1"/>
    <col min="12011" max="12011" width="61.140625" style="37" bestFit="1" customWidth="1"/>
    <col min="12012" max="12012" width="14.140625" style="37" bestFit="1" customWidth="1"/>
    <col min="12013" max="12013" width="18.7109375" style="37" bestFit="1" customWidth="1"/>
    <col min="12014" max="12014" width="29.42578125" style="37" bestFit="1" customWidth="1"/>
    <col min="12015" max="12015" width="11.140625" style="37" bestFit="1" customWidth="1"/>
    <col min="12016" max="12016" width="15" style="37" bestFit="1" customWidth="1"/>
    <col min="12017" max="12017" width="9.5703125" style="37" bestFit="1" customWidth="1"/>
    <col min="12018" max="12019" width="12" style="37" bestFit="1" customWidth="1"/>
    <col min="12020" max="12264" width="8.85546875" style="37"/>
    <col min="12265" max="12265" width="2.5703125" style="37" customWidth="1"/>
    <col min="12266" max="12266" width="14" style="37" bestFit="1" customWidth="1"/>
    <col min="12267" max="12267" width="61.140625" style="37" bestFit="1" customWidth="1"/>
    <col min="12268" max="12268" width="14.140625" style="37" bestFit="1" customWidth="1"/>
    <col min="12269" max="12269" width="18.7109375" style="37" bestFit="1" customWidth="1"/>
    <col min="12270" max="12270" width="29.42578125" style="37" bestFit="1" customWidth="1"/>
    <col min="12271" max="12271" width="11.140625" style="37" bestFit="1" customWidth="1"/>
    <col min="12272" max="12272" width="15" style="37" bestFit="1" customWidth="1"/>
    <col min="12273" max="12273" width="9.5703125" style="37" bestFit="1" customWidth="1"/>
    <col min="12274" max="12275" width="12" style="37" bestFit="1" customWidth="1"/>
    <col min="12276" max="12520" width="8.85546875" style="37"/>
    <col min="12521" max="12521" width="2.5703125" style="37" customWidth="1"/>
    <col min="12522" max="12522" width="14" style="37" bestFit="1" customWidth="1"/>
    <col min="12523" max="12523" width="61.140625" style="37" bestFit="1" customWidth="1"/>
    <col min="12524" max="12524" width="14.140625" style="37" bestFit="1" customWidth="1"/>
    <col min="12525" max="12525" width="18.7109375" style="37" bestFit="1" customWidth="1"/>
    <col min="12526" max="12526" width="29.42578125" style="37" bestFit="1" customWidth="1"/>
    <col min="12527" max="12527" width="11.140625" style="37" bestFit="1" customWidth="1"/>
    <col min="12528" max="12528" width="15" style="37" bestFit="1" customWidth="1"/>
    <col min="12529" max="12529" width="9.5703125" style="37" bestFit="1" customWidth="1"/>
    <col min="12530" max="12531" width="12" style="37" bestFit="1" customWidth="1"/>
    <col min="12532" max="12776" width="8.85546875" style="37"/>
    <col min="12777" max="12777" width="2.5703125" style="37" customWidth="1"/>
    <col min="12778" max="12778" width="14" style="37" bestFit="1" customWidth="1"/>
    <col min="12779" max="12779" width="61.140625" style="37" bestFit="1" customWidth="1"/>
    <col min="12780" max="12780" width="14.140625" style="37" bestFit="1" customWidth="1"/>
    <col min="12781" max="12781" width="18.7109375" style="37" bestFit="1" customWidth="1"/>
    <col min="12782" max="12782" width="29.42578125" style="37" bestFit="1" customWidth="1"/>
    <col min="12783" max="12783" width="11.140625" style="37" bestFit="1" customWidth="1"/>
    <col min="12784" max="12784" width="15" style="37" bestFit="1" customWidth="1"/>
    <col min="12785" max="12785" width="9.5703125" style="37" bestFit="1" customWidth="1"/>
    <col min="12786" max="12787" width="12" style="37" bestFit="1" customWidth="1"/>
    <col min="12788" max="13032" width="8.85546875" style="37"/>
    <col min="13033" max="13033" width="2.5703125" style="37" customWidth="1"/>
    <col min="13034" max="13034" width="14" style="37" bestFit="1" customWidth="1"/>
    <col min="13035" max="13035" width="61.140625" style="37" bestFit="1" customWidth="1"/>
    <col min="13036" max="13036" width="14.140625" style="37" bestFit="1" customWidth="1"/>
    <col min="13037" max="13037" width="18.7109375" style="37" bestFit="1" customWidth="1"/>
    <col min="13038" max="13038" width="29.42578125" style="37" bestFit="1" customWidth="1"/>
    <col min="13039" max="13039" width="11.140625" style="37" bestFit="1" customWidth="1"/>
    <col min="13040" max="13040" width="15" style="37" bestFit="1" customWidth="1"/>
    <col min="13041" max="13041" width="9.5703125" style="37" bestFit="1" customWidth="1"/>
    <col min="13042" max="13043" width="12" style="37" bestFit="1" customWidth="1"/>
    <col min="13044" max="13288" width="8.85546875" style="37"/>
    <col min="13289" max="13289" width="2.5703125" style="37" customWidth="1"/>
    <col min="13290" max="13290" width="14" style="37" bestFit="1" customWidth="1"/>
    <col min="13291" max="13291" width="61.140625" style="37" bestFit="1" customWidth="1"/>
    <col min="13292" max="13292" width="14.140625" style="37" bestFit="1" customWidth="1"/>
    <col min="13293" max="13293" width="18.7109375" style="37" bestFit="1" customWidth="1"/>
    <col min="13294" max="13294" width="29.42578125" style="37" bestFit="1" customWidth="1"/>
    <col min="13295" max="13295" width="11.140625" style="37" bestFit="1" customWidth="1"/>
    <col min="13296" max="13296" width="15" style="37" bestFit="1" customWidth="1"/>
    <col min="13297" max="13297" width="9.5703125" style="37" bestFit="1" customWidth="1"/>
    <col min="13298" max="13299" width="12" style="37" bestFit="1" customWidth="1"/>
    <col min="13300" max="13544" width="8.85546875" style="37"/>
    <col min="13545" max="13545" width="2.5703125" style="37" customWidth="1"/>
    <col min="13546" max="13546" width="14" style="37" bestFit="1" customWidth="1"/>
    <col min="13547" max="13547" width="61.140625" style="37" bestFit="1" customWidth="1"/>
    <col min="13548" max="13548" width="14.140625" style="37" bestFit="1" customWidth="1"/>
    <col min="13549" max="13549" width="18.7109375" style="37" bestFit="1" customWidth="1"/>
    <col min="13550" max="13550" width="29.42578125" style="37" bestFit="1" customWidth="1"/>
    <col min="13551" max="13551" width="11.140625" style="37" bestFit="1" customWidth="1"/>
    <col min="13552" max="13552" width="15" style="37" bestFit="1" customWidth="1"/>
    <col min="13553" max="13553" width="9.5703125" style="37" bestFit="1" customWidth="1"/>
    <col min="13554" max="13555" width="12" style="37" bestFit="1" customWidth="1"/>
    <col min="13556" max="13800" width="8.85546875" style="37"/>
    <col min="13801" max="13801" width="2.5703125" style="37" customWidth="1"/>
    <col min="13802" max="13802" width="14" style="37" bestFit="1" customWidth="1"/>
    <col min="13803" max="13803" width="61.140625" style="37" bestFit="1" customWidth="1"/>
    <col min="13804" max="13804" width="14.140625" style="37" bestFit="1" customWidth="1"/>
    <col min="13805" max="13805" width="18.7109375" style="37" bestFit="1" customWidth="1"/>
    <col min="13806" max="13806" width="29.42578125" style="37" bestFit="1" customWidth="1"/>
    <col min="13807" max="13807" width="11.140625" style="37" bestFit="1" customWidth="1"/>
    <col min="13808" max="13808" width="15" style="37" bestFit="1" customWidth="1"/>
    <col min="13809" max="13809" width="9.5703125" style="37" bestFit="1" customWidth="1"/>
    <col min="13810" max="13811" width="12" style="37" bestFit="1" customWidth="1"/>
    <col min="13812" max="14056" width="8.85546875" style="37"/>
    <col min="14057" max="14057" width="2.5703125" style="37" customWidth="1"/>
    <col min="14058" max="14058" width="14" style="37" bestFit="1" customWidth="1"/>
    <col min="14059" max="14059" width="61.140625" style="37" bestFit="1" customWidth="1"/>
    <col min="14060" max="14060" width="14.140625" style="37" bestFit="1" customWidth="1"/>
    <col min="14061" max="14061" width="18.7109375" style="37" bestFit="1" customWidth="1"/>
    <col min="14062" max="14062" width="29.42578125" style="37" bestFit="1" customWidth="1"/>
    <col min="14063" max="14063" width="11.140625" style="37" bestFit="1" customWidth="1"/>
    <col min="14064" max="14064" width="15" style="37" bestFit="1" customWidth="1"/>
    <col min="14065" max="14065" width="9.5703125" style="37" bestFit="1" customWidth="1"/>
    <col min="14066" max="14067" width="12" style="37" bestFit="1" customWidth="1"/>
    <col min="14068" max="14312" width="8.85546875" style="37"/>
    <col min="14313" max="14313" width="2.5703125" style="37" customWidth="1"/>
    <col min="14314" max="14314" width="14" style="37" bestFit="1" customWidth="1"/>
    <col min="14315" max="14315" width="61.140625" style="37" bestFit="1" customWidth="1"/>
    <col min="14316" max="14316" width="14.140625" style="37" bestFit="1" customWidth="1"/>
    <col min="14317" max="14317" width="18.7109375" style="37" bestFit="1" customWidth="1"/>
    <col min="14318" max="14318" width="29.42578125" style="37" bestFit="1" customWidth="1"/>
    <col min="14319" max="14319" width="11.140625" style="37" bestFit="1" customWidth="1"/>
    <col min="14320" max="14320" width="15" style="37" bestFit="1" customWidth="1"/>
    <col min="14321" max="14321" width="9.5703125" style="37" bestFit="1" customWidth="1"/>
    <col min="14322" max="14323" width="12" style="37" bestFit="1" customWidth="1"/>
    <col min="14324" max="14568" width="8.85546875" style="37"/>
    <col min="14569" max="14569" width="2.5703125" style="37" customWidth="1"/>
    <col min="14570" max="14570" width="14" style="37" bestFit="1" customWidth="1"/>
    <col min="14571" max="14571" width="61.140625" style="37" bestFit="1" customWidth="1"/>
    <col min="14572" max="14572" width="14.140625" style="37" bestFit="1" customWidth="1"/>
    <col min="14573" max="14573" width="18.7109375" style="37" bestFit="1" customWidth="1"/>
    <col min="14574" max="14574" width="29.42578125" style="37" bestFit="1" customWidth="1"/>
    <col min="14575" max="14575" width="11.140625" style="37" bestFit="1" customWidth="1"/>
    <col min="14576" max="14576" width="15" style="37" bestFit="1" customWidth="1"/>
    <col min="14577" max="14577" width="9.5703125" style="37" bestFit="1" customWidth="1"/>
    <col min="14578" max="14579" width="12" style="37" bestFit="1" customWidth="1"/>
    <col min="14580" max="14824" width="8.85546875" style="37"/>
    <col min="14825" max="14825" width="2.5703125" style="37" customWidth="1"/>
    <col min="14826" max="14826" width="14" style="37" bestFit="1" customWidth="1"/>
    <col min="14827" max="14827" width="61.140625" style="37" bestFit="1" customWidth="1"/>
    <col min="14828" max="14828" width="14.140625" style="37" bestFit="1" customWidth="1"/>
    <col min="14829" max="14829" width="18.7109375" style="37" bestFit="1" customWidth="1"/>
    <col min="14830" max="14830" width="29.42578125" style="37" bestFit="1" customWidth="1"/>
    <col min="14831" max="14831" width="11.140625" style="37" bestFit="1" customWidth="1"/>
    <col min="14832" max="14832" width="15" style="37" bestFit="1" customWidth="1"/>
    <col min="14833" max="14833" width="9.5703125" style="37" bestFit="1" customWidth="1"/>
    <col min="14834" max="14835" width="12" style="37" bestFit="1" customWidth="1"/>
    <col min="14836" max="15080" width="8.85546875" style="37"/>
    <col min="15081" max="15081" width="2.5703125" style="37" customWidth="1"/>
    <col min="15082" max="15082" width="14" style="37" bestFit="1" customWidth="1"/>
    <col min="15083" max="15083" width="61.140625" style="37" bestFit="1" customWidth="1"/>
    <col min="15084" max="15084" width="14.140625" style="37" bestFit="1" customWidth="1"/>
    <col min="15085" max="15085" width="18.7109375" style="37" bestFit="1" customWidth="1"/>
    <col min="15086" max="15086" width="29.42578125" style="37" bestFit="1" customWidth="1"/>
    <col min="15087" max="15087" width="11.140625" style="37" bestFit="1" customWidth="1"/>
    <col min="15088" max="15088" width="15" style="37" bestFit="1" customWidth="1"/>
    <col min="15089" max="15089" width="9.5703125" style="37" bestFit="1" customWidth="1"/>
    <col min="15090" max="15091" width="12" style="37" bestFit="1" customWidth="1"/>
    <col min="15092" max="15336" width="8.85546875" style="37"/>
    <col min="15337" max="15337" width="2.5703125" style="37" customWidth="1"/>
    <col min="15338" max="15338" width="14" style="37" bestFit="1" customWidth="1"/>
    <col min="15339" max="15339" width="61.140625" style="37" bestFit="1" customWidth="1"/>
    <col min="15340" max="15340" width="14.140625" style="37" bestFit="1" customWidth="1"/>
    <col min="15341" max="15341" width="18.7109375" style="37" bestFit="1" customWidth="1"/>
    <col min="15342" max="15342" width="29.42578125" style="37" bestFit="1" customWidth="1"/>
    <col min="15343" max="15343" width="11.140625" style="37" bestFit="1" customWidth="1"/>
    <col min="15344" max="15344" width="15" style="37" bestFit="1" customWidth="1"/>
    <col min="15345" max="15345" width="9.5703125" style="37" bestFit="1" customWidth="1"/>
    <col min="15346" max="15347" width="12" style="37" bestFit="1" customWidth="1"/>
    <col min="15348" max="15592" width="8.85546875" style="37"/>
    <col min="15593" max="15593" width="2.5703125" style="37" customWidth="1"/>
    <col min="15594" max="15594" width="14" style="37" bestFit="1" customWidth="1"/>
    <col min="15595" max="15595" width="61.140625" style="37" bestFit="1" customWidth="1"/>
    <col min="15596" max="15596" width="14.140625" style="37" bestFit="1" customWidth="1"/>
    <col min="15597" max="15597" width="18.7109375" style="37" bestFit="1" customWidth="1"/>
    <col min="15598" max="15598" width="29.42578125" style="37" bestFit="1" customWidth="1"/>
    <col min="15599" max="15599" width="11.140625" style="37" bestFit="1" customWidth="1"/>
    <col min="15600" max="15600" width="15" style="37" bestFit="1" customWidth="1"/>
    <col min="15601" max="15601" width="9.5703125" style="37" bestFit="1" customWidth="1"/>
    <col min="15602" max="15603" width="12" style="37" bestFit="1" customWidth="1"/>
    <col min="15604" max="15848" width="8.85546875" style="37"/>
    <col min="15849" max="15849" width="2.5703125" style="37" customWidth="1"/>
    <col min="15850" max="15850" width="14" style="37" bestFit="1" customWidth="1"/>
    <col min="15851" max="15851" width="61.140625" style="37" bestFit="1" customWidth="1"/>
    <col min="15852" max="15852" width="14.140625" style="37" bestFit="1" customWidth="1"/>
    <col min="15853" max="15853" width="18.7109375" style="37" bestFit="1" customWidth="1"/>
    <col min="15854" max="15854" width="29.42578125" style="37" bestFit="1" customWidth="1"/>
    <col min="15855" max="15855" width="11.140625" style="37" bestFit="1" customWidth="1"/>
    <col min="15856" max="15856" width="15" style="37" bestFit="1" customWidth="1"/>
    <col min="15857" max="15857" width="9.5703125" style="37" bestFit="1" customWidth="1"/>
    <col min="15858" max="15859" width="12" style="37" bestFit="1" customWidth="1"/>
    <col min="15860" max="16104" width="8.85546875" style="37"/>
    <col min="16105" max="16105" width="2.5703125" style="37" customWidth="1"/>
    <col min="16106" max="16106" width="14" style="37" bestFit="1" customWidth="1"/>
    <col min="16107" max="16107" width="61.140625" style="37" bestFit="1" customWidth="1"/>
    <col min="16108" max="16108" width="14.140625" style="37" bestFit="1" customWidth="1"/>
    <col min="16109" max="16109" width="18.7109375" style="37" bestFit="1" customWidth="1"/>
    <col min="16110" max="16110" width="29.42578125" style="37" bestFit="1" customWidth="1"/>
    <col min="16111" max="16111" width="11.140625" style="37" bestFit="1" customWidth="1"/>
    <col min="16112" max="16112" width="15" style="37" bestFit="1" customWidth="1"/>
    <col min="16113" max="16113" width="9.5703125" style="37" bestFit="1" customWidth="1"/>
    <col min="16114" max="16115" width="12" style="37" bestFit="1" customWidth="1"/>
    <col min="16116" max="16384" width="8.85546875" style="37"/>
  </cols>
  <sheetData>
    <row r="1" spans="2:8" ht="15.75" thickBot="1" x14ac:dyDescent="0.3"/>
    <row r="2" spans="2:8" ht="15.75" thickBot="1" x14ac:dyDescent="0.3">
      <c r="B2" s="262" t="s">
        <v>807</v>
      </c>
      <c r="C2" s="263"/>
      <c r="D2" s="263"/>
      <c r="E2" s="263"/>
      <c r="F2" s="263"/>
      <c r="G2" s="263"/>
      <c r="H2" s="264"/>
    </row>
    <row r="3" spans="2:8" ht="15.75" thickBot="1" x14ac:dyDescent="0.3">
      <c r="B3" s="38"/>
      <c r="C3" s="38"/>
      <c r="D3" s="38"/>
      <c r="E3" s="38"/>
    </row>
    <row r="4" spans="2:8" x14ac:dyDescent="0.25">
      <c r="B4" s="265" t="s">
        <v>808</v>
      </c>
      <c r="C4" s="266"/>
      <c r="D4" s="266"/>
      <c r="E4" s="266"/>
      <c r="F4" s="266"/>
      <c r="G4" s="266"/>
      <c r="H4" s="267"/>
    </row>
    <row r="5" spans="2:8" x14ac:dyDescent="0.25">
      <c r="B5" s="39" t="s">
        <v>809</v>
      </c>
      <c r="C5" s="40" t="s">
        <v>810</v>
      </c>
      <c r="D5" s="268" t="s">
        <v>811</v>
      </c>
      <c r="E5" s="268"/>
      <c r="F5" s="268"/>
      <c r="G5" s="269" t="s">
        <v>812</v>
      </c>
      <c r="H5" s="270"/>
    </row>
    <row r="6" spans="2:8" s="43" customFormat="1" ht="12.75" x14ac:dyDescent="0.2">
      <c r="B6" s="41" t="s">
        <v>813</v>
      </c>
      <c r="C6" s="42" t="s">
        <v>814</v>
      </c>
      <c r="D6" s="271">
        <v>0</v>
      </c>
      <c r="E6" s="271"/>
      <c r="F6" s="271"/>
      <c r="G6" s="271">
        <v>0</v>
      </c>
      <c r="H6" s="272"/>
    </row>
    <row r="7" spans="2:8" x14ac:dyDescent="0.25">
      <c r="B7" s="44"/>
      <c r="C7" s="45"/>
      <c r="D7" s="276"/>
      <c r="E7" s="277"/>
      <c r="F7" s="278"/>
      <c r="G7" s="276"/>
      <c r="H7" s="279"/>
    </row>
    <row r="8" spans="2:8" x14ac:dyDescent="0.25">
      <c r="B8" s="280" t="s">
        <v>815</v>
      </c>
      <c r="C8" s="281"/>
      <c r="D8" s="281"/>
      <c r="E8" s="281"/>
      <c r="F8" s="281"/>
      <c r="G8" s="281"/>
      <c r="H8" s="282"/>
    </row>
    <row r="9" spans="2:8" x14ac:dyDescent="0.25">
      <c r="B9" s="283" t="s">
        <v>809</v>
      </c>
      <c r="C9" s="285" t="s">
        <v>810</v>
      </c>
      <c r="D9" s="287" t="s">
        <v>816</v>
      </c>
      <c r="E9" s="288"/>
      <c r="F9" s="288"/>
      <c r="G9" s="288"/>
      <c r="H9" s="46"/>
    </row>
    <row r="10" spans="2:8" ht="45" x14ac:dyDescent="0.25">
      <c r="B10" s="284"/>
      <c r="C10" s="286"/>
      <c r="D10" s="47" t="s">
        <v>817</v>
      </c>
      <c r="E10" s="47" t="s">
        <v>818</v>
      </c>
      <c r="F10" s="47" t="s">
        <v>819</v>
      </c>
      <c r="G10" s="47" t="s">
        <v>820</v>
      </c>
      <c r="H10" s="48" t="s">
        <v>822</v>
      </c>
    </row>
    <row r="11" spans="2:8" s="43" customFormat="1" ht="13.5" thickBot="1" x14ac:dyDescent="0.25">
      <c r="B11" s="49" t="s">
        <v>813</v>
      </c>
      <c r="C11" s="50" t="s">
        <v>814</v>
      </c>
      <c r="D11" s="51">
        <v>700</v>
      </c>
      <c r="E11" s="51">
        <v>24.098357999999998</v>
      </c>
      <c r="F11" s="52">
        <v>0</v>
      </c>
      <c r="G11" s="53">
        <v>724.09835799999996</v>
      </c>
      <c r="H11" s="54">
        <v>3.8999999999999998E-3</v>
      </c>
    </row>
    <row r="12" spans="2:8" x14ac:dyDescent="0.25">
      <c r="B12" s="55"/>
      <c r="C12" s="56"/>
      <c r="D12" s="57"/>
      <c r="E12" s="57"/>
      <c r="F12" s="58"/>
      <c r="G12" s="57"/>
      <c r="H12" s="59"/>
    </row>
    <row r="13" spans="2:8" ht="28.5" customHeight="1" thickBot="1" x14ac:dyDescent="0.3">
      <c r="B13" s="273" t="s">
        <v>821</v>
      </c>
      <c r="C13" s="274"/>
      <c r="D13" s="274"/>
      <c r="E13" s="274"/>
      <c r="F13" s="274"/>
      <c r="G13" s="274"/>
      <c r="H13" s="275"/>
    </row>
    <row r="17" spans="5:6" x14ac:dyDescent="0.25">
      <c r="E17" s="60"/>
    </row>
    <row r="18" spans="5:6" x14ac:dyDescent="0.25">
      <c r="E18" s="60"/>
      <c r="F18" s="61"/>
    </row>
    <row r="20" spans="5:6" x14ac:dyDescent="0.25">
      <c r="E20" s="62"/>
      <c r="F20" s="61"/>
    </row>
    <row r="23" spans="5:6" x14ac:dyDescent="0.25">
      <c r="F23" s="63"/>
    </row>
  </sheetData>
  <mergeCells count="13">
    <mergeCell ref="B13:H13"/>
    <mergeCell ref="D7:F7"/>
    <mergeCell ref="G7:H7"/>
    <mergeCell ref="B8:H8"/>
    <mergeCell ref="B9:B10"/>
    <mergeCell ref="C9:C10"/>
    <mergeCell ref="D9:G9"/>
    <mergeCell ref="B2:H2"/>
    <mergeCell ref="B4:H4"/>
    <mergeCell ref="D5:F5"/>
    <mergeCell ref="G5:H5"/>
    <mergeCell ref="D6:F6"/>
    <mergeCell ref="G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Index</vt:lpstr>
      <vt:lpstr>CAPEXG</vt:lpstr>
      <vt:lpstr>MICAP14</vt:lpstr>
      <vt:lpstr>MICAP15</vt:lpstr>
      <vt:lpstr>MICAP16</vt:lpstr>
      <vt:lpstr>MICAP17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SFOCUS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SMILE</vt:lpstr>
      <vt:lpstr>SRURAL</vt:lpstr>
      <vt:lpstr>SSFUND</vt:lpstr>
      <vt:lpstr>SSN100</vt:lpstr>
      <vt:lpstr>STAX</vt:lpstr>
      <vt:lpstr>SUNARF</vt:lpstr>
      <vt:lpstr>SUNBAF</vt:lpstr>
      <vt:lpstr>SUNBAL</vt:lpstr>
      <vt:lpstr>SUNBCF</vt:lpstr>
      <vt:lpstr>SUNEQF</vt:lpstr>
      <vt:lpstr>SUNESF</vt:lpstr>
      <vt:lpstr>SUNFOP</vt:lpstr>
      <vt:lpstr>SUNVALF10</vt:lpstr>
      <vt:lpstr>SUNVALF7</vt:lpstr>
      <vt:lpstr>SUNVALF9</vt:lpstr>
      <vt:lpstr>GLOB</vt:lpstr>
      <vt:lpstr>Annexure A</vt:lpstr>
      <vt:lpstr>Annexure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Venkat Raman R - Sundaram Mutual</cp:lastModifiedBy>
  <dcterms:created xsi:type="dcterms:W3CDTF">2021-08-02T15:36:43Z</dcterms:created>
  <dcterms:modified xsi:type="dcterms:W3CDTF">2021-08-10T12:56:36Z</dcterms:modified>
</cp:coreProperties>
</file>