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view\2019-20\7. Oct 2019\final\"/>
    </mc:Choice>
  </mc:AlternateContent>
  <xr:revisionPtr revIDLastSave="0" documentId="13_ncr:1_{56B398FB-740D-4AAD-A5E4-DBA34122C0AB}" xr6:coauthVersionLast="45" xr6:coauthVersionMax="45" xr10:uidLastSave="{00000000-0000-0000-0000-000000000000}"/>
  <bookViews>
    <workbookView xWindow="-120" yWindow="-120" windowWidth="20730" windowHeight="11160" tabRatio="696" xr2:uid="{00000000-000D-0000-FFFF-FFFF00000000}"/>
  </bookViews>
  <sheets>
    <sheet name="CAPEXG" sheetId="1" r:id="rId1"/>
    <sheet name="MICAP10" sheetId="2" r:id="rId2"/>
    <sheet name="MICAP11" sheetId="3" r:id="rId3"/>
    <sheet name="MICAP12" sheetId="4" r:id="rId4"/>
    <sheet name="MICAP14" sheetId="5" r:id="rId5"/>
    <sheet name="MICAP15" sheetId="6" r:id="rId6"/>
    <sheet name="MICAP16" sheetId="7" r:id="rId7"/>
    <sheet name="MICAP17" sheetId="8" r:id="rId8"/>
    <sheet name="MICAP8" sheetId="9" r:id="rId9"/>
    <sheet name="MICAP9" sheetId="10" r:id="rId10"/>
    <sheet name="MIDCAP" sheetId="11" r:id="rId11"/>
    <sheet name="MULTI1" sheetId="12" r:id="rId12"/>
    <sheet name="MULTI2" sheetId="13" r:id="rId13"/>
    <sheet name="MULTIP" sheetId="14" r:id="rId14"/>
    <sheet name="SESCAP1" sheetId="15" r:id="rId15"/>
    <sheet name="SESCAP2" sheetId="16" r:id="rId16"/>
    <sheet name="SESCAP3" sheetId="17" r:id="rId17"/>
    <sheet name="SESCAP4" sheetId="18" r:id="rId18"/>
    <sheet name="SESCAP5" sheetId="19" r:id="rId19"/>
    <sheet name="SESCAP6" sheetId="20" r:id="rId20"/>
    <sheet name="SESCAP7" sheetId="21" r:id="rId21"/>
    <sheet name="SFOCUS" sheetId="22" r:id="rId22"/>
    <sheet name="SLTADV3" sheetId="23" r:id="rId23"/>
    <sheet name="SLTADV4" sheetId="24" r:id="rId24"/>
    <sheet name="SLTAX1" sheetId="25" r:id="rId25"/>
    <sheet name="SLTAX2" sheetId="26" r:id="rId26"/>
    <sheet name="SLTAX3" sheetId="27" r:id="rId27"/>
    <sheet name="SLTAX4" sheetId="28" r:id="rId28"/>
    <sheet name="SLTAX5" sheetId="29" r:id="rId29"/>
    <sheet name="SLTAX6" sheetId="30" r:id="rId30"/>
    <sheet name="SMALL3" sheetId="31" r:id="rId31"/>
    <sheet name="SMALL4" sheetId="32" r:id="rId32"/>
    <sheet name="SMALL5" sheetId="33" r:id="rId33"/>
    <sheet name="SMALL6" sheetId="34" r:id="rId34"/>
    <sheet name="SMILE" sheetId="35" r:id="rId35"/>
    <sheet name="SRURAL" sheetId="36" r:id="rId36"/>
    <sheet name="SSFUND" sheetId="37" r:id="rId37"/>
    <sheet name="SSN100" sheetId="38" r:id="rId38"/>
    <sheet name="STAX" sheetId="39" r:id="rId39"/>
    <sheet name="STOP6" sheetId="40" r:id="rId40"/>
    <sheet name="STOP7" sheetId="41" r:id="rId41"/>
    <sheet name="SUNBAL" sheetId="52" r:id="rId42"/>
    <sheet name="SUNEQF" sheetId="42" r:id="rId43"/>
    <sheet name="SUNESF" sheetId="43" r:id="rId44"/>
    <sheet name="SUNFOP" sheetId="44" r:id="rId45"/>
    <sheet name="SUNVALF10" sheetId="45" r:id="rId46"/>
    <sheet name="SUNVALF2" sheetId="46" r:id="rId47"/>
    <sheet name="SUNVALF3" sheetId="47" r:id="rId48"/>
    <sheet name="SUNVALF7" sheetId="48" r:id="rId49"/>
    <sheet name="SUNVALF8" sheetId="49" r:id="rId50"/>
    <sheet name="SUNVALF9" sheetId="50" r:id="rId51"/>
    <sheet name="SWBFSR2" sheetId="53" r:id="rId52"/>
    <sheet name="SWBFSR3" sheetId="54" r:id="rId53"/>
    <sheet name="GLOB" sheetId="55" r:id="rId54"/>
    <sheet name="DERIVATIVE DISCLOSURE" sheetId="56" r:id="rId5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6" i="56" l="1"/>
  <c r="G18" i="55"/>
  <c r="F16" i="55"/>
  <c r="G16" i="55" s="1"/>
  <c r="G15" i="55"/>
  <c r="F12" i="55"/>
  <c r="G12" i="55" s="1"/>
  <c r="G9" i="55"/>
  <c r="G8" i="55"/>
  <c r="G7" i="55"/>
  <c r="G6" i="55"/>
  <c r="G20" i="55" l="1"/>
  <c r="G75" i="54" l="1"/>
  <c r="F75" i="54"/>
  <c r="G74" i="54"/>
  <c r="F72" i="54"/>
  <c r="F76" i="54" s="1"/>
  <c r="G76" i="54" s="1"/>
  <c r="G71" i="54"/>
  <c r="G50" i="54"/>
  <c r="F50" i="54"/>
  <c r="G48" i="54"/>
  <c r="G47" i="54"/>
  <c r="G46" i="54"/>
  <c r="G45" i="54"/>
  <c r="G44" i="54"/>
  <c r="G43" i="54"/>
  <c r="G42" i="54"/>
  <c r="G41" i="54"/>
  <c r="G40" i="54"/>
  <c r="G39" i="54"/>
  <c r="G38" i="54"/>
  <c r="G37" i="54"/>
  <c r="G36" i="54"/>
  <c r="G35" i="54"/>
  <c r="G34" i="54"/>
  <c r="G33" i="54"/>
  <c r="G32" i="54"/>
  <c r="G31" i="54"/>
  <c r="G30" i="54"/>
  <c r="G29" i="54"/>
  <c r="G28" i="54"/>
  <c r="G27" i="54"/>
  <c r="G26" i="54"/>
  <c r="G25" i="54"/>
  <c r="G24" i="54"/>
  <c r="G23" i="54"/>
  <c r="G20" i="54"/>
  <c r="F20" i="54"/>
  <c r="F54" i="54" s="1"/>
  <c r="G54" i="54" s="1"/>
  <c r="G18" i="54"/>
  <c r="G17" i="54"/>
  <c r="G16" i="54"/>
  <c r="G15" i="54"/>
  <c r="G14" i="54"/>
  <c r="G13" i="54"/>
  <c r="G43" i="53"/>
  <c r="F43" i="53"/>
  <c r="G42" i="53"/>
  <c r="G40" i="53"/>
  <c r="F40" i="53"/>
  <c r="F44" i="53" s="1"/>
  <c r="G44" i="53" s="1"/>
  <c r="G46" i="53" s="1"/>
  <c r="G39" i="53"/>
  <c r="G78" i="54" l="1"/>
  <c r="G72" i="54"/>
  <c r="F131" i="43" l="1"/>
  <c r="F103" i="14" l="1"/>
  <c r="F109" i="13"/>
</calcChain>
</file>

<file path=xl/sharedStrings.xml><?xml version="1.0" encoding="utf-8"?>
<sst xmlns="http://schemas.openxmlformats.org/spreadsheetml/2006/main" count="12624" uniqueCount="1055">
  <si>
    <t>SUNDARAM MUTUAL FUND</t>
  </si>
  <si>
    <t>Sundaram Infrastructure Advantage Fund</t>
  </si>
  <si>
    <t>SL No</t>
  </si>
  <si>
    <t>ISIN Code</t>
  </si>
  <si>
    <t>Name of the instrument</t>
  </si>
  <si>
    <t>Rating / 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</si>
  <si>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</si>
  <si>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</si>
  <si>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</si>
  <si>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</si>
  <si>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</si>
  <si>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</si>
  <si>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</si>
  <si>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</si>
  <si>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INE090A01021</t>
  </si>
  <si>
    <t>ICICI Bank Ltd</t>
  </si>
  <si>
    <t>Banks</t>
  </si>
  <si>
    <t>INE331A01037</t>
  </si>
  <si>
    <t>The Ramco Cements Ltd</t>
  </si>
  <si>
    <t>Cement</t>
  </si>
  <si>
    <t>INE325A01013</t>
  </si>
  <si>
    <t>Timken India Ltd</t>
  </si>
  <si>
    <t>Industrial Products</t>
  </si>
  <si>
    <t>INE536A01023</t>
  </si>
  <si>
    <t>Grindwell Norton Ltd</t>
  </si>
  <si>
    <t>INE671A01010</t>
  </si>
  <si>
    <t>Honeywell Automation India Ltd</t>
  </si>
  <si>
    <t>Industrial Capital Goods</t>
  </si>
  <si>
    <t>INE531A01024</t>
  </si>
  <si>
    <t>Kansai Nerolac Paints Ltd</t>
  </si>
  <si>
    <t>Consumer Non Durables</t>
  </si>
  <si>
    <t>INE002A01018</t>
  </si>
  <si>
    <t>Reliance Industries Ltd</t>
  </si>
  <si>
    <t>Petroleum Products</t>
  </si>
  <si>
    <t>INE152A01029</t>
  </si>
  <si>
    <t>Thermax Ltd</t>
  </si>
  <si>
    <t>INE040A01034</t>
  </si>
  <si>
    <t>HDFC Bank Ltd</t>
  </si>
  <si>
    <t>INE220B01022</t>
  </si>
  <si>
    <t>Kalpataru Power Transmission Ltd</t>
  </si>
  <si>
    <t>Power</t>
  </si>
  <si>
    <t>INE074A01025</t>
  </si>
  <si>
    <t>Praj Industries Ltd</t>
  </si>
  <si>
    <t>INE999A01015</t>
  </si>
  <si>
    <t>KSB Ltd</t>
  </si>
  <si>
    <t>INE472A01039</t>
  </si>
  <si>
    <t>Blue Star Ltd</t>
  </si>
  <si>
    <t>Consumer Durables</t>
  </si>
  <si>
    <t>INE791I01019</t>
  </si>
  <si>
    <t>Brigade Enterprises Ltd</t>
  </si>
  <si>
    <t>Construction</t>
  </si>
  <si>
    <t>INE823G01014</t>
  </si>
  <si>
    <t>JK Cement Ltd</t>
  </si>
  <si>
    <t>INE455K01017</t>
  </si>
  <si>
    <t>Polycab India Ltd</t>
  </si>
  <si>
    <t>INE878B01027</t>
  </si>
  <si>
    <t>KEI Industries Ltd</t>
  </si>
  <si>
    <t>INE858B01029</t>
  </si>
  <si>
    <t>ISGEC Heavy  Engineering Ltd</t>
  </si>
  <si>
    <t>INE284A01012</t>
  </si>
  <si>
    <t>ESAB India Ltd</t>
  </si>
  <si>
    <t>INE460H01021</t>
  </si>
  <si>
    <t>Star Cement Ltd</t>
  </si>
  <si>
    <t>INE397D01024</t>
  </si>
  <si>
    <t>Bharti Airtel Ltd</t>
  </si>
  <si>
    <t>Telecom - Services</t>
  </si>
  <si>
    <t>INE419M01019</t>
  </si>
  <si>
    <t>TD Power Systems Ltd</t>
  </si>
  <si>
    <t>INE264T01014</t>
  </si>
  <si>
    <t>Capacite Infraprojects Ltd</t>
  </si>
  <si>
    <t>INE765G01017</t>
  </si>
  <si>
    <t>ICICI Lombard General Insurance Company Ltd</t>
  </si>
  <si>
    <t>Finance</t>
  </si>
  <si>
    <t>INE177A01018</t>
  </si>
  <si>
    <t>Ingersoll Rand (India) Ltd</t>
  </si>
  <si>
    <t>INE386C01029</t>
  </si>
  <si>
    <t>Astra Microwave Products Ltd</t>
  </si>
  <si>
    <t>Telecom -  Equipment &amp; Accessories</t>
  </si>
  <si>
    <t>INE766P01016</t>
  </si>
  <si>
    <t>Mahindra Logistics Ltd</t>
  </si>
  <si>
    <t>Transportation</t>
  </si>
  <si>
    <t>INE386A01015</t>
  </si>
  <si>
    <t>Vesuvius India Ltd</t>
  </si>
  <si>
    <t>INE349A01021</t>
  </si>
  <si>
    <t>NRB Bearing Ltd</t>
  </si>
  <si>
    <t>INE713T01010</t>
  </si>
  <si>
    <t>Apollo Micro Systems Ltd</t>
  </si>
  <si>
    <t>INE05AN01011</t>
  </si>
  <si>
    <t>Somany Home Innovation Ltd</t>
  </si>
  <si>
    <t>INE257A01026</t>
  </si>
  <si>
    <t>Bharat Heavy Electricals Ltd</t>
  </si>
  <si>
    <t>INE481G01011</t>
  </si>
  <si>
    <t>Ultratech Cement Ltd</t>
  </si>
  <si>
    <t>INE195J01029</t>
  </si>
  <si>
    <t>PNC Infratech Ltd</t>
  </si>
  <si>
    <t>INE686A01026</t>
  </si>
  <si>
    <t>ITD Cementation India Ltd</t>
  </si>
  <si>
    <t>INE956G01038</t>
  </si>
  <si>
    <t>VA Tech Wabag Ltd</t>
  </si>
  <si>
    <t>Engineering Services</t>
  </si>
  <si>
    <t>INE324L01013</t>
  </si>
  <si>
    <t>R.P.P. Infra Projects Ltd</t>
  </si>
  <si>
    <t>INE442H01029</t>
  </si>
  <si>
    <t>Ashoka Buildcon Ltd</t>
  </si>
  <si>
    <t>INE029A01011</t>
  </si>
  <si>
    <t>Bharat Petroleum Corporation Ltd</t>
  </si>
  <si>
    <t>INE415A01038</t>
  </si>
  <si>
    <t>HSIL Ltd</t>
  </si>
  <si>
    <t>Sub Total</t>
  </si>
  <si>
    <t>(b) Overseas Security</t>
  </si>
  <si>
    <t>(c) Privately Placed / Unlisted</t>
  </si>
  <si>
    <t>INE551A01022</t>
  </si>
  <si>
    <t>Hindustan Dorr-Oliver Ltd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</si>
  <si>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</si>
  <si>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</si>
  <si>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</si>
  <si>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</si>
  <si>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</si>
  <si>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</si>
  <si>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</si>
  <si>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</si>
  <si>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</si>
  <si>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</si>
  <si>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</si>
  <si>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</si>
  <si>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</si>
  <si>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</si>
  <si>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Total for Money Market Instruments</t>
  </si>
  <si>
    <t>D) Mutual Fund Units</t>
  </si>
  <si>
    <t>(a) Investment in Mutual Fund Units</t>
  </si>
  <si>
    <t>INF903JA1HG5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</si>
  <si>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</si>
  <si>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</si>
  <si>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</si>
  <si>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</si>
  <si>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</si>
  <si>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 xml:space="preserve">  # percentage to NAV of security is less than 0.01%  </t>
  </si>
  <si>
    <t>Notes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</si>
  <si>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</si>
  <si>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</si>
  <si>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</si>
  <si>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</si>
  <si>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</si>
  <si>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</si>
  <si>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30/09/2019</t>
  </si>
  <si>
    <t>31/10/2019</t>
  </si>
  <si>
    <t>Direct Plan - Growth</t>
  </si>
  <si>
    <t>Direct Plan - Dividend</t>
  </si>
  <si>
    <t>Regular Plan - Growth</t>
  </si>
  <si>
    <t>Regular Plan - Dividend</t>
  </si>
  <si>
    <t>d) Dividend declared during the period (Rupees per unit)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</si>
  <si>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</si>
  <si>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</si>
  <si>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</si>
  <si>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</si>
  <si>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</t>
  </si>
  <si>
    <t>INE048G01026</t>
  </si>
  <si>
    <t>Navin Fluorine International Ltd</t>
  </si>
  <si>
    <t>Chemicals</t>
  </si>
  <si>
    <t>INE578A01017</t>
  </si>
  <si>
    <t>HeidelbergCement India Ltd</t>
  </si>
  <si>
    <t>INE312H01016</t>
  </si>
  <si>
    <t>INOX Leisure Ltd</t>
  </si>
  <si>
    <t>Media &amp; Entertainment</t>
  </si>
  <si>
    <t>INE951I01027</t>
  </si>
  <si>
    <t>V-Guard Industries Ltd</t>
  </si>
  <si>
    <t>INE287B01021</t>
  </si>
  <si>
    <t>Subros Ltd</t>
  </si>
  <si>
    <t>Auto Ancillaries</t>
  </si>
  <si>
    <t>INE717A01029</t>
  </si>
  <si>
    <t>Kennametal India Ltd</t>
  </si>
  <si>
    <t>INE227C01017</t>
  </si>
  <si>
    <t>MM Forgings Ltd</t>
  </si>
  <si>
    <t>INE191H01014</t>
  </si>
  <si>
    <t>PVR Ltd</t>
  </si>
  <si>
    <t>INE383A01012</t>
  </si>
  <si>
    <t>The India Cements Ltd</t>
  </si>
  <si>
    <t>INE348B01021</t>
  </si>
  <si>
    <t>Century Plyboards (India) Ltd</t>
  </si>
  <si>
    <t>INE045A01017</t>
  </si>
  <si>
    <t>Ador Welding Ltd</t>
  </si>
  <si>
    <t>INE075I01017</t>
  </si>
  <si>
    <t>Healthcare Global Enterprises Ltd</t>
  </si>
  <si>
    <t>Healthcare Services</t>
  </si>
  <si>
    <t>INE503A01015</t>
  </si>
  <si>
    <t>DCB Bank Ltd</t>
  </si>
  <si>
    <t>INE594H01019</t>
  </si>
  <si>
    <t>Thyrocare Technologies Ltd</t>
  </si>
  <si>
    <t>INE782A01015</t>
  </si>
  <si>
    <t>Johnson Controls-Hitachi AirConditioning India Ltd</t>
  </si>
  <si>
    <t>INE049A01027</t>
  </si>
  <si>
    <t>Himatsingka Seide Ltd</t>
  </si>
  <si>
    <t>Textile Products</t>
  </si>
  <si>
    <t>INE384A01010</t>
  </si>
  <si>
    <t>Rane Holdings Ltd</t>
  </si>
  <si>
    <t>INE332A01027</t>
  </si>
  <si>
    <t>Thomas Cook (India) Ltd</t>
  </si>
  <si>
    <t>Services</t>
  </si>
  <si>
    <t>INE877F01012</t>
  </si>
  <si>
    <t>PTC India Ltd</t>
  </si>
  <si>
    <t>INE978A01027</t>
  </si>
  <si>
    <t>Heritage Foods Ltd</t>
  </si>
  <si>
    <t>INE765D01014</t>
  </si>
  <si>
    <t>WPIL Ltd</t>
  </si>
  <si>
    <t>INE334L01012</t>
  </si>
  <si>
    <t>Ujjivan Financial Services Ltd</t>
  </si>
  <si>
    <t>INE970X01018</t>
  </si>
  <si>
    <t>Lemon Tree Hotels Ltd</t>
  </si>
  <si>
    <t>Hotels/ Resorts And Other Recreational Activities</t>
  </si>
  <si>
    <t>INE189B01011</t>
  </si>
  <si>
    <t>INEOS Styrolution India Ltd</t>
  </si>
  <si>
    <t>INE489L01022</t>
  </si>
  <si>
    <t>IIFL Securities Ltd</t>
  </si>
  <si>
    <t>INE060A01024</t>
  </si>
  <si>
    <t>Navneet Education Ltd</t>
  </si>
  <si>
    <t>INE868B01028</t>
  </si>
  <si>
    <t>NCC Ltd</t>
  </si>
  <si>
    <t>INE457F01013</t>
  </si>
  <si>
    <t>Salzer Electronics Ltd</t>
  </si>
  <si>
    <t>INE896L01010</t>
  </si>
  <si>
    <t>Indostar Capital Finance Ltd</t>
  </si>
  <si>
    <t>INE955V01021</t>
  </si>
  <si>
    <t>Arvind Fashions Ltd</t>
  </si>
  <si>
    <t>Retailing</t>
  </si>
  <si>
    <t>INE142I01023</t>
  </si>
  <si>
    <t>Take Solutions Ltd</t>
  </si>
  <si>
    <t>Pharmaceuticals</t>
  </si>
  <si>
    <t>INE863B01011</t>
  </si>
  <si>
    <t>Premier Explosives Ltd</t>
  </si>
  <si>
    <t>INE022I01019</t>
  </si>
  <si>
    <t>Asian Granito India Ltd</t>
  </si>
  <si>
    <t>INE834I01025</t>
  </si>
  <si>
    <t>Khadim India Ltd</t>
  </si>
  <si>
    <t>INE325C01035</t>
  </si>
  <si>
    <t>Dollar Industries Ltd</t>
  </si>
  <si>
    <t>INE451A01017</t>
  </si>
  <si>
    <t>Force Motors Ltd</t>
  </si>
  <si>
    <t>Auto</t>
  </si>
  <si>
    <t>INE511C01022</t>
  </si>
  <si>
    <t>Magma Fincorp Ltd</t>
  </si>
  <si>
    <t>INE136B01020</t>
  </si>
  <si>
    <t>Cyient Ltd</t>
  </si>
  <si>
    <t>Software</t>
  </si>
  <si>
    <t>INE807K01035</t>
  </si>
  <si>
    <t>S Chand and Company Ltd</t>
  </si>
  <si>
    <t>INE942G01012</t>
  </si>
  <si>
    <t>Mcleod Russel India Ltd</t>
  </si>
  <si>
    <t>INE998I01010</t>
  </si>
  <si>
    <t>Mahindra Holidays &amp; Resorts India Ltd</t>
  </si>
  <si>
    <t>Sundaram Select Micro Cap-Series XI</t>
  </si>
  <si>
    <t>INE974X01010</t>
  </si>
  <si>
    <t>Tube Investments of India Ltd</t>
  </si>
  <si>
    <t>INE00WC01019</t>
  </si>
  <si>
    <t>Affle (India) Ltd</t>
  </si>
  <si>
    <t>INE934S01014</t>
  </si>
  <si>
    <t>GNA Axles Ltd</t>
  </si>
  <si>
    <t>INE947Q01010</t>
  </si>
  <si>
    <t>Laurus Labs Ltd</t>
  </si>
  <si>
    <t>INE572A01028</t>
  </si>
  <si>
    <t>JB Chemicals &amp; Pharmaceuticals Ltd</t>
  </si>
  <si>
    <t>INE793A01012</t>
  </si>
  <si>
    <t>Accelya Solutions India Ltd</t>
  </si>
  <si>
    <t>INE04I401011</t>
  </si>
  <si>
    <t>KPIT Technologies Ltd</t>
  </si>
  <si>
    <t>INE586B01026</t>
  </si>
  <si>
    <t>Taj GVK Hotels &amp; Resorts Ltd</t>
  </si>
  <si>
    <t>INE152M01016</t>
  </si>
  <si>
    <t>Triveni Turbine Ltd</t>
  </si>
  <si>
    <t>INE296G01013</t>
  </si>
  <si>
    <t>Muthoot Capital Services Ltd</t>
  </si>
  <si>
    <t>INE611L01021</t>
  </si>
  <si>
    <t>Indian Terrain Fashions Ltd</t>
  </si>
  <si>
    <t>INE201M01011</t>
  </si>
  <si>
    <t>CL Educate Ltd</t>
  </si>
  <si>
    <t>Diversified Consumer Services</t>
  </si>
  <si>
    <t>Sundaram Select Micro Cap Series XII</t>
  </si>
  <si>
    <t>INE780C01023</t>
  </si>
  <si>
    <t>JM Financial Ltd</t>
  </si>
  <si>
    <t>Sundaram Select Micro Cap Series XIV</t>
  </si>
  <si>
    <t>INE296E01026</t>
  </si>
  <si>
    <t>Rajapalayam Mills Ltd</t>
  </si>
  <si>
    <t>Textiles - Cotton</t>
  </si>
  <si>
    <t>INE614A01028</t>
  </si>
  <si>
    <t>Ramco Industries Ltd</t>
  </si>
  <si>
    <t>INE302M01033</t>
  </si>
  <si>
    <t>Prabhat Dairy Ltd</t>
  </si>
  <si>
    <t>Sundaram Select Micro Cap Series XV</t>
  </si>
  <si>
    <t>Sundaram Select Micro Cap Series XVI</t>
  </si>
  <si>
    <t>INE884B01025</t>
  </si>
  <si>
    <t>Kirloskar Ferrous Ind Ltd</t>
  </si>
  <si>
    <t>Ferrous Metals</t>
  </si>
  <si>
    <t>INE405A01021</t>
  </si>
  <si>
    <t>Ultramarine &amp; Pigments Ltd</t>
  </si>
  <si>
    <t>Sundaram Select Micro Cap Series XVII</t>
  </si>
  <si>
    <t>INE750A01020</t>
  </si>
  <si>
    <t>Oriental Hotels Ltd</t>
  </si>
  <si>
    <t>Sundaram Select Micro Cap Series VIII</t>
  </si>
  <si>
    <t>Sundaram Select Micro Cap Series IX</t>
  </si>
  <si>
    <t>Sundaram Mid Cap Fund</t>
  </si>
  <si>
    <t>INE849A01020</t>
  </si>
  <si>
    <t>Trent Ltd</t>
  </si>
  <si>
    <t>INE437A01024</t>
  </si>
  <si>
    <t>Apollo Hospitals Enterprise Ltd</t>
  </si>
  <si>
    <t>INE716A01013</t>
  </si>
  <si>
    <t>Whirlpool of India Ltd</t>
  </si>
  <si>
    <t>INE203G01027</t>
  </si>
  <si>
    <t>Indraprastha Gas Ltd</t>
  </si>
  <si>
    <t>Gas</t>
  </si>
  <si>
    <t>INE105A01035</t>
  </si>
  <si>
    <t>Sundaram Clayton Ltd</t>
  </si>
  <si>
    <t>INE647O01011</t>
  </si>
  <si>
    <t>Aditya Birla Fashion and Retail Ltd</t>
  </si>
  <si>
    <t>INE513A01014</t>
  </si>
  <si>
    <t>Schaeffler India Ltd</t>
  </si>
  <si>
    <t>INE192A01025</t>
  </si>
  <si>
    <t>Tata Global Beverages Ltd</t>
  </si>
  <si>
    <t>INE171A01029</t>
  </si>
  <si>
    <t>The Federal Bank  Ltd</t>
  </si>
  <si>
    <t>INE200M01013</t>
  </si>
  <si>
    <t>Varun Beverages Ltd</t>
  </si>
  <si>
    <t>INE491A01021</t>
  </si>
  <si>
    <t>City Union Bank Ltd</t>
  </si>
  <si>
    <t>INE121A01024</t>
  </si>
  <si>
    <t>Cholamandalam Investment and Finance Company Ltd</t>
  </si>
  <si>
    <t>INE298A01020</t>
  </si>
  <si>
    <t>Cummins India Ltd</t>
  </si>
  <si>
    <t>INE342J01019</t>
  </si>
  <si>
    <t>Wabco India Ltd</t>
  </si>
  <si>
    <t>INE230A01023</t>
  </si>
  <si>
    <t>EIH Ltd</t>
  </si>
  <si>
    <t>INE179A01014</t>
  </si>
  <si>
    <t>Procter &amp; Gamble Hygiene and Health Care Ltd</t>
  </si>
  <si>
    <t>INE092A01019</t>
  </si>
  <si>
    <t>Tata Chemicals Ltd</t>
  </si>
  <si>
    <t>INE548C01032</t>
  </si>
  <si>
    <t>Emami Ltd</t>
  </si>
  <si>
    <t>INE615P01015</t>
  </si>
  <si>
    <t>Quess Corp Ltd</t>
  </si>
  <si>
    <t>INE763G01038</t>
  </si>
  <si>
    <t>ICICI Securities Ltd</t>
  </si>
  <si>
    <t>INE010V01017</t>
  </si>
  <si>
    <t>L&amp;T Technology Services Ltd</t>
  </si>
  <si>
    <t>INE115A01026</t>
  </si>
  <si>
    <t>LIC Housing Finance Ltd</t>
  </si>
  <si>
    <t>INE976G01028</t>
  </si>
  <si>
    <t>RBL Bank Ltd</t>
  </si>
  <si>
    <t>INE180A01020</t>
  </si>
  <si>
    <t>Max Financial Services Ltd</t>
  </si>
  <si>
    <t>INE058A01010</t>
  </si>
  <si>
    <t>Sanofi India Ltd</t>
  </si>
  <si>
    <t>INE769A01020</t>
  </si>
  <si>
    <t>Aarti Industries Ltd</t>
  </si>
  <si>
    <t>INE987B01026</t>
  </si>
  <si>
    <t>Natco Pharma Ltd</t>
  </si>
  <si>
    <t>INE285J01010</t>
  </si>
  <si>
    <t>Security and Intelligence Services (India) Ltd</t>
  </si>
  <si>
    <t>Commercial Services</t>
  </si>
  <si>
    <t>INE536H01010</t>
  </si>
  <si>
    <t>Mahindra CIE Automotive Ltd</t>
  </si>
  <si>
    <t>INE169A01031</t>
  </si>
  <si>
    <t>Coromandel International Ltd</t>
  </si>
  <si>
    <t>Fertilisers</t>
  </si>
  <si>
    <t>INE752P01024</t>
  </si>
  <si>
    <t>Future Retail Ltd</t>
  </si>
  <si>
    <t>INE774D01024</t>
  </si>
  <si>
    <t>Mahindra &amp; Mahindra Financial Services Ltd</t>
  </si>
  <si>
    <t>INE356A01018</t>
  </si>
  <si>
    <t>MphasiS Ltd</t>
  </si>
  <si>
    <t>INE470A01017</t>
  </si>
  <si>
    <t>3M India Ltd</t>
  </si>
  <si>
    <t>INE111A01025</t>
  </si>
  <si>
    <t>Container Corporation of India Ltd</t>
  </si>
  <si>
    <t>INE120A01034</t>
  </si>
  <si>
    <t>Carborundum Universal Ltd</t>
  </si>
  <si>
    <t>INE462A01022</t>
  </si>
  <si>
    <t>Bayer Cropscience Ltd</t>
  </si>
  <si>
    <t>Pesticides</t>
  </si>
  <si>
    <t>INE245A01021</t>
  </si>
  <si>
    <t>Tata Power Company Ltd</t>
  </si>
  <si>
    <t>INE685A01028</t>
  </si>
  <si>
    <t>Torrent Pharmaceuticals Ltd</t>
  </si>
  <si>
    <t>INE722A01011</t>
  </si>
  <si>
    <t>Shriram City Union Finance Ltd</t>
  </si>
  <si>
    <t>INE686F01025</t>
  </si>
  <si>
    <t>United Breweries Ltd</t>
  </si>
  <si>
    <t>INE335Y01012</t>
  </si>
  <si>
    <t>Indian Railway Catering &amp; Tourism Corporation Ltd</t>
  </si>
  <si>
    <t>INE571A01020</t>
  </si>
  <si>
    <t>IPCA Laboratories Ltd</t>
  </si>
  <si>
    <t>INE036D01028</t>
  </si>
  <si>
    <t>Karur Vysya Bank Ltd</t>
  </si>
  <si>
    <t>INE376G01013</t>
  </si>
  <si>
    <t>Biocon Ltd</t>
  </si>
  <si>
    <t>INE09EO01013</t>
  </si>
  <si>
    <t>Arti Surfactants Ltd</t>
  </si>
  <si>
    <t>Stock Future</t>
  </si>
  <si>
    <t>Margin Money For Derivatives</t>
  </si>
  <si>
    <t>Institutional Plan - Growth</t>
  </si>
  <si>
    <t>Institutional Plan - Dividend</t>
  </si>
  <si>
    <t>Rupees Per Unit</t>
  </si>
  <si>
    <t>As Per Annexure-A</t>
  </si>
  <si>
    <t>Sundaram Multi Cap Fund Series I</t>
  </si>
  <si>
    <t>INE797F01012</t>
  </si>
  <si>
    <t>Jubilant Foodworks Ltd</t>
  </si>
  <si>
    <t>INE123W01016</t>
  </si>
  <si>
    <t>SBI Life Insurance Company Ltd</t>
  </si>
  <si>
    <t>INE299U01018</t>
  </si>
  <si>
    <t>Crompton Greaves Consumer Electricals Ltd</t>
  </si>
  <si>
    <t>INE238A01034</t>
  </si>
  <si>
    <t>Axis Bank Ltd</t>
  </si>
  <si>
    <t>INE127D01025</t>
  </si>
  <si>
    <t>HDFC Asset Management Company Ltd</t>
  </si>
  <si>
    <t>INE158A01026</t>
  </si>
  <si>
    <t>Hero MotoCorp Ltd</t>
  </si>
  <si>
    <t>INE494B01023</t>
  </si>
  <si>
    <t>TVS Motor Company Ltd</t>
  </si>
  <si>
    <t>INE795G01014</t>
  </si>
  <si>
    <t>HDFC Life Insurance Company Ltd</t>
  </si>
  <si>
    <t>INE154A01025</t>
  </si>
  <si>
    <t>ITC Ltd</t>
  </si>
  <si>
    <t>INE296A01024</t>
  </si>
  <si>
    <t>Bajaj Finance Ltd</t>
  </si>
  <si>
    <t>INE854D01024</t>
  </si>
  <si>
    <t>United Spirits Ltd</t>
  </si>
  <si>
    <t>INE030A01027</t>
  </si>
  <si>
    <t>Hindustan UniLever Ltd</t>
  </si>
  <si>
    <t>INE463A01038</t>
  </si>
  <si>
    <t>Berger Paints (I) Ltd</t>
  </si>
  <si>
    <t>INE883A01011</t>
  </si>
  <si>
    <t>MRF Ltd</t>
  </si>
  <si>
    <t>INE262H01013</t>
  </si>
  <si>
    <t>Persistent Systems Ltd</t>
  </si>
  <si>
    <t>INE001A01036</t>
  </si>
  <si>
    <t>Housing Development Finance Corporation Ltd</t>
  </si>
  <si>
    <t>INE021A01026</t>
  </si>
  <si>
    <t>Asian Paints Ltd</t>
  </si>
  <si>
    <t>INE101A01026</t>
  </si>
  <si>
    <t>Mahindra &amp; Mahindra Ltd</t>
  </si>
  <si>
    <t>INE585B01010</t>
  </si>
  <si>
    <t>Maruti Suzuki India Ltd</t>
  </si>
  <si>
    <t>INE285A01027</t>
  </si>
  <si>
    <t>Elgi Equipments Ltd</t>
  </si>
  <si>
    <t>Sundaram Multi Cap Fund -Series II</t>
  </si>
  <si>
    <t>Sundaram Large and Mid Cap Fund</t>
  </si>
  <si>
    <t>INE003A01024</t>
  </si>
  <si>
    <t>Siemens Ltd</t>
  </si>
  <si>
    <t>INE226A01021</t>
  </si>
  <si>
    <t>Voltas Ltd</t>
  </si>
  <si>
    <t>INE467B01029</t>
  </si>
  <si>
    <t>Tata Consultancy Services Ltd</t>
  </si>
  <si>
    <t>INE280A01028</t>
  </si>
  <si>
    <t>Titan Company Ltd</t>
  </si>
  <si>
    <t>Sundaram Emerging Small Cap Series I</t>
  </si>
  <si>
    <t>INE142Z01019</t>
  </si>
  <si>
    <t>Orient Electric Ltd</t>
  </si>
  <si>
    <t>INE741K01010</t>
  </si>
  <si>
    <t>Creditaccess Grameen Ltd</t>
  </si>
  <si>
    <t>INE778U01029</t>
  </si>
  <si>
    <t>TCNS Clothing Co. Ltd</t>
  </si>
  <si>
    <t>INE988K01017</t>
  </si>
  <si>
    <t>Equitas Holdings Ltd</t>
  </si>
  <si>
    <t>INE688A01022</t>
  </si>
  <si>
    <t>Transport Corporation of India Ltd</t>
  </si>
  <si>
    <t>INE301A01014</t>
  </si>
  <si>
    <t>Raymond Ltd</t>
  </si>
  <si>
    <t>INE631A01022</t>
  </si>
  <si>
    <t>Shanthi Gears Ltd</t>
  </si>
  <si>
    <t>INE794B01026</t>
  </si>
  <si>
    <t>Balaji Telefilms Ltd</t>
  </si>
  <si>
    <t>Sundaram Emerging Small Cap Series II</t>
  </si>
  <si>
    <t>INE216P01012</t>
  </si>
  <si>
    <t>Aavas Financiers Ltd</t>
  </si>
  <si>
    <t>INE092B01025</t>
  </si>
  <si>
    <t>India Nippon Electricals Ltd</t>
  </si>
  <si>
    <t>Sundaram Emerging Small Cap Series III</t>
  </si>
  <si>
    <t>INE544R01013</t>
  </si>
  <si>
    <t>Greenlam Industries Ltd</t>
  </si>
  <si>
    <t>INE209A01019</t>
  </si>
  <si>
    <t>Agro Tech Foods Ltd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</si>
  <si>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</si>
  <si>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</si>
  <si>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</si>
  <si>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</si>
  <si>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</si>
  <si>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</si>
  <si>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INE172A01027</t>
  </si>
  <si>
    <t>Castrol India Ltd</t>
  </si>
  <si>
    <t>INE182A01018</t>
  </si>
  <si>
    <t>Pfizer Ltd</t>
  </si>
  <si>
    <t>INE517F01014</t>
  </si>
  <si>
    <t>Gujarat Pipavav Port Ltd</t>
  </si>
  <si>
    <t>INE274F01020</t>
  </si>
  <si>
    <t>Westlife Development Ltd</t>
  </si>
  <si>
    <t>INE541A01023</t>
  </si>
  <si>
    <t>GMM Pfaudler Ltd</t>
  </si>
  <si>
    <t>Sundaram Select Focus</t>
  </si>
  <si>
    <t>INE237A01028</t>
  </si>
  <si>
    <t>Kotak Mahindra Bank Ltd</t>
  </si>
  <si>
    <t>INE009A01021</t>
  </si>
  <si>
    <t>Infosys Ltd</t>
  </si>
  <si>
    <t>INE733E01010</t>
  </si>
  <si>
    <t>NTPC Ltd</t>
  </si>
  <si>
    <t>INE062A01020</t>
  </si>
  <si>
    <t>State Bank of India</t>
  </si>
  <si>
    <t>INE117A01022</t>
  </si>
  <si>
    <t>ABB India Ltd</t>
  </si>
  <si>
    <t>INE302A01020</t>
  </si>
  <si>
    <t>Exide Industries Ltd</t>
  </si>
  <si>
    <t>INE775A01035</t>
  </si>
  <si>
    <t>Motherson Sumi Systems Ltd</t>
  </si>
  <si>
    <t>INE070A01015</t>
  </si>
  <si>
    <t>Shree Cement Ltd</t>
  </si>
  <si>
    <t>Sundaram Long Term Tax Advantage Fund Series III</t>
  </si>
  <si>
    <t>Sundaram Long Term Tax Advantage Fund Series IV</t>
  </si>
  <si>
    <t>Sundaram Long Term Tax Advantage Fund Series-I</t>
  </si>
  <si>
    <t>INE669C01036</t>
  </si>
  <si>
    <t>Tech Mahindra Ltd</t>
  </si>
  <si>
    <t>INE047A01021</t>
  </si>
  <si>
    <t>Grasim Industries Ltd</t>
  </si>
  <si>
    <t>INE825A01012</t>
  </si>
  <si>
    <t>Vardhman Textiles Ltd</t>
  </si>
  <si>
    <t>INE119A01028</t>
  </si>
  <si>
    <t>Balrampur Chini Mills Ltd</t>
  </si>
  <si>
    <t>INE860A01027</t>
  </si>
  <si>
    <t>HCL Technologies Ltd</t>
  </si>
  <si>
    <t>INE242A01010</t>
  </si>
  <si>
    <t>Indian Oil Corporation Ltd</t>
  </si>
  <si>
    <t>INE028A01039</t>
  </si>
  <si>
    <t>Bank of Baroda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</si>
  <si>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</si>
  <si>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</si>
  <si>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</si>
  <si>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</si>
  <si>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</si>
  <si>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Select Small Cap Series-III</t>
  </si>
  <si>
    <t>INE918I01018</t>
  </si>
  <si>
    <t>Bajaj Finserv Ltd</t>
  </si>
  <si>
    <t>INE776C01039</t>
  </si>
  <si>
    <t>GMR Infrastructure Ltd</t>
  </si>
  <si>
    <t>INE498L01015</t>
  </si>
  <si>
    <t>L&amp;T Finance Holdings Ltd</t>
  </si>
  <si>
    <t>Sundaram Select Small Cap Series-IV</t>
  </si>
  <si>
    <t>Sundaram Select Small Cap Series V</t>
  </si>
  <si>
    <t>Sundaram Select Small Cap Series VI</t>
  </si>
  <si>
    <t>Sundaram Small Cap Fund</t>
  </si>
  <si>
    <t>INE098F01031</t>
  </si>
  <si>
    <t>Amrutanjan Health Care Ltd</t>
  </si>
  <si>
    <t>INE337A01034</t>
  </si>
  <si>
    <t>LG Balakrishnan &amp; Bros Ltd</t>
  </si>
  <si>
    <t>INE112L01020</t>
  </si>
  <si>
    <t>Metropolis Healthcare Ltd</t>
  </si>
  <si>
    <t>INE136S01016</t>
  </si>
  <si>
    <t>Neogen Chemicals Ltd</t>
  </si>
  <si>
    <t>INE278H01035</t>
  </si>
  <si>
    <t>Sandhar Technologies Ltd</t>
  </si>
  <si>
    <t>INE295F01017</t>
  </si>
  <si>
    <t>Butterfly Gandhimathi Appliances Ltd</t>
  </si>
  <si>
    <t>Sundaram Rural and Consumption Fund</t>
  </si>
  <si>
    <t>INE176A01028</t>
  </si>
  <si>
    <t>Bata India Ltd</t>
  </si>
  <si>
    <t>INE239A01016</t>
  </si>
  <si>
    <t>Nestle India Ltd</t>
  </si>
  <si>
    <t>INE690A01010</t>
  </si>
  <si>
    <t>TTK Prestige Ltd</t>
  </si>
  <si>
    <t>INE012A01025</t>
  </si>
  <si>
    <t>ACC Ltd</t>
  </si>
  <si>
    <t>INE216A01030</t>
  </si>
  <si>
    <t>Britannia Industries Ltd</t>
  </si>
  <si>
    <t>INE016A01026</t>
  </si>
  <si>
    <t>Dabur India Ltd</t>
  </si>
  <si>
    <t>INE628A01036</t>
  </si>
  <si>
    <t>UPL Ltd</t>
  </si>
  <si>
    <t>INE318A01026</t>
  </si>
  <si>
    <t>Pidilite Industries Ltd</t>
  </si>
  <si>
    <t>INE085A01013</t>
  </si>
  <si>
    <t>Chambal Fertilizers &amp; Chemicals Ltd</t>
  </si>
  <si>
    <t>INE196A01026</t>
  </si>
  <si>
    <t>Marico Ltd</t>
  </si>
  <si>
    <t>INE563J01010</t>
  </si>
  <si>
    <t>Astec LifeSciences Ltd</t>
  </si>
  <si>
    <t>INE764D01017</t>
  </si>
  <si>
    <t>V.S.T Tillers Tractors Ltd</t>
  </si>
  <si>
    <t>INE216A07052</t>
  </si>
  <si>
    <t>Britannia Industries Ltd - 8% - 23/08/2022**</t>
  </si>
  <si>
    <t xml:space="preserve"> CRISIL AAA </t>
  </si>
  <si>
    <t>Sundaram Services Fund</t>
  </si>
  <si>
    <t>INE663F01024</t>
  </si>
  <si>
    <t>Info Edge (India) Ltd</t>
  </si>
  <si>
    <t>INE933S01016</t>
  </si>
  <si>
    <t>Indiamart Intermesh Ltd</t>
  </si>
  <si>
    <t>INE761H01022</t>
  </si>
  <si>
    <t>Page Industries Ltd</t>
  </si>
  <si>
    <t>INE192R01011</t>
  </si>
  <si>
    <t>Avenue Supermarts Ltd</t>
  </si>
  <si>
    <t>INE095A01012</t>
  </si>
  <si>
    <t>IndusInd Bank Ltd</t>
  </si>
  <si>
    <t>Sundaram Smart NIFTY 100 Equal Weight Fund</t>
  </si>
  <si>
    <t>INE481Y01014</t>
  </si>
  <si>
    <t>General Insurance Corporation of India</t>
  </si>
  <si>
    <t>INE470Y01017</t>
  </si>
  <si>
    <t>The New India Assurance Company Ltd</t>
  </si>
  <si>
    <t>INE584A01023</t>
  </si>
  <si>
    <t>NMDC Ltd</t>
  </si>
  <si>
    <t>Minerals/Mining</t>
  </si>
  <si>
    <t>INE528G01027</t>
  </si>
  <si>
    <t>Yes Bank Ltd</t>
  </si>
  <si>
    <t>INE066A01013</t>
  </si>
  <si>
    <t>Eicher Motors Ltd</t>
  </si>
  <si>
    <t>INE545U01014</t>
  </si>
  <si>
    <t>Bandhan Bank Ltd</t>
  </si>
  <si>
    <t>INE155A01022</t>
  </si>
  <si>
    <t>Tata Motors Ltd</t>
  </si>
  <si>
    <t>INE323A01026</t>
  </si>
  <si>
    <t>Bosch Ltd</t>
  </si>
  <si>
    <t>INE726G01019</t>
  </si>
  <si>
    <t>ICICI Prudential Life Insurance Company Ltd</t>
  </si>
  <si>
    <t>INE094A01015</t>
  </si>
  <si>
    <t>Hindustan Petroleum Corporation Ltd</t>
  </si>
  <si>
    <t>INE118A01012</t>
  </si>
  <si>
    <t>Bajaj Holdings &amp; Investment Ltd</t>
  </si>
  <si>
    <t>INE208A01029</t>
  </si>
  <si>
    <t>Ashok Leyland Ltd</t>
  </si>
  <si>
    <t>INE134E01011</t>
  </si>
  <si>
    <t>Power Finance Corporation Ltd</t>
  </si>
  <si>
    <t>INE917I01010</t>
  </si>
  <si>
    <t>Bajaj Auto Ltd</t>
  </si>
  <si>
    <t>INE259A01022</t>
  </si>
  <si>
    <t>Colgate Palmolive (India) Ltd</t>
  </si>
  <si>
    <t>INE102D01028</t>
  </si>
  <si>
    <t>Godrej Consumer Products Ltd</t>
  </si>
  <si>
    <t>INE361B01024</t>
  </si>
  <si>
    <t>Divi's Laboratories Ltd</t>
  </si>
  <si>
    <t>INE271C01023</t>
  </si>
  <si>
    <t>DLF Ltd</t>
  </si>
  <si>
    <t>INE347G01014</t>
  </si>
  <si>
    <t>Petronet LNG Ltd</t>
  </si>
  <si>
    <t>INE213A01029</t>
  </si>
  <si>
    <t>Oil &amp; Natural Gas Corporation Ltd</t>
  </si>
  <si>
    <t>Oil</t>
  </si>
  <si>
    <t>INE160A01022</t>
  </si>
  <si>
    <t>Punjab National Bank</t>
  </si>
  <si>
    <t>INE742F01042</t>
  </si>
  <si>
    <t>Adani Ports and Special Economic Zone Ltd</t>
  </si>
  <si>
    <t>INE075A01022</t>
  </si>
  <si>
    <t>Wipro Ltd</t>
  </si>
  <si>
    <t>INE044A01036</t>
  </si>
  <si>
    <t>Sun Pharmaceutical Industries Ltd</t>
  </si>
  <si>
    <t>INE522F01014</t>
  </si>
  <si>
    <t>Coal India Ltd</t>
  </si>
  <si>
    <t>INE081A01012</t>
  </si>
  <si>
    <t>Tata Steel Ltd</t>
  </si>
  <si>
    <t>INE129A01019</t>
  </si>
  <si>
    <t>GAIL (India) Ltd</t>
  </si>
  <si>
    <t>INE010B01027</t>
  </si>
  <si>
    <t>Cadila Healthcare Ltd</t>
  </si>
  <si>
    <t>INE848E01016</t>
  </si>
  <si>
    <t>NHPC Ltd</t>
  </si>
  <si>
    <t>INE752E01010</t>
  </si>
  <si>
    <t>Power Grid Corporation of India Ltd</t>
  </si>
  <si>
    <t>INE721A01013</t>
  </si>
  <si>
    <t>Shriram Transport Finance Company Ltd</t>
  </si>
  <si>
    <t>INE059A01026</t>
  </si>
  <si>
    <t>Cipla Ltd</t>
  </si>
  <si>
    <t>INE326A01037</t>
  </si>
  <si>
    <t>Lupin Ltd</t>
  </si>
  <si>
    <t>INE881D01027</t>
  </si>
  <si>
    <t>Oracle Financial Services Software Ltd</t>
  </si>
  <si>
    <t>INE089A01023</t>
  </si>
  <si>
    <t>Dr. Reddy's Laboratories Ltd</t>
  </si>
  <si>
    <t>INE267A01025</t>
  </si>
  <si>
    <t>Hindustan Zinc Ltd</t>
  </si>
  <si>
    <t>Non - Ferrous Metals</t>
  </si>
  <si>
    <t>INE019A01038</t>
  </si>
  <si>
    <t>JSW Steel Ltd</t>
  </si>
  <si>
    <t>INE176B01034</t>
  </si>
  <si>
    <t>Havells India Ltd</t>
  </si>
  <si>
    <t>INE205A01025</t>
  </si>
  <si>
    <t>Vedanta Ltd</t>
  </si>
  <si>
    <t>INE079A01024</t>
  </si>
  <si>
    <t>Ambuja Cements Ltd</t>
  </si>
  <si>
    <t>INE038A01020</t>
  </si>
  <si>
    <t>Hindalco Industries Ltd</t>
  </si>
  <si>
    <t>INE140A01024</t>
  </si>
  <si>
    <t>Piramal Enterprises Ltd</t>
  </si>
  <si>
    <t>INE256A01028</t>
  </si>
  <si>
    <t>Zee Entertainment Enterprises Ltd</t>
  </si>
  <si>
    <t>INE646L01027</t>
  </si>
  <si>
    <t>Interglobe Aviation Ltd</t>
  </si>
  <si>
    <t>INE406A01037</t>
  </si>
  <si>
    <t>Aurobindo Pharma Ltd</t>
  </si>
  <si>
    <t>INE121J01017</t>
  </si>
  <si>
    <t>Bharti Infratel Ltd</t>
  </si>
  <si>
    <t>INE669E01016</t>
  </si>
  <si>
    <t>Vodafone Idea Ltd</t>
  </si>
  <si>
    <t>INE148I01020</t>
  </si>
  <si>
    <t>Indiabulls Housing Finance Ltd</t>
  </si>
  <si>
    <t>IN9155A01020</t>
  </si>
  <si>
    <t>Sundaram Diversified Equity</t>
  </si>
  <si>
    <t>Sundaram TOP 100-Series-VI</t>
  </si>
  <si>
    <t>INE263A01024</t>
  </si>
  <si>
    <t>Bharat Electronics Ltd</t>
  </si>
  <si>
    <t>INE095N01031</t>
  </si>
  <si>
    <t>NBCC (India) Ltd</t>
  </si>
  <si>
    <t>Sundaram TOP 100-Series-VII</t>
  </si>
  <si>
    <t>Sundaram Equity Fund</t>
  </si>
  <si>
    <t>INE053A01029</t>
  </si>
  <si>
    <t>The Indian Hotels Company Ltd</t>
  </si>
  <si>
    <t>Sundaram Equity Savings Fund</t>
  </si>
  <si>
    <t>INE749A01030</t>
  </si>
  <si>
    <t>Jindal Steel &amp; Power Ltd</t>
  </si>
  <si>
    <t>INE264A01014</t>
  </si>
  <si>
    <t>GlaxoSmithKline Consumer Healthcare Ltd</t>
  </si>
  <si>
    <t>INE031A08657</t>
  </si>
  <si>
    <t>Housing and Urban Development Corp. Ltd - 8.23% - 15/04/2022**</t>
  </si>
  <si>
    <t xml:space="preserve"> [ICRA]AAA </t>
  </si>
  <si>
    <t>INE020B08BF0</t>
  </si>
  <si>
    <t>REC Ltd - 8.45% - 22/03/2022**</t>
  </si>
  <si>
    <t>INE261F08AL1</t>
  </si>
  <si>
    <t>National Bank for Agricultural &amp; Rural Development - 8.39% - 19/07/2021**</t>
  </si>
  <si>
    <t>INE053F07AK6</t>
  </si>
  <si>
    <t>Indian Railway Finance Corporation Ltd - 7.65% - 15/03/2021**</t>
  </si>
  <si>
    <t>INE756I07BH2</t>
  </si>
  <si>
    <t>HDB Financial Services Ltd - 7.8% - 29/06/2020**</t>
  </si>
  <si>
    <t>INE134E08JJ8</t>
  </si>
  <si>
    <t>Power Finance Corporation Ltd - 7.73% - 12/03/2021**</t>
  </si>
  <si>
    <t>INE752E07GK3</t>
  </si>
  <si>
    <t>Power Grid Corporation of India Ltd - 8.9% - 25/02/2020**</t>
  </si>
  <si>
    <t>Sundaram Financial Services Opportunities Fund</t>
  </si>
  <si>
    <t>Sundaram Value Fund Series X</t>
  </si>
  <si>
    <t>Index Option</t>
  </si>
  <si>
    <t>Sundaram Value Fund Series-II</t>
  </si>
  <si>
    <t>Sundaram Value Fund Series-III</t>
  </si>
  <si>
    <t>Sundaram Value Fund Series VII</t>
  </si>
  <si>
    <t>INE805C01028</t>
  </si>
  <si>
    <t>KCP Ltd</t>
  </si>
  <si>
    <t>INE732C01016</t>
  </si>
  <si>
    <t>NCL Industries Ltd</t>
  </si>
  <si>
    <t>Sundaram Value Fund Series VIII</t>
  </si>
  <si>
    <t>Sundaram Value Fund Series IX</t>
  </si>
  <si>
    <t>Sundaram Equity Hybrid Fund</t>
  </si>
  <si>
    <t>INE006I01046</t>
  </si>
  <si>
    <t>Astral Poly Technik Ltd</t>
  </si>
  <si>
    <t>INE640A01023</t>
  </si>
  <si>
    <t>SKF India Ltd</t>
  </si>
  <si>
    <t>INE002S01010</t>
  </si>
  <si>
    <t>Mahanagar Gas Ltd</t>
  </si>
  <si>
    <t>(f) Derivative</t>
  </si>
  <si>
    <t>INE556F08JK7</t>
  </si>
  <si>
    <t>Small Industrial Development Bank of India - 7.95% - 26/04/2022**</t>
  </si>
  <si>
    <t>INE062A08157</t>
  </si>
  <si>
    <t>State Bank of India - 8.15% - 02/08/2022**</t>
  </si>
  <si>
    <t xml:space="preserve"> CRISIL AA+ </t>
  </si>
  <si>
    <t>INE040A08377</t>
  </si>
  <si>
    <t>HDFC Bank Ltd - 8.85% - 12/05/2022</t>
  </si>
  <si>
    <t>INE514E08FL5</t>
  </si>
  <si>
    <t>Export Import Bank of India - 8.6% - 31/03/2022**</t>
  </si>
  <si>
    <t>INE062A08140</t>
  </si>
  <si>
    <t>State Bank of India - 8.39% - 25/10/2021**</t>
  </si>
  <si>
    <t>INE062A08173</t>
  </si>
  <si>
    <t>State Bank of India - 9.56% - 04/12/2023**</t>
  </si>
  <si>
    <t>INE028A08158</t>
  </si>
  <si>
    <t>Bank of Baroda - 8.55% - 14/02/2029**</t>
  </si>
  <si>
    <t xml:space="preserve"> IND AAA </t>
  </si>
  <si>
    <t>INE028A08117</t>
  </si>
  <si>
    <t>Bank of Baroda - 8.65% - 11/08/2022**</t>
  </si>
  <si>
    <t>INE261F08BK1</t>
  </si>
  <si>
    <t>National Bank for Agricultural &amp; Rural Development - 7.69% - 29/05/2024</t>
  </si>
  <si>
    <t>INE134E08KD9</t>
  </si>
  <si>
    <t>Power Finance Corporation Ltd - 8.1% - 04/06/2024**</t>
  </si>
  <si>
    <t>INE001A07RV7</t>
  </si>
  <si>
    <t>Housing Development Finance Corporation Ltd - 7.99% - 11/07/2024**</t>
  </si>
  <si>
    <t>INE115A07OF5</t>
  </si>
  <si>
    <t>LIC Housing Finance Ltd - 7.99% - 12/07/2029**</t>
  </si>
  <si>
    <t>INE090A08TW2</t>
  </si>
  <si>
    <t>ICICI Bank Ltd - 9.2% - 17/03/2022**</t>
  </si>
  <si>
    <t xml:space="preserve"> [ICRA]AA+ </t>
  </si>
  <si>
    <t>INE105N07084</t>
  </si>
  <si>
    <t>Oriental Nagpur Betul Highway ltd - 8.28% - 30/09/2020**</t>
  </si>
  <si>
    <t>INE238A08443</t>
  </si>
  <si>
    <t>Axis Bank Ltd - 8.75% - 28/06/2022**</t>
  </si>
  <si>
    <t>INE528G08394</t>
  </si>
  <si>
    <t>Yes Bank Ltd - 9% - 18/10/2022**</t>
  </si>
  <si>
    <t xml:space="preserve"> [ICRA]BBB+ </t>
  </si>
  <si>
    <t>INE020B08641</t>
  </si>
  <si>
    <t>REC Ltd - 9.75% - 11/11/2021**</t>
  </si>
  <si>
    <t>INE134E08CX4</t>
  </si>
  <si>
    <t>Power Finance Corporation Ltd - 8.7% - 14/05/2020**</t>
  </si>
  <si>
    <t>INE528G08246</t>
  </si>
  <si>
    <t>Yes Bank Ltd - 9.9% - 31/10/2022**</t>
  </si>
  <si>
    <t xml:space="preserve"> [ICRA]A+ </t>
  </si>
  <si>
    <t>INE909H08253</t>
  </si>
  <si>
    <t>TMF Holdings Ltd - 24/01/2020**</t>
  </si>
  <si>
    <t xml:space="preserve"> CRISIL AA- </t>
  </si>
  <si>
    <t>INE895D07487</t>
  </si>
  <si>
    <t>Tata Sons Pvt Ltd - 9.3% - 19/06/2024**</t>
  </si>
  <si>
    <t>IN0020180454</t>
  </si>
  <si>
    <t>7.26% Central Government Securities 14/01/2029</t>
  </si>
  <si>
    <t>Sovereign</t>
  </si>
  <si>
    <t>IN0020190065</t>
  </si>
  <si>
    <t>7.57% Central Government Securities 17/06/2033</t>
  </si>
  <si>
    <t>IN0020190362</t>
  </si>
  <si>
    <t>6.45% Central Government Securities 07/10/2029</t>
  </si>
  <si>
    <t>IN0020020171</t>
  </si>
  <si>
    <t>6.35% Central Government Securities 02/01/2020</t>
  </si>
  <si>
    <t>e ) Total outstanding exposure in derivative instruments at the end of the period</t>
  </si>
  <si>
    <t>f) Total investments in foreign securities /ADR'S/GDR'S  at the end of the period</t>
  </si>
  <si>
    <t>i) Repo in corporate debt</t>
  </si>
  <si>
    <t>Monthly Portfolio Statement for the month ended 31 October 2019</t>
  </si>
  <si>
    <t>a) Total securities classified as below investment grade or default provided for and its percentage to NAV</t>
  </si>
  <si>
    <t>0.00 / #</t>
  </si>
  <si>
    <t>#</t>
  </si>
  <si>
    <t>Biocon Ltd Nov 2019</t>
  </si>
  <si>
    <t>TREPS</t>
  </si>
  <si>
    <t>** Non Traded Securities</t>
  </si>
  <si>
    <t>^ Net current assets includes interest accrued on fixed income securities</t>
  </si>
  <si>
    <t>Cash and Other Net Current Assets^</t>
  </si>
  <si>
    <t>Federal Bank Ltd Nov 2019</t>
  </si>
  <si>
    <t>Shriram Transport Finance Company Ltd Nov 2019</t>
  </si>
  <si>
    <t>Sun Pharma Nov 2019</t>
  </si>
  <si>
    <t>ITC Ltd Nov 2019</t>
  </si>
  <si>
    <t>CIPLA Ltd Nov 2019</t>
  </si>
  <si>
    <t>Jindal Steel &amp; Power Ltd Nov 2019</t>
  </si>
  <si>
    <t>GRASIM Ltd Nov 2019</t>
  </si>
  <si>
    <t>Infosys Ltd Nov 2019</t>
  </si>
  <si>
    <t>Dabur India Ltd Nov 2019</t>
  </si>
  <si>
    <t>Mahindra &amp; Mahindra Ltd Nov 2019</t>
  </si>
  <si>
    <t>HDFC Bank Ltd Nov 2019</t>
  </si>
  <si>
    <t>Hindustan Unilever Ltd Nov 2019</t>
  </si>
  <si>
    <t>Housing Development Fin Corp Ltd Nov 2019</t>
  </si>
  <si>
    <t>Reliance Industries Ltd Nov 2019</t>
  </si>
  <si>
    <t>Berger Paints LTD Nov 2019</t>
  </si>
  <si>
    <t>g) Average  Maturity - only for Debt portion (years)</t>
  </si>
  <si>
    <t>h) Macaulay Duration - only for Debt portion (years)</t>
  </si>
  <si>
    <t>i) Portfolio Turnover Ratio</t>
  </si>
  <si>
    <t>j) Repo in corporate debt</t>
  </si>
  <si>
    <t>Tata Motors Ltd - DVR</t>
  </si>
  <si>
    <t>j) Portfolio Turnover Ratio</t>
  </si>
  <si>
    <t>Nifty Option Dec 2020 10500</t>
  </si>
  <si>
    <t>Nifty Option Dec 2020 11000</t>
  </si>
  <si>
    <t xml:space="preserve">Sundaram Overnight Fund-Direct Growth </t>
  </si>
  <si>
    <t>Ultra Cements Nov 2019</t>
  </si>
  <si>
    <t>SUNDARAM WORLD BRAND SERIES II</t>
  </si>
  <si>
    <t>ISIN</t>
  </si>
  <si>
    <t>Name of the Instrument</t>
  </si>
  <si>
    <t>Mkt Value
 Rs. in Lacs</t>
  </si>
  <si>
    <t>% to Net
 Assets</t>
  </si>
  <si>
    <t>Equity &amp; Equity related</t>
  </si>
  <si>
    <t>(a) Listed / awaiting listing on Stock Exchanges</t>
  </si>
  <si>
    <t>India Equity Share</t>
  </si>
  <si>
    <t>NIL</t>
  </si>
  <si>
    <t/>
  </si>
  <si>
    <t>Total</t>
  </si>
  <si>
    <t>FOREIGN SECURITIES/OVERSEAS ETFS</t>
  </si>
  <si>
    <t>American Depository Receipt</t>
  </si>
  <si>
    <t>International Equity Shares</t>
  </si>
  <si>
    <t>(b) Unlisted</t>
  </si>
  <si>
    <t>DEBT INSTRUMENTS</t>
  </si>
  <si>
    <t>(a) Listed/Awaiting Listing on Stock Exchanges</t>
  </si>
  <si>
    <t xml:space="preserve">(b) Privately placed/Unlisted </t>
  </si>
  <si>
    <t>(c) Securitised Debt Instruments</t>
  </si>
  <si>
    <t>Money Market Instruments</t>
  </si>
  <si>
    <t>Others</t>
  </si>
  <si>
    <t>Mutual Fund Units</t>
  </si>
  <si>
    <t>Reverse Repo / TREPS</t>
  </si>
  <si>
    <t xml:space="preserve"> </t>
  </si>
  <si>
    <t>GRAND TOTAL</t>
  </si>
  <si>
    <t>a) Total securities below investment grade or default  - Nil</t>
  </si>
  <si>
    <t>b)Total value and percentage of illiquid equity shares  - Nil</t>
  </si>
  <si>
    <t>c) NAV  per  unit (Rupees per unit)</t>
  </si>
  <si>
    <t>Direct plan</t>
  </si>
  <si>
    <t xml:space="preserve">Regular plan </t>
  </si>
  <si>
    <t>at the beginning</t>
  </si>
  <si>
    <t>at the end</t>
  </si>
  <si>
    <t>Options</t>
  </si>
  <si>
    <t>Dividend</t>
  </si>
  <si>
    <t>Growth</t>
  </si>
  <si>
    <t>d) Dividend declared during the period (Rupees per unit) - Nil</t>
  </si>
  <si>
    <t>e) Total outstanding exposure in derivative instruments at the end of the period - Nil</t>
  </si>
  <si>
    <t>f) Total investments in foreign securities /ADR'S/GDR'S  at the end of the period - Nil</t>
  </si>
  <si>
    <t>g) Portfolio Turnover Ratio - 3.82%</t>
  </si>
  <si>
    <t>h) Investment in repo in corporate debt - Nil</t>
  </si>
  <si>
    <t>SUNDARAM WORLD BRAND SERIES III</t>
  </si>
  <si>
    <t>US8923313071</t>
  </si>
  <si>
    <t>TOYOTA MOTOR CORP - SPON ADR</t>
  </si>
  <si>
    <t>Automotive</t>
  </si>
  <si>
    <t>US03524A1088</t>
  </si>
  <si>
    <t>ANHEUSER-BUSCH INBEV-SPN ADR</t>
  </si>
  <si>
    <t>Beverages</t>
  </si>
  <si>
    <t>US4381283088</t>
  </si>
  <si>
    <t>HONDA MOTOR CO LTD-SPONS ADR</t>
  </si>
  <si>
    <t>US4557931098</t>
  </si>
  <si>
    <t>INDITEX-UNSPON ADR</t>
  </si>
  <si>
    <t>Consumer Discretionary</t>
  </si>
  <si>
    <t>US4258831050</t>
  </si>
  <si>
    <t>HENNES &amp; MAURITZ AB-UNSP ADR</t>
  </si>
  <si>
    <t>US5024413065</t>
  </si>
  <si>
    <t>LVMH MOET HENNESSY-UNSP ADR</t>
  </si>
  <si>
    <t>US0378331005</t>
  </si>
  <si>
    <t>APPLE INC</t>
  </si>
  <si>
    <t>Manufacturing</t>
  </si>
  <si>
    <t>US5949181045</t>
  </si>
  <si>
    <t>MICROSOFT CORP</t>
  </si>
  <si>
    <t>Computers - Software</t>
  </si>
  <si>
    <t>US0231351067</t>
  </si>
  <si>
    <t>AMAZON.COM INC</t>
  </si>
  <si>
    <t>Product Distribution</t>
  </si>
  <si>
    <t>US02079K3059</t>
  </si>
  <si>
    <t>ALPHABET INC. CLASS A</t>
  </si>
  <si>
    <t>Internet / Intranet</t>
  </si>
  <si>
    <t>US7427181091</t>
  </si>
  <si>
    <t>PROCTER &amp; GAMBLE CO/THE</t>
  </si>
  <si>
    <t>Consumer Staples</t>
  </si>
  <si>
    <t>FR0000121014</t>
  </si>
  <si>
    <t>LVMH MOET HENNESSY LOUIS VUITTON SA</t>
  </si>
  <si>
    <t>US5801351017</t>
  </si>
  <si>
    <t>MCDONALD'S CORPORATION</t>
  </si>
  <si>
    <t>Restaurant</t>
  </si>
  <si>
    <t>US1912161007</t>
  </si>
  <si>
    <t>COCA-COLA COMPANY</t>
  </si>
  <si>
    <t>Beverage</t>
  </si>
  <si>
    <t>US30303M1027</t>
  </si>
  <si>
    <t>FACEBOOK INC</t>
  </si>
  <si>
    <t>US2546871060</t>
  </si>
  <si>
    <t>WALT DISNEY COMPANY (THE) - COM DISNEY U</t>
  </si>
  <si>
    <t>Media &amp; Broadcasting</t>
  </si>
  <si>
    <t>US46625H1005</t>
  </si>
  <si>
    <t>JP MORGAN CHASE &amp; CO</t>
  </si>
  <si>
    <t>Financials</t>
  </si>
  <si>
    <t>US4581401001</t>
  </si>
  <si>
    <t>INTEL CORPORATION</t>
  </si>
  <si>
    <t>Electronic Compon/ Instruments</t>
  </si>
  <si>
    <t>US4592001014</t>
  </si>
  <si>
    <t>INTERNATIONAL BUSINESS MACHINES CORP</t>
  </si>
  <si>
    <t>Computer Services</t>
  </si>
  <si>
    <t>US68389X1054</t>
  </si>
  <si>
    <t>ORACLE CORPORATION</t>
  </si>
  <si>
    <t>Software &amp; Services</t>
  </si>
  <si>
    <t>US17275R1023</t>
  </si>
  <si>
    <t>CISCO SYSTEMS INC</t>
  </si>
  <si>
    <t>Networking</t>
  </si>
  <si>
    <t>US6541061031</t>
  </si>
  <si>
    <t>NIKE INC</t>
  </si>
  <si>
    <t>Footware</t>
  </si>
  <si>
    <t>US9113121068</t>
  </si>
  <si>
    <t>UNITED PARCEL SERVICE INC</t>
  </si>
  <si>
    <t>Courier</t>
  </si>
  <si>
    <t>DE0005190003</t>
  </si>
  <si>
    <t>BAYERISCHE MOTOREN WERKE AG</t>
  </si>
  <si>
    <t>Automobile Industry</t>
  </si>
  <si>
    <t>US7134481081</t>
  </si>
  <si>
    <t>PEPSICO INC</t>
  </si>
  <si>
    <t>US0258161092</t>
  </si>
  <si>
    <t>AMERICAN EXPRESS COMPANY</t>
  </si>
  <si>
    <t>DE0007164600</t>
  </si>
  <si>
    <t>SAP SE</t>
  </si>
  <si>
    <t>Information Technology</t>
  </si>
  <si>
    <t>IE00B4BNMY34</t>
  </si>
  <si>
    <t>ACCENTURE LTD-CL A</t>
  </si>
  <si>
    <t>US3696041033</t>
  </si>
  <si>
    <t>GENERAL ELECTRIC COMPANY</t>
  </si>
  <si>
    <t>Diversified Manufacturing</t>
  </si>
  <si>
    <t>DE0007100000</t>
  </si>
  <si>
    <t>DAIMLER AG-REGISTERED SHARES</t>
  </si>
  <si>
    <t>FR0000052292</t>
  </si>
  <si>
    <t>HERMES INTERNATIONAL</t>
  </si>
  <si>
    <t>US9297401088</t>
  </si>
  <si>
    <t>WABTEC CORP - COM USD0.01</t>
  </si>
  <si>
    <t>f) Total investments in foreign securities /ADR'S/GDR'S  at the end of the period - Rs 3,190.35 Lacs</t>
  </si>
  <si>
    <t>g) Portfolio Turnover Ratio - 3.83%</t>
  </si>
  <si>
    <t>SUNDARAM GLOBAL ADVANTAGE FUND</t>
  </si>
  <si>
    <t>Monthly Portfolio Statement for the period ended 31 october 2019</t>
  </si>
  <si>
    <t>S.NO</t>
  </si>
  <si>
    <t>ISIN CODE</t>
  </si>
  <si>
    <t>Industry/ Rating</t>
  </si>
  <si>
    <t>A) Investments in Foreign Securities - Units of Mutual Funds</t>
  </si>
  <si>
    <t>LU0048597586</t>
  </si>
  <si>
    <t>FIL Investment Management Luxembourg SA - Fidelity-Asia Focus -A USD</t>
  </si>
  <si>
    <t>Mutual Fund</t>
  </si>
  <si>
    <t>LU0292107991</t>
  </si>
  <si>
    <t>D B Tracker EM Asia</t>
  </si>
  <si>
    <t>LU0029875118</t>
  </si>
  <si>
    <t>Templeton Asia GR FD PR SH CL A(YDIS)USD</t>
  </si>
  <si>
    <t>LU0292108619</t>
  </si>
  <si>
    <t>D B Tracker LATAM</t>
  </si>
  <si>
    <t>LU0102008223</t>
  </si>
  <si>
    <t>Parvest Equity Latin America</t>
  </si>
  <si>
    <t>Total for Investments in Foreign Securities - Units of Mutual Funds</t>
  </si>
  <si>
    <t>B) Money Market Investments</t>
  </si>
  <si>
    <t>Cash and Other Net Curent Assets</t>
  </si>
  <si>
    <t># Indicates percentage to NAV of security is less than 0.01%</t>
  </si>
  <si>
    <t>b) Total value and percentage of illiquid equity shares - Nil</t>
  </si>
  <si>
    <t>e) Total outstanding exposure in derivative instrumentsat the end of the period - Nil</t>
  </si>
  <si>
    <t>f) Total investments in foreign securities /ADR'S/GDR'S  at the end of the period - Rs 1,727.22 lacs</t>
  </si>
  <si>
    <t>g) Repo in Corporate Debt - Nil</t>
  </si>
  <si>
    <t>Annexure-A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</si>
  <si>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</si>
  <si>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</si>
  <si>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</si>
  <si>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October 31,2019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</si>
  <si>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</si>
  <si>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</si>
  <si>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</si>
  <si>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</si>
  <si>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</si>
  <si>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</si>
  <si>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Short</t>
  </si>
  <si>
    <t xml:space="preserve">Total percentage of existing assets hedged through futures as a percentage of net assets </t>
  </si>
  <si>
    <t>%</t>
  </si>
  <si>
    <t>For the period ended 31 October 2019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</si>
  <si>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</si>
  <si>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</si>
  <si>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</si>
  <si>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</si>
  <si>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</si>
  <si>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Sundaram Large And Mid Cap Fund</t>
  </si>
  <si>
    <t>Sundaram Multi Cap Fund series II</t>
  </si>
  <si>
    <t>Sundaram Multi Cap Fund series I</t>
  </si>
  <si>
    <t>B. Other than hedging positions through futures as on October 31,2019:</t>
  </si>
  <si>
    <t>Margin maintained in       (Rs. in Lakhs) *</t>
  </si>
  <si>
    <t>Sundaram Midcap Fund</t>
  </si>
  <si>
    <t>Long</t>
  </si>
  <si>
    <t>Sundaram Value Fund Series II</t>
  </si>
  <si>
    <t>Berger Paints Ltd Nov 2019</t>
  </si>
  <si>
    <t>Total percentage of existing assets due to non-hedging positions as a percentage of net assets</t>
  </si>
  <si>
    <t>For the period ended October 31,2019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</si>
  <si>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</si>
  <si>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</si>
  <si>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Sundaram  Mid cap Fund</t>
  </si>
  <si>
    <t>Sundaram SMALL CAP fund</t>
  </si>
  <si>
    <t>C. Hedging Positions through Put Options as on October 31,2019:</t>
  </si>
  <si>
    <t>Call/Put</t>
  </si>
  <si>
    <t>Number of Contracts</t>
  </si>
  <si>
    <t>Option Price when purchased</t>
  </si>
  <si>
    <t>Current Option Price</t>
  </si>
  <si>
    <t>Put</t>
  </si>
  <si>
    <t>Total % of existing assets hedged through Put Options</t>
  </si>
  <si>
    <t>For the period ended  October 31,2019, the following hedging transactions through options which have been already exercised/expired</t>
  </si>
  <si>
    <t>Total Number of contracts entered into</t>
  </si>
  <si>
    <t>Net Profit/(Loss) on all contracts 
(Rs. in Lakhs)</t>
  </si>
  <si>
    <t>Sundaram Service Fund</t>
  </si>
  <si>
    <t>D. Other than Hedging Positions through options as on October 31,2019:</t>
  </si>
  <si>
    <t>-</t>
  </si>
  <si>
    <t xml:space="preserve">Total Exposure through Options other than hedging as a percentage of net assets </t>
  </si>
  <si>
    <t>For the period ended October 31,2019, the following non hedging transactions through options which have been already exercised/expired</t>
  </si>
  <si>
    <t>Gross Notional value of contracts where futures were bought(Rs. in Lakhs)</t>
  </si>
  <si>
    <t>Gross Notional value of contracts where futures were sold (Rs. in Lakhs)</t>
  </si>
  <si>
    <t>Sundaram Mid cap Fund</t>
  </si>
  <si>
    <t>E. Hedging Positions through Swaps as on October 31,2019- Nil</t>
  </si>
  <si>
    <t>F. Hedging Positions through Interest Rate Futures as on October 31,2019: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</si>
  <si>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</si>
  <si>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</si>
  <si>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</si>
  <si>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</si>
  <si>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October 31,2019 following were the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</si>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</sst>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64" formatCode="_(* #,##0.00_);_(* \(#,##0.00\);_(* &quot;-&quot;??_);_(@_)"/>
    <numFmt numFmtId="165" formatCode="0.00_);[Red]\(0.00\)"/>
    <numFmt numFmtId="166" formatCode="0.0000_);[Red]\(0.0000\)"/>
    <numFmt numFmtId="167" formatCode="\(#,##0.00\);\(#,##0.00\)"/>
    <numFmt numFmtId="168" formatCode="\(#,##0.00%\);\(#,##0.00%\)"/>
    <numFmt numFmtId="169" formatCode="_(* #,##0.000000_);_(* \(#,##0.000000\);_(* &quot;-&quot;??????_);_(@_)"/>
    <numFmt numFmtId="170" formatCode="0.00_);\(0.00\)"/>
    <numFmt numFmtId="171" formatCode="0.000000000000%"/>
    <numFmt numFmtId="172" formatCode="#,##0.00000000"/>
    <numFmt numFmtId="173" formatCode="dd\/mm\/yyyy"/>
    <numFmt numFmtId="174" formatCode="0.0000"/>
    <numFmt numFmtId="175" formatCode="#,##0.00000"/>
    <numFmt numFmtId="176" formatCode="#,##0.000000"/>
    <numFmt numFmtId="177" formatCode="#,##0.000"/>
    <numFmt numFmtId="178" formatCode="0.000000000"/>
    <numFmt numFmtId="179" formatCode="#,##0.00;\(#,##0.00\)"/>
    <numFmt numFmtId="180" formatCode="#,##0.0000;\(#,##0.0000\)"/>
    <numFmt numFmtId="181" formatCode="_(* #,##0.000_);_(* \(#,##0.000\);_(* &quot;-&quot;??_);_(@_)"/>
    <numFmt numFmtId="182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Calibri"/>
      <family val="2"/>
      <scheme val="minor"/>
    </font>
    <font>
      <b/>
      <sz val="11"/>
      <color indexed="7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72"/>
      <name val="Calibri"/>
      <family val="2"/>
      <scheme val="minor"/>
    </font>
    <font>
      <sz val="10"/>
      <color indexed="7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72"/>
      <name val="Tahoma"/>
      <family val="2"/>
    </font>
    <font>
      <sz val="10"/>
      <color indexed="9"/>
      <name val="Calibri"/>
      <family val="2"/>
      <scheme val="minor"/>
    </font>
    <font>
      <sz val="9"/>
      <color theme="1"/>
      <name val="Arial"/>
      <family val="2"/>
    </font>
    <font>
      <b/>
      <sz val="9"/>
      <name val="Calibri"/>
      <family val="2"/>
      <scheme val="minor"/>
    </font>
    <font>
      <b/>
      <sz val="10"/>
      <color theme="1"/>
      <name val="Arial"/>
      <family val="2"/>
    </font>
    <font>
      <b/>
      <u/>
      <sz val="10"/>
      <name val="Arial"/>
      <family val="2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</cellStyleXfs>
  <cellXfs count="400">
    <xf numFmtId="0" fontId="0" fillId="0" borderId="0" xfId="0"/>
    <xf numFmtId="1" fontId="6" fillId="2" borderId="1" xfId="5" applyNumberFormat="1" applyFont="1" applyFill="1" applyBorder="1" applyAlignment="1">
      <alignment horizontal="center" vertical="center" wrapText="1"/>
    </xf>
    <xf numFmtId="0" fontId="6" fillId="2" borderId="1" xfId="5" applyFont="1" applyFill="1" applyBorder="1" applyAlignment="1">
      <alignment horizontal="left" vertical="center" wrapText="1"/>
    </xf>
    <xf numFmtId="15" fontId="7" fillId="2" borderId="2" xfId="9" applyNumberFormat="1" applyFont="1" applyFill="1" applyBorder="1" applyAlignment="1">
      <alignment horizontal="left" vertical="center" wrapText="1"/>
    </xf>
    <xf numFmtId="1" fontId="6" fillId="2" borderId="1" xfId="9" applyNumberFormat="1" applyFont="1" applyFill="1" applyBorder="1" applyAlignment="1">
      <alignment horizontal="left" vertical="center" wrapText="1"/>
    </xf>
    <xf numFmtId="10" fontId="6" fillId="2" borderId="1" xfId="12" applyNumberFormat="1" applyFont="1" applyFill="1" applyBorder="1" applyAlignment="1">
      <alignment horizontal="right" vertical="center" wrapText="1"/>
    </xf>
    <xf numFmtId="1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left" vertical="center" wrapText="1"/>
    </xf>
    <xf numFmtId="0" fontId="7" fillId="2" borderId="2" xfId="5" applyFont="1" applyFill="1" applyBorder="1" applyAlignment="1">
      <alignment vertical="center" wrapText="1"/>
    </xf>
    <xf numFmtId="0" fontId="7" fillId="2" borderId="1" xfId="5" applyFont="1" applyFill="1" applyBorder="1" applyAlignment="1">
      <alignment horizontal="left" vertical="center" wrapText="1"/>
    </xf>
    <xf numFmtId="10" fontId="7" fillId="2" borderId="1" xfId="5" applyNumberFormat="1" applyFont="1" applyFill="1" applyBorder="1" applyAlignment="1">
      <alignment horizontal="left" vertical="center" wrapText="1"/>
    </xf>
    <xf numFmtId="0" fontId="6" fillId="2" borderId="2" xfId="5" applyFont="1" applyFill="1" applyBorder="1" applyAlignment="1">
      <alignment vertical="center" wrapText="1"/>
    </xf>
    <xf numFmtId="1" fontId="7" fillId="2" borderId="1" xfId="9" applyNumberFormat="1" applyFont="1" applyFill="1" applyBorder="1" applyAlignment="1">
      <alignment horizontal="left" vertical="center" wrapText="1"/>
    </xf>
    <xf numFmtId="10" fontId="7" fillId="2" borderId="1" xfId="12" applyNumberFormat="1" applyFont="1" applyFill="1" applyBorder="1" applyAlignment="1">
      <alignment horizontal="right" vertical="center" wrapText="1"/>
    </xf>
    <xf numFmtId="0" fontId="6" fillId="2" borderId="2" xfId="9" applyFont="1" applyFill="1" applyBorder="1" applyAlignment="1">
      <alignment vertical="center" wrapText="1"/>
    </xf>
    <xf numFmtId="0" fontId="6" fillId="2" borderId="1" xfId="9" applyNumberFormat="1" applyFont="1" applyFill="1" applyBorder="1" applyAlignment="1">
      <alignment horizontal="left" vertical="center" wrapText="1"/>
    </xf>
    <xf numFmtId="1" fontId="6" fillId="2" borderId="1" xfId="6" applyNumberFormat="1" applyFont="1" applyFill="1" applyBorder="1" applyAlignment="1">
      <alignment horizontal="center" vertical="center" wrapText="1"/>
    </xf>
    <xf numFmtId="15" fontId="6" fillId="2" borderId="1" xfId="6" applyNumberFormat="1" applyFont="1" applyFill="1" applyBorder="1" applyAlignment="1">
      <alignment horizontal="left" vertical="center" wrapText="1"/>
    </xf>
    <xf numFmtId="1" fontId="6" fillId="2" borderId="1" xfId="10" applyNumberFormat="1" applyFont="1" applyFill="1" applyBorder="1" applyAlignment="1">
      <alignment horizontal="center" vertical="center" wrapText="1"/>
    </xf>
    <xf numFmtId="0" fontId="6" fillId="2" borderId="1" xfId="10" applyFont="1" applyFill="1" applyBorder="1" applyAlignment="1">
      <alignment horizontal="left" vertical="center" wrapText="1"/>
    </xf>
    <xf numFmtId="1" fontId="7" fillId="2" borderId="1" xfId="10" applyNumberFormat="1" applyFont="1" applyFill="1" applyBorder="1" applyAlignment="1">
      <alignment horizontal="left" vertical="center" wrapText="1"/>
    </xf>
    <xf numFmtId="10" fontId="7" fillId="2" borderId="1" xfId="13" applyNumberFormat="1" applyFont="1" applyFill="1" applyBorder="1" applyAlignment="1">
      <alignment horizontal="right" vertical="center" wrapText="1"/>
    </xf>
    <xf numFmtId="1" fontId="6" fillId="2" borderId="1" xfId="10" applyNumberFormat="1" applyFont="1" applyFill="1" applyBorder="1" applyAlignment="1">
      <alignment horizontal="left" vertical="center" wrapText="1"/>
    </xf>
    <xf numFmtId="10" fontId="6" fillId="2" borderId="1" xfId="10" applyNumberFormat="1" applyFont="1" applyFill="1" applyBorder="1" applyAlignment="1">
      <alignment horizontal="right" vertical="center" wrapText="1"/>
    </xf>
    <xf numFmtId="0" fontId="7" fillId="2" borderId="2" xfId="9" applyFont="1" applyFill="1" applyBorder="1" applyAlignment="1">
      <alignment horizontal="left" vertical="center" wrapText="1"/>
    </xf>
    <xf numFmtId="0" fontId="7" fillId="2" borderId="1" xfId="9" applyFont="1" applyFill="1" applyBorder="1" applyAlignment="1">
      <alignment horizontal="left" vertical="center" wrapText="1"/>
    </xf>
    <xf numFmtId="15" fontId="6" fillId="2" borderId="1" xfId="5" applyNumberFormat="1" applyFont="1" applyFill="1" applyBorder="1" applyAlignment="1">
      <alignment horizontal="left" vertical="center" wrapText="1"/>
    </xf>
    <xf numFmtId="10" fontId="6" fillId="2" borderId="1" xfId="5" applyNumberFormat="1" applyFont="1" applyFill="1" applyBorder="1" applyAlignment="1">
      <alignment horizontal="right" vertical="center" wrapText="1"/>
    </xf>
    <xf numFmtId="10" fontId="6" fillId="2" borderId="1" xfId="9" applyNumberFormat="1" applyFont="1" applyFill="1" applyBorder="1" applyAlignment="1">
      <alignment horizontal="right" vertical="center" wrapText="1"/>
    </xf>
    <xf numFmtId="0" fontId="7" fillId="2" borderId="2" xfId="9" applyFont="1" applyFill="1" applyBorder="1" applyAlignment="1">
      <alignment vertical="center" wrapText="1"/>
    </xf>
    <xf numFmtId="0" fontId="6" fillId="2" borderId="2" xfId="9" applyFont="1" applyFill="1" applyBorder="1" applyAlignment="1">
      <alignment horizontal="left" vertical="center" wrapText="1"/>
    </xf>
    <xf numFmtId="0" fontId="7" fillId="2" borderId="2" xfId="5" applyFont="1" applyFill="1" applyBorder="1" applyAlignment="1">
      <alignment horizontal="left" vertical="top" wrapText="1"/>
    </xf>
    <xf numFmtId="0" fontId="6" fillId="2" borderId="0" xfId="0" applyFont="1" applyFill="1"/>
    <xf numFmtId="0" fontId="7" fillId="2" borderId="1" xfId="8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 vertical="center"/>
    </xf>
    <xf numFmtId="0" fontId="8" fillId="2" borderId="1" xfId="5" applyFont="1" applyFill="1" applyBorder="1" applyAlignment="1">
      <alignment horizontal="center" vertical="center" wrapText="1"/>
    </xf>
    <xf numFmtId="0" fontId="8" fillId="2" borderId="1" xfId="5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0" fontId="6" fillId="2" borderId="3" xfId="0" applyFont="1" applyFill="1" applyBorder="1"/>
    <xf numFmtId="0" fontId="3" fillId="2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/>
    <xf numFmtId="166" fontId="6" fillId="2" borderId="1" xfId="0" applyNumberFormat="1" applyFont="1" applyFill="1" applyBorder="1"/>
    <xf numFmtId="0" fontId="6" fillId="2" borderId="4" xfId="8" applyFont="1" applyFill="1" applyBorder="1" applyAlignment="1">
      <alignment horizontal="left" vertical="center"/>
    </xf>
    <xf numFmtId="10" fontId="7" fillId="2" borderId="1" xfId="0" applyNumberFormat="1" applyFont="1" applyFill="1" applyBorder="1" applyAlignment="1">
      <alignment horizontal="left" vertical="center"/>
    </xf>
    <xf numFmtId="1" fontId="6" fillId="2" borderId="1" xfId="9" applyNumberFormat="1" applyFont="1" applyFill="1" applyBorder="1" applyAlignment="1">
      <alignment horizontal="right" vertical="center" wrapText="1"/>
    </xf>
    <xf numFmtId="1" fontId="7" fillId="2" borderId="1" xfId="5" applyNumberFormat="1" applyFont="1" applyFill="1" applyBorder="1" applyAlignment="1">
      <alignment horizontal="left" vertical="center" wrapText="1"/>
    </xf>
    <xf numFmtId="1" fontId="7" fillId="2" borderId="1" xfId="9" applyNumberFormat="1" applyFont="1" applyFill="1" applyBorder="1" applyAlignment="1">
      <alignment horizontal="right" vertical="center" wrapText="1"/>
    </xf>
    <xf numFmtId="1" fontId="7" fillId="2" borderId="1" xfId="10" applyNumberFormat="1" applyFont="1" applyFill="1" applyBorder="1" applyAlignment="1">
      <alignment horizontal="right" vertical="center" wrapText="1"/>
    </xf>
    <xf numFmtId="1" fontId="6" fillId="2" borderId="1" xfId="10" applyNumberFormat="1" applyFont="1" applyFill="1" applyBorder="1" applyAlignment="1">
      <alignment horizontal="right" vertical="center" wrapText="1"/>
    </xf>
    <xf numFmtId="1" fontId="6" fillId="2" borderId="1" xfId="5" applyNumberFormat="1" applyFont="1" applyFill="1" applyBorder="1" applyAlignment="1">
      <alignment horizontal="right" vertical="center" wrapText="1"/>
    </xf>
    <xf numFmtId="2" fontId="6" fillId="2" borderId="1" xfId="2" applyNumberFormat="1" applyFont="1" applyFill="1" applyBorder="1" applyAlignment="1">
      <alignment horizontal="right" vertical="center" wrapText="1"/>
    </xf>
    <xf numFmtId="2" fontId="7" fillId="2" borderId="1" xfId="5" applyNumberFormat="1" applyFont="1" applyFill="1" applyBorder="1" applyAlignment="1">
      <alignment horizontal="left" vertical="center" wrapText="1"/>
    </xf>
    <xf numFmtId="2" fontId="7" fillId="2" borderId="1" xfId="2" applyNumberFormat="1" applyFont="1" applyFill="1" applyBorder="1" applyAlignment="1">
      <alignment horizontal="right" vertical="center" wrapText="1"/>
    </xf>
    <xf numFmtId="2" fontId="7" fillId="2" borderId="1" xfId="3" applyNumberFormat="1" applyFont="1" applyFill="1" applyBorder="1" applyAlignment="1">
      <alignment horizontal="right" vertical="center" wrapText="1"/>
    </xf>
    <xf numFmtId="2" fontId="6" fillId="2" borderId="1" xfId="10" applyNumberFormat="1" applyFont="1" applyFill="1" applyBorder="1" applyAlignment="1">
      <alignment horizontal="right" vertical="center" wrapText="1"/>
    </xf>
    <xf numFmtId="2" fontId="6" fillId="2" borderId="1" xfId="5" applyNumberFormat="1" applyFont="1" applyFill="1" applyBorder="1" applyAlignment="1">
      <alignment horizontal="right" vertical="center" wrapText="1"/>
    </xf>
    <xf numFmtId="2" fontId="6" fillId="2" borderId="1" xfId="9" applyNumberFormat="1" applyFont="1" applyFill="1" applyBorder="1" applyAlignment="1">
      <alignment horizontal="right" vertical="center" wrapText="1"/>
    </xf>
    <xf numFmtId="0" fontId="4" fillId="0" borderId="1" xfId="10" applyFont="1" applyFill="1" applyBorder="1" applyAlignment="1">
      <alignment horizontal="center" vertical="center"/>
    </xf>
    <xf numFmtId="14" fontId="4" fillId="0" borderId="1" xfId="8" applyNumberFormat="1" applyFont="1" applyFill="1" applyBorder="1" applyAlignment="1">
      <alignment horizontal="center" vertical="center" wrapText="1"/>
    </xf>
    <xf numFmtId="0" fontId="3" fillId="2" borderId="2" xfId="8" applyFont="1" applyFill="1" applyBorder="1" applyAlignment="1">
      <alignment horizontal="left" vertical="center"/>
    </xf>
    <xf numFmtId="0" fontId="7" fillId="2" borderId="1" xfId="0" applyFont="1" applyFill="1" applyBorder="1"/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6" fillId="2" borderId="0" xfId="0" applyFont="1" applyFill="1" applyBorder="1"/>
    <xf numFmtId="167" fontId="7" fillId="2" borderId="1" xfId="0" applyNumberFormat="1" applyFont="1" applyFill="1" applyBorder="1" applyAlignment="1">
      <alignment horizontal="left" vertical="center"/>
    </xf>
    <xf numFmtId="169" fontId="6" fillId="2" borderId="0" xfId="0" applyNumberFormat="1" applyFont="1" applyFill="1"/>
    <xf numFmtId="0" fontId="8" fillId="2" borderId="2" xfId="5" applyFont="1" applyFill="1" applyBorder="1" applyAlignment="1">
      <alignment horizontal="center" vertical="center" wrapText="1"/>
    </xf>
    <xf numFmtId="0" fontId="3" fillId="2" borderId="0" xfId="0" applyFont="1" applyFill="1"/>
    <xf numFmtId="1" fontId="3" fillId="2" borderId="1" xfId="5" applyNumberFormat="1" applyFont="1" applyFill="1" applyBorder="1" applyAlignment="1">
      <alignment horizontal="center" vertical="center" wrapText="1"/>
    </xf>
    <xf numFmtId="0" fontId="3" fillId="2" borderId="1" xfId="5" applyFont="1" applyFill="1" applyBorder="1" applyAlignment="1">
      <alignment horizontal="left" vertical="center" wrapText="1"/>
    </xf>
    <xf numFmtId="15" fontId="4" fillId="2" borderId="2" xfId="9" applyNumberFormat="1" applyFont="1" applyFill="1" applyBorder="1" applyAlignment="1">
      <alignment horizontal="left" vertical="center" wrapText="1"/>
    </xf>
    <xf numFmtId="1" fontId="3" fillId="2" borderId="1" xfId="9" applyNumberFormat="1" applyFont="1" applyFill="1" applyBorder="1" applyAlignment="1">
      <alignment horizontal="left" vertical="center" wrapText="1"/>
    </xf>
    <xf numFmtId="1" fontId="3" fillId="2" borderId="1" xfId="9" applyNumberFormat="1" applyFont="1" applyFill="1" applyBorder="1" applyAlignment="1">
      <alignment horizontal="right" vertical="center" wrapText="1"/>
    </xf>
    <xf numFmtId="2" fontId="3" fillId="2" borderId="1" xfId="2" applyNumberFormat="1" applyFont="1" applyFill="1" applyBorder="1" applyAlignment="1">
      <alignment horizontal="right" vertical="center" wrapText="1"/>
    </xf>
    <xf numFmtId="10" fontId="3" fillId="2" borderId="1" xfId="12" applyNumberFormat="1" applyFont="1" applyFill="1" applyBorder="1" applyAlignment="1">
      <alignment horizontal="right" vertical="center" wrapText="1"/>
    </xf>
    <xf numFmtId="1" fontId="3" fillId="2" borderId="1" xfId="9" applyNumberFormat="1" applyFont="1" applyFill="1" applyBorder="1" applyAlignment="1">
      <alignment horizontal="center" vertical="center" wrapText="1"/>
    </xf>
    <xf numFmtId="0" fontId="3" fillId="2" borderId="1" xfId="9" applyFont="1" applyFill="1" applyBorder="1" applyAlignment="1">
      <alignment horizontal="left" vertical="center" wrapText="1"/>
    </xf>
    <xf numFmtId="0" fontId="4" fillId="2" borderId="2" xfId="5" applyFont="1" applyFill="1" applyBorder="1" applyAlignment="1">
      <alignment vertical="center" wrapText="1"/>
    </xf>
    <xf numFmtId="0" fontId="4" fillId="2" borderId="1" xfId="5" applyFont="1" applyFill="1" applyBorder="1" applyAlignment="1">
      <alignment horizontal="left" vertical="center" wrapText="1"/>
    </xf>
    <xf numFmtId="1" fontId="4" fillId="2" borderId="1" xfId="5" applyNumberFormat="1" applyFont="1" applyFill="1" applyBorder="1" applyAlignment="1">
      <alignment horizontal="left" vertical="center" wrapText="1"/>
    </xf>
    <xf numFmtId="2" fontId="4" fillId="2" borderId="1" xfId="5" applyNumberFormat="1" applyFont="1" applyFill="1" applyBorder="1" applyAlignment="1">
      <alignment horizontal="left" vertical="center" wrapText="1"/>
    </xf>
    <xf numFmtId="10" fontId="4" fillId="2" borderId="1" xfId="5" applyNumberFormat="1" applyFont="1" applyFill="1" applyBorder="1" applyAlignment="1">
      <alignment horizontal="left" vertical="center" wrapText="1"/>
    </xf>
    <xf numFmtId="0" fontId="3" fillId="2" borderId="2" xfId="5" applyFont="1" applyFill="1" applyBorder="1" applyAlignment="1">
      <alignment vertical="center" wrapText="1"/>
    </xf>
    <xf numFmtId="1" fontId="4" fillId="2" borderId="1" xfId="9" applyNumberFormat="1" applyFont="1" applyFill="1" applyBorder="1" applyAlignment="1">
      <alignment horizontal="left" vertical="center" wrapText="1"/>
    </xf>
    <xf numFmtId="1" fontId="4" fillId="2" borderId="1" xfId="9" applyNumberFormat="1" applyFont="1" applyFill="1" applyBorder="1" applyAlignment="1">
      <alignment horizontal="right" vertical="center" wrapText="1"/>
    </xf>
    <xf numFmtId="2" fontId="4" fillId="2" borderId="1" xfId="2" applyNumberFormat="1" applyFont="1" applyFill="1" applyBorder="1" applyAlignment="1">
      <alignment horizontal="right" vertical="center" wrapText="1"/>
    </xf>
    <xf numFmtId="10" fontId="4" fillId="2" borderId="1" xfId="12" applyNumberFormat="1" applyFont="1" applyFill="1" applyBorder="1" applyAlignment="1">
      <alignment horizontal="right" vertical="center" wrapText="1"/>
    </xf>
    <xf numFmtId="0" fontId="3" fillId="2" borderId="2" xfId="9" applyFont="1" applyFill="1" applyBorder="1" applyAlignment="1">
      <alignment vertical="center" wrapText="1"/>
    </xf>
    <xf numFmtId="0" fontId="3" fillId="2" borderId="1" xfId="9" applyNumberFormat="1" applyFont="1" applyFill="1" applyBorder="1" applyAlignment="1">
      <alignment horizontal="left" vertical="center" wrapText="1"/>
    </xf>
    <xf numFmtId="1" fontId="3" fillId="2" borderId="1" xfId="6" applyNumberFormat="1" applyFont="1" applyFill="1" applyBorder="1" applyAlignment="1">
      <alignment horizontal="center" vertical="center" wrapText="1"/>
    </xf>
    <xf numFmtId="15" fontId="3" fillId="2" borderId="1" xfId="6" applyNumberFormat="1" applyFont="1" applyFill="1" applyBorder="1" applyAlignment="1">
      <alignment horizontal="left" vertical="center" wrapText="1"/>
    </xf>
    <xf numFmtId="1" fontId="3" fillId="2" borderId="1" xfId="10" applyNumberFormat="1" applyFont="1" applyFill="1" applyBorder="1" applyAlignment="1">
      <alignment horizontal="center" vertical="center" wrapText="1"/>
    </xf>
    <xf numFmtId="0" fontId="3" fillId="2" borderId="1" xfId="10" applyFont="1" applyFill="1" applyBorder="1" applyAlignment="1">
      <alignment horizontal="left" vertical="center" wrapText="1"/>
    </xf>
    <xf numFmtId="1" fontId="4" fillId="2" borderId="1" xfId="10" applyNumberFormat="1" applyFont="1" applyFill="1" applyBorder="1" applyAlignment="1">
      <alignment horizontal="left" vertical="center" wrapText="1"/>
    </xf>
    <xf numFmtId="1" fontId="4" fillId="2" borderId="1" xfId="10" applyNumberFormat="1" applyFont="1" applyFill="1" applyBorder="1" applyAlignment="1">
      <alignment horizontal="right" vertical="center" wrapText="1"/>
    </xf>
    <xf numFmtId="2" fontId="4" fillId="2" borderId="1" xfId="3" applyNumberFormat="1" applyFont="1" applyFill="1" applyBorder="1" applyAlignment="1">
      <alignment horizontal="right" vertical="center" wrapText="1"/>
    </xf>
    <xf numFmtId="10" fontId="4" fillId="2" borderId="1" xfId="13" applyNumberFormat="1" applyFont="1" applyFill="1" applyBorder="1" applyAlignment="1">
      <alignment horizontal="right" vertical="center" wrapText="1"/>
    </xf>
    <xf numFmtId="1" fontId="3" fillId="2" borderId="1" xfId="10" applyNumberFormat="1" applyFont="1" applyFill="1" applyBorder="1" applyAlignment="1">
      <alignment horizontal="left" vertical="center" wrapText="1"/>
    </xf>
    <xf numFmtId="1" fontId="3" fillId="2" borderId="1" xfId="10" applyNumberFormat="1" applyFont="1" applyFill="1" applyBorder="1" applyAlignment="1">
      <alignment horizontal="right" vertical="center" wrapText="1"/>
    </xf>
    <xf numFmtId="2" fontId="3" fillId="2" borderId="1" xfId="10" applyNumberFormat="1" applyFont="1" applyFill="1" applyBorder="1" applyAlignment="1">
      <alignment horizontal="right" vertical="center" wrapText="1"/>
    </xf>
    <xf numFmtId="10" fontId="3" fillId="2" borderId="1" xfId="10" applyNumberFormat="1" applyFont="1" applyFill="1" applyBorder="1" applyAlignment="1">
      <alignment horizontal="right" vertical="center" wrapText="1"/>
    </xf>
    <xf numFmtId="0" fontId="4" fillId="2" borderId="2" xfId="9" applyFont="1" applyFill="1" applyBorder="1" applyAlignment="1">
      <alignment horizontal="left" vertical="center" wrapText="1"/>
    </xf>
    <xf numFmtId="0" fontId="4" fillId="2" borderId="1" xfId="9" applyFont="1" applyFill="1" applyBorder="1" applyAlignment="1">
      <alignment horizontal="left" vertical="center" wrapText="1"/>
    </xf>
    <xf numFmtId="15" fontId="3" fillId="2" borderId="1" xfId="5" applyNumberFormat="1" applyFont="1" applyFill="1" applyBorder="1" applyAlignment="1">
      <alignment horizontal="left" vertical="center" wrapText="1"/>
    </xf>
    <xf numFmtId="1" fontId="3" fillId="2" borderId="1" xfId="5" applyNumberFormat="1" applyFont="1" applyFill="1" applyBorder="1" applyAlignment="1">
      <alignment horizontal="right" vertical="center" wrapText="1"/>
    </xf>
    <xf numFmtId="2" fontId="3" fillId="2" borderId="1" xfId="5" applyNumberFormat="1" applyFont="1" applyFill="1" applyBorder="1" applyAlignment="1">
      <alignment horizontal="right" vertical="center" wrapText="1"/>
    </xf>
    <xf numFmtId="10" fontId="3" fillId="2" borderId="1" xfId="5" applyNumberFormat="1" applyFont="1" applyFill="1" applyBorder="1" applyAlignment="1">
      <alignment horizontal="right" vertical="center" wrapText="1"/>
    </xf>
    <xf numFmtId="2" fontId="3" fillId="2" borderId="1" xfId="9" applyNumberFormat="1" applyFont="1" applyFill="1" applyBorder="1" applyAlignment="1">
      <alignment horizontal="right" vertical="center" wrapText="1"/>
    </xf>
    <xf numFmtId="10" fontId="3" fillId="2" borderId="1" xfId="9" applyNumberFormat="1" applyFont="1" applyFill="1" applyBorder="1" applyAlignment="1">
      <alignment horizontal="right" vertical="center" wrapText="1"/>
    </xf>
    <xf numFmtId="0" fontId="4" fillId="2" borderId="2" xfId="9" applyFont="1" applyFill="1" applyBorder="1" applyAlignment="1">
      <alignment vertical="center" wrapText="1"/>
    </xf>
    <xf numFmtId="0" fontId="3" fillId="2" borderId="2" xfId="9" applyFont="1" applyFill="1" applyBorder="1" applyAlignment="1">
      <alignment horizontal="left" vertical="center" wrapText="1"/>
    </xf>
    <xf numFmtId="0" fontId="4" fillId="2" borderId="2" xfId="5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8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/>
    </xf>
    <xf numFmtId="166" fontId="3" fillId="2" borderId="1" xfId="0" applyNumberFormat="1" applyFont="1" applyFill="1" applyBorder="1"/>
    <xf numFmtId="0" fontId="3" fillId="2" borderId="0" xfId="0" applyFont="1" applyFill="1" applyBorder="1"/>
    <xf numFmtId="167" fontId="4" fillId="2" borderId="1" xfId="0" applyNumberFormat="1" applyFont="1" applyFill="1" applyBorder="1" applyAlignment="1">
      <alignment horizontal="left" vertical="center"/>
    </xf>
    <xf numFmtId="10" fontId="4" fillId="2" borderId="1" xfId="0" applyNumberFormat="1" applyFont="1" applyFill="1" applyBorder="1" applyAlignment="1">
      <alignment horizontal="left" vertical="center"/>
    </xf>
    <xf numFmtId="170" fontId="6" fillId="2" borderId="1" xfId="9" applyNumberFormat="1" applyFont="1" applyFill="1" applyBorder="1" applyAlignment="1">
      <alignment horizontal="right" vertical="center" wrapText="1"/>
    </xf>
    <xf numFmtId="39" fontId="6" fillId="2" borderId="1" xfId="9" applyNumberFormat="1" applyFont="1" applyFill="1" applyBorder="1" applyAlignment="1">
      <alignment horizontal="right" vertical="center" wrapText="1"/>
    </xf>
    <xf numFmtId="171" fontId="3" fillId="2" borderId="1" xfId="12" applyNumberFormat="1" applyFont="1" applyFill="1" applyBorder="1" applyAlignment="1">
      <alignment horizontal="right" vertical="center" wrapText="1"/>
    </xf>
    <xf numFmtId="10" fontId="6" fillId="2" borderId="0" xfId="11" applyNumberFormat="1" applyFont="1" applyFill="1"/>
    <xf numFmtId="0" fontId="7" fillId="2" borderId="1" xfId="0" applyFont="1" applyFill="1" applyBorder="1" applyAlignment="1">
      <alignment horizontal="center" vertical="center"/>
    </xf>
    <xf numFmtId="169" fontId="6" fillId="2" borderId="1" xfId="0" applyNumberFormat="1" applyFont="1" applyFill="1" applyBorder="1"/>
    <xf numFmtId="0" fontId="7" fillId="2" borderId="0" xfId="0" applyFont="1" applyFill="1" applyBorder="1"/>
    <xf numFmtId="0" fontId="3" fillId="2" borderId="1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left" vertical="center"/>
    </xf>
    <xf numFmtId="10" fontId="6" fillId="2" borderId="1" xfId="11" applyNumberFormat="1" applyFont="1" applyFill="1" applyBorder="1" applyAlignment="1">
      <alignment horizontal="right" vertical="center" wrapText="1"/>
    </xf>
    <xf numFmtId="168" fontId="6" fillId="2" borderId="1" xfId="11" applyNumberFormat="1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vertical="center"/>
    </xf>
    <xf numFmtId="2" fontId="6" fillId="2" borderId="0" xfId="0" applyNumberFormat="1" applyFont="1" applyFill="1"/>
    <xf numFmtId="10" fontId="3" fillId="0" borderId="1" xfId="9" applyNumberFormat="1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left" vertical="center"/>
    </xf>
    <xf numFmtId="10" fontId="6" fillId="0" borderId="1" xfId="12" applyNumberFormat="1" applyFont="1" applyFill="1" applyBorder="1" applyAlignment="1">
      <alignment horizontal="right" vertical="center" wrapText="1"/>
    </xf>
    <xf numFmtId="10" fontId="7" fillId="0" borderId="1" xfId="12" applyNumberFormat="1" applyFont="1" applyFill="1" applyBorder="1" applyAlignment="1">
      <alignment horizontal="right" vertical="center" wrapText="1"/>
    </xf>
    <xf numFmtId="170" fontId="6" fillId="2" borderId="1" xfId="2" applyNumberFormat="1" applyFont="1" applyFill="1" applyBorder="1" applyAlignment="1">
      <alignment horizontal="right" vertical="center" wrapText="1"/>
    </xf>
    <xf numFmtId="10" fontId="6" fillId="0" borderId="1" xfId="9" applyNumberFormat="1" applyFont="1" applyFill="1" applyBorder="1" applyAlignment="1">
      <alignment horizontal="right" vertical="center" wrapText="1"/>
    </xf>
    <xf numFmtId="0" fontId="4" fillId="2" borderId="1" xfId="7" applyFont="1" applyFill="1" applyBorder="1" applyAlignment="1">
      <alignment horizontal="center" vertical="center" wrapText="1"/>
    </xf>
    <xf numFmtId="169" fontId="3" fillId="2" borderId="1" xfId="4" applyNumberFormat="1" applyFont="1" applyFill="1" applyBorder="1"/>
    <xf numFmtId="170" fontId="7" fillId="2" borderId="1" xfId="2" applyNumberFormat="1" applyFont="1" applyFill="1" applyBorder="1" applyAlignment="1">
      <alignment horizontal="right" vertical="center" wrapText="1"/>
    </xf>
    <xf numFmtId="168" fontId="6" fillId="2" borderId="1" xfId="12" applyNumberFormat="1" applyFont="1" applyFill="1" applyBorder="1" applyAlignment="1">
      <alignment horizontal="right" vertical="center" wrapText="1"/>
    </xf>
    <xf numFmtId="168" fontId="7" fillId="2" borderId="1" xfId="12" applyNumberFormat="1" applyFont="1" applyFill="1" applyBorder="1" applyAlignment="1">
      <alignment horizontal="right" vertical="center" wrapText="1"/>
    </xf>
    <xf numFmtId="0" fontId="3" fillId="2" borderId="1" xfId="9" applyFont="1" applyFill="1" applyBorder="1" applyAlignment="1">
      <alignment horizontal="left" vertical="center" wrapText="1"/>
    </xf>
    <xf numFmtId="0" fontId="3" fillId="2" borderId="2" xfId="5" applyFont="1" applyFill="1" applyBorder="1" applyAlignment="1">
      <alignment vertical="center" wrapText="1"/>
    </xf>
    <xf numFmtId="0" fontId="3" fillId="2" borderId="2" xfId="5" applyFont="1" applyFill="1" applyBorder="1" applyAlignment="1">
      <alignment vertical="center" wrapText="1"/>
    </xf>
    <xf numFmtId="0" fontId="3" fillId="2" borderId="2" xfId="5" applyFont="1" applyFill="1" applyBorder="1" applyAlignment="1">
      <alignment vertical="center" wrapText="1"/>
    </xf>
    <xf numFmtId="0" fontId="3" fillId="2" borderId="2" xfId="5" applyFont="1" applyFill="1" applyBorder="1" applyAlignment="1">
      <alignment vertical="center" wrapText="1"/>
    </xf>
    <xf numFmtId="0" fontId="3" fillId="2" borderId="2" xfId="5" applyFont="1" applyFill="1" applyBorder="1" applyAlignment="1">
      <alignment vertical="center" wrapText="1"/>
    </xf>
    <xf numFmtId="0" fontId="3" fillId="2" borderId="2" xfId="5" applyFont="1" applyFill="1" applyBorder="1" applyAlignment="1">
      <alignment vertical="center" wrapText="1"/>
    </xf>
    <xf numFmtId="0" fontId="3" fillId="2" borderId="2" xfId="5" applyFont="1" applyFill="1" applyBorder="1" applyAlignment="1">
      <alignment vertical="center" wrapText="1"/>
    </xf>
    <xf numFmtId="0" fontId="3" fillId="2" borderId="1" xfId="9" applyFont="1" applyFill="1" applyBorder="1" applyAlignment="1">
      <alignment horizontal="left" vertical="center" wrapText="1"/>
    </xf>
    <xf numFmtId="0" fontId="3" fillId="2" borderId="2" xfId="5" applyFont="1" applyFill="1" applyBorder="1" applyAlignment="1">
      <alignment vertical="center" wrapText="1"/>
    </xf>
    <xf numFmtId="0" fontId="3" fillId="2" borderId="2" xfId="9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167" fontId="4" fillId="2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0" fontId="3" fillId="2" borderId="1" xfId="8" applyFont="1" applyFill="1" applyBorder="1" applyAlignment="1">
      <alignment horizontal="left" vertical="center"/>
    </xf>
    <xf numFmtId="2" fontId="3" fillId="2" borderId="0" xfId="0" applyNumberFormat="1" applyFont="1" applyFill="1"/>
    <xf numFmtId="10" fontId="7" fillId="2" borderId="1" xfId="11" applyNumberFormat="1" applyFont="1" applyFill="1" applyBorder="1" applyAlignment="1">
      <alignment horizontal="right" vertical="center" wrapText="1"/>
    </xf>
    <xf numFmtId="4" fontId="7" fillId="2" borderId="1" xfId="0" applyNumberFormat="1" applyFont="1" applyFill="1" applyBorder="1" applyAlignment="1">
      <alignment horizontal="left" vertical="center"/>
    </xf>
    <xf numFmtId="0" fontId="4" fillId="2" borderId="0" xfId="8" applyFont="1" applyFill="1" applyBorder="1" applyAlignment="1">
      <alignment horizontal="left" vertical="center"/>
    </xf>
    <xf numFmtId="0" fontId="4" fillId="2" borderId="0" xfId="7" applyFont="1" applyFill="1" applyBorder="1" applyAlignment="1">
      <alignment horizontal="center" vertical="center" wrapText="1"/>
    </xf>
    <xf numFmtId="169" fontId="3" fillId="2" borderId="0" xfId="4" applyNumberFormat="1" applyFont="1" applyFill="1" applyBorder="1"/>
    <xf numFmtId="0" fontId="4" fillId="2" borderId="2" xfId="10" applyFont="1" applyFill="1" applyBorder="1" applyAlignment="1">
      <alignment horizontal="center" vertical="center"/>
    </xf>
    <xf numFmtId="0" fontId="3" fillId="2" borderId="2" xfId="0" applyFont="1" applyFill="1" applyBorder="1"/>
    <xf numFmtId="170" fontId="6" fillId="2" borderId="1" xfId="1" applyNumberFormat="1" applyFont="1" applyFill="1" applyBorder="1" applyAlignment="1">
      <alignment horizontal="right" vertical="center" wrapText="1"/>
    </xf>
    <xf numFmtId="10" fontId="3" fillId="2" borderId="0" xfId="0" applyNumberFormat="1" applyFont="1" applyFill="1"/>
    <xf numFmtId="0" fontId="8" fillId="2" borderId="5" xfId="5" applyFont="1" applyFill="1" applyBorder="1" applyAlignment="1">
      <alignment horizontal="center" vertical="center" wrapText="1"/>
    </xf>
    <xf numFmtId="0" fontId="8" fillId="2" borderId="6" xfId="5" applyFont="1" applyFill="1" applyBorder="1" applyAlignment="1">
      <alignment horizontal="center" vertical="center" wrapText="1"/>
    </xf>
    <xf numFmtId="0" fontId="8" fillId="2" borderId="7" xfId="5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1" fillId="0" borderId="0" xfId="0" applyFont="1"/>
    <xf numFmtId="0" fontId="12" fillId="0" borderId="1" xfId="0" applyFont="1" applyBorder="1" applyAlignment="1">
      <alignment horizontal="center" vertical="top" wrapText="1"/>
    </xf>
    <xf numFmtId="0" fontId="12" fillId="2" borderId="1" xfId="5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" fontId="13" fillId="0" borderId="8" xfId="0" applyNumberFormat="1" applyFont="1" applyBorder="1" applyAlignment="1">
      <alignment horizontal="center" vertical="center" wrapText="1"/>
    </xf>
    <xf numFmtId="10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center" vertical="center" wrapText="1"/>
    </xf>
    <xf numFmtId="10" fontId="16" fillId="0" borderId="1" xfId="0" applyNumberFormat="1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right" vertical="top" wrapText="1"/>
    </xf>
    <xf numFmtId="10" fontId="16" fillId="0" borderId="1" xfId="0" applyNumberFormat="1" applyFont="1" applyBorder="1" applyAlignment="1">
      <alignment horizontal="right"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3" fontId="17" fillId="0" borderId="1" xfId="0" applyNumberFormat="1" applyFont="1" applyBorder="1" applyAlignment="1">
      <alignment horizontal="right" vertical="top" wrapText="1"/>
    </xf>
    <xf numFmtId="0" fontId="15" fillId="0" borderId="1" xfId="0" applyFont="1" applyBorder="1" applyAlignment="1">
      <alignment horizontal="left" vertical="top" wrapText="1"/>
    </xf>
    <xf numFmtId="4" fontId="17" fillId="0" borderId="1" xfId="0" applyNumberFormat="1" applyFont="1" applyBorder="1" applyAlignment="1">
      <alignment horizontal="right" vertical="top" wrapText="1"/>
    </xf>
    <xf numFmtId="10" fontId="17" fillId="0" borderId="1" xfId="0" applyNumberFormat="1" applyFont="1" applyBorder="1" applyAlignment="1">
      <alignment horizontal="right" vertical="top" wrapText="1"/>
    </xf>
    <xf numFmtId="3" fontId="15" fillId="0" borderId="1" xfId="0" applyNumberFormat="1" applyFont="1" applyBorder="1" applyAlignment="1">
      <alignment horizontal="right" vertical="top" wrapText="1"/>
    </xf>
    <xf numFmtId="4" fontId="15" fillId="0" borderId="1" xfId="0" applyNumberFormat="1" applyFont="1" applyBorder="1" applyAlignment="1">
      <alignment horizontal="right" vertical="top" wrapText="1"/>
    </xf>
    <xf numFmtId="10" fontId="15" fillId="0" borderId="1" xfId="0" applyNumberFormat="1" applyFont="1" applyBorder="1" applyAlignment="1">
      <alignment horizontal="right" vertical="top" wrapText="1"/>
    </xf>
    <xf numFmtId="10" fontId="17" fillId="0" borderId="1" xfId="11" applyNumberFormat="1" applyFont="1" applyBorder="1" applyAlignment="1">
      <alignment horizontal="right" vertical="top" wrapText="1"/>
    </xf>
    <xf numFmtId="10" fontId="11" fillId="0" borderId="0" xfId="0" applyNumberFormat="1" applyFont="1"/>
    <xf numFmtId="10" fontId="15" fillId="0" borderId="1" xfId="11" applyNumberFormat="1" applyFont="1" applyBorder="1" applyAlignment="1">
      <alignment horizontal="right" vertical="top" wrapText="1"/>
    </xf>
    <xf numFmtId="4" fontId="11" fillId="0" borderId="0" xfId="0" applyNumberFormat="1" applyFont="1"/>
    <xf numFmtId="3" fontId="11" fillId="0" borderId="0" xfId="0" applyNumberFormat="1" applyFont="1"/>
    <xf numFmtId="10" fontId="16" fillId="0" borderId="1" xfId="11" applyNumberFormat="1" applyFont="1" applyBorder="1" applyAlignment="1">
      <alignment horizontal="right" vertical="top" wrapText="1"/>
    </xf>
    <xf numFmtId="0" fontId="18" fillId="0" borderId="1" xfId="0" applyFont="1" applyBorder="1"/>
    <xf numFmtId="2" fontId="16" fillId="0" borderId="1" xfId="0" applyNumberFormat="1" applyFont="1" applyBorder="1" applyAlignment="1">
      <alignment horizontal="right" vertical="top" wrapText="1"/>
    </xf>
    <xf numFmtId="2" fontId="17" fillId="0" borderId="1" xfId="0" applyNumberFormat="1" applyFont="1" applyBorder="1" applyAlignment="1">
      <alignment horizontal="right" vertical="top" wrapText="1"/>
    </xf>
    <xf numFmtId="10" fontId="14" fillId="0" borderId="1" xfId="0" applyNumberFormat="1" applyFont="1" applyBorder="1" applyAlignment="1">
      <alignment horizontal="right" vertical="top" wrapText="1"/>
    </xf>
    <xf numFmtId="0" fontId="15" fillId="0" borderId="1" xfId="0" applyFont="1" applyBorder="1"/>
    <xf numFmtId="4" fontId="17" fillId="0" borderId="1" xfId="0" applyNumberFormat="1" applyFont="1" applyBorder="1" applyAlignment="1">
      <alignment horizontal="left" vertical="top" wrapText="1"/>
    </xf>
    <xf numFmtId="10" fontId="17" fillId="0" borderId="1" xfId="0" applyNumberFormat="1" applyFont="1" applyBorder="1" applyAlignment="1">
      <alignment horizontal="left" vertical="top" wrapText="1"/>
    </xf>
    <xf numFmtId="0" fontId="14" fillId="0" borderId="0" xfId="0" applyFont="1"/>
    <xf numFmtId="0" fontId="14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172" fontId="14" fillId="0" borderId="0" xfId="0" applyNumberFormat="1" applyFont="1" applyAlignment="1">
      <alignment horizontal="left" vertical="top" wrapText="1"/>
    </xf>
    <xf numFmtId="10" fontId="14" fillId="0" borderId="0" xfId="0" applyNumberFormat="1" applyFont="1" applyAlignment="1">
      <alignment horizontal="left" vertical="top" wrapText="1"/>
    </xf>
    <xf numFmtId="0" fontId="19" fillId="0" borderId="0" xfId="0" applyFont="1" applyAlignment="1">
      <alignment wrapText="1"/>
    </xf>
    <xf numFmtId="0" fontId="20" fillId="0" borderId="0" xfId="0" applyFont="1"/>
    <xf numFmtId="4" fontId="20" fillId="0" borderId="0" xfId="0" applyNumberFormat="1" applyFont="1"/>
    <xf numFmtId="0" fontId="21" fillId="0" borderId="0" xfId="0" applyFont="1" applyAlignment="1">
      <alignment horizontal="left"/>
    </xf>
    <xf numFmtId="0" fontId="21" fillId="0" borderId="9" xfId="0" applyFont="1" applyBorder="1" applyAlignment="1">
      <alignment horizontal="left"/>
    </xf>
    <xf numFmtId="10" fontId="14" fillId="0" borderId="0" xfId="0" applyNumberFormat="1" applyFont="1"/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173" fontId="22" fillId="0" borderId="1" xfId="8" applyNumberFormat="1" applyFont="1" applyBorder="1" applyAlignment="1">
      <alignment horizontal="center" wrapText="1"/>
    </xf>
    <xf numFmtId="0" fontId="21" fillId="0" borderId="1" xfId="0" applyFont="1" applyBorder="1"/>
    <xf numFmtId="174" fontId="21" fillId="0" borderId="1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4" fontId="14" fillId="0" borderId="0" xfId="0" applyNumberFormat="1" applyFont="1"/>
    <xf numFmtId="0" fontId="20" fillId="0" borderId="0" xfId="0" applyFont="1" applyAlignment="1">
      <alignment horizontal="left"/>
    </xf>
    <xf numFmtId="0" fontId="21" fillId="0" borderId="0" xfId="0" applyFont="1"/>
    <xf numFmtId="0" fontId="8" fillId="2" borderId="1" xfId="5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10" fontId="2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/>
    </xf>
    <xf numFmtId="4" fontId="25" fillId="0" borderId="0" xfId="0" applyNumberFormat="1" applyFont="1"/>
    <xf numFmtId="0" fontId="26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/>
    </xf>
    <xf numFmtId="4" fontId="25" fillId="0" borderId="1" xfId="0" applyNumberFormat="1" applyFont="1" applyBorder="1"/>
    <xf numFmtId="0" fontId="26" fillId="0" borderId="1" xfId="0" applyFont="1" applyBorder="1"/>
    <xf numFmtId="4" fontId="14" fillId="0" borderId="1" xfId="0" applyNumberFormat="1" applyFont="1" applyBorder="1" applyAlignment="1">
      <alignment horizontal="right" vertical="top" wrapText="1"/>
    </xf>
    <xf numFmtId="175" fontId="14" fillId="0" borderId="0" xfId="0" applyNumberFormat="1" applyFont="1" applyAlignment="1">
      <alignment horizontal="left" vertical="top" wrapText="1"/>
    </xf>
    <xf numFmtId="176" fontId="11" fillId="0" borderId="0" xfId="0" applyNumberFormat="1" applyFont="1"/>
    <xf numFmtId="0" fontId="14" fillId="0" borderId="0" xfId="0" applyFont="1" applyAlignment="1">
      <alignment horizontal="right"/>
    </xf>
    <xf numFmtId="0" fontId="10" fillId="0" borderId="1" xfId="15" applyFont="1" applyBorder="1" applyAlignment="1">
      <alignment horizontal="center"/>
    </xf>
    <xf numFmtId="0" fontId="9" fillId="0" borderId="1" xfId="15" applyBorder="1" applyAlignment="1">
      <alignment horizontal="center"/>
    </xf>
    <xf numFmtId="0" fontId="9" fillId="0" borderId="0" xfId="15"/>
    <xf numFmtId="0" fontId="12" fillId="0" borderId="1" xfId="6" applyFont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 wrapText="1"/>
    </xf>
    <xf numFmtId="0" fontId="14" fillId="0" borderId="1" xfId="16" applyFont="1" applyBorder="1" applyProtection="1">
      <protection locked="0"/>
    </xf>
    <xf numFmtId="0" fontId="15" fillId="0" borderId="1" xfId="16" applyFont="1" applyBorder="1" applyAlignment="1" applyProtection="1">
      <alignment wrapText="1"/>
      <protection locked="0"/>
    </xf>
    <xf numFmtId="0" fontId="14" fillId="0" borderId="1" xfId="16" applyFont="1" applyBorder="1" applyAlignment="1">
      <alignment horizontal="right"/>
    </xf>
    <xf numFmtId="0" fontId="14" fillId="0" borderId="1" xfId="16" applyFont="1" applyBorder="1"/>
    <xf numFmtId="0" fontId="14" fillId="0" borderId="1" xfId="16" applyFont="1" applyBorder="1" applyAlignment="1">
      <alignment horizontal="center"/>
    </xf>
    <xf numFmtId="0" fontId="20" fillId="0" borderId="1" xfId="15" applyFont="1" applyBorder="1"/>
    <xf numFmtId="0" fontId="20" fillId="0" borderId="1" xfId="15" applyFont="1" applyBorder="1" applyAlignment="1">
      <alignment wrapText="1"/>
    </xf>
    <xf numFmtId="4" fontId="20" fillId="0" borderId="1" xfId="15" applyNumberFormat="1" applyFont="1" applyBorder="1"/>
    <xf numFmtId="177" fontId="20" fillId="0" borderId="1" xfId="15" applyNumberFormat="1" applyFont="1" applyBorder="1"/>
    <xf numFmtId="164" fontId="20" fillId="0" borderId="1" xfId="1" applyFont="1" applyBorder="1"/>
    <xf numFmtId="2" fontId="14" fillId="0" borderId="1" xfId="16" applyNumberFormat="1" applyFont="1" applyBorder="1" applyAlignment="1">
      <alignment horizontal="right"/>
    </xf>
    <xf numFmtId="4" fontId="9" fillId="0" borderId="0" xfId="15" applyNumberFormat="1"/>
    <xf numFmtId="2" fontId="0" fillId="0" borderId="0" xfId="0" applyNumberFormat="1"/>
    <xf numFmtId="0" fontId="9" fillId="0" borderId="1" xfId="15" applyBorder="1"/>
    <xf numFmtId="0" fontId="15" fillId="0" borderId="1" xfId="6" applyFont="1" applyBorder="1" applyAlignment="1">
      <alignment vertical="center" wrapText="1"/>
    </xf>
    <xf numFmtId="164" fontId="15" fillId="0" borderId="1" xfId="2" applyFont="1" applyBorder="1" applyAlignment="1">
      <alignment vertical="center" wrapText="1"/>
    </xf>
    <xf numFmtId="2" fontId="15" fillId="0" borderId="1" xfId="16" applyNumberFormat="1" applyFont="1" applyBorder="1" applyAlignment="1">
      <alignment horizontal="right" vertical="center"/>
    </xf>
    <xf numFmtId="10" fontId="9" fillId="0" borderId="0" xfId="15" applyNumberFormat="1"/>
    <xf numFmtId="164" fontId="12" fillId="0" borderId="0" xfId="2" applyFont="1" applyAlignment="1">
      <alignment vertical="center" wrapText="1"/>
    </xf>
    <xf numFmtId="164" fontId="14" fillId="0" borderId="1" xfId="2" applyFont="1" applyBorder="1" applyAlignment="1">
      <alignment horizontal="right"/>
    </xf>
    <xf numFmtId="0" fontId="15" fillId="0" borderId="1" xfId="16" applyFont="1" applyBorder="1" applyProtection="1">
      <protection locked="0"/>
    </xf>
    <xf numFmtId="164" fontId="14" fillId="0" borderId="1" xfId="2" applyFont="1" applyBorder="1" applyAlignment="1" applyProtection="1">
      <alignment horizontal="right"/>
      <protection locked="0"/>
    </xf>
    <xf numFmtId="0" fontId="14" fillId="0" borderId="1" xfId="15" applyFont="1" applyBorder="1"/>
    <xf numFmtId="164" fontId="14" fillId="0" borderId="1" xfId="2" applyFont="1" applyBorder="1"/>
    <xf numFmtId="0" fontId="15" fillId="0" borderId="1" xfId="16" applyFont="1" applyBorder="1"/>
    <xf numFmtId="164" fontId="15" fillId="0" borderId="1" xfId="2" applyFont="1" applyFill="1" applyBorder="1" applyAlignment="1">
      <alignment horizontal="right"/>
    </xf>
    <xf numFmtId="2" fontId="15" fillId="0" borderId="1" xfId="12" applyNumberFormat="1" applyFont="1" applyBorder="1" applyAlignment="1">
      <alignment horizontal="right"/>
    </xf>
    <xf numFmtId="164" fontId="14" fillId="0" borderId="1" xfId="2" applyFont="1" applyFill="1" applyBorder="1"/>
    <xf numFmtId="43" fontId="9" fillId="0" borderId="0" xfId="15" applyNumberFormat="1"/>
    <xf numFmtId="0" fontId="9" fillId="0" borderId="0" xfId="16" applyProtection="1">
      <protection locked="0"/>
    </xf>
    <xf numFmtId="2" fontId="15" fillId="0" borderId="1" xfId="16" applyNumberFormat="1" applyFont="1" applyBorder="1" applyAlignment="1">
      <alignment horizontal="right"/>
    </xf>
    <xf numFmtId="4" fontId="27" fillId="0" borderId="0" xfId="0" applyNumberFormat="1" applyFont="1"/>
    <xf numFmtId="0" fontId="20" fillId="0" borderId="0" xfId="15" applyFont="1" applyAlignment="1">
      <alignment horizontal="left"/>
    </xf>
    <xf numFmtId="0" fontId="20" fillId="0" borderId="0" xfId="15" applyFont="1"/>
    <xf numFmtId="43" fontId="20" fillId="0" borderId="0" xfId="15" applyNumberFormat="1" applyFont="1"/>
    <xf numFmtId="0" fontId="28" fillId="0" borderId="0" xfId="15" applyFont="1"/>
    <xf numFmtId="0" fontId="22" fillId="0" borderId="0" xfId="8" applyFont="1" applyAlignment="1">
      <alignment horizontal="left" vertical="center" wrapText="1"/>
    </xf>
    <xf numFmtId="0" fontId="29" fillId="0" borderId="0" xfId="8" applyFont="1" applyAlignment="1">
      <alignment vertical="center"/>
    </xf>
    <xf numFmtId="4" fontId="30" fillId="0" borderId="0" xfId="15" applyNumberFormat="1" applyFont="1"/>
    <xf numFmtId="0" fontId="29" fillId="0" borderId="0" xfId="8" applyFont="1" applyAlignment="1">
      <alignment horizontal="left" vertical="center"/>
    </xf>
    <xf numFmtId="2" fontId="29" fillId="0" borderId="0" xfId="8" applyNumberFormat="1" applyFont="1" applyAlignment="1">
      <alignment vertical="center"/>
    </xf>
    <xf numFmtId="0" fontId="14" fillId="0" borderId="0" xfId="9" applyFont="1" applyAlignment="1">
      <alignment vertical="center"/>
    </xf>
    <xf numFmtId="0" fontId="29" fillId="0" borderId="0" xfId="8" applyFont="1" applyAlignment="1">
      <alignment horizontal="left" vertical="center"/>
    </xf>
    <xf numFmtId="0" fontId="29" fillId="0" borderId="1" xfId="8" applyFont="1" applyBorder="1" applyAlignment="1">
      <alignment vertical="center"/>
    </xf>
    <xf numFmtId="0" fontId="15" fillId="0" borderId="1" xfId="9" applyFont="1" applyBorder="1" applyAlignment="1">
      <alignment horizontal="center" vertical="center"/>
    </xf>
    <xf numFmtId="0" fontId="22" fillId="0" borderId="0" xfId="8" applyFont="1" applyAlignment="1">
      <alignment vertical="center"/>
    </xf>
    <xf numFmtId="0" fontId="15" fillId="0" borderId="1" xfId="9" applyFont="1" applyBorder="1" applyAlignment="1">
      <alignment vertical="center"/>
    </xf>
    <xf numFmtId="173" fontId="22" fillId="0" borderId="1" xfId="8" applyNumberFormat="1" applyFont="1" applyBorder="1" applyAlignment="1">
      <alignment horizontal="center"/>
    </xf>
    <xf numFmtId="14" fontId="22" fillId="0" borderId="0" xfId="8" applyNumberFormat="1" applyFont="1" applyAlignment="1">
      <alignment horizontal="center"/>
    </xf>
    <xf numFmtId="0" fontId="29" fillId="0" borderId="1" xfId="8" applyFont="1" applyBorder="1" applyAlignment="1">
      <alignment horizontal="left" vertical="center"/>
    </xf>
    <xf numFmtId="174" fontId="20" fillId="0" borderId="1" xfId="15" applyNumberFormat="1" applyFont="1" applyBorder="1"/>
    <xf numFmtId="174" fontId="20" fillId="0" borderId="0" xfId="15" applyNumberFormat="1" applyFont="1"/>
    <xf numFmtId="0" fontId="29" fillId="0" borderId="0" xfId="8" applyFont="1" applyAlignment="1">
      <alignment horizontal="left"/>
    </xf>
    <xf numFmtId="0" fontId="14" fillId="0" borderId="0" xfId="8" applyFont="1" applyAlignment="1">
      <alignment horizontal="center" vertical="center"/>
    </xf>
    <xf numFmtId="0" fontId="29" fillId="0" borderId="0" xfId="8" quotePrefix="1" applyFont="1" applyAlignment="1">
      <alignment vertical="center"/>
    </xf>
    <xf numFmtId="0" fontId="14" fillId="0" borderId="0" xfId="15" applyFont="1" applyAlignment="1">
      <alignment vertical="center" wrapText="1"/>
    </xf>
    <xf numFmtId="0" fontId="18" fillId="0" borderId="0" xfId="0" applyFont="1"/>
    <xf numFmtId="0" fontId="24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2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left" vertical="top"/>
    </xf>
    <xf numFmtId="0" fontId="29" fillId="0" borderId="1" xfId="0" applyFont="1" applyBorder="1" applyAlignment="1">
      <alignment horizontal="center" vertical="top"/>
    </xf>
    <xf numFmtId="4" fontId="0" fillId="0" borderId="1" xfId="0" applyNumberFormat="1" applyBorder="1" applyAlignment="1">
      <alignment horizontal="right" vertical="center"/>
    </xf>
    <xf numFmtId="2" fontId="29" fillId="0" borderId="1" xfId="0" applyNumberFormat="1" applyFont="1" applyBorder="1" applyAlignment="1">
      <alignment horizontal="right" vertical="top" wrapText="1"/>
    </xf>
    <xf numFmtId="0" fontId="0" fillId="0" borderId="0" xfId="0" applyProtection="1">
      <protection locked="0"/>
    </xf>
    <xf numFmtId="0" fontId="29" fillId="0" borderId="10" xfId="0" applyFont="1" applyBorder="1" applyAlignment="1">
      <alignment horizontal="center"/>
    </xf>
    <xf numFmtId="0" fontId="14" fillId="0" borderId="10" xfId="0" applyFont="1" applyBorder="1" applyAlignment="1" applyProtection="1">
      <alignment horizontal="center"/>
      <protection locked="0"/>
    </xf>
    <xf numFmtId="164" fontId="14" fillId="0" borderId="10" xfId="4" applyFont="1" applyFill="1" applyBorder="1" applyAlignment="1" applyProtection="1">
      <alignment horizontal="center"/>
      <protection locked="0"/>
    </xf>
    <xf numFmtId="0" fontId="22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10" fontId="29" fillId="0" borderId="1" xfId="0" applyNumberFormat="1" applyFont="1" applyBorder="1" applyAlignment="1">
      <alignment horizontal="center"/>
    </xf>
    <xf numFmtId="10" fontId="20" fillId="0" borderId="0" xfId="0" applyNumberFormat="1" applyFont="1"/>
    <xf numFmtId="0" fontId="29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right" vertical="top" wrapText="1"/>
    </xf>
    <xf numFmtId="4" fontId="29" fillId="0" borderId="1" xfId="0" applyNumberFormat="1" applyFont="1" applyBorder="1" applyAlignment="1">
      <alignment horizontal="right" vertical="top" wrapText="1"/>
    </xf>
    <xf numFmtId="164" fontId="14" fillId="0" borderId="1" xfId="4" applyFont="1" applyFill="1" applyBorder="1"/>
    <xf numFmtId="43" fontId="20" fillId="0" borderId="0" xfId="0" applyNumberFormat="1" applyFont="1"/>
    <xf numFmtId="0" fontId="14" fillId="0" borderId="1" xfId="0" applyFont="1" applyBorder="1" applyAlignment="1">
      <alignment vertical="top" wrapText="1"/>
    </xf>
    <xf numFmtId="4" fontId="29" fillId="0" borderId="1" xfId="0" applyNumberFormat="1" applyFont="1" applyBorder="1" applyAlignment="1">
      <alignment horizontal="right"/>
    </xf>
    <xf numFmtId="4" fontId="29" fillId="0" borderId="1" xfId="4" applyNumberFormat="1" applyFont="1" applyFill="1" applyBorder="1" applyAlignment="1">
      <alignment horizontal="right" vertical="top" wrapText="1"/>
    </xf>
    <xf numFmtId="164" fontId="14" fillId="0" borderId="0" xfId="0" applyNumberFormat="1" applyFont="1"/>
    <xf numFmtId="0" fontId="14" fillId="0" borderId="1" xfId="4" applyNumberFormat="1" applyFont="1" applyFill="1" applyBorder="1" applyAlignment="1">
      <alignment horizontal="center"/>
    </xf>
    <xf numFmtId="4" fontId="14" fillId="0" borderId="1" xfId="4" applyNumberFormat="1" applyFont="1" applyFill="1" applyBorder="1"/>
    <xf numFmtId="0" fontId="29" fillId="0" borderId="1" xfId="0" applyFont="1" applyBorder="1"/>
    <xf numFmtId="0" fontId="14" fillId="0" borderId="1" xfId="0" applyFont="1" applyBorder="1" applyAlignment="1">
      <alignment horizontal="left"/>
    </xf>
    <xf numFmtId="0" fontId="29" fillId="0" borderId="0" xfId="0" applyFont="1" applyAlignment="1">
      <alignment horizontal="left" vertical="top"/>
    </xf>
    <xf numFmtId="37" fontId="14" fillId="0" borderId="0" xfId="4" applyNumberFormat="1" applyFont="1" applyFill="1" applyBorder="1" applyAlignment="1">
      <alignment horizontal="center"/>
    </xf>
    <xf numFmtId="164" fontId="14" fillId="0" borderId="0" xfId="4" applyFont="1" applyFill="1" applyBorder="1"/>
    <xf numFmtId="178" fontId="20" fillId="0" borderId="0" xfId="0" applyNumberFormat="1" applyFont="1"/>
    <xf numFmtId="164" fontId="20" fillId="0" borderId="0" xfId="0" applyNumberFormat="1" applyFont="1"/>
    <xf numFmtId="164" fontId="24" fillId="0" borderId="0" xfId="0" applyNumberFormat="1" applyFont="1"/>
    <xf numFmtId="0" fontId="29" fillId="0" borderId="0" xfId="0" applyFont="1" applyAlignment="1">
      <alignment vertical="top" wrapText="1"/>
    </xf>
    <xf numFmtId="2" fontId="29" fillId="0" borderId="0" xfId="0" applyNumberFormat="1" applyFont="1" applyAlignment="1">
      <alignment vertical="top" wrapText="1"/>
    </xf>
    <xf numFmtId="164" fontId="29" fillId="0" borderId="0" xfId="4" applyFont="1" applyFill="1" applyBorder="1" applyAlignment="1"/>
    <xf numFmtId="0" fontId="29" fillId="0" borderId="0" xfId="0" applyFont="1"/>
    <xf numFmtId="0" fontId="14" fillId="0" borderId="0" xfId="0" applyFont="1" applyAlignment="1" applyProtection="1">
      <alignment horizontal="left"/>
      <protection locked="0"/>
    </xf>
    <xf numFmtId="0" fontId="29" fillId="0" borderId="0" xfId="0" applyFont="1" applyAlignment="1">
      <alignment horizontal="center" vertical="top"/>
    </xf>
    <xf numFmtId="164" fontId="14" fillId="0" borderId="0" xfId="4" applyFont="1" applyFill="1" applyBorder="1" applyAlignment="1" applyProtection="1">
      <alignment horizontal="left"/>
      <protection locked="0"/>
    </xf>
    <xf numFmtId="4" fontId="14" fillId="0" borderId="0" xfId="0" applyNumberFormat="1" applyFont="1" applyAlignment="1">
      <alignment horizontal="right" vertical="center"/>
    </xf>
    <xf numFmtId="10" fontId="29" fillId="0" borderId="0" xfId="0" applyNumberFormat="1" applyFont="1" applyAlignment="1">
      <alignment horizontal="center"/>
    </xf>
    <xf numFmtId="164" fontId="29" fillId="0" borderId="1" xfId="4" applyFont="1" applyFill="1" applyBorder="1" applyAlignment="1">
      <alignment horizontal="center" vertical="top" wrapText="1"/>
    </xf>
    <xf numFmtId="164" fontId="29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right"/>
    </xf>
    <xf numFmtId="1" fontId="20" fillId="0" borderId="1" xfId="0" applyNumberFormat="1" applyFont="1" applyBorder="1" applyAlignment="1">
      <alignment horizontal="center"/>
    </xf>
    <xf numFmtId="0" fontId="15" fillId="0" borderId="0" xfId="0" applyFont="1" applyAlignment="1">
      <alignment vertical="top" wrapText="1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 vertical="top" wrapText="1"/>
    </xf>
    <xf numFmtId="0" fontId="18" fillId="0" borderId="1" xfId="0" applyFont="1" applyBorder="1" applyAlignment="1">
      <alignment horizontal="center" vertical="top" wrapText="1"/>
    </xf>
    <xf numFmtId="0" fontId="14" fillId="0" borderId="1" xfId="0" applyFont="1" applyBorder="1" applyAlignment="1" applyProtection="1">
      <alignment horizontal="left"/>
      <protection locked="0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right" vertical="top" wrapText="1"/>
    </xf>
    <xf numFmtId="179" fontId="31" fillId="0" borderId="1" xfId="0" applyNumberFormat="1" applyFont="1" applyBorder="1" applyAlignment="1">
      <alignment horizontal="right" vertical="top" wrapText="1"/>
    </xf>
    <xf numFmtId="0" fontId="32" fillId="0" borderId="0" xfId="0" applyFont="1"/>
    <xf numFmtId="179" fontId="33" fillId="0" borderId="1" xfId="0" applyNumberFormat="1" applyFont="1" applyBorder="1" applyAlignment="1">
      <alignment horizontal="right" vertical="top" wrapText="1"/>
    </xf>
    <xf numFmtId="180" fontId="31" fillId="0" borderId="0" xfId="0" applyNumberFormat="1" applyFont="1" applyAlignment="1">
      <alignment horizontal="right" vertical="top" wrapText="1"/>
    </xf>
    <xf numFmtId="10" fontId="29" fillId="0" borderId="1" xfId="11" applyNumberFormat="1" applyFont="1" applyFill="1" applyBorder="1" applyAlignment="1">
      <alignment horizontal="center"/>
    </xf>
    <xf numFmtId="0" fontId="29" fillId="0" borderId="1" xfId="0" applyFont="1" applyBorder="1" applyAlignment="1">
      <alignment horizontal="right" vertical="top"/>
    </xf>
    <xf numFmtId="2" fontId="29" fillId="0" borderId="1" xfId="0" applyNumberFormat="1" applyFont="1" applyBorder="1" applyAlignment="1">
      <alignment horizontal="right" vertical="top"/>
    </xf>
    <xf numFmtId="181" fontId="29" fillId="0" borderId="1" xfId="4" applyNumberFormat="1" applyFont="1" applyFill="1" applyBorder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182" fontId="20" fillId="0" borderId="0" xfId="4" applyNumberFormat="1" applyFont="1" applyFill="1" applyBorder="1" applyAlignment="1">
      <alignment horizontal="right" vertical="top" wrapText="1"/>
    </xf>
    <xf numFmtId="164" fontId="29" fillId="0" borderId="1" xfId="4" applyFont="1" applyFill="1" applyBorder="1" applyAlignment="1">
      <alignment horizontal="right" vertical="top" wrapText="1"/>
    </xf>
    <xf numFmtId="164" fontId="29" fillId="0" borderId="1" xfId="4" applyFont="1" applyFill="1" applyBorder="1" applyAlignment="1">
      <alignment horizontal="center"/>
    </xf>
    <xf numFmtId="4" fontId="29" fillId="0" borderId="0" xfId="4" applyNumberFormat="1" applyFont="1" applyFill="1" applyBorder="1"/>
    <xf numFmtId="0" fontId="29" fillId="0" borderId="1" xfId="0" applyFont="1" applyBorder="1" applyAlignment="1">
      <alignment vertical="top" wrapText="1"/>
    </xf>
    <xf numFmtId="2" fontId="29" fillId="0" borderId="1" xfId="0" applyNumberFormat="1" applyFont="1" applyBorder="1" applyAlignment="1">
      <alignment vertical="top" wrapText="1"/>
    </xf>
    <xf numFmtId="164" fontId="29" fillId="0" borderId="1" xfId="4" applyFont="1" applyFill="1" applyBorder="1" applyAlignment="1"/>
    <xf numFmtId="0" fontId="14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/>
    </xf>
    <xf numFmtId="37" fontId="14" fillId="0" borderId="1" xfId="4" applyNumberFormat="1" applyFont="1" applyFill="1" applyBorder="1" applyAlignment="1">
      <alignment horizontal="center"/>
    </xf>
    <xf numFmtId="164" fontId="14" fillId="0" borderId="1" xfId="4" applyFont="1" applyFill="1" applyBorder="1" applyAlignment="1">
      <alignment horizontal="center"/>
    </xf>
    <xf numFmtId="179" fontId="31" fillId="0" borderId="1" xfId="0" applyNumberFormat="1" applyFont="1" applyBorder="1" applyAlignment="1">
      <alignment horizontal="right" vertical="top"/>
    </xf>
  </cellXfs>
  <cellStyles count="17">
    <cellStyle name="Comma" xfId="1" builtinId="3"/>
    <cellStyle name="Comma 10" xfId="2" xr:uid="{00000000-0005-0000-0000-000001000000}"/>
    <cellStyle name="Comma 11" xfId="3" xr:uid="{00000000-0005-0000-0000-000002000000}"/>
    <cellStyle name="Comma 2" xfId="4" xr:uid="{00000000-0005-0000-0000-000003000000}"/>
    <cellStyle name="Normal" xfId="0" builtinId="0"/>
    <cellStyle name="Normal 2 2" xfId="16" xr:uid="{BB17EA07-45BF-467B-A48F-C0682F742A25}"/>
    <cellStyle name="Normal 4" xfId="15" xr:uid="{185764C6-C25F-4A78-A267-53024BF9C7EE}"/>
    <cellStyle name="Normal_Bonsaverportfolio" xfId="5" xr:uid="{00000000-0005-0000-0000-000005000000}"/>
    <cellStyle name="Normal_Bonsaverportfolio 2 2" xfId="6" xr:uid="{00000000-0005-0000-0000-000006000000}"/>
    <cellStyle name="Normal_Halfyear Financials 310309 2" xfId="7" xr:uid="{00000000-0005-0000-0000-000007000000}"/>
    <cellStyle name="Normal_Halfyearly_Debtholdings_30092011 2" xfId="8" xr:uid="{00000000-0005-0000-0000-000008000000}"/>
    <cellStyle name="Normal_Holdingotherschemes new" xfId="9" xr:uid="{00000000-0005-0000-0000-000009000000}"/>
    <cellStyle name="Normal_Holdingotherschemes new 2 2" xfId="10" xr:uid="{00000000-0005-0000-0000-00000A000000}"/>
    <cellStyle name="Percent" xfId="11" builtinId="5"/>
    <cellStyle name="Percent 10" xfId="12" xr:uid="{00000000-0005-0000-0000-00000C000000}"/>
    <cellStyle name="Percent 11" xfId="13" xr:uid="{00000000-0005-0000-0000-00000D000000}"/>
    <cellStyle name="Percent 2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1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11</v>
      </c>
      <c r="C7" s="11" t="s">
        <v>12</v>
      </c>
      <c r="D7" s="2" t="s">
        <v>13</v>
      </c>
      <c r="E7" s="47">
        <v>220920</v>
      </c>
      <c r="F7" s="53">
        <v>3254.26206</v>
      </c>
      <c r="G7" s="5">
        <v>5.8486852388041646E-2</v>
      </c>
    </row>
    <row r="8" spans="1:7" ht="12.75" x14ac:dyDescent="0.2">
      <c r="A8" s="6">
        <v>2</v>
      </c>
      <c r="B8" s="7" t="s">
        <v>14</v>
      </c>
      <c r="C8" s="11" t="s">
        <v>15</v>
      </c>
      <c r="D8" s="2" t="s">
        <v>16</v>
      </c>
      <c r="E8" s="47">
        <v>700000</v>
      </c>
      <c r="F8" s="53">
        <v>3241.35</v>
      </c>
      <c r="G8" s="5">
        <v>5.8254791867615847E-2</v>
      </c>
    </row>
    <row r="9" spans="1:7" ht="12.75" x14ac:dyDescent="0.2">
      <c r="A9" s="6">
        <v>3</v>
      </c>
      <c r="B9" s="7" t="s">
        <v>17</v>
      </c>
      <c r="C9" s="11" t="s">
        <v>18</v>
      </c>
      <c r="D9" s="2" t="s">
        <v>19</v>
      </c>
      <c r="E9" s="47">
        <v>397683</v>
      </c>
      <c r="F9" s="53">
        <v>3121.0161840000001</v>
      </c>
      <c r="G9" s="5">
        <v>5.6092106133055875E-2</v>
      </c>
    </row>
    <row r="10" spans="1:7" ht="25.5" x14ac:dyDescent="0.2">
      <c r="A10" s="6">
        <v>4</v>
      </c>
      <c r="B10" s="7" t="s">
        <v>20</v>
      </c>
      <c r="C10" s="11" t="s">
        <v>21</v>
      </c>
      <c r="D10" s="2" t="s">
        <v>22</v>
      </c>
      <c r="E10" s="47">
        <v>340000</v>
      </c>
      <c r="F10" s="53">
        <v>3029.4</v>
      </c>
      <c r="G10" s="5">
        <v>5.4445544752573911E-2</v>
      </c>
    </row>
    <row r="11" spans="1:7" ht="25.5" x14ac:dyDescent="0.2">
      <c r="A11" s="6">
        <v>5</v>
      </c>
      <c r="B11" s="7" t="s">
        <v>23</v>
      </c>
      <c r="C11" s="11" t="s">
        <v>24</v>
      </c>
      <c r="D11" s="2" t="s">
        <v>22</v>
      </c>
      <c r="E11" s="47">
        <v>410000</v>
      </c>
      <c r="F11" s="53">
        <v>2465.5349999999999</v>
      </c>
      <c r="G11" s="5">
        <v>4.4311545580490302E-2</v>
      </c>
    </row>
    <row r="12" spans="1:7" ht="25.5" x14ac:dyDescent="0.2">
      <c r="A12" s="6">
        <v>6</v>
      </c>
      <c r="B12" s="7" t="s">
        <v>25</v>
      </c>
      <c r="C12" s="11" t="s">
        <v>26</v>
      </c>
      <c r="D12" s="2" t="s">
        <v>27</v>
      </c>
      <c r="E12" s="47">
        <v>8000</v>
      </c>
      <c r="F12" s="53">
        <v>2246.6120000000001</v>
      </c>
      <c r="G12" s="5">
        <v>4.0376977021083248E-2</v>
      </c>
    </row>
    <row r="13" spans="1:7" ht="25.5" x14ac:dyDescent="0.2">
      <c r="A13" s="6">
        <v>7</v>
      </c>
      <c r="B13" s="7" t="s">
        <v>28</v>
      </c>
      <c r="C13" s="11" t="s">
        <v>29</v>
      </c>
      <c r="D13" s="2" t="s">
        <v>30</v>
      </c>
      <c r="E13" s="47">
        <v>397537</v>
      </c>
      <c r="F13" s="53">
        <v>2207.920498</v>
      </c>
      <c r="G13" s="5">
        <v>3.9681598430046969E-2</v>
      </c>
    </row>
    <row r="14" spans="1:7" ht="25.5" x14ac:dyDescent="0.2">
      <c r="A14" s="6">
        <v>8</v>
      </c>
      <c r="B14" s="7" t="s">
        <v>31</v>
      </c>
      <c r="C14" s="11" t="s">
        <v>32</v>
      </c>
      <c r="D14" s="2" t="s">
        <v>33</v>
      </c>
      <c r="E14" s="47">
        <v>149000</v>
      </c>
      <c r="F14" s="53">
        <v>2181.8815</v>
      </c>
      <c r="G14" s="5">
        <v>3.9213615518935464E-2</v>
      </c>
    </row>
    <row r="15" spans="1:7" ht="25.5" x14ac:dyDescent="0.2">
      <c r="A15" s="6">
        <v>9</v>
      </c>
      <c r="B15" s="7" t="s">
        <v>34</v>
      </c>
      <c r="C15" s="11" t="s">
        <v>35</v>
      </c>
      <c r="D15" s="2" t="s">
        <v>27</v>
      </c>
      <c r="E15" s="47">
        <v>165481</v>
      </c>
      <c r="F15" s="53">
        <v>1868.0322685000001</v>
      </c>
      <c r="G15" s="5">
        <v>3.3572996129223251E-2</v>
      </c>
    </row>
    <row r="16" spans="1:7" ht="12.75" x14ac:dyDescent="0.2">
      <c r="A16" s="6">
        <v>10</v>
      </c>
      <c r="B16" s="7" t="s">
        <v>36</v>
      </c>
      <c r="C16" s="11" t="s">
        <v>37</v>
      </c>
      <c r="D16" s="2" t="s">
        <v>16</v>
      </c>
      <c r="E16" s="47">
        <v>150000</v>
      </c>
      <c r="F16" s="53">
        <v>1845.5250000000001</v>
      </c>
      <c r="G16" s="5">
        <v>3.3168486822306061E-2</v>
      </c>
    </row>
    <row r="17" spans="1:7" ht="25.5" x14ac:dyDescent="0.2">
      <c r="A17" s="6">
        <v>11</v>
      </c>
      <c r="B17" s="7" t="s">
        <v>38</v>
      </c>
      <c r="C17" s="11" t="s">
        <v>39</v>
      </c>
      <c r="D17" s="2" t="s">
        <v>40</v>
      </c>
      <c r="E17" s="47">
        <v>400000</v>
      </c>
      <c r="F17" s="53">
        <v>1725.6</v>
      </c>
      <c r="G17" s="5">
        <v>3.1013148486512689E-2</v>
      </c>
    </row>
    <row r="18" spans="1:7" ht="25.5" x14ac:dyDescent="0.2">
      <c r="A18" s="6">
        <v>12</v>
      </c>
      <c r="B18" s="7" t="s">
        <v>41</v>
      </c>
      <c r="C18" s="11" t="s">
        <v>42</v>
      </c>
      <c r="D18" s="2" t="s">
        <v>27</v>
      </c>
      <c r="E18" s="47">
        <v>1490000</v>
      </c>
      <c r="F18" s="53">
        <v>1711.2650000000001</v>
      </c>
      <c r="G18" s="5">
        <v>3.0755514339807687E-2</v>
      </c>
    </row>
    <row r="19" spans="1:7" ht="25.5" x14ac:dyDescent="0.2">
      <c r="A19" s="6">
        <v>13</v>
      </c>
      <c r="B19" s="7" t="s">
        <v>43</v>
      </c>
      <c r="C19" s="11" t="s">
        <v>44</v>
      </c>
      <c r="D19" s="2" t="s">
        <v>22</v>
      </c>
      <c r="E19" s="47">
        <v>244698</v>
      </c>
      <c r="F19" s="53">
        <v>1703.5874759999999</v>
      </c>
      <c r="G19" s="5">
        <v>3.0617530918492914E-2</v>
      </c>
    </row>
    <row r="20" spans="1:7" ht="25.5" x14ac:dyDescent="0.2">
      <c r="A20" s="6">
        <v>14</v>
      </c>
      <c r="B20" s="7" t="s">
        <v>45</v>
      </c>
      <c r="C20" s="11" t="s">
        <v>46</v>
      </c>
      <c r="D20" s="2" t="s">
        <v>47</v>
      </c>
      <c r="E20" s="47">
        <v>199036</v>
      </c>
      <c r="F20" s="53">
        <v>1675.584566</v>
      </c>
      <c r="G20" s="5">
        <v>3.0114251823752273E-2</v>
      </c>
    </row>
    <row r="21" spans="1:7" ht="12.75" x14ac:dyDescent="0.2">
      <c r="A21" s="6">
        <v>15</v>
      </c>
      <c r="B21" s="7" t="s">
        <v>48</v>
      </c>
      <c r="C21" s="11" t="s">
        <v>49</v>
      </c>
      <c r="D21" s="2" t="s">
        <v>50</v>
      </c>
      <c r="E21" s="47">
        <v>810000</v>
      </c>
      <c r="F21" s="53">
        <v>1670.625</v>
      </c>
      <c r="G21" s="5">
        <v>3.0025116591492967E-2</v>
      </c>
    </row>
    <row r="22" spans="1:7" ht="12.75" x14ac:dyDescent="0.2">
      <c r="A22" s="6">
        <v>16</v>
      </c>
      <c r="B22" s="7" t="s">
        <v>51</v>
      </c>
      <c r="C22" s="11" t="s">
        <v>52</v>
      </c>
      <c r="D22" s="2" t="s">
        <v>19</v>
      </c>
      <c r="E22" s="47">
        <v>135000</v>
      </c>
      <c r="F22" s="53">
        <v>1508.0174999999999</v>
      </c>
      <c r="G22" s="5">
        <v>2.7102671909920984E-2</v>
      </c>
    </row>
    <row r="23" spans="1:7" ht="25.5" x14ac:dyDescent="0.2">
      <c r="A23" s="6">
        <v>17</v>
      </c>
      <c r="B23" s="7" t="s">
        <v>53</v>
      </c>
      <c r="C23" s="11" t="s">
        <v>54</v>
      </c>
      <c r="D23" s="2" t="s">
        <v>22</v>
      </c>
      <c r="E23" s="47">
        <v>164000</v>
      </c>
      <c r="F23" s="53">
        <v>1403.02</v>
      </c>
      <c r="G23" s="5">
        <v>2.5215616359264625E-2</v>
      </c>
    </row>
    <row r="24" spans="1:7" ht="25.5" x14ac:dyDescent="0.2">
      <c r="A24" s="6">
        <v>18</v>
      </c>
      <c r="B24" s="7" t="s">
        <v>55</v>
      </c>
      <c r="C24" s="11" t="s">
        <v>56</v>
      </c>
      <c r="D24" s="2" t="s">
        <v>22</v>
      </c>
      <c r="E24" s="47">
        <v>225000</v>
      </c>
      <c r="F24" s="53">
        <v>1328.5125</v>
      </c>
      <c r="G24" s="5">
        <v>2.3876538843699693E-2</v>
      </c>
    </row>
    <row r="25" spans="1:7" ht="25.5" x14ac:dyDescent="0.2">
      <c r="A25" s="6">
        <v>19</v>
      </c>
      <c r="B25" s="7" t="s">
        <v>57</v>
      </c>
      <c r="C25" s="11" t="s">
        <v>58</v>
      </c>
      <c r="D25" s="2" t="s">
        <v>27</v>
      </c>
      <c r="E25" s="47">
        <v>330260</v>
      </c>
      <c r="F25" s="53">
        <v>1231.3744099999999</v>
      </c>
      <c r="G25" s="5">
        <v>2.2130735639674288E-2</v>
      </c>
    </row>
    <row r="26" spans="1:7" ht="25.5" x14ac:dyDescent="0.2">
      <c r="A26" s="6">
        <v>20</v>
      </c>
      <c r="B26" s="7" t="s">
        <v>59</v>
      </c>
      <c r="C26" s="11" t="s">
        <v>60</v>
      </c>
      <c r="D26" s="2" t="s">
        <v>22</v>
      </c>
      <c r="E26" s="47">
        <v>89200</v>
      </c>
      <c r="F26" s="53">
        <v>1219.81</v>
      </c>
      <c r="G26" s="5">
        <v>2.1922895604620445E-2</v>
      </c>
    </row>
    <row r="27" spans="1:7" ht="12.75" x14ac:dyDescent="0.2">
      <c r="A27" s="6">
        <v>21</v>
      </c>
      <c r="B27" s="7" t="s">
        <v>61</v>
      </c>
      <c r="C27" s="11" t="s">
        <v>62</v>
      </c>
      <c r="D27" s="2" t="s">
        <v>19</v>
      </c>
      <c r="E27" s="47">
        <v>1235000</v>
      </c>
      <c r="F27" s="53">
        <v>1190.54</v>
      </c>
      <c r="G27" s="5">
        <v>2.1396843879886891E-2</v>
      </c>
    </row>
    <row r="28" spans="1:7" ht="25.5" x14ac:dyDescent="0.2">
      <c r="A28" s="6">
        <v>22</v>
      </c>
      <c r="B28" s="7" t="s">
        <v>63</v>
      </c>
      <c r="C28" s="11" t="s">
        <v>64</v>
      </c>
      <c r="D28" s="2" t="s">
        <v>65</v>
      </c>
      <c r="E28" s="47">
        <v>228000</v>
      </c>
      <c r="F28" s="53">
        <v>853.29</v>
      </c>
      <c r="G28" s="5">
        <v>1.5335656856778171E-2</v>
      </c>
    </row>
    <row r="29" spans="1:7" ht="25.5" x14ac:dyDescent="0.2">
      <c r="A29" s="6">
        <v>23</v>
      </c>
      <c r="B29" s="7" t="s">
        <v>66</v>
      </c>
      <c r="C29" s="11" t="s">
        <v>67</v>
      </c>
      <c r="D29" s="2" t="s">
        <v>27</v>
      </c>
      <c r="E29" s="47">
        <v>579516</v>
      </c>
      <c r="F29" s="53">
        <v>840.87771599999996</v>
      </c>
      <c r="G29" s="5">
        <v>1.511257850330763E-2</v>
      </c>
    </row>
    <row r="30" spans="1:7" ht="12.75" x14ac:dyDescent="0.2">
      <c r="A30" s="6">
        <v>24</v>
      </c>
      <c r="B30" s="7" t="s">
        <v>68</v>
      </c>
      <c r="C30" s="11" t="s">
        <v>69</v>
      </c>
      <c r="D30" s="2" t="s">
        <v>50</v>
      </c>
      <c r="E30" s="47">
        <v>390000</v>
      </c>
      <c r="F30" s="53">
        <v>830.7</v>
      </c>
      <c r="G30" s="5">
        <v>1.4929660667446739E-2</v>
      </c>
    </row>
    <row r="31" spans="1:7" ht="25.5" x14ac:dyDescent="0.2">
      <c r="A31" s="6">
        <v>25</v>
      </c>
      <c r="B31" s="7" t="s">
        <v>70</v>
      </c>
      <c r="C31" s="11" t="s">
        <v>71</v>
      </c>
      <c r="D31" s="2" t="s">
        <v>72</v>
      </c>
      <c r="E31" s="47">
        <v>61473</v>
      </c>
      <c r="F31" s="53">
        <v>825.45944399999996</v>
      </c>
      <c r="G31" s="5">
        <v>1.4835475374574759E-2</v>
      </c>
    </row>
    <row r="32" spans="1:7" ht="25.5" x14ac:dyDescent="0.2">
      <c r="A32" s="6">
        <v>26</v>
      </c>
      <c r="B32" s="7" t="s">
        <v>73</v>
      </c>
      <c r="C32" s="11" t="s">
        <v>74</v>
      </c>
      <c r="D32" s="2" t="s">
        <v>22</v>
      </c>
      <c r="E32" s="47">
        <v>125000</v>
      </c>
      <c r="F32" s="53">
        <v>819.125</v>
      </c>
      <c r="G32" s="5">
        <v>1.4721630304830034E-2</v>
      </c>
    </row>
    <row r="33" spans="1:7" ht="38.25" x14ac:dyDescent="0.2">
      <c r="A33" s="6">
        <v>27</v>
      </c>
      <c r="B33" s="7" t="s">
        <v>75</v>
      </c>
      <c r="C33" s="11" t="s">
        <v>76</v>
      </c>
      <c r="D33" s="2" t="s">
        <v>77</v>
      </c>
      <c r="E33" s="47">
        <v>964843</v>
      </c>
      <c r="F33" s="53">
        <v>760.29628400000001</v>
      </c>
      <c r="G33" s="5">
        <v>1.3664337940099573E-2</v>
      </c>
    </row>
    <row r="34" spans="1:7" ht="12.75" x14ac:dyDescent="0.2">
      <c r="A34" s="6">
        <v>28</v>
      </c>
      <c r="B34" s="7" t="s">
        <v>78</v>
      </c>
      <c r="C34" s="11" t="s">
        <v>79</v>
      </c>
      <c r="D34" s="2" t="s">
        <v>80</v>
      </c>
      <c r="E34" s="47">
        <v>195281</v>
      </c>
      <c r="F34" s="53">
        <v>751.73420950000002</v>
      </c>
      <c r="G34" s="5">
        <v>1.3510457036169876E-2</v>
      </c>
    </row>
    <row r="35" spans="1:7" ht="25.5" x14ac:dyDescent="0.2">
      <c r="A35" s="6">
        <v>29</v>
      </c>
      <c r="B35" s="7" t="s">
        <v>81</v>
      </c>
      <c r="C35" s="11" t="s">
        <v>82</v>
      </c>
      <c r="D35" s="2" t="s">
        <v>22</v>
      </c>
      <c r="E35" s="47">
        <v>67784</v>
      </c>
      <c r="F35" s="53">
        <v>678.07724399999995</v>
      </c>
      <c r="G35" s="5">
        <v>1.2186665654553369E-2</v>
      </c>
    </row>
    <row r="36" spans="1:7" ht="25.5" x14ac:dyDescent="0.2">
      <c r="A36" s="6">
        <v>30</v>
      </c>
      <c r="B36" s="7" t="s">
        <v>83</v>
      </c>
      <c r="C36" s="11" t="s">
        <v>84</v>
      </c>
      <c r="D36" s="2" t="s">
        <v>22</v>
      </c>
      <c r="E36" s="47">
        <v>619304</v>
      </c>
      <c r="F36" s="53">
        <v>675.35101199999997</v>
      </c>
      <c r="G36" s="5">
        <v>1.2137668761979956E-2</v>
      </c>
    </row>
    <row r="37" spans="1:7" ht="25.5" x14ac:dyDescent="0.2">
      <c r="A37" s="6">
        <v>31</v>
      </c>
      <c r="B37" s="7" t="s">
        <v>85</v>
      </c>
      <c r="C37" s="11" t="s">
        <v>86</v>
      </c>
      <c r="D37" s="2" t="s">
        <v>27</v>
      </c>
      <c r="E37" s="47">
        <v>898000</v>
      </c>
      <c r="F37" s="53">
        <v>649.70299999999997</v>
      </c>
      <c r="G37" s="5">
        <v>1.16767128020009E-2</v>
      </c>
    </row>
    <row r="38" spans="1:7" ht="12.75" x14ac:dyDescent="0.2">
      <c r="A38" s="6">
        <v>32</v>
      </c>
      <c r="B38" s="7" t="s">
        <v>87</v>
      </c>
      <c r="C38" s="11" t="s">
        <v>88</v>
      </c>
      <c r="D38" s="2"/>
      <c r="E38" s="47">
        <v>380000</v>
      </c>
      <c r="F38" s="53">
        <v>646.38</v>
      </c>
      <c r="G38" s="5">
        <v>1.1616990564854006E-2</v>
      </c>
    </row>
    <row r="39" spans="1:7" ht="25.5" x14ac:dyDescent="0.2">
      <c r="A39" s="6">
        <v>33</v>
      </c>
      <c r="B39" s="7" t="s">
        <v>89</v>
      </c>
      <c r="C39" s="11" t="s">
        <v>90</v>
      </c>
      <c r="D39" s="2" t="s">
        <v>27</v>
      </c>
      <c r="E39" s="47">
        <v>1000000</v>
      </c>
      <c r="F39" s="53">
        <v>565.5</v>
      </c>
      <c r="G39" s="5">
        <v>1.0163384022440268E-2</v>
      </c>
    </row>
    <row r="40" spans="1:7" ht="12.75" x14ac:dyDescent="0.2">
      <c r="A40" s="6">
        <v>34</v>
      </c>
      <c r="B40" s="7" t="s">
        <v>91</v>
      </c>
      <c r="C40" s="11" t="s">
        <v>92</v>
      </c>
      <c r="D40" s="2" t="s">
        <v>19</v>
      </c>
      <c r="E40" s="47">
        <v>13200</v>
      </c>
      <c r="F40" s="53">
        <v>546.90239999999994</v>
      </c>
      <c r="G40" s="5">
        <v>9.8291407851356961E-3</v>
      </c>
    </row>
    <row r="41" spans="1:7" ht="12.75" x14ac:dyDescent="0.2">
      <c r="A41" s="6">
        <v>35</v>
      </c>
      <c r="B41" s="7" t="s">
        <v>93</v>
      </c>
      <c r="C41" s="11" t="s">
        <v>94</v>
      </c>
      <c r="D41" s="2" t="s">
        <v>50</v>
      </c>
      <c r="E41" s="47">
        <v>300000</v>
      </c>
      <c r="F41" s="53">
        <v>510.15</v>
      </c>
      <c r="G41" s="5">
        <v>9.1686124828433292E-3</v>
      </c>
    </row>
    <row r="42" spans="1:7" ht="12.75" x14ac:dyDescent="0.2">
      <c r="A42" s="6">
        <v>36</v>
      </c>
      <c r="B42" s="7" t="s">
        <v>95</v>
      </c>
      <c r="C42" s="11" t="s">
        <v>96</v>
      </c>
      <c r="D42" s="2" t="s">
        <v>50</v>
      </c>
      <c r="E42" s="47">
        <v>803723</v>
      </c>
      <c r="F42" s="53">
        <v>462.94444800000002</v>
      </c>
      <c r="G42" s="5">
        <v>8.3202161027066835E-3</v>
      </c>
    </row>
    <row r="43" spans="1:7" ht="25.5" x14ac:dyDescent="0.2">
      <c r="A43" s="6">
        <v>37</v>
      </c>
      <c r="B43" s="7" t="s">
        <v>97</v>
      </c>
      <c r="C43" s="11" t="s">
        <v>98</v>
      </c>
      <c r="D43" s="2" t="s">
        <v>99</v>
      </c>
      <c r="E43" s="47">
        <v>234908</v>
      </c>
      <c r="F43" s="53">
        <v>462.886214</v>
      </c>
      <c r="G43" s="5">
        <v>8.3191694988071913E-3</v>
      </c>
    </row>
    <row r="44" spans="1:7" ht="12.75" x14ac:dyDescent="0.2">
      <c r="A44" s="6">
        <v>38</v>
      </c>
      <c r="B44" s="7" t="s">
        <v>100</v>
      </c>
      <c r="C44" s="11" t="s">
        <v>101</v>
      </c>
      <c r="D44" s="2" t="s">
        <v>50</v>
      </c>
      <c r="E44" s="47">
        <v>434904</v>
      </c>
      <c r="F44" s="53">
        <v>415.11586799999998</v>
      </c>
      <c r="G44" s="5">
        <v>7.4606224231522954E-3</v>
      </c>
    </row>
    <row r="45" spans="1:7" ht="25.5" x14ac:dyDescent="0.2">
      <c r="A45" s="6">
        <v>39</v>
      </c>
      <c r="B45" s="7" t="s">
        <v>102</v>
      </c>
      <c r="C45" s="11" t="s">
        <v>103</v>
      </c>
      <c r="D45" s="2" t="s">
        <v>13</v>
      </c>
      <c r="E45" s="47">
        <v>400000</v>
      </c>
      <c r="F45" s="53">
        <v>411.6</v>
      </c>
      <c r="G45" s="5">
        <v>7.3974338879512196E-3</v>
      </c>
    </row>
    <row r="46" spans="1:7" ht="25.5" x14ac:dyDescent="0.2">
      <c r="A46" s="6">
        <v>40</v>
      </c>
      <c r="B46" s="7" t="s">
        <v>104</v>
      </c>
      <c r="C46" s="11" t="s">
        <v>105</v>
      </c>
      <c r="D46" s="2" t="s">
        <v>33</v>
      </c>
      <c r="E46" s="47">
        <v>40000</v>
      </c>
      <c r="F46" s="53">
        <v>210.64</v>
      </c>
      <c r="G46" s="5">
        <v>3.7857032899855313E-3</v>
      </c>
    </row>
    <row r="47" spans="1:7" ht="12.75" x14ac:dyDescent="0.2">
      <c r="A47" s="6">
        <v>41</v>
      </c>
      <c r="B47" s="7" t="s">
        <v>106</v>
      </c>
      <c r="C47" s="11" t="s">
        <v>107</v>
      </c>
      <c r="D47" s="2" t="s">
        <v>50</v>
      </c>
      <c r="E47" s="47">
        <v>380000</v>
      </c>
      <c r="F47" s="53">
        <v>182.4</v>
      </c>
      <c r="G47" s="5">
        <v>3.2781631223573918E-3</v>
      </c>
    </row>
    <row r="48" spans="1:7" ht="12.75" x14ac:dyDescent="0.2">
      <c r="A48" s="1"/>
      <c r="B48" s="2"/>
      <c r="C48" s="8" t="s">
        <v>108</v>
      </c>
      <c r="D48" s="12"/>
      <c r="E48" s="49"/>
      <c r="F48" s="55">
        <v>53928.603801999991</v>
      </c>
      <c r="G48" s="13">
        <v>0.96922565912247249</v>
      </c>
    </row>
    <row r="49" spans="1:7" ht="12.75" x14ac:dyDescent="0.2">
      <c r="A49" s="6"/>
      <c r="B49" s="7"/>
      <c r="C49" s="14"/>
      <c r="D49" s="15"/>
      <c r="E49" s="47"/>
      <c r="F49" s="53"/>
      <c r="G49" s="5"/>
    </row>
    <row r="50" spans="1:7" ht="12.75" x14ac:dyDescent="0.2">
      <c r="A50" s="1"/>
      <c r="B50" s="2"/>
      <c r="C50" s="8" t="s">
        <v>109</v>
      </c>
      <c r="D50" s="9"/>
      <c r="E50" s="48"/>
      <c r="F50" s="54"/>
      <c r="G50" s="10"/>
    </row>
    <row r="51" spans="1:7" ht="12.75" x14ac:dyDescent="0.2">
      <c r="A51" s="1"/>
      <c r="B51" s="2"/>
      <c r="C51" s="8" t="s">
        <v>108</v>
      </c>
      <c r="D51" s="12"/>
      <c r="E51" s="49"/>
      <c r="F51" s="55">
        <v>0</v>
      </c>
      <c r="G51" s="13">
        <v>0</v>
      </c>
    </row>
    <row r="52" spans="1:7" ht="12.75" x14ac:dyDescent="0.2">
      <c r="A52" s="6"/>
      <c r="B52" s="7"/>
      <c r="C52" s="14"/>
      <c r="D52" s="15"/>
      <c r="E52" s="47"/>
      <c r="F52" s="53"/>
      <c r="G52" s="5"/>
    </row>
    <row r="53" spans="1:7" ht="12.75" x14ac:dyDescent="0.2">
      <c r="A53" s="16"/>
      <c r="B53" s="17"/>
      <c r="C53" s="8" t="s">
        <v>110</v>
      </c>
      <c r="D53" s="9"/>
      <c r="E53" s="48"/>
      <c r="F53" s="54"/>
      <c r="G53" s="10"/>
    </row>
    <row r="54" spans="1:7" ht="25.5" x14ac:dyDescent="0.2">
      <c r="A54" s="6">
        <v>1</v>
      </c>
      <c r="B54" s="7" t="s">
        <v>111</v>
      </c>
      <c r="C54" s="11" t="s">
        <v>112</v>
      </c>
      <c r="D54" s="15" t="s">
        <v>99</v>
      </c>
      <c r="E54" s="47">
        <v>559425</v>
      </c>
      <c r="F54" s="53">
        <v>1.1189000000000001E-5</v>
      </c>
      <c r="G54" s="129" t="s">
        <v>810</v>
      </c>
    </row>
    <row r="55" spans="1:7" ht="12.75" x14ac:dyDescent="0.2">
      <c r="A55" s="18"/>
      <c r="B55" s="19"/>
      <c r="C55" s="8" t="s">
        <v>108</v>
      </c>
      <c r="D55" s="20"/>
      <c r="E55" s="50"/>
      <c r="F55" s="56">
        <v>1.1189000000000001E-5</v>
      </c>
      <c r="G55" s="99">
        <v>0</v>
      </c>
    </row>
    <row r="56" spans="1:7" ht="12.75" x14ac:dyDescent="0.2">
      <c r="A56" s="18"/>
      <c r="B56" s="19"/>
      <c r="C56" s="14"/>
      <c r="D56" s="22"/>
      <c r="E56" s="51"/>
      <c r="F56" s="57"/>
      <c r="G56" s="23"/>
    </row>
    <row r="57" spans="1:7" ht="12.75" x14ac:dyDescent="0.2">
      <c r="A57" s="1"/>
      <c r="B57" s="2"/>
      <c r="C57" s="8" t="s">
        <v>113</v>
      </c>
      <c r="D57" s="9"/>
      <c r="E57" s="48"/>
      <c r="F57" s="54"/>
      <c r="G57" s="10"/>
    </row>
    <row r="58" spans="1:7" ht="12.75" x14ac:dyDescent="0.2">
      <c r="A58" s="1"/>
      <c r="B58" s="2"/>
      <c r="C58" s="8" t="s">
        <v>108</v>
      </c>
      <c r="D58" s="12"/>
      <c r="E58" s="49"/>
      <c r="F58" s="55">
        <v>0</v>
      </c>
      <c r="G58" s="13">
        <v>0</v>
      </c>
    </row>
    <row r="59" spans="1:7" ht="12.75" x14ac:dyDescent="0.2">
      <c r="A59" s="1"/>
      <c r="B59" s="2"/>
      <c r="C59" s="14"/>
      <c r="D59" s="4"/>
      <c r="E59" s="47"/>
      <c r="F59" s="53"/>
      <c r="G59" s="5"/>
    </row>
    <row r="60" spans="1:7" ht="12.75" x14ac:dyDescent="0.2">
      <c r="A60" s="1"/>
      <c r="B60" s="2"/>
      <c r="C60" s="8" t="s">
        <v>114</v>
      </c>
      <c r="D60" s="9"/>
      <c r="E60" s="48"/>
      <c r="F60" s="54"/>
      <c r="G60" s="10"/>
    </row>
    <row r="61" spans="1:7" ht="12.75" x14ac:dyDescent="0.2">
      <c r="A61" s="1"/>
      <c r="B61" s="2"/>
      <c r="C61" s="8" t="s">
        <v>108</v>
      </c>
      <c r="D61" s="12"/>
      <c r="E61" s="49"/>
      <c r="F61" s="55">
        <v>0</v>
      </c>
      <c r="G61" s="13">
        <v>0</v>
      </c>
    </row>
    <row r="62" spans="1:7" ht="12.75" x14ac:dyDescent="0.2">
      <c r="A62" s="1"/>
      <c r="B62" s="2"/>
      <c r="C62" s="14"/>
      <c r="D62" s="4"/>
      <c r="E62" s="47"/>
      <c r="F62" s="53"/>
      <c r="G62" s="5"/>
    </row>
    <row r="63" spans="1:7" ht="12.75" x14ac:dyDescent="0.2">
      <c r="A63" s="1"/>
      <c r="B63" s="2"/>
      <c r="C63" s="8" t="s">
        <v>115</v>
      </c>
      <c r="D63" s="9"/>
      <c r="E63" s="48"/>
      <c r="F63" s="54"/>
      <c r="G63" s="10"/>
    </row>
    <row r="64" spans="1:7" ht="12.75" x14ac:dyDescent="0.2">
      <c r="A64" s="1"/>
      <c r="B64" s="2"/>
      <c r="C64" s="8" t="s">
        <v>108</v>
      </c>
      <c r="D64" s="12"/>
      <c r="E64" s="49"/>
      <c r="F64" s="55">
        <v>0</v>
      </c>
      <c r="G64" s="13">
        <v>0</v>
      </c>
    </row>
    <row r="65" spans="1:7" ht="12.75" x14ac:dyDescent="0.2">
      <c r="A65" s="1"/>
      <c r="B65" s="2"/>
      <c r="C65" s="14"/>
      <c r="D65" s="4"/>
      <c r="E65" s="47"/>
      <c r="F65" s="53"/>
      <c r="G65" s="5"/>
    </row>
    <row r="66" spans="1:7" ht="25.5" x14ac:dyDescent="0.2">
      <c r="A66" s="6"/>
      <c r="B66" s="7"/>
      <c r="C66" s="24" t="s">
        <v>116</v>
      </c>
      <c r="D66" s="25"/>
      <c r="E66" s="49"/>
      <c r="F66" s="55">
        <v>53928.603813188987</v>
      </c>
      <c r="G66" s="13">
        <v>0.96922565912247249</v>
      </c>
    </row>
    <row r="67" spans="1:7" ht="12.75" x14ac:dyDescent="0.2">
      <c r="A67" s="1"/>
      <c r="B67" s="2"/>
      <c r="C67" s="11"/>
      <c r="D67" s="4"/>
      <c r="E67" s="47"/>
      <c r="F67" s="53"/>
      <c r="G67" s="5"/>
    </row>
    <row r="68" spans="1:7" ht="12.75" x14ac:dyDescent="0.2">
      <c r="A68" s="1"/>
      <c r="B68" s="2"/>
      <c r="C68" s="3" t="s">
        <v>117</v>
      </c>
      <c r="D68" s="4"/>
      <c r="E68" s="47"/>
      <c r="F68" s="53"/>
      <c r="G68" s="5"/>
    </row>
    <row r="69" spans="1:7" ht="25.5" x14ac:dyDescent="0.2">
      <c r="A69" s="1"/>
      <c r="B69" s="2"/>
      <c r="C69" s="8" t="s">
        <v>10</v>
      </c>
      <c r="D69" s="9"/>
      <c r="E69" s="48"/>
      <c r="F69" s="54"/>
      <c r="G69" s="10"/>
    </row>
    <row r="70" spans="1:7" ht="12.75" x14ac:dyDescent="0.2">
      <c r="A70" s="6"/>
      <c r="B70" s="7"/>
      <c r="C70" s="8" t="s">
        <v>108</v>
      </c>
      <c r="D70" s="12"/>
      <c r="E70" s="49"/>
      <c r="F70" s="55">
        <v>0</v>
      </c>
      <c r="G70" s="13">
        <v>0</v>
      </c>
    </row>
    <row r="71" spans="1:7" ht="12.75" x14ac:dyDescent="0.2">
      <c r="A71" s="6"/>
      <c r="B71" s="7"/>
      <c r="C71" s="14"/>
      <c r="D71" s="4"/>
      <c r="E71" s="47"/>
      <c r="F71" s="53"/>
      <c r="G71" s="5"/>
    </row>
    <row r="72" spans="1:7" ht="12.75" x14ac:dyDescent="0.2">
      <c r="A72" s="1"/>
      <c r="B72" s="26"/>
      <c r="C72" s="8" t="s">
        <v>118</v>
      </c>
      <c r="D72" s="9"/>
      <c r="E72" s="48"/>
      <c r="F72" s="54"/>
      <c r="G72" s="10"/>
    </row>
    <row r="73" spans="1:7" ht="12.75" x14ac:dyDescent="0.2">
      <c r="A73" s="6"/>
      <c r="B73" s="7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6"/>
      <c r="B74" s="7"/>
      <c r="C74" s="14"/>
      <c r="D74" s="4"/>
      <c r="E74" s="47"/>
      <c r="F74" s="59"/>
      <c r="G74" s="28"/>
    </row>
    <row r="75" spans="1:7" ht="12.75" x14ac:dyDescent="0.2">
      <c r="A75" s="1"/>
      <c r="B75" s="2"/>
      <c r="C75" s="8" t="s">
        <v>119</v>
      </c>
      <c r="D75" s="9"/>
      <c r="E75" s="48"/>
      <c r="F75" s="54"/>
      <c r="G75" s="10"/>
    </row>
    <row r="76" spans="1:7" ht="12.75" x14ac:dyDescent="0.2">
      <c r="A76" s="6"/>
      <c r="B76" s="7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1"/>
      <c r="B77" s="2"/>
      <c r="C77" s="14"/>
      <c r="D77" s="4"/>
      <c r="E77" s="47"/>
      <c r="F77" s="53"/>
      <c r="G77" s="5"/>
    </row>
    <row r="78" spans="1:7" ht="25.5" x14ac:dyDescent="0.2">
      <c r="A78" s="1"/>
      <c r="B78" s="26"/>
      <c r="C78" s="8" t="s">
        <v>120</v>
      </c>
      <c r="D78" s="9"/>
      <c r="E78" s="48"/>
      <c r="F78" s="54"/>
      <c r="G78" s="10"/>
    </row>
    <row r="79" spans="1:7" ht="12.75" x14ac:dyDescent="0.2">
      <c r="A79" s="6"/>
      <c r="B79" s="7"/>
      <c r="C79" s="8" t="s">
        <v>108</v>
      </c>
      <c r="D79" s="12"/>
      <c r="E79" s="49"/>
      <c r="F79" s="55">
        <v>0</v>
      </c>
      <c r="G79" s="13">
        <v>0</v>
      </c>
    </row>
    <row r="80" spans="1:7" ht="12.75" x14ac:dyDescent="0.2">
      <c r="A80" s="6"/>
      <c r="B80" s="7"/>
      <c r="C80" s="14"/>
      <c r="D80" s="4"/>
      <c r="E80" s="47"/>
      <c r="F80" s="53"/>
      <c r="G80" s="5"/>
    </row>
    <row r="81" spans="1:7" ht="12.75" x14ac:dyDescent="0.2">
      <c r="A81" s="6"/>
      <c r="B81" s="7"/>
      <c r="C81" s="29" t="s">
        <v>121</v>
      </c>
      <c r="D81" s="25"/>
      <c r="E81" s="49"/>
      <c r="F81" s="55">
        <v>0</v>
      </c>
      <c r="G81" s="13">
        <v>0</v>
      </c>
    </row>
    <row r="82" spans="1:7" ht="12.75" x14ac:dyDescent="0.2">
      <c r="A82" s="6"/>
      <c r="B82" s="7"/>
      <c r="C82" s="11"/>
      <c r="D82" s="4"/>
      <c r="E82" s="47"/>
      <c r="F82" s="53"/>
      <c r="G82" s="5"/>
    </row>
    <row r="83" spans="1:7" ht="12.75" x14ac:dyDescent="0.2">
      <c r="A83" s="1"/>
      <c r="B83" s="2"/>
      <c r="C83" s="3" t="s">
        <v>122</v>
      </c>
      <c r="D83" s="4"/>
      <c r="E83" s="47"/>
      <c r="F83" s="53"/>
      <c r="G83" s="5"/>
    </row>
    <row r="84" spans="1:7" ht="12.75" x14ac:dyDescent="0.2">
      <c r="A84" s="6"/>
      <c r="B84" s="7"/>
      <c r="C84" s="8" t="s">
        <v>123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7"/>
      <c r="E86" s="47"/>
      <c r="F86" s="53"/>
      <c r="G86" s="5"/>
    </row>
    <row r="87" spans="1:7" ht="12.75" x14ac:dyDescent="0.2">
      <c r="A87" s="6"/>
      <c r="B87" s="7"/>
      <c r="C87" s="8" t="s">
        <v>124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25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7"/>
      <c r="E89" s="47"/>
      <c r="F89" s="53"/>
      <c r="G89" s="5"/>
    </row>
    <row r="90" spans="1:7" ht="12.75" x14ac:dyDescent="0.2">
      <c r="A90" s="6"/>
      <c r="B90" s="7"/>
      <c r="C90" s="8" t="s">
        <v>125</v>
      </c>
      <c r="D90" s="9"/>
      <c r="E90" s="48"/>
      <c r="F90" s="54"/>
      <c r="G90" s="10"/>
    </row>
    <row r="91" spans="1:7" ht="12.75" x14ac:dyDescent="0.2">
      <c r="A91" s="6"/>
      <c r="B91" s="7"/>
      <c r="C91" s="8" t="s">
        <v>108</v>
      </c>
      <c r="D91" s="25"/>
      <c r="E91" s="49"/>
      <c r="F91" s="55">
        <v>0</v>
      </c>
      <c r="G91" s="13">
        <v>0</v>
      </c>
    </row>
    <row r="92" spans="1:7" ht="12.75" x14ac:dyDescent="0.2">
      <c r="A92" s="6"/>
      <c r="B92" s="7"/>
      <c r="C92" s="14"/>
      <c r="D92" s="7"/>
      <c r="E92" s="47"/>
      <c r="F92" s="53"/>
      <c r="G92" s="5"/>
    </row>
    <row r="93" spans="1:7" ht="12.75" x14ac:dyDescent="0.2">
      <c r="A93" s="6"/>
      <c r="B93" s="7"/>
      <c r="C93" s="8" t="s">
        <v>126</v>
      </c>
      <c r="D93" s="9"/>
      <c r="E93" s="48"/>
      <c r="F93" s="54"/>
      <c r="G93" s="10"/>
    </row>
    <row r="94" spans="1:7" ht="12.75" x14ac:dyDescent="0.2">
      <c r="A94" s="6">
        <v>1</v>
      </c>
      <c r="B94" s="7"/>
      <c r="C94" s="11" t="s">
        <v>812</v>
      </c>
      <c r="D94" s="15"/>
      <c r="E94" s="47"/>
      <c r="F94" s="53">
        <v>494.9349125</v>
      </c>
      <c r="G94" s="5">
        <v>8.8951610642800574E-3</v>
      </c>
    </row>
    <row r="95" spans="1:7" ht="12.75" x14ac:dyDescent="0.2">
      <c r="A95" s="6"/>
      <c r="B95" s="7"/>
      <c r="C95" s="8" t="s">
        <v>108</v>
      </c>
      <c r="D95" s="25"/>
      <c r="E95" s="49"/>
      <c r="F95" s="55">
        <v>494.9349125</v>
      </c>
      <c r="G95" s="13">
        <v>8.8951610642800574E-3</v>
      </c>
    </row>
    <row r="96" spans="1:7" ht="12.75" x14ac:dyDescent="0.2">
      <c r="A96" s="6"/>
      <c r="B96" s="7"/>
      <c r="C96" s="14"/>
      <c r="D96" s="7"/>
      <c r="E96" s="47"/>
      <c r="F96" s="53"/>
      <c r="G96" s="5"/>
    </row>
    <row r="97" spans="1:8" ht="25.5" x14ac:dyDescent="0.2">
      <c r="A97" s="6"/>
      <c r="B97" s="7"/>
      <c r="C97" s="24" t="s">
        <v>127</v>
      </c>
      <c r="D97" s="25"/>
      <c r="E97" s="49"/>
      <c r="F97" s="55">
        <v>494.9349125</v>
      </c>
      <c r="G97" s="13">
        <v>8.8951610642800574E-3</v>
      </c>
    </row>
    <row r="98" spans="1:8" ht="12.75" x14ac:dyDescent="0.2">
      <c r="A98" s="6"/>
      <c r="B98" s="7"/>
      <c r="C98" s="30"/>
      <c r="D98" s="7"/>
      <c r="E98" s="47"/>
      <c r="F98" s="53"/>
      <c r="G98" s="5"/>
    </row>
    <row r="99" spans="1:8" ht="12.75" x14ac:dyDescent="0.2">
      <c r="A99" s="1"/>
      <c r="B99" s="2"/>
      <c r="C99" s="3" t="s">
        <v>128</v>
      </c>
      <c r="D99" s="4"/>
      <c r="E99" s="47"/>
      <c r="F99" s="53"/>
      <c r="G99" s="5"/>
    </row>
    <row r="100" spans="1:8" ht="25.5" x14ac:dyDescent="0.2">
      <c r="A100" s="6"/>
      <c r="B100" s="7"/>
      <c r="C100" s="8" t="s">
        <v>129</v>
      </c>
      <c r="D100" s="9"/>
      <c r="E100" s="48"/>
      <c r="F100" s="54"/>
      <c r="G100" s="10"/>
    </row>
    <row r="101" spans="1:8" ht="25.5" x14ac:dyDescent="0.2">
      <c r="A101" s="6">
        <v>1</v>
      </c>
      <c r="B101" s="7" t="s">
        <v>130</v>
      </c>
      <c r="C101" s="11" t="s">
        <v>839</v>
      </c>
      <c r="D101" s="15"/>
      <c r="E101" s="47">
        <v>96000.292000000001</v>
      </c>
      <c r="F101" s="53">
        <v>1000.131234057</v>
      </c>
      <c r="G101" s="5">
        <v>1.7974744128308368E-2</v>
      </c>
    </row>
    <row r="102" spans="1:8" ht="12.75" x14ac:dyDescent="0.2">
      <c r="A102" s="6"/>
      <c r="B102" s="7"/>
      <c r="C102" s="8" t="s">
        <v>108</v>
      </c>
      <c r="D102" s="25"/>
      <c r="E102" s="49"/>
      <c r="F102" s="55">
        <v>1000.131234057</v>
      </c>
      <c r="G102" s="13">
        <v>1.7974744000000001E-2</v>
      </c>
    </row>
    <row r="103" spans="1:8" ht="12.75" x14ac:dyDescent="0.2">
      <c r="A103" s="6"/>
      <c r="B103" s="7"/>
      <c r="C103" s="14"/>
      <c r="D103" s="7"/>
      <c r="E103" s="47"/>
      <c r="F103" s="53"/>
      <c r="G103" s="5"/>
    </row>
    <row r="104" spans="1:8" ht="12.75" x14ac:dyDescent="0.2">
      <c r="A104" s="1"/>
      <c r="B104" s="2"/>
      <c r="C104" s="3" t="s">
        <v>131</v>
      </c>
      <c r="D104" s="4"/>
      <c r="E104" s="47"/>
      <c r="F104" s="53"/>
      <c r="G104" s="5"/>
    </row>
    <row r="105" spans="1:8" ht="25.5" x14ac:dyDescent="0.2">
      <c r="A105" s="6"/>
      <c r="B105" s="7"/>
      <c r="C105" s="8" t="s">
        <v>132</v>
      </c>
      <c r="D105" s="9"/>
      <c r="E105" s="48"/>
      <c r="F105" s="54"/>
      <c r="G105" s="10"/>
    </row>
    <row r="106" spans="1:8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8" ht="12.75" x14ac:dyDescent="0.2">
      <c r="A107" s="6"/>
      <c r="B107" s="7"/>
      <c r="C107" s="14"/>
      <c r="D107" s="7"/>
      <c r="E107" s="47"/>
      <c r="F107" s="53"/>
      <c r="G107" s="5"/>
    </row>
    <row r="108" spans="1:8" ht="25.5" x14ac:dyDescent="0.2">
      <c r="A108" s="6"/>
      <c r="B108" s="7"/>
      <c r="C108" s="8" t="s">
        <v>133</v>
      </c>
      <c r="D108" s="9"/>
      <c r="E108" s="48"/>
      <c r="F108" s="54"/>
      <c r="G108" s="10"/>
    </row>
    <row r="109" spans="1:8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8" ht="12.75" x14ac:dyDescent="0.2">
      <c r="A110" s="6"/>
      <c r="B110" s="7"/>
      <c r="C110" s="14"/>
      <c r="D110" s="7"/>
      <c r="E110" s="47"/>
      <c r="F110" s="59"/>
      <c r="G110" s="28"/>
    </row>
    <row r="111" spans="1:8" ht="25.5" x14ac:dyDescent="0.2">
      <c r="A111" s="6"/>
      <c r="B111" s="7"/>
      <c r="C111" s="30" t="s">
        <v>134</v>
      </c>
      <c r="D111" s="7"/>
      <c r="E111" s="47"/>
      <c r="F111" s="128">
        <v>217.24636806401395</v>
      </c>
      <c r="G111" s="136">
        <v>3.9044354838461133E-3</v>
      </c>
      <c r="H111" s="130"/>
    </row>
    <row r="112" spans="1:8" ht="12.75" x14ac:dyDescent="0.2">
      <c r="A112" s="6"/>
      <c r="B112" s="7"/>
      <c r="C112" s="31" t="s">
        <v>135</v>
      </c>
      <c r="D112" s="12"/>
      <c r="E112" s="49"/>
      <c r="F112" s="55">
        <v>55640.916327810002</v>
      </c>
      <c r="G112" s="13">
        <v>1</v>
      </c>
    </row>
    <row r="114" spans="2:6" ht="12.75" x14ac:dyDescent="0.2">
      <c r="B114" s="179"/>
      <c r="C114" s="179"/>
      <c r="D114" s="179"/>
      <c r="E114" s="179"/>
      <c r="F114" s="179"/>
    </row>
    <row r="115" spans="2:6" ht="12.75" x14ac:dyDescent="0.2">
      <c r="B115" s="179" t="s">
        <v>136</v>
      </c>
      <c r="C115" s="179"/>
      <c r="D115" s="179"/>
      <c r="E115" s="179"/>
      <c r="F115" s="179"/>
    </row>
    <row r="117" spans="2:6" ht="12.75" x14ac:dyDescent="0.2">
      <c r="B117" s="37" t="s">
        <v>137</v>
      </c>
      <c r="C117" s="38"/>
      <c r="D117" s="39"/>
    </row>
    <row r="118" spans="2:6" ht="12.75" x14ac:dyDescent="0.2">
      <c r="B118" s="40" t="s">
        <v>808</v>
      </c>
      <c r="C118" s="41"/>
      <c r="D118" s="65" t="s">
        <v>809</v>
      </c>
    </row>
    <row r="119" spans="2:6" ht="12.75" x14ac:dyDescent="0.2">
      <c r="B119" s="40" t="s">
        <v>139</v>
      </c>
      <c r="C119" s="41"/>
      <c r="D119" s="65" t="s">
        <v>138</v>
      </c>
    </row>
    <row r="120" spans="2:6" ht="12.75" x14ac:dyDescent="0.2">
      <c r="B120" s="42" t="s">
        <v>140</v>
      </c>
      <c r="C120" s="41"/>
      <c r="D120" s="43"/>
    </row>
    <row r="121" spans="2:6" ht="25.5" customHeight="1" x14ac:dyDescent="0.2">
      <c r="B121" s="43"/>
      <c r="C121" s="33" t="s">
        <v>141</v>
      </c>
      <c r="D121" s="34" t="s">
        <v>142</v>
      </c>
    </row>
    <row r="122" spans="2:6" ht="12.75" customHeight="1" x14ac:dyDescent="0.2">
      <c r="B122" s="60" t="s">
        <v>143</v>
      </c>
      <c r="C122" s="61" t="s">
        <v>144</v>
      </c>
      <c r="D122" s="61" t="s">
        <v>145</v>
      </c>
    </row>
    <row r="123" spans="2:6" ht="12.75" x14ac:dyDescent="0.2">
      <c r="B123" s="43" t="s">
        <v>146</v>
      </c>
      <c r="C123" s="44">
        <v>32.478400000000001</v>
      </c>
      <c r="D123" s="44">
        <v>33.172400000000003</v>
      </c>
    </row>
    <row r="124" spans="2:6" ht="12.75" x14ac:dyDescent="0.2">
      <c r="B124" s="43" t="s">
        <v>147</v>
      </c>
      <c r="C124" s="44">
        <v>28.000399999999999</v>
      </c>
      <c r="D124" s="44">
        <v>28.598700000000001</v>
      </c>
    </row>
    <row r="125" spans="2:6" ht="12.75" x14ac:dyDescent="0.2">
      <c r="B125" s="43" t="s">
        <v>148</v>
      </c>
      <c r="C125" s="44">
        <v>31.325900000000001</v>
      </c>
      <c r="D125" s="44">
        <v>31.982199999999999</v>
      </c>
    </row>
    <row r="126" spans="2:6" ht="12.75" x14ac:dyDescent="0.2">
      <c r="B126" s="43" t="s">
        <v>149</v>
      </c>
      <c r="C126" s="44">
        <v>26.916599999999999</v>
      </c>
      <c r="D126" s="44">
        <v>27.480499999999999</v>
      </c>
    </row>
    <row r="128" spans="2:6" ht="12.75" x14ac:dyDescent="0.2">
      <c r="B128" s="62" t="s">
        <v>150</v>
      </c>
      <c r="C128" s="45"/>
      <c r="D128" s="63" t="s">
        <v>138</v>
      </c>
    </row>
    <row r="129" spans="2:4" ht="24.75" customHeight="1" x14ac:dyDescent="0.2">
      <c r="B129" s="64"/>
      <c r="C129" s="64"/>
    </row>
    <row r="130" spans="2:4" ht="15" x14ac:dyDescent="0.25">
      <c r="B130" s="66"/>
      <c r="C130" s="68"/>
      <c r="D130"/>
    </row>
    <row r="132" spans="2:4" ht="12.75" x14ac:dyDescent="0.2">
      <c r="B132" s="42" t="s">
        <v>151</v>
      </c>
      <c r="C132" s="41"/>
      <c r="D132" s="67" t="s">
        <v>138</v>
      </c>
    </row>
    <row r="133" spans="2:4" ht="12.75" x14ac:dyDescent="0.2">
      <c r="B133" s="42" t="s">
        <v>152</v>
      </c>
      <c r="C133" s="41"/>
      <c r="D133" s="67" t="s">
        <v>138</v>
      </c>
    </row>
    <row r="134" spans="2:4" ht="12.75" x14ac:dyDescent="0.2">
      <c r="B134" s="42" t="s">
        <v>153</v>
      </c>
      <c r="C134" s="41"/>
      <c r="D134" s="46">
        <v>0.18724923465277657</v>
      </c>
    </row>
    <row r="135" spans="2:4" ht="12.75" x14ac:dyDescent="0.2">
      <c r="B135" s="42" t="s">
        <v>154</v>
      </c>
      <c r="C135" s="41"/>
      <c r="D135" s="46" t="s">
        <v>138</v>
      </c>
    </row>
  </sheetData>
  <mergeCells count="5">
    <mergeCell ref="A1:G1"/>
    <mergeCell ref="A2:G2"/>
    <mergeCell ref="A3:G3"/>
    <mergeCell ref="B114:F114"/>
    <mergeCell ref="B115:F1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9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155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55</v>
      </c>
      <c r="C7" s="11" t="s">
        <v>56</v>
      </c>
      <c r="D7" s="2" t="s">
        <v>22</v>
      </c>
      <c r="E7" s="47">
        <v>44076</v>
      </c>
      <c r="F7" s="53">
        <v>260.24674199999998</v>
      </c>
      <c r="G7" s="5">
        <v>6.5939492000000002E-2</v>
      </c>
    </row>
    <row r="8" spans="1:7" ht="25.5" x14ac:dyDescent="0.2">
      <c r="A8" s="6">
        <v>2</v>
      </c>
      <c r="B8" s="7" t="s">
        <v>45</v>
      </c>
      <c r="C8" s="11" t="s">
        <v>46</v>
      </c>
      <c r="D8" s="2" t="s">
        <v>47</v>
      </c>
      <c r="E8" s="47">
        <v>24889</v>
      </c>
      <c r="F8" s="53">
        <v>209.52804649999999</v>
      </c>
      <c r="G8" s="5">
        <v>5.3088745E-2</v>
      </c>
    </row>
    <row r="9" spans="1:7" ht="25.5" x14ac:dyDescent="0.2">
      <c r="A9" s="6">
        <v>3</v>
      </c>
      <c r="B9" s="7" t="s">
        <v>156</v>
      </c>
      <c r="C9" s="11" t="s">
        <v>157</v>
      </c>
      <c r="D9" s="2" t="s">
        <v>158</v>
      </c>
      <c r="E9" s="47">
        <v>21846</v>
      </c>
      <c r="F9" s="53">
        <v>196.06784999999999</v>
      </c>
      <c r="G9" s="5">
        <v>4.9678294999999997E-2</v>
      </c>
    </row>
    <row r="10" spans="1:7" ht="12.75" x14ac:dyDescent="0.2">
      <c r="A10" s="6">
        <v>4</v>
      </c>
      <c r="B10" s="7" t="s">
        <v>159</v>
      </c>
      <c r="C10" s="11" t="s">
        <v>160</v>
      </c>
      <c r="D10" s="2" t="s">
        <v>19</v>
      </c>
      <c r="E10" s="47">
        <v>90314</v>
      </c>
      <c r="F10" s="53">
        <v>168.97749400000001</v>
      </c>
      <c r="G10" s="5">
        <v>4.2814330999999997E-2</v>
      </c>
    </row>
    <row r="11" spans="1:7" ht="25.5" x14ac:dyDescent="0.2">
      <c r="A11" s="6">
        <v>5</v>
      </c>
      <c r="B11" s="7" t="s">
        <v>38</v>
      </c>
      <c r="C11" s="11" t="s">
        <v>39</v>
      </c>
      <c r="D11" s="2" t="s">
        <v>40</v>
      </c>
      <c r="E11" s="47">
        <v>37858</v>
      </c>
      <c r="F11" s="53">
        <v>163.319412</v>
      </c>
      <c r="G11" s="5">
        <v>4.1380726E-2</v>
      </c>
    </row>
    <row r="12" spans="1:7" ht="25.5" x14ac:dyDescent="0.2">
      <c r="A12" s="6">
        <v>6</v>
      </c>
      <c r="B12" s="7" t="s">
        <v>23</v>
      </c>
      <c r="C12" s="11" t="s">
        <v>24</v>
      </c>
      <c r="D12" s="2" t="s">
        <v>22</v>
      </c>
      <c r="E12" s="47">
        <v>25396</v>
      </c>
      <c r="F12" s="53">
        <v>152.71884600000001</v>
      </c>
      <c r="G12" s="5">
        <v>3.8694829E-2</v>
      </c>
    </row>
    <row r="13" spans="1:7" ht="25.5" x14ac:dyDescent="0.2">
      <c r="A13" s="6">
        <v>7</v>
      </c>
      <c r="B13" s="7" t="s">
        <v>161</v>
      </c>
      <c r="C13" s="11" t="s">
        <v>162</v>
      </c>
      <c r="D13" s="2" t="s">
        <v>163</v>
      </c>
      <c r="E13" s="47">
        <v>36941</v>
      </c>
      <c r="F13" s="53">
        <v>134.723827</v>
      </c>
      <c r="G13" s="5">
        <v>3.4135377000000001E-2</v>
      </c>
    </row>
    <row r="14" spans="1:7" ht="25.5" x14ac:dyDescent="0.2">
      <c r="A14" s="6">
        <v>8</v>
      </c>
      <c r="B14" s="7" t="s">
        <v>164</v>
      </c>
      <c r="C14" s="11" t="s">
        <v>165</v>
      </c>
      <c r="D14" s="2" t="s">
        <v>47</v>
      </c>
      <c r="E14" s="47">
        <v>44221</v>
      </c>
      <c r="F14" s="53">
        <v>110.46405799999999</v>
      </c>
      <c r="G14" s="5">
        <v>2.7988606999999999E-2</v>
      </c>
    </row>
    <row r="15" spans="1:7" ht="38.25" x14ac:dyDescent="0.2">
      <c r="A15" s="6">
        <v>9</v>
      </c>
      <c r="B15" s="7" t="s">
        <v>75</v>
      </c>
      <c r="C15" s="11" t="s">
        <v>76</v>
      </c>
      <c r="D15" s="2" t="s">
        <v>77</v>
      </c>
      <c r="E15" s="47">
        <v>132299</v>
      </c>
      <c r="F15" s="53">
        <v>104.25161199999999</v>
      </c>
      <c r="G15" s="5">
        <v>2.6414541E-2</v>
      </c>
    </row>
    <row r="16" spans="1:7" ht="12.75" x14ac:dyDescent="0.2">
      <c r="A16" s="6">
        <v>10</v>
      </c>
      <c r="B16" s="7" t="s">
        <v>166</v>
      </c>
      <c r="C16" s="11" t="s">
        <v>167</v>
      </c>
      <c r="D16" s="2" t="s">
        <v>168</v>
      </c>
      <c r="E16" s="47">
        <v>38805</v>
      </c>
      <c r="F16" s="53">
        <v>99.088567499999996</v>
      </c>
      <c r="G16" s="5">
        <v>2.5106364999999999E-2</v>
      </c>
    </row>
    <row r="17" spans="1:7" ht="25.5" x14ac:dyDescent="0.2">
      <c r="A17" s="6">
        <v>11</v>
      </c>
      <c r="B17" s="7" t="s">
        <v>102</v>
      </c>
      <c r="C17" s="11" t="s">
        <v>103</v>
      </c>
      <c r="D17" s="2" t="s">
        <v>13</v>
      </c>
      <c r="E17" s="47">
        <v>85377</v>
      </c>
      <c r="F17" s="53">
        <v>87.852932999999993</v>
      </c>
      <c r="G17" s="5">
        <v>2.2259559000000002E-2</v>
      </c>
    </row>
    <row r="18" spans="1:7" ht="25.5" x14ac:dyDescent="0.2">
      <c r="A18" s="6">
        <v>12</v>
      </c>
      <c r="B18" s="7" t="s">
        <v>169</v>
      </c>
      <c r="C18" s="11" t="s">
        <v>170</v>
      </c>
      <c r="D18" s="2" t="s">
        <v>27</v>
      </c>
      <c r="E18" s="47">
        <v>7352</v>
      </c>
      <c r="F18" s="53">
        <v>87.738767999999993</v>
      </c>
      <c r="G18" s="5">
        <v>2.2230633E-2</v>
      </c>
    </row>
    <row r="19" spans="1:7" ht="25.5" x14ac:dyDescent="0.2">
      <c r="A19" s="6">
        <v>13</v>
      </c>
      <c r="B19" s="7" t="s">
        <v>20</v>
      </c>
      <c r="C19" s="11" t="s">
        <v>21</v>
      </c>
      <c r="D19" s="2" t="s">
        <v>22</v>
      </c>
      <c r="E19" s="47">
        <v>9702</v>
      </c>
      <c r="F19" s="53">
        <v>86.444820000000007</v>
      </c>
      <c r="G19" s="5">
        <v>2.1902781999999999E-2</v>
      </c>
    </row>
    <row r="20" spans="1:7" ht="25.5" x14ac:dyDescent="0.2">
      <c r="A20" s="6">
        <v>14</v>
      </c>
      <c r="B20" s="7" t="s">
        <v>171</v>
      </c>
      <c r="C20" s="11" t="s">
        <v>172</v>
      </c>
      <c r="D20" s="2" t="s">
        <v>22</v>
      </c>
      <c r="E20" s="47">
        <v>20526</v>
      </c>
      <c r="F20" s="53">
        <v>82.678728000000007</v>
      </c>
      <c r="G20" s="5">
        <v>2.0948556E-2</v>
      </c>
    </row>
    <row r="21" spans="1:7" ht="25.5" x14ac:dyDescent="0.2">
      <c r="A21" s="6">
        <v>15</v>
      </c>
      <c r="B21" s="7" t="s">
        <v>173</v>
      </c>
      <c r="C21" s="11" t="s">
        <v>174</v>
      </c>
      <c r="D21" s="2" t="s">
        <v>163</v>
      </c>
      <c r="E21" s="47">
        <v>4624</v>
      </c>
      <c r="F21" s="53">
        <v>82.168480000000002</v>
      </c>
      <c r="G21" s="5">
        <v>2.0819272999999999E-2</v>
      </c>
    </row>
    <row r="22" spans="1:7" ht="25.5" x14ac:dyDescent="0.2">
      <c r="A22" s="6">
        <v>16</v>
      </c>
      <c r="B22" s="7" t="s">
        <v>41</v>
      </c>
      <c r="C22" s="11" t="s">
        <v>42</v>
      </c>
      <c r="D22" s="2" t="s">
        <v>27</v>
      </c>
      <c r="E22" s="47">
        <v>70894</v>
      </c>
      <c r="F22" s="53">
        <v>81.421758999999994</v>
      </c>
      <c r="G22" s="5">
        <v>2.0630074000000002E-2</v>
      </c>
    </row>
    <row r="23" spans="1:7" ht="12.75" x14ac:dyDescent="0.2">
      <c r="A23" s="6">
        <v>17</v>
      </c>
      <c r="B23" s="7" t="s">
        <v>175</v>
      </c>
      <c r="C23" s="11" t="s">
        <v>176</v>
      </c>
      <c r="D23" s="2" t="s">
        <v>19</v>
      </c>
      <c r="E23" s="47">
        <v>96298</v>
      </c>
      <c r="F23" s="53">
        <v>80.745873000000003</v>
      </c>
      <c r="G23" s="5">
        <v>2.0458822000000002E-2</v>
      </c>
    </row>
    <row r="24" spans="1:7" ht="25.5" x14ac:dyDescent="0.2">
      <c r="A24" s="6">
        <v>18</v>
      </c>
      <c r="B24" s="7" t="s">
        <v>177</v>
      </c>
      <c r="C24" s="11" t="s">
        <v>178</v>
      </c>
      <c r="D24" s="2" t="s">
        <v>47</v>
      </c>
      <c r="E24" s="47">
        <v>48531</v>
      </c>
      <c r="F24" s="53">
        <v>79.202591999999996</v>
      </c>
      <c r="G24" s="5">
        <v>2.0067796999999998E-2</v>
      </c>
    </row>
    <row r="25" spans="1:7" ht="25.5" x14ac:dyDescent="0.2">
      <c r="A25" s="6">
        <v>19</v>
      </c>
      <c r="B25" s="7" t="s">
        <v>179</v>
      </c>
      <c r="C25" s="11" t="s">
        <v>180</v>
      </c>
      <c r="D25" s="2" t="s">
        <v>22</v>
      </c>
      <c r="E25" s="47">
        <v>24453</v>
      </c>
      <c r="F25" s="53">
        <v>78.029522999999998</v>
      </c>
      <c r="G25" s="5">
        <v>1.9770573E-2</v>
      </c>
    </row>
    <row r="26" spans="1:7" ht="25.5" x14ac:dyDescent="0.2">
      <c r="A26" s="6">
        <v>20</v>
      </c>
      <c r="B26" s="7" t="s">
        <v>181</v>
      </c>
      <c r="C26" s="11" t="s">
        <v>182</v>
      </c>
      <c r="D26" s="2" t="s">
        <v>183</v>
      </c>
      <c r="E26" s="47">
        <v>65000</v>
      </c>
      <c r="F26" s="53">
        <v>77.22</v>
      </c>
      <c r="G26" s="5">
        <v>1.9565460999999999E-2</v>
      </c>
    </row>
    <row r="27" spans="1:7" ht="12.75" x14ac:dyDescent="0.2">
      <c r="A27" s="6">
        <v>21</v>
      </c>
      <c r="B27" s="7" t="s">
        <v>184</v>
      </c>
      <c r="C27" s="11" t="s">
        <v>185</v>
      </c>
      <c r="D27" s="2" t="s">
        <v>16</v>
      </c>
      <c r="E27" s="47">
        <v>42180</v>
      </c>
      <c r="F27" s="53">
        <v>75.987269999999995</v>
      </c>
      <c r="G27" s="5">
        <v>1.9253121000000002E-2</v>
      </c>
    </row>
    <row r="28" spans="1:7" ht="25.5" x14ac:dyDescent="0.2">
      <c r="A28" s="6">
        <v>22</v>
      </c>
      <c r="B28" s="7" t="s">
        <v>186</v>
      </c>
      <c r="C28" s="11" t="s">
        <v>187</v>
      </c>
      <c r="D28" s="2" t="s">
        <v>183</v>
      </c>
      <c r="E28" s="47">
        <v>13317</v>
      </c>
      <c r="F28" s="53">
        <v>75.613926000000006</v>
      </c>
      <c r="G28" s="5">
        <v>1.9158525999999999E-2</v>
      </c>
    </row>
    <row r="29" spans="1:7" ht="25.5" x14ac:dyDescent="0.2">
      <c r="A29" s="6">
        <v>23</v>
      </c>
      <c r="B29" s="7" t="s">
        <v>83</v>
      </c>
      <c r="C29" s="11" t="s">
        <v>84</v>
      </c>
      <c r="D29" s="2" t="s">
        <v>22</v>
      </c>
      <c r="E29" s="47">
        <v>67500</v>
      </c>
      <c r="F29" s="53">
        <v>73.608750000000001</v>
      </c>
      <c r="G29" s="5">
        <v>1.8650468E-2</v>
      </c>
    </row>
    <row r="30" spans="1:7" ht="25.5" x14ac:dyDescent="0.2">
      <c r="A30" s="6">
        <v>24</v>
      </c>
      <c r="B30" s="7" t="s">
        <v>188</v>
      </c>
      <c r="C30" s="11" t="s">
        <v>189</v>
      </c>
      <c r="D30" s="2" t="s">
        <v>47</v>
      </c>
      <c r="E30" s="47">
        <v>3218</v>
      </c>
      <c r="F30" s="53">
        <v>68.403417000000005</v>
      </c>
      <c r="G30" s="5">
        <v>1.7331578E-2</v>
      </c>
    </row>
    <row r="31" spans="1:7" ht="12.75" x14ac:dyDescent="0.2">
      <c r="A31" s="6">
        <v>25</v>
      </c>
      <c r="B31" s="7" t="s">
        <v>190</v>
      </c>
      <c r="C31" s="11" t="s">
        <v>191</v>
      </c>
      <c r="D31" s="2" t="s">
        <v>192</v>
      </c>
      <c r="E31" s="47">
        <v>41707</v>
      </c>
      <c r="F31" s="53">
        <v>64.249633500000002</v>
      </c>
      <c r="G31" s="5">
        <v>1.6279121000000001E-2</v>
      </c>
    </row>
    <row r="32" spans="1:7" ht="25.5" x14ac:dyDescent="0.2">
      <c r="A32" s="6">
        <v>26</v>
      </c>
      <c r="B32" s="7" t="s">
        <v>73</v>
      </c>
      <c r="C32" s="11" t="s">
        <v>74</v>
      </c>
      <c r="D32" s="2" t="s">
        <v>22</v>
      </c>
      <c r="E32" s="47">
        <v>9656</v>
      </c>
      <c r="F32" s="53">
        <v>63.275767999999999</v>
      </c>
      <c r="G32" s="5">
        <v>1.6032370000000001E-2</v>
      </c>
    </row>
    <row r="33" spans="1:7" ht="12.75" x14ac:dyDescent="0.2">
      <c r="A33" s="6">
        <v>27</v>
      </c>
      <c r="B33" s="7" t="s">
        <v>193</v>
      </c>
      <c r="C33" s="11" t="s">
        <v>194</v>
      </c>
      <c r="D33" s="2" t="s">
        <v>72</v>
      </c>
      <c r="E33" s="47">
        <v>6500</v>
      </c>
      <c r="F33" s="53">
        <v>57.664749999999998</v>
      </c>
      <c r="G33" s="5">
        <v>1.4610689E-2</v>
      </c>
    </row>
    <row r="34" spans="1:7" ht="25.5" x14ac:dyDescent="0.2">
      <c r="A34" s="6">
        <v>28</v>
      </c>
      <c r="B34" s="7" t="s">
        <v>43</v>
      </c>
      <c r="C34" s="11" t="s">
        <v>44</v>
      </c>
      <c r="D34" s="2" t="s">
        <v>22</v>
      </c>
      <c r="E34" s="47">
        <v>8088</v>
      </c>
      <c r="F34" s="53">
        <v>56.308655999999999</v>
      </c>
      <c r="G34" s="5">
        <v>1.4267092E-2</v>
      </c>
    </row>
    <row r="35" spans="1:7" ht="12.75" x14ac:dyDescent="0.2">
      <c r="A35" s="6">
        <v>29</v>
      </c>
      <c r="B35" s="7" t="s">
        <v>93</v>
      </c>
      <c r="C35" s="11" t="s">
        <v>94</v>
      </c>
      <c r="D35" s="2" t="s">
        <v>50</v>
      </c>
      <c r="E35" s="47">
        <v>30276</v>
      </c>
      <c r="F35" s="53">
        <v>51.484338000000001</v>
      </c>
      <c r="G35" s="5">
        <v>1.3044740000000001E-2</v>
      </c>
    </row>
    <row r="36" spans="1:7" ht="12.75" x14ac:dyDescent="0.2">
      <c r="A36" s="6">
        <v>30</v>
      </c>
      <c r="B36" s="7" t="s">
        <v>195</v>
      </c>
      <c r="C36" s="11" t="s">
        <v>196</v>
      </c>
      <c r="D36" s="2" t="s">
        <v>197</v>
      </c>
      <c r="E36" s="47">
        <v>38384</v>
      </c>
      <c r="F36" s="53">
        <v>51.3386</v>
      </c>
      <c r="G36" s="5">
        <v>1.3007813999999999E-2</v>
      </c>
    </row>
    <row r="37" spans="1:7" ht="12.75" x14ac:dyDescent="0.2">
      <c r="A37" s="6">
        <v>31</v>
      </c>
      <c r="B37" s="7" t="s">
        <v>198</v>
      </c>
      <c r="C37" s="11" t="s">
        <v>199</v>
      </c>
      <c r="D37" s="2" t="s">
        <v>40</v>
      </c>
      <c r="E37" s="47">
        <v>83066</v>
      </c>
      <c r="F37" s="53">
        <v>49.590401999999997</v>
      </c>
      <c r="G37" s="5">
        <v>1.2564868E-2</v>
      </c>
    </row>
    <row r="38" spans="1:7" ht="25.5" x14ac:dyDescent="0.2">
      <c r="A38" s="6">
        <v>32</v>
      </c>
      <c r="B38" s="7" t="s">
        <v>200</v>
      </c>
      <c r="C38" s="11" t="s">
        <v>201</v>
      </c>
      <c r="D38" s="2" t="s">
        <v>30</v>
      </c>
      <c r="E38" s="47">
        <v>16323</v>
      </c>
      <c r="F38" s="53">
        <v>48.862900500000002</v>
      </c>
      <c r="G38" s="5">
        <v>1.2380538999999999E-2</v>
      </c>
    </row>
    <row r="39" spans="1:7" ht="25.5" x14ac:dyDescent="0.2">
      <c r="A39" s="6">
        <v>33</v>
      </c>
      <c r="B39" s="7" t="s">
        <v>202</v>
      </c>
      <c r="C39" s="11" t="s">
        <v>203</v>
      </c>
      <c r="D39" s="2" t="s">
        <v>22</v>
      </c>
      <c r="E39" s="47">
        <v>6958</v>
      </c>
      <c r="F39" s="53">
        <v>46.159371999999998</v>
      </c>
      <c r="G39" s="5">
        <v>1.1695538E-2</v>
      </c>
    </row>
    <row r="40" spans="1:7" ht="12.75" x14ac:dyDescent="0.2">
      <c r="A40" s="6">
        <v>34</v>
      </c>
      <c r="B40" s="7" t="s">
        <v>204</v>
      </c>
      <c r="C40" s="11" t="s">
        <v>205</v>
      </c>
      <c r="D40" s="2" t="s">
        <v>72</v>
      </c>
      <c r="E40" s="47">
        <v>16420</v>
      </c>
      <c r="F40" s="53">
        <v>44.801969999999997</v>
      </c>
      <c r="G40" s="5">
        <v>1.1351609E-2</v>
      </c>
    </row>
    <row r="41" spans="1:7" ht="12.75" x14ac:dyDescent="0.2">
      <c r="A41" s="6">
        <v>35</v>
      </c>
      <c r="B41" s="7" t="s">
        <v>95</v>
      </c>
      <c r="C41" s="11" t="s">
        <v>96</v>
      </c>
      <c r="D41" s="2" t="s">
        <v>50</v>
      </c>
      <c r="E41" s="47">
        <v>75263</v>
      </c>
      <c r="F41" s="53">
        <v>43.351488000000003</v>
      </c>
      <c r="G41" s="5">
        <v>1.0984096E-2</v>
      </c>
    </row>
    <row r="42" spans="1:7" ht="51" x14ac:dyDescent="0.2">
      <c r="A42" s="6">
        <v>36</v>
      </c>
      <c r="B42" s="7" t="s">
        <v>206</v>
      </c>
      <c r="C42" s="11" t="s">
        <v>207</v>
      </c>
      <c r="D42" s="2" t="s">
        <v>208</v>
      </c>
      <c r="E42" s="47">
        <v>68313</v>
      </c>
      <c r="F42" s="53">
        <v>41.739243000000002</v>
      </c>
      <c r="G42" s="5">
        <v>1.0575596E-2</v>
      </c>
    </row>
    <row r="43" spans="1:7" ht="25.5" x14ac:dyDescent="0.2">
      <c r="A43" s="6">
        <v>37</v>
      </c>
      <c r="B43" s="7" t="s">
        <v>209</v>
      </c>
      <c r="C43" s="11" t="s">
        <v>210</v>
      </c>
      <c r="D43" s="2" t="s">
        <v>22</v>
      </c>
      <c r="E43" s="47">
        <v>5903</v>
      </c>
      <c r="F43" s="53">
        <v>39.709480999999997</v>
      </c>
      <c r="G43" s="5">
        <v>1.0061308999999999E-2</v>
      </c>
    </row>
    <row r="44" spans="1:7" ht="12.75" x14ac:dyDescent="0.2">
      <c r="A44" s="6">
        <v>38</v>
      </c>
      <c r="B44" s="7" t="s">
        <v>211</v>
      </c>
      <c r="C44" s="11" t="s">
        <v>212</v>
      </c>
      <c r="D44" s="2" t="s">
        <v>72</v>
      </c>
      <c r="E44" s="47">
        <v>129827</v>
      </c>
      <c r="F44" s="53">
        <v>38.558619</v>
      </c>
      <c r="G44" s="5">
        <v>9.7697119999999998E-3</v>
      </c>
    </row>
    <row r="45" spans="1:7" ht="25.5" x14ac:dyDescent="0.2">
      <c r="A45" s="6">
        <v>39</v>
      </c>
      <c r="B45" s="7" t="s">
        <v>213</v>
      </c>
      <c r="C45" s="11" t="s">
        <v>214</v>
      </c>
      <c r="D45" s="2" t="s">
        <v>163</v>
      </c>
      <c r="E45" s="47">
        <v>37747</v>
      </c>
      <c r="F45" s="53">
        <v>38.558560499999999</v>
      </c>
      <c r="G45" s="5">
        <v>9.7696970000000008E-3</v>
      </c>
    </row>
    <row r="46" spans="1:7" ht="25.5" x14ac:dyDescent="0.2">
      <c r="A46" s="6">
        <v>40</v>
      </c>
      <c r="B46" s="7" t="s">
        <v>215</v>
      </c>
      <c r="C46" s="11" t="s">
        <v>216</v>
      </c>
      <c r="D46" s="2" t="s">
        <v>13</v>
      </c>
      <c r="E46" s="47">
        <v>66460</v>
      </c>
      <c r="F46" s="53">
        <v>38.413879999999999</v>
      </c>
      <c r="G46" s="5">
        <v>9.7330390000000006E-3</v>
      </c>
    </row>
    <row r="47" spans="1:7" ht="25.5" x14ac:dyDescent="0.2">
      <c r="A47" s="6">
        <v>41</v>
      </c>
      <c r="B47" s="7" t="s">
        <v>217</v>
      </c>
      <c r="C47" s="11" t="s">
        <v>218</v>
      </c>
      <c r="D47" s="2" t="s">
        <v>27</v>
      </c>
      <c r="E47" s="47">
        <v>29411</v>
      </c>
      <c r="F47" s="53">
        <v>35.822597999999999</v>
      </c>
      <c r="G47" s="5">
        <v>9.0764780000000007E-3</v>
      </c>
    </row>
    <row r="48" spans="1:7" ht="12.75" x14ac:dyDescent="0.2">
      <c r="A48" s="6">
        <v>42</v>
      </c>
      <c r="B48" s="7" t="s">
        <v>219</v>
      </c>
      <c r="C48" s="11" t="s">
        <v>220</v>
      </c>
      <c r="D48" s="2" t="s">
        <v>72</v>
      </c>
      <c r="E48" s="47">
        <v>17940</v>
      </c>
      <c r="F48" s="53">
        <v>33.852780000000003</v>
      </c>
      <c r="G48" s="5">
        <v>8.5773800000000008E-3</v>
      </c>
    </row>
    <row r="49" spans="1:7" ht="12.75" x14ac:dyDescent="0.2">
      <c r="A49" s="6">
        <v>43</v>
      </c>
      <c r="B49" s="7" t="s">
        <v>68</v>
      </c>
      <c r="C49" s="11" t="s">
        <v>69</v>
      </c>
      <c r="D49" s="2" t="s">
        <v>50</v>
      </c>
      <c r="E49" s="47">
        <v>15807</v>
      </c>
      <c r="F49" s="53">
        <v>33.668909999999997</v>
      </c>
      <c r="G49" s="5">
        <v>8.5307920000000006E-3</v>
      </c>
    </row>
    <row r="50" spans="1:7" ht="12.75" x14ac:dyDescent="0.2">
      <c r="A50" s="6">
        <v>44</v>
      </c>
      <c r="B50" s="7" t="s">
        <v>221</v>
      </c>
      <c r="C50" s="11" t="s">
        <v>222</v>
      </c>
      <c r="D50" s="2" t="s">
        <v>223</v>
      </c>
      <c r="E50" s="47">
        <v>6936</v>
      </c>
      <c r="F50" s="53">
        <v>31.468631999999999</v>
      </c>
      <c r="G50" s="5">
        <v>7.9733010000000003E-3</v>
      </c>
    </row>
    <row r="51" spans="1:7" ht="12.75" x14ac:dyDescent="0.2">
      <c r="A51" s="6">
        <v>45</v>
      </c>
      <c r="B51" s="7" t="s">
        <v>224</v>
      </c>
      <c r="C51" s="11" t="s">
        <v>225</v>
      </c>
      <c r="D51" s="2" t="s">
        <v>226</v>
      </c>
      <c r="E51" s="47">
        <v>26360</v>
      </c>
      <c r="F51" s="53">
        <v>29.589099999999998</v>
      </c>
      <c r="G51" s="5">
        <v>7.4970779999999999E-3</v>
      </c>
    </row>
    <row r="52" spans="1:7" ht="12.75" x14ac:dyDescent="0.2">
      <c r="A52" s="6">
        <v>46</v>
      </c>
      <c r="B52" s="7" t="s">
        <v>227</v>
      </c>
      <c r="C52" s="11" t="s">
        <v>228</v>
      </c>
      <c r="D52" s="2" t="s">
        <v>158</v>
      </c>
      <c r="E52" s="47">
        <v>17391</v>
      </c>
      <c r="F52" s="53">
        <v>29.277748500000001</v>
      </c>
      <c r="G52" s="5">
        <v>7.4181899999999999E-3</v>
      </c>
    </row>
    <row r="53" spans="1:7" ht="12.75" x14ac:dyDescent="0.2">
      <c r="A53" s="6">
        <v>47</v>
      </c>
      <c r="B53" s="7" t="s">
        <v>229</v>
      </c>
      <c r="C53" s="11" t="s">
        <v>230</v>
      </c>
      <c r="D53" s="2" t="s">
        <v>50</v>
      </c>
      <c r="E53" s="47">
        <v>10900</v>
      </c>
      <c r="F53" s="53">
        <v>26.0183</v>
      </c>
      <c r="G53" s="5">
        <v>6.592334E-3</v>
      </c>
    </row>
    <row r="54" spans="1:7" ht="25.5" x14ac:dyDescent="0.2">
      <c r="A54" s="6">
        <v>48</v>
      </c>
      <c r="B54" s="7" t="s">
        <v>231</v>
      </c>
      <c r="C54" s="11" t="s">
        <v>232</v>
      </c>
      <c r="D54" s="2" t="s">
        <v>47</v>
      </c>
      <c r="E54" s="47">
        <v>10263</v>
      </c>
      <c r="F54" s="53">
        <v>25.883285999999998</v>
      </c>
      <c r="G54" s="5">
        <v>6.5581249999999997E-3</v>
      </c>
    </row>
    <row r="55" spans="1:7" ht="12.75" x14ac:dyDescent="0.2">
      <c r="A55" s="6">
        <v>49</v>
      </c>
      <c r="B55" s="7" t="s">
        <v>233</v>
      </c>
      <c r="C55" s="11" t="s">
        <v>234</v>
      </c>
      <c r="D55" s="2" t="s">
        <v>192</v>
      </c>
      <c r="E55" s="47">
        <v>11480</v>
      </c>
      <c r="F55" s="53">
        <v>20.807500000000001</v>
      </c>
      <c r="G55" s="5">
        <v>5.2720579999999996E-3</v>
      </c>
    </row>
    <row r="56" spans="1:7" ht="12.75" x14ac:dyDescent="0.2">
      <c r="A56" s="6">
        <v>50</v>
      </c>
      <c r="B56" s="7" t="s">
        <v>235</v>
      </c>
      <c r="C56" s="11" t="s">
        <v>236</v>
      </c>
      <c r="D56" s="2" t="s">
        <v>237</v>
      </c>
      <c r="E56" s="47">
        <v>1800</v>
      </c>
      <c r="F56" s="53">
        <v>19.759499999999999</v>
      </c>
      <c r="G56" s="5">
        <v>5.0065229999999997E-3</v>
      </c>
    </row>
    <row r="57" spans="1:7" ht="12.75" x14ac:dyDescent="0.2">
      <c r="A57" s="6">
        <v>51</v>
      </c>
      <c r="B57" s="7" t="s">
        <v>238</v>
      </c>
      <c r="C57" s="11" t="s">
        <v>239</v>
      </c>
      <c r="D57" s="2" t="s">
        <v>72</v>
      </c>
      <c r="E57" s="47">
        <v>33961</v>
      </c>
      <c r="F57" s="53">
        <v>18.1861155</v>
      </c>
      <c r="G57" s="5">
        <v>4.60787E-3</v>
      </c>
    </row>
    <row r="58" spans="1:7" ht="25.5" x14ac:dyDescent="0.2">
      <c r="A58" s="6">
        <v>52</v>
      </c>
      <c r="B58" s="7" t="s">
        <v>97</v>
      </c>
      <c r="C58" s="11" t="s">
        <v>98</v>
      </c>
      <c r="D58" s="2" t="s">
        <v>99</v>
      </c>
      <c r="E58" s="47">
        <v>9068</v>
      </c>
      <c r="F58" s="53">
        <v>17.868493999999998</v>
      </c>
      <c r="G58" s="5">
        <v>4.5273939999999997E-3</v>
      </c>
    </row>
    <row r="59" spans="1:7" ht="12.75" x14ac:dyDescent="0.2">
      <c r="A59" s="6">
        <v>53</v>
      </c>
      <c r="B59" s="7" t="s">
        <v>100</v>
      </c>
      <c r="C59" s="11" t="s">
        <v>101</v>
      </c>
      <c r="D59" s="2" t="s">
        <v>50</v>
      </c>
      <c r="E59" s="47">
        <v>13763</v>
      </c>
      <c r="F59" s="53">
        <v>13.1367835</v>
      </c>
      <c r="G59" s="5">
        <v>3.3285060000000002E-3</v>
      </c>
    </row>
    <row r="60" spans="1:7" ht="12.75" x14ac:dyDescent="0.2">
      <c r="A60" s="6">
        <v>54</v>
      </c>
      <c r="B60" s="7" t="s">
        <v>240</v>
      </c>
      <c r="C60" s="11" t="s">
        <v>241</v>
      </c>
      <c r="D60" s="2" t="s">
        <v>242</v>
      </c>
      <c r="E60" s="47">
        <v>2754</v>
      </c>
      <c r="F60" s="53">
        <v>11.201895</v>
      </c>
      <c r="G60" s="5">
        <v>2.8382580000000002E-3</v>
      </c>
    </row>
    <row r="61" spans="1:7" ht="25.5" x14ac:dyDescent="0.2">
      <c r="A61" s="6">
        <v>55</v>
      </c>
      <c r="B61" s="7" t="s">
        <v>243</v>
      </c>
      <c r="C61" s="11" t="s">
        <v>244</v>
      </c>
      <c r="D61" s="2" t="s">
        <v>163</v>
      </c>
      <c r="E61" s="47">
        <v>11561</v>
      </c>
      <c r="F61" s="53">
        <v>7.0464295000000003</v>
      </c>
      <c r="G61" s="5">
        <v>1.7853750000000001E-3</v>
      </c>
    </row>
    <row r="62" spans="1:7" ht="25.5" x14ac:dyDescent="0.2">
      <c r="A62" s="6">
        <v>56</v>
      </c>
      <c r="B62" s="7" t="s">
        <v>245</v>
      </c>
      <c r="C62" s="11" t="s">
        <v>246</v>
      </c>
      <c r="D62" s="2" t="s">
        <v>30</v>
      </c>
      <c r="E62" s="47">
        <v>54670</v>
      </c>
      <c r="F62" s="53">
        <v>3.8269000000000002</v>
      </c>
      <c r="G62" s="5">
        <v>9.6963300000000002E-4</v>
      </c>
    </row>
    <row r="63" spans="1:7" ht="51" x14ac:dyDescent="0.2">
      <c r="A63" s="6">
        <v>57</v>
      </c>
      <c r="B63" s="7" t="s">
        <v>247</v>
      </c>
      <c r="C63" s="11" t="s">
        <v>248</v>
      </c>
      <c r="D63" s="2" t="s">
        <v>208</v>
      </c>
      <c r="E63" s="47">
        <v>192</v>
      </c>
      <c r="F63" s="53">
        <v>0.41539199999999998</v>
      </c>
      <c r="G63" s="5">
        <v>1.0524899999999999E-4</v>
      </c>
    </row>
    <row r="64" spans="1:7" ht="12.75" x14ac:dyDescent="0.2">
      <c r="A64" s="1"/>
      <c r="B64" s="2"/>
      <c r="C64" s="8" t="s">
        <v>108</v>
      </c>
      <c r="D64" s="12"/>
      <c r="E64" s="49"/>
      <c r="F64" s="55">
        <v>3848.4013195000007</v>
      </c>
      <c r="G64" s="13">
        <v>0.9750809039999998</v>
      </c>
    </row>
    <row r="65" spans="1:7" ht="12.75" x14ac:dyDescent="0.2">
      <c r="A65" s="6"/>
      <c r="B65" s="7"/>
      <c r="C65" s="14"/>
      <c r="D65" s="15"/>
      <c r="E65" s="47"/>
      <c r="F65" s="53"/>
      <c r="G65" s="5"/>
    </row>
    <row r="66" spans="1:7" ht="12.75" x14ac:dyDescent="0.2">
      <c r="A66" s="1"/>
      <c r="B66" s="2"/>
      <c r="C66" s="8" t="s">
        <v>109</v>
      </c>
      <c r="D66" s="9"/>
      <c r="E66" s="48"/>
      <c r="F66" s="54"/>
      <c r="G66" s="10"/>
    </row>
    <row r="67" spans="1:7" ht="12.75" x14ac:dyDescent="0.2">
      <c r="A67" s="1"/>
      <c r="B67" s="2"/>
      <c r="C67" s="8" t="s">
        <v>108</v>
      </c>
      <c r="D67" s="12"/>
      <c r="E67" s="49"/>
      <c r="F67" s="55">
        <v>0</v>
      </c>
      <c r="G67" s="13">
        <v>0</v>
      </c>
    </row>
    <row r="68" spans="1:7" ht="12.75" x14ac:dyDescent="0.2">
      <c r="A68" s="6"/>
      <c r="B68" s="7"/>
      <c r="C68" s="14"/>
      <c r="D68" s="15"/>
      <c r="E68" s="47"/>
      <c r="F68" s="53"/>
      <c r="G68" s="5"/>
    </row>
    <row r="69" spans="1:7" ht="12.75" x14ac:dyDescent="0.2">
      <c r="A69" s="16"/>
      <c r="B69" s="17"/>
      <c r="C69" s="8" t="s">
        <v>110</v>
      </c>
      <c r="D69" s="9"/>
      <c r="E69" s="48"/>
      <c r="F69" s="54"/>
      <c r="G69" s="10"/>
    </row>
    <row r="70" spans="1:7" ht="12.75" x14ac:dyDescent="0.2">
      <c r="A70" s="18"/>
      <c r="B70" s="19"/>
      <c r="C70" s="8" t="s">
        <v>108</v>
      </c>
      <c r="D70" s="20"/>
      <c r="E70" s="50"/>
      <c r="F70" s="56">
        <v>0</v>
      </c>
      <c r="G70" s="21">
        <v>0</v>
      </c>
    </row>
    <row r="71" spans="1:7" ht="12.75" x14ac:dyDescent="0.2">
      <c r="A71" s="18"/>
      <c r="B71" s="19"/>
      <c r="C71" s="14"/>
      <c r="D71" s="22"/>
      <c r="E71" s="51"/>
      <c r="F71" s="57"/>
      <c r="G71" s="23"/>
    </row>
    <row r="72" spans="1:7" ht="12.75" x14ac:dyDescent="0.2">
      <c r="A72" s="1"/>
      <c r="B72" s="2"/>
      <c r="C72" s="8" t="s">
        <v>113</v>
      </c>
      <c r="D72" s="9"/>
      <c r="E72" s="48"/>
      <c r="F72" s="54"/>
      <c r="G72" s="10"/>
    </row>
    <row r="73" spans="1:7" ht="12.75" x14ac:dyDescent="0.2">
      <c r="A73" s="1"/>
      <c r="B73" s="2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1"/>
      <c r="B74" s="2"/>
      <c r="C74" s="14"/>
      <c r="D74" s="4"/>
      <c r="E74" s="47"/>
      <c r="F74" s="53"/>
      <c r="G74" s="5"/>
    </row>
    <row r="75" spans="1:7" ht="12.75" x14ac:dyDescent="0.2">
      <c r="A75" s="1"/>
      <c r="B75" s="2"/>
      <c r="C75" s="8" t="s">
        <v>114</v>
      </c>
      <c r="D75" s="9"/>
      <c r="E75" s="48"/>
      <c r="F75" s="54"/>
      <c r="G75" s="10"/>
    </row>
    <row r="76" spans="1:7" ht="12.75" x14ac:dyDescent="0.2">
      <c r="A76" s="1"/>
      <c r="B76" s="2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1"/>
      <c r="B77" s="2"/>
      <c r="C77" s="14"/>
      <c r="D77" s="4"/>
      <c r="E77" s="47"/>
      <c r="F77" s="53"/>
      <c r="G77" s="5"/>
    </row>
    <row r="78" spans="1:7" ht="12.75" x14ac:dyDescent="0.2">
      <c r="A78" s="1"/>
      <c r="B78" s="2"/>
      <c r="C78" s="8" t="s">
        <v>115</v>
      </c>
      <c r="D78" s="9"/>
      <c r="E78" s="48"/>
      <c r="F78" s="54"/>
      <c r="G78" s="10"/>
    </row>
    <row r="79" spans="1:7" ht="12.75" x14ac:dyDescent="0.2">
      <c r="A79" s="1"/>
      <c r="B79" s="2"/>
      <c r="C79" s="8" t="s">
        <v>108</v>
      </c>
      <c r="D79" s="12"/>
      <c r="E79" s="49"/>
      <c r="F79" s="55">
        <v>0</v>
      </c>
      <c r="G79" s="13">
        <v>0</v>
      </c>
    </row>
    <row r="80" spans="1:7" ht="12.75" x14ac:dyDescent="0.2">
      <c r="A80" s="1"/>
      <c r="B80" s="2"/>
      <c r="C80" s="14"/>
      <c r="D80" s="4"/>
      <c r="E80" s="47"/>
      <c r="F80" s="53"/>
      <c r="G80" s="5"/>
    </row>
    <row r="81" spans="1:7" ht="25.5" x14ac:dyDescent="0.2">
      <c r="A81" s="6"/>
      <c r="B81" s="7"/>
      <c r="C81" s="24" t="s">
        <v>116</v>
      </c>
      <c r="D81" s="25"/>
      <c r="E81" s="49"/>
      <c r="F81" s="55">
        <v>3848.4013195000007</v>
      </c>
      <c r="G81" s="13">
        <v>0.9750809039999998</v>
      </c>
    </row>
    <row r="82" spans="1:7" ht="12.75" x14ac:dyDescent="0.2">
      <c r="A82" s="1"/>
      <c r="B82" s="2"/>
      <c r="C82" s="11"/>
      <c r="D82" s="4"/>
      <c r="E82" s="47"/>
      <c r="F82" s="53"/>
      <c r="G82" s="5"/>
    </row>
    <row r="83" spans="1:7" ht="12.75" x14ac:dyDescent="0.2">
      <c r="A83" s="1"/>
      <c r="B83" s="2"/>
      <c r="C83" s="3" t="s">
        <v>117</v>
      </c>
      <c r="D83" s="4"/>
      <c r="E83" s="47"/>
      <c r="F83" s="53"/>
      <c r="G83" s="5"/>
    </row>
    <row r="84" spans="1:7" ht="25.5" x14ac:dyDescent="0.2">
      <c r="A84" s="1"/>
      <c r="B84" s="2"/>
      <c r="C84" s="8" t="s">
        <v>10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12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4"/>
      <c r="E86" s="47"/>
      <c r="F86" s="53"/>
      <c r="G86" s="5"/>
    </row>
    <row r="87" spans="1:7" ht="12.75" x14ac:dyDescent="0.2">
      <c r="A87" s="1"/>
      <c r="B87" s="26"/>
      <c r="C87" s="8" t="s">
        <v>118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12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4"/>
      <c r="E89" s="47"/>
      <c r="F89" s="59"/>
      <c r="G89" s="28"/>
    </row>
    <row r="90" spans="1:7" ht="12.75" x14ac:dyDescent="0.2">
      <c r="A90" s="1"/>
      <c r="B90" s="2"/>
      <c r="C90" s="8" t="s">
        <v>119</v>
      </c>
      <c r="D90" s="9"/>
      <c r="E90" s="48"/>
      <c r="F90" s="54"/>
      <c r="G90" s="10"/>
    </row>
    <row r="91" spans="1:7" ht="12.75" x14ac:dyDescent="0.2">
      <c r="A91" s="6"/>
      <c r="B91" s="7"/>
      <c r="C91" s="8" t="s">
        <v>108</v>
      </c>
      <c r="D91" s="12"/>
      <c r="E91" s="49"/>
      <c r="F91" s="55">
        <v>0</v>
      </c>
      <c r="G91" s="13">
        <v>0</v>
      </c>
    </row>
    <row r="92" spans="1:7" ht="12.75" x14ac:dyDescent="0.2">
      <c r="A92" s="1"/>
      <c r="B92" s="2"/>
      <c r="C92" s="14"/>
      <c r="D92" s="4"/>
      <c r="E92" s="47"/>
      <c r="F92" s="53"/>
      <c r="G92" s="5"/>
    </row>
    <row r="93" spans="1:7" ht="25.5" x14ac:dyDescent="0.2">
      <c r="A93" s="1"/>
      <c r="B93" s="26"/>
      <c r="C93" s="8" t="s">
        <v>120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7" ht="12.75" x14ac:dyDescent="0.2">
      <c r="A95" s="6"/>
      <c r="B95" s="7"/>
      <c r="C95" s="14"/>
      <c r="D95" s="4"/>
      <c r="E95" s="47"/>
      <c r="F95" s="53"/>
      <c r="G95" s="5"/>
    </row>
    <row r="96" spans="1:7" ht="12.75" x14ac:dyDescent="0.2">
      <c r="A96" s="6"/>
      <c r="B96" s="7"/>
      <c r="C96" s="29" t="s">
        <v>121</v>
      </c>
      <c r="D96" s="25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1"/>
      <c r="D97" s="4"/>
      <c r="E97" s="47"/>
      <c r="F97" s="53"/>
      <c r="G97" s="5"/>
    </row>
    <row r="98" spans="1:7" ht="12.75" x14ac:dyDescent="0.2">
      <c r="A98" s="1"/>
      <c r="B98" s="2"/>
      <c r="C98" s="3" t="s">
        <v>122</v>
      </c>
      <c r="D98" s="4"/>
      <c r="E98" s="47"/>
      <c r="F98" s="53"/>
      <c r="G98" s="5"/>
    </row>
    <row r="99" spans="1:7" ht="12.75" x14ac:dyDescent="0.2">
      <c r="A99" s="6"/>
      <c r="B99" s="7"/>
      <c r="C99" s="8" t="s">
        <v>123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25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4"/>
      <c r="D101" s="7"/>
      <c r="E101" s="47"/>
      <c r="F101" s="53"/>
      <c r="G101" s="5"/>
    </row>
    <row r="102" spans="1:7" ht="12.75" x14ac:dyDescent="0.2">
      <c r="A102" s="6"/>
      <c r="B102" s="7"/>
      <c r="C102" s="8" t="s">
        <v>124</v>
      </c>
      <c r="D102" s="9"/>
      <c r="E102" s="48"/>
      <c r="F102" s="54"/>
      <c r="G102" s="10"/>
    </row>
    <row r="103" spans="1:7" ht="12.75" x14ac:dyDescent="0.2">
      <c r="A103" s="6"/>
      <c r="B103" s="7"/>
      <c r="C103" s="8" t="s">
        <v>108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4"/>
      <c r="D104" s="7"/>
      <c r="E104" s="47"/>
      <c r="F104" s="53"/>
      <c r="G104" s="5"/>
    </row>
    <row r="105" spans="1:7" ht="12.75" x14ac:dyDescent="0.2">
      <c r="A105" s="6"/>
      <c r="B105" s="7"/>
      <c r="C105" s="8" t="s">
        <v>125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12.75" x14ac:dyDescent="0.2">
      <c r="A108" s="6"/>
      <c r="B108" s="7"/>
      <c r="C108" s="8" t="s">
        <v>126</v>
      </c>
      <c r="D108" s="9"/>
      <c r="E108" s="48"/>
      <c r="F108" s="54"/>
      <c r="G108" s="10"/>
    </row>
    <row r="109" spans="1:7" ht="12.75" x14ac:dyDescent="0.2">
      <c r="A109" s="6">
        <v>1</v>
      </c>
      <c r="B109" s="7"/>
      <c r="C109" s="11" t="s">
        <v>812</v>
      </c>
      <c r="D109" s="15"/>
      <c r="E109" s="47"/>
      <c r="F109" s="53">
        <v>90.988034400000004</v>
      </c>
      <c r="G109" s="5">
        <v>2.3053909000000001E-2</v>
      </c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90.988034400000004</v>
      </c>
      <c r="G110" s="13">
        <v>2.3053909000000001E-2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25.5" x14ac:dyDescent="0.2">
      <c r="A112" s="6"/>
      <c r="B112" s="7"/>
      <c r="C112" s="24" t="s">
        <v>127</v>
      </c>
      <c r="D112" s="25"/>
      <c r="E112" s="49"/>
      <c r="F112" s="55">
        <v>90.988034400000004</v>
      </c>
      <c r="G112" s="13">
        <v>2.3053909000000001E-2</v>
      </c>
    </row>
    <row r="113" spans="1:7" ht="12.75" x14ac:dyDescent="0.2">
      <c r="A113" s="6"/>
      <c r="B113" s="7"/>
      <c r="C113" s="30"/>
      <c r="D113" s="7"/>
      <c r="E113" s="47"/>
      <c r="F113" s="53"/>
      <c r="G113" s="5"/>
    </row>
    <row r="114" spans="1:7" ht="12.75" x14ac:dyDescent="0.2">
      <c r="A114" s="1"/>
      <c r="B114" s="2"/>
      <c r="C114" s="3" t="s">
        <v>128</v>
      </c>
      <c r="D114" s="4"/>
      <c r="E114" s="47"/>
      <c r="F114" s="53"/>
      <c r="G114" s="5"/>
    </row>
    <row r="115" spans="1:7" ht="25.5" x14ac:dyDescent="0.2">
      <c r="A115" s="6"/>
      <c r="B115" s="7"/>
      <c r="C115" s="8" t="s">
        <v>129</v>
      </c>
      <c r="D115" s="9"/>
      <c r="E115" s="48"/>
      <c r="F115" s="54"/>
      <c r="G115" s="10"/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0</v>
      </c>
      <c r="G116" s="13">
        <v>0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12.75" x14ac:dyDescent="0.2">
      <c r="A118" s="1"/>
      <c r="B118" s="2"/>
      <c r="C118" s="3" t="s">
        <v>131</v>
      </c>
      <c r="D118" s="4"/>
      <c r="E118" s="47"/>
      <c r="F118" s="53"/>
      <c r="G118" s="5"/>
    </row>
    <row r="119" spans="1:7" ht="25.5" x14ac:dyDescent="0.2">
      <c r="A119" s="6"/>
      <c r="B119" s="7"/>
      <c r="C119" s="8" t="s">
        <v>132</v>
      </c>
      <c r="D119" s="9"/>
      <c r="E119" s="48"/>
      <c r="F119" s="54"/>
      <c r="G119" s="10"/>
    </row>
    <row r="120" spans="1:7" ht="12.75" x14ac:dyDescent="0.2">
      <c r="A120" s="6"/>
      <c r="B120" s="7"/>
      <c r="C120" s="8" t="s">
        <v>108</v>
      </c>
      <c r="D120" s="25"/>
      <c r="E120" s="49"/>
      <c r="F120" s="55">
        <v>0</v>
      </c>
      <c r="G120" s="13">
        <v>0</v>
      </c>
    </row>
    <row r="121" spans="1:7" ht="12.75" x14ac:dyDescent="0.2">
      <c r="A121" s="6"/>
      <c r="B121" s="7"/>
      <c r="C121" s="14"/>
      <c r="D121" s="7"/>
      <c r="E121" s="47"/>
      <c r="F121" s="53"/>
      <c r="G121" s="5"/>
    </row>
    <row r="122" spans="1:7" ht="25.5" x14ac:dyDescent="0.2">
      <c r="A122" s="6"/>
      <c r="B122" s="7"/>
      <c r="C122" s="8" t="s">
        <v>133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9"/>
      <c r="G124" s="28"/>
    </row>
    <row r="125" spans="1:7" ht="25.5" x14ac:dyDescent="0.2">
      <c r="A125" s="6"/>
      <c r="B125" s="7"/>
      <c r="C125" s="30" t="s">
        <v>134</v>
      </c>
      <c r="D125" s="7"/>
      <c r="E125" s="47"/>
      <c r="F125" s="59">
        <v>7.3614217799999997</v>
      </c>
      <c r="G125" s="28">
        <v>1.8651850000000001E-3</v>
      </c>
    </row>
    <row r="126" spans="1:7" ht="12.75" x14ac:dyDescent="0.2">
      <c r="A126" s="6"/>
      <c r="B126" s="7"/>
      <c r="C126" s="31" t="s">
        <v>135</v>
      </c>
      <c r="D126" s="12"/>
      <c r="E126" s="49"/>
      <c r="F126" s="55">
        <v>3946.7507756800001</v>
      </c>
      <c r="G126" s="13">
        <v>0.99999999799999983</v>
      </c>
    </row>
    <row r="128" spans="1:7" ht="12.75" x14ac:dyDescent="0.2">
      <c r="B128" s="179"/>
      <c r="C128" s="179"/>
      <c r="D128" s="179"/>
      <c r="E128" s="179"/>
      <c r="F128" s="179"/>
    </row>
    <row r="129" spans="2:6" ht="12.75" x14ac:dyDescent="0.2">
      <c r="B129" s="179"/>
      <c r="C129" s="179"/>
      <c r="D129" s="179"/>
      <c r="E129" s="179"/>
      <c r="F129" s="179"/>
    </row>
    <row r="131" spans="2:6" ht="12.75" x14ac:dyDescent="0.2">
      <c r="B131" s="37" t="s">
        <v>137</v>
      </c>
      <c r="C131" s="38"/>
      <c r="D131" s="39"/>
    </row>
    <row r="132" spans="2:6" ht="12.75" x14ac:dyDescent="0.2">
      <c r="B132" s="40" t="s">
        <v>808</v>
      </c>
      <c r="C132" s="41"/>
      <c r="D132" s="65" t="s">
        <v>138</v>
      </c>
    </row>
    <row r="133" spans="2:6" ht="12.75" x14ac:dyDescent="0.2">
      <c r="B133" s="40" t="s">
        <v>139</v>
      </c>
      <c r="C133" s="41"/>
      <c r="D133" s="65" t="s">
        <v>138</v>
      </c>
    </row>
    <row r="134" spans="2:6" ht="12.75" x14ac:dyDescent="0.2">
      <c r="B134" s="42" t="s">
        <v>140</v>
      </c>
      <c r="C134" s="41"/>
      <c r="D134" s="43"/>
    </row>
    <row r="135" spans="2:6" ht="25.5" customHeight="1" x14ac:dyDescent="0.2">
      <c r="B135" s="43"/>
      <c r="C135" s="33" t="s">
        <v>141</v>
      </c>
      <c r="D135" s="34" t="s">
        <v>142</v>
      </c>
    </row>
    <row r="136" spans="2:6" ht="12.75" customHeight="1" x14ac:dyDescent="0.2">
      <c r="B136" s="60" t="s">
        <v>143</v>
      </c>
      <c r="C136" s="61" t="s">
        <v>144</v>
      </c>
      <c r="D136" s="61" t="s">
        <v>145</v>
      </c>
    </row>
    <row r="137" spans="2:6" ht="12.75" x14ac:dyDescent="0.2">
      <c r="B137" s="43" t="s">
        <v>146</v>
      </c>
      <c r="C137" s="44">
        <v>12.561199999999999</v>
      </c>
      <c r="D137" s="44">
        <v>12.853300000000001</v>
      </c>
    </row>
    <row r="138" spans="2:6" ht="12.75" x14ac:dyDescent="0.2">
      <c r="B138" s="43" t="s">
        <v>147</v>
      </c>
      <c r="C138" s="44">
        <v>9.9605999999999995</v>
      </c>
      <c r="D138" s="44">
        <v>10.1922</v>
      </c>
    </row>
    <row r="139" spans="2:6" ht="12.75" x14ac:dyDescent="0.2">
      <c r="B139" s="43" t="s">
        <v>148</v>
      </c>
      <c r="C139" s="44">
        <v>12.193</v>
      </c>
      <c r="D139" s="44">
        <v>12.4739</v>
      </c>
    </row>
    <row r="140" spans="2:6" ht="12.75" x14ac:dyDescent="0.2">
      <c r="B140" s="43" t="s">
        <v>149</v>
      </c>
      <c r="C140" s="44">
        <v>9.6446000000000005</v>
      </c>
      <c r="D140" s="44">
        <v>9.8666999999999998</v>
      </c>
    </row>
    <row r="142" spans="2:6" ht="12.75" x14ac:dyDescent="0.2">
      <c r="B142" s="62" t="s">
        <v>150</v>
      </c>
      <c r="C142" s="45"/>
      <c r="D142" s="63" t="s">
        <v>138</v>
      </c>
    </row>
    <row r="143" spans="2:6" ht="24.75" customHeight="1" x14ac:dyDescent="0.2">
      <c r="B143" s="64"/>
      <c r="C143" s="64"/>
    </row>
    <row r="144" spans="2:6" ht="15" x14ac:dyDescent="0.25">
      <c r="B144" s="66"/>
      <c r="C144" s="68"/>
      <c r="D144"/>
    </row>
    <row r="146" spans="2:4" ht="12.75" x14ac:dyDescent="0.2">
      <c r="B146" s="42" t="s">
        <v>151</v>
      </c>
      <c r="C146" s="41"/>
      <c r="D146" s="67" t="s">
        <v>138</v>
      </c>
    </row>
    <row r="147" spans="2:4" ht="12.75" x14ac:dyDescent="0.2">
      <c r="B147" s="42" t="s">
        <v>152</v>
      </c>
      <c r="C147" s="41"/>
      <c r="D147" s="67" t="s">
        <v>138</v>
      </c>
    </row>
    <row r="148" spans="2:4" ht="12.75" x14ac:dyDescent="0.2">
      <c r="B148" s="42" t="s">
        <v>153</v>
      </c>
      <c r="C148" s="41"/>
      <c r="D148" s="46">
        <v>0.11895673128668752</v>
      </c>
    </row>
    <row r="149" spans="2:4" ht="12.75" x14ac:dyDescent="0.2">
      <c r="B149" s="42" t="s">
        <v>154</v>
      </c>
      <c r="C149" s="41"/>
      <c r="D149" s="46" t="s">
        <v>138</v>
      </c>
    </row>
  </sheetData>
  <mergeCells count="5">
    <mergeCell ref="A1:G1"/>
    <mergeCell ref="A2:G2"/>
    <mergeCell ref="A3:G3"/>
    <mergeCell ref="B128:F128"/>
    <mergeCell ref="B129:F1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6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249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48066</v>
      </c>
      <c r="F7" s="53">
        <v>431.39235000000002</v>
      </c>
      <c r="G7" s="5">
        <v>4.9461024999999999E-2</v>
      </c>
    </row>
    <row r="8" spans="1:7" ht="25.5" x14ac:dyDescent="0.2">
      <c r="A8" s="6">
        <v>2</v>
      </c>
      <c r="B8" s="7" t="s">
        <v>23</v>
      </c>
      <c r="C8" s="11" t="s">
        <v>24</v>
      </c>
      <c r="D8" s="2" t="s">
        <v>22</v>
      </c>
      <c r="E8" s="47">
        <v>61310</v>
      </c>
      <c r="F8" s="53">
        <v>368.68768499999999</v>
      </c>
      <c r="G8" s="5">
        <v>4.2271660000000003E-2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188666</v>
      </c>
      <c r="F9" s="53">
        <v>352.99408599999998</v>
      </c>
      <c r="G9" s="5">
        <v>4.0472319999999999E-2</v>
      </c>
    </row>
    <row r="10" spans="1:7" ht="25.5" x14ac:dyDescent="0.2">
      <c r="A10" s="6">
        <v>4</v>
      </c>
      <c r="B10" s="7" t="s">
        <v>161</v>
      </c>
      <c r="C10" s="11" t="s">
        <v>162</v>
      </c>
      <c r="D10" s="2" t="s">
        <v>163</v>
      </c>
      <c r="E10" s="47">
        <v>82101</v>
      </c>
      <c r="F10" s="53">
        <v>299.422347</v>
      </c>
      <c r="G10" s="5">
        <v>3.4330085000000003E-2</v>
      </c>
    </row>
    <row r="11" spans="1:7" ht="25.5" x14ac:dyDescent="0.2">
      <c r="A11" s="6">
        <v>5</v>
      </c>
      <c r="B11" s="7" t="s">
        <v>55</v>
      </c>
      <c r="C11" s="11" t="s">
        <v>56</v>
      </c>
      <c r="D11" s="2" t="s">
        <v>22</v>
      </c>
      <c r="E11" s="47">
        <v>50612</v>
      </c>
      <c r="F11" s="53">
        <v>298.83855399999999</v>
      </c>
      <c r="G11" s="5">
        <v>3.4263150999999999E-2</v>
      </c>
    </row>
    <row r="12" spans="1:7" ht="25.5" x14ac:dyDescent="0.2">
      <c r="A12" s="6">
        <v>6</v>
      </c>
      <c r="B12" s="7" t="s">
        <v>38</v>
      </c>
      <c r="C12" s="11" t="s">
        <v>39</v>
      </c>
      <c r="D12" s="2" t="s">
        <v>40</v>
      </c>
      <c r="E12" s="47">
        <v>68617</v>
      </c>
      <c r="F12" s="53">
        <v>296.01373799999999</v>
      </c>
      <c r="G12" s="5">
        <v>3.3939272999999999E-2</v>
      </c>
    </row>
    <row r="13" spans="1:7" ht="12.75" x14ac:dyDescent="0.2">
      <c r="A13" s="6">
        <v>7</v>
      </c>
      <c r="B13" s="7" t="s">
        <v>51</v>
      </c>
      <c r="C13" s="11" t="s">
        <v>52</v>
      </c>
      <c r="D13" s="2" t="s">
        <v>19</v>
      </c>
      <c r="E13" s="47">
        <v>26041</v>
      </c>
      <c r="F13" s="53">
        <v>290.89099049999999</v>
      </c>
      <c r="G13" s="5">
        <v>3.3351928000000003E-2</v>
      </c>
    </row>
    <row r="14" spans="1:7" ht="25.5" x14ac:dyDescent="0.2">
      <c r="A14" s="6">
        <v>8</v>
      </c>
      <c r="B14" s="7" t="s">
        <v>102</v>
      </c>
      <c r="C14" s="11" t="s">
        <v>103</v>
      </c>
      <c r="D14" s="2" t="s">
        <v>13</v>
      </c>
      <c r="E14" s="47">
        <v>221681</v>
      </c>
      <c r="F14" s="53">
        <v>228.10974899999999</v>
      </c>
      <c r="G14" s="5">
        <v>2.6153783E-2</v>
      </c>
    </row>
    <row r="15" spans="1:7" ht="25.5" x14ac:dyDescent="0.2">
      <c r="A15" s="6">
        <v>9</v>
      </c>
      <c r="B15" s="7" t="s">
        <v>186</v>
      </c>
      <c r="C15" s="11" t="s">
        <v>187</v>
      </c>
      <c r="D15" s="2" t="s">
        <v>183</v>
      </c>
      <c r="E15" s="47">
        <v>38949</v>
      </c>
      <c r="F15" s="53">
        <v>221.152422</v>
      </c>
      <c r="G15" s="5">
        <v>2.5356094999999999E-2</v>
      </c>
    </row>
    <row r="16" spans="1:7" ht="38.25" x14ac:dyDescent="0.2">
      <c r="A16" s="6">
        <v>10</v>
      </c>
      <c r="B16" s="7" t="s">
        <v>75</v>
      </c>
      <c r="C16" s="11" t="s">
        <v>76</v>
      </c>
      <c r="D16" s="2" t="s">
        <v>77</v>
      </c>
      <c r="E16" s="47">
        <v>263281</v>
      </c>
      <c r="F16" s="53">
        <v>207.465428</v>
      </c>
      <c r="G16" s="5">
        <v>2.3786821E-2</v>
      </c>
    </row>
    <row r="17" spans="1:7" ht="25.5" x14ac:dyDescent="0.2">
      <c r="A17" s="6">
        <v>11</v>
      </c>
      <c r="B17" s="7" t="s">
        <v>20</v>
      </c>
      <c r="C17" s="11" t="s">
        <v>21</v>
      </c>
      <c r="D17" s="2" t="s">
        <v>22</v>
      </c>
      <c r="E17" s="47">
        <v>22079</v>
      </c>
      <c r="F17" s="53">
        <v>196.72389000000001</v>
      </c>
      <c r="G17" s="5">
        <v>2.2555256999999999E-2</v>
      </c>
    </row>
    <row r="18" spans="1:7" ht="12.75" x14ac:dyDescent="0.2">
      <c r="A18" s="6">
        <v>12</v>
      </c>
      <c r="B18" s="7" t="s">
        <v>250</v>
      </c>
      <c r="C18" s="11" t="s">
        <v>251</v>
      </c>
      <c r="D18" s="2" t="s">
        <v>168</v>
      </c>
      <c r="E18" s="47">
        <v>49065</v>
      </c>
      <c r="F18" s="53">
        <v>195.47496000000001</v>
      </c>
      <c r="G18" s="5">
        <v>2.2412061E-2</v>
      </c>
    </row>
    <row r="19" spans="1:7" ht="25.5" x14ac:dyDescent="0.2">
      <c r="A19" s="6">
        <v>13</v>
      </c>
      <c r="B19" s="7" t="s">
        <v>171</v>
      </c>
      <c r="C19" s="11" t="s">
        <v>172</v>
      </c>
      <c r="D19" s="2" t="s">
        <v>22</v>
      </c>
      <c r="E19" s="47">
        <v>48050</v>
      </c>
      <c r="F19" s="53">
        <v>193.5454</v>
      </c>
      <c r="G19" s="5">
        <v>2.2190828999999999E-2</v>
      </c>
    </row>
    <row r="20" spans="1:7" ht="25.5" x14ac:dyDescent="0.2">
      <c r="A20" s="6">
        <v>14</v>
      </c>
      <c r="B20" s="7" t="s">
        <v>188</v>
      </c>
      <c r="C20" s="11" t="s">
        <v>189</v>
      </c>
      <c r="D20" s="2" t="s">
        <v>47</v>
      </c>
      <c r="E20" s="47">
        <v>8701</v>
      </c>
      <c r="F20" s="53">
        <v>184.95280650000001</v>
      </c>
      <c r="G20" s="5">
        <v>2.1205649999999999E-2</v>
      </c>
    </row>
    <row r="21" spans="1:7" ht="12.75" x14ac:dyDescent="0.2">
      <c r="A21" s="6">
        <v>15</v>
      </c>
      <c r="B21" s="7" t="s">
        <v>166</v>
      </c>
      <c r="C21" s="11" t="s">
        <v>167</v>
      </c>
      <c r="D21" s="2" t="s">
        <v>168</v>
      </c>
      <c r="E21" s="47">
        <v>71650</v>
      </c>
      <c r="F21" s="53">
        <v>182.95827499999999</v>
      </c>
      <c r="G21" s="5">
        <v>2.0976967999999999E-2</v>
      </c>
    </row>
    <row r="22" spans="1:7" ht="25.5" x14ac:dyDescent="0.2">
      <c r="A22" s="6">
        <v>16</v>
      </c>
      <c r="B22" s="7" t="s">
        <v>41</v>
      </c>
      <c r="C22" s="11" t="s">
        <v>42</v>
      </c>
      <c r="D22" s="2" t="s">
        <v>27</v>
      </c>
      <c r="E22" s="47">
        <v>156138</v>
      </c>
      <c r="F22" s="53">
        <v>179.32449299999999</v>
      </c>
      <c r="G22" s="5">
        <v>2.0560339E-2</v>
      </c>
    </row>
    <row r="23" spans="1:7" ht="25.5" x14ac:dyDescent="0.2">
      <c r="A23" s="6">
        <v>17</v>
      </c>
      <c r="B23" s="7" t="s">
        <v>181</v>
      </c>
      <c r="C23" s="11" t="s">
        <v>182</v>
      </c>
      <c r="D23" s="2" t="s">
        <v>183</v>
      </c>
      <c r="E23" s="47">
        <v>143787</v>
      </c>
      <c r="F23" s="53">
        <v>170.81895599999999</v>
      </c>
      <c r="G23" s="5">
        <v>1.9585142E-2</v>
      </c>
    </row>
    <row r="24" spans="1:7" ht="12.75" x14ac:dyDescent="0.2">
      <c r="A24" s="6">
        <v>18</v>
      </c>
      <c r="B24" s="7" t="s">
        <v>229</v>
      </c>
      <c r="C24" s="11" t="s">
        <v>230</v>
      </c>
      <c r="D24" s="2" t="s">
        <v>50</v>
      </c>
      <c r="E24" s="47">
        <v>68000</v>
      </c>
      <c r="F24" s="53">
        <v>162.316</v>
      </c>
      <c r="G24" s="5">
        <v>1.8610241E-2</v>
      </c>
    </row>
    <row r="25" spans="1:7" ht="25.5" x14ac:dyDescent="0.2">
      <c r="A25" s="6">
        <v>19</v>
      </c>
      <c r="B25" s="7" t="s">
        <v>83</v>
      </c>
      <c r="C25" s="11" t="s">
        <v>84</v>
      </c>
      <c r="D25" s="2" t="s">
        <v>22</v>
      </c>
      <c r="E25" s="47">
        <v>146397</v>
      </c>
      <c r="F25" s="53">
        <v>159.6459285</v>
      </c>
      <c r="G25" s="5">
        <v>1.8304106000000001E-2</v>
      </c>
    </row>
    <row r="26" spans="1:7" ht="51" x14ac:dyDescent="0.2">
      <c r="A26" s="6">
        <v>20</v>
      </c>
      <c r="B26" s="7" t="s">
        <v>247</v>
      </c>
      <c r="C26" s="11" t="s">
        <v>248</v>
      </c>
      <c r="D26" s="2" t="s">
        <v>208</v>
      </c>
      <c r="E26" s="47">
        <v>71211</v>
      </c>
      <c r="F26" s="53">
        <v>154.0649985</v>
      </c>
      <c r="G26" s="5">
        <v>1.7664228000000001E-2</v>
      </c>
    </row>
    <row r="27" spans="1:7" ht="25.5" x14ac:dyDescent="0.2">
      <c r="A27" s="6">
        <v>21</v>
      </c>
      <c r="B27" s="7" t="s">
        <v>213</v>
      </c>
      <c r="C27" s="11" t="s">
        <v>214</v>
      </c>
      <c r="D27" s="2" t="s">
        <v>163</v>
      </c>
      <c r="E27" s="47">
        <v>147088</v>
      </c>
      <c r="F27" s="53">
        <v>150.25039200000001</v>
      </c>
      <c r="G27" s="5">
        <v>1.7226866E-2</v>
      </c>
    </row>
    <row r="28" spans="1:7" ht="12.75" x14ac:dyDescent="0.2">
      <c r="A28" s="6">
        <v>22</v>
      </c>
      <c r="B28" s="7" t="s">
        <v>175</v>
      </c>
      <c r="C28" s="11" t="s">
        <v>176</v>
      </c>
      <c r="D28" s="2" t="s">
        <v>19</v>
      </c>
      <c r="E28" s="47">
        <v>177089</v>
      </c>
      <c r="F28" s="53">
        <v>148.4891265</v>
      </c>
      <c r="G28" s="5">
        <v>1.7024929000000001E-2</v>
      </c>
    </row>
    <row r="29" spans="1:7" ht="12.75" x14ac:dyDescent="0.2">
      <c r="A29" s="6">
        <v>23</v>
      </c>
      <c r="B29" s="7" t="s">
        <v>61</v>
      </c>
      <c r="C29" s="11" t="s">
        <v>62</v>
      </c>
      <c r="D29" s="2" t="s">
        <v>19</v>
      </c>
      <c r="E29" s="47">
        <v>143909</v>
      </c>
      <c r="F29" s="53">
        <v>138.72827599999999</v>
      </c>
      <c r="G29" s="5">
        <v>1.5905804999999999E-2</v>
      </c>
    </row>
    <row r="30" spans="1:7" ht="25.5" x14ac:dyDescent="0.2">
      <c r="A30" s="6">
        <v>24</v>
      </c>
      <c r="B30" s="7" t="s">
        <v>73</v>
      </c>
      <c r="C30" s="11" t="s">
        <v>74</v>
      </c>
      <c r="D30" s="2" t="s">
        <v>22</v>
      </c>
      <c r="E30" s="47">
        <v>20519</v>
      </c>
      <c r="F30" s="53">
        <v>134.461007</v>
      </c>
      <c r="G30" s="5">
        <v>1.5416544000000001E-2</v>
      </c>
    </row>
    <row r="31" spans="1:7" ht="12.75" x14ac:dyDescent="0.2">
      <c r="A31" s="6">
        <v>25</v>
      </c>
      <c r="B31" s="7" t="s">
        <v>184</v>
      </c>
      <c r="C31" s="11" t="s">
        <v>185</v>
      </c>
      <c r="D31" s="2" t="s">
        <v>16</v>
      </c>
      <c r="E31" s="47">
        <v>72068</v>
      </c>
      <c r="F31" s="53">
        <v>129.830502</v>
      </c>
      <c r="G31" s="5">
        <v>1.4885636000000001E-2</v>
      </c>
    </row>
    <row r="32" spans="1:7" ht="12.75" x14ac:dyDescent="0.2">
      <c r="A32" s="6">
        <v>26</v>
      </c>
      <c r="B32" s="7" t="s">
        <v>198</v>
      </c>
      <c r="C32" s="11" t="s">
        <v>199</v>
      </c>
      <c r="D32" s="2" t="s">
        <v>40</v>
      </c>
      <c r="E32" s="47">
        <v>217259</v>
      </c>
      <c r="F32" s="53">
        <v>129.70362299999999</v>
      </c>
      <c r="G32" s="5">
        <v>1.4871089000000001E-2</v>
      </c>
    </row>
    <row r="33" spans="1:7" ht="12.75" x14ac:dyDescent="0.2">
      <c r="A33" s="6">
        <v>27</v>
      </c>
      <c r="B33" s="7" t="s">
        <v>252</v>
      </c>
      <c r="C33" s="11" t="s">
        <v>253</v>
      </c>
      <c r="D33" s="2" t="s">
        <v>242</v>
      </c>
      <c r="E33" s="47">
        <v>9281</v>
      </c>
      <c r="F33" s="53">
        <v>128.7785155</v>
      </c>
      <c r="G33" s="5">
        <v>1.4765021E-2</v>
      </c>
    </row>
    <row r="34" spans="1:7" ht="12.75" x14ac:dyDescent="0.2">
      <c r="A34" s="6">
        <v>28</v>
      </c>
      <c r="B34" s="7" t="s">
        <v>190</v>
      </c>
      <c r="C34" s="11" t="s">
        <v>191</v>
      </c>
      <c r="D34" s="2" t="s">
        <v>192</v>
      </c>
      <c r="E34" s="47">
        <v>81743</v>
      </c>
      <c r="F34" s="53">
        <v>125.92509149999999</v>
      </c>
      <c r="G34" s="5">
        <v>1.4437864E-2</v>
      </c>
    </row>
    <row r="35" spans="1:7" ht="12.75" x14ac:dyDescent="0.2">
      <c r="A35" s="6">
        <v>29</v>
      </c>
      <c r="B35" s="7" t="s">
        <v>48</v>
      </c>
      <c r="C35" s="11" t="s">
        <v>49</v>
      </c>
      <c r="D35" s="2" t="s">
        <v>50</v>
      </c>
      <c r="E35" s="47">
        <v>60430</v>
      </c>
      <c r="F35" s="53">
        <v>124.636875</v>
      </c>
      <c r="G35" s="5">
        <v>1.4290163999999999E-2</v>
      </c>
    </row>
    <row r="36" spans="1:7" ht="12.75" x14ac:dyDescent="0.2">
      <c r="A36" s="6">
        <v>30</v>
      </c>
      <c r="B36" s="7" t="s">
        <v>195</v>
      </c>
      <c r="C36" s="11" t="s">
        <v>196</v>
      </c>
      <c r="D36" s="2" t="s">
        <v>197</v>
      </c>
      <c r="E36" s="47">
        <v>84852</v>
      </c>
      <c r="F36" s="53">
        <v>113.48954999999999</v>
      </c>
      <c r="G36" s="5">
        <v>1.3012075E-2</v>
      </c>
    </row>
    <row r="37" spans="1:7" ht="25.5" x14ac:dyDescent="0.2">
      <c r="A37" s="6">
        <v>31</v>
      </c>
      <c r="B37" s="7" t="s">
        <v>97</v>
      </c>
      <c r="C37" s="11" t="s">
        <v>98</v>
      </c>
      <c r="D37" s="2" t="s">
        <v>99</v>
      </c>
      <c r="E37" s="47">
        <v>55900</v>
      </c>
      <c r="F37" s="53">
        <v>110.15094999999999</v>
      </c>
      <c r="G37" s="5">
        <v>1.2629289E-2</v>
      </c>
    </row>
    <row r="38" spans="1:7" ht="12.75" x14ac:dyDescent="0.2">
      <c r="A38" s="6">
        <v>32</v>
      </c>
      <c r="B38" s="7" t="s">
        <v>193</v>
      </c>
      <c r="C38" s="11" t="s">
        <v>194</v>
      </c>
      <c r="D38" s="2" t="s">
        <v>72</v>
      </c>
      <c r="E38" s="47">
        <v>12389</v>
      </c>
      <c r="F38" s="53">
        <v>109.9090135</v>
      </c>
      <c r="G38" s="5">
        <v>1.260155E-2</v>
      </c>
    </row>
    <row r="39" spans="1:7" ht="12.75" x14ac:dyDescent="0.2">
      <c r="A39" s="6">
        <v>33</v>
      </c>
      <c r="B39" s="7" t="s">
        <v>254</v>
      </c>
      <c r="C39" s="11" t="s">
        <v>255</v>
      </c>
      <c r="D39" s="2" t="s">
        <v>168</v>
      </c>
      <c r="E39" s="47">
        <v>39319</v>
      </c>
      <c r="F39" s="53">
        <v>108.89397049999999</v>
      </c>
      <c r="G39" s="5">
        <v>1.2485171E-2</v>
      </c>
    </row>
    <row r="40" spans="1:7" ht="25.5" x14ac:dyDescent="0.2">
      <c r="A40" s="6">
        <v>34</v>
      </c>
      <c r="B40" s="7" t="s">
        <v>200</v>
      </c>
      <c r="C40" s="11" t="s">
        <v>201</v>
      </c>
      <c r="D40" s="2" t="s">
        <v>30</v>
      </c>
      <c r="E40" s="47">
        <v>36226</v>
      </c>
      <c r="F40" s="53">
        <v>108.442531</v>
      </c>
      <c r="G40" s="5">
        <v>1.2433412E-2</v>
      </c>
    </row>
    <row r="41" spans="1:7" ht="12.75" x14ac:dyDescent="0.2">
      <c r="A41" s="6">
        <v>35</v>
      </c>
      <c r="B41" s="7" t="s">
        <v>256</v>
      </c>
      <c r="C41" s="11" t="s">
        <v>257</v>
      </c>
      <c r="D41" s="2" t="s">
        <v>226</v>
      </c>
      <c r="E41" s="47">
        <v>28310</v>
      </c>
      <c r="F41" s="53">
        <v>104.69038</v>
      </c>
      <c r="G41" s="5">
        <v>1.2003211E-2</v>
      </c>
    </row>
    <row r="42" spans="1:7" ht="25.5" x14ac:dyDescent="0.2">
      <c r="A42" s="6">
        <v>36</v>
      </c>
      <c r="B42" s="7" t="s">
        <v>57</v>
      </c>
      <c r="C42" s="11" t="s">
        <v>58</v>
      </c>
      <c r="D42" s="2" t="s">
        <v>27</v>
      </c>
      <c r="E42" s="47">
        <v>27590</v>
      </c>
      <c r="F42" s="53">
        <v>102.869315</v>
      </c>
      <c r="G42" s="5">
        <v>1.1794417999999999E-2</v>
      </c>
    </row>
    <row r="43" spans="1:7" ht="12.75" x14ac:dyDescent="0.2">
      <c r="A43" s="6">
        <v>37</v>
      </c>
      <c r="B43" s="7" t="s">
        <v>204</v>
      </c>
      <c r="C43" s="11" t="s">
        <v>205</v>
      </c>
      <c r="D43" s="2" t="s">
        <v>72</v>
      </c>
      <c r="E43" s="47">
        <v>36343</v>
      </c>
      <c r="F43" s="53">
        <v>99.161875499999994</v>
      </c>
      <c r="G43" s="5">
        <v>1.1369344E-2</v>
      </c>
    </row>
    <row r="44" spans="1:7" ht="25.5" x14ac:dyDescent="0.2">
      <c r="A44" s="6">
        <v>38</v>
      </c>
      <c r="B44" s="7" t="s">
        <v>43</v>
      </c>
      <c r="C44" s="11" t="s">
        <v>44</v>
      </c>
      <c r="D44" s="2" t="s">
        <v>22</v>
      </c>
      <c r="E44" s="47">
        <v>13985</v>
      </c>
      <c r="F44" s="53">
        <v>97.363569999999996</v>
      </c>
      <c r="G44" s="5">
        <v>1.116316E-2</v>
      </c>
    </row>
    <row r="45" spans="1:7" ht="25.5" x14ac:dyDescent="0.2">
      <c r="A45" s="6">
        <v>39</v>
      </c>
      <c r="B45" s="7" t="s">
        <v>258</v>
      </c>
      <c r="C45" s="11" t="s">
        <v>259</v>
      </c>
      <c r="D45" s="2" t="s">
        <v>226</v>
      </c>
      <c r="E45" s="47">
        <v>28224</v>
      </c>
      <c r="F45" s="53">
        <v>96.286175999999998</v>
      </c>
      <c r="G45" s="5">
        <v>1.1039632000000001E-2</v>
      </c>
    </row>
    <row r="46" spans="1:7" ht="12.75" x14ac:dyDescent="0.2">
      <c r="A46" s="6">
        <v>40</v>
      </c>
      <c r="B46" s="7" t="s">
        <v>260</v>
      </c>
      <c r="C46" s="11" t="s">
        <v>261</v>
      </c>
      <c r="D46" s="2" t="s">
        <v>242</v>
      </c>
      <c r="E46" s="47">
        <v>10200</v>
      </c>
      <c r="F46" s="53">
        <v>95.987099999999998</v>
      </c>
      <c r="G46" s="5">
        <v>1.1005342E-2</v>
      </c>
    </row>
    <row r="47" spans="1:7" ht="25.5" x14ac:dyDescent="0.2">
      <c r="A47" s="6">
        <v>41</v>
      </c>
      <c r="B47" s="7" t="s">
        <v>177</v>
      </c>
      <c r="C47" s="11" t="s">
        <v>178</v>
      </c>
      <c r="D47" s="2" t="s">
        <v>47</v>
      </c>
      <c r="E47" s="47">
        <v>57498</v>
      </c>
      <c r="F47" s="53">
        <v>93.836736000000002</v>
      </c>
      <c r="G47" s="5">
        <v>1.0758792999999999E-2</v>
      </c>
    </row>
    <row r="48" spans="1:7" ht="51" x14ac:dyDescent="0.2">
      <c r="A48" s="6">
        <v>42</v>
      </c>
      <c r="B48" s="7" t="s">
        <v>206</v>
      </c>
      <c r="C48" s="11" t="s">
        <v>207</v>
      </c>
      <c r="D48" s="2" t="s">
        <v>208</v>
      </c>
      <c r="E48" s="47">
        <v>151824</v>
      </c>
      <c r="F48" s="53">
        <v>92.764464000000004</v>
      </c>
      <c r="G48" s="5">
        <v>1.0635853000000001E-2</v>
      </c>
    </row>
    <row r="49" spans="1:7" ht="12.75" x14ac:dyDescent="0.2">
      <c r="A49" s="6">
        <v>43</v>
      </c>
      <c r="B49" s="7" t="s">
        <v>262</v>
      </c>
      <c r="C49" s="11" t="s">
        <v>263</v>
      </c>
      <c r="D49" s="2" t="s">
        <v>242</v>
      </c>
      <c r="E49" s="47">
        <v>97299</v>
      </c>
      <c r="F49" s="53">
        <v>88.639388999999994</v>
      </c>
      <c r="G49" s="5">
        <v>1.0162895E-2</v>
      </c>
    </row>
    <row r="50" spans="1:7" ht="12.75" x14ac:dyDescent="0.2">
      <c r="A50" s="6">
        <v>44</v>
      </c>
      <c r="B50" s="7" t="s">
        <v>227</v>
      </c>
      <c r="C50" s="11" t="s">
        <v>228</v>
      </c>
      <c r="D50" s="2" t="s">
        <v>158</v>
      </c>
      <c r="E50" s="47">
        <v>51136</v>
      </c>
      <c r="F50" s="53">
        <v>86.087456000000003</v>
      </c>
      <c r="G50" s="5">
        <v>9.8703039999999999E-3</v>
      </c>
    </row>
    <row r="51" spans="1:7" ht="51" x14ac:dyDescent="0.2">
      <c r="A51" s="6">
        <v>45</v>
      </c>
      <c r="B51" s="7" t="s">
        <v>264</v>
      </c>
      <c r="C51" s="11" t="s">
        <v>265</v>
      </c>
      <c r="D51" s="2" t="s">
        <v>208</v>
      </c>
      <c r="E51" s="47">
        <v>51490</v>
      </c>
      <c r="F51" s="53">
        <v>85.833830000000006</v>
      </c>
      <c r="G51" s="5">
        <v>9.8412250000000003E-3</v>
      </c>
    </row>
    <row r="52" spans="1:7" ht="25.5" x14ac:dyDescent="0.2">
      <c r="A52" s="6">
        <v>46</v>
      </c>
      <c r="B52" s="7" t="s">
        <v>215</v>
      </c>
      <c r="C52" s="11" t="s">
        <v>216</v>
      </c>
      <c r="D52" s="2" t="s">
        <v>13</v>
      </c>
      <c r="E52" s="47">
        <v>144741</v>
      </c>
      <c r="F52" s="53">
        <v>83.660297999999997</v>
      </c>
      <c r="G52" s="5">
        <v>9.5920199999999997E-3</v>
      </c>
    </row>
    <row r="53" spans="1:7" ht="25.5" x14ac:dyDescent="0.2">
      <c r="A53" s="6">
        <v>47</v>
      </c>
      <c r="B53" s="7" t="s">
        <v>266</v>
      </c>
      <c r="C53" s="11" t="s">
        <v>267</v>
      </c>
      <c r="D53" s="2" t="s">
        <v>27</v>
      </c>
      <c r="E53" s="47">
        <v>80992</v>
      </c>
      <c r="F53" s="53">
        <v>81.639936000000006</v>
      </c>
      <c r="G53" s="5">
        <v>9.3603769999999996E-3</v>
      </c>
    </row>
    <row r="54" spans="1:7" ht="12.75" x14ac:dyDescent="0.2">
      <c r="A54" s="6">
        <v>48</v>
      </c>
      <c r="B54" s="7" t="s">
        <v>221</v>
      </c>
      <c r="C54" s="11" t="s">
        <v>222</v>
      </c>
      <c r="D54" s="2" t="s">
        <v>223</v>
      </c>
      <c r="E54" s="47">
        <v>17758</v>
      </c>
      <c r="F54" s="53">
        <v>80.568045999999995</v>
      </c>
      <c r="G54" s="5">
        <v>9.2374799999999993E-3</v>
      </c>
    </row>
    <row r="55" spans="1:7" ht="12.75" x14ac:dyDescent="0.2">
      <c r="A55" s="6">
        <v>49</v>
      </c>
      <c r="B55" s="7" t="s">
        <v>268</v>
      </c>
      <c r="C55" s="11" t="s">
        <v>269</v>
      </c>
      <c r="D55" s="2" t="s">
        <v>72</v>
      </c>
      <c r="E55" s="47">
        <v>17507</v>
      </c>
      <c r="F55" s="53">
        <v>78.580169499999997</v>
      </c>
      <c r="G55" s="5">
        <v>9.0095609999999993E-3</v>
      </c>
    </row>
    <row r="56" spans="1:7" ht="12.75" x14ac:dyDescent="0.2">
      <c r="A56" s="6">
        <v>50</v>
      </c>
      <c r="B56" s="7" t="s">
        <v>68</v>
      </c>
      <c r="C56" s="11" t="s">
        <v>69</v>
      </c>
      <c r="D56" s="2" t="s">
        <v>50</v>
      </c>
      <c r="E56" s="47">
        <v>36786</v>
      </c>
      <c r="F56" s="53">
        <v>78.354179999999999</v>
      </c>
      <c r="G56" s="5">
        <v>8.9836499999999993E-3</v>
      </c>
    </row>
    <row r="57" spans="1:7" ht="25.5" x14ac:dyDescent="0.2">
      <c r="A57" s="6">
        <v>51</v>
      </c>
      <c r="B57" s="7" t="s">
        <v>66</v>
      </c>
      <c r="C57" s="11" t="s">
        <v>67</v>
      </c>
      <c r="D57" s="2" t="s">
        <v>27</v>
      </c>
      <c r="E57" s="47">
        <v>45515</v>
      </c>
      <c r="F57" s="53">
        <v>66.042265</v>
      </c>
      <c r="G57" s="5">
        <v>7.5720350000000004E-3</v>
      </c>
    </row>
    <row r="58" spans="1:7" ht="25.5" x14ac:dyDescent="0.2">
      <c r="A58" s="6">
        <v>52</v>
      </c>
      <c r="B58" s="7" t="s">
        <v>231</v>
      </c>
      <c r="C58" s="11" t="s">
        <v>232</v>
      </c>
      <c r="D58" s="2" t="s">
        <v>47</v>
      </c>
      <c r="E58" s="47">
        <v>23172</v>
      </c>
      <c r="F58" s="53">
        <v>58.439784000000003</v>
      </c>
      <c r="G58" s="5">
        <v>6.7003770000000004E-3</v>
      </c>
    </row>
    <row r="59" spans="1:7" ht="12.75" x14ac:dyDescent="0.2">
      <c r="A59" s="6">
        <v>53</v>
      </c>
      <c r="B59" s="7" t="s">
        <v>87</v>
      </c>
      <c r="C59" s="11" t="s">
        <v>88</v>
      </c>
      <c r="D59" s="2"/>
      <c r="E59" s="47">
        <v>30749</v>
      </c>
      <c r="F59" s="53">
        <v>52.304048999999999</v>
      </c>
      <c r="G59" s="5">
        <v>5.996889E-3</v>
      </c>
    </row>
    <row r="60" spans="1:7" ht="12.75" x14ac:dyDescent="0.2">
      <c r="A60" s="6">
        <v>54</v>
      </c>
      <c r="B60" s="7" t="s">
        <v>270</v>
      </c>
      <c r="C60" s="11" t="s">
        <v>271</v>
      </c>
      <c r="D60" s="2" t="s">
        <v>192</v>
      </c>
      <c r="E60" s="47">
        <v>69172</v>
      </c>
      <c r="F60" s="53">
        <v>52.294032000000001</v>
      </c>
      <c r="G60" s="5">
        <v>5.9957400000000003E-3</v>
      </c>
    </row>
    <row r="61" spans="1:7" ht="12.75" x14ac:dyDescent="0.2">
      <c r="A61" s="6">
        <v>55</v>
      </c>
      <c r="B61" s="7" t="s">
        <v>219</v>
      </c>
      <c r="C61" s="11" t="s">
        <v>220</v>
      </c>
      <c r="D61" s="2" t="s">
        <v>72</v>
      </c>
      <c r="E61" s="47">
        <v>25584</v>
      </c>
      <c r="F61" s="53">
        <v>48.277008000000002</v>
      </c>
      <c r="G61" s="5">
        <v>5.5351710000000002E-3</v>
      </c>
    </row>
    <row r="62" spans="1:7" ht="12.75" x14ac:dyDescent="0.2">
      <c r="A62" s="6">
        <v>56</v>
      </c>
      <c r="B62" s="7" t="s">
        <v>233</v>
      </c>
      <c r="C62" s="11" t="s">
        <v>234</v>
      </c>
      <c r="D62" s="2" t="s">
        <v>192</v>
      </c>
      <c r="E62" s="47">
        <v>25925</v>
      </c>
      <c r="F62" s="53">
        <v>46.989062500000003</v>
      </c>
      <c r="G62" s="5">
        <v>5.3875019999999997E-3</v>
      </c>
    </row>
    <row r="63" spans="1:7" ht="12.75" x14ac:dyDescent="0.2">
      <c r="A63" s="6">
        <v>57</v>
      </c>
      <c r="B63" s="7" t="s">
        <v>235</v>
      </c>
      <c r="C63" s="11" t="s">
        <v>236</v>
      </c>
      <c r="D63" s="2" t="s">
        <v>237</v>
      </c>
      <c r="E63" s="47">
        <v>4100</v>
      </c>
      <c r="F63" s="53">
        <v>45.007750000000001</v>
      </c>
      <c r="G63" s="5">
        <v>5.1603359999999997E-3</v>
      </c>
    </row>
    <row r="64" spans="1:7" ht="12.75" x14ac:dyDescent="0.2">
      <c r="A64" s="6">
        <v>58</v>
      </c>
      <c r="B64" s="7" t="s">
        <v>238</v>
      </c>
      <c r="C64" s="11" t="s">
        <v>239</v>
      </c>
      <c r="D64" s="2" t="s">
        <v>72</v>
      </c>
      <c r="E64" s="47">
        <v>76827</v>
      </c>
      <c r="F64" s="53">
        <v>41.1408585</v>
      </c>
      <c r="G64" s="5">
        <v>4.71698E-3</v>
      </c>
    </row>
    <row r="65" spans="1:7" ht="38.25" x14ac:dyDescent="0.2">
      <c r="A65" s="6">
        <v>59</v>
      </c>
      <c r="B65" s="7" t="s">
        <v>272</v>
      </c>
      <c r="C65" s="11" t="s">
        <v>273</v>
      </c>
      <c r="D65" s="2" t="s">
        <v>274</v>
      </c>
      <c r="E65" s="47">
        <v>49101</v>
      </c>
      <c r="F65" s="53">
        <v>36.531143999999998</v>
      </c>
      <c r="G65" s="5">
        <v>4.1884560000000001E-3</v>
      </c>
    </row>
    <row r="66" spans="1:7" ht="12.75" x14ac:dyDescent="0.2">
      <c r="A66" s="6">
        <v>60</v>
      </c>
      <c r="B66" s="7" t="s">
        <v>100</v>
      </c>
      <c r="C66" s="11" t="s">
        <v>101</v>
      </c>
      <c r="D66" s="2" t="s">
        <v>50</v>
      </c>
      <c r="E66" s="47">
        <v>30589</v>
      </c>
      <c r="F66" s="53">
        <v>29.197200500000001</v>
      </c>
      <c r="G66" s="5">
        <v>3.347587E-3</v>
      </c>
    </row>
    <row r="67" spans="1:7" ht="12.75" x14ac:dyDescent="0.2">
      <c r="A67" s="6">
        <v>61</v>
      </c>
      <c r="B67" s="7" t="s">
        <v>240</v>
      </c>
      <c r="C67" s="11" t="s">
        <v>241</v>
      </c>
      <c r="D67" s="2" t="s">
        <v>242</v>
      </c>
      <c r="E67" s="47">
        <v>6204</v>
      </c>
      <c r="F67" s="53">
        <v>25.234770000000001</v>
      </c>
      <c r="G67" s="5">
        <v>2.8932770000000001E-3</v>
      </c>
    </row>
    <row r="68" spans="1:7" ht="25.5" x14ac:dyDescent="0.2">
      <c r="A68" s="6">
        <v>62</v>
      </c>
      <c r="B68" s="7" t="s">
        <v>243</v>
      </c>
      <c r="C68" s="11" t="s">
        <v>244</v>
      </c>
      <c r="D68" s="2" t="s">
        <v>163</v>
      </c>
      <c r="E68" s="47">
        <v>26621</v>
      </c>
      <c r="F68" s="53">
        <v>16.225499500000002</v>
      </c>
      <c r="G68" s="5">
        <v>1.8603249999999999E-3</v>
      </c>
    </row>
    <row r="69" spans="1:7" ht="12.75" x14ac:dyDescent="0.2">
      <c r="A69" s="6">
        <v>63</v>
      </c>
      <c r="B69" s="7" t="s">
        <v>106</v>
      </c>
      <c r="C69" s="11" t="s">
        <v>107</v>
      </c>
      <c r="D69" s="2" t="s">
        <v>50</v>
      </c>
      <c r="E69" s="47">
        <v>30749</v>
      </c>
      <c r="F69" s="53">
        <v>14.75952</v>
      </c>
      <c r="G69" s="5">
        <v>1.6922440000000001E-3</v>
      </c>
    </row>
    <row r="70" spans="1:7" ht="25.5" x14ac:dyDescent="0.2">
      <c r="A70" s="6">
        <v>64</v>
      </c>
      <c r="B70" s="7" t="s">
        <v>245</v>
      </c>
      <c r="C70" s="11" t="s">
        <v>246</v>
      </c>
      <c r="D70" s="2" t="s">
        <v>30</v>
      </c>
      <c r="E70" s="47">
        <v>92478</v>
      </c>
      <c r="F70" s="53">
        <v>6.4734600000000002</v>
      </c>
      <c r="G70" s="5">
        <v>7.42211E-4</v>
      </c>
    </row>
    <row r="71" spans="1:7" ht="12.75" x14ac:dyDescent="0.2">
      <c r="A71" s="1"/>
      <c r="B71" s="2"/>
      <c r="C71" s="8" t="s">
        <v>108</v>
      </c>
      <c r="D71" s="12"/>
      <c r="E71" s="49"/>
      <c r="F71" s="55">
        <v>8521.7218045000009</v>
      </c>
      <c r="G71" s="13">
        <v>0.97705277200000051</v>
      </c>
    </row>
    <row r="72" spans="1:7" ht="12.75" x14ac:dyDescent="0.2">
      <c r="A72" s="6"/>
      <c r="B72" s="7"/>
      <c r="C72" s="14"/>
      <c r="D72" s="15"/>
      <c r="E72" s="47"/>
      <c r="F72" s="53"/>
      <c r="G72" s="5"/>
    </row>
    <row r="73" spans="1:7" ht="12.75" x14ac:dyDescent="0.2">
      <c r="A73" s="1"/>
      <c r="B73" s="2"/>
      <c r="C73" s="8" t="s">
        <v>109</v>
      </c>
      <c r="D73" s="9"/>
      <c r="E73" s="48"/>
      <c r="F73" s="54"/>
      <c r="G73" s="10"/>
    </row>
    <row r="74" spans="1:7" ht="12.75" x14ac:dyDescent="0.2">
      <c r="A74" s="1"/>
      <c r="B74" s="2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4"/>
      <c r="D75" s="15"/>
      <c r="E75" s="47"/>
      <c r="F75" s="53"/>
      <c r="G75" s="5"/>
    </row>
    <row r="76" spans="1:7" ht="12.75" x14ac:dyDescent="0.2">
      <c r="A76" s="16"/>
      <c r="B76" s="17"/>
      <c r="C76" s="8" t="s">
        <v>110</v>
      </c>
      <c r="D76" s="9"/>
      <c r="E76" s="48"/>
      <c r="F76" s="54"/>
      <c r="G76" s="10"/>
    </row>
    <row r="77" spans="1:7" ht="12.75" x14ac:dyDescent="0.2">
      <c r="A77" s="18"/>
      <c r="B77" s="19"/>
      <c r="C77" s="8" t="s">
        <v>108</v>
      </c>
      <c r="D77" s="20"/>
      <c r="E77" s="50"/>
      <c r="F77" s="56">
        <v>0</v>
      </c>
      <c r="G77" s="21">
        <v>0</v>
      </c>
    </row>
    <row r="78" spans="1:7" ht="12.75" x14ac:dyDescent="0.2">
      <c r="A78" s="18"/>
      <c r="B78" s="19"/>
      <c r="C78" s="14"/>
      <c r="D78" s="22"/>
      <c r="E78" s="51"/>
      <c r="F78" s="57"/>
      <c r="G78" s="23"/>
    </row>
    <row r="79" spans="1:7" ht="12.75" x14ac:dyDescent="0.2">
      <c r="A79" s="1"/>
      <c r="B79" s="2"/>
      <c r="C79" s="8" t="s">
        <v>113</v>
      </c>
      <c r="D79" s="9"/>
      <c r="E79" s="48"/>
      <c r="F79" s="54"/>
      <c r="G79" s="10"/>
    </row>
    <row r="80" spans="1:7" ht="12.75" x14ac:dyDescent="0.2">
      <c r="A80" s="1"/>
      <c r="B80" s="2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1"/>
      <c r="B81" s="2"/>
      <c r="C81" s="14"/>
      <c r="D81" s="4"/>
      <c r="E81" s="47"/>
      <c r="F81" s="53"/>
      <c r="G81" s="5"/>
    </row>
    <row r="82" spans="1:7" ht="12.75" x14ac:dyDescent="0.2">
      <c r="A82" s="1"/>
      <c r="B82" s="2"/>
      <c r="C82" s="8" t="s">
        <v>114</v>
      </c>
      <c r="D82" s="9"/>
      <c r="E82" s="48"/>
      <c r="F82" s="54"/>
      <c r="G82" s="10"/>
    </row>
    <row r="83" spans="1:7" ht="12.75" x14ac:dyDescent="0.2">
      <c r="A83" s="1"/>
      <c r="B83" s="2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1"/>
      <c r="B84" s="2"/>
      <c r="C84" s="14"/>
      <c r="D84" s="4"/>
      <c r="E84" s="47"/>
      <c r="F84" s="53"/>
      <c r="G84" s="5"/>
    </row>
    <row r="85" spans="1:7" ht="12.75" x14ac:dyDescent="0.2">
      <c r="A85" s="1"/>
      <c r="B85" s="2"/>
      <c r="C85" s="8" t="s">
        <v>115</v>
      </c>
      <c r="D85" s="9"/>
      <c r="E85" s="48"/>
      <c r="F85" s="54"/>
      <c r="G85" s="10"/>
    </row>
    <row r="86" spans="1:7" ht="12.75" x14ac:dyDescent="0.2">
      <c r="A86" s="1"/>
      <c r="B86" s="2"/>
      <c r="C86" s="8" t="s">
        <v>108</v>
      </c>
      <c r="D86" s="12"/>
      <c r="E86" s="49"/>
      <c r="F86" s="55">
        <v>0</v>
      </c>
      <c r="G86" s="13">
        <v>0</v>
      </c>
    </row>
    <row r="87" spans="1:7" ht="12.75" x14ac:dyDescent="0.2">
      <c r="A87" s="1"/>
      <c r="B87" s="2"/>
      <c r="C87" s="14"/>
      <c r="D87" s="4"/>
      <c r="E87" s="47"/>
      <c r="F87" s="53"/>
      <c r="G87" s="5"/>
    </row>
    <row r="88" spans="1:7" ht="25.5" x14ac:dyDescent="0.2">
      <c r="A88" s="6"/>
      <c r="B88" s="7"/>
      <c r="C88" s="24" t="s">
        <v>116</v>
      </c>
      <c r="D88" s="25"/>
      <c r="E88" s="49"/>
      <c r="F88" s="55">
        <v>8521.7218045000009</v>
      </c>
      <c r="G88" s="13">
        <v>0.97705277200000051</v>
      </c>
    </row>
    <row r="89" spans="1:7" ht="12.75" x14ac:dyDescent="0.2">
      <c r="A89" s="1"/>
      <c r="B89" s="2"/>
      <c r="C89" s="11"/>
      <c r="D89" s="4"/>
      <c r="E89" s="47"/>
      <c r="F89" s="53"/>
      <c r="G89" s="5"/>
    </row>
    <row r="90" spans="1:7" ht="12.75" x14ac:dyDescent="0.2">
      <c r="A90" s="1"/>
      <c r="B90" s="2"/>
      <c r="C90" s="3" t="s">
        <v>117</v>
      </c>
      <c r="D90" s="4"/>
      <c r="E90" s="47"/>
      <c r="F90" s="53"/>
      <c r="G90" s="5"/>
    </row>
    <row r="91" spans="1:7" ht="25.5" x14ac:dyDescent="0.2">
      <c r="A91" s="1"/>
      <c r="B91" s="2"/>
      <c r="C91" s="8" t="s">
        <v>10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12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4"/>
      <c r="E93" s="47"/>
      <c r="F93" s="53"/>
      <c r="G93" s="5"/>
    </row>
    <row r="94" spans="1:7" ht="12.75" x14ac:dyDescent="0.2">
      <c r="A94" s="1"/>
      <c r="B94" s="26"/>
      <c r="C94" s="8" t="s">
        <v>118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12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4"/>
      <c r="E96" s="47"/>
      <c r="F96" s="59"/>
      <c r="G96" s="28"/>
    </row>
    <row r="97" spans="1:7" ht="12.75" x14ac:dyDescent="0.2">
      <c r="A97" s="1"/>
      <c r="B97" s="2"/>
      <c r="C97" s="8" t="s">
        <v>119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12"/>
      <c r="E98" s="49"/>
      <c r="F98" s="55">
        <v>0</v>
      </c>
      <c r="G98" s="13">
        <v>0</v>
      </c>
    </row>
    <row r="99" spans="1:7" ht="12.75" x14ac:dyDescent="0.2">
      <c r="A99" s="1"/>
      <c r="B99" s="2"/>
      <c r="C99" s="14"/>
      <c r="D99" s="4"/>
      <c r="E99" s="47"/>
      <c r="F99" s="53"/>
      <c r="G99" s="5"/>
    </row>
    <row r="100" spans="1:7" ht="25.5" x14ac:dyDescent="0.2">
      <c r="A100" s="1"/>
      <c r="B100" s="26"/>
      <c r="C100" s="8" t="s">
        <v>120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12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4"/>
      <c r="D102" s="4"/>
      <c r="E102" s="47"/>
      <c r="F102" s="53"/>
      <c r="G102" s="5"/>
    </row>
    <row r="103" spans="1:7" ht="12.75" x14ac:dyDescent="0.2">
      <c r="A103" s="6"/>
      <c r="B103" s="7"/>
      <c r="C103" s="29" t="s">
        <v>121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1"/>
      <c r="D104" s="4"/>
      <c r="E104" s="47"/>
      <c r="F104" s="53"/>
      <c r="G104" s="5"/>
    </row>
    <row r="105" spans="1:7" ht="12.75" x14ac:dyDescent="0.2">
      <c r="A105" s="1"/>
      <c r="B105" s="2"/>
      <c r="C105" s="3" t="s">
        <v>122</v>
      </c>
      <c r="D105" s="4"/>
      <c r="E105" s="47"/>
      <c r="F105" s="53"/>
      <c r="G105" s="5"/>
    </row>
    <row r="106" spans="1:7" ht="12.75" x14ac:dyDescent="0.2">
      <c r="A106" s="6"/>
      <c r="B106" s="7"/>
      <c r="C106" s="8" t="s">
        <v>123</v>
      </c>
      <c r="D106" s="9"/>
      <c r="E106" s="48"/>
      <c r="F106" s="54"/>
      <c r="G106" s="10"/>
    </row>
    <row r="107" spans="1:7" ht="12.75" x14ac:dyDescent="0.2">
      <c r="A107" s="6"/>
      <c r="B107" s="7"/>
      <c r="C107" s="8" t="s">
        <v>108</v>
      </c>
      <c r="D107" s="25"/>
      <c r="E107" s="49"/>
      <c r="F107" s="55">
        <v>0</v>
      </c>
      <c r="G107" s="13">
        <v>0</v>
      </c>
    </row>
    <row r="108" spans="1:7" ht="12.75" x14ac:dyDescent="0.2">
      <c r="A108" s="6"/>
      <c r="B108" s="7"/>
      <c r="C108" s="14"/>
      <c r="D108" s="7"/>
      <c r="E108" s="47"/>
      <c r="F108" s="53"/>
      <c r="G108" s="5"/>
    </row>
    <row r="109" spans="1:7" ht="12.75" x14ac:dyDescent="0.2">
      <c r="A109" s="6"/>
      <c r="B109" s="7"/>
      <c r="C109" s="8" t="s">
        <v>124</v>
      </c>
      <c r="D109" s="9"/>
      <c r="E109" s="48"/>
      <c r="F109" s="54"/>
      <c r="G109" s="10"/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0</v>
      </c>
      <c r="G110" s="13">
        <v>0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12.75" x14ac:dyDescent="0.2">
      <c r="A112" s="6"/>
      <c r="B112" s="7"/>
      <c r="C112" s="8" t="s">
        <v>125</v>
      </c>
      <c r="D112" s="9"/>
      <c r="E112" s="48"/>
      <c r="F112" s="54"/>
      <c r="G112" s="10"/>
    </row>
    <row r="113" spans="1:7" ht="12.75" x14ac:dyDescent="0.2">
      <c r="A113" s="6"/>
      <c r="B113" s="7"/>
      <c r="C113" s="8" t="s">
        <v>108</v>
      </c>
      <c r="D113" s="25"/>
      <c r="E113" s="49"/>
      <c r="F113" s="55">
        <v>0</v>
      </c>
      <c r="G113" s="13">
        <v>0</v>
      </c>
    </row>
    <row r="114" spans="1:7" ht="12.75" x14ac:dyDescent="0.2">
      <c r="A114" s="6"/>
      <c r="B114" s="7"/>
      <c r="C114" s="14"/>
      <c r="D114" s="7"/>
      <c r="E114" s="47"/>
      <c r="F114" s="53"/>
      <c r="G114" s="5"/>
    </row>
    <row r="115" spans="1:7" ht="12.75" x14ac:dyDescent="0.2">
      <c r="A115" s="6"/>
      <c r="B115" s="7"/>
      <c r="C115" s="8" t="s">
        <v>126</v>
      </c>
      <c r="D115" s="9"/>
      <c r="E115" s="48"/>
      <c r="F115" s="54"/>
      <c r="G115" s="10"/>
    </row>
    <row r="116" spans="1:7" ht="12.75" x14ac:dyDescent="0.2">
      <c r="A116" s="6">
        <v>1</v>
      </c>
      <c r="B116" s="7"/>
      <c r="C116" s="11" t="s">
        <v>812</v>
      </c>
      <c r="D116" s="15"/>
      <c r="E116" s="47"/>
      <c r="F116" s="53">
        <v>159.97896159999999</v>
      </c>
      <c r="G116" s="5">
        <v>1.8342289000000001E-2</v>
      </c>
    </row>
    <row r="117" spans="1:7" ht="12.75" x14ac:dyDescent="0.2">
      <c r="A117" s="6"/>
      <c r="B117" s="7"/>
      <c r="C117" s="8" t="s">
        <v>108</v>
      </c>
      <c r="D117" s="25"/>
      <c r="E117" s="49"/>
      <c r="F117" s="55">
        <v>159.97896159999999</v>
      </c>
      <c r="G117" s="13">
        <v>1.8342289000000001E-2</v>
      </c>
    </row>
    <row r="118" spans="1:7" ht="12.75" x14ac:dyDescent="0.2">
      <c r="A118" s="6"/>
      <c r="B118" s="7"/>
      <c r="C118" s="14"/>
      <c r="D118" s="7"/>
      <c r="E118" s="47"/>
      <c r="F118" s="53"/>
      <c r="G118" s="5"/>
    </row>
    <row r="119" spans="1:7" ht="25.5" x14ac:dyDescent="0.2">
      <c r="A119" s="6"/>
      <c r="B119" s="7"/>
      <c r="C119" s="24" t="s">
        <v>127</v>
      </c>
      <c r="D119" s="25"/>
      <c r="E119" s="49"/>
      <c r="F119" s="55">
        <v>159.97896159999999</v>
      </c>
      <c r="G119" s="13">
        <v>1.8342289000000001E-2</v>
      </c>
    </row>
    <row r="120" spans="1:7" ht="12.75" x14ac:dyDescent="0.2">
      <c r="A120" s="6"/>
      <c r="B120" s="7"/>
      <c r="C120" s="30"/>
      <c r="D120" s="7"/>
      <c r="E120" s="47"/>
      <c r="F120" s="53"/>
      <c r="G120" s="5"/>
    </row>
    <row r="121" spans="1:7" ht="12.75" x14ac:dyDescent="0.2">
      <c r="A121" s="1"/>
      <c r="B121" s="2"/>
      <c r="C121" s="3" t="s">
        <v>128</v>
      </c>
      <c r="D121" s="4"/>
      <c r="E121" s="47"/>
      <c r="F121" s="53"/>
      <c r="G121" s="5"/>
    </row>
    <row r="122" spans="1:7" ht="25.5" x14ac:dyDescent="0.2">
      <c r="A122" s="6"/>
      <c r="B122" s="7"/>
      <c r="C122" s="8" t="s">
        <v>129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3"/>
      <c r="G124" s="5"/>
    </row>
    <row r="125" spans="1:7" ht="12.75" x14ac:dyDescent="0.2">
      <c r="A125" s="1"/>
      <c r="B125" s="2"/>
      <c r="C125" s="3" t="s">
        <v>131</v>
      </c>
      <c r="D125" s="4"/>
      <c r="E125" s="47"/>
      <c r="F125" s="53"/>
      <c r="G125" s="5"/>
    </row>
    <row r="126" spans="1:7" ht="25.5" x14ac:dyDescent="0.2">
      <c r="A126" s="6"/>
      <c r="B126" s="7"/>
      <c r="C126" s="8" t="s">
        <v>132</v>
      </c>
      <c r="D126" s="9"/>
      <c r="E126" s="48"/>
      <c r="F126" s="54"/>
      <c r="G126" s="10"/>
    </row>
    <row r="127" spans="1:7" ht="12.75" x14ac:dyDescent="0.2">
      <c r="A127" s="6"/>
      <c r="B127" s="7"/>
      <c r="C127" s="8" t="s">
        <v>108</v>
      </c>
      <c r="D127" s="25"/>
      <c r="E127" s="49"/>
      <c r="F127" s="55">
        <v>0</v>
      </c>
      <c r="G127" s="13">
        <v>0</v>
      </c>
    </row>
    <row r="128" spans="1:7" ht="12.75" x14ac:dyDescent="0.2">
      <c r="A128" s="6"/>
      <c r="B128" s="7"/>
      <c r="C128" s="14"/>
      <c r="D128" s="7"/>
      <c r="E128" s="47"/>
      <c r="F128" s="53"/>
      <c r="G128" s="5"/>
    </row>
    <row r="129" spans="1:7" ht="25.5" x14ac:dyDescent="0.2">
      <c r="A129" s="6"/>
      <c r="B129" s="7"/>
      <c r="C129" s="8" t="s">
        <v>133</v>
      </c>
      <c r="D129" s="9"/>
      <c r="E129" s="48"/>
      <c r="F129" s="54"/>
      <c r="G129" s="10"/>
    </row>
    <row r="130" spans="1:7" ht="12.75" x14ac:dyDescent="0.2">
      <c r="A130" s="6"/>
      <c r="B130" s="7"/>
      <c r="C130" s="8" t="s">
        <v>108</v>
      </c>
      <c r="D130" s="25"/>
      <c r="E130" s="49"/>
      <c r="F130" s="55">
        <v>0</v>
      </c>
      <c r="G130" s="13">
        <v>0</v>
      </c>
    </row>
    <row r="131" spans="1:7" ht="12.75" x14ac:dyDescent="0.2">
      <c r="A131" s="6"/>
      <c r="B131" s="7"/>
      <c r="C131" s="14"/>
      <c r="D131" s="7"/>
      <c r="E131" s="47"/>
      <c r="F131" s="59"/>
      <c r="G131" s="28"/>
    </row>
    <row r="132" spans="1:7" ht="25.5" x14ac:dyDescent="0.2">
      <c r="A132" s="6"/>
      <c r="B132" s="7"/>
      <c r="C132" s="30" t="s">
        <v>134</v>
      </c>
      <c r="D132" s="7"/>
      <c r="E132" s="47"/>
      <c r="F132" s="59">
        <v>40.163655120000001</v>
      </c>
      <c r="G132" s="28">
        <v>4.6049389999999997E-3</v>
      </c>
    </row>
    <row r="133" spans="1:7" ht="12.75" x14ac:dyDescent="0.2">
      <c r="A133" s="6"/>
      <c r="B133" s="7"/>
      <c r="C133" s="31" t="s">
        <v>135</v>
      </c>
      <c r="D133" s="12"/>
      <c r="E133" s="49"/>
      <c r="F133" s="55">
        <v>8721.8644212199997</v>
      </c>
      <c r="G133" s="13">
        <v>1.0000000000000004</v>
      </c>
    </row>
    <row r="135" spans="1:7" ht="12.75" x14ac:dyDescent="0.2">
      <c r="B135" s="179"/>
      <c r="C135" s="179"/>
      <c r="D135" s="179"/>
      <c r="E135" s="179"/>
      <c r="F135" s="179"/>
    </row>
    <row r="136" spans="1:7" ht="12.75" x14ac:dyDescent="0.2">
      <c r="B136" s="179"/>
      <c r="C136" s="179"/>
      <c r="D136" s="179"/>
      <c r="E136" s="179"/>
      <c r="F136" s="179"/>
    </row>
    <row r="138" spans="1:7" ht="12.75" x14ac:dyDescent="0.2">
      <c r="B138" s="37" t="s">
        <v>137</v>
      </c>
      <c r="C138" s="38"/>
      <c r="D138" s="39"/>
    </row>
    <row r="139" spans="1:7" ht="12.75" x14ac:dyDescent="0.2">
      <c r="B139" s="40" t="s">
        <v>808</v>
      </c>
      <c r="C139" s="41"/>
      <c r="D139" s="65" t="s">
        <v>138</v>
      </c>
    </row>
    <row r="140" spans="1:7" ht="12.75" x14ac:dyDescent="0.2">
      <c r="B140" s="40" t="s">
        <v>139</v>
      </c>
      <c r="C140" s="41"/>
      <c r="D140" s="65" t="s">
        <v>138</v>
      </c>
    </row>
    <row r="141" spans="1:7" ht="12.75" x14ac:dyDescent="0.2">
      <c r="B141" s="42" t="s">
        <v>140</v>
      </c>
      <c r="C141" s="41"/>
      <c r="D141" s="43"/>
    </row>
    <row r="142" spans="1:7" ht="25.5" customHeight="1" x14ac:dyDescent="0.2">
      <c r="B142" s="43"/>
      <c r="C142" s="33" t="s">
        <v>141</v>
      </c>
      <c r="D142" s="34" t="s">
        <v>142</v>
      </c>
    </row>
    <row r="143" spans="1:7" ht="12.75" customHeight="1" x14ac:dyDescent="0.2">
      <c r="B143" s="60" t="s">
        <v>143</v>
      </c>
      <c r="C143" s="61" t="s">
        <v>144</v>
      </c>
      <c r="D143" s="61" t="s">
        <v>145</v>
      </c>
    </row>
    <row r="144" spans="1:7" ht="12.75" x14ac:dyDescent="0.2">
      <c r="B144" s="43" t="s">
        <v>146</v>
      </c>
      <c r="C144" s="44">
        <v>9.2538999999999998</v>
      </c>
      <c r="D144" s="44">
        <v>9.3846000000000007</v>
      </c>
    </row>
    <row r="145" spans="2:4" ht="12.75" x14ac:dyDescent="0.2">
      <c r="B145" s="43" t="s">
        <v>147</v>
      </c>
      <c r="C145" s="44">
        <v>9.2538999999999998</v>
      </c>
      <c r="D145" s="44">
        <v>9.3844999999999992</v>
      </c>
    </row>
    <row r="146" spans="2:4" ht="12.75" x14ac:dyDescent="0.2">
      <c r="B146" s="43" t="s">
        <v>148</v>
      </c>
      <c r="C146" s="44">
        <v>9.0779999999999994</v>
      </c>
      <c r="D146" s="44">
        <v>9.2032000000000007</v>
      </c>
    </row>
    <row r="147" spans="2:4" ht="12.75" x14ac:dyDescent="0.2">
      <c r="B147" s="43" t="s">
        <v>149</v>
      </c>
      <c r="C147" s="44">
        <v>9.0779999999999994</v>
      </c>
      <c r="D147" s="44">
        <v>9.2032000000000007</v>
      </c>
    </row>
    <row r="149" spans="2:4" ht="12.75" x14ac:dyDescent="0.2">
      <c r="B149" s="62" t="s">
        <v>150</v>
      </c>
      <c r="C149" s="45"/>
      <c r="D149" s="63" t="s">
        <v>138</v>
      </c>
    </row>
    <row r="150" spans="2:4" ht="24.75" customHeight="1" x14ac:dyDescent="0.2">
      <c r="B150" s="64"/>
      <c r="C150" s="64"/>
    </row>
    <row r="151" spans="2:4" ht="15" x14ac:dyDescent="0.25">
      <c r="B151" s="66"/>
      <c r="C151" s="68"/>
      <c r="D151"/>
    </row>
    <row r="153" spans="2:4" ht="12.75" x14ac:dyDescent="0.2">
      <c r="B153" s="42" t="s">
        <v>151</v>
      </c>
      <c r="C153" s="41"/>
      <c r="D153" s="67" t="s">
        <v>138</v>
      </c>
    </row>
    <row r="154" spans="2:4" ht="12.75" x14ac:dyDescent="0.2">
      <c r="B154" s="42" t="s">
        <v>152</v>
      </c>
      <c r="C154" s="41"/>
      <c r="D154" s="67" t="s">
        <v>138</v>
      </c>
    </row>
    <row r="155" spans="2:4" ht="12.75" x14ac:dyDescent="0.2">
      <c r="B155" s="42" t="s">
        <v>153</v>
      </c>
      <c r="C155" s="41"/>
      <c r="D155" s="46">
        <v>0.18088460654712435</v>
      </c>
    </row>
    <row r="156" spans="2:4" ht="12.75" x14ac:dyDescent="0.2">
      <c r="B156" s="42" t="s">
        <v>154</v>
      </c>
      <c r="C156" s="41"/>
      <c r="D156" s="46" t="s">
        <v>138</v>
      </c>
    </row>
  </sheetData>
  <mergeCells count="5">
    <mergeCell ref="A1:G1"/>
    <mergeCell ref="A2:G2"/>
    <mergeCell ref="A3:G3"/>
    <mergeCell ref="B135:F135"/>
    <mergeCell ref="B136:F13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6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275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34945</v>
      </c>
      <c r="F7" s="53">
        <v>313.63137499999999</v>
      </c>
      <c r="G7" s="5">
        <v>4.9374594000000001E-2</v>
      </c>
    </row>
    <row r="8" spans="1:7" ht="25.5" x14ac:dyDescent="0.2">
      <c r="A8" s="6">
        <v>2</v>
      </c>
      <c r="B8" s="7" t="s">
        <v>23</v>
      </c>
      <c r="C8" s="11" t="s">
        <v>24</v>
      </c>
      <c r="D8" s="2" t="s">
        <v>22</v>
      </c>
      <c r="E8" s="47">
        <v>44838</v>
      </c>
      <c r="F8" s="53">
        <v>269.63331299999999</v>
      </c>
      <c r="G8" s="5">
        <v>4.2448034000000003E-2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131141</v>
      </c>
      <c r="F9" s="53">
        <v>245.364811</v>
      </c>
      <c r="G9" s="5">
        <v>3.8627474000000002E-2</v>
      </c>
    </row>
    <row r="10" spans="1:7" ht="25.5" x14ac:dyDescent="0.2">
      <c r="A10" s="6">
        <v>4</v>
      </c>
      <c r="B10" s="7" t="s">
        <v>38</v>
      </c>
      <c r="C10" s="11" t="s">
        <v>39</v>
      </c>
      <c r="D10" s="2" t="s">
        <v>40</v>
      </c>
      <c r="E10" s="47">
        <v>51426</v>
      </c>
      <c r="F10" s="53">
        <v>221.851764</v>
      </c>
      <c r="G10" s="5">
        <v>3.4925844999999997E-2</v>
      </c>
    </row>
    <row r="11" spans="1:7" ht="25.5" x14ac:dyDescent="0.2">
      <c r="A11" s="6">
        <v>5</v>
      </c>
      <c r="B11" s="7" t="s">
        <v>161</v>
      </c>
      <c r="C11" s="11" t="s">
        <v>162</v>
      </c>
      <c r="D11" s="2" t="s">
        <v>163</v>
      </c>
      <c r="E11" s="47">
        <v>59804</v>
      </c>
      <c r="F11" s="53">
        <v>218.105188</v>
      </c>
      <c r="G11" s="5">
        <v>3.4336025999999999E-2</v>
      </c>
    </row>
    <row r="12" spans="1:7" ht="25.5" x14ac:dyDescent="0.2">
      <c r="A12" s="6">
        <v>6</v>
      </c>
      <c r="B12" s="7" t="s">
        <v>55</v>
      </c>
      <c r="C12" s="11" t="s">
        <v>56</v>
      </c>
      <c r="D12" s="2" t="s">
        <v>22</v>
      </c>
      <c r="E12" s="47">
        <v>36855</v>
      </c>
      <c r="F12" s="53">
        <v>217.61034749999999</v>
      </c>
      <c r="G12" s="5">
        <v>3.4258124000000001E-2</v>
      </c>
    </row>
    <row r="13" spans="1:7" ht="12.75" x14ac:dyDescent="0.2">
      <c r="A13" s="6">
        <v>7</v>
      </c>
      <c r="B13" s="7" t="s">
        <v>51</v>
      </c>
      <c r="C13" s="11" t="s">
        <v>52</v>
      </c>
      <c r="D13" s="2" t="s">
        <v>19</v>
      </c>
      <c r="E13" s="47">
        <v>18936</v>
      </c>
      <c r="F13" s="53">
        <v>211.52458799999999</v>
      </c>
      <c r="G13" s="5">
        <v>3.3300049999999998E-2</v>
      </c>
    </row>
    <row r="14" spans="1:7" ht="25.5" x14ac:dyDescent="0.2">
      <c r="A14" s="6">
        <v>8</v>
      </c>
      <c r="B14" s="7" t="s">
        <v>102</v>
      </c>
      <c r="C14" s="11" t="s">
        <v>103</v>
      </c>
      <c r="D14" s="2" t="s">
        <v>13</v>
      </c>
      <c r="E14" s="47">
        <v>161774</v>
      </c>
      <c r="F14" s="53">
        <v>166.46544599999999</v>
      </c>
      <c r="G14" s="5">
        <v>2.6206446000000001E-2</v>
      </c>
    </row>
    <row r="15" spans="1:7" ht="25.5" x14ac:dyDescent="0.2">
      <c r="A15" s="6">
        <v>9</v>
      </c>
      <c r="B15" s="7" t="s">
        <v>186</v>
      </c>
      <c r="C15" s="11" t="s">
        <v>187</v>
      </c>
      <c r="D15" s="2" t="s">
        <v>183</v>
      </c>
      <c r="E15" s="47">
        <v>28448</v>
      </c>
      <c r="F15" s="53">
        <v>161.52774400000001</v>
      </c>
      <c r="G15" s="5">
        <v>2.5429110000000001E-2</v>
      </c>
    </row>
    <row r="16" spans="1:7" ht="38.25" x14ac:dyDescent="0.2">
      <c r="A16" s="6">
        <v>10</v>
      </c>
      <c r="B16" s="7" t="s">
        <v>75</v>
      </c>
      <c r="C16" s="11" t="s">
        <v>76</v>
      </c>
      <c r="D16" s="2" t="s">
        <v>77</v>
      </c>
      <c r="E16" s="47">
        <v>191867</v>
      </c>
      <c r="F16" s="53">
        <v>151.19119599999999</v>
      </c>
      <c r="G16" s="5">
        <v>2.3801840000000001E-2</v>
      </c>
    </row>
    <row r="17" spans="1:7" ht="25.5" x14ac:dyDescent="0.2">
      <c r="A17" s="6">
        <v>11</v>
      </c>
      <c r="B17" s="7" t="s">
        <v>20</v>
      </c>
      <c r="C17" s="11" t="s">
        <v>21</v>
      </c>
      <c r="D17" s="2" t="s">
        <v>22</v>
      </c>
      <c r="E17" s="47">
        <v>16156</v>
      </c>
      <c r="F17" s="53">
        <v>143.94996</v>
      </c>
      <c r="G17" s="5">
        <v>2.2661860999999998E-2</v>
      </c>
    </row>
    <row r="18" spans="1:7" ht="12.75" x14ac:dyDescent="0.2">
      <c r="A18" s="6">
        <v>12</v>
      </c>
      <c r="B18" s="7" t="s">
        <v>250</v>
      </c>
      <c r="C18" s="11" t="s">
        <v>251</v>
      </c>
      <c r="D18" s="2" t="s">
        <v>168</v>
      </c>
      <c r="E18" s="47">
        <v>35774</v>
      </c>
      <c r="F18" s="53">
        <v>142.523616</v>
      </c>
      <c r="G18" s="5">
        <v>2.2437314E-2</v>
      </c>
    </row>
    <row r="19" spans="1:7" ht="25.5" x14ac:dyDescent="0.2">
      <c r="A19" s="6">
        <v>13</v>
      </c>
      <c r="B19" s="7" t="s">
        <v>171</v>
      </c>
      <c r="C19" s="11" t="s">
        <v>172</v>
      </c>
      <c r="D19" s="2" t="s">
        <v>22</v>
      </c>
      <c r="E19" s="47">
        <v>34808</v>
      </c>
      <c r="F19" s="53">
        <v>140.20662400000001</v>
      </c>
      <c r="G19" s="5">
        <v>2.2072553000000002E-2</v>
      </c>
    </row>
    <row r="20" spans="1:7" ht="12.75" x14ac:dyDescent="0.2">
      <c r="A20" s="6">
        <v>14</v>
      </c>
      <c r="B20" s="7" t="s">
        <v>166</v>
      </c>
      <c r="C20" s="11" t="s">
        <v>167</v>
      </c>
      <c r="D20" s="2" t="s">
        <v>168</v>
      </c>
      <c r="E20" s="47">
        <v>51995</v>
      </c>
      <c r="F20" s="53">
        <v>132.76923249999999</v>
      </c>
      <c r="G20" s="5">
        <v>2.0901693999999998E-2</v>
      </c>
    </row>
    <row r="21" spans="1:7" ht="25.5" x14ac:dyDescent="0.2">
      <c r="A21" s="6">
        <v>15</v>
      </c>
      <c r="B21" s="7" t="s">
        <v>41</v>
      </c>
      <c r="C21" s="11" t="s">
        <v>42</v>
      </c>
      <c r="D21" s="2" t="s">
        <v>27</v>
      </c>
      <c r="E21" s="47">
        <v>113592</v>
      </c>
      <c r="F21" s="53">
        <v>130.46041199999999</v>
      </c>
      <c r="G21" s="5">
        <v>2.0538219E-2</v>
      </c>
    </row>
    <row r="22" spans="1:7" ht="25.5" x14ac:dyDescent="0.2">
      <c r="A22" s="6">
        <v>16</v>
      </c>
      <c r="B22" s="7" t="s">
        <v>188</v>
      </c>
      <c r="C22" s="11" t="s">
        <v>189</v>
      </c>
      <c r="D22" s="2" t="s">
        <v>47</v>
      </c>
      <c r="E22" s="47">
        <v>6059</v>
      </c>
      <c r="F22" s="53">
        <v>128.79313350000001</v>
      </c>
      <c r="G22" s="5">
        <v>2.0275741E-2</v>
      </c>
    </row>
    <row r="23" spans="1:7" ht="51" x14ac:dyDescent="0.2">
      <c r="A23" s="6">
        <v>17</v>
      </c>
      <c r="B23" s="7" t="s">
        <v>247</v>
      </c>
      <c r="C23" s="11" t="s">
        <v>248</v>
      </c>
      <c r="D23" s="2" t="s">
        <v>208</v>
      </c>
      <c r="E23" s="47">
        <v>55299</v>
      </c>
      <c r="F23" s="53">
        <v>119.6393865</v>
      </c>
      <c r="G23" s="5">
        <v>1.8834678000000001E-2</v>
      </c>
    </row>
    <row r="24" spans="1:7" ht="25.5" x14ac:dyDescent="0.2">
      <c r="A24" s="6">
        <v>18</v>
      </c>
      <c r="B24" s="7" t="s">
        <v>181</v>
      </c>
      <c r="C24" s="11" t="s">
        <v>182</v>
      </c>
      <c r="D24" s="2" t="s">
        <v>183</v>
      </c>
      <c r="E24" s="47">
        <v>100000</v>
      </c>
      <c r="F24" s="53">
        <v>118.8</v>
      </c>
      <c r="G24" s="5">
        <v>1.8702534999999999E-2</v>
      </c>
    </row>
    <row r="25" spans="1:7" ht="25.5" x14ac:dyDescent="0.2">
      <c r="A25" s="6">
        <v>19</v>
      </c>
      <c r="B25" s="7" t="s">
        <v>83</v>
      </c>
      <c r="C25" s="11" t="s">
        <v>84</v>
      </c>
      <c r="D25" s="2" t="s">
        <v>22</v>
      </c>
      <c r="E25" s="47">
        <v>107151</v>
      </c>
      <c r="F25" s="53">
        <v>116.84816549999999</v>
      </c>
      <c r="G25" s="5">
        <v>1.839526E-2</v>
      </c>
    </row>
    <row r="26" spans="1:7" ht="12.75" x14ac:dyDescent="0.2">
      <c r="A26" s="6">
        <v>20</v>
      </c>
      <c r="B26" s="7" t="s">
        <v>175</v>
      </c>
      <c r="C26" s="11" t="s">
        <v>176</v>
      </c>
      <c r="D26" s="2" t="s">
        <v>19</v>
      </c>
      <c r="E26" s="47">
        <v>138867</v>
      </c>
      <c r="F26" s="53">
        <v>116.43997950000001</v>
      </c>
      <c r="G26" s="5">
        <v>1.8331E-2</v>
      </c>
    </row>
    <row r="27" spans="1:7" ht="12.75" x14ac:dyDescent="0.2">
      <c r="A27" s="6">
        <v>21</v>
      </c>
      <c r="B27" s="7" t="s">
        <v>229</v>
      </c>
      <c r="C27" s="11" t="s">
        <v>230</v>
      </c>
      <c r="D27" s="2" t="s">
        <v>50</v>
      </c>
      <c r="E27" s="47">
        <v>48000</v>
      </c>
      <c r="F27" s="53">
        <v>114.57599999999999</v>
      </c>
      <c r="G27" s="5">
        <v>1.8037556E-2</v>
      </c>
    </row>
    <row r="28" spans="1:7" ht="25.5" x14ac:dyDescent="0.2">
      <c r="A28" s="6">
        <v>22</v>
      </c>
      <c r="B28" s="7" t="s">
        <v>213</v>
      </c>
      <c r="C28" s="11" t="s">
        <v>214</v>
      </c>
      <c r="D28" s="2" t="s">
        <v>163</v>
      </c>
      <c r="E28" s="47">
        <v>108643</v>
      </c>
      <c r="F28" s="53">
        <v>110.9788245</v>
      </c>
      <c r="G28" s="5">
        <v>1.7471257E-2</v>
      </c>
    </row>
    <row r="29" spans="1:7" ht="25.5" x14ac:dyDescent="0.2">
      <c r="A29" s="6">
        <v>23</v>
      </c>
      <c r="B29" s="7" t="s">
        <v>258</v>
      </c>
      <c r="C29" s="11" t="s">
        <v>259</v>
      </c>
      <c r="D29" s="2" t="s">
        <v>226</v>
      </c>
      <c r="E29" s="47">
        <v>30858</v>
      </c>
      <c r="F29" s="53">
        <v>105.27206700000001</v>
      </c>
      <c r="G29" s="5">
        <v>1.6572849000000001E-2</v>
      </c>
    </row>
    <row r="30" spans="1:7" ht="12.75" x14ac:dyDescent="0.2">
      <c r="A30" s="6">
        <v>24</v>
      </c>
      <c r="B30" s="7" t="s">
        <v>61</v>
      </c>
      <c r="C30" s="11" t="s">
        <v>62</v>
      </c>
      <c r="D30" s="2" t="s">
        <v>19</v>
      </c>
      <c r="E30" s="47">
        <v>105670</v>
      </c>
      <c r="F30" s="53">
        <v>101.86588</v>
      </c>
      <c r="G30" s="5">
        <v>1.6036617999999999E-2</v>
      </c>
    </row>
    <row r="31" spans="1:7" ht="12.75" x14ac:dyDescent="0.2">
      <c r="A31" s="6">
        <v>25</v>
      </c>
      <c r="B31" s="7" t="s">
        <v>252</v>
      </c>
      <c r="C31" s="11" t="s">
        <v>253</v>
      </c>
      <c r="D31" s="2" t="s">
        <v>242</v>
      </c>
      <c r="E31" s="47">
        <v>7207</v>
      </c>
      <c r="F31" s="53">
        <v>100.00072849999999</v>
      </c>
      <c r="G31" s="5">
        <v>1.5742988999999999E-2</v>
      </c>
    </row>
    <row r="32" spans="1:7" ht="25.5" x14ac:dyDescent="0.2">
      <c r="A32" s="6">
        <v>26</v>
      </c>
      <c r="B32" s="7" t="s">
        <v>73</v>
      </c>
      <c r="C32" s="11" t="s">
        <v>74</v>
      </c>
      <c r="D32" s="2" t="s">
        <v>22</v>
      </c>
      <c r="E32" s="47">
        <v>14958</v>
      </c>
      <c r="F32" s="53">
        <v>98.019773999999998</v>
      </c>
      <c r="G32" s="5">
        <v>1.5431129999999999E-2</v>
      </c>
    </row>
    <row r="33" spans="1:7" ht="12.75" x14ac:dyDescent="0.2">
      <c r="A33" s="6">
        <v>27</v>
      </c>
      <c r="B33" s="7" t="s">
        <v>184</v>
      </c>
      <c r="C33" s="11" t="s">
        <v>185</v>
      </c>
      <c r="D33" s="2" t="s">
        <v>16</v>
      </c>
      <c r="E33" s="47">
        <v>52406</v>
      </c>
      <c r="F33" s="53">
        <v>94.409408999999997</v>
      </c>
      <c r="G33" s="5">
        <v>1.4862755E-2</v>
      </c>
    </row>
    <row r="34" spans="1:7" ht="12.75" x14ac:dyDescent="0.2">
      <c r="A34" s="6">
        <v>28</v>
      </c>
      <c r="B34" s="7" t="s">
        <v>190</v>
      </c>
      <c r="C34" s="11" t="s">
        <v>191</v>
      </c>
      <c r="D34" s="2" t="s">
        <v>192</v>
      </c>
      <c r="E34" s="47">
        <v>59674</v>
      </c>
      <c r="F34" s="53">
        <v>91.927796999999998</v>
      </c>
      <c r="G34" s="5">
        <v>1.4472077999999999E-2</v>
      </c>
    </row>
    <row r="35" spans="1:7" ht="12.75" x14ac:dyDescent="0.2">
      <c r="A35" s="6">
        <v>29</v>
      </c>
      <c r="B35" s="7" t="s">
        <v>48</v>
      </c>
      <c r="C35" s="11" t="s">
        <v>49</v>
      </c>
      <c r="D35" s="2" t="s">
        <v>50</v>
      </c>
      <c r="E35" s="47">
        <v>44091</v>
      </c>
      <c r="F35" s="53">
        <v>90.937687499999996</v>
      </c>
      <c r="G35" s="5">
        <v>1.4316206E-2</v>
      </c>
    </row>
    <row r="36" spans="1:7" ht="12.75" x14ac:dyDescent="0.2">
      <c r="A36" s="6">
        <v>30</v>
      </c>
      <c r="B36" s="7" t="s">
        <v>198</v>
      </c>
      <c r="C36" s="11" t="s">
        <v>199</v>
      </c>
      <c r="D36" s="2" t="s">
        <v>40</v>
      </c>
      <c r="E36" s="47">
        <v>150000</v>
      </c>
      <c r="F36" s="53">
        <v>89.55</v>
      </c>
      <c r="G36" s="5">
        <v>1.4097744000000001E-2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61858</v>
      </c>
      <c r="F37" s="53">
        <v>82.735074999999995</v>
      </c>
      <c r="G37" s="5">
        <v>1.3024879E-2</v>
      </c>
    </row>
    <row r="38" spans="1:7" ht="12.75" x14ac:dyDescent="0.2">
      <c r="A38" s="6">
        <v>32</v>
      </c>
      <c r="B38" s="7" t="s">
        <v>193</v>
      </c>
      <c r="C38" s="11" t="s">
        <v>194</v>
      </c>
      <c r="D38" s="2" t="s">
        <v>72</v>
      </c>
      <c r="E38" s="47">
        <v>9085</v>
      </c>
      <c r="F38" s="53">
        <v>80.5975775</v>
      </c>
      <c r="G38" s="5">
        <v>1.2688375E-2</v>
      </c>
    </row>
    <row r="39" spans="1:7" ht="25.5" x14ac:dyDescent="0.2">
      <c r="A39" s="6">
        <v>33</v>
      </c>
      <c r="B39" s="7" t="s">
        <v>97</v>
      </c>
      <c r="C39" s="11" t="s">
        <v>98</v>
      </c>
      <c r="D39" s="2" t="s">
        <v>99</v>
      </c>
      <c r="E39" s="47">
        <v>40891</v>
      </c>
      <c r="F39" s="53">
        <v>80.575715500000001</v>
      </c>
      <c r="G39" s="5">
        <v>1.2684934E-2</v>
      </c>
    </row>
    <row r="40" spans="1:7" ht="12.75" x14ac:dyDescent="0.2">
      <c r="A40" s="6">
        <v>34</v>
      </c>
      <c r="B40" s="7" t="s">
        <v>254</v>
      </c>
      <c r="C40" s="11" t="s">
        <v>255</v>
      </c>
      <c r="D40" s="2" t="s">
        <v>168</v>
      </c>
      <c r="E40" s="47">
        <v>28709</v>
      </c>
      <c r="F40" s="53">
        <v>79.509575499999997</v>
      </c>
      <c r="G40" s="5">
        <v>1.2517093E-2</v>
      </c>
    </row>
    <row r="41" spans="1:7" ht="25.5" x14ac:dyDescent="0.2">
      <c r="A41" s="6">
        <v>35</v>
      </c>
      <c r="B41" s="7" t="s">
        <v>200</v>
      </c>
      <c r="C41" s="11" t="s">
        <v>201</v>
      </c>
      <c r="D41" s="2" t="s">
        <v>30</v>
      </c>
      <c r="E41" s="47">
        <v>26374</v>
      </c>
      <c r="F41" s="53">
        <v>78.950569000000002</v>
      </c>
      <c r="G41" s="5">
        <v>1.2429089000000001E-2</v>
      </c>
    </row>
    <row r="42" spans="1:7" ht="25.5" x14ac:dyDescent="0.2">
      <c r="A42" s="6">
        <v>36</v>
      </c>
      <c r="B42" s="7" t="s">
        <v>57</v>
      </c>
      <c r="C42" s="11" t="s">
        <v>58</v>
      </c>
      <c r="D42" s="2" t="s">
        <v>27</v>
      </c>
      <c r="E42" s="47">
        <v>20760</v>
      </c>
      <c r="F42" s="53">
        <v>77.403660000000002</v>
      </c>
      <c r="G42" s="5">
        <v>1.2185560999999999E-2</v>
      </c>
    </row>
    <row r="43" spans="1:7" ht="12.75" x14ac:dyDescent="0.2">
      <c r="A43" s="6">
        <v>37</v>
      </c>
      <c r="B43" s="7" t="s">
        <v>256</v>
      </c>
      <c r="C43" s="11" t="s">
        <v>257</v>
      </c>
      <c r="D43" s="2" t="s">
        <v>226</v>
      </c>
      <c r="E43" s="47">
        <v>20684</v>
      </c>
      <c r="F43" s="53">
        <v>76.489431999999994</v>
      </c>
      <c r="G43" s="5">
        <v>1.2041635E-2</v>
      </c>
    </row>
    <row r="44" spans="1:7" ht="12.75" x14ac:dyDescent="0.2">
      <c r="A44" s="6">
        <v>38</v>
      </c>
      <c r="B44" s="7" t="s">
        <v>204</v>
      </c>
      <c r="C44" s="11" t="s">
        <v>205</v>
      </c>
      <c r="D44" s="2" t="s">
        <v>72</v>
      </c>
      <c r="E44" s="47">
        <v>26516</v>
      </c>
      <c r="F44" s="53">
        <v>72.348905999999999</v>
      </c>
      <c r="G44" s="5">
        <v>1.1389797E-2</v>
      </c>
    </row>
    <row r="45" spans="1:7" ht="12.75" x14ac:dyDescent="0.2">
      <c r="A45" s="6">
        <v>39</v>
      </c>
      <c r="B45" s="7" t="s">
        <v>260</v>
      </c>
      <c r="C45" s="11" t="s">
        <v>261</v>
      </c>
      <c r="D45" s="2" t="s">
        <v>242</v>
      </c>
      <c r="E45" s="47">
        <v>7400</v>
      </c>
      <c r="F45" s="53">
        <v>69.637699999999995</v>
      </c>
      <c r="G45" s="5">
        <v>1.0962975999999999E-2</v>
      </c>
    </row>
    <row r="46" spans="1:7" ht="25.5" x14ac:dyDescent="0.2">
      <c r="A46" s="6">
        <v>40</v>
      </c>
      <c r="B46" s="7" t="s">
        <v>215</v>
      </c>
      <c r="C46" s="11" t="s">
        <v>216</v>
      </c>
      <c r="D46" s="2" t="s">
        <v>13</v>
      </c>
      <c r="E46" s="47">
        <v>119159</v>
      </c>
      <c r="F46" s="53">
        <v>68.873902000000001</v>
      </c>
      <c r="G46" s="5">
        <v>1.0842732000000001E-2</v>
      </c>
    </row>
    <row r="47" spans="1:7" ht="51" x14ac:dyDescent="0.2">
      <c r="A47" s="6">
        <v>41</v>
      </c>
      <c r="B47" s="7" t="s">
        <v>206</v>
      </c>
      <c r="C47" s="11" t="s">
        <v>207</v>
      </c>
      <c r="D47" s="2" t="s">
        <v>208</v>
      </c>
      <c r="E47" s="47">
        <v>110593</v>
      </c>
      <c r="F47" s="53">
        <v>67.572322999999997</v>
      </c>
      <c r="G47" s="5">
        <v>1.0637826E-2</v>
      </c>
    </row>
    <row r="48" spans="1:7" ht="25.5" x14ac:dyDescent="0.2">
      <c r="A48" s="6">
        <v>42</v>
      </c>
      <c r="B48" s="7" t="s">
        <v>177</v>
      </c>
      <c r="C48" s="11" t="s">
        <v>178</v>
      </c>
      <c r="D48" s="2" t="s">
        <v>47</v>
      </c>
      <c r="E48" s="47">
        <v>40763</v>
      </c>
      <c r="F48" s="53">
        <v>66.525216</v>
      </c>
      <c r="G48" s="5">
        <v>1.0472980999999999E-2</v>
      </c>
    </row>
    <row r="49" spans="1:7" ht="12.75" x14ac:dyDescent="0.2">
      <c r="A49" s="6">
        <v>43</v>
      </c>
      <c r="B49" s="7" t="s">
        <v>262</v>
      </c>
      <c r="C49" s="11" t="s">
        <v>263</v>
      </c>
      <c r="D49" s="2" t="s">
        <v>242</v>
      </c>
      <c r="E49" s="47">
        <v>71025</v>
      </c>
      <c r="F49" s="53">
        <v>64.703774999999993</v>
      </c>
      <c r="G49" s="5">
        <v>1.0186234000000001E-2</v>
      </c>
    </row>
    <row r="50" spans="1:7" ht="12.75" x14ac:dyDescent="0.2">
      <c r="A50" s="6">
        <v>44</v>
      </c>
      <c r="B50" s="7" t="s">
        <v>227</v>
      </c>
      <c r="C50" s="11" t="s">
        <v>228</v>
      </c>
      <c r="D50" s="2" t="s">
        <v>158</v>
      </c>
      <c r="E50" s="47">
        <v>37272</v>
      </c>
      <c r="F50" s="53">
        <v>62.747411999999997</v>
      </c>
      <c r="G50" s="5">
        <v>9.8782460000000002E-3</v>
      </c>
    </row>
    <row r="51" spans="1:7" ht="51" x14ac:dyDescent="0.2">
      <c r="A51" s="6">
        <v>45</v>
      </c>
      <c r="B51" s="7" t="s">
        <v>264</v>
      </c>
      <c r="C51" s="11" t="s">
        <v>265</v>
      </c>
      <c r="D51" s="2" t="s">
        <v>208</v>
      </c>
      <c r="E51" s="47">
        <v>37596</v>
      </c>
      <c r="F51" s="53">
        <v>62.672531999999997</v>
      </c>
      <c r="G51" s="5">
        <v>9.8664579999999998E-3</v>
      </c>
    </row>
    <row r="52" spans="1:7" ht="25.5" x14ac:dyDescent="0.2">
      <c r="A52" s="6">
        <v>46</v>
      </c>
      <c r="B52" s="7" t="s">
        <v>266</v>
      </c>
      <c r="C52" s="11" t="s">
        <v>267</v>
      </c>
      <c r="D52" s="2" t="s">
        <v>27</v>
      </c>
      <c r="E52" s="47">
        <v>58394</v>
      </c>
      <c r="F52" s="53">
        <v>58.861151999999997</v>
      </c>
      <c r="G52" s="5">
        <v>9.2664370000000006E-3</v>
      </c>
    </row>
    <row r="53" spans="1:7" ht="12.75" x14ac:dyDescent="0.2">
      <c r="A53" s="6">
        <v>47</v>
      </c>
      <c r="B53" s="7" t="s">
        <v>221</v>
      </c>
      <c r="C53" s="11" t="s">
        <v>222</v>
      </c>
      <c r="D53" s="2" t="s">
        <v>223</v>
      </c>
      <c r="E53" s="47">
        <v>12965</v>
      </c>
      <c r="F53" s="53">
        <v>58.822204999999997</v>
      </c>
      <c r="G53" s="5">
        <v>9.2603059999999994E-3</v>
      </c>
    </row>
    <row r="54" spans="1:7" ht="12.75" x14ac:dyDescent="0.2">
      <c r="A54" s="6">
        <v>48</v>
      </c>
      <c r="B54" s="7" t="s">
        <v>268</v>
      </c>
      <c r="C54" s="11" t="s">
        <v>269</v>
      </c>
      <c r="D54" s="2" t="s">
        <v>72</v>
      </c>
      <c r="E54" s="47">
        <v>12784</v>
      </c>
      <c r="F54" s="53">
        <v>57.380983999999998</v>
      </c>
      <c r="G54" s="5">
        <v>9.0334160000000007E-3</v>
      </c>
    </row>
    <row r="55" spans="1:7" ht="12.75" x14ac:dyDescent="0.2">
      <c r="A55" s="6">
        <v>49</v>
      </c>
      <c r="B55" s="7" t="s">
        <v>68</v>
      </c>
      <c r="C55" s="11" t="s">
        <v>69</v>
      </c>
      <c r="D55" s="2" t="s">
        <v>50</v>
      </c>
      <c r="E55" s="47">
        <v>26761</v>
      </c>
      <c r="F55" s="53">
        <v>57.000929999999997</v>
      </c>
      <c r="G55" s="5">
        <v>8.9735849999999992E-3</v>
      </c>
    </row>
    <row r="56" spans="1:7" ht="12.75" x14ac:dyDescent="0.2">
      <c r="A56" s="6">
        <v>50</v>
      </c>
      <c r="B56" s="7" t="s">
        <v>87</v>
      </c>
      <c r="C56" s="11" t="s">
        <v>88</v>
      </c>
      <c r="D56" s="2"/>
      <c r="E56" s="47">
        <v>30000</v>
      </c>
      <c r="F56" s="53">
        <v>51.03</v>
      </c>
      <c r="G56" s="5">
        <v>8.0335890000000007E-3</v>
      </c>
    </row>
    <row r="57" spans="1:7" ht="25.5" x14ac:dyDescent="0.2">
      <c r="A57" s="6">
        <v>51</v>
      </c>
      <c r="B57" s="7" t="s">
        <v>66</v>
      </c>
      <c r="C57" s="11" t="s">
        <v>67</v>
      </c>
      <c r="D57" s="2" t="s">
        <v>27</v>
      </c>
      <c r="E57" s="47">
        <v>33263</v>
      </c>
      <c r="F57" s="53">
        <v>48.264612999999997</v>
      </c>
      <c r="G57" s="5">
        <v>7.5982369999999999E-3</v>
      </c>
    </row>
    <row r="58" spans="1:7" ht="12.75" x14ac:dyDescent="0.2">
      <c r="A58" s="6">
        <v>52</v>
      </c>
      <c r="B58" s="7" t="s">
        <v>219</v>
      </c>
      <c r="C58" s="11" t="s">
        <v>220</v>
      </c>
      <c r="D58" s="2" t="s">
        <v>72</v>
      </c>
      <c r="E58" s="47">
        <v>24830</v>
      </c>
      <c r="F58" s="53">
        <v>46.854210000000002</v>
      </c>
      <c r="G58" s="5">
        <v>7.376199E-3</v>
      </c>
    </row>
    <row r="59" spans="1:7" ht="25.5" x14ac:dyDescent="0.2">
      <c r="A59" s="6">
        <v>53</v>
      </c>
      <c r="B59" s="7" t="s">
        <v>231</v>
      </c>
      <c r="C59" s="11" t="s">
        <v>232</v>
      </c>
      <c r="D59" s="2" t="s">
        <v>47</v>
      </c>
      <c r="E59" s="47">
        <v>16740</v>
      </c>
      <c r="F59" s="53">
        <v>42.21828</v>
      </c>
      <c r="G59" s="5">
        <v>6.6463709999999999E-3</v>
      </c>
    </row>
    <row r="60" spans="1:7" ht="12.75" x14ac:dyDescent="0.2">
      <c r="A60" s="6">
        <v>54</v>
      </c>
      <c r="B60" s="7" t="s">
        <v>270</v>
      </c>
      <c r="C60" s="11" t="s">
        <v>271</v>
      </c>
      <c r="D60" s="2" t="s">
        <v>192</v>
      </c>
      <c r="E60" s="47">
        <v>50605</v>
      </c>
      <c r="F60" s="53">
        <v>38.257379999999998</v>
      </c>
      <c r="G60" s="5">
        <v>6.0228110000000003E-3</v>
      </c>
    </row>
    <row r="61" spans="1:7" ht="12.75" x14ac:dyDescent="0.2">
      <c r="A61" s="6">
        <v>55</v>
      </c>
      <c r="B61" s="7" t="s">
        <v>233</v>
      </c>
      <c r="C61" s="11" t="s">
        <v>234</v>
      </c>
      <c r="D61" s="2" t="s">
        <v>192</v>
      </c>
      <c r="E61" s="47">
        <v>19140</v>
      </c>
      <c r="F61" s="53">
        <v>34.691249999999997</v>
      </c>
      <c r="G61" s="5">
        <v>5.4613999999999999E-3</v>
      </c>
    </row>
    <row r="62" spans="1:7" ht="12.75" x14ac:dyDescent="0.2">
      <c r="A62" s="6">
        <v>56</v>
      </c>
      <c r="B62" s="7" t="s">
        <v>235</v>
      </c>
      <c r="C62" s="11" t="s">
        <v>236</v>
      </c>
      <c r="D62" s="2" t="s">
        <v>237</v>
      </c>
      <c r="E62" s="47">
        <v>3000</v>
      </c>
      <c r="F62" s="53">
        <v>32.932499999999997</v>
      </c>
      <c r="G62" s="5">
        <v>5.1845219999999996E-3</v>
      </c>
    </row>
    <row r="63" spans="1:7" ht="12.75" x14ac:dyDescent="0.2">
      <c r="A63" s="6">
        <v>57</v>
      </c>
      <c r="B63" s="7" t="s">
        <v>238</v>
      </c>
      <c r="C63" s="11" t="s">
        <v>239</v>
      </c>
      <c r="D63" s="2" t="s">
        <v>72</v>
      </c>
      <c r="E63" s="47">
        <v>56181</v>
      </c>
      <c r="F63" s="53">
        <v>30.084925500000001</v>
      </c>
      <c r="G63" s="5">
        <v>4.7362319999999999E-3</v>
      </c>
    </row>
    <row r="64" spans="1:7" ht="38.25" x14ac:dyDescent="0.2">
      <c r="A64" s="6">
        <v>58</v>
      </c>
      <c r="B64" s="7" t="s">
        <v>272</v>
      </c>
      <c r="C64" s="11" t="s">
        <v>273</v>
      </c>
      <c r="D64" s="2" t="s">
        <v>274</v>
      </c>
      <c r="E64" s="47">
        <v>35911</v>
      </c>
      <c r="F64" s="53">
        <v>26.717784000000002</v>
      </c>
      <c r="G64" s="5">
        <v>4.2061470000000004E-3</v>
      </c>
    </row>
    <row r="65" spans="1:7" ht="12.75" x14ac:dyDescent="0.2">
      <c r="A65" s="6">
        <v>59</v>
      </c>
      <c r="B65" s="7" t="s">
        <v>100</v>
      </c>
      <c r="C65" s="11" t="s">
        <v>101</v>
      </c>
      <c r="D65" s="2" t="s">
        <v>50</v>
      </c>
      <c r="E65" s="47">
        <v>22460</v>
      </c>
      <c r="F65" s="53">
        <v>21.43807</v>
      </c>
      <c r="G65" s="5">
        <v>3.3749679999999999E-3</v>
      </c>
    </row>
    <row r="66" spans="1:7" ht="12.75" x14ac:dyDescent="0.2">
      <c r="A66" s="6">
        <v>60</v>
      </c>
      <c r="B66" s="7" t="s">
        <v>240</v>
      </c>
      <c r="C66" s="11" t="s">
        <v>241</v>
      </c>
      <c r="D66" s="2" t="s">
        <v>242</v>
      </c>
      <c r="E66" s="47">
        <v>4506</v>
      </c>
      <c r="F66" s="53">
        <v>18.328154999999999</v>
      </c>
      <c r="G66" s="5">
        <v>2.8853780000000001E-3</v>
      </c>
    </row>
    <row r="67" spans="1:7" ht="12.75" x14ac:dyDescent="0.2">
      <c r="A67" s="6">
        <v>61</v>
      </c>
      <c r="B67" s="7" t="s">
        <v>106</v>
      </c>
      <c r="C67" s="11" t="s">
        <v>107</v>
      </c>
      <c r="D67" s="2" t="s">
        <v>50</v>
      </c>
      <c r="E67" s="47">
        <v>30000</v>
      </c>
      <c r="F67" s="53">
        <v>14.4</v>
      </c>
      <c r="G67" s="5">
        <v>2.2669740000000002E-3</v>
      </c>
    </row>
    <row r="68" spans="1:7" ht="25.5" x14ac:dyDescent="0.2">
      <c r="A68" s="6">
        <v>62</v>
      </c>
      <c r="B68" s="7" t="s">
        <v>243</v>
      </c>
      <c r="C68" s="11" t="s">
        <v>244</v>
      </c>
      <c r="D68" s="2" t="s">
        <v>163</v>
      </c>
      <c r="E68" s="47">
        <v>19647</v>
      </c>
      <c r="F68" s="53">
        <v>11.9748465</v>
      </c>
      <c r="G68" s="5">
        <v>1.8851849999999999E-3</v>
      </c>
    </row>
    <row r="69" spans="1:7" ht="25.5" x14ac:dyDescent="0.2">
      <c r="A69" s="6">
        <v>63</v>
      </c>
      <c r="B69" s="7" t="s">
        <v>245</v>
      </c>
      <c r="C69" s="11" t="s">
        <v>246</v>
      </c>
      <c r="D69" s="2" t="s">
        <v>30</v>
      </c>
      <c r="E69" s="47">
        <v>67267</v>
      </c>
      <c r="F69" s="53">
        <v>4.7086899999999998</v>
      </c>
      <c r="G69" s="5">
        <v>7.4128300000000002E-4</v>
      </c>
    </row>
    <row r="70" spans="1:7" ht="12.75" x14ac:dyDescent="0.2">
      <c r="A70" s="6">
        <v>64</v>
      </c>
      <c r="B70" s="7" t="s">
        <v>276</v>
      </c>
      <c r="C70" s="11" t="s">
        <v>277</v>
      </c>
      <c r="D70" s="2" t="s">
        <v>72</v>
      </c>
      <c r="E70" s="47">
        <v>1253</v>
      </c>
      <c r="F70" s="53">
        <v>0.97733999999999999</v>
      </c>
      <c r="G70" s="5">
        <v>1.5386100000000001E-4</v>
      </c>
    </row>
    <row r="71" spans="1:7" ht="12.75" x14ac:dyDescent="0.2">
      <c r="A71" s="1"/>
      <c r="B71" s="2"/>
      <c r="C71" s="8" t="s">
        <v>108</v>
      </c>
      <c r="D71" s="12"/>
      <c r="E71" s="49"/>
      <c r="F71" s="55">
        <v>6211.161135000003</v>
      </c>
      <c r="G71" s="13">
        <v>0.97781529699999958</v>
      </c>
    </row>
    <row r="72" spans="1:7" ht="12.75" x14ac:dyDescent="0.2">
      <c r="A72" s="6"/>
      <c r="B72" s="7"/>
      <c r="C72" s="14"/>
      <c r="D72" s="15"/>
      <c r="E72" s="47"/>
      <c r="F72" s="53"/>
      <c r="G72" s="5"/>
    </row>
    <row r="73" spans="1:7" ht="12.75" x14ac:dyDescent="0.2">
      <c r="A73" s="1"/>
      <c r="B73" s="2"/>
      <c r="C73" s="8" t="s">
        <v>109</v>
      </c>
      <c r="D73" s="9"/>
      <c r="E73" s="48"/>
      <c r="F73" s="54"/>
      <c r="G73" s="10"/>
    </row>
    <row r="74" spans="1:7" ht="12.75" x14ac:dyDescent="0.2">
      <c r="A74" s="1"/>
      <c r="B74" s="2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4"/>
      <c r="D75" s="15"/>
      <c r="E75" s="47"/>
      <c r="F75" s="53"/>
      <c r="G75" s="5"/>
    </row>
    <row r="76" spans="1:7" ht="12.75" x14ac:dyDescent="0.2">
      <c r="A76" s="16"/>
      <c r="B76" s="17"/>
      <c r="C76" s="8" t="s">
        <v>110</v>
      </c>
      <c r="D76" s="9"/>
      <c r="E76" s="48"/>
      <c r="F76" s="54"/>
      <c r="G76" s="10"/>
    </row>
    <row r="77" spans="1:7" ht="12.75" x14ac:dyDescent="0.2">
      <c r="A77" s="18"/>
      <c r="B77" s="19"/>
      <c r="C77" s="8" t="s">
        <v>108</v>
      </c>
      <c r="D77" s="20"/>
      <c r="E77" s="50"/>
      <c r="F77" s="56">
        <v>0</v>
      </c>
      <c r="G77" s="21">
        <v>0</v>
      </c>
    </row>
    <row r="78" spans="1:7" ht="12.75" x14ac:dyDescent="0.2">
      <c r="A78" s="18"/>
      <c r="B78" s="19"/>
      <c r="C78" s="14"/>
      <c r="D78" s="22"/>
      <c r="E78" s="51"/>
      <c r="F78" s="57"/>
      <c r="G78" s="23"/>
    </row>
    <row r="79" spans="1:7" ht="12.75" x14ac:dyDescent="0.2">
      <c r="A79" s="1"/>
      <c r="B79" s="2"/>
      <c r="C79" s="8" t="s">
        <v>113</v>
      </c>
      <c r="D79" s="9"/>
      <c r="E79" s="48"/>
      <c r="F79" s="54"/>
      <c r="G79" s="10"/>
    </row>
    <row r="80" spans="1:7" ht="12.75" x14ac:dyDescent="0.2">
      <c r="A80" s="1"/>
      <c r="B80" s="2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1"/>
      <c r="B81" s="2"/>
      <c r="C81" s="14"/>
      <c r="D81" s="4"/>
      <c r="E81" s="47"/>
      <c r="F81" s="53"/>
      <c r="G81" s="5"/>
    </row>
    <row r="82" spans="1:7" ht="12.75" x14ac:dyDescent="0.2">
      <c r="A82" s="1"/>
      <c r="B82" s="2"/>
      <c r="C82" s="8" t="s">
        <v>114</v>
      </c>
      <c r="D82" s="9"/>
      <c r="E82" s="48"/>
      <c r="F82" s="54"/>
      <c r="G82" s="10"/>
    </row>
    <row r="83" spans="1:7" ht="12.75" x14ac:dyDescent="0.2">
      <c r="A83" s="1"/>
      <c r="B83" s="2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1"/>
      <c r="B84" s="2"/>
      <c r="C84" s="14"/>
      <c r="D84" s="4"/>
      <c r="E84" s="47"/>
      <c r="F84" s="53"/>
      <c r="G84" s="5"/>
    </row>
    <row r="85" spans="1:7" ht="12.75" x14ac:dyDescent="0.2">
      <c r="A85" s="1"/>
      <c r="B85" s="2"/>
      <c r="C85" s="8" t="s">
        <v>115</v>
      </c>
      <c r="D85" s="9"/>
      <c r="E85" s="48"/>
      <c r="F85" s="54"/>
      <c r="G85" s="10"/>
    </row>
    <row r="86" spans="1:7" ht="12.75" x14ac:dyDescent="0.2">
      <c r="A86" s="1"/>
      <c r="B86" s="2"/>
      <c r="C86" s="8" t="s">
        <v>108</v>
      </c>
      <c r="D86" s="12"/>
      <c r="E86" s="49"/>
      <c r="F86" s="55">
        <v>0</v>
      </c>
      <c r="G86" s="13">
        <v>0</v>
      </c>
    </row>
    <row r="87" spans="1:7" ht="12.75" x14ac:dyDescent="0.2">
      <c r="A87" s="1"/>
      <c r="B87" s="2"/>
      <c r="C87" s="14"/>
      <c r="D87" s="4"/>
      <c r="E87" s="47"/>
      <c r="F87" s="53"/>
      <c r="G87" s="5"/>
    </row>
    <row r="88" spans="1:7" ht="25.5" x14ac:dyDescent="0.2">
      <c r="A88" s="6"/>
      <c r="B88" s="7"/>
      <c r="C88" s="24" t="s">
        <v>116</v>
      </c>
      <c r="D88" s="25"/>
      <c r="E88" s="49"/>
      <c r="F88" s="55">
        <v>6211.161135000003</v>
      </c>
      <c r="G88" s="13">
        <v>0.97781529699999958</v>
      </c>
    </row>
    <row r="89" spans="1:7" ht="12.75" x14ac:dyDescent="0.2">
      <c r="A89" s="1"/>
      <c r="B89" s="2"/>
      <c r="C89" s="11"/>
      <c r="D89" s="4"/>
      <c r="E89" s="47"/>
      <c r="F89" s="53"/>
      <c r="G89" s="5"/>
    </row>
    <row r="90" spans="1:7" ht="12.75" x14ac:dyDescent="0.2">
      <c r="A90" s="1"/>
      <c r="B90" s="2"/>
      <c r="C90" s="3" t="s">
        <v>117</v>
      </c>
      <c r="D90" s="4"/>
      <c r="E90" s="47"/>
      <c r="F90" s="53"/>
      <c r="G90" s="5"/>
    </row>
    <row r="91" spans="1:7" ht="25.5" x14ac:dyDescent="0.2">
      <c r="A91" s="1"/>
      <c r="B91" s="2"/>
      <c r="C91" s="8" t="s">
        <v>10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12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4"/>
      <c r="E93" s="47"/>
      <c r="F93" s="53"/>
      <c r="G93" s="5"/>
    </row>
    <row r="94" spans="1:7" ht="12.75" x14ac:dyDescent="0.2">
      <c r="A94" s="1"/>
      <c r="B94" s="26"/>
      <c r="C94" s="8" t="s">
        <v>118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12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4"/>
      <c r="E96" s="47"/>
      <c r="F96" s="59"/>
      <c r="G96" s="28"/>
    </row>
    <row r="97" spans="1:7" ht="12.75" x14ac:dyDescent="0.2">
      <c r="A97" s="1"/>
      <c r="B97" s="2"/>
      <c r="C97" s="8" t="s">
        <v>119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12"/>
      <c r="E98" s="49"/>
      <c r="F98" s="55">
        <v>0</v>
      </c>
      <c r="G98" s="13">
        <v>0</v>
      </c>
    </row>
    <row r="99" spans="1:7" ht="12.75" x14ac:dyDescent="0.2">
      <c r="A99" s="1"/>
      <c r="B99" s="2"/>
      <c r="C99" s="14"/>
      <c r="D99" s="4"/>
      <c r="E99" s="47"/>
      <c r="F99" s="53"/>
      <c r="G99" s="5"/>
    </row>
    <row r="100" spans="1:7" ht="25.5" x14ac:dyDescent="0.2">
      <c r="A100" s="1"/>
      <c r="B100" s="26"/>
      <c r="C100" s="8" t="s">
        <v>120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12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4"/>
      <c r="D102" s="4"/>
      <c r="E102" s="47"/>
      <c r="F102" s="53"/>
      <c r="G102" s="5"/>
    </row>
    <row r="103" spans="1:7" ht="12.75" x14ac:dyDescent="0.2">
      <c r="A103" s="6"/>
      <c r="B103" s="7"/>
      <c r="C103" s="29" t="s">
        <v>121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1"/>
      <c r="D104" s="4"/>
      <c r="E104" s="47"/>
      <c r="F104" s="53"/>
      <c r="G104" s="5"/>
    </row>
    <row r="105" spans="1:7" ht="12.75" x14ac:dyDescent="0.2">
      <c r="A105" s="1"/>
      <c r="B105" s="2"/>
      <c r="C105" s="3" t="s">
        <v>122</v>
      </c>
      <c r="D105" s="4"/>
      <c r="E105" s="47"/>
      <c r="F105" s="53"/>
      <c r="G105" s="5"/>
    </row>
    <row r="106" spans="1:7" ht="12.75" x14ac:dyDescent="0.2">
      <c r="A106" s="6"/>
      <c r="B106" s="7"/>
      <c r="C106" s="8" t="s">
        <v>123</v>
      </c>
      <c r="D106" s="9"/>
      <c r="E106" s="48"/>
      <c r="F106" s="54"/>
      <c r="G106" s="10"/>
    </row>
    <row r="107" spans="1:7" ht="12.75" x14ac:dyDescent="0.2">
      <c r="A107" s="6"/>
      <c r="B107" s="7"/>
      <c r="C107" s="8" t="s">
        <v>108</v>
      </c>
      <c r="D107" s="25"/>
      <c r="E107" s="49"/>
      <c r="F107" s="55">
        <v>0</v>
      </c>
      <c r="G107" s="13">
        <v>0</v>
      </c>
    </row>
    <row r="108" spans="1:7" ht="12.75" x14ac:dyDescent="0.2">
      <c r="A108" s="6"/>
      <c r="B108" s="7"/>
      <c r="C108" s="14"/>
      <c r="D108" s="7"/>
      <c r="E108" s="47"/>
      <c r="F108" s="53"/>
      <c r="G108" s="5"/>
    </row>
    <row r="109" spans="1:7" ht="12.75" x14ac:dyDescent="0.2">
      <c r="A109" s="6"/>
      <c r="B109" s="7"/>
      <c r="C109" s="8" t="s">
        <v>124</v>
      </c>
      <c r="D109" s="9"/>
      <c r="E109" s="48"/>
      <c r="F109" s="54"/>
      <c r="G109" s="10"/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0</v>
      </c>
      <c r="G110" s="13">
        <v>0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12.75" x14ac:dyDescent="0.2">
      <c r="A112" s="6"/>
      <c r="B112" s="7"/>
      <c r="C112" s="8" t="s">
        <v>125</v>
      </c>
      <c r="D112" s="9"/>
      <c r="E112" s="48"/>
      <c r="F112" s="54"/>
      <c r="G112" s="10"/>
    </row>
    <row r="113" spans="1:7" ht="12.75" x14ac:dyDescent="0.2">
      <c r="A113" s="6"/>
      <c r="B113" s="7"/>
      <c r="C113" s="8" t="s">
        <v>108</v>
      </c>
      <c r="D113" s="25"/>
      <c r="E113" s="49"/>
      <c r="F113" s="55">
        <v>0</v>
      </c>
      <c r="G113" s="13">
        <v>0</v>
      </c>
    </row>
    <row r="114" spans="1:7" ht="12.75" x14ac:dyDescent="0.2">
      <c r="A114" s="6"/>
      <c r="B114" s="7"/>
      <c r="C114" s="14"/>
      <c r="D114" s="7"/>
      <c r="E114" s="47"/>
      <c r="F114" s="53"/>
      <c r="G114" s="5"/>
    </row>
    <row r="115" spans="1:7" ht="12.75" x14ac:dyDescent="0.2">
      <c r="A115" s="6"/>
      <c r="B115" s="7"/>
      <c r="C115" s="8" t="s">
        <v>126</v>
      </c>
      <c r="D115" s="9"/>
      <c r="E115" s="48"/>
      <c r="F115" s="54"/>
      <c r="G115" s="10"/>
    </row>
    <row r="116" spans="1:7" ht="12.75" x14ac:dyDescent="0.2">
      <c r="A116" s="6">
        <v>1</v>
      </c>
      <c r="B116" s="7"/>
      <c r="C116" s="11" t="s">
        <v>812</v>
      </c>
      <c r="D116" s="15"/>
      <c r="E116" s="47"/>
      <c r="F116" s="53">
        <v>117.9844842</v>
      </c>
      <c r="G116" s="5">
        <v>1.8574149000000002E-2</v>
      </c>
    </row>
    <row r="117" spans="1:7" ht="12.75" x14ac:dyDescent="0.2">
      <c r="A117" s="6"/>
      <c r="B117" s="7"/>
      <c r="C117" s="8" t="s">
        <v>108</v>
      </c>
      <c r="D117" s="25"/>
      <c r="E117" s="49"/>
      <c r="F117" s="55">
        <v>117.9844842</v>
      </c>
      <c r="G117" s="13">
        <v>1.8574149000000002E-2</v>
      </c>
    </row>
    <row r="118" spans="1:7" ht="12.75" x14ac:dyDescent="0.2">
      <c r="A118" s="6"/>
      <c r="B118" s="7"/>
      <c r="C118" s="14"/>
      <c r="D118" s="7"/>
      <c r="E118" s="47"/>
      <c r="F118" s="53"/>
      <c r="G118" s="5"/>
    </row>
    <row r="119" spans="1:7" ht="25.5" x14ac:dyDescent="0.2">
      <c r="A119" s="6"/>
      <c r="B119" s="7"/>
      <c r="C119" s="24" t="s">
        <v>127</v>
      </c>
      <c r="D119" s="25"/>
      <c r="E119" s="49"/>
      <c r="F119" s="55">
        <v>117.9844842</v>
      </c>
      <c r="G119" s="13">
        <v>1.8574149000000002E-2</v>
      </c>
    </row>
    <row r="120" spans="1:7" ht="12.75" x14ac:dyDescent="0.2">
      <c r="A120" s="6"/>
      <c r="B120" s="7"/>
      <c r="C120" s="30"/>
      <c r="D120" s="7"/>
      <c r="E120" s="47"/>
      <c r="F120" s="53"/>
      <c r="G120" s="5"/>
    </row>
    <row r="121" spans="1:7" ht="12.75" x14ac:dyDescent="0.2">
      <c r="A121" s="1"/>
      <c r="B121" s="2"/>
      <c r="C121" s="3" t="s">
        <v>128</v>
      </c>
      <c r="D121" s="4"/>
      <c r="E121" s="47"/>
      <c r="F121" s="53"/>
      <c r="G121" s="5"/>
    </row>
    <row r="122" spans="1:7" ht="25.5" x14ac:dyDescent="0.2">
      <c r="A122" s="6"/>
      <c r="B122" s="7"/>
      <c r="C122" s="8" t="s">
        <v>129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3"/>
      <c r="G124" s="5"/>
    </row>
    <row r="125" spans="1:7" ht="12.75" x14ac:dyDescent="0.2">
      <c r="A125" s="1"/>
      <c r="B125" s="2"/>
      <c r="C125" s="3" t="s">
        <v>131</v>
      </c>
      <c r="D125" s="4"/>
      <c r="E125" s="47"/>
      <c r="F125" s="53"/>
      <c r="G125" s="5"/>
    </row>
    <row r="126" spans="1:7" ht="25.5" x14ac:dyDescent="0.2">
      <c r="A126" s="6"/>
      <c r="B126" s="7"/>
      <c r="C126" s="8" t="s">
        <v>132</v>
      </c>
      <c r="D126" s="9"/>
      <c r="E126" s="48"/>
      <c r="F126" s="54"/>
      <c r="G126" s="10"/>
    </row>
    <row r="127" spans="1:7" ht="12.75" x14ac:dyDescent="0.2">
      <c r="A127" s="6"/>
      <c r="B127" s="7"/>
      <c r="C127" s="8" t="s">
        <v>108</v>
      </c>
      <c r="D127" s="25"/>
      <c r="E127" s="49"/>
      <c r="F127" s="55">
        <v>0</v>
      </c>
      <c r="G127" s="13">
        <v>0</v>
      </c>
    </row>
    <row r="128" spans="1:7" ht="12.75" x14ac:dyDescent="0.2">
      <c r="A128" s="6"/>
      <c r="B128" s="7"/>
      <c r="C128" s="14"/>
      <c r="D128" s="7"/>
      <c r="E128" s="47"/>
      <c r="F128" s="53"/>
      <c r="G128" s="5"/>
    </row>
    <row r="129" spans="1:7" ht="25.5" x14ac:dyDescent="0.2">
      <c r="A129" s="6"/>
      <c r="B129" s="7"/>
      <c r="C129" s="8" t="s">
        <v>133</v>
      </c>
      <c r="D129" s="9"/>
      <c r="E129" s="48"/>
      <c r="F129" s="54"/>
      <c r="G129" s="10"/>
    </row>
    <row r="130" spans="1:7" ht="12.75" x14ac:dyDescent="0.2">
      <c r="A130" s="6"/>
      <c r="B130" s="7"/>
      <c r="C130" s="8" t="s">
        <v>108</v>
      </c>
      <c r="D130" s="25"/>
      <c r="E130" s="49"/>
      <c r="F130" s="55">
        <v>0</v>
      </c>
      <c r="G130" s="13">
        <v>0</v>
      </c>
    </row>
    <row r="131" spans="1:7" ht="12.75" x14ac:dyDescent="0.2">
      <c r="A131" s="6"/>
      <c r="B131" s="7"/>
      <c r="C131" s="14"/>
      <c r="D131" s="7"/>
      <c r="E131" s="47"/>
      <c r="F131" s="59"/>
      <c r="G131" s="28"/>
    </row>
    <row r="132" spans="1:7" ht="25.5" x14ac:dyDescent="0.2">
      <c r="A132" s="6"/>
      <c r="B132" s="7"/>
      <c r="C132" s="30" t="s">
        <v>134</v>
      </c>
      <c r="D132" s="7"/>
      <c r="E132" s="47"/>
      <c r="F132" s="59">
        <v>22.934514790000001</v>
      </c>
      <c r="G132" s="28">
        <v>3.6105519999999999E-3</v>
      </c>
    </row>
    <row r="133" spans="1:7" ht="12.75" x14ac:dyDescent="0.2">
      <c r="A133" s="6"/>
      <c r="B133" s="7"/>
      <c r="C133" s="31" t="s">
        <v>135</v>
      </c>
      <c r="D133" s="12"/>
      <c r="E133" s="49"/>
      <c r="F133" s="55">
        <v>6352.0801339900027</v>
      </c>
      <c r="G133" s="13">
        <v>0.99999999799999961</v>
      </c>
    </row>
    <row r="135" spans="1:7" ht="12.75" x14ac:dyDescent="0.2">
      <c r="B135" s="179"/>
      <c r="C135" s="179"/>
      <c r="D135" s="179"/>
      <c r="E135" s="179"/>
      <c r="F135" s="179"/>
    </row>
    <row r="136" spans="1:7" ht="12.75" x14ac:dyDescent="0.2">
      <c r="B136" s="179"/>
      <c r="C136" s="179"/>
      <c r="D136" s="179"/>
      <c r="E136" s="179"/>
      <c r="F136" s="179"/>
    </row>
    <row r="138" spans="1:7" ht="12.75" x14ac:dyDescent="0.2">
      <c r="B138" s="37" t="s">
        <v>137</v>
      </c>
      <c r="C138" s="38"/>
      <c r="D138" s="39"/>
    </row>
    <row r="139" spans="1:7" ht="12.75" x14ac:dyDescent="0.2">
      <c r="B139" s="40" t="s">
        <v>808</v>
      </c>
      <c r="C139" s="41"/>
      <c r="D139" s="65" t="s">
        <v>138</v>
      </c>
    </row>
    <row r="140" spans="1:7" ht="12.75" x14ac:dyDescent="0.2">
      <c r="B140" s="40" t="s">
        <v>139</v>
      </c>
      <c r="C140" s="41"/>
      <c r="D140" s="65" t="s">
        <v>138</v>
      </c>
    </row>
    <row r="141" spans="1:7" ht="12.75" x14ac:dyDescent="0.2">
      <c r="B141" s="42" t="s">
        <v>140</v>
      </c>
      <c r="C141" s="41"/>
      <c r="D141" s="43"/>
    </row>
    <row r="142" spans="1:7" ht="25.5" customHeight="1" x14ac:dyDescent="0.2">
      <c r="B142" s="43"/>
      <c r="C142" s="33" t="s">
        <v>141</v>
      </c>
      <c r="D142" s="34" t="s">
        <v>142</v>
      </c>
    </row>
    <row r="143" spans="1:7" ht="12.75" customHeight="1" x14ac:dyDescent="0.2">
      <c r="B143" s="60" t="s">
        <v>143</v>
      </c>
      <c r="C143" s="61" t="s">
        <v>144</v>
      </c>
      <c r="D143" s="61" t="s">
        <v>145</v>
      </c>
    </row>
    <row r="144" spans="1:7" ht="12.75" x14ac:dyDescent="0.2">
      <c r="B144" s="43" t="s">
        <v>146</v>
      </c>
      <c r="C144" s="44">
        <v>8.9465000000000003</v>
      </c>
      <c r="D144" s="44">
        <v>9.0609000000000002</v>
      </c>
    </row>
    <row r="145" spans="2:4" ht="12.75" x14ac:dyDescent="0.2">
      <c r="B145" s="43" t="s">
        <v>147</v>
      </c>
      <c r="C145" s="44">
        <v>8.9465000000000003</v>
      </c>
      <c r="D145" s="44">
        <v>9.0609000000000002</v>
      </c>
    </row>
    <row r="146" spans="2:4" ht="12.75" x14ac:dyDescent="0.2">
      <c r="B146" s="43" t="s">
        <v>148</v>
      </c>
      <c r="C146" s="44">
        <v>8.7474000000000007</v>
      </c>
      <c r="D146" s="44">
        <v>8.8564000000000007</v>
      </c>
    </row>
    <row r="147" spans="2:4" ht="12.75" x14ac:dyDescent="0.2">
      <c r="B147" s="43" t="s">
        <v>149</v>
      </c>
      <c r="C147" s="44">
        <v>8.7474000000000007</v>
      </c>
      <c r="D147" s="44">
        <v>8.8564000000000007</v>
      </c>
    </row>
    <row r="149" spans="2:4" ht="12.75" x14ac:dyDescent="0.2">
      <c r="B149" s="62" t="s">
        <v>150</v>
      </c>
      <c r="C149" s="45"/>
      <c r="D149" s="63" t="s">
        <v>138</v>
      </c>
    </row>
    <row r="150" spans="2:4" ht="24.75" customHeight="1" x14ac:dyDescent="0.2">
      <c r="B150" s="64"/>
      <c r="C150" s="64"/>
    </row>
    <row r="151" spans="2:4" ht="15" x14ac:dyDescent="0.25">
      <c r="B151" s="66"/>
      <c r="C151" s="68"/>
      <c r="D151"/>
    </row>
    <row r="153" spans="2:4" ht="12.75" x14ac:dyDescent="0.2">
      <c r="B153" s="42" t="s">
        <v>151</v>
      </c>
      <c r="C153" s="41"/>
      <c r="D153" s="67" t="s">
        <v>138</v>
      </c>
    </row>
    <row r="154" spans="2:4" ht="12.75" x14ac:dyDescent="0.2">
      <c r="B154" s="42" t="s">
        <v>152</v>
      </c>
      <c r="C154" s="41"/>
      <c r="D154" s="67" t="s">
        <v>138</v>
      </c>
    </row>
    <row r="155" spans="2:4" ht="12.75" x14ac:dyDescent="0.2">
      <c r="B155" s="42" t="s">
        <v>153</v>
      </c>
      <c r="C155" s="41"/>
      <c r="D155" s="46">
        <v>0.17871226908025759</v>
      </c>
    </row>
    <row r="156" spans="2:4" ht="12.75" x14ac:dyDescent="0.2">
      <c r="B156" s="42" t="s">
        <v>154</v>
      </c>
      <c r="C156" s="41"/>
      <c r="D156" s="46" t="s">
        <v>138</v>
      </c>
    </row>
  </sheetData>
  <mergeCells count="5">
    <mergeCell ref="A1:G1"/>
    <mergeCell ref="A2:G2"/>
    <mergeCell ref="A3:G3"/>
    <mergeCell ref="B135:F135"/>
    <mergeCell ref="B136:F13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278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59677</v>
      </c>
      <c r="F7" s="53">
        <v>535.60107500000004</v>
      </c>
      <c r="G7" s="5">
        <v>4.9454878000000001E-2</v>
      </c>
    </row>
    <row r="8" spans="1:7" ht="25.5" x14ac:dyDescent="0.2">
      <c r="A8" s="6">
        <v>2</v>
      </c>
      <c r="B8" s="7" t="s">
        <v>23</v>
      </c>
      <c r="C8" s="11" t="s">
        <v>24</v>
      </c>
      <c r="D8" s="2" t="s">
        <v>22</v>
      </c>
      <c r="E8" s="47">
        <v>75167</v>
      </c>
      <c r="F8" s="53">
        <v>452.01675449999999</v>
      </c>
      <c r="G8" s="5">
        <v>4.1737096000000001E-2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222914</v>
      </c>
      <c r="F9" s="53">
        <v>417.07209399999999</v>
      </c>
      <c r="G9" s="5">
        <v>3.8510470999999998E-2</v>
      </c>
    </row>
    <row r="10" spans="1:7" ht="25.5" x14ac:dyDescent="0.2">
      <c r="A10" s="6">
        <v>4</v>
      </c>
      <c r="B10" s="7" t="s">
        <v>161</v>
      </c>
      <c r="C10" s="11" t="s">
        <v>162</v>
      </c>
      <c r="D10" s="2" t="s">
        <v>163</v>
      </c>
      <c r="E10" s="47">
        <v>101747</v>
      </c>
      <c r="F10" s="53">
        <v>371.07130899999999</v>
      </c>
      <c r="G10" s="5">
        <v>3.4262975000000001E-2</v>
      </c>
    </row>
    <row r="11" spans="1:7" ht="25.5" x14ac:dyDescent="0.2">
      <c r="A11" s="6">
        <v>5</v>
      </c>
      <c r="B11" s="7" t="s">
        <v>55</v>
      </c>
      <c r="C11" s="11" t="s">
        <v>56</v>
      </c>
      <c r="D11" s="2" t="s">
        <v>22</v>
      </c>
      <c r="E11" s="47">
        <v>62322</v>
      </c>
      <c r="F11" s="53">
        <v>367.98024900000001</v>
      </c>
      <c r="G11" s="5">
        <v>3.3977561000000003E-2</v>
      </c>
    </row>
    <row r="12" spans="1:7" ht="12.75" x14ac:dyDescent="0.2">
      <c r="A12" s="6">
        <v>6</v>
      </c>
      <c r="B12" s="7" t="s">
        <v>51</v>
      </c>
      <c r="C12" s="11" t="s">
        <v>52</v>
      </c>
      <c r="D12" s="2" t="s">
        <v>19</v>
      </c>
      <c r="E12" s="47">
        <v>32514</v>
      </c>
      <c r="F12" s="53">
        <v>363.19763699999999</v>
      </c>
      <c r="G12" s="5">
        <v>3.3535956999999998E-2</v>
      </c>
    </row>
    <row r="13" spans="1:7" ht="25.5" x14ac:dyDescent="0.2">
      <c r="A13" s="6">
        <v>7</v>
      </c>
      <c r="B13" s="7" t="s">
        <v>188</v>
      </c>
      <c r="C13" s="11" t="s">
        <v>189</v>
      </c>
      <c r="D13" s="2" t="s">
        <v>47</v>
      </c>
      <c r="E13" s="47">
        <v>15026</v>
      </c>
      <c r="F13" s="53">
        <v>319.40016900000001</v>
      </c>
      <c r="G13" s="5">
        <v>2.9491905999999998E-2</v>
      </c>
    </row>
    <row r="14" spans="1:7" ht="25.5" x14ac:dyDescent="0.2">
      <c r="A14" s="6">
        <v>8</v>
      </c>
      <c r="B14" s="7" t="s">
        <v>38</v>
      </c>
      <c r="C14" s="11" t="s">
        <v>39</v>
      </c>
      <c r="D14" s="2" t="s">
        <v>40</v>
      </c>
      <c r="E14" s="47">
        <v>73119</v>
      </c>
      <c r="F14" s="53">
        <v>315.43536599999999</v>
      </c>
      <c r="G14" s="5">
        <v>2.9125814999999999E-2</v>
      </c>
    </row>
    <row r="15" spans="1:7" ht="25.5" x14ac:dyDescent="0.2">
      <c r="A15" s="6">
        <v>9</v>
      </c>
      <c r="B15" s="7" t="s">
        <v>102</v>
      </c>
      <c r="C15" s="11" t="s">
        <v>103</v>
      </c>
      <c r="D15" s="2" t="s">
        <v>13</v>
      </c>
      <c r="E15" s="47">
        <v>276791</v>
      </c>
      <c r="F15" s="53">
        <v>284.81793900000002</v>
      </c>
      <c r="G15" s="5">
        <v>2.6298746000000001E-2</v>
      </c>
    </row>
    <row r="16" spans="1:7" ht="25.5" x14ac:dyDescent="0.2">
      <c r="A16" s="6">
        <v>10</v>
      </c>
      <c r="B16" s="7" t="s">
        <v>186</v>
      </c>
      <c r="C16" s="11" t="s">
        <v>187</v>
      </c>
      <c r="D16" s="2" t="s">
        <v>183</v>
      </c>
      <c r="E16" s="47">
        <v>47584</v>
      </c>
      <c r="F16" s="53">
        <v>270.18195200000002</v>
      </c>
      <c r="G16" s="5">
        <v>2.4947328000000001E-2</v>
      </c>
    </row>
    <row r="17" spans="1:7" ht="25.5" x14ac:dyDescent="0.2">
      <c r="A17" s="6">
        <v>11</v>
      </c>
      <c r="B17" s="7" t="s">
        <v>171</v>
      </c>
      <c r="C17" s="11" t="s">
        <v>172</v>
      </c>
      <c r="D17" s="2" t="s">
        <v>22</v>
      </c>
      <c r="E17" s="47">
        <v>61176</v>
      </c>
      <c r="F17" s="53">
        <v>246.41692800000001</v>
      </c>
      <c r="G17" s="5">
        <v>2.2752977000000001E-2</v>
      </c>
    </row>
    <row r="18" spans="1:7" ht="12.75" x14ac:dyDescent="0.2">
      <c r="A18" s="6">
        <v>12</v>
      </c>
      <c r="B18" s="7" t="s">
        <v>250</v>
      </c>
      <c r="C18" s="11" t="s">
        <v>251</v>
      </c>
      <c r="D18" s="2" t="s">
        <v>168</v>
      </c>
      <c r="E18" s="47">
        <v>60444</v>
      </c>
      <c r="F18" s="53">
        <v>240.808896</v>
      </c>
      <c r="G18" s="5">
        <v>2.2235158000000001E-2</v>
      </c>
    </row>
    <row r="19" spans="1:7" ht="25.5" x14ac:dyDescent="0.2">
      <c r="A19" s="6">
        <v>13</v>
      </c>
      <c r="B19" s="7" t="s">
        <v>20</v>
      </c>
      <c r="C19" s="11" t="s">
        <v>21</v>
      </c>
      <c r="D19" s="2" t="s">
        <v>22</v>
      </c>
      <c r="E19" s="47">
        <v>26989</v>
      </c>
      <c r="F19" s="53">
        <v>240.47199000000001</v>
      </c>
      <c r="G19" s="5">
        <v>2.2204049999999999E-2</v>
      </c>
    </row>
    <row r="20" spans="1:7" ht="12.75" x14ac:dyDescent="0.2">
      <c r="A20" s="6">
        <v>14</v>
      </c>
      <c r="B20" s="7" t="s">
        <v>166</v>
      </c>
      <c r="C20" s="11" t="s">
        <v>167</v>
      </c>
      <c r="D20" s="2" t="s">
        <v>168</v>
      </c>
      <c r="E20" s="47">
        <v>89890</v>
      </c>
      <c r="F20" s="53">
        <v>229.53411500000001</v>
      </c>
      <c r="G20" s="5">
        <v>2.1194098000000001E-2</v>
      </c>
    </row>
    <row r="21" spans="1:7" ht="12.75" x14ac:dyDescent="0.2">
      <c r="A21" s="6">
        <v>15</v>
      </c>
      <c r="B21" s="7" t="s">
        <v>279</v>
      </c>
      <c r="C21" s="11" t="s">
        <v>280</v>
      </c>
      <c r="D21" s="2" t="s">
        <v>281</v>
      </c>
      <c r="E21" s="47">
        <v>28006</v>
      </c>
      <c r="F21" s="53">
        <v>226.666561</v>
      </c>
      <c r="G21" s="5">
        <v>2.0929322E-2</v>
      </c>
    </row>
    <row r="22" spans="1:7" ht="25.5" x14ac:dyDescent="0.2">
      <c r="A22" s="6">
        <v>16</v>
      </c>
      <c r="B22" s="7" t="s">
        <v>41</v>
      </c>
      <c r="C22" s="11" t="s">
        <v>42</v>
      </c>
      <c r="D22" s="2" t="s">
        <v>27</v>
      </c>
      <c r="E22" s="47">
        <v>193383</v>
      </c>
      <c r="F22" s="53">
        <v>222.10037550000001</v>
      </c>
      <c r="G22" s="5">
        <v>2.0507701999999999E-2</v>
      </c>
    </row>
    <row r="23" spans="1:7" ht="38.25" x14ac:dyDescent="0.2">
      <c r="A23" s="6">
        <v>17</v>
      </c>
      <c r="B23" s="7" t="s">
        <v>75</v>
      </c>
      <c r="C23" s="11" t="s">
        <v>76</v>
      </c>
      <c r="D23" s="2" t="s">
        <v>77</v>
      </c>
      <c r="E23" s="47">
        <v>278377</v>
      </c>
      <c r="F23" s="53">
        <v>219.361076</v>
      </c>
      <c r="G23" s="5">
        <v>2.0254767999999999E-2</v>
      </c>
    </row>
    <row r="24" spans="1:7" ht="12.75" x14ac:dyDescent="0.2">
      <c r="A24" s="6">
        <v>18</v>
      </c>
      <c r="B24" s="7" t="s">
        <v>282</v>
      </c>
      <c r="C24" s="11" t="s">
        <v>283</v>
      </c>
      <c r="D24" s="2" t="s">
        <v>19</v>
      </c>
      <c r="E24" s="47">
        <v>116255</v>
      </c>
      <c r="F24" s="53">
        <v>212.86290500000001</v>
      </c>
      <c r="G24" s="5">
        <v>1.9654756999999998E-2</v>
      </c>
    </row>
    <row r="25" spans="1:7" ht="12.75" x14ac:dyDescent="0.2">
      <c r="A25" s="6">
        <v>19</v>
      </c>
      <c r="B25" s="7" t="s">
        <v>229</v>
      </c>
      <c r="C25" s="11" t="s">
        <v>230</v>
      </c>
      <c r="D25" s="2" t="s">
        <v>50</v>
      </c>
      <c r="E25" s="47">
        <v>84224</v>
      </c>
      <c r="F25" s="53">
        <v>201.042688</v>
      </c>
      <c r="G25" s="5">
        <v>1.8563334000000001E-2</v>
      </c>
    </row>
    <row r="26" spans="1:7" ht="25.5" x14ac:dyDescent="0.2">
      <c r="A26" s="6">
        <v>20</v>
      </c>
      <c r="B26" s="7" t="s">
        <v>83</v>
      </c>
      <c r="C26" s="11" t="s">
        <v>84</v>
      </c>
      <c r="D26" s="2" t="s">
        <v>22</v>
      </c>
      <c r="E26" s="47">
        <v>181495</v>
      </c>
      <c r="F26" s="53">
        <v>197.9202975</v>
      </c>
      <c r="G26" s="5">
        <v>1.8275026999999999E-2</v>
      </c>
    </row>
    <row r="27" spans="1:7" ht="25.5" x14ac:dyDescent="0.2">
      <c r="A27" s="6">
        <v>21</v>
      </c>
      <c r="B27" s="7" t="s">
        <v>213</v>
      </c>
      <c r="C27" s="11" t="s">
        <v>214</v>
      </c>
      <c r="D27" s="2" t="s">
        <v>163</v>
      </c>
      <c r="E27" s="47">
        <v>185657</v>
      </c>
      <c r="F27" s="53">
        <v>189.64862550000001</v>
      </c>
      <c r="G27" s="5">
        <v>1.7511260000000001E-2</v>
      </c>
    </row>
    <row r="28" spans="1:7" ht="51" x14ac:dyDescent="0.2">
      <c r="A28" s="6">
        <v>22</v>
      </c>
      <c r="B28" s="7" t="s">
        <v>247</v>
      </c>
      <c r="C28" s="11" t="s">
        <v>248</v>
      </c>
      <c r="D28" s="2" t="s">
        <v>208</v>
      </c>
      <c r="E28" s="47">
        <v>84532</v>
      </c>
      <c r="F28" s="53">
        <v>182.88498200000001</v>
      </c>
      <c r="G28" s="5">
        <v>1.6886736999999999E-2</v>
      </c>
    </row>
    <row r="29" spans="1:7" ht="12.75" x14ac:dyDescent="0.2">
      <c r="A29" s="6">
        <v>23</v>
      </c>
      <c r="B29" s="7" t="s">
        <v>175</v>
      </c>
      <c r="C29" s="11" t="s">
        <v>176</v>
      </c>
      <c r="D29" s="2" t="s">
        <v>19</v>
      </c>
      <c r="E29" s="47">
        <v>209020</v>
      </c>
      <c r="F29" s="53">
        <v>175.26327000000001</v>
      </c>
      <c r="G29" s="5">
        <v>1.6182984000000001E-2</v>
      </c>
    </row>
    <row r="30" spans="1:7" ht="12.75" x14ac:dyDescent="0.2">
      <c r="A30" s="6">
        <v>24</v>
      </c>
      <c r="B30" s="7" t="s">
        <v>61</v>
      </c>
      <c r="C30" s="11" t="s">
        <v>62</v>
      </c>
      <c r="D30" s="2" t="s">
        <v>19</v>
      </c>
      <c r="E30" s="47">
        <v>178780</v>
      </c>
      <c r="F30" s="53">
        <v>172.34392</v>
      </c>
      <c r="G30" s="5">
        <v>1.5913424999999998E-2</v>
      </c>
    </row>
    <row r="31" spans="1:7" ht="25.5" x14ac:dyDescent="0.2">
      <c r="A31" s="6">
        <v>25</v>
      </c>
      <c r="B31" s="7" t="s">
        <v>57</v>
      </c>
      <c r="C31" s="11" t="s">
        <v>58</v>
      </c>
      <c r="D31" s="2" t="s">
        <v>27</v>
      </c>
      <c r="E31" s="47">
        <v>45520</v>
      </c>
      <c r="F31" s="53">
        <v>169.72131999999999</v>
      </c>
      <c r="G31" s="5">
        <v>1.5671266999999999E-2</v>
      </c>
    </row>
    <row r="32" spans="1:7" ht="12.75" x14ac:dyDescent="0.2">
      <c r="A32" s="6">
        <v>26</v>
      </c>
      <c r="B32" s="7" t="s">
        <v>252</v>
      </c>
      <c r="C32" s="11" t="s">
        <v>253</v>
      </c>
      <c r="D32" s="2" t="s">
        <v>242</v>
      </c>
      <c r="E32" s="47">
        <v>11688</v>
      </c>
      <c r="F32" s="53">
        <v>162.17684399999999</v>
      </c>
      <c r="G32" s="5">
        <v>1.4974645E-2</v>
      </c>
    </row>
    <row r="33" spans="1:7" ht="12.75" x14ac:dyDescent="0.2">
      <c r="A33" s="6">
        <v>27</v>
      </c>
      <c r="B33" s="7" t="s">
        <v>190</v>
      </c>
      <c r="C33" s="11" t="s">
        <v>191</v>
      </c>
      <c r="D33" s="2" t="s">
        <v>192</v>
      </c>
      <c r="E33" s="47">
        <v>103185</v>
      </c>
      <c r="F33" s="53">
        <v>158.9564925</v>
      </c>
      <c r="G33" s="5">
        <v>1.4677292999999999E-2</v>
      </c>
    </row>
    <row r="34" spans="1:7" ht="25.5" x14ac:dyDescent="0.2">
      <c r="A34" s="6">
        <v>28</v>
      </c>
      <c r="B34" s="7" t="s">
        <v>73</v>
      </c>
      <c r="C34" s="11" t="s">
        <v>74</v>
      </c>
      <c r="D34" s="2" t="s">
        <v>22</v>
      </c>
      <c r="E34" s="47">
        <v>23975</v>
      </c>
      <c r="F34" s="53">
        <v>157.10817499999999</v>
      </c>
      <c r="G34" s="5">
        <v>1.4506628000000001E-2</v>
      </c>
    </row>
    <row r="35" spans="1:7" ht="12.75" x14ac:dyDescent="0.2">
      <c r="A35" s="6">
        <v>29</v>
      </c>
      <c r="B35" s="7" t="s">
        <v>48</v>
      </c>
      <c r="C35" s="11" t="s">
        <v>49</v>
      </c>
      <c r="D35" s="2" t="s">
        <v>50</v>
      </c>
      <c r="E35" s="47">
        <v>74785</v>
      </c>
      <c r="F35" s="53">
        <v>154.24406250000001</v>
      </c>
      <c r="G35" s="5">
        <v>1.424217E-2</v>
      </c>
    </row>
    <row r="36" spans="1:7" ht="12.75" x14ac:dyDescent="0.2">
      <c r="A36" s="6">
        <v>30</v>
      </c>
      <c r="B36" s="7" t="s">
        <v>193</v>
      </c>
      <c r="C36" s="11" t="s">
        <v>194</v>
      </c>
      <c r="D36" s="2" t="s">
        <v>72</v>
      </c>
      <c r="E36" s="47">
        <v>16100</v>
      </c>
      <c r="F36" s="53">
        <v>142.83115000000001</v>
      </c>
      <c r="G36" s="5">
        <v>1.3188355000000001E-2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104821</v>
      </c>
      <c r="F37" s="53">
        <v>140.19808750000001</v>
      </c>
      <c r="G37" s="5">
        <v>1.294523E-2</v>
      </c>
    </row>
    <row r="38" spans="1:7" ht="25.5" x14ac:dyDescent="0.2">
      <c r="A38" s="6">
        <v>32</v>
      </c>
      <c r="B38" s="7" t="s">
        <v>97</v>
      </c>
      <c r="C38" s="11" t="s">
        <v>98</v>
      </c>
      <c r="D38" s="2" t="s">
        <v>99</v>
      </c>
      <c r="E38" s="47">
        <v>70349</v>
      </c>
      <c r="F38" s="53">
        <v>138.6227045</v>
      </c>
      <c r="G38" s="5">
        <v>1.2799767E-2</v>
      </c>
    </row>
    <row r="39" spans="1:7" ht="12.75" x14ac:dyDescent="0.2">
      <c r="A39" s="6">
        <v>33</v>
      </c>
      <c r="B39" s="7" t="s">
        <v>254</v>
      </c>
      <c r="C39" s="11" t="s">
        <v>255</v>
      </c>
      <c r="D39" s="2" t="s">
        <v>168</v>
      </c>
      <c r="E39" s="47">
        <v>49328</v>
      </c>
      <c r="F39" s="53">
        <v>136.61389600000001</v>
      </c>
      <c r="G39" s="5">
        <v>1.2614283E-2</v>
      </c>
    </row>
    <row r="40" spans="1:7" ht="25.5" x14ac:dyDescent="0.2">
      <c r="A40" s="6">
        <v>34</v>
      </c>
      <c r="B40" s="7" t="s">
        <v>200</v>
      </c>
      <c r="C40" s="11" t="s">
        <v>201</v>
      </c>
      <c r="D40" s="2" t="s">
        <v>30</v>
      </c>
      <c r="E40" s="47">
        <v>44106</v>
      </c>
      <c r="F40" s="53">
        <v>132.03131099999999</v>
      </c>
      <c r="G40" s="5">
        <v>1.2191149E-2</v>
      </c>
    </row>
    <row r="41" spans="1:7" ht="12.75" x14ac:dyDescent="0.2">
      <c r="A41" s="6">
        <v>35</v>
      </c>
      <c r="B41" s="7" t="s">
        <v>184</v>
      </c>
      <c r="C41" s="11" t="s">
        <v>185</v>
      </c>
      <c r="D41" s="2" t="s">
        <v>16</v>
      </c>
      <c r="E41" s="47">
        <v>71194</v>
      </c>
      <c r="F41" s="53">
        <v>128.25599099999999</v>
      </c>
      <c r="G41" s="5">
        <v>1.1842554E-2</v>
      </c>
    </row>
    <row r="42" spans="1:7" ht="25.5" x14ac:dyDescent="0.2">
      <c r="A42" s="6">
        <v>36</v>
      </c>
      <c r="B42" s="7" t="s">
        <v>177</v>
      </c>
      <c r="C42" s="11" t="s">
        <v>178</v>
      </c>
      <c r="D42" s="2" t="s">
        <v>47</v>
      </c>
      <c r="E42" s="47">
        <v>77991</v>
      </c>
      <c r="F42" s="53">
        <v>127.281312</v>
      </c>
      <c r="G42" s="5">
        <v>1.1752556000000001E-2</v>
      </c>
    </row>
    <row r="43" spans="1:7" ht="12.75" x14ac:dyDescent="0.2">
      <c r="A43" s="6">
        <v>37</v>
      </c>
      <c r="B43" s="7" t="s">
        <v>204</v>
      </c>
      <c r="C43" s="11" t="s">
        <v>205</v>
      </c>
      <c r="D43" s="2" t="s">
        <v>72</v>
      </c>
      <c r="E43" s="47">
        <v>45022</v>
      </c>
      <c r="F43" s="53">
        <v>122.842527</v>
      </c>
      <c r="G43" s="5">
        <v>1.1342700000000001E-2</v>
      </c>
    </row>
    <row r="44" spans="1:7" ht="12.75" x14ac:dyDescent="0.2">
      <c r="A44" s="6">
        <v>38</v>
      </c>
      <c r="B44" s="7" t="s">
        <v>260</v>
      </c>
      <c r="C44" s="11" t="s">
        <v>261</v>
      </c>
      <c r="D44" s="2" t="s">
        <v>242</v>
      </c>
      <c r="E44" s="47">
        <v>12700</v>
      </c>
      <c r="F44" s="53">
        <v>119.51335</v>
      </c>
      <c r="G44" s="5">
        <v>1.1035299E-2</v>
      </c>
    </row>
    <row r="45" spans="1:7" ht="25.5" x14ac:dyDescent="0.2">
      <c r="A45" s="6">
        <v>39</v>
      </c>
      <c r="B45" s="7" t="s">
        <v>215</v>
      </c>
      <c r="C45" s="11" t="s">
        <v>216</v>
      </c>
      <c r="D45" s="2" t="s">
        <v>13</v>
      </c>
      <c r="E45" s="47">
        <v>205203</v>
      </c>
      <c r="F45" s="53">
        <v>118.60733399999999</v>
      </c>
      <c r="G45" s="5">
        <v>1.0951641999999999E-2</v>
      </c>
    </row>
    <row r="46" spans="1:7" ht="51" x14ac:dyDescent="0.2">
      <c r="A46" s="6">
        <v>40</v>
      </c>
      <c r="B46" s="7" t="s">
        <v>206</v>
      </c>
      <c r="C46" s="11" t="s">
        <v>207</v>
      </c>
      <c r="D46" s="2" t="s">
        <v>208</v>
      </c>
      <c r="E46" s="47">
        <v>188141</v>
      </c>
      <c r="F46" s="53">
        <v>114.954151</v>
      </c>
      <c r="G46" s="5">
        <v>1.0614324E-2</v>
      </c>
    </row>
    <row r="47" spans="1:7" ht="25.5" x14ac:dyDescent="0.2">
      <c r="A47" s="6">
        <v>41</v>
      </c>
      <c r="B47" s="7" t="s">
        <v>181</v>
      </c>
      <c r="C47" s="11" t="s">
        <v>182</v>
      </c>
      <c r="D47" s="2" t="s">
        <v>183</v>
      </c>
      <c r="E47" s="47">
        <v>93548</v>
      </c>
      <c r="F47" s="53">
        <v>111.135024</v>
      </c>
      <c r="G47" s="5">
        <v>1.0261684E-2</v>
      </c>
    </row>
    <row r="48" spans="1:7" ht="12.75" x14ac:dyDescent="0.2">
      <c r="A48" s="6">
        <v>42</v>
      </c>
      <c r="B48" s="7" t="s">
        <v>262</v>
      </c>
      <c r="C48" s="11" t="s">
        <v>263</v>
      </c>
      <c r="D48" s="2" t="s">
        <v>242</v>
      </c>
      <c r="E48" s="47">
        <v>119925</v>
      </c>
      <c r="F48" s="53">
        <v>109.25167500000001</v>
      </c>
      <c r="G48" s="5">
        <v>1.0087785E-2</v>
      </c>
    </row>
    <row r="49" spans="1:7" ht="25.5" x14ac:dyDescent="0.2">
      <c r="A49" s="6">
        <v>43</v>
      </c>
      <c r="B49" s="7" t="s">
        <v>209</v>
      </c>
      <c r="C49" s="11" t="s">
        <v>210</v>
      </c>
      <c r="D49" s="2" t="s">
        <v>22</v>
      </c>
      <c r="E49" s="47">
        <v>16127</v>
      </c>
      <c r="F49" s="53">
        <v>108.486329</v>
      </c>
      <c r="G49" s="5">
        <v>1.0017116E-2</v>
      </c>
    </row>
    <row r="50" spans="1:7" ht="51" x14ac:dyDescent="0.2">
      <c r="A50" s="6">
        <v>44</v>
      </c>
      <c r="B50" s="7" t="s">
        <v>264</v>
      </c>
      <c r="C50" s="11" t="s">
        <v>265</v>
      </c>
      <c r="D50" s="2" t="s">
        <v>208</v>
      </c>
      <c r="E50" s="47">
        <v>64794</v>
      </c>
      <c r="F50" s="53">
        <v>108.01159800000001</v>
      </c>
      <c r="G50" s="5">
        <v>9.973282E-3</v>
      </c>
    </row>
    <row r="51" spans="1:7" ht="12.75" x14ac:dyDescent="0.2">
      <c r="A51" s="6">
        <v>45</v>
      </c>
      <c r="B51" s="7" t="s">
        <v>221</v>
      </c>
      <c r="C51" s="11" t="s">
        <v>222</v>
      </c>
      <c r="D51" s="2" t="s">
        <v>223</v>
      </c>
      <c r="E51" s="47">
        <v>21869</v>
      </c>
      <c r="F51" s="53">
        <v>99.219652999999994</v>
      </c>
      <c r="G51" s="5">
        <v>9.1614750000000005E-3</v>
      </c>
    </row>
    <row r="52" spans="1:7" ht="12.75" x14ac:dyDescent="0.2">
      <c r="A52" s="6">
        <v>46</v>
      </c>
      <c r="B52" s="7" t="s">
        <v>268</v>
      </c>
      <c r="C52" s="11" t="s">
        <v>269</v>
      </c>
      <c r="D52" s="2" t="s">
        <v>72</v>
      </c>
      <c r="E52" s="47">
        <v>21569</v>
      </c>
      <c r="F52" s="53">
        <v>96.812456499999996</v>
      </c>
      <c r="G52" s="5">
        <v>8.9392059999999999E-3</v>
      </c>
    </row>
    <row r="53" spans="1:7" ht="12.75" x14ac:dyDescent="0.2">
      <c r="A53" s="6">
        <v>47</v>
      </c>
      <c r="B53" s="7" t="s">
        <v>68</v>
      </c>
      <c r="C53" s="11" t="s">
        <v>69</v>
      </c>
      <c r="D53" s="2" t="s">
        <v>50</v>
      </c>
      <c r="E53" s="47">
        <v>45310</v>
      </c>
      <c r="F53" s="53">
        <v>96.510300000000001</v>
      </c>
      <c r="G53" s="5">
        <v>8.9113060000000008E-3</v>
      </c>
    </row>
    <row r="54" spans="1:7" ht="25.5" x14ac:dyDescent="0.2">
      <c r="A54" s="6">
        <v>48</v>
      </c>
      <c r="B54" s="7" t="s">
        <v>66</v>
      </c>
      <c r="C54" s="11" t="s">
        <v>67</v>
      </c>
      <c r="D54" s="2" t="s">
        <v>27</v>
      </c>
      <c r="E54" s="47">
        <v>63135</v>
      </c>
      <c r="F54" s="53">
        <v>91.608885000000001</v>
      </c>
      <c r="G54" s="5">
        <v>8.4587329999999995E-3</v>
      </c>
    </row>
    <row r="55" spans="1:7" ht="12.75" x14ac:dyDescent="0.2">
      <c r="A55" s="6">
        <v>49</v>
      </c>
      <c r="B55" s="7" t="s">
        <v>270</v>
      </c>
      <c r="C55" s="11" t="s">
        <v>271</v>
      </c>
      <c r="D55" s="2" t="s">
        <v>192</v>
      </c>
      <c r="E55" s="47">
        <v>120496</v>
      </c>
      <c r="F55" s="53">
        <v>91.094976000000003</v>
      </c>
      <c r="G55" s="5">
        <v>8.4112809999999996E-3</v>
      </c>
    </row>
    <row r="56" spans="1:7" ht="25.5" x14ac:dyDescent="0.2">
      <c r="A56" s="6">
        <v>50</v>
      </c>
      <c r="B56" s="7" t="s">
        <v>266</v>
      </c>
      <c r="C56" s="11" t="s">
        <v>267</v>
      </c>
      <c r="D56" s="2" t="s">
        <v>27</v>
      </c>
      <c r="E56" s="47">
        <v>90345</v>
      </c>
      <c r="F56" s="53">
        <v>91.067760000000007</v>
      </c>
      <c r="G56" s="5">
        <v>8.4087680000000005E-3</v>
      </c>
    </row>
    <row r="57" spans="1:7" ht="12.75" x14ac:dyDescent="0.2">
      <c r="A57" s="6">
        <v>51</v>
      </c>
      <c r="B57" s="7" t="s">
        <v>198</v>
      </c>
      <c r="C57" s="11" t="s">
        <v>199</v>
      </c>
      <c r="D57" s="2" t="s">
        <v>40</v>
      </c>
      <c r="E57" s="47">
        <v>147461</v>
      </c>
      <c r="F57" s="53">
        <v>88.034216999999998</v>
      </c>
      <c r="G57" s="5">
        <v>8.1286650000000002E-3</v>
      </c>
    </row>
    <row r="58" spans="1:7" ht="12.75" x14ac:dyDescent="0.2">
      <c r="A58" s="6">
        <v>52</v>
      </c>
      <c r="B58" s="7" t="s">
        <v>227</v>
      </c>
      <c r="C58" s="11" t="s">
        <v>228</v>
      </c>
      <c r="D58" s="2" t="s">
        <v>158</v>
      </c>
      <c r="E58" s="47">
        <v>48950</v>
      </c>
      <c r="F58" s="53">
        <v>82.407325</v>
      </c>
      <c r="G58" s="5">
        <v>7.6091040000000002E-3</v>
      </c>
    </row>
    <row r="59" spans="1:7" ht="12.75" x14ac:dyDescent="0.2">
      <c r="A59" s="6">
        <v>53</v>
      </c>
      <c r="B59" s="7" t="s">
        <v>87</v>
      </c>
      <c r="C59" s="11" t="s">
        <v>88</v>
      </c>
      <c r="D59" s="2"/>
      <c r="E59" s="47">
        <v>44000</v>
      </c>
      <c r="F59" s="53">
        <v>74.843999999999994</v>
      </c>
      <c r="G59" s="5">
        <v>6.9107420000000001E-3</v>
      </c>
    </row>
    <row r="60" spans="1:7" ht="25.5" x14ac:dyDescent="0.2">
      <c r="A60" s="6">
        <v>54</v>
      </c>
      <c r="B60" s="7" t="s">
        <v>231</v>
      </c>
      <c r="C60" s="11" t="s">
        <v>232</v>
      </c>
      <c r="D60" s="2" t="s">
        <v>47</v>
      </c>
      <c r="E60" s="47">
        <v>28882</v>
      </c>
      <c r="F60" s="53">
        <v>72.840404000000007</v>
      </c>
      <c r="G60" s="5">
        <v>6.7257389999999997E-3</v>
      </c>
    </row>
    <row r="61" spans="1:7" ht="12.75" x14ac:dyDescent="0.2">
      <c r="A61" s="6">
        <v>55</v>
      </c>
      <c r="B61" s="7" t="s">
        <v>233</v>
      </c>
      <c r="C61" s="11" t="s">
        <v>234</v>
      </c>
      <c r="D61" s="2" t="s">
        <v>192</v>
      </c>
      <c r="E61" s="47">
        <v>40090</v>
      </c>
      <c r="F61" s="53">
        <v>72.663124999999994</v>
      </c>
      <c r="G61" s="5">
        <v>6.7093700000000001E-3</v>
      </c>
    </row>
    <row r="62" spans="1:7" ht="12.75" x14ac:dyDescent="0.2">
      <c r="A62" s="6">
        <v>56</v>
      </c>
      <c r="B62" s="7" t="s">
        <v>235</v>
      </c>
      <c r="C62" s="11" t="s">
        <v>236</v>
      </c>
      <c r="D62" s="2" t="s">
        <v>237</v>
      </c>
      <c r="E62" s="47">
        <v>5182</v>
      </c>
      <c r="F62" s="53">
        <v>56.885404999999999</v>
      </c>
      <c r="G62" s="5">
        <v>5.25253E-3</v>
      </c>
    </row>
    <row r="63" spans="1:7" ht="12.75" x14ac:dyDescent="0.2">
      <c r="A63" s="6">
        <v>57</v>
      </c>
      <c r="B63" s="7" t="s">
        <v>100</v>
      </c>
      <c r="C63" s="11" t="s">
        <v>101</v>
      </c>
      <c r="D63" s="2" t="s">
        <v>50</v>
      </c>
      <c r="E63" s="47">
        <v>56005</v>
      </c>
      <c r="F63" s="53">
        <v>53.4567725</v>
      </c>
      <c r="G63" s="5">
        <v>4.9359460000000001E-3</v>
      </c>
    </row>
    <row r="64" spans="1:7" ht="12.75" x14ac:dyDescent="0.2">
      <c r="A64" s="6">
        <v>58</v>
      </c>
      <c r="B64" s="7" t="s">
        <v>238</v>
      </c>
      <c r="C64" s="11" t="s">
        <v>239</v>
      </c>
      <c r="D64" s="2" t="s">
        <v>72</v>
      </c>
      <c r="E64" s="47">
        <v>94221</v>
      </c>
      <c r="F64" s="53">
        <v>50.4553455</v>
      </c>
      <c r="G64" s="5">
        <v>4.6588089999999999E-3</v>
      </c>
    </row>
    <row r="65" spans="1:7" ht="38.25" x14ac:dyDescent="0.2">
      <c r="A65" s="6">
        <v>59</v>
      </c>
      <c r="B65" s="7" t="s">
        <v>272</v>
      </c>
      <c r="C65" s="11" t="s">
        <v>273</v>
      </c>
      <c r="D65" s="2" t="s">
        <v>274</v>
      </c>
      <c r="E65" s="47">
        <v>56589</v>
      </c>
      <c r="F65" s="53">
        <v>42.102215999999999</v>
      </c>
      <c r="G65" s="5">
        <v>3.8875200000000002E-3</v>
      </c>
    </row>
    <row r="66" spans="1:7" ht="25.5" x14ac:dyDescent="0.2">
      <c r="A66" s="6">
        <v>60</v>
      </c>
      <c r="B66" s="7" t="s">
        <v>284</v>
      </c>
      <c r="C66" s="11" t="s">
        <v>285</v>
      </c>
      <c r="D66" s="2" t="s">
        <v>30</v>
      </c>
      <c r="E66" s="47">
        <v>38000</v>
      </c>
      <c r="F66" s="53">
        <v>32.052999999999997</v>
      </c>
      <c r="G66" s="5">
        <v>2.9596230000000002E-3</v>
      </c>
    </row>
    <row r="67" spans="1:7" ht="12.75" x14ac:dyDescent="0.2">
      <c r="A67" s="6">
        <v>61</v>
      </c>
      <c r="B67" s="7" t="s">
        <v>240</v>
      </c>
      <c r="C67" s="11" t="s">
        <v>241</v>
      </c>
      <c r="D67" s="2" t="s">
        <v>242</v>
      </c>
      <c r="E67" s="47">
        <v>7642</v>
      </c>
      <c r="F67" s="53">
        <v>31.083835000000001</v>
      </c>
      <c r="G67" s="5">
        <v>2.8701349999999998E-3</v>
      </c>
    </row>
    <row r="68" spans="1:7" ht="12.75" x14ac:dyDescent="0.2">
      <c r="A68" s="6">
        <v>62</v>
      </c>
      <c r="B68" s="7" t="s">
        <v>219</v>
      </c>
      <c r="C68" s="11" t="s">
        <v>220</v>
      </c>
      <c r="D68" s="2" t="s">
        <v>72</v>
      </c>
      <c r="E68" s="47">
        <v>13364</v>
      </c>
      <c r="F68" s="53">
        <v>25.217867999999999</v>
      </c>
      <c r="G68" s="5">
        <v>2.3284989999999999E-3</v>
      </c>
    </row>
    <row r="69" spans="1:7" ht="12.75" x14ac:dyDescent="0.2">
      <c r="A69" s="6">
        <v>63</v>
      </c>
      <c r="B69" s="7" t="s">
        <v>106</v>
      </c>
      <c r="C69" s="11" t="s">
        <v>107</v>
      </c>
      <c r="D69" s="2" t="s">
        <v>50</v>
      </c>
      <c r="E69" s="47">
        <v>44000</v>
      </c>
      <c r="F69" s="53">
        <v>21.12</v>
      </c>
      <c r="G69" s="5">
        <v>1.950121E-3</v>
      </c>
    </row>
    <row r="70" spans="1:7" ht="25.5" x14ac:dyDescent="0.2">
      <c r="A70" s="6">
        <v>64</v>
      </c>
      <c r="B70" s="7" t="s">
        <v>243</v>
      </c>
      <c r="C70" s="11" t="s">
        <v>244</v>
      </c>
      <c r="D70" s="2" t="s">
        <v>163</v>
      </c>
      <c r="E70" s="47">
        <v>32894</v>
      </c>
      <c r="F70" s="53">
        <v>20.048893</v>
      </c>
      <c r="G70" s="5">
        <v>1.85122E-3</v>
      </c>
    </row>
    <row r="71" spans="1:7" ht="25.5" x14ac:dyDescent="0.2">
      <c r="A71" s="6">
        <v>65</v>
      </c>
      <c r="B71" s="7" t="s">
        <v>245</v>
      </c>
      <c r="C71" s="11" t="s">
        <v>246</v>
      </c>
      <c r="D71" s="2" t="s">
        <v>30</v>
      </c>
      <c r="E71" s="47">
        <v>122313</v>
      </c>
      <c r="F71" s="53">
        <v>8.5619099999999992</v>
      </c>
      <c r="G71" s="5">
        <v>7.9056600000000003E-4</v>
      </c>
    </row>
    <row r="72" spans="1:7" ht="12.75" x14ac:dyDescent="0.2">
      <c r="A72" s="6">
        <v>66</v>
      </c>
      <c r="B72" s="7" t="s">
        <v>276</v>
      </c>
      <c r="C72" s="11" t="s">
        <v>277</v>
      </c>
      <c r="D72" s="2" t="s">
        <v>72</v>
      </c>
      <c r="E72" s="47">
        <v>2099</v>
      </c>
      <c r="F72" s="53">
        <v>1.6372199999999999</v>
      </c>
      <c r="G72" s="5">
        <v>1.51173E-4</v>
      </c>
    </row>
    <row r="73" spans="1:7" ht="12.75" x14ac:dyDescent="0.2">
      <c r="A73" s="1"/>
      <c r="B73" s="2"/>
      <c r="C73" s="8" t="s">
        <v>108</v>
      </c>
      <c r="D73" s="12"/>
      <c r="E73" s="49"/>
      <c r="F73" s="55">
        <v>10614.670074499998</v>
      </c>
      <c r="G73" s="13">
        <v>0.98010859200000011</v>
      </c>
    </row>
    <row r="74" spans="1:7" ht="12.75" x14ac:dyDescent="0.2">
      <c r="A74" s="6"/>
      <c r="B74" s="7"/>
      <c r="C74" s="14"/>
      <c r="D74" s="15"/>
      <c r="E74" s="47"/>
      <c r="F74" s="53"/>
      <c r="G74" s="5"/>
    </row>
    <row r="75" spans="1:7" ht="12.75" x14ac:dyDescent="0.2">
      <c r="A75" s="1"/>
      <c r="B75" s="2"/>
      <c r="C75" s="8" t="s">
        <v>109</v>
      </c>
      <c r="D75" s="9"/>
      <c r="E75" s="48"/>
      <c r="F75" s="54"/>
      <c r="G75" s="10"/>
    </row>
    <row r="76" spans="1:7" ht="12.75" x14ac:dyDescent="0.2">
      <c r="A76" s="1"/>
      <c r="B76" s="2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6"/>
      <c r="B77" s="7"/>
      <c r="C77" s="14"/>
      <c r="D77" s="15"/>
      <c r="E77" s="47"/>
      <c r="F77" s="53"/>
      <c r="G77" s="5"/>
    </row>
    <row r="78" spans="1:7" ht="12.75" x14ac:dyDescent="0.2">
      <c r="A78" s="16"/>
      <c r="B78" s="17"/>
      <c r="C78" s="8" t="s">
        <v>110</v>
      </c>
      <c r="D78" s="9"/>
      <c r="E78" s="48"/>
      <c r="F78" s="54"/>
      <c r="G78" s="10"/>
    </row>
    <row r="79" spans="1:7" ht="12.75" x14ac:dyDescent="0.2">
      <c r="A79" s="18"/>
      <c r="B79" s="19"/>
      <c r="C79" s="8" t="s">
        <v>108</v>
      </c>
      <c r="D79" s="20"/>
      <c r="E79" s="50"/>
      <c r="F79" s="56">
        <v>0</v>
      </c>
      <c r="G79" s="21">
        <v>0</v>
      </c>
    </row>
    <row r="80" spans="1:7" ht="12.75" x14ac:dyDescent="0.2">
      <c r="A80" s="18"/>
      <c r="B80" s="19"/>
      <c r="C80" s="14"/>
      <c r="D80" s="22"/>
      <c r="E80" s="51"/>
      <c r="F80" s="57"/>
      <c r="G80" s="23"/>
    </row>
    <row r="81" spans="1:7" ht="12.75" x14ac:dyDescent="0.2">
      <c r="A81" s="1"/>
      <c r="B81" s="2"/>
      <c r="C81" s="8" t="s">
        <v>113</v>
      </c>
      <c r="D81" s="9"/>
      <c r="E81" s="48"/>
      <c r="F81" s="54"/>
      <c r="G81" s="10"/>
    </row>
    <row r="82" spans="1:7" ht="12.75" x14ac:dyDescent="0.2">
      <c r="A82" s="1"/>
      <c r="B82" s="2"/>
      <c r="C82" s="8" t="s">
        <v>108</v>
      </c>
      <c r="D82" s="12"/>
      <c r="E82" s="49"/>
      <c r="F82" s="55">
        <v>0</v>
      </c>
      <c r="G82" s="13">
        <v>0</v>
      </c>
    </row>
    <row r="83" spans="1:7" ht="12.75" x14ac:dyDescent="0.2">
      <c r="A83" s="1"/>
      <c r="B83" s="2"/>
      <c r="C83" s="14"/>
      <c r="D83" s="4"/>
      <c r="E83" s="47"/>
      <c r="F83" s="53"/>
      <c r="G83" s="5"/>
    </row>
    <row r="84" spans="1:7" ht="12.75" x14ac:dyDescent="0.2">
      <c r="A84" s="1"/>
      <c r="B84" s="2"/>
      <c r="C84" s="8" t="s">
        <v>114</v>
      </c>
      <c r="D84" s="9"/>
      <c r="E84" s="48"/>
      <c r="F84" s="54"/>
      <c r="G84" s="10"/>
    </row>
    <row r="85" spans="1:7" ht="12.75" x14ac:dyDescent="0.2">
      <c r="A85" s="1"/>
      <c r="B85" s="2"/>
      <c r="C85" s="8" t="s">
        <v>108</v>
      </c>
      <c r="D85" s="12"/>
      <c r="E85" s="49"/>
      <c r="F85" s="55">
        <v>0</v>
      </c>
      <c r="G85" s="13">
        <v>0</v>
      </c>
    </row>
    <row r="86" spans="1:7" ht="12.75" x14ac:dyDescent="0.2">
      <c r="A86" s="1"/>
      <c r="B86" s="2"/>
      <c r="C86" s="14"/>
      <c r="D86" s="4"/>
      <c r="E86" s="47"/>
      <c r="F86" s="53"/>
      <c r="G86" s="5"/>
    </row>
    <row r="87" spans="1:7" ht="12.75" x14ac:dyDescent="0.2">
      <c r="A87" s="1"/>
      <c r="B87" s="2"/>
      <c r="C87" s="8" t="s">
        <v>115</v>
      </c>
      <c r="D87" s="9"/>
      <c r="E87" s="48"/>
      <c r="F87" s="54"/>
      <c r="G87" s="10"/>
    </row>
    <row r="88" spans="1:7" ht="12.75" x14ac:dyDescent="0.2">
      <c r="A88" s="1"/>
      <c r="B88" s="2"/>
      <c r="C88" s="8" t="s">
        <v>108</v>
      </c>
      <c r="D88" s="12"/>
      <c r="E88" s="49"/>
      <c r="F88" s="55">
        <v>0</v>
      </c>
      <c r="G88" s="13">
        <v>0</v>
      </c>
    </row>
    <row r="89" spans="1:7" ht="12.75" x14ac:dyDescent="0.2">
      <c r="A89" s="1"/>
      <c r="B89" s="2"/>
      <c r="C89" s="14"/>
      <c r="D89" s="4"/>
      <c r="E89" s="47"/>
      <c r="F89" s="53"/>
      <c r="G89" s="5"/>
    </row>
    <row r="90" spans="1:7" ht="25.5" x14ac:dyDescent="0.2">
      <c r="A90" s="6"/>
      <c r="B90" s="7"/>
      <c r="C90" s="24" t="s">
        <v>116</v>
      </c>
      <c r="D90" s="25"/>
      <c r="E90" s="49"/>
      <c r="F90" s="55">
        <v>10614.670074499998</v>
      </c>
      <c r="G90" s="13">
        <v>0.98010859200000011</v>
      </c>
    </row>
    <row r="91" spans="1:7" ht="12.75" x14ac:dyDescent="0.2">
      <c r="A91" s="1"/>
      <c r="B91" s="2"/>
      <c r="C91" s="11"/>
      <c r="D91" s="4"/>
      <c r="E91" s="47"/>
      <c r="F91" s="53"/>
      <c r="G91" s="5"/>
    </row>
    <row r="92" spans="1:7" ht="12.75" x14ac:dyDescent="0.2">
      <c r="A92" s="1"/>
      <c r="B92" s="2"/>
      <c r="C92" s="3" t="s">
        <v>117</v>
      </c>
      <c r="D92" s="4"/>
      <c r="E92" s="47"/>
      <c r="F92" s="53"/>
      <c r="G92" s="5"/>
    </row>
    <row r="93" spans="1:7" ht="25.5" x14ac:dyDescent="0.2">
      <c r="A93" s="1"/>
      <c r="B93" s="2"/>
      <c r="C93" s="8" t="s">
        <v>10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7" ht="12.75" x14ac:dyDescent="0.2">
      <c r="A95" s="6"/>
      <c r="B95" s="7"/>
      <c r="C95" s="14"/>
      <c r="D95" s="4"/>
      <c r="E95" s="47"/>
      <c r="F95" s="53"/>
      <c r="G95" s="5"/>
    </row>
    <row r="96" spans="1:7" ht="12.75" x14ac:dyDescent="0.2">
      <c r="A96" s="1"/>
      <c r="B96" s="26"/>
      <c r="C96" s="8" t="s">
        <v>118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12"/>
      <c r="E97" s="49"/>
      <c r="F97" s="55">
        <v>0</v>
      </c>
      <c r="G97" s="13">
        <v>0</v>
      </c>
    </row>
    <row r="98" spans="1:7" ht="12.75" x14ac:dyDescent="0.2">
      <c r="A98" s="6"/>
      <c r="B98" s="7"/>
      <c r="C98" s="14"/>
      <c r="D98" s="4"/>
      <c r="E98" s="47"/>
      <c r="F98" s="59"/>
      <c r="G98" s="28"/>
    </row>
    <row r="99" spans="1:7" ht="12.75" x14ac:dyDescent="0.2">
      <c r="A99" s="1"/>
      <c r="B99" s="2"/>
      <c r="C99" s="8" t="s">
        <v>119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12"/>
      <c r="E100" s="49"/>
      <c r="F100" s="55">
        <v>0</v>
      </c>
      <c r="G100" s="13">
        <v>0</v>
      </c>
    </row>
    <row r="101" spans="1:7" ht="12.75" x14ac:dyDescent="0.2">
      <c r="A101" s="1"/>
      <c r="B101" s="2"/>
      <c r="C101" s="14"/>
      <c r="D101" s="4"/>
      <c r="E101" s="47"/>
      <c r="F101" s="53"/>
      <c r="G101" s="5"/>
    </row>
    <row r="102" spans="1:7" ht="25.5" x14ac:dyDescent="0.2">
      <c r="A102" s="1"/>
      <c r="B102" s="26"/>
      <c r="C102" s="8" t="s">
        <v>120</v>
      </c>
      <c r="D102" s="9"/>
      <c r="E102" s="48"/>
      <c r="F102" s="54"/>
      <c r="G102" s="10"/>
    </row>
    <row r="103" spans="1:7" ht="12.75" x14ac:dyDescent="0.2">
      <c r="A103" s="6"/>
      <c r="B103" s="7"/>
      <c r="C103" s="8" t="s">
        <v>108</v>
      </c>
      <c r="D103" s="12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4"/>
      <c r="D104" s="4"/>
      <c r="E104" s="47"/>
      <c r="F104" s="53"/>
      <c r="G104" s="5"/>
    </row>
    <row r="105" spans="1:7" ht="12.75" x14ac:dyDescent="0.2">
      <c r="A105" s="6"/>
      <c r="B105" s="7"/>
      <c r="C105" s="29" t="s">
        <v>121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1"/>
      <c r="D106" s="4"/>
      <c r="E106" s="47"/>
      <c r="F106" s="53"/>
      <c r="G106" s="5"/>
    </row>
    <row r="107" spans="1:7" ht="12.75" x14ac:dyDescent="0.2">
      <c r="A107" s="1"/>
      <c r="B107" s="2"/>
      <c r="C107" s="3" t="s">
        <v>122</v>
      </c>
      <c r="D107" s="4"/>
      <c r="E107" s="47"/>
      <c r="F107" s="53"/>
      <c r="G107" s="5"/>
    </row>
    <row r="108" spans="1:7" ht="12.75" x14ac:dyDescent="0.2">
      <c r="A108" s="6"/>
      <c r="B108" s="7"/>
      <c r="C108" s="8" t="s">
        <v>123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12.75" x14ac:dyDescent="0.2">
      <c r="A111" s="6"/>
      <c r="B111" s="7"/>
      <c r="C111" s="8" t="s">
        <v>124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3"/>
      <c r="G113" s="5"/>
    </row>
    <row r="114" spans="1:7" ht="12.75" x14ac:dyDescent="0.2">
      <c r="A114" s="6"/>
      <c r="B114" s="7"/>
      <c r="C114" s="8" t="s">
        <v>125</v>
      </c>
      <c r="D114" s="9"/>
      <c r="E114" s="48"/>
      <c r="F114" s="54"/>
      <c r="G114" s="10"/>
    </row>
    <row r="115" spans="1:7" ht="12.75" x14ac:dyDescent="0.2">
      <c r="A115" s="6"/>
      <c r="B115" s="7"/>
      <c r="C115" s="8" t="s">
        <v>108</v>
      </c>
      <c r="D115" s="25"/>
      <c r="E115" s="49"/>
      <c r="F115" s="55">
        <v>0</v>
      </c>
      <c r="G115" s="13">
        <v>0</v>
      </c>
    </row>
    <row r="116" spans="1:7" ht="12.75" x14ac:dyDescent="0.2">
      <c r="A116" s="6"/>
      <c r="B116" s="7"/>
      <c r="C116" s="14"/>
      <c r="D116" s="7"/>
      <c r="E116" s="47"/>
      <c r="F116" s="53"/>
      <c r="G116" s="5"/>
    </row>
    <row r="117" spans="1:7" ht="12.75" x14ac:dyDescent="0.2">
      <c r="A117" s="6"/>
      <c r="B117" s="7"/>
      <c r="C117" s="8" t="s">
        <v>126</v>
      </c>
      <c r="D117" s="9"/>
      <c r="E117" s="48"/>
      <c r="F117" s="54"/>
      <c r="G117" s="10"/>
    </row>
    <row r="118" spans="1:7" ht="12.75" x14ac:dyDescent="0.2">
      <c r="A118" s="6">
        <v>1</v>
      </c>
      <c r="B118" s="7"/>
      <c r="C118" s="11" t="s">
        <v>812</v>
      </c>
      <c r="D118" s="15"/>
      <c r="E118" s="47"/>
      <c r="F118" s="53">
        <v>182.9759373</v>
      </c>
      <c r="G118" s="5">
        <v>1.6895134999999999E-2</v>
      </c>
    </row>
    <row r="119" spans="1:7" ht="12.75" x14ac:dyDescent="0.2">
      <c r="A119" s="6"/>
      <c r="B119" s="7"/>
      <c r="C119" s="8" t="s">
        <v>108</v>
      </c>
      <c r="D119" s="25"/>
      <c r="E119" s="49"/>
      <c r="F119" s="55">
        <v>182.9759373</v>
      </c>
      <c r="G119" s="13">
        <v>1.6895134999999999E-2</v>
      </c>
    </row>
    <row r="120" spans="1:7" ht="12.75" x14ac:dyDescent="0.2">
      <c r="A120" s="6"/>
      <c r="B120" s="7"/>
      <c r="C120" s="14"/>
      <c r="D120" s="7"/>
      <c r="E120" s="47"/>
      <c r="F120" s="53"/>
      <c r="G120" s="5"/>
    </row>
    <row r="121" spans="1:7" ht="25.5" x14ac:dyDescent="0.2">
      <c r="A121" s="6"/>
      <c r="B121" s="7"/>
      <c r="C121" s="24" t="s">
        <v>127</v>
      </c>
      <c r="D121" s="25"/>
      <c r="E121" s="49"/>
      <c r="F121" s="55">
        <v>182.9759373</v>
      </c>
      <c r="G121" s="13">
        <v>1.6895134999999999E-2</v>
      </c>
    </row>
    <row r="122" spans="1:7" ht="12.75" x14ac:dyDescent="0.2">
      <c r="A122" s="6"/>
      <c r="B122" s="7"/>
      <c r="C122" s="30"/>
      <c r="D122" s="7"/>
      <c r="E122" s="47"/>
      <c r="F122" s="53"/>
      <c r="G122" s="5"/>
    </row>
    <row r="123" spans="1:7" ht="12.75" x14ac:dyDescent="0.2">
      <c r="A123" s="1"/>
      <c r="B123" s="2"/>
      <c r="C123" s="3" t="s">
        <v>128</v>
      </c>
      <c r="D123" s="4"/>
      <c r="E123" s="47"/>
      <c r="F123" s="53"/>
      <c r="G123" s="5"/>
    </row>
    <row r="124" spans="1:7" ht="25.5" x14ac:dyDescent="0.2">
      <c r="A124" s="6"/>
      <c r="B124" s="7"/>
      <c r="C124" s="8" t="s">
        <v>129</v>
      </c>
      <c r="D124" s="9"/>
      <c r="E124" s="48"/>
      <c r="F124" s="54"/>
      <c r="G124" s="10"/>
    </row>
    <row r="125" spans="1:7" ht="12.75" x14ac:dyDescent="0.2">
      <c r="A125" s="6"/>
      <c r="B125" s="7"/>
      <c r="C125" s="8" t="s">
        <v>108</v>
      </c>
      <c r="D125" s="25"/>
      <c r="E125" s="49"/>
      <c r="F125" s="55">
        <v>0</v>
      </c>
      <c r="G125" s="13">
        <v>0</v>
      </c>
    </row>
    <row r="126" spans="1:7" ht="12.75" x14ac:dyDescent="0.2">
      <c r="A126" s="6"/>
      <c r="B126" s="7"/>
      <c r="C126" s="14"/>
      <c r="D126" s="7"/>
      <c r="E126" s="47"/>
      <c r="F126" s="53"/>
      <c r="G126" s="5"/>
    </row>
    <row r="127" spans="1:7" ht="12.75" x14ac:dyDescent="0.2">
      <c r="A127" s="1"/>
      <c r="B127" s="2"/>
      <c r="C127" s="3" t="s">
        <v>131</v>
      </c>
      <c r="D127" s="4"/>
      <c r="E127" s="47"/>
      <c r="F127" s="53"/>
      <c r="G127" s="5"/>
    </row>
    <row r="128" spans="1:7" ht="25.5" x14ac:dyDescent="0.2">
      <c r="A128" s="6"/>
      <c r="B128" s="7"/>
      <c r="C128" s="8" t="s">
        <v>132</v>
      </c>
      <c r="D128" s="9"/>
      <c r="E128" s="48"/>
      <c r="F128" s="54"/>
      <c r="G128" s="10"/>
    </row>
    <row r="129" spans="1:7" ht="12.75" x14ac:dyDescent="0.2">
      <c r="A129" s="6"/>
      <c r="B129" s="7"/>
      <c r="C129" s="8" t="s">
        <v>108</v>
      </c>
      <c r="D129" s="25"/>
      <c r="E129" s="49"/>
      <c r="F129" s="55">
        <v>0</v>
      </c>
      <c r="G129" s="13">
        <v>0</v>
      </c>
    </row>
    <row r="130" spans="1:7" ht="12.75" x14ac:dyDescent="0.2">
      <c r="A130" s="6"/>
      <c r="B130" s="7"/>
      <c r="C130" s="14"/>
      <c r="D130" s="7"/>
      <c r="E130" s="47"/>
      <c r="F130" s="53"/>
      <c r="G130" s="5"/>
    </row>
    <row r="131" spans="1:7" ht="25.5" x14ac:dyDescent="0.2">
      <c r="A131" s="6"/>
      <c r="B131" s="7"/>
      <c r="C131" s="8" t="s">
        <v>133</v>
      </c>
      <c r="D131" s="9"/>
      <c r="E131" s="48"/>
      <c r="F131" s="54"/>
      <c r="G131" s="10"/>
    </row>
    <row r="132" spans="1:7" ht="12.75" x14ac:dyDescent="0.2">
      <c r="A132" s="6"/>
      <c r="B132" s="7"/>
      <c r="C132" s="8" t="s">
        <v>108</v>
      </c>
      <c r="D132" s="25"/>
      <c r="E132" s="49"/>
      <c r="F132" s="55">
        <v>0</v>
      </c>
      <c r="G132" s="13">
        <v>0</v>
      </c>
    </row>
    <row r="133" spans="1:7" ht="12.75" x14ac:dyDescent="0.2">
      <c r="A133" s="6"/>
      <c r="B133" s="7"/>
      <c r="C133" s="14"/>
      <c r="D133" s="7"/>
      <c r="E133" s="47"/>
      <c r="F133" s="59"/>
      <c r="G133" s="28"/>
    </row>
    <row r="134" spans="1:7" ht="25.5" x14ac:dyDescent="0.2">
      <c r="A134" s="6"/>
      <c r="B134" s="7"/>
      <c r="C134" s="30" t="s">
        <v>134</v>
      </c>
      <c r="D134" s="7"/>
      <c r="E134" s="47"/>
      <c r="F134" s="59">
        <v>32.449945079999999</v>
      </c>
      <c r="G134" s="28">
        <v>2.9962750000000001E-3</v>
      </c>
    </row>
    <row r="135" spans="1:7" ht="12.75" x14ac:dyDescent="0.2">
      <c r="A135" s="6"/>
      <c r="B135" s="7"/>
      <c r="C135" s="31" t="s">
        <v>135</v>
      </c>
      <c r="D135" s="12"/>
      <c r="E135" s="49"/>
      <c r="F135" s="55">
        <v>10830.095956879997</v>
      </c>
      <c r="G135" s="13">
        <v>1.0000000020000002</v>
      </c>
    </row>
    <row r="137" spans="1:7" ht="12.75" x14ac:dyDescent="0.2">
      <c r="B137" s="179"/>
      <c r="C137" s="179"/>
      <c r="D137" s="179"/>
      <c r="E137" s="179"/>
      <c r="F137" s="179"/>
    </row>
    <row r="138" spans="1:7" ht="12.75" x14ac:dyDescent="0.2">
      <c r="B138" s="179"/>
      <c r="C138" s="179"/>
      <c r="D138" s="179"/>
      <c r="E138" s="179"/>
      <c r="F138" s="179"/>
    </row>
    <row r="140" spans="1:7" ht="12.75" x14ac:dyDescent="0.2">
      <c r="B140" s="37" t="s">
        <v>137</v>
      </c>
      <c r="C140" s="38"/>
      <c r="D140" s="39"/>
    </row>
    <row r="141" spans="1:7" ht="12.75" x14ac:dyDescent="0.2">
      <c r="B141" s="40" t="s">
        <v>808</v>
      </c>
      <c r="C141" s="41"/>
      <c r="D141" s="65" t="s">
        <v>138</v>
      </c>
    </row>
    <row r="142" spans="1:7" ht="12.75" x14ac:dyDescent="0.2">
      <c r="B142" s="40" t="s">
        <v>139</v>
      </c>
      <c r="C142" s="41"/>
      <c r="D142" s="65" t="s">
        <v>138</v>
      </c>
    </row>
    <row r="143" spans="1:7" ht="12.75" x14ac:dyDescent="0.2">
      <c r="B143" s="42" t="s">
        <v>140</v>
      </c>
      <c r="C143" s="41"/>
      <c r="D143" s="43"/>
    </row>
    <row r="144" spans="1:7" ht="25.5" customHeight="1" x14ac:dyDescent="0.2">
      <c r="B144" s="43"/>
      <c r="C144" s="33" t="s">
        <v>141</v>
      </c>
      <c r="D144" s="34" t="s">
        <v>142</v>
      </c>
    </row>
    <row r="145" spans="2:4" ht="12.75" customHeight="1" x14ac:dyDescent="0.2">
      <c r="B145" s="60" t="s">
        <v>143</v>
      </c>
      <c r="C145" s="61" t="s">
        <v>144</v>
      </c>
      <c r="D145" s="61" t="s">
        <v>145</v>
      </c>
    </row>
    <row r="146" spans="2:4" ht="12.75" x14ac:dyDescent="0.2">
      <c r="B146" s="43" t="s">
        <v>146</v>
      </c>
      <c r="C146" s="44">
        <v>8.1415000000000006</v>
      </c>
      <c r="D146" s="44">
        <v>8.2826000000000004</v>
      </c>
    </row>
    <row r="147" spans="2:4" ht="12.75" x14ac:dyDescent="0.2">
      <c r="B147" s="43" t="s">
        <v>147</v>
      </c>
      <c r="C147" s="44">
        <v>8.1415000000000006</v>
      </c>
      <c r="D147" s="44">
        <v>8.2826000000000004</v>
      </c>
    </row>
    <row r="148" spans="2:4" ht="12.75" x14ac:dyDescent="0.2">
      <c r="B148" s="43" t="s">
        <v>148</v>
      </c>
      <c r="C148" s="44">
        <v>8.0195000000000007</v>
      </c>
      <c r="D148" s="44">
        <v>8.1541999999999994</v>
      </c>
    </row>
    <row r="149" spans="2:4" ht="12.75" x14ac:dyDescent="0.2">
      <c r="B149" s="43" t="s">
        <v>149</v>
      </c>
      <c r="C149" s="44">
        <v>8.0195000000000007</v>
      </c>
      <c r="D149" s="44">
        <v>8.1541999999999994</v>
      </c>
    </row>
    <row r="151" spans="2:4" ht="12.75" x14ac:dyDescent="0.2">
      <c r="B151" s="62" t="s">
        <v>150</v>
      </c>
      <c r="C151" s="45"/>
      <c r="D151" s="63" t="s">
        <v>138</v>
      </c>
    </row>
    <row r="152" spans="2:4" ht="24.75" customHeight="1" x14ac:dyDescent="0.2">
      <c r="B152" s="64"/>
      <c r="C152" s="64"/>
    </row>
    <row r="153" spans="2:4" ht="15" x14ac:dyDescent="0.25">
      <c r="B153" s="66"/>
      <c r="C153" s="68"/>
      <c r="D153"/>
    </row>
    <row r="155" spans="2:4" ht="12.75" x14ac:dyDescent="0.2">
      <c r="B155" s="42" t="s">
        <v>151</v>
      </c>
      <c r="C155" s="41"/>
      <c r="D155" s="67" t="s">
        <v>138</v>
      </c>
    </row>
    <row r="156" spans="2:4" ht="12.75" x14ac:dyDescent="0.2">
      <c r="B156" s="42" t="s">
        <v>152</v>
      </c>
      <c r="C156" s="41"/>
      <c r="D156" s="67" t="s">
        <v>138</v>
      </c>
    </row>
    <row r="157" spans="2:4" ht="12.75" x14ac:dyDescent="0.2">
      <c r="B157" s="42" t="s">
        <v>153</v>
      </c>
      <c r="C157" s="41"/>
      <c r="D157" s="46">
        <v>0.18504251784906511</v>
      </c>
    </row>
    <row r="158" spans="2:4" ht="12.75" x14ac:dyDescent="0.2">
      <c r="B158" s="42" t="s">
        <v>154</v>
      </c>
      <c r="C158" s="41"/>
      <c r="D158" s="46" t="s">
        <v>138</v>
      </c>
    </row>
  </sheetData>
  <mergeCells count="5">
    <mergeCell ref="A1:G1"/>
    <mergeCell ref="A2:G2"/>
    <mergeCell ref="A3:G3"/>
    <mergeCell ref="B137:F137"/>
    <mergeCell ref="B138:F13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286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58690</v>
      </c>
      <c r="F7" s="53">
        <v>526.74275</v>
      </c>
      <c r="G7" s="5">
        <v>4.9622949E-2</v>
      </c>
    </row>
    <row r="8" spans="1:7" ht="25.5" x14ac:dyDescent="0.2">
      <c r="A8" s="6">
        <v>2</v>
      </c>
      <c r="B8" s="7" t="s">
        <v>23</v>
      </c>
      <c r="C8" s="11" t="s">
        <v>24</v>
      </c>
      <c r="D8" s="2" t="s">
        <v>22</v>
      </c>
      <c r="E8" s="47">
        <v>73840</v>
      </c>
      <c r="F8" s="53">
        <v>444.03683999999998</v>
      </c>
      <c r="G8" s="5">
        <v>4.1831459000000001E-2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219251</v>
      </c>
      <c r="F9" s="53">
        <v>410.21862099999998</v>
      </c>
      <c r="G9" s="5">
        <v>3.8645539999999999E-2</v>
      </c>
    </row>
    <row r="10" spans="1:7" ht="12.75" x14ac:dyDescent="0.2">
      <c r="A10" s="6">
        <v>4</v>
      </c>
      <c r="B10" s="7" t="s">
        <v>51</v>
      </c>
      <c r="C10" s="11" t="s">
        <v>52</v>
      </c>
      <c r="D10" s="2" t="s">
        <v>19</v>
      </c>
      <c r="E10" s="47">
        <v>32403</v>
      </c>
      <c r="F10" s="53">
        <v>361.95771150000002</v>
      </c>
      <c r="G10" s="5">
        <v>3.4099016000000003E-2</v>
      </c>
    </row>
    <row r="11" spans="1:7" ht="25.5" x14ac:dyDescent="0.2">
      <c r="A11" s="6">
        <v>5</v>
      </c>
      <c r="B11" s="7" t="s">
        <v>55</v>
      </c>
      <c r="C11" s="11" t="s">
        <v>56</v>
      </c>
      <c r="D11" s="2" t="s">
        <v>22</v>
      </c>
      <c r="E11" s="47">
        <v>61203</v>
      </c>
      <c r="F11" s="53">
        <v>361.37311349999999</v>
      </c>
      <c r="G11" s="5">
        <v>3.4043942000000001E-2</v>
      </c>
    </row>
    <row r="12" spans="1:7" ht="25.5" x14ac:dyDescent="0.2">
      <c r="A12" s="6">
        <v>6</v>
      </c>
      <c r="B12" s="7" t="s">
        <v>38</v>
      </c>
      <c r="C12" s="11" t="s">
        <v>39</v>
      </c>
      <c r="D12" s="2" t="s">
        <v>40</v>
      </c>
      <c r="E12" s="47">
        <v>70480</v>
      </c>
      <c r="F12" s="53">
        <v>304.05072000000001</v>
      </c>
      <c r="G12" s="5">
        <v>2.8643761E-2</v>
      </c>
    </row>
    <row r="13" spans="1:7" ht="25.5" x14ac:dyDescent="0.2">
      <c r="A13" s="6">
        <v>7</v>
      </c>
      <c r="B13" s="7" t="s">
        <v>161</v>
      </c>
      <c r="C13" s="11" t="s">
        <v>162</v>
      </c>
      <c r="D13" s="2" t="s">
        <v>163</v>
      </c>
      <c r="E13" s="47">
        <v>83216</v>
      </c>
      <c r="F13" s="53">
        <v>303.48875199999998</v>
      </c>
      <c r="G13" s="5">
        <v>2.8590819999999999E-2</v>
      </c>
    </row>
    <row r="14" spans="1:7" ht="25.5" x14ac:dyDescent="0.2">
      <c r="A14" s="6">
        <v>8</v>
      </c>
      <c r="B14" s="7" t="s">
        <v>102</v>
      </c>
      <c r="C14" s="11" t="s">
        <v>103</v>
      </c>
      <c r="D14" s="2" t="s">
        <v>13</v>
      </c>
      <c r="E14" s="47">
        <v>276053</v>
      </c>
      <c r="F14" s="53">
        <v>284.058537</v>
      </c>
      <c r="G14" s="5">
        <v>2.6760354E-2</v>
      </c>
    </row>
    <row r="15" spans="1:7" ht="25.5" x14ac:dyDescent="0.2">
      <c r="A15" s="6">
        <v>9</v>
      </c>
      <c r="B15" s="7" t="s">
        <v>186</v>
      </c>
      <c r="C15" s="11" t="s">
        <v>187</v>
      </c>
      <c r="D15" s="2" t="s">
        <v>183</v>
      </c>
      <c r="E15" s="47">
        <v>47230</v>
      </c>
      <c r="F15" s="53">
        <v>268.17194000000001</v>
      </c>
      <c r="G15" s="5">
        <v>2.5263721999999999E-2</v>
      </c>
    </row>
    <row r="16" spans="1:7" ht="38.25" x14ac:dyDescent="0.2">
      <c r="A16" s="6">
        <v>10</v>
      </c>
      <c r="B16" s="7" t="s">
        <v>75</v>
      </c>
      <c r="C16" s="11" t="s">
        <v>76</v>
      </c>
      <c r="D16" s="2" t="s">
        <v>77</v>
      </c>
      <c r="E16" s="47">
        <v>317233</v>
      </c>
      <c r="F16" s="53">
        <v>249.97960399999999</v>
      </c>
      <c r="G16" s="5">
        <v>2.3549873999999998E-2</v>
      </c>
    </row>
    <row r="17" spans="1:7" ht="25.5" x14ac:dyDescent="0.2">
      <c r="A17" s="6">
        <v>11</v>
      </c>
      <c r="B17" s="7" t="s">
        <v>171</v>
      </c>
      <c r="C17" s="11" t="s">
        <v>172</v>
      </c>
      <c r="D17" s="2" t="s">
        <v>22</v>
      </c>
      <c r="E17" s="47">
        <v>60820</v>
      </c>
      <c r="F17" s="53">
        <v>244.98295999999999</v>
      </c>
      <c r="G17" s="5">
        <v>2.3079154000000001E-2</v>
      </c>
    </row>
    <row r="18" spans="1:7" ht="12.75" x14ac:dyDescent="0.2">
      <c r="A18" s="6">
        <v>12</v>
      </c>
      <c r="B18" s="7" t="s">
        <v>61</v>
      </c>
      <c r="C18" s="11" t="s">
        <v>62</v>
      </c>
      <c r="D18" s="2" t="s">
        <v>19</v>
      </c>
      <c r="E18" s="47">
        <v>253785</v>
      </c>
      <c r="F18" s="53">
        <v>244.64874</v>
      </c>
      <c r="G18" s="5">
        <v>2.3047668E-2</v>
      </c>
    </row>
    <row r="19" spans="1:7" ht="25.5" x14ac:dyDescent="0.2">
      <c r="A19" s="6">
        <v>13</v>
      </c>
      <c r="B19" s="7" t="s">
        <v>188</v>
      </c>
      <c r="C19" s="11" t="s">
        <v>189</v>
      </c>
      <c r="D19" s="2" t="s">
        <v>47</v>
      </c>
      <c r="E19" s="47">
        <v>11000</v>
      </c>
      <c r="F19" s="53">
        <v>233.82149999999999</v>
      </c>
      <c r="G19" s="5">
        <v>2.2027663999999999E-2</v>
      </c>
    </row>
    <row r="20" spans="1:7" ht="12.75" x14ac:dyDescent="0.2">
      <c r="A20" s="6">
        <v>14</v>
      </c>
      <c r="B20" s="7" t="s">
        <v>166</v>
      </c>
      <c r="C20" s="11" t="s">
        <v>167</v>
      </c>
      <c r="D20" s="2" t="s">
        <v>168</v>
      </c>
      <c r="E20" s="47">
        <v>87547</v>
      </c>
      <c r="F20" s="53">
        <v>223.5512645</v>
      </c>
      <c r="G20" s="5">
        <v>2.1060134000000001E-2</v>
      </c>
    </row>
    <row r="21" spans="1:7" ht="12.75" x14ac:dyDescent="0.2">
      <c r="A21" s="6">
        <v>15</v>
      </c>
      <c r="B21" s="7" t="s">
        <v>279</v>
      </c>
      <c r="C21" s="11" t="s">
        <v>280</v>
      </c>
      <c r="D21" s="2" t="s">
        <v>281</v>
      </c>
      <c r="E21" s="47">
        <v>27041</v>
      </c>
      <c r="F21" s="53">
        <v>218.85633350000001</v>
      </c>
      <c r="G21" s="5">
        <v>2.0617837999999999E-2</v>
      </c>
    </row>
    <row r="22" spans="1:7" ht="25.5" x14ac:dyDescent="0.2">
      <c r="A22" s="6">
        <v>16</v>
      </c>
      <c r="B22" s="7" t="s">
        <v>41</v>
      </c>
      <c r="C22" s="11" t="s">
        <v>42</v>
      </c>
      <c r="D22" s="2" t="s">
        <v>27</v>
      </c>
      <c r="E22" s="47">
        <v>190295</v>
      </c>
      <c r="F22" s="53">
        <v>218.5538075</v>
      </c>
      <c r="G22" s="5">
        <v>2.0589337999999999E-2</v>
      </c>
    </row>
    <row r="23" spans="1:7" ht="25.5" x14ac:dyDescent="0.2">
      <c r="A23" s="6">
        <v>17</v>
      </c>
      <c r="B23" s="7" t="s">
        <v>73</v>
      </c>
      <c r="C23" s="11" t="s">
        <v>74</v>
      </c>
      <c r="D23" s="2" t="s">
        <v>22</v>
      </c>
      <c r="E23" s="47">
        <v>30455</v>
      </c>
      <c r="F23" s="53">
        <v>199.57161500000001</v>
      </c>
      <c r="G23" s="5">
        <v>1.8801078999999998E-2</v>
      </c>
    </row>
    <row r="24" spans="1:7" ht="25.5" x14ac:dyDescent="0.2">
      <c r="A24" s="6">
        <v>18</v>
      </c>
      <c r="B24" s="7" t="s">
        <v>83</v>
      </c>
      <c r="C24" s="11" t="s">
        <v>84</v>
      </c>
      <c r="D24" s="2" t="s">
        <v>22</v>
      </c>
      <c r="E24" s="47">
        <v>179742</v>
      </c>
      <c r="F24" s="53">
        <v>196.00865099999999</v>
      </c>
      <c r="G24" s="5">
        <v>1.8465421999999999E-2</v>
      </c>
    </row>
    <row r="25" spans="1:7" ht="12.75" x14ac:dyDescent="0.2">
      <c r="A25" s="6">
        <v>19</v>
      </c>
      <c r="B25" s="7" t="s">
        <v>190</v>
      </c>
      <c r="C25" s="11" t="s">
        <v>191</v>
      </c>
      <c r="D25" s="2" t="s">
        <v>192</v>
      </c>
      <c r="E25" s="47">
        <v>125377</v>
      </c>
      <c r="F25" s="53">
        <v>193.1432685</v>
      </c>
      <c r="G25" s="5">
        <v>1.8195482999999998E-2</v>
      </c>
    </row>
    <row r="26" spans="1:7" ht="12.75" x14ac:dyDescent="0.2">
      <c r="A26" s="6">
        <v>20</v>
      </c>
      <c r="B26" s="7" t="s">
        <v>229</v>
      </c>
      <c r="C26" s="11" t="s">
        <v>230</v>
      </c>
      <c r="D26" s="2" t="s">
        <v>50</v>
      </c>
      <c r="E26" s="47">
        <v>79310</v>
      </c>
      <c r="F26" s="53">
        <v>189.31297000000001</v>
      </c>
      <c r="G26" s="5">
        <v>1.7834640999999998E-2</v>
      </c>
    </row>
    <row r="27" spans="1:7" ht="25.5" x14ac:dyDescent="0.2">
      <c r="A27" s="6">
        <v>21</v>
      </c>
      <c r="B27" s="7" t="s">
        <v>213</v>
      </c>
      <c r="C27" s="11" t="s">
        <v>214</v>
      </c>
      <c r="D27" s="2" t="s">
        <v>163</v>
      </c>
      <c r="E27" s="47">
        <v>183660</v>
      </c>
      <c r="F27" s="53">
        <v>187.60869</v>
      </c>
      <c r="G27" s="5">
        <v>1.7674085999999999E-2</v>
      </c>
    </row>
    <row r="28" spans="1:7" ht="12.75" x14ac:dyDescent="0.2">
      <c r="A28" s="6">
        <v>22</v>
      </c>
      <c r="B28" s="7" t="s">
        <v>282</v>
      </c>
      <c r="C28" s="11" t="s">
        <v>283</v>
      </c>
      <c r="D28" s="2" t="s">
        <v>19</v>
      </c>
      <c r="E28" s="47">
        <v>100000</v>
      </c>
      <c r="F28" s="53">
        <v>183.1</v>
      </c>
      <c r="G28" s="5">
        <v>1.7249335000000001E-2</v>
      </c>
    </row>
    <row r="29" spans="1:7" ht="25.5" x14ac:dyDescent="0.2">
      <c r="A29" s="6">
        <v>23</v>
      </c>
      <c r="B29" s="7" t="s">
        <v>20</v>
      </c>
      <c r="C29" s="11" t="s">
        <v>21</v>
      </c>
      <c r="D29" s="2" t="s">
        <v>22</v>
      </c>
      <c r="E29" s="47">
        <v>20295</v>
      </c>
      <c r="F29" s="53">
        <v>180.82845</v>
      </c>
      <c r="G29" s="5">
        <v>1.7035338000000001E-2</v>
      </c>
    </row>
    <row r="30" spans="1:7" ht="25.5" x14ac:dyDescent="0.2">
      <c r="A30" s="6">
        <v>24</v>
      </c>
      <c r="B30" s="7" t="s">
        <v>57</v>
      </c>
      <c r="C30" s="11" t="s">
        <v>58</v>
      </c>
      <c r="D30" s="2" t="s">
        <v>27</v>
      </c>
      <c r="E30" s="47">
        <v>44780</v>
      </c>
      <c r="F30" s="53">
        <v>166.96223000000001</v>
      </c>
      <c r="G30" s="5">
        <v>1.5729040999999999E-2</v>
      </c>
    </row>
    <row r="31" spans="1:7" ht="12.75" x14ac:dyDescent="0.2">
      <c r="A31" s="6">
        <v>25</v>
      </c>
      <c r="B31" s="7" t="s">
        <v>252</v>
      </c>
      <c r="C31" s="11" t="s">
        <v>253</v>
      </c>
      <c r="D31" s="2" t="s">
        <v>242</v>
      </c>
      <c r="E31" s="47">
        <v>11677</v>
      </c>
      <c r="F31" s="53">
        <v>162.0242135</v>
      </c>
      <c r="G31" s="5">
        <v>1.5263844E-2</v>
      </c>
    </row>
    <row r="32" spans="1:7" ht="12.75" x14ac:dyDescent="0.2">
      <c r="A32" s="6">
        <v>26</v>
      </c>
      <c r="B32" s="7" t="s">
        <v>184</v>
      </c>
      <c r="C32" s="11" t="s">
        <v>185</v>
      </c>
      <c r="D32" s="2" t="s">
        <v>16</v>
      </c>
      <c r="E32" s="47">
        <v>88481</v>
      </c>
      <c r="F32" s="53">
        <v>159.39852149999999</v>
      </c>
      <c r="G32" s="5">
        <v>1.5016485E-2</v>
      </c>
    </row>
    <row r="33" spans="1:7" ht="12.75" x14ac:dyDescent="0.2">
      <c r="A33" s="6">
        <v>27</v>
      </c>
      <c r="B33" s="7" t="s">
        <v>175</v>
      </c>
      <c r="C33" s="11" t="s">
        <v>176</v>
      </c>
      <c r="D33" s="2" t="s">
        <v>19</v>
      </c>
      <c r="E33" s="47">
        <v>189159</v>
      </c>
      <c r="F33" s="53">
        <v>158.60982150000001</v>
      </c>
      <c r="G33" s="5">
        <v>1.4942184000000001E-2</v>
      </c>
    </row>
    <row r="34" spans="1:7" ht="25.5" x14ac:dyDescent="0.2">
      <c r="A34" s="6">
        <v>28</v>
      </c>
      <c r="B34" s="7" t="s">
        <v>200</v>
      </c>
      <c r="C34" s="11" t="s">
        <v>201</v>
      </c>
      <c r="D34" s="2" t="s">
        <v>30</v>
      </c>
      <c r="E34" s="47">
        <v>51856</v>
      </c>
      <c r="F34" s="53">
        <v>155.23093600000001</v>
      </c>
      <c r="G34" s="5">
        <v>1.4623868999999999E-2</v>
      </c>
    </row>
    <row r="35" spans="1:7" ht="51" x14ac:dyDescent="0.2">
      <c r="A35" s="6">
        <v>29</v>
      </c>
      <c r="B35" s="7" t="s">
        <v>247</v>
      </c>
      <c r="C35" s="11" t="s">
        <v>248</v>
      </c>
      <c r="D35" s="2" t="s">
        <v>208</v>
      </c>
      <c r="E35" s="47">
        <v>67975</v>
      </c>
      <c r="F35" s="53">
        <v>147.06391249999999</v>
      </c>
      <c r="G35" s="5">
        <v>1.3854477E-2</v>
      </c>
    </row>
    <row r="36" spans="1:7" ht="12.75" x14ac:dyDescent="0.2">
      <c r="A36" s="6">
        <v>30</v>
      </c>
      <c r="B36" s="7" t="s">
        <v>193</v>
      </c>
      <c r="C36" s="11" t="s">
        <v>194</v>
      </c>
      <c r="D36" s="2" t="s">
        <v>72</v>
      </c>
      <c r="E36" s="47">
        <v>16577</v>
      </c>
      <c r="F36" s="53">
        <v>147.06285550000001</v>
      </c>
      <c r="G36" s="5">
        <v>1.3854376999999999E-2</v>
      </c>
    </row>
    <row r="37" spans="1:7" ht="12.75" x14ac:dyDescent="0.2">
      <c r="A37" s="6">
        <v>31</v>
      </c>
      <c r="B37" s="7" t="s">
        <v>48</v>
      </c>
      <c r="C37" s="11" t="s">
        <v>49</v>
      </c>
      <c r="D37" s="2" t="s">
        <v>50</v>
      </c>
      <c r="E37" s="47">
        <v>68767</v>
      </c>
      <c r="F37" s="53">
        <v>141.83193750000001</v>
      </c>
      <c r="G37" s="5">
        <v>1.3361586999999999E-2</v>
      </c>
    </row>
    <row r="38" spans="1:7" ht="12.75" x14ac:dyDescent="0.2">
      <c r="A38" s="6">
        <v>32</v>
      </c>
      <c r="B38" s="7" t="s">
        <v>195</v>
      </c>
      <c r="C38" s="11" t="s">
        <v>196</v>
      </c>
      <c r="D38" s="2" t="s">
        <v>197</v>
      </c>
      <c r="E38" s="47">
        <v>102612</v>
      </c>
      <c r="F38" s="53">
        <v>137.24355</v>
      </c>
      <c r="G38" s="5">
        <v>1.2929328E-2</v>
      </c>
    </row>
    <row r="39" spans="1:7" ht="12.75" x14ac:dyDescent="0.2">
      <c r="A39" s="6">
        <v>33</v>
      </c>
      <c r="B39" s="7" t="s">
        <v>254</v>
      </c>
      <c r="C39" s="11" t="s">
        <v>255</v>
      </c>
      <c r="D39" s="2" t="s">
        <v>168</v>
      </c>
      <c r="E39" s="47">
        <v>48550</v>
      </c>
      <c r="F39" s="53">
        <v>134.459225</v>
      </c>
      <c r="G39" s="5">
        <v>1.2667025E-2</v>
      </c>
    </row>
    <row r="40" spans="1:7" ht="25.5" x14ac:dyDescent="0.2">
      <c r="A40" s="6">
        <v>34</v>
      </c>
      <c r="B40" s="7" t="s">
        <v>97</v>
      </c>
      <c r="C40" s="11" t="s">
        <v>98</v>
      </c>
      <c r="D40" s="2" t="s">
        <v>99</v>
      </c>
      <c r="E40" s="47">
        <v>67035</v>
      </c>
      <c r="F40" s="53">
        <v>132.0924675</v>
      </c>
      <c r="G40" s="5">
        <v>1.2444059E-2</v>
      </c>
    </row>
    <row r="41" spans="1:7" ht="25.5" x14ac:dyDescent="0.2">
      <c r="A41" s="6">
        <v>35</v>
      </c>
      <c r="B41" s="7" t="s">
        <v>209</v>
      </c>
      <c r="C41" s="11" t="s">
        <v>210</v>
      </c>
      <c r="D41" s="2" t="s">
        <v>22</v>
      </c>
      <c r="E41" s="47">
        <v>19538</v>
      </c>
      <c r="F41" s="53">
        <v>131.43212600000001</v>
      </c>
      <c r="G41" s="5">
        <v>1.238185E-2</v>
      </c>
    </row>
    <row r="42" spans="1:7" ht="25.5" x14ac:dyDescent="0.2">
      <c r="A42" s="6">
        <v>36</v>
      </c>
      <c r="B42" s="7" t="s">
        <v>284</v>
      </c>
      <c r="C42" s="11" t="s">
        <v>285</v>
      </c>
      <c r="D42" s="2" t="s">
        <v>30</v>
      </c>
      <c r="E42" s="47">
        <v>148485</v>
      </c>
      <c r="F42" s="53">
        <v>125.2470975</v>
      </c>
      <c r="G42" s="5">
        <v>1.1799176E-2</v>
      </c>
    </row>
    <row r="43" spans="1:7" ht="12.75" x14ac:dyDescent="0.2">
      <c r="A43" s="6">
        <v>37</v>
      </c>
      <c r="B43" s="7" t="s">
        <v>260</v>
      </c>
      <c r="C43" s="11" t="s">
        <v>261</v>
      </c>
      <c r="D43" s="2" t="s">
        <v>242</v>
      </c>
      <c r="E43" s="47">
        <v>12700</v>
      </c>
      <c r="F43" s="53">
        <v>119.51335</v>
      </c>
      <c r="G43" s="5">
        <v>1.1259016E-2</v>
      </c>
    </row>
    <row r="44" spans="1:7" ht="12.75" x14ac:dyDescent="0.2">
      <c r="A44" s="6">
        <v>38</v>
      </c>
      <c r="B44" s="7" t="s">
        <v>204</v>
      </c>
      <c r="C44" s="11" t="s">
        <v>205</v>
      </c>
      <c r="D44" s="2" t="s">
        <v>72</v>
      </c>
      <c r="E44" s="47">
        <v>42945</v>
      </c>
      <c r="F44" s="53">
        <v>117.1754325</v>
      </c>
      <c r="G44" s="5">
        <v>1.1038767E-2</v>
      </c>
    </row>
    <row r="45" spans="1:7" ht="25.5" x14ac:dyDescent="0.2">
      <c r="A45" s="6">
        <v>39</v>
      </c>
      <c r="B45" s="7" t="s">
        <v>177</v>
      </c>
      <c r="C45" s="11" t="s">
        <v>178</v>
      </c>
      <c r="D45" s="2" t="s">
        <v>47</v>
      </c>
      <c r="E45" s="47">
        <v>70939</v>
      </c>
      <c r="F45" s="53">
        <v>115.772448</v>
      </c>
      <c r="G45" s="5">
        <v>1.0906595999999999E-2</v>
      </c>
    </row>
    <row r="46" spans="1:7" ht="25.5" x14ac:dyDescent="0.2">
      <c r="A46" s="6">
        <v>40</v>
      </c>
      <c r="B46" s="7" t="s">
        <v>231</v>
      </c>
      <c r="C46" s="11" t="s">
        <v>232</v>
      </c>
      <c r="D46" s="2" t="s">
        <v>47</v>
      </c>
      <c r="E46" s="47">
        <v>45318</v>
      </c>
      <c r="F46" s="53">
        <v>114.291996</v>
      </c>
      <c r="G46" s="5">
        <v>1.0767127E-2</v>
      </c>
    </row>
    <row r="47" spans="1:7" ht="51" x14ac:dyDescent="0.2">
      <c r="A47" s="6">
        <v>41</v>
      </c>
      <c r="B47" s="7" t="s">
        <v>206</v>
      </c>
      <c r="C47" s="11" t="s">
        <v>207</v>
      </c>
      <c r="D47" s="2" t="s">
        <v>208</v>
      </c>
      <c r="E47" s="47">
        <v>185270</v>
      </c>
      <c r="F47" s="53">
        <v>113.19996999999999</v>
      </c>
      <c r="G47" s="5">
        <v>1.066425E-2</v>
      </c>
    </row>
    <row r="48" spans="1:7" ht="25.5" x14ac:dyDescent="0.2">
      <c r="A48" s="6">
        <v>42</v>
      </c>
      <c r="B48" s="7" t="s">
        <v>81</v>
      </c>
      <c r="C48" s="11" t="s">
        <v>82</v>
      </c>
      <c r="D48" s="2" t="s">
        <v>22</v>
      </c>
      <c r="E48" s="47">
        <v>11000</v>
      </c>
      <c r="F48" s="53">
        <v>110.0385</v>
      </c>
      <c r="G48" s="5">
        <v>1.0366416999999999E-2</v>
      </c>
    </row>
    <row r="49" spans="1:7" ht="25.5" x14ac:dyDescent="0.2">
      <c r="A49" s="6">
        <v>43</v>
      </c>
      <c r="B49" s="7" t="s">
        <v>215</v>
      </c>
      <c r="C49" s="11" t="s">
        <v>216</v>
      </c>
      <c r="D49" s="2" t="s">
        <v>13</v>
      </c>
      <c r="E49" s="47">
        <v>189500</v>
      </c>
      <c r="F49" s="53">
        <v>109.53100000000001</v>
      </c>
      <c r="G49" s="5">
        <v>1.0318607E-2</v>
      </c>
    </row>
    <row r="50" spans="1:7" ht="25.5" x14ac:dyDescent="0.2">
      <c r="A50" s="6">
        <v>44</v>
      </c>
      <c r="B50" s="7" t="s">
        <v>181</v>
      </c>
      <c r="C50" s="11" t="s">
        <v>182</v>
      </c>
      <c r="D50" s="2" t="s">
        <v>183</v>
      </c>
      <c r="E50" s="47">
        <v>91857</v>
      </c>
      <c r="F50" s="53">
        <v>109.126116</v>
      </c>
      <c r="G50" s="5">
        <v>1.0280464E-2</v>
      </c>
    </row>
    <row r="51" spans="1:7" ht="51" x14ac:dyDescent="0.2">
      <c r="A51" s="6">
        <v>45</v>
      </c>
      <c r="B51" s="7" t="s">
        <v>264</v>
      </c>
      <c r="C51" s="11" t="s">
        <v>265</v>
      </c>
      <c r="D51" s="2" t="s">
        <v>208</v>
      </c>
      <c r="E51" s="47">
        <v>64938</v>
      </c>
      <c r="F51" s="53">
        <v>108.25164599999999</v>
      </c>
      <c r="G51" s="5">
        <v>1.0198082000000001E-2</v>
      </c>
    </row>
    <row r="52" spans="1:7" ht="12.75" x14ac:dyDescent="0.2">
      <c r="A52" s="6">
        <v>46</v>
      </c>
      <c r="B52" s="7" t="s">
        <v>262</v>
      </c>
      <c r="C52" s="11" t="s">
        <v>263</v>
      </c>
      <c r="D52" s="2" t="s">
        <v>242</v>
      </c>
      <c r="E52" s="47">
        <v>118259</v>
      </c>
      <c r="F52" s="53">
        <v>107.733949</v>
      </c>
      <c r="G52" s="5">
        <v>1.0149312000000001E-2</v>
      </c>
    </row>
    <row r="53" spans="1:7" ht="12.75" x14ac:dyDescent="0.2">
      <c r="A53" s="6">
        <v>47</v>
      </c>
      <c r="B53" s="7" t="s">
        <v>268</v>
      </c>
      <c r="C53" s="11" t="s">
        <v>269</v>
      </c>
      <c r="D53" s="2" t="s">
        <v>72</v>
      </c>
      <c r="E53" s="47">
        <v>22051</v>
      </c>
      <c r="F53" s="53">
        <v>98.975913500000004</v>
      </c>
      <c r="G53" s="5">
        <v>9.3242419999999999E-3</v>
      </c>
    </row>
    <row r="54" spans="1:7" ht="12.75" x14ac:dyDescent="0.2">
      <c r="A54" s="6">
        <v>48</v>
      </c>
      <c r="B54" s="7" t="s">
        <v>221</v>
      </c>
      <c r="C54" s="11" t="s">
        <v>222</v>
      </c>
      <c r="D54" s="2" t="s">
        <v>223</v>
      </c>
      <c r="E54" s="47">
        <v>21574</v>
      </c>
      <c r="F54" s="53">
        <v>97.881237999999996</v>
      </c>
      <c r="G54" s="5">
        <v>9.2211150000000002E-3</v>
      </c>
    </row>
    <row r="55" spans="1:7" ht="12.75" x14ac:dyDescent="0.2">
      <c r="A55" s="6">
        <v>49</v>
      </c>
      <c r="B55" s="7" t="s">
        <v>227</v>
      </c>
      <c r="C55" s="11" t="s">
        <v>228</v>
      </c>
      <c r="D55" s="2" t="s">
        <v>158</v>
      </c>
      <c r="E55" s="47">
        <v>56443</v>
      </c>
      <c r="F55" s="53">
        <v>95.021790499999994</v>
      </c>
      <c r="G55" s="5">
        <v>8.9517350000000006E-3</v>
      </c>
    </row>
    <row r="56" spans="1:7" ht="12.75" x14ac:dyDescent="0.2">
      <c r="A56" s="6">
        <v>50</v>
      </c>
      <c r="B56" s="7" t="s">
        <v>68</v>
      </c>
      <c r="C56" s="11" t="s">
        <v>69</v>
      </c>
      <c r="D56" s="2" t="s">
        <v>50</v>
      </c>
      <c r="E56" s="47">
        <v>44443</v>
      </c>
      <c r="F56" s="53">
        <v>94.663589999999999</v>
      </c>
      <c r="G56" s="5">
        <v>8.9179900000000006E-3</v>
      </c>
    </row>
    <row r="57" spans="1:7" ht="25.5" x14ac:dyDescent="0.2">
      <c r="A57" s="6">
        <v>51</v>
      </c>
      <c r="B57" s="7" t="s">
        <v>266</v>
      </c>
      <c r="C57" s="11" t="s">
        <v>267</v>
      </c>
      <c r="D57" s="2" t="s">
        <v>27</v>
      </c>
      <c r="E57" s="47">
        <v>92942</v>
      </c>
      <c r="F57" s="53">
        <v>93.685535999999999</v>
      </c>
      <c r="G57" s="5">
        <v>8.8258499999999997E-3</v>
      </c>
    </row>
    <row r="58" spans="1:7" ht="12.75" x14ac:dyDescent="0.2">
      <c r="A58" s="6">
        <v>52</v>
      </c>
      <c r="B58" s="7" t="s">
        <v>250</v>
      </c>
      <c r="C58" s="11" t="s">
        <v>251</v>
      </c>
      <c r="D58" s="2" t="s">
        <v>168</v>
      </c>
      <c r="E58" s="47">
        <v>23138</v>
      </c>
      <c r="F58" s="53">
        <v>92.181792000000002</v>
      </c>
      <c r="G58" s="5">
        <v>8.6841869999999995E-3</v>
      </c>
    </row>
    <row r="59" spans="1:7" ht="12.75" x14ac:dyDescent="0.2">
      <c r="A59" s="6">
        <v>53</v>
      </c>
      <c r="B59" s="7" t="s">
        <v>198</v>
      </c>
      <c r="C59" s="11" t="s">
        <v>199</v>
      </c>
      <c r="D59" s="2" t="s">
        <v>40</v>
      </c>
      <c r="E59" s="47">
        <v>145919</v>
      </c>
      <c r="F59" s="53">
        <v>87.113642999999996</v>
      </c>
      <c r="G59" s="5">
        <v>8.2067310000000001E-3</v>
      </c>
    </row>
    <row r="60" spans="1:7" ht="25.5" x14ac:dyDescent="0.2">
      <c r="A60" s="6">
        <v>54</v>
      </c>
      <c r="B60" s="7" t="s">
        <v>66</v>
      </c>
      <c r="C60" s="11" t="s">
        <v>67</v>
      </c>
      <c r="D60" s="2" t="s">
        <v>27</v>
      </c>
      <c r="E60" s="47">
        <v>58939</v>
      </c>
      <c r="F60" s="53">
        <v>85.520488999999998</v>
      </c>
      <c r="G60" s="5">
        <v>8.056644E-3</v>
      </c>
    </row>
    <row r="61" spans="1:7" ht="12.75" x14ac:dyDescent="0.2">
      <c r="A61" s="6">
        <v>55</v>
      </c>
      <c r="B61" s="7" t="s">
        <v>270</v>
      </c>
      <c r="C61" s="11" t="s">
        <v>271</v>
      </c>
      <c r="D61" s="2" t="s">
        <v>192</v>
      </c>
      <c r="E61" s="47">
        <v>87696</v>
      </c>
      <c r="F61" s="53">
        <v>66.298175999999998</v>
      </c>
      <c r="G61" s="5">
        <v>6.245764E-3</v>
      </c>
    </row>
    <row r="62" spans="1:7" ht="12.75" x14ac:dyDescent="0.2">
      <c r="A62" s="6">
        <v>56</v>
      </c>
      <c r="B62" s="7" t="s">
        <v>87</v>
      </c>
      <c r="C62" s="11" t="s">
        <v>88</v>
      </c>
      <c r="D62" s="2"/>
      <c r="E62" s="47">
        <v>33620</v>
      </c>
      <c r="F62" s="53">
        <v>57.187620000000003</v>
      </c>
      <c r="G62" s="5">
        <v>5.3874839999999997E-3</v>
      </c>
    </row>
    <row r="63" spans="1:7" ht="12.75" x14ac:dyDescent="0.2">
      <c r="A63" s="6">
        <v>57</v>
      </c>
      <c r="B63" s="7" t="s">
        <v>235</v>
      </c>
      <c r="C63" s="11" t="s">
        <v>236</v>
      </c>
      <c r="D63" s="2" t="s">
        <v>237</v>
      </c>
      <c r="E63" s="47">
        <v>5091</v>
      </c>
      <c r="F63" s="53">
        <v>55.886452499999997</v>
      </c>
      <c r="G63" s="5">
        <v>5.2649050000000003E-3</v>
      </c>
    </row>
    <row r="64" spans="1:7" ht="12.75" x14ac:dyDescent="0.2">
      <c r="A64" s="6">
        <v>58</v>
      </c>
      <c r="B64" s="7" t="s">
        <v>233</v>
      </c>
      <c r="C64" s="11" t="s">
        <v>234</v>
      </c>
      <c r="D64" s="2" t="s">
        <v>192</v>
      </c>
      <c r="E64" s="47">
        <v>28650</v>
      </c>
      <c r="F64" s="53">
        <v>51.928125000000001</v>
      </c>
      <c r="G64" s="5">
        <v>4.8920020000000003E-3</v>
      </c>
    </row>
    <row r="65" spans="1:7" ht="12.75" x14ac:dyDescent="0.2">
      <c r="A65" s="6">
        <v>59</v>
      </c>
      <c r="B65" s="7" t="s">
        <v>100</v>
      </c>
      <c r="C65" s="11" t="s">
        <v>101</v>
      </c>
      <c r="D65" s="2" t="s">
        <v>50</v>
      </c>
      <c r="E65" s="47">
        <v>52124</v>
      </c>
      <c r="F65" s="53">
        <v>49.752358000000001</v>
      </c>
      <c r="G65" s="5">
        <v>4.6870289999999997E-3</v>
      </c>
    </row>
    <row r="66" spans="1:7" ht="12.75" x14ac:dyDescent="0.2">
      <c r="A66" s="6">
        <v>60</v>
      </c>
      <c r="B66" s="7" t="s">
        <v>238</v>
      </c>
      <c r="C66" s="11" t="s">
        <v>239</v>
      </c>
      <c r="D66" s="2" t="s">
        <v>72</v>
      </c>
      <c r="E66" s="47">
        <v>92637</v>
      </c>
      <c r="F66" s="53">
        <v>49.607113499999997</v>
      </c>
      <c r="G66" s="5">
        <v>4.6733460000000001E-3</v>
      </c>
    </row>
    <row r="67" spans="1:7" ht="12.75" x14ac:dyDescent="0.2">
      <c r="A67" s="6">
        <v>61</v>
      </c>
      <c r="B67" s="7" t="s">
        <v>240</v>
      </c>
      <c r="C67" s="11" t="s">
        <v>241</v>
      </c>
      <c r="D67" s="2" t="s">
        <v>242</v>
      </c>
      <c r="E67" s="47">
        <v>11365</v>
      </c>
      <c r="F67" s="53">
        <v>46.227137499999998</v>
      </c>
      <c r="G67" s="5">
        <v>4.3549280000000001E-3</v>
      </c>
    </row>
    <row r="68" spans="1:7" ht="38.25" x14ac:dyDescent="0.2">
      <c r="A68" s="6">
        <v>62</v>
      </c>
      <c r="B68" s="7" t="s">
        <v>272</v>
      </c>
      <c r="C68" s="11" t="s">
        <v>273</v>
      </c>
      <c r="D68" s="2" t="s">
        <v>274</v>
      </c>
      <c r="E68" s="47">
        <v>45577</v>
      </c>
      <c r="F68" s="53">
        <v>33.909287999999997</v>
      </c>
      <c r="G68" s="5">
        <v>3.194498E-3</v>
      </c>
    </row>
    <row r="69" spans="1:7" ht="25.5" x14ac:dyDescent="0.2">
      <c r="A69" s="6">
        <v>63</v>
      </c>
      <c r="B69" s="7" t="s">
        <v>243</v>
      </c>
      <c r="C69" s="11" t="s">
        <v>244</v>
      </c>
      <c r="D69" s="2" t="s">
        <v>163</v>
      </c>
      <c r="E69" s="47">
        <v>32356</v>
      </c>
      <c r="F69" s="53">
        <v>19.720981999999999</v>
      </c>
      <c r="G69" s="5">
        <v>1.857858E-3</v>
      </c>
    </row>
    <row r="70" spans="1:7" ht="12.75" x14ac:dyDescent="0.2">
      <c r="A70" s="6">
        <v>64</v>
      </c>
      <c r="B70" s="7" t="s">
        <v>106</v>
      </c>
      <c r="C70" s="11" t="s">
        <v>107</v>
      </c>
      <c r="D70" s="2" t="s">
        <v>50</v>
      </c>
      <c r="E70" s="47">
        <v>33620</v>
      </c>
      <c r="F70" s="53">
        <v>16.137599999999999</v>
      </c>
      <c r="G70" s="5">
        <v>1.5202779999999999E-3</v>
      </c>
    </row>
    <row r="71" spans="1:7" ht="25.5" x14ac:dyDescent="0.2">
      <c r="A71" s="6">
        <v>65</v>
      </c>
      <c r="B71" s="7" t="s">
        <v>245</v>
      </c>
      <c r="C71" s="11" t="s">
        <v>246</v>
      </c>
      <c r="D71" s="2" t="s">
        <v>30</v>
      </c>
      <c r="E71" s="47">
        <v>117545</v>
      </c>
      <c r="F71" s="53">
        <v>8.2281499999999994</v>
      </c>
      <c r="G71" s="5">
        <v>7.7515099999999997E-4</v>
      </c>
    </row>
    <row r="72" spans="1:7" ht="12.75" x14ac:dyDescent="0.2">
      <c r="A72" s="6">
        <v>66</v>
      </c>
      <c r="B72" s="7" t="s">
        <v>276</v>
      </c>
      <c r="C72" s="11" t="s">
        <v>277</v>
      </c>
      <c r="D72" s="2" t="s">
        <v>72</v>
      </c>
      <c r="E72" s="47">
        <v>2062</v>
      </c>
      <c r="F72" s="53">
        <v>1.60836</v>
      </c>
      <c r="G72" s="5">
        <v>1.51519E-4</v>
      </c>
    </row>
    <row r="73" spans="1:7" ht="12.75" x14ac:dyDescent="0.2">
      <c r="A73" s="1"/>
      <c r="B73" s="2"/>
      <c r="C73" s="8" t="s">
        <v>108</v>
      </c>
      <c r="D73" s="12"/>
      <c r="E73" s="49"/>
      <c r="F73" s="55">
        <v>10452.895495000008</v>
      </c>
      <c r="G73" s="13">
        <v>0.98473781300000041</v>
      </c>
    </row>
    <row r="74" spans="1:7" ht="12.75" x14ac:dyDescent="0.2">
      <c r="A74" s="6"/>
      <c r="B74" s="7"/>
      <c r="C74" s="14"/>
      <c r="D74" s="15"/>
      <c r="E74" s="47"/>
      <c r="F74" s="53"/>
      <c r="G74" s="5"/>
    </row>
    <row r="75" spans="1:7" ht="12.75" x14ac:dyDescent="0.2">
      <c r="A75" s="1"/>
      <c r="B75" s="2"/>
      <c r="C75" s="8" t="s">
        <v>109</v>
      </c>
      <c r="D75" s="9"/>
      <c r="E75" s="48"/>
      <c r="F75" s="54"/>
      <c r="G75" s="10"/>
    </row>
    <row r="76" spans="1:7" ht="12.75" x14ac:dyDescent="0.2">
      <c r="A76" s="1"/>
      <c r="B76" s="2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6"/>
      <c r="B77" s="7"/>
      <c r="C77" s="14"/>
      <c r="D77" s="15"/>
      <c r="E77" s="47"/>
      <c r="F77" s="53"/>
      <c r="G77" s="5"/>
    </row>
    <row r="78" spans="1:7" ht="12.75" x14ac:dyDescent="0.2">
      <c r="A78" s="16"/>
      <c r="B78" s="17"/>
      <c r="C78" s="8" t="s">
        <v>110</v>
      </c>
      <c r="D78" s="9"/>
      <c r="E78" s="48"/>
      <c r="F78" s="54"/>
      <c r="G78" s="10"/>
    </row>
    <row r="79" spans="1:7" ht="12.75" x14ac:dyDescent="0.2">
      <c r="A79" s="18"/>
      <c r="B79" s="19"/>
      <c r="C79" s="8" t="s">
        <v>108</v>
      </c>
      <c r="D79" s="20"/>
      <c r="E79" s="50"/>
      <c r="F79" s="56">
        <v>0</v>
      </c>
      <c r="G79" s="21">
        <v>0</v>
      </c>
    </row>
    <row r="80" spans="1:7" ht="12.75" x14ac:dyDescent="0.2">
      <c r="A80" s="18"/>
      <c r="B80" s="19"/>
      <c r="C80" s="14"/>
      <c r="D80" s="22"/>
      <c r="E80" s="51"/>
      <c r="F80" s="57"/>
      <c r="G80" s="23"/>
    </row>
    <row r="81" spans="1:7" ht="12.75" x14ac:dyDescent="0.2">
      <c r="A81" s="1"/>
      <c r="B81" s="2"/>
      <c r="C81" s="8" t="s">
        <v>113</v>
      </c>
      <c r="D81" s="9"/>
      <c r="E81" s="48"/>
      <c r="F81" s="54"/>
      <c r="G81" s="10"/>
    </row>
    <row r="82" spans="1:7" ht="12.75" x14ac:dyDescent="0.2">
      <c r="A82" s="1"/>
      <c r="B82" s="2"/>
      <c r="C82" s="8" t="s">
        <v>108</v>
      </c>
      <c r="D82" s="12"/>
      <c r="E82" s="49"/>
      <c r="F82" s="55">
        <v>0</v>
      </c>
      <c r="G82" s="13">
        <v>0</v>
      </c>
    </row>
    <row r="83" spans="1:7" ht="12.75" x14ac:dyDescent="0.2">
      <c r="A83" s="1"/>
      <c r="B83" s="2"/>
      <c r="C83" s="14"/>
      <c r="D83" s="4"/>
      <c r="E83" s="47"/>
      <c r="F83" s="53"/>
      <c r="G83" s="5"/>
    </row>
    <row r="84" spans="1:7" ht="12.75" x14ac:dyDescent="0.2">
      <c r="A84" s="1"/>
      <c r="B84" s="2"/>
      <c r="C84" s="8" t="s">
        <v>114</v>
      </c>
      <c r="D84" s="9"/>
      <c r="E84" s="48"/>
      <c r="F84" s="54"/>
      <c r="G84" s="10"/>
    </row>
    <row r="85" spans="1:7" ht="12.75" x14ac:dyDescent="0.2">
      <c r="A85" s="1"/>
      <c r="B85" s="2"/>
      <c r="C85" s="8" t="s">
        <v>108</v>
      </c>
      <c r="D85" s="12"/>
      <c r="E85" s="49"/>
      <c r="F85" s="55">
        <v>0</v>
      </c>
      <c r="G85" s="13">
        <v>0</v>
      </c>
    </row>
    <row r="86" spans="1:7" ht="12.75" x14ac:dyDescent="0.2">
      <c r="A86" s="1"/>
      <c r="B86" s="2"/>
      <c r="C86" s="14"/>
      <c r="D86" s="4"/>
      <c r="E86" s="47"/>
      <c r="F86" s="53"/>
      <c r="G86" s="5"/>
    </row>
    <row r="87" spans="1:7" ht="12.75" x14ac:dyDescent="0.2">
      <c r="A87" s="1"/>
      <c r="B87" s="2"/>
      <c r="C87" s="8" t="s">
        <v>115</v>
      </c>
      <c r="D87" s="9"/>
      <c r="E87" s="48"/>
      <c r="F87" s="54"/>
      <c r="G87" s="10"/>
    </row>
    <row r="88" spans="1:7" ht="12.75" x14ac:dyDescent="0.2">
      <c r="A88" s="1"/>
      <c r="B88" s="2"/>
      <c r="C88" s="8" t="s">
        <v>108</v>
      </c>
      <c r="D88" s="12"/>
      <c r="E88" s="49"/>
      <c r="F88" s="55">
        <v>0</v>
      </c>
      <c r="G88" s="13">
        <v>0</v>
      </c>
    </row>
    <row r="89" spans="1:7" ht="12.75" x14ac:dyDescent="0.2">
      <c r="A89" s="1"/>
      <c r="B89" s="2"/>
      <c r="C89" s="14"/>
      <c r="D89" s="4"/>
      <c r="E89" s="47"/>
      <c r="F89" s="53"/>
      <c r="G89" s="5"/>
    </row>
    <row r="90" spans="1:7" ht="25.5" x14ac:dyDescent="0.2">
      <c r="A90" s="6"/>
      <c r="B90" s="7"/>
      <c r="C90" s="24" t="s">
        <v>116</v>
      </c>
      <c r="D90" s="25"/>
      <c r="E90" s="49"/>
      <c r="F90" s="55">
        <v>10452.895495000008</v>
      </c>
      <c r="G90" s="13">
        <v>0.98473781300000041</v>
      </c>
    </row>
    <row r="91" spans="1:7" ht="12.75" x14ac:dyDescent="0.2">
      <c r="A91" s="1"/>
      <c r="B91" s="2"/>
      <c r="C91" s="11"/>
      <c r="D91" s="4"/>
      <c r="E91" s="47"/>
      <c r="F91" s="53"/>
      <c r="G91" s="5"/>
    </row>
    <row r="92" spans="1:7" ht="12.75" x14ac:dyDescent="0.2">
      <c r="A92" s="1"/>
      <c r="B92" s="2"/>
      <c r="C92" s="3" t="s">
        <v>117</v>
      </c>
      <c r="D92" s="4"/>
      <c r="E92" s="47"/>
      <c r="F92" s="53"/>
      <c r="G92" s="5"/>
    </row>
    <row r="93" spans="1:7" ht="25.5" x14ac:dyDescent="0.2">
      <c r="A93" s="1"/>
      <c r="B93" s="2"/>
      <c r="C93" s="8" t="s">
        <v>10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7" ht="12.75" x14ac:dyDescent="0.2">
      <c r="A95" s="6"/>
      <c r="B95" s="7"/>
      <c r="C95" s="14"/>
      <c r="D95" s="4"/>
      <c r="E95" s="47"/>
      <c r="F95" s="53"/>
      <c r="G95" s="5"/>
    </row>
    <row r="96" spans="1:7" ht="12.75" x14ac:dyDescent="0.2">
      <c r="A96" s="1"/>
      <c r="B96" s="26"/>
      <c r="C96" s="8" t="s">
        <v>118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12"/>
      <c r="E97" s="49"/>
      <c r="F97" s="55">
        <v>0</v>
      </c>
      <c r="G97" s="13">
        <v>0</v>
      </c>
    </row>
    <row r="98" spans="1:7" ht="12.75" x14ac:dyDescent="0.2">
      <c r="A98" s="6"/>
      <c r="B98" s="7"/>
      <c r="C98" s="14"/>
      <c r="D98" s="4"/>
      <c r="E98" s="47"/>
      <c r="F98" s="59"/>
      <c r="G98" s="28"/>
    </row>
    <row r="99" spans="1:7" ht="12.75" x14ac:dyDescent="0.2">
      <c r="A99" s="1"/>
      <c r="B99" s="2"/>
      <c r="C99" s="8" t="s">
        <v>119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12"/>
      <c r="E100" s="49"/>
      <c r="F100" s="55">
        <v>0</v>
      </c>
      <c r="G100" s="13">
        <v>0</v>
      </c>
    </row>
    <row r="101" spans="1:7" ht="12.75" x14ac:dyDescent="0.2">
      <c r="A101" s="1"/>
      <c r="B101" s="2"/>
      <c r="C101" s="14"/>
      <c r="D101" s="4"/>
      <c r="E101" s="47"/>
      <c r="F101" s="53"/>
      <c r="G101" s="5"/>
    </row>
    <row r="102" spans="1:7" ht="25.5" x14ac:dyDescent="0.2">
      <c r="A102" s="1"/>
      <c r="B102" s="26"/>
      <c r="C102" s="8" t="s">
        <v>120</v>
      </c>
      <c r="D102" s="9"/>
      <c r="E102" s="48"/>
      <c r="F102" s="54"/>
      <c r="G102" s="10"/>
    </row>
    <row r="103" spans="1:7" ht="12.75" x14ac:dyDescent="0.2">
      <c r="A103" s="6"/>
      <c r="B103" s="7"/>
      <c r="C103" s="8" t="s">
        <v>108</v>
      </c>
      <c r="D103" s="12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4"/>
      <c r="D104" s="4"/>
      <c r="E104" s="47"/>
      <c r="F104" s="53"/>
      <c r="G104" s="5"/>
    </row>
    <row r="105" spans="1:7" ht="12.75" x14ac:dyDescent="0.2">
      <c r="A105" s="6"/>
      <c r="B105" s="7"/>
      <c r="C105" s="29" t="s">
        <v>121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1"/>
      <c r="D106" s="4"/>
      <c r="E106" s="47"/>
      <c r="F106" s="53"/>
      <c r="G106" s="5"/>
    </row>
    <row r="107" spans="1:7" ht="12.75" x14ac:dyDescent="0.2">
      <c r="A107" s="1"/>
      <c r="B107" s="2"/>
      <c r="C107" s="3" t="s">
        <v>122</v>
      </c>
      <c r="D107" s="4"/>
      <c r="E107" s="47"/>
      <c r="F107" s="53"/>
      <c r="G107" s="5"/>
    </row>
    <row r="108" spans="1:7" ht="12.75" x14ac:dyDescent="0.2">
      <c r="A108" s="6"/>
      <c r="B108" s="7"/>
      <c r="C108" s="8" t="s">
        <v>123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12.75" x14ac:dyDescent="0.2">
      <c r="A111" s="6"/>
      <c r="B111" s="7"/>
      <c r="C111" s="8" t="s">
        <v>124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3"/>
      <c r="G113" s="5"/>
    </row>
    <row r="114" spans="1:7" ht="12.75" x14ac:dyDescent="0.2">
      <c r="A114" s="6"/>
      <c r="B114" s="7"/>
      <c r="C114" s="8" t="s">
        <v>125</v>
      </c>
      <c r="D114" s="9"/>
      <c r="E114" s="48"/>
      <c r="F114" s="54"/>
      <c r="G114" s="10"/>
    </row>
    <row r="115" spans="1:7" ht="12.75" x14ac:dyDescent="0.2">
      <c r="A115" s="6"/>
      <c r="B115" s="7"/>
      <c r="C115" s="8" t="s">
        <v>108</v>
      </c>
      <c r="D115" s="25"/>
      <c r="E115" s="49"/>
      <c r="F115" s="55">
        <v>0</v>
      </c>
      <c r="G115" s="13">
        <v>0</v>
      </c>
    </row>
    <row r="116" spans="1:7" ht="12.75" x14ac:dyDescent="0.2">
      <c r="A116" s="6"/>
      <c r="B116" s="7"/>
      <c r="C116" s="14"/>
      <c r="D116" s="7"/>
      <c r="E116" s="47"/>
      <c r="F116" s="53"/>
      <c r="G116" s="5"/>
    </row>
    <row r="117" spans="1:7" ht="12.75" x14ac:dyDescent="0.2">
      <c r="A117" s="6"/>
      <c r="B117" s="7"/>
      <c r="C117" s="8" t="s">
        <v>126</v>
      </c>
      <c r="D117" s="9"/>
      <c r="E117" s="48"/>
      <c r="F117" s="54"/>
      <c r="G117" s="10"/>
    </row>
    <row r="118" spans="1:7" ht="12.75" x14ac:dyDescent="0.2">
      <c r="A118" s="6">
        <v>1</v>
      </c>
      <c r="B118" s="7"/>
      <c r="C118" s="11" t="s">
        <v>812</v>
      </c>
      <c r="D118" s="15"/>
      <c r="E118" s="47"/>
      <c r="F118" s="53">
        <v>126.98330079999999</v>
      </c>
      <c r="G118" s="5">
        <v>1.1962739E-2</v>
      </c>
    </row>
    <row r="119" spans="1:7" ht="12.75" x14ac:dyDescent="0.2">
      <c r="A119" s="6"/>
      <c r="B119" s="7"/>
      <c r="C119" s="8" t="s">
        <v>108</v>
      </c>
      <c r="D119" s="25"/>
      <c r="E119" s="49"/>
      <c r="F119" s="55">
        <v>126.98330079999999</v>
      </c>
      <c r="G119" s="13">
        <v>1.1962739E-2</v>
      </c>
    </row>
    <row r="120" spans="1:7" ht="12.75" x14ac:dyDescent="0.2">
      <c r="A120" s="6"/>
      <c r="B120" s="7"/>
      <c r="C120" s="14"/>
      <c r="D120" s="7"/>
      <c r="E120" s="47"/>
      <c r="F120" s="53"/>
      <c r="G120" s="5"/>
    </row>
    <row r="121" spans="1:7" ht="25.5" x14ac:dyDescent="0.2">
      <c r="A121" s="6"/>
      <c r="B121" s="7"/>
      <c r="C121" s="24" t="s">
        <v>127</v>
      </c>
      <c r="D121" s="25"/>
      <c r="E121" s="49"/>
      <c r="F121" s="55">
        <v>126.98330079999999</v>
      </c>
      <c r="G121" s="13">
        <v>1.1962739E-2</v>
      </c>
    </row>
    <row r="122" spans="1:7" ht="12.75" x14ac:dyDescent="0.2">
      <c r="A122" s="6"/>
      <c r="B122" s="7"/>
      <c r="C122" s="30"/>
      <c r="D122" s="7"/>
      <c r="E122" s="47"/>
      <c r="F122" s="53"/>
      <c r="G122" s="5"/>
    </row>
    <row r="123" spans="1:7" ht="12.75" x14ac:dyDescent="0.2">
      <c r="A123" s="1"/>
      <c r="B123" s="2"/>
      <c r="C123" s="3" t="s">
        <v>128</v>
      </c>
      <c r="D123" s="4"/>
      <c r="E123" s="47"/>
      <c r="F123" s="53"/>
      <c r="G123" s="5"/>
    </row>
    <row r="124" spans="1:7" ht="25.5" x14ac:dyDescent="0.2">
      <c r="A124" s="6"/>
      <c r="B124" s="7"/>
      <c r="C124" s="8" t="s">
        <v>129</v>
      </c>
      <c r="D124" s="9"/>
      <c r="E124" s="48"/>
      <c r="F124" s="54"/>
      <c r="G124" s="10"/>
    </row>
    <row r="125" spans="1:7" ht="12.75" x14ac:dyDescent="0.2">
      <c r="A125" s="6"/>
      <c r="B125" s="7"/>
      <c r="C125" s="8" t="s">
        <v>108</v>
      </c>
      <c r="D125" s="25"/>
      <c r="E125" s="49"/>
      <c r="F125" s="55">
        <v>0</v>
      </c>
      <c r="G125" s="13">
        <v>0</v>
      </c>
    </row>
    <row r="126" spans="1:7" ht="12.75" x14ac:dyDescent="0.2">
      <c r="A126" s="6"/>
      <c r="B126" s="7"/>
      <c r="C126" s="14"/>
      <c r="D126" s="7"/>
      <c r="E126" s="47"/>
      <c r="F126" s="53"/>
      <c r="G126" s="5"/>
    </row>
    <row r="127" spans="1:7" ht="12.75" x14ac:dyDescent="0.2">
      <c r="A127" s="1"/>
      <c r="B127" s="2"/>
      <c r="C127" s="3" t="s">
        <v>131</v>
      </c>
      <c r="D127" s="4"/>
      <c r="E127" s="47"/>
      <c r="F127" s="53"/>
      <c r="G127" s="5"/>
    </row>
    <row r="128" spans="1:7" ht="25.5" x14ac:dyDescent="0.2">
      <c r="A128" s="6"/>
      <c r="B128" s="7"/>
      <c r="C128" s="8" t="s">
        <v>132</v>
      </c>
      <c r="D128" s="9"/>
      <c r="E128" s="48"/>
      <c r="F128" s="54"/>
      <c r="G128" s="10"/>
    </row>
    <row r="129" spans="1:7" ht="12.75" x14ac:dyDescent="0.2">
      <c r="A129" s="6"/>
      <c r="B129" s="7"/>
      <c r="C129" s="8" t="s">
        <v>108</v>
      </c>
      <c r="D129" s="25"/>
      <c r="E129" s="49"/>
      <c r="F129" s="55">
        <v>0</v>
      </c>
      <c r="G129" s="13">
        <v>0</v>
      </c>
    </row>
    <row r="130" spans="1:7" ht="12.75" x14ac:dyDescent="0.2">
      <c r="A130" s="6"/>
      <c r="B130" s="7"/>
      <c r="C130" s="14"/>
      <c r="D130" s="7"/>
      <c r="E130" s="47"/>
      <c r="F130" s="53"/>
      <c r="G130" s="5"/>
    </row>
    <row r="131" spans="1:7" ht="25.5" x14ac:dyDescent="0.2">
      <c r="A131" s="6"/>
      <c r="B131" s="7"/>
      <c r="C131" s="8" t="s">
        <v>133</v>
      </c>
      <c r="D131" s="9"/>
      <c r="E131" s="48"/>
      <c r="F131" s="54"/>
      <c r="G131" s="10"/>
    </row>
    <row r="132" spans="1:7" ht="12.75" x14ac:dyDescent="0.2">
      <c r="A132" s="6"/>
      <c r="B132" s="7"/>
      <c r="C132" s="8" t="s">
        <v>108</v>
      </c>
      <c r="D132" s="25"/>
      <c r="E132" s="49"/>
      <c r="F132" s="55">
        <v>0</v>
      </c>
      <c r="G132" s="13">
        <v>0</v>
      </c>
    </row>
    <row r="133" spans="1:7" ht="12.75" x14ac:dyDescent="0.2">
      <c r="A133" s="6"/>
      <c r="B133" s="7"/>
      <c r="C133" s="14"/>
      <c r="D133" s="7"/>
      <c r="E133" s="47"/>
      <c r="F133" s="59"/>
      <c r="G133" s="28"/>
    </row>
    <row r="134" spans="1:7" ht="25.5" x14ac:dyDescent="0.2">
      <c r="A134" s="6"/>
      <c r="B134" s="7"/>
      <c r="C134" s="30" t="s">
        <v>134</v>
      </c>
      <c r="D134" s="7"/>
      <c r="E134" s="47"/>
      <c r="F134" s="59">
        <v>35.02329589</v>
      </c>
      <c r="G134" s="28">
        <v>3.2994460000000001E-3</v>
      </c>
    </row>
    <row r="135" spans="1:7" ht="12.75" x14ac:dyDescent="0.2">
      <c r="A135" s="6"/>
      <c r="B135" s="7"/>
      <c r="C135" s="31" t="s">
        <v>135</v>
      </c>
      <c r="D135" s="12"/>
      <c r="E135" s="49"/>
      <c r="F135" s="55">
        <v>10614.902091690008</v>
      </c>
      <c r="G135" s="13">
        <v>0.99999999800000017</v>
      </c>
    </row>
    <row r="137" spans="1:7" ht="12.75" x14ac:dyDescent="0.2">
      <c r="B137" s="179"/>
      <c r="C137" s="179"/>
      <c r="D137" s="179"/>
      <c r="E137" s="179"/>
      <c r="F137" s="179"/>
    </row>
    <row r="138" spans="1:7" ht="12.75" x14ac:dyDescent="0.2">
      <c r="B138" s="179"/>
      <c r="C138" s="179"/>
      <c r="D138" s="179"/>
      <c r="E138" s="179"/>
      <c r="F138" s="179"/>
    </row>
    <row r="140" spans="1:7" ht="12.75" x14ac:dyDescent="0.2">
      <c r="B140" s="37" t="s">
        <v>137</v>
      </c>
      <c r="C140" s="38"/>
      <c r="D140" s="39"/>
    </row>
    <row r="141" spans="1:7" ht="12.75" x14ac:dyDescent="0.2">
      <c r="B141" s="40" t="s">
        <v>808</v>
      </c>
      <c r="C141" s="41"/>
      <c r="D141" s="65" t="s">
        <v>138</v>
      </c>
    </row>
    <row r="142" spans="1:7" ht="12.75" x14ac:dyDescent="0.2">
      <c r="B142" s="40" t="s">
        <v>139</v>
      </c>
      <c r="C142" s="41"/>
      <c r="D142" s="65" t="s">
        <v>138</v>
      </c>
    </row>
    <row r="143" spans="1:7" ht="12.75" x14ac:dyDescent="0.2">
      <c r="B143" s="42" t="s">
        <v>140</v>
      </c>
      <c r="C143" s="41"/>
      <c r="D143" s="43"/>
    </row>
    <row r="144" spans="1:7" ht="25.5" customHeight="1" x14ac:dyDescent="0.2">
      <c r="B144" s="43"/>
      <c r="C144" s="33" t="s">
        <v>141</v>
      </c>
      <c r="D144" s="34" t="s">
        <v>142</v>
      </c>
    </row>
    <row r="145" spans="2:4" ht="12.75" customHeight="1" x14ac:dyDescent="0.2">
      <c r="B145" s="60" t="s">
        <v>143</v>
      </c>
      <c r="C145" s="61" t="s">
        <v>144</v>
      </c>
      <c r="D145" s="61" t="s">
        <v>145</v>
      </c>
    </row>
    <row r="146" spans="2:4" ht="12.75" x14ac:dyDescent="0.2">
      <c r="B146" s="43" t="s">
        <v>146</v>
      </c>
      <c r="C146" s="44">
        <v>8.0114000000000001</v>
      </c>
      <c r="D146" s="44">
        <v>8.1415000000000006</v>
      </c>
    </row>
    <row r="147" spans="2:4" ht="12.75" x14ac:dyDescent="0.2">
      <c r="B147" s="43" t="s">
        <v>147</v>
      </c>
      <c r="C147" s="44">
        <v>8.0114000000000001</v>
      </c>
      <c r="D147" s="44">
        <v>8.1414000000000009</v>
      </c>
    </row>
    <row r="148" spans="2:4" ht="12.75" x14ac:dyDescent="0.2">
      <c r="B148" s="43" t="s">
        <v>148</v>
      </c>
      <c r="C148" s="44">
        <v>7.8358999999999996</v>
      </c>
      <c r="D148" s="44">
        <v>7.9585999999999997</v>
      </c>
    </row>
    <row r="149" spans="2:4" ht="12.75" x14ac:dyDescent="0.2">
      <c r="B149" s="43" t="s">
        <v>149</v>
      </c>
      <c r="C149" s="44">
        <v>7.8358999999999996</v>
      </c>
      <c r="D149" s="44">
        <v>7.9585999999999997</v>
      </c>
    </row>
    <row r="151" spans="2:4" ht="12.75" x14ac:dyDescent="0.2">
      <c r="B151" s="62" t="s">
        <v>150</v>
      </c>
      <c r="C151" s="45"/>
      <c r="D151" s="63" t="s">
        <v>138</v>
      </c>
    </row>
    <row r="152" spans="2:4" ht="24.75" customHeight="1" x14ac:dyDescent="0.2">
      <c r="B152" s="64"/>
      <c r="C152" s="64"/>
    </row>
    <row r="153" spans="2:4" ht="15" x14ac:dyDescent="0.25">
      <c r="B153" s="66"/>
      <c r="C153" s="68"/>
      <c r="D153"/>
    </row>
    <row r="155" spans="2:4" ht="12.75" x14ac:dyDescent="0.2">
      <c r="B155" s="42" t="s">
        <v>151</v>
      </c>
      <c r="C155" s="41"/>
      <c r="D155" s="67" t="s">
        <v>138</v>
      </c>
    </row>
    <row r="156" spans="2:4" ht="12.75" x14ac:dyDescent="0.2">
      <c r="B156" s="42" t="s">
        <v>152</v>
      </c>
      <c r="C156" s="41"/>
      <c r="D156" s="67" t="s">
        <v>138</v>
      </c>
    </row>
    <row r="157" spans="2:4" ht="12.75" x14ac:dyDescent="0.2">
      <c r="B157" s="42" t="s">
        <v>153</v>
      </c>
      <c r="C157" s="41"/>
      <c r="D157" s="46">
        <v>0.17888153079696603</v>
      </c>
    </row>
    <row r="158" spans="2:4" ht="12.75" x14ac:dyDescent="0.2">
      <c r="B158" s="42" t="s">
        <v>154</v>
      </c>
      <c r="C158" s="41"/>
      <c r="D158" s="46" t="s">
        <v>138</v>
      </c>
    </row>
  </sheetData>
  <mergeCells count="5">
    <mergeCell ref="A1:G1"/>
    <mergeCell ref="A2:G2"/>
    <mergeCell ref="A3:G3"/>
    <mergeCell ref="B137:F137"/>
    <mergeCell ref="B138:F1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4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287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37534</v>
      </c>
      <c r="F7" s="53">
        <v>336.86765000000003</v>
      </c>
      <c r="G7" s="5">
        <v>4.9703582000000003E-2</v>
      </c>
    </row>
    <row r="8" spans="1:7" ht="25.5" x14ac:dyDescent="0.2">
      <c r="A8" s="6">
        <v>2</v>
      </c>
      <c r="B8" s="7" t="s">
        <v>23</v>
      </c>
      <c r="C8" s="11" t="s">
        <v>24</v>
      </c>
      <c r="D8" s="2" t="s">
        <v>22</v>
      </c>
      <c r="E8" s="47">
        <v>47145</v>
      </c>
      <c r="F8" s="53">
        <v>283.50645750000001</v>
      </c>
      <c r="G8" s="5">
        <v>4.1830335000000003E-2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143276</v>
      </c>
      <c r="F9" s="53">
        <v>268.06939599999998</v>
      </c>
      <c r="G9" s="5">
        <v>3.9552653E-2</v>
      </c>
    </row>
    <row r="10" spans="1:7" ht="25.5" x14ac:dyDescent="0.2">
      <c r="A10" s="6">
        <v>4</v>
      </c>
      <c r="B10" s="7" t="s">
        <v>161</v>
      </c>
      <c r="C10" s="11" t="s">
        <v>162</v>
      </c>
      <c r="D10" s="2" t="s">
        <v>163</v>
      </c>
      <c r="E10" s="47">
        <v>63606</v>
      </c>
      <c r="F10" s="53">
        <v>231.971082</v>
      </c>
      <c r="G10" s="5">
        <v>3.4226479999999997E-2</v>
      </c>
    </row>
    <row r="11" spans="1:7" ht="12.75" x14ac:dyDescent="0.2">
      <c r="A11" s="6">
        <v>5</v>
      </c>
      <c r="B11" s="7" t="s">
        <v>51</v>
      </c>
      <c r="C11" s="11" t="s">
        <v>52</v>
      </c>
      <c r="D11" s="2" t="s">
        <v>19</v>
      </c>
      <c r="E11" s="47">
        <v>20712</v>
      </c>
      <c r="F11" s="53">
        <v>231.36339599999999</v>
      </c>
      <c r="G11" s="5">
        <v>3.4136817999999999E-2</v>
      </c>
    </row>
    <row r="12" spans="1:7" ht="25.5" x14ac:dyDescent="0.2">
      <c r="A12" s="6">
        <v>6</v>
      </c>
      <c r="B12" s="7" t="s">
        <v>55</v>
      </c>
      <c r="C12" s="11" t="s">
        <v>56</v>
      </c>
      <c r="D12" s="2" t="s">
        <v>22</v>
      </c>
      <c r="E12" s="47">
        <v>38777</v>
      </c>
      <c r="F12" s="53">
        <v>228.95879650000001</v>
      </c>
      <c r="G12" s="5">
        <v>3.3782027999999999E-2</v>
      </c>
    </row>
    <row r="13" spans="1:7" ht="25.5" x14ac:dyDescent="0.2">
      <c r="A13" s="6">
        <v>7</v>
      </c>
      <c r="B13" s="7" t="s">
        <v>38</v>
      </c>
      <c r="C13" s="11" t="s">
        <v>39</v>
      </c>
      <c r="D13" s="2" t="s">
        <v>40</v>
      </c>
      <c r="E13" s="47">
        <v>51485</v>
      </c>
      <c r="F13" s="53">
        <v>222.10629</v>
      </c>
      <c r="G13" s="5">
        <v>3.2770965999999999E-2</v>
      </c>
    </row>
    <row r="14" spans="1:7" ht="25.5" x14ac:dyDescent="0.2">
      <c r="A14" s="6">
        <v>8</v>
      </c>
      <c r="B14" s="7" t="s">
        <v>102</v>
      </c>
      <c r="C14" s="11" t="s">
        <v>103</v>
      </c>
      <c r="D14" s="2" t="s">
        <v>13</v>
      </c>
      <c r="E14" s="47">
        <v>181426</v>
      </c>
      <c r="F14" s="53">
        <v>186.687354</v>
      </c>
      <c r="G14" s="5">
        <v>2.7545032000000001E-2</v>
      </c>
    </row>
    <row r="15" spans="1:7" ht="25.5" x14ac:dyDescent="0.2">
      <c r="A15" s="6">
        <v>9</v>
      </c>
      <c r="B15" s="7" t="s">
        <v>186</v>
      </c>
      <c r="C15" s="11" t="s">
        <v>187</v>
      </c>
      <c r="D15" s="2" t="s">
        <v>183</v>
      </c>
      <c r="E15" s="47">
        <v>30319</v>
      </c>
      <c r="F15" s="53">
        <v>172.15128200000001</v>
      </c>
      <c r="G15" s="5">
        <v>2.5400288E-2</v>
      </c>
    </row>
    <row r="16" spans="1:7" ht="25.5" x14ac:dyDescent="0.2">
      <c r="A16" s="6">
        <v>10</v>
      </c>
      <c r="B16" s="7" t="s">
        <v>81</v>
      </c>
      <c r="C16" s="11" t="s">
        <v>82</v>
      </c>
      <c r="D16" s="2" t="s">
        <v>22</v>
      </c>
      <c r="E16" s="47">
        <v>16700</v>
      </c>
      <c r="F16" s="53">
        <v>167.05844999999999</v>
      </c>
      <c r="G16" s="5">
        <v>2.4648860000000002E-2</v>
      </c>
    </row>
    <row r="17" spans="1:7" ht="12.75" x14ac:dyDescent="0.2">
      <c r="A17" s="6">
        <v>11</v>
      </c>
      <c r="B17" s="7" t="s">
        <v>229</v>
      </c>
      <c r="C17" s="11" t="s">
        <v>230</v>
      </c>
      <c r="D17" s="2" t="s">
        <v>50</v>
      </c>
      <c r="E17" s="47">
        <v>66950</v>
      </c>
      <c r="F17" s="53">
        <v>159.80965</v>
      </c>
      <c r="G17" s="5">
        <v>2.3579326000000001E-2</v>
      </c>
    </row>
    <row r="18" spans="1:7" ht="12.75" x14ac:dyDescent="0.2">
      <c r="A18" s="6">
        <v>12</v>
      </c>
      <c r="B18" s="7" t="s">
        <v>61</v>
      </c>
      <c r="C18" s="11" t="s">
        <v>62</v>
      </c>
      <c r="D18" s="2" t="s">
        <v>19</v>
      </c>
      <c r="E18" s="47">
        <v>165773</v>
      </c>
      <c r="F18" s="53">
        <v>159.805172</v>
      </c>
      <c r="G18" s="5">
        <v>2.3578664999999999E-2</v>
      </c>
    </row>
    <row r="19" spans="1:7" ht="25.5" x14ac:dyDescent="0.2">
      <c r="A19" s="6">
        <v>13</v>
      </c>
      <c r="B19" s="7" t="s">
        <v>171</v>
      </c>
      <c r="C19" s="11" t="s">
        <v>172</v>
      </c>
      <c r="D19" s="2" t="s">
        <v>22</v>
      </c>
      <c r="E19" s="47">
        <v>39478</v>
      </c>
      <c r="F19" s="53">
        <v>159.01738399999999</v>
      </c>
      <c r="G19" s="5">
        <v>2.3462429999999999E-2</v>
      </c>
    </row>
    <row r="20" spans="1:7" ht="12.75" x14ac:dyDescent="0.2">
      <c r="A20" s="6">
        <v>14</v>
      </c>
      <c r="B20" s="7" t="s">
        <v>288</v>
      </c>
      <c r="C20" s="11" t="s">
        <v>289</v>
      </c>
      <c r="D20" s="2" t="s">
        <v>290</v>
      </c>
      <c r="E20" s="47">
        <v>222659</v>
      </c>
      <c r="F20" s="53">
        <v>149.404189</v>
      </c>
      <c r="G20" s="5">
        <v>2.2044037999999998E-2</v>
      </c>
    </row>
    <row r="21" spans="1:7" ht="25.5" x14ac:dyDescent="0.2">
      <c r="A21" s="6">
        <v>15</v>
      </c>
      <c r="B21" s="7" t="s">
        <v>188</v>
      </c>
      <c r="C21" s="11" t="s">
        <v>189</v>
      </c>
      <c r="D21" s="2" t="s">
        <v>47</v>
      </c>
      <c r="E21" s="47">
        <v>7000</v>
      </c>
      <c r="F21" s="53">
        <v>148.7955</v>
      </c>
      <c r="G21" s="5">
        <v>2.1954228999999999E-2</v>
      </c>
    </row>
    <row r="22" spans="1:7" ht="12.75" x14ac:dyDescent="0.2">
      <c r="A22" s="6">
        <v>16</v>
      </c>
      <c r="B22" s="7" t="s">
        <v>166</v>
      </c>
      <c r="C22" s="11" t="s">
        <v>167</v>
      </c>
      <c r="D22" s="2" t="s">
        <v>168</v>
      </c>
      <c r="E22" s="47">
        <v>56654</v>
      </c>
      <c r="F22" s="53">
        <v>144.665989</v>
      </c>
      <c r="G22" s="5">
        <v>2.1344933999999999E-2</v>
      </c>
    </row>
    <row r="23" spans="1:7" ht="25.5" x14ac:dyDescent="0.2">
      <c r="A23" s="6">
        <v>17</v>
      </c>
      <c r="B23" s="7" t="s">
        <v>41</v>
      </c>
      <c r="C23" s="11" t="s">
        <v>42</v>
      </c>
      <c r="D23" s="2" t="s">
        <v>27</v>
      </c>
      <c r="E23" s="47">
        <v>121176</v>
      </c>
      <c r="F23" s="53">
        <v>139.170636</v>
      </c>
      <c r="G23" s="5">
        <v>2.0534114999999999E-2</v>
      </c>
    </row>
    <row r="24" spans="1:7" ht="12.75" x14ac:dyDescent="0.2">
      <c r="A24" s="6">
        <v>18</v>
      </c>
      <c r="B24" s="7" t="s">
        <v>282</v>
      </c>
      <c r="C24" s="11" t="s">
        <v>283</v>
      </c>
      <c r="D24" s="2" t="s">
        <v>19</v>
      </c>
      <c r="E24" s="47">
        <v>72429</v>
      </c>
      <c r="F24" s="53">
        <v>132.61749900000001</v>
      </c>
      <c r="G24" s="5">
        <v>1.9567224000000001E-2</v>
      </c>
    </row>
    <row r="25" spans="1:7" ht="25.5" x14ac:dyDescent="0.2">
      <c r="A25" s="6">
        <v>19</v>
      </c>
      <c r="B25" s="7" t="s">
        <v>83</v>
      </c>
      <c r="C25" s="11" t="s">
        <v>84</v>
      </c>
      <c r="D25" s="2" t="s">
        <v>22</v>
      </c>
      <c r="E25" s="47">
        <v>113977</v>
      </c>
      <c r="F25" s="53">
        <v>124.29191849999999</v>
      </c>
      <c r="G25" s="5">
        <v>1.8338815000000001E-2</v>
      </c>
    </row>
    <row r="26" spans="1:7" ht="25.5" x14ac:dyDescent="0.2">
      <c r="A26" s="6">
        <v>20</v>
      </c>
      <c r="B26" s="7" t="s">
        <v>213</v>
      </c>
      <c r="C26" s="11" t="s">
        <v>214</v>
      </c>
      <c r="D26" s="2" t="s">
        <v>163</v>
      </c>
      <c r="E26" s="47">
        <v>118261</v>
      </c>
      <c r="F26" s="53">
        <v>120.8036115</v>
      </c>
      <c r="G26" s="5">
        <v>1.7824128000000002E-2</v>
      </c>
    </row>
    <row r="27" spans="1:7" ht="12.75" x14ac:dyDescent="0.2">
      <c r="A27" s="6">
        <v>21</v>
      </c>
      <c r="B27" s="7" t="s">
        <v>175</v>
      </c>
      <c r="C27" s="11" t="s">
        <v>176</v>
      </c>
      <c r="D27" s="2" t="s">
        <v>19</v>
      </c>
      <c r="E27" s="47">
        <v>138968</v>
      </c>
      <c r="F27" s="53">
        <v>116.52466800000001</v>
      </c>
      <c r="G27" s="5">
        <v>1.7192786000000002E-2</v>
      </c>
    </row>
    <row r="28" spans="1:7" ht="25.5" x14ac:dyDescent="0.2">
      <c r="A28" s="6">
        <v>22</v>
      </c>
      <c r="B28" s="7" t="s">
        <v>20</v>
      </c>
      <c r="C28" s="11" t="s">
        <v>21</v>
      </c>
      <c r="D28" s="2" t="s">
        <v>22</v>
      </c>
      <c r="E28" s="47">
        <v>12715</v>
      </c>
      <c r="F28" s="53">
        <v>113.29065</v>
      </c>
      <c r="G28" s="5">
        <v>1.6715619000000001E-2</v>
      </c>
    </row>
    <row r="29" spans="1:7" ht="25.5" x14ac:dyDescent="0.2">
      <c r="A29" s="6">
        <v>23</v>
      </c>
      <c r="B29" s="7" t="s">
        <v>57</v>
      </c>
      <c r="C29" s="11" t="s">
        <v>58</v>
      </c>
      <c r="D29" s="2" t="s">
        <v>27</v>
      </c>
      <c r="E29" s="47">
        <v>29570</v>
      </c>
      <c r="F29" s="53">
        <v>110.251745</v>
      </c>
      <c r="G29" s="5">
        <v>1.6267238999999999E-2</v>
      </c>
    </row>
    <row r="30" spans="1:7" ht="25.5" x14ac:dyDescent="0.2">
      <c r="A30" s="6">
        <v>24</v>
      </c>
      <c r="B30" s="7" t="s">
        <v>200</v>
      </c>
      <c r="C30" s="11" t="s">
        <v>201</v>
      </c>
      <c r="D30" s="2" t="s">
        <v>30</v>
      </c>
      <c r="E30" s="47">
        <v>35071</v>
      </c>
      <c r="F30" s="53">
        <v>104.9850385</v>
      </c>
      <c r="G30" s="5">
        <v>1.5490156E-2</v>
      </c>
    </row>
    <row r="31" spans="1:7" ht="12.75" x14ac:dyDescent="0.2">
      <c r="A31" s="6">
        <v>25</v>
      </c>
      <c r="B31" s="7" t="s">
        <v>190</v>
      </c>
      <c r="C31" s="11" t="s">
        <v>191</v>
      </c>
      <c r="D31" s="2" t="s">
        <v>192</v>
      </c>
      <c r="E31" s="47">
        <v>67193</v>
      </c>
      <c r="F31" s="53">
        <v>103.5108165</v>
      </c>
      <c r="G31" s="5">
        <v>1.5272640000000001E-2</v>
      </c>
    </row>
    <row r="32" spans="1:7" ht="12.75" x14ac:dyDescent="0.2">
      <c r="A32" s="6">
        <v>26</v>
      </c>
      <c r="B32" s="7" t="s">
        <v>252</v>
      </c>
      <c r="C32" s="11" t="s">
        <v>253</v>
      </c>
      <c r="D32" s="2" t="s">
        <v>242</v>
      </c>
      <c r="E32" s="47">
        <v>7431</v>
      </c>
      <c r="F32" s="53">
        <v>103.1088405</v>
      </c>
      <c r="G32" s="5">
        <v>1.5213330000000001E-2</v>
      </c>
    </row>
    <row r="33" spans="1:7" ht="12.75" x14ac:dyDescent="0.2">
      <c r="A33" s="6">
        <v>27</v>
      </c>
      <c r="B33" s="7" t="s">
        <v>184</v>
      </c>
      <c r="C33" s="11" t="s">
        <v>185</v>
      </c>
      <c r="D33" s="2" t="s">
        <v>16</v>
      </c>
      <c r="E33" s="47">
        <v>57156</v>
      </c>
      <c r="F33" s="53">
        <v>102.966534</v>
      </c>
      <c r="G33" s="5">
        <v>1.5192333000000001E-2</v>
      </c>
    </row>
    <row r="34" spans="1:7" ht="51" x14ac:dyDescent="0.2">
      <c r="A34" s="6">
        <v>28</v>
      </c>
      <c r="B34" s="7" t="s">
        <v>247</v>
      </c>
      <c r="C34" s="11" t="s">
        <v>248</v>
      </c>
      <c r="D34" s="2" t="s">
        <v>208</v>
      </c>
      <c r="E34" s="47">
        <v>47472</v>
      </c>
      <c r="F34" s="53">
        <v>102.70567200000001</v>
      </c>
      <c r="G34" s="5">
        <v>1.5153844E-2</v>
      </c>
    </row>
    <row r="35" spans="1:7" ht="25.5" x14ac:dyDescent="0.2">
      <c r="A35" s="6">
        <v>29</v>
      </c>
      <c r="B35" s="7" t="s">
        <v>73</v>
      </c>
      <c r="C35" s="11" t="s">
        <v>74</v>
      </c>
      <c r="D35" s="2" t="s">
        <v>22</v>
      </c>
      <c r="E35" s="47">
        <v>15150</v>
      </c>
      <c r="F35" s="53">
        <v>99.277950000000004</v>
      </c>
      <c r="G35" s="5">
        <v>1.4648095999999999E-2</v>
      </c>
    </row>
    <row r="36" spans="1:7" ht="12.75" x14ac:dyDescent="0.2">
      <c r="A36" s="6">
        <v>30</v>
      </c>
      <c r="B36" s="7" t="s">
        <v>193</v>
      </c>
      <c r="C36" s="11" t="s">
        <v>194</v>
      </c>
      <c r="D36" s="2" t="s">
        <v>72</v>
      </c>
      <c r="E36" s="47">
        <v>10939</v>
      </c>
      <c r="F36" s="53">
        <v>97.0453385</v>
      </c>
      <c r="G36" s="5">
        <v>1.4318683E-2</v>
      </c>
    </row>
    <row r="37" spans="1:7" ht="12.75" x14ac:dyDescent="0.2">
      <c r="A37" s="6">
        <v>31</v>
      </c>
      <c r="B37" s="7" t="s">
        <v>48</v>
      </c>
      <c r="C37" s="11" t="s">
        <v>49</v>
      </c>
      <c r="D37" s="2" t="s">
        <v>50</v>
      </c>
      <c r="E37" s="47">
        <v>46942</v>
      </c>
      <c r="F37" s="53">
        <v>96.817875000000001</v>
      </c>
      <c r="G37" s="5">
        <v>1.4285121E-2</v>
      </c>
    </row>
    <row r="38" spans="1:7" ht="12.75" x14ac:dyDescent="0.2">
      <c r="A38" s="6">
        <v>32</v>
      </c>
      <c r="B38" s="7" t="s">
        <v>195</v>
      </c>
      <c r="C38" s="11" t="s">
        <v>196</v>
      </c>
      <c r="D38" s="2" t="s">
        <v>197</v>
      </c>
      <c r="E38" s="47">
        <v>65640</v>
      </c>
      <c r="F38" s="53">
        <v>87.793499999999995</v>
      </c>
      <c r="G38" s="5">
        <v>1.2953608E-2</v>
      </c>
    </row>
    <row r="39" spans="1:7" ht="12.75" x14ac:dyDescent="0.2">
      <c r="A39" s="6">
        <v>33</v>
      </c>
      <c r="B39" s="7" t="s">
        <v>254</v>
      </c>
      <c r="C39" s="11" t="s">
        <v>255</v>
      </c>
      <c r="D39" s="2" t="s">
        <v>168</v>
      </c>
      <c r="E39" s="47">
        <v>31377</v>
      </c>
      <c r="F39" s="53">
        <v>86.898601499999998</v>
      </c>
      <c r="G39" s="5">
        <v>1.2821569E-2</v>
      </c>
    </row>
    <row r="40" spans="1:7" ht="25.5" x14ac:dyDescent="0.2">
      <c r="A40" s="6">
        <v>34</v>
      </c>
      <c r="B40" s="7" t="s">
        <v>284</v>
      </c>
      <c r="C40" s="11" t="s">
        <v>285</v>
      </c>
      <c r="D40" s="2" t="s">
        <v>30</v>
      </c>
      <c r="E40" s="47">
        <v>97000</v>
      </c>
      <c r="F40" s="53">
        <v>81.819500000000005</v>
      </c>
      <c r="G40" s="5">
        <v>1.2072166E-2</v>
      </c>
    </row>
    <row r="41" spans="1:7" ht="25.5" x14ac:dyDescent="0.2">
      <c r="A41" s="6">
        <v>35</v>
      </c>
      <c r="B41" s="7" t="s">
        <v>215</v>
      </c>
      <c r="C41" s="11" t="s">
        <v>216</v>
      </c>
      <c r="D41" s="2" t="s">
        <v>13</v>
      </c>
      <c r="E41" s="47">
        <v>140508</v>
      </c>
      <c r="F41" s="53">
        <v>81.213623999999996</v>
      </c>
      <c r="G41" s="5">
        <v>1.1982771E-2</v>
      </c>
    </row>
    <row r="42" spans="1:7" ht="25.5" x14ac:dyDescent="0.2">
      <c r="A42" s="6">
        <v>36</v>
      </c>
      <c r="B42" s="7" t="s">
        <v>209</v>
      </c>
      <c r="C42" s="11" t="s">
        <v>210</v>
      </c>
      <c r="D42" s="2" t="s">
        <v>22</v>
      </c>
      <c r="E42" s="47">
        <v>11603</v>
      </c>
      <c r="F42" s="53">
        <v>78.053381000000002</v>
      </c>
      <c r="G42" s="5">
        <v>1.1516489E-2</v>
      </c>
    </row>
    <row r="43" spans="1:7" ht="12.75" x14ac:dyDescent="0.2">
      <c r="A43" s="6">
        <v>37</v>
      </c>
      <c r="B43" s="7" t="s">
        <v>204</v>
      </c>
      <c r="C43" s="11" t="s">
        <v>205</v>
      </c>
      <c r="D43" s="2" t="s">
        <v>72</v>
      </c>
      <c r="E43" s="47">
        <v>28357</v>
      </c>
      <c r="F43" s="53">
        <v>77.372074499999997</v>
      </c>
      <c r="G43" s="5">
        <v>1.1415965E-2</v>
      </c>
    </row>
    <row r="44" spans="1:7" ht="25.5" x14ac:dyDescent="0.2">
      <c r="A44" s="6">
        <v>38</v>
      </c>
      <c r="B44" s="7" t="s">
        <v>231</v>
      </c>
      <c r="C44" s="11" t="s">
        <v>232</v>
      </c>
      <c r="D44" s="2" t="s">
        <v>47</v>
      </c>
      <c r="E44" s="47">
        <v>29938</v>
      </c>
      <c r="F44" s="53">
        <v>75.503636</v>
      </c>
      <c r="G44" s="5">
        <v>1.1140284E-2</v>
      </c>
    </row>
    <row r="45" spans="1:7" ht="12.75" x14ac:dyDescent="0.2">
      <c r="A45" s="6">
        <v>39</v>
      </c>
      <c r="B45" s="7" t="s">
        <v>260</v>
      </c>
      <c r="C45" s="11" t="s">
        <v>261</v>
      </c>
      <c r="D45" s="2" t="s">
        <v>242</v>
      </c>
      <c r="E45" s="47">
        <v>8000</v>
      </c>
      <c r="F45" s="53">
        <v>75.284000000000006</v>
      </c>
      <c r="G45" s="5">
        <v>1.1107877E-2</v>
      </c>
    </row>
    <row r="46" spans="1:7" ht="25.5" x14ac:dyDescent="0.2">
      <c r="A46" s="6">
        <v>40</v>
      </c>
      <c r="B46" s="7" t="s">
        <v>177</v>
      </c>
      <c r="C46" s="11" t="s">
        <v>178</v>
      </c>
      <c r="D46" s="2" t="s">
        <v>47</v>
      </c>
      <c r="E46" s="47">
        <v>45969</v>
      </c>
      <c r="F46" s="53">
        <v>75.021407999999994</v>
      </c>
      <c r="G46" s="5">
        <v>1.1069133E-2</v>
      </c>
    </row>
    <row r="47" spans="1:7" ht="38.25" x14ac:dyDescent="0.2">
      <c r="A47" s="6">
        <v>41</v>
      </c>
      <c r="B47" s="7" t="s">
        <v>75</v>
      </c>
      <c r="C47" s="11" t="s">
        <v>76</v>
      </c>
      <c r="D47" s="2" t="s">
        <v>77</v>
      </c>
      <c r="E47" s="47">
        <v>92000</v>
      </c>
      <c r="F47" s="53">
        <v>72.495999999999995</v>
      </c>
      <c r="G47" s="5">
        <v>1.0696518E-2</v>
      </c>
    </row>
    <row r="48" spans="1:7" ht="51" x14ac:dyDescent="0.2">
      <c r="A48" s="6">
        <v>42</v>
      </c>
      <c r="B48" s="7" t="s">
        <v>206</v>
      </c>
      <c r="C48" s="11" t="s">
        <v>207</v>
      </c>
      <c r="D48" s="2" t="s">
        <v>208</v>
      </c>
      <c r="E48" s="47">
        <v>117617</v>
      </c>
      <c r="F48" s="53">
        <v>71.863986999999995</v>
      </c>
      <c r="G48" s="5">
        <v>1.0603267E-2</v>
      </c>
    </row>
    <row r="49" spans="1:7" ht="25.5" x14ac:dyDescent="0.2">
      <c r="A49" s="6">
        <v>43</v>
      </c>
      <c r="B49" s="7" t="s">
        <v>181</v>
      </c>
      <c r="C49" s="11" t="s">
        <v>182</v>
      </c>
      <c r="D49" s="2" t="s">
        <v>183</v>
      </c>
      <c r="E49" s="47">
        <v>58574</v>
      </c>
      <c r="F49" s="53">
        <v>69.585911999999993</v>
      </c>
      <c r="G49" s="5">
        <v>1.0267145E-2</v>
      </c>
    </row>
    <row r="50" spans="1:7" ht="12.75" x14ac:dyDescent="0.2">
      <c r="A50" s="6">
        <v>44</v>
      </c>
      <c r="B50" s="7" t="s">
        <v>262</v>
      </c>
      <c r="C50" s="11" t="s">
        <v>263</v>
      </c>
      <c r="D50" s="2" t="s">
        <v>242</v>
      </c>
      <c r="E50" s="47">
        <v>75777</v>
      </c>
      <c r="F50" s="53">
        <v>69.032847000000004</v>
      </c>
      <c r="G50" s="5">
        <v>1.0185543E-2</v>
      </c>
    </row>
    <row r="51" spans="1:7" ht="12.75" x14ac:dyDescent="0.2">
      <c r="A51" s="6">
        <v>45</v>
      </c>
      <c r="B51" s="7" t="s">
        <v>221</v>
      </c>
      <c r="C51" s="11" t="s">
        <v>222</v>
      </c>
      <c r="D51" s="2" t="s">
        <v>223</v>
      </c>
      <c r="E51" s="47">
        <v>13839</v>
      </c>
      <c r="F51" s="53">
        <v>62.787542999999999</v>
      </c>
      <c r="G51" s="5">
        <v>9.2640710000000005E-3</v>
      </c>
    </row>
    <row r="52" spans="1:7" ht="12.75" x14ac:dyDescent="0.2">
      <c r="A52" s="6">
        <v>46</v>
      </c>
      <c r="B52" s="7" t="s">
        <v>268</v>
      </c>
      <c r="C52" s="11" t="s">
        <v>269</v>
      </c>
      <c r="D52" s="2" t="s">
        <v>72</v>
      </c>
      <c r="E52" s="47">
        <v>13950</v>
      </c>
      <c r="F52" s="53">
        <v>62.614575000000002</v>
      </c>
      <c r="G52" s="5">
        <v>9.2385499999999999E-3</v>
      </c>
    </row>
    <row r="53" spans="1:7" ht="12.75" x14ac:dyDescent="0.2">
      <c r="A53" s="6">
        <v>47</v>
      </c>
      <c r="B53" s="7" t="s">
        <v>68</v>
      </c>
      <c r="C53" s="11" t="s">
        <v>69</v>
      </c>
      <c r="D53" s="2" t="s">
        <v>50</v>
      </c>
      <c r="E53" s="47">
        <v>27635</v>
      </c>
      <c r="F53" s="53">
        <v>58.862549999999999</v>
      </c>
      <c r="G53" s="5">
        <v>8.6849530000000005E-3</v>
      </c>
    </row>
    <row r="54" spans="1:7" ht="12.75" x14ac:dyDescent="0.2">
      <c r="A54" s="6">
        <v>48</v>
      </c>
      <c r="B54" s="7" t="s">
        <v>250</v>
      </c>
      <c r="C54" s="11" t="s">
        <v>251</v>
      </c>
      <c r="D54" s="2" t="s">
        <v>168</v>
      </c>
      <c r="E54" s="47">
        <v>14694</v>
      </c>
      <c r="F54" s="53">
        <v>58.540895999999996</v>
      </c>
      <c r="G54" s="5">
        <v>8.6374940000000008E-3</v>
      </c>
    </row>
    <row r="55" spans="1:7" ht="12.75" x14ac:dyDescent="0.2">
      <c r="A55" s="6">
        <v>49</v>
      </c>
      <c r="B55" s="7" t="s">
        <v>291</v>
      </c>
      <c r="C55" s="11" t="s">
        <v>292</v>
      </c>
      <c r="D55" s="2" t="s">
        <v>158</v>
      </c>
      <c r="E55" s="47">
        <v>30303</v>
      </c>
      <c r="F55" s="53">
        <v>58.121153999999997</v>
      </c>
      <c r="G55" s="5">
        <v>8.5755620000000001E-3</v>
      </c>
    </row>
    <row r="56" spans="1:7" ht="12.75" x14ac:dyDescent="0.2">
      <c r="A56" s="6">
        <v>50</v>
      </c>
      <c r="B56" s="7" t="s">
        <v>198</v>
      </c>
      <c r="C56" s="11" t="s">
        <v>199</v>
      </c>
      <c r="D56" s="2" t="s">
        <v>40</v>
      </c>
      <c r="E56" s="47">
        <v>93180</v>
      </c>
      <c r="F56" s="53">
        <v>55.628459999999997</v>
      </c>
      <c r="G56" s="5">
        <v>8.2077750000000005E-3</v>
      </c>
    </row>
    <row r="57" spans="1:7" ht="25.5" x14ac:dyDescent="0.2">
      <c r="A57" s="6">
        <v>51</v>
      </c>
      <c r="B57" s="7" t="s">
        <v>97</v>
      </c>
      <c r="C57" s="11" t="s">
        <v>98</v>
      </c>
      <c r="D57" s="2" t="s">
        <v>99</v>
      </c>
      <c r="E57" s="47">
        <v>25000</v>
      </c>
      <c r="F57" s="53">
        <v>49.262500000000003</v>
      </c>
      <c r="G57" s="5">
        <v>7.2685010000000001E-3</v>
      </c>
    </row>
    <row r="58" spans="1:7" ht="12.75" x14ac:dyDescent="0.2">
      <c r="A58" s="6">
        <v>52</v>
      </c>
      <c r="B58" s="7" t="s">
        <v>227</v>
      </c>
      <c r="C58" s="11" t="s">
        <v>228</v>
      </c>
      <c r="D58" s="2" t="s">
        <v>158</v>
      </c>
      <c r="E58" s="47">
        <v>25137</v>
      </c>
      <c r="F58" s="53">
        <v>42.318139500000001</v>
      </c>
      <c r="G58" s="5">
        <v>6.2438859999999997E-3</v>
      </c>
    </row>
    <row r="59" spans="1:7" ht="12.75" x14ac:dyDescent="0.2">
      <c r="A59" s="6">
        <v>53</v>
      </c>
      <c r="B59" s="7" t="s">
        <v>270</v>
      </c>
      <c r="C59" s="11" t="s">
        <v>271</v>
      </c>
      <c r="D59" s="2" t="s">
        <v>192</v>
      </c>
      <c r="E59" s="47">
        <v>53931</v>
      </c>
      <c r="F59" s="53">
        <v>40.771836</v>
      </c>
      <c r="G59" s="5">
        <v>6.015734E-3</v>
      </c>
    </row>
    <row r="60" spans="1:7" ht="12.75" x14ac:dyDescent="0.2">
      <c r="A60" s="6">
        <v>54</v>
      </c>
      <c r="B60" s="7" t="s">
        <v>87</v>
      </c>
      <c r="C60" s="11" t="s">
        <v>88</v>
      </c>
      <c r="D60" s="2"/>
      <c r="E60" s="47">
        <v>22340</v>
      </c>
      <c r="F60" s="53">
        <v>38.000340000000001</v>
      </c>
      <c r="G60" s="5">
        <v>5.6068100000000003E-3</v>
      </c>
    </row>
    <row r="61" spans="1:7" ht="12.75" x14ac:dyDescent="0.2">
      <c r="A61" s="6">
        <v>55</v>
      </c>
      <c r="B61" s="7" t="s">
        <v>235</v>
      </c>
      <c r="C61" s="11" t="s">
        <v>236</v>
      </c>
      <c r="D61" s="2" t="s">
        <v>237</v>
      </c>
      <c r="E61" s="47">
        <v>3295</v>
      </c>
      <c r="F61" s="53">
        <v>36.170862499999998</v>
      </c>
      <c r="G61" s="5">
        <v>5.3368779999999998E-3</v>
      </c>
    </row>
    <row r="62" spans="1:7" ht="12.75" x14ac:dyDescent="0.2">
      <c r="A62" s="6">
        <v>56</v>
      </c>
      <c r="B62" s="7" t="s">
        <v>233</v>
      </c>
      <c r="C62" s="11" t="s">
        <v>234</v>
      </c>
      <c r="D62" s="2" t="s">
        <v>192</v>
      </c>
      <c r="E62" s="47">
        <v>19307</v>
      </c>
      <c r="F62" s="53">
        <v>34.993937500000001</v>
      </c>
      <c r="G62" s="5">
        <v>5.1632270000000003E-3</v>
      </c>
    </row>
    <row r="63" spans="1:7" ht="12.75" x14ac:dyDescent="0.2">
      <c r="A63" s="6">
        <v>57</v>
      </c>
      <c r="B63" s="7" t="s">
        <v>238</v>
      </c>
      <c r="C63" s="11" t="s">
        <v>239</v>
      </c>
      <c r="D63" s="2" t="s">
        <v>72</v>
      </c>
      <c r="E63" s="47">
        <v>59339</v>
      </c>
      <c r="F63" s="53">
        <v>31.776034500000002</v>
      </c>
      <c r="G63" s="5">
        <v>4.6884370000000002E-3</v>
      </c>
    </row>
    <row r="64" spans="1:7" ht="12.75" x14ac:dyDescent="0.2">
      <c r="A64" s="6">
        <v>58</v>
      </c>
      <c r="B64" s="7" t="s">
        <v>240</v>
      </c>
      <c r="C64" s="11" t="s">
        <v>241</v>
      </c>
      <c r="D64" s="2" t="s">
        <v>242</v>
      </c>
      <c r="E64" s="47">
        <v>7209</v>
      </c>
      <c r="F64" s="53">
        <v>29.3226075</v>
      </c>
      <c r="G64" s="5">
        <v>4.3264430000000001E-3</v>
      </c>
    </row>
    <row r="65" spans="1:7" ht="25.5" x14ac:dyDescent="0.2">
      <c r="A65" s="6">
        <v>59</v>
      </c>
      <c r="B65" s="7" t="s">
        <v>243</v>
      </c>
      <c r="C65" s="11" t="s">
        <v>244</v>
      </c>
      <c r="D65" s="2" t="s">
        <v>163</v>
      </c>
      <c r="E65" s="47">
        <v>21434</v>
      </c>
      <c r="F65" s="53">
        <v>13.064023000000001</v>
      </c>
      <c r="G65" s="5">
        <v>1.927549E-3</v>
      </c>
    </row>
    <row r="66" spans="1:7" ht="12.75" x14ac:dyDescent="0.2">
      <c r="A66" s="6">
        <v>60</v>
      </c>
      <c r="B66" s="7" t="s">
        <v>106</v>
      </c>
      <c r="C66" s="11" t="s">
        <v>107</v>
      </c>
      <c r="D66" s="2" t="s">
        <v>50</v>
      </c>
      <c r="E66" s="47">
        <v>22340</v>
      </c>
      <c r="F66" s="53">
        <v>10.7232</v>
      </c>
      <c r="G66" s="5">
        <v>1.582169E-3</v>
      </c>
    </row>
    <row r="67" spans="1:7" ht="25.5" x14ac:dyDescent="0.2">
      <c r="A67" s="6">
        <v>61</v>
      </c>
      <c r="B67" s="7" t="s">
        <v>245</v>
      </c>
      <c r="C67" s="11" t="s">
        <v>246</v>
      </c>
      <c r="D67" s="2" t="s">
        <v>30</v>
      </c>
      <c r="E67" s="47">
        <v>75976</v>
      </c>
      <c r="F67" s="53">
        <v>5.3183199999999999</v>
      </c>
      <c r="G67" s="5">
        <v>7.8469900000000003E-4</v>
      </c>
    </row>
    <row r="68" spans="1:7" ht="12.75" x14ac:dyDescent="0.2">
      <c r="A68" s="6">
        <v>62</v>
      </c>
      <c r="B68" s="7" t="s">
        <v>276</v>
      </c>
      <c r="C68" s="11" t="s">
        <v>277</v>
      </c>
      <c r="D68" s="2" t="s">
        <v>72</v>
      </c>
      <c r="E68" s="47">
        <v>1319</v>
      </c>
      <c r="F68" s="53">
        <v>1.0288200000000001</v>
      </c>
      <c r="G68" s="5">
        <v>1.5179899999999999E-4</v>
      </c>
    </row>
    <row r="69" spans="1:7" ht="12.75" x14ac:dyDescent="0.2">
      <c r="A69" s="1"/>
      <c r="B69" s="2"/>
      <c r="C69" s="8" t="s">
        <v>108</v>
      </c>
      <c r="D69" s="12"/>
      <c r="E69" s="49"/>
      <c r="F69" s="55">
        <v>6608.8511004999991</v>
      </c>
      <c r="G69" s="13">
        <v>0.97511166500000024</v>
      </c>
    </row>
    <row r="70" spans="1:7" ht="12.75" x14ac:dyDescent="0.2">
      <c r="A70" s="6"/>
      <c r="B70" s="7"/>
      <c r="C70" s="14"/>
      <c r="D70" s="15"/>
      <c r="E70" s="47"/>
      <c r="F70" s="53"/>
      <c r="G70" s="5"/>
    </row>
    <row r="71" spans="1:7" ht="12.75" x14ac:dyDescent="0.2">
      <c r="A71" s="1"/>
      <c r="B71" s="2"/>
      <c r="C71" s="8" t="s">
        <v>109</v>
      </c>
      <c r="D71" s="9"/>
      <c r="E71" s="48"/>
      <c r="F71" s="54"/>
      <c r="G71" s="10"/>
    </row>
    <row r="72" spans="1:7" ht="12.75" x14ac:dyDescent="0.2">
      <c r="A72" s="1"/>
      <c r="B72" s="2"/>
      <c r="C72" s="8" t="s">
        <v>108</v>
      </c>
      <c r="D72" s="12"/>
      <c r="E72" s="49"/>
      <c r="F72" s="55">
        <v>0</v>
      </c>
      <c r="G72" s="13">
        <v>0</v>
      </c>
    </row>
    <row r="73" spans="1:7" ht="12.75" x14ac:dyDescent="0.2">
      <c r="A73" s="6"/>
      <c r="B73" s="7"/>
      <c r="C73" s="14"/>
      <c r="D73" s="15"/>
      <c r="E73" s="47"/>
      <c r="F73" s="53"/>
      <c r="G73" s="5"/>
    </row>
    <row r="74" spans="1:7" ht="12.75" x14ac:dyDescent="0.2">
      <c r="A74" s="16"/>
      <c r="B74" s="17"/>
      <c r="C74" s="8" t="s">
        <v>110</v>
      </c>
      <c r="D74" s="9"/>
      <c r="E74" s="48"/>
      <c r="F74" s="54"/>
      <c r="G74" s="10"/>
    </row>
    <row r="75" spans="1:7" ht="12.75" x14ac:dyDescent="0.2">
      <c r="A75" s="18"/>
      <c r="B75" s="19"/>
      <c r="C75" s="8" t="s">
        <v>108</v>
      </c>
      <c r="D75" s="20"/>
      <c r="E75" s="50"/>
      <c r="F75" s="56">
        <v>0</v>
      </c>
      <c r="G75" s="21">
        <v>0</v>
      </c>
    </row>
    <row r="76" spans="1:7" ht="12.75" x14ac:dyDescent="0.2">
      <c r="A76" s="18"/>
      <c r="B76" s="19"/>
      <c r="C76" s="14"/>
      <c r="D76" s="22"/>
      <c r="E76" s="51"/>
      <c r="F76" s="57"/>
      <c r="G76" s="23"/>
    </row>
    <row r="77" spans="1:7" ht="12.75" x14ac:dyDescent="0.2">
      <c r="A77" s="1"/>
      <c r="B77" s="2"/>
      <c r="C77" s="8" t="s">
        <v>113</v>
      </c>
      <c r="D77" s="9"/>
      <c r="E77" s="48"/>
      <c r="F77" s="54"/>
      <c r="G77" s="10"/>
    </row>
    <row r="78" spans="1:7" ht="12.75" x14ac:dyDescent="0.2">
      <c r="A78" s="1"/>
      <c r="B78" s="2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1"/>
      <c r="B79" s="2"/>
      <c r="C79" s="14"/>
      <c r="D79" s="4"/>
      <c r="E79" s="47"/>
      <c r="F79" s="53"/>
      <c r="G79" s="5"/>
    </row>
    <row r="80" spans="1:7" ht="12.75" x14ac:dyDescent="0.2">
      <c r="A80" s="1"/>
      <c r="B80" s="2"/>
      <c r="C80" s="8" t="s">
        <v>114</v>
      </c>
      <c r="D80" s="9"/>
      <c r="E80" s="48"/>
      <c r="F80" s="54"/>
      <c r="G80" s="10"/>
    </row>
    <row r="81" spans="1:7" ht="12.75" x14ac:dyDescent="0.2">
      <c r="A81" s="1"/>
      <c r="B81" s="2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1"/>
      <c r="B82" s="2"/>
      <c r="C82" s="14"/>
      <c r="D82" s="4"/>
      <c r="E82" s="47"/>
      <c r="F82" s="53"/>
      <c r="G82" s="5"/>
    </row>
    <row r="83" spans="1:7" ht="12.75" x14ac:dyDescent="0.2">
      <c r="A83" s="1"/>
      <c r="B83" s="2"/>
      <c r="C83" s="8" t="s">
        <v>115</v>
      </c>
      <c r="D83" s="9"/>
      <c r="E83" s="48"/>
      <c r="F83" s="54"/>
      <c r="G83" s="10"/>
    </row>
    <row r="84" spans="1:7" ht="12.75" x14ac:dyDescent="0.2">
      <c r="A84" s="1"/>
      <c r="B84" s="2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1"/>
      <c r="B85" s="2"/>
      <c r="C85" s="14"/>
      <c r="D85" s="4"/>
      <c r="E85" s="47"/>
      <c r="F85" s="53"/>
      <c r="G85" s="5"/>
    </row>
    <row r="86" spans="1:7" ht="25.5" x14ac:dyDescent="0.2">
      <c r="A86" s="6"/>
      <c r="B86" s="7"/>
      <c r="C86" s="24" t="s">
        <v>116</v>
      </c>
      <c r="D86" s="25"/>
      <c r="E86" s="49"/>
      <c r="F86" s="55">
        <v>6608.8511004999991</v>
      </c>
      <c r="G86" s="13">
        <v>0.97511166500000024</v>
      </c>
    </row>
    <row r="87" spans="1:7" ht="12.75" x14ac:dyDescent="0.2">
      <c r="A87" s="1"/>
      <c r="B87" s="2"/>
      <c r="C87" s="11"/>
      <c r="D87" s="4"/>
      <c r="E87" s="47"/>
      <c r="F87" s="53"/>
      <c r="G87" s="5"/>
    </row>
    <row r="88" spans="1:7" ht="12.75" x14ac:dyDescent="0.2">
      <c r="A88" s="1"/>
      <c r="B88" s="2"/>
      <c r="C88" s="3" t="s">
        <v>117</v>
      </c>
      <c r="D88" s="4"/>
      <c r="E88" s="47"/>
      <c r="F88" s="53"/>
      <c r="G88" s="5"/>
    </row>
    <row r="89" spans="1:7" ht="25.5" x14ac:dyDescent="0.2">
      <c r="A89" s="1"/>
      <c r="B89" s="2"/>
      <c r="C89" s="8" t="s">
        <v>10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12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4"/>
      <c r="E91" s="47"/>
      <c r="F91" s="53"/>
      <c r="G91" s="5"/>
    </row>
    <row r="92" spans="1:7" ht="12.75" x14ac:dyDescent="0.2">
      <c r="A92" s="1"/>
      <c r="B92" s="26"/>
      <c r="C92" s="8" t="s">
        <v>118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12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4"/>
      <c r="E94" s="47"/>
      <c r="F94" s="59"/>
      <c r="G94" s="28"/>
    </row>
    <row r="95" spans="1:7" ht="12.75" x14ac:dyDescent="0.2">
      <c r="A95" s="1"/>
      <c r="B95" s="2"/>
      <c r="C95" s="8" t="s">
        <v>119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12"/>
      <c r="E96" s="49"/>
      <c r="F96" s="55">
        <v>0</v>
      </c>
      <c r="G96" s="13">
        <v>0</v>
      </c>
    </row>
    <row r="97" spans="1:7" ht="12.75" x14ac:dyDescent="0.2">
      <c r="A97" s="1"/>
      <c r="B97" s="2"/>
      <c r="C97" s="14"/>
      <c r="D97" s="4"/>
      <c r="E97" s="47"/>
      <c r="F97" s="53"/>
      <c r="G97" s="5"/>
    </row>
    <row r="98" spans="1:7" ht="25.5" x14ac:dyDescent="0.2">
      <c r="A98" s="1"/>
      <c r="B98" s="26"/>
      <c r="C98" s="8" t="s">
        <v>120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12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4"/>
      <c r="E100" s="47"/>
      <c r="F100" s="53"/>
      <c r="G100" s="5"/>
    </row>
    <row r="101" spans="1:7" ht="12.75" x14ac:dyDescent="0.2">
      <c r="A101" s="6"/>
      <c r="B101" s="7"/>
      <c r="C101" s="29" t="s">
        <v>121</v>
      </c>
      <c r="D101" s="25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1"/>
      <c r="D102" s="4"/>
      <c r="E102" s="47"/>
      <c r="F102" s="53"/>
      <c r="G102" s="5"/>
    </row>
    <row r="103" spans="1:7" ht="12.75" x14ac:dyDescent="0.2">
      <c r="A103" s="1"/>
      <c r="B103" s="2"/>
      <c r="C103" s="3" t="s">
        <v>122</v>
      </c>
      <c r="D103" s="4"/>
      <c r="E103" s="47"/>
      <c r="F103" s="53"/>
      <c r="G103" s="5"/>
    </row>
    <row r="104" spans="1:7" ht="12.75" x14ac:dyDescent="0.2">
      <c r="A104" s="6"/>
      <c r="B104" s="7"/>
      <c r="C104" s="8" t="s">
        <v>123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6"/>
      <c r="B107" s="7"/>
      <c r="C107" s="8" t="s">
        <v>124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3"/>
      <c r="G109" s="5"/>
    </row>
    <row r="110" spans="1:7" ht="12.75" x14ac:dyDescent="0.2">
      <c r="A110" s="6"/>
      <c r="B110" s="7"/>
      <c r="C110" s="8" t="s">
        <v>125</v>
      </c>
      <c r="D110" s="9"/>
      <c r="E110" s="48"/>
      <c r="F110" s="54"/>
      <c r="G110" s="10"/>
    </row>
    <row r="111" spans="1:7" ht="12.75" x14ac:dyDescent="0.2">
      <c r="A111" s="6"/>
      <c r="B111" s="7"/>
      <c r="C111" s="8" t="s">
        <v>108</v>
      </c>
      <c r="D111" s="25"/>
      <c r="E111" s="49"/>
      <c r="F111" s="55">
        <v>0</v>
      </c>
      <c r="G111" s="13">
        <v>0</v>
      </c>
    </row>
    <row r="112" spans="1:7" ht="12.75" x14ac:dyDescent="0.2">
      <c r="A112" s="6"/>
      <c r="B112" s="7"/>
      <c r="C112" s="14"/>
      <c r="D112" s="7"/>
      <c r="E112" s="47"/>
      <c r="F112" s="53"/>
      <c r="G112" s="5"/>
    </row>
    <row r="113" spans="1:7" ht="12.75" x14ac:dyDescent="0.2">
      <c r="A113" s="6"/>
      <c r="B113" s="7"/>
      <c r="C113" s="8" t="s">
        <v>126</v>
      </c>
      <c r="D113" s="9"/>
      <c r="E113" s="48"/>
      <c r="F113" s="54"/>
      <c r="G113" s="10"/>
    </row>
    <row r="114" spans="1:7" ht="12.75" x14ac:dyDescent="0.2">
      <c r="A114" s="6">
        <v>1</v>
      </c>
      <c r="B114" s="7"/>
      <c r="C114" s="11" t="s">
        <v>812</v>
      </c>
      <c r="D114" s="15"/>
      <c r="E114" s="47"/>
      <c r="F114" s="53">
        <v>116.98461570000001</v>
      </c>
      <c r="G114" s="5">
        <v>1.7260649999999999E-2</v>
      </c>
    </row>
    <row r="115" spans="1:7" ht="12.75" x14ac:dyDescent="0.2">
      <c r="A115" s="6"/>
      <c r="B115" s="7"/>
      <c r="C115" s="8" t="s">
        <v>108</v>
      </c>
      <c r="D115" s="25"/>
      <c r="E115" s="49"/>
      <c r="F115" s="55">
        <v>116.98461570000001</v>
      </c>
      <c r="G115" s="13">
        <v>1.7260649999999999E-2</v>
      </c>
    </row>
    <row r="116" spans="1:7" ht="12.75" x14ac:dyDescent="0.2">
      <c r="A116" s="6"/>
      <c r="B116" s="7"/>
      <c r="C116" s="14"/>
      <c r="D116" s="7"/>
      <c r="E116" s="47"/>
      <c r="F116" s="53"/>
      <c r="G116" s="5"/>
    </row>
    <row r="117" spans="1:7" ht="25.5" x14ac:dyDescent="0.2">
      <c r="A117" s="6"/>
      <c r="B117" s="7"/>
      <c r="C117" s="24" t="s">
        <v>127</v>
      </c>
      <c r="D117" s="25"/>
      <c r="E117" s="49"/>
      <c r="F117" s="55">
        <v>116.98461570000001</v>
      </c>
      <c r="G117" s="13">
        <v>1.7260649999999999E-2</v>
      </c>
    </row>
    <row r="118" spans="1:7" ht="12.75" x14ac:dyDescent="0.2">
      <c r="A118" s="6"/>
      <c r="B118" s="7"/>
      <c r="C118" s="30"/>
      <c r="D118" s="7"/>
      <c r="E118" s="47"/>
      <c r="F118" s="53"/>
      <c r="G118" s="5"/>
    </row>
    <row r="119" spans="1:7" ht="12.75" x14ac:dyDescent="0.2">
      <c r="A119" s="1"/>
      <c r="B119" s="2"/>
      <c r="C119" s="3" t="s">
        <v>128</v>
      </c>
      <c r="D119" s="4"/>
      <c r="E119" s="47"/>
      <c r="F119" s="53"/>
      <c r="G119" s="5"/>
    </row>
    <row r="120" spans="1:7" ht="25.5" x14ac:dyDescent="0.2">
      <c r="A120" s="6"/>
      <c r="B120" s="7"/>
      <c r="C120" s="8" t="s">
        <v>129</v>
      </c>
      <c r="D120" s="9"/>
      <c r="E120" s="48"/>
      <c r="F120" s="54"/>
      <c r="G120" s="10"/>
    </row>
    <row r="121" spans="1:7" ht="12.75" x14ac:dyDescent="0.2">
      <c r="A121" s="6"/>
      <c r="B121" s="7"/>
      <c r="C121" s="8" t="s">
        <v>108</v>
      </c>
      <c r="D121" s="25"/>
      <c r="E121" s="49"/>
      <c r="F121" s="55">
        <v>0</v>
      </c>
      <c r="G121" s="13">
        <v>0</v>
      </c>
    </row>
    <row r="122" spans="1:7" ht="12.75" x14ac:dyDescent="0.2">
      <c r="A122" s="6"/>
      <c r="B122" s="7"/>
      <c r="C122" s="14"/>
      <c r="D122" s="7"/>
      <c r="E122" s="47"/>
      <c r="F122" s="53"/>
      <c r="G122" s="5"/>
    </row>
    <row r="123" spans="1:7" ht="12.75" x14ac:dyDescent="0.2">
      <c r="A123" s="1"/>
      <c r="B123" s="2"/>
      <c r="C123" s="3" t="s">
        <v>131</v>
      </c>
      <c r="D123" s="4"/>
      <c r="E123" s="47"/>
      <c r="F123" s="53"/>
      <c r="G123" s="5"/>
    </row>
    <row r="124" spans="1:7" ht="25.5" x14ac:dyDescent="0.2">
      <c r="A124" s="6"/>
      <c r="B124" s="7"/>
      <c r="C124" s="8" t="s">
        <v>132</v>
      </c>
      <c r="D124" s="9"/>
      <c r="E124" s="48"/>
      <c r="F124" s="54"/>
      <c r="G124" s="10"/>
    </row>
    <row r="125" spans="1:7" ht="12.75" x14ac:dyDescent="0.2">
      <c r="A125" s="6"/>
      <c r="B125" s="7"/>
      <c r="C125" s="8" t="s">
        <v>108</v>
      </c>
      <c r="D125" s="25"/>
      <c r="E125" s="49"/>
      <c r="F125" s="55">
        <v>0</v>
      </c>
      <c r="G125" s="13">
        <v>0</v>
      </c>
    </row>
    <row r="126" spans="1:7" ht="12.75" x14ac:dyDescent="0.2">
      <c r="A126" s="6"/>
      <c r="B126" s="7"/>
      <c r="C126" s="14"/>
      <c r="D126" s="7"/>
      <c r="E126" s="47"/>
      <c r="F126" s="53"/>
      <c r="G126" s="5"/>
    </row>
    <row r="127" spans="1:7" ht="25.5" x14ac:dyDescent="0.2">
      <c r="A127" s="6"/>
      <c r="B127" s="7"/>
      <c r="C127" s="8" t="s">
        <v>133</v>
      </c>
      <c r="D127" s="9"/>
      <c r="E127" s="48"/>
      <c r="F127" s="54"/>
      <c r="G127" s="10"/>
    </row>
    <row r="128" spans="1:7" ht="12.75" x14ac:dyDescent="0.2">
      <c r="A128" s="6"/>
      <c r="B128" s="7"/>
      <c r="C128" s="8" t="s">
        <v>108</v>
      </c>
      <c r="D128" s="25"/>
      <c r="E128" s="49"/>
      <c r="F128" s="55">
        <v>0</v>
      </c>
      <c r="G128" s="13">
        <v>0</v>
      </c>
    </row>
    <row r="129" spans="1:7" ht="12.75" x14ac:dyDescent="0.2">
      <c r="A129" s="6"/>
      <c r="B129" s="7"/>
      <c r="C129" s="14"/>
      <c r="D129" s="7"/>
      <c r="E129" s="47"/>
      <c r="F129" s="59"/>
      <c r="G129" s="28"/>
    </row>
    <row r="130" spans="1:7" ht="25.5" x14ac:dyDescent="0.2">
      <c r="A130" s="6"/>
      <c r="B130" s="7"/>
      <c r="C130" s="30" t="s">
        <v>134</v>
      </c>
      <c r="D130" s="7"/>
      <c r="E130" s="47"/>
      <c r="F130" s="59">
        <v>51.696908980000003</v>
      </c>
      <c r="G130" s="28">
        <v>7.627689E-3</v>
      </c>
    </row>
    <row r="131" spans="1:7" ht="12.75" x14ac:dyDescent="0.2">
      <c r="A131" s="6"/>
      <c r="B131" s="7"/>
      <c r="C131" s="31" t="s">
        <v>135</v>
      </c>
      <c r="D131" s="12"/>
      <c r="E131" s="49"/>
      <c r="F131" s="55">
        <v>6777.5326251799997</v>
      </c>
      <c r="G131" s="13">
        <v>1.0000000040000003</v>
      </c>
    </row>
    <row r="133" spans="1:7" ht="12.75" x14ac:dyDescent="0.2">
      <c r="B133" s="179"/>
      <c r="C133" s="179"/>
      <c r="D133" s="179"/>
      <c r="E133" s="179"/>
      <c r="F133" s="179"/>
    </row>
    <row r="134" spans="1:7" ht="12.75" x14ac:dyDescent="0.2">
      <c r="B134" s="179"/>
      <c r="C134" s="179"/>
      <c r="D134" s="179"/>
      <c r="E134" s="179"/>
      <c r="F134" s="179"/>
    </row>
    <row r="136" spans="1:7" ht="12.75" x14ac:dyDescent="0.2">
      <c r="B136" s="37" t="s">
        <v>137</v>
      </c>
      <c r="C136" s="38"/>
      <c r="D136" s="39"/>
    </row>
    <row r="137" spans="1:7" ht="12.75" x14ac:dyDescent="0.2">
      <c r="B137" s="40" t="s">
        <v>808</v>
      </c>
      <c r="C137" s="41"/>
      <c r="D137" s="65" t="s">
        <v>138</v>
      </c>
    </row>
    <row r="138" spans="1:7" ht="12.75" x14ac:dyDescent="0.2">
      <c r="B138" s="40" t="s">
        <v>139</v>
      </c>
      <c r="C138" s="41"/>
      <c r="D138" s="65" t="s">
        <v>138</v>
      </c>
    </row>
    <row r="139" spans="1:7" ht="12.75" x14ac:dyDescent="0.2">
      <c r="B139" s="42" t="s">
        <v>140</v>
      </c>
      <c r="C139" s="41"/>
      <c r="D139" s="43"/>
    </row>
    <row r="140" spans="1:7" ht="25.5" customHeight="1" x14ac:dyDescent="0.2">
      <c r="B140" s="43"/>
      <c r="C140" s="33" t="s">
        <v>141</v>
      </c>
      <c r="D140" s="34" t="s">
        <v>142</v>
      </c>
    </row>
    <row r="141" spans="1:7" ht="12.75" customHeight="1" x14ac:dyDescent="0.2">
      <c r="B141" s="60" t="s">
        <v>143</v>
      </c>
      <c r="C141" s="61" t="s">
        <v>144</v>
      </c>
      <c r="D141" s="61" t="s">
        <v>145</v>
      </c>
    </row>
    <row r="142" spans="1:7" ht="12.75" x14ac:dyDescent="0.2">
      <c r="B142" s="43" t="s">
        <v>146</v>
      </c>
      <c r="C142" s="44">
        <v>7.3948</v>
      </c>
      <c r="D142" s="44">
        <v>7.5513000000000003</v>
      </c>
    </row>
    <row r="143" spans="1:7" ht="12.75" x14ac:dyDescent="0.2">
      <c r="B143" s="43" t="s">
        <v>147</v>
      </c>
      <c r="C143" s="44">
        <v>7.3948</v>
      </c>
      <c r="D143" s="44">
        <v>7.5513000000000003</v>
      </c>
    </row>
    <row r="144" spans="1:7" ht="12.75" x14ac:dyDescent="0.2">
      <c r="B144" s="43" t="s">
        <v>148</v>
      </c>
      <c r="C144" s="44">
        <v>7.3056999999999999</v>
      </c>
      <c r="D144" s="44">
        <v>7.4565999999999999</v>
      </c>
    </row>
    <row r="145" spans="2:4" ht="12.75" x14ac:dyDescent="0.2">
      <c r="B145" s="43" t="s">
        <v>149</v>
      </c>
      <c r="C145" s="44">
        <v>7.3056999999999999</v>
      </c>
      <c r="D145" s="44">
        <v>7.4565999999999999</v>
      </c>
    </row>
    <row r="147" spans="2:4" ht="12.75" x14ac:dyDescent="0.2">
      <c r="B147" s="62" t="s">
        <v>150</v>
      </c>
      <c r="C147" s="45"/>
      <c r="D147" s="63" t="s">
        <v>138</v>
      </c>
    </row>
    <row r="148" spans="2:4" ht="24.75" customHeight="1" x14ac:dyDescent="0.2">
      <c r="B148" s="64"/>
      <c r="C148" s="64"/>
    </row>
    <row r="149" spans="2:4" ht="15" x14ac:dyDescent="0.25">
      <c r="B149" s="66"/>
      <c r="C149" s="68"/>
      <c r="D149"/>
    </row>
    <row r="151" spans="2:4" ht="12.75" x14ac:dyDescent="0.2">
      <c r="B151" s="42" t="s">
        <v>151</v>
      </c>
      <c r="C151" s="41"/>
      <c r="D151" s="67" t="s">
        <v>138</v>
      </c>
    </row>
    <row r="152" spans="2:4" ht="12.75" x14ac:dyDescent="0.2">
      <c r="B152" s="42" t="s">
        <v>152</v>
      </c>
      <c r="C152" s="41"/>
      <c r="D152" s="67" t="s">
        <v>138</v>
      </c>
    </row>
    <row r="153" spans="2:4" ht="12.75" x14ac:dyDescent="0.2">
      <c r="B153" s="42" t="s">
        <v>153</v>
      </c>
      <c r="C153" s="41"/>
      <c r="D153" s="46">
        <v>0.17051653552349411</v>
      </c>
    </row>
    <row r="154" spans="2:4" ht="12.75" x14ac:dyDescent="0.2">
      <c r="B154" s="42" t="s">
        <v>154</v>
      </c>
      <c r="C154" s="41"/>
      <c r="D154" s="46" t="s">
        <v>138</v>
      </c>
    </row>
  </sheetData>
  <mergeCells count="5">
    <mergeCell ref="A1:G1"/>
    <mergeCell ref="A2:G2"/>
    <mergeCell ref="A3:G3"/>
    <mergeCell ref="B133:F133"/>
    <mergeCell ref="B134:F13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293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31487</v>
      </c>
      <c r="F7" s="53">
        <v>282.59582499999999</v>
      </c>
      <c r="G7" s="5">
        <v>4.9715608000000001E-2</v>
      </c>
    </row>
    <row r="8" spans="1:7" ht="12.75" x14ac:dyDescent="0.2">
      <c r="A8" s="6">
        <v>2</v>
      </c>
      <c r="B8" s="7" t="s">
        <v>159</v>
      </c>
      <c r="C8" s="11" t="s">
        <v>160</v>
      </c>
      <c r="D8" s="2" t="s">
        <v>19</v>
      </c>
      <c r="E8" s="47">
        <v>117288</v>
      </c>
      <c r="F8" s="53">
        <v>219.44584800000001</v>
      </c>
      <c r="G8" s="5">
        <v>3.8605962000000001E-2</v>
      </c>
    </row>
    <row r="9" spans="1:7" ht="12.75" x14ac:dyDescent="0.2">
      <c r="A9" s="6">
        <v>3</v>
      </c>
      <c r="B9" s="7" t="s">
        <v>51</v>
      </c>
      <c r="C9" s="11" t="s">
        <v>52</v>
      </c>
      <c r="D9" s="2" t="s">
        <v>19</v>
      </c>
      <c r="E9" s="47">
        <v>17622</v>
      </c>
      <c r="F9" s="53">
        <v>196.84655100000001</v>
      </c>
      <c r="G9" s="5">
        <v>3.4630186E-2</v>
      </c>
    </row>
    <row r="10" spans="1:7" ht="25.5" x14ac:dyDescent="0.2">
      <c r="A10" s="6">
        <v>4</v>
      </c>
      <c r="B10" s="7" t="s">
        <v>23</v>
      </c>
      <c r="C10" s="11" t="s">
        <v>24</v>
      </c>
      <c r="D10" s="2" t="s">
        <v>22</v>
      </c>
      <c r="E10" s="47">
        <v>28959</v>
      </c>
      <c r="F10" s="53">
        <v>174.1449465</v>
      </c>
      <c r="G10" s="5">
        <v>3.0636410999999999E-2</v>
      </c>
    </row>
    <row r="11" spans="1:7" ht="25.5" x14ac:dyDescent="0.2">
      <c r="A11" s="6">
        <v>5</v>
      </c>
      <c r="B11" s="7" t="s">
        <v>38</v>
      </c>
      <c r="C11" s="11" t="s">
        <v>39</v>
      </c>
      <c r="D11" s="2" t="s">
        <v>40</v>
      </c>
      <c r="E11" s="47">
        <v>40089</v>
      </c>
      <c r="F11" s="53">
        <v>172.94394600000001</v>
      </c>
      <c r="G11" s="5">
        <v>3.0425126E-2</v>
      </c>
    </row>
    <row r="12" spans="1:7" ht="25.5" x14ac:dyDescent="0.2">
      <c r="A12" s="6">
        <v>6</v>
      </c>
      <c r="B12" s="7" t="s">
        <v>161</v>
      </c>
      <c r="C12" s="11" t="s">
        <v>162</v>
      </c>
      <c r="D12" s="2" t="s">
        <v>163</v>
      </c>
      <c r="E12" s="47">
        <v>44462</v>
      </c>
      <c r="F12" s="53">
        <v>162.15291400000001</v>
      </c>
      <c r="G12" s="5">
        <v>2.8526716000000001E-2</v>
      </c>
    </row>
    <row r="13" spans="1:7" ht="25.5" x14ac:dyDescent="0.2">
      <c r="A13" s="6">
        <v>7</v>
      </c>
      <c r="B13" s="7" t="s">
        <v>186</v>
      </c>
      <c r="C13" s="11" t="s">
        <v>187</v>
      </c>
      <c r="D13" s="2" t="s">
        <v>183</v>
      </c>
      <c r="E13" s="47">
        <v>28134</v>
      </c>
      <c r="F13" s="53">
        <v>159.74485200000001</v>
      </c>
      <c r="G13" s="5">
        <v>2.8103078E-2</v>
      </c>
    </row>
    <row r="14" spans="1:7" ht="25.5" x14ac:dyDescent="0.2">
      <c r="A14" s="6">
        <v>8</v>
      </c>
      <c r="B14" s="7" t="s">
        <v>102</v>
      </c>
      <c r="C14" s="11" t="s">
        <v>103</v>
      </c>
      <c r="D14" s="2" t="s">
        <v>13</v>
      </c>
      <c r="E14" s="47">
        <v>150199</v>
      </c>
      <c r="F14" s="53">
        <v>154.55477099999999</v>
      </c>
      <c r="G14" s="5">
        <v>2.7190013999999998E-2</v>
      </c>
    </row>
    <row r="15" spans="1:7" ht="25.5" x14ac:dyDescent="0.2">
      <c r="A15" s="6">
        <v>9</v>
      </c>
      <c r="B15" s="7" t="s">
        <v>81</v>
      </c>
      <c r="C15" s="11" t="s">
        <v>82</v>
      </c>
      <c r="D15" s="2" t="s">
        <v>22</v>
      </c>
      <c r="E15" s="47">
        <v>14300</v>
      </c>
      <c r="F15" s="53">
        <v>143.05005</v>
      </c>
      <c r="G15" s="5">
        <v>2.5166048999999999E-2</v>
      </c>
    </row>
    <row r="16" spans="1:7" ht="12.75" x14ac:dyDescent="0.2">
      <c r="A16" s="6">
        <v>10</v>
      </c>
      <c r="B16" s="7" t="s">
        <v>61</v>
      </c>
      <c r="C16" s="11" t="s">
        <v>62</v>
      </c>
      <c r="D16" s="2" t="s">
        <v>19</v>
      </c>
      <c r="E16" s="47">
        <v>142798</v>
      </c>
      <c r="F16" s="53">
        <v>137.65727200000001</v>
      </c>
      <c r="G16" s="5">
        <v>2.4217325000000001E-2</v>
      </c>
    </row>
    <row r="17" spans="1:7" ht="12.75" x14ac:dyDescent="0.2">
      <c r="A17" s="6">
        <v>11</v>
      </c>
      <c r="B17" s="7" t="s">
        <v>229</v>
      </c>
      <c r="C17" s="11" t="s">
        <v>230</v>
      </c>
      <c r="D17" s="2" t="s">
        <v>50</v>
      </c>
      <c r="E17" s="47">
        <v>57337</v>
      </c>
      <c r="F17" s="53">
        <v>136.86341899999999</v>
      </c>
      <c r="G17" s="5">
        <v>2.4077667000000001E-2</v>
      </c>
    </row>
    <row r="18" spans="1:7" ht="25.5" x14ac:dyDescent="0.2">
      <c r="A18" s="6">
        <v>12</v>
      </c>
      <c r="B18" s="7" t="s">
        <v>55</v>
      </c>
      <c r="C18" s="11" t="s">
        <v>56</v>
      </c>
      <c r="D18" s="2" t="s">
        <v>22</v>
      </c>
      <c r="E18" s="47">
        <v>22756</v>
      </c>
      <c r="F18" s="53">
        <v>134.36280199999999</v>
      </c>
      <c r="G18" s="5">
        <v>2.3637746000000001E-2</v>
      </c>
    </row>
    <row r="19" spans="1:7" ht="25.5" x14ac:dyDescent="0.2">
      <c r="A19" s="6">
        <v>13</v>
      </c>
      <c r="B19" s="7" t="s">
        <v>171</v>
      </c>
      <c r="C19" s="11" t="s">
        <v>172</v>
      </c>
      <c r="D19" s="2" t="s">
        <v>22</v>
      </c>
      <c r="E19" s="47">
        <v>32892</v>
      </c>
      <c r="F19" s="53">
        <v>132.48897600000001</v>
      </c>
      <c r="G19" s="5">
        <v>2.3308094000000001E-2</v>
      </c>
    </row>
    <row r="20" spans="1:7" ht="12.75" x14ac:dyDescent="0.2">
      <c r="A20" s="6">
        <v>14</v>
      </c>
      <c r="B20" s="7" t="s">
        <v>288</v>
      </c>
      <c r="C20" s="11" t="s">
        <v>289</v>
      </c>
      <c r="D20" s="2" t="s">
        <v>290</v>
      </c>
      <c r="E20" s="47">
        <v>188420</v>
      </c>
      <c r="F20" s="53">
        <v>126.42982000000001</v>
      </c>
      <c r="G20" s="5">
        <v>2.2242138000000002E-2</v>
      </c>
    </row>
    <row r="21" spans="1:7" ht="12.75" x14ac:dyDescent="0.2">
      <c r="A21" s="6">
        <v>15</v>
      </c>
      <c r="B21" s="7" t="s">
        <v>166</v>
      </c>
      <c r="C21" s="11" t="s">
        <v>167</v>
      </c>
      <c r="D21" s="2" t="s">
        <v>168</v>
      </c>
      <c r="E21" s="47">
        <v>48259</v>
      </c>
      <c r="F21" s="53">
        <v>123.22935649999999</v>
      </c>
      <c r="G21" s="5">
        <v>2.1679097000000001E-2</v>
      </c>
    </row>
    <row r="22" spans="1:7" ht="25.5" x14ac:dyDescent="0.2">
      <c r="A22" s="6">
        <v>16</v>
      </c>
      <c r="B22" s="7" t="s">
        <v>179</v>
      </c>
      <c r="C22" s="11" t="s">
        <v>180</v>
      </c>
      <c r="D22" s="2" t="s">
        <v>22</v>
      </c>
      <c r="E22" s="47">
        <v>37873</v>
      </c>
      <c r="F22" s="53">
        <v>120.852743</v>
      </c>
      <c r="G22" s="5">
        <v>2.1260991999999999E-2</v>
      </c>
    </row>
    <row r="23" spans="1:7" ht="25.5" x14ac:dyDescent="0.2">
      <c r="A23" s="6">
        <v>17</v>
      </c>
      <c r="B23" s="7" t="s">
        <v>41</v>
      </c>
      <c r="C23" s="11" t="s">
        <v>42</v>
      </c>
      <c r="D23" s="2" t="s">
        <v>27</v>
      </c>
      <c r="E23" s="47">
        <v>101700</v>
      </c>
      <c r="F23" s="53">
        <v>116.80244999999999</v>
      </c>
      <c r="G23" s="5">
        <v>2.0548444999999999E-2</v>
      </c>
    </row>
    <row r="24" spans="1:7" ht="12.75" x14ac:dyDescent="0.2">
      <c r="A24" s="6">
        <v>18</v>
      </c>
      <c r="B24" s="7" t="s">
        <v>282</v>
      </c>
      <c r="C24" s="11" t="s">
        <v>283</v>
      </c>
      <c r="D24" s="2" t="s">
        <v>19</v>
      </c>
      <c r="E24" s="47">
        <v>58791</v>
      </c>
      <c r="F24" s="53">
        <v>107.646321</v>
      </c>
      <c r="G24" s="5">
        <v>1.8937655000000001E-2</v>
      </c>
    </row>
    <row r="25" spans="1:7" ht="25.5" x14ac:dyDescent="0.2">
      <c r="A25" s="6">
        <v>19</v>
      </c>
      <c r="B25" s="7" t="s">
        <v>188</v>
      </c>
      <c r="C25" s="11" t="s">
        <v>189</v>
      </c>
      <c r="D25" s="2" t="s">
        <v>47</v>
      </c>
      <c r="E25" s="47">
        <v>4927</v>
      </c>
      <c r="F25" s="53">
        <v>104.73077549999999</v>
      </c>
      <c r="G25" s="5">
        <v>1.8424738999999999E-2</v>
      </c>
    </row>
    <row r="26" spans="1:7" ht="25.5" x14ac:dyDescent="0.2">
      <c r="A26" s="6">
        <v>20</v>
      </c>
      <c r="B26" s="7" t="s">
        <v>83</v>
      </c>
      <c r="C26" s="11" t="s">
        <v>84</v>
      </c>
      <c r="D26" s="2" t="s">
        <v>22</v>
      </c>
      <c r="E26" s="47">
        <v>93690</v>
      </c>
      <c r="F26" s="53">
        <v>102.16894499999999</v>
      </c>
      <c r="G26" s="5">
        <v>1.7974048999999999E-2</v>
      </c>
    </row>
    <row r="27" spans="1:7" ht="25.5" x14ac:dyDescent="0.2">
      <c r="A27" s="6">
        <v>21</v>
      </c>
      <c r="B27" s="7" t="s">
        <v>57</v>
      </c>
      <c r="C27" s="11" t="s">
        <v>58</v>
      </c>
      <c r="D27" s="2" t="s">
        <v>27</v>
      </c>
      <c r="E27" s="47">
        <v>25630</v>
      </c>
      <c r="F27" s="53">
        <v>95.561454999999995</v>
      </c>
      <c r="G27" s="5">
        <v>1.6811627999999999E-2</v>
      </c>
    </row>
    <row r="28" spans="1:7" ht="12.75" x14ac:dyDescent="0.2">
      <c r="A28" s="6">
        <v>22</v>
      </c>
      <c r="B28" s="7" t="s">
        <v>190</v>
      </c>
      <c r="C28" s="11" t="s">
        <v>191</v>
      </c>
      <c r="D28" s="2" t="s">
        <v>192</v>
      </c>
      <c r="E28" s="47">
        <v>61316</v>
      </c>
      <c r="F28" s="53">
        <v>94.457297999999994</v>
      </c>
      <c r="G28" s="5">
        <v>1.6617379000000002E-2</v>
      </c>
    </row>
    <row r="29" spans="1:7" ht="51" x14ac:dyDescent="0.2">
      <c r="A29" s="6">
        <v>23</v>
      </c>
      <c r="B29" s="7" t="s">
        <v>294</v>
      </c>
      <c r="C29" s="11" t="s">
        <v>295</v>
      </c>
      <c r="D29" s="2" t="s">
        <v>208</v>
      </c>
      <c r="E29" s="47">
        <v>270455</v>
      </c>
      <c r="F29" s="53">
        <v>93.712657500000006</v>
      </c>
      <c r="G29" s="5">
        <v>1.6486378999999999E-2</v>
      </c>
    </row>
    <row r="30" spans="1:7" ht="25.5" x14ac:dyDescent="0.2">
      <c r="A30" s="6">
        <v>24</v>
      </c>
      <c r="B30" s="7" t="s">
        <v>20</v>
      </c>
      <c r="C30" s="11" t="s">
        <v>21</v>
      </c>
      <c r="D30" s="2" t="s">
        <v>22</v>
      </c>
      <c r="E30" s="47">
        <v>10490</v>
      </c>
      <c r="F30" s="53">
        <v>93.465900000000005</v>
      </c>
      <c r="G30" s="5">
        <v>1.6442967999999999E-2</v>
      </c>
    </row>
    <row r="31" spans="1:7" ht="25.5" x14ac:dyDescent="0.2">
      <c r="A31" s="6">
        <v>25</v>
      </c>
      <c r="B31" s="7" t="s">
        <v>200</v>
      </c>
      <c r="C31" s="11" t="s">
        <v>201</v>
      </c>
      <c r="D31" s="2" t="s">
        <v>30</v>
      </c>
      <c r="E31" s="47">
        <v>30747</v>
      </c>
      <c r="F31" s="53">
        <v>92.041144500000001</v>
      </c>
      <c r="G31" s="5">
        <v>1.6192318000000001E-2</v>
      </c>
    </row>
    <row r="32" spans="1:7" ht="12.75" x14ac:dyDescent="0.2">
      <c r="A32" s="6">
        <v>26</v>
      </c>
      <c r="B32" s="7" t="s">
        <v>252</v>
      </c>
      <c r="C32" s="11" t="s">
        <v>253</v>
      </c>
      <c r="D32" s="2" t="s">
        <v>242</v>
      </c>
      <c r="E32" s="47">
        <v>6363</v>
      </c>
      <c r="F32" s="53">
        <v>88.289806499999997</v>
      </c>
      <c r="G32" s="5">
        <v>1.5532364999999999E-2</v>
      </c>
    </row>
    <row r="33" spans="1:7" ht="12.75" x14ac:dyDescent="0.2">
      <c r="A33" s="6">
        <v>27</v>
      </c>
      <c r="B33" s="7" t="s">
        <v>193</v>
      </c>
      <c r="C33" s="11" t="s">
        <v>194</v>
      </c>
      <c r="D33" s="2" t="s">
        <v>72</v>
      </c>
      <c r="E33" s="47">
        <v>9515</v>
      </c>
      <c r="F33" s="53">
        <v>84.412322500000002</v>
      </c>
      <c r="G33" s="5">
        <v>1.4850219E-2</v>
      </c>
    </row>
    <row r="34" spans="1:7" ht="12.75" x14ac:dyDescent="0.2">
      <c r="A34" s="6">
        <v>28</v>
      </c>
      <c r="B34" s="7" t="s">
        <v>175</v>
      </c>
      <c r="C34" s="11" t="s">
        <v>176</v>
      </c>
      <c r="D34" s="2" t="s">
        <v>19</v>
      </c>
      <c r="E34" s="47">
        <v>98000</v>
      </c>
      <c r="F34" s="53">
        <v>82.173000000000002</v>
      </c>
      <c r="G34" s="5">
        <v>1.4456267E-2</v>
      </c>
    </row>
    <row r="35" spans="1:7" ht="12.75" x14ac:dyDescent="0.2">
      <c r="A35" s="6">
        <v>29</v>
      </c>
      <c r="B35" s="7" t="s">
        <v>48</v>
      </c>
      <c r="C35" s="11" t="s">
        <v>49</v>
      </c>
      <c r="D35" s="2" t="s">
        <v>50</v>
      </c>
      <c r="E35" s="47">
        <v>39179</v>
      </c>
      <c r="F35" s="53">
        <v>80.806687499999995</v>
      </c>
      <c r="G35" s="5">
        <v>1.4215899000000001E-2</v>
      </c>
    </row>
    <row r="36" spans="1:7" ht="25.5" x14ac:dyDescent="0.2">
      <c r="A36" s="6">
        <v>30</v>
      </c>
      <c r="B36" s="7" t="s">
        <v>73</v>
      </c>
      <c r="C36" s="11" t="s">
        <v>74</v>
      </c>
      <c r="D36" s="2" t="s">
        <v>22</v>
      </c>
      <c r="E36" s="47">
        <v>12072</v>
      </c>
      <c r="F36" s="53">
        <v>79.107816</v>
      </c>
      <c r="G36" s="5">
        <v>1.3917025E-2</v>
      </c>
    </row>
    <row r="37" spans="1:7" ht="25.5" x14ac:dyDescent="0.2">
      <c r="A37" s="6">
        <v>31</v>
      </c>
      <c r="B37" s="7" t="s">
        <v>284</v>
      </c>
      <c r="C37" s="11" t="s">
        <v>285</v>
      </c>
      <c r="D37" s="2" t="s">
        <v>30</v>
      </c>
      <c r="E37" s="47">
        <v>89000</v>
      </c>
      <c r="F37" s="53">
        <v>75.0715</v>
      </c>
      <c r="G37" s="5">
        <v>1.3206937E-2</v>
      </c>
    </row>
    <row r="38" spans="1:7" ht="12.75" x14ac:dyDescent="0.2">
      <c r="A38" s="6">
        <v>32</v>
      </c>
      <c r="B38" s="7" t="s">
        <v>195</v>
      </c>
      <c r="C38" s="11" t="s">
        <v>196</v>
      </c>
      <c r="D38" s="2" t="s">
        <v>197</v>
      </c>
      <c r="E38" s="47">
        <v>54993</v>
      </c>
      <c r="F38" s="53">
        <v>73.553137500000005</v>
      </c>
      <c r="G38" s="5">
        <v>1.2939819999999999E-2</v>
      </c>
    </row>
    <row r="39" spans="1:7" ht="12.75" x14ac:dyDescent="0.2">
      <c r="A39" s="6">
        <v>33</v>
      </c>
      <c r="B39" s="7" t="s">
        <v>184</v>
      </c>
      <c r="C39" s="11" t="s">
        <v>185</v>
      </c>
      <c r="D39" s="2" t="s">
        <v>16</v>
      </c>
      <c r="E39" s="47">
        <v>37886</v>
      </c>
      <c r="F39" s="53">
        <v>68.251628999999994</v>
      </c>
      <c r="G39" s="5">
        <v>1.2007153E-2</v>
      </c>
    </row>
    <row r="40" spans="1:7" ht="25.5" x14ac:dyDescent="0.2">
      <c r="A40" s="6">
        <v>34</v>
      </c>
      <c r="B40" s="7" t="s">
        <v>215</v>
      </c>
      <c r="C40" s="11" t="s">
        <v>216</v>
      </c>
      <c r="D40" s="2" t="s">
        <v>13</v>
      </c>
      <c r="E40" s="47">
        <v>117618</v>
      </c>
      <c r="F40" s="53">
        <v>67.983204000000001</v>
      </c>
      <c r="G40" s="5">
        <v>1.1959930000000001E-2</v>
      </c>
    </row>
    <row r="41" spans="1:7" ht="12.75" x14ac:dyDescent="0.2">
      <c r="A41" s="6">
        <v>35</v>
      </c>
      <c r="B41" s="7" t="s">
        <v>204</v>
      </c>
      <c r="C41" s="11" t="s">
        <v>205</v>
      </c>
      <c r="D41" s="2" t="s">
        <v>72</v>
      </c>
      <c r="E41" s="47">
        <v>23878</v>
      </c>
      <c r="F41" s="53">
        <v>65.151122999999998</v>
      </c>
      <c r="G41" s="5">
        <v>1.1461697E-2</v>
      </c>
    </row>
    <row r="42" spans="1:7" ht="12.75" x14ac:dyDescent="0.2">
      <c r="A42" s="6">
        <v>36</v>
      </c>
      <c r="B42" s="7" t="s">
        <v>260</v>
      </c>
      <c r="C42" s="11" t="s">
        <v>261</v>
      </c>
      <c r="D42" s="2" t="s">
        <v>242</v>
      </c>
      <c r="E42" s="47">
        <v>6900</v>
      </c>
      <c r="F42" s="53">
        <v>64.932450000000003</v>
      </c>
      <c r="G42" s="5">
        <v>1.1423226999999999E-2</v>
      </c>
    </row>
    <row r="43" spans="1:7" ht="51" x14ac:dyDescent="0.2">
      <c r="A43" s="6">
        <v>37</v>
      </c>
      <c r="B43" s="7" t="s">
        <v>247</v>
      </c>
      <c r="C43" s="11" t="s">
        <v>248</v>
      </c>
      <c r="D43" s="2" t="s">
        <v>208</v>
      </c>
      <c r="E43" s="47">
        <v>29874</v>
      </c>
      <c r="F43" s="53">
        <v>64.632399000000007</v>
      </c>
      <c r="G43" s="5">
        <v>1.1370441E-2</v>
      </c>
    </row>
    <row r="44" spans="1:7" ht="25.5" x14ac:dyDescent="0.2">
      <c r="A44" s="6">
        <v>38</v>
      </c>
      <c r="B44" s="7" t="s">
        <v>231</v>
      </c>
      <c r="C44" s="11" t="s">
        <v>232</v>
      </c>
      <c r="D44" s="2" t="s">
        <v>47</v>
      </c>
      <c r="E44" s="47">
        <v>25594</v>
      </c>
      <c r="F44" s="53">
        <v>64.548068000000001</v>
      </c>
      <c r="G44" s="5">
        <v>1.1355605E-2</v>
      </c>
    </row>
    <row r="45" spans="1:7" ht="25.5" x14ac:dyDescent="0.2">
      <c r="A45" s="6">
        <v>39</v>
      </c>
      <c r="B45" s="7" t="s">
        <v>209</v>
      </c>
      <c r="C45" s="11" t="s">
        <v>210</v>
      </c>
      <c r="D45" s="2" t="s">
        <v>22</v>
      </c>
      <c r="E45" s="47">
        <v>9527</v>
      </c>
      <c r="F45" s="53">
        <v>64.088128999999995</v>
      </c>
      <c r="G45" s="5">
        <v>1.127469E-2</v>
      </c>
    </row>
    <row r="46" spans="1:7" ht="25.5" x14ac:dyDescent="0.2">
      <c r="A46" s="6">
        <v>40</v>
      </c>
      <c r="B46" s="7" t="s">
        <v>43</v>
      </c>
      <c r="C46" s="11" t="s">
        <v>44</v>
      </c>
      <c r="D46" s="2" t="s">
        <v>22</v>
      </c>
      <c r="E46" s="47">
        <v>9139</v>
      </c>
      <c r="F46" s="53">
        <v>63.625717999999999</v>
      </c>
      <c r="G46" s="5">
        <v>1.119334E-2</v>
      </c>
    </row>
    <row r="47" spans="1:7" ht="25.5" x14ac:dyDescent="0.2">
      <c r="A47" s="6">
        <v>41</v>
      </c>
      <c r="B47" s="7" t="s">
        <v>177</v>
      </c>
      <c r="C47" s="11" t="s">
        <v>178</v>
      </c>
      <c r="D47" s="2" t="s">
        <v>47</v>
      </c>
      <c r="E47" s="47">
        <v>38919</v>
      </c>
      <c r="F47" s="53">
        <v>63.515808</v>
      </c>
      <c r="G47" s="5">
        <v>1.1174005000000001E-2</v>
      </c>
    </row>
    <row r="48" spans="1:7" ht="38.25" x14ac:dyDescent="0.2">
      <c r="A48" s="6">
        <v>42</v>
      </c>
      <c r="B48" s="7" t="s">
        <v>75</v>
      </c>
      <c r="C48" s="11" t="s">
        <v>76</v>
      </c>
      <c r="D48" s="2" t="s">
        <v>77</v>
      </c>
      <c r="E48" s="47">
        <v>79000</v>
      </c>
      <c r="F48" s="53">
        <v>62.252000000000002</v>
      </c>
      <c r="G48" s="5">
        <v>1.0951669000000001E-2</v>
      </c>
    </row>
    <row r="49" spans="1:7" ht="51" x14ac:dyDescent="0.2">
      <c r="A49" s="6">
        <v>43</v>
      </c>
      <c r="B49" s="7" t="s">
        <v>206</v>
      </c>
      <c r="C49" s="11" t="s">
        <v>207</v>
      </c>
      <c r="D49" s="2" t="s">
        <v>208</v>
      </c>
      <c r="E49" s="47">
        <v>98880</v>
      </c>
      <c r="F49" s="53">
        <v>60.415680000000002</v>
      </c>
      <c r="G49" s="5">
        <v>1.0628614999999999E-2</v>
      </c>
    </row>
    <row r="50" spans="1:7" ht="25.5" x14ac:dyDescent="0.2">
      <c r="A50" s="6">
        <v>44</v>
      </c>
      <c r="B50" s="7" t="s">
        <v>181</v>
      </c>
      <c r="C50" s="11" t="s">
        <v>182</v>
      </c>
      <c r="D50" s="2" t="s">
        <v>183</v>
      </c>
      <c r="E50" s="47">
        <v>49121</v>
      </c>
      <c r="F50" s="53">
        <v>58.355747999999998</v>
      </c>
      <c r="G50" s="5">
        <v>1.0266222E-2</v>
      </c>
    </row>
    <row r="51" spans="1:7" ht="12.75" x14ac:dyDescent="0.2">
      <c r="A51" s="6">
        <v>45</v>
      </c>
      <c r="B51" s="7" t="s">
        <v>262</v>
      </c>
      <c r="C51" s="11" t="s">
        <v>263</v>
      </c>
      <c r="D51" s="2" t="s">
        <v>242</v>
      </c>
      <c r="E51" s="47">
        <v>64028</v>
      </c>
      <c r="F51" s="53">
        <v>58.329507999999997</v>
      </c>
      <c r="G51" s="5">
        <v>1.0261606E-2</v>
      </c>
    </row>
    <row r="52" spans="1:7" ht="12.75" x14ac:dyDescent="0.2">
      <c r="A52" s="6">
        <v>46</v>
      </c>
      <c r="B52" s="7" t="s">
        <v>254</v>
      </c>
      <c r="C52" s="11" t="s">
        <v>255</v>
      </c>
      <c r="D52" s="2" t="s">
        <v>168</v>
      </c>
      <c r="E52" s="47">
        <v>20028</v>
      </c>
      <c r="F52" s="53">
        <v>55.467545999999999</v>
      </c>
      <c r="G52" s="5">
        <v>9.7581160000000007E-3</v>
      </c>
    </row>
    <row r="53" spans="1:7" ht="12.75" x14ac:dyDescent="0.2">
      <c r="A53" s="6">
        <v>47</v>
      </c>
      <c r="B53" s="7" t="s">
        <v>221</v>
      </c>
      <c r="C53" s="11" t="s">
        <v>222</v>
      </c>
      <c r="D53" s="2" t="s">
        <v>223</v>
      </c>
      <c r="E53" s="47">
        <v>11742</v>
      </c>
      <c r="F53" s="53">
        <v>53.273454000000001</v>
      </c>
      <c r="G53" s="5">
        <v>9.3721210000000006E-3</v>
      </c>
    </row>
    <row r="54" spans="1:7" ht="12.75" x14ac:dyDescent="0.2">
      <c r="A54" s="6">
        <v>48</v>
      </c>
      <c r="B54" s="7" t="s">
        <v>268</v>
      </c>
      <c r="C54" s="11" t="s">
        <v>269</v>
      </c>
      <c r="D54" s="2" t="s">
        <v>72</v>
      </c>
      <c r="E54" s="47">
        <v>11780</v>
      </c>
      <c r="F54" s="53">
        <v>52.87453</v>
      </c>
      <c r="G54" s="5">
        <v>9.3019399999999999E-3</v>
      </c>
    </row>
    <row r="55" spans="1:7" ht="12.75" x14ac:dyDescent="0.2">
      <c r="A55" s="6">
        <v>49</v>
      </c>
      <c r="B55" s="7" t="s">
        <v>68</v>
      </c>
      <c r="C55" s="11" t="s">
        <v>69</v>
      </c>
      <c r="D55" s="2" t="s">
        <v>50</v>
      </c>
      <c r="E55" s="47">
        <v>24117</v>
      </c>
      <c r="F55" s="53">
        <v>51.369210000000002</v>
      </c>
      <c r="G55" s="5">
        <v>9.0371170000000008E-3</v>
      </c>
    </row>
    <row r="56" spans="1:7" ht="12.75" x14ac:dyDescent="0.2">
      <c r="A56" s="6">
        <v>50</v>
      </c>
      <c r="B56" s="7" t="s">
        <v>250</v>
      </c>
      <c r="C56" s="11" t="s">
        <v>251</v>
      </c>
      <c r="D56" s="2" t="s">
        <v>168</v>
      </c>
      <c r="E56" s="47">
        <v>12373</v>
      </c>
      <c r="F56" s="53">
        <v>49.294032000000001</v>
      </c>
      <c r="G56" s="5">
        <v>8.6720419999999996E-3</v>
      </c>
    </row>
    <row r="57" spans="1:7" ht="12.75" x14ac:dyDescent="0.2">
      <c r="A57" s="6">
        <v>51</v>
      </c>
      <c r="B57" s="7" t="s">
        <v>291</v>
      </c>
      <c r="C57" s="11" t="s">
        <v>292</v>
      </c>
      <c r="D57" s="2" t="s">
        <v>158</v>
      </c>
      <c r="E57" s="47">
        <v>25632</v>
      </c>
      <c r="F57" s="53">
        <v>49.162176000000002</v>
      </c>
      <c r="G57" s="5">
        <v>8.6488450000000005E-3</v>
      </c>
    </row>
    <row r="58" spans="1:7" ht="25.5" x14ac:dyDescent="0.2">
      <c r="A58" s="6">
        <v>52</v>
      </c>
      <c r="B58" s="7" t="s">
        <v>217</v>
      </c>
      <c r="C58" s="11" t="s">
        <v>218</v>
      </c>
      <c r="D58" s="2" t="s">
        <v>27</v>
      </c>
      <c r="E58" s="47">
        <v>38605</v>
      </c>
      <c r="F58" s="53">
        <v>47.020890000000001</v>
      </c>
      <c r="G58" s="5">
        <v>8.2721400000000007E-3</v>
      </c>
    </row>
    <row r="59" spans="1:7" ht="12.75" x14ac:dyDescent="0.2">
      <c r="A59" s="6">
        <v>53</v>
      </c>
      <c r="B59" s="7" t="s">
        <v>198</v>
      </c>
      <c r="C59" s="11" t="s">
        <v>199</v>
      </c>
      <c r="D59" s="2" t="s">
        <v>40</v>
      </c>
      <c r="E59" s="47">
        <v>78758</v>
      </c>
      <c r="F59" s="53">
        <v>47.018526000000001</v>
      </c>
      <c r="G59" s="5">
        <v>8.2717239999999994E-3</v>
      </c>
    </row>
    <row r="60" spans="1:7" ht="12.75" x14ac:dyDescent="0.2">
      <c r="A60" s="6">
        <v>54</v>
      </c>
      <c r="B60" s="7" t="s">
        <v>227</v>
      </c>
      <c r="C60" s="11" t="s">
        <v>228</v>
      </c>
      <c r="D60" s="2" t="s">
        <v>158</v>
      </c>
      <c r="E60" s="47">
        <v>22567</v>
      </c>
      <c r="F60" s="53">
        <v>37.991544500000003</v>
      </c>
      <c r="G60" s="5">
        <v>6.6836539999999998E-3</v>
      </c>
    </row>
    <row r="61" spans="1:7" ht="12.75" x14ac:dyDescent="0.2">
      <c r="A61" s="6">
        <v>55</v>
      </c>
      <c r="B61" s="7" t="s">
        <v>270</v>
      </c>
      <c r="C61" s="11" t="s">
        <v>271</v>
      </c>
      <c r="D61" s="2" t="s">
        <v>192</v>
      </c>
      <c r="E61" s="47">
        <v>46393</v>
      </c>
      <c r="F61" s="53">
        <v>35.073107999999998</v>
      </c>
      <c r="G61" s="5">
        <v>6.1702290000000002E-3</v>
      </c>
    </row>
    <row r="62" spans="1:7" ht="12.75" x14ac:dyDescent="0.2">
      <c r="A62" s="6">
        <v>56</v>
      </c>
      <c r="B62" s="7" t="s">
        <v>87</v>
      </c>
      <c r="C62" s="11" t="s">
        <v>88</v>
      </c>
      <c r="D62" s="2"/>
      <c r="E62" s="47">
        <v>19208</v>
      </c>
      <c r="F62" s="53">
        <v>32.672808000000003</v>
      </c>
      <c r="G62" s="5">
        <v>5.7479569999999997E-3</v>
      </c>
    </row>
    <row r="63" spans="1:7" ht="12.75" x14ac:dyDescent="0.2">
      <c r="A63" s="6">
        <v>57</v>
      </c>
      <c r="B63" s="7" t="s">
        <v>235</v>
      </c>
      <c r="C63" s="11" t="s">
        <v>236</v>
      </c>
      <c r="D63" s="2" t="s">
        <v>237</v>
      </c>
      <c r="E63" s="47">
        <v>2863</v>
      </c>
      <c r="F63" s="53">
        <v>31.428582500000001</v>
      </c>
      <c r="G63" s="5">
        <v>5.529066E-3</v>
      </c>
    </row>
    <row r="64" spans="1:7" ht="25.5" x14ac:dyDescent="0.2">
      <c r="A64" s="6">
        <v>58</v>
      </c>
      <c r="B64" s="7" t="s">
        <v>97</v>
      </c>
      <c r="C64" s="11" t="s">
        <v>98</v>
      </c>
      <c r="D64" s="2" t="s">
        <v>99</v>
      </c>
      <c r="E64" s="47">
        <v>15000</v>
      </c>
      <c r="F64" s="53">
        <v>29.557500000000001</v>
      </c>
      <c r="G64" s="5">
        <v>5.1998970000000002E-3</v>
      </c>
    </row>
    <row r="65" spans="1:7" ht="12.75" x14ac:dyDescent="0.2">
      <c r="A65" s="6">
        <v>59</v>
      </c>
      <c r="B65" s="7" t="s">
        <v>238</v>
      </c>
      <c r="C65" s="11" t="s">
        <v>239</v>
      </c>
      <c r="D65" s="2" t="s">
        <v>72</v>
      </c>
      <c r="E65" s="47">
        <v>50242</v>
      </c>
      <c r="F65" s="53">
        <v>26.904591</v>
      </c>
      <c r="G65" s="5">
        <v>4.7331839999999997E-3</v>
      </c>
    </row>
    <row r="66" spans="1:7" ht="12.75" x14ac:dyDescent="0.2">
      <c r="A66" s="6">
        <v>60</v>
      </c>
      <c r="B66" s="7" t="s">
        <v>100</v>
      </c>
      <c r="C66" s="11" t="s">
        <v>101</v>
      </c>
      <c r="D66" s="2" t="s">
        <v>50</v>
      </c>
      <c r="E66" s="47">
        <v>27261</v>
      </c>
      <c r="F66" s="53">
        <v>26.0206245</v>
      </c>
      <c r="G66" s="5">
        <v>4.577673E-3</v>
      </c>
    </row>
    <row r="67" spans="1:7" ht="12.75" x14ac:dyDescent="0.2">
      <c r="A67" s="6">
        <v>61</v>
      </c>
      <c r="B67" s="7" t="s">
        <v>240</v>
      </c>
      <c r="C67" s="11" t="s">
        <v>241</v>
      </c>
      <c r="D67" s="2" t="s">
        <v>242</v>
      </c>
      <c r="E67" s="47">
        <v>6168</v>
      </c>
      <c r="F67" s="53">
        <v>25.088339999999999</v>
      </c>
      <c r="G67" s="5">
        <v>4.4136610000000001E-3</v>
      </c>
    </row>
    <row r="68" spans="1:7" ht="12.75" x14ac:dyDescent="0.2">
      <c r="A68" s="6">
        <v>62</v>
      </c>
      <c r="B68" s="7" t="s">
        <v>219</v>
      </c>
      <c r="C68" s="11" t="s">
        <v>220</v>
      </c>
      <c r="D68" s="2" t="s">
        <v>72</v>
      </c>
      <c r="E68" s="47">
        <v>10712</v>
      </c>
      <c r="F68" s="53">
        <v>20.213543999999999</v>
      </c>
      <c r="G68" s="5">
        <v>3.5560629999999999E-3</v>
      </c>
    </row>
    <row r="69" spans="1:7" ht="25.5" x14ac:dyDescent="0.2">
      <c r="A69" s="6">
        <v>63</v>
      </c>
      <c r="B69" s="7" t="s">
        <v>243</v>
      </c>
      <c r="C69" s="11" t="s">
        <v>244</v>
      </c>
      <c r="D69" s="2" t="s">
        <v>163</v>
      </c>
      <c r="E69" s="47">
        <v>18997</v>
      </c>
      <c r="F69" s="53">
        <v>11.5786715</v>
      </c>
      <c r="G69" s="5">
        <v>2.0369749999999999E-3</v>
      </c>
    </row>
    <row r="70" spans="1:7" ht="12.75" x14ac:dyDescent="0.2">
      <c r="A70" s="6">
        <v>64</v>
      </c>
      <c r="B70" s="7" t="s">
        <v>106</v>
      </c>
      <c r="C70" s="11" t="s">
        <v>107</v>
      </c>
      <c r="D70" s="2" t="s">
        <v>50</v>
      </c>
      <c r="E70" s="47">
        <v>19208</v>
      </c>
      <c r="F70" s="53">
        <v>9.2198399999999996</v>
      </c>
      <c r="G70" s="5">
        <v>1.6219979999999999E-3</v>
      </c>
    </row>
    <row r="71" spans="1:7" ht="25.5" x14ac:dyDescent="0.2">
      <c r="A71" s="6">
        <v>65</v>
      </c>
      <c r="B71" s="7" t="s">
        <v>245</v>
      </c>
      <c r="C71" s="11" t="s">
        <v>246</v>
      </c>
      <c r="D71" s="2" t="s">
        <v>30</v>
      </c>
      <c r="E71" s="47">
        <v>63687</v>
      </c>
      <c r="F71" s="53">
        <v>4.4580900000000003</v>
      </c>
      <c r="G71" s="5">
        <v>7.8428899999999997E-4</v>
      </c>
    </row>
    <row r="72" spans="1:7" ht="12.75" x14ac:dyDescent="0.2">
      <c r="A72" s="6">
        <v>66</v>
      </c>
      <c r="B72" s="7" t="s">
        <v>276</v>
      </c>
      <c r="C72" s="11" t="s">
        <v>277</v>
      </c>
      <c r="D72" s="2" t="s">
        <v>72</v>
      </c>
      <c r="E72" s="47">
        <v>1116</v>
      </c>
      <c r="F72" s="53">
        <v>0.87048000000000003</v>
      </c>
      <c r="G72" s="5">
        <v>1.53139E-4</v>
      </c>
    </row>
    <row r="73" spans="1:7" ht="12.75" x14ac:dyDescent="0.2">
      <c r="A73" s="1"/>
      <c r="B73" s="2"/>
      <c r="C73" s="8" t="s">
        <v>108</v>
      </c>
      <c r="D73" s="12"/>
      <c r="E73" s="49"/>
      <c r="F73" s="55">
        <v>5564.0048605000002</v>
      </c>
      <c r="G73" s="13">
        <v>0.97884633100000007</v>
      </c>
    </row>
    <row r="74" spans="1:7" ht="12.75" x14ac:dyDescent="0.2">
      <c r="A74" s="6"/>
      <c r="B74" s="7"/>
      <c r="C74" s="14"/>
      <c r="D74" s="15"/>
      <c r="E74" s="47"/>
      <c r="F74" s="53"/>
      <c r="G74" s="5"/>
    </row>
    <row r="75" spans="1:7" ht="12.75" x14ac:dyDescent="0.2">
      <c r="A75" s="1"/>
      <c r="B75" s="2"/>
      <c r="C75" s="8" t="s">
        <v>109</v>
      </c>
      <c r="D75" s="9"/>
      <c r="E75" s="48"/>
      <c r="F75" s="54"/>
      <c r="G75" s="10"/>
    </row>
    <row r="76" spans="1:7" ht="12.75" x14ac:dyDescent="0.2">
      <c r="A76" s="1"/>
      <c r="B76" s="2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6"/>
      <c r="B77" s="7"/>
      <c r="C77" s="14"/>
      <c r="D77" s="15"/>
      <c r="E77" s="47"/>
      <c r="F77" s="53"/>
      <c r="G77" s="5"/>
    </row>
    <row r="78" spans="1:7" ht="12.75" x14ac:dyDescent="0.2">
      <c r="A78" s="16"/>
      <c r="B78" s="17"/>
      <c r="C78" s="8" t="s">
        <v>110</v>
      </c>
      <c r="D78" s="9"/>
      <c r="E78" s="48"/>
      <c r="F78" s="54"/>
      <c r="G78" s="10"/>
    </row>
    <row r="79" spans="1:7" ht="12.75" x14ac:dyDescent="0.2">
      <c r="A79" s="18"/>
      <c r="B79" s="19"/>
      <c r="C79" s="8" t="s">
        <v>108</v>
      </c>
      <c r="D79" s="20"/>
      <c r="E79" s="50"/>
      <c r="F79" s="56">
        <v>0</v>
      </c>
      <c r="G79" s="21">
        <v>0</v>
      </c>
    </row>
    <row r="80" spans="1:7" ht="12.75" x14ac:dyDescent="0.2">
      <c r="A80" s="18"/>
      <c r="B80" s="19"/>
      <c r="C80" s="14"/>
      <c r="D80" s="22"/>
      <c r="E80" s="51"/>
      <c r="F80" s="57"/>
      <c r="G80" s="23"/>
    </row>
    <row r="81" spans="1:7" ht="12.75" x14ac:dyDescent="0.2">
      <c r="A81" s="1"/>
      <c r="B81" s="2"/>
      <c r="C81" s="8" t="s">
        <v>113</v>
      </c>
      <c r="D81" s="9"/>
      <c r="E81" s="48"/>
      <c r="F81" s="54"/>
      <c r="G81" s="10"/>
    </row>
    <row r="82" spans="1:7" ht="12.75" x14ac:dyDescent="0.2">
      <c r="A82" s="1"/>
      <c r="B82" s="2"/>
      <c r="C82" s="8" t="s">
        <v>108</v>
      </c>
      <c r="D82" s="12"/>
      <c r="E82" s="49"/>
      <c r="F82" s="55">
        <v>0</v>
      </c>
      <c r="G82" s="13">
        <v>0</v>
      </c>
    </row>
    <row r="83" spans="1:7" ht="12.75" x14ac:dyDescent="0.2">
      <c r="A83" s="1"/>
      <c r="B83" s="2"/>
      <c r="C83" s="14"/>
      <c r="D83" s="4"/>
      <c r="E83" s="47"/>
      <c r="F83" s="53"/>
      <c r="G83" s="5"/>
    </row>
    <row r="84" spans="1:7" ht="12.75" x14ac:dyDescent="0.2">
      <c r="A84" s="1"/>
      <c r="B84" s="2"/>
      <c r="C84" s="8" t="s">
        <v>114</v>
      </c>
      <c r="D84" s="9"/>
      <c r="E84" s="48"/>
      <c r="F84" s="54"/>
      <c r="G84" s="10"/>
    </row>
    <row r="85" spans="1:7" ht="12.75" x14ac:dyDescent="0.2">
      <c r="A85" s="1"/>
      <c r="B85" s="2"/>
      <c r="C85" s="8" t="s">
        <v>108</v>
      </c>
      <c r="D85" s="12"/>
      <c r="E85" s="49"/>
      <c r="F85" s="55">
        <v>0</v>
      </c>
      <c r="G85" s="13">
        <v>0</v>
      </c>
    </row>
    <row r="86" spans="1:7" ht="12.75" x14ac:dyDescent="0.2">
      <c r="A86" s="1"/>
      <c r="B86" s="2"/>
      <c r="C86" s="14"/>
      <c r="D86" s="4"/>
      <c r="E86" s="47"/>
      <c r="F86" s="53"/>
      <c r="G86" s="5"/>
    </row>
    <row r="87" spans="1:7" ht="12.75" x14ac:dyDescent="0.2">
      <c r="A87" s="1"/>
      <c r="B87" s="2"/>
      <c r="C87" s="8" t="s">
        <v>115</v>
      </c>
      <c r="D87" s="9"/>
      <c r="E87" s="48"/>
      <c r="F87" s="54"/>
      <c r="G87" s="10"/>
    </row>
    <row r="88" spans="1:7" ht="12.75" x14ac:dyDescent="0.2">
      <c r="A88" s="1"/>
      <c r="B88" s="2"/>
      <c r="C88" s="8" t="s">
        <v>108</v>
      </c>
      <c r="D88" s="12"/>
      <c r="E88" s="49"/>
      <c r="F88" s="55">
        <v>0</v>
      </c>
      <c r="G88" s="13">
        <v>0</v>
      </c>
    </row>
    <row r="89" spans="1:7" ht="12.75" x14ac:dyDescent="0.2">
      <c r="A89" s="1"/>
      <c r="B89" s="2"/>
      <c r="C89" s="14"/>
      <c r="D89" s="4"/>
      <c r="E89" s="47"/>
      <c r="F89" s="53"/>
      <c r="G89" s="5"/>
    </row>
    <row r="90" spans="1:7" ht="25.5" x14ac:dyDescent="0.2">
      <c r="A90" s="6"/>
      <c r="B90" s="7"/>
      <c r="C90" s="24" t="s">
        <v>116</v>
      </c>
      <c r="D90" s="25"/>
      <c r="E90" s="49"/>
      <c r="F90" s="55">
        <v>5564.0048605000002</v>
      </c>
      <c r="G90" s="13">
        <v>0.97884633100000007</v>
      </c>
    </row>
    <row r="91" spans="1:7" ht="12.75" x14ac:dyDescent="0.2">
      <c r="A91" s="1"/>
      <c r="B91" s="2"/>
      <c r="C91" s="11"/>
      <c r="D91" s="4"/>
      <c r="E91" s="47"/>
      <c r="F91" s="53"/>
      <c r="G91" s="5"/>
    </row>
    <row r="92" spans="1:7" ht="12.75" x14ac:dyDescent="0.2">
      <c r="A92" s="1"/>
      <c r="B92" s="2"/>
      <c r="C92" s="3" t="s">
        <v>117</v>
      </c>
      <c r="D92" s="4"/>
      <c r="E92" s="47"/>
      <c r="F92" s="53"/>
      <c r="G92" s="5"/>
    </row>
    <row r="93" spans="1:7" ht="25.5" x14ac:dyDescent="0.2">
      <c r="A93" s="1"/>
      <c r="B93" s="2"/>
      <c r="C93" s="8" t="s">
        <v>10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7" ht="12.75" x14ac:dyDescent="0.2">
      <c r="A95" s="6"/>
      <c r="B95" s="7"/>
      <c r="C95" s="14"/>
      <c r="D95" s="4"/>
      <c r="E95" s="47"/>
      <c r="F95" s="53"/>
      <c r="G95" s="5"/>
    </row>
    <row r="96" spans="1:7" ht="12.75" x14ac:dyDescent="0.2">
      <c r="A96" s="1"/>
      <c r="B96" s="26"/>
      <c r="C96" s="8" t="s">
        <v>118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12"/>
      <c r="E97" s="49"/>
      <c r="F97" s="55">
        <v>0</v>
      </c>
      <c r="G97" s="13">
        <v>0</v>
      </c>
    </row>
    <row r="98" spans="1:7" ht="12.75" x14ac:dyDescent="0.2">
      <c r="A98" s="6"/>
      <c r="B98" s="7"/>
      <c r="C98" s="14"/>
      <c r="D98" s="4"/>
      <c r="E98" s="47"/>
      <c r="F98" s="59"/>
      <c r="G98" s="28"/>
    </row>
    <row r="99" spans="1:7" ht="12.75" x14ac:dyDescent="0.2">
      <c r="A99" s="1"/>
      <c r="B99" s="2"/>
      <c r="C99" s="8" t="s">
        <v>119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12"/>
      <c r="E100" s="49"/>
      <c r="F100" s="55">
        <v>0</v>
      </c>
      <c r="G100" s="13">
        <v>0</v>
      </c>
    </row>
    <row r="101" spans="1:7" ht="12.75" x14ac:dyDescent="0.2">
      <c r="A101" s="1"/>
      <c r="B101" s="2"/>
      <c r="C101" s="14"/>
      <c r="D101" s="4"/>
      <c r="E101" s="47"/>
      <c r="F101" s="53"/>
      <c r="G101" s="5"/>
    </row>
    <row r="102" spans="1:7" ht="25.5" x14ac:dyDescent="0.2">
      <c r="A102" s="1"/>
      <c r="B102" s="26"/>
      <c r="C102" s="8" t="s">
        <v>120</v>
      </c>
      <c r="D102" s="9"/>
      <c r="E102" s="48"/>
      <c r="F102" s="54"/>
      <c r="G102" s="10"/>
    </row>
    <row r="103" spans="1:7" ht="12.75" x14ac:dyDescent="0.2">
      <c r="A103" s="6"/>
      <c r="B103" s="7"/>
      <c r="C103" s="8" t="s">
        <v>108</v>
      </c>
      <c r="D103" s="12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4"/>
      <c r="D104" s="4"/>
      <c r="E104" s="47"/>
      <c r="F104" s="53"/>
      <c r="G104" s="5"/>
    </row>
    <row r="105" spans="1:7" ht="12.75" x14ac:dyDescent="0.2">
      <c r="A105" s="6"/>
      <c r="B105" s="7"/>
      <c r="C105" s="29" t="s">
        <v>121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1"/>
      <c r="D106" s="4"/>
      <c r="E106" s="47"/>
      <c r="F106" s="53"/>
      <c r="G106" s="5"/>
    </row>
    <row r="107" spans="1:7" ht="12.75" x14ac:dyDescent="0.2">
      <c r="A107" s="1"/>
      <c r="B107" s="2"/>
      <c r="C107" s="3" t="s">
        <v>122</v>
      </c>
      <c r="D107" s="4"/>
      <c r="E107" s="47"/>
      <c r="F107" s="53"/>
      <c r="G107" s="5"/>
    </row>
    <row r="108" spans="1:7" ht="12.75" x14ac:dyDescent="0.2">
      <c r="A108" s="6"/>
      <c r="B108" s="7"/>
      <c r="C108" s="8" t="s">
        <v>123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12.75" x14ac:dyDescent="0.2">
      <c r="A111" s="6"/>
      <c r="B111" s="7"/>
      <c r="C111" s="8" t="s">
        <v>124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3"/>
      <c r="G113" s="5"/>
    </row>
    <row r="114" spans="1:7" ht="12.75" x14ac:dyDescent="0.2">
      <c r="A114" s="6"/>
      <c r="B114" s="7"/>
      <c r="C114" s="8" t="s">
        <v>125</v>
      </c>
      <c r="D114" s="9"/>
      <c r="E114" s="48"/>
      <c r="F114" s="54"/>
      <c r="G114" s="10"/>
    </row>
    <row r="115" spans="1:7" ht="12.75" x14ac:dyDescent="0.2">
      <c r="A115" s="6"/>
      <c r="B115" s="7"/>
      <c r="C115" s="8" t="s">
        <v>108</v>
      </c>
      <c r="D115" s="25"/>
      <c r="E115" s="49"/>
      <c r="F115" s="55">
        <v>0</v>
      </c>
      <c r="G115" s="13">
        <v>0</v>
      </c>
    </row>
    <row r="116" spans="1:7" ht="12.75" x14ac:dyDescent="0.2">
      <c r="A116" s="6"/>
      <c r="B116" s="7"/>
      <c r="C116" s="14"/>
      <c r="D116" s="7"/>
      <c r="E116" s="47"/>
      <c r="F116" s="53"/>
      <c r="G116" s="5"/>
    </row>
    <row r="117" spans="1:7" ht="12.75" x14ac:dyDescent="0.2">
      <c r="A117" s="6"/>
      <c r="B117" s="7"/>
      <c r="C117" s="8" t="s">
        <v>126</v>
      </c>
      <c r="D117" s="9"/>
      <c r="E117" s="48"/>
      <c r="F117" s="54"/>
      <c r="G117" s="10"/>
    </row>
    <row r="118" spans="1:7" ht="12.75" x14ac:dyDescent="0.2">
      <c r="A118" s="6">
        <v>1</v>
      </c>
      <c r="B118" s="7"/>
      <c r="C118" s="11" t="s">
        <v>812</v>
      </c>
      <c r="D118" s="15"/>
      <c r="E118" s="47"/>
      <c r="F118" s="53">
        <v>98.986982499999996</v>
      </c>
      <c r="G118" s="5">
        <v>1.7414262999999999E-2</v>
      </c>
    </row>
    <row r="119" spans="1:7" ht="12.75" x14ac:dyDescent="0.2">
      <c r="A119" s="6"/>
      <c r="B119" s="7"/>
      <c r="C119" s="8" t="s">
        <v>108</v>
      </c>
      <c r="D119" s="25"/>
      <c r="E119" s="49"/>
      <c r="F119" s="55">
        <v>98.986982499999996</v>
      </c>
      <c r="G119" s="13">
        <v>1.7414262999999999E-2</v>
      </c>
    </row>
    <row r="120" spans="1:7" ht="12.75" x14ac:dyDescent="0.2">
      <c r="A120" s="6"/>
      <c r="B120" s="7"/>
      <c r="C120" s="14"/>
      <c r="D120" s="7"/>
      <c r="E120" s="47"/>
      <c r="F120" s="53"/>
      <c r="G120" s="5"/>
    </row>
    <row r="121" spans="1:7" ht="25.5" x14ac:dyDescent="0.2">
      <c r="A121" s="6"/>
      <c r="B121" s="7"/>
      <c r="C121" s="24" t="s">
        <v>127</v>
      </c>
      <c r="D121" s="25"/>
      <c r="E121" s="49"/>
      <c r="F121" s="55">
        <v>98.986982499999996</v>
      </c>
      <c r="G121" s="13">
        <v>1.7414262999999999E-2</v>
      </c>
    </row>
    <row r="122" spans="1:7" ht="12.75" x14ac:dyDescent="0.2">
      <c r="A122" s="6"/>
      <c r="B122" s="7"/>
      <c r="C122" s="30"/>
      <c r="D122" s="7"/>
      <c r="E122" s="47"/>
      <c r="F122" s="53"/>
      <c r="G122" s="5"/>
    </row>
    <row r="123" spans="1:7" ht="12.75" x14ac:dyDescent="0.2">
      <c r="A123" s="1"/>
      <c r="B123" s="2"/>
      <c r="C123" s="3" t="s">
        <v>128</v>
      </c>
      <c r="D123" s="4"/>
      <c r="E123" s="47"/>
      <c r="F123" s="53"/>
      <c r="G123" s="5"/>
    </row>
    <row r="124" spans="1:7" ht="25.5" x14ac:dyDescent="0.2">
      <c r="A124" s="6"/>
      <c r="B124" s="7"/>
      <c r="C124" s="8" t="s">
        <v>129</v>
      </c>
      <c r="D124" s="9"/>
      <c r="E124" s="48"/>
      <c r="F124" s="54"/>
      <c r="G124" s="10"/>
    </row>
    <row r="125" spans="1:7" ht="12.75" x14ac:dyDescent="0.2">
      <c r="A125" s="6"/>
      <c r="B125" s="7"/>
      <c r="C125" s="8" t="s">
        <v>108</v>
      </c>
      <c r="D125" s="25"/>
      <c r="E125" s="49"/>
      <c r="F125" s="55">
        <v>0</v>
      </c>
      <c r="G125" s="13">
        <v>0</v>
      </c>
    </row>
    <row r="126" spans="1:7" ht="12.75" x14ac:dyDescent="0.2">
      <c r="A126" s="6"/>
      <c r="B126" s="7"/>
      <c r="C126" s="14"/>
      <c r="D126" s="7"/>
      <c r="E126" s="47"/>
      <c r="F126" s="53"/>
      <c r="G126" s="5"/>
    </row>
    <row r="127" spans="1:7" ht="12.75" x14ac:dyDescent="0.2">
      <c r="A127" s="1"/>
      <c r="B127" s="2"/>
      <c r="C127" s="3" t="s">
        <v>131</v>
      </c>
      <c r="D127" s="4"/>
      <c r="E127" s="47"/>
      <c r="F127" s="53"/>
      <c r="G127" s="5"/>
    </row>
    <row r="128" spans="1:7" ht="25.5" x14ac:dyDescent="0.2">
      <c r="A128" s="6"/>
      <c r="B128" s="7"/>
      <c r="C128" s="8" t="s">
        <v>132</v>
      </c>
      <c r="D128" s="9"/>
      <c r="E128" s="48"/>
      <c r="F128" s="54"/>
      <c r="G128" s="10"/>
    </row>
    <row r="129" spans="1:7" ht="12.75" x14ac:dyDescent="0.2">
      <c r="A129" s="6"/>
      <c r="B129" s="7"/>
      <c r="C129" s="8" t="s">
        <v>108</v>
      </c>
      <c r="D129" s="25"/>
      <c r="E129" s="49"/>
      <c r="F129" s="55">
        <v>0</v>
      </c>
      <c r="G129" s="13">
        <v>0</v>
      </c>
    </row>
    <row r="130" spans="1:7" ht="12.75" x14ac:dyDescent="0.2">
      <c r="A130" s="6"/>
      <c r="B130" s="7"/>
      <c r="C130" s="14"/>
      <c r="D130" s="7"/>
      <c r="E130" s="47"/>
      <c r="F130" s="53"/>
      <c r="G130" s="5"/>
    </row>
    <row r="131" spans="1:7" ht="25.5" x14ac:dyDescent="0.2">
      <c r="A131" s="6"/>
      <c r="B131" s="7"/>
      <c r="C131" s="8" t="s">
        <v>133</v>
      </c>
      <c r="D131" s="9"/>
      <c r="E131" s="48"/>
      <c r="F131" s="54"/>
      <c r="G131" s="10"/>
    </row>
    <row r="132" spans="1:7" ht="12.75" x14ac:dyDescent="0.2">
      <c r="A132" s="6"/>
      <c r="B132" s="7"/>
      <c r="C132" s="8" t="s">
        <v>108</v>
      </c>
      <c r="D132" s="25"/>
      <c r="E132" s="49"/>
      <c r="F132" s="55">
        <v>0</v>
      </c>
      <c r="G132" s="13">
        <v>0</v>
      </c>
    </row>
    <row r="133" spans="1:7" ht="12.75" x14ac:dyDescent="0.2">
      <c r="A133" s="6"/>
      <c r="B133" s="7"/>
      <c r="C133" s="14"/>
      <c r="D133" s="7"/>
      <c r="E133" s="47"/>
      <c r="F133" s="59"/>
      <c r="G133" s="28"/>
    </row>
    <row r="134" spans="1:7" ht="25.5" x14ac:dyDescent="0.2">
      <c r="A134" s="6"/>
      <c r="B134" s="7"/>
      <c r="C134" s="30" t="s">
        <v>134</v>
      </c>
      <c r="D134" s="7"/>
      <c r="E134" s="47"/>
      <c r="F134" s="59">
        <v>21.255721699999999</v>
      </c>
      <c r="G134" s="28">
        <v>3.7394080000000001E-3</v>
      </c>
    </row>
    <row r="135" spans="1:7" ht="12.75" x14ac:dyDescent="0.2">
      <c r="A135" s="6"/>
      <c r="B135" s="7"/>
      <c r="C135" s="31" t="s">
        <v>135</v>
      </c>
      <c r="D135" s="12"/>
      <c r="E135" s="49"/>
      <c r="F135" s="55">
        <v>5684.2475647000001</v>
      </c>
      <c r="G135" s="13">
        <v>1.0000000020000002</v>
      </c>
    </row>
    <row r="137" spans="1:7" ht="12.75" x14ac:dyDescent="0.2">
      <c r="B137" s="179"/>
      <c r="C137" s="179"/>
      <c r="D137" s="179"/>
      <c r="E137" s="179"/>
      <c r="F137" s="179"/>
    </row>
    <row r="138" spans="1:7" ht="12.75" x14ac:dyDescent="0.2">
      <c r="B138" s="179"/>
      <c r="C138" s="179"/>
      <c r="D138" s="179"/>
      <c r="E138" s="179"/>
      <c r="F138" s="179"/>
    </row>
    <row r="140" spans="1:7" ht="12.75" x14ac:dyDescent="0.2">
      <c r="B140" s="37" t="s">
        <v>137</v>
      </c>
      <c r="C140" s="38"/>
      <c r="D140" s="39"/>
    </row>
    <row r="141" spans="1:7" ht="12.75" x14ac:dyDescent="0.2">
      <c r="B141" s="40" t="s">
        <v>808</v>
      </c>
      <c r="C141" s="41"/>
      <c r="D141" s="65" t="s">
        <v>138</v>
      </c>
    </row>
    <row r="142" spans="1:7" ht="12.75" x14ac:dyDescent="0.2">
      <c r="B142" s="40" t="s">
        <v>139</v>
      </c>
      <c r="C142" s="41"/>
      <c r="D142" s="65" t="s">
        <v>138</v>
      </c>
    </row>
    <row r="143" spans="1:7" ht="12.75" x14ac:dyDescent="0.2">
      <c r="B143" s="42" t="s">
        <v>140</v>
      </c>
      <c r="C143" s="41"/>
      <c r="D143" s="43"/>
    </row>
    <row r="144" spans="1:7" ht="25.5" customHeight="1" x14ac:dyDescent="0.2">
      <c r="B144" s="43"/>
      <c r="C144" s="33" t="s">
        <v>141</v>
      </c>
      <c r="D144" s="34" t="s">
        <v>142</v>
      </c>
    </row>
    <row r="145" spans="2:4" ht="12.75" customHeight="1" x14ac:dyDescent="0.2">
      <c r="B145" s="60" t="s">
        <v>143</v>
      </c>
      <c r="C145" s="61" t="s">
        <v>144</v>
      </c>
      <c r="D145" s="61" t="s">
        <v>145</v>
      </c>
    </row>
    <row r="146" spans="2:4" ht="12.75" x14ac:dyDescent="0.2">
      <c r="B146" s="43" t="s">
        <v>146</v>
      </c>
      <c r="C146" s="44">
        <v>7.0750000000000002</v>
      </c>
      <c r="D146" s="44">
        <v>7.2180999999999997</v>
      </c>
    </row>
    <row r="147" spans="2:4" ht="12.75" x14ac:dyDescent="0.2">
      <c r="B147" s="43" t="s">
        <v>147</v>
      </c>
      <c r="C147" s="44">
        <v>7.0750000000000002</v>
      </c>
      <c r="D147" s="44">
        <v>7.2180999999999997</v>
      </c>
    </row>
    <row r="148" spans="2:4" ht="12.75" x14ac:dyDescent="0.2">
      <c r="B148" s="43" t="s">
        <v>148</v>
      </c>
      <c r="C148" s="44">
        <v>6.8907999999999996</v>
      </c>
      <c r="D148" s="44">
        <v>7.0270000000000001</v>
      </c>
    </row>
    <row r="149" spans="2:4" ht="12.75" x14ac:dyDescent="0.2">
      <c r="B149" s="43" t="s">
        <v>149</v>
      </c>
      <c r="C149" s="44">
        <v>6.8907999999999996</v>
      </c>
      <c r="D149" s="44">
        <v>7.0270000000000001</v>
      </c>
    </row>
    <row r="151" spans="2:4" ht="12.75" x14ac:dyDescent="0.2">
      <c r="B151" s="62" t="s">
        <v>150</v>
      </c>
      <c r="C151" s="45"/>
      <c r="D151" s="63" t="s">
        <v>138</v>
      </c>
    </row>
    <row r="152" spans="2:4" ht="24.75" customHeight="1" x14ac:dyDescent="0.2">
      <c r="B152" s="64"/>
      <c r="C152" s="64"/>
    </row>
    <row r="153" spans="2:4" ht="15" x14ac:dyDescent="0.25">
      <c r="B153" s="66"/>
      <c r="C153" s="68"/>
      <c r="D153"/>
    </row>
    <row r="155" spans="2:4" ht="12.75" x14ac:dyDescent="0.2">
      <c r="B155" s="42" t="s">
        <v>151</v>
      </c>
      <c r="C155" s="41"/>
      <c r="D155" s="67" t="s">
        <v>138</v>
      </c>
    </row>
    <row r="156" spans="2:4" ht="12.75" x14ac:dyDescent="0.2">
      <c r="B156" s="42" t="s">
        <v>152</v>
      </c>
      <c r="C156" s="41"/>
      <c r="D156" s="67" t="s">
        <v>138</v>
      </c>
    </row>
    <row r="157" spans="2:4" ht="12.75" x14ac:dyDescent="0.2">
      <c r="B157" s="42" t="s">
        <v>153</v>
      </c>
      <c r="C157" s="41"/>
      <c r="D157" s="46">
        <v>0.17869120718850023</v>
      </c>
    </row>
    <row r="158" spans="2:4" ht="12.75" x14ac:dyDescent="0.2">
      <c r="B158" s="42" t="s">
        <v>154</v>
      </c>
      <c r="C158" s="41"/>
      <c r="D158" s="46" t="s">
        <v>138</v>
      </c>
    </row>
  </sheetData>
  <mergeCells count="5">
    <mergeCell ref="A1:G1"/>
    <mergeCell ref="A2:G2"/>
    <mergeCell ref="A3:G3"/>
    <mergeCell ref="B137:F137"/>
    <mergeCell ref="B138:F13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9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296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55</v>
      </c>
      <c r="C7" s="11" t="s">
        <v>56</v>
      </c>
      <c r="D7" s="2" t="s">
        <v>22</v>
      </c>
      <c r="E7" s="47">
        <v>115087</v>
      </c>
      <c r="F7" s="53">
        <v>679.53119149999998</v>
      </c>
      <c r="G7" s="5">
        <v>6.5071968999999993E-2</v>
      </c>
    </row>
    <row r="8" spans="1:7" ht="25.5" x14ac:dyDescent="0.2">
      <c r="A8" s="6">
        <v>2</v>
      </c>
      <c r="B8" s="7" t="s">
        <v>45</v>
      </c>
      <c r="C8" s="11" t="s">
        <v>46</v>
      </c>
      <c r="D8" s="2" t="s">
        <v>47</v>
      </c>
      <c r="E8" s="47">
        <v>64938</v>
      </c>
      <c r="F8" s="53">
        <v>546.68055300000003</v>
      </c>
      <c r="G8" s="5">
        <v>5.2350180000000003E-2</v>
      </c>
    </row>
    <row r="9" spans="1:7" ht="25.5" x14ac:dyDescent="0.2">
      <c r="A9" s="6">
        <v>3</v>
      </c>
      <c r="B9" s="7" t="s">
        <v>156</v>
      </c>
      <c r="C9" s="11" t="s">
        <v>157</v>
      </c>
      <c r="D9" s="2" t="s">
        <v>158</v>
      </c>
      <c r="E9" s="47">
        <v>57826</v>
      </c>
      <c r="F9" s="53">
        <v>518.98834999999997</v>
      </c>
      <c r="G9" s="5">
        <v>4.9698371999999998E-2</v>
      </c>
    </row>
    <row r="10" spans="1:7" ht="25.5" x14ac:dyDescent="0.2">
      <c r="A10" s="6">
        <v>4</v>
      </c>
      <c r="B10" s="7" t="s">
        <v>38</v>
      </c>
      <c r="C10" s="11" t="s">
        <v>39</v>
      </c>
      <c r="D10" s="2" t="s">
        <v>40</v>
      </c>
      <c r="E10" s="47">
        <v>97525</v>
      </c>
      <c r="F10" s="53">
        <v>420.72284999999999</v>
      </c>
      <c r="G10" s="5">
        <v>4.0288458999999999E-2</v>
      </c>
    </row>
    <row r="11" spans="1:7" ht="12.75" x14ac:dyDescent="0.2">
      <c r="A11" s="6">
        <v>5</v>
      </c>
      <c r="B11" s="7" t="s">
        <v>159</v>
      </c>
      <c r="C11" s="11" t="s">
        <v>160</v>
      </c>
      <c r="D11" s="2" t="s">
        <v>19</v>
      </c>
      <c r="E11" s="47">
        <v>214563</v>
      </c>
      <c r="F11" s="53">
        <v>401.44737300000003</v>
      </c>
      <c r="G11" s="5">
        <v>3.8442637000000002E-2</v>
      </c>
    </row>
    <row r="12" spans="1:7" ht="25.5" x14ac:dyDescent="0.2">
      <c r="A12" s="6">
        <v>6</v>
      </c>
      <c r="B12" s="7" t="s">
        <v>23</v>
      </c>
      <c r="C12" s="11" t="s">
        <v>24</v>
      </c>
      <c r="D12" s="2" t="s">
        <v>22</v>
      </c>
      <c r="E12" s="47">
        <v>66722</v>
      </c>
      <c r="F12" s="53">
        <v>401.23274700000002</v>
      </c>
      <c r="G12" s="5">
        <v>3.8422085000000002E-2</v>
      </c>
    </row>
    <row r="13" spans="1:7" ht="25.5" x14ac:dyDescent="0.2">
      <c r="A13" s="6">
        <v>7</v>
      </c>
      <c r="B13" s="7" t="s">
        <v>161</v>
      </c>
      <c r="C13" s="11" t="s">
        <v>162</v>
      </c>
      <c r="D13" s="2" t="s">
        <v>163</v>
      </c>
      <c r="E13" s="47">
        <v>97633</v>
      </c>
      <c r="F13" s="53">
        <v>356.06755099999998</v>
      </c>
      <c r="G13" s="5">
        <v>3.4097060999999998E-2</v>
      </c>
    </row>
    <row r="14" spans="1:7" ht="12.75" x14ac:dyDescent="0.2">
      <c r="A14" s="6">
        <v>8</v>
      </c>
      <c r="B14" s="7" t="s">
        <v>51</v>
      </c>
      <c r="C14" s="11" t="s">
        <v>52</v>
      </c>
      <c r="D14" s="2" t="s">
        <v>19</v>
      </c>
      <c r="E14" s="47">
        <v>28814</v>
      </c>
      <c r="F14" s="53">
        <v>321.86678699999999</v>
      </c>
      <c r="G14" s="5">
        <v>3.0821992999999999E-2</v>
      </c>
    </row>
    <row r="15" spans="1:7" ht="25.5" x14ac:dyDescent="0.2">
      <c r="A15" s="6">
        <v>9</v>
      </c>
      <c r="B15" s="7" t="s">
        <v>164</v>
      </c>
      <c r="C15" s="11" t="s">
        <v>165</v>
      </c>
      <c r="D15" s="2" t="s">
        <v>47</v>
      </c>
      <c r="E15" s="47">
        <v>113760</v>
      </c>
      <c r="F15" s="53">
        <v>284.17248000000001</v>
      </c>
      <c r="G15" s="5">
        <v>2.7212383E-2</v>
      </c>
    </row>
    <row r="16" spans="1:7" ht="38.25" x14ac:dyDescent="0.2">
      <c r="A16" s="6">
        <v>10</v>
      </c>
      <c r="B16" s="7" t="s">
        <v>75</v>
      </c>
      <c r="C16" s="11" t="s">
        <v>76</v>
      </c>
      <c r="D16" s="2" t="s">
        <v>77</v>
      </c>
      <c r="E16" s="47">
        <v>343952</v>
      </c>
      <c r="F16" s="53">
        <v>271.034176</v>
      </c>
      <c r="G16" s="5">
        <v>2.5954258000000001E-2</v>
      </c>
    </row>
    <row r="17" spans="1:7" ht="25.5" x14ac:dyDescent="0.2">
      <c r="A17" s="6">
        <v>11</v>
      </c>
      <c r="B17" s="7" t="s">
        <v>102</v>
      </c>
      <c r="C17" s="11" t="s">
        <v>103</v>
      </c>
      <c r="D17" s="2" t="s">
        <v>13</v>
      </c>
      <c r="E17" s="47">
        <v>234185</v>
      </c>
      <c r="F17" s="53">
        <v>240.97636499999999</v>
      </c>
      <c r="G17" s="5">
        <v>2.3075919E-2</v>
      </c>
    </row>
    <row r="18" spans="1:7" ht="25.5" x14ac:dyDescent="0.2">
      <c r="A18" s="6">
        <v>12</v>
      </c>
      <c r="B18" s="7" t="s">
        <v>169</v>
      </c>
      <c r="C18" s="11" t="s">
        <v>170</v>
      </c>
      <c r="D18" s="2" t="s">
        <v>27</v>
      </c>
      <c r="E18" s="47">
        <v>19182</v>
      </c>
      <c r="F18" s="53">
        <v>228.91798800000001</v>
      </c>
      <c r="G18" s="5">
        <v>2.1921208000000001E-2</v>
      </c>
    </row>
    <row r="19" spans="1:7" ht="25.5" x14ac:dyDescent="0.2">
      <c r="A19" s="6">
        <v>13</v>
      </c>
      <c r="B19" s="7" t="s">
        <v>20</v>
      </c>
      <c r="C19" s="11" t="s">
        <v>21</v>
      </c>
      <c r="D19" s="2" t="s">
        <v>22</v>
      </c>
      <c r="E19" s="47">
        <v>25285</v>
      </c>
      <c r="F19" s="53">
        <v>225.28935000000001</v>
      </c>
      <c r="G19" s="5">
        <v>2.1573729E-2</v>
      </c>
    </row>
    <row r="20" spans="1:7" ht="25.5" x14ac:dyDescent="0.2">
      <c r="A20" s="6">
        <v>14</v>
      </c>
      <c r="B20" s="7" t="s">
        <v>173</v>
      </c>
      <c r="C20" s="11" t="s">
        <v>174</v>
      </c>
      <c r="D20" s="2" t="s">
        <v>163</v>
      </c>
      <c r="E20" s="47">
        <v>12189</v>
      </c>
      <c r="F20" s="53">
        <v>216.59853000000001</v>
      </c>
      <c r="G20" s="5">
        <v>2.0741494999999999E-2</v>
      </c>
    </row>
    <row r="21" spans="1:7" ht="25.5" x14ac:dyDescent="0.2">
      <c r="A21" s="6">
        <v>15</v>
      </c>
      <c r="B21" s="7" t="s">
        <v>41</v>
      </c>
      <c r="C21" s="11" t="s">
        <v>42</v>
      </c>
      <c r="D21" s="2" t="s">
        <v>27</v>
      </c>
      <c r="E21" s="47">
        <v>187468</v>
      </c>
      <c r="F21" s="53">
        <v>215.30699799999999</v>
      </c>
      <c r="G21" s="5">
        <v>2.0617818E-2</v>
      </c>
    </row>
    <row r="22" spans="1:7" ht="25.5" x14ac:dyDescent="0.2">
      <c r="A22" s="6">
        <v>16</v>
      </c>
      <c r="B22" s="7" t="s">
        <v>171</v>
      </c>
      <c r="C22" s="11" t="s">
        <v>172</v>
      </c>
      <c r="D22" s="2" t="s">
        <v>22</v>
      </c>
      <c r="E22" s="47">
        <v>53400</v>
      </c>
      <c r="F22" s="53">
        <v>215.09520000000001</v>
      </c>
      <c r="G22" s="5">
        <v>2.0597536E-2</v>
      </c>
    </row>
    <row r="23" spans="1:7" ht="25.5" x14ac:dyDescent="0.2">
      <c r="A23" s="6">
        <v>17</v>
      </c>
      <c r="B23" s="7" t="s">
        <v>73</v>
      </c>
      <c r="C23" s="11" t="s">
        <v>74</v>
      </c>
      <c r="D23" s="2" t="s">
        <v>22</v>
      </c>
      <c r="E23" s="47">
        <v>32419</v>
      </c>
      <c r="F23" s="53">
        <v>212.44170700000001</v>
      </c>
      <c r="G23" s="5">
        <v>2.0343436999999999E-2</v>
      </c>
    </row>
    <row r="24" spans="1:7" ht="12.75" x14ac:dyDescent="0.2">
      <c r="A24" s="6">
        <v>18</v>
      </c>
      <c r="B24" s="7" t="s">
        <v>175</v>
      </c>
      <c r="C24" s="11" t="s">
        <v>176</v>
      </c>
      <c r="D24" s="2" t="s">
        <v>19</v>
      </c>
      <c r="E24" s="47">
        <v>250620</v>
      </c>
      <c r="F24" s="53">
        <v>210.14487</v>
      </c>
      <c r="G24" s="5">
        <v>2.0123492E-2</v>
      </c>
    </row>
    <row r="25" spans="1:7" ht="25.5" x14ac:dyDescent="0.2">
      <c r="A25" s="6">
        <v>19</v>
      </c>
      <c r="B25" s="7" t="s">
        <v>186</v>
      </c>
      <c r="C25" s="11" t="s">
        <v>187</v>
      </c>
      <c r="D25" s="2" t="s">
        <v>183</v>
      </c>
      <c r="E25" s="47">
        <v>36593</v>
      </c>
      <c r="F25" s="53">
        <v>207.77505400000001</v>
      </c>
      <c r="G25" s="5">
        <v>1.9896558000000002E-2</v>
      </c>
    </row>
    <row r="26" spans="1:7" ht="12.75" x14ac:dyDescent="0.2">
      <c r="A26" s="6">
        <v>20</v>
      </c>
      <c r="B26" s="7" t="s">
        <v>166</v>
      </c>
      <c r="C26" s="11" t="s">
        <v>167</v>
      </c>
      <c r="D26" s="2" t="s">
        <v>168</v>
      </c>
      <c r="E26" s="47">
        <v>80000</v>
      </c>
      <c r="F26" s="53">
        <v>204.28</v>
      </c>
      <c r="G26" s="5">
        <v>1.9561872000000001E-2</v>
      </c>
    </row>
    <row r="27" spans="1:7" ht="25.5" x14ac:dyDescent="0.2">
      <c r="A27" s="6">
        <v>21</v>
      </c>
      <c r="B27" s="7" t="s">
        <v>179</v>
      </c>
      <c r="C27" s="11" t="s">
        <v>180</v>
      </c>
      <c r="D27" s="2" t="s">
        <v>22</v>
      </c>
      <c r="E27" s="47">
        <v>63752</v>
      </c>
      <c r="F27" s="53">
        <v>203.43263200000001</v>
      </c>
      <c r="G27" s="5">
        <v>1.9480727999999999E-2</v>
      </c>
    </row>
    <row r="28" spans="1:7" ht="25.5" x14ac:dyDescent="0.2">
      <c r="A28" s="6">
        <v>22</v>
      </c>
      <c r="B28" s="7" t="s">
        <v>181</v>
      </c>
      <c r="C28" s="11" t="s">
        <v>182</v>
      </c>
      <c r="D28" s="2" t="s">
        <v>183</v>
      </c>
      <c r="E28" s="47">
        <v>170000</v>
      </c>
      <c r="F28" s="53">
        <v>201.96</v>
      </c>
      <c r="G28" s="5">
        <v>1.9339708000000001E-2</v>
      </c>
    </row>
    <row r="29" spans="1:7" ht="25.5" x14ac:dyDescent="0.2">
      <c r="A29" s="6">
        <v>23</v>
      </c>
      <c r="B29" s="7" t="s">
        <v>83</v>
      </c>
      <c r="C29" s="11" t="s">
        <v>84</v>
      </c>
      <c r="D29" s="2" t="s">
        <v>22</v>
      </c>
      <c r="E29" s="47">
        <v>169211</v>
      </c>
      <c r="F29" s="53">
        <v>184.5245955</v>
      </c>
      <c r="G29" s="5">
        <v>1.7670091999999998E-2</v>
      </c>
    </row>
    <row r="30" spans="1:7" ht="25.5" x14ac:dyDescent="0.2">
      <c r="A30" s="6">
        <v>24</v>
      </c>
      <c r="B30" s="7" t="s">
        <v>188</v>
      </c>
      <c r="C30" s="11" t="s">
        <v>189</v>
      </c>
      <c r="D30" s="2" t="s">
        <v>47</v>
      </c>
      <c r="E30" s="47">
        <v>8402</v>
      </c>
      <c r="F30" s="53">
        <v>178.59711300000001</v>
      </c>
      <c r="G30" s="5">
        <v>1.7102475999999998E-2</v>
      </c>
    </row>
    <row r="31" spans="1:7" ht="12.75" x14ac:dyDescent="0.2">
      <c r="A31" s="6">
        <v>25</v>
      </c>
      <c r="B31" s="7" t="s">
        <v>190</v>
      </c>
      <c r="C31" s="11" t="s">
        <v>191</v>
      </c>
      <c r="D31" s="2" t="s">
        <v>192</v>
      </c>
      <c r="E31" s="47">
        <v>108935</v>
      </c>
      <c r="F31" s="53">
        <v>167.8143675</v>
      </c>
      <c r="G31" s="5">
        <v>1.6069918999999998E-2</v>
      </c>
    </row>
    <row r="32" spans="1:7" ht="25.5" x14ac:dyDescent="0.2">
      <c r="A32" s="6">
        <v>26</v>
      </c>
      <c r="B32" s="7" t="s">
        <v>177</v>
      </c>
      <c r="C32" s="11" t="s">
        <v>178</v>
      </c>
      <c r="D32" s="2" t="s">
        <v>47</v>
      </c>
      <c r="E32" s="47">
        <v>100000</v>
      </c>
      <c r="F32" s="53">
        <v>163.19999999999999</v>
      </c>
      <c r="G32" s="5">
        <v>1.5628046999999999E-2</v>
      </c>
    </row>
    <row r="33" spans="1:7" ht="12.75" x14ac:dyDescent="0.2">
      <c r="A33" s="6">
        <v>27</v>
      </c>
      <c r="B33" s="7" t="s">
        <v>193</v>
      </c>
      <c r="C33" s="11" t="s">
        <v>194</v>
      </c>
      <c r="D33" s="2" t="s">
        <v>72</v>
      </c>
      <c r="E33" s="47">
        <v>17000</v>
      </c>
      <c r="F33" s="53">
        <v>150.81549999999999</v>
      </c>
      <c r="G33" s="5">
        <v>1.4442106E-2</v>
      </c>
    </row>
    <row r="34" spans="1:7" ht="12.75" x14ac:dyDescent="0.2">
      <c r="A34" s="6">
        <v>28</v>
      </c>
      <c r="B34" s="7" t="s">
        <v>184</v>
      </c>
      <c r="C34" s="11" t="s">
        <v>185</v>
      </c>
      <c r="D34" s="2" t="s">
        <v>16</v>
      </c>
      <c r="E34" s="47">
        <v>83715</v>
      </c>
      <c r="F34" s="53">
        <v>150.81257249999999</v>
      </c>
      <c r="G34" s="5">
        <v>1.4441826E-2</v>
      </c>
    </row>
    <row r="35" spans="1:7" ht="25.5" x14ac:dyDescent="0.2">
      <c r="A35" s="6">
        <v>29</v>
      </c>
      <c r="B35" s="7" t="s">
        <v>43</v>
      </c>
      <c r="C35" s="11" t="s">
        <v>44</v>
      </c>
      <c r="D35" s="2" t="s">
        <v>22</v>
      </c>
      <c r="E35" s="47">
        <v>20626</v>
      </c>
      <c r="F35" s="53">
        <v>143.59821199999999</v>
      </c>
      <c r="G35" s="5">
        <v>1.3750978000000001E-2</v>
      </c>
    </row>
    <row r="36" spans="1:7" ht="25.5" x14ac:dyDescent="0.2">
      <c r="A36" s="6">
        <v>30</v>
      </c>
      <c r="B36" s="7" t="s">
        <v>213</v>
      </c>
      <c r="C36" s="11" t="s">
        <v>214</v>
      </c>
      <c r="D36" s="2" t="s">
        <v>163</v>
      </c>
      <c r="E36" s="47">
        <v>136981</v>
      </c>
      <c r="F36" s="53">
        <v>139.92609150000001</v>
      </c>
      <c r="G36" s="5">
        <v>1.3399335E-2</v>
      </c>
    </row>
    <row r="37" spans="1:7" ht="12.75" x14ac:dyDescent="0.2">
      <c r="A37" s="6">
        <v>31</v>
      </c>
      <c r="B37" s="7" t="s">
        <v>93</v>
      </c>
      <c r="C37" s="11" t="s">
        <v>94</v>
      </c>
      <c r="D37" s="2" t="s">
        <v>50</v>
      </c>
      <c r="E37" s="47">
        <v>79980</v>
      </c>
      <c r="F37" s="53">
        <v>136.00599</v>
      </c>
      <c r="G37" s="5">
        <v>1.3023946E-2</v>
      </c>
    </row>
    <row r="38" spans="1:7" ht="12.75" x14ac:dyDescent="0.2">
      <c r="A38" s="6">
        <v>32</v>
      </c>
      <c r="B38" s="7" t="s">
        <v>195</v>
      </c>
      <c r="C38" s="11" t="s">
        <v>196</v>
      </c>
      <c r="D38" s="2" t="s">
        <v>197</v>
      </c>
      <c r="E38" s="47">
        <v>101201</v>
      </c>
      <c r="F38" s="53">
        <v>135.3563375</v>
      </c>
      <c r="G38" s="5">
        <v>1.2961735E-2</v>
      </c>
    </row>
    <row r="39" spans="1:7" ht="12.75" x14ac:dyDescent="0.2">
      <c r="A39" s="6">
        <v>33</v>
      </c>
      <c r="B39" s="7" t="s">
        <v>198</v>
      </c>
      <c r="C39" s="11" t="s">
        <v>199</v>
      </c>
      <c r="D39" s="2" t="s">
        <v>40</v>
      </c>
      <c r="E39" s="47">
        <v>216688</v>
      </c>
      <c r="F39" s="53">
        <v>129.36273600000001</v>
      </c>
      <c r="G39" s="5">
        <v>1.2387787000000001E-2</v>
      </c>
    </row>
    <row r="40" spans="1:7" ht="25.5" x14ac:dyDescent="0.2">
      <c r="A40" s="6">
        <v>34</v>
      </c>
      <c r="B40" s="7" t="s">
        <v>200</v>
      </c>
      <c r="C40" s="11" t="s">
        <v>201</v>
      </c>
      <c r="D40" s="2" t="s">
        <v>30</v>
      </c>
      <c r="E40" s="47">
        <v>42811</v>
      </c>
      <c r="F40" s="53">
        <v>128.1547285</v>
      </c>
      <c r="G40" s="5">
        <v>1.2272109E-2</v>
      </c>
    </row>
    <row r="41" spans="1:7" ht="25.5" x14ac:dyDescent="0.2">
      <c r="A41" s="6">
        <v>35</v>
      </c>
      <c r="B41" s="7" t="s">
        <v>202</v>
      </c>
      <c r="C41" s="11" t="s">
        <v>203</v>
      </c>
      <c r="D41" s="2" t="s">
        <v>22</v>
      </c>
      <c r="E41" s="47">
        <v>18192</v>
      </c>
      <c r="F41" s="53">
        <v>120.685728</v>
      </c>
      <c r="G41" s="5">
        <v>1.1556876000000001E-2</v>
      </c>
    </row>
    <row r="42" spans="1:7" ht="12.75" x14ac:dyDescent="0.2">
      <c r="A42" s="6">
        <v>36</v>
      </c>
      <c r="B42" s="7" t="s">
        <v>204</v>
      </c>
      <c r="C42" s="11" t="s">
        <v>205</v>
      </c>
      <c r="D42" s="2" t="s">
        <v>72</v>
      </c>
      <c r="E42" s="47">
        <v>43252</v>
      </c>
      <c r="F42" s="53">
        <v>118.013082</v>
      </c>
      <c r="G42" s="5">
        <v>1.1300944E-2</v>
      </c>
    </row>
    <row r="43" spans="1:7" ht="12.75" x14ac:dyDescent="0.2">
      <c r="A43" s="6">
        <v>37</v>
      </c>
      <c r="B43" s="7" t="s">
        <v>95</v>
      </c>
      <c r="C43" s="11" t="s">
        <v>96</v>
      </c>
      <c r="D43" s="2" t="s">
        <v>50</v>
      </c>
      <c r="E43" s="47">
        <v>196031</v>
      </c>
      <c r="F43" s="53">
        <v>112.913856</v>
      </c>
      <c r="G43" s="5">
        <v>1.0812641E-2</v>
      </c>
    </row>
    <row r="44" spans="1:7" ht="51" x14ac:dyDescent="0.2">
      <c r="A44" s="6">
        <v>38</v>
      </c>
      <c r="B44" s="7" t="s">
        <v>206</v>
      </c>
      <c r="C44" s="11" t="s">
        <v>207</v>
      </c>
      <c r="D44" s="2" t="s">
        <v>208</v>
      </c>
      <c r="E44" s="47">
        <v>180546</v>
      </c>
      <c r="F44" s="53">
        <v>110.31360599999999</v>
      </c>
      <c r="G44" s="5">
        <v>1.0563641E-2</v>
      </c>
    </row>
    <row r="45" spans="1:7" ht="25.5" x14ac:dyDescent="0.2">
      <c r="A45" s="6">
        <v>39</v>
      </c>
      <c r="B45" s="7" t="s">
        <v>209</v>
      </c>
      <c r="C45" s="11" t="s">
        <v>210</v>
      </c>
      <c r="D45" s="2" t="s">
        <v>22</v>
      </c>
      <c r="E45" s="47">
        <v>15554</v>
      </c>
      <c r="F45" s="53">
        <v>104.631758</v>
      </c>
      <c r="G45" s="5">
        <v>1.0019547E-2</v>
      </c>
    </row>
    <row r="46" spans="1:7" ht="12.75" x14ac:dyDescent="0.2">
      <c r="A46" s="6">
        <v>40</v>
      </c>
      <c r="B46" s="7" t="s">
        <v>211</v>
      </c>
      <c r="C46" s="11" t="s">
        <v>212</v>
      </c>
      <c r="D46" s="2" t="s">
        <v>72</v>
      </c>
      <c r="E46" s="47">
        <v>343659</v>
      </c>
      <c r="F46" s="53">
        <v>102.066723</v>
      </c>
      <c r="G46" s="5">
        <v>9.7739190000000007E-3</v>
      </c>
    </row>
    <row r="47" spans="1:7" ht="25.5" x14ac:dyDescent="0.2">
      <c r="A47" s="6">
        <v>41</v>
      </c>
      <c r="B47" s="7" t="s">
        <v>215</v>
      </c>
      <c r="C47" s="11" t="s">
        <v>216</v>
      </c>
      <c r="D47" s="2" t="s">
        <v>13</v>
      </c>
      <c r="E47" s="47">
        <v>172385</v>
      </c>
      <c r="F47" s="53">
        <v>99.638530000000003</v>
      </c>
      <c r="G47" s="5">
        <v>9.5413949999999994E-3</v>
      </c>
    </row>
    <row r="48" spans="1:7" ht="25.5" x14ac:dyDescent="0.2">
      <c r="A48" s="6">
        <v>42</v>
      </c>
      <c r="B48" s="7" t="s">
        <v>217</v>
      </c>
      <c r="C48" s="11" t="s">
        <v>218</v>
      </c>
      <c r="D48" s="2" t="s">
        <v>27</v>
      </c>
      <c r="E48" s="47">
        <v>81070</v>
      </c>
      <c r="F48" s="53">
        <v>98.743260000000006</v>
      </c>
      <c r="G48" s="5">
        <v>9.4556640000000008E-3</v>
      </c>
    </row>
    <row r="49" spans="1:7" ht="12.75" x14ac:dyDescent="0.2">
      <c r="A49" s="6">
        <v>43</v>
      </c>
      <c r="B49" s="7" t="s">
        <v>227</v>
      </c>
      <c r="C49" s="11" t="s">
        <v>228</v>
      </c>
      <c r="D49" s="2" t="s">
        <v>158</v>
      </c>
      <c r="E49" s="47">
        <v>57504</v>
      </c>
      <c r="F49" s="53">
        <v>96.807984000000005</v>
      </c>
      <c r="G49" s="5">
        <v>9.2703409999999997E-3</v>
      </c>
    </row>
    <row r="50" spans="1:7" ht="12.75" x14ac:dyDescent="0.2">
      <c r="A50" s="6">
        <v>44</v>
      </c>
      <c r="B50" s="7" t="s">
        <v>68</v>
      </c>
      <c r="C50" s="11" t="s">
        <v>69</v>
      </c>
      <c r="D50" s="2" t="s">
        <v>50</v>
      </c>
      <c r="E50" s="47">
        <v>41868</v>
      </c>
      <c r="F50" s="53">
        <v>89.178839999999994</v>
      </c>
      <c r="G50" s="5">
        <v>8.539774E-3</v>
      </c>
    </row>
    <row r="51" spans="1:7" ht="12.75" x14ac:dyDescent="0.2">
      <c r="A51" s="6">
        <v>45</v>
      </c>
      <c r="B51" s="7" t="s">
        <v>221</v>
      </c>
      <c r="C51" s="11" t="s">
        <v>222</v>
      </c>
      <c r="D51" s="2" t="s">
        <v>223</v>
      </c>
      <c r="E51" s="47">
        <v>18316</v>
      </c>
      <c r="F51" s="53">
        <v>83.099692000000005</v>
      </c>
      <c r="G51" s="5">
        <v>7.9576339999999999E-3</v>
      </c>
    </row>
    <row r="52" spans="1:7" ht="12.75" x14ac:dyDescent="0.2">
      <c r="A52" s="6">
        <v>46</v>
      </c>
      <c r="B52" s="7" t="s">
        <v>224</v>
      </c>
      <c r="C52" s="11" t="s">
        <v>225</v>
      </c>
      <c r="D52" s="2" t="s">
        <v>226</v>
      </c>
      <c r="E52" s="47">
        <v>70586</v>
      </c>
      <c r="F52" s="53">
        <v>79.232785000000007</v>
      </c>
      <c r="G52" s="5">
        <v>7.5873390000000002E-3</v>
      </c>
    </row>
    <row r="53" spans="1:7" ht="12.75" x14ac:dyDescent="0.2">
      <c r="A53" s="6">
        <v>47</v>
      </c>
      <c r="B53" s="7" t="s">
        <v>229</v>
      </c>
      <c r="C53" s="11" t="s">
        <v>230</v>
      </c>
      <c r="D53" s="2" t="s">
        <v>50</v>
      </c>
      <c r="E53" s="47">
        <v>28446</v>
      </c>
      <c r="F53" s="53">
        <v>67.900602000000006</v>
      </c>
      <c r="G53" s="5">
        <v>6.502168E-3</v>
      </c>
    </row>
    <row r="54" spans="1:7" ht="12.75" x14ac:dyDescent="0.2">
      <c r="A54" s="6">
        <v>48</v>
      </c>
      <c r="B54" s="7" t="s">
        <v>219</v>
      </c>
      <c r="C54" s="11" t="s">
        <v>220</v>
      </c>
      <c r="D54" s="2" t="s">
        <v>72</v>
      </c>
      <c r="E54" s="47">
        <v>35542</v>
      </c>
      <c r="F54" s="53">
        <v>67.067753999999994</v>
      </c>
      <c r="G54" s="5">
        <v>6.4224140000000004E-3</v>
      </c>
    </row>
    <row r="55" spans="1:7" ht="25.5" x14ac:dyDescent="0.2">
      <c r="A55" s="6">
        <v>49</v>
      </c>
      <c r="B55" s="7" t="s">
        <v>231</v>
      </c>
      <c r="C55" s="11" t="s">
        <v>232</v>
      </c>
      <c r="D55" s="2" t="s">
        <v>47</v>
      </c>
      <c r="E55" s="47">
        <v>23197</v>
      </c>
      <c r="F55" s="53">
        <v>58.502834</v>
      </c>
      <c r="G55" s="5">
        <v>5.6022370000000004E-3</v>
      </c>
    </row>
    <row r="56" spans="1:7" ht="12.75" x14ac:dyDescent="0.2">
      <c r="A56" s="6">
        <v>50</v>
      </c>
      <c r="B56" s="7" t="s">
        <v>233</v>
      </c>
      <c r="C56" s="11" t="s">
        <v>234</v>
      </c>
      <c r="D56" s="2" t="s">
        <v>192</v>
      </c>
      <c r="E56" s="47">
        <v>29755</v>
      </c>
      <c r="F56" s="53">
        <v>53.930937499999999</v>
      </c>
      <c r="G56" s="5">
        <v>5.1644320000000001E-3</v>
      </c>
    </row>
    <row r="57" spans="1:7" ht="12.75" x14ac:dyDescent="0.2">
      <c r="A57" s="6">
        <v>51</v>
      </c>
      <c r="B57" s="7" t="s">
        <v>238</v>
      </c>
      <c r="C57" s="11" t="s">
        <v>239</v>
      </c>
      <c r="D57" s="2" t="s">
        <v>72</v>
      </c>
      <c r="E57" s="47">
        <v>89094</v>
      </c>
      <c r="F57" s="53">
        <v>47.709837</v>
      </c>
      <c r="G57" s="5">
        <v>4.5686980000000004E-3</v>
      </c>
    </row>
    <row r="58" spans="1:7" ht="25.5" x14ac:dyDescent="0.2">
      <c r="A58" s="6">
        <v>52</v>
      </c>
      <c r="B58" s="7" t="s">
        <v>97</v>
      </c>
      <c r="C58" s="11" t="s">
        <v>98</v>
      </c>
      <c r="D58" s="2" t="s">
        <v>99</v>
      </c>
      <c r="E58" s="47">
        <v>23343</v>
      </c>
      <c r="F58" s="53">
        <v>45.997381500000003</v>
      </c>
      <c r="G58" s="5">
        <v>4.4047130000000002E-3</v>
      </c>
    </row>
    <row r="59" spans="1:7" ht="12.75" x14ac:dyDescent="0.2">
      <c r="A59" s="6">
        <v>53</v>
      </c>
      <c r="B59" s="7" t="s">
        <v>100</v>
      </c>
      <c r="C59" s="11" t="s">
        <v>101</v>
      </c>
      <c r="D59" s="2" t="s">
        <v>50</v>
      </c>
      <c r="E59" s="47">
        <v>35943</v>
      </c>
      <c r="F59" s="53">
        <v>34.307593500000003</v>
      </c>
      <c r="G59" s="5">
        <v>3.2852979999999999E-3</v>
      </c>
    </row>
    <row r="60" spans="1:7" ht="12.75" x14ac:dyDescent="0.2">
      <c r="A60" s="6">
        <v>54</v>
      </c>
      <c r="B60" s="7" t="s">
        <v>240</v>
      </c>
      <c r="C60" s="11" t="s">
        <v>241</v>
      </c>
      <c r="D60" s="2" t="s">
        <v>242</v>
      </c>
      <c r="E60" s="47">
        <v>7183</v>
      </c>
      <c r="F60" s="53">
        <v>29.216852500000002</v>
      </c>
      <c r="G60" s="5">
        <v>2.7978080000000002E-3</v>
      </c>
    </row>
    <row r="61" spans="1:7" ht="25.5" x14ac:dyDescent="0.2">
      <c r="A61" s="6">
        <v>55</v>
      </c>
      <c r="B61" s="7" t="s">
        <v>243</v>
      </c>
      <c r="C61" s="11" t="s">
        <v>244</v>
      </c>
      <c r="D61" s="2" t="s">
        <v>163</v>
      </c>
      <c r="E61" s="47">
        <v>30681</v>
      </c>
      <c r="F61" s="53">
        <v>18.700069500000001</v>
      </c>
      <c r="G61" s="5">
        <v>1.79072E-3</v>
      </c>
    </row>
    <row r="62" spans="1:7" ht="25.5" x14ac:dyDescent="0.2">
      <c r="A62" s="6">
        <v>56</v>
      </c>
      <c r="B62" s="7" t="s">
        <v>245</v>
      </c>
      <c r="C62" s="11" t="s">
        <v>246</v>
      </c>
      <c r="D62" s="2" t="s">
        <v>30</v>
      </c>
      <c r="E62" s="47">
        <v>135256</v>
      </c>
      <c r="F62" s="53">
        <v>9.4679199999999994</v>
      </c>
      <c r="G62" s="5">
        <v>9.0664900000000004E-4</v>
      </c>
    </row>
    <row r="63" spans="1:7" ht="51" x14ac:dyDescent="0.2">
      <c r="A63" s="6">
        <v>57</v>
      </c>
      <c r="B63" s="7" t="s">
        <v>247</v>
      </c>
      <c r="C63" s="11" t="s">
        <v>248</v>
      </c>
      <c r="D63" s="2" t="s">
        <v>208</v>
      </c>
      <c r="E63" s="47">
        <v>507</v>
      </c>
      <c r="F63" s="53">
        <v>1.0968945000000001</v>
      </c>
      <c r="G63" s="5">
        <v>1.05039E-4</v>
      </c>
    </row>
    <row r="64" spans="1:7" ht="12.75" x14ac:dyDescent="0.2">
      <c r="A64" s="1"/>
      <c r="B64" s="2"/>
      <c r="C64" s="8" t="s">
        <v>108</v>
      </c>
      <c r="D64" s="12"/>
      <c r="E64" s="49"/>
      <c r="F64" s="55">
        <v>10241.355516499994</v>
      </c>
      <c r="G64" s="13">
        <v>0.98071314399999998</v>
      </c>
    </row>
    <row r="65" spans="1:7" ht="12.75" x14ac:dyDescent="0.2">
      <c r="A65" s="6"/>
      <c r="B65" s="7"/>
      <c r="C65" s="14"/>
      <c r="D65" s="15"/>
      <c r="E65" s="47"/>
      <c r="F65" s="53"/>
      <c r="G65" s="5"/>
    </row>
    <row r="66" spans="1:7" ht="12.75" x14ac:dyDescent="0.2">
      <c r="A66" s="1"/>
      <c r="B66" s="2"/>
      <c r="C66" s="8" t="s">
        <v>109</v>
      </c>
      <c r="D66" s="9"/>
      <c r="E66" s="48"/>
      <c r="F66" s="54"/>
      <c r="G66" s="10"/>
    </row>
    <row r="67" spans="1:7" ht="12.75" x14ac:dyDescent="0.2">
      <c r="A67" s="1"/>
      <c r="B67" s="2"/>
      <c r="C67" s="8" t="s">
        <v>108</v>
      </c>
      <c r="D67" s="12"/>
      <c r="E67" s="49"/>
      <c r="F67" s="55">
        <v>0</v>
      </c>
      <c r="G67" s="13">
        <v>0</v>
      </c>
    </row>
    <row r="68" spans="1:7" ht="12.75" x14ac:dyDescent="0.2">
      <c r="A68" s="6"/>
      <c r="B68" s="7"/>
      <c r="C68" s="14"/>
      <c r="D68" s="15"/>
      <c r="E68" s="47"/>
      <c r="F68" s="53"/>
      <c r="G68" s="5"/>
    </row>
    <row r="69" spans="1:7" ht="12.75" x14ac:dyDescent="0.2">
      <c r="A69" s="16"/>
      <c r="B69" s="17"/>
      <c r="C69" s="8" t="s">
        <v>110</v>
      </c>
      <c r="D69" s="9"/>
      <c r="E69" s="48"/>
      <c r="F69" s="54"/>
      <c r="G69" s="10"/>
    </row>
    <row r="70" spans="1:7" ht="12.75" x14ac:dyDescent="0.2">
      <c r="A70" s="18"/>
      <c r="B70" s="19"/>
      <c r="C70" s="8" t="s">
        <v>108</v>
      </c>
      <c r="D70" s="20"/>
      <c r="E70" s="50"/>
      <c r="F70" s="56">
        <v>0</v>
      </c>
      <c r="G70" s="21">
        <v>0</v>
      </c>
    </row>
    <row r="71" spans="1:7" ht="12.75" x14ac:dyDescent="0.2">
      <c r="A71" s="18"/>
      <c r="B71" s="19"/>
      <c r="C71" s="14"/>
      <c r="D71" s="22"/>
      <c r="E71" s="51"/>
      <c r="F71" s="57"/>
      <c r="G71" s="23"/>
    </row>
    <row r="72" spans="1:7" ht="12.75" x14ac:dyDescent="0.2">
      <c r="A72" s="1"/>
      <c r="B72" s="2"/>
      <c r="C72" s="8" t="s">
        <v>113</v>
      </c>
      <c r="D72" s="9"/>
      <c r="E72" s="48"/>
      <c r="F72" s="54"/>
      <c r="G72" s="10"/>
    </row>
    <row r="73" spans="1:7" ht="12.75" x14ac:dyDescent="0.2">
      <c r="A73" s="1"/>
      <c r="B73" s="2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1"/>
      <c r="B74" s="2"/>
      <c r="C74" s="14"/>
      <c r="D74" s="4"/>
      <c r="E74" s="47"/>
      <c r="F74" s="53"/>
      <c r="G74" s="5"/>
    </row>
    <row r="75" spans="1:7" ht="12.75" x14ac:dyDescent="0.2">
      <c r="A75" s="1"/>
      <c r="B75" s="2"/>
      <c r="C75" s="8" t="s">
        <v>114</v>
      </c>
      <c r="D75" s="9"/>
      <c r="E75" s="48"/>
      <c r="F75" s="54"/>
      <c r="G75" s="10"/>
    </row>
    <row r="76" spans="1:7" ht="12.75" x14ac:dyDescent="0.2">
      <c r="A76" s="1"/>
      <c r="B76" s="2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1"/>
      <c r="B77" s="2"/>
      <c r="C77" s="14"/>
      <c r="D77" s="4"/>
      <c r="E77" s="47"/>
      <c r="F77" s="53"/>
      <c r="G77" s="5"/>
    </row>
    <row r="78" spans="1:7" ht="12.75" x14ac:dyDescent="0.2">
      <c r="A78" s="1"/>
      <c r="B78" s="2"/>
      <c r="C78" s="8" t="s">
        <v>115</v>
      </c>
      <c r="D78" s="9"/>
      <c r="E78" s="48"/>
      <c r="F78" s="54"/>
      <c r="G78" s="10"/>
    </row>
    <row r="79" spans="1:7" ht="12.75" x14ac:dyDescent="0.2">
      <c r="A79" s="1"/>
      <c r="B79" s="2"/>
      <c r="C79" s="8" t="s">
        <v>108</v>
      </c>
      <c r="D79" s="12"/>
      <c r="E79" s="49"/>
      <c r="F79" s="55">
        <v>0</v>
      </c>
      <c r="G79" s="13">
        <v>0</v>
      </c>
    </row>
    <row r="80" spans="1:7" ht="12.75" x14ac:dyDescent="0.2">
      <c r="A80" s="1"/>
      <c r="B80" s="2"/>
      <c r="C80" s="14"/>
      <c r="D80" s="4"/>
      <c r="E80" s="47"/>
      <c r="F80" s="53"/>
      <c r="G80" s="5"/>
    </row>
    <row r="81" spans="1:7" ht="25.5" x14ac:dyDescent="0.2">
      <c r="A81" s="6"/>
      <c r="B81" s="7"/>
      <c r="C81" s="24" t="s">
        <v>116</v>
      </c>
      <c r="D81" s="25"/>
      <c r="E81" s="49"/>
      <c r="F81" s="55">
        <v>10241.355516499994</v>
      </c>
      <c r="G81" s="13">
        <v>0.98071314399999998</v>
      </c>
    </row>
    <row r="82" spans="1:7" ht="12.75" x14ac:dyDescent="0.2">
      <c r="A82" s="1"/>
      <c r="B82" s="2"/>
      <c r="C82" s="11"/>
      <c r="D82" s="4"/>
      <c r="E82" s="47"/>
      <c r="F82" s="53"/>
      <c r="G82" s="5"/>
    </row>
    <row r="83" spans="1:7" ht="12.75" x14ac:dyDescent="0.2">
      <c r="A83" s="1"/>
      <c r="B83" s="2"/>
      <c r="C83" s="3" t="s">
        <v>117</v>
      </c>
      <c r="D83" s="4"/>
      <c r="E83" s="47"/>
      <c r="F83" s="53"/>
      <c r="G83" s="5"/>
    </row>
    <row r="84" spans="1:7" ht="25.5" x14ac:dyDescent="0.2">
      <c r="A84" s="1"/>
      <c r="B84" s="2"/>
      <c r="C84" s="8" t="s">
        <v>10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12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4"/>
      <c r="E86" s="47"/>
      <c r="F86" s="53"/>
      <c r="G86" s="5"/>
    </row>
    <row r="87" spans="1:7" ht="12.75" x14ac:dyDescent="0.2">
      <c r="A87" s="1"/>
      <c r="B87" s="26"/>
      <c r="C87" s="8" t="s">
        <v>118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12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4"/>
      <c r="E89" s="47"/>
      <c r="F89" s="59"/>
      <c r="G89" s="28"/>
    </row>
    <row r="90" spans="1:7" ht="12.75" x14ac:dyDescent="0.2">
      <c r="A90" s="1"/>
      <c r="B90" s="2"/>
      <c r="C90" s="8" t="s">
        <v>119</v>
      </c>
      <c r="D90" s="9"/>
      <c r="E90" s="48"/>
      <c r="F90" s="54"/>
      <c r="G90" s="10"/>
    </row>
    <row r="91" spans="1:7" ht="12.75" x14ac:dyDescent="0.2">
      <c r="A91" s="6"/>
      <c r="B91" s="7"/>
      <c r="C91" s="8" t="s">
        <v>108</v>
      </c>
      <c r="D91" s="12"/>
      <c r="E91" s="49"/>
      <c r="F91" s="55">
        <v>0</v>
      </c>
      <c r="G91" s="13">
        <v>0</v>
      </c>
    </row>
    <row r="92" spans="1:7" ht="12.75" x14ac:dyDescent="0.2">
      <c r="A92" s="1"/>
      <c r="B92" s="2"/>
      <c r="C92" s="14"/>
      <c r="D92" s="4"/>
      <c r="E92" s="47"/>
      <c r="F92" s="53"/>
      <c r="G92" s="5"/>
    </row>
    <row r="93" spans="1:7" ht="25.5" x14ac:dyDescent="0.2">
      <c r="A93" s="1"/>
      <c r="B93" s="26"/>
      <c r="C93" s="8" t="s">
        <v>120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7" ht="12.75" x14ac:dyDescent="0.2">
      <c r="A95" s="6"/>
      <c r="B95" s="7"/>
      <c r="C95" s="14"/>
      <c r="D95" s="4"/>
      <c r="E95" s="47"/>
      <c r="F95" s="53"/>
      <c r="G95" s="5"/>
    </row>
    <row r="96" spans="1:7" ht="12.75" x14ac:dyDescent="0.2">
      <c r="A96" s="6"/>
      <c r="B96" s="7"/>
      <c r="C96" s="29" t="s">
        <v>121</v>
      </c>
      <c r="D96" s="25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1"/>
      <c r="D97" s="4"/>
      <c r="E97" s="47"/>
      <c r="F97" s="53"/>
      <c r="G97" s="5"/>
    </row>
    <row r="98" spans="1:7" ht="12.75" x14ac:dyDescent="0.2">
      <c r="A98" s="1"/>
      <c r="B98" s="2"/>
      <c r="C98" s="3" t="s">
        <v>122</v>
      </c>
      <c r="D98" s="4"/>
      <c r="E98" s="47"/>
      <c r="F98" s="53"/>
      <c r="G98" s="5"/>
    </row>
    <row r="99" spans="1:7" ht="12.75" x14ac:dyDescent="0.2">
      <c r="A99" s="6"/>
      <c r="B99" s="7"/>
      <c r="C99" s="8" t="s">
        <v>123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25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4"/>
      <c r="D101" s="7"/>
      <c r="E101" s="47"/>
      <c r="F101" s="53"/>
      <c r="G101" s="5"/>
    </row>
    <row r="102" spans="1:7" ht="12.75" x14ac:dyDescent="0.2">
      <c r="A102" s="6"/>
      <c r="B102" s="7"/>
      <c r="C102" s="8" t="s">
        <v>124</v>
      </c>
      <c r="D102" s="9"/>
      <c r="E102" s="48"/>
      <c r="F102" s="54"/>
      <c r="G102" s="10"/>
    </row>
    <row r="103" spans="1:7" ht="12.75" x14ac:dyDescent="0.2">
      <c r="A103" s="6"/>
      <c r="B103" s="7"/>
      <c r="C103" s="8" t="s">
        <v>108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4"/>
      <c r="D104" s="7"/>
      <c r="E104" s="47"/>
      <c r="F104" s="53"/>
      <c r="G104" s="5"/>
    </row>
    <row r="105" spans="1:7" ht="12.75" x14ac:dyDescent="0.2">
      <c r="A105" s="6"/>
      <c r="B105" s="7"/>
      <c r="C105" s="8" t="s">
        <v>125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12.75" x14ac:dyDescent="0.2">
      <c r="A108" s="6"/>
      <c r="B108" s="7"/>
      <c r="C108" s="8" t="s">
        <v>126</v>
      </c>
      <c r="D108" s="9"/>
      <c r="E108" s="48"/>
      <c r="F108" s="54"/>
      <c r="G108" s="10"/>
    </row>
    <row r="109" spans="1:7" ht="12.75" x14ac:dyDescent="0.2">
      <c r="A109" s="6">
        <v>1</v>
      </c>
      <c r="B109" s="7"/>
      <c r="C109" s="11" t="s">
        <v>812</v>
      </c>
      <c r="D109" s="15"/>
      <c r="E109" s="47"/>
      <c r="F109" s="53">
        <v>186.97541140000001</v>
      </c>
      <c r="G109" s="5">
        <v>1.7904783000000001E-2</v>
      </c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186.97541140000001</v>
      </c>
      <c r="G110" s="13">
        <v>1.7904783000000001E-2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25.5" x14ac:dyDescent="0.2">
      <c r="A112" s="6"/>
      <c r="B112" s="7"/>
      <c r="C112" s="24" t="s">
        <v>127</v>
      </c>
      <c r="D112" s="25"/>
      <c r="E112" s="49"/>
      <c r="F112" s="55">
        <v>186.97541140000001</v>
      </c>
      <c r="G112" s="13">
        <v>1.7904783000000001E-2</v>
      </c>
    </row>
    <row r="113" spans="1:7" ht="12.75" x14ac:dyDescent="0.2">
      <c r="A113" s="6"/>
      <c r="B113" s="7"/>
      <c r="C113" s="30"/>
      <c r="D113" s="7"/>
      <c r="E113" s="47"/>
      <c r="F113" s="53"/>
      <c r="G113" s="5"/>
    </row>
    <row r="114" spans="1:7" ht="12.75" x14ac:dyDescent="0.2">
      <c r="A114" s="1"/>
      <c r="B114" s="2"/>
      <c r="C114" s="3" t="s">
        <v>128</v>
      </c>
      <c r="D114" s="4"/>
      <c r="E114" s="47"/>
      <c r="F114" s="53"/>
      <c r="G114" s="5"/>
    </row>
    <row r="115" spans="1:7" ht="25.5" x14ac:dyDescent="0.2">
      <c r="A115" s="6"/>
      <c r="B115" s="7"/>
      <c r="C115" s="8" t="s">
        <v>129</v>
      </c>
      <c r="D115" s="9"/>
      <c r="E115" s="48"/>
      <c r="F115" s="54"/>
      <c r="G115" s="10"/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0</v>
      </c>
      <c r="G116" s="13">
        <v>0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12.75" x14ac:dyDescent="0.2">
      <c r="A118" s="1"/>
      <c r="B118" s="2"/>
      <c r="C118" s="3" t="s">
        <v>131</v>
      </c>
      <c r="D118" s="4"/>
      <c r="E118" s="47"/>
      <c r="F118" s="53"/>
      <c r="G118" s="5"/>
    </row>
    <row r="119" spans="1:7" ht="25.5" x14ac:dyDescent="0.2">
      <c r="A119" s="6"/>
      <c r="B119" s="7"/>
      <c r="C119" s="8" t="s">
        <v>132</v>
      </c>
      <c r="D119" s="9"/>
      <c r="E119" s="48"/>
      <c r="F119" s="54"/>
      <c r="G119" s="10"/>
    </row>
    <row r="120" spans="1:7" ht="12.75" x14ac:dyDescent="0.2">
      <c r="A120" s="6"/>
      <c r="B120" s="7"/>
      <c r="C120" s="8" t="s">
        <v>108</v>
      </c>
      <c r="D120" s="25"/>
      <c r="E120" s="49"/>
      <c r="F120" s="55">
        <v>0</v>
      </c>
      <c r="G120" s="13">
        <v>0</v>
      </c>
    </row>
    <row r="121" spans="1:7" ht="12.75" x14ac:dyDescent="0.2">
      <c r="A121" s="6"/>
      <c r="B121" s="7"/>
      <c r="C121" s="14"/>
      <c r="D121" s="7"/>
      <c r="E121" s="47"/>
      <c r="F121" s="53"/>
      <c r="G121" s="5"/>
    </row>
    <row r="122" spans="1:7" ht="25.5" x14ac:dyDescent="0.2">
      <c r="A122" s="6"/>
      <c r="B122" s="7"/>
      <c r="C122" s="8" t="s">
        <v>133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9"/>
      <c r="G124" s="28"/>
    </row>
    <row r="125" spans="1:7" ht="25.5" x14ac:dyDescent="0.2">
      <c r="A125" s="6"/>
      <c r="B125" s="7"/>
      <c r="C125" s="30" t="s">
        <v>134</v>
      </c>
      <c r="D125" s="7"/>
      <c r="E125" s="47"/>
      <c r="F125" s="59">
        <v>14.4326673</v>
      </c>
      <c r="G125" s="28">
        <v>1.3820740000000001E-3</v>
      </c>
    </row>
    <row r="126" spans="1:7" ht="12.75" x14ac:dyDescent="0.2">
      <c r="A126" s="6"/>
      <c r="B126" s="7"/>
      <c r="C126" s="31" t="s">
        <v>135</v>
      </c>
      <c r="D126" s="12"/>
      <c r="E126" s="49"/>
      <c r="F126" s="55">
        <v>10442.763595199995</v>
      </c>
      <c r="G126" s="13">
        <v>1.0000000009999999</v>
      </c>
    </row>
    <row r="128" spans="1:7" ht="12.75" x14ac:dyDescent="0.2">
      <c r="B128" s="179"/>
      <c r="C128" s="179"/>
      <c r="D128" s="179"/>
      <c r="E128" s="179"/>
      <c r="F128" s="179"/>
    </row>
    <row r="129" spans="2:6" ht="12.75" x14ac:dyDescent="0.2">
      <c r="B129" s="179"/>
      <c r="C129" s="179"/>
      <c r="D129" s="179"/>
      <c r="E129" s="179"/>
      <c r="F129" s="179"/>
    </row>
    <row r="131" spans="2:6" ht="12.75" x14ac:dyDescent="0.2">
      <c r="B131" s="37" t="s">
        <v>137</v>
      </c>
      <c r="C131" s="38"/>
      <c r="D131" s="39"/>
    </row>
    <row r="132" spans="2:6" ht="12.75" x14ac:dyDescent="0.2">
      <c r="B132" s="40" t="s">
        <v>808</v>
      </c>
      <c r="C132" s="41"/>
      <c r="D132" s="65" t="s">
        <v>138</v>
      </c>
    </row>
    <row r="133" spans="2:6" ht="12.75" x14ac:dyDescent="0.2">
      <c r="B133" s="40" t="s">
        <v>139</v>
      </c>
      <c r="C133" s="41"/>
      <c r="D133" s="65" t="s">
        <v>138</v>
      </c>
    </row>
    <row r="134" spans="2:6" ht="12.75" x14ac:dyDescent="0.2">
      <c r="B134" s="42" t="s">
        <v>140</v>
      </c>
      <c r="C134" s="41"/>
      <c r="D134" s="43"/>
    </row>
    <row r="135" spans="2:6" ht="25.5" customHeight="1" x14ac:dyDescent="0.2">
      <c r="B135" s="43"/>
      <c r="C135" s="33" t="s">
        <v>141</v>
      </c>
      <c r="D135" s="34" t="s">
        <v>142</v>
      </c>
    </row>
    <row r="136" spans="2:6" ht="12.75" customHeight="1" x14ac:dyDescent="0.2">
      <c r="B136" s="60" t="s">
        <v>143</v>
      </c>
      <c r="C136" s="61" t="s">
        <v>144</v>
      </c>
      <c r="D136" s="61" t="s">
        <v>145</v>
      </c>
    </row>
    <row r="137" spans="2:6" ht="12.75" x14ac:dyDescent="0.2">
      <c r="B137" s="43" t="s">
        <v>146</v>
      </c>
      <c r="C137" s="44">
        <v>12.908899999999999</v>
      </c>
      <c r="D137" s="44">
        <v>13.2361</v>
      </c>
    </row>
    <row r="138" spans="2:6" ht="12.75" x14ac:dyDescent="0.2">
      <c r="B138" s="43" t="s">
        <v>147</v>
      </c>
      <c r="C138" s="44">
        <v>10.268599999999999</v>
      </c>
      <c r="D138" s="44">
        <v>10.5289</v>
      </c>
    </row>
    <row r="139" spans="2:6" ht="12.75" x14ac:dyDescent="0.2">
      <c r="B139" s="43" t="s">
        <v>148</v>
      </c>
      <c r="C139" s="44">
        <v>12.488</v>
      </c>
      <c r="D139" s="44">
        <v>12.8019</v>
      </c>
    </row>
    <row r="140" spans="2:6" ht="12.75" x14ac:dyDescent="0.2">
      <c r="B140" s="43" t="s">
        <v>149</v>
      </c>
      <c r="C140" s="44">
        <v>9.9057999999999993</v>
      </c>
      <c r="D140" s="44">
        <v>10.1548</v>
      </c>
    </row>
    <row r="142" spans="2:6" ht="12.75" x14ac:dyDescent="0.2">
      <c r="B142" s="62" t="s">
        <v>150</v>
      </c>
      <c r="C142" s="45"/>
      <c r="D142" s="63" t="s">
        <v>138</v>
      </c>
    </row>
    <row r="143" spans="2:6" ht="24.75" customHeight="1" x14ac:dyDescent="0.2">
      <c r="B143" s="64"/>
      <c r="C143" s="64"/>
    </row>
    <row r="144" spans="2:6" ht="15" x14ac:dyDescent="0.25">
      <c r="B144" s="66"/>
      <c r="C144" s="68"/>
      <c r="D144"/>
    </row>
    <row r="146" spans="2:4" ht="12.75" x14ac:dyDescent="0.2">
      <c r="B146" s="42" t="s">
        <v>151</v>
      </c>
      <c r="C146" s="41"/>
      <c r="D146" s="67" t="s">
        <v>138</v>
      </c>
    </row>
    <row r="147" spans="2:4" ht="12.75" x14ac:dyDescent="0.2">
      <c r="B147" s="42" t="s">
        <v>152</v>
      </c>
      <c r="C147" s="41"/>
      <c r="D147" s="67" t="s">
        <v>138</v>
      </c>
    </row>
    <row r="148" spans="2:4" ht="12.75" x14ac:dyDescent="0.2">
      <c r="B148" s="42" t="s">
        <v>153</v>
      </c>
      <c r="C148" s="41"/>
      <c r="D148" s="46">
        <v>0.13823268636633593</v>
      </c>
    </row>
    <row r="149" spans="2:4" ht="12.75" x14ac:dyDescent="0.2">
      <c r="B149" s="42" t="s">
        <v>154</v>
      </c>
      <c r="C149" s="41"/>
      <c r="D149" s="46" t="s">
        <v>138</v>
      </c>
    </row>
  </sheetData>
  <mergeCells count="5">
    <mergeCell ref="A1:G1"/>
    <mergeCell ref="A2:G2"/>
    <mergeCell ref="A3:G3"/>
    <mergeCell ref="B128:F128"/>
    <mergeCell ref="B129:F12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9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297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55</v>
      </c>
      <c r="C7" s="11" t="s">
        <v>56</v>
      </c>
      <c r="D7" s="2" t="s">
        <v>22</v>
      </c>
      <c r="E7" s="47">
        <v>68182</v>
      </c>
      <c r="F7" s="53">
        <v>402.58061900000001</v>
      </c>
      <c r="G7" s="5">
        <v>6.5300557999999995E-2</v>
      </c>
    </row>
    <row r="8" spans="1:7" ht="25.5" x14ac:dyDescent="0.2">
      <c r="A8" s="6">
        <v>2</v>
      </c>
      <c r="B8" s="7" t="s">
        <v>156</v>
      </c>
      <c r="C8" s="11" t="s">
        <v>157</v>
      </c>
      <c r="D8" s="2" t="s">
        <v>158</v>
      </c>
      <c r="E8" s="47">
        <v>34139</v>
      </c>
      <c r="F8" s="53">
        <v>306.39752499999997</v>
      </c>
      <c r="G8" s="5">
        <v>4.9699185999999999E-2</v>
      </c>
    </row>
    <row r="9" spans="1:7" ht="25.5" x14ac:dyDescent="0.2">
      <c r="A9" s="6">
        <v>3</v>
      </c>
      <c r="B9" s="7" t="s">
        <v>45</v>
      </c>
      <c r="C9" s="11" t="s">
        <v>46</v>
      </c>
      <c r="D9" s="2" t="s">
        <v>47</v>
      </c>
      <c r="E9" s="47">
        <v>36316</v>
      </c>
      <c r="F9" s="53">
        <v>305.726246</v>
      </c>
      <c r="G9" s="5">
        <v>4.9590302000000003E-2</v>
      </c>
    </row>
    <row r="10" spans="1:7" ht="25.5" x14ac:dyDescent="0.2">
      <c r="A10" s="6">
        <v>4</v>
      </c>
      <c r="B10" s="7" t="s">
        <v>38</v>
      </c>
      <c r="C10" s="11" t="s">
        <v>39</v>
      </c>
      <c r="D10" s="2" t="s">
        <v>40</v>
      </c>
      <c r="E10" s="47">
        <v>55562</v>
      </c>
      <c r="F10" s="53">
        <v>239.694468</v>
      </c>
      <c r="G10" s="5">
        <v>3.8879622000000003E-2</v>
      </c>
    </row>
    <row r="11" spans="1:7" ht="25.5" x14ac:dyDescent="0.2">
      <c r="A11" s="6">
        <v>5</v>
      </c>
      <c r="B11" s="7" t="s">
        <v>23</v>
      </c>
      <c r="C11" s="11" t="s">
        <v>24</v>
      </c>
      <c r="D11" s="2" t="s">
        <v>22</v>
      </c>
      <c r="E11" s="47">
        <v>39398</v>
      </c>
      <c r="F11" s="53">
        <v>236.919873</v>
      </c>
      <c r="G11" s="5">
        <v>3.8429568999999997E-2</v>
      </c>
    </row>
    <row r="12" spans="1:7" ht="12.75" x14ac:dyDescent="0.2">
      <c r="A12" s="6">
        <v>6</v>
      </c>
      <c r="B12" s="7" t="s">
        <v>159</v>
      </c>
      <c r="C12" s="11" t="s">
        <v>160</v>
      </c>
      <c r="D12" s="2" t="s">
        <v>19</v>
      </c>
      <c r="E12" s="47">
        <v>126535</v>
      </c>
      <c r="F12" s="53">
        <v>236.746985</v>
      </c>
      <c r="G12" s="5">
        <v>3.8401525999999998E-2</v>
      </c>
    </row>
    <row r="13" spans="1:7" ht="25.5" x14ac:dyDescent="0.2">
      <c r="A13" s="6">
        <v>7</v>
      </c>
      <c r="B13" s="7" t="s">
        <v>161</v>
      </c>
      <c r="C13" s="11" t="s">
        <v>162</v>
      </c>
      <c r="D13" s="2" t="s">
        <v>163</v>
      </c>
      <c r="E13" s="47">
        <v>57601</v>
      </c>
      <c r="F13" s="53">
        <v>210.07084699999999</v>
      </c>
      <c r="G13" s="5">
        <v>3.4074525000000001E-2</v>
      </c>
    </row>
    <row r="14" spans="1:7" ht="12.75" x14ac:dyDescent="0.2">
      <c r="A14" s="6">
        <v>8</v>
      </c>
      <c r="B14" s="7" t="s">
        <v>51</v>
      </c>
      <c r="C14" s="11" t="s">
        <v>52</v>
      </c>
      <c r="D14" s="2" t="s">
        <v>19</v>
      </c>
      <c r="E14" s="47">
        <v>17022</v>
      </c>
      <c r="F14" s="53">
        <v>190.144251</v>
      </c>
      <c r="G14" s="5">
        <v>3.0842333E-2</v>
      </c>
    </row>
    <row r="15" spans="1:7" ht="25.5" x14ac:dyDescent="0.2">
      <c r="A15" s="6">
        <v>9</v>
      </c>
      <c r="B15" s="7" t="s">
        <v>164</v>
      </c>
      <c r="C15" s="11" t="s">
        <v>165</v>
      </c>
      <c r="D15" s="2" t="s">
        <v>47</v>
      </c>
      <c r="E15" s="47">
        <v>66656</v>
      </c>
      <c r="F15" s="53">
        <v>166.506688</v>
      </c>
      <c r="G15" s="5">
        <v>2.7008204000000001E-2</v>
      </c>
    </row>
    <row r="16" spans="1:7" ht="38.25" x14ac:dyDescent="0.2">
      <c r="A16" s="6">
        <v>10</v>
      </c>
      <c r="B16" s="7" t="s">
        <v>75</v>
      </c>
      <c r="C16" s="11" t="s">
        <v>76</v>
      </c>
      <c r="D16" s="2" t="s">
        <v>77</v>
      </c>
      <c r="E16" s="47">
        <v>204184</v>
      </c>
      <c r="F16" s="53">
        <v>160.89699200000001</v>
      </c>
      <c r="G16" s="5">
        <v>2.6098283999999999E-2</v>
      </c>
    </row>
    <row r="17" spans="1:7" ht="12.75" x14ac:dyDescent="0.2">
      <c r="A17" s="6">
        <v>11</v>
      </c>
      <c r="B17" s="7" t="s">
        <v>166</v>
      </c>
      <c r="C17" s="11" t="s">
        <v>167</v>
      </c>
      <c r="D17" s="2" t="s">
        <v>168</v>
      </c>
      <c r="E17" s="47">
        <v>59916</v>
      </c>
      <c r="F17" s="53">
        <v>152.99550600000001</v>
      </c>
      <c r="G17" s="5">
        <v>2.4816623999999999E-2</v>
      </c>
    </row>
    <row r="18" spans="1:7" ht="25.5" x14ac:dyDescent="0.2">
      <c r="A18" s="6">
        <v>12</v>
      </c>
      <c r="B18" s="7" t="s">
        <v>102</v>
      </c>
      <c r="C18" s="11" t="s">
        <v>103</v>
      </c>
      <c r="D18" s="2" t="s">
        <v>13</v>
      </c>
      <c r="E18" s="47">
        <v>138409</v>
      </c>
      <c r="F18" s="53">
        <v>142.42286100000001</v>
      </c>
      <c r="G18" s="5">
        <v>2.3101689000000002E-2</v>
      </c>
    </row>
    <row r="19" spans="1:7" ht="25.5" x14ac:dyDescent="0.2">
      <c r="A19" s="6">
        <v>13</v>
      </c>
      <c r="B19" s="7" t="s">
        <v>169</v>
      </c>
      <c r="C19" s="11" t="s">
        <v>170</v>
      </c>
      <c r="D19" s="2" t="s">
        <v>27</v>
      </c>
      <c r="E19" s="47">
        <v>11401</v>
      </c>
      <c r="F19" s="53">
        <v>136.05953400000001</v>
      </c>
      <c r="G19" s="5">
        <v>2.2069525999999999E-2</v>
      </c>
    </row>
    <row r="20" spans="1:7" ht="25.5" x14ac:dyDescent="0.2">
      <c r="A20" s="6">
        <v>14</v>
      </c>
      <c r="B20" s="7" t="s">
        <v>20</v>
      </c>
      <c r="C20" s="11" t="s">
        <v>21</v>
      </c>
      <c r="D20" s="2" t="s">
        <v>22</v>
      </c>
      <c r="E20" s="47">
        <v>14880</v>
      </c>
      <c r="F20" s="53">
        <v>132.58080000000001</v>
      </c>
      <c r="G20" s="5">
        <v>2.1505257999999999E-2</v>
      </c>
    </row>
    <row r="21" spans="1:7" ht="25.5" x14ac:dyDescent="0.2">
      <c r="A21" s="6">
        <v>15</v>
      </c>
      <c r="B21" s="7" t="s">
        <v>173</v>
      </c>
      <c r="C21" s="11" t="s">
        <v>174</v>
      </c>
      <c r="D21" s="2" t="s">
        <v>163</v>
      </c>
      <c r="E21" s="47">
        <v>7168</v>
      </c>
      <c r="F21" s="53">
        <v>127.37536</v>
      </c>
      <c r="G21" s="5">
        <v>2.0660910000000001E-2</v>
      </c>
    </row>
    <row r="22" spans="1:7" ht="25.5" x14ac:dyDescent="0.2">
      <c r="A22" s="6">
        <v>16</v>
      </c>
      <c r="B22" s="7" t="s">
        <v>171</v>
      </c>
      <c r="C22" s="11" t="s">
        <v>172</v>
      </c>
      <c r="D22" s="2" t="s">
        <v>22</v>
      </c>
      <c r="E22" s="47">
        <v>31572</v>
      </c>
      <c r="F22" s="53">
        <v>127.172016</v>
      </c>
      <c r="G22" s="5">
        <v>2.0627927000000001E-2</v>
      </c>
    </row>
    <row r="23" spans="1:7" ht="25.5" x14ac:dyDescent="0.2">
      <c r="A23" s="6">
        <v>17</v>
      </c>
      <c r="B23" s="7" t="s">
        <v>41</v>
      </c>
      <c r="C23" s="11" t="s">
        <v>42</v>
      </c>
      <c r="D23" s="2" t="s">
        <v>27</v>
      </c>
      <c r="E23" s="47">
        <v>110651</v>
      </c>
      <c r="F23" s="53">
        <v>127.0826735</v>
      </c>
      <c r="G23" s="5">
        <v>2.0613434999999999E-2</v>
      </c>
    </row>
    <row r="24" spans="1:7" ht="25.5" x14ac:dyDescent="0.2">
      <c r="A24" s="6">
        <v>18</v>
      </c>
      <c r="B24" s="7" t="s">
        <v>73</v>
      </c>
      <c r="C24" s="11" t="s">
        <v>74</v>
      </c>
      <c r="D24" s="2" t="s">
        <v>22</v>
      </c>
      <c r="E24" s="47">
        <v>19116</v>
      </c>
      <c r="F24" s="53">
        <v>125.26714800000001</v>
      </c>
      <c r="G24" s="5">
        <v>2.0318948E-2</v>
      </c>
    </row>
    <row r="25" spans="1:7" ht="12.75" x14ac:dyDescent="0.2">
      <c r="A25" s="6">
        <v>19</v>
      </c>
      <c r="B25" s="7" t="s">
        <v>175</v>
      </c>
      <c r="C25" s="11" t="s">
        <v>176</v>
      </c>
      <c r="D25" s="2" t="s">
        <v>19</v>
      </c>
      <c r="E25" s="47">
        <v>148446</v>
      </c>
      <c r="F25" s="53">
        <v>124.471971</v>
      </c>
      <c r="G25" s="5">
        <v>2.0189966E-2</v>
      </c>
    </row>
    <row r="26" spans="1:7" ht="25.5" x14ac:dyDescent="0.2">
      <c r="A26" s="6">
        <v>20</v>
      </c>
      <c r="B26" s="7" t="s">
        <v>177</v>
      </c>
      <c r="C26" s="11" t="s">
        <v>178</v>
      </c>
      <c r="D26" s="2" t="s">
        <v>47</v>
      </c>
      <c r="E26" s="47">
        <v>74800</v>
      </c>
      <c r="F26" s="53">
        <v>122.0736</v>
      </c>
      <c r="G26" s="5">
        <v>1.9800939E-2</v>
      </c>
    </row>
    <row r="27" spans="1:7" ht="25.5" x14ac:dyDescent="0.2">
      <c r="A27" s="6">
        <v>21</v>
      </c>
      <c r="B27" s="7" t="s">
        <v>179</v>
      </c>
      <c r="C27" s="11" t="s">
        <v>180</v>
      </c>
      <c r="D27" s="2" t="s">
        <v>22</v>
      </c>
      <c r="E27" s="47">
        <v>37713</v>
      </c>
      <c r="F27" s="53">
        <v>120.34218300000001</v>
      </c>
      <c r="G27" s="5">
        <v>1.9520094000000002E-2</v>
      </c>
    </row>
    <row r="28" spans="1:7" ht="25.5" x14ac:dyDescent="0.2">
      <c r="A28" s="6">
        <v>22</v>
      </c>
      <c r="B28" s="7" t="s">
        <v>181</v>
      </c>
      <c r="C28" s="11" t="s">
        <v>182</v>
      </c>
      <c r="D28" s="2" t="s">
        <v>183</v>
      </c>
      <c r="E28" s="47">
        <v>101000</v>
      </c>
      <c r="F28" s="53">
        <v>119.988</v>
      </c>
      <c r="G28" s="5">
        <v>1.9462644000000001E-2</v>
      </c>
    </row>
    <row r="29" spans="1:7" ht="25.5" x14ac:dyDescent="0.2">
      <c r="A29" s="6">
        <v>23</v>
      </c>
      <c r="B29" s="7" t="s">
        <v>186</v>
      </c>
      <c r="C29" s="11" t="s">
        <v>187</v>
      </c>
      <c r="D29" s="2" t="s">
        <v>183</v>
      </c>
      <c r="E29" s="47">
        <v>20626</v>
      </c>
      <c r="F29" s="53">
        <v>117.114428</v>
      </c>
      <c r="G29" s="5">
        <v>1.8996537000000001E-2</v>
      </c>
    </row>
    <row r="30" spans="1:7" ht="25.5" x14ac:dyDescent="0.2">
      <c r="A30" s="6">
        <v>24</v>
      </c>
      <c r="B30" s="7" t="s">
        <v>83</v>
      </c>
      <c r="C30" s="11" t="s">
        <v>84</v>
      </c>
      <c r="D30" s="2" t="s">
        <v>22</v>
      </c>
      <c r="E30" s="47">
        <v>99616</v>
      </c>
      <c r="F30" s="53">
        <v>108.631248</v>
      </c>
      <c r="G30" s="5">
        <v>1.7620522999999999E-2</v>
      </c>
    </row>
    <row r="31" spans="1:7" ht="25.5" x14ac:dyDescent="0.2">
      <c r="A31" s="6">
        <v>25</v>
      </c>
      <c r="B31" s="7" t="s">
        <v>188</v>
      </c>
      <c r="C31" s="11" t="s">
        <v>189</v>
      </c>
      <c r="D31" s="2" t="s">
        <v>47</v>
      </c>
      <c r="E31" s="47">
        <v>4988</v>
      </c>
      <c r="F31" s="53">
        <v>106.027422</v>
      </c>
      <c r="G31" s="5">
        <v>1.7198169999999999E-2</v>
      </c>
    </row>
    <row r="32" spans="1:7" ht="12.75" x14ac:dyDescent="0.2">
      <c r="A32" s="6">
        <v>26</v>
      </c>
      <c r="B32" s="7" t="s">
        <v>190</v>
      </c>
      <c r="C32" s="11" t="s">
        <v>191</v>
      </c>
      <c r="D32" s="2" t="s">
        <v>192</v>
      </c>
      <c r="E32" s="47">
        <v>64490</v>
      </c>
      <c r="F32" s="53">
        <v>99.346845000000002</v>
      </c>
      <c r="G32" s="5">
        <v>1.6114547E-2</v>
      </c>
    </row>
    <row r="33" spans="1:7" ht="12.75" x14ac:dyDescent="0.2">
      <c r="A33" s="6">
        <v>27</v>
      </c>
      <c r="B33" s="7" t="s">
        <v>184</v>
      </c>
      <c r="C33" s="11" t="s">
        <v>185</v>
      </c>
      <c r="D33" s="2" t="s">
        <v>16</v>
      </c>
      <c r="E33" s="47">
        <v>54696</v>
      </c>
      <c r="F33" s="53">
        <v>98.534844000000007</v>
      </c>
      <c r="G33" s="5">
        <v>1.5982837E-2</v>
      </c>
    </row>
    <row r="34" spans="1:7" ht="12.75" x14ac:dyDescent="0.2">
      <c r="A34" s="6">
        <v>28</v>
      </c>
      <c r="B34" s="7" t="s">
        <v>193</v>
      </c>
      <c r="C34" s="11" t="s">
        <v>194</v>
      </c>
      <c r="D34" s="2" t="s">
        <v>72</v>
      </c>
      <c r="E34" s="47">
        <v>10000</v>
      </c>
      <c r="F34" s="53">
        <v>88.715000000000003</v>
      </c>
      <c r="G34" s="5">
        <v>1.439001E-2</v>
      </c>
    </row>
    <row r="35" spans="1:7" ht="25.5" x14ac:dyDescent="0.2">
      <c r="A35" s="6">
        <v>29</v>
      </c>
      <c r="B35" s="7" t="s">
        <v>43</v>
      </c>
      <c r="C35" s="11" t="s">
        <v>44</v>
      </c>
      <c r="D35" s="2" t="s">
        <v>22</v>
      </c>
      <c r="E35" s="47">
        <v>12338</v>
      </c>
      <c r="F35" s="53">
        <v>85.897155999999995</v>
      </c>
      <c r="G35" s="5">
        <v>1.3932941000000001E-2</v>
      </c>
    </row>
    <row r="36" spans="1:7" ht="12.75" x14ac:dyDescent="0.2">
      <c r="A36" s="6">
        <v>30</v>
      </c>
      <c r="B36" s="7" t="s">
        <v>93</v>
      </c>
      <c r="C36" s="11" t="s">
        <v>94</v>
      </c>
      <c r="D36" s="2" t="s">
        <v>50</v>
      </c>
      <c r="E36" s="47">
        <v>47139</v>
      </c>
      <c r="F36" s="53">
        <v>80.159869499999999</v>
      </c>
      <c r="G36" s="5">
        <v>1.3002325E-2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59697</v>
      </c>
      <c r="F37" s="53">
        <v>79.844737499999994</v>
      </c>
      <c r="G37" s="5">
        <v>1.2951209E-2</v>
      </c>
    </row>
    <row r="38" spans="1:7" ht="12.75" x14ac:dyDescent="0.2">
      <c r="A38" s="6">
        <v>32</v>
      </c>
      <c r="B38" s="7" t="s">
        <v>198</v>
      </c>
      <c r="C38" s="11" t="s">
        <v>199</v>
      </c>
      <c r="D38" s="2" t="s">
        <v>40</v>
      </c>
      <c r="E38" s="47">
        <v>128748</v>
      </c>
      <c r="F38" s="53">
        <v>76.862555999999998</v>
      </c>
      <c r="G38" s="5">
        <v>1.2467485E-2</v>
      </c>
    </row>
    <row r="39" spans="1:7" ht="25.5" x14ac:dyDescent="0.2">
      <c r="A39" s="6">
        <v>33</v>
      </c>
      <c r="B39" s="7" t="s">
        <v>200</v>
      </c>
      <c r="C39" s="11" t="s">
        <v>201</v>
      </c>
      <c r="D39" s="2" t="s">
        <v>30</v>
      </c>
      <c r="E39" s="47">
        <v>25338</v>
      </c>
      <c r="F39" s="53">
        <v>75.849303000000006</v>
      </c>
      <c r="G39" s="5">
        <v>1.2303130000000001E-2</v>
      </c>
    </row>
    <row r="40" spans="1:7" ht="25.5" x14ac:dyDescent="0.2">
      <c r="A40" s="6">
        <v>34</v>
      </c>
      <c r="B40" s="7" t="s">
        <v>202</v>
      </c>
      <c r="C40" s="11" t="s">
        <v>203</v>
      </c>
      <c r="D40" s="2" t="s">
        <v>22</v>
      </c>
      <c r="E40" s="47">
        <v>10778</v>
      </c>
      <c r="F40" s="53">
        <v>71.501251999999994</v>
      </c>
      <c r="G40" s="5">
        <v>1.1597855000000001E-2</v>
      </c>
    </row>
    <row r="41" spans="1:7" ht="12.75" x14ac:dyDescent="0.2">
      <c r="A41" s="6">
        <v>35</v>
      </c>
      <c r="B41" s="7" t="s">
        <v>204</v>
      </c>
      <c r="C41" s="11" t="s">
        <v>205</v>
      </c>
      <c r="D41" s="2" t="s">
        <v>72</v>
      </c>
      <c r="E41" s="47">
        <v>25540</v>
      </c>
      <c r="F41" s="53">
        <v>69.685890000000001</v>
      </c>
      <c r="G41" s="5">
        <v>1.1303394E-2</v>
      </c>
    </row>
    <row r="42" spans="1:7" ht="12.75" x14ac:dyDescent="0.2">
      <c r="A42" s="6">
        <v>36</v>
      </c>
      <c r="B42" s="7" t="s">
        <v>95</v>
      </c>
      <c r="C42" s="11" t="s">
        <v>96</v>
      </c>
      <c r="D42" s="2" t="s">
        <v>50</v>
      </c>
      <c r="E42" s="47">
        <v>116565</v>
      </c>
      <c r="F42" s="53">
        <v>67.141440000000003</v>
      </c>
      <c r="G42" s="5">
        <v>1.0890672000000001E-2</v>
      </c>
    </row>
    <row r="43" spans="1:7" ht="51" x14ac:dyDescent="0.2">
      <c r="A43" s="6">
        <v>37</v>
      </c>
      <c r="B43" s="7" t="s">
        <v>206</v>
      </c>
      <c r="C43" s="11" t="s">
        <v>207</v>
      </c>
      <c r="D43" s="2" t="s">
        <v>208</v>
      </c>
      <c r="E43" s="47">
        <v>106520</v>
      </c>
      <c r="F43" s="53">
        <v>65.08372</v>
      </c>
      <c r="G43" s="5">
        <v>1.0556899999999999E-2</v>
      </c>
    </row>
    <row r="44" spans="1:7" ht="25.5" x14ac:dyDescent="0.2">
      <c r="A44" s="6">
        <v>38</v>
      </c>
      <c r="B44" s="7" t="s">
        <v>209</v>
      </c>
      <c r="C44" s="11" t="s">
        <v>210</v>
      </c>
      <c r="D44" s="2" t="s">
        <v>22</v>
      </c>
      <c r="E44" s="47">
        <v>9182</v>
      </c>
      <c r="F44" s="53">
        <v>61.767313999999999</v>
      </c>
      <c r="G44" s="5">
        <v>1.0018961999999999E-2</v>
      </c>
    </row>
    <row r="45" spans="1:7" ht="25.5" x14ac:dyDescent="0.2">
      <c r="A45" s="6">
        <v>39</v>
      </c>
      <c r="B45" s="7" t="s">
        <v>213</v>
      </c>
      <c r="C45" s="11" t="s">
        <v>214</v>
      </c>
      <c r="D45" s="2" t="s">
        <v>163</v>
      </c>
      <c r="E45" s="47">
        <v>59710</v>
      </c>
      <c r="F45" s="53">
        <v>60.993765000000003</v>
      </c>
      <c r="G45" s="5">
        <v>9.8934890000000001E-3</v>
      </c>
    </row>
    <row r="46" spans="1:7" ht="12.75" x14ac:dyDescent="0.2">
      <c r="A46" s="6">
        <v>40</v>
      </c>
      <c r="B46" s="7" t="s">
        <v>211</v>
      </c>
      <c r="C46" s="11" t="s">
        <v>212</v>
      </c>
      <c r="D46" s="2" t="s">
        <v>72</v>
      </c>
      <c r="E46" s="47">
        <v>202886</v>
      </c>
      <c r="F46" s="53">
        <v>60.257142000000002</v>
      </c>
      <c r="G46" s="5">
        <v>9.7740050000000005E-3</v>
      </c>
    </row>
    <row r="47" spans="1:7" ht="25.5" x14ac:dyDescent="0.2">
      <c r="A47" s="6">
        <v>41</v>
      </c>
      <c r="B47" s="7" t="s">
        <v>217</v>
      </c>
      <c r="C47" s="11" t="s">
        <v>218</v>
      </c>
      <c r="D47" s="2" t="s">
        <v>27</v>
      </c>
      <c r="E47" s="47">
        <v>49040</v>
      </c>
      <c r="F47" s="53">
        <v>59.730719999999998</v>
      </c>
      <c r="G47" s="5">
        <v>9.6886170000000001E-3</v>
      </c>
    </row>
    <row r="48" spans="1:7" ht="25.5" x14ac:dyDescent="0.2">
      <c r="A48" s="6">
        <v>42</v>
      </c>
      <c r="B48" s="7" t="s">
        <v>215</v>
      </c>
      <c r="C48" s="11" t="s">
        <v>216</v>
      </c>
      <c r="D48" s="2" t="s">
        <v>13</v>
      </c>
      <c r="E48" s="47">
        <v>102240</v>
      </c>
      <c r="F48" s="53">
        <v>59.094720000000002</v>
      </c>
      <c r="G48" s="5">
        <v>9.5854540000000002E-3</v>
      </c>
    </row>
    <row r="49" spans="1:7" ht="12.75" x14ac:dyDescent="0.2">
      <c r="A49" s="6">
        <v>43</v>
      </c>
      <c r="B49" s="7" t="s">
        <v>68</v>
      </c>
      <c r="C49" s="11" t="s">
        <v>69</v>
      </c>
      <c r="D49" s="2" t="s">
        <v>50</v>
      </c>
      <c r="E49" s="47">
        <v>24468</v>
      </c>
      <c r="F49" s="53">
        <v>52.116840000000003</v>
      </c>
      <c r="G49" s="5">
        <v>8.4536079999999996E-3</v>
      </c>
    </row>
    <row r="50" spans="1:7" ht="12.75" x14ac:dyDescent="0.2">
      <c r="A50" s="6">
        <v>44</v>
      </c>
      <c r="B50" s="7" t="s">
        <v>221</v>
      </c>
      <c r="C50" s="11" t="s">
        <v>222</v>
      </c>
      <c r="D50" s="2" t="s">
        <v>223</v>
      </c>
      <c r="E50" s="47">
        <v>10822</v>
      </c>
      <c r="F50" s="53">
        <v>49.099414000000003</v>
      </c>
      <c r="G50" s="5">
        <v>7.9641669999999994E-3</v>
      </c>
    </row>
    <row r="51" spans="1:7" ht="12.75" x14ac:dyDescent="0.2">
      <c r="A51" s="6">
        <v>45</v>
      </c>
      <c r="B51" s="7" t="s">
        <v>224</v>
      </c>
      <c r="C51" s="11" t="s">
        <v>225</v>
      </c>
      <c r="D51" s="2" t="s">
        <v>226</v>
      </c>
      <c r="E51" s="47">
        <v>41104</v>
      </c>
      <c r="F51" s="53">
        <v>46.139240000000001</v>
      </c>
      <c r="G51" s="5">
        <v>7.484012E-3</v>
      </c>
    </row>
    <row r="52" spans="1:7" ht="12.75" x14ac:dyDescent="0.2">
      <c r="A52" s="6">
        <v>46</v>
      </c>
      <c r="B52" s="7" t="s">
        <v>227</v>
      </c>
      <c r="C52" s="11" t="s">
        <v>228</v>
      </c>
      <c r="D52" s="2" t="s">
        <v>158</v>
      </c>
      <c r="E52" s="47">
        <v>26778</v>
      </c>
      <c r="F52" s="53">
        <v>45.080762999999997</v>
      </c>
      <c r="G52" s="5">
        <v>7.3123219999999996E-3</v>
      </c>
    </row>
    <row r="53" spans="1:7" ht="12.75" x14ac:dyDescent="0.2">
      <c r="A53" s="6">
        <v>47</v>
      </c>
      <c r="B53" s="7" t="s">
        <v>229</v>
      </c>
      <c r="C53" s="11" t="s">
        <v>230</v>
      </c>
      <c r="D53" s="2" t="s">
        <v>50</v>
      </c>
      <c r="E53" s="47">
        <v>16842</v>
      </c>
      <c r="F53" s="53">
        <v>40.201853999999997</v>
      </c>
      <c r="G53" s="5">
        <v>6.5209389999999999E-3</v>
      </c>
    </row>
    <row r="54" spans="1:7" ht="25.5" x14ac:dyDescent="0.2">
      <c r="A54" s="6">
        <v>48</v>
      </c>
      <c r="B54" s="7" t="s">
        <v>231</v>
      </c>
      <c r="C54" s="11" t="s">
        <v>232</v>
      </c>
      <c r="D54" s="2" t="s">
        <v>47</v>
      </c>
      <c r="E54" s="47">
        <v>15883</v>
      </c>
      <c r="F54" s="53">
        <v>40.056925999999997</v>
      </c>
      <c r="G54" s="5">
        <v>6.4974309999999997E-3</v>
      </c>
    </row>
    <row r="55" spans="1:7" ht="12.75" x14ac:dyDescent="0.2">
      <c r="A55" s="6">
        <v>49</v>
      </c>
      <c r="B55" s="7" t="s">
        <v>219</v>
      </c>
      <c r="C55" s="11" t="s">
        <v>220</v>
      </c>
      <c r="D55" s="2" t="s">
        <v>72</v>
      </c>
      <c r="E55" s="47">
        <v>21034</v>
      </c>
      <c r="F55" s="53">
        <v>39.691158000000001</v>
      </c>
      <c r="G55" s="5">
        <v>6.4381009999999999E-3</v>
      </c>
    </row>
    <row r="56" spans="1:7" ht="12.75" x14ac:dyDescent="0.2">
      <c r="A56" s="6">
        <v>50</v>
      </c>
      <c r="B56" s="7" t="s">
        <v>233</v>
      </c>
      <c r="C56" s="11" t="s">
        <v>234</v>
      </c>
      <c r="D56" s="2" t="s">
        <v>192</v>
      </c>
      <c r="E56" s="47">
        <v>17620</v>
      </c>
      <c r="F56" s="53">
        <v>31.936250000000001</v>
      </c>
      <c r="G56" s="5">
        <v>5.180217E-3</v>
      </c>
    </row>
    <row r="57" spans="1:7" ht="12.75" x14ac:dyDescent="0.2">
      <c r="A57" s="6">
        <v>51</v>
      </c>
      <c r="B57" s="7" t="s">
        <v>238</v>
      </c>
      <c r="C57" s="11" t="s">
        <v>239</v>
      </c>
      <c r="D57" s="2" t="s">
        <v>72</v>
      </c>
      <c r="E57" s="47">
        <v>52657</v>
      </c>
      <c r="F57" s="53">
        <v>28.197823499999998</v>
      </c>
      <c r="G57" s="5">
        <v>4.5738259999999996E-3</v>
      </c>
    </row>
    <row r="58" spans="1:7" ht="25.5" x14ac:dyDescent="0.2">
      <c r="A58" s="6">
        <v>52</v>
      </c>
      <c r="B58" s="7" t="s">
        <v>97</v>
      </c>
      <c r="C58" s="11" t="s">
        <v>98</v>
      </c>
      <c r="D58" s="2" t="s">
        <v>99</v>
      </c>
      <c r="E58" s="47">
        <v>13884</v>
      </c>
      <c r="F58" s="53">
        <v>27.358422000000001</v>
      </c>
      <c r="G58" s="5">
        <v>4.4376709999999998E-3</v>
      </c>
    </row>
    <row r="59" spans="1:7" ht="12.75" x14ac:dyDescent="0.2">
      <c r="A59" s="6">
        <v>53</v>
      </c>
      <c r="B59" s="7" t="s">
        <v>100</v>
      </c>
      <c r="C59" s="11" t="s">
        <v>101</v>
      </c>
      <c r="D59" s="2" t="s">
        <v>50</v>
      </c>
      <c r="E59" s="47">
        <v>21300</v>
      </c>
      <c r="F59" s="53">
        <v>20.330850000000002</v>
      </c>
      <c r="G59" s="5">
        <v>3.2977639999999999E-3</v>
      </c>
    </row>
    <row r="60" spans="1:7" ht="12.75" x14ac:dyDescent="0.2">
      <c r="A60" s="6">
        <v>54</v>
      </c>
      <c r="B60" s="7" t="s">
        <v>240</v>
      </c>
      <c r="C60" s="11" t="s">
        <v>241</v>
      </c>
      <c r="D60" s="2" t="s">
        <v>242</v>
      </c>
      <c r="E60" s="47">
        <v>4251</v>
      </c>
      <c r="F60" s="53">
        <v>17.2909425</v>
      </c>
      <c r="G60" s="5">
        <v>2.8046759999999999E-3</v>
      </c>
    </row>
    <row r="61" spans="1:7" ht="25.5" x14ac:dyDescent="0.2">
      <c r="A61" s="6">
        <v>55</v>
      </c>
      <c r="B61" s="7" t="s">
        <v>243</v>
      </c>
      <c r="C61" s="11" t="s">
        <v>244</v>
      </c>
      <c r="D61" s="2" t="s">
        <v>163</v>
      </c>
      <c r="E61" s="47">
        <v>18003</v>
      </c>
      <c r="F61" s="53">
        <v>10.9728285</v>
      </c>
      <c r="G61" s="5">
        <v>1.779847E-3</v>
      </c>
    </row>
    <row r="62" spans="1:7" ht="25.5" x14ac:dyDescent="0.2">
      <c r="A62" s="6">
        <v>56</v>
      </c>
      <c r="B62" s="7" t="s">
        <v>245</v>
      </c>
      <c r="C62" s="11" t="s">
        <v>246</v>
      </c>
      <c r="D62" s="2" t="s">
        <v>30</v>
      </c>
      <c r="E62" s="47">
        <v>80235</v>
      </c>
      <c r="F62" s="53">
        <v>5.6164500000000004</v>
      </c>
      <c r="G62" s="5">
        <v>9.1101599999999995E-4</v>
      </c>
    </row>
    <row r="63" spans="1:7" ht="51" x14ac:dyDescent="0.2">
      <c r="A63" s="6">
        <v>57</v>
      </c>
      <c r="B63" s="7" t="s">
        <v>247</v>
      </c>
      <c r="C63" s="11" t="s">
        <v>248</v>
      </c>
      <c r="D63" s="2" t="s">
        <v>208</v>
      </c>
      <c r="E63" s="47">
        <v>299</v>
      </c>
      <c r="F63" s="53">
        <v>0.64688650000000003</v>
      </c>
      <c r="G63" s="5">
        <v>1.04928E-4</v>
      </c>
    </row>
    <row r="64" spans="1:7" ht="12.75" x14ac:dyDescent="0.2">
      <c r="A64" s="1"/>
      <c r="B64" s="2"/>
      <c r="C64" s="8" t="s">
        <v>108</v>
      </c>
      <c r="D64" s="12"/>
      <c r="E64" s="49"/>
      <c r="F64" s="55">
        <v>6060.4921664999993</v>
      </c>
      <c r="G64" s="13">
        <v>0.98304165600000015</v>
      </c>
    </row>
    <row r="65" spans="1:7" ht="12.75" x14ac:dyDescent="0.2">
      <c r="A65" s="6"/>
      <c r="B65" s="7"/>
      <c r="C65" s="14"/>
      <c r="D65" s="15"/>
      <c r="E65" s="47"/>
      <c r="F65" s="53"/>
      <c r="G65" s="5"/>
    </row>
    <row r="66" spans="1:7" ht="12.75" x14ac:dyDescent="0.2">
      <c r="A66" s="1"/>
      <c r="B66" s="2"/>
      <c r="C66" s="8" t="s">
        <v>109</v>
      </c>
      <c r="D66" s="9"/>
      <c r="E66" s="48"/>
      <c r="F66" s="54"/>
      <c r="G66" s="10"/>
    </row>
    <row r="67" spans="1:7" ht="12.75" x14ac:dyDescent="0.2">
      <c r="A67" s="1"/>
      <c r="B67" s="2"/>
      <c r="C67" s="8" t="s">
        <v>108</v>
      </c>
      <c r="D67" s="12"/>
      <c r="E67" s="49"/>
      <c r="F67" s="55">
        <v>0</v>
      </c>
      <c r="G67" s="13">
        <v>0</v>
      </c>
    </row>
    <row r="68" spans="1:7" ht="12.75" x14ac:dyDescent="0.2">
      <c r="A68" s="6"/>
      <c r="B68" s="7"/>
      <c r="C68" s="14"/>
      <c r="D68" s="15"/>
      <c r="E68" s="47"/>
      <c r="F68" s="53"/>
      <c r="G68" s="5"/>
    </row>
    <row r="69" spans="1:7" ht="12.75" x14ac:dyDescent="0.2">
      <c r="A69" s="16"/>
      <c r="B69" s="17"/>
      <c r="C69" s="8" t="s">
        <v>110</v>
      </c>
      <c r="D69" s="9"/>
      <c r="E69" s="48"/>
      <c r="F69" s="54"/>
      <c r="G69" s="10"/>
    </row>
    <row r="70" spans="1:7" ht="12.75" x14ac:dyDescent="0.2">
      <c r="A70" s="18"/>
      <c r="B70" s="19"/>
      <c r="C70" s="8" t="s">
        <v>108</v>
      </c>
      <c r="D70" s="20"/>
      <c r="E70" s="50"/>
      <c r="F70" s="56">
        <v>0</v>
      </c>
      <c r="G70" s="21">
        <v>0</v>
      </c>
    </row>
    <row r="71" spans="1:7" ht="12.75" x14ac:dyDescent="0.2">
      <c r="A71" s="18"/>
      <c r="B71" s="19"/>
      <c r="C71" s="14"/>
      <c r="D71" s="22"/>
      <c r="E71" s="51"/>
      <c r="F71" s="57"/>
      <c r="G71" s="23"/>
    </row>
    <row r="72" spans="1:7" ht="12.75" x14ac:dyDescent="0.2">
      <c r="A72" s="1"/>
      <c r="B72" s="2"/>
      <c r="C72" s="8" t="s">
        <v>113</v>
      </c>
      <c r="D72" s="9"/>
      <c r="E72" s="48"/>
      <c r="F72" s="54"/>
      <c r="G72" s="10"/>
    </row>
    <row r="73" spans="1:7" ht="12.75" x14ac:dyDescent="0.2">
      <c r="A73" s="1"/>
      <c r="B73" s="2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1"/>
      <c r="B74" s="2"/>
      <c r="C74" s="14"/>
      <c r="D74" s="4"/>
      <c r="E74" s="47"/>
      <c r="F74" s="53"/>
      <c r="G74" s="5"/>
    </row>
    <row r="75" spans="1:7" ht="12.75" x14ac:dyDescent="0.2">
      <c r="A75" s="1"/>
      <c r="B75" s="2"/>
      <c r="C75" s="8" t="s">
        <v>114</v>
      </c>
      <c r="D75" s="9"/>
      <c r="E75" s="48"/>
      <c r="F75" s="54"/>
      <c r="G75" s="10"/>
    </row>
    <row r="76" spans="1:7" ht="12.75" x14ac:dyDescent="0.2">
      <c r="A76" s="1"/>
      <c r="B76" s="2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1"/>
      <c r="B77" s="2"/>
      <c r="C77" s="14"/>
      <c r="D77" s="4"/>
      <c r="E77" s="47"/>
      <c r="F77" s="53"/>
      <c r="G77" s="5"/>
    </row>
    <row r="78" spans="1:7" ht="12.75" x14ac:dyDescent="0.2">
      <c r="A78" s="1"/>
      <c r="B78" s="2"/>
      <c r="C78" s="8" t="s">
        <v>115</v>
      </c>
      <c r="D78" s="9"/>
      <c r="E78" s="48"/>
      <c r="F78" s="54"/>
      <c r="G78" s="10"/>
    </row>
    <row r="79" spans="1:7" ht="12.75" x14ac:dyDescent="0.2">
      <c r="A79" s="1"/>
      <c r="B79" s="2"/>
      <c r="C79" s="8" t="s">
        <v>108</v>
      </c>
      <c r="D79" s="12"/>
      <c r="E79" s="49"/>
      <c r="F79" s="55">
        <v>0</v>
      </c>
      <c r="G79" s="13">
        <v>0</v>
      </c>
    </row>
    <row r="80" spans="1:7" ht="12.75" x14ac:dyDescent="0.2">
      <c r="A80" s="1"/>
      <c r="B80" s="2"/>
      <c r="C80" s="14"/>
      <c r="D80" s="4"/>
      <c r="E80" s="47"/>
      <c r="F80" s="53"/>
      <c r="G80" s="5"/>
    </row>
    <row r="81" spans="1:7" ht="25.5" x14ac:dyDescent="0.2">
      <c r="A81" s="6"/>
      <c r="B81" s="7"/>
      <c r="C81" s="24" t="s">
        <v>116</v>
      </c>
      <c r="D81" s="25"/>
      <c r="E81" s="49"/>
      <c r="F81" s="55">
        <v>6060.4921664999993</v>
      </c>
      <c r="G81" s="13">
        <v>0.98304165600000015</v>
      </c>
    </row>
    <row r="82" spans="1:7" ht="12.75" x14ac:dyDescent="0.2">
      <c r="A82" s="1"/>
      <c r="B82" s="2"/>
      <c r="C82" s="11"/>
      <c r="D82" s="4"/>
      <c r="E82" s="47"/>
      <c r="F82" s="53"/>
      <c r="G82" s="5"/>
    </row>
    <row r="83" spans="1:7" ht="12.75" x14ac:dyDescent="0.2">
      <c r="A83" s="1"/>
      <c r="B83" s="2"/>
      <c r="C83" s="3" t="s">
        <v>117</v>
      </c>
      <c r="D83" s="4"/>
      <c r="E83" s="47"/>
      <c r="F83" s="53"/>
      <c r="G83" s="5"/>
    </row>
    <row r="84" spans="1:7" ht="25.5" x14ac:dyDescent="0.2">
      <c r="A84" s="1"/>
      <c r="B84" s="2"/>
      <c r="C84" s="8" t="s">
        <v>10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12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4"/>
      <c r="E86" s="47"/>
      <c r="F86" s="53"/>
      <c r="G86" s="5"/>
    </row>
    <row r="87" spans="1:7" ht="12.75" x14ac:dyDescent="0.2">
      <c r="A87" s="1"/>
      <c r="B87" s="26"/>
      <c r="C87" s="8" t="s">
        <v>118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12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4"/>
      <c r="E89" s="47"/>
      <c r="F89" s="59"/>
      <c r="G89" s="28"/>
    </row>
    <row r="90" spans="1:7" ht="12.75" x14ac:dyDescent="0.2">
      <c r="A90" s="1"/>
      <c r="B90" s="2"/>
      <c r="C90" s="8" t="s">
        <v>119</v>
      </c>
      <c r="D90" s="9"/>
      <c r="E90" s="48"/>
      <c r="F90" s="54"/>
      <c r="G90" s="10"/>
    </row>
    <row r="91" spans="1:7" ht="12.75" x14ac:dyDescent="0.2">
      <c r="A91" s="6"/>
      <c r="B91" s="7"/>
      <c r="C91" s="8" t="s">
        <v>108</v>
      </c>
      <c r="D91" s="12"/>
      <c r="E91" s="49"/>
      <c r="F91" s="55">
        <v>0</v>
      </c>
      <c r="G91" s="13">
        <v>0</v>
      </c>
    </row>
    <row r="92" spans="1:7" ht="12.75" x14ac:dyDescent="0.2">
      <c r="A92" s="1"/>
      <c r="B92" s="2"/>
      <c r="C92" s="14"/>
      <c r="D92" s="4"/>
      <c r="E92" s="47"/>
      <c r="F92" s="53"/>
      <c r="G92" s="5"/>
    </row>
    <row r="93" spans="1:7" ht="25.5" x14ac:dyDescent="0.2">
      <c r="A93" s="1"/>
      <c r="B93" s="26"/>
      <c r="C93" s="8" t="s">
        <v>120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7" ht="12.75" x14ac:dyDescent="0.2">
      <c r="A95" s="6"/>
      <c r="B95" s="7"/>
      <c r="C95" s="14"/>
      <c r="D95" s="4"/>
      <c r="E95" s="47"/>
      <c r="F95" s="53"/>
      <c r="G95" s="5"/>
    </row>
    <row r="96" spans="1:7" ht="12.75" x14ac:dyDescent="0.2">
      <c r="A96" s="6"/>
      <c r="B96" s="7"/>
      <c r="C96" s="29" t="s">
        <v>121</v>
      </c>
      <c r="D96" s="25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1"/>
      <c r="D97" s="4"/>
      <c r="E97" s="47"/>
      <c r="F97" s="53"/>
      <c r="G97" s="5"/>
    </row>
    <row r="98" spans="1:7" ht="12.75" x14ac:dyDescent="0.2">
      <c r="A98" s="1"/>
      <c r="B98" s="2"/>
      <c r="C98" s="3" t="s">
        <v>122</v>
      </c>
      <c r="D98" s="4"/>
      <c r="E98" s="47"/>
      <c r="F98" s="53"/>
      <c r="G98" s="5"/>
    </row>
    <row r="99" spans="1:7" ht="12.75" x14ac:dyDescent="0.2">
      <c r="A99" s="6"/>
      <c r="B99" s="7"/>
      <c r="C99" s="8" t="s">
        <v>123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25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4"/>
      <c r="D101" s="7"/>
      <c r="E101" s="47"/>
      <c r="F101" s="53"/>
      <c r="G101" s="5"/>
    </row>
    <row r="102" spans="1:7" ht="12.75" x14ac:dyDescent="0.2">
      <c r="A102" s="6"/>
      <c r="B102" s="7"/>
      <c r="C102" s="8" t="s">
        <v>124</v>
      </c>
      <c r="D102" s="9"/>
      <c r="E102" s="48"/>
      <c r="F102" s="54"/>
      <c r="G102" s="10"/>
    </row>
    <row r="103" spans="1:7" ht="12.75" x14ac:dyDescent="0.2">
      <c r="A103" s="6"/>
      <c r="B103" s="7"/>
      <c r="C103" s="8" t="s">
        <v>108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4"/>
      <c r="D104" s="7"/>
      <c r="E104" s="47"/>
      <c r="F104" s="53"/>
      <c r="G104" s="5"/>
    </row>
    <row r="105" spans="1:7" ht="12.75" x14ac:dyDescent="0.2">
      <c r="A105" s="6"/>
      <c r="B105" s="7"/>
      <c r="C105" s="8" t="s">
        <v>125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12.75" x14ac:dyDescent="0.2">
      <c r="A108" s="6"/>
      <c r="B108" s="7"/>
      <c r="C108" s="8" t="s">
        <v>126</v>
      </c>
      <c r="D108" s="9"/>
      <c r="E108" s="48"/>
      <c r="F108" s="54"/>
      <c r="G108" s="10"/>
    </row>
    <row r="109" spans="1:7" ht="12.75" x14ac:dyDescent="0.2">
      <c r="A109" s="6">
        <v>1</v>
      </c>
      <c r="B109" s="7"/>
      <c r="C109" s="11" t="s">
        <v>812</v>
      </c>
      <c r="D109" s="15"/>
      <c r="E109" s="47"/>
      <c r="F109" s="53">
        <v>100.98671950000001</v>
      </c>
      <c r="G109" s="5">
        <v>1.6380543000000001E-2</v>
      </c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100.98671950000001</v>
      </c>
      <c r="G110" s="13">
        <v>1.6380543000000001E-2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25.5" x14ac:dyDescent="0.2">
      <c r="A112" s="6"/>
      <c r="B112" s="7"/>
      <c r="C112" s="24" t="s">
        <v>127</v>
      </c>
      <c r="D112" s="25"/>
      <c r="E112" s="49"/>
      <c r="F112" s="55">
        <v>100.98671950000001</v>
      </c>
      <c r="G112" s="13">
        <v>1.6380543000000001E-2</v>
      </c>
    </row>
    <row r="113" spans="1:7" ht="12.75" x14ac:dyDescent="0.2">
      <c r="A113" s="6"/>
      <c r="B113" s="7"/>
      <c r="C113" s="30"/>
      <c r="D113" s="7"/>
      <c r="E113" s="47"/>
      <c r="F113" s="53"/>
      <c r="G113" s="5"/>
    </row>
    <row r="114" spans="1:7" ht="12.75" x14ac:dyDescent="0.2">
      <c r="A114" s="1"/>
      <c r="B114" s="2"/>
      <c r="C114" s="3" t="s">
        <v>128</v>
      </c>
      <c r="D114" s="4"/>
      <c r="E114" s="47"/>
      <c r="F114" s="53"/>
      <c r="G114" s="5"/>
    </row>
    <row r="115" spans="1:7" ht="25.5" x14ac:dyDescent="0.2">
      <c r="A115" s="6"/>
      <c r="B115" s="7"/>
      <c r="C115" s="8" t="s">
        <v>129</v>
      </c>
      <c r="D115" s="9"/>
      <c r="E115" s="48"/>
      <c r="F115" s="54"/>
      <c r="G115" s="10"/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0</v>
      </c>
      <c r="G116" s="13">
        <v>0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12.75" x14ac:dyDescent="0.2">
      <c r="A118" s="1"/>
      <c r="B118" s="2"/>
      <c r="C118" s="3" t="s">
        <v>131</v>
      </c>
      <c r="D118" s="4"/>
      <c r="E118" s="47"/>
      <c r="F118" s="53"/>
      <c r="G118" s="5"/>
    </row>
    <row r="119" spans="1:7" ht="25.5" x14ac:dyDescent="0.2">
      <c r="A119" s="6"/>
      <c r="B119" s="7"/>
      <c r="C119" s="8" t="s">
        <v>132</v>
      </c>
      <c r="D119" s="9"/>
      <c r="E119" s="48"/>
      <c r="F119" s="54"/>
      <c r="G119" s="10"/>
    </row>
    <row r="120" spans="1:7" ht="12.75" x14ac:dyDescent="0.2">
      <c r="A120" s="6"/>
      <c r="B120" s="7"/>
      <c r="C120" s="8" t="s">
        <v>108</v>
      </c>
      <c r="D120" s="25"/>
      <c r="E120" s="49"/>
      <c r="F120" s="55">
        <v>0</v>
      </c>
      <c r="G120" s="13">
        <v>0</v>
      </c>
    </row>
    <row r="121" spans="1:7" ht="12.75" x14ac:dyDescent="0.2">
      <c r="A121" s="6"/>
      <c r="B121" s="7"/>
      <c r="C121" s="14"/>
      <c r="D121" s="7"/>
      <c r="E121" s="47"/>
      <c r="F121" s="53"/>
      <c r="G121" s="5"/>
    </row>
    <row r="122" spans="1:7" ht="25.5" x14ac:dyDescent="0.2">
      <c r="A122" s="6"/>
      <c r="B122" s="7"/>
      <c r="C122" s="8" t="s">
        <v>133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9"/>
      <c r="G124" s="28"/>
    </row>
    <row r="125" spans="1:7" ht="25.5" x14ac:dyDescent="0.2">
      <c r="A125" s="6"/>
      <c r="B125" s="7"/>
      <c r="C125" s="30" t="s">
        <v>134</v>
      </c>
      <c r="D125" s="7"/>
      <c r="E125" s="47"/>
      <c r="F125" s="59">
        <v>3.5621713000000002</v>
      </c>
      <c r="G125" s="28">
        <v>5.7780199999999998E-4</v>
      </c>
    </row>
    <row r="126" spans="1:7" ht="12.75" x14ac:dyDescent="0.2">
      <c r="A126" s="6"/>
      <c r="B126" s="7"/>
      <c r="C126" s="31" t="s">
        <v>135</v>
      </c>
      <c r="D126" s="12"/>
      <c r="E126" s="49"/>
      <c r="F126" s="55">
        <v>6165.041057299999</v>
      </c>
      <c r="G126" s="13">
        <v>1.0000000010000001</v>
      </c>
    </row>
    <row r="128" spans="1:7" ht="12.75" x14ac:dyDescent="0.2">
      <c r="B128" s="179"/>
      <c r="C128" s="179"/>
      <c r="D128" s="179"/>
      <c r="E128" s="179"/>
      <c r="F128" s="179"/>
    </row>
    <row r="129" spans="2:6" ht="12.75" x14ac:dyDescent="0.2">
      <c r="B129" s="179"/>
      <c r="C129" s="179"/>
      <c r="D129" s="179"/>
      <c r="E129" s="179"/>
      <c r="F129" s="179"/>
    </row>
    <row r="131" spans="2:6" ht="12.75" x14ac:dyDescent="0.2">
      <c r="B131" s="37" t="s">
        <v>137</v>
      </c>
      <c r="C131" s="38"/>
      <c r="D131" s="39"/>
    </row>
    <row r="132" spans="2:6" ht="12.75" x14ac:dyDescent="0.2">
      <c r="B132" s="40" t="s">
        <v>808</v>
      </c>
      <c r="C132" s="41"/>
      <c r="D132" s="65" t="s">
        <v>138</v>
      </c>
    </row>
    <row r="133" spans="2:6" ht="12.75" x14ac:dyDescent="0.2">
      <c r="B133" s="40" t="s">
        <v>139</v>
      </c>
      <c r="C133" s="41"/>
      <c r="D133" s="65" t="s">
        <v>138</v>
      </c>
    </row>
    <row r="134" spans="2:6" ht="12.75" x14ac:dyDescent="0.2">
      <c r="B134" s="42" t="s">
        <v>140</v>
      </c>
      <c r="C134" s="41"/>
      <c r="D134" s="43"/>
    </row>
    <row r="135" spans="2:6" ht="25.5" customHeight="1" x14ac:dyDescent="0.2">
      <c r="B135" s="43"/>
      <c r="C135" s="33" t="s">
        <v>141</v>
      </c>
      <c r="D135" s="34" t="s">
        <v>142</v>
      </c>
    </row>
    <row r="136" spans="2:6" ht="12.75" customHeight="1" x14ac:dyDescent="0.2">
      <c r="B136" s="60" t="s">
        <v>143</v>
      </c>
      <c r="C136" s="61" t="s">
        <v>144</v>
      </c>
      <c r="D136" s="61" t="s">
        <v>145</v>
      </c>
    </row>
    <row r="137" spans="2:6" ht="12.75" x14ac:dyDescent="0.2">
      <c r="B137" s="43" t="s">
        <v>146</v>
      </c>
      <c r="C137" s="44">
        <v>12.8278</v>
      </c>
      <c r="D137" s="44">
        <v>13.157400000000001</v>
      </c>
    </row>
    <row r="138" spans="2:6" ht="12.75" x14ac:dyDescent="0.2">
      <c r="B138" s="43" t="s">
        <v>147</v>
      </c>
      <c r="C138" s="44">
        <v>10.1951</v>
      </c>
      <c r="D138" s="44">
        <v>10.457100000000001</v>
      </c>
    </row>
    <row r="139" spans="2:6" ht="12.75" x14ac:dyDescent="0.2">
      <c r="B139" s="43" t="s">
        <v>148</v>
      </c>
      <c r="C139" s="44">
        <v>12.4137</v>
      </c>
      <c r="D139" s="44">
        <v>12.73</v>
      </c>
    </row>
    <row r="140" spans="2:6" ht="12.75" x14ac:dyDescent="0.2">
      <c r="B140" s="43" t="s">
        <v>149</v>
      </c>
      <c r="C140" s="44">
        <v>9.8389000000000006</v>
      </c>
      <c r="D140" s="44">
        <v>10.089600000000001</v>
      </c>
    </row>
    <row r="142" spans="2:6" ht="12.75" x14ac:dyDescent="0.2">
      <c r="B142" s="62" t="s">
        <v>150</v>
      </c>
      <c r="C142" s="45"/>
      <c r="D142" s="63" t="s">
        <v>138</v>
      </c>
    </row>
    <row r="143" spans="2:6" ht="24.75" customHeight="1" x14ac:dyDescent="0.2">
      <c r="B143" s="64"/>
      <c r="C143" s="64"/>
    </row>
    <row r="144" spans="2:6" ht="15" x14ac:dyDescent="0.25">
      <c r="B144" s="66"/>
      <c r="C144" s="68"/>
      <c r="D144"/>
    </row>
    <row r="146" spans="2:4" ht="12.75" x14ac:dyDescent="0.2">
      <c r="B146" s="42" t="s">
        <v>151</v>
      </c>
      <c r="C146" s="41"/>
      <c r="D146" s="67" t="s">
        <v>138</v>
      </c>
    </row>
    <row r="147" spans="2:4" ht="12.75" x14ac:dyDescent="0.2">
      <c r="B147" s="42" t="s">
        <v>152</v>
      </c>
      <c r="C147" s="41"/>
      <c r="D147" s="67" t="s">
        <v>138</v>
      </c>
    </row>
    <row r="148" spans="2:4" ht="12.75" x14ac:dyDescent="0.2">
      <c r="B148" s="42" t="s">
        <v>153</v>
      </c>
      <c r="C148" s="41"/>
      <c r="D148" s="46">
        <v>0.11823631420411167</v>
      </c>
    </row>
    <row r="149" spans="2:4" ht="12.75" x14ac:dyDescent="0.2">
      <c r="B149" s="42" t="s">
        <v>154</v>
      </c>
      <c r="C149" s="41"/>
      <c r="D149" s="46" t="s">
        <v>138</v>
      </c>
    </row>
  </sheetData>
  <mergeCells count="5">
    <mergeCell ref="A1:G1"/>
    <mergeCell ref="A2:G2"/>
    <mergeCell ref="A3:G3"/>
    <mergeCell ref="B128:F128"/>
    <mergeCell ref="B129:F12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1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6" style="32" bestFit="1" customWidth="1"/>
    <col min="5" max="5" width="13.7109375" style="32" customWidth="1"/>
    <col min="6" max="6" width="14.5703125" style="32" bestFit="1" customWidth="1"/>
    <col min="7" max="10" width="13.7109375" style="32" customWidth="1"/>
    <col min="11" max="16384" width="9.140625" style="32"/>
  </cols>
  <sheetData>
    <row r="1" spans="1:8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8" ht="15" x14ac:dyDescent="0.2">
      <c r="A2" s="176" t="s">
        <v>298</v>
      </c>
      <c r="B2" s="177"/>
      <c r="C2" s="177"/>
      <c r="D2" s="177"/>
      <c r="E2" s="177"/>
      <c r="F2" s="177"/>
      <c r="G2" s="178"/>
    </row>
    <row r="3" spans="1:8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8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8" ht="12.75" x14ac:dyDescent="0.2">
      <c r="A5" s="1"/>
      <c r="B5" s="2"/>
      <c r="C5" s="3" t="s">
        <v>9</v>
      </c>
      <c r="D5" s="4"/>
      <c r="E5" s="47"/>
      <c r="F5" s="53"/>
      <c r="G5" s="5"/>
    </row>
    <row r="6" spans="1:8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8" ht="12.75" x14ac:dyDescent="0.2">
      <c r="A7" s="6">
        <v>1</v>
      </c>
      <c r="B7" s="7" t="s">
        <v>17</v>
      </c>
      <c r="C7" s="11" t="s">
        <v>18</v>
      </c>
      <c r="D7" s="2" t="s">
        <v>19</v>
      </c>
      <c r="E7" s="47">
        <v>3329880</v>
      </c>
      <c r="F7" s="53">
        <v>26132.898239999999</v>
      </c>
      <c r="G7" s="5">
        <v>4.4423778999999997E-2</v>
      </c>
      <c r="H7" s="130"/>
    </row>
    <row r="8" spans="1:8" ht="12.75" x14ac:dyDescent="0.2">
      <c r="A8" s="6">
        <v>2</v>
      </c>
      <c r="B8" s="7" t="s">
        <v>299</v>
      </c>
      <c r="C8" s="11" t="s">
        <v>300</v>
      </c>
      <c r="D8" s="2" t="s">
        <v>223</v>
      </c>
      <c r="E8" s="47">
        <v>4637211</v>
      </c>
      <c r="F8" s="53">
        <v>25117.4533815</v>
      </c>
      <c r="G8" s="5">
        <v>4.2697605999999999E-2</v>
      </c>
      <c r="H8" s="130"/>
    </row>
    <row r="9" spans="1:8" ht="25.5" x14ac:dyDescent="0.2">
      <c r="A9" s="6">
        <v>3</v>
      </c>
      <c r="B9" s="7" t="s">
        <v>25</v>
      </c>
      <c r="C9" s="11" t="s">
        <v>26</v>
      </c>
      <c r="D9" s="2" t="s">
        <v>27</v>
      </c>
      <c r="E9" s="47">
        <v>68623</v>
      </c>
      <c r="F9" s="53">
        <v>19271.156909500001</v>
      </c>
      <c r="G9" s="5">
        <v>3.2759383000000003E-2</v>
      </c>
      <c r="H9" s="130"/>
    </row>
    <row r="10" spans="1:8" ht="25.5" x14ac:dyDescent="0.2">
      <c r="A10" s="6">
        <v>4</v>
      </c>
      <c r="B10" s="7" t="s">
        <v>301</v>
      </c>
      <c r="C10" s="11" t="s">
        <v>302</v>
      </c>
      <c r="D10" s="2" t="s">
        <v>183</v>
      </c>
      <c r="E10" s="47">
        <v>1185742</v>
      </c>
      <c r="F10" s="53">
        <v>17605.897216000001</v>
      </c>
      <c r="G10" s="5">
        <v>2.9928578000000001E-2</v>
      </c>
      <c r="H10" s="130"/>
    </row>
    <row r="11" spans="1:8" ht="25.5" x14ac:dyDescent="0.2">
      <c r="A11" s="6">
        <v>5</v>
      </c>
      <c r="B11" s="7" t="s">
        <v>303</v>
      </c>
      <c r="C11" s="11" t="s">
        <v>304</v>
      </c>
      <c r="D11" s="2" t="s">
        <v>47</v>
      </c>
      <c r="E11" s="47">
        <v>797725</v>
      </c>
      <c r="F11" s="53">
        <v>17505.676262500001</v>
      </c>
      <c r="G11" s="5">
        <v>2.9758211E-2</v>
      </c>
      <c r="H11" s="130"/>
    </row>
    <row r="12" spans="1:8" ht="12.75" x14ac:dyDescent="0.2">
      <c r="A12" s="6">
        <v>6</v>
      </c>
      <c r="B12" s="7" t="s">
        <v>305</v>
      </c>
      <c r="C12" s="11" t="s">
        <v>306</v>
      </c>
      <c r="D12" s="2" t="s">
        <v>307</v>
      </c>
      <c r="E12" s="47">
        <v>4150000</v>
      </c>
      <c r="F12" s="53">
        <v>16249.325000000001</v>
      </c>
      <c r="G12" s="5">
        <v>2.7622516999999999E-2</v>
      </c>
      <c r="H12" s="130"/>
    </row>
    <row r="13" spans="1:8" ht="12.75" x14ac:dyDescent="0.2">
      <c r="A13" s="6">
        <v>7</v>
      </c>
      <c r="B13" s="7" t="s">
        <v>308</v>
      </c>
      <c r="C13" s="11" t="s">
        <v>309</v>
      </c>
      <c r="D13" s="2" t="s">
        <v>168</v>
      </c>
      <c r="E13" s="47">
        <v>688350</v>
      </c>
      <c r="F13" s="53">
        <v>14424.374250000001</v>
      </c>
      <c r="G13" s="5">
        <v>2.452025E-2</v>
      </c>
      <c r="H13" s="130"/>
    </row>
    <row r="14" spans="1:8" ht="25.5" x14ac:dyDescent="0.2">
      <c r="A14" s="6">
        <v>8</v>
      </c>
      <c r="B14" s="7" t="s">
        <v>310</v>
      </c>
      <c r="C14" s="11" t="s">
        <v>311</v>
      </c>
      <c r="D14" s="2" t="s">
        <v>223</v>
      </c>
      <c r="E14" s="47">
        <v>6765688</v>
      </c>
      <c r="F14" s="53">
        <v>14356.789935999999</v>
      </c>
      <c r="G14" s="5">
        <v>2.4405362999999999E-2</v>
      </c>
      <c r="H14" s="130"/>
    </row>
    <row r="15" spans="1:8" ht="25.5" x14ac:dyDescent="0.2">
      <c r="A15" s="6">
        <v>9</v>
      </c>
      <c r="B15" s="7" t="s">
        <v>312</v>
      </c>
      <c r="C15" s="11" t="s">
        <v>313</v>
      </c>
      <c r="D15" s="2" t="s">
        <v>22</v>
      </c>
      <c r="E15" s="47">
        <v>329189</v>
      </c>
      <c r="F15" s="53">
        <v>14150.6829485</v>
      </c>
      <c r="G15" s="5">
        <v>2.4054998000000001E-2</v>
      </c>
      <c r="H15" s="130"/>
    </row>
    <row r="16" spans="1:8" ht="25.5" x14ac:dyDescent="0.2">
      <c r="A16" s="6">
        <v>10</v>
      </c>
      <c r="B16" s="7" t="s">
        <v>314</v>
      </c>
      <c r="C16" s="11" t="s">
        <v>315</v>
      </c>
      <c r="D16" s="2" t="s">
        <v>30</v>
      </c>
      <c r="E16" s="47">
        <v>4344398</v>
      </c>
      <c r="F16" s="53">
        <v>13771.74166</v>
      </c>
      <c r="G16" s="5">
        <v>2.3410829000000001E-2</v>
      </c>
      <c r="H16" s="130"/>
    </row>
    <row r="17" spans="1:8" ht="12.75" x14ac:dyDescent="0.2">
      <c r="A17" s="6">
        <v>11</v>
      </c>
      <c r="B17" s="7" t="s">
        <v>316</v>
      </c>
      <c r="C17" s="11" t="s">
        <v>317</v>
      </c>
      <c r="D17" s="2" t="s">
        <v>16</v>
      </c>
      <c r="E17" s="47">
        <v>16376618</v>
      </c>
      <c r="F17" s="53">
        <v>13723.605884000001</v>
      </c>
      <c r="G17" s="5">
        <v>2.3329002000000001E-2</v>
      </c>
      <c r="H17" s="130"/>
    </row>
    <row r="18" spans="1:8" ht="25.5" x14ac:dyDescent="0.2">
      <c r="A18" s="6">
        <v>12</v>
      </c>
      <c r="B18" s="7" t="s">
        <v>318</v>
      </c>
      <c r="C18" s="11" t="s">
        <v>319</v>
      </c>
      <c r="D18" s="2" t="s">
        <v>30</v>
      </c>
      <c r="E18" s="47">
        <v>2203148</v>
      </c>
      <c r="F18" s="53">
        <v>13662.822322</v>
      </c>
      <c r="G18" s="5">
        <v>2.3225675000000001E-2</v>
      </c>
      <c r="H18" s="130"/>
    </row>
    <row r="19" spans="1:8" ht="25.5" x14ac:dyDescent="0.2">
      <c r="A19" s="6">
        <v>13</v>
      </c>
      <c r="B19" s="7" t="s">
        <v>20</v>
      </c>
      <c r="C19" s="11" t="s">
        <v>21</v>
      </c>
      <c r="D19" s="2" t="s">
        <v>22</v>
      </c>
      <c r="E19" s="47">
        <v>1489128</v>
      </c>
      <c r="F19" s="53">
        <v>13268.13048</v>
      </c>
      <c r="G19" s="5">
        <v>2.2554731000000001E-2</v>
      </c>
      <c r="H19" s="130"/>
    </row>
    <row r="20" spans="1:8" ht="12.75" x14ac:dyDescent="0.2">
      <c r="A20" s="6">
        <v>14</v>
      </c>
      <c r="B20" s="7" t="s">
        <v>320</v>
      </c>
      <c r="C20" s="11" t="s">
        <v>321</v>
      </c>
      <c r="D20" s="2" t="s">
        <v>16</v>
      </c>
      <c r="E20" s="47">
        <v>5991656</v>
      </c>
      <c r="F20" s="53">
        <v>12696.319063999999</v>
      </c>
      <c r="G20" s="5">
        <v>2.1582699E-2</v>
      </c>
      <c r="H20" s="130"/>
    </row>
    <row r="21" spans="1:8" ht="25.5" x14ac:dyDescent="0.2">
      <c r="A21" s="6">
        <v>15</v>
      </c>
      <c r="B21" s="7" t="s">
        <v>28</v>
      </c>
      <c r="C21" s="11" t="s">
        <v>29</v>
      </c>
      <c r="D21" s="2" t="s">
        <v>30</v>
      </c>
      <c r="E21" s="47">
        <v>2250000</v>
      </c>
      <c r="F21" s="53">
        <v>12496.5</v>
      </c>
      <c r="G21" s="5">
        <v>2.1243023E-2</v>
      </c>
      <c r="H21" s="130"/>
    </row>
    <row r="22" spans="1:8" ht="25.5" x14ac:dyDescent="0.2">
      <c r="A22" s="6">
        <v>16</v>
      </c>
      <c r="B22" s="7" t="s">
        <v>322</v>
      </c>
      <c r="C22" s="11" t="s">
        <v>323</v>
      </c>
      <c r="D22" s="2" t="s">
        <v>72</v>
      </c>
      <c r="E22" s="47">
        <v>4060000</v>
      </c>
      <c r="F22" s="53">
        <v>12383</v>
      </c>
      <c r="G22" s="5">
        <v>2.1050082000000001E-2</v>
      </c>
      <c r="H22" s="130"/>
    </row>
    <row r="23" spans="1:8" ht="25.5" x14ac:dyDescent="0.2">
      <c r="A23" s="6">
        <v>17</v>
      </c>
      <c r="B23" s="7" t="s">
        <v>164</v>
      </c>
      <c r="C23" s="11" t="s">
        <v>165</v>
      </c>
      <c r="D23" s="2" t="s">
        <v>47</v>
      </c>
      <c r="E23" s="47">
        <v>4759747</v>
      </c>
      <c r="F23" s="53">
        <v>11889.848006</v>
      </c>
      <c r="G23" s="5">
        <v>2.0211764E-2</v>
      </c>
      <c r="H23" s="130"/>
    </row>
    <row r="24" spans="1:8" ht="25.5" x14ac:dyDescent="0.2">
      <c r="A24" s="6">
        <v>18</v>
      </c>
      <c r="B24" s="7" t="s">
        <v>324</v>
      </c>
      <c r="C24" s="11" t="s">
        <v>325</v>
      </c>
      <c r="D24" s="2" t="s">
        <v>22</v>
      </c>
      <c r="E24" s="47">
        <v>2122814</v>
      </c>
      <c r="F24" s="53">
        <v>11547.046753000001</v>
      </c>
      <c r="G24" s="5">
        <v>1.9629029999999999E-2</v>
      </c>
      <c r="H24" s="130"/>
    </row>
    <row r="25" spans="1:8" ht="12.75" x14ac:dyDescent="0.2">
      <c r="A25" s="6">
        <v>19</v>
      </c>
      <c r="B25" s="7" t="s">
        <v>326</v>
      </c>
      <c r="C25" s="11" t="s">
        <v>327</v>
      </c>
      <c r="D25" s="2" t="s">
        <v>168</v>
      </c>
      <c r="E25" s="47">
        <v>184296</v>
      </c>
      <c r="F25" s="53">
        <v>11436.396132</v>
      </c>
      <c r="G25" s="5">
        <v>1.9440933000000001E-2</v>
      </c>
      <c r="H25" s="130"/>
    </row>
    <row r="26" spans="1:8" ht="25.5" x14ac:dyDescent="0.2">
      <c r="A26" s="6">
        <v>20</v>
      </c>
      <c r="B26" s="7" t="s">
        <v>45</v>
      </c>
      <c r="C26" s="11" t="s">
        <v>46</v>
      </c>
      <c r="D26" s="2" t="s">
        <v>47</v>
      </c>
      <c r="E26" s="47">
        <v>1264608</v>
      </c>
      <c r="F26" s="53">
        <v>10646.102448</v>
      </c>
      <c r="G26" s="5">
        <v>1.8097499E-2</v>
      </c>
      <c r="H26" s="130"/>
    </row>
    <row r="27" spans="1:8" ht="51" x14ac:dyDescent="0.2">
      <c r="A27" s="6">
        <v>21</v>
      </c>
      <c r="B27" s="7" t="s">
        <v>328</v>
      </c>
      <c r="C27" s="11" t="s">
        <v>329</v>
      </c>
      <c r="D27" s="2" t="s">
        <v>208</v>
      </c>
      <c r="E27" s="47">
        <v>6347517</v>
      </c>
      <c r="F27" s="53">
        <v>10635.2647335</v>
      </c>
      <c r="G27" s="5">
        <v>1.8079075999999999E-2</v>
      </c>
      <c r="H27" s="130"/>
    </row>
    <row r="28" spans="1:8" ht="25.5" x14ac:dyDescent="0.2">
      <c r="A28" s="6">
        <v>22</v>
      </c>
      <c r="B28" s="7" t="s">
        <v>34</v>
      </c>
      <c r="C28" s="11" t="s">
        <v>35</v>
      </c>
      <c r="D28" s="2" t="s">
        <v>27</v>
      </c>
      <c r="E28" s="47">
        <v>932409</v>
      </c>
      <c r="F28" s="53">
        <v>10525.4989965</v>
      </c>
      <c r="G28" s="5">
        <v>1.7892483000000001E-2</v>
      </c>
      <c r="H28" s="130"/>
    </row>
    <row r="29" spans="1:8" ht="25.5" x14ac:dyDescent="0.2">
      <c r="A29" s="6">
        <v>23</v>
      </c>
      <c r="B29" s="7" t="s">
        <v>330</v>
      </c>
      <c r="C29" s="11" t="s">
        <v>331</v>
      </c>
      <c r="D29" s="2" t="s">
        <v>30</v>
      </c>
      <c r="E29" s="47">
        <v>85000</v>
      </c>
      <c r="F29" s="53">
        <v>10405.955</v>
      </c>
      <c r="G29" s="5">
        <v>1.7689268000000001E-2</v>
      </c>
      <c r="H29" s="130"/>
    </row>
    <row r="30" spans="1:8" ht="25.5" x14ac:dyDescent="0.2">
      <c r="A30" s="6">
        <v>24</v>
      </c>
      <c r="B30" s="7" t="s">
        <v>23</v>
      </c>
      <c r="C30" s="11" t="s">
        <v>24</v>
      </c>
      <c r="D30" s="2" t="s">
        <v>22</v>
      </c>
      <c r="E30" s="47">
        <v>1725210</v>
      </c>
      <c r="F30" s="53">
        <v>10374.550335</v>
      </c>
      <c r="G30" s="5">
        <v>1.7635883000000002E-2</v>
      </c>
      <c r="H30" s="130"/>
    </row>
    <row r="31" spans="1:8" ht="12.75" x14ac:dyDescent="0.2">
      <c r="A31" s="6">
        <v>25</v>
      </c>
      <c r="B31" s="7" t="s">
        <v>332</v>
      </c>
      <c r="C31" s="11" t="s">
        <v>333</v>
      </c>
      <c r="D31" s="2" t="s">
        <v>158</v>
      </c>
      <c r="E31" s="47">
        <v>1651092</v>
      </c>
      <c r="F31" s="53">
        <v>10349.044656</v>
      </c>
      <c r="G31" s="5">
        <v>1.7592525000000001E-2</v>
      </c>
      <c r="H31" s="130"/>
    </row>
    <row r="32" spans="1:8" ht="25.5" x14ac:dyDescent="0.2">
      <c r="A32" s="6">
        <v>26</v>
      </c>
      <c r="B32" s="7" t="s">
        <v>173</v>
      </c>
      <c r="C32" s="11" t="s">
        <v>174</v>
      </c>
      <c r="D32" s="2" t="s">
        <v>163</v>
      </c>
      <c r="E32" s="47">
        <v>569029</v>
      </c>
      <c r="F32" s="53">
        <v>10111.645329999999</v>
      </c>
      <c r="G32" s="5">
        <v>1.7188966E-2</v>
      </c>
      <c r="H32" s="130"/>
    </row>
    <row r="33" spans="1:8" ht="25.5" x14ac:dyDescent="0.2">
      <c r="A33" s="6">
        <v>27</v>
      </c>
      <c r="B33" s="7" t="s">
        <v>334</v>
      </c>
      <c r="C33" s="11" t="s">
        <v>335</v>
      </c>
      <c r="D33" s="2" t="s">
        <v>30</v>
      </c>
      <c r="E33" s="47">
        <v>3049391</v>
      </c>
      <c r="F33" s="53">
        <v>9976.0826565000007</v>
      </c>
      <c r="G33" s="5">
        <v>1.6958520000000001E-2</v>
      </c>
      <c r="H33" s="130"/>
    </row>
    <row r="34" spans="1:8" ht="12.75" x14ac:dyDescent="0.2">
      <c r="A34" s="6">
        <v>28</v>
      </c>
      <c r="B34" s="7" t="s">
        <v>336</v>
      </c>
      <c r="C34" s="11" t="s">
        <v>337</v>
      </c>
      <c r="D34" s="2" t="s">
        <v>197</v>
      </c>
      <c r="E34" s="47">
        <v>1885017</v>
      </c>
      <c r="F34" s="53">
        <v>9779.4681959999998</v>
      </c>
      <c r="G34" s="5">
        <v>1.6624291999999999E-2</v>
      </c>
      <c r="H34" s="130"/>
    </row>
    <row r="35" spans="1:8" ht="12.75" x14ac:dyDescent="0.2">
      <c r="A35" s="6">
        <v>29</v>
      </c>
      <c r="B35" s="7" t="s">
        <v>338</v>
      </c>
      <c r="C35" s="11" t="s">
        <v>339</v>
      </c>
      <c r="D35" s="2" t="s">
        <v>72</v>
      </c>
      <c r="E35" s="47">
        <v>2883117</v>
      </c>
      <c r="F35" s="53">
        <v>9345.6237555000007</v>
      </c>
      <c r="G35" s="5">
        <v>1.5886792E-2</v>
      </c>
      <c r="H35" s="130"/>
    </row>
    <row r="36" spans="1:8" ht="12.75" x14ac:dyDescent="0.2">
      <c r="A36" s="6">
        <v>30</v>
      </c>
      <c r="B36" s="7" t="s">
        <v>340</v>
      </c>
      <c r="C36" s="11" t="s">
        <v>341</v>
      </c>
      <c r="D36" s="2" t="s">
        <v>242</v>
      </c>
      <c r="E36" s="47">
        <v>620220</v>
      </c>
      <c r="F36" s="53">
        <v>9325.9380299999993</v>
      </c>
      <c r="G36" s="5">
        <v>1.5853328E-2</v>
      </c>
      <c r="H36" s="130"/>
    </row>
    <row r="37" spans="1:8" ht="12.75" x14ac:dyDescent="0.2">
      <c r="A37" s="6">
        <v>31</v>
      </c>
      <c r="B37" s="7" t="s">
        <v>342</v>
      </c>
      <c r="C37" s="11" t="s">
        <v>343</v>
      </c>
      <c r="D37" s="2" t="s">
        <v>72</v>
      </c>
      <c r="E37" s="47">
        <v>2101987</v>
      </c>
      <c r="F37" s="53">
        <v>8668.5943879999995</v>
      </c>
      <c r="G37" s="5">
        <v>1.4735898000000001E-2</v>
      </c>
      <c r="H37" s="130"/>
    </row>
    <row r="38" spans="1:8" ht="12.75" x14ac:dyDescent="0.2">
      <c r="A38" s="6">
        <v>32</v>
      </c>
      <c r="B38" s="7" t="s">
        <v>344</v>
      </c>
      <c r="C38" s="11" t="s">
        <v>345</v>
      </c>
      <c r="D38" s="2" t="s">
        <v>16</v>
      </c>
      <c r="E38" s="47">
        <v>2734948</v>
      </c>
      <c r="F38" s="53">
        <v>8481.0737480000007</v>
      </c>
      <c r="G38" s="5">
        <v>1.4417128E-2</v>
      </c>
      <c r="H38" s="130"/>
    </row>
    <row r="39" spans="1:8" ht="25.5" x14ac:dyDescent="0.2">
      <c r="A39" s="6">
        <v>33</v>
      </c>
      <c r="B39" s="7" t="s">
        <v>70</v>
      </c>
      <c r="C39" s="11" t="s">
        <v>71</v>
      </c>
      <c r="D39" s="2" t="s">
        <v>72</v>
      </c>
      <c r="E39" s="47">
        <v>630000</v>
      </c>
      <c r="F39" s="53">
        <v>8459.64</v>
      </c>
      <c r="G39" s="5">
        <v>1.4380693E-2</v>
      </c>
      <c r="H39" s="130"/>
    </row>
    <row r="40" spans="1:8" ht="12.75" x14ac:dyDescent="0.2">
      <c r="A40" s="6">
        <v>34</v>
      </c>
      <c r="B40" s="7" t="s">
        <v>346</v>
      </c>
      <c r="C40" s="11" t="s">
        <v>347</v>
      </c>
      <c r="D40" s="2" t="s">
        <v>72</v>
      </c>
      <c r="E40" s="47">
        <v>1961293</v>
      </c>
      <c r="F40" s="53">
        <v>7965.7915194999996</v>
      </c>
      <c r="G40" s="5">
        <v>1.3541190999999999E-2</v>
      </c>
      <c r="H40" s="130"/>
    </row>
    <row r="41" spans="1:8" ht="12.75" x14ac:dyDescent="0.2">
      <c r="A41" s="6">
        <v>35</v>
      </c>
      <c r="B41" s="7" t="s">
        <v>348</v>
      </c>
      <c r="C41" s="11" t="s">
        <v>349</v>
      </c>
      <c r="D41" s="2" t="s">
        <v>226</v>
      </c>
      <c r="E41" s="47">
        <v>115722</v>
      </c>
      <c r="F41" s="53">
        <v>7790.2893180000001</v>
      </c>
      <c r="G41" s="5">
        <v>1.3242851E-2</v>
      </c>
      <c r="H41" s="130"/>
    </row>
    <row r="42" spans="1:8" ht="12.75" x14ac:dyDescent="0.2">
      <c r="A42" s="6">
        <v>36</v>
      </c>
      <c r="B42" s="7" t="s">
        <v>184</v>
      </c>
      <c r="C42" s="11" t="s">
        <v>185</v>
      </c>
      <c r="D42" s="2" t="s">
        <v>16</v>
      </c>
      <c r="E42" s="47">
        <v>4300000</v>
      </c>
      <c r="F42" s="53">
        <v>7746.45</v>
      </c>
      <c r="G42" s="5">
        <v>1.3168328E-2</v>
      </c>
      <c r="H42" s="130"/>
    </row>
    <row r="43" spans="1:8" ht="12.75" x14ac:dyDescent="0.2">
      <c r="A43" s="6">
        <v>37</v>
      </c>
      <c r="B43" s="7" t="s">
        <v>350</v>
      </c>
      <c r="C43" s="11" t="s">
        <v>351</v>
      </c>
      <c r="D43" s="2" t="s">
        <v>158</v>
      </c>
      <c r="E43" s="47">
        <v>877188</v>
      </c>
      <c r="F43" s="53">
        <v>7688.5528199999999</v>
      </c>
      <c r="G43" s="5">
        <v>1.3069908E-2</v>
      </c>
      <c r="H43" s="130"/>
    </row>
    <row r="44" spans="1:8" ht="12.75" x14ac:dyDescent="0.2">
      <c r="A44" s="6">
        <v>38</v>
      </c>
      <c r="B44" s="7" t="s">
        <v>352</v>
      </c>
      <c r="C44" s="11" t="s">
        <v>353</v>
      </c>
      <c r="D44" s="2" t="s">
        <v>226</v>
      </c>
      <c r="E44" s="47">
        <v>1295613</v>
      </c>
      <c r="F44" s="53">
        <v>7633.7517959999996</v>
      </c>
      <c r="G44" s="5">
        <v>1.2976751E-2</v>
      </c>
      <c r="H44" s="130"/>
    </row>
    <row r="45" spans="1:8" ht="25.5" x14ac:dyDescent="0.2">
      <c r="A45" s="6">
        <v>39</v>
      </c>
      <c r="B45" s="7" t="s">
        <v>354</v>
      </c>
      <c r="C45" s="11" t="s">
        <v>355</v>
      </c>
      <c r="D45" s="2" t="s">
        <v>356</v>
      </c>
      <c r="E45" s="47">
        <v>775000</v>
      </c>
      <c r="F45" s="53">
        <v>7085.8249999999998</v>
      </c>
      <c r="G45" s="5">
        <v>1.204532E-2</v>
      </c>
      <c r="H45" s="130"/>
    </row>
    <row r="46" spans="1:8" ht="25.5" x14ac:dyDescent="0.2">
      <c r="A46" s="6">
        <v>40</v>
      </c>
      <c r="B46" s="7" t="s">
        <v>357</v>
      </c>
      <c r="C46" s="11" t="s">
        <v>358</v>
      </c>
      <c r="D46" s="2" t="s">
        <v>22</v>
      </c>
      <c r="E46" s="47">
        <v>4700000</v>
      </c>
      <c r="F46" s="53">
        <v>7082.9</v>
      </c>
      <c r="G46" s="5">
        <v>1.2040347999999999E-2</v>
      </c>
      <c r="H46" s="130"/>
    </row>
    <row r="47" spans="1:8" ht="12.75" x14ac:dyDescent="0.2">
      <c r="A47" s="6">
        <v>41</v>
      </c>
      <c r="B47" s="7" t="s">
        <v>359</v>
      </c>
      <c r="C47" s="11" t="s">
        <v>360</v>
      </c>
      <c r="D47" s="2" t="s">
        <v>361</v>
      </c>
      <c r="E47" s="47">
        <v>1465723</v>
      </c>
      <c r="F47" s="53">
        <v>6968.0471420000003</v>
      </c>
      <c r="G47" s="5">
        <v>1.1845107000000001E-2</v>
      </c>
      <c r="H47" s="130"/>
    </row>
    <row r="48" spans="1:8" ht="51" x14ac:dyDescent="0.2">
      <c r="A48" s="6">
        <v>42</v>
      </c>
      <c r="B48" s="7" t="s">
        <v>247</v>
      </c>
      <c r="C48" s="11" t="s">
        <v>248</v>
      </c>
      <c r="D48" s="2" t="s">
        <v>208</v>
      </c>
      <c r="E48" s="47">
        <v>2990497</v>
      </c>
      <c r="F48" s="53">
        <v>6469.9402595000001</v>
      </c>
      <c r="G48" s="5">
        <v>1.0998367E-2</v>
      </c>
      <c r="H48" s="130"/>
    </row>
    <row r="49" spans="1:8" ht="12.75" x14ac:dyDescent="0.2">
      <c r="A49" s="6">
        <v>43</v>
      </c>
      <c r="B49" s="7" t="s">
        <v>362</v>
      </c>
      <c r="C49" s="11" t="s">
        <v>363</v>
      </c>
      <c r="D49" s="2" t="s">
        <v>223</v>
      </c>
      <c r="E49" s="47">
        <v>1659710</v>
      </c>
      <c r="F49" s="53">
        <v>6329.3040849999998</v>
      </c>
      <c r="G49" s="5">
        <v>1.0759296999999999E-2</v>
      </c>
      <c r="H49" s="130"/>
    </row>
    <row r="50" spans="1:8" ht="25.5" x14ac:dyDescent="0.2">
      <c r="A50" s="6">
        <v>44</v>
      </c>
      <c r="B50" s="7" t="s">
        <v>364</v>
      </c>
      <c r="C50" s="11" t="s">
        <v>365</v>
      </c>
      <c r="D50" s="2" t="s">
        <v>72</v>
      </c>
      <c r="E50" s="47">
        <v>1769092</v>
      </c>
      <c r="F50" s="53">
        <v>6244.8947600000001</v>
      </c>
      <c r="G50" s="5">
        <v>1.0615807999999999E-2</v>
      </c>
      <c r="H50" s="130"/>
    </row>
    <row r="51" spans="1:8" ht="12.75" x14ac:dyDescent="0.2">
      <c r="A51" s="6">
        <v>45</v>
      </c>
      <c r="B51" s="7" t="s">
        <v>366</v>
      </c>
      <c r="C51" s="11" t="s">
        <v>367</v>
      </c>
      <c r="D51" s="2" t="s">
        <v>242</v>
      </c>
      <c r="E51" s="47">
        <v>610000</v>
      </c>
      <c r="F51" s="53">
        <v>5796.5249999999996</v>
      </c>
      <c r="G51" s="5">
        <v>9.8536160000000008E-3</v>
      </c>
      <c r="H51" s="130"/>
    </row>
    <row r="52" spans="1:8" ht="25.5" x14ac:dyDescent="0.2">
      <c r="A52" s="6">
        <v>46</v>
      </c>
      <c r="B52" s="7" t="s">
        <v>368</v>
      </c>
      <c r="C52" s="11" t="s">
        <v>369</v>
      </c>
      <c r="D52" s="2" t="s">
        <v>356</v>
      </c>
      <c r="E52" s="47">
        <v>25496</v>
      </c>
      <c r="F52" s="53">
        <v>5733.5914720000001</v>
      </c>
      <c r="G52" s="5">
        <v>9.7466340000000005E-3</v>
      </c>
      <c r="H52" s="130"/>
    </row>
    <row r="53" spans="1:8" ht="25.5" x14ac:dyDescent="0.2">
      <c r="A53" s="6">
        <v>47</v>
      </c>
      <c r="B53" s="7" t="s">
        <v>370</v>
      </c>
      <c r="C53" s="11" t="s">
        <v>371</v>
      </c>
      <c r="D53" s="2" t="s">
        <v>80</v>
      </c>
      <c r="E53" s="47">
        <v>960050</v>
      </c>
      <c r="F53" s="53">
        <v>5648.4541749999999</v>
      </c>
      <c r="G53" s="5">
        <v>9.6019079999999993E-3</v>
      </c>
      <c r="H53" s="130"/>
    </row>
    <row r="54" spans="1:8" ht="25.5" x14ac:dyDescent="0.2">
      <c r="A54" s="6">
        <v>48</v>
      </c>
      <c r="B54" s="7" t="s">
        <v>372</v>
      </c>
      <c r="C54" s="11" t="s">
        <v>373</v>
      </c>
      <c r="D54" s="2" t="s">
        <v>22</v>
      </c>
      <c r="E54" s="47">
        <v>1733910</v>
      </c>
      <c r="F54" s="53">
        <v>5559.7824149999997</v>
      </c>
      <c r="G54" s="5">
        <v>9.4511730000000002E-3</v>
      </c>
      <c r="H54" s="130"/>
    </row>
    <row r="55" spans="1:8" ht="12.75" x14ac:dyDescent="0.2">
      <c r="A55" s="6">
        <v>49</v>
      </c>
      <c r="B55" s="7" t="s">
        <v>374</v>
      </c>
      <c r="C55" s="11" t="s">
        <v>375</v>
      </c>
      <c r="D55" s="2" t="s">
        <v>376</v>
      </c>
      <c r="E55" s="47">
        <v>149724</v>
      </c>
      <c r="F55" s="53">
        <v>5380.9308360000005</v>
      </c>
      <c r="G55" s="5">
        <v>9.1471399999999998E-3</v>
      </c>
      <c r="H55" s="130"/>
    </row>
    <row r="56" spans="1:8" ht="12.75" x14ac:dyDescent="0.2">
      <c r="A56" s="6">
        <v>50</v>
      </c>
      <c r="B56" s="7" t="s">
        <v>377</v>
      </c>
      <c r="C56" s="11" t="s">
        <v>378</v>
      </c>
      <c r="D56" s="2" t="s">
        <v>40</v>
      </c>
      <c r="E56" s="47">
        <v>8700000</v>
      </c>
      <c r="F56" s="53">
        <v>5159.1000000000004</v>
      </c>
      <c r="G56" s="5">
        <v>8.7700460000000001E-3</v>
      </c>
      <c r="H56" s="130"/>
    </row>
    <row r="57" spans="1:8" ht="12.75" x14ac:dyDescent="0.2">
      <c r="A57" s="6">
        <v>51</v>
      </c>
      <c r="B57" s="7" t="s">
        <v>379</v>
      </c>
      <c r="C57" s="11" t="s">
        <v>380</v>
      </c>
      <c r="D57" s="2" t="s">
        <v>226</v>
      </c>
      <c r="E57" s="47">
        <v>286372</v>
      </c>
      <c r="F57" s="53">
        <v>5086.825836</v>
      </c>
      <c r="G57" s="5">
        <v>8.6471859999999994E-3</v>
      </c>
      <c r="H57" s="130"/>
    </row>
    <row r="58" spans="1:8" ht="12.75" x14ac:dyDescent="0.2">
      <c r="A58" s="6">
        <v>52</v>
      </c>
      <c r="B58" s="7" t="s">
        <v>381</v>
      </c>
      <c r="C58" s="11" t="s">
        <v>382</v>
      </c>
      <c r="D58" s="2" t="s">
        <v>72</v>
      </c>
      <c r="E58" s="47">
        <v>367161</v>
      </c>
      <c r="F58" s="53">
        <v>4848.7281659999999</v>
      </c>
      <c r="G58" s="5">
        <v>8.2424390000000007E-3</v>
      </c>
      <c r="H58" s="130"/>
    </row>
    <row r="59" spans="1:8" ht="25.5" x14ac:dyDescent="0.2">
      <c r="A59" s="6">
        <v>53</v>
      </c>
      <c r="B59" s="7" t="s">
        <v>383</v>
      </c>
      <c r="C59" s="11" t="s">
        <v>384</v>
      </c>
      <c r="D59" s="2" t="s">
        <v>30</v>
      </c>
      <c r="E59" s="47">
        <v>342289</v>
      </c>
      <c r="F59" s="53">
        <v>4368.1210735000004</v>
      </c>
      <c r="G59" s="5">
        <v>7.425447E-3</v>
      </c>
      <c r="H59" s="130"/>
    </row>
    <row r="60" spans="1:8" ht="12.75" x14ac:dyDescent="0.2">
      <c r="A60" s="6">
        <v>54</v>
      </c>
      <c r="B60" s="7" t="s">
        <v>276</v>
      </c>
      <c r="C60" s="11" t="s">
        <v>277</v>
      </c>
      <c r="D60" s="2" t="s">
        <v>72</v>
      </c>
      <c r="E60" s="47">
        <v>5474987</v>
      </c>
      <c r="F60" s="53">
        <v>4270.4898599999997</v>
      </c>
      <c r="G60" s="5">
        <v>7.2594820000000003E-3</v>
      </c>
      <c r="H60" s="130"/>
    </row>
    <row r="61" spans="1:8" ht="25.5" x14ac:dyDescent="0.2">
      <c r="A61" s="6">
        <v>55</v>
      </c>
      <c r="B61" s="7" t="s">
        <v>385</v>
      </c>
      <c r="C61" s="11" t="s">
        <v>386</v>
      </c>
      <c r="D61" s="2" t="s">
        <v>197</v>
      </c>
      <c r="E61" s="47">
        <v>438628</v>
      </c>
      <c r="F61" s="53">
        <v>3867.3830760000001</v>
      </c>
      <c r="G61" s="5">
        <v>6.5742329999999996E-3</v>
      </c>
      <c r="H61" s="130"/>
    </row>
    <row r="62" spans="1:8" ht="25.5" x14ac:dyDescent="0.2">
      <c r="A62" s="6">
        <v>56</v>
      </c>
      <c r="B62" s="7" t="s">
        <v>181</v>
      </c>
      <c r="C62" s="11" t="s">
        <v>182</v>
      </c>
      <c r="D62" s="2" t="s">
        <v>183</v>
      </c>
      <c r="E62" s="47">
        <v>3010440</v>
      </c>
      <c r="F62" s="53">
        <v>3576.40272</v>
      </c>
      <c r="G62" s="5">
        <v>6.0795909999999996E-3</v>
      </c>
      <c r="H62" s="130"/>
    </row>
    <row r="63" spans="1:8" ht="12.75" x14ac:dyDescent="0.2">
      <c r="A63" s="6">
        <v>57</v>
      </c>
      <c r="B63" s="7" t="s">
        <v>87</v>
      </c>
      <c r="C63" s="11" t="s">
        <v>88</v>
      </c>
      <c r="D63" s="2"/>
      <c r="E63" s="47">
        <v>2080000</v>
      </c>
      <c r="F63" s="53">
        <v>3538.08</v>
      </c>
      <c r="G63" s="5">
        <v>6.0144450000000002E-3</v>
      </c>
      <c r="H63" s="130"/>
    </row>
    <row r="64" spans="1:8" ht="12.75" x14ac:dyDescent="0.2">
      <c r="A64" s="6">
        <v>58</v>
      </c>
      <c r="B64" s="7" t="s">
        <v>387</v>
      </c>
      <c r="C64" s="11" t="s">
        <v>388</v>
      </c>
      <c r="D64" s="2" t="s">
        <v>226</v>
      </c>
      <c r="E64" s="47">
        <v>310300</v>
      </c>
      <c r="F64" s="53">
        <v>3043.2672499999999</v>
      </c>
      <c r="G64" s="5">
        <v>5.1733040000000001E-3</v>
      </c>
      <c r="H64" s="130"/>
    </row>
    <row r="65" spans="1:8" ht="12.75" x14ac:dyDescent="0.2">
      <c r="A65" s="6">
        <v>59</v>
      </c>
      <c r="B65" s="7" t="s">
        <v>389</v>
      </c>
      <c r="C65" s="11" t="s">
        <v>390</v>
      </c>
      <c r="D65" s="2" t="s">
        <v>16</v>
      </c>
      <c r="E65" s="47">
        <v>5056798</v>
      </c>
      <c r="F65" s="53">
        <v>2773.653703</v>
      </c>
      <c r="G65" s="5">
        <v>4.7149829999999998E-3</v>
      </c>
      <c r="H65" s="130"/>
    </row>
    <row r="66" spans="1:8" ht="12.75" x14ac:dyDescent="0.2">
      <c r="A66" s="6">
        <v>60</v>
      </c>
      <c r="B66" s="7" t="s">
        <v>391</v>
      </c>
      <c r="C66" s="11" t="s">
        <v>392</v>
      </c>
      <c r="D66" s="2" t="s">
        <v>226</v>
      </c>
      <c r="E66" s="47">
        <v>788200</v>
      </c>
      <c r="F66" s="53">
        <v>1939.7601999999999</v>
      </c>
      <c r="G66" s="5">
        <v>3.2974329999999998E-3</v>
      </c>
      <c r="H66" s="130"/>
    </row>
    <row r="67" spans="1:8" ht="12.75" x14ac:dyDescent="0.2">
      <c r="A67" s="6">
        <v>61</v>
      </c>
      <c r="B67" s="7" t="s">
        <v>235</v>
      </c>
      <c r="C67" s="11" t="s">
        <v>236</v>
      </c>
      <c r="D67" s="2" t="s">
        <v>237</v>
      </c>
      <c r="E67" s="47">
        <v>129176</v>
      </c>
      <c r="F67" s="53">
        <v>1418.02954</v>
      </c>
      <c r="G67" s="5">
        <v>2.4105340000000002E-3</v>
      </c>
      <c r="H67" s="130"/>
    </row>
    <row r="68" spans="1:8" ht="12.75" x14ac:dyDescent="0.2">
      <c r="A68" s="6">
        <v>62</v>
      </c>
      <c r="B68" s="7" t="s">
        <v>393</v>
      </c>
      <c r="C68" s="11" t="s">
        <v>394</v>
      </c>
      <c r="D68" s="2" t="s">
        <v>158</v>
      </c>
      <c r="E68" s="47">
        <v>45800</v>
      </c>
      <c r="F68" s="53">
        <v>108.8895</v>
      </c>
      <c r="G68" s="5">
        <v>1.8510299999999999E-4</v>
      </c>
      <c r="H68" s="130"/>
    </row>
    <row r="69" spans="1:8" ht="12.75" x14ac:dyDescent="0.2">
      <c r="A69" s="1"/>
      <c r="B69" s="2"/>
      <c r="C69" s="8" t="s">
        <v>108</v>
      </c>
      <c r="D69" s="12"/>
      <c r="E69" s="49"/>
      <c r="F69" s="55">
        <v>579897.90824050026</v>
      </c>
      <c r="G69" s="13">
        <v>0.98577877699999994</v>
      </c>
      <c r="H69" s="130"/>
    </row>
    <row r="70" spans="1:8" ht="12.75" x14ac:dyDescent="0.2">
      <c r="A70" s="6"/>
      <c r="B70" s="7"/>
      <c r="C70" s="14"/>
      <c r="D70" s="15"/>
      <c r="E70" s="47"/>
      <c r="F70" s="53"/>
      <c r="G70" s="5"/>
    </row>
    <row r="71" spans="1:8" ht="12.75" x14ac:dyDescent="0.2">
      <c r="A71" s="1"/>
      <c r="B71" s="2"/>
      <c r="C71" s="8" t="s">
        <v>109</v>
      </c>
      <c r="D71" s="9"/>
      <c r="E71" s="48"/>
      <c r="F71" s="54"/>
      <c r="G71" s="10"/>
    </row>
    <row r="72" spans="1:8" ht="12.75" x14ac:dyDescent="0.2">
      <c r="A72" s="1"/>
      <c r="B72" s="2"/>
      <c r="C72" s="8" t="s">
        <v>108</v>
      </c>
      <c r="D72" s="12"/>
      <c r="E72" s="49"/>
      <c r="F72" s="55">
        <v>0</v>
      </c>
      <c r="G72" s="13">
        <v>0</v>
      </c>
    </row>
    <row r="73" spans="1:8" ht="12.75" x14ac:dyDescent="0.2">
      <c r="A73" s="6"/>
      <c r="B73" s="7"/>
      <c r="C73" s="14"/>
      <c r="D73" s="15"/>
      <c r="E73" s="47"/>
      <c r="F73" s="53"/>
      <c r="G73" s="5"/>
    </row>
    <row r="74" spans="1:8" ht="12.75" x14ac:dyDescent="0.2">
      <c r="A74" s="16"/>
      <c r="B74" s="17"/>
      <c r="C74" s="8" t="s">
        <v>110</v>
      </c>
      <c r="D74" s="9"/>
      <c r="E74" s="48"/>
      <c r="F74" s="54"/>
      <c r="G74" s="10"/>
    </row>
    <row r="75" spans="1:8" ht="12.75" x14ac:dyDescent="0.2">
      <c r="A75" s="18"/>
      <c r="B75" s="19"/>
      <c r="C75" s="8" t="s">
        <v>108</v>
      </c>
      <c r="D75" s="20"/>
      <c r="E75" s="50"/>
      <c r="F75" s="56">
        <v>0</v>
      </c>
      <c r="G75" s="21">
        <v>0</v>
      </c>
    </row>
    <row r="76" spans="1:8" ht="12.75" x14ac:dyDescent="0.2">
      <c r="A76" s="18"/>
      <c r="B76" s="19"/>
      <c r="C76" s="14"/>
      <c r="D76" s="22"/>
      <c r="E76" s="51"/>
      <c r="F76" s="57"/>
      <c r="G76" s="23"/>
    </row>
    <row r="77" spans="1:8" ht="12.75" x14ac:dyDescent="0.2">
      <c r="A77" s="1"/>
      <c r="B77" s="2"/>
      <c r="C77" s="8" t="s">
        <v>113</v>
      </c>
      <c r="D77" s="9"/>
      <c r="E77" s="48"/>
      <c r="F77" s="54"/>
      <c r="G77" s="10"/>
    </row>
    <row r="78" spans="1:8" ht="12.75" x14ac:dyDescent="0.2">
      <c r="A78" s="1"/>
      <c r="B78" s="2"/>
      <c r="C78" s="8" t="s">
        <v>108</v>
      </c>
      <c r="D78" s="12"/>
      <c r="E78" s="49"/>
      <c r="F78" s="55">
        <v>0</v>
      </c>
      <c r="G78" s="13">
        <v>0</v>
      </c>
    </row>
    <row r="79" spans="1:8" ht="12.75" x14ac:dyDescent="0.2">
      <c r="A79" s="1"/>
      <c r="B79" s="2"/>
      <c r="C79" s="14"/>
      <c r="D79" s="4"/>
      <c r="E79" s="47"/>
      <c r="F79" s="53"/>
      <c r="G79" s="5"/>
    </row>
    <row r="80" spans="1:8" ht="12.75" x14ac:dyDescent="0.2">
      <c r="A80" s="1"/>
      <c r="B80" s="2"/>
      <c r="C80" s="8" t="s">
        <v>114</v>
      </c>
      <c r="D80" s="9"/>
      <c r="E80" s="48"/>
      <c r="F80" s="54"/>
      <c r="G80" s="10"/>
    </row>
    <row r="81" spans="1:8" ht="12.75" x14ac:dyDescent="0.2">
      <c r="A81" s="1"/>
      <c r="B81" s="2"/>
      <c r="C81" s="8" t="s">
        <v>108</v>
      </c>
      <c r="D81" s="12"/>
      <c r="E81" s="49"/>
      <c r="F81" s="55">
        <v>0</v>
      </c>
      <c r="G81" s="13">
        <v>0</v>
      </c>
    </row>
    <row r="82" spans="1:8" ht="12.75" x14ac:dyDescent="0.2">
      <c r="A82" s="1"/>
      <c r="B82" s="2"/>
      <c r="C82" s="14"/>
      <c r="D82" s="4"/>
      <c r="E82" s="47"/>
      <c r="F82" s="53"/>
      <c r="G82" s="5"/>
    </row>
    <row r="83" spans="1:8" ht="12.75" x14ac:dyDescent="0.2">
      <c r="A83" s="1"/>
      <c r="B83" s="2"/>
      <c r="C83" s="8" t="s">
        <v>115</v>
      </c>
      <c r="D83" s="9"/>
      <c r="E83" s="48"/>
      <c r="F83" s="54"/>
      <c r="G83" s="10"/>
    </row>
    <row r="84" spans="1:8" ht="12.75" x14ac:dyDescent="0.2">
      <c r="A84" s="6">
        <v>1</v>
      </c>
      <c r="B84" s="7"/>
      <c r="C84" s="85" t="s">
        <v>811</v>
      </c>
      <c r="D84" s="15" t="s">
        <v>395</v>
      </c>
      <c r="E84" s="47">
        <v>1000800</v>
      </c>
      <c r="F84" s="53">
        <v>2472.9767999999999</v>
      </c>
      <c r="G84" s="5">
        <v>4.2038570000000001E-3</v>
      </c>
      <c r="H84" s="130"/>
    </row>
    <row r="85" spans="1:8" ht="12.75" x14ac:dyDescent="0.2">
      <c r="A85" s="1"/>
      <c r="B85" s="2"/>
      <c r="C85" s="8" t="s">
        <v>108</v>
      </c>
      <c r="D85" s="12"/>
      <c r="E85" s="49"/>
      <c r="F85" s="55">
        <v>2472.9767999999999</v>
      </c>
      <c r="G85" s="13">
        <v>4.2038570000000001E-3</v>
      </c>
    </row>
    <row r="86" spans="1:8" ht="12.75" x14ac:dyDescent="0.2">
      <c r="A86" s="1"/>
      <c r="B86" s="2"/>
      <c r="C86" s="14"/>
      <c r="D86" s="4"/>
      <c r="E86" s="47"/>
      <c r="F86" s="53"/>
      <c r="G86" s="5"/>
    </row>
    <row r="87" spans="1:8" ht="25.5" x14ac:dyDescent="0.2">
      <c r="A87" s="6"/>
      <c r="B87" s="7"/>
      <c r="C87" s="24" t="s">
        <v>116</v>
      </c>
      <c r="D87" s="25"/>
      <c r="E87" s="49"/>
      <c r="F87" s="55">
        <v>582370.8850405002</v>
      </c>
      <c r="G87" s="13">
        <v>0.98998263399999997</v>
      </c>
      <c r="H87" s="130"/>
    </row>
    <row r="88" spans="1:8" ht="12.75" x14ac:dyDescent="0.2">
      <c r="A88" s="1"/>
      <c r="B88" s="2"/>
      <c r="C88" s="11"/>
      <c r="D88" s="4"/>
      <c r="E88" s="47"/>
      <c r="F88" s="53"/>
      <c r="G88" s="5"/>
    </row>
    <row r="89" spans="1:8" ht="12.75" x14ac:dyDescent="0.2">
      <c r="A89" s="1"/>
      <c r="B89" s="2"/>
      <c r="C89" s="3" t="s">
        <v>117</v>
      </c>
      <c r="D89" s="4"/>
      <c r="E89" s="47"/>
      <c r="F89" s="53"/>
      <c r="G89" s="5"/>
    </row>
    <row r="90" spans="1:8" ht="25.5" x14ac:dyDescent="0.2">
      <c r="A90" s="1"/>
      <c r="B90" s="2"/>
      <c r="C90" s="8" t="s">
        <v>10</v>
      </c>
      <c r="D90" s="9"/>
      <c r="E90" s="48"/>
      <c r="F90" s="54"/>
      <c r="G90" s="10"/>
    </row>
    <row r="91" spans="1:8" ht="12.75" x14ac:dyDescent="0.2">
      <c r="A91" s="6"/>
      <c r="B91" s="7"/>
      <c r="C91" s="8" t="s">
        <v>108</v>
      </c>
      <c r="D91" s="12"/>
      <c r="E91" s="49"/>
      <c r="F91" s="55">
        <v>0</v>
      </c>
      <c r="G91" s="13">
        <v>0</v>
      </c>
    </row>
    <row r="92" spans="1:8" ht="12.75" x14ac:dyDescent="0.2">
      <c r="A92" s="6"/>
      <c r="B92" s="7"/>
      <c r="C92" s="14"/>
      <c r="D92" s="4"/>
      <c r="E92" s="47"/>
      <c r="F92" s="53"/>
      <c r="G92" s="5"/>
    </row>
    <row r="93" spans="1:8" ht="12.75" x14ac:dyDescent="0.2">
      <c r="A93" s="1"/>
      <c r="B93" s="26"/>
      <c r="C93" s="8" t="s">
        <v>118</v>
      </c>
      <c r="D93" s="9"/>
      <c r="E93" s="48"/>
      <c r="F93" s="54"/>
      <c r="G93" s="10"/>
    </row>
    <row r="94" spans="1:8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8" ht="12.75" x14ac:dyDescent="0.2">
      <c r="A95" s="6"/>
      <c r="B95" s="7"/>
      <c r="C95" s="14"/>
      <c r="D95" s="4"/>
      <c r="E95" s="47"/>
      <c r="F95" s="59"/>
      <c r="G95" s="28"/>
    </row>
    <row r="96" spans="1:8" ht="12.75" x14ac:dyDescent="0.2">
      <c r="A96" s="1"/>
      <c r="B96" s="2"/>
      <c r="C96" s="8" t="s">
        <v>119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12"/>
      <c r="E97" s="49"/>
      <c r="F97" s="55">
        <v>0</v>
      </c>
      <c r="G97" s="13">
        <v>0</v>
      </c>
    </row>
    <row r="98" spans="1:7" ht="12.75" x14ac:dyDescent="0.2">
      <c r="A98" s="1"/>
      <c r="B98" s="2"/>
      <c r="C98" s="14"/>
      <c r="D98" s="4"/>
      <c r="E98" s="47"/>
      <c r="F98" s="53"/>
      <c r="G98" s="5"/>
    </row>
    <row r="99" spans="1:7" ht="25.5" x14ac:dyDescent="0.2">
      <c r="A99" s="1"/>
      <c r="B99" s="26"/>
      <c r="C99" s="8" t="s">
        <v>120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12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4"/>
      <c r="D101" s="4"/>
      <c r="E101" s="47"/>
      <c r="F101" s="53"/>
      <c r="G101" s="5"/>
    </row>
    <row r="102" spans="1:7" ht="12.75" x14ac:dyDescent="0.2">
      <c r="A102" s="6"/>
      <c r="B102" s="7"/>
      <c r="C102" s="29" t="s">
        <v>121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1"/>
      <c r="D103" s="4"/>
      <c r="E103" s="47"/>
      <c r="F103" s="53"/>
      <c r="G103" s="5"/>
    </row>
    <row r="104" spans="1:7" ht="12.75" x14ac:dyDescent="0.2">
      <c r="A104" s="1"/>
      <c r="B104" s="2"/>
      <c r="C104" s="3" t="s">
        <v>122</v>
      </c>
      <c r="D104" s="4"/>
      <c r="E104" s="47"/>
      <c r="F104" s="53"/>
      <c r="G104" s="5"/>
    </row>
    <row r="105" spans="1:7" ht="12.75" x14ac:dyDescent="0.2">
      <c r="A105" s="6"/>
      <c r="B105" s="7"/>
      <c r="C105" s="8" t="s">
        <v>123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12.75" x14ac:dyDescent="0.2">
      <c r="A108" s="6"/>
      <c r="B108" s="7"/>
      <c r="C108" s="8" t="s">
        <v>124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12.75" x14ac:dyDescent="0.2">
      <c r="A111" s="6"/>
      <c r="B111" s="7"/>
      <c r="C111" s="8" t="s">
        <v>125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8" ht="12.75" x14ac:dyDescent="0.2">
      <c r="A113" s="6"/>
      <c r="B113" s="7"/>
      <c r="C113" s="14"/>
      <c r="D113" s="7"/>
      <c r="E113" s="47"/>
      <c r="F113" s="53"/>
      <c r="G113" s="5"/>
    </row>
    <row r="114" spans="1:8" ht="12.75" x14ac:dyDescent="0.2">
      <c r="A114" s="6"/>
      <c r="B114" s="7"/>
      <c r="C114" s="8" t="s">
        <v>126</v>
      </c>
      <c r="D114" s="9"/>
      <c r="E114" s="48"/>
      <c r="F114" s="54"/>
      <c r="G114" s="10"/>
    </row>
    <row r="115" spans="1:8" ht="12.75" x14ac:dyDescent="0.2">
      <c r="A115" s="6">
        <v>1</v>
      </c>
      <c r="B115" s="7"/>
      <c r="C115" s="11" t="s">
        <v>812</v>
      </c>
      <c r="D115" s="15"/>
      <c r="E115" s="47"/>
      <c r="F115" s="53">
        <v>619.9184765</v>
      </c>
      <c r="G115" s="5">
        <v>1.0538100000000001E-3</v>
      </c>
      <c r="H115" s="130"/>
    </row>
    <row r="116" spans="1:8" ht="12.75" x14ac:dyDescent="0.2">
      <c r="A116" s="6"/>
      <c r="B116" s="7"/>
      <c r="C116" s="8" t="s">
        <v>108</v>
      </c>
      <c r="D116" s="25"/>
      <c r="E116" s="49"/>
      <c r="F116" s="55">
        <v>619.9184765</v>
      </c>
      <c r="G116" s="13">
        <v>1.0538100000000001E-3</v>
      </c>
    </row>
    <row r="117" spans="1:8" ht="12.75" x14ac:dyDescent="0.2">
      <c r="A117" s="6"/>
      <c r="B117" s="7"/>
      <c r="C117" s="14"/>
      <c r="D117" s="7"/>
      <c r="E117" s="47"/>
      <c r="F117" s="53"/>
      <c r="G117" s="5"/>
    </row>
    <row r="118" spans="1:8" ht="25.5" x14ac:dyDescent="0.2">
      <c r="A118" s="6"/>
      <c r="B118" s="7"/>
      <c r="C118" s="24" t="s">
        <v>127</v>
      </c>
      <c r="D118" s="25"/>
      <c r="E118" s="49"/>
      <c r="F118" s="55">
        <v>619.9184765</v>
      </c>
      <c r="G118" s="13">
        <v>1.0538100000000001E-3</v>
      </c>
    </row>
    <row r="119" spans="1:8" ht="12.75" x14ac:dyDescent="0.2">
      <c r="A119" s="6"/>
      <c r="B119" s="7"/>
      <c r="C119" s="30"/>
      <c r="D119" s="7"/>
      <c r="E119" s="47"/>
      <c r="F119" s="53"/>
      <c r="G119" s="5"/>
    </row>
    <row r="120" spans="1:8" ht="12.75" x14ac:dyDescent="0.2">
      <c r="A120" s="1"/>
      <c r="B120" s="2"/>
      <c r="C120" s="3" t="s">
        <v>128</v>
      </c>
      <c r="D120" s="4"/>
      <c r="E120" s="47"/>
      <c r="F120" s="53"/>
      <c r="G120" s="5"/>
    </row>
    <row r="121" spans="1:8" ht="25.5" x14ac:dyDescent="0.2">
      <c r="A121" s="6"/>
      <c r="B121" s="7"/>
      <c r="C121" s="8" t="s">
        <v>129</v>
      </c>
      <c r="D121" s="9"/>
      <c r="E121" s="48"/>
      <c r="F121" s="54"/>
      <c r="G121" s="10"/>
    </row>
    <row r="122" spans="1:8" ht="25.5" x14ac:dyDescent="0.2">
      <c r="A122" s="6">
        <v>1</v>
      </c>
      <c r="B122" s="7" t="s">
        <v>130</v>
      </c>
      <c r="C122" s="11" t="s">
        <v>839</v>
      </c>
      <c r="D122" s="15"/>
      <c r="E122" s="47">
        <v>240000.73</v>
      </c>
      <c r="F122" s="53">
        <v>2500.328085141</v>
      </c>
      <c r="G122" s="5">
        <v>4.2503519999999998E-3</v>
      </c>
      <c r="H122" s="130"/>
    </row>
    <row r="123" spans="1:8" ht="12.75" x14ac:dyDescent="0.2">
      <c r="A123" s="6"/>
      <c r="B123" s="7"/>
      <c r="C123" s="8" t="s">
        <v>108</v>
      </c>
      <c r="D123" s="25"/>
      <c r="E123" s="49"/>
      <c r="F123" s="55">
        <v>2500.328085141</v>
      </c>
      <c r="G123" s="13">
        <v>4.2503519999999998E-3</v>
      </c>
    </row>
    <row r="124" spans="1:8" ht="12.75" x14ac:dyDescent="0.2">
      <c r="A124" s="6"/>
      <c r="B124" s="7"/>
      <c r="C124" s="14"/>
      <c r="D124" s="7"/>
      <c r="E124" s="47"/>
      <c r="F124" s="53"/>
      <c r="G124" s="5"/>
    </row>
    <row r="125" spans="1:8" ht="12.75" x14ac:dyDescent="0.2">
      <c r="A125" s="1"/>
      <c r="B125" s="2"/>
      <c r="C125" s="3" t="s">
        <v>131</v>
      </c>
      <c r="D125" s="4"/>
      <c r="E125" s="47"/>
      <c r="F125" s="53"/>
      <c r="G125" s="5"/>
    </row>
    <row r="126" spans="1:8" ht="25.5" x14ac:dyDescent="0.2">
      <c r="A126" s="6"/>
      <c r="B126" s="7"/>
      <c r="C126" s="8" t="s">
        <v>132</v>
      </c>
      <c r="D126" s="9"/>
      <c r="E126" s="48"/>
      <c r="F126" s="54"/>
      <c r="G126" s="10"/>
    </row>
    <row r="127" spans="1:8" ht="12.75" x14ac:dyDescent="0.2">
      <c r="A127" s="6"/>
      <c r="B127" s="7"/>
      <c r="C127" s="8" t="s">
        <v>108</v>
      </c>
      <c r="D127" s="25"/>
      <c r="E127" s="49"/>
      <c r="F127" s="55">
        <v>0</v>
      </c>
      <c r="G127" s="13">
        <v>0</v>
      </c>
    </row>
    <row r="128" spans="1:8" ht="12.75" x14ac:dyDescent="0.2">
      <c r="A128" s="6"/>
      <c r="B128" s="7"/>
      <c r="C128" s="14"/>
      <c r="D128" s="7"/>
      <c r="E128" s="47"/>
      <c r="F128" s="53"/>
      <c r="G128" s="5"/>
    </row>
    <row r="129" spans="1:8" ht="25.5" x14ac:dyDescent="0.2">
      <c r="A129" s="6"/>
      <c r="B129" s="7"/>
      <c r="C129" s="8" t="s">
        <v>133</v>
      </c>
      <c r="D129" s="9"/>
      <c r="E129" s="48"/>
      <c r="F129" s="54"/>
      <c r="G129" s="10"/>
    </row>
    <row r="130" spans="1:8" ht="12.75" x14ac:dyDescent="0.2">
      <c r="A130" s="6"/>
      <c r="B130" s="7"/>
      <c r="C130" s="8" t="s">
        <v>108</v>
      </c>
      <c r="D130" s="25"/>
      <c r="E130" s="49"/>
      <c r="F130" s="55">
        <v>0</v>
      </c>
      <c r="G130" s="13">
        <v>0</v>
      </c>
    </row>
    <row r="131" spans="1:8" ht="12.75" x14ac:dyDescent="0.2">
      <c r="A131" s="6"/>
      <c r="B131" s="7"/>
      <c r="C131" s="14"/>
      <c r="D131" s="7"/>
      <c r="E131" s="47"/>
      <c r="F131" s="59"/>
      <c r="G131" s="28"/>
    </row>
    <row r="132" spans="1:8" ht="12.75" x14ac:dyDescent="0.2">
      <c r="A132" s="6"/>
      <c r="B132" s="7"/>
      <c r="C132" s="30" t="s">
        <v>396</v>
      </c>
      <c r="D132" s="7"/>
      <c r="E132" s="47"/>
      <c r="F132" s="59">
        <v>5324.1848990999997</v>
      </c>
      <c r="G132" s="28">
        <v>9.050677E-3</v>
      </c>
      <c r="H132" s="130"/>
    </row>
    <row r="133" spans="1:8" ht="25.5" x14ac:dyDescent="0.2">
      <c r="A133" s="6"/>
      <c r="B133" s="7"/>
      <c r="C133" s="30" t="s">
        <v>134</v>
      </c>
      <c r="D133" s="7"/>
      <c r="E133" s="47"/>
      <c r="F133" s="174">
        <v>-2551.5766782400001</v>
      </c>
      <c r="G133" s="137">
        <v>-4.3193128282702905E-3</v>
      </c>
      <c r="H133" s="130"/>
    </row>
    <row r="134" spans="1:8" ht="12.75" x14ac:dyDescent="0.2">
      <c r="A134" s="6"/>
      <c r="B134" s="7"/>
      <c r="C134" s="31" t="s">
        <v>135</v>
      </c>
      <c r="D134" s="12"/>
      <c r="E134" s="49"/>
      <c r="F134" s="88">
        <v>588263.73982295999</v>
      </c>
      <c r="G134" s="13">
        <v>1.0000000019999997</v>
      </c>
      <c r="H134" s="130"/>
    </row>
    <row r="135" spans="1:8" ht="15.95" customHeight="1" x14ac:dyDescent="0.2">
      <c r="F135" s="139"/>
    </row>
    <row r="136" spans="1:8" ht="12.75" x14ac:dyDescent="0.2">
      <c r="B136" s="179"/>
      <c r="C136" s="179"/>
      <c r="D136" s="179"/>
      <c r="E136" s="179"/>
      <c r="F136" s="179"/>
    </row>
    <row r="137" spans="1:8" ht="12.75" x14ac:dyDescent="0.2">
      <c r="B137" s="138"/>
      <c r="C137" s="138"/>
      <c r="D137" s="138"/>
      <c r="E137" s="138"/>
      <c r="F137" s="138"/>
    </row>
    <row r="139" spans="1:8" ht="12.75" x14ac:dyDescent="0.2">
      <c r="B139" s="37" t="s">
        <v>137</v>
      </c>
      <c r="C139" s="38"/>
      <c r="D139" s="39"/>
    </row>
    <row r="140" spans="1:8" ht="12.75" x14ac:dyDescent="0.2">
      <c r="B140" s="40" t="s">
        <v>808</v>
      </c>
      <c r="C140" s="41"/>
      <c r="D140" s="65" t="s">
        <v>138</v>
      </c>
    </row>
    <row r="141" spans="1:8" ht="12.75" x14ac:dyDescent="0.2">
      <c r="B141" s="40" t="s">
        <v>139</v>
      </c>
      <c r="C141" s="41"/>
      <c r="D141" s="65" t="s">
        <v>138</v>
      </c>
    </row>
    <row r="142" spans="1:8" ht="12.75" x14ac:dyDescent="0.2">
      <c r="B142" s="42" t="s">
        <v>140</v>
      </c>
      <c r="C142" s="41"/>
      <c r="D142" s="43"/>
    </row>
    <row r="143" spans="1:8" ht="25.5" customHeight="1" x14ac:dyDescent="0.2">
      <c r="B143" s="43"/>
      <c r="C143" s="33" t="s">
        <v>141</v>
      </c>
      <c r="D143" s="34" t="s">
        <v>142</v>
      </c>
    </row>
    <row r="144" spans="1:8" ht="12.75" customHeight="1" x14ac:dyDescent="0.2">
      <c r="B144" s="60" t="s">
        <v>143</v>
      </c>
      <c r="C144" s="61" t="s">
        <v>144</v>
      </c>
      <c r="D144" s="61" t="s">
        <v>145</v>
      </c>
    </row>
    <row r="145" spans="2:4" ht="12.75" x14ac:dyDescent="0.2">
      <c r="B145" s="43" t="s">
        <v>146</v>
      </c>
      <c r="C145" s="44">
        <v>460.72559999999999</v>
      </c>
      <c r="D145" s="44">
        <v>473.7312</v>
      </c>
    </row>
    <row r="146" spans="2:4" ht="12.75" x14ac:dyDescent="0.2">
      <c r="B146" s="43" t="s">
        <v>147</v>
      </c>
      <c r="C146" s="44">
        <v>32.094099999999997</v>
      </c>
      <c r="D146" s="44">
        <v>32.825800000000001</v>
      </c>
    </row>
    <row r="147" spans="2:4" ht="12.75" x14ac:dyDescent="0.2">
      <c r="B147" s="43" t="s">
        <v>397</v>
      </c>
      <c r="C147" s="44">
        <v>470.2636</v>
      </c>
      <c r="D147" s="44">
        <v>483.53829999999999</v>
      </c>
    </row>
    <row r="148" spans="2:4" ht="12.75" x14ac:dyDescent="0.2">
      <c r="B148" s="43" t="s">
        <v>398</v>
      </c>
      <c r="C148" s="44">
        <v>27.814699999999998</v>
      </c>
      <c r="D148" s="44">
        <v>28.424700000000001</v>
      </c>
    </row>
    <row r="149" spans="2:4" ht="12.75" x14ac:dyDescent="0.2">
      <c r="B149" s="43" t="s">
        <v>148</v>
      </c>
      <c r="C149" s="44">
        <v>442.91930000000002</v>
      </c>
      <c r="D149" s="44">
        <v>455.13339999999999</v>
      </c>
    </row>
    <row r="150" spans="2:4" ht="12.75" x14ac:dyDescent="0.2">
      <c r="B150" s="43" t="s">
        <v>149</v>
      </c>
      <c r="C150" s="44">
        <v>30.481300000000001</v>
      </c>
      <c r="D150" s="44">
        <v>31.1477</v>
      </c>
    </row>
    <row r="152" spans="2:4" ht="12.75" x14ac:dyDescent="0.2">
      <c r="B152" s="134" t="s">
        <v>150</v>
      </c>
      <c r="C152" s="135"/>
      <c r="D152" s="133"/>
    </row>
    <row r="153" spans="2:4" ht="24.75" customHeight="1" x14ac:dyDescent="0.2">
      <c r="B153" s="131" t="s">
        <v>143</v>
      </c>
      <c r="C153" s="131" t="s">
        <v>399</v>
      </c>
    </row>
    <row r="154" spans="2:4" ht="12.75" x14ac:dyDescent="0.2">
      <c r="B154" s="43" t="s">
        <v>147</v>
      </c>
      <c r="C154" s="132">
        <v>0.15051899999999999</v>
      </c>
    </row>
    <row r="155" spans="2:4" ht="12.75" x14ac:dyDescent="0.2">
      <c r="B155" s="43" t="s">
        <v>398</v>
      </c>
      <c r="C155" s="132">
        <v>0.15051899999999999</v>
      </c>
    </row>
    <row r="156" spans="2:4" ht="15" x14ac:dyDescent="0.25">
      <c r="B156" s="43" t="s">
        <v>149</v>
      </c>
      <c r="C156" s="132">
        <v>0.15051899999999999</v>
      </c>
      <c r="D156"/>
    </row>
    <row r="158" spans="2:4" ht="12.75" x14ac:dyDescent="0.2">
      <c r="B158" s="42" t="s">
        <v>151</v>
      </c>
      <c r="C158" s="41"/>
      <c r="D158" s="67" t="s">
        <v>400</v>
      </c>
    </row>
    <row r="159" spans="2:4" ht="12.75" x14ac:dyDescent="0.2">
      <c r="B159" s="42" t="s">
        <v>152</v>
      </c>
      <c r="C159" s="41"/>
      <c r="D159" s="67" t="s">
        <v>138</v>
      </c>
    </row>
    <row r="160" spans="2:4" ht="12.75" x14ac:dyDescent="0.2">
      <c r="B160" s="42" t="s">
        <v>153</v>
      </c>
      <c r="C160" s="41"/>
      <c r="D160" s="46">
        <v>0.42009331854864246</v>
      </c>
    </row>
    <row r="161" spans="2:4" ht="12.75" x14ac:dyDescent="0.2">
      <c r="B161" s="42" t="s">
        <v>154</v>
      </c>
      <c r="C161" s="41"/>
      <c r="D161" s="46" t="s">
        <v>138</v>
      </c>
    </row>
  </sheetData>
  <mergeCells count="4">
    <mergeCell ref="A1:G1"/>
    <mergeCell ref="A2:G2"/>
    <mergeCell ref="A3:G3"/>
    <mergeCell ref="B136:F13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3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8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8" ht="15" x14ac:dyDescent="0.2">
      <c r="A2" s="176" t="s">
        <v>401</v>
      </c>
      <c r="B2" s="177"/>
      <c r="C2" s="177"/>
      <c r="D2" s="177"/>
      <c r="E2" s="177"/>
      <c r="F2" s="177"/>
      <c r="G2" s="178"/>
    </row>
    <row r="3" spans="1:8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8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8" ht="12.75" x14ac:dyDescent="0.2">
      <c r="A5" s="1"/>
      <c r="B5" s="2"/>
      <c r="C5" s="3" t="s">
        <v>9</v>
      </c>
      <c r="D5" s="4"/>
      <c r="E5" s="47"/>
      <c r="F5" s="53"/>
      <c r="G5" s="5"/>
    </row>
    <row r="6" spans="1:8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8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116358</v>
      </c>
      <c r="F7" s="53">
        <v>538.79571899999996</v>
      </c>
      <c r="G7" s="5">
        <v>5.7353503E-2</v>
      </c>
      <c r="H7" s="130"/>
    </row>
    <row r="8" spans="1:8" ht="12.75" x14ac:dyDescent="0.2">
      <c r="A8" s="6">
        <v>2</v>
      </c>
      <c r="B8" s="7" t="s">
        <v>36</v>
      </c>
      <c r="C8" s="11" t="s">
        <v>37</v>
      </c>
      <c r="D8" s="2" t="s">
        <v>16</v>
      </c>
      <c r="E8" s="47">
        <v>36946</v>
      </c>
      <c r="F8" s="53">
        <v>454.565111</v>
      </c>
      <c r="G8" s="5">
        <v>4.8387357999999998E-2</v>
      </c>
      <c r="H8" s="130"/>
    </row>
    <row r="9" spans="1:8" ht="25.5" x14ac:dyDescent="0.2">
      <c r="A9" s="6">
        <v>3</v>
      </c>
      <c r="B9" s="7" t="s">
        <v>31</v>
      </c>
      <c r="C9" s="11" t="s">
        <v>32</v>
      </c>
      <c r="D9" s="2" t="s">
        <v>33</v>
      </c>
      <c r="E9" s="47">
        <v>30787</v>
      </c>
      <c r="F9" s="53">
        <v>450.82943449999999</v>
      </c>
      <c r="G9" s="5">
        <v>4.7989704000000001E-2</v>
      </c>
      <c r="H9" s="130"/>
    </row>
    <row r="10" spans="1:8" ht="12.75" x14ac:dyDescent="0.2">
      <c r="A10" s="6">
        <v>4</v>
      </c>
      <c r="B10" s="7" t="s">
        <v>299</v>
      </c>
      <c r="C10" s="11" t="s">
        <v>300</v>
      </c>
      <c r="D10" s="2" t="s">
        <v>223</v>
      </c>
      <c r="E10" s="47">
        <v>70027</v>
      </c>
      <c r="F10" s="53">
        <v>379.30124549999999</v>
      </c>
      <c r="G10" s="5">
        <v>4.0375701E-2</v>
      </c>
      <c r="H10" s="130"/>
    </row>
    <row r="11" spans="1:8" ht="25.5" x14ac:dyDescent="0.2">
      <c r="A11" s="6">
        <v>5</v>
      </c>
      <c r="B11" s="7" t="s">
        <v>402</v>
      </c>
      <c r="C11" s="11" t="s">
        <v>403</v>
      </c>
      <c r="D11" s="2" t="s">
        <v>30</v>
      </c>
      <c r="E11" s="47">
        <v>20264</v>
      </c>
      <c r="F11" s="53">
        <v>324.40637600000002</v>
      </c>
      <c r="G11" s="5">
        <v>3.4532275000000001E-2</v>
      </c>
      <c r="H11" s="130"/>
    </row>
    <row r="12" spans="1:8" ht="25.5" x14ac:dyDescent="0.2">
      <c r="A12" s="6">
        <v>6</v>
      </c>
      <c r="B12" s="7" t="s">
        <v>161</v>
      </c>
      <c r="C12" s="11" t="s">
        <v>162</v>
      </c>
      <c r="D12" s="2" t="s">
        <v>163</v>
      </c>
      <c r="E12" s="47">
        <v>88463</v>
      </c>
      <c r="F12" s="53">
        <v>322.62456100000003</v>
      </c>
      <c r="G12" s="5">
        <v>3.4342604999999998E-2</v>
      </c>
      <c r="H12" s="130"/>
    </row>
    <row r="13" spans="1:8" ht="25.5" x14ac:dyDescent="0.2">
      <c r="A13" s="6">
        <v>7</v>
      </c>
      <c r="B13" s="7" t="s">
        <v>404</v>
      </c>
      <c r="C13" s="11" t="s">
        <v>405</v>
      </c>
      <c r="D13" s="2" t="s">
        <v>72</v>
      </c>
      <c r="E13" s="47">
        <v>30674</v>
      </c>
      <c r="F13" s="53">
        <v>304.13270999999997</v>
      </c>
      <c r="G13" s="5">
        <v>3.2374192000000003E-2</v>
      </c>
      <c r="H13" s="130"/>
    </row>
    <row r="14" spans="1:8" ht="25.5" x14ac:dyDescent="0.2">
      <c r="A14" s="6">
        <v>8</v>
      </c>
      <c r="B14" s="7" t="s">
        <v>70</v>
      </c>
      <c r="C14" s="11" t="s">
        <v>71</v>
      </c>
      <c r="D14" s="2" t="s">
        <v>72</v>
      </c>
      <c r="E14" s="47">
        <v>22614</v>
      </c>
      <c r="F14" s="53">
        <v>303.66079200000001</v>
      </c>
      <c r="G14" s="5">
        <v>3.2323958E-2</v>
      </c>
      <c r="H14" s="130"/>
    </row>
    <row r="15" spans="1:8" ht="25.5" x14ac:dyDescent="0.2">
      <c r="A15" s="6">
        <v>9</v>
      </c>
      <c r="B15" s="7" t="s">
        <v>406</v>
      </c>
      <c r="C15" s="11" t="s">
        <v>407</v>
      </c>
      <c r="D15" s="2" t="s">
        <v>47</v>
      </c>
      <c r="E15" s="47">
        <v>117642</v>
      </c>
      <c r="F15" s="53">
        <v>292.81093800000002</v>
      </c>
      <c r="G15" s="5">
        <v>3.1169017E-2</v>
      </c>
      <c r="H15" s="130"/>
    </row>
    <row r="16" spans="1:8" ht="25.5" x14ac:dyDescent="0.2">
      <c r="A16" s="6">
        <v>10</v>
      </c>
      <c r="B16" s="7" t="s">
        <v>11</v>
      </c>
      <c r="C16" s="11" t="s">
        <v>12</v>
      </c>
      <c r="D16" s="2" t="s">
        <v>13</v>
      </c>
      <c r="E16" s="47">
        <v>18569</v>
      </c>
      <c r="F16" s="53">
        <v>273.53065450000003</v>
      </c>
      <c r="G16" s="5">
        <v>2.9116677000000001E-2</v>
      </c>
      <c r="H16" s="130"/>
    </row>
    <row r="17" spans="1:8" ht="25.5" x14ac:dyDescent="0.2">
      <c r="A17" s="6">
        <v>11</v>
      </c>
      <c r="B17" s="7" t="s">
        <v>303</v>
      </c>
      <c r="C17" s="11" t="s">
        <v>304</v>
      </c>
      <c r="D17" s="2" t="s">
        <v>47</v>
      </c>
      <c r="E17" s="47">
        <v>12149</v>
      </c>
      <c r="F17" s="53">
        <v>266.60373049999998</v>
      </c>
      <c r="G17" s="5">
        <v>2.8379323000000001E-2</v>
      </c>
      <c r="H17" s="130"/>
    </row>
    <row r="18" spans="1:8" ht="12.75" x14ac:dyDescent="0.2">
      <c r="A18" s="6">
        <v>12</v>
      </c>
      <c r="B18" s="7" t="s">
        <v>408</v>
      </c>
      <c r="C18" s="11" t="s">
        <v>409</v>
      </c>
      <c r="D18" s="2" t="s">
        <v>16</v>
      </c>
      <c r="E18" s="47">
        <v>35531</v>
      </c>
      <c r="F18" s="53">
        <v>261.6325185</v>
      </c>
      <c r="G18" s="5">
        <v>2.7850149000000001E-2</v>
      </c>
      <c r="H18" s="130"/>
    </row>
    <row r="19" spans="1:8" ht="25.5" x14ac:dyDescent="0.2">
      <c r="A19" s="6">
        <v>13</v>
      </c>
      <c r="B19" s="7" t="s">
        <v>410</v>
      </c>
      <c r="C19" s="11" t="s">
        <v>411</v>
      </c>
      <c r="D19" s="2" t="s">
        <v>72</v>
      </c>
      <c r="E19" s="47">
        <v>8546</v>
      </c>
      <c r="F19" s="53">
        <v>255.892878</v>
      </c>
      <c r="G19" s="5">
        <v>2.7239178999999999E-2</v>
      </c>
      <c r="H19" s="130"/>
    </row>
    <row r="20" spans="1:8" ht="25.5" x14ac:dyDescent="0.2">
      <c r="A20" s="6">
        <v>14</v>
      </c>
      <c r="B20" s="7" t="s">
        <v>318</v>
      </c>
      <c r="C20" s="11" t="s">
        <v>319</v>
      </c>
      <c r="D20" s="2" t="s">
        <v>30</v>
      </c>
      <c r="E20" s="47">
        <v>38646</v>
      </c>
      <c r="F20" s="53">
        <v>239.66316900000001</v>
      </c>
      <c r="G20" s="5">
        <v>2.5511565E-2</v>
      </c>
      <c r="H20" s="130"/>
    </row>
    <row r="21" spans="1:8" ht="25.5" x14ac:dyDescent="0.2">
      <c r="A21" s="6">
        <v>15</v>
      </c>
      <c r="B21" s="7" t="s">
        <v>28</v>
      </c>
      <c r="C21" s="11" t="s">
        <v>29</v>
      </c>
      <c r="D21" s="2" t="s">
        <v>30</v>
      </c>
      <c r="E21" s="47">
        <v>42033</v>
      </c>
      <c r="F21" s="53">
        <v>233.45128199999999</v>
      </c>
      <c r="G21" s="5">
        <v>2.4850324999999999E-2</v>
      </c>
      <c r="H21" s="130"/>
    </row>
    <row r="22" spans="1:8" ht="25.5" x14ac:dyDescent="0.2">
      <c r="A22" s="6">
        <v>16</v>
      </c>
      <c r="B22" s="7" t="s">
        <v>156</v>
      </c>
      <c r="C22" s="11" t="s">
        <v>157</v>
      </c>
      <c r="D22" s="2" t="s">
        <v>158</v>
      </c>
      <c r="E22" s="47">
        <v>25159</v>
      </c>
      <c r="F22" s="53">
        <v>225.80202499999999</v>
      </c>
      <c r="G22" s="5">
        <v>2.4036080000000001E-2</v>
      </c>
      <c r="H22" s="130"/>
    </row>
    <row r="23" spans="1:8" ht="12.75" x14ac:dyDescent="0.2">
      <c r="A23" s="6">
        <v>17</v>
      </c>
      <c r="B23" s="7" t="s">
        <v>412</v>
      </c>
      <c r="C23" s="11" t="s">
        <v>413</v>
      </c>
      <c r="D23" s="2" t="s">
        <v>237</v>
      </c>
      <c r="E23" s="47">
        <v>8310</v>
      </c>
      <c r="F23" s="53">
        <v>224.71902</v>
      </c>
      <c r="G23" s="5">
        <v>2.3920797000000001E-2</v>
      </c>
      <c r="H23" s="130"/>
    </row>
    <row r="24" spans="1:8" ht="12.75" x14ac:dyDescent="0.2">
      <c r="A24" s="6">
        <v>18</v>
      </c>
      <c r="B24" s="7" t="s">
        <v>414</v>
      </c>
      <c r="C24" s="11" t="s">
        <v>415</v>
      </c>
      <c r="D24" s="2" t="s">
        <v>237</v>
      </c>
      <c r="E24" s="47">
        <v>45347</v>
      </c>
      <c r="F24" s="53">
        <v>220.68117549999999</v>
      </c>
      <c r="G24" s="5">
        <v>2.3490977999999999E-2</v>
      </c>
      <c r="H24" s="130"/>
    </row>
    <row r="25" spans="1:8" ht="25.5" x14ac:dyDescent="0.2">
      <c r="A25" s="6">
        <v>19</v>
      </c>
      <c r="B25" s="7" t="s">
        <v>416</v>
      </c>
      <c r="C25" s="11" t="s">
        <v>417</v>
      </c>
      <c r="D25" s="2" t="s">
        <v>72</v>
      </c>
      <c r="E25" s="47">
        <v>34549</v>
      </c>
      <c r="F25" s="53">
        <v>216.34583799999999</v>
      </c>
      <c r="G25" s="5">
        <v>2.3029491999999999E-2</v>
      </c>
      <c r="H25" s="130"/>
    </row>
    <row r="26" spans="1:8" ht="25.5" x14ac:dyDescent="0.2">
      <c r="A26" s="6">
        <v>20</v>
      </c>
      <c r="B26" s="7" t="s">
        <v>418</v>
      </c>
      <c r="C26" s="11" t="s">
        <v>419</v>
      </c>
      <c r="D26" s="2" t="s">
        <v>30</v>
      </c>
      <c r="E26" s="47">
        <v>83182</v>
      </c>
      <c r="F26" s="53">
        <v>214.318423</v>
      </c>
      <c r="G26" s="5">
        <v>2.2813678E-2</v>
      </c>
      <c r="H26" s="130"/>
    </row>
    <row r="27" spans="1:8" ht="12.75" x14ac:dyDescent="0.2">
      <c r="A27" s="6">
        <v>21</v>
      </c>
      <c r="B27" s="7" t="s">
        <v>420</v>
      </c>
      <c r="C27" s="11" t="s">
        <v>421</v>
      </c>
      <c r="D27" s="2" t="s">
        <v>72</v>
      </c>
      <c r="E27" s="47">
        <v>5000</v>
      </c>
      <c r="F27" s="53">
        <v>201.3775</v>
      </c>
      <c r="G27" s="5">
        <v>2.1436147999999999E-2</v>
      </c>
      <c r="H27" s="130"/>
    </row>
    <row r="28" spans="1:8" ht="25.5" x14ac:dyDescent="0.2">
      <c r="A28" s="6">
        <v>22</v>
      </c>
      <c r="B28" s="7" t="s">
        <v>422</v>
      </c>
      <c r="C28" s="11" t="s">
        <v>423</v>
      </c>
      <c r="D28" s="2" t="s">
        <v>30</v>
      </c>
      <c r="E28" s="47">
        <v>31829</v>
      </c>
      <c r="F28" s="53">
        <v>198.9153355</v>
      </c>
      <c r="G28" s="5">
        <v>2.1174057E-2</v>
      </c>
      <c r="H28" s="130"/>
    </row>
    <row r="29" spans="1:8" ht="25.5" x14ac:dyDescent="0.2">
      <c r="A29" s="6">
        <v>23</v>
      </c>
      <c r="B29" s="7" t="s">
        <v>23</v>
      </c>
      <c r="C29" s="11" t="s">
        <v>24</v>
      </c>
      <c r="D29" s="2" t="s">
        <v>22</v>
      </c>
      <c r="E29" s="47">
        <v>32394</v>
      </c>
      <c r="F29" s="53">
        <v>194.80131900000001</v>
      </c>
      <c r="G29" s="5">
        <v>2.0736129999999998E-2</v>
      </c>
      <c r="H29" s="130"/>
    </row>
    <row r="30" spans="1:8" ht="25.5" x14ac:dyDescent="0.2">
      <c r="A30" s="6">
        <v>24</v>
      </c>
      <c r="B30" s="7" t="s">
        <v>424</v>
      </c>
      <c r="C30" s="11" t="s">
        <v>425</v>
      </c>
      <c r="D30" s="2" t="s">
        <v>30</v>
      </c>
      <c r="E30" s="47">
        <v>8778</v>
      </c>
      <c r="F30" s="53">
        <v>190.952223</v>
      </c>
      <c r="G30" s="5">
        <v>2.0326403E-2</v>
      </c>
      <c r="H30" s="130"/>
    </row>
    <row r="31" spans="1:8" ht="25.5" x14ac:dyDescent="0.2">
      <c r="A31" s="6">
        <v>25</v>
      </c>
      <c r="B31" s="7" t="s">
        <v>426</v>
      </c>
      <c r="C31" s="11" t="s">
        <v>427</v>
      </c>
      <c r="D31" s="2" t="s">
        <v>30</v>
      </c>
      <c r="E31" s="47">
        <v>36124</v>
      </c>
      <c r="F31" s="53">
        <v>190.35541799999999</v>
      </c>
      <c r="G31" s="5">
        <v>2.0262874E-2</v>
      </c>
      <c r="H31" s="130"/>
    </row>
    <row r="32" spans="1:8" ht="12.75" x14ac:dyDescent="0.2">
      <c r="A32" s="6">
        <v>26</v>
      </c>
      <c r="B32" s="7" t="s">
        <v>428</v>
      </c>
      <c r="C32" s="11" t="s">
        <v>429</v>
      </c>
      <c r="D32" s="2" t="s">
        <v>168</v>
      </c>
      <c r="E32" s="47">
        <v>283</v>
      </c>
      <c r="F32" s="53">
        <v>185.85671249999999</v>
      </c>
      <c r="G32" s="5">
        <v>1.9783998000000001E-2</v>
      </c>
      <c r="H32" s="130"/>
    </row>
    <row r="33" spans="1:8" ht="12.75" x14ac:dyDescent="0.2">
      <c r="A33" s="6">
        <v>27</v>
      </c>
      <c r="B33" s="7" t="s">
        <v>91</v>
      </c>
      <c r="C33" s="11" t="s">
        <v>92</v>
      </c>
      <c r="D33" s="2" t="s">
        <v>19</v>
      </c>
      <c r="E33" s="47">
        <v>4173</v>
      </c>
      <c r="F33" s="53">
        <v>172.895736</v>
      </c>
      <c r="G33" s="5">
        <v>1.8404332999999998E-2</v>
      </c>
      <c r="H33" s="130"/>
    </row>
    <row r="34" spans="1:8" ht="12.75" x14ac:dyDescent="0.2">
      <c r="A34" s="6">
        <v>28</v>
      </c>
      <c r="B34" s="7" t="s">
        <v>430</v>
      </c>
      <c r="C34" s="11" t="s">
        <v>431</v>
      </c>
      <c r="D34" s="2" t="s">
        <v>242</v>
      </c>
      <c r="E34" s="47">
        <v>27042</v>
      </c>
      <c r="F34" s="53">
        <v>167.552232</v>
      </c>
      <c r="G34" s="5">
        <v>1.7835529999999999E-2</v>
      </c>
      <c r="H34" s="130"/>
    </row>
    <row r="35" spans="1:8" ht="12.75" x14ac:dyDescent="0.2">
      <c r="A35" s="6">
        <v>29</v>
      </c>
      <c r="B35" s="7" t="s">
        <v>346</v>
      </c>
      <c r="C35" s="11" t="s">
        <v>347</v>
      </c>
      <c r="D35" s="2" t="s">
        <v>72</v>
      </c>
      <c r="E35" s="47">
        <v>40640</v>
      </c>
      <c r="F35" s="53">
        <v>165.05936</v>
      </c>
      <c r="G35" s="5">
        <v>1.757017E-2</v>
      </c>
      <c r="H35" s="130"/>
    </row>
    <row r="36" spans="1:8" ht="25.5" x14ac:dyDescent="0.2">
      <c r="A36" s="6">
        <v>30</v>
      </c>
      <c r="B36" s="7" t="s">
        <v>324</v>
      </c>
      <c r="C36" s="11" t="s">
        <v>325</v>
      </c>
      <c r="D36" s="2" t="s">
        <v>22</v>
      </c>
      <c r="E36" s="47">
        <v>30161</v>
      </c>
      <c r="F36" s="53">
        <v>164.06075949999999</v>
      </c>
      <c r="G36" s="5">
        <v>1.7463870999999999E-2</v>
      </c>
      <c r="H36" s="130"/>
    </row>
    <row r="37" spans="1:8" ht="25.5" x14ac:dyDescent="0.2">
      <c r="A37" s="6">
        <v>31</v>
      </c>
      <c r="B37" s="7" t="s">
        <v>45</v>
      </c>
      <c r="C37" s="11" t="s">
        <v>46</v>
      </c>
      <c r="D37" s="2" t="s">
        <v>47</v>
      </c>
      <c r="E37" s="47">
        <v>19431</v>
      </c>
      <c r="F37" s="53">
        <v>163.57987349999999</v>
      </c>
      <c r="G37" s="5">
        <v>1.7412681999999999E-2</v>
      </c>
      <c r="H37" s="130"/>
    </row>
    <row r="38" spans="1:8" ht="25.5" x14ac:dyDescent="0.2">
      <c r="A38" s="6">
        <v>32</v>
      </c>
      <c r="B38" s="7" t="s">
        <v>432</v>
      </c>
      <c r="C38" s="11" t="s">
        <v>433</v>
      </c>
      <c r="D38" s="2" t="s">
        <v>72</v>
      </c>
      <c r="E38" s="47">
        <v>7657</v>
      </c>
      <c r="F38" s="53">
        <v>163.23958300000001</v>
      </c>
      <c r="G38" s="5">
        <v>1.7376459E-2</v>
      </c>
      <c r="H38" s="130"/>
    </row>
    <row r="39" spans="1:8" ht="25.5" x14ac:dyDescent="0.2">
      <c r="A39" s="6">
        <v>33</v>
      </c>
      <c r="B39" s="7" t="s">
        <v>434</v>
      </c>
      <c r="C39" s="11" t="s">
        <v>435</v>
      </c>
      <c r="D39" s="2" t="s">
        <v>30</v>
      </c>
      <c r="E39" s="47">
        <v>8834</v>
      </c>
      <c r="F39" s="53">
        <v>159.86006399999999</v>
      </c>
      <c r="G39" s="5">
        <v>1.7016718E-2</v>
      </c>
      <c r="H39" s="130"/>
    </row>
    <row r="40" spans="1:8" ht="12.75" x14ac:dyDescent="0.2">
      <c r="A40" s="6">
        <v>34</v>
      </c>
      <c r="B40" s="7" t="s">
        <v>436</v>
      </c>
      <c r="C40" s="11" t="s">
        <v>437</v>
      </c>
      <c r="D40" s="2" t="s">
        <v>237</v>
      </c>
      <c r="E40" s="47">
        <v>25244</v>
      </c>
      <c r="F40" s="53">
        <v>153.09223800000001</v>
      </c>
      <c r="G40" s="5">
        <v>1.6296299E-2</v>
      </c>
      <c r="H40" s="130"/>
    </row>
    <row r="41" spans="1:8" ht="12.75" x14ac:dyDescent="0.2">
      <c r="A41" s="6">
        <v>35</v>
      </c>
      <c r="B41" s="7" t="s">
        <v>338</v>
      </c>
      <c r="C41" s="11" t="s">
        <v>339</v>
      </c>
      <c r="D41" s="2" t="s">
        <v>72</v>
      </c>
      <c r="E41" s="47">
        <v>47081</v>
      </c>
      <c r="F41" s="53">
        <v>152.61306149999999</v>
      </c>
      <c r="G41" s="5">
        <v>1.6245292000000001E-2</v>
      </c>
      <c r="H41" s="130"/>
    </row>
    <row r="42" spans="1:8" ht="12.75" x14ac:dyDescent="0.2">
      <c r="A42" s="6">
        <v>36</v>
      </c>
      <c r="B42" s="7" t="s">
        <v>342</v>
      </c>
      <c r="C42" s="11" t="s">
        <v>343</v>
      </c>
      <c r="D42" s="2" t="s">
        <v>72</v>
      </c>
      <c r="E42" s="47">
        <v>35715</v>
      </c>
      <c r="F42" s="53">
        <v>147.28865999999999</v>
      </c>
      <c r="G42" s="5">
        <v>1.5678522E-2</v>
      </c>
      <c r="H42" s="130"/>
    </row>
    <row r="43" spans="1:8" ht="12.75" x14ac:dyDescent="0.2">
      <c r="A43" s="6">
        <v>37</v>
      </c>
      <c r="B43" s="7" t="s">
        <v>336</v>
      </c>
      <c r="C43" s="11" t="s">
        <v>337</v>
      </c>
      <c r="D43" s="2" t="s">
        <v>197</v>
      </c>
      <c r="E43" s="47">
        <v>27165</v>
      </c>
      <c r="F43" s="53">
        <v>140.93201999999999</v>
      </c>
      <c r="G43" s="5">
        <v>1.5001873000000001E-2</v>
      </c>
      <c r="H43" s="130"/>
    </row>
    <row r="44" spans="1:8" ht="12.75" x14ac:dyDescent="0.2">
      <c r="A44" s="6">
        <v>38</v>
      </c>
      <c r="B44" s="7" t="s">
        <v>438</v>
      </c>
      <c r="C44" s="11" t="s">
        <v>439</v>
      </c>
      <c r="D44" s="2" t="s">
        <v>237</v>
      </c>
      <c r="E44" s="47">
        <v>1500</v>
      </c>
      <c r="F44" s="53">
        <v>113.39100000000001</v>
      </c>
      <c r="G44" s="5">
        <v>1.2070198000000001E-2</v>
      </c>
      <c r="H44" s="130"/>
    </row>
    <row r="45" spans="1:8" ht="25.5" x14ac:dyDescent="0.2">
      <c r="A45" s="6">
        <v>39</v>
      </c>
      <c r="B45" s="7" t="s">
        <v>440</v>
      </c>
      <c r="C45" s="11" t="s">
        <v>441</v>
      </c>
      <c r="D45" s="2" t="s">
        <v>22</v>
      </c>
      <c r="E45" s="47">
        <v>32589</v>
      </c>
      <c r="F45" s="53">
        <v>89.864167499999994</v>
      </c>
      <c r="G45" s="5">
        <v>9.5658240000000005E-3</v>
      </c>
      <c r="H45" s="130"/>
    </row>
    <row r="46" spans="1:8" ht="25.5" x14ac:dyDescent="0.2">
      <c r="A46" s="6">
        <v>40</v>
      </c>
      <c r="B46" s="7" t="s">
        <v>200</v>
      </c>
      <c r="C46" s="11" t="s">
        <v>201</v>
      </c>
      <c r="D46" s="2" t="s">
        <v>30</v>
      </c>
      <c r="E46" s="47">
        <v>29130</v>
      </c>
      <c r="F46" s="53">
        <v>87.200654999999998</v>
      </c>
      <c r="G46" s="5">
        <v>9.2822990000000008E-3</v>
      </c>
      <c r="H46" s="130"/>
    </row>
    <row r="47" spans="1:8" ht="25.5" x14ac:dyDescent="0.2">
      <c r="A47" s="6">
        <v>41</v>
      </c>
      <c r="B47" s="7" t="s">
        <v>63</v>
      </c>
      <c r="C47" s="11" t="s">
        <v>64</v>
      </c>
      <c r="D47" s="2" t="s">
        <v>65</v>
      </c>
      <c r="E47" s="47">
        <v>23230</v>
      </c>
      <c r="F47" s="53">
        <v>86.938275000000004</v>
      </c>
      <c r="G47" s="5">
        <v>9.2543690000000001E-3</v>
      </c>
      <c r="H47" s="130"/>
    </row>
    <row r="48" spans="1:8" ht="12.75" x14ac:dyDescent="0.2">
      <c r="A48" s="1"/>
      <c r="B48" s="2"/>
      <c r="C48" s="8" t="s">
        <v>108</v>
      </c>
      <c r="D48" s="12"/>
      <c r="E48" s="49"/>
      <c r="F48" s="55">
        <v>9293.5937940000003</v>
      </c>
      <c r="G48" s="13">
        <v>0.98928060500000015</v>
      </c>
      <c r="H48" s="130"/>
    </row>
    <row r="49" spans="1:7" ht="12.75" x14ac:dyDescent="0.2">
      <c r="A49" s="6"/>
      <c r="B49" s="7"/>
      <c r="C49" s="14"/>
      <c r="D49" s="15"/>
      <c r="E49" s="47"/>
      <c r="F49" s="53"/>
      <c r="G49" s="5"/>
    </row>
    <row r="50" spans="1:7" ht="12.75" x14ac:dyDescent="0.2">
      <c r="A50" s="1"/>
      <c r="B50" s="2"/>
      <c r="C50" s="8" t="s">
        <v>109</v>
      </c>
      <c r="D50" s="9"/>
      <c r="E50" s="48"/>
      <c r="F50" s="54"/>
      <c r="G50" s="10"/>
    </row>
    <row r="51" spans="1:7" ht="12.75" x14ac:dyDescent="0.2">
      <c r="A51" s="1"/>
      <c r="B51" s="2"/>
      <c r="C51" s="8" t="s">
        <v>108</v>
      </c>
      <c r="D51" s="12"/>
      <c r="E51" s="49"/>
      <c r="F51" s="55">
        <v>0</v>
      </c>
      <c r="G51" s="13">
        <v>0</v>
      </c>
    </row>
    <row r="52" spans="1:7" ht="12.75" x14ac:dyDescent="0.2">
      <c r="A52" s="6"/>
      <c r="B52" s="7"/>
      <c r="C52" s="14"/>
      <c r="D52" s="15"/>
      <c r="E52" s="47"/>
      <c r="F52" s="53"/>
      <c r="G52" s="5"/>
    </row>
    <row r="53" spans="1:7" ht="12.75" x14ac:dyDescent="0.2">
      <c r="A53" s="16"/>
      <c r="B53" s="17"/>
      <c r="C53" s="8" t="s">
        <v>110</v>
      </c>
      <c r="D53" s="9"/>
      <c r="E53" s="48"/>
      <c r="F53" s="54"/>
      <c r="G53" s="10"/>
    </row>
    <row r="54" spans="1:7" ht="12.75" x14ac:dyDescent="0.2">
      <c r="A54" s="18"/>
      <c r="B54" s="19"/>
      <c r="C54" s="8" t="s">
        <v>108</v>
      </c>
      <c r="D54" s="20"/>
      <c r="E54" s="50"/>
      <c r="F54" s="56">
        <v>0</v>
      </c>
      <c r="G54" s="21">
        <v>0</v>
      </c>
    </row>
    <row r="55" spans="1:7" ht="12.75" x14ac:dyDescent="0.2">
      <c r="A55" s="18"/>
      <c r="B55" s="19"/>
      <c r="C55" s="14"/>
      <c r="D55" s="22"/>
      <c r="E55" s="51"/>
      <c r="F55" s="57"/>
      <c r="G55" s="23"/>
    </row>
    <row r="56" spans="1:7" ht="12.75" x14ac:dyDescent="0.2">
      <c r="A56" s="1"/>
      <c r="B56" s="2"/>
      <c r="C56" s="8" t="s">
        <v>113</v>
      </c>
      <c r="D56" s="9"/>
      <c r="E56" s="48"/>
      <c r="F56" s="54"/>
      <c r="G56" s="10"/>
    </row>
    <row r="57" spans="1:7" ht="12.75" x14ac:dyDescent="0.2">
      <c r="A57" s="1"/>
      <c r="B57" s="2"/>
      <c r="C57" s="8" t="s">
        <v>108</v>
      </c>
      <c r="D57" s="12"/>
      <c r="E57" s="49"/>
      <c r="F57" s="55">
        <v>0</v>
      </c>
      <c r="G57" s="13">
        <v>0</v>
      </c>
    </row>
    <row r="58" spans="1:7" ht="12.75" x14ac:dyDescent="0.2">
      <c r="A58" s="1"/>
      <c r="B58" s="2"/>
      <c r="C58" s="14"/>
      <c r="D58" s="4"/>
      <c r="E58" s="47"/>
      <c r="F58" s="53"/>
      <c r="G58" s="5"/>
    </row>
    <row r="59" spans="1:7" ht="12.75" x14ac:dyDescent="0.2">
      <c r="A59" s="1"/>
      <c r="B59" s="2"/>
      <c r="C59" s="8" t="s">
        <v>114</v>
      </c>
      <c r="D59" s="9"/>
      <c r="E59" s="48"/>
      <c r="F59" s="54"/>
      <c r="G59" s="10"/>
    </row>
    <row r="60" spans="1:7" ht="12.75" x14ac:dyDescent="0.2">
      <c r="A60" s="1"/>
      <c r="B60" s="2"/>
      <c r="C60" s="8" t="s">
        <v>108</v>
      </c>
      <c r="D60" s="12"/>
      <c r="E60" s="49"/>
      <c r="F60" s="55">
        <v>0</v>
      </c>
      <c r="G60" s="13">
        <v>0</v>
      </c>
    </row>
    <row r="61" spans="1:7" ht="12.75" x14ac:dyDescent="0.2">
      <c r="A61" s="1"/>
      <c r="B61" s="2"/>
      <c r="C61" s="14"/>
      <c r="D61" s="4"/>
      <c r="E61" s="47"/>
      <c r="F61" s="53"/>
      <c r="G61" s="5"/>
    </row>
    <row r="62" spans="1:7" ht="12.75" x14ac:dyDescent="0.2">
      <c r="A62" s="1"/>
      <c r="B62" s="2"/>
      <c r="C62" s="8" t="s">
        <v>115</v>
      </c>
      <c r="D62" s="9"/>
      <c r="E62" s="48"/>
      <c r="F62" s="54"/>
      <c r="G62" s="10"/>
    </row>
    <row r="63" spans="1:7" ht="12.75" x14ac:dyDescent="0.2">
      <c r="A63" s="1"/>
      <c r="B63" s="2"/>
      <c r="C63" s="8" t="s">
        <v>108</v>
      </c>
      <c r="D63" s="12"/>
      <c r="E63" s="49"/>
      <c r="F63" s="55">
        <v>0</v>
      </c>
      <c r="G63" s="13">
        <v>0</v>
      </c>
    </row>
    <row r="64" spans="1:7" ht="12.75" x14ac:dyDescent="0.2">
      <c r="A64" s="1"/>
      <c r="B64" s="2"/>
      <c r="C64" s="14"/>
      <c r="D64" s="4"/>
      <c r="E64" s="47"/>
      <c r="F64" s="53"/>
      <c r="G64" s="5"/>
    </row>
    <row r="65" spans="1:8" ht="25.5" x14ac:dyDescent="0.2">
      <c r="A65" s="6"/>
      <c r="B65" s="7"/>
      <c r="C65" s="24" t="s">
        <v>116</v>
      </c>
      <c r="D65" s="25"/>
      <c r="E65" s="49"/>
      <c r="F65" s="55">
        <v>9293.5937940000003</v>
      </c>
      <c r="G65" s="13">
        <v>0.98928060500000015</v>
      </c>
      <c r="H65" s="130"/>
    </row>
    <row r="66" spans="1:8" ht="12.75" x14ac:dyDescent="0.2">
      <c r="A66" s="1"/>
      <c r="B66" s="2"/>
      <c r="C66" s="11"/>
      <c r="D66" s="4"/>
      <c r="E66" s="47"/>
      <c r="F66" s="53"/>
      <c r="G66" s="5"/>
    </row>
    <row r="67" spans="1:8" ht="12.75" x14ac:dyDescent="0.2">
      <c r="A67" s="1"/>
      <c r="B67" s="2"/>
      <c r="C67" s="3" t="s">
        <v>117</v>
      </c>
      <c r="D67" s="4"/>
      <c r="E67" s="47"/>
      <c r="F67" s="53"/>
      <c r="G67" s="5"/>
    </row>
    <row r="68" spans="1:8" ht="25.5" x14ac:dyDescent="0.2">
      <c r="A68" s="1"/>
      <c r="B68" s="2"/>
      <c r="C68" s="8" t="s">
        <v>10</v>
      </c>
      <c r="D68" s="9"/>
      <c r="E68" s="48"/>
      <c r="F68" s="54"/>
      <c r="G68" s="10"/>
    </row>
    <row r="69" spans="1:8" ht="12.75" x14ac:dyDescent="0.2">
      <c r="A69" s="6"/>
      <c r="B69" s="7"/>
      <c r="C69" s="8" t="s">
        <v>108</v>
      </c>
      <c r="D69" s="12"/>
      <c r="E69" s="49"/>
      <c r="F69" s="55">
        <v>0</v>
      </c>
      <c r="G69" s="13">
        <v>0</v>
      </c>
    </row>
    <row r="70" spans="1:8" ht="12.75" x14ac:dyDescent="0.2">
      <c r="A70" s="6"/>
      <c r="B70" s="7"/>
      <c r="C70" s="14"/>
      <c r="D70" s="4"/>
      <c r="E70" s="47"/>
      <c r="F70" s="53"/>
      <c r="G70" s="5"/>
    </row>
    <row r="71" spans="1:8" ht="12.75" x14ac:dyDescent="0.2">
      <c r="A71" s="1"/>
      <c r="B71" s="26"/>
      <c r="C71" s="8" t="s">
        <v>118</v>
      </c>
      <c r="D71" s="9"/>
      <c r="E71" s="48"/>
      <c r="F71" s="54"/>
      <c r="G71" s="10"/>
    </row>
    <row r="72" spans="1:8" ht="12.75" x14ac:dyDescent="0.2">
      <c r="A72" s="6"/>
      <c r="B72" s="7"/>
      <c r="C72" s="8" t="s">
        <v>108</v>
      </c>
      <c r="D72" s="12"/>
      <c r="E72" s="49"/>
      <c r="F72" s="55">
        <v>0</v>
      </c>
      <c r="G72" s="13">
        <v>0</v>
      </c>
    </row>
    <row r="73" spans="1:8" ht="12.75" x14ac:dyDescent="0.2">
      <c r="A73" s="6"/>
      <c r="B73" s="7"/>
      <c r="C73" s="14"/>
      <c r="D73" s="4"/>
      <c r="E73" s="47"/>
      <c r="F73" s="59"/>
      <c r="G73" s="28"/>
    </row>
    <row r="74" spans="1:8" ht="12.75" x14ac:dyDescent="0.2">
      <c r="A74" s="1"/>
      <c r="B74" s="2"/>
      <c r="C74" s="8" t="s">
        <v>119</v>
      </c>
      <c r="D74" s="9"/>
      <c r="E74" s="48"/>
      <c r="F74" s="54"/>
      <c r="G74" s="10"/>
    </row>
    <row r="75" spans="1:8" ht="12.75" x14ac:dyDescent="0.2">
      <c r="A75" s="6"/>
      <c r="B75" s="7"/>
      <c r="C75" s="8" t="s">
        <v>108</v>
      </c>
      <c r="D75" s="12"/>
      <c r="E75" s="49"/>
      <c r="F75" s="55">
        <v>0</v>
      </c>
      <c r="G75" s="13">
        <v>0</v>
      </c>
    </row>
    <row r="76" spans="1:8" ht="12.75" x14ac:dyDescent="0.2">
      <c r="A76" s="1"/>
      <c r="B76" s="2"/>
      <c r="C76" s="14"/>
      <c r="D76" s="4"/>
      <c r="E76" s="47"/>
      <c r="F76" s="53"/>
      <c r="G76" s="5"/>
    </row>
    <row r="77" spans="1:8" ht="25.5" x14ac:dyDescent="0.2">
      <c r="A77" s="1"/>
      <c r="B77" s="26"/>
      <c r="C77" s="8" t="s">
        <v>120</v>
      </c>
      <c r="D77" s="9"/>
      <c r="E77" s="48"/>
      <c r="F77" s="54"/>
      <c r="G77" s="10"/>
    </row>
    <row r="78" spans="1:8" ht="12.75" x14ac:dyDescent="0.2">
      <c r="A78" s="6"/>
      <c r="B78" s="7"/>
      <c r="C78" s="8" t="s">
        <v>108</v>
      </c>
      <c r="D78" s="12"/>
      <c r="E78" s="49"/>
      <c r="F78" s="55">
        <v>0</v>
      </c>
      <c r="G78" s="13">
        <v>0</v>
      </c>
    </row>
    <row r="79" spans="1:8" ht="12.75" x14ac:dyDescent="0.2">
      <c r="A79" s="6"/>
      <c r="B79" s="7"/>
      <c r="C79" s="14"/>
      <c r="D79" s="4"/>
      <c r="E79" s="47"/>
      <c r="F79" s="53"/>
      <c r="G79" s="5"/>
    </row>
    <row r="80" spans="1:8" ht="12.75" x14ac:dyDescent="0.2">
      <c r="A80" s="6"/>
      <c r="B80" s="7"/>
      <c r="C80" s="29" t="s">
        <v>121</v>
      </c>
      <c r="D80" s="25"/>
      <c r="E80" s="49"/>
      <c r="F80" s="55">
        <v>0</v>
      </c>
      <c r="G80" s="13">
        <v>0</v>
      </c>
    </row>
    <row r="81" spans="1:8" ht="12.75" x14ac:dyDescent="0.2">
      <c r="A81" s="6"/>
      <c r="B81" s="7"/>
      <c r="C81" s="11"/>
      <c r="D81" s="4"/>
      <c r="E81" s="47"/>
      <c r="F81" s="53"/>
      <c r="G81" s="5"/>
    </row>
    <row r="82" spans="1:8" ht="12.75" x14ac:dyDescent="0.2">
      <c r="A82" s="1"/>
      <c r="B82" s="2"/>
      <c r="C82" s="3" t="s">
        <v>122</v>
      </c>
      <c r="D82" s="4"/>
      <c r="E82" s="47"/>
      <c r="F82" s="53"/>
      <c r="G82" s="5"/>
    </row>
    <row r="83" spans="1:8" ht="12.75" x14ac:dyDescent="0.2">
      <c r="A83" s="6"/>
      <c r="B83" s="7"/>
      <c r="C83" s="8" t="s">
        <v>123</v>
      </c>
      <c r="D83" s="9"/>
      <c r="E83" s="48"/>
      <c r="F83" s="54"/>
      <c r="G83" s="10"/>
    </row>
    <row r="84" spans="1:8" ht="12.75" x14ac:dyDescent="0.2">
      <c r="A84" s="6"/>
      <c r="B84" s="7"/>
      <c r="C84" s="8" t="s">
        <v>108</v>
      </c>
      <c r="D84" s="25"/>
      <c r="E84" s="49"/>
      <c r="F84" s="55">
        <v>0</v>
      </c>
      <c r="G84" s="13">
        <v>0</v>
      </c>
    </row>
    <row r="85" spans="1:8" ht="12.75" x14ac:dyDescent="0.2">
      <c r="A85" s="6"/>
      <c r="B85" s="7"/>
      <c r="C85" s="14"/>
      <c r="D85" s="7"/>
      <c r="E85" s="47"/>
      <c r="F85" s="53"/>
      <c r="G85" s="5"/>
    </row>
    <row r="86" spans="1:8" ht="12.75" x14ac:dyDescent="0.2">
      <c r="A86" s="6"/>
      <c r="B86" s="7"/>
      <c r="C86" s="8" t="s">
        <v>124</v>
      </c>
      <c r="D86" s="9"/>
      <c r="E86" s="48"/>
      <c r="F86" s="54"/>
      <c r="G86" s="10"/>
    </row>
    <row r="87" spans="1:8" ht="12.75" x14ac:dyDescent="0.2">
      <c r="A87" s="6"/>
      <c r="B87" s="7"/>
      <c r="C87" s="8" t="s">
        <v>108</v>
      </c>
      <c r="D87" s="25"/>
      <c r="E87" s="49"/>
      <c r="F87" s="55">
        <v>0</v>
      </c>
      <c r="G87" s="13">
        <v>0</v>
      </c>
    </row>
    <row r="88" spans="1:8" ht="12.75" x14ac:dyDescent="0.2">
      <c r="A88" s="6"/>
      <c r="B88" s="7"/>
      <c r="C88" s="14"/>
      <c r="D88" s="7"/>
      <c r="E88" s="47"/>
      <c r="F88" s="53"/>
      <c r="G88" s="5"/>
    </row>
    <row r="89" spans="1:8" ht="12.75" x14ac:dyDescent="0.2">
      <c r="A89" s="6"/>
      <c r="B89" s="7"/>
      <c r="C89" s="8" t="s">
        <v>125</v>
      </c>
      <c r="D89" s="9"/>
      <c r="E89" s="48"/>
      <c r="F89" s="54"/>
      <c r="G89" s="10"/>
    </row>
    <row r="90" spans="1:8" ht="12.75" x14ac:dyDescent="0.2">
      <c r="A90" s="6"/>
      <c r="B90" s="7"/>
      <c r="C90" s="8" t="s">
        <v>108</v>
      </c>
      <c r="D90" s="25"/>
      <c r="E90" s="49"/>
      <c r="F90" s="55">
        <v>0</v>
      </c>
      <c r="G90" s="13">
        <v>0</v>
      </c>
    </row>
    <row r="91" spans="1:8" ht="12.75" x14ac:dyDescent="0.2">
      <c r="A91" s="6"/>
      <c r="B91" s="7"/>
      <c r="C91" s="14"/>
      <c r="D91" s="7"/>
      <c r="E91" s="47"/>
      <c r="F91" s="53"/>
      <c r="G91" s="5"/>
    </row>
    <row r="92" spans="1:8" ht="12.75" x14ac:dyDescent="0.2">
      <c r="A92" s="6"/>
      <c r="B92" s="7"/>
      <c r="C92" s="8" t="s">
        <v>126</v>
      </c>
      <c r="D92" s="9"/>
      <c r="E92" s="48"/>
      <c r="F92" s="54"/>
      <c r="G92" s="10"/>
    </row>
    <row r="93" spans="1:8" ht="12.75" x14ac:dyDescent="0.2">
      <c r="A93" s="6">
        <v>1</v>
      </c>
      <c r="B93" s="7"/>
      <c r="C93" s="11" t="s">
        <v>812</v>
      </c>
      <c r="D93" s="15"/>
      <c r="E93" s="47"/>
      <c r="F93" s="53">
        <v>289.96186790000002</v>
      </c>
      <c r="G93" s="5">
        <v>3.0865739999999999E-2</v>
      </c>
      <c r="H93" s="130"/>
    </row>
    <row r="94" spans="1:8" ht="12.75" x14ac:dyDescent="0.2">
      <c r="A94" s="6"/>
      <c r="B94" s="7"/>
      <c r="C94" s="8" t="s">
        <v>108</v>
      </c>
      <c r="D94" s="25"/>
      <c r="E94" s="49"/>
      <c r="F94" s="55">
        <v>289.96186790000002</v>
      </c>
      <c r="G94" s="13">
        <v>3.0865739999999999E-2</v>
      </c>
    </row>
    <row r="95" spans="1:8" ht="12.75" x14ac:dyDescent="0.2">
      <c r="A95" s="6"/>
      <c r="B95" s="7"/>
      <c r="C95" s="14"/>
      <c r="D95" s="7"/>
      <c r="E95" s="47"/>
      <c r="F95" s="53"/>
      <c r="G95" s="5"/>
    </row>
    <row r="96" spans="1:8" ht="25.5" x14ac:dyDescent="0.2">
      <c r="A96" s="6"/>
      <c r="B96" s="7"/>
      <c r="C96" s="24" t="s">
        <v>127</v>
      </c>
      <c r="D96" s="25"/>
      <c r="E96" s="49"/>
      <c r="F96" s="55">
        <v>289.96186790000002</v>
      </c>
      <c r="G96" s="13">
        <v>3.0865739999999999E-2</v>
      </c>
    </row>
    <row r="97" spans="1:8" ht="12.75" x14ac:dyDescent="0.2">
      <c r="A97" s="6"/>
      <c r="B97" s="7"/>
      <c r="C97" s="30"/>
      <c r="D97" s="7"/>
      <c r="E97" s="47"/>
      <c r="F97" s="53"/>
      <c r="G97" s="5"/>
    </row>
    <row r="98" spans="1:8" ht="12.75" x14ac:dyDescent="0.2">
      <c r="A98" s="1"/>
      <c r="B98" s="2"/>
      <c r="C98" s="3" t="s">
        <v>128</v>
      </c>
      <c r="D98" s="4"/>
      <c r="E98" s="47"/>
      <c r="F98" s="53"/>
      <c r="G98" s="5"/>
    </row>
    <row r="99" spans="1:8" ht="25.5" x14ac:dyDescent="0.2">
      <c r="A99" s="6"/>
      <c r="B99" s="7"/>
      <c r="C99" s="8" t="s">
        <v>129</v>
      </c>
      <c r="D99" s="9"/>
      <c r="E99" s="48"/>
      <c r="F99" s="54"/>
      <c r="G99" s="10"/>
    </row>
    <row r="100" spans="1:8" ht="12.75" x14ac:dyDescent="0.2">
      <c r="A100" s="6"/>
      <c r="B100" s="7"/>
      <c r="C100" s="8" t="s">
        <v>108</v>
      </c>
      <c r="D100" s="25"/>
      <c r="E100" s="49"/>
      <c r="F100" s="55">
        <v>0</v>
      </c>
      <c r="G100" s="13">
        <v>0</v>
      </c>
    </row>
    <row r="101" spans="1:8" ht="12.75" x14ac:dyDescent="0.2">
      <c r="A101" s="6"/>
      <c r="B101" s="7"/>
      <c r="C101" s="14"/>
      <c r="D101" s="7"/>
      <c r="E101" s="47"/>
      <c r="F101" s="53"/>
      <c r="G101" s="5"/>
    </row>
    <row r="102" spans="1:8" ht="12.75" x14ac:dyDescent="0.2">
      <c r="A102" s="1"/>
      <c r="B102" s="2"/>
      <c r="C102" s="3" t="s">
        <v>131</v>
      </c>
      <c r="D102" s="4"/>
      <c r="E102" s="47"/>
      <c r="F102" s="53"/>
      <c r="G102" s="5"/>
    </row>
    <row r="103" spans="1:8" ht="25.5" x14ac:dyDescent="0.2">
      <c r="A103" s="6"/>
      <c r="B103" s="7"/>
      <c r="C103" s="8" t="s">
        <v>132</v>
      </c>
      <c r="D103" s="9"/>
      <c r="E103" s="48"/>
      <c r="F103" s="54"/>
      <c r="G103" s="10"/>
    </row>
    <row r="104" spans="1:8" ht="12.75" x14ac:dyDescent="0.2">
      <c r="A104" s="6"/>
      <c r="B104" s="7"/>
      <c r="C104" s="8" t="s">
        <v>108</v>
      </c>
      <c r="D104" s="25"/>
      <c r="E104" s="49"/>
      <c r="F104" s="55">
        <v>0</v>
      </c>
      <c r="G104" s="13">
        <v>0</v>
      </c>
    </row>
    <row r="105" spans="1:8" ht="12.75" x14ac:dyDescent="0.2">
      <c r="A105" s="6"/>
      <c r="B105" s="7"/>
      <c r="C105" s="14"/>
      <c r="D105" s="7"/>
      <c r="E105" s="47"/>
      <c r="F105" s="53"/>
      <c r="G105" s="5"/>
    </row>
    <row r="106" spans="1:8" ht="25.5" x14ac:dyDescent="0.2">
      <c r="A106" s="6"/>
      <c r="B106" s="7"/>
      <c r="C106" s="8" t="s">
        <v>133</v>
      </c>
      <c r="D106" s="9"/>
      <c r="E106" s="48"/>
      <c r="F106" s="54"/>
      <c r="G106" s="10"/>
    </row>
    <row r="107" spans="1:8" ht="12.75" x14ac:dyDescent="0.2">
      <c r="A107" s="6"/>
      <c r="B107" s="7"/>
      <c r="C107" s="8" t="s">
        <v>108</v>
      </c>
      <c r="D107" s="25"/>
      <c r="E107" s="49"/>
      <c r="F107" s="55">
        <v>0</v>
      </c>
      <c r="G107" s="13">
        <v>0</v>
      </c>
    </row>
    <row r="108" spans="1:8" ht="12.75" x14ac:dyDescent="0.2">
      <c r="A108" s="6"/>
      <c r="B108" s="7"/>
      <c r="C108" s="14"/>
      <c r="D108" s="7"/>
      <c r="E108" s="47"/>
      <c r="F108" s="59"/>
      <c r="G108" s="28"/>
    </row>
    <row r="109" spans="1:8" ht="25.5" x14ac:dyDescent="0.2">
      <c r="A109" s="6"/>
      <c r="B109" s="7"/>
      <c r="C109" s="30" t="s">
        <v>134</v>
      </c>
      <c r="D109" s="7"/>
      <c r="E109" s="47"/>
      <c r="F109" s="128">
        <v>-189.26071118999971</v>
      </c>
      <c r="G109" s="137">
        <v>-2.014634543443793E-2</v>
      </c>
      <c r="H109" s="130"/>
    </row>
    <row r="110" spans="1:8" ht="12.75" x14ac:dyDescent="0.2">
      <c r="A110" s="6"/>
      <c r="B110" s="7"/>
      <c r="C110" s="31" t="s">
        <v>135</v>
      </c>
      <c r="D110" s="12"/>
      <c r="E110" s="49"/>
      <c r="F110" s="55">
        <v>9394.2949507100002</v>
      </c>
      <c r="G110" s="13">
        <v>0.98882564299999998</v>
      </c>
    </row>
    <row r="112" spans="1:8" ht="12.75" x14ac:dyDescent="0.2">
      <c r="B112" s="179"/>
      <c r="C112" s="179"/>
      <c r="D112" s="179"/>
      <c r="E112" s="179"/>
      <c r="F112" s="179"/>
    </row>
    <row r="113" spans="2:6" ht="12.75" x14ac:dyDescent="0.2">
      <c r="B113" s="179"/>
      <c r="C113" s="179"/>
      <c r="D113" s="179"/>
      <c r="E113" s="179"/>
      <c r="F113" s="179"/>
    </row>
    <row r="115" spans="2:6" ht="12.75" x14ac:dyDescent="0.2">
      <c r="B115" s="37" t="s">
        <v>137</v>
      </c>
      <c r="C115" s="38"/>
      <c r="D115" s="39"/>
    </row>
    <row r="116" spans="2:6" ht="12.75" x14ac:dyDescent="0.2">
      <c r="B116" s="40" t="s">
        <v>808</v>
      </c>
      <c r="C116" s="41"/>
      <c r="D116" s="65" t="s">
        <v>138</v>
      </c>
    </row>
    <row r="117" spans="2:6" ht="12.75" x14ac:dyDescent="0.2">
      <c r="B117" s="40" t="s">
        <v>139</v>
      </c>
      <c r="C117" s="41"/>
      <c r="D117" s="65" t="s">
        <v>138</v>
      </c>
    </row>
    <row r="118" spans="2:6" ht="12.75" x14ac:dyDescent="0.2">
      <c r="B118" s="42" t="s">
        <v>140</v>
      </c>
      <c r="C118" s="41"/>
      <c r="D118" s="43"/>
    </row>
    <row r="119" spans="2:6" ht="25.5" customHeight="1" x14ac:dyDescent="0.2">
      <c r="B119" s="43"/>
      <c r="C119" s="33" t="s">
        <v>141</v>
      </c>
      <c r="D119" s="34" t="s">
        <v>142</v>
      </c>
    </row>
    <row r="120" spans="2:6" ht="12.75" customHeight="1" x14ac:dyDescent="0.2">
      <c r="B120" s="60" t="s">
        <v>143</v>
      </c>
      <c r="C120" s="61" t="s">
        <v>144</v>
      </c>
      <c r="D120" s="61" t="s">
        <v>145</v>
      </c>
    </row>
    <row r="121" spans="2:6" ht="12.75" x14ac:dyDescent="0.2">
      <c r="B121" s="43" t="s">
        <v>146</v>
      </c>
      <c r="C121" s="44">
        <v>10.4633</v>
      </c>
      <c r="D121" s="44">
        <v>11.074</v>
      </c>
    </row>
    <row r="122" spans="2:6" ht="12.75" x14ac:dyDescent="0.2">
      <c r="B122" s="43" t="s">
        <v>147</v>
      </c>
      <c r="C122" s="44">
        <v>10.4633</v>
      </c>
      <c r="D122" s="44">
        <v>11.074</v>
      </c>
    </row>
    <row r="123" spans="2:6" ht="12.75" x14ac:dyDescent="0.2">
      <c r="B123" s="43" t="s">
        <v>148</v>
      </c>
      <c r="C123" s="44">
        <v>10.384399999999999</v>
      </c>
      <c r="D123" s="44">
        <v>10.985200000000001</v>
      </c>
    </row>
    <row r="124" spans="2:6" ht="12.75" x14ac:dyDescent="0.2">
      <c r="B124" s="43" t="s">
        <v>149</v>
      </c>
      <c r="C124" s="44">
        <v>10.384399999999999</v>
      </c>
      <c r="D124" s="44">
        <v>10.985200000000001</v>
      </c>
    </row>
    <row r="126" spans="2:6" ht="12.75" x14ac:dyDescent="0.2">
      <c r="B126" s="62" t="s">
        <v>150</v>
      </c>
      <c r="C126" s="45"/>
      <c r="D126" s="63" t="s">
        <v>138</v>
      </c>
    </row>
    <row r="127" spans="2:6" ht="24.75" customHeight="1" x14ac:dyDescent="0.2">
      <c r="B127" s="64"/>
      <c r="C127" s="64"/>
    </row>
    <row r="128" spans="2:6" ht="15" x14ac:dyDescent="0.25">
      <c r="B128" s="66"/>
      <c r="C128" s="68"/>
      <c r="D128"/>
    </row>
    <row r="130" spans="2:4" ht="12.75" x14ac:dyDescent="0.2">
      <c r="B130" s="42" t="s">
        <v>151</v>
      </c>
      <c r="C130" s="41"/>
      <c r="D130" s="67" t="s">
        <v>138</v>
      </c>
    </row>
    <row r="131" spans="2:4" ht="12.75" x14ac:dyDescent="0.2">
      <c r="B131" s="42" t="s">
        <v>152</v>
      </c>
      <c r="C131" s="41"/>
      <c r="D131" s="67" t="s">
        <v>138</v>
      </c>
    </row>
    <row r="132" spans="2:4" ht="12.75" x14ac:dyDescent="0.2">
      <c r="B132" s="42" t="s">
        <v>153</v>
      </c>
      <c r="C132" s="41"/>
      <c r="D132" s="46">
        <v>0.49308291671995169</v>
      </c>
    </row>
    <row r="133" spans="2:4" ht="12.75" x14ac:dyDescent="0.2">
      <c r="B133" s="42" t="s">
        <v>154</v>
      </c>
      <c r="C133" s="41"/>
      <c r="D133" s="46" t="s">
        <v>138</v>
      </c>
    </row>
  </sheetData>
  <mergeCells count="5">
    <mergeCell ref="A1:G1"/>
    <mergeCell ref="A2:G2"/>
    <mergeCell ref="A3:G3"/>
    <mergeCell ref="B112:F112"/>
    <mergeCell ref="B113:F11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3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442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68225</v>
      </c>
      <c r="F7" s="53">
        <v>315.9158625</v>
      </c>
      <c r="G7" s="5">
        <v>5.7045969000000002E-2</v>
      </c>
    </row>
    <row r="8" spans="1:7" ht="25.5" x14ac:dyDescent="0.2">
      <c r="A8" s="6">
        <v>2</v>
      </c>
      <c r="B8" s="7" t="s">
        <v>31</v>
      </c>
      <c r="C8" s="11" t="s">
        <v>32</v>
      </c>
      <c r="D8" s="2" t="s">
        <v>33</v>
      </c>
      <c r="E8" s="47">
        <v>18482</v>
      </c>
      <c r="F8" s="53">
        <v>270.641167</v>
      </c>
      <c r="G8" s="5">
        <v>4.8870568000000003E-2</v>
      </c>
    </row>
    <row r="9" spans="1:7" ht="12.75" x14ac:dyDescent="0.2">
      <c r="A9" s="6">
        <v>3</v>
      </c>
      <c r="B9" s="7" t="s">
        <v>36</v>
      </c>
      <c r="C9" s="11" t="s">
        <v>37</v>
      </c>
      <c r="D9" s="2" t="s">
        <v>16</v>
      </c>
      <c r="E9" s="47">
        <v>21752</v>
      </c>
      <c r="F9" s="53">
        <v>267.62573200000003</v>
      </c>
      <c r="G9" s="5">
        <v>4.8326060999999997E-2</v>
      </c>
    </row>
    <row r="10" spans="1:7" ht="12.75" x14ac:dyDescent="0.2">
      <c r="A10" s="6">
        <v>4</v>
      </c>
      <c r="B10" s="7" t="s">
        <v>299</v>
      </c>
      <c r="C10" s="11" t="s">
        <v>300</v>
      </c>
      <c r="D10" s="2" t="s">
        <v>223</v>
      </c>
      <c r="E10" s="47">
        <v>41278</v>
      </c>
      <c r="F10" s="53">
        <v>223.58228700000001</v>
      </c>
      <c r="G10" s="5">
        <v>4.0372990999999997E-2</v>
      </c>
    </row>
    <row r="11" spans="1:7" ht="25.5" x14ac:dyDescent="0.2">
      <c r="A11" s="6">
        <v>5</v>
      </c>
      <c r="B11" s="7" t="s">
        <v>161</v>
      </c>
      <c r="C11" s="11" t="s">
        <v>162</v>
      </c>
      <c r="D11" s="2" t="s">
        <v>163</v>
      </c>
      <c r="E11" s="47">
        <v>52310</v>
      </c>
      <c r="F11" s="53">
        <v>190.77457000000001</v>
      </c>
      <c r="G11" s="5">
        <v>3.4448792999999998E-2</v>
      </c>
    </row>
    <row r="12" spans="1:7" ht="25.5" x14ac:dyDescent="0.2">
      <c r="A12" s="6">
        <v>6</v>
      </c>
      <c r="B12" s="7" t="s">
        <v>402</v>
      </c>
      <c r="C12" s="11" t="s">
        <v>403</v>
      </c>
      <c r="D12" s="2" t="s">
        <v>30</v>
      </c>
      <c r="E12" s="47">
        <v>11906</v>
      </c>
      <c r="F12" s="53">
        <v>190.60315399999999</v>
      </c>
      <c r="G12" s="5">
        <v>3.4417839999999998E-2</v>
      </c>
    </row>
    <row r="13" spans="1:7" ht="25.5" x14ac:dyDescent="0.2">
      <c r="A13" s="6">
        <v>7</v>
      </c>
      <c r="B13" s="7" t="s">
        <v>404</v>
      </c>
      <c r="C13" s="11" t="s">
        <v>405</v>
      </c>
      <c r="D13" s="2" t="s">
        <v>72</v>
      </c>
      <c r="E13" s="47">
        <v>18121</v>
      </c>
      <c r="F13" s="53">
        <v>179.669715</v>
      </c>
      <c r="G13" s="5">
        <v>3.2443553E-2</v>
      </c>
    </row>
    <row r="14" spans="1:7" ht="25.5" x14ac:dyDescent="0.2">
      <c r="A14" s="6">
        <v>8</v>
      </c>
      <c r="B14" s="7" t="s">
        <v>70</v>
      </c>
      <c r="C14" s="11" t="s">
        <v>71</v>
      </c>
      <c r="D14" s="2" t="s">
        <v>72</v>
      </c>
      <c r="E14" s="47">
        <v>13238</v>
      </c>
      <c r="F14" s="53">
        <v>177.75986399999999</v>
      </c>
      <c r="G14" s="5">
        <v>3.2098685000000002E-2</v>
      </c>
    </row>
    <row r="15" spans="1:7" ht="25.5" x14ac:dyDescent="0.2">
      <c r="A15" s="6">
        <v>9</v>
      </c>
      <c r="B15" s="7" t="s">
        <v>406</v>
      </c>
      <c r="C15" s="11" t="s">
        <v>407</v>
      </c>
      <c r="D15" s="2" t="s">
        <v>47</v>
      </c>
      <c r="E15" s="47">
        <v>68887</v>
      </c>
      <c r="F15" s="53">
        <v>171.459743</v>
      </c>
      <c r="G15" s="5">
        <v>3.0961051E-2</v>
      </c>
    </row>
    <row r="16" spans="1:7" ht="25.5" x14ac:dyDescent="0.2">
      <c r="A16" s="6">
        <v>10</v>
      </c>
      <c r="B16" s="7" t="s">
        <v>11</v>
      </c>
      <c r="C16" s="11" t="s">
        <v>12</v>
      </c>
      <c r="D16" s="2" t="s">
        <v>13</v>
      </c>
      <c r="E16" s="47">
        <v>10955</v>
      </c>
      <c r="F16" s="53">
        <v>161.37262749999999</v>
      </c>
      <c r="G16" s="5">
        <v>2.9139587000000002E-2</v>
      </c>
    </row>
    <row r="17" spans="1:7" ht="25.5" x14ac:dyDescent="0.2">
      <c r="A17" s="6">
        <v>11</v>
      </c>
      <c r="B17" s="7" t="s">
        <v>410</v>
      </c>
      <c r="C17" s="11" t="s">
        <v>411</v>
      </c>
      <c r="D17" s="2" t="s">
        <v>72</v>
      </c>
      <c r="E17" s="47">
        <v>5256</v>
      </c>
      <c r="F17" s="53">
        <v>157.38040799999999</v>
      </c>
      <c r="G17" s="5">
        <v>2.8418698999999999E-2</v>
      </c>
    </row>
    <row r="18" spans="1:7" ht="25.5" x14ac:dyDescent="0.2">
      <c r="A18" s="6">
        <v>12</v>
      </c>
      <c r="B18" s="7" t="s">
        <v>303</v>
      </c>
      <c r="C18" s="11" t="s">
        <v>304</v>
      </c>
      <c r="D18" s="2" t="s">
        <v>47</v>
      </c>
      <c r="E18" s="47">
        <v>7151</v>
      </c>
      <c r="F18" s="53">
        <v>156.92511949999999</v>
      </c>
      <c r="G18" s="5">
        <v>2.8336486000000001E-2</v>
      </c>
    </row>
    <row r="19" spans="1:7" ht="12.75" x14ac:dyDescent="0.2">
      <c r="A19" s="6">
        <v>13</v>
      </c>
      <c r="B19" s="7" t="s">
        <v>408</v>
      </c>
      <c r="C19" s="11" t="s">
        <v>409</v>
      </c>
      <c r="D19" s="2" t="s">
        <v>16</v>
      </c>
      <c r="E19" s="47">
        <v>20777</v>
      </c>
      <c r="F19" s="53">
        <v>152.99143950000001</v>
      </c>
      <c r="G19" s="5">
        <v>2.7626168999999999E-2</v>
      </c>
    </row>
    <row r="20" spans="1:7" ht="25.5" x14ac:dyDescent="0.2">
      <c r="A20" s="6">
        <v>14</v>
      </c>
      <c r="B20" s="7" t="s">
        <v>318</v>
      </c>
      <c r="C20" s="11" t="s">
        <v>319</v>
      </c>
      <c r="D20" s="2" t="s">
        <v>30</v>
      </c>
      <c r="E20" s="47">
        <v>22822</v>
      </c>
      <c r="F20" s="53">
        <v>141.53063299999999</v>
      </c>
      <c r="G20" s="5">
        <v>2.5556652999999999E-2</v>
      </c>
    </row>
    <row r="21" spans="1:7" ht="25.5" x14ac:dyDescent="0.2">
      <c r="A21" s="6">
        <v>15</v>
      </c>
      <c r="B21" s="7" t="s">
        <v>28</v>
      </c>
      <c r="C21" s="11" t="s">
        <v>29</v>
      </c>
      <c r="D21" s="2" t="s">
        <v>30</v>
      </c>
      <c r="E21" s="47">
        <v>24850</v>
      </c>
      <c r="F21" s="53">
        <v>138.01689999999999</v>
      </c>
      <c r="G21" s="5">
        <v>2.4922166999999999E-2</v>
      </c>
    </row>
    <row r="22" spans="1:7" ht="12.75" x14ac:dyDescent="0.2">
      <c r="A22" s="6">
        <v>16</v>
      </c>
      <c r="B22" s="7" t="s">
        <v>412</v>
      </c>
      <c r="C22" s="11" t="s">
        <v>413</v>
      </c>
      <c r="D22" s="2" t="s">
        <v>237</v>
      </c>
      <c r="E22" s="47">
        <v>4901</v>
      </c>
      <c r="F22" s="53">
        <v>132.53284199999999</v>
      </c>
      <c r="G22" s="5">
        <v>2.3931892E-2</v>
      </c>
    </row>
    <row r="23" spans="1:7" ht="25.5" x14ac:dyDescent="0.2">
      <c r="A23" s="6">
        <v>17</v>
      </c>
      <c r="B23" s="7" t="s">
        <v>416</v>
      </c>
      <c r="C23" s="11" t="s">
        <v>417</v>
      </c>
      <c r="D23" s="2" t="s">
        <v>72</v>
      </c>
      <c r="E23" s="47">
        <v>21049</v>
      </c>
      <c r="F23" s="53">
        <v>131.80883800000001</v>
      </c>
      <c r="G23" s="5">
        <v>2.3801157E-2</v>
      </c>
    </row>
    <row r="24" spans="1:7" ht="25.5" x14ac:dyDescent="0.2">
      <c r="A24" s="6">
        <v>18</v>
      </c>
      <c r="B24" s="7" t="s">
        <v>156</v>
      </c>
      <c r="C24" s="11" t="s">
        <v>157</v>
      </c>
      <c r="D24" s="2" t="s">
        <v>158</v>
      </c>
      <c r="E24" s="47">
        <v>14571</v>
      </c>
      <c r="F24" s="53">
        <v>130.77472499999999</v>
      </c>
      <c r="G24" s="5">
        <v>2.3614422999999999E-2</v>
      </c>
    </row>
    <row r="25" spans="1:7" ht="12.75" x14ac:dyDescent="0.2">
      <c r="A25" s="6">
        <v>19</v>
      </c>
      <c r="B25" s="7" t="s">
        <v>414</v>
      </c>
      <c r="C25" s="11" t="s">
        <v>415</v>
      </c>
      <c r="D25" s="2" t="s">
        <v>237</v>
      </c>
      <c r="E25" s="47">
        <v>26318</v>
      </c>
      <c r="F25" s="53">
        <v>128.07654700000001</v>
      </c>
      <c r="G25" s="5">
        <v>2.3127203999999998E-2</v>
      </c>
    </row>
    <row r="26" spans="1:7" ht="25.5" x14ac:dyDescent="0.2">
      <c r="A26" s="6">
        <v>20</v>
      </c>
      <c r="B26" s="7" t="s">
        <v>418</v>
      </c>
      <c r="C26" s="11" t="s">
        <v>419</v>
      </c>
      <c r="D26" s="2" t="s">
        <v>30</v>
      </c>
      <c r="E26" s="47">
        <v>48753</v>
      </c>
      <c r="F26" s="53">
        <v>125.6121045</v>
      </c>
      <c r="G26" s="5">
        <v>2.2682192E-2</v>
      </c>
    </row>
    <row r="27" spans="1:7" ht="12.75" x14ac:dyDescent="0.2">
      <c r="A27" s="6">
        <v>21</v>
      </c>
      <c r="B27" s="7" t="s">
        <v>420</v>
      </c>
      <c r="C27" s="11" t="s">
        <v>421</v>
      </c>
      <c r="D27" s="2" t="s">
        <v>72</v>
      </c>
      <c r="E27" s="47">
        <v>3000</v>
      </c>
      <c r="F27" s="53">
        <v>120.8265</v>
      </c>
      <c r="G27" s="5">
        <v>2.181804E-2</v>
      </c>
    </row>
    <row r="28" spans="1:7" ht="25.5" x14ac:dyDescent="0.2">
      <c r="A28" s="6">
        <v>22</v>
      </c>
      <c r="B28" s="7" t="s">
        <v>23</v>
      </c>
      <c r="C28" s="11" t="s">
        <v>24</v>
      </c>
      <c r="D28" s="2" t="s">
        <v>22</v>
      </c>
      <c r="E28" s="47">
        <v>19534</v>
      </c>
      <c r="F28" s="53">
        <v>117.467709</v>
      </c>
      <c r="G28" s="5">
        <v>2.1211532000000002E-2</v>
      </c>
    </row>
    <row r="29" spans="1:7" ht="25.5" x14ac:dyDescent="0.2">
      <c r="A29" s="6">
        <v>23</v>
      </c>
      <c r="B29" s="7" t="s">
        <v>422</v>
      </c>
      <c r="C29" s="11" t="s">
        <v>423</v>
      </c>
      <c r="D29" s="2" t="s">
        <v>30</v>
      </c>
      <c r="E29" s="47">
        <v>18736</v>
      </c>
      <c r="F29" s="53">
        <v>117.090632</v>
      </c>
      <c r="G29" s="5">
        <v>2.1143441999999998E-2</v>
      </c>
    </row>
    <row r="30" spans="1:7" ht="25.5" x14ac:dyDescent="0.2">
      <c r="A30" s="6">
        <v>24</v>
      </c>
      <c r="B30" s="7" t="s">
        <v>424</v>
      </c>
      <c r="C30" s="11" t="s">
        <v>425</v>
      </c>
      <c r="D30" s="2" t="s">
        <v>30</v>
      </c>
      <c r="E30" s="47">
        <v>5177</v>
      </c>
      <c r="F30" s="53">
        <v>112.6178695</v>
      </c>
      <c r="G30" s="5">
        <v>2.0335780000000001E-2</v>
      </c>
    </row>
    <row r="31" spans="1:7" ht="25.5" x14ac:dyDescent="0.2">
      <c r="A31" s="6">
        <v>25</v>
      </c>
      <c r="B31" s="7" t="s">
        <v>426</v>
      </c>
      <c r="C31" s="11" t="s">
        <v>427</v>
      </c>
      <c r="D31" s="2" t="s">
        <v>30</v>
      </c>
      <c r="E31" s="47">
        <v>21273</v>
      </c>
      <c r="F31" s="53">
        <v>112.0980735</v>
      </c>
      <c r="G31" s="5">
        <v>2.0241919000000001E-2</v>
      </c>
    </row>
    <row r="32" spans="1:7" ht="12.75" x14ac:dyDescent="0.2">
      <c r="A32" s="6">
        <v>26</v>
      </c>
      <c r="B32" s="7" t="s">
        <v>428</v>
      </c>
      <c r="C32" s="11" t="s">
        <v>429</v>
      </c>
      <c r="D32" s="2" t="s">
        <v>168</v>
      </c>
      <c r="E32" s="47">
        <v>167</v>
      </c>
      <c r="F32" s="53">
        <v>109.6751625</v>
      </c>
      <c r="G32" s="5">
        <v>1.9804406E-2</v>
      </c>
    </row>
    <row r="33" spans="1:7" ht="12.75" x14ac:dyDescent="0.2">
      <c r="A33" s="6">
        <v>27</v>
      </c>
      <c r="B33" s="7" t="s">
        <v>91</v>
      </c>
      <c r="C33" s="11" t="s">
        <v>92</v>
      </c>
      <c r="D33" s="2" t="s">
        <v>19</v>
      </c>
      <c r="E33" s="47">
        <v>2453</v>
      </c>
      <c r="F33" s="53">
        <v>101.632696</v>
      </c>
      <c r="G33" s="5">
        <v>1.8352151000000001E-2</v>
      </c>
    </row>
    <row r="34" spans="1:7" ht="12.75" x14ac:dyDescent="0.2">
      <c r="A34" s="6">
        <v>28</v>
      </c>
      <c r="B34" s="7" t="s">
        <v>430</v>
      </c>
      <c r="C34" s="11" t="s">
        <v>431</v>
      </c>
      <c r="D34" s="2" t="s">
        <v>242</v>
      </c>
      <c r="E34" s="47">
        <v>15855</v>
      </c>
      <c r="F34" s="53">
        <v>98.237579999999994</v>
      </c>
      <c r="G34" s="5">
        <v>1.7739083999999999E-2</v>
      </c>
    </row>
    <row r="35" spans="1:7" ht="12.75" x14ac:dyDescent="0.2">
      <c r="A35" s="6">
        <v>29</v>
      </c>
      <c r="B35" s="7" t="s">
        <v>346</v>
      </c>
      <c r="C35" s="11" t="s">
        <v>347</v>
      </c>
      <c r="D35" s="2" t="s">
        <v>72</v>
      </c>
      <c r="E35" s="47">
        <v>23855</v>
      </c>
      <c r="F35" s="53">
        <v>96.887082500000005</v>
      </c>
      <c r="G35" s="5">
        <v>1.7495219999999999E-2</v>
      </c>
    </row>
    <row r="36" spans="1:7" ht="25.5" x14ac:dyDescent="0.2">
      <c r="A36" s="6">
        <v>30</v>
      </c>
      <c r="B36" s="7" t="s">
        <v>432</v>
      </c>
      <c r="C36" s="11" t="s">
        <v>433</v>
      </c>
      <c r="D36" s="2" t="s">
        <v>72</v>
      </c>
      <c r="E36" s="47">
        <v>4522</v>
      </c>
      <c r="F36" s="53">
        <v>96.404517999999996</v>
      </c>
      <c r="G36" s="5">
        <v>1.7408081999999998E-2</v>
      </c>
    </row>
    <row r="37" spans="1:7" ht="25.5" x14ac:dyDescent="0.2">
      <c r="A37" s="6">
        <v>31</v>
      </c>
      <c r="B37" s="7" t="s">
        <v>324</v>
      </c>
      <c r="C37" s="11" t="s">
        <v>325</v>
      </c>
      <c r="D37" s="2" t="s">
        <v>22</v>
      </c>
      <c r="E37" s="47">
        <v>17696</v>
      </c>
      <c r="F37" s="53">
        <v>96.257391999999996</v>
      </c>
      <c r="G37" s="5">
        <v>1.7381515E-2</v>
      </c>
    </row>
    <row r="38" spans="1:7" ht="25.5" x14ac:dyDescent="0.2">
      <c r="A38" s="6">
        <v>32</v>
      </c>
      <c r="B38" s="7" t="s">
        <v>45</v>
      </c>
      <c r="C38" s="11" t="s">
        <v>46</v>
      </c>
      <c r="D38" s="2" t="s">
        <v>47</v>
      </c>
      <c r="E38" s="47">
        <v>11253</v>
      </c>
      <c r="F38" s="53">
        <v>94.733380499999996</v>
      </c>
      <c r="G38" s="5">
        <v>1.7106318999999998E-2</v>
      </c>
    </row>
    <row r="39" spans="1:7" ht="25.5" x14ac:dyDescent="0.2">
      <c r="A39" s="6">
        <v>33</v>
      </c>
      <c r="B39" s="7" t="s">
        <v>434</v>
      </c>
      <c r="C39" s="11" t="s">
        <v>435</v>
      </c>
      <c r="D39" s="2" t="s">
        <v>30</v>
      </c>
      <c r="E39" s="47">
        <v>5148</v>
      </c>
      <c r="F39" s="53">
        <v>93.158208000000002</v>
      </c>
      <c r="G39" s="5">
        <v>1.6821885000000002E-2</v>
      </c>
    </row>
    <row r="40" spans="1:7" ht="12.75" x14ac:dyDescent="0.2">
      <c r="A40" s="6">
        <v>34</v>
      </c>
      <c r="B40" s="7" t="s">
        <v>338</v>
      </c>
      <c r="C40" s="11" t="s">
        <v>339</v>
      </c>
      <c r="D40" s="2" t="s">
        <v>72</v>
      </c>
      <c r="E40" s="47">
        <v>28016</v>
      </c>
      <c r="F40" s="53">
        <v>90.813863999999995</v>
      </c>
      <c r="G40" s="5">
        <v>1.6398559E-2</v>
      </c>
    </row>
    <row r="41" spans="1:7" ht="12.75" x14ac:dyDescent="0.2">
      <c r="A41" s="6">
        <v>35</v>
      </c>
      <c r="B41" s="7" t="s">
        <v>436</v>
      </c>
      <c r="C41" s="11" t="s">
        <v>437</v>
      </c>
      <c r="D41" s="2" t="s">
        <v>237</v>
      </c>
      <c r="E41" s="47">
        <v>14795</v>
      </c>
      <c r="F41" s="53">
        <v>89.724277499999999</v>
      </c>
      <c r="G41" s="5">
        <v>1.6201809000000001E-2</v>
      </c>
    </row>
    <row r="42" spans="1:7" ht="12.75" x14ac:dyDescent="0.2">
      <c r="A42" s="6">
        <v>36</v>
      </c>
      <c r="B42" s="7" t="s">
        <v>342</v>
      </c>
      <c r="C42" s="11" t="s">
        <v>343</v>
      </c>
      <c r="D42" s="2" t="s">
        <v>72</v>
      </c>
      <c r="E42" s="47">
        <v>21270</v>
      </c>
      <c r="F42" s="53">
        <v>87.717479999999995</v>
      </c>
      <c r="G42" s="5">
        <v>1.5839434999999999E-2</v>
      </c>
    </row>
    <row r="43" spans="1:7" ht="12.75" x14ac:dyDescent="0.2">
      <c r="A43" s="6">
        <v>37</v>
      </c>
      <c r="B43" s="7" t="s">
        <v>336</v>
      </c>
      <c r="C43" s="11" t="s">
        <v>337</v>
      </c>
      <c r="D43" s="2" t="s">
        <v>197</v>
      </c>
      <c r="E43" s="47">
        <v>16012</v>
      </c>
      <c r="F43" s="53">
        <v>83.070256000000001</v>
      </c>
      <c r="G43" s="5">
        <v>1.500027E-2</v>
      </c>
    </row>
    <row r="44" spans="1:7" ht="12.75" x14ac:dyDescent="0.2">
      <c r="A44" s="6">
        <v>38</v>
      </c>
      <c r="B44" s="7" t="s">
        <v>438</v>
      </c>
      <c r="C44" s="11" t="s">
        <v>439</v>
      </c>
      <c r="D44" s="2" t="s">
        <v>237</v>
      </c>
      <c r="E44" s="47">
        <v>750</v>
      </c>
      <c r="F44" s="53">
        <v>56.695500000000003</v>
      </c>
      <c r="G44" s="5">
        <v>1.0237693000000001E-2</v>
      </c>
    </row>
    <row r="45" spans="1:7" ht="25.5" x14ac:dyDescent="0.2">
      <c r="A45" s="6">
        <v>39</v>
      </c>
      <c r="B45" s="7" t="s">
        <v>440</v>
      </c>
      <c r="C45" s="11" t="s">
        <v>441</v>
      </c>
      <c r="D45" s="2" t="s">
        <v>22</v>
      </c>
      <c r="E45" s="47">
        <v>19094</v>
      </c>
      <c r="F45" s="53">
        <v>52.651705</v>
      </c>
      <c r="G45" s="5">
        <v>9.5074919999999993E-3</v>
      </c>
    </row>
    <row r="46" spans="1:7" ht="25.5" x14ac:dyDescent="0.2">
      <c r="A46" s="6">
        <v>40</v>
      </c>
      <c r="B46" s="7" t="s">
        <v>200</v>
      </c>
      <c r="C46" s="11" t="s">
        <v>201</v>
      </c>
      <c r="D46" s="2" t="s">
        <v>30</v>
      </c>
      <c r="E46" s="47">
        <v>17147</v>
      </c>
      <c r="F46" s="53">
        <v>51.329544499999997</v>
      </c>
      <c r="G46" s="5">
        <v>9.2687450000000001E-3</v>
      </c>
    </row>
    <row r="47" spans="1:7" ht="25.5" x14ac:dyDescent="0.2">
      <c r="A47" s="6">
        <v>41</v>
      </c>
      <c r="B47" s="7" t="s">
        <v>63</v>
      </c>
      <c r="C47" s="11" t="s">
        <v>64</v>
      </c>
      <c r="D47" s="2" t="s">
        <v>65</v>
      </c>
      <c r="E47" s="47">
        <v>13697</v>
      </c>
      <c r="F47" s="53">
        <v>51.261022500000003</v>
      </c>
      <c r="G47" s="5">
        <v>9.2563720000000006E-3</v>
      </c>
    </row>
    <row r="48" spans="1:7" ht="12.75" x14ac:dyDescent="0.2">
      <c r="A48" s="1"/>
      <c r="B48" s="2"/>
      <c r="C48" s="8" t="s">
        <v>108</v>
      </c>
      <c r="D48" s="12"/>
      <c r="E48" s="49"/>
      <c r="F48" s="55">
        <v>5475.4047315000007</v>
      </c>
      <c r="G48" s="13">
        <v>0.98871189000000004</v>
      </c>
    </row>
    <row r="49" spans="1:7" ht="12.75" x14ac:dyDescent="0.2">
      <c r="A49" s="6"/>
      <c r="B49" s="7"/>
      <c r="C49" s="14"/>
      <c r="D49" s="15"/>
      <c r="E49" s="47"/>
      <c r="F49" s="53"/>
      <c r="G49" s="5"/>
    </row>
    <row r="50" spans="1:7" ht="12.75" x14ac:dyDescent="0.2">
      <c r="A50" s="1"/>
      <c r="B50" s="2"/>
      <c r="C50" s="8" t="s">
        <v>109</v>
      </c>
      <c r="D50" s="9"/>
      <c r="E50" s="48"/>
      <c r="F50" s="54"/>
      <c r="G50" s="10"/>
    </row>
    <row r="51" spans="1:7" ht="12.75" x14ac:dyDescent="0.2">
      <c r="A51" s="1"/>
      <c r="B51" s="2"/>
      <c r="C51" s="8" t="s">
        <v>108</v>
      </c>
      <c r="D51" s="12"/>
      <c r="E51" s="49"/>
      <c r="F51" s="55">
        <v>0</v>
      </c>
      <c r="G51" s="13">
        <v>0</v>
      </c>
    </row>
    <row r="52" spans="1:7" ht="12.75" x14ac:dyDescent="0.2">
      <c r="A52" s="6"/>
      <c r="B52" s="7"/>
      <c r="C52" s="14"/>
      <c r="D52" s="15"/>
      <c r="E52" s="47"/>
      <c r="F52" s="53"/>
      <c r="G52" s="5"/>
    </row>
    <row r="53" spans="1:7" ht="12.75" x14ac:dyDescent="0.2">
      <c r="A53" s="16"/>
      <c r="B53" s="17"/>
      <c r="C53" s="8" t="s">
        <v>110</v>
      </c>
      <c r="D53" s="9"/>
      <c r="E53" s="48"/>
      <c r="F53" s="54"/>
      <c r="G53" s="10"/>
    </row>
    <row r="54" spans="1:7" ht="12.75" x14ac:dyDescent="0.2">
      <c r="A54" s="18"/>
      <c r="B54" s="19"/>
      <c r="C54" s="8" t="s">
        <v>108</v>
      </c>
      <c r="D54" s="20"/>
      <c r="E54" s="50"/>
      <c r="F54" s="56">
        <v>0</v>
      </c>
      <c r="G54" s="21">
        <v>0</v>
      </c>
    </row>
    <row r="55" spans="1:7" ht="12.75" x14ac:dyDescent="0.2">
      <c r="A55" s="18"/>
      <c r="B55" s="19"/>
      <c r="C55" s="14"/>
      <c r="D55" s="22"/>
      <c r="E55" s="51"/>
      <c r="F55" s="57"/>
      <c r="G55" s="23"/>
    </row>
    <row r="56" spans="1:7" ht="12.75" x14ac:dyDescent="0.2">
      <c r="A56" s="1"/>
      <c r="B56" s="2"/>
      <c r="C56" s="8" t="s">
        <v>113</v>
      </c>
      <c r="D56" s="9"/>
      <c r="E56" s="48"/>
      <c r="F56" s="54"/>
      <c r="G56" s="10"/>
    </row>
    <row r="57" spans="1:7" ht="12.75" x14ac:dyDescent="0.2">
      <c r="A57" s="1"/>
      <c r="B57" s="2"/>
      <c r="C57" s="8" t="s">
        <v>108</v>
      </c>
      <c r="D57" s="12"/>
      <c r="E57" s="49"/>
      <c r="F57" s="55">
        <v>0</v>
      </c>
      <c r="G57" s="13">
        <v>0</v>
      </c>
    </row>
    <row r="58" spans="1:7" ht="12.75" x14ac:dyDescent="0.2">
      <c r="A58" s="1"/>
      <c r="B58" s="2"/>
      <c r="C58" s="14"/>
      <c r="D58" s="4"/>
      <c r="E58" s="47"/>
      <c r="F58" s="53"/>
      <c r="G58" s="5"/>
    </row>
    <row r="59" spans="1:7" ht="12.75" x14ac:dyDescent="0.2">
      <c r="A59" s="1"/>
      <c r="B59" s="2"/>
      <c r="C59" s="8" t="s">
        <v>114</v>
      </c>
      <c r="D59" s="9"/>
      <c r="E59" s="48"/>
      <c r="F59" s="54"/>
      <c r="G59" s="10"/>
    </row>
    <row r="60" spans="1:7" ht="12.75" x14ac:dyDescent="0.2">
      <c r="A60" s="1"/>
      <c r="B60" s="2"/>
      <c r="C60" s="8" t="s">
        <v>108</v>
      </c>
      <c r="D60" s="12"/>
      <c r="E60" s="49"/>
      <c r="F60" s="55">
        <v>0</v>
      </c>
      <c r="G60" s="13">
        <v>0</v>
      </c>
    </row>
    <row r="61" spans="1:7" ht="12.75" x14ac:dyDescent="0.2">
      <c r="A61" s="1"/>
      <c r="B61" s="2"/>
      <c r="C61" s="14"/>
      <c r="D61" s="4"/>
      <c r="E61" s="47"/>
      <c r="F61" s="53"/>
      <c r="G61" s="5"/>
    </row>
    <row r="62" spans="1:7" ht="12.75" x14ac:dyDescent="0.2">
      <c r="A62" s="1"/>
      <c r="B62" s="2"/>
      <c r="C62" s="8" t="s">
        <v>115</v>
      </c>
      <c r="D62" s="9"/>
      <c r="E62" s="48"/>
      <c r="F62" s="54"/>
      <c r="G62" s="10"/>
    </row>
    <row r="63" spans="1:7" ht="12.75" x14ac:dyDescent="0.2">
      <c r="A63" s="1"/>
      <c r="B63" s="2"/>
      <c r="C63" s="8" t="s">
        <v>108</v>
      </c>
      <c r="D63" s="12"/>
      <c r="E63" s="49"/>
      <c r="F63" s="55">
        <v>0</v>
      </c>
      <c r="G63" s="13">
        <v>0</v>
      </c>
    </row>
    <row r="64" spans="1:7" ht="12.75" x14ac:dyDescent="0.2">
      <c r="A64" s="1"/>
      <c r="B64" s="2"/>
      <c r="C64" s="14"/>
      <c r="D64" s="4"/>
      <c r="E64" s="47"/>
      <c r="F64" s="53"/>
      <c r="G64" s="5"/>
    </row>
    <row r="65" spans="1:7" ht="25.5" x14ac:dyDescent="0.2">
      <c r="A65" s="6"/>
      <c r="B65" s="7"/>
      <c r="C65" s="24" t="s">
        <v>116</v>
      </c>
      <c r="D65" s="25"/>
      <c r="E65" s="49"/>
      <c r="F65" s="55">
        <v>5475.4047315000007</v>
      </c>
      <c r="G65" s="13">
        <v>0.98871189000000004</v>
      </c>
    </row>
    <row r="66" spans="1:7" ht="12.75" x14ac:dyDescent="0.2">
      <c r="A66" s="1"/>
      <c r="B66" s="2"/>
      <c r="C66" s="11"/>
      <c r="D66" s="4"/>
      <c r="E66" s="47"/>
      <c r="F66" s="53"/>
      <c r="G66" s="5"/>
    </row>
    <row r="67" spans="1:7" ht="12.75" x14ac:dyDescent="0.2">
      <c r="A67" s="1"/>
      <c r="B67" s="2"/>
      <c r="C67" s="3" t="s">
        <v>117</v>
      </c>
      <c r="D67" s="4"/>
      <c r="E67" s="47"/>
      <c r="F67" s="53"/>
      <c r="G67" s="5"/>
    </row>
    <row r="68" spans="1:7" ht="25.5" x14ac:dyDescent="0.2">
      <c r="A68" s="1"/>
      <c r="B68" s="2"/>
      <c r="C68" s="8" t="s">
        <v>10</v>
      </c>
      <c r="D68" s="9"/>
      <c r="E68" s="48"/>
      <c r="F68" s="54"/>
      <c r="G68" s="10"/>
    </row>
    <row r="69" spans="1:7" ht="12.75" x14ac:dyDescent="0.2">
      <c r="A69" s="6"/>
      <c r="B69" s="7"/>
      <c r="C69" s="8" t="s">
        <v>108</v>
      </c>
      <c r="D69" s="12"/>
      <c r="E69" s="49"/>
      <c r="F69" s="55">
        <v>0</v>
      </c>
      <c r="G69" s="13">
        <v>0</v>
      </c>
    </row>
    <row r="70" spans="1:7" ht="12.75" x14ac:dyDescent="0.2">
      <c r="A70" s="6"/>
      <c r="B70" s="7"/>
      <c r="C70" s="14"/>
      <c r="D70" s="4"/>
      <c r="E70" s="47"/>
      <c r="F70" s="53"/>
      <c r="G70" s="5"/>
    </row>
    <row r="71" spans="1:7" ht="12.75" x14ac:dyDescent="0.2">
      <c r="A71" s="1"/>
      <c r="B71" s="26"/>
      <c r="C71" s="8" t="s">
        <v>118</v>
      </c>
      <c r="D71" s="9"/>
      <c r="E71" s="48"/>
      <c r="F71" s="54"/>
      <c r="G71" s="10"/>
    </row>
    <row r="72" spans="1:7" ht="12.75" x14ac:dyDescent="0.2">
      <c r="A72" s="6"/>
      <c r="B72" s="7"/>
      <c r="C72" s="8" t="s">
        <v>108</v>
      </c>
      <c r="D72" s="12"/>
      <c r="E72" s="49"/>
      <c r="F72" s="55">
        <v>0</v>
      </c>
      <c r="G72" s="13">
        <v>0</v>
      </c>
    </row>
    <row r="73" spans="1:7" ht="12.75" x14ac:dyDescent="0.2">
      <c r="A73" s="6"/>
      <c r="B73" s="7"/>
      <c r="C73" s="14"/>
      <c r="D73" s="4"/>
      <c r="E73" s="47"/>
      <c r="F73" s="59"/>
      <c r="G73" s="28"/>
    </row>
    <row r="74" spans="1:7" ht="12.75" x14ac:dyDescent="0.2">
      <c r="A74" s="1"/>
      <c r="B74" s="2"/>
      <c r="C74" s="8" t="s">
        <v>119</v>
      </c>
      <c r="D74" s="9"/>
      <c r="E74" s="48"/>
      <c r="F74" s="54"/>
      <c r="G74" s="10"/>
    </row>
    <row r="75" spans="1:7" ht="12.75" x14ac:dyDescent="0.2">
      <c r="A75" s="6"/>
      <c r="B75" s="7"/>
      <c r="C75" s="8" t="s">
        <v>108</v>
      </c>
      <c r="D75" s="12"/>
      <c r="E75" s="49"/>
      <c r="F75" s="55">
        <v>0</v>
      </c>
      <c r="G75" s="13">
        <v>0</v>
      </c>
    </row>
    <row r="76" spans="1:7" ht="12.75" x14ac:dyDescent="0.2">
      <c r="A76" s="1"/>
      <c r="B76" s="2"/>
      <c r="C76" s="14"/>
      <c r="D76" s="4"/>
      <c r="E76" s="47"/>
      <c r="F76" s="53"/>
      <c r="G76" s="5"/>
    </row>
    <row r="77" spans="1:7" ht="25.5" x14ac:dyDescent="0.2">
      <c r="A77" s="1"/>
      <c r="B77" s="26"/>
      <c r="C77" s="8" t="s">
        <v>120</v>
      </c>
      <c r="D77" s="9"/>
      <c r="E77" s="48"/>
      <c r="F77" s="54"/>
      <c r="G77" s="10"/>
    </row>
    <row r="78" spans="1:7" ht="12.75" x14ac:dyDescent="0.2">
      <c r="A78" s="6"/>
      <c r="B78" s="7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6"/>
      <c r="B79" s="7"/>
      <c r="C79" s="14"/>
      <c r="D79" s="4"/>
      <c r="E79" s="47"/>
      <c r="F79" s="53"/>
      <c r="G79" s="5"/>
    </row>
    <row r="80" spans="1:7" ht="12.75" x14ac:dyDescent="0.2">
      <c r="A80" s="6"/>
      <c r="B80" s="7"/>
      <c r="C80" s="29" t="s">
        <v>121</v>
      </c>
      <c r="D80" s="25"/>
      <c r="E80" s="49"/>
      <c r="F80" s="55">
        <v>0</v>
      </c>
      <c r="G80" s="13">
        <v>0</v>
      </c>
    </row>
    <row r="81" spans="1:7" ht="12.75" x14ac:dyDescent="0.2">
      <c r="A81" s="6"/>
      <c r="B81" s="7"/>
      <c r="C81" s="11"/>
      <c r="D81" s="4"/>
      <c r="E81" s="47"/>
      <c r="F81" s="53"/>
      <c r="G81" s="5"/>
    </row>
    <row r="82" spans="1:7" ht="12.75" x14ac:dyDescent="0.2">
      <c r="A82" s="1"/>
      <c r="B82" s="2"/>
      <c r="C82" s="3" t="s">
        <v>122</v>
      </c>
      <c r="D82" s="4"/>
      <c r="E82" s="47"/>
      <c r="F82" s="53"/>
      <c r="G82" s="5"/>
    </row>
    <row r="83" spans="1:7" ht="12.75" x14ac:dyDescent="0.2">
      <c r="A83" s="6"/>
      <c r="B83" s="7"/>
      <c r="C83" s="8" t="s">
        <v>123</v>
      </c>
      <c r="D83" s="9"/>
      <c r="E83" s="48"/>
      <c r="F83" s="54"/>
      <c r="G83" s="10"/>
    </row>
    <row r="84" spans="1:7" ht="12.75" x14ac:dyDescent="0.2">
      <c r="A84" s="6"/>
      <c r="B84" s="7"/>
      <c r="C84" s="8" t="s">
        <v>108</v>
      </c>
      <c r="D84" s="25"/>
      <c r="E84" s="49"/>
      <c r="F84" s="55">
        <v>0</v>
      </c>
      <c r="G84" s="13">
        <v>0</v>
      </c>
    </row>
    <row r="85" spans="1:7" ht="12.75" x14ac:dyDescent="0.2">
      <c r="A85" s="6"/>
      <c r="B85" s="7"/>
      <c r="C85" s="14"/>
      <c r="D85" s="7"/>
      <c r="E85" s="47"/>
      <c r="F85" s="53"/>
      <c r="G85" s="5"/>
    </row>
    <row r="86" spans="1:7" ht="12.75" x14ac:dyDescent="0.2">
      <c r="A86" s="6"/>
      <c r="B86" s="7"/>
      <c r="C86" s="8" t="s">
        <v>124</v>
      </c>
      <c r="D86" s="9"/>
      <c r="E86" s="48"/>
      <c r="F86" s="54"/>
      <c r="G86" s="10"/>
    </row>
    <row r="87" spans="1:7" ht="12.75" x14ac:dyDescent="0.2">
      <c r="A87" s="6"/>
      <c r="B87" s="7"/>
      <c r="C87" s="8" t="s">
        <v>108</v>
      </c>
      <c r="D87" s="25"/>
      <c r="E87" s="49"/>
      <c r="F87" s="55">
        <v>0</v>
      </c>
      <c r="G87" s="13">
        <v>0</v>
      </c>
    </row>
    <row r="88" spans="1:7" ht="12.75" x14ac:dyDescent="0.2">
      <c r="A88" s="6"/>
      <c r="B88" s="7"/>
      <c r="C88" s="14"/>
      <c r="D88" s="7"/>
      <c r="E88" s="47"/>
      <c r="F88" s="53"/>
      <c r="G88" s="5"/>
    </row>
    <row r="89" spans="1:7" ht="12.75" x14ac:dyDescent="0.2">
      <c r="A89" s="6"/>
      <c r="B89" s="7"/>
      <c r="C89" s="8" t="s">
        <v>125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25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7"/>
      <c r="E91" s="47"/>
      <c r="F91" s="53"/>
      <c r="G91" s="5"/>
    </row>
    <row r="92" spans="1:7" ht="12.75" x14ac:dyDescent="0.2">
      <c r="A92" s="6"/>
      <c r="B92" s="7"/>
      <c r="C92" s="8" t="s">
        <v>126</v>
      </c>
      <c r="D92" s="9"/>
      <c r="E92" s="48"/>
      <c r="F92" s="54"/>
      <c r="G92" s="10"/>
    </row>
    <row r="93" spans="1:7" ht="12.75" x14ac:dyDescent="0.2">
      <c r="A93" s="6">
        <v>1</v>
      </c>
      <c r="B93" s="7"/>
      <c r="C93" s="11" t="s">
        <v>812</v>
      </c>
      <c r="D93" s="15"/>
      <c r="E93" s="47"/>
      <c r="F93" s="53">
        <v>153.97975049999999</v>
      </c>
      <c r="G93" s="5">
        <v>2.7804631E-2</v>
      </c>
    </row>
    <row r="94" spans="1:7" ht="12.75" x14ac:dyDescent="0.2">
      <c r="A94" s="6"/>
      <c r="B94" s="7"/>
      <c r="C94" s="8" t="s">
        <v>108</v>
      </c>
      <c r="D94" s="25"/>
      <c r="E94" s="49"/>
      <c r="F94" s="55">
        <v>153.97975049999999</v>
      </c>
      <c r="G94" s="13">
        <v>2.7804631E-2</v>
      </c>
    </row>
    <row r="95" spans="1:7" ht="12.75" x14ac:dyDescent="0.2">
      <c r="A95" s="6"/>
      <c r="B95" s="7"/>
      <c r="C95" s="14"/>
      <c r="D95" s="7"/>
      <c r="E95" s="47"/>
      <c r="F95" s="53"/>
      <c r="G95" s="5"/>
    </row>
    <row r="96" spans="1:7" ht="25.5" x14ac:dyDescent="0.2">
      <c r="A96" s="6"/>
      <c r="B96" s="7"/>
      <c r="C96" s="24" t="s">
        <v>127</v>
      </c>
      <c r="D96" s="25"/>
      <c r="E96" s="49"/>
      <c r="F96" s="55">
        <v>153.97975049999999</v>
      </c>
      <c r="G96" s="13">
        <v>2.7804631E-2</v>
      </c>
    </row>
    <row r="97" spans="1:7" ht="12.75" x14ac:dyDescent="0.2">
      <c r="A97" s="6"/>
      <c r="B97" s="7"/>
      <c r="C97" s="30"/>
      <c r="D97" s="7"/>
      <c r="E97" s="47"/>
      <c r="F97" s="53"/>
      <c r="G97" s="5"/>
    </row>
    <row r="98" spans="1:7" ht="12.75" x14ac:dyDescent="0.2">
      <c r="A98" s="1"/>
      <c r="B98" s="2"/>
      <c r="C98" s="3" t="s">
        <v>128</v>
      </c>
      <c r="D98" s="4"/>
      <c r="E98" s="47"/>
      <c r="F98" s="53"/>
      <c r="G98" s="5"/>
    </row>
    <row r="99" spans="1:7" ht="25.5" x14ac:dyDescent="0.2">
      <c r="A99" s="6"/>
      <c r="B99" s="7"/>
      <c r="C99" s="8" t="s">
        <v>129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25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4"/>
      <c r="D101" s="7"/>
      <c r="E101" s="47"/>
      <c r="F101" s="53"/>
      <c r="G101" s="5"/>
    </row>
    <row r="102" spans="1:7" ht="12.75" x14ac:dyDescent="0.2">
      <c r="A102" s="1"/>
      <c r="B102" s="2"/>
      <c r="C102" s="3" t="s">
        <v>131</v>
      </c>
      <c r="D102" s="4"/>
      <c r="E102" s="47"/>
      <c r="F102" s="53"/>
      <c r="G102" s="5"/>
    </row>
    <row r="103" spans="1:7" ht="25.5" x14ac:dyDescent="0.2">
      <c r="A103" s="6"/>
      <c r="B103" s="7"/>
      <c r="C103" s="8" t="s">
        <v>132</v>
      </c>
      <c r="D103" s="9"/>
      <c r="E103" s="48"/>
      <c r="F103" s="54"/>
      <c r="G103" s="10"/>
    </row>
    <row r="104" spans="1:7" ht="12.75" x14ac:dyDescent="0.2">
      <c r="A104" s="6"/>
      <c r="B104" s="7"/>
      <c r="C104" s="8" t="s">
        <v>108</v>
      </c>
      <c r="D104" s="25"/>
      <c r="E104" s="49"/>
      <c r="F104" s="55">
        <v>0</v>
      </c>
      <c r="G104" s="13">
        <v>0</v>
      </c>
    </row>
    <row r="105" spans="1:7" ht="12.75" x14ac:dyDescent="0.2">
      <c r="A105" s="6"/>
      <c r="B105" s="7"/>
      <c r="C105" s="14"/>
      <c r="D105" s="7"/>
      <c r="E105" s="47"/>
      <c r="F105" s="53"/>
      <c r="G105" s="5"/>
    </row>
    <row r="106" spans="1:7" ht="25.5" x14ac:dyDescent="0.2">
      <c r="A106" s="6"/>
      <c r="B106" s="7"/>
      <c r="C106" s="8" t="s">
        <v>133</v>
      </c>
      <c r="D106" s="9"/>
      <c r="E106" s="48"/>
      <c r="F106" s="54"/>
      <c r="G106" s="10"/>
    </row>
    <row r="107" spans="1:7" ht="12.75" x14ac:dyDescent="0.2">
      <c r="A107" s="6"/>
      <c r="B107" s="7"/>
      <c r="C107" s="8" t="s">
        <v>108</v>
      </c>
      <c r="D107" s="25"/>
      <c r="E107" s="49"/>
      <c r="F107" s="55">
        <v>0</v>
      </c>
      <c r="G107" s="13">
        <v>0</v>
      </c>
    </row>
    <row r="108" spans="1:7" ht="12.75" x14ac:dyDescent="0.2">
      <c r="A108" s="6"/>
      <c r="B108" s="7"/>
      <c r="C108" s="14"/>
      <c r="D108" s="7"/>
      <c r="E108" s="47"/>
      <c r="F108" s="59"/>
      <c r="G108" s="28"/>
    </row>
    <row r="109" spans="1:7" ht="25.5" x14ac:dyDescent="0.2">
      <c r="A109" s="6"/>
      <c r="B109" s="7"/>
      <c r="C109" s="30" t="s">
        <v>134</v>
      </c>
      <c r="D109" s="7"/>
      <c r="E109" s="47"/>
      <c r="F109" s="128">
        <f>F110-F93-F65</f>
        <v>-91.467115690000355</v>
      </c>
      <c r="G109" s="137">
        <v>-1.6516518691023066E-2</v>
      </c>
    </row>
    <row r="110" spans="1:7" ht="12.75" x14ac:dyDescent="0.2">
      <c r="A110" s="6"/>
      <c r="B110" s="7"/>
      <c r="C110" s="31" t="s">
        <v>135</v>
      </c>
      <c r="D110" s="12"/>
      <c r="E110" s="49"/>
      <c r="F110" s="55">
        <v>5537.91736631</v>
      </c>
      <c r="G110" s="13">
        <v>1</v>
      </c>
    </row>
    <row r="112" spans="1:7" ht="12.75" x14ac:dyDescent="0.2">
      <c r="B112" s="179"/>
      <c r="C112" s="179"/>
      <c r="D112" s="179"/>
      <c r="E112" s="179"/>
      <c r="F112" s="179"/>
    </row>
    <row r="113" spans="2:6" ht="12.75" x14ac:dyDescent="0.2">
      <c r="B113" s="179"/>
      <c r="C113" s="179"/>
      <c r="D113" s="179"/>
      <c r="E113" s="179"/>
      <c r="F113" s="179"/>
    </row>
    <row r="115" spans="2:6" ht="12.75" x14ac:dyDescent="0.2">
      <c r="B115" s="37" t="s">
        <v>137</v>
      </c>
      <c r="C115" s="38"/>
      <c r="D115" s="39"/>
    </row>
    <row r="116" spans="2:6" ht="12.75" x14ac:dyDescent="0.2">
      <c r="B116" s="40" t="s">
        <v>808</v>
      </c>
      <c r="C116" s="41"/>
      <c r="D116" s="65" t="s">
        <v>138</v>
      </c>
    </row>
    <row r="117" spans="2:6" ht="12.75" x14ac:dyDescent="0.2">
      <c r="B117" s="40" t="s">
        <v>139</v>
      </c>
      <c r="C117" s="41"/>
      <c r="D117" s="65" t="s">
        <v>138</v>
      </c>
    </row>
    <row r="118" spans="2:6" ht="12.75" x14ac:dyDescent="0.2">
      <c r="B118" s="42" t="s">
        <v>140</v>
      </c>
      <c r="C118" s="41"/>
      <c r="D118" s="43"/>
    </row>
    <row r="119" spans="2:6" ht="25.5" customHeight="1" x14ac:dyDescent="0.2">
      <c r="B119" s="43"/>
      <c r="C119" s="33" t="s">
        <v>141</v>
      </c>
      <c r="D119" s="34" t="s">
        <v>142</v>
      </c>
    </row>
    <row r="120" spans="2:6" ht="12.75" customHeight="1" x14ac:dyDescent="0.2">
      <c r="B120" s="60" t="s">
        <v>143</v>
      </c>
      <c r="C120" s="61" t="s">
        <v>144</v>
      </c>
      <c r="D120" s="61" t="s">
        <v>145</v>
      </c>
    </row>
    <row r="121" spans="2:6" ht="12.75" x14ac:dyDescent="0.2">
      <c r="B121" s="43" t="s">
        <v>146</v>
      </c>
      <c r="C121" s="44">
        <v>10.458299999999999</v>
      </c>
      <c r="D121" s="44">
        <v>11.059100000000001</v>
      </c>
    </row>
    <row r="122" spans="2:6" ht="12.75" x14ac:dyDescent="0.2">
      <c r="B122" s="43" t="s">
        <v>147</v>
      </c>
      <c r="C122" s="44">
        <v>10.458299999999999</v>
      </c>
      <c r="D122" s="44">
        <v>11.059100000000001</v>
      </c>
    </row>
    <row r="123" spans="2:6" ht="12.75" x14ac:dyDescent="0.2">
      <c r="B123" s="43" t="s">
        <v>148</v>
      </c>
      <c r="C123" s="44">
        <v>10.3713</v>
      </c>
      <c r="D123" s="44">
        <v>10.9619</v>
      </c>
    </row>
    <row r="124" spans="2:6" ht="12.75" x14ac:dyDescent="0.2">
      <c r="B124" s="43" t="s">
        <v>149</v>
      </c>
      <c r="C124" s="44">
        <v>10.3713</v>
      </c>
      <c r="D124" s="44">
        <v>10.9619</v>
      </c>
    </row>
    <row r="126" spans="2:6" ht="12.75" x14ac:dyDescent="0.2">
      <c r="B126" s="62" t="s">
        <v>150</v>
      </c>
      <c r="C126" s="45"/>
      <c r="D126" s="63" t="s">
        <v>138</v>
      </c>
    </row>
    <row r="127" spans="2:6" ht="24.75" customHeight="1" x14ac:dyDescent="0.2">
      <c r="B127" s="64"/>
      <c r="C127" s="64"/>
    </row>
    <row r="128" spans="2:6" ht="15" x14ac:dyDescent="0.25">
      <c r="B128" s="66"/>
      <c r="C128" s="68"/>
      <c r="D128"/>
    </row>
    <row r="130" spans="2:4" ht="12.75" x14ac:dyDescent="0.2">
      <c r="B130" s="42" t="s">
        <v>151</v>
      </c>
      <c r="C130" s="41"/>
      <c r="D130" s="67" t="s">
        <v>138</v>
      </c>
    </row>
    <row r="131" spans="2:4" ht="12.75" x14ac:dyDescent="0.2">
      <c r="B131" s="42" t="s">
        <v>152</v>
      </c>
      <c r="C131" s="41"/>
      <c r="D131" s="67" t="s">
        <v>138</v>
      </c>
    </row>
    <row r="132" spans="2:4" ht="12.75" x14ac:dyDescent="0.2">
      <c r="B132" s="42" t="s">
        <v>153</v>
      </c>
      <c r="C132" s="41"/>
      <c r="D132" s="46">
        <v>0.47195153585216504</v>
      </c>
    </row>
    <row r="133" spans="2:4" ht="12.75" x14ac:dyDescent="0.2">
      <c r="B133" s="42" t="s">
        <v>154</v>
      </c>
      <c r="C133" s="41"/>
      <c r="D133" s="46" t="s">
        <v>138</v>
      </c>
    </row>
  </sheetData>
  <mergeCells count="5">
    <mergeCell ref="A1:G1"/>
    <mergeCell ref="A2:G2"/>
    <mergeCell ref="A3:G3"/>
    <mergeCell ref="B112:F112"/>
    <mergeCell ref="B113:F11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443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31</v>
      </c>
      <c r="C7" s="11" t="s">
        <v>32</v>
      </c>
      <c r="D7" s="2" t="s">
        <v>33</v>
      </c>
      <c r="E7" s="47">
        <v>376962</v>
      </c>
      <c r="F7" s="53">
        <v>5520.0430470000001</v>
      </c>
      <c r="G7" s="5">
        <v>6.3344534999999993E-2</v>
      </c>
    </row>
    <row r="8" spans="1:7" ht="12.75" x14ac:dyDescent="0.2">
      <c r="A8" s="6">
        <v>2</v>
      </c>
      <c r="B8" s="7" t="s">
        <v>14</v>
      </c>
      <c r="C8" s="11" t="s">
        <v>15</v>
      </c>
      <c r="D8" s="2" t="s">
        <v>16</v>
      </c>
      <c r="E8" s="47">
        <v>1027182</v>
      </c>
      <c r="F8" s="53">
        <v>4756.3662510000004</v>
      </c>
      <c r="G8" s="5">
        <v>5.4581061E-2</v>
      </c>
    </row>
    <row r="9" spans="1:7" ht="25.5" x14ac:dyDescent="0.2">
      <c r="A9" s="6">
        <v>3</v>
      </c>
      <c r="B9" s="7" t="s">
        <v>11</v>
      </c>
      <c r="C9" s="11" t="s">
        <v>12</v>
      </c>
      <c r="D9" s="2" t="s">
        <v>13</v>
      </c>
      <c r="E9" s="47">
        <v>267924</v>
      </c>
      <c r="F9" s="53">
        <v>3946.6544819999999</v>
      </c>
      <c r="G9" s="5">
        <v>4.5289319000000001E-2</v>
      </c>
    </row>
    <row r="10" spans="1:7" ht="25.5" x14ac:dyDescent="0.2">
      <c r="A10" s="6">
        <v>4</v>
      </c>
      <c r="B10" s="7" t="s">
        <v>426</v>
      </c>
      <c r="C10" s="11" t="s">
        <v>427</v>
      </c>
      <c r="D10" s="2" t="s">
        <v>30</v>
      </c>
      <c r="E10" s="47">
        <v>643777</v>
      </c>
      <c r="F10" s="53">
        <v>3392.3829015000001</v>
      </c>
      <c r="G10" s="5">
        <v>3.8928848000000002E-2</v>
      </c>
    </row>
    <row r="11" spans="1:7" ht="25.5" x14ac:dyDescent="0.2">
      <c r="A11" s="6">
        <v>5</v>
      </c>
      <c r="B11" s="7" t="s">
        <v>444</v>
      </c>
      <c r="C11" s="11" t="s">
        <v>445</v>
      </c>
      <c r="D11" s="2" t="s">
        <v>27</v>
      </c>
      <c r="E11" s="47">
        <v>203671</v>
      </c>
      <c r="F11" s="53">
        <v>3372.9954309999998</v>
      </c>
      <c r="G11" s="5">
        <v>3.8706369999999997E-2</v>
      </c>
    </row>
    <row r="12" spans="1:7" ht="25.5" x14ac:dyDescent="0.2">
      <c r="A12" s="6">
        <v>6</v>
      </c>
      <c r="B12" s="7" t="s">
        <v>70</v>
      </c>
      <c r="C12" s="11" t="s">
        <v>71</v>
      </c>
      <c r="D12" s="2" t="s">
        <v>72</v>
      </c>
      <c r="E12" s="47">
        <v>250268</v>
      </c>
      <c r="F12" s="53">
        <v>3360.598704</v>
      </c>
      <c r="G12" s="5">
        <v>3.8564111999999998E-2</v>
      </c>
    </row>
    <row r="13" spans="1:7" ht="12.75" x14ac:dyDescent="0.2">
      <c r="A13" s="6">
        <v>7</v>
      </c>
      <c r="B13" s="7" t="s">
        <v>36</v>
      </c>
      <c r="C13" s="11" t="s">
        <v>37</v>
      </c>
      <c r="D13" s="2" t="s">
        <v>16</v>
      </c>
      <c r="E13" s="47">
        <v>269434</v>
      </c>
      <c r="F13" s="53">
        <v>3314.9812189999998</v>
      </c>
      <c r="G13" s="5">
        <v>3.8040635000000003E-2</v>
      </c>
    </row>
    <row r="14" spans="1:7" ht="12.75" x14ac:dyDescent="0.2">
      <c r="A14" s="6">
        <v>8</v>
      </c>
      <c r="B14" s="7" t="s">
        <v>420</v>
      </c>
      <c r="C14" s="11" t="s">
        <v>421</v>
      </c>
      <c r="D14" s="2" t="s">
        <v>72</v>
      </c>
      <c r="E14" s="47">
        <v>79806</v>
      </c>
      <c r="F14" s="53">
        <v>3214.226553</v>
      </c>
      <c r="G14" s="5">
        <v>3.6884437999999999E-2</v>
      </c>
    </row>
    <row r="15" spans="1:7" ht="12.75" x14ac:dyDescent="0.2">
      <c r="A15" s="6">
        <v>9</v>
      </c>
      <c r="B15" s="7" t="s">
        <v>414</v>
      </c>
      <c r="C15" s="11" t="s">
        <v>415</v>
      </c>
      <c r="D15" s="2" t="s">
        <v>237</v>
      </c>
      <c r="E15" s="47">
        <v>612948</v>
      </c>
      <c r="F15" s="53">
        <v>2982.9114420000001</v>
      </c>
      <c r="G15" s="5">
        <v>3.4230011999999997E-2</v>
      </c>
    </row>
    <row r="16" spans="1:7" ht="25.5" x14ac:dyDescent="0.2">
      <c r="A16" s="6">
        <v>10</v>
      </c>
      <c r="B16" s="7" t="s">
        <v>404</v>
      </c>
      <c r="C16" s="11" t="s">
        <v>405</v>
      </c>
      <c r="D16" s="2" t="s">
        <v>72</v>
      </c>
      <c r="E16" s="47">
        <v>286151</v>
      </c>
      <c r="F16" s="53">
        <v>2837.1871649999998</v>
      </c>
      <c r="G16" s="5">
        <v>3.2557771999999999E-2</v>
      </c>
    </row>
    <row r="17" spans="1:7" ht="12.75" x14ac:dyDescent="0.2">
      <c r="A17" s="6">
        <v>11</v>
      </c>
      <c r="B17" s="7" t="s">
        <v>91</v>
      </c>
      <c r="C17" s="11" t="s">
        <v>92</v>
      </c>
      <c r="D17" s="2" t="s">
        <v>19</v>
      </c>
      <c r="E17" s="47">
        <v>68364</v>
      </c>
      <c r="F17" s="53">
        <v>2832.4572480000002</v>
      </c>
      <c r="G17" s="5">
        <v>3.2503494000000001E-2</v>
      </c>
    </row>
    <row r="18" spans="1:7" ht="25.5" x14ac:dyDescent="0.2">
      <c r="A18" s="6">
        <v>12</v>
      </c>
      <c r="B18" s="7" t="s">
        <v>416</v>
      </c>
      <c r="C18" s="11" t="s">
        <v>417</v>
      </c>
      <c r="D18" s="2" t="s">
        <v>72</v>
      </c>
      <c r="E18" s="47">
        <v>400000</v>
      </c>
      <c r="F18" s="53">
        <v>2504.8000000000002</v>
      </c>
      <c r="G18" s="5">
        <v>2.8743505999999999E-2</v>
      </c>
    </row>
    <row r="19" spans="1:7" ht="25.5" x14ac:dyDescent="0.2">
      <c r="A19" s="6">
        <v>13</v>
      </c>
      <c r="B19" s="7" t="s">
        <v>324</v>
      </c>
      <c r="C19" s="11" t="s">
        <v>325</v>
      </c>
      <c r="D19" s="2" t="s">
        <v>22</v>
      </c>
      <c r="E19" s="47">
        <v>449952</v>
      </c>
      <c r="F19" s="53">
        <v>2447.5139039999999</v>
      </c>
      <c r="G19" s="5">
        <v>2.8086126999999999E-2</v>
      </c>
    </row>
    <row r="20" spans="1:7" ht="25.5" x14ac:dyDescent="0.2">
      <c r="A20" s="6">
        <v>14</v>
      </c>
      <c r="B20" s="7" t="s">
        <v>422</v>
      </c>
      <c r="C20" s="11" t="s">
        <v>423</v>
      </c>
      <c r="D20" s="2" t="s">
        <v>30</v>
      </c>
      <c r="E20" s="47">
        <v>391199</v>
      </c>
      <c r="F20" s="53">
        <v>2444.7981504999998</v>
      </c>
      <c r="G20" s="5">
        <v>2.8054962999999999E-2</v>
      </c>
    </row>
    <row r="21" spans="1:7" ht="25.5" x14ac:dyDescent="0.2">
      <c r="A21" s="6">
        <v>15</v>
      </c>
      <c r="B21" s="7" t="s">
        <v>301</v>
      </c>
      <c r="C21" s="11" t="s">
        <v>302</v>
      </c>
      <c r="D21" s="2" t="s">
        <v>183</v>
      </c>
      <c r="E21" s="47">
        <v>164622</v>
      </c>
      <c r="F21" s="53">
        <v>2444.307456</v>
      </c>
      <c r="G21" s="5">
        <v>2.8049332E-2</v>
      </c>
    </row>
    <row r="22" spans="1:7" ht="25.5" x14ac:dyDescent="0.2">
      <c r="A22" s="6">
        <v>16</v>
      </c>
      <c r="B22" s="7" t="s">
        <v>446</v>
      </c>
      <c r="C22" s="11" t="s">
        <v>447</v>
      </c>
      <c r="D22" s="2" t="s">
        <v>47</v>
      </c>
      <c r="E22" s="47">
        <v>333156</v>
      </c>
      <c r="F22" s="53">
        <v>2360.4102600000001</v>
      </c>
      <c r="G22" s="5">
        <v>2.7086579999999999E-2</v>
      </c>
    </row>
    <row r="23" spans="1:7" ht="12.75" x14ac:dyDescent="0.2">
      <c r="A23" s="6">
        <v>17</v>
      </c>
      <c r="B23" s="7" t="s">
        <v>408</v>
      </c>
      <c r="C23" s="11" t="s">
        <v>409</v>
      </c>
      <c r="D23" s="2" t="s">
        <v>16</v>
      </c>
      <c r="E23" s="47">
        <v>312851</v>
      </c>
      <c r="F23" s="53">
        <v>2303.6783384999999</v>
      </c>
      <c r="G23" s="5">
        <v>2.6435561E-2</v>
      </c>
    </row>
    <row r="24" spans="1:7" ht="12.75" x14ac:dyDescent="0.2">
      <c r="A24" s="6">
        <v>18</v>
      </c>
      <c r="B24" s="7" t="s">
        <v>17</v>
      </c>
      <c r="C24" s="11" t="s">
        <v>18</v>
      </c>
      <c r="D24" s="2" t="s">
        <v>19</v>
      </c>
      <c r="E24" s="47">
        <v>273955</v>
      </c>
      <c r="F24" s="53">
        <v>2149.9988400000002</v>
      </c>
      <c r="G24" s="5">
        <v>2.4672032E-2</v>
      </c>
    </row>
    <row r="25" spans="1:7" ht="25.5" x14ac:dyDescent="0.2">
      <c r="A25" s="6">
        <v>19</v>
      </c>
      <c r="B25" s="7" t="s">
        <v>303</v>
      </c>
      <c r="C25" s="11" t="s">
        <v>304</v>
      </c>
      <c r="D25" s="2" t="s">
        <v>47</v>
      </c>
      <c r="E25" s="47">
        <v>94644</v>
      </c>
      <c r="F25" s="53">
        <v>2076.915258</v>
      </c>
      <c r="G25" s="5">
        <v>2.383337E-2</v>
      </c>
    </row>
    <row r="26" spans="1:7" ht="51" x14ac:dyDescent="0.2">
      <c r="A26" s="6">
        <v>20</v>
      </c>
      <c r="B26" s="7" t="s">
        <v>328</v>
      </c>
      <c r="C26" s="11" t="s">
        <v>329</v>
      </c>
      <c r="D26" s="2" t="s">
        <v>208</v>
      </c>
      <c r="E26" s="47">
        <v>1239555</v>
      </c>
      <c r="F26" s="53">
        <v>2076.8744025000001</v>
      </c>
      <c r="G26" s="5">
        <v>2.3832902E-2</v>
      </c>
    </row>
    <row r="27" spans="1:7" ht="25.5" x14ac:dyDescent="0.2">
      <c r="A27" s="6">
        <v>21</v>
      </c>
      <c r="B27" s="7" t="s">
        <v>406</v>
      </c>
      <c r="C27" s="11" t="s">
        <v>407</v>
      </c>
      <c r="D27" s="2" t="s">
        <v>47</v>
      </c>
      <c r="E27" s="47">
        <v>827836</v>
      </c>
      <c r="F27" s="53">
        <v>2060.483804</v>
      </c>
      <c r="G27" s="5">
        <v>2.3644813000000001E-2</v>
      </c>
    </row>
    <row r="28" spans="1:7" ht="25.5" x14ac:dyDescent="0.2">
      <c r="A28" s="6">
        <v>22</v>
      </c>
      <c r="B28" s="7" t="s">
        <v>318</v>
      </c>
      <c r="C28" s="11" t="s">
        <v>319</v>
      </c>
      <c r="D28" s="2" t="s">
        <v>30</v>
      </c>
      <c r="E28" s="47">
        <v>320400</v>
      </c>
      <c r="F28" s="53">
        <v>1986.9606000000001</v>
      </c>
      <c r="G28" s="5">
        <v>2.2801107000000001E-2</v>
      </c>
    </row>
    <row r="29" spans="1:7" ht="12.75" x14ac:dyDescent="0.2">
      <c r="A29" s="6">
        <v>23</v>
      </c>
      <c r="B29" s="7" t="s">
        <v>299</v>
      </c>
      <c r="C29" s="11" t="s">
        <v>300</v>
      </c>
      <c r="D29" s="2" t="s">
        <v>223</v>
      </c>
      <c r="E29" s="47">
        <v>351054</v>
      </c>
      <c r="F29" s="53">
        <v>1901.4839910000001</v>
      </c>
      <c r="G29" s="5">
        <v>2.1820231999999998E-2</v>
      </c>
    </row>
    <row r="30" spans="1:7" ht="25.5" x14ac:dyDescent="0.2">
      <c r="A30" s="6">
        <v>24</v>
      </c>
      <c r="B30" s="7" t="s">
        <v>330</v>
      </c>
      <c r="C30" s="11" t="s">
        <v>331</v>
      </c>
      <c r="D30" s="2" t="s">
        <v>30</v>
      </c>
      <c r="E30" s="47">
        <v>15270</v>
      </c>
      <c r="F30" s="53">
        <v>1869.39921</v>
      </c>
      <c r="G30" s="5">
        <v>2.1452046999999998E-2</v>
      </c>
    </row>
    <row r="31" spans="1:7" ht="12.75" x14ac:dyDescent="0.2">
      <c r="A31" s="6">
        <v>25</v>
      </c>
      <c r="B31" s="7" t="s">
        <v>332</v>
      </c>
      <c r="C31" s="11" t="s">
        <v>333</v>
      </c>
      <c r="D31" s="2" t="s">
        <v>158</v>
      </c>
      <c r="E31" s="47">
        <v>281005</v>
      </c>
      <c r="F31" s="53">
        <v>1761.33934</v>
      </c>
      <c r="G31" s="5">
        <v>2.0212020000000001E-2</v>
      </c>
    </row>
    <row r="32" spans="1:7" ht="12.75" x14ac:dyDescent="0.2">
      <c r="A32" s="6">
        <v>26</v>
      </c>
      <c r="B32" s="7" t="s">
        <v>348</v>
      </c>
      <c r="C32" s="11" t="s">
        <v>349</v>
      </c>
      <c r="D32" s="2" t="s">
        <v>226</v>
      </c>
      <c r="E32" s="47">
        <v>26020</v>
      </c>
      <c r="F32" s="53">
        <v>1751.6403800000001</v>
      </c>
      <c r="G32" s="5">
        <v>2.0100720999999998E-2</v>
      </c>
    </row>
    <row r="33" spans="1:7" ht="12.75" x14ac:dyDescent="0.2">
      <c r="A33" s="6">
        <v>27</v>
      </c>
      <c r="B33" s="7" t="s">
        <v>316</v>
      </c>
      <c r="C33" s="11" t="s">
        <v>317</v>
      </c>
      <c r="D33" s="2" t="s">
        <v>16</v>
      </c>
      <c r="E33" s="47">
        <v>2057111</v>
      </c>
      <c r="F33" s="53">
        <v>1723.8590180000001</v>
      </c>
      <c r="G33" s="5">
        <v>1.9781920000000001E-2</v>
      </c>
    </row>
    <row r="34" spans="1:7" ht="12.75" x14ac:dyDescent="0.2">
      <c r="A34" s="6">
        <v>28</v>
      </c>
      <c r="B34" s="7" t="s">
        <v>448</v>
      </c>
      <c r="C34" s="11" t="s">
        <v>449</v>
      </c>
      <c r="D34" s="2" t="s">
        <v>242</v>
      </c>
      <c r="E34" s="47">
        <v>75522</v>
      </c>
      <c r="F34" s="53">
        <v>1714.085073</v>
      </c>
      <c r="G34" s="5">
        <v>1.9669760000000001E-2</v>
      </c>
    </row>
    <row r="35" spans="1:7" ht="12.75" x14ac:dyDescent="0.2">
      <c r="A35" s="6">
        <v>29</v>
      </c>
      <c r="B35" s="7" t="s">
        <v>344</v>
      </c>
      <c r="C35" s="11" t="s">
        <v>345</v>
      </c>
      <c r="D35" s="2" t="s">
        <v>16</v>
      </c>
      <c r="E35" s="47">
        <v>552391</v>
      </c>
      <c r="F35" s="53">
        <v>1712.964491</v>
      </c>
      <c r="G35" s="5">
        <v>1.9656901000000001E-2</v>
      </c>
    </row>
    <row r="36" spans="1:7" ht="25.5" x14ac:dyDescent="0.2">
      <c r="A36" s="6">
        <v>30</v>
      </c>
      <c r="B36" s="7" t="s">
        <v>450</v>
      </c>
      <c r="C36" s="11" t="s">
        <v>451</v>
      </c>
      <c r="D36" s="2" t="s">
        <v>47</v>
      </c>
      <c r="E36" s="47">
        <v>126844</v>
      </c>
      <c r="F36" s="53">
        <v>1688.5473280000001</v>
      </c>
      <c r="G36" s="5">
        <v>1.9376705000000001E-2</v>
      </c>
    </row>
    <row r="37" spans="1:7" ht="25.5" x14ac:dyDescent="0.2">
      <c r="A37" s="6">
        <v>31</v>
      </c>
      <c r="B37" s="7" t="s">
        <v>28</v>
      </c>
      <c r="C37" s="11" t="s">
        <v>29</v>
      </c>
      <c r="D37" s="2" t="s">
        <v>30</v>
      </c>
      <c r="E37" s="47">
        <v>300000</v>
      </c>
      <c r="F37" s="53">
        <v>1666.2</v>
      </c>
      <c r="G37" s="5">
        <v>1.9120261E-2</v>
      </c>
    </row>
    <row r="38" spans="1:7" ht="12.75" x14ac:dyDescent="0.2">
      <c r="A38" s="6">
        <v>32</v>
      </c>
      <c r="B38" s="7" t="s">
        <v>336</v>
      </c>
      <c r="C38" s="11" t="s">
        <v>337</v>
      </c>
      <c r="D38" s="2" t="s">
        <v>197</v>
      </c>
      <c r="E38" s="47">
        <v>314424</v>
      </c>
      <c r="F38" s="53">
        <v>1631.231712</v>
      </c>
      <c r="G38" s="5">
        <v>1.8718986999999999E-2</v>
      </c>
    </row>
    <row r="39" spans="1:7" ht="25.5" x14ac:dyDescent="0.2">
      <c r="A39" s="6">
        <v>33</v>
      </c>
      <c r="B39" s="7" t="s">
        <v>310</v>
      </c>
      <c r="C39" s="11" t="s">
        <v>311</v>
      </c>
      <c r="D39" s="2" t="s">
        <v>223</v>
      </c>
      <c r="E39" s="47">
        <v>759436</v>
      </c>
      <c r="F39" s="53">
        <v>1611.5231920000001</v>
      </c>
      <c r="G39" s="5">
        <v>1.8492824000000001E-2</v>
      </c>
    </row>
    <row r="40" spans="1:7" ht="25.5" x14ac:dyDescent="0.2">
      <c r="A40" s="6">
        <v>34</v>
      </c>
      <c r="B40" s="7" t="s">
        <v>63</v>
      </c>
      <c r="C40" s="11" t="s">
        <v>64</v>
      </c>
      <c r="D40" s="2" t="s">
        <v>65</v>
      </c>
      <c r="E40" s="47">
        <v>14900</v>
      </c>
      <c r="F40" s="53">
        <v>55.763249999999999</v>
      </c>
      <c r="G40" s="5">
        <v>6.3990399999999995E-4</v>
      </c>
    </row>
    <row r="41" spans="1:7" ht="12.75" x14ac:dyDescent="0.2">
      <c r="A41" s="1"/>
      <c r="B41" s="2"/>
      <c r="C41" s="8" t="s">
        <v>108</v>
      </c>
      <c r="D41" s="12"/>
      <c r="E41" s="49"/>
      <c r="F41" s="55">
        <v>83475.582441999999</v>
      </c>
      <c r="G41" s="13">
        <v>0.95791317099999984</v>
      </c>
    </row>
    <row r="42" spans="1:7" ht="12.75" x14ac:dyDescent="0.2">
      <c r="A42" s="6"/>
      <c r="B42" s="7"/>
      <c r="C42" s="14"/>
      <c r="D42" s="15"/>
      <c r="E42" s="47"/>
      <c r="F42" s="53"/>
      <c r="G42" s="5"/>
    </row>
    <row r="43" spans="1:7" ht="12.75" x14ac:dyDescent="0.2">
      <c r="A43" s="1"/>
      <c r="B43" s="2"/>
      <c r="C43" s="8" t="s">
        <v>109</v>
      </c>
      <c r="D43" s="9"/>
      <c r="E43" s="48"/>
      <c r="F43" s="54"/>
      <c r="G43" s="10"/>
    </row>
    <row r="44" spans="1:7" ht="12.75" x14ac:dyDescent="0.2">
      <c r="A44" s="1"/>
      <c r="B44" s="2"/>
      <c r="C44" s="8" t="s">
        <v>108</v>
      </c>
      <c r="D44" s="12"/>
      <c r="E44" s="49"/>
      <c r="F44" s="55">
        <v>0</v>
      </c>
      <c r="G44" s="13">
        <v>0</v>
      </c>
    </row>
    <row r="45" spans="1:7" ht="12.75" x14ac:dyDescent="0.2">
      <c r="A45" s="6"/>
      <c r="B45" s="7"/>
      <c r="C45" s="14"/>
      <c r="D45" s="15"/>
      <c r="E45" s="47"/>
      <c r="F45" s="53"/>
      <c r="G45" s="5"/>
    </row>
    <row r="46" spans="1:7" ht="12.75" x14ac:dyDescent="0.2">
      <c r="A46" s="16"/>
      <c r="B46" s="17"/>
      <c r="C46" s="8" t="s">
        <v>110</v>
      </c>
      <c r="D46" s="9"/>
      <c r="E46" s="48"/>
      <c r="F46" s="54"/>
      <c r="G46" s="10"/>
    </row>
    <row r="47" spans="1:7" ht="12.75" x14ac:dyDescent="0.2">
      <c r="A47" s="18"/>
      <c r="B47" s="19"/>
      <c r="C47" s="8" t="s">
        <v>108</v>
      </c>
      <c r="D47" s="20"/>
      <c r="E47" s="50"/>
      <c r="F47" s="56">
        <v>0</v>
      </c>
      <c r="G47" s="21">
        <v>0</v>
      </c>
    </row>
    <row r="48" spans="1:7" ht="12.75" x14ac:dyDescent="0.2">
      <c r="A48" s="18"/>
      <c r="B48" s="19"/>
      <c r="C48" s="14"/>
      <c r="D48" s="22"/>
      <c r="E48" s="51"/>
      <c r="F48" s="57"/>
      <c r="G48" s="23"/>
    </row>
    <row r="49" spans="1:7" ht="12.75" x14ac:dyDescent="0.2">
      <c r="A49" s="1"/>
      <c r="B49" s="2"/>
      <c r="C49" s="8" t="s">
        <v>113</v>
      </c>
      <c r="D49" s="9"/>
      <c r="E49" s="48"/>
      <c r="F49" s="54"/>
      <c r="G49" s="10"/>
    </row>
    <row r="50" spans="1:7" ht="12.75" x14ac:dyDescent="0.2">
      <c r="A50" s="1"/>
      <c r="B50" s="2"/>
      <c r="C50" s="8" t="s">
        <v>108</v>
      </c>
      <c r="D50" s="12"/>
      <c r="E50" s="49"/>
      <c r="F50" s="55">
        <v>0</v>
      </c>
      <c r="G50" s="13">
        <v>0</v>
      </c>
    </row>
    <row r="51" spans="1:7" ht="12.75" x14ac:dyDescent="0.2">
      <c r="A51" s="1"/>
      <c r="B51" s="2"/>
      <c r="C51" s="14"/>
      <c r="D51" s="4"/>
      <c r="E51" s="47"/>
      <c r="F51" s="53"/>
      <c r="G51" s="5"/>
    </row>
    <row r="52" spans="1:7" ht="12.75" x14ac:dyDescent="0.2">
      <c r="A52" s="1"/>
      <c r="B52" s="2"/>
      <c r="C52" s="8" t="s">
        <v>114</v>
      </c>
      <c r="D52" s="9"/>
      <c r="E52" s="48"/>
      <c r="F52" s="54"/>
      <c r="G52" s="10"/>
    </row>
    <row r="53" spans="1:7" ht="12.75" x14ac:dyDescent="0.2">
      <c r="A53" s="1"/>
      <c r="B53" s="2"/>
      <c r="C53" s="8" t="s">
        <v>108</v>
      </c>
      <c r="D53" s="12"/>
      <c r="E53" s="49"/>
      <c r="F53" s="55">
        <v>0</v>
      </c>
      <c r="G53" s="13">
        <v>0</v>
      </c>
    </row>
    <row r="54" spans="1:7" ht="12.75" x14ac:dyDescent="0.2">
      <c r="A54" s="1"/>
      <c r="B54" s="2"/>
      <c r="C54" s="14"/>
      <c r="D54" s="4"/>
      <c r="E54" s="47"/>
      <c r="F54" s="53"/>
      <c r="G54" s="5"/>
    </row>
    <row r="55" spans="1:7" ht="12.75" x14ac:dyDescent="0.2">
      <c r="A55" s="1"/>
      <c r="B55" s="2"/>
      <c r="C55" s="8" t="s">
        <v>115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1"/>
      <c r="B57" s="2"/>
      <c r="C57" s="14"/>
      <c r="D57" s="4"/>
      <c r="E57" s="47"/>
      <c r="F57" s="53"/>
      <c r="G57" s="5"/>
    </row>
    <row r="58" spans="1:7" ht="25.5" x14ac:dyDescent="0.2">
      <c r="A58" s="6"/>
      <c r="B58" s="7"/>
      <c r="C58" s="24" t="s">
        <v>116</v>
      </c>
      <c r="D58" s="25"/>
      <c r="E58" s="49"/>
      <c r="F58" s="55">
        <v>83475.582441999999</v>
      </c>
      <c r="G58" s="13">
        <v>0.95791317099999984</v>
      </c>
    </row>
    <row r="59" spans="1:7" ht="12.75" x14ac:dyDescent="0.2">
      <c r="A59" s="1"/>
      <c r="B59" s="2"/>
      <c r="C59" s="11"/>
      <c r="D59" s="4"/>
      <c r="E59" s="47"/>
      <c r="F59" s="53"/>
      <c r="G59" s="5"/>
    </row>
    <row r="60" spans="1:7" ht="12.75" x14ac:dyDescent="0.2">
      <c r="A60" s="1"/>
      <c r="B60" s="2"/>
      <c r="C60" s="3" t="s">
        <v>117</v>
      </c>
      <c r="D60" s="4"/>
      <c r="E60" s="47"/>
      <c r="F60" s="53"/>
      <c r="G60" s="5"/>
    </row>
    <row r="61" spans="1:7" ht="25.5" x14ac:dyDescent="0.2">
      <c r="A61" s="1"/>
      <c r="B61" s="2"/>
      <c r="C61" s="8" t="s">
        <v>10</v>
      </c>
      <c r="D61" s="9"/>
      <c r="E61" s="48"/>
      <c r="F61" s="54"/>
      <c r="G61" s="10"/>
    </row>
    <row r="62" spans="1:7" ht="12.75" x14ac:dyDescent="0.2">
      <c r="A62" s="6"/>
      <c r="B62" s="7"/>
      <c r="C62" s="8" t="s">
        <v>108</v>
      </c>
      <c r="D62" s="12"/>
      <c r="E62" s="49"/>
      <c r="F62" s="55">
        <v>0</v>
      </c>
      <c r="G62" s="13">
        <v>0</v>
      </c>
    </row>
    <row r="63" spans="1:7" ht="12.75" x14ac:dyDescent="0.2">
      <c r="A63" s="6"/>
      <c r="B63" s="7"/>
      <c r="C63" s="14"/>
      <c r="D63" s="4"/>
      <c r="E63" s="47"/>
      <c r="F63" s="53"/>
      <c r="G63" s="5"/>
    </row>
    <row r="64" spans="1:7" ht="12.75" x14ac:dyDescent="0.2">
      <c r="A64" s="1"/>
      <c r="B64" s="26"/>
      <c r="C64" s="8" t="s">
        <v>118</v>
      </c>
      <c r="D64" s="9"/>
      <c r="E64" s="48"/>
      <c r="F64" s="54"/>
      <c r="G64" s="10"/>
    </row>
    <row r="65" spans="1:7" ht="12.75" x14ac:dyDescent="0.2">
      <c r="A65" s="6"/>
      <c r="B65" s="7"/>
      <c r="C65" s="8" t="s">
        <v>108</v>
      </c>
      <c r="D65" s="12"/>
      <c r="E65" s="49"/>
      <c r="F65" s="55">
        <v>0</v>
      </c>
      <c r="G65" s="13">
        <v>0</v>
      </c>
    </row>
    <row r="66" spans="1:7" ht="12.75" x14ac:dyDescent="0.2">
      <c r="A66" s="6"/>
      <c r="B66" s="7"/>
      <c r="C66" s="14"/>
      <c r="D66" s="4"/>
      <c r="E66" s="47"/>
      <c r="F66" s="59"/>
      <c r="G66" s="28"/>
    </row>
    <row r="67" spans="1:7" ht="12.75" x14ac:dyDescent="0.2">
      <c r="A67" s="1"/>
      <c r="B67" s="2"/>
      <c r="C67" s="8" t="s">
        <v>119</v>
      </c>
      <c r="D67" s="9"/>
      <c r="E67" s="48"/>
      <c r="F67" s="54"/>
      <c r="G67" s="10"/>
    </row>
    <row r="68" spans="1:7" ht="12.75" x14ac:dyDescent="0.2">
      <c r="A68" s="6"/>
      <c r="B68" s="7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1"/>
      <c r="B69" s="2"/>
      <c r="C69" s="14"/>
      <c r="D69" s="4"/>
      <c r="E69" s="47"/>
      <c r="F69" s="53"/>
      <c r="G69" s="5"/>
    </row>
    <row r="70" spans="1:7" ht="25.5" x14ac:dyDescent="0.2">
      <c r="A70" s="1"/>
      <c r="B70" s="26"/>
      <c r="C70" s="8" t="s">
        <v>120</v>
      </c>
      <c r="D70" s="9"/>
      <c r="E70" s="48"/>
      <c r="F70" s="54"/>
      <c r="G70" s="10"/>
    </row>
    <row r="71" spans="1:7" ht="12.75" x14ac:dyDescent="0.2">
      <c r="A71" s="6"/>
      <c r="B71" s="7"/>
      <c r="C71" s="8" t="s">
        <v>108</v>
      </c>
      <c r="D71" s="12"/>
      <c r="E71" s="49"/>
      <c r="F71" s="55">
        <v>0</v>
      </c>
      <c r="G71" s="13">
        <v>0</v>
      </c>
    </row>
    <row r="72" spans="1:7" ht="12.75" x14ac:dyDescent="0.2">
      <c r="A72" s="6"/>
      <c r="B72" s="7"/>
      <c r="C72" s="14"/>
      <c r="D72" s="4"/>
      <c r="E72" s="47"/>
      <c r="F72" s="53"/>
      <c r="G72" s="5"/>
    </row>
    <row r="73" spans="1:7" ht="12.75" x14ac:dyDescent="0.2">
      <c r="A73" s="6"/>
      <c r="B73" s="7"/>
      <c r="C73" s="29" t="s">
        <v>121</v>
      </c>
      <c r="D73" s="25"/>
      <c r="E73" s="49"/>
      <c r="F73" s="55">
        <v>0</v>
      </c>
      <c r="G73" s="13">
        <v>0</v>
      </c>
    </row>
    <row r="74" spans="1:7" ht="12.75" x14ac:dyDescent="0.2">
      <c r="A74" s="6"/>
      <c r="B74" s="7"/>
      <c r="C74" s="11"/>
      <c r="D74" s="4"/>
      <c r="E74" s="47"/>
      <c r="F74" s="53"/>
      <c r="G74" s="5"/>
    </row>
    <row r="75" spans="1:7" ht="12.75" x14ac:dyDescent="0.2">
      <c r="A75" s="1"/>
      <c r="B75" s="2"/>
      <c r="C75" s="3" t="s">
        <v>122</v>
      </c>
      <c r="D75" s="4"/>
      <c r="E75" s="47"/>
      <c r="F75" s="53"/>
      <c r="G75" s="5"/>
    </row>
    <row r="76" spans="1:7" ht="12.75" x14ac:dyDescent="0.2">
      <c r="A76" s="6"/>
      <c r="B76" s="7"/>
      <c r="C76" s="8" t="s">
        <v>123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25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7"/>
      <c r="E78" s="47"/>
      <c r="F78" s="53"/>
      <c r="G78" s="5"/>
    </row>
    <row r="79" spans="1:7" ht="12.75" x14ac:dyDescent="0.2">
      <c r="A79" s="6"/>
      <c r="B79" s="7"/>
      <c r="C79" s="8" t="s">
        <v>124</v>
      </c>
      <c r="D79" s="9"/>
      <c r="E79" s="48"/>
      <c r="F79" s="54"/>
      <c r="G79" s="10"/>
    </row>
    <row r="80" spans="1:7" ht="12.75" x14ac:dyDescent="0.2">
      <c r="A80" s="6"/>
      <c r="B80" s="7"/>
      <c r="C80" s="8" t="s">
        <v>108</v>
      </c>
      <c r="D80" s="25"/>
      <c r="E80" s="49"/>
      <c r="F80" s="55">
        <v>0</v>
      </c>
      <c r="G80" s="13">
        <v>0</v>
      </c>
    </row>
    <row r="81" spans="1:7" ht="12.75" x14ac:dyDescent="0.2">
      <c r="A81" s="6"/>
      <c r="B81" s="7"/>
      <c r="C81" s="14"/>
      <c r="D81" s="7"/>
      <c r="E81" s="47"/>
      <c r="F81" s="53"/>
      <c r="G81" s="5"/>
    </row>
    <row r="82" spans="1:7" ht="12.75" x14ac:dyDescent="0.2">
      <c r="A82" s="6"/>
      <c r="B82" s="7"/>
      <c r="C82" s="8" t="s">
        <v>125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25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7"/>
      <c r="E84" s="47"/>
      <c r="F84" s="53"/>
      <c r="G84" s="5"/>
    </row>
    <row r="85" spans="1:7" ht="12.75" x14ac:dyDescent="0.2">
      <c r="A85" s="6"/>
      <c r="B85" s="7"/>
      <c r="C85" s="8" t="s">
        <v>126</v>
      </c>
      <c r="D85" s="9"/>
      <c r="E85" s="48"/>
      <c r="F85" s="54"/>
      <c r="G85" s="10"/>
    </row>
    <row r="86" spans="1:7" ht="12.75" x14ac:dyDescent="0.2">
      <c r="A86" s="6">
        <v>1</v>
      </c>
      <c r="B86" s="7"/>
      <c r="C86" s="11" t="s">
        <v>812</v>
      </c>
      <c r="D86" s="15"/>
      <c r="E86" s="47"/>
      <c r="F86" s="53">
        <v>978.87127129999999</v>
      </c>
      <c r="G86" s="5">
        <v>1.123291E-2</v>
      </c>
    </row>
    <row r="87" spans="1:7" ht="12.75" x14ac:dyDescent="0.2">
      <c r="A87" s="6"/>
      <c r="B87" s="7"/>
      <c r="C87" s="8" t="s">
        <v>108</v>
      </c>
      <c r="D87" s="25"/>
      <c r="E87" s="49"/>
      <c r="F87" s="55">
        <v>978.87127129999999</v>
      </c>
      <c r="G87" s="13">
        <v>1.123291E-2</v>
      </c>
    </row>
    <row r="88" spans="1:7" ht="12.75" x14ac:dyDescent="0.2">
      <c r="A88" s="6"/>
      <c r="B88" s="7"/>
      <c r="C88" s="14"/>
      <c r="D88" s="7"/>
      <c r="E88" s="47"/>
      <c r="F88" s="53"/>
      <c r="G88" s="5"/>
    </row>
    <row r="89" spans="1:7" ht="25.5" x14ac:dyDescent="0.2">
      <c r="A89" s="6"/>
      <c r="B89" s="7"/>
      <c r="C89" s="24" t="s">
        <v>127</v>
      </c>
      <c r="D89" s="25"/>
      <c r="E89" s="49"/>
      <c r="F89" s="55">
        <v>978.87127129999999</v>
      </c>
      <c r="G89" s="13">
        <v>1.123291E-2</v>
      </c>
    </row>
    <row r="90" spans="1:7" ht="12.75" x14ac:dyDescent="0.2">
      <c r="A90" s="6"/>
      <c r="B90" s="7"/>
      <c r="C90" s="30"/>
      <c r="D90" s="7"/>
      <c r="E90" s="47"/>
      <c r="F90" s="53"/>
      <c r="G90" s="5"/>
    </row>
    <row r="91" spans="1:7" ht="12.75" x14ac:dyDescent="0.2">
      <c r="A91" s="1"/>
      <c r="B91" s="2"/>
      <c r="C91" s="3" t="s">
        <v>128</v>
      </c>
      <c r="D91" s="4"/>
      <c r="E91" s="47"/>
      <c r="F91" s="53"/>
      <c r="G91" s="5"/>
    </row>
    <row r="92" spans="1:7" ht="25.5" x14ac:dyDescent="0.2">
      <c r="A92" s="6"/>
      <c r="B92" s="7"/>
      <c r="C92" s="8" t="s">
        <v>129</v>
      </c>
      <c r="D92" s="9"/>
      <c r="E92" s="48"/>
      <c r="F92" s="54"/>
      <c r="G92" s="10"/>
    </row>
    <row r="93" spans="1:7" ht="25.5" x14ac:dyDescent="0.2">
      <c r="A93" s="6">
        <v>1</v>
      </c>
      <c r="B93" s="7" t="s">
        <v>130</v>
      </c>
      <c r="C93" s="11" t="s">
        <v>839</v>
      </c>
      <c r="D93" s="15"/>
      <c r="E93" s="47">
        <v>384001.16700000002</v>
      </c>
      <c r="F93" s="53">
        <v>4000.5249258079998</v>
      </c>
      <c r="G93" s="5">
        <v>4.5907502000000003E-2</v>
      </c>
    </row>
    <row r="94" spans="1:7" ht="12.75" x14ac:dyDescent="0.2">
      <c r="A94" s="6"/>
      <c r="B94" s="7"/>
      <c r="C94" s="8" t="s">
        <v>108</v>
      </c>
      <c r="D94" s="25"/>
      <c r="E94" s="49"/>
      <c r="F94" s="55">
        <v>4000.5249258079998</v>
      </c>
      <c r="G94" s="13">
        <v>4.5907502000000003E-2</v>
      </c>
    </row>
    <row r="95" spans="1:7" ht="12.75" x14ac:dyDescent="0.2">
      <c r="A95" s="6"/>
      <c r="B95" s="7"/>
      <c r="C95" s="14"/>
      <c r="D95" s="7"/>
      <c r="E95" s="47"/>
      <c r="F95" s="53"/>
      <c r="G95" s="5"/>
    </row>
    <row r="96" spans="1:7" ht="12.75" x14ac:dyDescent="0.2">
      <c r="A96" s="1"/>
      <c r="B96" s="2"/>
      <c r="C96" s="3" t="s">
        <v>131</v>
      </c>
      <c r="D96" s="4"/>
      <c r="E96" s="47"/>
      <c r="F96" s="53"/>
      <c r="G96" s="5"/>
    </row>
    <row r="97" spans="1:7" ht="25.5" x14ac:dyDescent="0.2">
      <c r="A97" s="6"/>
      <c r="B97" s="7"/>
      <c r="C97" s="8" t="s">
        <v>132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25"/>
      <c r="E98" s="49"/>
      <c r="F98" s="55">
        <v>0</v>
      </c>
      <c r="G98" s="13">
        <v>0</v>
      </c>
    </row>
    <row r="99" spans="1:7" ht="12.75" x14ac:dyDescent="0.2">
      <c r="A99" s="6"/>
      <c r="B99" s="7"/>
      <c r="C99" s="14"/>
      <c r="D99" s="7"/>
      <c r="E99" s="47"/>
      <c r="F99" s="53"/>
      <c r="G99" s="5"/>
    </row>
    <row r="100" spans="1:7" ht="25.5" x14ac:dyDescent="0.2">
      <c r="A100" s="6"/>
      <c r="B100" s="7"/>
      <c r="C100" s="8" t="s">
        <v>133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25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4"/>
      <c r="D102" s="7"/>
      <c r="E102" s="47"/>
      <c r="F102" s="59"/>
      <c r="G102" s="28"/>
    </row>
    <row r="103" spans="1:7" ht="25.5" x14ac:dyDescent="0.2">
      <c r="A103" s="6"/>
      <c r="B103" s="7"/>
      <c r="C103" s="30" t="s">
        <v>134</v>
      </c>
      <c r="D103" s="7"/>
      <c r="E103" s="47"/>
      <c r="F103" s="127">
        <f>F104-F86-F58-F93</f>
        <v>-1311.8166077380006</v>
      </c>
      <c r="G103" s="137">
        <v>-1.5053580535277913E-2</v>
      </c>
    </row>
    <row r="104" spans="1:7" ht="12.75" x14ac:dyDescent="0.2">
      <c r="A104" s="6"/>
      <c r="B104" s="7"/>
      <c r="C104" s="31" t="s">
        <v>135</v>
      </c>
      <c r="D104" s="12"/>
      <c r="E104" s="49"/>
      <c r="F104" s="55">
        <v>87143.162031369997</v>
      </c>
      <c r="G104" s="13">
        <v>1</v>
      </c>
    </row>
    <row r="106" spans="1:7" ht="12.75" x14ac:dyDescent="0.2">
      <c r="B106" s="179"/>
      <c r="C106" s="179"/>
      <c r="D106" s="179"/>
      <c r="E106" s="179"/>
      <c r="F106" s="179"/>
    </row>
    <row r="107" spans="1:7" ht="12.75" x14ac:dyDescent="0.2">
      <c r="B107" s="179"/>
      <c r="C107" s="179"/>
      <c r="D107" s="179"/>
      <c r="E107" s="179"/>
      <c r="F107" s="179"/>
    </row>
    <row r="109" spans="1:7" ht="12.75" x14ac:dyDescent="0.2">
      <c r="B109" s="37" t="s">
        <v>137</v>
      </c>
      <c r="C109" s="38"/>
      <c r="D109" s="39"/>
    </row>
    <row r="110" spans="1:7" ht="12.75" x14ac:dyDescent="0.2">
      <c r="B110" s="40" t="s">
        <v>808</v>
      </c>
      <c r="C110" s="41"/>
      <c r="D110" s="65" t="s">
        <v>138</v>
      </c>
    </row>
    <row r="111" spans="1:7" ht="12.75" x14ac:dyDescent="0.2">
      <c r="B111" s="40" t="s">
        <v>139</v>
      </c>
      <c r="C111" s="41"/>
      <c r="D111" s="65" t="s">
        <v>138</v>
      </c>
    </row>
    <row r="112" spans="1:7" ht="12.75" x14ac:dyDescent="0.2">
      <c r="B112" s="42" t="s">
        <v>140</v>
      </c>
      <c r="C112" s="41"/>
      <c r="D112" s="43"/>
    </row>
    <row r="113" spans="2:4" ht="25.5" customHeight="1" x14ac:dyDescent="0.2">
      <c r="B113" s="43"/>
      <c r="C113" s="33" t="s">
        <v>141</v>
      </c>
      <c r="D113" s="34" t="s">
        <v>142</v>
      </c>
    </row>
    <row r="114" spans="2:4" ht="12.75" customHeight="1" x14ac:dyDescent="0.2">
      <c r="B114" s="60" t="s">
        <v>143</v>
      </c>
      <c r="C114" s="61" t="s">
        <v>144</v>
      </c>
      <c r="D114" s="61" t="s">
        <v>145</v>
      </c>
    </row>
    <row r="115" spans="2:4" ht="12.75" x14ac:dyDescent="0.2">
      <c r="B115" s="43" t="s">
        <v>146</v>
      </c>
      <c r="C115" s="44">
        <v>37.001800000000003</v>
      </c>
      <c r="D115" s="44">
        <v>38.749099999999999</v>
      </c>
    </row>
    <row r="116" spans="2:4" ht="12.75" x14ac:dyDescent="0.2">
      <c r="B116" s="43" t="s">
        <v>147</v>
      </c>
      <c r="C116" s="44">
        <v>18.976800000000001</v>
      </c>
      <c r="D116" s="44">
        <v>19.5669</v>
      </c>
    </row>
    <row r="117" spans="2:4" ht="12.75" x14ac:dyDescent="0.2">
      <c r="B117" s="43" t="s">
        <v>148</v>
      </c>
      <c r="C117" s="44">
        <v>35.214399999999998</v>
      </c>
      <c r="D117" s="44">
        <v>36.844000000000001</v>
      </c>
    </row>
    <row r="118" spans="2:4" ht="12.75" x14ac:dyDescent="0.2">
      <c r="B118" s="43" t="s">
        <v>149</v>
      </c>
      <c r="C118" s="44">
        <v>17.722300000000001</v>
      </c>
      <c r="D118" s="44">
        <v>18.236599999999999</v>
      </c>
    </row>
    <row r="120" spans="2:4" ht="12.75" x14ac:dyDescent="0.2">
      <c r="B120" s="134" t="s">
        <v>150</v>
      </c>
      <c r="C120" s="135"/>
      <c r="D120" s="133"/>
    </row>
    <row r="121" spans="2:4" ht="24.75" customHeight="1" x14ac:dyDescent="0.2">
      <c r="B121" s="131" t="s">
        <v>143</v>
      </c>
      <c r="C121" s="131" t="s">
        <v>399</v>
      </c>
    </row>
    <row r="122" spans="2:4" ht="12.75" x14ac:dyDescent="0.2">
      <c r="B122" s="43" t="s">
        <v>147</v>
      </c>
      <c r="C122" s="132">
        <v>0.265623</v>
      </c>
    </row>
    <row r="123" spans="2:4" ht="15" x14ac:dyDescent="0.25">
      <c r="B123" s="43" t="s">
        <v>149</v>
      </c>
      <c r="C123" s="132">
        <v>0.265623</v>
      </c>
      <c r="D123"/>
    </row>
    <row r="125" spans="2:4" ht="12.75" x14ac:dyDescent="0.2">
      <c r="B125" s="42" t="s">
        <v>151</v>
      </c>
      <c r="C125" s="41"/>
      <c r="D125" s="67" t="s">
        <v>138</v>
      </c>
    </row>
    <row r="126" spans="2:4" ht="12.75" x14ac:dyDescent="0.2">
      <c r="B126" s="42" t="s">
        <v>152</v>
      </c>
      <c r="C126" s="41"/>
      <c r="D126" s="67" t="s">
        <v>138</v>
      </c>
    </row>
    <row r="127" spans="2:4" ht="12.75" x14ac:dyDescent="0.2">
      <c r="B127" s="42" t="s">
        <v>153</v>
      </c>
      <c r="C127" s="41"/>
      <c r="D127" s="46">
        <v>0.76328505736359509</v>
      </c>
    </row>
    <row r="128" spans="2:4" ht="12.75" x14ac:dyDescent="0.2">
      <c r="B128" s="42" t="s">
        <v>154</v>
      </c>
      <c r="C128" s="41"/>
      <c r="D128" s="46" t="s">
        <v>138</v>
      </c>
    </row>
  </sheetData>
  <mergeCells count="5">
    <mergeCell ref="A1:G1"/>
    <mergeCell ref="A2:G2"/>
    <mergeCell ref="A3:G3"/>
    <mergeCell ref="B106:F106"/>
    <mergeCell ref="B107:F10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3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452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23</v>
      </c>
      <c r="C7" s="11" t="s">
        <v>24</v>
      </c>
      <c r="D7" s="2" t="s">
        <v>22</v>
      </c>
      <c r="E7" s="47">
        <v>100000</v>
      </c>
      <c r="F7" s="53">
        <v>601.35</v>
      </c>
      <c r="G7" s="5">
        <v>4.0110897999999999E-2</v>
      </c>
    </row>
    <row r="8" spans="1:7" ht="25.5" x14ac:dyDescent="0.2">
      <c r="A8" s="6">
        <v>2</v>
      </c>
      <c r="B8" s="7" t="s">
        <v>20</v>
      </c>
      <c r="C8" s="11" t="s">
        <v>21</v>
      </c>
      <c r="D8" s="2" t="s">
        <v>22</v>
      </c>
      <c r="E8" s="47">
        <v>66104</v>
      </c>
      <c r="F8" s="53">
        <v>588.98663999999997</v>
      </c>
      <c r="G8" s="5">
        <v>3.9286243999999998E-2</v>
      </c>
    </row>
    <row r="9" spans="1:7" ht="12.75" x14ac:dyDescent="0.2">
      <c r="A9" s="6">
        <v>3</v>
      </c>
      <c r="B9" s="7" t="s">
        <v>51</v>
      </c>
      <c r="C9" s="11" t="s">
        <v>52</v>
      </c>
      <c r="D9" s="2" t="s">
        <v>19</v>
      </c>
      <c r="E9" s="47">
        <v>48698</v>
      </c>
      <c r="F9" s="53">
        <v>543.98100899999997</v>
      </c>
      <c r="G9" s="5">
        <v>3.6284305000000003E-2</v>
      </c>
    </row>
    <row r="10" spans="1:7" ht="25.5" x14ac:dyDescent="0.2">
      <c r="A10" s="6">
        <v>4</v>
      </c>
      <c r="B10" s="7" t="s">
        <v>186</v>
      </c>
      <c r="C10" s="11" t="s">
        <v>187</v>
      </c>
      <c r="D10" s="2" t="s">
        <v>183</v>
      </c>
      <c r="E10" s="47">
        <v>94926</v>
      </c>
      <c r="F10" s="53">
        <v>538.98982799999999</v>
      </c>
      <c r="G10" s="5">
        <v>3.5951386000000002E-2</v>
      </c>
    </row>
    <row r="11" spans="1:7" ht="12.75" x14ac:dyDescent="0.2">
      <c r="A11" s="6">
        <v>5</v>
      </c>
      <c r="B11" s="7" t="s">
        <v>184</v>
      </c>
      <c r="C11" s="11" t="s">
        <v>185</v>
      </c>
      <c r="D11" s="2" t="s">
        <v>16</v>
      </c>
      <c r="E11" s="47">
        <v>271808</v>
      </c>
      <c r="F11" s="53">
        <v>489.66211199999998</v>
      </c>
      <c r="G11" s="5">
        <v>3.2661157000000003E-2</v>
      </c>
    </row>
    <row r="12" spans="1:7" ht="25.5" x14ac:dyDescent="0.2">
      <c r="A12" s="6">
        <v>6</v>
      </c>
      <c r="B12" s="7" t="s">
        <v>453</v>
      </c>
      <c r="C12" s="11" t="s">
        <v>454</v>
      </c>
      <c r="D12" s="2" t="s">
        <v>47</v>
      </c>
      <c r="E12" s="47">
        <v>246500</v>
      </c>
      <c r="F12" s="53">
        <v>485.23525000000001</v>
      </c>
      <c r="G12" s="5">
        <v>3.2365879E-2</v>
      </c>
    </row>
    <row r="13" spans="1:7" ht="25.5" x14ac:dyDescent="0.2">
      <c r="A13" s="6">
        <v>7</v>
      </c>
      <c r="B13" s="7" t="s">
        <v>188</v>
      </c>
      <c r="C13" s="11" t="s">
        <v>189</v>
      </c>
      <c r="D13" s="2" t="s">
        <v>47</v>
      </c>
      <c r="E13" s="47">
        <v>20924</v>
      </c>
      <c r="F13" s="53">
        <v>444.771006</v>
      </c>
      <c r="G13" s="5">
        <v>2.9666857000000001E-2</v>
      </c>
    </row>
    <row r="14" spans="1:7" ht="25.5" x14ac:dyDescent="0.2">
      <c r="A14" s="6">
        <v>8</v>
      </c>
      <c r="B14" s="7" t="s">
        <v>156</v>
      </c>
      <c r="C14" s="11" t="s">
        <v>157</v>
      </c>
      <c r="D14" s="2" t="s">
        <v>158</v>
      </c>
      <c r="E14" s="47">
        <v>47349</v>
      </c>
      <c r="F14" s="53">
        <v>424.95727499999998</v>
      </c>
      <c r="G14" s="5">
        <v>2.8345253000000001E-2</v>
      </c>
    </row>
    <row r="15" spans="1:7" ht="12.75" x14ac:dyDescent="0.2">
      <c r="A15" s="6">
        <v>9</v>
      </c>
      <c r="B15" s="7" t="s">
        <v>455</v>
      </c>
      <c r="C15" s="11" t="s">
        <v>456</v>
      </c>
      <c r="D15" s="2" t="s">
        <v>72</v>
      </c>
      <c r="E15" s="47">
        <v>64096</v>
      </c>
      <c r="F15" s="53">
        <v>409.02862399999998</v>
      </c>
      <c r="G15" s="5">
        <v>2.7282789000000002E-2</v>
      </c>
    </row>
    <row r="16" spans="1:7" ht="25.5" x14ac:dyDescent="0.2">
      <c r="A16" s="6">
        <v>10</v>
      </c>
      <c r="B16" s="7" t="s">
        <v>161</v>
      </c>
      <c r="C16" s="11" t="s">
        <v>162</v>
      </c>
      <c r="D16" s="2" t="s">
        <v>163</v>
      </c>
      <c r="E16" s="47">
        <v>102584</v>
      </c>
      <c r="F16" s="53">
        <v>374.12384800000001</v>
      </c>
      <c r="G16" s="5">
        <v>2.4954591000000002E-2</v>
      </c>
    </row>
    <row r="17" spans="1:7" ht="25.5" x14ac:dyDescent="0.2">
      <c r="A17" s="6">
        <v>11</v>
      </c>
      <c r="B17" s="7" t="s">
        <v>169</v>
      </c>
      <c r="C17" s="11" t="s">
        <v>170</v>
      </c>
      <c r="D17" s="2" t="s">
        <v>27</v>
      </c>
      <c r="E17" s="47">
        <v>30064</v>
      </c>
      <c r="F17" s="53">
        <v>358.78377599999999</v>
      </c>
      <c r="G17" s="5">
        <v>2.3931386999999998E-2</v>
      </c>
    </row>
    <row r="18" spans="1:7" ht="25.5" x14ac:dyDescent="0.2">
      <c r="A18" s="6">
        <v>12</v>
      </c>
      <c r="B18" s="7" t="s">
        <v>43</v>
      </c>
      <c r="C18" s="11" t="s">
        <v>44</v>
      </c>
      <c r="D18" s="2" t="s">
        <v>22</v>
      </c>
      <c r="E18" s="47">
        <v>51448</v>
      </c>
      <c r="F18" s="53">
        <v>358.18097599999999</v>
      </c>
      <c r="G18" s="5">
        <v>2.3891178999999999E-2</v>
      </c>
    </row>
    <row r="19" spans="1:7" ht="25.5" x14ac:dyDescent="0.2">
      <c r="A19" s="6">
        <v>13</v>
      </c>
      <c r="B19" s="7" t="s">
        <v>45</v>
      </c>
      <c r="C19" s="11" t="s">
        <v>46</v>
      </c>
      <c r="D19" s="2" t="s">
        <v>47</v>
      </c>
      <c r="E19" s="47">
        <v>41580</v>
      </c>
      <c r="F19" s="53">
        <v>350.04122999999998</v>
      </c>
      <c r="G19" s="5">
        <v>2.3348246999999999E-2</v>
      </c>
    </row>
    <row r="20" spans="1:7" ht="25.5" x14ac:dyDescent="0.2">
      <c r="A20" s="6">
        <v>14</v>
      </c>
      <c r="B20" s="7" t="s">
        <v>179</v>
      </c>
      <c r="C20" s="11" t="s">
        <v>180</v>
      </c>
      <c r="D20" s="2" t="s">
        <v>22</v>
      </c>
      <c r="E20" s="47">
        <v>109488</v>
      </c>
      <c r="F20" s="53">
        <v>349.37620800000002</v>
      </c>
      <c r="G20" s="5">
        <v>2.3303889000000001E-2</v>
      </c>
    </row>
    <row r="21" spans="1:7" ht="12.75" x14ac:dyDescent="0.2">
      <c r="A21" s="6">
        <v>15</v>
      </c>
      <c r="B21" s="7" t="s">
        <v>457</v>
      </c>
      <c r="C21" s="11" t="s">
        <v>458</v>
      </c>
      <c r="D21" s="2" t="s">
        <v>192</v>
      </c>
      <c r="E21" s="47">
        <v>45800</v>
      </c>
      <c r="F21" s="53">
        <v>346.45409999999998</v>
      </c>
      <c r="G21" s="5">
        <v>2.3108980000000001E-2</v>
      </c>
    </row>
    <row r="22" spans="1:7" ht="25.5" x14ac:dyDescent="0.2">
      <c r="A22" s="6">
        <v>16</v>
      </c>
      <c r="B22" s="7" t="s">
        <v>38</v>
      </c>
      <c r="C22" s="11" t="s">
        <v>39</v>
      </c>
      <c r="D22" s="2" t="s">
        <v>40</v>
      </c>
      <c r="E22" s="47">
        <v>76646</v>
      </c>
      <c r="F22" s="53">
        <v>330.65084400000001</v>
      </c>
      <c r="G22" s="5">
        <v>2.2054879999999999E-2</v>
      </c>
    </row>
    <row r="23" spans="1:7" ht="25.5" x14ac:dyDescent="0.2">
      <c r="A23" s="6">
        <v>17</v>
      </c>
      <c r="B23" s="7" t="s">
        <v>55</v>
      </c>
      <c r="C23" s="11" t="s">
        <v>56</v>
      </c>
      <c r="D23" s="2" t="s">
        <v>22</v>
      </c>
      <c r="E23" s="47">
        <v>54803</v>
      </c>
      <c r="F23" s="53">
        <v>323.58431350000001</v>
      </c>
      <c r="G23" s="5">
        <v>2.1583532999999998E-2</v>
      </c>
    </row>
    <row r="24" spans="1:7" ht="25.5" x14ac:dyDescent="0.2">
      <c r="A24" s="6">
        <v>18</v>
      </c>
      <c r="B24" s="7" t="s">
        <v>102</v>
      </c>
      <c r="C24" s="11" t="s">
        <v>103</v>
      </c>
      <c r="D24" s="2" t="s">
        <v>13</v>
      </c>
      <c r="E24" s="47">
        <v>307287</v>
      </c>
      <c r="F24" s="53">
        <v>316.19832300000002</v>
      </c>
      <c r="G24" s="5">
        <v>2.1090877000000001E-2</v>
      </c>
    </row>
    <row r="25" spans="1:7" ht="25.5" x14ac:dyDescent="0.2">
      <c r="A25" s="6">
        <v>19</v>
      </c>
      <c r="B25" s="7" t="s">
        <v>171</v>
      </c>
      <c r="C25" s="11" t="s">
        <v>172</v>
      </c>
      <c r="D25" s="2" t="s">
        <v>22</v>
      </c>
      <c r="E25" s="47">
        <v>77404</v>
      </c>
      <c r="F25" s="53">
        <v>311.78331200000002</v>
      </c>
      <c r="G25" s="5">
        <v>2.0796388999999998E-2</v>
      </c>
    </row>
    <row r="26" spans="1:7" ht="12.75" x14ac:dyDescent="0.2">
      <c r="A26" s="6">
        <v>20</v>
      </c>
      <c r="B26" s="7" t="s">
        <v>159</v>
      </c>
      <c r="C26" s="11" t="s">
        <v>160</v>
      </c>
      <c r="D26" s="2" t="s">
        <v>19</v>
      </c>
      <c r="E26" s="47">
        <v>162516</v>
      </c>
      <c r="F26" s="53">
        <v>304.06743599999999</v>
      </c>
      <c r="G26" s="5">
        <v>2.0281728999999998E-2</v>
      </c>
    </row>
    <row r="27" spans="1:7" ht="12.75" x14ac:dyDescent="0.2">
      <c r="A27" s="6">
        <v>21</v>
      </c>
      <c r="B27" s="7" t="s">
        <v>48</v>
      </c>
      <c r="C27" s="11" t="s">
        <v>49</v>
      </c>
      <c r="D27" s="2" t="s">
        <v>50</v>
      </c>
      <c r="E27" s="47">
        <v>136425</v>
      </c>
      <c r="F27" s="53">
        <v>281.37656249999998</v>
      </c>
      <c r="G27" s="5">
        <v>1.8768216000000001E-2</v>
      </c>
    </row>
    <row r="28" spans="1:7" ht="51" x14ac:dyDescent="0.2">
      <c r="A28" s="6">
        <v>22</v>
      </c>
      <c r="B28" s="7" t="s">
        <v>264</v>
      </c>
      <c r="C28" s="11" t="s">
        <v>265</v>
      </c>
      <c r="D28" s="2" t="s">
        <v>208</v>
      </c>
      <c r="E28" s="47">
        <v>163724</v>
      </c>
      <c r="F28" s="53">
        <v>272.927908</v>
      </c>
      <c r="G28" s="5">
        <v>1.8204679000000001E-2</v>
      </c>
    </row>
    <row r="29" spans="1:7" ht="25.5" x14ac:dyDescent="0.2">
      <c r="A29" s="6">
        <v>23</v>
      </c>
      <c r="B29" s="7" t="s">
        <v>81</v>
      </c>
      <c r="C29" s="11" t="s">
        <v>82</v>
      </c>
      <c r="D29" s="2" t="s">
        <v>22</v>
      </c>
      <c r="E29" s="47">
        <v>27059</v>
      </c>
      <c r="F29" s="53">
        <v>270.6847065</v>
      </c>
      <c r="G29" s="5">
        <v>1.8055054000000001E-2</v>
      </c>
    </row>
    <row r="30" spans="1:7" ht="25.5" x14ac:dyDescent="0.2">
      <c r="A30" s="6">
        <v>24</v>
      </c>
      <c r="B30" s="7" t="s">
        <v>59</v>
      </c>
      <c r="C30" s="11" t="s">
        <v>60</v>
      </c>
      <c r="D30" s="2" t="s">
        <v>22</v>
      </c>
      <c r="E30" s="47">
        <v>17798</v>
      </c>
      <c r="F30" s="53">
        <v>243.38765000000001</v>
      </c>
      <c r="G30" s="5">
        <v>1.6234301E-2</v>
      </c>
    </row>
    <row r="31" spans="1:7" ht="12.75" x14ac:dyDescent="0.2">
      <c r="A31" s="6">
        <v>25</v>
      </c>
      <c r="B31" s="7" t="s">
        <v>308</v>
      </c>
      <c r="C31" s="11" t="s">
        <v>309</v>
      </c>
      <c r="D31" s="2" t="s">
        <v>168</v>
      </c>
      <c r="E31" s="47">
        <v>11524</v>
      </c>
      <c r="F31" s="53">
        <v>241.48542</v>
      </c>
      <c r="G31" s="5">
        <v>1.6107420000000001E-2</v>
      </c>
    </row>
    <row r="32" spans="1:7" ht="25.5" x14ac:dyDescent="0.2">
      <c r="A32" s="6">
        <v>26</v>
      </c>
      <c r="B32" s="7" t="s">
        <v>83</v>
      </c>
      <c r="C32" s="11" t="s">
        <v>84</v>
      </c>
      <c r="D32" s="2" t="s">
        <v>22</v>
      </c>
      <c r="E32" s="47">
        <v>220000</v>
      </c>
      <c r="F32" s="53">
        <v>239.91</v>
      </c>
      <c r="G32" s="5">
        <v>1.6002336999999998E-2</v>
      </c>
    </row>
    <row r="33" spans="1:7" ht="25.5" x14ac:dyDescent="0.2">
      <c r="A33" s="6">
        <v>27</v>
      </c>
      <c r="B33" s="7" t="s">
        <v>213</v>
      </c>
      <c r="C33" s="11" t="s">
        <v>214</v>
      </c>
      <c r="D33" s="2" t="s">
        <v>163</v>
      </c>
      <c r="E33" s="47">
        <v>233182</v>
      </c>
      <c r="F33" s="53">
        <v>238.195413</v>
      </c>
      <c r="G33" s="5">
        <v>1.5887972E-2</v>
      </c>
    </row>
    <row r="34" spans="1:7" ht="12.75" x14ac:dyDescent="0.2">
      <c r="A34" s="6">
        <v>28</v>
      </c>
      <c r="B34" s="7" t="s">
        <v>193</v>
      </c>
      <c r="C34" s="11" t="s">
        <v>194</v>
      </c>
      <c r="D34" s="2" t="s">
        <v>72</v>
      </c>
      <c r="E34" s="47">
        <v>26290</v>
      </c>
      <c r="F34" s="53">
        <v>233.23173499999999</v>
      </c>
      <c r="G34" s="5">
        <v>1.5556888E-2</v>
      </c>
    </row>
    <row r="35" spans="1:7" ht="12.75" x14ac:dyDescent="0.2">
      <c r="A35" s="6">
        <v>29</v>
      </c>
      <c r="B35" s="7" t="s">
        <v>252</v>
      </c>
      <c r="C35" s="11" t="s">
        <v>253</v>
      </c>
      <c r="D35" s="2" t="s">
        <v>242</v>
      </c>
      <c r="E35" s="47">
        <v>15500</v>
      </c>
      <c r="F35" s="53">
        <v>215.07024999999999</v>
      </c>
      <c r="G35" s="5">
        <v>1.4345491E-2</v>
      </c>
    </row>
    <row r="36" spans="1:7" ht="12.75" x14ac:dyDescent="0.2">
      <c r="A36" s="6">
        <v>30</v>
      </c>
      <c r="B36" s="7" t="s">
        <v>459</v>
      </c>
      <c r="C36" s="11" t="s">
        <v>460</v>
      </c>
      <c r="D36" s="2" t="s">
        <v>72</v>
      </c>
      <c r="E36" s="47">
        <v>224739</v>
      </c>
      <c r="F36" s="53">
        <v>209.7938565</v>
      </c>
      <c r="G36" s="5">
        <v>1.3993548E-2</v>
      </c>
    </row>
    <row r="37" spans="1:7" ht="12.75" x14ac:dyDescent="0.2">
      <c r="A37" s="6">
        <v>31</v>
      </c>
      <c r="B37" s="7" t="s">
        <v>175</v>
      </c>
      <c r="C37" s="11" t="s">
        <v>176</v>
      </c>
      <c r="D37" s="2" t="s">
        <v>19</v>
      </c>
      <c r="E37" s="47">
        <v>240000</v>
      </c>
      <c r="F37" s="53">
        <v>201.24</v>
      </c>
      <c r="G37" s="5">
        <v>1.3422992999999999E-2</v>
      </c>
    </row>
    <row r="38" spans="1:7" ht="12.75" x14ac:dyDescent="0.2">
      <c r="A38" s="6">
        <v>32</v>
      </c>
      <c r="B38" s="7" t="s">
        <v>195</v>
      </c>
      <c r="C38" s="11" t="s">
        <v>196</v>
      </c>
      <c r="D38" s="2" t="s">
        <v>197</v>
      </c>
      <c r="E38" s="47">
        <v>142138</v>
      </c>
      <c r="F38" s="53">
        <v>190.10957500000001</v>
      </c>
      <c r="G38" s="5">
        <v>1.2680578E-2</v>
      </c>
    </row>
    <row r="39" spans="1:7" ht="25.5" x14ac:dyDescent="0.2">
      <c r="A39" s="6">
        <v>33</v>
      </c>
      <c r="B39" s="7" t="s">
        <v>461</v>
      </c>
      <c r="C39" s="11" t="s">
        <v>462</v>
      </c>
      <c r="D39" s="2" t="s">
        <v>80</v>
      </c>
      <c r="E39" s="47">
        <v>65492</v>
      </c>
      <c r="F39" s="53">
        <v>189.69757799999999</v>
      </c>
      <c r="G39" s="5">
        <v>1.2653098E-2</v>
      </c>
    </row>
    <row r="40" spans="1:7" ht="25.5" x14ac:dyDescent="0.2">
      <c r="A40" s="6">
        <v>34</v>
      </c>
      <c r="B40" s="7" t="s">
        <v>372</v>
      </c>
      <c r="C40" s="11" t="s">
        <v>373</v>
      </c>
      <c r="D40" s="2" t="s">
        <v>22</v>
      </c>
      <c r="E40" s="47">
        <v>58572</v>
      </c>
      <c r="F40" s="53">
        <v>187.81111799999999</v>
      </c>
      <c r="G40" s="5">
        <v>1.2527267999999999E-2</v>
      </c>
    </row>
    <row r="41" spans="1:7" ht="12.75" x14ac:dyDescent="0.2">
      <c r="A41" s="6">
        <v>35</v>
      </c>
      <c r="B41" s="7" t="s">
        <v>279</v>
      </c>
      <c r="C41" s="11" t="s">
        <v>280</v>
      </c>
      <c r="D41" s="2" t="s">
        <v>281</v>
      </c>
      <c r="E41" s="47">
        <v>23044</v>
      </c>
      <c r="F41" s="53">
        <v>186.50661400000001</v>
      </c>
      <c r="G41" s="5">
        <v>1.2440256E-2</v>
      </c>
    </row>
    <row r="42" spans="1:7" ht="25.5" x14ac:dyDescent="0.2">
      <c r="A42" s="6">
        <v>36</v>
      </c>
      <c r="B42" s="7" t="s">
        <v>217</v>
      </c>
      <c r="C42" s="11" t="s">
        <v>218</v>
      </c>
      <c r="D42" s="2" t="s">
        <v>27</v>
      </c>
      <c r="E42" s="47">
        <v>150910</v>
      </c>
      <c r="F42" s="53">
        <v>183.80838</v>
      </c>
      <c r="G42" s="5">
        <v>1.226028E-2</v>
      </c>
    </row>
    <row r="43" spans="1:7" ht="12.75" x14ac:dyDescent="0.2">
      <c r="A43" s="6">
        <v>37</v>
      </c>
      <c r="B43" s="7" t="s">
        <v>233</v>
      </c>
      <c r="C43" s="11" t="s">
        <v>234</v>
      </c>
      <c r="D43" s="2" t="s">
        <v>192</v>
      </c>
      <c r="E43" s="47">
        <v>100362</v>
      </c>
      <c r="F43" s="53">
        <v>181.906125</v>
      </c>
      <c r="G43" s="5">
        <v>1.2133397000000001E-2</v>
      </c>
    </row>
    <row r="44" spans="1:7" ht="12.75" x14ac:dyDescent="0.2">
      <c r="A44" s="6">
        <v>38</v>
      </c>
      <c r="B44" s="7" t="s">
        <v>219</v>
      </c>
      <c r="C44" s="11" t="s">
        <v>220</v>
      </c>
      <c r="D44" s="2" t="s">
        <v>72</v>
      </c>
      <c r="E44" s="47">
        <v>92049</v>
      </c>
      <c r="F44" s="53">
        <v>173.69646299999999</v>
      </c>
      <c r="G44" s="5">
        <v>1.15858E-2</v>
      </c>
    </row>
    <row r="45" spans="1:7" ht="12.75" x14ac:dyDescent="0.2">
      <c r="A45" s="6">
        <v>39</v>
      </c>
      <c r="B45" s="7" t="s">
        <v>204</v>
      </c>
      <c r="C45" s="11" t="s">
        <v>205</v>
      </c>
      <c r="D45" s="2" t="s">
        <v>72</v>
      </c>
      <c r="E45" s="47">
        <v>60111</v>
      </c>
      <c r="F45" s="53">
        <v>164.01286350000001</v>
      </c>
      <c r="G45" s="5">
        <v>1.0939891E-2</v>
      </c>
    </row>
    <row r="46" spans="1:7" ht="25.5" x14ac:dyDescent="0.2">
      <c r="A46" s="6">
        <v>40</v>
      </c>
      <c r="B46" s="7" t="s">
        <v>177</v>
      </c>
      <c r="C46" s="11" t="s">
        <v>178</v>
      </c>
      <c r="D46" s="2" t="s">
        <v>47</v>
      </c>
      <c r="E46" s="47">
        <v>100000</v>
      </c>
      <c r="F46" s="53">
        <v>163.19999999999999</v>
      </c>
      <c r="G46" s="5">
        <v>1.0885671E-2</v>
      </c>
    </row>
    <row r="47" spans="1:7" ht="51" x14ac:dyDescent="0.2">
      <c r="A47" s="6">
        <v>41</v>
      </c>
      <c r="B47" s="7" t="s">
        <v>206</v>
      </c>
      <c r="C47" s="11" t="s">
        <v>207</v>
      </c>
      <c r="D47" s="2" t="s">
        <v>208</v>
      </c>
      <c r="E47" s="47">
        <v>257171</v>
      </c>
      <c r="F47" s="53">
        <v>157.13148100000001</v>
      </c>
      <c r="G47" s="5">
        <v>1.0480893E-2</v>
      </c>
    </row>
    <row r="48" spans="1:7" ht="25.5" x14ac:dyDescent="0.2">
      <c r="A48" s="6">
        <v>42</v>
      </c>
      <c r="B48" s="7" t="s">
        <v>181</v>
      </c>
      <c r="C48" s="11" t="s">
        <v>182</v>
      </c>
      <c r="D48" s="2" t="s">
        <v>183</v>
      </c>
      <c r="E48" s="47">
        <v>128085</v>
      </c>
      <c r="F48" s="53">
        <v>152.16498000000001</v>
      </c>
      <c r="G48" s="5">
        <v>1.014962E-2</v>
      </c>
    </row>
    <row r="49" spans="1:7" ht="25.5" x14ac:dyDescent="0.2">
      <c r="A49" s="6">
        <v>43</v>
      </c>
      <c r="B49" s="7" t="s">
        <v>73</v>
      </c>
      <c r="C49" s="11" t="s">
        <v>74</v>
      </c>
      <c r="D49" s="2" t="s">
        <v>22</v>
      </c>
      <c r="E49" s="47">
        <v>22870</v>
      </c>
      <c r="F49" s="53">
        <v>149.86711</v>
      </c>
      <c r="G49" s="5">
        <v>9.9963489999999999E-3</v>
      </c>
    </row>
    <row r="50" spans="1:7" ht="25.5" x14ac:dyDescent="0.2">
      <c r="A50" s="6">
        <v>44</v>
      </c>
      <c r="B50" s="7" t="s">
        <v>209</v>
      </c>
      <c r="C50" s="11" t="s">
        <v>210</v>
      </c>
      <c r="D50" s="2" t="s">
        <v>22</v>
      </c>
      <c r="E50" s="47">
        <v>21699</v>
      </c>
      <c r="F50" s="53">
        <v>145.96917300000001</v>
      </c>
      <c r="G50" s="5">
        <v>9.7363510000000007E-3</v>
      </c>
    </row>
    <row r="51" spans="1:7" ht="12.75" x14ac:dyDescent="0.2">
      <c r="A51" s="6">
        <v>45</v>
      </c>
      <c r="B51" s="7" t="s">
        <v>190</v>
      </c>
      <c r="C51" s="11" t="s">
        <v>191</v>
      </c>
      <c r="D51" s="2" t="s">
        <v>192</v>
      </c>
      <c r="E51" s="47">
        <v>92102</v>
      </c>
      <c r="F51" s="53">
        <v>141.88313099999999</v>
      </c>
      <c r="G51" s="5">
        <v>9.463806E-3</v>
      </c>
    </row>
    <row r="52" spans="1:7" ht="12.75" x14ac:dyDescent="0.2">
      <c r="A52" s="6">
        <v>46</v>
      </c>
      <c r="B52" s="7" t="s">
        <v>463</v>
      </c>
      <c r="C52" s="11" t="s">
        <v>464</v>
      </c>
      <c r="D52" s="2" t="s">
        <v>192</v>
      </c>
      <c r="E52" s="47">
        <v>23966</v>
      </c>
      <c r="F52" s="53">
        <v>139.062715</v>
      </c>
      <c r="G52" s="5">
        <v>9.2756799999999997E-3</v>
      </c>
    </row>
    <row r="53" spans="1:7" ht="25.5" x14ac:dyDescent="0.2">
      <c r="A53" s="6">
        <v>47</v>
      </c>
      <c r="B53" s="7" t="s">
        <v>215</v>
      </c>
      <c r="C53" s="11" t="s">
        <v>216</v>
      </c>
      <c r="D53" s="2" t="s">
        <v>13</v>
      </c>
      <c r="E53" s="47">
        <v>231336</v>
      </c>
      <c r="F53" s="53">
        <v>133.712208</v>
      </c>
      <c r="G53" s="5">
        <v>8.9187940000000007E-3</v>
      </c>
    </row>
    <row r="54" spans="1:7" ht="51" x14ac:dyDescent="0.2">
      <c r="A54" s="6">
        <v>48</v>
      </c>
      <c r="B54" s="7" t="s">
        <v>294</v>
      </c>
      <c r="C54" s="11" t="s">
        <v>295</v>
      </c>
      <c r="D54" s="2" t="s">
        <v>208</v>
      </c>
      <c r="E54" s="47">
        <v>379760</v>
      </c>
      <c r="F54" s="53">
        <v>131.58684</v>
      </c>
      <c r="G54" s="5">
        <v>8.7770290000000004E-3</v>
      </c>
    </row>
    <row r="55" spans="1:7" ht="12.75" x14ac:dyDescent="0.2">
      <c r="A55" s="6">
        <v>49</v>
      </c>
      <c r="B55" s="7" t="s">
        <v>250</v>
      </c>
      <c r="C55" s="11" t="s">
        <v>251</v>
      </c>
      <c r="D55" s="2" t="s">
        <v>168</v>
      </c>
      <c r="E55" s="47">
        <v>31765</v>
      </c>
      <c r="F55" s="53">
        <v>126.55176</v>
      </c>
      <c r="G55" s="5">
        <v>8.4411820000000002E-3</v>
      </c>
    </row>
    <row r="56" spans="1:7" ht="25.5" x14ac:dyDescent="0.2">
      <c r="A56" s="6">
        <v>50</v>
      </c>
      <c r="B56" s="7" t="s">
        <v>200</v>
      </c>
      <c r="C56" s="11" t="s">
        <v>201</v>
      </c>
      <c r="D56" s="2" t="s">
        <v>30</v>
      </c>
      <c r="E56" s="47">
        <v>41662</v>
      </c>
      <c r="F56" s="53">
        <v>124.715197</v>
      </c>
      <c r="G56" s="5">
        <v>8.3186809999999996E-3</v>
      </c>
    </row>
    <row r="57" spans="1:7" ht="12.75" x14ac:dyDescent="0.2">
      <c r="A57" s="6">
        <v>51</v>
      </c>
      <c r="B57" s="7" t="s">
        <v>221</v>
      </c>
      <c r="C57" s="11" t="s">
        <v>222</v>
      </c>
      <c r="D57" s="2" t="s">
        <v>223</v>
      </c>
      <c r="E57" s="47">
        <v>27204</v>
      </c>
      <c r="F57" s="53">
        <v>123.424548</v>
      </c>
      <c r="G57" s="5">
        <v>8.2325920000000004E-3</v>
      </c>
    </row>
    <row r="58" spans="1:7" ht="12.75" x14ac:dyDescent="0.2">
      <c r="A58" s="6">
        <v>52</v>
      </c>
      <c r="B58" s="7" t="s">
        <v>238</v>
      </c>
      <c r="C58" s="11" t="s">
        <v>239</v>
      </c>
      <c r="D58" s="2" t="s">
        <v>72</v>
      </c>
      <c r="E58" s="47">
        <v>220000</v>
      </c>
      <c r="F58" s="53">
        <v>117.81</v>
      </c>
      <c r="G58" s="5">
        <v>7.8580939999999995E-3</v>
      </c>
    </row>
    <row r="59" spans="1:7" ht="25.5" x14ac:dyDescent="0.2">
      <c r="A59" s="6">
        <v>53</v>
      </c>
      <c r="B59" s="7" t="s">
        <v>231</v>
      </c>
      <c r="C59" s="11" t="s">
        <v>232</v>
      </c>
      <c r="D59" s="2" t="s">
        <v>47</v>
      </c>
      <c r="E59" s="47">
        <v>40000</v>
      </c>
      <c r="F59" s="53">
        <v>100.88</v>
      </c>
      <c r="G59" s="5">
        <v>6.7288390000000003E-3</v>
      </c>
    </row>
    <row r="60" spans="1:7" ht="12.75" x14ac:dyDescent="0.2">
      <c r="A60" s="6">
        <v>54</v>
      </c>
      <c r="B60" s="7" t="s">
        <v>465</v>
      </c>
      <c r="C60" s="11" t="s">
        <v>466</v>
      </c>
      <c r="D60" s="2" t="s">
        <v>168</v>
      </c>
      <c r="E60" s="47">
        <v>88736</v>
      </c>
      <c r="F60" s="53">
        <v>92.107968</v>
      </c>
      <c r="G60" s="5">
        <v>6.1437319999999998E-3</v>
      </c>
    </row>
    <row r="61" spans="1:7" ht="12.75" x14ac:dyDescent="0.2">
      <c r="A61" s="6">
        <v>55</v>
      </c>
      <c r="B61" s="7" t="s">
        <v>254</v>
      </c>
      <c r="C61" s="11" t="s">
        <v>255</v>
      </c>
      <c r="D61" s="2" t="s">
        <v>168</v>
      </c>
      <c r="E61" s="47">
        <v>32954</v>
      </c>
      <c r="F61" s="53">
        <v>91.266103000000001</v>
      </c>
      <c r="G61" s="5">
        <v>6.0875790000000001E-3</v>
      </c>
    </row>
    <row r="62" spans="1:7" ht="25.5" x14ac:dyDescent="0.2">
      <c r="A62" s="6">
        <v>56</v>
      </c>
      <c r="B62" s="7" t="s">
        <v>467</v>
      </c>
      <c r="C62" s="11" t="s">
        <v>468</v>
      </c>
      <c r="D62" s="2" t="s">
        <v>163</v>
      </c>
      <c r="E62" s="47">
        <v>159059</v>
      </c>
      <c r="F62" s="53">
        <v>86.050918999999993</v>
      </c>
      <c r="G62" s="5">
        <v>5.7397180000000004E-3</v>
      </c>
    </row>
    <row r="63" spans="1:7" ht="12.75" x14ac:dyDescent="0.2">
      <c r="A63" s="6">
        <v>57</v>
      </c>
      <c r="B63" s="7" t="s">
        <v>87</v>
      </c>
      <c r="C63" s="11" t="s">
        <v>88</v>
      </c>
      <c r="D63" s="2"/>
      <c r="E63" s="47">
        <v>49333</v>
      </c>
      <c r="F63" s="53">
        <v>83.915432999999993</v>
      </c>
      <c r="G63" s="5">
        <v>5.5972779999999998E-3</v>
      </c>
    </row>
    <row r="64" spans="1:7" ht="12.75" x14ac:dyDescent="0.2">
      <c r="A64" s="6">
        <v>58</v>
      </c>
      <c r="B64" s="7" t="s">
        <v>235</v>
      </c>
      <c r="C64" s="11" t="s">
        <v>236</v>
      </c>
      <c r="D64" s="2" t="s">
        <v>237</v>
      </c>
      <c r="E64" s="47">
        <v>5623</v>
      </c>
      <c r="F64" s="53">
        <v>61.726482500000003</v>
      </c>
      <c r="G64" s="5">
        <v>4.1172439999999999E-3</v>
      </c>
    </row>
    <row r="65" spans="1:7" ht="12.75" x14ac:dyDescent="0.2">
      <c r="A65" s="6">
        <v>59</v>
      </c>
      <c r="B65" s="7" t="s">
        <v>260</v>
      </c>
      <c r="C65" s="11" t="s">
        <v>261</v>
      </c>
      <c r="D65" s="2" t="s">
        <v>242</v>
      </c>
      <c r="E65" s="47">
        <v>5000</v>
      </c>
      <c r="F65" s="53">
        <v>47.052500000000002</v>
      </c>
      <c r="G65" s="5">
        <v>3.1384680000000002E-3</v>
      </c>
    </row>
    <row r="66" spans="1:7" ht="25.5" x14ac:dyDescent="0.2">
      <c r="A66" s="6">
        <v>60</v>
      </c>
      <c r="B66" s="7" t="s">
        <v>243</v>
      </c>
      <c r="C66" s="11" t="s">
        <v>244</v>
      </c>
      <c r="D66" s="2" t="s">
        <v>163</v>
      </c>
      <c r="E66" s="47">
        <v>52851</v>
      </c>
      <c r="F66" s="53">
        <v>32.212684500000002</v>
      </c>
      <c r="G66" s="5">
        <v>2.1486320000000001E-3</v>
      </c>
    </row>
    <row r="67" spans="1:7" ht="12.75" x14ac:dyDescent="0.2">
      <c r="A67" s="6">
        <v>61</v>
      </c>
      <c r="B67" s="7" t="s">
        <v>106</v>
      </c>
      <c r="C67" s="11" t="s">
        <v>107</v>
      </c>
      <c r="D67" s="2" t="s">
        <v>50</v>
      </c>
      <c r="E67" s="47">
        <v>49333</v>
      </c>
      <c r="F67" s="53">
        <v>23.679839999999999</v>
      </c>
      <c r="G67" s="5">
        <v>1.579479E-3</v>
      </c>
    </row>
    <row r="68" spans="1:7" ht="12.75" x14ac:dyDescent="0.2">
      <c r="A68" s="1"/>
      <c r="B68" s="2"/>
      <c r="C68" s="8" t="s">
        <v>108</v>
      </c>
      <c r="D68" s="12"/>
      <c r="E68" s="49"/>
      <c r="F68" s="55">
        <v>14781.0294015</v>
      </c>
      <c r="G68" s="13">
        <v>0.98591562700000013</v>
      </c>
    </row>
    <row r="69" spans="1:7" ht="12.75" x14ac:dyDescent="0.2">
      <c r="A69" s="6"/>
      <c r="B69" s="7"/>
      <c r="C69" s="14"/>
      <c r="D69" s="15"/>
      <c r="E69" s="47"/>
      <c r="F69" s="53"/>
      <c r="G69" s="5"/>
    </row>
    <row r="70" spans="1:7" ht="12.75" x14ac:dyDescent="0.2">
      <c r="A70" s="1"/>
      <c r="B70" s="2"/>
      <c r="C70" s="8" t="s">
        <v>109</v>
      </c>
      <c r="D70" s="9"/>
      <c r="E70" s="48"/>
      <c r="F70" s="54"/>
      <c r="G70" s="10"/>
    </row>
    <row r="71" spans="1:7" ht="12.75" x14ac:dyDescent="0.2">
      <c r="A71" s="1"/>
      <c r="B71" s="2"/>
      <c r="C71" s="8" t="s">
        <v>108</v>
      </c>
      <c r="D71" s="12"/>
      <c r="E71" s="49"/>
      <c r="F71" s="55">
        <v>0</v>
      </c>
      <c r="G71" s="13">
        <v>0</v>
      </c>
    </row>
    <row r="72" spans="1:7" ht="12.75" x14ac:dyDescent="0.2">
      <c r="A72" s="6"/>
      <c r="B72" s="7"/>
      <c r="C72" s="14"/>
      <c r="D72" s="15"/>
      <c r="E72" s="47"/>
      <c r="F72" s="53"/>
      <c r="G72" s="5"/>
    </row>
    <row r="73" spans="1:7" ht="12.75" x14ac:dyDescent="0.2">
      <c r="A73" s="16"/>
      <c r="B73" s="17"/>
      <c r="C73" s="8" t="s">
        <v>110</v>
      </c>
      <c r="D73" s="9"/>
      <c r="E73" s="48"/>
      <c r="F73" s="54"/>
      <c r="G73" s="10"/>
    </row>
    <row r="74" spans="1:7" ht="12.75" x14ac:dyDescent="0.2">
      <c r="A74" s="18"/>
      <c r="B74" s="19"/>
      <c r="C74" s="8" t="s">
        <v>108</v>
      </c>
      <c r="D74" s="20"/>
      <c r="E74" s="50"/>
      <c r="F74" s="56">
        <v>0</v>
      </c>
      <c r="G74" s="21">
        <v>0</v>
      </c>
    </row>
    <row r="75" spans="1:7" ht="12.75" x14ac:dyDescent="0.2">
      <c r="A75" s="18"/>
      <c r="B75" s="19"/>
      <c r="C75" s="14"/>
      <c r="D75" s="22"/>
      <c r="E75" s="51"/>
      <c r="F75" s="57"/>
      <c r="G75" s="23"/>
    </row>
    <row r="76" spans="1:7" ht="12.75" x14ac:dyDescent="0.2">
      <c r="A76" s="1"/>
      <c r="B76" s="2"/>
      <c r="C76" s="8" t="s">
        <v>113</v>
      </c>
      <c r="D76" s="9"/>
      <c r="E76" s="48"/>
      <c r="F76" s="54"/>
      <c r="G76" s="10"/>
    </row>
    <row r="77" spans="1:7" ht="12.75" x14ac:dyDescent="0.2">
      <c r="A77" s="1"/>
      <c r="B77" s="2"/>
      <c r="C77" s="8" t="s">
        <v>108</v>
      </c>
      <c r="D77" s="12"/>
      <c r="E77" s="49"/>
      <c r="F77" s="55">
        <v>0</v>
      </c>
      <c r="G77" s="13">
        <v>0</v>
      </c>
    </row>
    <row r="78" spans="1:7" ht="12.75" x14ac:dyDescent="0.2">
      <c r="A78" s="1"/>
      <c r="B78" s="2"/>
      <c r="C78" s="14"/>
      <c r="D78" s="4"/>
      <c r="E78" s="47"/>
      <c r="F78" s="53"/>
      <c r="G78" s="5"/>
    </row>
    <row r="79" spans="1:7" ht="12.75" x14ac:dyDescent="0.2">
      <c r="A79" s="1"/>
      <c r="B79" s="2"/>
      <c r="C79" s="8" t="s">
        <v>114</v>
      </c>
      <c r="D79" s="9"/>
      <c r="E79" s="48"/>
      <c r="F79" s="54"/>
      <c r="G79" s="10"/>
    </row>
    <row r="80" spans="1:7" ht="12.75" x14ac:dyDescent="0.2">
      <c r="A80" s="1"/>
      <c r="B80" s="2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1"/>
      <c r="B81" s="2"/>
      <c r="C81" s="14"/>
      <c r="D81" s="4"/>
      <c r="E81" s="47"/>
      <c r="F81" s="53"/>
      <c r="G81" s="5"/>
    </row>
    <row r="82" spans="1:7" ht="12.75" x14ac:dyDescent="0.2">
      <c r="A82" s="1"/>
      <c r="B82" s="2"/>
      <c r="C82" s="8" t="s">
        <v>115</v>
      </c>
      <c r="D82" s="9"/>
      <c r="E82" s="48"/>
      <c r="F82" s="54"/>
      <c r="G82" s="10"/>
    </row>
    <row r="83" spans="1:7" ht="12.75" x14ac:dyDescent="0.2">
      <c r="A83" s="1"/>
      <c r="B83" s="2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1"/>
      <c r="B84" s="2"/>
      <c r="C84" s="14"/>
      <c r="D84" s="4"/>
      <c r="E84" s="47"/>
      <c r="F84" s="53"/>
      <c r="G84" s="5"/>
    </row>
    <row r="85" spans="1:7" ht="25.5" x14ac:dyDescent="0.2">
      <c r="A85" s="6"/>
      <c r="B85" s="7"/>
      <c r="C85" s="24" t="s">
        <v>116</v>
      </c>
      <c r="D85" s="25"/>
      <c r="E85" s="49"/>
      <c r="F85" s="55">
        <v>14781.0294015</v>
      </c>
      <c r="G85" s="13">
        <v>0.98591562700000013</v>
      </c>
    </row>
    <row r="86" spans="1:7" ht="12.75" x14ac:dyDescent="0.2">
      <c r="A86" s="1"/>
      <c r="B86" s="2"/>
      <c r="C86" s="11"/>
      <c r="D86" s="4"/>
      <c r="E86" s="47"/>
      <c r="F86" s="53"/>
      <c r="G86" s="5"/>
    </row>
    <row r="87" spans="1:7" ht="12.75" x14ac:dyDescent="0.2">
      <c r="A87" s="1"/>
      <c r="B87" s="2"/>
      <c r="C87" s="3" t="s">
        <v>117</v>
      </c>
      <c r="D87" s="4"/>
      <c r="E87" s="47"/>
      <c r="F87" s="53"/>
      <c r="G87" s="5"/>
    </row>
    <row r="88" spans="1:7" ht="25.5" x14ac:dyDescent="0.2">
      <c r="A88" s="1"/>
      <c r="B88" s="2"/>
      <c r="C88" s="8" t="s">
        <v>10</v>
      </c>
      <c r="D88" s="9"/>
      <c r="E88" s="48"/>
      <c r="F88" s="54"/>
      <c r="G88" s="10"/>
    </row>
    <row r="89" spans="1:7" ht="12.75" x14ac:dyDescent="0.2">
      <c r="A89" s="6"/>
      <c r="B89" s="7"/>
      <c r="C89" s="8" t="s">
        <v>108</v>
      </c>
      <c r="D89" s="12"/>
      <c r="E89" s="49"/>
      <c r="F89" s="55">
        <v>0</v>
      </c>
      <c r="G89" s="13">
        <v>0</v>
      </c>
    </row>
    <row r="90" spans="1:7" ht="12.75" x14ac:dyDescent="0.2">
      <c r="A90" s="6"/>
      <c r="B90" s="7"/>
      <c r="C90" s="14"/>
      <c r="D90" s="4"/>
      <c r="E90" s="47"/>
      <c r="F90" s="53"/>
      <c r="G90" s="5"/>
    </row>
    <row r="91" spans="1:7" ht="12.75" x14ac:dyDescent="0.2">
      <c r="A91" s="1"/>
      <c r="B91" s="26"/>
      <c r="C91" s="8" t="s">
        <v>118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12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4"/>
      <c r="E93" s="47"/>
      <c r="F93" s="59"/>
      <c r="G93" s="28"/>
    </row>
    <row r="94" spans="1:7" ht="12.75" x14ac:dyDescent="0.2">
      <c r="A94" s="1"/>
      <c r="B94" s="2"/>
      <c r="C94" s="8" t="s">
        <v>119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12"/>
      <c r="E95" s="49"/>
      <c r="F95" s="55">
        <v>0</v>
      </c>
      <c r="G95" s="13">
        <v>0</v>
      </c>
    </row>
    <row r="96" spans="1:7" ht="12.75" x14ac:dyDescent="0.2">
      <c r="A96" s="1"/>
      <c r="B96" s="2"/>
      <c r="C96" s="14"/>
      <c r="D96" s="4"/>
      <c r="E96" s="47"/>
      <c r="F96" s="53"/>
      <c r="G96" s="5"/>
    </row>
    <row r="97" spans="1:7" ht="25.5" x14ac:dyDescent="0.2">
      <c r="A97" s="1"/>
      <c r="B97" s="26"/>
      <c r="C97" s="8" t="s">
        <v>120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12"/>
      <c r="E98" s="49"/>
      <c r="F98" s="55">
        <v>0</v>
      </c>
      <c r="G98" s="13">
        <v>0</v>
      </c>
    </row>
    <row r="99" spans="1:7" ht="12.75" x14ac:dyDescent="0.2">
      <c r="A99" s="6"/>
      <c r="B99" s="7"/>
      <c r="C99" s="14"/>
      <c r="D99" s="4"/>
      <c r="E99" s="47"/>
      <c r="F99" s="53"/>
      <c r="G99" s="5"/>
    </row>
    <row r="100" spans="1:7" ht="12.75" x14ac:dyDescent="0.2">
      <c r="A100" s="6"/>
      <c r="B100" s="7"/>
      <c r="C100" s="29" t="s">
        <v>121</v>
      </c>
      <c r="D100" s="25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1"/>
      <c r="D101" s="4"/>
      <c r="E101" s="47"/>
      <c r="F101" s="53"/>
      <c r="G101" s="5"/>
    </row>
    <row r="102" spans="1:7" ht="12.75" x14ac:dyDescent="0.2">
      <c r="A102" s="1"/>
      <c r="B102" s="2"/>
      <c r="C102" s="3" t="s">
        <v>122</v>
      </c>
      <c r="D102" s="4"/>
      <c r="E102" s="47"/>
      <c r="F102" s="53"/>
      <c r="G102" s="5"/>
    </row>
    <row r="103" spans="1:7" ht="12.75" x14ac:dyDescent="0.2">
      <c r="A103" s="6"/>
      <c r="B103" s="7"/>
      <c r="C103" s="8" t="s">
        <v>123</v>
      </c>
      <c r="D103" s="9"/>
      <c r="E103" s="48"/>
      <c r="F103" s="54"/>
      <c r="G103" s="10"/>
    </row>
    <row r="104" spans="1:7" ht="12.75" x14ac:dyDescent="0.2">
      <c r="A104" s="6"/>
      <c r="B104" s="7"/>
      <c r="C104" s="8" t="s">
        <v>108</v>
      </c>
      <c r="D104" s="25"/>
      <c r="E104" s="49"/>
      <c r="F104" s="55">
        <v>0</v>
      </c>
      <c r="G104" s="13">
        <v>0</v>
      </c>
    </row>
    <row r="105" spans="1:7" ht="12.75" x14ac:dyDescent="0.2">
      <c r="A105" s="6"/>
      <c r="B105" s="7"/>
      <c r="C105" s="14"/>
      <c r="D105" s="7"/>
      <c r="E105" s="47"/>
      <c r="F105" s="53"/>
      <c r="G105" s="5"/>
    </row>
    <row r="106" spans="1:7" ht="12.75" x14ac:dyDescent="0.2">
      <c r="A106" s="6"/>
      <c r="B106" s="7"/>
      <c r="C106" s="8" t="s">
        <v>124</v>
      </c>
      <c r="D106" s="9"/>
      <c r="E106" s="48"/>
      <c r="F106" s="54"/>
      <c r="G106" s="10"/>
    </row>
    <row r="107" spans="1:7" ht="12.75" x14ac:dyDescent="0.2">
      <c r="A107" s="6"/>
      <c r="B107" s="7"/>
      <c r="C107" s="8" t="s">
        <v>108</v>
      </c>
      <c r="D107" s="25"/>
      <c r="E107" s="49"/>
      <c r="F107" s="55">
        <v>0</v>
      </c>
      <c r="G107" s="13">
        <v>0</v>
      </c>
    </row>
    <row r="108" spans="1:7" ht="12.75" x14ac:dyDescent="0.2">
      <c r="A108" s="6"/>
      <c r="B108" s="7"/>
      <c r="C108" s="14"/>
      <c r="D108" s="7"/>
      <c r="E108" s="47"/>
      <c r="F108" s="53"/>
      <c r="G108" s="5"/>
    </row>
    <row r="109" spans="1:7" ht="12.75" x14ac:dyDescent="0.2">
      <c r="A109" s="6"/>
      <c r="B109" s="7"/>
      <c r="C109" s="8" t="s">
        <v>125</v>
      </c>
      <c r="D109" s="9"/>
      <c r="E109" s="48"/>
      <c r="F109" s="54"/>
      <c r="G109" s="10"/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0</v>
      </c>
      <c r="G110" s="13">
        <v>0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12.75" x14ac:dyDescent="0.2">
      <c r="A112" s="6"/>
      <c r="B112" s="7"/>
      <c r="C112" s="8" t="s">
        <v>126</v>
      </c>
      <c r="D112" s="9"/>
      <c r="E112" s="48"/>
      <c r="F112" s="54"/>
      <c r="G112" s="10"/>
    </row>
    <row r="113" spans="1:7" ht="12.75" x14ac:dyDescent="0.2">
      <c r="A113" s="6">
        <v>1</v>
      </c>
      <c r="B113" s="7"/>
      <c r="C113" s="11" t="s">
        <v>812</v>
      </c>
      <c r="D113" s="15"/>
      <c r="E113" s="47"/>
      <c r="F113" s="53">
        <v>227.97002029999999</v>
      </c>
      <c r="G113" s="5">
        <v>1.5205923999999999E-2</v>
      </c>
    </row>
    <row r="114" spans="1:7" ht="12.75" x14ac:dyDescent="0.2">
      <c r="A114" s="6"/>
      <c r="B114" s="7"/>
      <c r="C114" s="8" t="s">
        <v>108</v>
      </c>
      <c r="D114" s="25"/>
      <c r="E114" s="49"/>
      <c r="F114" s="55">
        <v>227.97002029999999</v>
      </c>
      <c r="G114" s="13">
        <v>1.5205923999999999E-2</v>
      </c>
    </row>
    <row r="115" spans="1:7" ht="12.75" x14ac:dyDescent="0.2">
      <c r="A115" s="6"/>
      <c r="B115" s="7"/>
      <c r="C115" s="14"/>
      <c r="D115" s="7"/>
      <c r="E115" s="47"/>
      <c r="F115" s="53"/>
      <c r="G115" s="5"/>
    </row>
    <row r="116" spans="1:7" ht="25.5" x14ac:dyDescent="0.2">
      <c r="A116" s="6"/>
      <c r="B116" s="7"/>
      <c r="C116" s="24" t="s">
        <v>127</v>
      </c>
      <c r="D116" s="25"/>
      <c r="E116" s="49"/>
      <c r="F116" s="55">
        <v>227.97002029999999</v>
      </c>
      <c r="G116" s="13">
        <v>1.5205923999999999E-2</v>
      </c>
    </row>
    <row r="117" spans="1:7" ht="12.75" x14ac:dyDescent="0.2">
      <c r="A117" s="6"/>
      <c r="B117" s="7"/>
      <c r="C117" s="30"/>
      <c r="D117" s="7"/>
      <c r="E117" s="47"/>
      <c r="F117" s="53"/>
      <c r="G117" s="5"/>
    </row>
    <row r="118" spans="1:7" ht="12.75" x14ac:dyDescent="0.2">
      <c r="A118" s="1"/>
      <c r="B118" s="2"/>
      <c r="C118" s="3" t="s">
        <v>128</v>
      </c>
      <c r="D118" s="4"/>
      <c r="E118" s="47"/>
      <c r="F118" s="53"/>
      <c r="G118" s="5"/>
    </row>
    <row r="119" spans="1:7" ht="25.5" x14ac:dyDescent="0.2">
      <c r="A119" s="6"/>
      <c r="B119" s="7"/>
      <c r="C119" s="8" t="s">
        <v>129</v>
      </c>
      <c r="D119" s="9"/>
      <c r="E119" s="48"/>
      <c r="F119" s="54"/>
      <c r="G119" s="10"/>
    </row>
    <row r="120" spans="1:7" ht="12.75" x14ac:dyDescent="0.2">
      <c r="A120" s="6"/>
      <c r="B120" s="7"/>
      <c r="C120" s="8" t="s">
        <v>108</v>
      </c>
      <c r="D120" s="25"/>
      <c r="E120" s="49"/>
      <c r="F120" s="55">
        <v>0</v>
      </c>
      <c r="G120" s="13">
        <v>0</v>
      </c>
    </row>
    <row r="121" spans="1:7" ht="12.75" x14ac:dyDescent="0.2">
      <c r="A121" s="6"/>
      <c r="B121" s="7"/>
      <c r="C121" s="14"/>
      <c r="D121" s="7"/>
      <c r="E121" s="47"/>
      <c r="F121" s="53"/>
      <c r="G121" s="5"/>
    </row>
    <row r="122" spans="1:7" ht="12.75" x14ac:dyDescent="0.2">
      <c r="A122" s="1"/>
      <c r="B122" s="2"/>
      <c r="C122" s="3" t="s">
        <v>131</v>
      </c>
      <c r="D122" s="4"/>
      <c r="E122" s="47"/>
      <c r="F122" s="53"/>
      <c r="G122" s="5"/>
    </row>
    <row r="123" spans="1:7" ht="25.5" x14ac:dyDescent="0.2">
      <c r="A123" s="6"/>
      <c r="B123" s="7"/>
      <c r="C123" s="8" t="s">
        <v>132</v>
      </c>
      <c r="D123" s="9"/>
      <c r="E123" s="48"/>
      <c r="F123" s="54"/>
      <c r="G123" s="10"/>
    </row>
    <row r="124" spans="1:7" ht="12.75" x14ac:dyDescent="0.2">
      <c r="A124" s="6"/>
      <c r="B124" s="7"/>
      <c r="C124" s="8" t="s">
        <v>108</v>
      </c>
      <c r="D124" s="25"/>
      <c r="E124" s="49"/>
      <c r="F124" s="55">
        <v>0</v>
      </c>
      <c r="G124" s="13">
        <v>0</v>
      </c>
    </row>
    <row r="125" spans="1:7" ht="12.75" x14ac:dyDescent="0.2">
      <c r="A125" s="6"/>
      <c r="B125" s="7"/>
      <c r="C125" s="14"/>
      <c r="D125" s="7"/>
      <c r="E125" s="47"/>
      <c r="F125" s="53"/>
      <c r="G125" s="5"/>
    </row>
    <row r="126" spans="1:7" ht="25.5" x14ac:dyDescent="0.2">
      <c r="A126" s="6"/>
      <c r="B126" s="7"/>
      <c r="C126" s="8" t="s">
        <v>133</v>
      </c>
      <c r="D126" s="9"/>
      <c r="E126" s="48"/>
      <c r="F126" s="54"/>
      <c r="G126" s="10"/>
    </row>
    <row r="127" spans="1:7" ht="12.75" x14ac:dyDescent="0.2">
      <c r="A127" s="6"/>
      <c r="B127" s="7"/>
      <c r="C127" s="8" t="s">
        <v>108</v>
      </c>
      <c r="D127" s="25"/>
      <c r="E127" s="49"/>
      <c r="F127" s="55">
        <v>0</v>
      </c>
      <c r="G127" s="13">
        <v>0</v>
      </c>
    </row>
    <row r="128" spans="1:7" ht="12.75" x14ac:dyDescent="0.2">
      <c r="A128" s="6"/>
      <c r="B128" s="7"/>
      <c r="C128" s="14"/>
      <c r="D128" s="7"/>
      <c r="E128" s="47"/>
      <c r="F128" s="59"/>
      <c r="G128" s="28"/>
    </row>
    <row r="129" spans="1:7" ht="25.5" x14ac:dyDescent="0.2">
      <c r="A129" s="6"/>
      <c r="B129" s="7"/>
      <c r="C129" s="30" t="s">
        <v>134</v>
      </c>
      <c r="D129" s="7"/>
      <c r="E129" s="47"/>
      <c r="F129" s="128">
        <v>-16.8144767</v>
      </c>
      <c r="G129" s="137">
        <v>-1.1215494446988926E-3</v>
      </c>
    </row>
    <row r="130" spans="1:7" ht="12.75" x14ac:dyDescent="0.2">
      <c r="A130" s="6"/>
      <c r="B130" s="7"/>
      <c r="C130" s="31" t="s">
        <v>135</v>
      </c>
      <c r="D130" s="12"/>
      <c r="E130" s="49"/>
      <c r="F130" s="55">
        <v>14992.184945099998</v>
      </c>
      <c r="G130" s="13">
        <v>1.0000000020000002</v>
      </c>
    </row>
    <row r="132" spans="1:7" ht="12.75" x14ac:dyDescent="0.2">
      <c r="B132" s="179"/>
      <c r="C132" s="179"/>
      <c r="D132" s="179"/>
      <c r="E132" s="179"/>
      <c r="F132" s="179"/>
    </row>
    <row r="133" spans="1:7" ht="12.75" x14ac:dyDescent="0.2">
      <c r="B133" s="179"/>
      <c r="C133" s="179"/>
      <c r="D133" s="179"/>
      <c r="E133" s="179"/>
      <c r="F133" s="179"/>
    </row>
    <row r="135" spans="1:7" ht="12.75" x14ac:dyDescent="0.2">
      <c r="B135" s="37" t="s">
        <v>137</v>
      </c>
      <c r="C135" s="38"/>
      <c r="D135" s="39"/>
    </row>
    <row r="136" spans="1:7" ht="12.75" x14ac:dyDescent="0.2">
      <c r="B136" s="40" t="s">
        <v>808</v>
      </c>
      <c r="C136" s="41"/>
      <c r="D136" s="65" t="s">
        <v>138</v>
      </c>
    </row>
    <row r="137" spans="1:7" ht="12.75" x14ac:dyDescent="0.2">
      <c r="B137" s="40" t="s">
        <v>139</v>
      </c>
      <c r="C137" s="41"/>
      <c r="D137" s="65" t="s">
        <v>138</v>
      </c>
    </row>
    <row r="138" spans="1:7" ht="12.75" x14ac:dyDescent="0.2">
      <c r="B138" s="42" t="s">
        <v>140</v>
      </c>
      <c r="C138" s="41"/>
      <c r="D138" s="43"/>
    </row>
    <row r="139" spans="1:7" ht="25.5" customHeight="1" x14ac:dyDescent="0.2">
      <c r="B139" s="43"/>
      <c r="C139" s="33" t="s">
        <v>141</v>
      </c>
      <c r="D139" s="34" t="s">
        <v>142</v>
      </c>
    </row>
    <row r="140" spans="1:7" ht="12.75" customHeight="1" x14ac:dyDescent="0.2">
      <c r="B140" s="60" t="s">
        <v>143</v>
      </c>
      <c r="C140" s="61" t="s">
        <v>144</v>
      </c>
      <c r="D140" s="61" t="s">
        <v>145</v>
      </c>
    </row>
    <row r="141" spans="1:7" ht="12.75" x14ac:dyDescent="0.2">
      <c r="B141" s="43" t="s">
        <v>146</v>
      </c>
      <c r="C141" s="44">
        <v>8.0211000000000006</v>
      </c>
      <c r="D141" s="44">
        <v>8.2190999999999992</v>
      </c>
    </row>
    <row r="142" spans="1:7" ht="12.75" x14ac:dyDescent="0.2">
      <c r="B142" s="43" t="s">
        <v>147</v>
      </c>
      <c r="C142" s="44">
        <v>8.0211000000000006</v>
      </c>
      <c r="D142" s="44">
        <v>8.2190999999999992</v>
      </c>
    </row>
    <row r="143" spans="1:7" ht="12.75" x14ac:dyDescent="0.2">
      <c r="B143" s="43" t="s">
        <v>148</v>
      </c>
      <c r="C143" s="44">
        <v>7.8898999999999999</v>
      </c>
      <c r="D143" s="44">
        <v>8.0816999999999997</v>
      </c>
    </row>
    <row r="144" spans="1:7" ht="12.75" x14ac:dyDescent="0.2">
      <c r="B144" s="43" t="s">
        <v>149</v>
      </c>
      <c r="C144" s="44">
        <v>7.8898999999999999</v>
      </c>
      <c r="D144" s="44">
        <v>8.0816999999999997</v>
      </c>
    </row>
    <row r="146" spans="2:4" ht="12.75" x14ac:dyDescent="0.2">
      <c r="B146" s="62" t="s">
        <v>150</v>
      </c>
      <c r="C146" s="45"/>
      <c r="D146" s="63" t="s">
        <v>138</v>
      </c>
    </row>
    <row r="147" spans="2:4" ht="24.75" customHeight="1" x14ac:dyDescent="0.2">
      <c r="B147" s="64"/>
      <c r="C147" s="64"/>
    </row>
    <row r="148" spans="2:4" ht="15" x14ac:dyDescent="0.25">
      <c r="B148" s="66"/>
      <c r="C148" s="68"/>
      <c r="D148"/>
    </row>
    <row r="150" spans="2:4" ht="12.75" x14ac:dyDescent="0.2">
      <c r="B150" s="42" t="s">
        <v>151</v>
      </c>
      <c r="C150" s="41"/>
      <c r="D150" s="67" t="s">
        <v>138</v>
      </c>
    </row>
    <row r="151" spans="2:4" ht="12.75" x14ac:dyDescent="0.2">
      <c r="B151" s="42" t="s">
        <v>152</v>
      </c>
      <c r="C151" s="41"/>
      <c r="D151" s="67" t="s">
        <v>138</v>
      </c>
    </row>
    <row r="152" spans="2:4" ht="12.75" x14ac:dyDescent="0.2">
      <c r="B152" s="42" t="s">
        <v>153</v>
      </c>
      <c r="C152" s="41"/>
      <c r="D152" s="46">
        <v>9.7455803917620737E-2</v>
      </c>
    </row>
    <row r="153" spans="2:4" ht="12.75" x14ac:dyDescent="0.2">
      <c r="B153" s="42" t="s">
        <v>154</v>
      </c>
      <c r="C153" s="41"/>
      <c r="D153" s="46" t="s">
        <v>138</v>
      </c>
    </row>
  </sheetData>
  <mergeCells count="5">
    <mergeCell ref="A1:G1"/>
    <mergeCell ref="A2:G2"/>
    <mergeCell ref="A3:G3"/>
    <mergeCell ref="B132:F132"/>
    <mergeCell ref="B133:F13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57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469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23</v>
      </c>
      <c r="C7" s="11" t="s">
        <v>24</v>
      </c>
      <c r="D7" s="2" t="s">
        <v>22</v>
      </c>
      <c r="E7" s="47">
        <v>97885</v>
      </c>
      <c r="F7" s="53">
        <v>588.63144750000004</v>
      </c>
      <c r="G7" s="5">
        <v>3.6183775000000001E-2</v>
      </c>
    </row>
    <row r="8" spans="1:7" ht="12.75" x14ac:dyDescent="0.2">
      <c r="A8" s="6">
        <v>2</v>
      </c>
      <c r="B8" s="7" t="s">
        <v>51</v>
      </c>
      <c r="C8" s="11" t="s">
        <v>52</v>
      </c>
      <c r="D8" s="2" t="s">
        <v>19</v>
      </c>
      <c r="E8" s="47">
        <v>52533</v>
      </c>
      <c r="F8" s="53">
        <v>586.81987649999996</v>
      </c>
      <c r="G8" s="5">
        <v>3.6072416000000003E-2</v>
      </c>
    </row>
    <row r="9" spans="1:7" ht="25.5" x14ac:dyDescent="0.2">
      <c r="A9" s="6">
        <v>3</v>
      </c>
      <c r="B9" s="7" t="s">
        <v>453</v>
      </c>
      <c r="C9" s="11" t="s">
        <v>454</v>
      </c>
      <c r="D9" s="2" t="s">
        <v>47</v>
      </c>
      <c r="E9" s="47">
        <v>297081</v>
      </c>
      <c r="F9" s="53">
        <v>584.80394850000005</v>
      </c>
      <c r="G9" s="5">
        <v>3.5948494999999997E-2</v>
      </c>
    </row>
    <row r="10" spans="1:7" ht="25.5" x14ac:dyDescent="0.2">
      <c r="A10" s="6">
        <v>4</v>
      </c>
      <c r="B10" s="7" t="s">
        <v>186</v>
      </c>
      <c r="C10" s="11" t="s">
        <v>187</v>
      </c>
      <c r="D10" s="2" t="s">
        <v>183</v>
      </c>
      <c r="E10" s="47">
        <v>100138</v>
      </c>
      <c r="F10" s="53">
        <v>568.58356400000002</v>
      </c>
      <c r="G10" s="5">
        <v>3.4951411000000002E-2</v>
      </c>
    </row>
    <row r="11" spans="1:7" ht="25.5" x14ac:dyDescent="0.2">
      <c r="A11" s="6">
        <v>5</v>
      </c>
      <c r="B11" s="7" t="s">
        <v>20</v>
      </c>
      <c r="C11" s="11" t="s">
        <v>21</v>
      </c>
      <c r="D11" s="2" t="s">
        <v>22</v>
      </c>
      <c r="E11" s="47">
        <v>62382</v>
      </c>
      <c r="F11" s="53">
        <v>555.82362000000001</v>
      </c>
      <c r="G11" s="5">
        <v>3.4167045E-2</v>
      </c>
    </row>
    <row r="12" spans="1:7" ht="12.75" x14ac:dyDescent="0.2">
      <c r="A12" s="6">
        <v>6</v>
      </c>
      <c r="B12" s="7" t="s">
        <v>457</v>
      </c>
      <c r="C12" s="11" t="s">
        <v>458</v>
      </c>
      <c r="D12" s="2" t="s">
        <v>192</v>
      </c>
      <c r="E12" s="47">
        <v>70313</v>
      </c>
      <c r="F12" s="53">
        <v>531.88268849999997</v>
      </c>
      <c r="G12" s="5">
        <v>3.2695371000000001E-2</v>
      </c>
    </row>
    <row r="13" spans="1:7" ht="12.75" x14ac:dyDescent="0.2">
      <c r="A13" s="6">
        <v>7</v>
      </c>
      <c r="B13" s="7" t="s">
        <v>455</v>
      </c>
      <c r="C13" s="11" t="s">
        <v>456</v>
      </c>
      <c r="D13" s="2" t="s">
        <v>72</v>
      </c>
      <c r="E13" s="47">
        <v>80696</v>
      </c>
      <c r="F13" s="53">
        <v>514.96152400000005</v>
      </c>
      <c r="G13" s="5">
        <v>3.1655210000000003E-2</v>
      </c>
    </row>
    <row r="14" spans="1:7" ht="25.5" x14ac:dyDescent="0.2">
      <c r="A14" s="6">
        <v>8</v>
      </c>
      <c r="B14" s="7" t="s">
        <v>156</v>
      </c>
      <c r="C14" s="11" t="s">
        <v>157</v>
      </c>
      <c r="D14" s="2" t="s">
        <v>158</v>
      </c>
      <c r="E14" s="47">
        <v>56329</v>
      </c>
      <c r="F14" s="53">
        <v>505.552775</v>
      </c>
      <c r="G14" s="5">
        <v>3.1076843999999999E-2</v>
      </c>
    </row>
    <row r="15" spans="1:7" ht="25.5" x14ac:dyDescent="0.2">
      <c r="A15" s="6">
        <v>9</v>
      </c>
      <c r="B15" s="7" t="s">
        <v>45</v>
      </c>
      <c r="C15" s="11" t="s">
        <v>46</v>
      </c>
      <c r="D15" s="2" t="s">
        <v>47</v>
      </c>
      <c r="E15" s="47">
        <v>53916</v>
      </c>
      <c r="F15" s="53">
        <v>453.89184599999999</v>
      </c>
      <c r="G15" s="5">
        <v>2.7901194000000001E-2</v>
      </c>
    </row>
    <row r="16" spans="1:7" ht="25.5" x14ac:dyDescent="0.2">
      <c r="A16" s="6">
        <v>10</v>
      </c>
      <c r="B16" s="7" t="s">
        <v>161</v>
      </c>
      <c r="C16" s="11" t="s">
        <v>162</v>
      </c>
      <c r="D16" s="2" t="s">
        <v>163</v>
      </c>
      <c r="E16" s="47">
        <v>108367</v>
      </c>
      <c r="F16" s="53">
        <v>395.214449</v>
      </c>
      <c r="G16" s="5">
        <v>2.4294235000000001E-2</v>
      </c>
    </row>
    <row r="17" spans="1:7" ht="25.5" x14ac:dyDescent="0.2">
      <c r="A17" s="6">
        <v>11</v>
      </c>
      <c r="B17" s="7" t="s">
        <v>43</v>
      </c>
      <c r="C17" s="11" t="s">
        <v>44</v>
      </c>
      <c r="D17" s="2" t="s">
        <v>22</v>
      </c>
      <c r="E17" s="47">
        <v>55216</v>
      </c>
      <c r="F17" s="53">
        <v>384.413792</v>
      </c>
      <c r="G17" s="5">
        <v>2.3630307999999999E-2</v>
      </c>
    </row>
    <row r="18" spans="1:7" ht="25.5" x14ac:dyDescent="0.2">
      <c r="A18" s="6">
        <v>12</v>
      </c>
      <c r="B18" s="7" t="s">
        <v>171</v>
      </c>
      <c r="C18" s="11" t="s">
        <v>172</v>
      </c>
      <c r="D18" s="2" t="s">
        <v>22</v>
      </c>
      <c r="E18" s="47">
        <v>90886</v>
      </c>
      <c r="F18" s="53">
        <v>366.08880799999997</v>
      </c>
      <c r="G18" s="5">
        <v>2.2503852000000001E-2</v>
      </c>
    </row>
    <row r="19" spans="1:7" ht="25.5" x14ac:dyDescent="0.2">
      <c r="A19" s="6">
        <v>13</v>
      </c>
      <c r="B19" s="7" t="s">
        <v>55</v>
      </c>
      <c r="C19" s="11" t="s">
        <v>56</v>
      </c>
      <c r="D19" s="2" t="s">
        <v>22</v>
      </c>
      <c r="E19" s="47">
        <v>60634</v>
      </c>
      <c r="F19" s="53">
        <v>358.01345300000003</v>
      </c>
      <c r="G19" s="5">
        <v>2.2007452E-2</v>
      </c>
    </row>
    <row r="20" spans="1:7" ht="25.5" x14ac:dyDescent="0.2">
      <c r="A20" s="6">
        <v>14</v>
      </c>
      <c r="B20" s="7" t="s">
        <v>179</v>
      </c>
      <c r="C20" s="11" t="s">
        <v>180</v>
      </c>
      <c r="D20" s="2" t="s">
        <v>22</v>
      </c>
      <c r="E20" s="47">
        <v>111692</v>
      </c>
      <c r="F20" s="53">
        <v>356.40917200000001</v>
      </c>
      <c r="G20" s="5">
        <v>2.1908835000000002E-2</v>
      </c>
    </row>
    <row r="21" spans="1:7" ht="25.5" x14ac:dyDescent="0.2">
      <c r="A21" s="6">
        <v>15</v>
      </c>
      <c r="B21" s="7" t="s">
        <v>38</v>
      </c>
      <c r="C21" s="11" t="s">
        <v>39</v>
      </c>
      <c r="D21" s="2" t="s">
        <v>40</v>
      </c>
      <c r="E21" s="47">
        <v>81720</v>
      </c>
      <c r="F21" s="53">
        <v>352.54007999999999</v>
      </c>
      <c r="G21" s="5">
        <v>2.1670998E-2</v>
      </c>
    </row>
    <row r="22" spans="1:7" ht="25.5" x14ac:dyDescent="0.2">
      <c r="A22" s="6">
        <v>16</v>
      </c>
      <c r="B22" s="7" t="s">
        <v>102</v>
      </c>
      <c r="C22" s="11" t="s">
        <v>103</v>
      </c>
      <c r="D22" s="2" t="s">
        <v>13</v>
      </c>
      <c r="E22" s="47">
        <v>332221</v>
      </c>
      <c r="F22" s="53">
        <v>341.85540900000001</v>
      </c>
      <c r="G22" s="5">
        <v>2.10142E-2</v>
      </c>
    </row>
    <row r="23" spans="1:7" ht="12.75" x14ac:dyDescent="0.2">
      <c r="A23" s="6">
        <v>17</v>
      </c>
      <c r="B23" s="7" t="s">
        <v>159</v>
      </c>
      <c r="C23" s="11" t="s">
        <v>160</v>
      </c>
      <c r="D23" s="2" t="s">
        <v>19</v>
      </c>
      <c r="E23" s="47">
        <v>174815</v>
      </c>
      <c r="F23" s="53">
        <v>327.07886500000001</v>
      </c>
      <c r="G23" s="5">
        <v>2.0105871000000001E-2</v>
      </c>
    </row>
    <row r="24" spans="1:7" ht="25.5" x14ac:dyDescent="0.2">
      <c r="A24" s="6">
        <v>18</v>
      </c>
      <c r="B24" s="7" t="s">
        <v>169</v>
      </c>
      <c r="C24" s="11" t="s">
        <v>170</v>
      </c>
      <c r="D24" s="2" t="s">
        <v>27</v>
      </c>
      <c r="E24" s="47">
        <v>25571</v>
      </c>
      <c r="F24" s="53">
        <v>305.16431399999999</v>
      </c>
      <c r="G24" s="5">
        <v>1.8758760999999999E-2</v>
      </c>
    </row>
    <row r="25" spans="1:7" ht="12.75" x14ac:dyDescent="0.2">
      <c r="A25" s="6">
        <v>19</v>
      </c>
      <c r="B25" s="7" t="s">
        <v>48</v>
      </c>
      <c r="C25" s="11" t="s">
        <v>49</v>
      </c>
      <c r="D25" s="2" t="s">
        <v>50</v>
      </c>
      <c r="E25" s="47">
        <v>146549</v>
      </c>
      <c r="F25" s="53">
        <v>302.25731250000001</v>
      </c>
      <c r="G25" s="5">
        <v>1.8580065E-2</v>
      </c>
    </row>
    <row r="26" spans="1:7" ht="25.5" x14ac:dyDescent="0.2">
      <c r="A26" s="6">
        <v>20</v>
      </c>
      <c r="B26" s="7" t="s">
        <v>81</v>
      </c>
      <c r="C26" s="11" t="s">
        <v>82</v>
      </c>
      <c r="D26" s="2" t="s">
        <v>22</v>
      </c>
      <c r="E26" s="47">
        <v>28906</v>
      </c>
      <c r="F26" s="53">
        <v>289.16117100000002</v>
      </c>
      <c r="G26" s="5">
        <v>1.7775032E-2</v>
      </c>
    </row>
    <row r="27" spans="1:7" ht="51" x14ac:dyDescent="0.2">
      <c r="A27" s="6">
        <v>21</v>
      </c>
      <c r="B27" s="7" t="s">
        <v>264</v>
      </c>
      <c r="C27" s="11" t="s">
        <v>265</v>
      </c>
      <c r="D27" s="2" t="s">
        <v>208</v>
      </c>
      <c r="E27" s="47">
        <v>171750</v>
      </c>
      <c r="F27" s="53">
        <v>286.30725000000001</v>
      </c>
      <c r="G27" s="5">
        <v>1.7599599E-2</v>
      </c>
    </row>
    <row r="28" spans="1:7" ht="25.5" x14ac:dyDescent="0.2">
      <c r="A28" s="6">
        <v>22</v>
      </c>
      <c r="B28" s="7" t="s">
        <v>83</v>
      </c>
      <c r="C28" s="11" t="s">
        <v>84</v>
      </c>
      <c r="D28" s="2" t="s">
        <v>22</v>
      </c>
      <c r="E28" s="47">
        <v>241289</v>
      </c>
      <c r="F28" s="53">
        <v>263.1256545</v>
      </c>
      <c r="G28" s="5">
        <v>1.6174602E-2</v>
      </c>
    </row>
    <row r="29" spans="1:7" ht="25.5" x14ac:dyDescent="0.2">
      <c r="A29" s="6">
        <v>23</v>
      </c>
      <c r="B29" s="7" t="s">
        <v>59</v>
      </c>
      <c r="C29" s="11" t="s">
        <v>60</v>
      </c>
      <c r="D29" s="2" t="s">
        <v>22</v>
      </c>
      <c r="E29" s="47">
        <v>19065</v>
      </c>
      <c r="F29" s="53">
        <v>260.71387499999997</v>
      </c>
      <c r="G29" s="5">
        <v>1.6026347999999999E-2</v>
      </c>
    </row>
    <row r="30" spans="1:7" ht="12.75" x14ac:dyDescent="0.2">
      <c r="A30" s="6">
        <v>24</v>
      </c>
      <c r="B30" s="7" t="s">
        <v>308</v>
      </c>
      <c r="C30" s="11" t="s">
        <v>309</v>
      </c>
      <c r="D30" s="2" t="s">
        <v>168</v>
      </c>
      <c r="E30" s="47">
        <v>12356</v>
      </c>
      <c r="F30" s="53">
        <v>258.91998000000001</v>
      </c>
      <c r="G30" s="5">
        <v>1.5916074999999998E-2</v>
      </c>
    </row>
    <row r="31" spans="1:7" ht="12.75" x14ac:dyDescent="0.2">
      <c r="A31" s="6">
        <v>25</v>
      </c>
      <c r="B31" s="7" t="s">
        <v>193</v>
      </c>
      <c r="C31" s="11" t="s">
        <v>194</v>
      </c>
      <c r="D31" s="2" t="s">
        <v>72</v>
      </c>
      <c r="E31" s="47">
        <v>29040</v>
      </c>
      <c r="F31" s="53">
        <v>257.62835999999999</v>
      </c>
      <c r="G31" s="5">
        <v>1.5836678E-2</v>
      </c>
    </row>
    <row r="32" spans="1:7" ht="12.75" x14ac:dyDescent="0.2">
      <c r="A32" s="6">
        <v>26</v>
      </c>
      <c r="B32" s="7" t="s">
        <v>459</v>
      </c>
      <c r="C32" s="11" t="s">
        <v>460</v>
      </c>
      <c r="D32" s="2" t="s">
        <v>72</v>
      </c>
      <c r="E32" s="47">
        <v>269101</v>
      </c>
      <c r="F32" s="53">
        <v>251.2057835</v>
      </c>
      <c r="G32" s="5">
        <v>1.5441876E-2</v>
      </c>
    </row>
    <row r="33" spans="1:7" ht="12.75" x14ac:dyDescent="0.2">
      <c r="A33" s="6">
        <v>27</v>
      </c>
      <c r="B33" s="7" t="s">
        <v>175</v>
      </c>
      <c r="C33" s="11" t="s">
        <v>176</v>
      </c>
      <c r="D33" s="2" t="s">
        <v>19</v>
      </c>
      <c r="E33" s="47">
        <v>293868</v>
      </c>
      <c r="F33" s="53">
        <v>246.40831800000001</v>
      </c>
      <c r="G33" s="5">
        <v>1.5146969999999999E-2</v>
      </c>
    </row>
    <row r="34" spans="1:7" ht="12.75" x14ac:dyDescent="0.2">
      <c r="A34" s="6">
        <v>28</v>
      </c>
      <c r="B34" s="7" t="s">
        <v>252</v>
      </c>
      <c r="C34" s="11" t="s">
        <v>253</v>
      </c>
      <c r="D34" s="2" t="s">
        <v>242</v>
      </c>
      <c r="E34" s="47">
        <v>16500</v>
      </c>
      <c r="F34" s="53">
        <v>228.94575</v>
      </c>
      <c r="G34" s="5">
        <v>1.4073529E-2</v>
      </c>
    </row>
    <row r="35" spans="1:7" ht="12.75" x14ac:dyDescent="0.2">
      <c r="A35" s="6">
        <v>29</v>
      </c>
      <c r="B35" s="7" t="s">
        <v>184</v>
      </c>
      <c r="C35" s="11" t="s">
        <v>185</v>
      </c>
      <c r="D35" s="2" t="s">
        <v>16</v>
      </c>
      <c r="E35" s="47">
        <v>120017</v>
      </c>
      <c r="F35" s="53">
        <v>216.21062549999999</v>
      </c>
      <c r="G35" s="5">
        <v>1.3290688E-2</v>
      </c>
    </row>
    <row r="36" spans="1:7" ht="25.5" x14ac:dyDescent="0.2">
      <c r="A36" s="6">
        <v>30</v>
      </c>
      <c r="B36" s="7" t="s">
        <v>461</v>
      </c>
      <c r="C36" s="11" t="s">
        <v>462</v>
      </c>
      <c r="D36" s="2" t="s">
        <v>80</v>
      </c>
      <c r="E36" s="47">
        <v>73155</v>
      </c>
      <c r="F36" s="53">
        <v>211.89345750000001</v>
      </c>
      <c r="G36" s="5">
        <v>1.3025307E-2</v>
      </c>
    </row>
    <row r="37" spans="1:7" ht="25.5" x14ac:dyDescent="0.2">
      <c r="A37" s="6">
        <v>31</v>
      </c>
      <c r="B37" s="7" t="s">
        <v>372</v>
      </c>
      <c r="C37" s="11" t="s">
        <v>373</v>
      </c>
      <c r="D37" s="2" t="s">
        <v>22</v>
      </c>
      <c r="E37" s="47">
        <v>65156</v>
      </c>
      <c r="F37" s="53">
        <v>208.92271400000001</v>
      </c>
      <c r="G37" s="5">
        <v>1.2842691999999999E-2</v>
      </c>
    </row>
    <row r="38" spans="1:7" ht="25.5" x14ac:dyDescent="0.2">
      <c r="A38" s="6">
        <v>32</v>
      </c>
      <c r="B38" s="7" t="s">
        <v>188</v>
      </c>
      <c r="C38" s="11" t="s">
        <v>189</v>
      </c>
      <c r="D38" s="2" t="s">
        <v>47</v>
      </c>
      <c r="E38" s="47">
        <v>9707</v>
      </c>
      <c r="F38" s="53">
        <v>206.33684550000001</v>
      </c>
      <c r="G38" s="5">
        <v>1.2683735999999999E-2</v>
      </c>
    </row>
    <row r="39" spans="1:7" ht="12.75" x14ac:dyDescent="0.2">
      <c r="A39" s="6">
        <v>33</v>
      </c>
      <c r="B39" s="7" t="s">
        <v>195</v>
      </c>
      <c r="C39" s="11" t="s">
        <v>196</v>
      </c>
      <c r="D39" s="2" t="s">
        <v>197</v>
      </c>
      <c r="E39" s="47">
        <v>153789</v>
      </c>
      <c r="F39" s="53">
        <v>205.69278750000001</v>
      </c>
      <c r="G39" s="5">
        <v>1.2644145000000001E-2</v>
      </c>
    </row>
    <row r="40" spans="1:7" ht="12.75" x14ac:dyDescent="0.2">
      <c r="A40" s="6">
        <v>34</v>
      </c>
      <c r="B40" s="7" t="s">
        <v>470</v>
      </c>
      <c r="C40" s="11" t="s">
        <v>471</v>
      </c>
      <c r="D40" s="2" t="s">
        <v>72</v>
      </c>
      <c r="E40" s="47">
        <v>12321</v>
      </c>
      <c r="F40" s="53">
        <v>196.10103599999999</v>
      </c>
      <c r="G40" s="5">
        <v>1.2054531E-2</v>
      </c>
    </row>
    <row r="41" spans="1:7" ht="25.5" x14ac:dyDescent="0.2">
      <c r="A41" s="6">
        <v>35</v>
      </c>
      <c r="B41" s="7" t="s">
        <v>217</v>
      </c>
      <c r="C41" s="11" t="s">
        <v>218</v>
      </c>
      <c r="D41" s="2" t="s">
        <v>27</v>
      </c>
      <c r="E41" s="47">
        <v>160860</v>
      </c>
      <c r="F41" s="53">
        <v>195.92748</v>
      </c>
      <c r="G41" s="5">
        <v>1.2043862000000001E-2</v>
      </c>
    </row>
    <row r="42" spans="1:7" ht="12.75" x14ac:dyDescent="0.2">
      <c r="A42" s="6">
        <v>36</v>
      </c>
      <c r="B42" s="7" t="s">
        <v>219</v>
      </c>
      <c r="C42" s="11" t="s">
        <v>220</v>
      </c>
      <c r="D42" s="2" t="s">
        <v>72</v>
      </c>
      <c r="E42" s="47">
        <v>95977</v>
      </c>
      <c r="F42" s="53">
        <v>181.108599</v>
      </c>
      <c r="G42" s="5">
        <v>1.1132929999999999E-2</v>
      </c>
    </row>
    <row r="43" spans="1:7" ht="12.75" x14ac:dyDescent="0.2">
      <c r="A43" s="6">
        <v>37</v>
      </c>
      <c r="B43" s="7" t="s">
        <v>204</v>
      </c>
      <c r="C43" s="11" t="s">
        <v>205</v>
      </c>
      <c r="D43" s="2" t="s">
        <v>72</v>
      </c>
      <c r="E43" s="47">
        <v>65299</v>
      </c>
      <c r="F43" s="53">
        <v>178.16832149999999</v>
      </c>
      <c r="G43" s="5">
        <v>1.0952188E-2</v>
      </c>
    </row>
    <row r="44" spans="1:7" ht="25.5" x14ac:dyDescent="0.2">
      <c r="A44" s="6">
        <v>38</v>
      </c>
      <c r="B44" s="7" t="s">
        <v>177</v>
      </c>
      <c r="C44" s="11" t="s">
        <v>178</v>
      </c>
      <c r="D44" s="2" t="s">
        <v>47</v>
      </c>
      <c r="E44" s="47">
        <v>104606</v>
      </c>
      <c r="F44" s="53">
        <v>170.716992</v>
      </c>
      <c r="G44" s="5">
        <v>1.0494148E-2</v>
      </c>
    </row>
    <row r="45" spans="1:7" ht="51" x14ac:dyDescent="0.2">
      <c r="A45" s="6">
        <v>39</v>
      </c>
      <c r="B45" s="7" t="s">
        <v>206</v>
      </c>
      <c r="C45" s="11" t="s">
        <v>207</v>
      </c>
      <c r="D45" s="2" t="s">
        <v>208</v>
      </c>
      <c r="E45" s="47">
        <v>277686</v>
      </c>
      <c r="F45" s="53">
        <v>169.666146</v>
      </c>
      <c r="G45" s="5">
        <v>1.0429551E-2</v>
      </c>
    </row>
    <row r="46" spans="1:7" ht="12.75" x14ac:dyDescent="0.2">
      <c r="A46" s="6">
        <v>40</v>
      </c>
      <c r="B46" s="7" t="s">
        <v>465</v>
      </c>
      <c r="C46" s="11" t="s">
        <v>466</v>
      </c>
      <c r="D46" s="2" t="s">
        <v>168</v>
      </c>
      <c r="E46" s="47">
        <v>158085</v>
      </c>
      <c r="F46" s="53">
        <v>164.09223</v>
      </c>
      <c r="G46" s="5">
        <v>1.0086917000000001E-2</v>
      </c>
    </row>
    <row r="47" spans="1:7" ht="25.5" x14ac:dyDescent="0.2">
      <c r="A47" s="6">
        <v>41</v>
      </c>
      <c r="B47" s="7" t="s">
        <v>181</v>
      </c>
      <c r="C47" s="11" t="s">
        <v>182</v>
      </c>
      <c r="D47" s="2" t="s">
        <v>183</v>
      </c>
      <c r="E47" s="47">
        <v>138064</v>
      </c>
      <c r="F47" s="53">
        <v>164.02003199999999</v>
      </c>
      <c r="G47" s="5">
        <v>1.0082479E-2</v>
      </c>
    </row>
    <row r="48" spans="1:7" ht="25.5" x14ac:dyDescent="0.2">
      <c r="A48" s="6">
        <v>42</v>
      </c>
      <c r="B48" s="7" t="s">
        <v>73</v>
      </c>
      <c r="C48" s="11" t="s">
        <v>74</v>
      </c>
      <c r="D48" s="2" t="s">
        <v>22</v>
      </c>
      <c r="E48" s="47">
        <v>24696</v>
      </c>
      <c r="F48" s="53">
        <v>161.832888</v>
      </c>
      <c r="G48" s="5">
        <v>9.9480330000000002E-3</v>
      </c>
    </row>
    <row r="49" spans="1:7" ht="25.5" x14ac:dyDescent="0.2">
      <c r="A49" s="6">
        <v>43</v>
      </c>
      <c r="B49" s="7" t="s">
        <v>209</v>
      </c>
      <c r="C49" s="11" t="s">
        <v>210</v>
      </c>
      <c r="D49" s="2" t="s">
        <v>22</v>
      </c>
      <c r="E49" s="47">
        <v>23722</v>
      </c>
      <c r="F49" s="53">
        <v>159.57789399999999</v>
      </c>
      <c r="G49" s="5">
        <v>9.8094159999999996E-3</v>
      </c>
    </row>
    <row r="50" spans="1:7" ht="12.75" x14ac:dyDescent="0.2">
      <c r="A50" s="6">
        <v>44</v>
      </c>
      <c r="B50" s="7" t="s">
        <v>190</v>
      </c>
      <c r="C50" s="11" t="s">
        <v>191</v>
      </c>
      <c r="D50" s="2" t="s">
        <v>192</v>
      </c>
      <c r="E50" s="47">
        <v>99011</v>
      </c>
      <c r="F50" s="53">
        <v>152.52644549999999</v>
      </c>
      <c r="G50" s="5">
        <v>9.3759559999999995E-3</v>
      </c>
    </row>
    <row r="51" spans="1:7" ht="12.75" x14ac:dyDescent="0.2">
      <c r="A51" s="6">
        <v>45</v>
      </c>
      <c r="B51" s="7" t="s">
        <v>254</v>
      </c>
      <c r="C51" s="11" t="s">
        <v>255</v>
      </c>
      <c r="D51" s="2" t="s">
        <v>168</v>
      </c>
      <c r="E51" s="47">
        <v>54815</v>
      </c>
      <c r="F51" s="53">
        <v>151.81014250000001</v>
      </c>
      <c r="G51" s="5">
        <v>9.3319240000000001E-3</v>
      </c>
    </row>
    <row r="52" spans="1:7" ht="12.75" x14ac:dyDescent="0.2">
      <c r="A52" s="6">
        <v>46</v>
      </c>
      <c r="B52" s="7" t="s">
        <v>463</v>
      </c>
      <c r="C52" s="11" t="s">
        <v>464</v>
      </c>
      <c r="D52" s="2" t="s">
        <v>192</v>
      </c>
      <c r="E52" s="47">
        <v>25724</v>
      </c>
      <c r="F52" s="53">
        <v>149.26351</v>
      </c>
      <c r="G52" s="5">
        <v>9.1753800000000003E-3</v>
      </c>
    </row>
    <row r="53" spans="1:7" ht="12.75" x14ac:dyDescent="0.2">
      <c r="A53" s="6">
        <v>47</v>
      </c>
      <c r="B53" s="7" t="s">
        <v>166</v>
      </c>
      <c r="C53" s="11" t="s">
        <v>167</v>
      </c>
      <c r="D53" s="2" t="s">
        <v>168</v>
      </c>
      <c r="E53" s="47">
        <v>55487</v>
      </c>
      <c r="F53" s="53">
        <v>141.68605450000001</v>
      </c>
      <c r="G53" s="5">
        <v>8.7095860000000001E-3</v>
      </c>
    </row>
    <row r="54" spans="1:7" ht="51" x14ac:dyDescent="0.2">
      <c r="A54" s="6">
        <v>48</v>
      </c>
      <c r="B54" s="7" t="s">
        <v>294</v>
      </c>
      <c r="C54" s="11" t="s">
        <v>295</v>
      </c>
      <c r="D54" s="2" t="s">
        <v>208</v>
      </c>
      <c r="E54" s="47">
        <v>402399</v>
      </c>
      <c r="F54" s="53">
        <v>139.4312535</v>
      </c>
      <c r="G54" s="5">
        <v>8.5709810000000001E-3</v>
      </c>
    </row>
    <row r="55" spans="1:7" ht="12.75" x14ac:dyDescent="0.2">
      <c r="A55" s="6">
        <v>49</v>
      </c>
      <c r="B55" s="7" t="s">
        <v>279</v>
      </c>
      <c r="C55" s="11" t="s">
        <v>280</v>
      </c>
      <c r="D55" s="2" t="s">
        <v>281</v>
      </c>
      <c r="E55" s="47">
        <v>17224</v>
      </c>
      <c r="F55" s="53">
        <v>139.402444</v>
      </c>
      <c r="G55" s="5">
        <v>8.5692100000000007E-3</v>
      </c>
    </row>
    <row r="56" spans="1:7" ht="12.75" x14ac:dyDescent="0.2">
      <c r="A56" s="6">
        <v>50</v>
      </c>
      <c r="B56" s="7" t="s">
        <v>250</v>
      </c>
      <c r="C56" s="11" t="s">
        <v>251</v>
      </c>
      <c r="D56" s="2" t="s">
        <v>168</v>
      </c>
      <c r="E56" s="47">
        <v>34302</v>
      </c>
      <c r="F56" s="53">
        <v>136.65916799999999</v>
      </c>
      <c r="G56" s="5">
        <v>8.4005780000000006E-3</v>
      </c>
    </row>
    <row r="57" spans="1:7" ht="25.5" x14ac:dyDescent="0.2">
      <c r="A57" s="6">
        <v>51</v>
      </c>
      <c r="B57" s="7" t="s">
        <v>231</v>
      </c>
      <c r="C57" s="11" t="s">
        <v>232</v>
      </c>
      <c r="D57" s="2" t="s">
        <v>47</v>
      </c>
      <c r="E57" s="47">
        <v>53945</v>
      </c>
      <c r="F57" s="53">
        <v>136.04929000000001</v>
      </c>
      <c r="G57" s="5">
        <v>8.3630890000000006E-3</v>
      </c>
    </row>
    <row r="58" spans="1:7" ht="12.75" x14ac:dyDescent="0.2">
      <c r="A58" s="6">
        <v>52</v>
      </c>
      <c r="B58" s="7" t="s">
        <v>221</v>
      </c>
      <c r="C58" s="11" t="s">
        <v>222</v>
      </c>
      <c r="D58" s="2" t="s">
        <v>223</v>
      </c>
      <c r="E58" s="47">
        <v>29456</v>
      </c>
      <c r="F58" s="53">
        <v>133.64187200000001</v>
      </c>
      <c r="G58" s="5">
        <v>8.2151020000000002E-3</v>
      </c>
    </row>
    <row r="59" spans="1:7" ht="25.5" x14ac:dyDescent="0.2">
      <c r="A59" s="6">
        <v>53</v>
      </c>
      <c r="B59" s="7" t="s">
        <v>200</v>
      </c>
      <c r="C59" s="11" t="s">
        <v>201</v>
      </c>
      <c r="D59" s="2" t="s">
        <v>30</v>
      </c>
      <c r="E59" s="47">
        <v>44630</v>
      </c>
      <c r="F59" s="53">
        <v>133.59990500000001</v>
      </c>
      <c r="G59" s="5">
        <v>8.2125219999999999E-3</v>
      </c>
    </row>
    <row r="60" spans="1:7" ht="12.75" x14ac:dyDescent="0.2">
      <c r="A60" s="6">
        <v>54</v>
      </c>
      <c r="B60" s="7" t="s">
        <v>472</v>
      </c>
      <c r="C60" s="11" t="s">
        <v>473</v>
      </c>
      <c r="D60" s="2" t="s">
        <v>168</v>
      </c>
      <c r="E60" s="47">
        <v>38058</v>
      </c>
      <c r="F60" s="53">
        <v>130.46282400000001</v>
      </c>
      <c r="G60" s="5">
        <v>8.0196829999999997E-3</v>
      </c>
    </row>
    <row r="61" spans="1:7" ht="25.5" x14ac:dyDescent="0.2">
      <c r="A61" s="6">
        <v>55</v>
      </c>
      <c r="B61" s="7" t="s">
        <v>215</v>
      </c>
      <c r="C61" s="11" t="s">
        <v>216</v>
      </c>
      <c r="D61" s="2" t="s">
        <v>13</v>
      </c>
      <c r="E61" s="47">
        <v>223886</v>
      </c>
      <c r="F61" s="53">
        <v>129.40610799999999</v>
      </c>
      <c r="G61" s="5">
        <v>7.9547249999999993E-3</v>
      </c>
    </row>
    <row r="62" spans="1:7" ht="12.75" x14ac:dyDescent="0.2">
      <c r="A62" s="6">
        <v>56</v>
      </c>
      <c r="B62" s="7" t="s">
        <v>238</v>
      </c>
      <c r="C62" s="11" t="s">
        <v>239</v>
      </c>
      <c r="D62" s="2" t="s">
        <v>72</v>
      </c>
      <c r="E62" s="47">
        <v>228623</v>
      </c>
      <c r="F62" s="53">
        <v>122.4276165</v>
      </c>
      <c r="G62" s="5">
        <v>7.5257500000000003E-3</v>
      </c>
    </row>
    <row r="63" spans="1:7" ht="12.75" x14ac:dyDescent="0.2">
      <c r="A63" s="6">
        <v>57</v>
      </c>
      <c r="B63" s="7" t="s">
        <v>87</v>
      </c>
      <c r="C63" s="11" t="s">
        <v>88</v>
      </c>
      <c r="D63" s="2"/>
      <c r="E63" s="47">
        <v>62000</v>
      </c>
      <c r="F63" s="53">
        <v>105.462</v>
      </c>
      <c r="G63" s="5">
        <v>6.4828569999999999E-3</v>
      </c>
    </row>
    <row r="64" spans="1:7" ht="25.5" x14ac:dyDescent="0.2">
      <c r="A64" s="6">
        <v>58</v>
      </c>
      <c r="B64" s="7" t="s">
        <v>467</v>
      </c>
      <c r="C64" s="11" t="s">
        <v>468</v>
      </c>
      <c r="D64" s="2" t="s">
        <v>163</v>
      </c>
      <c r="E64" s="47">
        <v>188977</v>
      </c>
      <c r="F64" s="53">
        <v>102.236557</v>
      </c>
      <c r="G64" s="5">
        <v>6.2845849999999997E-3</v>
      </c>
    </row>
    <row r="65" spans="1:7" ht="25.5" x14ac:dyDescent="0.2">
      <c r="A65" s="6">
        <v>59</v>
      </c>
      <c r="B65" s="7" t="s">
        <v>202</v>
      </c>
      <c r="C65" s="11" t="s">
        <v>203</v>
      </c>
      <c r="D65" s="2" t="s">
        <v>22</v>
      </c>
      <c r="E65" s="47">
        <v>14000</v>
      </c>
      <c r="F65" s="53">
        <v>92.876000000000005</v>
      </c>
      <c r="G65" s="5">
        <v>5.7091820000000001E-3</v>
      </c>
    </row>
    <row r="66" spans="1:7" ht="12.75" x14ac:dyDescent="0.2">
      <c r="A66" s="6">
        <v>60</v>
      </c>
      <c r="B66" s="7" t="s">
        <v>233</v>
      </c>
      <c r="C66" s="11" t="s">
        <v>234</v>
      </c>
      <c r="D66" s="2" t="s">
        <v>192</v>
      </c>
      <c r="E66" s="47">
        <v>47702</v>
      </c>
      <c r="F66" s="53">
        <v>86.459874999999997</v>
      </c>
      <c r="G66" s="5">
        <v>5.3147769999999997E-3</v>
      </c>
    </row>
    <row r="67" spans="1:7" ht="12.75" x14ac:dyDescent="0.2">
      <c r="A67" s="6">
        <v>61</v>
      </c>
      <c r="B67" s="7" t="s">
        <v>211</v>
      </c>
      <c r="C67" s="11" t="s">
        <v>212</v>
      </c>
      <c r="D67" s="2" t="s">
        <v>72</v>
      </c>
      <c r="E67" s="47">
        <v>266331</v>
      </c>
      <c r="F67" s="53">
        <v>79.100307000000001</v>
      </c>
      <c r="G67" s="5">
        <v>4.8623770000000002E-3</v>
      </c>
    </row>
    <row r="68" spans="1:7" ht="12.75" x14ac:dyDescent="0.2">
      <c r="A68" s="6">
        <v>62</v>
      </c>
      <c r="B68" s="7" t="s">
        <v>235</v>
      </c>
      <c r="C68" s="11" t="s">
        <v>236</v>
      </c>
      <c r="D68" s="2" t="s">
        <v>237</v>
      </c>
      <c r="E68" s="47">
        <v>6786</v>
      </c>
      <c r="F68" s="53">
        <v>74.493314999999996</v>
      </c>
      <c r="G68" s="5">
        <v>4.5791800000000004E-3</v>
      </c>
    </row>
    <row r="69" spans="1:7" ht="12.75" x14ac:dyDescent="0.2">
      <c r="A69" s="6">
        <v>63</v>
      </c>
      <c r="B69" s="7" t="s">
        <v>268</v>
      </c>
      <c r="C69" s="11" t="s">
        <v>269</v>
      </c>
      <c r="D69" s="2" t="s">
        <v>72</v>
      </c>
      <c r="E69" s="47">
        <v>16000</v>
      </c>
      <c r="F69" s="53">
        <v>71.816000000000003</v>
      </c>
      <c r="G69" s="5">
        <v>4.4146029999999996E-3</v>
      </c>
    </row>
    <row r="70" spans="1:7" ht="25.5" x14ac:dyDescent="0.2">
      <c r="A70" s="6">
        <v>64</v>
      </c>
      <c r="B70" s="7" t="s">
        <v>243</v>
      </c>
      <c r="C70" s="11" t="s">
        <v>244</v>
      </c>
      <c r="D70" s="2" t="s">
        <v>163</v>
      </c>
      <c r="E70" s="47">
        <v>58331</v>
      </c>
      <c r="F70" s="53">
        <v>35.552744500000003</v>
      </c>
      <c r="G70" s="5">
        <v>2.1854629999999999E-3</v>
      </c>
    </row>
    <row r="71" spans="1:7" ht="12.75" x14ac:dyDescent="0.2">
      <c r="A71" s="6">
        <v>65</v>
      </c>
      <c r="B71" s="7" t="s">
        <v>106</v>
      </c>
      <c r="C71" s="11" t="s">
        <v>107</v>
      </c>
      <c r="D71" s="2" t="s">
        <v>50</v>
      </c>
      <c r="E71" s="47">
        <v>62000</v>
      </c>
      <c r="F71" s="53">
        <v>29.76</v>
      </c>
      <c r="G71" s="5">
        <v>1.829378E-3</v>
      </c>
    </row>
    <row r="72" spans="1:7" ht="12.75" x14ac:dyDescent="0.2">
      <c r="A72" s="1"/>
      <c r="B72" s="2"/>
      <c r="C72" s="8" t="s">
        <v>108</v>
      </c>
      <c r="D72" s="12"/>
      <c r="E72" s="49"/>
      <c r="F72" s="55">
        <v>15986.794567000003</v>
      </c>
      <c r="G72" s="13">
        <v>0.98272455800000003</v>
      </c>
    </row>
    <row r="73" spans="1:7" ht="12.75" x14ac:dyDescent="0.2">
      <c r="A73" s="6"/>
      <c r="B73" s="7"/>
      <c r="C73" s="14"/>
      <c r="D73" s="15"/>
      <c r="E73" s="47"/>
      <c r="F73" s="53"/>
      <c r="G73" s="5"/>
    </row>
    <row r="74" spans="1:7" ht="12.75" x14ac:dyDescent="0.2">
      <c r="A74" s="1"/>
      <c r="B74" s="2"/>
      <c r="C74" s="8" t="s">
        <v>109</v>
      </c>
      <c r="D74" s="9"/>
      <c r="E74" s="48"/>
      <c r="F74" s="54"/>
      <c r="G74" s="10"/>
    </row>
    <row r="75" spans="1:7" ht="12.75" x14ac:dyDescent="0.2">
      <c r="A75" s="1"/>
      <c r="B75" s="2"/>
      <c r="C75" s="8" t="s">
        <v>108</v>
      </c>
      <c r="D75" s="12"/>
      <c r="E75" s="49"/>
      <c r="F75" s="55">
        <v>0</v>
      </c>
      <c r="G75" s="13">
        <v>0</v>
      </c>
    </row>
    <row r="76" spans="1:7" ht="12.75" x14ac:dyDescent="0.2">
      <c r="A76" s="6"/>
      <c r="B76" s="7"/>
      <c r="C76" s="14"/>
      <c r="D76" s="15"/>
      <c r="E76" s="47"/>
      <c r="F76" s="53"/>
      <c r="G76" s="5"/>
    </row>
    <row r="77" spans="1:7" ht="12.75" x14ac:dyDescent="0.2">
      <c r="A77" s="16"/>
      <c r="B77" s="17"/>
      <c r="C77" s="8" t="s">
        <v>110</v>
      </c>
      <c r="D77" s="9"/>
      <c r="E77" s="48"/>
      <c r="F77" s="54"/>
      <c r="G77" s="10"/>
    </row>
    <row r="78" spans="1:7" ht="12.75" x14ac:dyDescent="0.2">
      <c r="A78" s="18"/>
      <c r="B78" s="19"/>
      <c r="C78" s="8" t="s">
        <v>108</v>
      </c>
      <c r="D78" s="20"/>
      <c r="E78" s="50"/>
      <c r="F78" s="56">
        <v>0</v>
      </c>
      <c r="G78" s="21">
        <v>0</v>
      </c>
    </row>
    <row r="79" spans="1:7" ht="12.75" x14ac:dyDescent="0.2">
      <c r="A79" s="18"/>
      <c r="B79" s="19"/>
      <c r="C79" s="14"/>
      <c r="D79" s="22"/>
      <c r="E79" s="51"/>
      <c r="F79" s="57"/>
      <c r="G79" s="23"/>
    </row>
    <row r="80" spans="1:7" ht="12.75" x14ac:dyDescent="0.2">
      <c r="A80" s="1"/>
      <c r="B80" s="2"/>
      <c r="C80" s="8" t="s">
        <v>113</v>
      </c>
      <c r="D80" s="9"/>
      <c r="E80" s="48"/>
      <c r="F80" s="54"/>
      <c r="G80" s="10"/>
    </row>
    <row r="81" spans="1:7" ht="12.75" x14ac:dyDescent="0.2">
      <c r="A81" s="1"/>
      <c r="B81" s="2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1"/>
      <c r="B82" s="2"/>
      <c r="C82" s="14"/>
      <c r="D82" s="4"/>
      <c r="E82" s="47"/>
      <c r="F82" s="53"/>
      <c r="G82" s="5"/>
    </row>
    <row r="83" spans="1:7" ht="12.75" x14ac:dyDescent="0.2">
      <c r="A83" s="1"/>
      <c r="B83" s="2"/>
      <c r="C83" s="8" t="s">
        <v>114</v>
      </c>
      <c r="D83" s="9"/>
      <c r="E83" s="48"/>
      <c r="F83" s="54"/>
      <c r="G83" s="10"/>
    </row>
    <row r="84" spans="1:7" ht="12.75" x14ac:dyDescent="0.2">
      <c r="A84" s="1"/>
      <c r="B84" s="2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1"/>
      <c r="B85" s="2"/>
      <c r="C85" s="14"/>
      <c r="D85" s="4"/>
      <c r="E85" s="47"/>
      <c r="F85" s="53"/>
      <c r="G85" s="5"/>
    </row>
    <row r="86" spans="1:7" ht="12.75" x14ac:dyDescent="0.2">
      <c r="A86" s="1"/>
      <c r="B86" s="2"/>
      <c r="C86" s="8" t="s">
        <v>115</v>
      </c>
      <c r="D86" s="9"/>
      <c r="E86" s="48"/>
      <c r="F86" s="54"/>
      <c r="G86" s="10"/>
    </row>
    <row r="87" spans="1:7" ht="12.75" x14ac:dyDescent="0.2">
      <c r="A87" s="1"/>
      <c r="B87" s="2"/>
      <c r="C87" s="8" t="s">
        <v>108</v>
      </c>
      <c r="D87" s="12"/>
      <c r="E87" s="49"/>
      <c r="F87" s="55">
        <v>0</v>
      </c>
      <c r="G87" s="13">
        <v>0</v>
      </c>
    </row>
    <row r="88" spans="1:7" ht="12.75" x14ac:dyDescent="0.2">
      <c r="A88" s="1"/>
      <c r="B88" s="2"/>
      <c r="C88" s="14"/>
      <c r="D88" s="4"/>
      <c r="E88" s="47"/>
      <c r="F88" s="53"/>
      <c r="G88" s="5"/>
    </row>
    <row r="89" spans="1:7" ht="25.5" x14ac:dyDescent="0.2">
      <c r="A89" s="6"/>
      <c r="B89" s="7"/>
      <c r="C89" s="24" t="s">
        <v>116</v>
      </c>
      <c r="D89" s="25"/>
      <c r="E89" s="49"/>
      <c r="F89" s="55">
        <v>15986.794567000003</v>
      </c>
      <c r="G89" s="13">
        <v>0.98272455800000003</v>
      </c>
    </row>
    <row r="90" spans="1:7" ht="12.75" x14ac:dyDescent="0.2">
      <c r="A90" s="1"/>
      <c r="B90" s="2"/>
      <c r="C90" s="11"/>
      <c r="D90" s="4"/>
      <c r="E90" s="47"/>
      <c r="F90" s="53"/>
      <c r="G90" s="5"/>
    </row>
    <row r="91" spans="1:7" ht="12.75" x14ac:dyDescent="0.2">
      <c r="A91" s="1"/>
      <c r="B91" s="2"/>
      <c r="C91" s="3" t="s">
        <v>117</v>
      </c>
      <c r="D91" s="4"/>
      <c r="E91" s="47"/>
      <c r="F91" s="53"/>
      <c r="G91" s="5"/>
    </row>
    <row r="92" spans="1:7" ht="25.5" x14ac:dyDescent="0.2">
      <c r="A92" s="1"/>
      <c r="B92" s="2"/>
      <c r="C92" s="8" t="s">
        <v>10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12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4"/>
      <c r="E94" s="47"/>
      <c r="F94" s="53"/>
      <c r="G94" s="5"/>
    </row>
    <row r="95" spans="1:7" ht="12.75" x14ac:dyDescent="0.2">
      <c r="A95" s="1"/>
      <c r="B95" s="26"/>
      <c r="C95" s="8" t="s">
        <v>118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12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4"/>
      <c r="D97" s="4"/>
      <c r="E97" s="47"/>
      <c r="F97" s="59"/>
      <c r="G97" s="28"/>
    </row>
    <row r="98" spans="1:7" ht="12.75" x14ac:dyDescent="0.2">
      <c r="A98" s="1"/>
      <c r="B98" s="2"/>
      <c r="C98" s="8" t="s">
        <v>119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12"/>
      <c r="E99" s="49"/>
      <c r="F99" s="55">
        <v>0</v>
      </c>
      <c r="G99" s="13">
        <v>0</v>
      </c>
    </row>
    <row r="100" spans="1:7" ht="12.75" x14ac:dyDescent="0.2">
      <c r="A100" s="1"/>
      <c r="B100" s="2"/>
      <c r="C100" s="14"/>
      <c r="D100" s="4"/>
      <c r="E100" s="47"/>
      <c r="F100" s="53"/>
      <c r="G100" s="5"/>
    </row>
    <row r="101" spans="1:7" ht="25.5" x14ac:dyDescent="0.2">
      <c r="A101" s="1"/>
      <c r="B101" s="26"/>
      <c r="C101" s="8" t="s">
        <v>120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12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4"/>
      <c r="D103" s="4"/>
      <c r="E103" s="47"/>
      <c r="F103" s="53"/>
      <c r="G103" s="5"/>
    </row>
    <row r="104" spans="1:7" ht="12.75" x14ac:dyDescent="0.2">
      <c r="A104" s="6"/>
      <c r="B104" s="7"/>
      <c r="C104" s="29" t="s">
        <v>121</v>
      </c>
      <c r="D104" s="25"/>
      <c r="E104" s="49"/>
      <c r="F104" s="55">
        <v>0</v>
      </c>
      <c r="G104" s="13">
        <v>0</v>
      </c>
    </row>
    <row r="105" spans="1:7" ht="12.75" x14ac:dyDescent="0.2">
      <c r="A105" s="6"/>
      <c r="B105" s="7"/>
      <c r="C105" s="11"/>
      <c r="D105" s="4"/>
      <c r="E105" s="47"/>
      <c r="F105" s="53"/>
      <c r="G105" s="5"/>
    </row>
    <row r="106" spans="1:7" ht="12.75" x14ac:dyDescent="0.2">
      <c r="A106" s="1"/>
      <c r="B106" s="2"/>
      <c r="C106" s="3" t="s">
        <v>122</v>
      </c>
      <c r="D106" s="4"/>
      <c r="E106" s="47"/>
      <c r="F106" s="53"/>
      <c r="G106" s="5"/>
    </row>
    <row r="107" spans="1:7" ht="12.75" x14ac:dyDescent="0.2">
      <c r="A107" s="6"/>
      <c r="B107" s="7"/>
      <c r="C107" s="8" t="s">
        <v>123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3"/>
      <c r="G109" s="5"/>
    </row>
    <row r="110" spans="1:7" ht="12.75" x14ac:dyDescent="0.2">
      <c r="A110" s="6"/>
      <c r="B110" s="7"/>
      <c r="C110" s="8" t="s">
        <v>124</v>
      </c>
      <c r="D110" s="9"/>
      <c r="E110" s="48"/>
      <c r="F110" s="54"/>
      <c r="G110" s="10"/>
    </row>
    <row r="111" spans="1:7" ht="12.75" x14ac:dyDescent="0.2">
      <c r="A111" s="6"/>
      <c r="B111" s="7"/>
      <c r="C111" s="8" t="s">
        <v>108</v>
      </c>
      <c r="D111" s="25"/>
      <c r="E111" s="49"/>
      <c r="F111" s="55">
        <v>0</v>
      </c>
      <c r="G111" s="13">
        <v>0</v>
      </c>
    </row>
    <row r="112" spans="1:7" ht="12.75" x14ac:dyDescent="0.2">
      <c r="A112" s="6"/>
      <c r="B112" s="7"/>
      <c r="C112" s="14"/>
      <c r="D112" s="7"/>
      <c r="E112" s="47"/>
      <c r="F112" s="53"/>
      <c r="G112" s="5"/>
    </row>
    <row r="113" spans="1:7" ht="12.75" x14ac:dyDescent="0.2">
      <c r="A113" s="6"/>
      <c r="B113" s="7"/>
      <c r="C113" s="8" t="s">
        <v>125</v>
      </c>
      <c r="D113" s="9"/>
      <c r="E113" s="48"/>
      <c r="F113" s="54"/>
      <c r="G113" s="10"/>
    </row>
    <row r="114" spans="1:7" ht="12.75" x14ac:dyDescent="0.2">
      <c r="A114" s="6"/>
      <c r="B114" s="7"/>
      <c r="C114" s="8" t="s">
        <v>108</v>
      </c>
      <c r="D114" s="25"/>
      <c r="E114" s="49"/>
      <c r="F114" s="55">
        <v>0</v>
      </c>
      <c r="G114" s="13">
        <v>0</v>
      </c>
    </row>
    <row r="115" spans="1:7" ht="12.75" x14ac:dyDescent="0.2">
      <c r="A115" s="6"/>
      <c r="B115" s="7"/>
      <c r="C115" s="14"/>
      <c r="D115" s="7"/>
      <c r="E115" s="47"/>
      <c r="F115" s="53"/>
      <c r="G115" s="5"/>
    </row>
    <row r="116" spans="1:7" ht="12.75" x14ac:dyDescent="0.2">
      <c r="A116" s="6"/>
      <c r="B116" s="7"/>
      <c r="C116" s="8" t="s">
        <v>126</v>
      </c>
      <c r="D116" s="9"/>
      <c r="E116" s="48"/>
      <c r="F116" s="54"/>
      <c r="G116" s="10"/>
    </row>
    <row r="117" spans="1:7" ht="12.75" x14ac:dyDescent="0.2">
      <c r="A117" s="6">
        <v>1</v>
      </c>
      <c r="B117" s="7"/>
      <c r="C117" s="11" t="s">
        <v>812</v>
      </c>
      <c r="D117" s="15"/>
      <c r="E117" s="47"/>
      <c r="F117" s="53">
        <v>302.96015849999998</v>
      </c>
      <c r="G117" s="5">
        <v>1.8623270000000001E-2</v>
      </c>
    </row>
    <row r="118" spans="1:7" ht="12.75" x14ac:dyDescent="0.2">
      <c r="A118" s="6"/>
      <c r="B118" s="7"/>
      <c r="C118" s="8" t="s">
        <v>108</v>
      </c>
      <c r="D118" s="25"/>
      <c r="E118" s="49"/>
      <c r="F118" s="55">
        <v>302.96015849999998</v>
      </c>
      <c r="G118" s="13">
        <v>1.8623270000000001E-2</v>
      </c>
    </row>
    <row r="119" spans="1:7" ht="12.75" x14ac:dyDescent="0.2">
      <c r="A119" s="6"/>
      <c r="B119" s="7"/>
      <c r="C119" s="14"/>
      <c r="D119" s="7"/>
      <c r="E119" s="47"/>
      <c r="F119" s="53"/>
      <c r="G119" s="5"/>
    </row>
    <row r="120" spans="1:7" ht="25.5" x14ac:dyDescent="0.2">
      <c r="A120" s="6"/>
      <c r="B120" s="7"/>
      <c r="C120" s="24" t="s">
        <v>127</v>
      </c>
      <c r="D120" s="25"/>
      <c r="E120" s="49"/>
      <c r="F120" s="55">
        <v>302.96015849999998</v>
      </c>
      <c r="G120" s="13">
        <v>1.8623270000000001E-2</v>
      </c>
    </row>
    <row r="121" spans="1:7" ht="12.75" x14ac:dyDescent="0.2">
      <c r="A121" s="6"/>
      <c r="B121" s="7"/>
      <c r="C121" s="30"/>
      <c r="D121" s="7"/>
      <c r="E121" s="47"/>
      <c r="F121" s="53"/>
      <c r="G121" s="5"/>
    </row>
    <row r="122" spans="1:7" ht="12.75" x14ac:dyDescent="0.2">
      <c r="A122" s="1"/>
      <c r="B122" s="2"/>
      <c r="C122" s="3" t="s">
        <v>128</v>
      </c>
      <c r="D122" s="4"/>
      <c r="E122" s="47"/>
      <c r="F122" s="53"/>
      <c r="G122" s="5"/>
    </row>
    <row r="123" spans="1:7" ht="25.5" x14ac:dyDescent="0.2">
      <c r="A123" s="6"/>
      <c r="B123" s="7"/>
      <c r="C123" s="8" t="s">
        <v>129</v>
      </c>
      <c r="D123" s="9"/>
      <c r="E123" s="48"/>
      <c r="F123" s="54"/>
      <c r="G123" s="10"/>
    </row>
    <row r="124" spans="1:7" ht="12.75" x14ac:dyDescent="0.2">
      <c r="A124" s="6"/>
      <c r="B124" s="7"/>
      <c r="C124" s="8" t="s">
        <v>108</v>
      </c>
      <c r="D124" s="25"/>
      <c r="E124" s="49"/>
      <c r="F124" s="55">
        <v>0</v>
      </c>
      <c r="G124" s="13">
        <v>0</v>
      </c>
    </row>
    <row r="125" spans="1:7" ht="12.75" x14ac:dyDescent="0.2">
      <c r="A125" s="6"/>
      <c r="B125" s="7"/>
      <c r="C125" s="14"/>
      <c r="D125" s="7"/>
      <c r="E125" s="47"/>
      <c r="F125" s="53"/>
      <c r="G125" s="5"/>
    </row>
    <row r="126" spans="1:7" ht="12.75" x14ac:dyDescent="0.2">
      <c r="A126" s="1"/>
      <c r="B126" s="2"/>
      <c r="C126" s="3" t="s">
        <v>131</v>
      </c>
      <c r="D126" s="4"/>
      <c r="E126" s="47"/>
      <c r="F126" s="53"/>
      <c r="G126" s="5"/>
    </row>
    <row r="127" spans="1:7" ht="25.5" x14ac:dyDescent="0.2">
      <c r="A127" s="6"/>
      <c r="B127" s="7"/>
      <c r="C127" s="8" t="s">
        <v>132</v>
      </c>
      <c r="D127" s="9"/>
      <c r="E127" s="48"/>
      <c r="F127" s="54"/>
      <c r="G127" s="10"/>
    </row>
    <row r="128" spans="1:7" ht="12.75" x14ac:dyDescent="0.2">
      <c r="A128" s="6"/>
      <c r="B128" s="7"/>
      <c r="C128" s="8" t="s">
        <v>108</v>
      </c>
      <c r="D128" s="25"/>
      <c r="E128" s="49"/>
      <c r="F128" s="55">
        <v>0</v>
      </c>
      <c r="G128" s="13">
        <v>0</v>
      </c>
    </row>
    <row r="129" spans="1:7" ht="12.75" x14ac:dyDescent="0.2">
      <c r="A129" s="6"/>
      <c r="B129" s="7"/>
      <c r="C129" s="14"/>
      <c r="D129" s="7"/>
      <c r="E129" s="47"/>
      <c r="F129" s="53"/>
      <c r="G129" s="5"/>
    </row>
    <row r="130" spans="1:7" ht="25.5" x14ac:dyDescent="0.2">
      <c r="A130" s="6"/>
      <c r="B130" s="7"/>
      <c r="C130" s="8" t="s">
        <v>133</v>
      </c>
      <c r="D130" s="9"/>
      <c r="E130" s="48"/>
      <c r="F130" s="54"/>
      <c r="G130" s="10"/>
    </row>
    <row r="131" spans="1:7" ht="12.75" x14ac:dyDescent="0.2">
      <c r="A131" s="6"/>
      <c r="B131" s="7"/>
      <c r="C131" s="8" t="s">
        <v>108</v>
      </c>
      <c r="D131" s="25"/>
      <c r="E131" s="49"/>
      <c r="F131" s="55">
        <v>0</v>
      </c>
      <c r="G131" s="13">
        <v>0</v>
      </c>
    </row>
    <row r="132" spans="1:7" ht="12.75" x14ac:dyDescent="0.2">
      <c r="A132" s="6"/>
      <c r="B132" s="7"/>
      <c r="C132" s="14"/>
      <c r="D132" s="7"/>
      <c r="E132" s="47"/>
      <c r="F132" s="59"/>
      <c r="G132" s="28"/>
    </row>
    <row r="133" spans="1:7" ht="25.5" x14ac:dyDescent="0.2">
      <c r="A133" s="6"/>
      <c r="B133" s="7"/>
      <c r="C133" s="30" t="s">
        <v>134</v>
      </c>
      <c r="D133" s="7"/>
      <c r="E133" s="47"/>
      <c r="F133" s="128">
        <v>-21.926249989999999</v>
      </c>
      <c r="G133" s="137">
        <v>-1.3478289387553065E-3</v>
      </c>
    </row>
    <row r="134" spans="1:7" ht="12.75" x14ac:dyDescent="0.2">
      <c r="A134" s="6"/>
      <c r="B134" s="7"/>
      <c r="C134" s="31" t="s">
        <v>135</v>
      </c>
      <c r="D134" s="12"/>
      <c r="E134" s="49"/>
      <c r="F134" s="55">
        <v>16267.828475510001</v>
      </c>
      <c r="G134" s="13">
        <v>0.99999999900000003</v>
      </c>
    </row>
    <row r="136" spans="1:7" ht="12.75" x14ac:dyDescent="0.2">
      <c r="B136" s="179"/>
      <c r="C136" s="179"/>
      <c r="D136" s="179"/>
      <c r="E136" s="179"/>
      <c r="F136" s="179"/>
    </row>
    <row r="137" spans="1:7" ht="12.75" x14ac:dyDescent="0.2">
      <c r="B137" s="179"/>
      <c r="C137" s="179"/>
      <c r="D137" s="179"/>
      <c r="E137" s="179"/>
      <c r="F137" s="179"/>
    </row>
    <row r="139" spans="1:7" ht="12.75" x14ac:dyDescent="0.2">
      <c r="B139" s="37" t="s">
        <v>137</v>
      </c>
      <c r="C139" s="38"/>
      <c r="D139" s="39"/>
    </row>
    <row r="140" spans="1:7" ht="12.75" x14ac:dyDescent="0.2">
      <c r="B140" s="40" t="s">
        <v>808</v>
      </c>
      <c r="C140" s="41"/>
      <c r="D140" s="65" t="s">
        <v>138</v>
      </c>
    </row>
    <row r="141" spans="1:7" ht="12.75" x14ac:dyDescent="0.2">
      <c r="B141" s="40" t="s">
        <v>139</v>
      </c>
      <c r="C141" s="41"/>
      <c r="D141" s="65" t="s">
        <v>138</v>
      </c>
    </row>
    <row r="142" spans="1:7" ht="12.75" x14ac:dyDescent="0.2">
      <c r="B142" s="42" t="s">
        <v>140</v>
      </c>
      <c r="C142" s="41"/>
      <c r="D142" s="43"/>
    </row>
    <row r="143" spans="1:7" ht="25.5" customHeight="1" x14ac:dyDescent="0.2">
      <c r="B143" s="43"/>
      <c r="C143" s="33" t="s">
        <v>141</v>
      </c>
      <c r="D143" s="34" t="s">
        <v>142</v>
      </c>
    </row>
    <row r="144" spans="1:7" ht="12.75" customHeight="1" x14ac:dyDescent="0.2">
      <c r="B144" s="60" t="s">
        <v>143</v>
      </c>
      <c r="C144" s="61" t="s">
        <v>144</v>
      </c>
      <c r="D144" s="61" t="s">
        <v>145</v>
      </c>
    </row>
    <row r="145" spans="2:4" ht="12.75" x14ac:dyDescent="0.2">
      <c r="B145" s="43" t="s">
        <v>146</v>
      </c>
      <c r="C145" s="44">
        <v>8.2597000000000005</v>
      </c>
      <c r="D145" s="44">
        <v>8.4751999999999992</v>
      </c>
    </row>
    <row r="146" spans="2:4" ht="12.75" x14ac:dyDescent="0.2">
      <c r="B146" s="43" t="s">
        <v>147</v>
      </c>
      <c r="C146" s="44">
        <v>8.2597000000000005</v>
      </c>
      <c r="D146" s="44">
        <v>8.4751999999999992</v>
      </c>
    </row>
    <row r="147" spans="2:4" ht="12.75" x14ac:dyDescent="0.2">
      <c r="B147" s="43" t="s">
        <v>148</v>
      </c>
      <c r="C147" s="44">
        <v>8.0989000000000004</v>
      </c>
      <c r="D147" s="44">
        <v>8.3048000000000002</v>
      </c>
    </row>
    <row r="148" spans="2:4" ht="12.75" x14ac:dyDescent="0.2">
      <c r="B148" s="43" t="s">
        <v>149</v>
      </c>
      <c r="C148" s="44">
        <v>8.0989000000000004</v>
      </c>
      <c r="D148" s="44">
        <v>8.3048000000000002</v>
      </c>
    </row>
    <row r="150" spans="2:4" ht="12.75" x14ac:dyDescent="0.2">
      <c r="B150" s="62" t="s">
        <v>150</v>
      </c>
      <c r="C150" s="45"/>
      <c r="D150" s="63" t="s">
        <v>138</v>
      </c>
    </row>
    <row r="151" spans="2:4" ht="24.75" customHeight="1" x14ac:dyDescent="0.2">
      <c r="B151" s="64"/>
      <c r="C151" s="64"/>
    </row>
    <row r="152" spans="2:4" ht="15" x14ac:dyDescent="0.25">
      <c r="B152" s="66"/>
      <c r="C152" s="68"/>
      <c r="D152"/>
    </row>
    <row r="154" spans="2:4" ht="12.75" x14ac:dyDescent="0.2">
      <c r="B154" s="42" t="s">
        <v>151</v>
      </c>
      <c r="C154" s="41"/>
      <c r="D154" s="67" t="s">
        <v>138</v>
      </c>
    </row>
    <row r="155" spans="2:4" ht="12.75" x14ac:dyDescent="0.2">
      <c r="B155" s="42" t="s">
        <v>152</v>
      </c>
      <c r="C155" s="41"/>
      <c r="D155" s="67" t="s">
        <v>138</v>
      </c>
    </row>
    <row r="156" spans="2:4" ht="12.75" x14ac:dyDescent="0.2">
      <c r="B156" s="42" t="s">
        <v>153</v>
      </c>
      <c r="C156" s="41"/>
      <c r="D156" s="46">
        <v>0.12012153602284809</v>
      </c>
    </row>
    <row r="157" spans="2:4" ht="12.75" x14ac:dyDescent="0.2">
      <c r="B157" s="42" t="s">
        <v>154</v>
      </c>
      <c r="C157" s="41"/>
      <c r="D157" s="46" t="s">
        <v>138</v>
      </c>
    </row>
  </sheetData>
  <mergeCells count="5">
    <mergeCell ref="A1:G1"/>
    <mergeCell ref="A2:G2"/>
    <mergeCell ref="A3:G3"/>
    <mergeCell ref="B136:F136"/>
    <mergeCell ref="B137:F13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0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474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51</v>
      </c>
      <c r="C7" s="11" t="s">
        <v>52</v>
      </c>
      <c r="D7" s="2" t="s">
        <v>19</v>
      </c>
      <c r="E7" s="47">
        <v>45768</v>
      </c>
      <c r="F7" s="53">
        <v>511.25144399999999</v>
      </c>
      <c r="G7" s="5">
        <v>3.6070050999999999E-2</v>
      </c>
    </row>
    <row r="8" spans="1:7" ht="12.75" x14ac:dyDescent="0.2">
      <c r="A8" s="6">
        <v>2</v>
      </c>
      <c r="B8" s="7" t="s">
        <v>455</v>
      </c>
      <c r="C8" s="11" t="s">
        <v>456</v>
      </c>
      <c r="D8" s="2" t="s">
        <v>72</v>
      </c>
      <c r="E8" s="47">
        <v>76989</v>
      </c>
      <c r="F8" s="53">
        <v>491.30530349999998</v>
      </c>
      <c r="G8" s="5">
        <v>3.4662802E-2</v>
      </c>
    </row>
    <row r="9" spans="1:7" ht="25.5" x14ac:dyDescent="0.2">
      <c r="A9" s="6">
        <v>3</v>
      </c>
      <c r="B9" s="7" t="s">
        <v>453</v>
      </c>
      <c r="C9" s="11" t="s">
        <v>454</v>
      </c>
      <c r="D9" s="2" t="s">
        <v>47</v>
      </c>
      <c r="E9" s="47">
        <v>249268</v>
      </c>
      <c r="F9" s="53">
        <v>490.68405799999999</v>
      </c>
      <c r="G9" s="5">
        <v>3.4618970999999998E-2</v>
      </c>
    </row>
    <row r="10" spans="1:7" ht="25.5" x14ac:dyDescent="0.2">
      <c r="A10" s="6">
        <v>4</v>
      </c>
      <c r="B10" s="7" t="s">
        <v>23</v>
      </c>
      <c r="C10" s="11" t="s">
        <v>24</v>
      </c>
      <c r="D10" s="2" t="s">
        <v>22</v>
      </c>
      <c r="E10" s="47">
        <v>80709</v>
      </c>
      <c r="F10" s="53">
        <v>485.3435715</v>
      </c>
      <c r="G10" s="5">
        <v>3.4242187E-2</v>
      </c>
    </row>
    <row r="11" spans="1:7" ht="25.5" x14ac:dyDescent="0.2">
      <c r="A11" s="6">
        <v>5</v>
      </c>
      <c r="B11" s="7" t="s">
        <v>156</v>
      </c>
      <c r="C11" s="11" t="s">
        <v>157</v>
      </c>
      <c r="D11" s="2" t="s">
        <v>158</v>
      </c>
      <c r="E11" s="47">
        <v>53697</v>
      </c>
      <c r="F11" s="53">
        <v>481.93057499999998</v>
      </c>
      <c r="G11" s="5">
        <v>3.4001391999999998E-2</v>
      </c>
    </row>
    <row r="12" spans="1:7" ht="12.75" x14ac:dyDescent="0.2">
      <c r="A12" s="6">
        <v>6</v>
      </c>
      <c r="B12" s="7" t="s">
        <v>457</v>
      </c>
      <c r="C12" s="11" t="s">
        <v>458</v>
      </c>
      <c r="D12" s="2" t="s">
        <v>192</v>
      </c>
      <c r="E12" s="47">
        <v>60085</v>
      </c>
      <c r="F12" s="53">
        <v>454.51298250000002</v>
      </c>
      <c r="G12" s="5">
        <v>3.2067012999999998E-2</v>
      </c>
    </row>
    <row r="13" spans="1:7" ht="25.5" x14ac:dyDescent="0.2">
      <c r="A13" s="6">
        <v>7</v>
      </c>
      <c r="B13" s="7" t="s">
        <v>186</v>
      </c>
      <c r="C13" s="11" t="s">
        <v>187</v>
      </c>
      <c r="D13" s="2" t="s">
        <v>183</v>
      </c>
      <c r="E13" s="47">
        <v>77860</v>
      </c>
      <c r="F13" s="53">
        <v>442.08908000000002</v>
      </c>
      <c r="G13" s="5">
        <v>3.1190476000000002E-2</v>
      </c>
    </row>
    <row r="14" spans="1:7" ht="25.5" x14ac:dyDescent="0.2">
      <c r="A14" s="6">
        <v>8</v>
      </c>
      <c r="B14" s="7" t="s">
        <v>20</v>
      </c>
      <c r="C14" s="11" t="s">
        <v>21</v>
      </c>
      <c r="D14" s="2" t="s">
        <v>22</v>
      </c>
      <c r="E14" s="47">
        <v>45956</v>
      </c>
      <c r="F14" s="53">
        <v>409.46796000000001</v>
      </c>
      <c r="G14" s="5">
        <v>2.8888975000000001E-2</v>
      </c>
    </row>
    <row r="15" spans="1:7" ht="12.75" x14ac:dyDescent="0.2">
      <c r="A15" s="6">
        <v>9</v>
      </c>
      <c r="B15" s="7" t="s">
        <v>250</v>
      </c>
      <c r="C15" s="11" t="s">
        <v>251</v>
      </c>
      <c r="D15" s="2" t="s">
        <v>168</v>
      </c>
      <c r="E15" s="47">
        <v>98077</v>
      </c>
      <c r="F15" s="53">
        <v>390.73876799999999</v>
      </c>
      <c r="G15" s="5">
        <v>2.7567584999999999E-2</v>
      </c>
    </row>
    <row r="16" spans="1:7" ht="25.5" x14ac:dyDescent="0.2">
      <c r="A16" s="6">
        <v>10</v>
      </c>
      <c r="B16" s="7" t="s">
        <v>161</v>
      </c>
      <c r="C16" s="11" t="s">
        <v>162</v>
      </c>
      <c r="D16" s="2" t="s">
        <v>163</v>
      </c>
      <c r="E16" s="47">
        <v>104505</v>
      </c>
      <c r="F16" s="53">
        <v>381.12973499999998</v>
      </c>
      <c r="G16" s="5">
        <v>2.6889644000000001E-2</v>
      </c>
    </row>
    <row r="17" spans="1:7" ht="25.5" x14ac:dyDescent="0.2">
      <c r="A17" s="6">
        <v>11</v>
      </c>
      <c r="B17" s="7" t="s">
        <v>43</v>
      </c>
      <c r="C17" s="11" t="s">
        <v>44</v>
      </c>
      <c r="D17" s="2" t="s">
        <v>22</v>
      </c>
      <c r="E17" s="47">
        <v>45136</v>
      </c>
      <c r="F17" s="53">
        <v>314.23683199999999</v>
      </c>
      <c r="G17" s="5">
        <v>2.2170183999999999E-2</v>
      </c>
    </row>
    <row r="18" spans="1:7" ht="25.5" x14ac:dyDescent="0.2">
      <c r="A18" s="6">
        <v>12</v>
      </c>
      <c r="B18" s="7" t="s">
        <v>55</v>
      </c>
      <c r="C18" s="11" t="s">
        <v>56</v>
      </c>
      <c r="D18" s="2" t="s">
        <v>22</v>
      </c>
      <c r="E18" s="47">
        <v>52665</v>
      </c>
      <c r="F18" s="53">
        <v>310.96049249999999</v>
      </c>
      <c r="G18" s="5">
        <v>2.1939030000000002E-2</v>
      </c>
    </row>
    <row r="19" spans="1:7" ht="25.5" x14ac:dyDescent="0.2">
      <c r="A19" s="6">
        <v>13</v>
      </c>
      <c r="B19" s="7" t="s">
        <v>179</v>
      </c>
      <c r="C19" s="11" t="s">
        <v>180</v>
      </c>
      <c r="D19" s="2" t="s">
        <v>22</v>
      </c>
      <c r="E19" s="47">
        <v>97000</v>
      </c>
      <c r="F19" s="53">
        <v>309.52699999999999</v>
      </c>
      <c r="G19" s="5">
        <v>2.1837894E-2</v>
      </c>
    </row>
    <row r="20" spans="1:7" ht="25.5" x14ac:dyDescent="0.2">
      <c r="A20" s="6">
        <v>14</v>
      </c>
      <c r="B20" s="7" t="s">
        <v>171</v>
      </c>
      <c r="C20" s="11" t="s">
        <v>172</v>
      </c>
      <c r="D20" s="2" t="s">
        <v>22</v>
      </c>
      <c r="E20" s="47">
        <v>74492</v>
      </c>
      <c r="F20" s="53">
        <v>300.05377600000003</v>
      </c>
      <c r="G20" s="5">
        <v>2.1169535E-2</v>
      </c>
    </row>
    <row r="21" spans="1:7" ht="25.5" x14ac:dyDescent="0.2">
      <c r="A21" s="6">
        <v>15</v>
      </c>
      <c r="B21" s="7" t="s">
        <v>102</v>
      </c>
      <c r="C21" s="11" t="s">
        <v>103</v>
      </c>
      <c r="D21" s="2" t="s">
        <v>13</v>
      </c>
      <c r="E21" s="47">
        <v>288303</v>
      </c>
      <c r="F21" s="53">
        <v>296.66378700000001</v>
      </c>
      <c r="G21" s="5">
        <v>2.0930362000000001E-2</v>
      </c>
    </row>
    <row r="22" spans="1:7" ht="25.5" x14ac:dyDescent="0.2">
      <c r="A22" s="6">
        <v>16</v>
      </c>
      <c r="B22" s="7" t="s">
        <v>45</v>
      </c>
      <c r="C22" s="11" t="s">
        <v>46</v>
      </c>
      <c r="D22" s="2" t="s">
        <v>47</v>
      </c>
      <c r="E22" s="47">
        <v>34087</v>
      </c>
      <c r="F22" s="53">
        <v>286.9614095</v>
      </c>
      <c r="G22" s="5">
        <v>2.0245836E-2</v>
      </c>
    </row>
    <row r="23" spans="1:7" ht="12.75" x14ac:dyDescent="0.2">
      <c r="A23" s="6">
        <v>17</v>
      </c>
      <c r="B23" s="7" t="s">
        <v>159</v>
      </c>
      <c r="C23" s="11" t="s">
        <v>160</v>
      </c>
      <c r="D23" s="2" t="s">
        <v>19</v>
      </c>
      <c r="E23" s="47">
        <v>151609</v>
      </c>
      <c r="F23" s="53">
        <v>283.660439</v>
      </c>
      <c r="G23" s="5">
        <v>2.0012944000000001E-2</v>
      </c>
    </row>
    <row r="24" spans="1:7" ht="25.5" x14ac:dyDescent="0.2">
      <c r="A24" s="6">
        <v>18</v>
      </c>
      <c r="B24" s="7" t="s">
        <v>169</v>
      </c>
      <c r="C24" s="11" t="s">
        <v>170</v>
      </c>
      <c r="D24" s="2" t="s">
        <v>27</v>
      </c>
      <c r="E24" s="47">
        <v>23056</v>
      </c>
      <c r="F24" s="53">
        <v>275.15030400000001</v>
      </c>
      <c r="G24" s="5">
        <v>1.9412532999999999E-2</v>
      </c>
    </row>
    <row r="25" spans="1:7" ht="12.75" x14ac:dyDescent="0.2">
      <c r="A25" s="6">
        <v>19</v>
      </c>
      <c r="B25" s="7" t="s">
        <v>48</v>
      </c>
      <c r="C25" s="11" t="s">
        <v>49</v>
      </c>
      <c r="D25" s="2" t="s">
        <v>50</v>
      </c>
      <c r="E25" s="47">
        <v>127304</v>
      </c>
      <c r="F25" s="53">
        <v>262.56450000000001</v>
      </c>
      <c r="G25" s="5">
        <v>1.8524573999999999E-2</v>
      </c>
    </row>
    <row r="26" spans="1:7" ht="25.5" x14ac:dyDescent="0.2">
      <c r="A26" s="6">
        <v>20</v>
      </c>
      <c r="B26" s="7" t="s">
        <v>81</v>
      </c>
      <c r="C26" s="11" t="s">
        <v>82</v>
      </c>
      <c r="D26" s="2" t="s">
        <v>22</v>
      </c>
      <c r="E26" s="47">
        <v>24417</v>
      </c>
      <c r="F26" s="53">
        <v>244.2554595</v>
      </c>
      <c r="G26" s="5">
        <v>1.7232826E-2</v>
      </c>
    </row>
    <row r="27" spans="1:7" ht="12.75" x14ac:dyDescent="0.2">
      <c r="A27" s="6">
        <v>21</v>
      </c>
      <c r="B27" s="7" t="s">
        <v>260</v>
      </c>
      <c r="C27" s="11" t="s">
        <v>261</v>
      </c>
      <c r="D27" s="2" t="s">
        <v>242</v>
      </c>
      <c r="E27" s="47">
        <v>25500</v>
      </c>
      <c r="F27" s="53">
        <v>239.96775</v>
      </c>
      <c r="G27" s="5">
        <v>1.6930317E-2</v>
      </c>
    </row>
    <row r="28" spans="1:7" ht="25.5" x14ac:dyDescent="0.2">
      <c r="A28" s="6">
        <v>22</v>
      </c>
      <c r="B28" s="7" t="s">
        <v>38</v>
      </c>
      <c r="C28" s="11" t="s">
        <v>39</v>
      </c>
      <c r="D28" s="2" t="s">
        <v>40</v>
      </c>
      <c r="E28" s="47">
        <v>53690</v>
      </c>
      <c r="F28" s="53">
        <v>231.61866000000001</v>
      </c>
      <c r="G28" s="5">
        <v>1.6341267999999999E-2</v>
      </c>
    </row>
    <row r="29" spans="1:7" ht="25.5" x14ac:dyDescent="0.2">
      <c r="A29" s="6">
        <v>23</v>
      </c>
      <c r="B29" s="7" t="s">
        <v>83</v>
      </c>
      <c r="C29" s="11" t="s">
        <v>84</v>
      </c>
      <c r="D29" s="2" t="s">
        <v>22</v>
      </c>
      <c r="E29" s="47">
        <v>203473</v>
      </c>
      <c r="F29" s="53">
        <v>221.88730649999999</v>
      </c>
      <c r="G29" s="5">
        <v>1.5654696999999999E-2</v>
      </c>
    </row>
    <row r="30" spans="1:7" ht="12.75" x14ac:dyDescent="0.2">
      <c r="A30" s="6">
        <v>24</v>
      </c>
      <c r="B30" s="7" t="s">
        <v>459</v>
      </c>
      <c r="C30" s="11" t="s">
        <v>460</v>
      </c>
      <c r="D30" s="2" t="s">
        <v>72</v>
      </c>
      <c r="E30" s="47">
        <v>233907</v>
      </c>
      <c r="F30" s="53">
        <v>218.35218449999999</v>
      </c>
      <c r="G30" s="5">
        <v>1.5405286000000001E-2</v>
      </c>
    </row>
    <row r="31" spans="1:7" ht="12.75" x14ac:dyDescent="0.2">
      <c r="A31" s="6">
        <v>25</v>
      </c>
      <c r="B31" s="7" t="s">
        <v>308</v>
      </c>
      <c r="C31" s="11" t="s">
        <v>309</v>
      </c>
      <c r="D31" s="2" t="s">
        <v>168</v>
      </c>
      <c r="E31" s="47">
        <v>10312</v>
      </c>
      <c r="F31" s="53">
        <v>216.08796000000001</v>
      </c>
      <c r="G31" s="5">
        <v>1.5245539000000001E-2</v>
      </c>
    </row>
    <row r="32" spans="1:7" ht="25.5" x14ac:dyDescent="0.2">
      <c r="A32" s="6">
        <v>26</v>
      </c>
      <c r="B32" s="7" t="s">
        <v>59</v>
      </c>
      <c r="C32" s="11" t="s">
        <v>60</v>
      </c>
      <c r="D32" s="2" t="s">
        <v>22</v>
      </c>
      <c r="E32" s="47">
        <v>15689</v>
      </c>
      <c r="F32" s="53">
        <v>214.54707500000001</v>
      </c>
      <c r="G32" s="5">
        <v>1.5136826000000001E-2</v>
      </c>
    </row>
    <row r="33" spans="1:7" ht="12.75" x14ac:dyDescent="0.2">
      <c r="A33" s="6">
        <v>27</v>
      </c>
      <c r="B33" s="7" t="s">
        <v>252</v>
      </c>
      <c r="C33" s="11" t="s">
        <v>253</v>
      </c>
      <c r="D33" s="2" t="s">
        <v>242</v>
      </c>
      <c r="E33" s="47">
        <v>15293</v>
      </c>
      <c r="F33" s="53">
        <v>212.19802150000001</v>
      </c>
      <c r="G33" s="5">
        <v>1.4971094000000001E-2</v>
      </c>
    </row>
    <row r="34" spans="1:7" ht="12.75" x14ac:dyDescent="0.2">
      <c r="A34" s="6">
        <v>28</v>
      </c>
      <c r="B34" s="7" t="s">
        <v>193</v>
      </c>
      <c r="C34" s="11" t="s">
        <v>194</v>
      </c>
      <c r="D34" s="2" t="s">
        <v>72</v>
      </c>
      <c r="E34" s="47">
        <v>23595</v>
      </c>
      <c r="F34" s="53">
        <v>209.32304250000001</v>
      </c>
      <c r="G34" s="5">
        <v>1.4768257E-2</v>
      </c>
    </row>
    <row r="35" spans="1:7" ht="12.75" x14ac:dyDescent="0.2">
      <c r="A35" s="6">
        <v>29</v>
      </c>
      <c r="B35" s="7" t="s">
        <v>184</v>
      </c>
      <c r="C35" s="11" t="s">
        <v>185</v>
      </c>
      <c r="D35" s="2" t="s">
        <v>16</v>
      </c>
      <c r="E35" s="47">
        <v>102308</v>
      </c>
      <c r="F35" s="53">
        <v>184.307862</v>
      </c>
      <c r="G35" s="5">
        <v>1.3003374999999999E-2</v>
      </c>
    </row>
    <row r="36" spans="1:7" ht="25.5" x14ac:dyDescent="0.2">
      <c r="A36" s="6">
        <v>30</v>
      </c>
      <c r="B36" s="7" t="s">
        <v>372</v>
      </c>
      <c r="C36" s="11" t="s">
        <v>373</v>
      </c>
      <c r="D36" s="2" t="s">
        <v>22</v>
      </c>
      <c r="E36" s="47">
        <v>56509</v>
      </c>
      <c r="F36" s="53">
        <v>181.19610850000001</v>
      </c>
      <c r="G36" s="5">
        <v>1.2783833E-2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133490</v>
      </c>
      <c r="F37" s="53">
        <v>178.54287500000001</v>
      </c>
      <c r="G37" s="5">
        <v>1.2596641E-2</v>
      </c>
    </row>
    <row r="38" spans="1:7" ht="25.5" x14ac:dyDescent="0.2">
      <c r="A38" s="6">
        <v>32</v>
      </c>
      <c r="B38" s="7" t="s">
        <v>188</v>
      </c>
      <c r="C38" s="11" t="s">
        <v>189</v>
      </c>
      <c r="D38" s="2" t="s">
        <v>47</v>
      </c>
      <c r="E38" s="47">
        <v>8392</v>
      </c>
      <c r="F38" s="53">
        <v>178.384548</v>
      </c>
      <c r="G38" s="5">
        <v>1.258547E-2</v>
      </c>
    </row>
    <row r="39" spans="1:7" ht="12.75" x14ac:dyDescent="0.2">
      <c r="A39" s="6">
        <v>33</v>
      </c>
      <c r="B39" s="7" t="s">
        <v>465</v>
      </c>
      <c r="C39" s="11" t="s">
        <v>466</v>
      </c>
      <c r="D39" s="2" t="s">
        <v>168</v>
      </c>
      <c r="E39" s="47">
        <v>168384</v>
      </c>
      <c r="F39" s="53">
        <v>174.78259199999999</v>
      </c>
      <c r="G39" s="5">
        <v>1.2331343E-2</v>
      </c>
    </row>
    <row r="40" spans="1:7" ht="25.5" x14ac:dyDescent="0.2">
      <c r="A40" s="6">
        <v>34</v>
      </c>
      <c r="B40" s="7" t="s">
        <v>461</v>
      </c>
      <c r="C40" s="11" t="s">
        <v>462</v>
      </c>
      <c r="D40" s="2" t="s">
        <v>80</v>
      </c>
      <c r="E40" s="47">
        <v>60044</v>
      </c>
      <c r="F40" s="53">
        <v>173.91744600000001</v>
      </c>
      <c r="G40" s="5">
        <v>1.2270305E-2</v>
      </c>
    </row>
    <row r="41" spans="1:7" ht="25.5" x14ac:dyDescent="0.2">
      <c r="A41" s="6">
        <v>35</v>
      </c>
      <c r="B41" s="7" t="s">
        <v>217</v>
      </c>
      <c r="C41" s="11" t="s">
        <v>218</v>
      </c>
      <c r="D41" s="2" t="s">
        <v>27</v>
      </c>
      <c r="E41" s="47">
        <v>140071</v>
      </c>
      <c r="F41" s="53">
        <v>170.60647800000001</v>
      </c>
      <c r="G41" s="5">
        <v>1.2036708E-2</v>
      </c>
    </row>
    <row r="42" spans="1:7" ht="12.75" x14ac:dyDescent="0.2">
      <c r="A42" s="6">
        <v>36</v>
      </c>
      <c r="B42" s="7" t="s">
        <v>470</v>
      </c>
      <c r="C42" s="11" t="s">
        <v>471</v>
      </c>
      <c r="D42" s="2" t="s">
        <v>72</v>
      </c>
      <c r="E42" s="47">
        <v>10678</v>
      </c>
      <c r="F42" s="53">
        <v>169.95104799999999</v>
      </c>
      <c r="G42" s="5">
        <v>1.1990466E-2</v>
      </c>
    </row>
    <row r="43" spans="1:7" ht="51" x14ac:dyDescent="0.2">
      <c r="A43" s="6">
        <v>37</v>
      </c>
      <c r="B43" s="7" t="s">
        <v>206</v>
      </c>
      <c r="C43" s="11" t="s">
        <v>207</v>
      </c>
      <c r="D43" s="2" t="s">
        <v>208</v>
      </c>
      <c r="E43" s="47">
        <v>239333</v>
      </c>
      <c r="F43" s="53">
        <v>146.232463</v>
      </c>
      <c r="G43" s="5">
        <v>1.0317061000000001E-2</v>
      </c>
    </row>
    <row r="44" spans="1:7" ht="12.75" x14ac:dyDescent="0.2">
      <c r="A44" s="6">
        <v>38</v>
      </c>
      <c r="B44" s="7" t="s">
        <v>204</v>
      </c>
      <c r="C44" s="11" t="s">
        <v>205</v>
      </c>
      <c r="D44" s="2" t="s">
        <v>72</v>
      </c>
      <c r="E44" s="47">
        <v>52931</v>
      </c>
      <c r="F44" s="53">
        <v>144.4222335</v>
      </c>
      <c r="G44" s="5">
        <v>1.0189345000000001E-2</v>
      </c>
    </row>
    <row r="45" spans="1:7" ht="25.5" x14ac:dyDescent="0.2">
      <c r="A45" s="6">
        <v>39</v>
      </c>
      <c r="B45" s="7" t="s">
        <v>181</v>
      </c>
      <c r="C45" s="11" t="s">
        <v>182</v>
      </c>
      <c r="D45" s="2" t="s">
        <v>183</v>
      </c>
      <c r="E45" s="47">
        <v>120175</v>
      </c>
      <c r="F45" s="53">
        <v>142.7679</v>
      </c>
      <c r="G45" s="5">
        <v>1.0072628E-2</v>
      </c>
    </row>
    <row r="46" spans="1:7" ht="25.5" x14ac:dyDescent="0.2">
      <c r="A46" s="6">
        <v>40</v>
      </c>
      <c r="B46" s="7" t="s">
        <v>73</v>
      </c>
      <c r="C46" s="11" t="s">
        <v>74</v>
      </c>
      <c r="D46" s="2" t="s">
        <v>22</v>
      </c>
      <c r="E46" s="47">
        <v>21368</v>
      </c>
      <c r="F46" s="53">
        <v>140.02450400000001</v>
      </c>
      <c r="G46" s="5">
        <v>9.8790739999999998E-3</v>
      </c>
    </row>
    <row r="47" spans="1:7" ht="25.5" x14ac:dyDescent="0.2">
      <c r="A47" s="6">
        <v>41</v>
      </c>
      <c r="B47" s="7" t="s">
        <v>177</v>
      </c>
      <c r="C47" s="11" t="s">
        <v>178</v>
      </c>
      <c r="D47" s="2" t="s">
        <v>47</v>
      </c>
      <c r="E47" s="47">
        <v>85634</v>
      </c>
      <c r="F47" s="53">
        <v>139.75468799999999</v>
      </c>
      <c r="G47" s="5">
        <v>9.8600379999999998E-3</v>
      </c>
    </row>
    <row r="48" spans="1:7" ht="25.5" x14ac:dyDescent="0.2">
      <c r="A48" s="6">
        <v>42</v>
      </c>
      <c r="B48" s="7" t="s">
        <v>209</v>
      </c>
      <c r="C48" s="11" t="s">
        <v>210</v>
      </c>
      <c r="D48" s="2" t="s">
        <v>22</v>
      </c>
      <c r="E48" s="47">
        <v>20481</v>
      </c>
      <c r="F48" s="53">
        <v>137.775687</v>
      </c>
      <c r="G48" s="5">
        <v>9.7204149999999996E-3</v>
      </c>
    </row>
    <row r="49" spans="1:7" ht="12.75" x14ac:dyDescent="0.2">
      <c r="A49" s="6">
        <v>43</v>
      </c>
      <c r="B49" s="7" t="s">
        <v>190</v>
      </c>
      <c r="C49" s="11" t="s">
        <v>191</v>
      </c>
      <c r="D49" s="2" t="s">
        <v>192</v>
      </c>
      <c r="E49" s="47">
        <v>87193</v>
      </c>
      <c r="F49" s="53">
        <v>134.32081650000001</v>
      </c>
      <c r="G49" s="5">
        <v>9.4766650000000004E-3</v>
      </c>
    </row>
    <row r="50" spans="1:7" ht="25.5" x14ac:dyDescent="0.2">
      <c r="A50" s="6">
        <v>44</v>
      </c>
      <c r="B50" s="7" t="s">
        <v>202</v>
      </c>
      <c r="C50" s="11" t="s">
        <v>203</v>
      </c>
      <c r="D50" s="2" t="s">
        <v>22</v>
      </c>
      <c r="E50" s="47">
        <v>20000</v>
      </c>
      <c r="F50" s="53">
        <v>132.68</v>
      </c>
      <c r="G50" s="5">
        <v>9.3609009999999996E-3</v>
      </c>
    </row>
    <row r="51" spans="1:7" ht="12.75" x14ac:dyDescent="0.2">
      <c r="A51" s="6">
        <v>45</v>
      </c>
      <c r="B51" s="7" t="s">
        <v>463</v>
      </c>
      <c r="C51" s="11" t="s">
        <v>464</v>
      </c>
      <c r="D51" s="2" t="s">
        <v>192</v>
      </c>
      <c r="E51" s="47">
        <v>22490</v>
      </c>
      <c r="F51" s="53">
        <v>130.49822499999999</v>
      </c>
      <c r="G51" s="5">
        <v>9.2069720000000008E-3</v>
      </c>
    </row>
    <row r="52" spans="1:7" ht="12.75" x14ac:dyDescent="0.2">
      <c r="A52" s="6">
        <v>46</v>
      </c>
      <c r="B52" s="7" t="s">
        <v>254</v>
      </c>
      <c r="C52" s="11" t="s">
        <v>255</v>
      </c>
      <c r="D52" s="2" t="s">
        <v>168</v>
      </c>
      <c r="E52" s="47">
        <v>46515</v>
      </c>
      <c r="F52" s="53">
        <v>128.82329250000001</v>
      </c>
      <c r="G52" s="5">
        <v>9.0888010000000005E-3</v>
      </c>
    </row>
    <row r="53" spans="1:7" ht="12.75" x14ac:dyDescent="0.2">
      <c r="A53" s="6">
        <v>47</v>
      </c>
      <c r="B53" s="7" t="s">
        <v>221</v>
      </c>
      <c r="C53" s="11" t="s">
        <v>222</v>
      </c>
      <c r="D53" s="2" t="s">
        <v>223</v>
      </c>
      <c r="E53" s="47">
        <v>26707</v>
      </c>
      <c r="F53" s="53">
        <v>121.169659</v>
      </c>
      <c r="G53" s="5">
        <v>8.5488189999999992E-3</v>
      </c>
    </row>
    <row r="54" spans="1:7" ht="12.75" x14ac:dyDescent="0.2">
      <c r="A54" s="6">
        <v>48</v>
      </c>
      <c r="B54" s="7" t="s">
        <v>166</v>
      </c>
      <c r="C54" s="11" t="s">
        <v>167</v>
      </c>
      <c r="D54" s="2" t="s">
        <v>168</v>
      </c>
      <c r="E54" s="47">
        <v>47441</v>
      </c>
      <c r="F54" s="53">
        <v>121.14059349999999</v>
      </c>
      <c r="G54" s="5">
        <v>8.5467679999999997E-3</v>
      </c>
    </row>
    <row r="55" spans="1:7" ht="25.5" x14ac:dyDescent="0.2">
      <c r="A55" s="6">
        <v>49</v>
      </c>
      <c r="B55" s="7" t="s">
        <v>475</v>
      </c>
      <c r="C55" s="11" t="s">
        <v>476</v>
      </c>
      <c r="D55" s="2" t="s">
        <v>47</v>
      </c>
      <c r="E55" s="47">
        <v>13250</v>
      </c>
      <c r="F55" s="53">
        <v>120.61475</v>
      </c>
      <c r="G55" s="5">
        <v>8.5096679999999997E-3</v>
      </c>
    </row>
    <row r="56" spans="1:7" ht="25.5" x14ac:dyDescent="0.2">
      <c r="A56" s="6">
        <v>50</v>
      </c>
      <c r="B56" s="7" t="s">
        <v>477</v>
      </c>
      <c r="C56" s="11" t="s">
        <v>478</v>
      </c>
      <c r="D56" s="2" t="s">
        <v>30</v>
      </c>
      <c r="E56" s="47">
        <v>18634</v>
      </c>
      <c r="F56" s="53">
        <v>120.534029</v>
      </c>
      <c r="G56" s="5">
        <v>8.5039729999999997E-3</v>
      </c>
    </row>
    <row r="57" spans="1:7" ht="25.5" x14ac:dyDescent="0.2">
      <c r="A57" s="6">
        <v>51</v>
      </c>
      <c r="B57" s="7" t="s">
        <v>200</v>
      </c>
      <c r="C57" s="11" t="s">
        <v>201</v>
      </c>
      <c r="D57" s="2" t="s">
        <v>30</v>
      </c>
      <c r="E57" s="47">
        <v>38898</v>
      </c>
      <c r="F57" s="53">
        <v>116.441163</v>
      </c>
      <c r="G57" s="5">
        <v>8.215211E-3</v>
      </c>
    </row>
    <row r="58" spans="1:7" ht="12.75" x14ac:dyDescent="0.2">
      <c r="A58" s="6">
        <v>52</v>
      </c>
      <c r="B58" s="7" t="s">
        <v>472</v>
      </c>
      <c r="C58" s="11" t="s">
        <v>473</v>
      </c>
      <c r="D58" s="2" t="s">
        <v>168</v>
      </c>
      <c r="E58" s="47">
        <v>33714</v>
      </c>
      <c r="F58" s="53">
        <v>115.571592</v>
      </c>
      <c r="G58" s="5">
        <v>8.1538610000000001E-3</v>
      </c>
    </row>
    <row r="59" spans="1:7" ht="12.75" x14ac:dyDescent="0.2">
      <c r="A59" s="6">
        <v>53</v>
      </c>
      <c r="B59" s="7" t="s">
        <v>238</v>
      </c>
      <c r="C59" s="11" t="s">
        <v>239</v>
      </c>
      <c r="D59" s="2" t="s">
        <v>72</v>
      </c>
      <c r="E59" s="47">
        <v>215412</v>
      </c>
      <c r="F59" s="53">
        <v>115.353126</v>
      </c>
      <c r="G59" s="5">
        <v>8.1384479999999995E-3</v>
      </c>
    </row>
    <row r="60" spans="1:7" ht="51" x14ac:dyDescent="0.2">
      <c r="A60" s="6">
        <v>54</v>
      </c>
      <c r="B60" s="7" t="s">
        <v>294</v>
      </c>
      <c r="C60" s="11" t="s">
        <v>295</v>
      </c>
      <c r="D60" s="2" t="s">
        <v>208</v>
      </c>
      <c r="E60" s="47">
        <v>319686</v>
      </c>
      <c r="F60" s="53">
        <v>110.771199</v>
      </c>
      <c r="G60" s="5">
        <v>7.8151820000000004E-3</v>
      </c>
    </row>
    <row r="61" spans="1:7" ht="12.75" x14ac:dyDescent="0.2">
      <c r="A61" s="6">
        <v>55</v>
      </c>
      <c r="B61" s="7" t="s">
        <v>262</v>
      </c>
      <c r="C61" s="11" t="s">
        <v>263</v>
      </c>
      <c r="D61" s="2" t="s">
        <v>242</v>
      </c>
      <c r="E61" s="47">
        <v>121330</v>
      </c>
      <c r="F61" s="53">
        <v>110.53163000000001</v>
      </c>
      <c r="G61" s="5">
        <v>7.798279E-3</v>
      </c>
    </row>
    <row r="62" spans="1:7" ht="25.5" x14ac:dyDescent="0.2">
      <c r="A62" s="6">
        <v>56</v>
      </c>
      <c r="B62" s="7" t="s">
        <v>231</v>
      </c>
      <c r="C62" s="11" t="s">
        <v>232</v>
      </c>
      <c r="D62" s="2" t="s">
        <v>47</v>
      </c>
      <c r="E62" s="47">
        <v>43738</v>
      </c>
      <c r="F62" s="53">
        <v>110.307236</v>
      </c>
      <c r="G62" s="5">
        <v>7.782448E-3</v>
      </c>
    </row>
    <row r="63" spans="1:7" ht="12.75" x14ac:dyDescent="0.2">
      <c r="A63" s="6">
        <v>57</v>
      </c>
      <c r="B63" s="7" t="s">
        <v>87</v>
      </c>
      <c r="C63" s="11" t="s">
        <v>88</v>
      </c>
      <c r="D63" s="2"/>
      <c r="E63" s="47">
        <v>61177</v>
      </c>
      <c r="F63" s="53">
        <v>104.062077</v>
      </c>
      <c r="G63" s="5">
        <v>7.341836E-3</v>
      </c>
    </row>
    <row r="64" spans="1:7" ht="25.5" x14ac:dyDescent="0.2">
      <c r="A64" s="6">
        <v>58</v>
      </c>
      <c r="B64" s="7" t="s">
        <v>215</v>
      </c>
      <c r="C64" s="11" t="s">
        <v>216</v>
      </c>
      <c r="D64" s="2" t="s">
        <v>13</v>
      </c>
      <c r="E64" s="47">
        <v>179251</v>
      </c>
      <c r="F64" s="53">
        <v>103.607078</v>
      </c>
      <c r="G64" s="5">
        <v>7.3097350000000004E-3</v>
      </c>
    </row>
    <row r="65" spans="1:7" ht="12.75" x14ac:dyDescent="0.2">
      <c r="A65" s="6">
        <v>59</v>
      </c>
      <c r="B65" s="7" t="s">
        <v>219</v>
      </c>
      <c r="C65" s="11" t="s">
        <v>220</v>
      </c>
      <c r="D65" s="2" t="s">
        <v>72</v>
      </c>
      <c r="E65" s="47">
        <v>53184</v>
      </c>
      <c r="F65" s="53">
        <v>100.358208</v>
      </c>
      <c r="G65" s="5">
        <v>7.0805190000000004E-3</v>
      </c>
    </row>
    <row r="66" spans="1:7" ht="12.75" x14ac:dyDescent="0.2">
      <c r="A66" s="6">
        <v>60</v>
      </c>
      <c r="B66" s="7" t="s">
        <v>268</v>
      </c>
      <c r="C66" s="11" t="s">
        <v>269</v>
      </c>
      <c r="D66" s="2" t="s">
        <v>72</v>
      </c>
      <c r="E66" s="47">
        <v>20031</v>
      </c>
      <c r="F66" s="53">
        <v>89.909143499999999</v>
      </c>
      <c r="G66" s="5">
        <v>6.3433120000000003E-3</v>
      </c>
    </row>
    <row r="67" spans="1:7" ht="12.75" x14ac:dyDescent="0.2">
      <c r="A67" s="6">
        <v>61</v>
      </c>
      <c r="B67" s="7" t="s">
        <v>233</v>
      </c>
      <c r="C67" s="11" t="s">
        <v>234</v>
      </c>
      <c r="D67" s="2" t="s">
        <v>192</v>
      </c>
      <c r="E67" s="47">
        <v>41000</v>
      </c>
      <c r="F67" s="53">
        <v>74.3125</v>
      </c>
      <c r="G67" s="5">
        <v>5.2429299999999998E-3</v>
      </c>
    </row>
    <row r="68" spans="1:7" ht="12.75" x14ac:dyDescent="0.2">
      <c r="A68" s="6">
        <v>62</v>
      </c>
      <c r="B68" s="7" t="s">
        <v>279</v>
      </c>
      <c r="C68" s="11" t="s">
        <v>280</v>
      </c>
      <c r="D68" s="2" t="s">
        <v>281</v>
      </c>
      <c r="E68" s="47">
        <v>8910</v>
      </c>
      <c r="F68" s="53">
        <v>72.113084999999998</v>
      </c>
      <c r="G68" s="5">
        <v>5.0877559999999997E-3</v>
      </c>
    </row>
    <row r="69" spans="1:7" ht="25.5" x14ac:dyDescent="0.2">
      <c r="A69" s="6">
        <v>63</v>
      </c>
      <c r="B69" s="7" t="s">
        <v>467</v>
      </c>
      <c r="C69" s="11" t="s">
        <v>468</v>
      </c>
      <c r="D69" s="2" t="s">
        <v>163</v>
      </c>
      <c r="E69" s="47">
        <v>125751</v>
      </c>
      <c r="F69" s="53">
        <v>68.031290999999996</v>
      </c>
      <c r="G69" s="5">
        <v>4.799775E-3</v>
      </c>
    </row>
    <row r="70" spans="1:7" ht="12.75" x14ac:dyDescent="0.2">
      <c r="A70" s="6">
        <v>64</v>
      </c>
      <c r="B70" s="7" t="s">
        <v>235</v>
      </c>
      <c r="C70" s="11" t="s">
        <v>236</v>
      </c>
      <c r="D70" s="2" t="s">
        <v>237</v>
      </c>
      <c r="E70" s="47">
        <v>5429</v>
      </c>
      <c r="F70" s="53">
        <v>59.596847500000003</v>
      </c>
      <c r="G70" s="5">
        <v>4.2047050000000004E-3</v>
      </c>
    </row>
    <row r="71" spans="1:7" ht="12.75" x14ac:dyDescent="0.2">
      <c r="A71" s="6">
        <v>65</v>
      </c>
      <c r="B71" s="7" t="s">
        <v>479</v>
      </c>
      <c r="C71" s="11" t="s">
        <v>480</v>
      </c>
      <c r="D71" s="2" t="s">
        <v>226</v>
      </c>
      <c r="E71" s="47">
        <v>42506</v>
      </c>
      <c r="F71" s="53">
        <v>50.603392999999997</v>
      </c>
      <c r="G71" s="5">
        <v>3.5701940000000001E-3</v>
      </c>
    </row>
    <row r="72" spans="1:7" ht="12.75" x14ac:dyDescent="0.2">
      <c r="A72" s="6">
        <v>66</v>
      </c>
      <c r="B72" s="7" t="s">
        <v>211</v>
      </c>
      <c r="C72" s="11" t="s">
        <v>212</v>
      </c>
      <c r="D72" s="2" t="s">
        <v>72</v>
      </c>
      <c r="E72" s="47">
        <v>139094</v>
      </c>
      <c r="F72" s="53">
        <v>41.310918000000001</v>
      </c>
      <c r="G72" s="5">
        <v>2.9145870000000002E-3</v>
      </c>
    </row>
    <row r="73" spans="1:7" ht="12.75" x14ac:dyDescent="0.2">
      <c r="A73" s="6">
        <v>67</v>
      </c>
      <c r="B73" s="7" t="s">
        <v>106</v>
      </c>
      <c r="C73" s="11" t="s">
        <v>107</v>
      </c>
      <c r="D73" s="2" t="s">
        <v>50</v>
      </c>
      <c r="E73" s="47">
        <v>61177</v>
      </c>
      <c r="F73" s="53">
        <v>29.36496</v>
      </c>
      <c r="G73" s="5">
        <v>2.0717700000000001E-3</v>
      </c>
    </row>
    <row r="74" spans="1:7" ht="25.5" x14ac:dyDescent="0.2">
      <c r="A74" s="6">
        <v>68</v>
      </c>
      <c r="B74" s="7" t="s">
        <v>243</v>
      </c>
      <c r="C74" s="11" t="s">
        <v>244</v>
      </c>
      <c r="D74" s="2" t="s">
        <v>163</v>
      </c>
      <c r="E74" s="47">
        <v>48044</v>
      </c>
      <c r="F74" s="53">
        <v>29.282817999999999</v>
      </c>
      <c r="G74" s="5">
        <v>2.0659749999999998E-3</v>
      </c>
    </row>
    <row r="75" spans="1:7" ht="12.75" x14ac:dyDescent="0.2">
      <c r="A75" s="1"/>
      <c r="B75" s="2"/>
      <c r="C75" s="8" t="s">
        <v>108</v>
      </c>
      <c r="D75" s="12"/>
      <c r="E75" s="49"/>
      <c r="F75" s="55">
        <v>13960.445540499997</v>
      </c>
      <c r="G75" s="13">
        <v>0.98494389000000004</v>
      </c>
    </row>
    <row r="76" spans="1:7" ht="12.75" x14ac:dyDescent="0.2">
      <c r="A76" s="6"/>
      <c r="B76" s="7"/>
      <c r="C76" s="14"/>
      <c r="D76" s="15"/>
      <c r="E76" s="47"/>
      <c r="F76" s="53"/>
      <c r="G76" s="5"/>
    </row>
    <row r="77" spans="1:7" ht="12.75" x14ac:dyDescent="0.2">
      <c r="A77" s="1"/>
      <c r="B77" s="2"/>
      <c r="C77" s="8" t="s">
        <v>109</v>
      </c>
      <c r="D77" s="9"/>
      <c r="E77" s="48"/>
      <c r="F77" s="54"/>
      <c r="G77" s="10"/>
    </row>
    <row r="78" spans="1:7" ht="12.75" x14ac:dyDescent="0.2">
      <c r="A78" s="1"/>
      <c r="B78" s="2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6"/>
      <c r="B79" s="7"/>
      <c r="C79" s="14"/>
      <c r="D79" s="15"/>
      <c r="E79" s="47"/>
      <c r="F79" s="53"/>
      <c r="G79" s="5"/>
    </row>
    <row r="80" spans="1:7" ht="12.75" x14ac:dyDescent="0.2">
      <c r="A80" s="16"/>
      <c r="B80" s="17"/>
      <c r="C80" s="8" t="s">
        <v>110</v>
      </c>
      <c r="D80" s="9"/>
      <c r="E80" s="48"/>
      <c r="F80" s="54"/>
      <c r="G80" s="10"/>
    </row>
    <row r="81" spans="1:7" ht="12.75" x14ac:dyDescent="0.2">
      <c r="A81" s="18"/>
      <c r="B81" s="19"/>
      <c r="C81" s="8" t="s">
        <v>108</v>
      </c>
      <c r="D81" s="20"/>
      <c r="E81" s="50"/>
      <c r="F81" s="56">
        <v>0</v>
      </c>
      <c r="G81" s="21">
        <v>0</v>
      </c>
    </row>
    <row r="82" spans="1:7" ht="12.75" x14ac:dyDescent="0.2">
      <c r="A82" s="18"/>
      <c r="B82" s="19"/>
      <c r="C82" s="14"/>
      <c r="D82" s="22"/>
      <c r="E82" s="51"/>
      <c r="F82" s="57"/>
      <c r="G82" s="23"/>
    </row>
    <row r="83" spans="1:7" ht="12.75" x14ac:dyDescent="0.2">
      <c r="A83" s="1"/>
      <c r="B83" s="2"/>
      <c r="C83" s="8" t="s">
        <v>113</v>
      </c>
      <c r="D83" s="9"/>
      <c r="E83" s="48"/>
      <c r="F83" s="54"/>
      <c r="G83" s="10"/>
    </row>
    <row r="84" spans="1:7" ht="12.75" x14ac:dyDescent="0.2">
      <c r="A84" s="1"/>
      <c r="B84" s="2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1"/>
      <c r="B85" s="2"/>
      <c r="C85" s="14"/>
      <c r="D85" s="4"/>
      <c r="E85" s="47"/>
      <c r="F85" s="53"/>
      <c r="G85" s="5"/>
    </row>
    <row r="86" spans="1:7" ht="12.75" x14ac:dyDescent="0.2">
      <c r="A86" s="1"/>
      <c r="B86" s="2"/>
      <c r="C86" s="8" t="s">
        <v>114</v>
      </c>
      <c r="D86" s="9"/>
      <c r="E86" s="48"/>
      <c r="F86" s="54"/>
      <c r="G86" s="10"/>
    </row>
    <row r="87" spans="1:7" ht="12.75" x14ac:dyDescent="0.2">
      <c r="A87" s="1"/>
      <c r="B87" s="2"/>
      <c r="C87" s="8" t="s">
        <v>108</v>
      </c>
      <c r="D87" s="12"/>
      <c r="E87" s="49"/>
      <c r="F87" s="55">
        <v>0</v>
      </c>
      <c r="G87" s="13">
        <v>0</v>
      </c>
    </row>
    <row r="88" spans="1:7" ht="12.75" x14ac:dyDescent="0.2">
      <c r="A88" s="1"/>
      <c r="B88" s="2"/>
      <c r="C88" s="14"/>
      <c r="D88" s="4"/>
      <c r="E88" s="47"/>
      <c r="F88" s="53"/>
      <c r="G88" s="5"/>
    </row>
    <row r="89" spans="1:7" ht="12.75" x14ac:dyDescent="0.2">
      <c r="A89" s="1"/>
      <c r="B89" s="2"/>
      <c r="C89" s="8" t="s">
        <v>115</v>
      </c>
      <c r="D89" s="9"/>
      <c r="E89" s="48"/>
      <c r="F89" s="54"/>
      <c r="G89" s="10"/>
    </row>
    <row r="90" spans="1:7" ht="12.75" x14ac:dyDescent="0.2">
      <c r="A90" s="1"/>
      <c r="B90" s="2"/>
      <c r="C90" s="8" t="s">
        <v>108</v>
      </c>
      <c r="D90" s="12"/>
      <c r="E90" s="49"/>
      <c r="F90" s="55">
        <v>0</v>
      </c>
      <c r="G90" s="13">
        <v>0</v>
      </c>
    </row>
    <row r="91" spans="1:7" ht="12.75" x14ac:dyDescent="0.2">
      <c r="A91" s="1"/>
      <c r="B91" s="2"/>
      <c r="C91" s="14"/>
      <c r="D91" s="4"/>
      <c r="E91" s="47"/>
      <c r="F91" s="53"/>
      <c r="G91" s="5"/>
    </row>
    <row r="92" spans="1:7" ht="25.5" x14ac:dyDescent="0.2">
      <c r="A92" s="6"/>
      <c r="B92" s="7"/>
      <c r="C92" s="24" t="s">
        <v>116</v>
      </c>
      <c r="D92" s="25"/>
      <c r="E92" s="49"/>
      <c r="F92" s="55">
        <v>13960.445540499997</v>
      </c>
      <c r="G92" s="13">
        <v>0.98494389000000004</v>
      </c>
    </row>
    <row r="93" spans="1:7" ht="12.75" x14ac:dyDescent="0.2">
      <c r="A93" s="1"/>
      <c r="B93" s="2"/>
      <c r="C93" s="11"/>
      <c r="D93" s="4"/>
      <c r="E93" s="47"/>
      <c r="F93" s="53"/>
      <c r="G93" s="5"/>
    </row>
    <row r="94" spans="1:7" ht="12.75" x14ac:dyDescent="0.2">
      <c r="A94" s="1"/>
      <c r="B94" s="2"/>
      <c r="C94" s="3" t="s">
        <v>117</v>
      </c>
      <c r="D94" s="4"/>
      <c r="E94" s="47"/>
      <c r="F94" s="53"/>
      <c r="G94" s="5"/>
    </row>
    <row r="95" spans="1:7" ht="25.5" x14ac:dyDescent="0.2">
      <c r="A95" s="1"/>
      <c r="B95" s="2"/>
      <c r="C95" s="8" t="s">
        <v>10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12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4"/>
      <c r="D97" s="4"/>
      <c r="E97" s="47"/>
      <c r="F97" s="53"/>
      <c r="G97" s="5"/>
    </row>
    <row r="98" spans="1:7" ht="12.75" x14ac:dyDescent="0.2">
      <c r="A98" s="1"/>
      <c r="B98" s="26"/>
      <c r="C98" s="8" t="s">
        <v>118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12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4"/>
      <c r="E100" s="47"/>
      <c r="F100" s="59"/>
      <c r="G100" s="28"/>
    </row>
    <row r="101" spans="1:7" ht="12.75" x14ac:dyDescent="0.2">
      <c r="A101" s="1"/>
      <c r="B101" s="2"/>
      <c r="C101" s="8" t="s">
        <v>119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12"/>
      <c r="E102" s="49"/>
      <c r="F102" s="55">
        <v>0</v>
      </c>
      <c r="G102" s="13">
        <v>0</v>
      </c>
    </row>
    <row r="103" spans="1:7" ht="12.75" x14ac:dyDescent="0.2">
      <c r="A103" s="1"/>
      <c r="B103" s="2"/>
      <c r="C103" s="14"/>
      <c r="D103" s="4"/>
      <c r="E103" s="47"/>
      <c r="F103" s="53"/>
      <c r="G103" s="5"/>
    </row>
    <row r="104" spans="1:7" ht="25.5" x14ac:dyDescent="0.2">
      <c r="A104" s="1"/>
      <c r="B104" s="26"/>
      <c r="C104" s="8" t="s">
        <v>120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12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4"/>
      <c r="E106" s="47"/>
      <c r="F106" s="53"/>
      <c r="G106" s="5"/>
    </row>
    <row r="107" spans="1:7" ht="12.75" x14ac:dyDescent="0.2">
      <c r="A107" s="6"/>
      <c r="B107" s="7"/>
      <c r="C107" s="29" t="s">
        <v>121</v>
      </c>
      <c r="D107" s="25"/>
      <c r="E107" s="49"/>
      <c r="F107" s="55">
        <v>0</v>
      </c>
      <c r="G107" s="13">
        <v>0</v>
      </c>
    </row>
    <row r="108" spans="1:7" ht="12.75" x14ac:dyDescent="0.2">
      <c r="A108" s="6"/>
      <c r="B108" s="7"/>
      <c r="C108" s="11"/>
      <c r="D108" s="4"/>
      <c r="E108" s="47"/>
      <c r="F108" s="53"/>
      <c r="G108" s="5"/>
    </row>
    <row r="109" spans="1:7" ht="12.75" x14ac:dyDescent="0.2">
      <c r="A109" s="1"/>
      <c r="B109" s="2"/>
      <c r="C109" s="3" t="s">
        <v>122</v>
      </c>
      <c r="D109" s="4"/>
      <c r="E109" s="47"/>
      <c r="F109" s="53"/>
      <c r="G109" s="5"/>
    </row>
    <row r="110" spans="1:7" ht="12.75" x14ac:dyDescent="0.2">
      <c r="A110" s="6"/>
      <c r="B110" s="7"/>
      <c r="C110" s="8" t="s">
        <v>123</v>
      </c>
      <c r="D110" s="9"/>
      <c r="E110" s="48"/>
      <c r="F110" s="54"/>
      <c r="G110" s="10"/>
    </row>
    <row r="111" spans="1:7" ht="12.75" x14ac:dyDescent="0.2">
      <c r="A111" s="6"/>
      <c r="B111" s="7"/>
      <c r="C111" s="8" t="s">
        <v>108</v>
      </c>
      <c r="D111" s="25"/>
      <c r="E111" s="49"/>
      <c r="F111" s="55">
        <v>0</v>
      </c>
      <c r="G111" s="13">
        <v>0</v>
      </c>
    </row>
    <row r="112" spans="1:7" ht="12.75" x14ac:dyDescent="0.2">
      <c r="A112" s="6"/>
      <c r="B112" s="7"/>
      <c r="C112" s="14"/>
      <c r="D112" s="7"/>
      <c r="E112" s="47"/>
      <c r="F112" s="53"/>
      <c r="G112" s="5"/>
    </row>
    <row r="113" spans="1:7" ht="12.75" x14ac:dyDescent="0.2">
      <c r="A113" s="6"/>
      <c r="B113" s="7"/>
      <c r="C113" s="8" t="s">
        <v>124</v>
      </c>
      <c r="D113" s="9"/>
      <c r="E113" s="48"/>
      <c r="F113" s="54"/>
      <c r="G113" s="10"/>
    </row>
    <row r="114" spans="1:7" ht="12.75" x14ac:dyDescent="0.2">
      <c r="A114" s="6"/>
      <c r="B114" s="7"/>
      <c r="C114" s="8" t="s">
        <v>108</v>
      </c>
      <c r="D114" s="25"/>
      <c r="E114" s="49"/>
      <c r="F114" s="55">
        <v>0</v>
      </c>
      <c r="G114" s="13">
        <v>0</v>
      </c>
    </row>
    <row r="115" spans="1:7" ht="12.75" x14ac:dyDescent="0.2">
      <c r="A115" s="6"/>
      <c r="B115" s="7"/>
      <c r="C115" s="14"/>
      <c r="D115" s="7"/>
      <c r="E115" s="47"/>
      <c r="F115" s="53"/>
      <c r="G115" s="5"/>
    </row>
    <row r="116" spans="1:7" ht="12.75" x14ac:dyDescent="0.2">
      <c r="A116" s="6"/>
      <c r="B116" s="7"/>
      <c r="C116" s="8" t="s">
        <v>125</v>
      </c>
      <c r="D116" s="9"/>
      <c r="E116" s="48"/>
      <c r="F116" s="54"/>
      <c r="G116" s="10"/>
    </row>
    <row r="117" spans="1:7" ht="12.75" x14ac:dyDescent="0.2">
      <c r="A117" s="6"/>
      <c r="B117" s="7"/>
      <c r="C117" s="8" t="s">
        <v>108</v>
      </c>
      <c r="D117" s="25"/>
      <c r="E117" s="49"/>
      <c r="F117" s="55">
        <v>0</v>
      </c>
      <c r="G117" s="13">
        <v>0</v>
      </c>
    </row>
    <row r="118" spans="1:7" ht="12.75" x14ac:dyDescent="0.2">
      <c r="A118" s="6"/>
      <c r="B118" s="7"/>
      <c r="C118" s="14"/>
      <c r="D118" s="7"/>
      <c r="E118" s="47"/>
      <c r="F118" s="53"/>
      <c r="G118" s="5"/>
    </row>
    <row r="119" spans="1:7" ht="12.75" x14ac:dyDescent="0.2">
      <c r="A119" s="6"/>
      <c r="B119" s="7"/>
      <c r="C119" s="8" t="s">
        <v>126</v>
      </c>
      <c r="D119" s="9"/>
      <c r="E119" s="48"/>
      <c r="F119" s="54"/>
      <c r="G119" s="10"/>
    </row>
    <row r="120" spans="1:7" ht="12.75" x14ac:dyDescent="0.2">
      <c r="A120" s="6">
        <v>1</v>
      </c>
      <c r="B120" s="7"/>
      <c r="C120" s="11" t="s">
        <v>812</v>
      </c>
      <c r="D120" s="15"/>
      <c r="E120" s="47"/>
      <c r="F120" s="53">
        <v>226.9701518</v>
      </c>
      <c r="G120" s="5">
        <v>1.6013303999999999E-2</v>
      </c>
    </row>
    <row r="121" spans="1:7" ht="12.75" x14ac:dyDescent="0.2">
      <c r="A121" s="6"/>
      <c r="B121" s="7"/>
      <c r="C121" s="8" t="s">
        <v>108</v>
      </c>
      <c r="D121" s="25"/>
      <c r="E121" s="49"/>
      <c r="F121" s="55">
        <v>226.9701518</v>
      </c>
      <c r="G121" s="13">
        <v>1.6013303999999999E-2</v>
      </c>
    </row>
    <row r="122" spans="1:7" ht="12.75" x14ac:dyDescent="0.2">
      <c r="A122" s="6"/>
      <c r="B122" s="7"/>
      <c r="C122" s="14"/>
      <c r="D122" s="7"/>
      <c r="E122" s="47"/>
      <c r="F122" s="53"/>
      <c r="G122" s="5"/>
    </row>
    <row r="123" spans="1:7" ht="25.5" x14ac:dyDescent="0.2">
      <c r="A123" s="6"/>
      <c r="B123" s="7"/>
      <c r="C123" s="24" t="s">
        <v>127</v>
      </c>
      <c r="D123" s="25"/>
      <c r="E123" s="49"/>
      <c r="F123" s="55">
        <v>226.9701518</v>
      </c>
      <c r="G123" s="13">
        <v>1.6013303999999999E-2</v>
      </c>
    </row>
    <row r="124" spans="1:7" ht="12.75" x14ac:dyDescent="0.2">
      <c r="A124" s="6"/>
      <c r="B124" s="7"/>
      <c r="C124" s="30"/>
      <c r="D124" s="7"/>
      <c r="E124" s="47"/>
      <c r="F124" s="53"/>
      <c r="G124" s="5"/>
    </row>
    <row r="125" spans="1:7" ht="12.75" x14ac:dyDescent="0.2">
      <c r="A125" s="1"/>
      <c r="B125" s="2"/>
      <c r="C125" s="3" t="s">
        <v>128</v>
      </c>
      <c r="D125" s="4"/>
      <c r="E125" s="47"/>
      <c r="F125" s="53"/>
      <c r="G125" s="5"/>
    </row>
    <row r="126" spans="1:7" ht="25.5" x14ac:dyDescent="0.2">
      <c r="A126" s="6"/>
      <c r="B126" s="7"/>
      <c r="C126" s="8" t="s">
        <v>129</v>
      </c>
      <c r="D126" s="9"/>
      <c r="E126" s="48"/>
      <c r="F126" s="54"/>
      <c r="G126" s="10"/>
    </row>
    <row r="127" spans="1:7" ht="12.75" x14ac:dyDescent="0.2">
      <c r="A127" s="6"/>
      <c r="B127" s="7"/>
      <c r="C127" s="8" t="s">
        <v>108</v>
      </c>
      <c r="D127" s="25"/>
      <c r="E127" s="49"/>
      <c r="F127" s="55">
        <v>0</v>
      </c>
      <c r="G127" s="13">
        <v>0</v>
      </c>
    </row>
    <row r="128" spans="1:7" ht="12.75" x14ac:dyDescent="0.2">
      <c r="A128" s="6"/>
      <c r="B128" s="7"/>
      <c r="C128" s="14"/>
      <c r="D128" s="7"/>
      <c r="E128" s="47"/>
      <c r="F128" s="53"/>
      <c r="G128" s="5"/>
    </row>
    <row r="129" spans="1:7" ht="12.75" x14ac:dyDescent="0.2">
      <c r="A129" s="1"/>
      <c r="B129" s="2"/>
      <c r="C129" s="3" t="s">
        <v>131</v>
      </c>
      <c r="D129" s="4"/>
      <c r="E129" s="47"/>
      <c r="F129" s="53"/>
      <c r="G129" s="5"/>
    </row>
    <row r="130" spans="1:7" ht="25.5" x14ac:dyDescent="0.2">
      <c r="A130" s="6"/>
      <c r="B130" s="7"/>
      <c r="C130" s="8" t="s">
        <v>132</v>
      </c>
      <c r="D130" s="9"/>
      <c r="E130" s="48"/>
      <c r="F130" s="54"/>
      <c r="G130" s="10"/>
    </row>
    <row r="131" spans="1:7" ht="12.75" x14ac:dyDescent="0.2">
      <c r="A131" s="6"/>
      <c r="B131" s="7"/>
      <c r="C131" s="8" t="s">
        <v>108</v>
      </c>
      <c r="D131" s="25"/>
      <c r="E131" s="49"/>
      <c r="F131" s="55">
        <v>0</v>
      </c>
      <c r="G131" s="13">
        <v>0</v>
      </c>
    </row>
    <row r="132" spans="1:7" ht="12.75" x14ac:dyDescent="0.2">
      <c r="A132" s="6"/>
      <c r="B132" s="7"/>
      <c r="C132" s="14"/>
      <c r="D132" s="7"/>
      <c r="E132" s="47"/>
      <c r="F132" s="53"/>
      <c r="G132" s="5"/>
    </row>
    <row r="133" spans="1:7" ht="25.5" x14ac:dyDescent="0.2">
      <c r="A133" s="6"/>
      <c r="B133" s="7"/>
      <c r="C133" s="8" t="s">
        <v>133</v>
      </c>
      <c r="D133" s="9"/>
      <c r="E133" s="48"/>
      <c r="F133" s="54"/>
      <c r="G133" s="10"/>
    </row>
    <row r="134" spans="1:7" ht="12.75" x14ac:dyDescent="0.2">
      <c r="A134" s="6"/>
      <c r="B134" s="7"/>
      <c r="C134" s="8" t="s">
        <v>108</v>
      </c>
      <c r="D134" s="25"/>
      <c r="E134" s="49"/>
      <c r="F134" s="55">
        <v>0</v>
      </c>
      <c r="G134" s="13">
        <v>0</v>
      </c>
    </row>
    <row r="135" spans="1:7" ht="12.75" x14ac:dyDescent="0.2">
      <c r="A135" s="6"/>
      <c r="B135" s="7"/>
      <c r="C135" s="14"/>
      <c r="D135" s="7"/>
      <c r="E135" s="47"/>
      <c r="F135" s="59"/>
      <c r="G135" s="28"/>
    </row>
    <row r="136" spans="1:7" ht="25.5" x14ac:dyDescent="0.2">
      <c r="A136" s="6"/>
      <c r="B136" s="7"/>
      <c r="C136" s="30" t="s">
        <v>134</v>
      </c>
      <c r="D136" s="7"/>
      <c r="E136" s="47"/>
      <c r="F136" s="128">
        <v>-13.567142410000001</v>
      </c>
      <c r="G136" s="137">
        <v>-9.5719538431961692E-4</v>
      </c>
    </row>
    <row r="137" spans="1:7" ht="12.75" x14ac:dyDescent="0.2">
      <c r="A137" s="6"/>
      <c r="B137" s="7"/>
      <c r="C137" s="31" t="s">
        <v>135</v>
      </c>
      <c r="D137" s="12"/>
      <c r="E137" s="49"/>
      <c r="F137" s="55">
        <v>14173.848549889997</v>
      </c>
      <c r="G137" s="13">
        <v>0.99999999900000014</v>
      </c>
    </row>
    <row r="139" spans="1:7" ht="12.75" x14ac:dyDescent="0.2">
      <c r="B139" s="179"/>
      <c r="C139" s="179"/>
      <c r="D139" s="179"/>
      <c r="E139" s="179"/>
      <c r="F139" s="179"/>
    </row>
    <row r="140" spans="1:7" ht="12.75" x14ac:dyDescent="0.2">
      <c r="B140" s="179"/>
      <c r="C140" s="179"/>
      <c r="D140" s="179"/>
      <c r="E140" s="179"/>
      <c r="F140" s="179"/>
    </row>
    <row r="142" spans="1:7" ht="12.75" x14ac:dyDescent="0.2">
      <c r="B142" s="37" t="s">
        <v>137</v>
      </c>
      <c r="C142" s="38"/>
      <c r="D142" s="39"/>
    </row>
    <row r="143" spans="1:7" ht="12.75" x14ac:dyDescent="0.2">
      <c r="B143" s="40" t="s">
        <v>808</v>
      </c>
      <c r="C143" s="41"/>
      <c r="D143" s="65" t="s">
        <v>138</v>
      </c>
    </row>
    <row r="144" spans="1:7" ht="12.75" x14ac:dyDescent="0.2">
      <c r="B144" s="40" t="s">
        <v>139</v>
      </c>
      <c r="C144" s="41"/>
      <c r="D144" s="65" t="s">
        <v>138</v>
      </c>
    </row>
    <row r="145" spans="2:4" ht="12.75" x14ac:dyDescent="0.2">
      <c r="B145" s="42" t="s">
        <v>140</v>
      </c>
      <c r="C145" s="41"/>
      <c r="D145" s="43"/>
    </row>
    <row r="146" spans="2:4" ht="25.5" customHeight="1" x14ac:dyDescent="0.2">
      <c r="B146" s="43"/>
      <c r="C146" s="33" t="s">
        <v>141</v>
      </c>
      <c r="D146" s="34" t="s">
        <v>142</v>
      </c>
    </row>
    <row r="147" spans="2:4" ht="12.75" customHeight="1" x14ac:dyDescent="0.2">
      <c r="B147" s="60" t="s">
        <v>143</v>
      </c>
      <c r="C147" s="61" t="s">
        <v>144</v>
      </c>
      <c r="D147" s="61" t="s">
        <v>145</v>
      </c>
    </row>
    <row r="148" spans="2:4" ht="12.75" x14ac:dyDescent="0.2">
      <c r="B148" s="43" t="s">
        <v>146</v>
      </c>
      <c r="C148" s="44">
        <v>8.8676999999999992</v>
      </c>
      <c r="D148" s="44">
        <v>9.1486999999999998</v>
      </c>
    </row>
    <row r="149" spans="2:4" ht="12.75" x14ac:dyDescent="0.2">
      <c r="B149" s="43" t="s">
        <v>147</v>
      </c>
      <c r="C149" s="44">
        <v>8.8676999999999992</v>
      </c>
      <c r="D149" s="44">
        <v>9.1487999999999996</v>
      </c>
    </row>
    <row r="150" spans="2:4" ht="12.75" x14ac:dyDescent="0.2">
      <c r="B150" s="43" t="s">
        <v>148</v>
      </c>
      <c r="C150" s="44">
        <v>8.7294999999999998</v>
      </c>
      <c r="D150" s="44">
        <v>9.0015000000000001</v>
      </c>
    </row>
    <row r="151" spans="2:4" ht="12.75" x14ac:dyDescent="0.2">
      <c r="B151" s="43" t="s">
        <v>149</v>
      </c>
      <c r="C151" s="44">
        <v>8.7294999999999998</v>
      </c>
      <c r="D151" s="44">
        <v>9.0015000000000001</v>
      </c>
    </row>
    <row r="153" spans="2:4" ht="12.75" x14ac:dyDescent="0.2">
      <c r="B153" s="62" t="s">
        <v>150</v>
      </c>
      <c r="C153" s="45"/>
      <c r="D153" s="63" t="s">
        <v>138</v>
      </c>
    </row>
    <row r="154" spans="2:4" ht="24.75" customHeight="1" x14ac:dyDescent="0.2">
      <c r="B154" s="64"/>
      <c r="C154" s="64"/>
    </row>
    <row r="155" spans="2:4" ht="15" x14ac:dyDescent="0.25">
      <c r="B155" s="66"/>
      <c r="C155" s="68"/>
      <c r="D155"/>
    </row>
    <row r="157" spans="2:4" ht="12.75" x14ac:dyDescent="0.2">
      <c r="B157" s="42" t="s">
        <v>151</v>
      </c>
      <c r="C157" s="41"/>
      <c r="D157" s="67" t="s">
        <v>138</v>
      </c>
    </row>
    <row r="158" spans="2:4" ht="12.75" x14ac:dyDescent="0.2">
      <c r="B158" s="42" t="s">
        <v>152</v>
      </c>
      <c r="C158" s="41"/>
      <c r="D158" s="67" t="s">
        <v>138</v>
      </c>
    </row>
    <row r="159" spans="2:4" ht="12.75" x14ac:dyDescent="0.2">
      <c r="B159" s="42" t="s">
        <v>153</v>
      </c>
      <c r="C159" s="41"/>
      <c r="D159" s="46">
        <v>0.11111413007127059</v>
      </c>
    </row>
    <row r="160" spans="2:4" ht="12.75" x14ac:dyDescent="0.2">
      <c r="B160" s="42" t="s">
        <v>154</v>
      </c>
      <c r="C160" s="41"/>
      <c r="D160" s="46" t="s">
        <v>138</v>
      </c>
    </row>
  </sheetData>
  <mergeCells count="5">
    <mergeCell ref="A1:G1"/>
    <mergeCell ref="A2:G2"/>
    <mergeCell ref="A3:G3"/>
    <mergeCell ref="B139:F139"/>
    <mergeCell ref="B140:F140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6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481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51</v>
      </c>
      <c r="C7" s="11" t="s">
        <v>52</v>
      </c>
      <c r="D7" s="2" t="s">
        <v>19</v>
      </c>
      <c r="E7" s="47">
        <v>33165</v>
      </c>
      <c r="F7" s="53">
        <v>370.46963249999999</v>
      </c>
      <c r="G7" s="5">
        <v>3.6060024000000003E-2</v>
      </c>
    </row>
    <row r="8" spans="1:7" ht="25.5" x14ac:dyDescent="0.2">
      <c r="A8" s="6">
        <v>2</v>
      </c>
      <c r="B8" s="7" t="s">
        <v>23</v>
      </c>
      <c r="C8" s="11" t="s">
        <v>24</v>
      </c>
      <c r="D8" s="2" t="s">
        <v>22</v>
      </c>
      <c r="E8" s="47">
        <v>59926</v>
      </c>
      <c r="F8" s="53">
        <v>360.36500100000001</v>
      </c>
      <c r="G8" s="5">
        <v>3.507648E-2</v>
      </c>
    </row>
    <row r="9" spans="1:7" ht="12.75" x14ac:dyDescent="0.2">
      <c r="A9" s="6">
        <v>3</v>
      </c>
      <c r="B9" s="7" t="s">
        <v>455</v>
      </c>
      <c r="C9" s="11" t="s">
        <v>456</v>
      </c>
      <c r="D9" s="2" t="s">
        <v>72</v>
      </c>
      <c r="E9" s="47">
        <v>55401</v>
      </c>
      <c r="F9" s="53">
        <v>353.54148149999997</v>
      </c>
      <c r="G9" s="5">
        <v>3.4412305999999997E-2</v>
      </c>
    </row>
    <row r="10" spans="1:7" ht="25.5" x14ac:dyDescent="0.2">
      <c r="A10" s="6">
        <v>4</v>
      </c>
      <c r="B10" s="7" t="s">
        <v>156</v>
      </c>
      <c r="C10" s="11" t="s">
        <v>157</v>
      </c>
      <c r="D10" s="2" t="s">
        <v>158</v>
      </c>
      <c r="E10" s="47">
        <v>38841</v>
      </c>
      <c r="F10" s="53">
        <v>348.59797500000002</v>
      </c>
      <c r="G10" s="5">
        <v>3.3931124999999999E-2</v>
      </c>
    </row>
    <row r="11" spans="1:7" ht="25.5" x14ac:dyDescent="0.2">
      <c r="A11" s="6">
        <v>5</v>
      </c>
      <c r="B11" s="7" t="s">
        <v>453</v>
      </c>
      <c r="C11" s="11" t="s">
        <v>454</v>
      </c>
      <c r="D11" s="2" t="s">
        <v>47</v>
      </c>
      <c r="E11" s="47">
        <v>175849</v>
      </c>
      <c r="F11" s="53">
        <v>346.15875649999998</v>
      </c>
      <c r="G11" s="5">
        <v>3.3693701E-2</v>
      </c>
    </row>
    <row r="12" spans="1:7" ht="12.75" x14ac:dyDescent="0.2">
      <c r="A12" s="6">
        <v>6</v>
      </c>
      <c r="B12" s="7" t="s">
        <v>457</v>
      </c>
      <c r="C12" s="11" t="s">
        <v>458</v>
      </c>
      <c r="D12" s="2" t="s">
        <v>192</v>
      </c>
      <c r="E12" s="47">
        <v>43837</v>
      </c>
      <c r="F12" s="53">
        <v>331.6049865</v>
      </c>
      <c r="G12" s="5">
        <v>3.2277095999999998E-2</v>
      </c>
    </row>
    <row r="13" spans="1:7" ht="25.5" x14ac:dyDescent="0.2">
      <c r="A13" s="6">
        <v>7</v>
      </c>
      <c r="B13" s="7" t="s">
        <v>55</v>
      </c>
      <c r="C13" s="11" t="s">
        <v>56</v>
      </c>
      <c r="D13" s="2" t="s">
        <v>22</v>
      </c>
      <c r="E13" s="47">
        <v>52398</v>
      </c>
      <c r="F13" s="53">
        <v>309.38399099999998</v>
      </c>
      <c r="G13" s="5">
        <v>3.0114193000000001E-2</v>
      </c>
    </row>
    <row r="14" spans="1:7" ht="25.5" x14ac:dyDescent="0.2">
      <c r="A14" s="6">
        <v>8</v>
      </c>
      <c r="B14" s="7" t="s">
        <v>186</v>
      </c>
      <c r="C14" s="11" t="s">
        <v>187</v>
      </c>
      <c r="D14" s="2" t="s">
        <v>183</v>
      </c>
      <c r="E14" s="47">
        <v>53675</v>
      </c>
      <c r="F14" s="53">
        <v>304.76665000000003</v>
      </c>
      <c r="G14" s="5">
        <v>2.9664759999999998E-2</v>
      </c>
    </row>
    <row r="15" spans="1:7" ht="25.5" x14ac:dyDescent="0.2">
      <c r="A15" s="6">
        <v>9</v>
      </c>
      <c r="B15" s="7" t="s">
        <v>20</v>
      </c>
      <c r="C15" s="11" t="s">
        <v>21</v>
      </c>
      <c r="D15" s="2" t="s">
        <v>22</v>
      </c>
      <c r="E15" s="47">
        <v>32169</v>
      </c>
      <c r="F15" s="53">
        <v>286.62578999999999</v>
      </c>
      <c r="G15" s="5">
        <v>2.7899001999999999E-2</v>
      </c>
    </row>
    <row r="16" spans="1:7" ht="12.75" x14ac:dyDescent="0.2">
      <c r="A16" s="6">
        <v>10</v>
      </c>
      <c r="B16" s="7" t="s">
        <v>250</v>
      </c>
      <c r="C16" s="11" t="s">
        <v>251</v>
      </c>
      <c r="D16" s="2" t="s">
        <v>168</v>
      </c>
      <c r="E16" s="47">
        <v>69480</v>
      </c>
      <c r="F16" s="53">
        <v>276.80831999999998</v>
      </c>
      <c r="G16" s="5">
        <v>2.6943409000000001E-2</v>
      </c>
    </row>
    <row r="17" spans="1:7" ht="25.5" x14ac:dyDescent="0.2">
      <c r="A17" s="6">
        <v>11</v>
      </c>
      <c r="B17" s="7" t="s">
        <v>161</v>
      </c>
      <c r="C17" s="11" t="s">
        <v>162</v>
      </c>
      <c r="D17" s="2" t="s">
        <v>163</v>
      </c>
      <c r="E17" s="47">
        <v>75280</v>
      </c>
      <c r="F17" s="53">
        <v>274.54615999999999</v>
      </c>
      <c r="G17" s="5">
        <v>2.6723218999999999E-2</v>
      </c>
    </row>
    <row r="18" spans="1:7" ht="25.5" x14ac:dyDescent="0.2">
      <c r="A18" s="6">
        <v>12</v>
      </c>
      <c r="B18" s="7" t="s">
        <v>188</v>
      </c>
      <c r="C18" s="11" t="s">
        <v>189</v>
      </c>
      <c r="D18" s="2" t="s">
        <v>47</v>
      </c>
      <c r="E18" s="47">
        <v>12640</v>
      </c>
      <c r="F18" s="53">
        <v>268.68216000000001</v>
      </c>
      <c r="G18" s="5">
        <v>2.6152440999999998E-2</v>
      </c>
    </row>
    <row r="19" spans="1:7" ht="25.5" x14ac:dyDescent="0.2">
      <c r="A19" s="6">
        <v>13</v>
      </c>
      <c r="B19" s="7" t="s">
        <v>179</v>
      </c>
      <c r="C19" s="11" t="s">
        <v>180</v>
      </c>
      <c r="D19" s="2" t="s">
        <v>22</v>
      </c>
      <c r="E19" s="47">
        <v>72000</v>
      </c>
      <c r="F19" s="53">
        <v>229.75200000000001</v>
      </c>
      <c r="G19" s="5">
        <v>2.2363135999999999E-2</v>
      </c>
    </row>
    <row r="20" spans="1:7" ht="25.5" x14ac:dyDescent="0.2">
      <c r="A20" s="6">
        <v>14</v>
      </c>
      <c r="B20" s="7" t="s">
        <v>171</v>
      </c>
      <c r="C20" s="11" t="s">
        <v>172</v>
      </c>
      <c r="D20" s="2" t="s">
        <v>22</v>
      </c>
      <c r="E20" s="47">
        <v>55758</v>
      </c>
      <c r="F20" s="53">
        <v>224.59322399999999</v>
      </c>
      <c r="G20" s="5">
        <v>2.1861001000000001E-2</v>
      </c>
    </row>
    <row r="21" spans="1:7" ht="25.5" x14ac:dyDescent="0.2">
      <c r="A21" s="6">
        <v>15</v>
      </c>
      <c r="B21" s="7" t="s">
        <v>43</v>
      </c>
      <c r="C21" s="11" t="s">
        <v>44</v>
      </c>
      <c r="D21" s="2" t="s">
        <v>22</v>
      </c>
      <c r="E21" s="47">
        <v>31667</v>
      </c>
      <c r="F21" s="53">
        <v>220.465654</v>
      </c>
      <c r="G21" s="5">
        <v>2.1459240000000001E-2</v>
      </c>
    </row>
    <row r="22" spans="1:7" ht="25.5" x14ac:dyDescent="0.2">
      <c r="A22" s="6">
        <v>16</v>
      </c>
      <c r="B22" s="7" t="s">
        <v>102</v>
      </c>
      <c r="C22" s="11" t="s">
        <v>103</v>
      </c>
      <c r="D22" s="2" t="s">
        <v>13</v>
      </c>
      <c r="E22" s="47">
        <v>203257</v>
      </c>
      <c r="F22" s="53">
        <v>209.151453</v>
      </c>
      <c r="G22" s="5">
        <v>2.0357961000000001E-2</v>
      </c>
    </row>
    <row r="23" spans="1:7" ht="12.75" x14ac:dyDescent="0.2">
      <c r="A23" s="6">
        <v>17</v>
      </c>
      <c r="B23" s="7" t="s">
        <v>159</v>
      </c>
      <c r="C23" s="11" t="s">
        <v>160</v>
      </c>
      <c r="D23" s="2" t="s">
        <v>19</v>
      </c>
      <c r="E23" s="47">
        <v>111054</v>
      </c>
      <c r="F23" s="53">
        <v>207.78203400000001</v>
      </c>
      <c r="G23" s="5">
        <v>2.0224668000000001E-2</v>
      </c>
    </row>
    <row r="24" spans="1:7" ht="25.5" x14ac:dyDescent="0.2">
      <c r="A24" s="6">
        <v>18</v>
      </c>
      <c r="B24" s="7" t="s">
        <v>45</v>
      </c>
      <c r="C24" s="11" t="s">
        <v>46</v>
      </c>
      <c r="D24" s="2" t="s">
        <v>47</v>
      </c>
      <c r="E24" s="47">
        <v>24137</v>
      </c>
      <c r="F24" s="53">
        <v>203.19733450000001</v>
      </c>
      <c r="G24" s="5">
        <v>1.9778410999999999E-2</v>
      </c>
    </row>
    <row r="25" spans="1:7" ht="25.5" x14ac:dyDescent="0.2">
      <c r="A25" s="6">
        <v>19</v>
      </c>
      <c r="B25" s="7" t="s">
        <v>169</v>
      </c>
      <c r="C25" s="11" t="s">
        <v>170</v>
      </c>
      <c r="D25" s="2" t="s">
        <v>27</v>
      </c>
      <c r="E25" s="47">
        <v>16939</v>
      </c>
      <c r="F25" s="53">
        <v>202.150026</v>
      </c>
      <c r="G25" s="5">
        <v>1.9676471000000001E-2</v>
      </c>
    </row>
    <row r="26" spans="1:7" ht="12.75" x14ac:dyDescent="0.2">
      <c r="A26" s="6">
        <v>20</v>
      </c>
      <c r="B26" s="7" t="s">
        <v>260</v>
      </c>
      <c r="C26" s="11" t="s">
        <v>261</v>
      </c>
      <c r="D26" s="2" t="s">
        <v>242</v>
      </c>
      <c r="E26" s="47">
        <v>18500</v>
      </c>
      <c r="F26" s="53">
        <v>174.09424999999999</v>
      </c>
      <c r="G26" s="5">
        <v>1.6945634000000001E-2</v>
      </c>
    </row>
    <row r="27" spans="1:7" ht="25.5" x14ac:dyDescent="0.2">
      <c r="A27" s="6">
        <v>21</v>
      </c>
      <c r="B27" s="7" t="s">
        <v>59</v>
      </c>
      <c r="C27" s="11" t="s">
        <v>60</v>
      </c>
      <c r="D27" s="2" t="s">
        <v>22</v>
      </c>
      <c r="E27" s="47">
        <v>12717</v>
      </c>
      <c r="F27" s="53">
        <v>173.90497500000001</v>
      </c>
      <c r="G27" s="5">
        <v>1.6927211000000001E-2</v>
      </c>
    </row>
    <row r="28" spans="1:7" ht="25.5" x14ac:dyDescent="0.2">
      <c r="A28" s="6">
        <v>22</v>
      </c>
      <c r="B28" s="7" t="s">
        <v>38</v>
      </c>
      <c r="C28" s="11" t="s">
        <v>39</v>
      </c>
      <c r="D28" s="2" t="s">
        <v>40</v>
      </c>
      <c r="E28" s="47">
        <v>39951</v>
      </c>
      <c r="F28" s="53">
        <v>172.348614</v>
      </c>
      <c r="G28" s="5">
        <v>1.6775721E-2</v>
      </c>
    </row>
    <row r="29" spans="1:7" ht="25.5" x14ac:dyDescent="0.2">
      <c r="A29" s="6">
        <v>23</v>
      </c>
      <c r="B29" s="7" t="s">
        <v>81</v>
      </c>
      <c r="C29" s="11" t="s">
        <v>82</v>
      </c>
      <c r="D29" s="2" t="s">
        <v>22</v>
      </c>
      <c r="E29" s="47">
        <v>17168</v>
      </c>
      <c r="F29" s="53">
        <v>171.74008799999999</v>
      </c>
      <c r="G29" s="5">
        <v>1.6716489000000001E-2</v>
      </c>
    </row>
    <row r="30" spans="1:7" ht="25.5" x14ac:dyDescent="0.2">
      <c r="A30" s="6">
        <v>24</v>
      </c>
      <c r="B30" s="7" t="s">
        <v>83</v>
      </c>
      <c r="C30" s="11" t="s">
        <v>84</v>
      </c>
      <c r="D30" s="2" t="s">
        <v>22</v>
      </c>
      <c r="E30" s="47">
        <v>146929</v>
      </c>
      <c r="F30" s="53">
        <v>160.22607450000001</v>
      </c>
      <c r="G30" s="5">
        <v>1.5595762000000001E-2</v>
      </c>
    </row>
    <row r="31" spans="1:7" ht="12.75" x14ac:dyDescent="0.2">
      <c r="A31" s="6">
        <v>25</v>
      </c>
      <c r="B31" s="7" t="s">
        <v>459</v>
      </c>
      <c r="C31" s="11" t="s">
        <v>460</v>
      </c>
      <c r="D31" s="2" t="s">
        <v>72</v>
      </c>
      <c r="E31" s="47">
        <v>170932</v>
      </c>
      <c r="F31" s="53">
        <v>159.565022</v>
      </c>
      <c r="G31" s="5">
        <v>1.5531418E-2</v>
      </c>
    </row>
    <row r="32" spans="1:7" ht="12.75" x14ac:dyDescent="0.2">
      <c r="A32" s="6">
        <v>26</v>
      </c>
      <c r="B32" s="7" t="s">
        <v>252</v>
      </c>
      <c r="C32" s="11" t="s">
        <v>253</v>
      </c>
      <c r="D32" s="2" t="s">
        <v>242</v>
      </c>
      <c r="E32" s="47">
        <v>11188</v>
      </c>
      <c r="F32" s="53">
        <v>155.23909399999999</v>
      </c>
      <c r="G32" s="5">
        <v>1.5110349E-2</v>
      </c>
    </row>
    <row r="33" spans="1:7" ht="51" x14ac:dyDescent="0.2">
      <c r="A33" s="6">
        <v>27</v>
      </c>
      <c r="B33" s="7" t="s">
        <v>247</v>
      </c>
      <c r="C33" s="11" t="s">
        <v>248</v>
      </c>
      <c r="D33" s="2" t="s">
        <v>208</v>
      </c>
      <c r="E33" s="47">
        <v>68953</v>
      </c>
      <c r="F33" s="53">
        <v>149.17981549999999</v>
      </c>
      <c r="G33" s="5">
        <v>1.4520563E-2</v>
      </c>
    </row>
    <row r="34" spans="1:7" ht="12.75" x14ac:dyDescent="0.2">
      <c r="A34" s="6">
        <v>28</v>
      </c>
      <c r="B34" s="7" t="s">
        <v>193</v>
      </c>
      <c r="C34" s="11" t="s">
        <v>194</v>
      </c>
      <c r="D34" s="2" t="s">
        <v>72</v>
      </c>
      <c r="E34" s="47">
        <v>16636</v>
      </c>
      <c r="F34" s="53">
        <v>147.586274</v>
      </c>
      <c r="G34" s="5">
        <v>1.4365454E-2</v>
      </c>
    </row>
    <row r="35" spans="1:7" ht="12.75" x14ac:dyDescent="0.2">
      <c r="A35" s="6">
        <v>29</v>
      </c>
      <c r="B35" s="7" t="s">
        <v>308</v>
      </c>
      <c r="C35" s="11" t="s">
        <v>309</v>
      </c>
      <c r="D35" s="2" t="s">
        <v>168</v>
      </c>
      <c r="E35" s="47">
        <v>6790</v>
      </c>
      <c r="F35" s="53">
        <v>142.28444999999999</v>
      </c>
      <c r="G35" s="5">
        <v>1.3849396E-2</v>
      </c>
    </row>
    <row r="36" spans="1:7" ht="25.5" x14ac:dyDescent="0.2">
      <c r="A36" s="6">
        <v>30</v>
      </c>
      <c r="B36" s="7" t="s">
        <v>461</v>
      </c>
      <c r="C36" s="11" t="s">
        <v>462</v>
      </c>
      <c r="D36" s="2" t="s">
        <v>80</v>
      </c>
      <c r="E36" s="47">
        <v>46885</v>
      </c>
      <c r="F36" s="53">
        <v>135.8024025</v>
      </c>
      <c r="G36" s="5">
        <v>1.321846E-2</v>
      </c>
    </row>
    <row r="37" spans="1:7" ht="12.75" x14ac:dyDescent="0.2">
      <c r="A37" s="6">
        <v>31</v>
      </c>
      <c r="B37" s="7" t="s">
        <v>184</v>
      </c>
      <c r="C37" s="11" t="s">
        <v>185</v>
      </c>
      <c r="D37" s="2" t="s">
        <v>16</v>
      </c>
      <c r="E37" s="47">
        <v>75084</v>
      </c>
      <c r="F37" s="53">
        <v>135.26382599999999</v>
      </c>
      <c r="G37" s="5">
        <v>1.3166037E-2</v>
      </c>
    </row>
    <row r="38" spans="1:7" ht="12.75" x14ac:dyDescent="0.2">
      <c r="A38" s="6">
        <v>32</v>
      </c>
      <c r="B38" s="7" t="s">
        <v>195</v>
      </c>
      <c r="C38" s="11" t="s">
        <v>196</v>
      </c>
      <c r="D38" s="2" t="s">
        <v>197</v>
      </c>
      <c r="E38" s="47">
        <v>97271</v>
      </c>
      <c r="F38" s="53">
        <v>130.0999625</v>
      </c>
      <c r="G38" s="5">
        <v>1.2663407E-2</v>
      </c>
    </row>
    <row r="39" spans="1:7" ht="25.5" x14ac:dyDescent="0.2">
      <c r="A39" s="6">
        <v>33</v>
      </c>
      <c r="B39" s="7" t="s">
        <v>209</v>
      </c>
      <c r="C39" s="11" t="s">
        <v>210</v>
      </c>
      <c r="D39" s="2" t="s">
        <v>22</v>
      </c>
      <c r="E39" s="47">
        <v>18957</v>
      </c>
      <c r="F39" s="53">
        <v>127.52373900000001</v>
      </c>
      <c r="G39" s="5">
        <v>1.2412648E-2</v>
      </c>
    </row>
    <row r="40" spans="1:7" ht="12.75" x14ac:dyDescent="0.2">
      <c r="A40" s="6">
        <v>34</v>
      </c>
      <c r="B40" s="7" t="s">
        <v>465</v>
      </c>
      <c r="C40" s="11" t="s">
        <v>466</v>
      </c>
      <c r="D40" s="2" t="s">
        <v>168</v>
      </c>
      <c r="E40" s="47">
        <v>120232</v>
      </c>
      <c r="F40" s="53">
        <v>124.800816</v>
      </c>
      <c r="G40" s="5">
        <v>1.214761E-2</v>
      </c>
    </row>
    <row r="41" spans="1:7" ht="12.75" x14ac:dyDescent="0.2">
      <c r="A41" s="6">
        <v>35</v>
      </c>
      <c r="B41" s="7" t="s">
        <v>470</v>
      </c>
      <c r="C41" s="11" t="s">
        <v>471</v>
      </c>
      <c r="D41" s="2" t="s">
        <v>72</v>
      </c>
      <c r="E41" s="47">
        <v>7785</v>
      </c>
      <c r="F41" s="53">
        <v>123.90606</v>
      </c>
      <c r="G41" s="5">
        <v>1.2060517999999999E-2</v>
      </c>
    </row>
    <row r="42" spans="1:7" ht="25.5" x14ac:dyDescent="0.2">
      <c r="A42" s="6">
        <v>36</v>
      </c>
      <c r="B42" s="7" t="s">
        <v>372</v>
      </c>
      <c r="C42" s="11" t="s">
        <v>373</v>
      </c>
      <c r="D42" s="2" t="s">
        <v>22</v>
      </c>
      <c r="E42" s="47">
        <v>38533</v>
      </c>
      <c r="F42" s="53">
        <v>123.55606450000001</v>
      </c>
      <c r="G42" s="5">
        <v>1.2026449999999999E-2</v>
      </c>
    </row>
    <row r="43" spans="1:7" ht="25.5" x14ac:dyDescent="0.2">
      <c r="A43" s="6">
        <v>37</v>
      </c>
      <c r="B43" s="7" t="s">
        <v>217</v>
      </c>
      <c r="C43" s="11" t="s">
        <v>218</v>
      </c>
      <c r="D43" s="2" t="s">
        <v>27</v>
      </c>
      <c r="E43" s="47">
        <v>100029</v>
      </c>
      <c r="F43" s="53">
        <v>121.83532200000001</v>
      </c>
      <c r="G43" s="5">
        <v>1.185896E-2</v>
      </c>
    </row>
    <row r="44" spans="1:7" ht="51" x14ac:dyDescent="0.2">
      <c r="A44" s="6">
        <v>38</v>
      </c>
      <c r="B44" s="7" t="s">
        <v>206</v>
      </c>
      <c r="C44" s="11" t="s">
        <v>207</v>
      </c>
      <c r="D44" s="2" t="s">
        <v>208</v>
      </c>
      <c r="E44" s="47">
        <v>174647</v>
      </c>
      <c r="F44" s="53">
        <v>106.709317</v>
      </c>
      <c r="G44" s="5">
        <v>1.0386655999999999E-2</v>
      </c>
    </row>
    <row r="45" spans="1:7" ht="25.5" x14ac:dyDescent="0.2">
      <c r="A45" s="6">
        <v>39</v>
      </c>
      <c r="B45" s="7" t="s">
        <v>181</v>
      </c>
      <c r="C45" s="11" t="s">
        <v>182</v>
      </c>
      <c r="D45" s="2" t="s">
        <v>183</v>
      </c>
      <c r="E45" s="47">
        <v>87583</v>
      </c>
      <c r="F45" s="53">
        <v>104.048604</v>
      </c>
      <c r="G45" s="5">
        <v>1.0127673E-2</v>
      </c>
    </row>
    <row r="46" spans="1:7" ht="12.75" x14ac:dyDescent="0.2">
      <c r="A46" s="6">
        <v>40</v>
      </c>
      <c r="B46" s="7" t="s">
        <v>204</v>
      </c>
      <c r="C46" s="11" t="s">
        <v>205</v>
      </c>
      <c r="D46" s="2" t="s">
        <v>72</v>
      </c>
      <c r="E46" s="47">
        <v>38067</v>
      </c>
      <c r="F46" s="53">
        <v>103.8658095</v>
      </c>
      <c r="G46" s="5">
        <v>1.010988E-2</v>
      </c>
    </row>
    <row r="47" spans="1:7" ht="25.5" x14ac:dyDescent="0.2">
      <c r="A47" s="6">
        <v>41</v>
      </c>
      <c r="B47" s="7" t="s">
        <v>73</v>
      </c>
      <c r="C47" s="11" t="s">
        <v>74</v>
      </c>
      <c r="D47" s="2" t="s">
        <v>22</v>
      </c>
      <c r="E47" s="47">
        <v>15592</v>
      </c>
      <c r="F47" s="53">
        <v>102.174376</v>
      </c>
      <c r="G47" s="5">
        <v>9.9452429999999994E-3</v>
      </c>
    </row>
    <row r="48" spans="1:7" ht="25.5" x14ac:dyDescent="0.2">
      <c r="A48" s="6">
        <v>42</v>
      </c>
      <c r="B48" s="7" t="s">
        <v>177</v>
      </c>
      <c r="C48" s="11" t="s">
        <v>178</v>
      </c>
      <c r="D48" s="2" t="s">
        <v>47</v>
      </c>
      <c r="E48" s="47">
        <v>62080</v>
      </c>
      <c r="F48" s="53">
        <v>101.31456</v>
      </c>
      <c r="G48" s="5">
        <v>9.8615520000000009E-3</v>
      </c>
    </row>
    <row r="49" spans="1:7" ht="12.75" x14ac:dyDescent="0.2">
      <c r="A49" s="6">
        <v>43</v>
      </c>
      <c r="B49" s="7" t="s">
        <v>190</v>
      </c>
      <c r="C49" s="11" t="s">
        <v>191</v>
      </c>
      <c r="D49" s="2" t="s">
        <v>192</v>
      </c>
      <c r="E49" s="47">
        <v>65299</v>
      </c>
      <c r="F49" s="53">
        <v>100.5931095</v>
      </c>
      <c r="G49" s="5">
        <v>9.7913289999999997E-3</v>
      </c>
    </row>
    <row r="50" spans="1:7" ht="12.75" x14ac:dyDescent="0.2">
      <c r="A50" s="6">
        <v>44</v>
      </c>
      <c r="B50" s="7" t="s">
        <v>262</v>
      </c>
      <c r="C50" s="11" t="s">
        <v>263</v>
      </c>
      <c r="D50" s="2" t="s">
        <v>242</v>
      </c>
      <c r="E50" s="47">
        <v>110134</v>
      </c>
      <c r="F50" s="53">
        <v>100.33207400000001</v>
      </c>
      <c r="G50" s="5">
        <v>9.7659210000000003E-3</v>
      </c>
    </row>
    <row r="51" spans="1:7" ht="12.75" x14ac:dyDescent="0.2">
      <c r="A51" s="6">
        <v>45</v>
      </c>
      <c r="B51" s="7" t="s">
        <v>463</v>
      </c>
      <c r="C51" s="11" t="s">
        <v>464</v>
      </c>
      <c r="D51" s="2" t="s">
        <v>192</v>
      </c>
      <c r="E51" s="47">
        <v>16445</v>
      </c>
      <c r="F51" s="53">
        <v>95.422112499999997</v>
      </c>
      <c r="G51" s="5">
        <v>9.2880050000000002E-3</v>
      </c>
    </row>
    <row r="52" spans="1:7" ht="12.75" x14ac:dyDescent="0.2">
      <c r="A52" s="6">
        <v>46</v>
      </c>
      <c r="B52" s="7" t="s">
        <v>254</v>
      </c>
      <c r="C52" s="11" t="s">
        <v>255</v>
      </c>
      <c r="D52" s="2" t="s">
        <v>168</v>
      </c>
      <c r="E52" s="47">
        <v>32998</v>
      </c>
      <c r="F52" s="53">
        <v>91.387961000000004</v>
      </c>
      <c r="G52" s="5">
        <v>8.8953369999999997E-3</v>
      </c>
    </row>
    <row r="53" spans="1:7" ht="12.75" x14ac:dyDescent="0.2">
      <c r="A53" s="6">
        <v>47</v>
      </c>
      <c r="B53" s="7" t="s">
        <v>221</v>
      </c>
      <c r="C53" s="11" t="s">
        <v>222</v>
      </c>
      <c r="D53" s="2" t="s">
        <v>223</v>
      </c>
      <c r="E53" s="47">
        <v>20130</v>
      </c>
      <c r="F53" s="53">
        <v>91.329809999999995</v>
      </c>
      <c r="G53" s="5">
        <v>8.8896759999999991E-3</v>
      </c>
    </row>
    <row r="54" spans="1:7" ht="12.75" x14ac:dyDescent="0.2">
      <c r="A54" s="6">
        <v>48</v>
      </c>
      <c r="B54" s="7" t="s">
        <v>166</v>
      </c>
      <c r="C54" s="11" t="s">
        <v>167</v>
      </c>
      <c r="D54" s="2" t="s">
        <v>168</v>
      </c>
      <c r="E54" s="47">
        <v>35158</v>
      </c>
      <c r="F54" s="53">
        <v>89.775953000000001</v>
      </c>
      <c r="G54" s="5">
        <v>8.7384300000000002E-3</v>
      </c>
    </row>
    <row r="55" spans="1:7" ht="25.5" x14ac:dyDescent="0.2">
      <c r="A55" s="6">
        <v>49</v>
      </c>
      <c r="B55" s="7" t="s">
        <v>477</v>
      </c>
      <c r="C55" s="11" t="s">
        <v>478</v>
      </c>
      <c r="D55" s="2" t="s">
        <v>30</v>
      </c>
      <c r="E55" s="47">
        <v>13634</v>
      </c>
      <c r="F55" s="53">
        <v>88.191529000000003</v>
      </c>
      <c r="G55" s="5">
        <v>8.5842090000000006E-3</v>
      </c>
    </row>
    <row r="56" spans="1:7" ht="25.5" x14ac:dyDescent="0.2">
      <c r="A56" s="6">
        <v>50</v>
      </c>
      <c r="B56" s="7" t="s">
        <v>475</v>
      </c>
      <c r="C56" s="11" t="s">
        <v>476</v>
      </c>
      <c r="D56" s="2" t="s">
        <v>47</v>
      </c>
      <c r="E56" s="47">
        <v>9580</v>
      </c>
      <c r="F56" s="53">
        <v>87.206739999999996</v>
      </c>
      <c r="G56" s="5">
        <v>8.4883530000000006E-3</v>
      </c>
    </row>
    <row r="57" spans="1:7" ht="12.75" x14ac:dyDescent="0.2">
      <c r="A57" s="6">
        <v>51</v>
      </c>
      <c r="B57" s="7" t="s">
        <v>224</v>
      </c>
      <c r="C57" s="11" t="s">
        <v>225</v>
      </c>
      <c r="D57" s="2" t="s">
        <v>226</v>
      </c>
      <c r="E57" s="47">
        <v>77303</v>
      </c>
      <c r="F57" s="53">
        <v>86.772617499999996</v>
      </c>
      <c r="G57" s="5">
        <v>8.4460980000000008E-3</v>
      </c>
    </row>
    <row r="58" spans="1:7" ht="51" x14ac:dyDescent="0.2">
      <c r="A58" s="6">
        <v>52</v>
      </c>
      <c r="B58" s="7" t="s">
        <v>294</v>
      </c>
      <c r="C58" s="11" t="s">
        <v>295</v>
      </c>
      <c r="D58" s="2" t="s">
        <v>208</v>
      </c>
      <c r="E58" s="47">
        <v>244905</v>
      </c>
      <c r="F58" s="53">
        <v>84.859582500000002</v>
      </c>
      <c r="G58" s="5">
        <v>8.2598900000000006E-3</v>
      </c>
    </row>
    <row r="59" spans="1:7" ht="25.5" x14ac:dyDescent="0.2">
      <c r="A59" s="6">
        <v>53</v>
      </c>
      <c r="B59" s="7" t="s">
        <v>200</v>
      </c>
      <c r="C59" s="11" t="s">
        <v>201</v>
      </c>
      <c r="D59" s="2" t="s">
        <v>30</v>
      </c>
      <c r="E59" s="47">
        <v>27945</v>
      </c>
      <c r="F59" s="53">
        <v>83.653357499999998</v>
      </c>
      <c r="G59" s="5">
        <v>8.142481E-3</v>
      </c>
    </row>
    <row r="60" spans="1:7" ht="12.75" x14ac:dyDescent="0.2">
      <c r="A60" s="6">
        <v>54</v>
      </c>
      <c r="B60" s="7" t="s">
        <v>472</v>
      </c>
      <c r="C60" s="11" t="s">
        <v>473</v>
      </c>
      <c r="D60" s="2" t="s">
        <v>168</v>
      </c>
      <c r="E60" s="47">
        <v>24151</v>
      </c>
      <c r="F60" s="53">
        <v>82.789627999999993</v>
      </c>
      <c r="G60" s="5">
        <v>8.0584090000000008E-3</v>
      </c>
    </row>
    <row r="61" spans="1:7" ht="25.5" x14ac:dyDescent="0.2">
      <c r="A61" s="6">
        <v>55</v>
      </c>
      <c r="B61" s="7" t="s">
        <v>231</v>
      </c>
      <c r="C61" s="11" t="s">
        <v>232</v>
      </c>
      <c r="D61" s="2" t="s">
        <v>47</v>
      </c>
      <c r="E61" s="47">
        <v>31286</v>
      </c>
      <c r="F61" s="53">
        <v>78.903291999999993</v>
      </c>
      <c r="G61" s="5">
        <v>7.6801289999999999E-3</v>
      </c>
    </row>
    <row r="62" spans="1:7" ht="12.75" x14ac:dyDescent="0.2">
      <c r="A62" s="6">
        <v>56</v>
      </c>
      <c r="B62" s="7" t="s">
        <v>479</v>
      </c>
      <c r="C62" s="11" t="s">
        <v>480</v>
      </c>
      <c r="D62" s="2" t="s">
        <v>226</v>
      </c>
      <c r="E62" s="47">
        <v>62069</v>
      </c>
      <c r="F62" s="53">
        <v>73.893144500000005</v>
      </c>
      <c r="G62" s="5">
        <v>7.1924620000000002E-3</v>
      </c>
    </row>
    <row r="63" spans="1:7" ht="12.75" x14ac:dyDescent="0.2">
      <c r="A63" s="6">
        <v>57</v>
      </c>
      <c r="B63" s="7" t="s">
        <v>238</v>
      </c>
      <c r="C63" s="11" t="s">
        <v>239</v>
      </c>
      <c r="D63" s="2" t="s">
        <v>72</v>
      </c>
      <c r="E63" s="47">
        <v>137000</v>
      </c>
      <c r="F63" s="53">
        <v>73.363500000000002</v>
      </c>
      <c r="G63" s="5">
        <v>7.1409079999999996E-3</v>
      </c>
    </row>
    <row r="64" spans="1:7" ht="25.5" x14ac:dyDescent="0.2">
      <c r="A64" s="6">
        <v>58</v>
      </c>
      <c r="B64" s="7" t="s">
        <v>215</v>
      </c>
      <c r="C64" s="11" t="s">
        <v>216</v>
      </c>
      <c r="D64" s="2" t="s">
        <v>13</v>
      </c>
      <c r="E64" s="47">
        <v>126093</v>
      </c>
      <c r="F64" s="53">
        <v>72.881754000000001</v>
      </c>
      <c r="G64" s="5">
        <v>7.0940170000000002E-3</v>
      </c>
    </row>
    <row r="65" spans="1:7" ht="12.75" x14ac:dyDescent="0.2">
      <c r="A65" s="6">
        <v>59</v>
      </c>
      <c r="B65" s="7" t="s">
        <v>268</v>
      </c>
      <c r="C65" s="11" t="s">
        <v>269</v>
      </c>
      <c r="D65" s="2" t="s">
        <v>72</v>
      </c>
      <c r="E65" s="47">
        <v>14496</v>
      </c>
      <c r="F65" s="53">
        <v>65.065296000000004</v>
      </c>
      <c r="G65" s="5">
        <v>6.3331940000000003E-3</v>
      </c>
    </row>
    <row r="66" spans="1:7" ht="12.75" x14ac:dyDescent="0.2">
      <c r="A66" s="6">
        <v>60</v>
      </c>
      <c r="B66" s="7" t="s">
        <v>219</v>
      </c>
      <c r="C66" s="11" t="s">
        <v>220</v>
      </c>
      <c r="D66" s="2" t="s">
        <v>72</v>
      </c>
      <c r="E66" s="47">
        <v>33000</v>
      </c>
      <c r="F66" s="53">
        <v>62.271000000000001</v>
      </c>
      <c r="G66" s="5">
        <v>6.0612089999999997E-3</v>
      </c>
    </row>
    <row r="67" spans="1:7" ht="12.75" x14ac:dyDescent="0.2">
      <c r="A67" s="6">
        <v>61</v>
      </c>
      <c r="B67" s="7" t="s">
        <v>279</v>
      </c>
      <c r="C67" s="11" t="s">
        <v>280</v>
      </c>
      <c r="D67" s="2" t="s">
        <v>281</v>
      </c>
      <c r="E67" s="47">
        <v>6483</v>
      </c>
      <c r="F67" s="53">
        <v>52.470160499999999</v>
      </c>
      <c r="G67" s="5">
        <v>5.1072340000000004E-3</v>
      </c>
    </row>
    <row r="68" spans="1:7" ht="12.75" x14ac:dyDescent="0.2">
      <c r="A68" s="6">
        <v>62</v>
      </c>
      <c r="B68" s="7" t="s">
        <v>211</v>
      </c>
      <c r="C68" s="11" t="s">
        <v>212</v>
      </c>
      <c r="D68" s="2" t="s">
        <v>72</v>
      </c>
      <c r="E68" s="47">
        <v>135420</v>
      </c>
      <c r="F68" s="53">
        <v>40.219740000000002</v>
      </c>
      <c r="G68" s="5">
        <v>3.9148280000000004E-3</v>
      </c>
    </row>
    <row r="69" spans="1:7" ht="12.75" x14ac:dyDescent="0.2">
      <c r="A69" s="6">
        <v>63</v>
      </c>
      <c r="B69" s="7" t="s">
        <v>48</v>
      </c>
      <c r="C69" s="11" t="s">
        <v>49</v>
      </c>
      <c r="D69" s="2" t="s">
        <v>50</v>
      </c>
      <c r="E69" s="47">
        <v>11109</v>
      </c>
      <c r="F69" s="53">
        <v>22.912312499999999</v>
      </c>
      <c r="G69" s="5">
        <v>2.2301920000000002E-3</v>
      </c>
    </row>
    <row r="70" spans="1:7" ht="25.5" x14ac:dyDescent="0.2">
      <c r="A70" s="6">
        <v>64</v>
      </c>
      <c r="B70" s="7" t="s">
        <v>243</v>
      </c>
      <c r="C70" s="11" t="s">
        <v>244</v>
      </c>
      <c r="D70" s="2" t="s">
        <v>163</v>
      </c>
      <c r="E70" s="47">
        <v>33987</v>
      </c>
      <c r="F70" s="53">
        <v>20.715076499999999</v>
      </c>
      <c r="G70" s="5">
        <v>2.0163220000000001E-3</v>
      </c>
    </row>
    <row r="71" spans="1:7" ht="12.75" x14ac:dyDescent="0.2">
      <c r="A71" s="1"/>
      <c r="B71" s="2"/>
      <c r="C71" s="8" t="s">
        <v>108</v>
      </c>
      <c r="D71" s="12"/>
      <c r="E71" s="49"/>
      <c r="F71" s="55">
        <v>10120.721896000003</v>
      </c>
      <c r="G71" s="13">
        <v>0.98511036799999996</v>
      </c>
    </row>
    <row r="72" spans="1:7" ht="12.75" x14ac:dyDescent="0.2">
      <c r="A72" s="6"/>
      <c r="B72" s="7"/>
      <c r="C72" s="14"/>
      <c r="D72" s="15"/>
      <c r="E72" s="47"/>
      <c r="F72" s="53"/>
      <c r="G72" s="5"/>
    </row>
    <row r="73" spans="1:7" ht="12.75" x14ac:dyDescent="0.2">
      <c r="A73" s="1"/>
      <c r="B73" s="2"/>
      <c r="C73" s="8" t="s">
        <v>109</v>
      </c>
      <c r="D73" s="9"/>
      <c r="E73" s="48"/>
      <c r="F73" s="54"/>
      <c r="G73" s="10"/>
    </row>
    <row r="74" spans="1:7" ht="12.75" x14ac:dyDescent="0.2">
      <c r="A74" s="1"/>
      <c r="B74" s="2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4"/>
      <c r="D75" s="15"/>
      <c r="E75" s="47"/>
      <c r="F75" s="53"/>
      <c r="G75" s="5"/>
    </row>
    <row r="76" spans="1:7" ht="12.75" x14ac:dyDescent="0.2">
      <c r="A76" s="16"/>
      <c r="B76" s="17"/>
      <c r="C76" s="8" t="s">
        <v>110</v>
      </c>
      <c r="D76" s="9"/>
      <c r="E76" s="48"/>
      <c r="F76" s="54"/>
      <c r="G76" s="10"/>
    </row>
    <row r="77" spans="1:7" ht="12.75" x14ac:dyDescent="0.2">
      <c r="A77" s="18"/>
      <c r="B77" s="19"/>
      <c r="C77" s="8" t="s">
        <v>108</v>
      </c>
      <c r="D77" s="20"/>
      <c r="E77" s="50"/>
      <c r="F77" s="56">
        <v>0</v>
      </c>
      <c r="G77" s="21">
        <v>0</v>
      </c>
    </row>
    <row r="78" spans="1:7" ht="12.75" x14ac:dyDescent="0.2">
      <c r="A78" s="18"/>
      <c r="B78" s="19"/>
      <c r="C78" s="14"/>
      <c r="D78" s="22"/>
      <c r="E78" s="51"/>
      <c r="F78" s="57"/>
      <c r="G78" s="23"/>
    </row>
    <row r="79" spans="1:7" ht="12.75" x14ac:dyDescent="0.2">
      <c r="A79" s="1"/>
      <c r="B79" s="2"/>
      <c r="C79" s="8" t="s">
        <v>113</v>
      </c>
      <c r="D79" s="9"/>
      <c r="E79" s="48"/>
      <c r="F79" s="54"/>
      <c r="G79" s="10"/>
    </row>
    <row r="80" spans="1:7" ht="12.75" x14ac:dyDescent="0.2">
      <c r="A80" s="1"/>
      <c r="B80" s="2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1"/>
      <c r="B81" s="2"/>
      <c r="C81" s="14"/>
      <c r="D81" s="4"/>
      <c r="E81" s="47"/>
      <c r="F81" s="53"/>
      <c r="G81" s="5"/>
    </row>
    <row r="82" spans="1:7" ht="12.75" x14ac:dyDescent="0.2">
      <c r="A82" s="1"/>
      <c r="B82" s="2"/>
      <c r="C82" s="8" t="s">
        <v>114</v>
      </c>
      <c r="D82" s="9"/>
      <c r="E82" s="48"/>
      <c r="F82" s="54"/>
      <c r="G82" s="10"/>
    </row>
    <row r="83" spans="1:7" ht="12.75" x14ac:dyDescent="0.2">
      <c r="A83" s="1"/>
      <c r="B83" s="2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1"/>
      <c r="B84" s="2"/>
      <c r="C84" s="14"/>
      <c r="D84" s="4"/>
      <c r="E84" s="47"/>
      <c r="F84" s="53"/>
      <c r="G84" s="5"/>
    </row>
    <row r="85" spans="1:7" ht="12.75" x14ac:dyDescent="0.2">
      <c r="A85" s="1"/>
      <c r="B85" s="2"/>
      <c r="C85" s="8" t="s">
        <v>115</v>
      </c>
      <c r="D85" s="9"/>
      <c r="E85" s="48"/>
      <c r="F85" s="54"/>
      <c r="G85" s="10"/>
    </row>
    <row r="86" spans="1:7" ht="12.75" x14ac:dyDescent="0.2">
      <c r="A86" s="1"/>
      <c r="B86" s="2"/>
      <c r="C86" s="8" t="s">
        <v>108</v>
      </c>
      <c r="D86" s="12"/>
      <c r="E86" s="49"/>
      <c r="F86" s="55">
        <v>0</v>
      </c>
      <c r="G86" s="13">
        <v>0</v>
      </c>
    </row>
    <row r="87" spans="1:7" ht="12.75" x14ac:dyDescent="0.2">
      <c r="A87" s="1"/>
      <c r="B87" s="2"/>
      <c r="C87" s="14"/>
      <c r="D87" s="4"/>
      <c r="E87" s="47"/>
      <c r="F87" s="53"/>
      <c r="G87" s="5"/>
    </row>
    <row r="88" spans="1:7" ht="25.5" x14ac:dyDescent="0.2">
      <c r="A88" s="6"/>
      <c r="B88" s="7"/>
      <c r="C88" s="24" t="s">
        <v>116</v>
      </c>
      <c r="D88" s="25"/>
      <c r="E88" s="49"/>
      <c r="F88" s="55">
        <v>10120.721896000003</v>
      </c>
      <c r="G88" s="13">
        <v>0.98511036799999996</v>
      </c>
    </row>
    <row r="89" spans="1:7" ht="12.75" x14ac:dyDescent="0.2">
      <c r="A89" s="1"/>
      <c r="B89" s="2"/>
      <c r="C89" s="11"/>
      <c r="D89" s="4"/>
      <c r="E89" s="47"/>
      <c r="F89" s="53"/>
      <c r="G89" s="5"/>
    </row>
    <row r="90" spans="1:7" ht="12.75" x14ac:dyDescent="0.2">
      <c r="A90" s="1"/>
      <c r="B90" s="2"/>
      <c r="C90" s="3" t="s">
        <v>117</v>
      </c>
      <c r="D90" s="4"/>
      <c r="E90" s="47"/>
      <c r="F90" s="53"/>
      <c r="G90" s="5"/>
    </row>
    <row r="91" spans="1:7" ht="25.5" x14ac:dyDescent="0.2">
      <c r="A91" s="1"/>
      <c r="B91" s="2"/>
      <c r="C91" s="8" t="s">
        <v>10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12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4"/>
      <c r="E93" s="47"/>
      <c r="F93" s="53"/>
      <c r="G93" s="5"/>
    </row>
    <row r="94" spans="1:7" ht="12.75" x14ac:dyDescent="0.2">
      <c r="A94" s="1"/>
      <c r="B94" s="26"/>
      <c r="C94" s="8" t="s">
        <v>118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12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4"/>
      <c r="E96" s="47"/>
      <c r="F96" s="59"/>
      <c r="G96" s="28"/>
    </row>
    <row r="97" spans="1:7" ht="12.75" x14ac:dyDescent="0.2">
      <c r="A97" s="1"/>
      <c r="B97" s="2"/>
      <c r="C97" s="8" t="s">
        <v>119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12"/>
      <c r="E98" s="49"/>
      <c r="F98" s="55">
        <v>0</v>
      </c>
      <c r="G98" s="13">
        <v>0</v>
      </c>
    </row>
    <row r="99" spans="1:7" ht="12.75" x14ac:dyDescent="0.2">
      <c r="A99" s="1"/>
      <c r="B99" s="2"/>
      <c r="C99" s="14"/>
      <c r="D99" s="4"/>
      <c r="E99" s="47"/>
      <c r="F99" s="53"/>
      <c r="G99" s="5"/>
    </row>
    <row r="100" spans="1:7" ht="25.5" x14ac:dyDescent="0.2">
      <c r="A100" s="1"/>
      <c r="B100" s="26"/>
      <c r="C100" s="8" t="s">
        <v>120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12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4"/>
      <c r="D102" s="4"/>
      <c r="E102" s="47"/>
      <c r="F102" s="53"/>
      <c r="G102" s="5"/>
    </row>
    <row r="103" spans="1:7" ht="12.75" x14ac:dyDescent="0.2">
      <c r="A103" s="6"/>
      <c r="B103" s="7"/>
      <c r="C103" s="29" t="s">
        <v>121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1"/>
      <c r="D104" s="4"/>
      <c r="E104" s="47"/>
      <c r="F104" s="53"/>
      <c r="G104" s="5"/>
    </row>
    <row r="105" spans="1:7" ht="12.75" x14ac:dyDescent="0.2">
      <c r="A105" s="1"/>
      <c r="B105" s="2"/>
      <c r="C105" s="3" t="s">
        <v>122</v>
      </c>
      <c r="D105" s="4"/>
      <c r="E105" s="47"/>
      <c r="F105" s="53"/>
      <c r="G105" s="5"/>
    </row>
    <row r="106" spans="1:7" ht="12.75" x14ac:dyDescent="0.2">
      <c r="A106" s="6"/>
      <c r="B106" s="7"/>
      <c r="C106" s="8" t="s">
        <v>123</v>
      </c>
      <c r="D106" s="9"/>
      <c r="E106" s="48"/>
      <c r="F106" s="54"/>
      <c r="G106" s="10"/>
    </row>
    <row r="107" spans="1:7" ht="12.75" x14ac:dyDescent="0.2">
      <c r="A107" s="6"/>
      <c r="B107" s="7"/>
      <c r="C107" s="8" t="s">
        <v>108</v>
      </c>
      <c r="D107" s="25"/>
      <c r="E107" s="49"/>
      <c r="F107" s="55">
        <v>0</v>
      </c>
      <c r="G107" s="13">
        <v>0</v>
      </c>
    </row>
    <row r="108" spans="1:7" ht="12.75" x14ac:dyDescent="0.2">
      <c r="A108" s="6"/>
      <c r="B108" s="7"/>
      <c r="C108" s="14"/>
      <c r="D108" s="7"/>
      <c r="E108" s="47"/>
      <c r="F108" s="53"/>
      <c r="G108" s="5"/>
    </row>
    <row r="109" spans="1:7" ht="12.75" x14ac:dyDescent="0.2">
      <c r="A109" s="6"/>
      <c r="B109" s="7"/>
      <c r="C109" s="8" t="s">
        <v>124</v>
      </c>
      <c r="D109" s="9"/>
      <c r="E109" s="48"/>
      <c r="F109" s="54"/>
      <c r="G109" s="10"/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0</v>
      </c>
      <c r="G110" s="13">
        <v>0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12.75" x14ac:dyDescent="0.2">
      <c r="A112" s="6"/>
      <c r="B112" s="7"/>
      <c r="C112" s="8" t="s">
        <v>125</v>
      </c>
      <c r="D112" s="9"/>
      <c r="E112" s="48"/>
      <c r="F112" s="54"/>
      <c r="G112" s="10"/>
    </row>
    <row r="113" spans="1:7" ht="12.75" x14ac:dyDescent="0.2">
      <c r="A113" s="6"/>
      <c r="B113" s="7"/>
      <c r="C113" s="8" t="s">
        <v>108</v>
      </c>
      <c r="D113" s="25"/>
      <c r="E113" s="49"/>
      <c r="F113" s="55">
        <v>0</v>
      </c>
      <c r="G113" s="13">
        <v>0</v>
      </c>
    </row>
    <row r="114" spans="1:7" ht="12.75" x14ac:dyDescent="0.2">
      <c r="A114" s="6"/>
      <c r="B114" s="7"/>
      <c r="C114" s="14"/>
      <c r="D114" s="7"/>
      <c r="E114" s="47"/>
      <c r="F114" s="53"/>
      <c r="G114" s="5"/>
    </row>
    <row r="115" spans="1:7" ht="12.75" x14ac:dyDescent="0.2">
      <c r="A115" s="6"/>
      <c r="B115" s="7"/>
      <c r="C115" s="8" t="s">
        <v>126</v>
      </c>
      <c r="D115" s="9"/>
      <c r="E115" s="48"/>
      <c r="F115" s="54"/>
      <c r="G115" s="10"/>
    </row>
    <row r="116" spans="1:7" ht="12.75" x14ac:dyDescent="0.2">
      <c r="A116" s="6">
        <v>1</v>
      </c>
      <c r="B116" s="7"/>
      <c r="C116" s="11" t="s">
        <v>812</v>
      </c>
      <c r="D116" s="15"/>
      <c r="E116" s="47"/>
      <c r="F116" s="53">
        <v>160.97883010000001</v>
      </c>
      <c r="G116" s="5">
        <v>1.5669031999999999E-2</v>
      </c>
    </row>
    <row r="117" spans="1:7" ht="12.75" x14ac:dyDescent="0.2">
      <c r="A117" s="6"/>
      <c r="B117" s="7"/>
      <c r="C117" s="8" t="s">
        <v>108</v>
      </c>
      <c r="D117" s="25"/>
      <c r="E117" s="49"/>
      <c r="F117" s="55">
        <v>160.97883010000001</v>
      </c>
      <c r="G117" s="13">
        <v>1.5669031999999999E-2</v>
      </c>
    </row>
    <row r="118" spans="1:7" ht="12.75" x14ac:dyDescent="0.2">
      <c r="A118" s="6"/>
      <c r="B118" s="7"/>
      <c r="C118" s="14"/>
      <c r="D118" s="7"/>
      <c r="E118" s="47"/>
      <c r="F118" s="53"/>
      <c r="G118" s="5"/>
    </row>
    <row r="119" spans="1:7" ht="25.5" x14ac:dyDescent="0.2">
      <c r="A119" s="6"/>
      <c r="B119" s="7"/>
      <c r="C119" s="24" t="s">
        <v>127</v>
      </c>
      <c r="D119" s="25"/>
      <c r="E119" s="49"/>
      <c r="F119" s="55">
        <v>160.97883010000001</v>
      </c>
      <c r="G119" s="13">
        <v>1.5669031999999999E-2</v>
      </c>
    </row>
    <row r="120" spans="1:7" ht="12.75" x14ac:dyDescent="0.2">
      <c r="A120" s="6"/>
      <c r="B120" s="7"/>
      <c r="C120" s="30"/>
      <c r="D120" s="7"/>
      <c r="E120" s="47"/>
      <c r="F120" s="53"/>
      <c r="G120" s="5"/>
    </row>
    <row r="121" spans="1:7" ht="12.75" x14ac:dyDescent="0.2">
      <c r="A121" s="1"/>
      <c r="B121" s="2"/>
      <c r="C121" s="3" t="s">
        <v>128</v>
      </c>
      <c r="D121" s="4"/>
      <c r="E121" s="47"/>
      <c r="F121" s="53"/>
      <c r="G121" s="5"/>
    </row>
    <row r="122" spans="1:7" ht="25.5" x14ac:dyDescent="0.2">
      <c r="A122" s="6"/>
      <c r="B122" s="7"/>
      <c r="C122" s="8" t="s">
        <v>129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3"/>
      <c r="G124" s="5"/>
    </row>
    <row r="125" spans="1:7" ht="12.75" x14ac:dyDescent="0.2">
      <c r="A125" s="1"/>
      <c r="B125" s="2"/>
      <c r="C125" s="3" t="s">
        <v>131</v>
      </c>
      <c r="D125" s="4"/>
      <c r="E125" s="47"/>
      <c r="F125" s="53"/>
      <c r="G125" s="5"/>
    </row>
    <row r="126" spans="1:7" ht="25.5" x14ac:dyDescent="0.2">
      <c r="A126" s="6"/>
      <c r="B126" s="7"/>
      <c r="C126" s="8" t="s">
        <v>132</v>
      </c>
      <c r="D126" s="9"/>
      <c r="E126" s="48"/>
      <c r="F126" s="54"/>
      <c r="G126" s="10"/>
    </row>
    <row r="127" spans="1:7" ht="12.75" x14ac:dyDescent="0.2">
      <c r="A127" s="6"/>
      <c r="B127" s="7"/>
      <c r="C127" s="8" t="s">
        <v>108</v>
      </c>
      <c r="D127" s="25"/>
      <c r="E127" s="49"/>
      <c r="F127" s="55">
        <v>0</v>
      </c>
      <c r="G127" s="13">
        <v>0</v>
      </c>
    </row>
    <row r="128" spans="1:7" ht="12.75" x14ac:dyDescent="0.2">
      <c r="A128" s="6"/>
      <c r="B128" s="7"/>
      <c r="C128" s="14"/>
      <c r="D128" s="7"/>
      <c r="E128" s="47"/>
      <c r="F128" s="53"/>
      <c r="G128" s="5"/>
    </row>
    <row r="129" spans="1:7" ht="25.5" x14ac:dyDescent="0.2">
      <c r="A129" s="6"/>
      <c r="B129" s="7"/>
      <c r="C129" s="8" t="s">
        <v>133</v>
      </c>
      <c r="D129" s="9"/>
      <c r="E129" s="48"/>
      <c r="F129" s="54"/>
      <c r="G129" s="10"/>
    </row>
    <row r="130" spans="1:7" ht="12.75" x14ac:dyDescent="0.2">
      <c r="A130" s="6"/>
      <c r="B130" s="7"/>
      <c r="C130" s="8" t="s">
        <v>108</v>
      </c>
      <c r="D130" s="25"/>
      <c r="E130" s="49"/>
      <c r="F130" s="55">
        <v>0</v>
      </c>
      <c r="G130" s="13">
        <v>0</v>
      </c>
    </row>
    <row r="131" spans="1:7" ht="12.75" x14ac:dyDescent="0.2">
      <c r="A131" s="6"/>
      <c r="B131" s="7"/>
      <c r="C131" s="14"/>
      <c r="D131" s="7"/>
      <c r="E131" s="47"/>
      <c r="F131" s="59"/>
      <c r="G131" s="28"/>
    </row>
    <row r="132" spans="1:7" ht="25.5" x14ac:dyDescent="0.2">
      <c r="A132" s="6"/>
      <c r="B132" s="7"/>
      <c r="C132" s="30" t="s">
        <v>134</v>
      </c>
      <c r="D132" s="7"/>
      <c r="E132" s="47"/>
      <c r="F132" s="128">
        <v>-8.0072933099999997</v>
      </c>
      <c r="G132" s="137">
        <v>-7.7939772705729624E-4</v>
      </c>
    </row>
    <row r="133" spans="1:7" ht="12.75" x14ac:dyDescent="0.2">
      <c r="A133" s="6"/>
      <c r="B133" s="7"/>
      <c r="C133" s="31" t="s">
        <v>135</v>
      </c>
      <c r="D133" s="12"/>
      <c r="E133" s="49"/>
      <c r="F133" s="55">
        <v>10273.693432790003</v>
      </c>
      <c r="G133" s="13">
        <v>1.0000000019999999</v>
      </c>
    </row>
    <row r="135" spans="1:7" ht="12.75" x14ac:dyDescent="0.2">
      <c r="B135" s="179"/>
      <c r="C135" s="179"/>
      <c r="D135" s="179"/>
      <c r="E135" s="179"/>
      <c r="F135" s="179"/>
    </row>
    <row r="136" spans="1:7" ht="12.75" x14ac:dyDescent="0.2">
      <c r="B136" s="179"/>
      <c r="C136" s="179"/>
      <c r="D136" s="179"/>
      <c r="E136" s="179"/>
      <c r="F136" s="179"/>
    </row>
    <row r="138" spans="1:7" ht="12.75" x14ac:dyDescent="0.2">
      <c r="B138" s="37" t="s">
        <v>137</v>
      </c>
      <c r="C138" s="38"/>
      <c r="D138" s="39"/>
    </row>
    <row r="139" spans="1:7" ht="12.75" x14ac:dyDescent="0.2">
      <c r="B139" s="40" t="s">
        <v>808</v>
      </c>
      <c r="C139" s="41"/>
      <c r="D139" s="65" t="s">
        <v>138</v>
      </c>
    </row>
    <row r="140" spans="1:7" ht="12.75" x14ac:dyDescent="0.2">
      <c r="B140" s="40" t="s">
        <v>139</v>
      </c>
      <c r="C140" s="41"/>
      <c r="D140" s="65" t="s">
        <v>138</v>
      </c>
    </row>
    <row r="141" spans="1:7" ht="12.75" x14ac:dyDescent="0.2">
      <c r="B141" s="42" t="s">
        <v>140</v>
      </c>
      <c r="C141" s="41"/>
      <c r="D141" s="43"/>
    </row>
    <row r="142" spans="1:7" ht="25.5" customHeight="1" x14ac:dyDescent="0.2">
      <c r="B142" s="43"/>
      <c r="C142" s="33" t="s">
        <v>141</v>
      </c>
      <c r="D142" s="34" t="s">
        <v>142</v>
      </c>
    </row>
    <row r="143" spans="1:7" ht="12.75" customHeight="1" x14ac:dyDescent="0.2">
      <c r="B143" s="60" t="s">
        <v>143</v>
      </c>
      <c r="C143" s="61" t="s">
        <v>144</v>
      </c>
      <c r="D143" s="61" t="s">
        <v>145</v>
      </c>
    </row>
    <row r="144" spans="1:7" ht="12.75" x14ac:dyDescent="0.2">
      <c r="B144" s="43" t="s">
        <v>146</v>
      </c>
      <c r="C144" s="44">
        <v>9.1872000000000007</v>
      </c>
      <c r="D144" s="44">
        <v>9.4943000000000008</v>
      </c>
    </row>
    <row r="145" spans="2:4" ht="12.75" x14ac:dyDescent="0.2">
      <c r="B145" s="43" t="s">
        <v>147</v>
      </c>
      <c r="C145" s="44">
        <v>9.1872000000000007</v>
      </c>
      <c r="D145" s="44">
        <v>9.4943000000000008</v>
      </c>
    </row>
    <row r="146" spans="2:4" ht="12.75" x14ac:dyDescent="0.2">
      <c r="B146" s="43" t="s">
        <v>148</v>
      </c>
      <c r="C146" s="44">
        <v>9.0409000000000006</v>
      </c>
      <c r="D146" s="44">
        <v>9.3384999999999998</v>
      </c>
    </row>
    <row r="147" spans="2:4" ht="12.75" x14ac:dyDescent="0.2">
      <c r="B147" s="43" t="s">
        <v>149</v>
      </c>
      <c r="C147" s="44">
        <v>9.0409000000000006</v>
      </c>
      <c r="D147" s="44">
        <v>9.3384999999999998</v>
      </c>
    </row>
    <row r="149" spans="2:4" ht="12.75" x14ac:dyDescent="0.2">
      <c r="B149" s="62" t="s">
        <v>150</v>
      </c>
      <c r="C149" s="45"/>
      <c r="D149" s="63" t="s">
        <v>138</v>
      </c>
    </row>
    <row r="150" spans="2:4" ht="24.75" customHeight="1" x14ac:dyDescent="0.2">
      <c r="B150" s="64"/>
      <c r="C150" s="64"/>
    </row>
    <row r="151" spans="2:4" ht="15" x14ac:dyDescent="0.25">
      <c r="B151" s="66"/>
      <c r="C151" s="68"/>
      <c r="D151"/>
    </row>
    <row r="153" spans="2:4" ht="12.75" x14ac:dyDescent="0.2">
      <c r="B153" s="42" t="s">
        <v>151</v>
      </c>
      <c r="C153" s="41"/>
      <c r="D153" s="67" t="s">
        <v>138</v>
      </c>
    </row>
    <row r="154" spans="2:4" ht="12.75" x14ac:dyDescent="0.2">
      <c r="B154" s="42" t="s">
        <v>152</v>
      </c>
      <c r="C154" s="41"/>
      <c r="D154" s="67" t="s">
        <v>138</v>
      </c>
    </row>
    <row r="155" spans="2:4" ht="12.75" x14ac:dyDescent="0.2">
      <c r="B155" s="42" t="s">
        <v>153</v>
      </c>
      <c r="C155" s="41"/>
      <c r="D155" s="46">
        <v>0.10043134894478553</v>
      </c>
    </row>
    <row r="156" spans="2:4" ht="12.75" x14ac:dyDescent="0.2">
      <c r="B156" s="42" t="s">
        <v>154</v>
      </c>
      <c r="C156" s="41"/>
      <c r="D156" s="46" t="s">
        <v>138</v>
      </c>
    </row>
  </sheetData>
  <mergeCells count="5">
    <mergeCell ref="A1:G1"/>
    <mergeCell ref="A2:G2"/>
    <mergeCell ref="A3:G3"/>
    <mergeCell ref="B135:F135"/>
    <mergeCell ref="B136:F13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54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482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23</v>
      </c>
      <c r="C7" s="11" t="s">
        <v>24</v>
      </c>
      <c r="D7" s="2" t="s">
        <v>22</v>
      </c>
      <c r="E7" s="47">
        <v>23072</v>
      </c>
      <c r="F7" s="53">
        <v>138.743472</v>
      </c>
      <c r="G7" s="5">
        <v>3.6079001999999999E-2</v>
      </c>
    </row>
    <row r="8" spans="1:7" ht="25.5" x14ac:dyDescent="0.2">
      <c r="A8" s="6">
        <v>2</v>
      </c>
      <c r="B8" s="7" t="s">
        <v>156</v>
      </c>
      <c r="C8" s="11" t="s">
        <v>157</v>
      </c>
      <c r="D8" s="2" t="s">
        <v>158</v>
      </c>
      <c r="E8" s="47">
        <v>15016</v>
      </c>
      <c r="F8" s="53">
        <v>134.76859999999999</v>
      </c>
      <c r="G8" s="5">
        <v>3.5045371999999998E-2</v>
      </c>
    </row>
    <row r="9" spans="1:7" ht="12.75" x14ac:dyDescent="0.2">
      <c r="A9" s="6">
        <v>3</v>
      </c>
      <c r="B9" s="7" t="s">
        <v>455</v>
      </c>
      <c r="C9" s="11" t="s">
        <v>456</v>
      </c>
      <c r="D9" s="2" t="s">
        <v>72</v>
      </c>
      <c r="E9" s="47">
        <v>21064</v>
      </c>
      <c r="F9" s="53">
        <v>134.419916</v>
      </c>
      <c r="G9" s="5">
        <v>3.4954699999999998E-2</v>
      </c>
    </row>
    <row r="10" spans="1:7" ht="12.75" x14ac:dyDescent="0.2">
      <c r="A10" s="6">
        <v>4</v>
      </c>
      <c r="B10" s="7" t="s">
        <v>51</v>
      </c>
      <c r="C10" s="11" t="s">
        <v>52</v>
      </c>
      <c r="D10" s="2" t="s">
        <v>19</v>
      </c>
      <c r="E10" s="47">
        <v>11874</v>
      </c>
      <c r="F10" s="53">
        <v>132.63851700000001</v>
      </c>
      <c r="G10" s="5">
        <v>3.4491463E-2</v>
      </c>
    </row>
    <row r="11" spans="1:7" ht="12.75" x14ac:dyDescent="0.2">
      <c r="A11" s="6">
        <v>5</v>
      </c>
      <c r="B11" s="7" t="s">
        <v>457</v>
      </c>
      <c r="C11" s="11" t="s">
        <v>458</v>
      </c>
      <c r="D11" s="2" t="s">
        <v>192</v>
      </c>
      <c r="E11" s="47">
        <v>16731</v>
      </c>
      <c r="F11" s="53">
        <v>126.5616495</v>
      </c>
      <c r="G11" s="5">
        <v>3.2911228000000001E-2</v>
      </c>
    </row>
    <row r="12" spans="1:7" ht="25.5" x14ac:dyDescent="0.2">
      <c r="A12" s="6">
        <v>6</v>
      </c>
      <c r="B12" s="7" t="s">
        <v>55</v>
      </c>
      <c r="C12" s="11" t="s">
        <v>56</v>
      </c>
      <c r="D12" s="2" t="s">
        <v>22</v>
      </c>
      <c r="E12" s="47">
        <v>20167</v>
      </c>
      <c r="F12" s="53">
        <v>119.07605150000001</v>
      </c>
      <c r="G12" s="5">
        <v>3.0964664999999999E-2</v>
      </c>
    </row>
    <row r="13" spans="1:7" ht="25.5" x14ac:dyDescent="0.2">
      <c r="A13" s="6">
        <v>7</v>
      </c>
      <c r="B13" s="7" t="s">
        <v>186</v>
      </c>
      <c r="C13" s="11" t="s">
        <v>187</v>
      </c>
      <c r="D13" s="2" t="s">
        <v>183</v>
      </c>
      <c r="E13" s="47">
        <v>20735</v>
      </c>
      <c r="F13" s="53">
        <v>117.73333</v>
      </c>
      <c r="G13" s="5">
        <v>3.0615501999999999E-2</v>
      </c>
    </row>
    <row r="14" spans="1:7" ht="12.75" x14ac:dyDescent="0.2">
      <c r="A14" s="6">
        <v>8</v>
      </c>
      <c r="B14" s="7" t="s">
        <v>250</v>
      </c>
      <c r="C14" s="11" t="s">
        <v>251</v>
      </c>
      <c r="D14" s="2" t="s">
        <v>168</v>
      </c>
      <c r="E14" s="47">
        <v>26563</v>
      </c>
      <c r="F14" s="53">
        <v>105.826992</v>
      </c>
      <c r="G14" s="5">
        <v>2.7519365E-2</v>
      </c>
    </row>
    <row r="15" spans="1:7" ht="25.5" x14ac:dyDescent="0.2">
      <c r="A15" s="6">
        <v>9</v>
      </c>
      <c r="B15" s="7" t="s">
        <v>161</v>
      </c>
      <c r="C15" s="11" t="s">
        <v>162</v>
      </c>
      <c r="D15" s="2" t="s">
        <v>163</v>
      </c>
      <c r="E15" s="47">
        <v>28633</v>
      </c>
      <c r="F15" s="53">
        <v>104.42455099999999</v>
      </c>
      <c r="G15" s="5">
        <v>2.7154673000000001E-2</v>
      </c>
    </row>
    <row r="16" spans="1:7" ht="25.5" x14ac:dyDescent="0.2">
      <c r="A16" s="6">
        <v>10</v>
      </c>
      <c r="B16" s="7" t="s">
        <v>179</v>
      </c>
      <c r="C16" s="11" t="s">
        <v>180</v>
      </c>
      <c r="D16" s="2" t="s">
        <v>22</v>
      </c>
      <c r="E16" s="47">
        <v>31674</v>
      </c>
      <c r="F16" s="53">
        <v>101.07173400000001</v>
      </c>
      <c r="G16" s="5">
        <v>2.6282803E-2</v>
      </c>
    </row>
    <row r="17" spans="1:7" ht="25.5" x14ac:dyDescent="0.2">
      <c r="A17" s="6">
        <v>11</v>
      </c>
      <c r="B17" s="7" t="s">
        <v>188</v>
      </c>
      <c r="C17" s="11" t="s">
        <v>189</v>
      </c>
      <c r="D17" s="2" t="s">
        <v>47</v>
      </c>
      <c r="E17" s="47">
        <v>4500</v>
      </c>
      <c r="F17" s="53">
        <v>95.654250000000005</v>
      </c>
      <c r="G17" s="5">
        <v>2.4874034999999999E-2</v>
      </c>
    </row>
    <row r="18" spans="1:7" ht="25.5" x14ac:dyDescent="0.2">
      <c r="A18" s="6">
        <v>12</v>
      </c>
      <c r="B18" s="7" t="s">
        <v>171</v>
      </c>
      <c r="C18" s="11" t="s">
        <v>172</v>
      </c>
      <c r="D18" s="2" t="s">
        <v>22</v>
      </c>
      <c r="E18" s="47">
        <v>21271</v>
      </c>
      <c r="F18" s="53">
        <v>85.679587999999995</v>
      </c>
      <c r="G18" s="5">
        <v>2.2280213E-2</v>
      </c>
    </row>
    <row r="19" spans="1:7" ht="25.5" x14ac:dyDescent="0.2">
      <c r="A19" s="6">
        <v>13</v>
      </c>
      <c r="B19" s="7" t="s">
        <v>43</v>
      </c>
      <c r="C19" s="11" t="s">
        <v>44</v>
      </c>
      <c r="D19" s="2" t="s">
        <v>22</v>
      </c>
      <c r="E19" s="47">
        <v>12093</v>
      </c>
      <c r="F19" s="53">
        <v>84.191466000000005</v>
      </c>
      <c r="G19" s="5">
        <v>2.1893240000000001E-2</v>
      </c>
    </row>
    <row r="20" spans="1:7" ht="12.75" x14ac:dyDescent="0.2">
      <c r="A20" s="6">
        <v>14</v>
      </c>
      <c r="B20" s="7" t="s">
        <v>159</v>
      </c>
      <c r="C20" s="11" t="s">
        <v>160</v>
      </c>
      <c r="D20" s="2" t="s">
        <v>19</v>
      </c>
      <c r="E20" s="47">
        <v>42002</v>
      </c>
      <c r="F20" s="53">
        <v>78.585741999999996</v>
      </c>
      <c r="G20" s="5">
        <v>2.0435521000000002E-2</v>
      </c>
    </row>
    <row r="21" spans="1:7" ht="25.5" x14ac:dyDescent="0.2">
      <c r="A21" s="6">
        <v>15</v>
      </c>
      <c r="B21" s="7" t="s">
        <v>169</v>
      </c>
      <c r="C21" s="11" t="s">
        <v>170</v>
      </c>
      <c r="D21" s="2" t="s">
        <v>27</v>
      </c>
      <c r="E21" s="47">
        <v>6562</v>
      </c>
      <c r="F21" s="53">
        <v>78.310907999999998</v>
      </c>
      <c r="G21" s="5">
        <v>2.0364053E-2</v>
      </c>
    </row>
    <row r="22" spans="1:7" ht="25.5" x14ac:dyDescent="0.2">
      <c r="A22" s="6">
        <v>16</v>
      </c>
      <c r="B22" s="7" t="s">
        <v>102</v>
      </c>
      <c r="C22" s="11" t="s">
        <v>103</v>
      </c>
      <c r="D22" s="2" t="s">
        <v>13</v>
      </c>
      <c r="E22" s="47">
        <v>75207</v>
      </c>
      <c r="F22" s="53">
        <v>77.388002999999998</v>
      </c>
      <c r="G22" s="5">
        <v>2.0124059999999999E-2</v>
      </c>
    </row>
    <row r="23" spans="1:7" ht="25.5" x14ac:dyDescent="0.2">
      <c r="A23" s="6">
        <v>17</v>
      </c>
      <c r="B23" s="7" t="s">
        <v>45</v>
      </c>
      <c r="C23" s="11" t="s">
        <v>46</v>
      </c>
      <c r="D23" s="2" t="s">
        <v>47</v>
      </c>
      <c r="E23" s="47">
        <v>8981</v>
      </c>
      <c r="F23" s="53">
        <v>75.606548500000002</v>
      </c>
      <c r="G23" s="5">
        <v>1.9660809000000001E-2</v>
      </c>
    </row>
    <row r="24" spans="1:7" ht="25.5" x14ac:dyDescent="0.2">
      <c r="A24" s="6">
        <v>18</v>
      </c>
      <c r="B24" s="7" t="s">
        <v>20</v>
      </c>
      <c r="C24" s="11" t="s">
        <v>21</v>
      </c>
      <c r="D24" s="2" t="s">
        <v>22</v>
      </c>
      <c r="E24" s="47">
        <v>8071</v>
      </c>
      <c r="F24" s="53">
        <v>71.912610000000001</v>
      </c>
      <c r="G24" s="5">
        <v>1.8700233E-2</v>
      </c>
    </row>
    <row r="25" spans="1:7" ht="12.75" x14ac:dyDescent="0.2">
      <c r="A25" s="6">
        <v>19</v>
      </c>
      <c r="B25" s="7" t="s">
        <v>459</v>
      </c>
      <c r="C25" s="11" t="s">
        <v>460</v>
      </c>
      <c r="D25" s="2" t="s">
        <v>72</v>
      </c>
      <c r="E25" s="47">
        <v>72439</v>
      </c>
      <c r="F25" s="53">
        <v>67.621806500000005</v>
      </c>
      <c r="G25" s="5">
        <v>1.7584447999999999E-2</v>
      </c>
    </row>
    <row r="26" spans="1:7" ht="25.5" x14ac:dyDescent="0.2">
      <c r="A26" s="6">
        <v>20</v>
      </c>
      <c r="B26" s="7" t="s">
        <v>81</v>
      </c>
      <c r="C26" s="11" t="s">
        <v>82</v>
      </c>
      <c r="D26" s="2" t="s">
        <v>22</v>
      </c>
      <c r="E26" s="47">
        <v>6698</v>
      </c>
      <c r="F26" s="53">
        <v>67.003443000000004</v>
      </c>
      <c r="G26" s="5">
        <v>1.7423648E-2</v>
      </c>
    </row>
    <row r="27" spans="1:7" ht="12.75" x14ac:dyDescent="0.2">
      <c r="A27" s="6">
        <v>21</v>
      </c>
      <c r="B27" s="7" t="s">
        <v>260</v>
      </c>
      <c r="C27" s="11" t="s">
        <v>261</v>
      </c>
      <c r="D27" s="2" t="s">
        <v>242</v>
      </c>
      <c r="E27" s="47">
        <v>7100</v>
      </c>
      <c r="F27" s="53">
        <v>66.814549999999997</v>
      </c>
      <c r="G27" s="5">
        <v>1.7374528E-2</v>
      </c>
    </row>
    <row r="28" spans="1:7" ht="12.75" x14ac:dyDescent="0.2">
      <c r="A28" s="6">
        <v>22</v>
      </c>
      <c r="B28" s="7" t="s">
        <v>308</v>
      </c>
      <c r="C28" s="11" t="s">
        <v>309</v>
      </c>
      <c r="D28" s="2" t="s">
        <v>168</v>
      </c>
      <c r="E28" s="47">
        <v>3172</v>
      </c>
      <c r="F28" s="53">
        <v>66.469260000000006</v>
      </c>
      <c r="G28" s="5">
        <v>1.7284738000000001E-2</v>
      </c>
    </row>
    <row r="29" spans="1:7" ht="12.75" x14ac:dyDescent="0.2">
      <c r="A29" s="6">
        <v>23</v>
      </c>
      <c r="B29" s="7" t="s">
        <v>193</v>
      </c>
      <c r="C29" s="11" t="s">
        <v>194</v>
      </c>
      <c r="D29" s="2" t="s">
        <v>72</v>
      </c>
      <c r="E29" s="47">
        <v>7336</v>
      </c>
      <c r="F29" s="53">
        <v>65.081323999999995</v>
      </c>
      <c r="G29" s="5">
        <v>1.6923818E-2</v>
      </c>
    </row>
    <row r="30" spans="1:7" ht="25.5" x14ac:dyDescent="0.2">
      <c r="A30" s="6">
        <v>24</v>
      </c>
      <c r="B30" s="7" t="s">
        <v>38</v>
      </c>
      <c r="C30" s="11" t="s">
        <v>39</v>
      </c>
      <c r="D30" s="2" t="s">
        <v>40</v>
      </c>
      <c r="E30" s="47">
        <v>15004</v>
      </c>
      <c r="F30" s="53">
        <v>64.727255999999997</v>
      </c>
      <c r="G30" s="5">
        <v>1.6831746000000002E-2</v>
      </c>
    </row>
    <row r="31" spans="1:7" ht="25.5" x14ac:dyDescent="0.2">
      <c r="A31" s="6">
        <v>25</v>
      </c>
      <c r="B31" s="7" t="s">
        <v>83</v>
      </c>
      <c r="C31" s="11" t="s">
        <v>84</v>
      </c>
      <c r="D31" s="2" t="s">
        <v>22</v>
      </c>
      <c r="E31" s="47">
        <v>56106</v>
      </c>
      <c r="F31" s="53">
        <v>61.183593000000002</v>
      </c>
      <c r="G31" s="5">
        <v>1.5910247999999998E-2</v>
      </c>
    </row>
    <row r="32" spans="1:7" ht="12.75" x14ac:dyDescent="0.2">
      <c r="A32" s="6">
        <v>26</v>
      </c>
      <c r="B32" s="7" t="s">
        <v>252</v>
      </c>
      <c r="C32" s="11" t="s">
        <v>253</v>
      </c>
      <c r="D32" s="2" t="s">
        <v>242</v>
      </c>
      <c r="E32" s="47">
        <v>4180</v>
      </c>
      <c r="F32" s="53">
        <v>57.999589999999998</v>
      </c>
      <c r="G32" s="5">
        <v>1.5082276E-2</v>
      </c>
    </row>
    <row r="33" spans="1:7" ht="51" x14ac:dyDescent="0.2">
      <c r="A33" s="6">
        <v>27</v>
      </c>
      <c r="B33" s="7" t="s">
        <v>247</v>
      </c>
      <c r="C33" s="11" t="s">
        <v>248</v>
      </c>
      <c r="D33" s="2" t="s">
        <v>208</v>
      </c>
      <c r="E33" s="47">
        <v>26288</v>
      </c>
      <c r="F33" s="53">
        <v>56.874088</v>
      </c>
      <c r="G33" s="5">
        <v>1.4789599E-2</v>
      </c>
    </row>
    <row r="34" spans="1:7" ht="12.75" x14ac:dyDescent="0.2">
      <c r="A34" s="6">
        <v>28</v>
      </c>
      <c r="B34" s="7" t="s">
        <v>465</v>
      </c>
      <c r="C34" s="11" t="s">
        <v>466</v>
      </c>
      <c r="D34" s="2" t="s">
        <v>168</v>
      </c>
      <c r="E34" s="47">
        <v>53554</v>
      </c>
      <c r="F34" s="53">
        <v>55.589052000000002</v>
      </c>
      <c r="G34" s="5">
        <v>1.4455437E-2</v>
      </c>
    </row>
    <row r="35" spans="1:7" ht="25.5" x14ac:dyDescent="0.2">
      <c r="A35" s="6">
        <v>29</v>
      </c>
      <c r="B35" s="7" t="s">
        <v>59</v>
      </c>
      <c r="C35" s="11" t="s">
        <v>60</v>
      </c>
      <c r="D35" s="2" t="s">
        <v>22</v>
      </c>
      <c r="E35" s="47">
        <v>3966</v>
      </c>
      <c r="F35" s="53">
        <v>54.235050000000001</v>
      </c>
      <c r="G35" s="5">
        <v>1.4103341E-2</v>
      </c>
    </row>
    <row r="36" spans="1:7" ht="25.5" x14ac:dyDescent="0.2">
      <c r="A36" s="6">
        <v>30</v>
      </c>
      <c r="B36" s="7" t="s">
        <v>372</v>
      </c>
      <c r="C36" s="11" t="s">
        <v>373</v>
      </c>
      <c r="D36" s="2" t="s">
        <v>22</v>
      </c>
      <c r="E36" s="47">
        <v>16706</v>
      </c>
      <c r="F36" s="53">
        <v>53.567788999999998</v>
      </c>
      <c r="G36" s="5">
        <v>1.3929825999999999E-2</v>
      </c>
    </row>
    <row r="37" spans="1:7" ht="12.75" x14ac:dyDescent="0.2">
      <c r="A37" s="6">
        <v>31</v>
      </c>
      <c r="B37" s="7" t="s">
        <v>184</v>
      </c>
      <c r="C37" s="11" t="s">
        <v>185</v>
      </c>
      <c r="D37" s="2" t="s">
        <v>16</v>
      </c>
      <c r="E37" s="47">
        <v>28457</v>
      </c>
      <c r="F37" s="53">
        <v>51.265285499999997</v>
      </c>
      <c r="G37" s="5">
        <v>1.333108E-2</v>
      </c>
    </row>
    <row r="38" spans="1:7" ht="12.75" x14ac:dyDescent="0.2">
      <c r="A38" s="6">
        <v>32</v>
      </c>
      <c r="B38" s="7" t="s">
        <v>195</v>
      </c>
      <c r="C38" s="11" t="s">
        <v>196</v>
      </c>
      <c r="D38" s="2" t="s">
        <v>197</v>
      </c>
      <c r="E38" s="47">
        <v>37401</v>
      </c>
      <c r="F38" s="53">
        <v>50.023837499999999</v>
      </c>
      <c r="G38" s="5">
        <v>1.3008252999999999E-2</v>
      </c>
    </row>
    <row r="39" spans="1:7" ht="25.5" x14ac:dyDescent="0.2">
      <c r="A39" s="6">
        <v>33</v>
      </c>
      <c r="B39" s="7" t="s">
        <v>461</v>
      </c>
      <c r="C39" s="11" t="s">
        <v>462</v>
      </c>
      <c r="D39" s="2" t="s">
        <v>80</v>
      </c>
      <c r="E39" s="47">
        <v>17113</v>
      </c>
      <c r="F39" s="53">
        <v>49.567804500000001</v>
      </c>
      <c r="G39" s="5">
        <v>1.2889665E-2</v>
      </c>
    </row>
    <row r="40" spans="1:7" ht="25.5" x14ac:dyDescent="0.2">
      <c r="A40" s="6">
        <v>34</v>
      </c>
      <c r="B40" s="7" t="s">
        <v>209</v>
      </c>
      <c r="C40" s="11" t="s">
        <v>210</v>
      </c>
      <c r="D40" s="2" t="s">
        <v>22</v>
      </c>
      <c r="E40" s="47">
        <v>7267</v>
      </c>
      <c r="F40" s="53">
        <v>48.885109</v>
      </c>
      <c r="G40" s="5">
        <v>1.2712137E-2</v>
      </c>
    </row>
    <row r="41" spans="1:7" ht="12.75" x14ac:dyDescent="0.2">
      <c r="A41" s="6">
        <v>35</v>
      </c>
      <c r="B41" s="7" t="s">
        <v>221</v>
      </c>
      <c r="C41" s="11" t="s">
        <v>222</v>
      </c>
      <c r="D41" s="2" t="s">
        <v>223</v>
      </c>
      <c r="E41" s="47">
        <v>10312</v>
      </c>
      <c r="F41" s="53">
        <v>46.785544000000002</v>
      </c>
      <c r="G41" s="5">
        <v>1.2166163000000001E-2</v>
      </c>
    </row>
    <row r="42" spans="1:7" ht="12.75" x14ac:dyDescent="0.2">
      <c r="A42" s="6">
        <v>36</v>
      </c>
      <c r="B42" s="7" t="s">
        <v>470</v>
      </c>
      <c r="C42" s="11" t="s">
        <v>471</v>
      </c>
      <c r="D42" s="2" t="s">
        <v>72</v>
      </c>
      <c r="E42" s="47">
        <v>2935</v>
      </c>
      <c r="F42" s="53">
        <v>46.713459999999998</v>
      </c>
      <c r="G42" s="5">
        <v>1.2147419E-2</v>
      </c>
    </row>
    <row r="43" spans="1:7" ht="25.5" x14ac:dyDescent="0.2">
      <c r="A43" s="6">
        <v>37</v>
      </c>
      <c r="B43" s="7" t="s">
        <v>217</v>
      </c>
      <c r="C43" s="11" t="s">
        <v>218</v>
      </c>
      <c r="D43" s="2" t="s">
        <v>27</v>
      </c>
      <c r="E43" s="47">
        <v>38056</v>
      </c>
      <c r="F43" s="53">
        <v>46.352207999999997</v>
      </c>
      <c r="G43" s="5">
        <v>1.2053477999999999E-2</v>
      </c>
    </row>
    <row r="44" spans="1:7" ht="51" x14ac:dyDescent="0.2">
      <c r="A44" s="6">
        <v>38</v>
      </c>
      <c r="B44" s="7" t="s">
        <v>206</v>
      </c>
      <c r="C44" s="11" t="s">
        <v>207</v>
      </c>
      <c r="D44" s="2" t="s">
        <v>208</v>
      </c>
      <c r="E44" s="47">
        <v>69361</v>
      </c>
      <c r="F44" s="53">
        <v>42.379570999999999</v>
      </c>
      <c r="G44" s="5">
        <v>1.1020429E-2</v>
      </c>
    </row>
    <row r="45" spans="1:7" ht="12.75" x14ac:dyDescent="0.2">
      <c r="A45" s="6">
        <v>39</v>
      </c>
      <c r="B45" s="7" t="s">
        <v>479</v>
      </c>
      <c r="C45" s="11" t="s">
        <v>480</v>
      </c>
      <c r="D45" s="2" t="s">
        <v>226</v>
      </c>
      <c r="E45" s="47">
        <v>35102</v>
      </c>
      <c r="F45" s="53">
        <v>41.788930999999998</v>
      </c>
      <c r="G45" s="5">
        <v>1.0866839E-2</v>
      </c>
    </row>
    <row r="46" spans="1:7" ht="12.75" x14ac:dyDescent="0.2">
      <c r="A46" s="6">
        <v>40</v>
      </c>
      <c r="B46" s="7" t="s">
        <v>204</v>
      </c>
      <c r="C46" s="11" t="s">
        <v>205</v>
      </c>
      <c r="D46" s="2" t="s">
        <v>72</v>
      </c>
      <c r="E46" s="47">
        <v>15138</v>
      </c>
      <c r="F46" s="53">
        <v>41.304032999999997</v>
      </c>
      <c r="G46" s="5">
        <v>1.0740744999999999E-2</v>
      </c>
    </row>
    <row r="47" spans="1:7" ht="12.75" x14ac:dyDescent="0.2">
      <c r="A47" s="6">
        <v>41</v>
      </c>
      <c r="B47" s="7" t="s">
        <v>472</v>
      </c>
      <c r="C47" s="11" t="s">
        <v>473</v>
      </c>
      <c r="D47" s="2" t="s">
        <v>168</v>
      </c>
      <c r="E47" s="47">
        <v>12045</v>
      </c>
      <c r="F47" s="53">
        <v>41.290260000000004</v>
      </c>
      <c r="G47" s="5">
        <v>1.0737164E-2</v>
      </c>
    </row>
    <row r="48" spans="1:7" ht="25.5" x14ac:dyDescent="0.2">
      <c r="A48" s="6">
        <v>42</v>
      </c>
      <c r="B48" s="7" t="s">
        <v>181</v>
      </c>
      <c r="C48" s="11" t="s">
        <v>182</v>
      </c>
      <c r="D48" s="2" t="s">
        <v>183</v>
      </c>
      <c r="E48" s="47">
        <v>33136</v>
      </c>
      <c r="F48" s="53">
        <v>39.365568000000003</v>
      </c>
      <c r="G48" s="5">
        <v>1.0236665000000001E-2</v>
      </c>
    </row>
    <row r="49" spans="1:7" ht="25.5" x14ac:dyDescent="0.2">
      <c r="A49" s="6">
        <v>43</v>
      </c>
      <c r="B49" s="7" t="s">
        <v>73</v>
      </c>
      <c r="C49" s="11" t="s">
        <v>74</v>
      </c>
      <c r="D49" s="2" t="s">
        <v>22</v>
      </c>
      <c r="E49" s="47">
        <v>5897</v>
      </c>
      <c r="F49" s="53">
        <v>38.643040999999997</v>
      </c>
      <c r="G49" s="5">
        <v>1.0048778E-2</v>
      </c>
    </row>
    <row r="50" spans="1:7" ht="12.75" x14ac:dyDescent="0.2">
      <c r="A50" s="6">
        <v>44</v>
      </c>
      <c r="B50" s="7" t="s">
        <v>262</v>
      </c>
      <c r="C50" s="11" t="s">
        <v>263</v>
      </c>
      <c r="D50" s="2" t="s">
        <v>242</v>
      </c>
      <c r="E50" s="47">
        <v>42159</v>
      </c>
      <c r="F50" s="53">
        <v>38.406849000000001</v>
      </c>
      <c r="G50" s="5">
        <v>9.9873589999999995E-3</v>
      </c>
    </row>
    <row r="51" spans="1:7" ht="12.75" x14ac:dyDescent="0.2">
      <c r="A51" s="6">
        <v>45</v>
      </c>
      <c r="B51" s="7" t="s">
        <v>211</v>
      </c>
      <c r="C51" s="11" t="s">
        <v>212</v>
      </c>
      <c r="D51" s="2" t="s">
        <v>72</v>
      </c>
      <c r="E51" s="47">
        <v>127060</v>
      </c>
      <c r="F51" s="53">
        <v>37.736820000000002</v>
      </c>
      <c r="G51" s="5">
        <v>9.813123E-3</v>
      </c>
    </row>
    <row r="52" spans="1:7" ht="12.75" x14ac:dyDescent="0.2">
      <c r="A52" s="6">
        <v>46</v>
      </c>
      <c r="B52" s="7" t="s">
        <v>166</v>
      </c>
      <c r="C52" s="11" t="s">
        <v>167</v>
      </c>
      <c r="D52" s="2" t="s">
        <v>168</v>
      </c>
      <c r="E52" s="47">
        <v>14339</v>
      </c>
      <c r="F52" s="53">
        <v>36.614636500000003</v>
      </c>
      <c r="G52" s="5">
        <v>9.5213099999999998E-3</v>
      </c>
    </row>
    <row r="53" spans="1:7" ht="12.75" x14ac:dyDescent="0.2">
      <c r="A53" s="6">
        <v>47</v>
      </c>
      <c r="B53" s="7" t="s">
        <v>190</v>
      </c>
      <c r="C53" s="11" t="s">
        <v>191</v>
      </c>
      <c r="D53" s="2" t="s">
        <v>192</v>
      </c>
      <c r="E53" s="47">
        <v>23684</v>
      </c>
      <c r="F53" s="53">
        <v>36.485202000000001</v>
      </c>
      <c r="G53" s="5">
        <v>9.4876509999999997E-3</v>
      </c>
    </row>
    <row r="54" spans="1:7" ht="12.75" x14ac:dyDescent="0.2">
      <c r="A54" s="6">
        <v>48</v>
      </c>
      <c r="B54" s="7" t="s">
        <v>463</v>
      </c>
      <c r="C54" s="11" t="s">
        <v>464</v>
      </c>
      <c r="D54" s="2" t="s">
        <v>192</v>
      </c>
      <c r="E54" s="47">
        <v>6177</v>
      </c>
      <c r="F54" s="53">
        <v>35.842042499999998</v>
      </c>
      <c r="G54" s="5">
        <v>9.3204029999999997E-3</v>
      </c>
    </row>
    <row r="55" spans="1:7" ht="12.75" x14ac:dyDescent="0.2">
      <c r="A55" s="6">
        <v>49</v>
      </c>
      <c r="B55" s="7" t="s">
        <v>254</v>
      </c>
      <c r="C55" s="11" t="s">
        <v>255</v>
      </c>
      <c r="D55" s="2" t="s">
        <v>168</v>
      </c>
      <c r="E55" s="47">
        <v>12334</v>
      </c>
      <c r="F55" s="53">
        <v>34.159013000000002</v>
      </c>
      <c r="G55" s="5">
        <v>8.8827469999999999E-3</v>
      </c>
    </row>
    <row r="56" spans="1:7" ht="25.5" x14ac:dyDescent="0.2">
      <c r="A56" s="6">
        <v>50</v>
      </c>
      <c r="B56" s="7" t="s">
        <v>475</v>
      </c>
      <c r="C56" s="11" t="s">
        <v>476</v>
      </c>
      <c r="D56" s="2" t="s">
        <v>47</v>
      </c>
      <c r="E56" s="47">
        <v>3665</v>
      </c>
      <c r="F56" s="53">
        <v>33.362495000000003</v>
      </c>
      <c r="G56" s="5">
        <v>8.6756190000000007E-3</v>
      </c>
    </row>
    <row r="57" spans="1:7" ht="25.5" x14ac:dyDescent="0.2">
      <c r="A57" s="6">
        <v>51</v>
      </c>
      <c r="B57" s="7" t="s">
        <v>477</v>
      </c>
      <c r="C57" s="11" t="s">
        <v>478</v>
      </c>
      <c r="D57" s="2" t="s">
        <v>30</v>
      </c>
      <c r="E57" s="47">
        <v>5123</v>
      </c>
      <c r="F57" s="53">
        <v>33.138125500000001</v>
      </c>
      <c r="G57" s="5">
        <v>8.6172739999999994E-3</v>
      </c>
    </row>
    <row r="58" spans="1:7" ht="12.75" x14ac:dyDescent="0.2">
      <c r="A58" s="6">
        <v>52</v>
      </c>
      <c r="B58" s="7" t="s">
        <v>224</v>
      </c>
      <c r="C58" s="11" t="s">
        <v>225</v>
      </c>
      <c r="D58" s="2" t="s">
        <v>226</v>
      </c>
      <c r="E58" s="47">
        <v>29487</v>
      </c>
      <c r="F58" s="53">
        <v>33.099157499999997</v>
      </c>
      <c r="G58" s="5">
        <v>8.6071410000000004E-3</v>
      </c>
    </row>
    <row r="59" spans="1:7" ht="12.75" x14ac:dyDescent="0.2">
      <c r="A59" s="6">
        <v>53</v>
      </c>
      <c r="B59" s="7" t="s">
        <v>219</v>
      </c>
      <c r="C59" s="11" t="s">
        <v>220</v>
      </c>
      <c r="D59" s="2" t="s">
        <v>72</v>
      </c>
      <c r="E59" s="47">
        <v>17500</v>
      </c>
      <c r="F59" s="53">
        <v>33.022500000000001</v>
      </c>
      <c r="G59" s="5">
        <v>8.5872069999999995E-3</v>
      </c>
    </row>
    <row r="60" spans="1:7" ht="51" x14ac:dyDescent="0.2">
      <c r="A60" s="6">
        <v>54</v>
      </c>
      <c r="B60" s="7" t="s">
        <v>294</v>
      </c>
      <c r="C60" s="11" t="s">
        <v>295</v>
      </c>
      <c r="D60" s="2" t="s">
        <v>208</v>
      </c>
      <c r="E60" s="47">
        <v>93287</v>
      </c>
      <c r="F60" s="53">
        <v>32.323945500000001</v>
      </c>
      <c r="G60" s="5">
        <v>8.4055540000000008E-3</v>
      </c>
    </row>
    <row r="61" spans="1:7" ht="25.5" x14ac:dyDescent="0.2">
      <c r="A61" s="6">
        <v>55</v>
      </c>
      <c r="B61" s="7" t="s">
        <v>200</v>
      </c>
      <c r="C61" s="11" t="s">
        <v>201</v>
      </c>
      <c r="D61" s="2" t="s">
        <v>30</v>
      </c>
      <c r="E61" s="47">
        <v>10629</v>
      </c>
      <c r="F61" s="53">
        <v>31.817911500000001</v>
      </c>
      <c r="G61" s="5">
        <v>8.273964E-3</v>
      </c>
    </row>
    <row r="62" spans="1:7" ht="25.5" x14ac:dyDescent="0.2">
      <c r="A62" s="6">
        <v>56</v>
      </c>
      <c r="B62" s="7" t="s">
        <v>231</v>
      </c>
      <c r="C62" s="11" t="s">
        <v>232</v>
      </c>
      <c r="D62" s="2" t="s">
        <v>47</v>
      </c>
      <c r="E62" s="47">
        <v>12026</v>
      </c>
      <c r="F62" s="53">
        <v>30.329571999999999</v>
      </c>
      <c r="G62" s="5">
        <v>7.8869349999999994E-3</v>
      </c>
    </row>
    <row r="63" spans="1:7" ht="25.5" x14ac:dyDescent="0.2">
      <c r="A63" s="6">
        <v>57</v>
      </c>
      <c r="B63" s="7" t="s">
        <v>177</v>
      </c>
      <c r="C63" s="11" t="s">
        <v>178</v>
      </c>
      <c r="D63" s="2" t="s">
        <v>47</v>
      </c>
      <c r="E63" s="47">
        <v>17930</v>
      </c>
      <c r="F63" s="53">
        <v>29.261759999999999</v>
      </c>
      <c r="G63" s="5">
        <v>7.6092599999999996E-3</v>
      </c>
    </row>
    <row r="64" spans="1:7" ht="12.75" x14ac:dyDescent="0.2">
      <c r="A64" s="6">
        <v>58</v>
      </c>
      <c r="B64" s="7" t="s">
        <v>238</v>
      </c>
      <c r="C64" s="11" t="s">
        <v>239</v>
      </c>
      <c r="D64" s="2" t="s">
        <v>72</v>
      </c>
      <c r="E64" s="47">
        <v>52296</v>
      </c>
      <c r="F64" s="53">
        <v>28.004508000000001</v>
      </c>
      <c r="G64" s="5">
        <v>7.2823230000000003E-3</v>
      </c>
    </row>
    <row r="65" spans="1:7" ht="25.5" x14ac:dyDescent="0.2">
      <c r="A65" s="6">
        <v>59</v>
      </c>
      <c r="B65" s="7" t="s">
        <v>215</v>
      </c>
      <c r="C65" s="11" t="s">
        <v>216</v>
      </c>
      <c r="D65" s="2" t="s">
        <v>13</v>
      </c>
      <c r="E65" s="47">
        <v>48269</v>
      </c>
      <c r="F65" s="53">
        <v>27.899481999999999</v>
      </c>
      <c r="G65" s="5">
        <v>7.2550109999999996E-3</v>
      </c>
    </row>
    <row r="66" spans="1:7" ht="12.75" x14ac:dyDescent="0.2">
      <c r="A66" s="6">
        <v>60</v>
      </c>
      <c r="B66" s="7" t="s">
        <v>268</v>
      </c>
      <c r="C66" s="11" t="s">
        <v>269</v>
      </c>
      <c r="D66" s="2" t="s">
        <v>72</v>
      </c>
      <c r="E66" s="47">
        <v>5575</v>
      </c>
      <c r="F66" s="53">
        <v>25.023387499999998</v>
      </c>
      <c r="G66" s="5">
        <v>6.5071089999999996E-3</v>
      </c>
    </row>
    <row r="67" spans="1:7" ht="12.75" x14ac:dyDescent="0.2">
      <c r="A67" s="6">
        <v>61</v>
      </c>
      <c r="B67" s="7" t="s">
        <v>279</v>
      </c>
      <c r="C67" s="11" t="s">
        <v>280</v>
      </c>
      <c r="D67" s="2" t="s">
        <v>281</v>
      </c>
      <c r="E67" s="47">
        <v>2472</v>
      </c>
      <c r="F67" s="53">
        <v>20.007131999999999</v>
      </c>
      <c r="G67" s="5">
        <v>5.2026759999999998E-3</v>
      </c>
    </row>
    <row r="68" spans="1:7" ht="25.5" x14ac:dyDescent="0.2">
      <c r="A68" s="6">
        <v>62</v>
      </c>
      <c r="B68" s="7" t="s">
        <v>243</v>
      </c>
      <c r="C68" s="11" t="s">
        <v>244</v>
      </c>
      <c r="D68" s="2" t="s">
        <v>163</v>
      </c>
      <c r="E68" s="47">
        <v>12612</v>
      </c>
      <c r="F68" s="53">
        <v>7.6870139999999996</v>
      </c>
      <c r="G68" s="5">
        <v>1.9989389999999999E-3</v>
      </c>
    </row>
    <row r="69" spans="1:7" ht="12.75" x14ac:dyDescent="0.2">
      <c r="A69" s="1"/>
      <c r="B69" s="2"/>
      <c r="C69" s="8" t="s">
        <v>108</v>
      </c>
      <c r="D69" s="12"/>
      <c r="E69" s="49"/>
      <c r="F69" s="55">
        <v>3768.346935999999</v>
      </c>
      <c r="G69" s="13">
        <v>0.9799250100000001</v>
      </c>
    </row>
    <row r="70" spans="1:7" ht="12.75" x14ac:dyDescent="0.2">
      <c r="A70" s="6"/>
      <c r="B70" s="7"/>
      <c r="C70" s="14"/>
      <c r="D70" s="15"/>
      <c r="E70" s="47"/>
      <c r="F70" s="53"/>
      <c r="G70" s="5"/>
    </row>
    <row r="71" spans="1:7" ht="12.75" x14ac:dyDescent="0.2">
      <c r="A71" s="1"/>
      <c r="B71" s="2"/>
      <c r="C71" s="8" t="s">
        <v>109</v>
      </c>
      <c r="D71" s="9"/>
      <c r="E71" s="48"/>
      <c r="F71" s="54"/>
      <c r="G71" s="10"/>
    </row>
    <row r="72" spans="1:7" ht="12.75" x14ac:dyDescent="0.2">
      <c r="A72" s="1"/>
      <c r="B72" s="2"/>
      <c r="C72" s="8" t="s">
        <v>108</v>
      </c>
      <c r="D72" s="12"/>
      <c r="E72" s="49"/>
      <c r="F72" s="55">
        <v>0</v>
      </c>
      <c r="G72" s="13">
        <v>0</v>
      </c>
    </row>
    <row r="73" spans="1:7" ht="12.75" x14ac:dyDescent="0.2">
      <c r="A73" s="6"/>
      <c r="B73" s="7"/>
      <c r="C73" s="14"/>
      <c r="D73" s="15"/>
      <c r="E73" s="47"/>
      <c r="F73" s="53"/>
      <c r="G73" s="5"/>
    </row>
    <row r="74" spans="1:7" ht="12.75" x14ac:dyDescent="0.2">
      <c r="A74" s="16"/>
      <c r="B74" s="17"/>
      <c r="C74" s="8" t="s">
        <v>110</v>
      </c>
      <c r="D74" s="9"/>
      <c r="E74" s="48"/>
      <c r="F74" s="54"/>
      <c r="G74" s="10"/>
    </row>
    <row r="75" spans="1:7" ht="12.75" x14ac:dyDescent="0.2">
      <c r="A75" s="18"/>
      <c r="B75" s="19"/>
      <c r="C75" s="8" t="s">
        <v>108</v>
      </c>
      <c r="D75" s="20"/>
      <c r="E75" s="50"/>
      <c r="F75" s="56">
        <v>0</v>
      </c>
      <c r="G75" s="21">
        <v>0</v>
      </c>
    </row>
    <row r="76" spans="1:7" ht="12.75" x14ac:dyDescent="0.2">
      <c r="A76" s="18"/>
      <c r="B76" s="19"/>
      <c r="C76" s="14"/>
      <c r="D76" s="22"/>
      <c r="E76" s="51"/>
      <c r="F76" s="57"/>
      <c r="G76" s="23"/>
    </row>
    <row r="77" spans="1:7" ht="12.75" x14ac:dyDescent="0.2">
      <c r="A77" s="1"/>
      <c r="B77" s="2"/>
      <c r="C77" s="8" t="s">
        <v>113</v>
      </c>
      <c r="D77" s="9"/>
      <c r="E77" s="48"/>
      <c r="F77" s="54"/>
      <c r="G77" s="10"/>
    </row>
    <row r="78" spans="1:7" ht="12.75" x14ac:dyDescent="0.2">
      <c r="A78" s="1"/>
      <c r="B78" s="2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1"/>
      <c r="B79" s="2"/>
      <c r="C79" s="14"/>
      <c r="D79" s="4"/>
      <c r="E79" s="47"/>
      <c r="F79" s="53"/>
      <c r="G79" s="5"/>
    </row>
    <row r="80" spans="1:7" ht="12.75" x14ac:dyDescent="0.2">
      <c r="A80" s="1"/>
      <c r="B80" s="2"/>
      <c r="C80" s="8" t="s">
        <v>114</v>
      </c>
      <c r="D80" s="9"/>
      <c r="E80" s="48"/>
      <c r="F80" s="54"/>
      <c r="G80" s="10"/>
    </row>
    <row r="81" spans="1:7" ht="12.75" x14ac:dyDescent="0.2">
      <c r="A81" s="1"/>
      <c r="B81" s="2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1"/>
      <c r="B82" s="2"/>
      <c r="C82" s="14"/>
      <c r="D82" s="4"/>
      <c r="E82" s="47"/>
      <c r="F82" s="53"/>
      <c r="G82" s="5"/>
    </row>
    <row r="83" spans="1:7" ht="12.75" x14ac:dyDescent="0.2">
      <c r="A83" s="1"/>
      <c r="B83" s="2"/>
      <c r="C83" s="8" t="s">
        <v>115</v>
      </c>
      <c r="D83" s="9"/>
      <c r="E83" s="48"/>
      <c r="F83" s="54"/>
      <c r="G83" s="10"/>
    </row>
    <row r="84" spans="1:7" ht="12.75" x14ac:dyDescent="0.2">
      <c r="A84" s="1"/>
      <c r="B84" s="2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1"/>
      <c r="B85" s="2"/>
      <c r="C85" s="14"/>
      <c r="D85" s="4"/>
      <c r="E85" s="47"/>
      <c r="F85" s="53"/>
      <c r="G85" s="5"/>
    </row>
    <row r="86" spans="1:7" ht="25.5" x14ac:dyDescent="0.2">
      <c r="A86" s="6"/>
      <c r="B86" s="7"/>
      <c r="C86" s="24" t="s">
        <v>116</v>
      </c>
      <c r="D86" s="25"/>
      <c r="E86" s="49"/>
      <c r="F86" s="55">
        <v>3768.346935999999</v>
      </c>
      <c r="G86" s="13">
        <v>0.9799250100000001</v>
      </c>
    </row>
    <row r="87" spans="1:7" ht="12.75" x14ac:dyDescent="0.2">
      <c r="A87" s="1"/>
      <c r="B87" s="2"/>
      <c r="C87" s="11"/>
      <c r="D87" s="4"/>
      <c r="E87" s="47"/>
      <c r="F87" s="53"/>
      <c r="G87" s="5"/>
    </row>
    <row r="88" spans="1:7" ht="12.75" x14ac:dyDescent="0.2">
      <c r="A88" s="1"/>
      <c r="B88" s="2"/>
      <c r="C88" s="3" t="s">
        <v>117</v>
      </c>
      <c r="D88" s="4"/>
      <c r="E88" s="47"/>
      <c r="F88" s="53"/>
      <c r="G88" s="5"/>
    </row>
    <row r="89" spans="1:7" ht="25.5" x14ac:dyDescent="0.2">
      <c r="A89" s="1"/>
      <c r="B89" s="2"/>
      <c r="C89" s="8" t="s">
        <v>10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12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4"/>
      <c r="E91" s="47"/>
      <c r="F91" s="53"/>
      <c r="G91" s="5"/>
    </row>
    <row r="92" spans="1:7" ht="12.75" x14ac:dyDescent="0.2">
      <c r="A92" s="1"/>
      <c r="B92" s="26"/>
      <c r="C92" s="8" t="s">
        <v>118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12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4"/>
      <c r="E94" s="47"/>
      <c r="F94" s="59"/>
      <c r="G94" s="28"/>
    </row>
    <row r="95" spans="1:7" ht="12.75" x14ac:dyDescent="0.2">
      <c r="A95" s="1"/>
      <c r="B95" s="2"/>
      <c r="C95" s="8" t="s">
        <v>119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12"/>
      <c r="E96" s="49"/>
      <c r="F96" s="55">
        <v>0</v>
      </c>
      <c r="G96" s="13">
        <v>0</v>
      </c>
    </row>
    <row r="97" spans="1:7" ht="12.75" x14ac:dyDescent="0.2">
      <c r="A97" s="1"/>
      <c r="B97" s="2"/>
      <c r="C97" s="14"/>
      <c r="D97" s="4"/>
      <c r="E97" s="47"/>
      <c r="F97" s="53"/>
      <c r="G97" s="5"/>
    </row>
    <row r="98" spans="1:7" ht="25.5" x14ac:dyDescent="0.2">
      <c r="A98" s="1"/>
      <c r="B98" s="26"/>
      <c r="C98" s="8" t="s">
        <v>120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12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4"/>
      <c r="E100" s="47"/>
      <c r="F100" s="53"/>
      <c r="G100" s="5"/>
    </row>
    <row r="101" spans="1:7" ht="12.75" x14ac:dyDescent="0.2">
      <c r="A101" s="6"/>
      <c r="B101" s="7"/>
      <c r="C101" s="29" t="s">
        <v>121</v>
      </c>
      <c r="D101" s="25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1"/>
      <c r="D102" s="4"/>
      <c r="E102" s="47"/>
      <c r="F102" s="53"/>
      <c r="G102" s="5"/>
    </row>
    <row r="103" spans="1:7" ht="12.75" x14ac:dyDescent="0.2">
      <c r="A103" s="1"/>
      <c r="B103" s="2"/>
      <c r="C103" s="3" t="s">
        <v>122</v>
      </c>
      <c r="D103" s="4"/>
      <c r="E103" s="47"/>
      <c r="F103" s="53"/>
      <c r="G103" s="5"/>
    </row>
    <row r="104" spans="1:7" ht="12.75" x14ac:dyDescent="0.2">
      <c r="A104" s="6"/>
      <c r="B104" s="7"/>
      <c r="C104" s="8" t="s">
        <v>123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6"/>
      <c r="B107" s="7"/>
      <c r="C107" s="8" t="s">
        <v>124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3"/>
      <c r="G109" s="5"/>
    </row>
    <row r="110" spans="1:7" ht="12.75" x14ac:dyDescent="0.2">
      <c r="A110" s="6"/>
      <c r="B110" s="7"/>
      <c r="C110" s="8" t="s">
        <v>125</v>
      </c>
      <c r="D110" s="9"/>
      <c r="E110" s="48"/>
      <c r="F110" s="54"/>
      <c r="G110" s="10"/>
    </row>
    <row r="111" spans="1:7" ht="12.75" x14ac:dyDescent="0.2">
      <c r="A111" s="6"/>
      <c r="B111" s="7"/>
      <c r="C111" s="8" t="s">
        <v>108</v>
      </c>
      <c r="D111" s="25"/>
      <c r="E111" s="49"/>
      <c r="F111" s="55">
        <v>0</v>
      </c>
      <c r="G111" s="13">
        <v>0</v>
      </c>
    </row>
    <row r="112" spans="1:7" ht="12.75" x14ac:dyDescent="0.2">
      <c r="A112" s="6"/>
      <c r="B112" s="7"/>
      <c r="C112" s="14"/>
      <c r="D112" s="7"/>
      <c r="E112" s="47"/>
      <c r="F112" s="53"/>
      <c r="G112" s="5"/>
    </row>
    <row r="113" spans="1:7" ht="12.75" x14ac:dyDescent="0.2">
      <c r="A113" s="6"/>
      <c r="B113" s="7"/>
      <c r="C113" s="8" t="s">
        <v>126</v>
      </c>
      <c r="D113" s="9"/>
      <c r="E113" s="48"/>
      <c r="F113" s="54"/>
      <c r="G113" s="10"/>
    </row>
    <row r="114" spans="1:7" ht="12.75" x14ac:dyDescent="0.2">
      <c r="A114" s="6">
        <v>1</v>
      </c>
      <c r="B114" s="7"/>
      <c r="C114" s="11" t="s">
        <v>812</v>
      </c>
      <c r="D114" s="15"/>
      <c r="E114" s="47"/>
      <c r="F114" s="53">
        <v>77.989743799999999</v>
      </c>
      <c r="G114" s="5">
        <v>2.0280537000000001E-2</v>
      </c>
    </row>
    <row r="115" spans="1:7" ht="12.75" x14ac:dyDescent="0.2">
      <c r="A115" s="6"/>
      <c r="B115" s="7"/>
      <c r="C115" s="8" t="s">
        <v>108</v>
      </c>
      <c r="D115" s="25"/>
      <c r="E115" s="49"/>
      <c r="F115" s="55">
        <v>77.989743799999999</v>
      </c>
      <c r="G115" s="13">
        <v>2.0280537000000001E-2</v>
      </c>
    </row>
    <row r="116" spans="1:7" ht="12.75" x14ac:dyDescent="0.2">
      <c r="A116" s="6"/>
      <c r="B116" s="7"/>
      <c r="C116" s="14"/>
      <c r="D116" s="7"/>
      <c r="E116" s="47"/>
      <c r="F116" s="53"/>
      <c r="G116" s="5"/>
    </row>
    <row r="117" spans="1:7" ht="25.5" x14ac:dyDescent="0.2">
      <c r="A117" s="6"/>
      <c r="B117" s="7"/>
      <c r="C117" s="24" t="s">
        <v>127</v>
      </c>
      <c r="D117" s="25"/>
      <c r="E117" s="49"/>
      <c r="F117" s="55">
        <v>77.989743799999999</v>
      </c>
      <c r="G117" s="13">
        <v>2.0280537000000001E-2</v>
      </c>
    </row>
    <row r="118" spans="1:7" ht="12.75" x14ac:dyDescent="0.2">
      <c r="A118" s="6"/>
      <c r="B118" s="7"/>
      <c r="C118" s="30"/>
      <c r="D118" s="7"/>
      <c r="E118" s="47"/>
      <c r="F118" s="53"/>
      <c r="G118" s="5"/>
    </row>
    <row r="119" spans="1:7" ht="12.75" x14ac:dyDescent="0.2">
      <c r="A119" s="1"/>
      <c r="B119" s="2"/>
      <c r="C119" s="3" t="s">
        <v>128</v>
      </c>
      <c r="D119" s="4"/>
      <c r="E119" s="47"/>
      <c r="F119" s="53"/>
      <c r="G119" s="5"/>
    </row>
    <row r="120" spans="1:7" ht="25.5" x14ac:dyDescent="0.2">
      <c r="A120" s="6"/>
      <c r="B120" s="7"/>
      <c r="C120" s="8" t="s">
        <v>129</v>
      </c>
      <c r="D120" s="9"/>
      <c r="E120" s="48"/>
      <c r="F120" s="54"/>
      <c r="G120" s="10"/>
    </row>
    <row r="121" spans="1:7" ht="12.75" x14ac:dyDescent="0.2">
      <c r="A121" s="6"/>
      <c r="B121" s="7"/>
      <c r="C121" s="8" t="s">
        <v>108</v>
      </c>
      <c r="D121" s="25"/>
      <c r="E121" s="49"/>
      <c r="F121" s="55">
        <v>0</v>
      </c>
      <c r="G121" s="13">
        <v>0</v>
      </c>
    </row>
    <row r="122" spans="1:7" ht="12.75" x14ac:dyDescent="0.2">
      <c r="A122" s="6"/>
      <c r="B122" s="7"/>
      <c r="C122" s="14"/>
      <c r="D122" s="7"/>
      <c r="E122" s="47"/>
      <c r="F122" s="53"/>
      <c r="G122" s="5"/>
    </row>
    <row r="123" spans="1:7" ht="12.75" x14ac:dyDescent="0.2">
      <c r="A123" s="1"/>
      <c r="B123" s="2"/>
      <c r="C123" s="3" t="s">
        <v>131</v>
      </c>
      <c r="D123" s="4"/>
      <c r="E123" s="47"/>
      <c r="F123" s="53"/>
      <c r="G123" s="5"/>
    </row>
    <row r="124" spans="1:7" ht="25.5" x14ac:dyDescent="0.2">
      <c r="A124" s="6"/>
      <c r="B124" s="7"/>
      <c r="C124" s="8" t="s">
        <v>132</v>
      </c>
      <c r="D124" s="9"/>
      <c r="E124" s="48"/>
      <c r="F124" s="54"/>
      <c r="G124" s="10"/>
    </row>
    <row r="125" spans="1:7" ht="12.75" x14ac:dyDescent="0.2">
      <c r="A125" s="6"/>
      <c r="B125" s="7"/>
      <c r="C125" s="8" t="s">
        <v>108</v>
      </c>
      <c r="D125" s="25"/>
      <c r="E125" s="49"/>
      <c r="F125" s="55">
        <v>0</v>
      </c>
      <c r="G125" s="13">
        <v>0</v>
      </c>
    </row>
    <row r="126" spans="1:7" ht="12.75" x14ac:dyDescent="0.2">
      <c r="A126" s="6"/>
      <c r="B126" s="7"/>
      <c r="C126" s="14"/>
      <c r="D126" s="7"/>
      <c r="E126" s="47"/>
      <c r="F126" s="53"/>
      <c r="G126" s="5"/>
    </row>
    <row r="127" spans="1:7" ht="25.5" x14ac:dyDescent="0.2">
      <c r="A127" s="6"/>
      <c r="B127" s="7"/>
      <c r="C127" s="8" t="s">
        <v>133</v>
      </c>
      <c r="D127" s="9"/>
      <c r="E127" s="48"/>
      <c r="F127" s="54"/>
      <c r="G127" s="10"/>
    </row>
    <row r="128" spans="1:7" ht="12.75" x14ac:dyDescent="0.2">
      <c r="A128" s="6"/>
      <c r="B128" s="7"/>
      <c r="C128" s="8" t="s">
        <v>108</v>
      </c>
      <c r="D128" s="25"/>
      <c r="E128" s="49"/>
      <c r="F128" s="55">
        <v>0</v>
      </c>
      <c r="G128" s="13">
        <v>0</v>
      </c>
    </row>
    <row r="129" spans="1:7" ht="12.75" x14ac:dyDescent="0.2">
      <c r="A129" s="6"/>
      <c r="B129" s="7"/>
      <c r="C129" s="14"/>
      <c r="D129" s="7"/>
      <c r="E129" s="47"/>
      <c r="F129" s="59"/>
      <c r="G129" s="28"/>
    </row>
    <row r="130" spans="1:7" ht="25.5" x14ac:dyDescent="0.2">
      <c r="A130" s="6"/>
      <c r="B130" s="7"/>
      <c r="C130" s="30" t="s">
        <v>134</v>
      </c>
      <c r="D130" s="7"/>
      <c r="E130" s="47"/>
      <c r="F130" s="128">
        <v>-0.79043828999999999</v>
      </c>
      <c r="G130" s="137">
        <v>-2.0554642705053654E-4</v>
      </c>
    </row>
    <row r="131" spans="1:7" ht="12.75" x14ac:dyDescent="0.2">
      <c r="A131" s="6"/>
      <c r="B131" s="7"/>
      <c r="C131" s="31" t="s">
        <v>135</v>
      </c>
      <c r="D131" s="12"/>
      <c r="E131" s="49"/>
      <c r="F131" s="55">
        <v>3845.5462415099992</v>
      </c>
      <c r="G131" s="13">
        <v>1.0000000010000003</v>
      </c>
    </row>
    <row r="133" spans="1:7" ht="12.75" x14ac:dyDescent="0.2">
      <c r="B133" s="179"/>
      <c r="C133" s="179"/>
      <c r="D133" s="179"/>
      <c r="E133" s="179"/>
      <c r="F133" s="179"/>
    </row>
    <row r="134" spans="1:7" ht="12.75" x14ac:dyDescent="0.2">
      <c r="B134" s="179"/>
      <c r="C134" s="179"/>
      <c r="D134" s="179"/>
      <c r="E134" s="179"/>
      <c r="F134" s="179"/>
    </row>
    <row r="136" spans="1:7" ht="12.75" x14ac:dyDescent="0.2">
      <c r="B136" s="37" t="s">
        <v>137</v>
      </c>
      <c r="C136" s="38"/>
      <c r="D136" s="39"/>
    </row>
    <row r="137" spans="1:7" ht="12.75" x14ac:dyDescent="0.2">
      <c r="B137" s="40" t="s">
        <v>808</v>
      </c>
      <c r="C137" s="41"/>
      <c r="D137" s="65" t="s">
        <v>138</v>
      </c>
    </row>
    <row r="138" spans="1:7" ht="12.75" x14ac:dyDescent="0.2">
      <c r="B138" s="40" t="s">
        <v>139</v>
      </c>
      <c r="C138" s="41"/>
      <c r="D138" s="65" t="s">
        <v>138</v>
      </c>
    </row>
    <row r="139" spans="1:7" ht="12.75" x14ac:dyDescent="0.2">
      <c r="B139" s="42" t="s">
        <v>140</v>
      </c>
      <c r="C139" s="41"/>
      <c r="D139" s="43"/>
    </row>
    <row r="140" spans="1:7" ht="25.5" customHeight="1" x14ac:dyDescent="0.2">
      <c r="B140" s="43"/>
      <c r="C140" s="33" t="s">
        <v>141</v>
      </c>
      <c r="D140" s="34" t="s">
        <v>142</v>
      </c>
    </row>
    <row r="141" spans="1:7" ht="12.75" customHeight="1" x14ac:dyDescent="0.2">
      <c r="B141" s="60" t="s">
        <v>143</v>
      </c>
      <c r="C141" s="61" t="s">
        <v>144</v>
      </c>
      <c r="D141" s="61" t="s">
        <v>145</v>
      </c>
    </row>
    <row r="142" spans="1:7" ht="12.75" x14ac:dyDescent="0.2">
      <c r="B142" s="43" t="s">
        <v>146</v>
      </c>
      <c r="C142" s="44">
        <v>9.2690000000000001</v>
      </c>
      <c r="D142" s="44">
        <v>9.5014000000000003</v>
      </c>
    </row>
    <row r="143" spans="1:7" ht="12.75" x14ac:dyDescent="0.2">
      <c r="B143" s="43" t="s">
        <v>147</v>
      </c>
      <c r="C143" s="44">
        <v>9.2690000000000001</v>
      </c>
      <c r="D143" s="44">
        <v>9.5014000000000003</v>
      </c>
    </row>
    <row r="144" spans="1:7" ht="12.75" x14ac:dyDescent="0.2">
      <c r="B144" s="43" t="s">
        <v>148</v>
      </c>
      <c r="C144" s="44">
        <v>9.1973000000000003</v>
      </c>
      <c r="D144" s="44">
        <v>9.4234000000000009</v>
      </c>
    </row>
    <row r="145" spans="2:4" ht="12.75" x14ac:dyDescent="0.2">
      <c r="B145" s="43" t="s">
        <v>149</v>
      </c>
      <c r="C145" s="44">
        <v>9.1973000000000003</v>
      </c>
      <c r="D145" s="44">
        <v>9.4234000000000009</v>
      </c>
    </row>
    <row r="147" spans="2:4" ht="12.75" x14ac:dyDescent="0.2">
      <c r="B147" s="62" t="s">
        <v>150</v>
      </c>
      <c r="C147" s="45"/>
      <c r="D147" s="63" t="s">
        <v>138</v>
      </c>
    </row>
    <row r="148" spans="2:4" ht="24.75" customHeight="1" x14ac:dyDescent="0.2">
      <c r="B148" s="64"/>
      <c r="C148" s="64"/>
    </row>
    <row r="149" spans="2:4" ht="15" x14ac:dyDescent="0.25">
      <c r="B149" s="66"/>
      <c r="C149" s="68"/>
      <c r="D149"/>
    </row>
    <row r="151" spans="2:4" ht="12.75" x14ac:dyDescent="0.2">
      <c r="B151" s="42" t="s">
        <v>151</v>
      </c>
      <c r="C151" s="41"/>
      <c r="D151" s="67" t="s">
        <v>138</v>
      </c>
    </row>
    <row r="152" spans="2:4" ht="12.75" x14ac:dyDescent="0.2">
      <c r="B152" s="42" t="s">
        <v>152</v>
      </c>
      <c r="C152" s="41"/>
      <c r="D152" s="67" t="s">
        <v>138</v>
      </c>
    </row>
    <row r="153" spans="2:4" ht="12.75" x14ac:dyDescent="0.2">
      <c r="B153" s="42" t="s">
        <v>153</v>
      </c>
      <c r="C153" s="41"/>
      <c r="D153" s="46">
        <v>0.14789930617002472</v>
      </c>
    </row>
    <row r="154" spans="2:4" ht="12.75" x14ac:dyDescent="0.2">
      <c r="B154" s="42" t="s">
        <v>154</v>
      </c>
      <c r="C154" s="41"/>
      <c r="D154" s="46" t="s">
        <v>138</v>
      </c>
    </row>
  </sheetData>
  <mergeCells count="5">
    <mergeCell ref="A1:G1"/>
    <mergeCell ref="A2:G2"/>
    <mergeCell ref="A3:G3"/>
    <mergeCell ref="B133:F133"/>
    <mergeCell ref="B134:F13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51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483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55</v>
      </c>
      <c r="C7" s="11" t="s">
        <v>56</v>
      </c>
      <c r="D7" s="2" t="s">
        <v>22</v>
      </c>
      <c r="E7" s="47">
        <v>12939</v>
      </c>
      <c r="F7" s="53">
        <v>76.398325499999999</v>
      </c>
      <c r="G7" s="5">
        <v>3.7878756E-2</v>
      </c>
    </row>
    <row r="8" spans="1:7" ht="12.75" x14ac:dyDescent="0.2">
      <c r="A8" s="6">
        <v>2</v>
      </c>
      <c r="B8" s="7" t="s">
        <v>457</v>
      </c>
      <c r="C8" s="11" t="s">
        <v>458</v>
      </c>
      <c r="D8" s="2" t="s">
        <v>192</v>
      </c>
      <c r="E8" s="47">
        <v>9681</v>
      </c>
      <c r="F8" s="53">
        <v>73.231924500000005</v>
      </c>
      <c r="G8" s="5">
        <v>3.6308835999999997E-2</v>
      </c>
    </row>
    <row r="9" spans="1:7" ht="12.75" x14ac:dyDescent="0.2">
      <c r="A9" s="6">
        <v>3</v>
      </c>
      <c r="B9" s="7" t="s">
        <v>51</v>
      </c>
      <c r="C9" s="11" t="s">
        <v>52</v>
      </c>
      <c r="D9" s="2" t="s">
        <v>19</v>
      </c>
      <c r="E9" s="47">
        <v>6502</v>
      </c>
      <c r="F9" s="53">
        <v>72.630590999999995</v>
      </c>
      <c r="G9" s="5">
        <v>3.6010690999999997E-2</v>
      </c>
    </row>
    <row r="10" spans="1:7" ht="25.5" x14ac:dyDescent="0.2">
      <c r="A10" s="6">
        <v>4</v>
      </c>
      <c r="B10" s="7" t="s">
        <v>23</v>
      </c>
      <c r="C10" s="11" t="s">
        <v>24</v>
      </c>
      <c r="D10" s="2" t="s">
        <v>22</v>
      </c>
      <c r="E10" s="47">
        <v>11911</v>
      </c>
      <c r="F10" s="53">
        <v>71.626798500000007</v>
      </c>
      <c r="G10" s="5">
        <v>3.5513004000000001E-2</v>
      </c>
    </row>
    <row r="11" spans="1:7" ht="12.75" x14ac:dyDescent="0.2">
      <c r="A11" s="6">
        <v>5</v>
      </c>
      <c r="B11" s="7" t="s">
        <v>455</v>
      </c>
      <c r="C11" s="11" t="s">
        <v>456</v>
      </c>
      <c r="D11" s="2" t="s">
        <v>72</v>
      </c>
      <c r="E11" s="47">
        <v>10910</v>
      </c>
      <c r="F11" s="53">
        <v>69.622164999999995</v>
      </c>
      <c r="G11" s="5">
        <v>3.4519095E-2</v>
      </c>
    </row>
    <row r="12" spans="1:7" ht="25.5" x14ac:dyDescent="0.2">
      <c r="A12" s="6">
        <v>6</v>
      </c>
      <c r="B12" s="7" t="s">
        <v>156</v>
      </c>
      <c r="C12" s="11" t="s">
        <v>157</v>
      </c>
      <c r="D12" s="2" t="s">
        <v>158</v>
      </c>
      <c r="E12" s="47">
        <v>7676</v>
      </c>
      <c r="F12" s="53">
        <v>68.892099999999999</v>
      </c>
      <c r="G12" s="5">
        <v>3.4157123999999997E-2</v>
      </c>
    </row>
    <row r="13" spans="1:7" ht="25.5" x14ac:dyDescent="0.2">
      <c r="A13" s="6">
        <v>7</v>
      </c>
      <c r="B13" s="7" t="s">
        <v>186</v>
      </c>
      <c r="C13" s="11" t="s">
        <v>187</v>
      </c>
      <c r="D13" s="2" t="s">
        <v>183</v>
      </c>
      <c r="E13" s="47">
        <v>10548</v>
      </c>
      <c r="F13" s="53">
        <v>59.891544000000003</v>
      </c>
      <c r="G13" s="5">
        <v>2.9694592999999998E-2</v>
      </c>
    </row>
    <row r="14" spans="1:7" ht="12.75" x14ac:dyDescent="0.2">
      <c r="A14" s="6">
        <v>8</v>
      </c>
      <c r="B14" s="7" t="s">
        <v>250</v>
      </c>
      <c r="C14" s="11" t="s">
        <v>251</v>
      </c>
      <c r="D14" s="2" t="s">
        <v>168</v>
      </c>
      <c r="E14" s="47">
        <v>14009</v>
      </c>
      <c r="F14" s="53">
        <v>55.811855999999999</v>
      </c>
      <c r="G14" s="5">
        <v>2.7671859E-2</v>
      </c>
    </row>
    <row r="15" spans="1:7" ht="25.5" x14ac:dyDescent="0.2">
      <c r="A15" s="6">
        <v>9</v>
      </c>
      <c r="B15" s="7" t="s">
        <v>161</v>
      </c>
      <c r="C15" s="11" t="s">
        <v>162</v>
      </c>
      <c r="D15" s="2" t="s">
        <v>163</v>
      </c>
      <c r="E15" s="47">
        <v>14760</v>
      </c>
      <c r="F15" s="53">
        <v>53.829720000000002</v>
      </c>
      <c r="G15" s="5">
        <v>2.6689104000000002E-2</v>
      </c>
    </row>
    <row r="16" spans="1:7" ht="25.5" x14ac:dyDescent="0.2">
      <c r="A16" s="6">
        <v>10</v>
      </c>
      <c r="B16" s="7" t="s">
        <v>43</v>
      </c>
      <c r="C16" s="11" t="s">
        <v>44</v>
      </c>
      <c r="D16" s="2" t="s">
        <v>22</v>
      </c>
      <c r="E16" s="47">
        <v>7409</v>
      </c>
      <c r="F16" s="53">
        <v>51.581457999999998</v>
      </c>
      <c r="G16" s="5">
        <v>2.5574402E-2</v>
      </c>
    </row>
    <row r="17" spans="1:7" ht="25.5" x14ac:dyDescent="0.2">
      <c r="A17" s="6">
        <v>11</v>
      </c>
      <c r="B17" s="7" t="s">
        <v>171</v>
      </c>
      <c r="C17" s="11" t="s">
        <v>172</v>
      </c>
      <c r="D17" s="2" t="s">
        <v>22</v>
      </c>
      <c r="E17" s="47">
        <v>12363</v>
      </c>
      <c r="F17" s="53">
        <v>49.798164</v>
      </c>
      <c r="G17" s="5">
        <v>2.4690233999999998E-2</v>
      </c>
    </row>
    <row r="18" spans="1:7" ht="25.5" x14ac:dyDescent="0.2">
      <c r="A18" s="6">
        <v>12</v>
      </c>
      <c r="B18" s="7" t="s">
        <v>188</v>
      </c>
      <c r="C18" s="11" t="s">
        <v>189</v>
      </c>
      <c r="D18" s="2" t="s">
        <v>47</v>
      </c>
      <c r="E18" s="47">
        <v>2300</v>
      </c>
      <c r="F18" s="53">
        <v>48.889949999999999</v>
      </c>
      <c r="G18" s="5">
        <v>2.4239936E-2</v>
      </c>
    </row>
    <row r="19" spans="1:7" ht="25.5" x14ac:dyDescent="0.2">
      <c r="A19" s="6">
        <v>13</v>
      </c>
      <c r="B19" s="7" t="s">
        <v>59</v>
      </c>
      <c r="C19" s="11" t="s">
        <v>60</v>
      </c>
      <c r="D19" s="2" t="s">
        <v>22</v>
      </c>
      <c r="E19" s="47">
        <v>3287</v>
      </c>
      <c r="F19" s="53">
        <v>44.949725000000001</v>
      </c>
      <c r="G19" s="5">
        <v>2.2286348000000001E-2</v>
      </c>
    </row>
    <row r="20" spans="1:7" ht="12.75" x14ac:dyDescent="0.2">
      <c r="A20" s="6">
        <v>14</v>
      </c>
      <c r="B20" s="7" t="s">
        <v>159</v>
      </c>
      <c r="C20" s="11" t="s">
        <v>160</v>
      </c>
      <c r="D20" s="2" t="s">
        <v>19</v>
      </c>
      <c r="E20" s="47">
        <v>22301</v>
      </c>
      <c r="F20" s="53">
        <v>41.725171000000003</v>
      </c>
      <c r="G20" s="5">
        <v>2.0687595E-2</v>
      </c>
    </row>
    <row r="21" spans="1:7" ht="25.5" x14ac:dyDescent="0.2">
      <c r="A21" s="6">
        <v>15</v>
      </c>
      <c r="B21" s="7" t="s">
        <v>45</v>
      </c>
      <c r="C21" s="11" t="s">
        <v>46</v>
      </c>
      <c r="D21" s="2" t="s">
        <v>47</v>
      </c>
      <c r="E21" s="47">
        <v>4749</v>
      </c>
      <c r="F21" s="53">
        <v>39.979456499999998</v>
      </c>
      <c r="G21" s="5">
        <v>1.9822059E-2</v>
      </c>
    </row>
    <row r="22" spans="1:7" ht="12.75" x14ac:dyDescent="0.2">
      <c r="A22" s="6">
        <v>16</v>
      </c>
      <c r="B22" s="7" t="s">
        <v>276</v>
      </c>
      <c r="C22" s="11" t="s">
        <v>277</v>
      </c>
      <c r="D22" s="2" t="s">
        <v>72</v>
      </c>
      <c r="E22" s="47">
        <v>50585</v>
      </c>
      <c r="F22" s="53">
        <v>39.456299999999999</v>
      </c>
      <c r="G22" s="5">
        <v>1.9562675000000002E-2</v>
      </c>
    </row>
    <row r="23" spans="1:7" ht="25.5" x14ac:dyDescent="0.2">
      <c r="A23" s="6">
        <v>17</v>
      </c>
      <c r="B23" s="7" t="s">
        <v>169</v>
      </c>
      <c r="C23" s="11" t="s">
        <v>170</v>
      </c>
      <c r="D23" s="2" t="s">
        <v>27</v>
      </c>
      <c r="E23" s="47">
        <v>3276</v>
      </c>
      <c r="F23" s="53">
        <v>39.095784000000002</v>
      </c>
      <c r="G23" s="5">
        <v>1.9383929000000001E-2</v>
      </c>
    </row>
    <row r="24" spans="1:7" ht="12.75" x14ac:dyDescent="0.2">
      <c r="A24" s="6">
        <v>18</v>
      </c>
      <c r="B24" s="7" t="s">
        <v>193</v>
      </c>
      <c r="C24" s="11" t="s">
        <v>194</v>
      </c>
      <c r="D24" s="2" t="s">
        <v>72</v>
      </c>
      <c r="E24" s="47">
        <v>4160</v>
      </c>
      <c r="F24" s="53">
        <v>36.905439999999999</v>
      </c>
      <c r="G24" s="5">
        <v>1.8297943000000001E-2</v>
      </c>
    </row>
    <row r="25" spans="1:7" ht="25.5" x14ac:dyDescent="0.2">
      <c r="A25" s="6">
        <v>19</v>
      </c>
      <c r="B25" s="7" t="s">
        <v>20</v>
      </c>
      <c r="C25" s="11" t="s">
        <v>21</v>
      </c>
      <c r="D25" s="2" t="s">
        <v>22</v>
      </c>
      <c r="E25" s="47">
        <v>4113</v>
      </c>
      <c r="F25" s="53">
        <v>36.646830000000001</v>
      </c>
      <c r="G25" s="5">
        <v>1.8169721999999999E-2</v>
      </c>
    </row>
    <row r="26" spans="1:7" ht="25.5" x14ac:dyDescent="0.2">
      <c r="A26" s="6">
        <v>20</v>
      </c>
      <c r="B26" s="7" t="s">
        <v>81</v>
      </c>
      <c r="C26" s="11" t="s">
        <v>82</v>
      </c>
      <c r="D26" s="2" t="s">
        <v>22</v>
      </c>
      <c r="E26" s="47">
        <v>3598</v>
      </c>
      <c r="F26" s="53">
        <v>35.992592999999999</v>
      </c>
      <c r="G26" s="5">
        <v>1.7845347000000001E-2</v>
      </c>
    </row>
    <row r="27" spans="1:7" ht="25.5" x14ac:dyDescent="0.2">
      <c r="A27" s="6">
        <v>21</v>
      </c>
      <c r="B27" s="7" t="s">
        <v>38</v>
      </c>
      <c r="C27" s="11" t="s">
        <v>39</v>
      </c>
      <c r="D27" s="2" t="s">
        <v>40</v>
      </c>
      <c r="E27" s="47">
        <v>8109</v>
      </c>
      <c r="F27" s="53">
        <v>34.982225999999997</v>
      </c>
      <c r="G27" s="5">
        <v>1.7344400999999999E-2</v>
      </c>
    </row>
    <row r="28" spans="1:7" ht="12.75" x14ac:dyDescent="0.2">
      <c r="A28" s="6">
        <v>22</v>
      </c>
      <c r="B28" s="7" t="s">
        <v>308</v>
      </c>
      <c r="C28" s="11" t="s">
        <v>309</v>
      </c>
      <c r="D28" s="2" t="s">
        <v>168</v>
      </c>
      <c r="E28" s="47">
        <v>1632</v>
      </c>
      <c r="F28" s="53">
        <v>34.198560000000001</v>
      </c>
      <c r="G28" s="5">
        <v>1.6955854999999999E-2</v>
      </c>
    </row>
    <row r="29" spans="1:7" ht="12.75" x14ac:dyDescent="0.2">
      <c r="A29" s="6">
        <v>23</v>
      </c>
      <c r="B29" s="7" t="s">
        <v>279</v>
      </c>
      <c r="C29" s="11" t="s">
        <v>280</v>
      </c>
      <c r="D29" s="2" t="s">
        <v>281</v>
      </c>
      <c r="E29" s="47">
        <v>4169</v>
      </c>
      <c r="F29" s="53">
        <v>33.741801500000001</v>
      </c>
      <c r="G29" s="5">
        <v>1.6729391E-2</v>
      </c>
    </row>
    <row r="30" spans="1:7" ht="12.75" x14ac:dyDescent="0.2">
      <c r="A30" s="6">
        <v>24</v>
      </c>
      <c r="B30" s="7" t="s">
        <v>260</v>
      </c>
      <c r="C30" s="11" t="s">
        <v>261</v>
      </c>
      <c r="D30" s="2" t="s">
        <v>242</v>
      </c>
      <c r="E30" s="47">
        <v>3500</v>
      </c>
      <c r="F30" s="53">
        <v>32.936750000000004</v>
      </c>
      <c r="G30" s="5">
        <v>1.6330241999999998E-2</v>
      </c>
    </row>
    <row r="31" spans="1:7" ht="12.75" x14ac:dyDescent="0.2">
      <c r="A31" s="6">
        <v>25</v>
      </c>
      <c r="B31" s="7" t="s">
        <v>459</v>
      </c>
      <c r="C31" s="11" t="s">
        <v>460</v>
      </c>
      <c r="D31" s="2" t="s">
        <v>72</v>
      </c>
      <c r="E31" s="47">
        <v>35013</v>
      </c>
      <c r="F31" s="53">
        <v>32.684635499999999</v>
      </c>
      <c r="G31" s="5">
        <v>1.6205242000000002E-2</v>
      </c>
    </row>
    <row r="32" spans="1:7" ht="12.75" x14ac:dyDescent="0.2">
      <c r="A32" s="6">
        <v>26</v>
      </c>
      <c r="B32" s="7" t="s">
        <v>472</v>
      </c>
      <c r="C32" s="11" t="s">
        <v>473</v>
      </c>
      <c r="D32" s="2" t="s">
        <v>168</v>
      </c>
      <c r="E32" s="47">
        <v>9058</v>
      </c>
      <c r="F32" s="53">
        <v>31.050823999999999</v>
      </c>
      <c r="G32" s="5">
        <v>1.5395188000000001E-2</v>
      </c>
    </row>
    <row r="33" spans="1:7" ht="12.75" x14ac:dyDescent="0.2">
      <c r="A33" s="6">
        <v>27</v>
      </c>
      <c r="B33" s="7" t="s">
        <v>252</v>
      </c>
      <c r="C33" s="11" t="s">
        <v>253</v>
      </c>
      <c r="D33" s="2" t="s">
        <v>242</v>
      </c>
      <c r="E33" s="47">
        <v>2116</v>
      </c>
      <c r="F33" s="53">
        <v>29.360558000000001</v>
      </c>
      <c r="G33" s="5">
        <v>1.4557143999999999E-2</v>
      </c>
    </row>
    <row r="34" spans="1:7" ht="51" x14ac:dyDescent="0.2">
      <c r="A34" s="6">
        <v>28</v>
      </c>
      <c r="B34" s="7" t="s">
        <v>247</v>
      </c>
      <c r="C34" s="11" t="s">
        <v>248</v>
      </c>
      <c r="D34" s="2" t="s">
        <v>208</v>
      </c>
      <c r="E34" s="47">
        <v>13434</v>
      </c>
      <c r="F34" s="53">
        <v>29.064458999999999</v>
      </c>
      <c r="G34" s="5">
        <v>1.4410335999999999E-2</v>
      </c>
    </row>
    <row r="35" spans="1:7" ht="12.75" x14ac:dyDescent="0.2">
      <c r="A35" s="6">
        <v>29</v>
      </c>
      <c r="B35" s="7" t="s">
        <v>465</v>
      </c>
      <c r="C35" s="11" t="s">
        <v>466</v>
      </c>
      <c r="D35" s="2" t="s">
        <v>168</v>
      </c>
      <c r="E35" s="47">
        <v>26411</v>
      </c>
      <c r="F35" s="53">
        <v>27.414618000000001</v>
      </c>
      <c r="G35" s="5">
        <v>1.3592335000000001E-2</v>
      </c>
    </row>
    <row r="36" spans="1:7" ht="25.5" x14ac:dyDescent="0.2">
      <c r="A36" s="6">
        <v>30</v>
      </c>
      <c r="B36" s="7" t="s">
        <v>461</v>
      </c>
      <c r="C36" s="11" t="s">
        <v>462</v>
      </c>
      <c r="D36" s="2" t="s">
        <v>80</v>
      </c>
      <c r="E36" s="47">
        <v>9340</v>
      </c>
      <c r="F36" s="53">
        <v>27.05331</v>
      </c>
      <c r="G36" s="5">
        <v>1.3413196E-2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19296</v>
      </c>
      <c r="F37" s="53">
        <v>25.808399999999999</v>
      </c>
      <c r="G37" s="5">
        <v>1.2795961999999999E-2</v>
      </c>
    </row>
    <row r="38" spans="1:7" ht="25.5" x14ac:dyDescent="0.2">
      <c r="A38" s="6">
        <v>32</v>
      </c>
      <c r="B38" s="7" t="s">
        <v>209</v>
      </c>
      <c r="C38" s="11" t="s">
        <v>210</v>
      </c>
      <c r="D38" s="2" t="s">
        <v>22</v>
      </c>
      <c r="E38" s="47">
        <v>3682</v>
      </c>
      <c r="F38" s="53">
        <v>24.768813999999999</v>
      </c>
      <c r="G38" s="5">
        <v>1.2280529E-2</v>
      </c>
    </row>
    <row r="39" spans="1:7" ht="12.75" x14ac:dyDescent="0.2">
      <c r="A39" s="6">
        <v>33</v>
      </c>
      <c r="B39" s="7" t="s">
        <v>166</v>
      </c>
      <c r="C39" s="11" t="s">
        <v>167</v>
      </c>
      <c r="D39" s="2" t="s">
        <v>168</v>
      </c>
      <c r="E39" s="47">
        <v>9510</v>
      </c>
      <c r="F39" s="53">
        <v>24.283785000000002</v>
      </c>
      <c r="G39" s="5">
        <v>1.2040049000000001E-2</v>
      </c>
    </row>
    <row r="40" spans="1:7" ht="12.75" x14ac:dyDescent="0.2">
      <c r="A40" s="6">
        <v>34</v>
      </c>
      <c r="B40" s="7" t="s">
        <v>470</v>
      </c>
      <c r="C40" s="11" t="s">
        <v>471</v>
      </c>
      <c r="D40" s="2" t="s">
        <v>72</v>
      </c>
      <c r="E40" s="47">
        <v>1516</v>
      </c>
      <c r="F40" s="53">
        <v>24.128655999999999</v>
      </c>
      <c r="G40" s="5">
        <v>1.1963135E-2</v>
      </c>
    </row>
    <row r="41" spans="1:7" ht="12.75" x14ac:dyDescent="0.2">
      <c r="A41" s="6">
        <v>35</v>
      </c>
      <c r="B41" s="7" t="s">
        <v>221</v>
      </c>
      <c r="C41" s="11" t="s">
        <v>222</v>
      </c>
      <c r="D41" s="2" t="s">
        <v>223</v>
      </c>
      <c r="E41" s="47">
        <v>5282</v>
      </c>
      <c r="F41" s="53">
        <v>23.964434000000001</v>
      </c>
      <c r="G41" s="5">
        <v>1.1881713E-2</v>
      </c>
    </row>
    <row r="42" spans="1:7" ht="25.5" x14ac:dyDescent="0.2">
      <c r="A42" s="6">
        <v>36</v>
      </c>
      <c r="B42" s="7" t="s">
        <v>372</v>
      </c>
      <c r="C42" s="11" t="s">
        <v>373</v>
      </c>
      <c r="D42" s="2" t="s">
        <v>22</v>
      </c>
      <c r="E42" s="47">
        <v>7470</v>
      </c>
      <c r="F42" s="53">
        <v>23.952555</v>
      </c>
      <c r="G42" s="5">
        <v>1.1875823000000001E-2</v>
      </c>
    </row>
    <row r="43" spans="1:7" ht="25.5" x14ac:dyDescent="0.2">
      <c r="A43" s="6">
        <v>37</v>
      </c>
      <c r="B43" s="7" t="s">
        <v>200</v>
      </c>
      <c r="C43" s="11" t="s">
        <v>201</v>
      </c>
      <c r="D43" s="2" t="s">
        <v>30</v>
      </c>
      <c r="E43" s="47">
        <v>7843</v>
      </c>
      <c r="F43" s="53">
        <v>23.4780205</v>
      </c>
      <c r="G43" s="5">
        <v>1.1640546E-2</v>
      </c>
    </row>
    <row r="44" spans="1:7" ht="25.5" x14ac:dyDescent="0.2">
      <c r="A44" s="6">
        <v>38</v>
      </c>
      <c r="B44" s="7" t="s">
        <v>217</v>
      </c>
      <c r="C44" s="11" t="s">
        <v>218</v>
      </c>
      <c r="D44" s="2" t="s">
        <v>27</v>
      </c>
      <c r="E44" s="47">
        <v>19273</v>
      </c>
      <c r="F44" s="53">
        <v>23.474513999999999</v>
      </c>
      <c r="G44" s="5">
        <v>1.1638806999999999E-2</v>
      </c>
    </row>
    <row r="45" spans="1:7" ht="12.75" x14ac:dyDescent="0.2">
      <c r="A45" s="6">
        <v>39</v>
      </c>
      <c r="B45" s="7" t="s">
        <v>184</v>
      </c>
      <c r="C45" s="11" t="s">
        <v>185</v>
      </c>
      <c r="D45" s="2" t="s">
        <v>16</v>
      </c>
      <c r="E45" s="47">
        <v>12645</v>
      </c>
      <c r="F45" s="53">
        <v>22.779967500000001</v>
      </c>
      <c r="G45" s="5">
        <v>1.1294447000000001E-2</v>
      </c>
    </row>
    <row r="46" spans="1:7" ht="51" x14ac:dyDescent="0.2">
      <c r="A46" s="6">
        <v>40</v>
      </c>
      <c r="B46" s="7" t="s">
        <v>206</v>
      </c>
      <c r="C46" s="11" t="s">
        <v>207</v>
      </c>
      <c r="D46" s="2" t="s">
        <v>208</v>
      </c>
      <c r="E46" s="47">
        <v>37175</v>
      </c>
      <c r="F46" s="53">
        <v>22.713925</v>
      </c>
      <c r="G46" s="5">
        <v>1.1261703E-2</v>
      </c>
    </row>
    <row r="47" spans="1:7" ht="25.5" x14ac:dyDescent="0.2">
      <c r="A47" s="6">
        <v>41</v>
      </c>
      <c r="B47" s="7" t="s">
        <v>73</v>
      </c>
      <c r="C47" s="11" t="s">
        <v>74</v>
      </c>
      <c r="D47" s="2" t="s">
        <v>22</v>
      </c>
      <c r="E47" s="47">
        <v>3421</v>
      </c>
      <c r="F47" s="53">
        <v>22.417812999999999</v>
      </c>
      <c r="G47" s="5">
        <v>1.1114888999999999E-2</v>
      </c>
    </row>
    <row r="48" spans="1:7" ht="12.75" x14ac:dyDescent="0.2">
      <c r="A48" s="6">
        <v>42</v>
      </c>
      <c r="B48" s="7" t="s">
        <v>204</v>
      </c>
      <c r="C48" s="11" t="s">
        <v>205</v>
      </c>
      <c r="D48" s="2" t="s">
        <v>72</v>
      </c>
      <c r="E48" s="47">
        <v>7936</v>
      </c>
      <c r="F48" s="53">
        <v>21.653376000000002</v>
      </c>
      <c r="G48" s="5">
        <v>1.0735876E-2</v>
      </c>
    </row>
    <row r="49" spans="1:7" ht="12.75" x14ac:dyDescent="0.2">
      <c r="A49" s="6">
        <v>43</v>
      </c>
      <c r="B49" s="7" t="s">
        <v>479</v>
      </c>
      <c r="C49" s="11" t="s">
        <v>480</v>
      </c>
      <c r="D49" s="2" t="s">
        <v>226</v>
      </c>
      <c r="E49" s="47">
        <v>18056</v>
      </c>
      <c r="F49" s="53">
        <v>21.495667999999998</v>
      </c>
      <c r="G49" s="5">
        <v>1.0657684000000001E-2</v>
      </c>
    </row>
    <row r="50" spans="1:7" ht="25.5" x14ac:dyDescent="0.2">
      <c r="A50" s="6">
        <v>44</v>
      </c>
      <c r="B50" s="7" t="s">
        <v>83</v>
      </c>
      <c r="C50" s="11" t="s">
        <v>84</v>
      </c>
      <c r="D50" s="2" t="s">
        <v>22</v>
      </c>
      <c r="E50" s="47">
        <v>19325</v>
      </c>
      <c r="F50" s="53">
        <v>21.073912499999999</v>
      </c>
      <c r="G50" s="5">
        <v>1.0448575E-2</v>
      </c>
    </row>
    <row r="51" spans="1:7" ht="25.5" x14ac:dyDescent="0.2">
      <c r="A51" s="6">
        <v>45</v>
      </c>
      <c r="B51" s="7" t="s">
        <v>181</v>
      </c>
      <c r="C51" s="11" t="s">
        <v>182</v>
      </c>
      <c r="D51" s="2" t="s">
        <v>183</v>
      </c>
      <c r="E51" s="47">
        <v>17256</v>
      </c>
      <c r="F51" s="53">
        <v>20.500128</v>
      </c>
      <c r="G51" s="5">
        <v>1.0164088999999999E-2</v>
      </c>
    </row>
    <row r="52" spans="1:7" ht="12.75" x14ac:dyDescent="0.2">
      <c r="A52" s="6">
        <v>46</v>
      </c>
      <c r="B52" s="7" t="s">
        <v>211</v>
      </c>
      <c r="C52" s="11" t="s">
        <v>212</v>
      </c>
      <c r="D52" s="2" t="s">
        <v>72</v>
      </c>
      <c r="E52" s="47">
        <v>66582</v>
      </c>
      <c r="F52" s="53">
        <v>19.774854000000001</v>
      </c>
      <c r="G52" s="5">
        <v>9.8044929999999992E-3</v>
      </c>
    </row>
    <row r="53" spans="1:7" ht="12.75" x14ac:dyDescent="0.2">
      <c r="A53" s="6">
        <v>47</v>
      </c>
      <c r="B53" s="7" t="s">
        <v>262</v>
      </c>
      <c r="C53" s="11" t="s">
        <v>263</v>
      </c>
      <c r="D53" s="2" t="s">
        <v>242</v>
      </c>
      <c r="E53" s="47">
        <v>21682</v>
      </c>
      <c r="F53" s="53">
        <v>19.752302</v>
      </c>
      <c r="G53" s="5">
        <v>9.7933120000000002E-3</v>
      </c>
    </row>
    <row r="54" spans="1:7" ht="25.5" x14ac:dyDescent="0.2">
      <c r="A54" s="6">
        <v>48</v>
      </c>
      <c r="B54" s="7" t="s">
        <v>177</v>
      </c>
      <c r="C54" s="11" t="s">
        <v>178</v>
      </c>
      <c r="D54" s="2" t="s">
        <v>47</v>
      </c>
      <c r="E54" s="47">
        <v>11698</v>
      </c>
      <c r="F54" s="53">
        <v>19.091135999999999</v>
      </c>
      <c r="G54" s="5">
        <v>9.4655020000000006E-3</v>
      </c>
    </row>
    <row r="55" spans="1:7" ht="12.75" x14ac:dyDescent="0.2">
      <c r="A55" s="6">
        <v>49</v>
      </c>
      <c r="B55" s="7" t="s">
        <v>190</v>
      </c>
      <c r="C55" s="11" t="s">
        <v>191</v>
      </c>
      <c r="D55" s="2" t="s">
        <v>192</v>
      </c>
      <c r="E55" s="47">
        <v>12368</v>
      </c>
      <c r="F55" s="53">
        <v>19.052904000000002</v>
      </c>
      <c r="G55" s="5">
        <v>9.4465460000000001E-3</v>
      </c>
    </row>
    <row r="56" spans="1:7" ht="25.5" x14ac:dyDescent="0.2">
      <c r="A56" s="6">
        <v>50</v>
      </c>
      <c r="B56" s="7" t="s">
        <v>215</v>
      </c>
      <c r="C56" s="11" t="s">
        <v>216</v>
      </c>
      <c r="D56" s="2" t="s">
        <v>13</v>
      </c>
      <c r="E56" s="47">
        <v>32071</v>
      </c>
      <c r="F56" s="53">
        <v>18.537037999999999</v>
      </c>
      <c r="G56" s="5">
        <v>9.1907770000000007E-3</v>
      </c>
    </row>
    <row r="57" spans="1:7" ht="12.75" x14ac:dyDescent="0.2">
      <c r="A57" s="6">
        <v>51</v>
      </c>
      <c r="B57" s="7" t="s">
        <v>463</v>
      </c>
      <c r="C57" s="11" t="s">
        <v>464</v>
      </c>
      <c r="D57" s="2" t="s">
        <v>192</v>
      </c>
      <c r="E57" s="47">
        <v>3190</v>
      </c>
      <c r="F57" s="53">
        <v>18.509975000000001</v>
      </c>
      <c r="G57" s="5">
        <v>9.1773589999999995E-3</v>
      </c>
    </row>
    <row r="58" spans="1:7" ht="25.5" x14ac:dyDescent="0.2">
      <c r="A58" s="6">
        <v>52</v>
      </c>
      <c r="B58" s="7" t="s">
        <v>179</v>
      </c>
      <c r="C58" s="11" t="s">
        <v>180</v>
      </c>
      <c r="D58" s="2" t="s">
        <v>22</v>
      </c>
      <c r="E58" s="47">
        <v>5737</v>
      </c>
      <c r="F58" s="53">
        <v>18.306767000000001</v>
      </c>
      <c r="G58" s="5">
        <v>9.0766070000000004E-3</v>
      </c>
    </row>
    <row r="59" spans="1:7" ht="25.5" x14ac:dyDescent="0.2">
      <c r="A59" s="6">
        <v>53</v>
      </c>
      <c r="B59" s="7" t="s">
        <v>477</v>
      </c>
      <c r="C59" s="11" t="s">
        <v>478</v>
      </c>
      <c r="D59" s="2" t="s">
        <v>30</v>
      </c>
      <c r="E59" s="47">
        <v>2682</v>
      </c>
      <c r="F59" s="53">
        <v>17.348517000000001</v>
      </c>
      <c r="G59" s="5">
        <v>8.6015009999999992E-3</v>
      </c>
    </row>
    <row r="60" spans="1:7" ht="25.5" x14ac:dyDescent="0.2">
      <c r="A60" s="6">
        <v>54</v>
      </c>
      <c r="B60" s="7" t="s">
        <v>475</v>
      </c>
      <c r="C60" s="11" t="s">
        <v>476</v>
      </c>
      <c r="D60" s="2" t="s">
        <v>47</v>
      </c>
      <c r="E60" s="47">
        <v>1873</v>
      </c>
      <c r="F60" s="53">
        <v>17.049918999999999</v>
      </c>
      <c r="G60" s="5">
        <v>8.4534539999999991E-3</v>
      </c>
    </row>
    <row r="61" spans="1:7" ht="12.75" x14ac:dyDescent="0.2">
      <c r="A61" s="6">
        <v>55</v>
      </c>
      <c r="B61" s="7" t="s">
        <v>224</v>
      </c>
      <c r="C61" s="11" t="s">
        <v>225</v>
      </c>
      <c r="D61" s="2" t="s">
        <v>226</v>
      </c>
      <c r="E61" s="47">
        <v>15065</v>
      </c>
      <c r="F61" s="53">
        <v>16.910462500000001</v>
      </c>
      <c r="G61" s="5">
        <v>8.3843110000000002E-3</v>
      </c>
    </row>
    <row r="62" spans="1:7" ht="51" x14ac:dyDescent="0.2">
      <c r="A62" s="6">
        <v>56</v>
      </c>
      <c r="B62" s="7" t="s">
        <v>294</v>
      </c>
      <c r="C62" s="11" t="s">
        <v>295</v>
      </c>
      <c r="D62" s="2" t="s">
        <v>208</v>
      </c>
      <c r="E62" s="47">
        <v>47427</v>
      </c>
      <c r="F62" s="53">
        <v>16.433455500000001</v>
      </c>
      <c r="G62" s="5">
        <v>8.1478079999999994E-3</v>
      </c>
    </row>
    <row r="63" spans="1:7" ht="25.5" x14ac:dyDescent="0.2">
      <c r="A63" s="6">
        <v>57</v>
      </c>
      <c r="B63" s="7" t="s">
        <v>231</v>
      </c>
      <c r="C63" s="11" t="s">
        <v>232</v>
      </c>
      <c r="D63" s="2" t="s">
        <v>47</v>
      </c>
      <c r="E63" s="47">
        <v>5954</v>
      </c>
      <c r="F63" s="53">
        <v>15.015988</v>
      </c>
      <c r="G63" s="5">
        <v>7.4450189999999998E-3</v>
      </c>
    </row>
    <row r="64" spans="1:7" ht="12.75" x14ac:dyDescent="0.2">
      <c r="A64" s="6">
        <v>58</v>
      </c>
      <c r="B64" s="7" t="s">
        <v>238</v>
      </c>
      <c r="C64" s="11" t="s">
        <v>239</v>
      </c>
      <c r="D64" s="2" t="s">
        <v>72</v>
      </c>
      <c r="E64" s="47">
        <v>26984</v>
      </c>
      <c r="F64" s="53">
        <v>14.449932</v>
      </c>
      <c r="G64" s="5">
        <v>7.1643649999999998E-3</v>
      </c>
    </row>
    <row r="65" spans="1:7" ht="12.75" x14ac:dyDescent="0.2">
      <c r="A65" s="6">
        <v>59</v>
      </c>
      <c r="B65" s="7" t="s">
        <v>268</v>
      </c>
      <c r="C65" s="11" t="s">
        <v>269</v>
      </c>
      <c r="D65" s="2" t="s">
        <v>72</v>
      </c>
      <c r="E65" s="47">
        <v>2854</v>
      </c>
      <c r="F65" s="53">
        <v>12.810179</v>
      </c>
      <c r="G65" s="5">
        <v>6.3513650000000003E-3</v>
      </c>
    </row>
    <row r="66" spans="1:7" ht="12.75" x14ac:dyDescent="0.2">
      <c r="A66" s="1"/>
      <c r="B66" s="2"/>
      <c r="C66" s="8" t="s">
        <v>108</v>
      </c>
      <c r="D66" s="12"/>
      <c r="E66" s="49"/>
      <c r="F66" s="55">
        <v>1968.9810355000004</v>
      </c>
      <c r="G66" s="13">
        <v>0.976232828</v>
      </c>
    </row>
    <row r="67" spans="1:7" ht="12.75" x14ac:dyDescent="0.2">
      <c r="A67" s="6"/>
      <c r="B67" s="7"/>
      <c r="C67" s="14"/>
      <c r="D67" s="15"/>
      <c r="E67" s="47"/>
      <c r="F67" s="53"/>
      <c r="G67" s="5"/>
    </row>
    <row r="68" spans="1:7" ht="12.75" x14ac:dyDescent="0.2">
      <c r="A68" s="1"/>
      <c r="B68" s="2"/>
      <c r="C68" s="8" t="s">
        <v>109</v>
      </c>
      <c r="D68" s="9"/>
      <c r="E68" s="48"/>
      <c r="F68" s="54"/>
      <c r="G68" s="10"/>
    </row>
    <row r="69" spans="1:7" ht="12.75" x14ac:dyDescent="0.2">
      <c r="A69" s="1"/>
      <c r="B69" s="2"/>
      <c r="C69" s="8" t="s">
        <v>108</v>
      </c>
      <c r="D69" s="12"/>
      <c r="E69" s="49"/>
      <c r="F69" s="55">
        <v>0</v>
      </c>
      <c r="G69" s="13">
        <v>0</v>
      </c>
    </row>
    <row r="70" spans="1:7" ht="12.75" x14ac:dyDescent="0.2">
      <c r="A70" s="6"/>
      <c r="B70" s="7"/>
      <c r="C70" s="14"/>
      <c r="D70" s="15"/>
      <c r="E70" s="47"/>
      <c r="F70" s="53"/>
      <c r="G70" s="5"/>
    </row>
    <row r="71" spans="1:7" ht="12.75" x14ac:dyDescent="0.2">
      <c r="A71" s="16"/>
      <c r="B71" s="17"/>
      <c r="C71" s="8" t="s">
        <v>110</v>
      </c>
      <c r="D71" s="9"/>
      <c r="E71" s="48"/>
      <c r="F71" s="54"/>
      <c r="G71" s="10"/>
    </row>
    <row r="72" spans="1:7" ht="12.75" x14ac:dyDescent="0.2">
      <c r="A72" s="18"/>
      <c r="B72" s="19"/>
      <c r="C72" s="8" t="s">
        <v>108</v>
      </c>
      <c r="D72" s="20"/>
      <c r="E72" s="50"/>
      <c r="F72" s="56">
        <v>0</v>
      </c>
      <c r="G72" s="21">
        <v>0</v>
      </c>
    </row>
    <row r="73" spans="1:7" ht="12.75" x14ac:dyDescent="0.2">
      <c r="A73" s="18"/>
      <c r="B73" s="19"/>
      <c r="C73" s="14"/>
      <c r="D73" s="22"/>
      <c r="E73" s="51"/>
      <c r="F73" s="57"/>
      <c r="G73" s="23"/>
    </row>
    <row r="74" spans="1:7" ht="12.75" x14ac:dyDescent="0.2">
      <c r="A74" s="1"/>
      <c r="B74" s="2"/>
      <c r="C74" s="8" t="s">
        <v>113</v>
      </c>
      <c r="D74" s="9"/>
      <c r="E74" s="48"/>
      <c r="F74" s="54"/>
      <c r="G74" s="10"/>
    </row>
    <row r="75" spans="1:7" ht="12.75" x14ac:dyDescent="0.2">
      <c r="A75" s="1"/>
      <c r="B75" s="2"/>
      <c r="C75" s="8" t="s">
        <v>108</v>
      </c>
      <c r="D75" s="12"/>
      <c r="E75" s="49"/>
      <c r="F75" s="55">
        <v>0</v>
      </c>
      <c r="G75" s="13">
        <v>0</v>
      </c>
    </row>
    <row r="76" spans="1:7" ht="12.75" x14ac:dyDescent="0.2">
      <c r="A76" s="1"/>
      <c r="B76" s="2"/>
      <c r="C76" s="14"/>
      <c r="D76" s="4"/>
      <c r="E76" s="47"/>
      <c r="F76" s="53"/>
      <c r="G76" s="5"/>
    </row>
    <row r="77" spans="1:7" ht="12.75" x14ac:dyDescent="0.2">
      <c r="A77" s="1"/>
      <c r="B77" s="2"/>
      <c r="C77" s="8" t="s">
        <v>114</v>
      </c>
      <c r="D77" s="9"/>
      <c r="E77" s="48"/>
      <c r="F77" s="54"/>
      <c r="G77" s="10"/>
    </row>
    <row r="78" spans="1:7" ht="12.75" x14ac:dyDescent="0.2">
      <c r="A78" s="1"/>
      <c r="B78" s="2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1"/>
      <c r="B79" s="2"/>
      <c r="C79" s="14"/>
      <c r="D79" s="4"/>
      <c r="E79" s="47"/>
      <c r="F79" s="53"/>
      <c r="G79" s="5"/>
    </row>
    <row r="80" spans="1:7" ht="12.75" x14ac:dyDescent="0.2">
      <c r="A80" s="1"/>
      <c r="B80" s="2"/>
      <c r="C80" s="8" t="s">
        <v>115</v>
      </c>
      <c r="D80" s="9"/>
      <c r="E80" s="48"/>
      <c r="F80" s="54"/>
      <c r="G80" s="10"/>
    </row>
    <row r="81" spans="1:7" ht="12.75" x14ac:dyDescent="0.2">
      <c r="A81" s="1"/>
      <c r="B81" s="2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1"/>
      <c r="B82" s="2"/>
      <c r="C82" s="14"/>
      <c r="D82" s="4"/>
      <c r="E82" s="47"/>
      <c r="F82" s="53"/>
      <c r="G82" s="5"/>
    </row>
    <row r="83" spans="1:7" ht="25.5" x14ac:dyDescent="0.2">
      <c r="A83" s="6"/>
      <c r="B83" s="7"/>
      <c r="C83" s="24" t="s">
        <v>116</v>
      </c>
      <c r="D83" s="25"/>
      <c r="E83" s="49"/>
      <c r="F83" s="55">
        <v>1968.9810355000004</v>
      </c>
      <c r="G83" s="13">
        <v>0.976232828</v>
      </c>
    </row>
    <row r="84" spans="1:7" ht="12.75" x14ac:dyDescent="0.2">
      <c r="A84" s="1"/>
      <c r="B84" s="2"/>
      <c r="C84" s="11"/>
      <c r="D84" s="4"/>
      <c r="E84" s="47"/>
      <c r="F84" s="53"/>
      <c r="G84" s="5"/>
    </row>
    <row r="85" spans="1:7" ht="12.75" x14ac:dyDescent="0.2">
      <c r="A85" s="1"/>
      <c r="B85" s="2"/>
      <c r="C85" s="3" t="s">
        <v>117</v>
      </c>
      <c r="D85" s="4"/>
      <c r="E85" s="47"/>
      <c r="F85" s="53"/>
      <c r="G85" s="5"/>
    </row>
    <row r="86" spans="1:7" ht="25.5" x14ac:dyDescent="0.2">
      <c r="A86" s="1"/>
      <c r="B86" s="2"/>
      <c r="C86" s="8" t="s">
        <v>10</v>
      </c>
      <c r="D86" s="9"/>
      <c r="E86" s="48"/>
      <c r="F86" s="54"/>
      <c r="G86" s="10"/>
    </row>
    <row r="87" spans="1:7" ht="12.75" x14ac:dyDescent="0.2">
      <c r="A87" s="6"/>
      <c r="B87" s="7"/>
      <c r="C87" s="8" t="s">
        <v>108</v>
      </c>
      <c r="D87" s="12"/>
      <c r="E87" s="49"/>
      <c r="F87" s="55">
        <v>0</v>
      </c>
      <c r="G87" s="13">
        <v>0</v>
      </c>
    </row>
    <row r="88" spans="1:7" ht="12.75" x14ac:dyDescent="0.2">
      <c r="A88" s="6"/>
      <c r="B88" s="7"/>
      <c r="C88" s="14"/>
      <c r="D88" s="4"/>
      <c r="E88" s="47"/>
      <c r="F88" s="53"/>
      <c r="G88" s="5"/>
    </row>
    <row r="89" spans="1:7" ht="12.75" x14ac:dyDescent="0.2">
      <c r="A89" s="1"/>
      <c r="B89" s="26"/>
      <c r="C89" s="8" t="s">
        <v>118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12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4"/>
      <c r="E91" s="47"/>
      <c r="F91" s="59"/>
      <c r="G91" s="28"/>
    </row>
    <row r="92" spans="1:7" ht="12.75" x14ac:dyDescent="0.2">
      <c r="A92" s="1"/>
      <c r="B92" s="2"/>
      <c r="C92" s="8" t="s">
        <v>119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12"/>
      <c r="E93" s="49"/>
      <c r="F93" s="55">
        <v>0</v>
      </c>
      <c r="G93" s="13">
        <v>0</v>
      </c>
    </row>
    <row r="94" spans="1:7" ht="12.75" x14ac:dyDescent="0.2">
      <c r="A94" s="1"/>
      <c r="B94" s="2"/>
      <c r="C94" s="14"/>
      <c r="D94" s="4"/>
      <c r="E94" s="47"/>
      <c r="F94" s="53"/>
      <c r="G94" s="5"/>
    </row>
    <row r="95" spans="1:7" ht="25.5" x14ac:dyDescent="0.2">
      <c r="A95" s="1"/>
      <c r="B95" s="26"/>
      <c r="C95" s="8" t="s">
        <v>120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12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4"/>
      <c r="D97" s="4"/>
      <c r="E97" s="47"/>
      <c r="F97" s="53"/>
      <c r="G97" s="5"/>
    </row>
    <row r="98" spans="1:7" ht="12.75" x14ac:dyDescent="0.2">
      <c r="A98" s="6"/>
      <c r="B98" s="7"/>
      <c r="C98" s="29" t="s">
        <v>121</v>
      </c>
      <c r="D98" s="25"/>
      <c r="E98" s="49"/>
      <c r="F98" s="55">
        <v>0</v>
      </c>
      <c r="G98" s="13">
        <v>0</v>
      </c>
    </row>
    <row r="99" spans="1:7" ht="12.75" x14ac:dyDescent="0.2">
      <c r="A99" s="6"/>
      <c r="B99" s="7"/>
      <c r="C99" s="11"/>
      <c r="D99" s="4"/>
      <c r="E99" s="47"/>
      <c r="F99" s="53"/>
      <c r="G99" s="5"/>
    </row>
    <row r="100" spans="1:7" ht="12.75" x14ac:dyDescent="0.2">
      <c r="A100" s="1"/>
      <c r="B100" s="2"/>
      <c r="C100" s="3" t="s">
        <v>122</v>
      </c>
      <c r="D100" s="4"/>
      <c r="E100" s="47"/>
      <c r="F100" s="53"/>
      <c r="G100" s="5"/>
    </row>
    <row r="101" spans="1:7" ht="12.75" x14ac:dyDescent="0.2">
      <c r="A101" s="6"/>
      <c r="B101" s="7"/>
      <c r="C101" s="8" t="s">
        <v>123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4"/>
      <c r="D103" s="7"/>
      <c r="E103" s="47"/>
      <c r="F103" s="53"/>
      <c r="G103" s="5"/>
    </row>
    <row r="104" spans="1:7" ht="12.75" x14ac:dyDescent="0.2">
      <c r="A104" s="6"/>
      <c r="B104" s="7"/>
      <c r="C104" s="8" t="s">
        <v>124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6"/>
      <c r="B107" s="7"/>
      <c r="C107" s="8" t="s">
        <v>125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3"/>
      <c r="G109" s="5"/>
    </row>
    <row r="110" spans="1:7" ht="12.75" x14ac:dyDescent="0.2">
      <c r="A110" s="6"/>
      <c r="B110" s="7"/>
      <c r="C110" s="8" t="s">
        <v>126</v>
      </c>
      <c r="D110" s="9"/>
      <c r="E110" s="48"/>
      <c r="F110" s="54"/>
      <c r="G110" s="10"/>
    </row>
    <row r="111" spans="1:7" ht="12.75" x14ac:dyDescent="0.2">
      <c r="A111" s="6">
        <v>1</v>
      </c>
      <c r="B111" s="7"/>
      <c r="C111" s="11" t="s">
        <v>812</v>
      </c>
      <c r="D111" s="15"/>
      <c r="E111" s="47"/>
      <c r="F111" s="53">
        <v>46.993819999999999</v>
      </c>
      <c r="G111" s="5">
        <v>2.3299823000000001E-2</v>
      </c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46.993819999999999</v>
      </c>
      <c r="G112" s="13">
        <v>2.3299823000000001E-2</v>
      </c>
    </row>
    <row r="113" spans="1:7" ht="12.75" x14ac:dyDescent="0.2">
      <c r="A113" s="6"/>
      <c r="B113" s="7"/>
      <c r="C113" s="14"/>
      <c r="D113" s="7"/>
      <c r="E113" s="47"/>
      <c r="F113" s="53"/>
      <c r="G113" s="5"/>
    </row>
    <row r="114" spans="1:7" ht="25.5" x14ac:dyDescent="0.2">
      <c r="A114" s="6"/>
      <c r="B114" s="7"/>
      <c r="C114" s="24" t="s">
        <v>127</v>
      </c>
      <c r="D114" s="25"/>
      <c r="E114" s="49"/>
      <c r="F114" s="55">
        <v>46.993819999999999</v>
      </c>
      <c r="G114" s="13">
        <v>2.3299823000000001E-2</v>
      </c>
    </row>
    <row r="115" spans="1:7" ht="12.75" x14ac:dyDescent="0.2">
      <c r="A115" s="6"/>
      <c r="B115" s="7"/>
      <c r="C115" s="30"/>
      <c r="D115" s="7"/>
      <c r="E115" s="47"/>
      <c r="F115" s="53"/>
      <c r="G115" s="5"/>
    </row>
    <row r="116" spans="1:7" ht="12.75" x14ac:dyDescent="0.2">
      <c r="A116" s="1"/>
      <c r="B116" s="2"/>
      <c r="C116" s="3" t="s">
        <v>128</v>
      </c>
      <c r="D116" s="4"/>
      <c r="E116" s="47"/>
      <c r="F116" s="53"/>
      <c r="G116" s="5"/>
    </row>
    <row r="117" spans="1:7" ht="25.5" x14ac:dyDescent="0.2">
      <c r="A117" s="6"/>
      <c r="B117" s="7"/>
      <c r="C117" s="8" t="s">
        <v>129</v>
      </c>
      <c r="D117" s="9"/>
      <c r="E117" s="48"/>
      <c r="F117" s="54"/>
      <c r="G117" s="10"/>
    </row>
    <row r="118" spans="1:7" ht="12.75" x14ac:dyDescent="0.2">
      <c r="A118" s="6"/>
      <c r="B118" s="7"/>
      <c r="C118" s="8" t="s">
        <v>108</v>
      </c>
      <c r="D118" s="25"/>
      <c r="E118" s="49"/>
      <c r="F118" s="55">
        <v>0</v>
      </c>
      <c r="G118" s="13">
        <v>0</v>
      </c>
    </row>
    <row r="119" spans="1:7" ht="12.75" x14ac:dyDescent="0.2">
      <c r="A119" s="6"/>
      <c r="B119" s="7"/>
      <c r="C119" s="14"/>
      <c r="D119" s="7"/>
      <c r="E119" s="47"/>
      <c r="F119" s="53"/>
      <c r="G119" s="5"/>
    </row>
    <row r="120" spans="1:7" ht="12.75" x14ac:dyDescent="0.2">
      <c r="A120" s="1"/>
      <c r="B120" s="2"/>
      <c r="C120" s="3" t="s">
        <v>131</v>
      </c>
      <c r="D120" s="4"/>
      <c r="E120" s="47"/>
      <c r="F120" s="53"/>
      <c r="G120" s="5"/>
    </row>
    <row r="121" spans="1:7" ht="25.5" x14ac:dyDescent="0.2">
      <c r="A121" s="6"/>
      <c r="B121" s="7"/>
      <c r="C121" s="8" t="s">
        <v>132</v>
      </c>
      <c r="D121" s="9"/>
      <c r="E121" s="48"/>
      <c r="F121" s="54"/>
      <c r="G121" s="10"/>
    </row>
    <row r="122" spans="1:7" ht="12.75" x14ac:dyDescent="0.2">
      <c r="A122" s="6"/>
      <c r="B122" s="7"/>
      <c r="C122" s="8" t="s">
        <v>108</v>
      </c>
      <c r="D122" s="25"/>
      <c r="E122" s="49"/>
      <c r="F122" s="55">
        <v>0</v>
      </c>
      <c r="G122" s="13">
        <v>0</v>
      </c>
    </row>
    <row r="123" spans="1:7" ht="12.75" x14ac:dyDescent="0.2">
      <c r="A123" s="6"/>
      <c r="B123" s="7"/>
      <c r="C123" s="14"/>
      <c r="D123" s="7"/>
      <c r="E123" s="47"/>
      <c r="F123" s="53"/>
      <c r="G123" s="5"/>
    </row>
    <row r="124" spans="1:7" ht="25.5" x14ac:dyDescent="0.2">
      <c r="A124" s="6"/>
      <c r="B124" s="7"/>
      <c r="C124" s="8" t="s">
        <v>133</v>
      </c>
      <c r="D124" s="9"/>
      <c r="E124" s="48"/>
      <c r="F124" s="54"/>
      <c r="G124" s="10"/>
    </row>
    <row r="125" spans="1:7" ht="12.75" x14ac:dyDescent="0.2">
      <c r="A125" s="6"/>
      <c r="B125" s="7"/>
      <c r="C125" s="8" t="s">
        <v>108</v>
      </c>
      <c r="D125" s="25"/>
      <c r="E125" s="49"/>
      <c r="F125" s="55">
        <v>0</v>
      </c>
      <c r="G125" s="13">
        <v>0</v>
      </c>
    </row>
    <row r="126" spans="1:7" ht="12.75" x14ac:dyDescent="0.2">
      <c r="A126" s="6"/>
      <c r="B126" s="7"/>
      <c r="C126" s="14"/>
      <c r="D126" s="7"/>
      <c r="E126" s="47"/>
      <c r="F126" s="59"/>
      <c r="G126" s="28"/>
    </row>
    <row r="127" spans="1:7" ht="25.5" x14ac:dyDescent="0.2">
      <c r="A127" s="6"/>
      <c r="B127" s="7"/>
      <c r="C127" s="30" t="s">
        <v>134</v>
      </c>
      <c r="D127" s="7"/>
      <c r="E127" s="47"/>
      <c r="F127" s="59">
        <v>0.94261030999999995</v>
      </c>
      <c r="G127" s="28">
        <v>4.6735199999999998E-4</v>
      </c>
    </row>
    <row r="128" spans="1:7" ht="12.75" x14ac:dyDescent="0.2">
      <c r="A128" s="6"/>
      <c r="B128" s="7"/>
      <c r="C128" s="31" t="s">
        <v>135</v>
      </c>
      <c r="D128" s="12"/>
      <c r="E128" s="49"/>
      <c r="F128" s="55">
        <v>2016.9174658100003</v>
      </c>
      <c r="G128" s="13">
        <v>1.0000000029999998</v>
      </c>
    </row>
    <row r="130" spans="2:6" ht="12.75" x14ac:dyDescent="0.2">
      <c r="B130" s="179"/>
      <c r="C130" s="179"/>
      <c r="D130" s="179"/>
      <c r="E130" s="179"/>
      <c r="F130" s="179"/>
    </row>
    <row r="131" spans="2:6" ht="12.75" x14ac:dyDescent="0.2">
      <c r="B131" s="179"/>
      <c r="C131" s="179"/>
      <c r="D131" s="179"/>
      <c r="E131" s="179"/>
      <c r="F131" s="179"/>
    </row>
    <row r="133" spans="2:6" ht="12.75" x14ac:dyDescent="0.2">
      <c r="B133" s="37" t="s">
        <v>137</v>
      </c>
      <c r="C133" s="38"/>
      <c r="D133" s="39"/>
    </row>
    <row r="134" spans="2:6" ht="12.75" x14ac:dyDescent="0.2">
      <c r="B134" s="40" t="s">
        <v>808</v>
      </c>
      <c r="C134" s="41"/>
      <c r="D134" s="65" t="s">
        <v>138</v>
      </c>
    </row>
    <row r="135" spans="2:6" ht="12.75" x14ac:dyDescent="0.2">
      <c r="B135" s="40" t="s">
        <v>139</v>
      </c>
      <c r="C135" s="41"/>
      <c r="D135" s="65" t="s">
        <v>138</v>
      </c>
    </row>
    <row r="136" spans="2:6" ht="12.75" x14ac:dyDescent="0.2">
      <c r="B136" s="42" t="s">
        <v>140</v>
      </c>
      <c r="C136" s="41"/>
      <c r="D136" s="43"/>
    </row>
    <row r="137" spans="2:6" ht="25.5" customHeight="1" x14ac:dyDescent="0.2">
      <c r="B137" s="43"/>
      <c r="C137" s="33" t="s">
        <v>141</v>
      </c>
      <c r="D137" s="34" t="s">
        <v>142</v>
      </c>
    </row>
    <row r="138" spans="2:6" ht="12.75" customHeight="1" x14ac:dyDescent="0.2">
      <c r="B138" s="60" t="s">
        <v>143</v>
      </c>
      <c r="C138" s="61" t="s">
        <v>144</v>
      </c>
      <c r="D138" s="61" t="s">
        <v>145</v>
      </c>
    </row>
    <row r="139" spans="2:6" ht="12.75" x14ac:dyDescent="0.2">
      <c r="B139" s="43" t="s">
        <v>146</v>
      </c>
      <c r="C139" s="44">
        <v>10.417999999999999</v>
      </c>
      <c r="D139" s="44">
        <v>10.658099999999999</v>
      </c>
    </row>
    <row r="140" spans="2:6" ht="12.75" x14ac:dyDescent="0.2">
      <c r="B140" s="43" t="s">
        <v>147</v>
      </c>
      <c r="C140" s="44">
        <v>10.417999999999999</v>
      </c>
      <c r="D140" s="44">
        <v>10.658099999999999</v>
      </c>
    </row>
    <row r="141" spans="2:6" ht="12.75" x14ac:dyDescent="0.2">
      <c r="B141" s="43" t="s">
        <v>148</v>
      </c>
      <c r="C141" s="44">
        <v>10.3583</v>
      </c>
      <c r="D141" s="44">
        <v>10.592000000000001</v>
      </c>
    </row>
    <row r="142" spans="2:6" ht="12.75" x14ac:dyDescent="0.2">
      <c r="B142" s="43" t="s">
        <v>149</v>
      </c>
      <c r="C142" s="44">
        <v>10.3583</v>
      </c>
      <c r="D142" s="44">
        <v>10.592000000000001</v>
      </c>
    </row>
    <row r="144" spans="2:6" ht="12.75" x14ac:dyDescent="0.2">
      <c r="B144" s="62" t="s">
        <v>150</v>
      </c>
      <c r="C144" s="45"/>
      <c r="D144" s="63" t="s">
        <v>138</v>
      </c>
    </row>
    <row r="145" spans="2:4" ht="24.75" customHeight="1" x14ac:dyDescent="0.2">
      <c r="B145" s="64"/>
      <c r="C145" s="64"/>
    </row>
    <row r="146" spans="2:4" ht="15" x14ac:dyDescent="0.25">
      <c r="B146" s="66"/>
      <c r="C146" s="68"/>
      <c r="D146"/>
    </row>
    <row r="148" spans="2:4" ht="12.75" x14ac:dyDescent="0.2">
      <c r="B148" s="42" t="s">
        <v>151</v>
      </c>
      <c r="C148" s="41"/>
      <c r="D148" s="67" t="s">
        <v>138</v>
      </c>
    </row>
    <row r="149" spans="2:4" ht="12.75" x14ac:dyDescent="0.2">
      <c r="B149" s="42" t="s">
        <v>152</v>
      </c>
      <c r="C149" s="41"/>
      <c r="D149" s="67" t="s">
        <v>138</v>
      </c>
    </row>
    <row r="150" spans="2:4" ht="12.75" x14ac:dyDescent="0.2">
      <c r="B150" s="42" t="s">
        <v>153</v>
      </c>
      <c r="C150" s="41"/>
      <c r="D150" s="46">
        <v>0.13607281203578842</v>
      </c>
    </row>
    <row r="151" spans="2:4" ht="12.75" x14ac:dyDescent="0.2">
      <c r="B151" s="42" t="s">
        <v>154</v>
      </c>
      <c r="C151" s="41"/>
      <c r="D151" s="46" t="s">
        <v>138</v>
      </c>
    </row>
  </sheetData>
  <mergeCells count="5">
    <mergeCell ref="A1:G1"/>
    <mergeCell ref="A2:G2"/>
    <mergeCell ref="A3:G3"/>
    <mergeCell ref="B130:F130"/>
    <mergeCell ref="B131:F13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39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484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36575</v>
      </c>
      <c r="F7" s="53">
        <v>328.260625</v>
      </c>
      <c r="G7" s="5">
        <v>4.6213770000000001E-2</v>
      </c>
    </row>
    <row r="8" spans="1:7" ht="12.75" x14ac:dyDescent="0.2">
      <c r="A8" s="6">
        <v>2</v>
      </c>
      <c r="B8" s="7" t="s">
        <v>455</v>
      </c>
      <c r="C8" s="11" t="s">
        <v>456</v>
      </c>
      <c r="D8" s="2" t="s">
        <v>72</v>
      </c>
      <c r="E8" s="47">
        <v>50450</v>
      </c>
      <c r="F8" s="53">
        <v>321.94667500000003</v>
      </c>
      <c r="G8" s="5">
        <v>4.5324867999999997E-2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155147</v>
      </c>
      <c r="F9" s="53">
        <v>290.28003699999999</v>
      </c>
      <c r="G9" s="5">
        <v>4.0866719000000003E-2</v>
      </c>
    </row>
    <row r="10" spans="1:7" ht="25.5" x14ac:dyDescent="0.2">
      <c r="A10" s="6">
        <v>4</v>
      </c>
      <c r="B10" s="7" t="s">
        <v>303</v>
      </c>
      <c r="C10" s="11" t="s">
        <v>304</v>
      </c>
      <c r="D10" s="2" t="s">
        <v>47</v>
      </c>
      <c r="E10" s="47">
        <v>12054</v>
      </c>
      <c r="F10" s="53">
        <v>264.519003</v>
      </c>
      <c r="G10" s="5">
        <v>3.7239983999999997E-2</v>
      </c>
    </row>
    <row r="11" spans="1:7" ht="25.5" x14ac:dyDescent="0.2">
      <c r="A11" s="6">
        <v>5</v>
      </c>
      <c r="B11" s="7" t="s">
        <v>59</v>
      </c>
      <c r="C11" s="11" t="s">
        <v>60</v>
      </c>
      <c r="D11" s="2" t="s">
        <v>22</v>
      </c>
      <c r="E11" s="47">
        <v>18100</v>
      </c>
      <c r="F11" s="53">
        <v>247.51750000000001</v>
      </c>
      <c r="G11" s="5">
        <v>3.4846448000000002E-2</v>
      </c>
    </row>
    <row r="12" spans="1:7" ht="25.5" x14ac:dyDescent="0.2">
      <c r="A12" s="6">
        <v>6</v>
      </c>
      <c r="B12" s="7" t="s">
        <v>453</v>
      </c>
      <c r="C12" s="11" t="s">
        <v>454</v>
      </c>
      <c r="D12" s="2" t="s">
        <v>47</v>
      </c>
      <c r="E12" s="47">
        <v>120000</v>
      </c>
      <c r="F12" s="53">
        <v>236.22</v>
      </c>
      <c r="G12" s="5">
        <v>3.3255943000000003E-2</v>
      </c>
    </row>
    <row r="13" spans="1:7" ht="25.5" x14ac:dyDescent="0.2">
      <c r="A13" s="6">
        <v>7</v>
      </c>
      <c r="B13" s="7" t="s">
        <v>23</v>
      </c>
      <c r="C13" s="11" t="s">
        <v>24</v>
      </c>
      <c r="D13" s="2" t="s">
        <v>22</v>
      </c>
      <c r="E13" s="47">
        <v>39090</v>
      </c>
      <c r="F13" s="53">
        <v>235.06771499999999</v>
      </c>
      <c r="G13" s="5">
        <v>3.309372E-2</v>
      </c>
    </row>
    <row r="14" spans="1:7" ht="25.5" x14ac:dyDescent="0.2">
      <c r="A14" s="6">
        <v>8</v>
      </c>
      <c r="B14" s="7" t="s">
        <v>43</v>
      </c>
      <c r="C14" s="11" t="s">
        <v>44</v>
      </c>
      <c r="D14" s="2" t="s">
        <v>22</v>
      </c>
      <c r="E14" s="47">
        <v>33425</v>
      </c>
      <c r="F14" s="53">
        <v>232.70484999999999</v>
      </c>
      <c r="G14" s="5">
        <v>3.2761066999999998E-2</v>
      </c>
    </row>
    <row r="15" spans="1:7" ht="25.5" x14ac:dyDescent="0.2">
      <c r="A15" s="6">
        <v>9</v>
      </c>
      <c r="B15" s="7" t="s">
        <v>169</v>
      </c>
      <c r="C15" s="11" t="s">
        <v>170</v>
      </c>
      <c r="D15" s="2" t="s">
        <v>27</v>
      </c>
      <c r="E15" s="47">
        <v>18168</v>
      </c>
      <c r="F15" s="53">
        <v>216.816912</v>
      </c>
      <c r="G15" s="5">
        <v>3.0524302999999999E-2</v>
      </c>
    </row>
    <row r="16" spans="1:7" ht="25.5" x14ac:dyDescent="0.2">
      <c r="A16" s="6">
        <v>10</v>
      </c>
      <c r="B16" s="7" t="s">
        <v>406</v>
      </c>
      <c r="C16" s="11" t="s">
        <v>407</v>
      </c>
      <c r="D16" s="2" t="s">
        <v>47</v>
      </c>
      <c r="E16" s="47">
        <v>82596</v>
      </c>
      <c r="F16" s="53">
        <v>205.581444</v>
      </c>
      <c r="G16" s="5">
        <v>2.8942532E-2</v>
      </c>
    </row>
    <row r="17" spans="1:7" ht="25.5" x14ac:dyDescent="0.2">
      <c r="A17" s="6">
        <v>11</v>
      </c>
      <c r="B17" s="7" t="s">
        <v>188</v>
      </c>
      <c r="C17" s="11" t="s">
        <v>189</v>
      </c>
      <c r="D17" s="2" t="s">
        <v>47</v>
      </c>
      <c r="E17" s="47">
        <v>9500</v>
      </c>
      <c r="F17" s="53">
        <v>201.93674999999999</v>
      </c>
      <c r="G17" s="5">
        <v>2.8429418000000001E-2</v>
      </c>
    </row>
    <row r="18" spans="1:7" ht="12.75" x14ac:dyDescent="0.2">
      <c r="A18" s="6">
        <v>12</v>
      </c>
      <c r="B18" s="7" t="s">
        <v>166</v>
      </c>
      <c r="C18" s="11" t="s">
        <v>167</v>
      </c>
      <c r="D18" s="2" t="s">
        <v>168</v>
      </c>
      <c r="E18" s="47">
        <v>77400</v>
      </c>
      <c r="F18" s="53">
        <v>197.64089999999999</v>
      </c>
      <c r="G18" s="5">
        <v>2.7824631999999998E-2</v>
      </c>
    </row>
    <row r="19" spans="1:7" ht="25.5" x14ac:dyDescent="0.2">
      <c r="A19" s="6">
        <v>13</v>
      </c>
      <c r="B19" s="7" t="s">
        <v>73</v>
      </c>
      <c r="C19" s="11" t="s">
        <v>74</v>
      </c>
      <c r="D19" s="2" t="s">
        <v>22</v>
      </c>
      <c r="E19" s="47">
        <v>28758</v>
      </c>
      <c r="F19" s="53">
        <v>188.45117400000001</v>
      </c>
      <c r="G19" s="5">
        <v>2.6530867999999999E-2</v>
      </c>
    </row>
    <row r="20" spans="1:7" ht="25.5" x14ac:dyDescent="0.2">
      <c r="A20" s="6">
        <v>14</v>
      </c>
      <c r="B20" s="7" t="s">
        <v>20</v>
      </c>
      <c r="C20" s="11" t="s">
        <v>21</v>
      </c>
      <c r="D20" s="2" t="s">
        <v>22</v>
      </c>
      <c r="E20" s="47">
        <v>18691</v>
      </c>
      <c r="F20" s="53">
        <v>166.53681</v>
      </c>
      <c r="G20" s="5">
        <v>2.3445680999999999E-2</v>
      </c>
    </row>
    <row r="21" spans="1:7" ht="25.5" x14ac:dyDescent="0.2">
      <c r="A21" s="6">
        <v>15</v>
      </c>
      <c r="B21" s="7" t="s">
        <v>485</v>
      </c>
      <c r="C21" s="11" t="s">
        <v>486</v>
      </c>
      <c r="D21" s="2" t="s">
        <v>33</v>
      </c>
      <c r="E21" s="47">
        <v>108924</v>
      </c>
      <c r="F21" s="53">
        <v>165.72786600000001</v>
      </c>
      <c r="G21" s="5">
        <v>2.3331794999999999E-2</v>
      </c>
    </row>
    <row r="22" spans="1:7" ht="12.75" x14ac:dyDescent="0.2">
      <c r="A22" s="6">
        <v>16</v>
      </c>
      <c r="B22" s="7" t="s">
        <v>348</v>
      </c>
      <c r="C22" s="11" t="s">
        <v>349</v>
      </c>
      <c r="D22" s="2" t="s">
        <v>226</v>
      </c>
      <c r="E22" s="47">
        <v>2436</v>
      </c>
      <c r="F22" s="53">
        <v>163.98908399999999</v>
      </c>
      <c r="G22" s="5">
        <v>2.3087001999999999E-2</v>
      </c>
    </row>
    <row r="23" spans="1:7" ht="25.5" x14ac:dyDescent="0.2">
      <c r="A23" s="6">
        <v>17</v>
      </c>
      <c r="B23" s="7" t="s">
        <v>461</v>
      </c>
      <c r="C23" s="11" t="s">
        <v>462</v>
      </c>
      <c r="D23" s="2" t="s">
        <v>80</v>
      </c>
      <c r="E23" s="47">
        <v>53500</v>
      </c>
      <c r="F23" s="53">
        <v>154.96275</v>
      </c>
      <c r="G23" s="5">
        <v>2.1816241E-2</v>
      </c>
    </row>
    <row r="24" spans="1:7" ht="25.5" x14ac:dyDescent="0.2">
      <c r="A24" s="6">
        <v>18</v>
      </c>
      <c r="B24" s="7" t="s">
        <v>477</v>
      </c>
      <c r="C24" s="11" t="s">
        <v>478</v>
      </c>
      <c r="D24" s="2" t="s">
        <v>30</v>
      </c>
      <c r="E24" s="47">
        <v>23264</v>
      </c>
      <c r="F24" s="53">
        <v>150.48318399999999</v>
      </c>
      <c r="G24" s="5">
        <v>2.1185591E-2</v>
      </c>
    </row>
    <row r="25" spans="1:7" ht="25.5" x14ac:dyDescent="0.2">
      <c r="A25" s="6">
        <v>19</v>
      </c>
      <c r="B25" s="7" t="s">
        <v>266</v>
      </c>
      <c r="C25" s="11" t="s">
        <v>267</v>
      </c>
      <c r="D25" s="2" t="s">
        <v>27</v>
      </c>
      <c r="E25" s="47">
        <v>147000</v>
      </c>
      <c r="F25" s="53">
        <v>148.17599999999999</v>
      </c>
      <c r="G25" s="5">
        <v>2.0860777E-2</v>
      </c>
    </row>
    <row r="26" spans="1:7" ht="12.75" x14ac:dyDescent="0.2">
      <c r="A26" s="6">
        <v>20</v>
      </c>
      <c r="B26" s="7" t="s">
        <v>250</v>
      </c>
      <c r="C26" s="11" t="s">
        <v>251</v>
      </c>
      <c r="D26" s="2" t="s">
        <v>168</v>
      </c>
      <c r="E26" s="47">
        <v>37000</v>
      </c>
      <c r="F26" s="53">
        <v>147.40799999999999</v>
      </c>
      <c r="G26" s="5">
        <v>2.0752654999999998E-2</v>
      </c>
    </row>
    <row r="27" spans="1:7" ht="25.5" x14ac:dyDescent="0.2">
      <c r="A27" s="6">
        <v>21</v>
      </c>
      <c r="B27" s="7" t="s">
        <v>444</v>
      </c>
      <c r="C27" s="11" t="s">
        <v>445</v>
      </c>
      <c r="D27" s="2" t="s">
        <v>27</v>
      </c>
      <c r="E27" s="47">
        <v>8899</v>
      </c>
      <c r="F27" s="53">
        <v>147.376339</v>
      </c>
      <c r="G27" s="5">
        <v>2.0748196999999999E-2</v>
      </c>
    </row>
    <row r="28" spans="1:7" ht="12.75" x14ac:dyDescent="0.2">
      <c r="A28" s="6">
        <v>22</v>
      </c>
      <c r="B28" s="7" t="s">
        <v>260</v>
      </c>
      <c r="C28" s="11" t="s">
        <v>261</v>
      </c>
      <c r="D28" s="2" t="s">
        <v>242</v>
      </c>
      <c r="E28" s="47">
        <v>15538</v>
      </c>
      <c r="F28" s="53">
        <v>146.220349</v>
      </c>
      <c r="G28" s="5">
        <v>2.0585453E-2</v>
      </c>
    </row>
    <row r="29" spans="1:7" ht="12.75" x14ac:dyDescent="0.2">
      <c r="A29" s="6">
        <v>23</v>
      </c>
      <c r="B29" s="7" t="s">
        <v>487</v>
      </c>
      <c r="C29" s="11" t="s">
        <v>488</v>
      </c>
      <c r="D29" s="2" t="s">
        <v>226</v>
      </c>
      <c r="E29" s="47">
        <v>3589</v>
      </c>
      <c r="F29" s="53">
        <v>145.6362365</v>
      </c>
      <c r="G29" s="5">
        <v>2.0503219E-2</v>
      </c>
    </row>
    <row r="30" spans="1:7" ht="25.5" x14ac:dyDescent="0.2">
      <c r="A30" s="6">
        <v>24</v>
      </c>
      <c r="B30" s="7" t="s">
        <v>28</v>
      </c>
      <c r="C30" s="11" t="s">
        <v>29</v>
      </c>
      <c r="D30" s="2" t="s">
        <v>30</v>
      </c>
      <c r="E30" s="47">
        <v>26165</v>
      </c>
      <c r="F30" s="53">
        <v>145.32041000000001</v>
      </c>
      <c r="G30" s="5">
        <v>2.0458756000000002E-2</v>
      </c>
    </row>
    <row r="31" spans="1:7" ht="12.75" x14ac:dyDescent="0.2">
      <c r="A31" s="6">
        <v>25</v>
      </c>
      <c r="B31" s="7" t="s">
        <v>489</v>
      </c>
      <c r="C31" s="11" t="s">
        <v>490</v>
      </c>
      <c r="D31" s="2" t="s">
        <v>80</v>
      </c>
      <c r="E31" s="47">
        <v>157214</v>
      </c>
      <c r="F31" s="53">
        <v>135.99010999999999</v>
      </c>
      <c r="G31" s="5">
        <v>1.9145201000000001E-2</v>
      </c>
    </row>
    <row r="32" spans="1:7" ht="25.5" x14ac:dyDescent="0.2">
      <c r="A32" s="6">
        <v>26</v>
      </c>
      <c r="B32" s="7" t="s">
        <v>312</v>
      </c>
      <c r="C32" s="11" t="s">
        <v>313</v>
      </c>
      <c r="D32" s="2" t="s">
        <v>22</v>
      </c>
      <c r="E32" s="47">
        <v>3116</v>
      </c>
      <c r="F32" s="53">
        <v>133.94593399999999</v>
      </c>
      <c r="G32" s="5">
        <v>1.8857413999999999E-2</v>
      </c>
    </row>
    <row r="33" spans="1:7" ht="25.5" x14ac:dyDescent="0.2">
      <c r="A33" s="6">
        <v>27</v>
      </c>
      <c r="B33" s="7" t="s">
        <v>81</v>
      </c>
      <c r="C33" s="11" t="s">
        <v>82</v>
      </c>
      <c r="D33" s="2" t="s">
        <v>22</v>
      </c>
      <c r="E33" s="47">
        <v>13000</v>
      </c>
      <c r="F33" s="53">
        <v>130.0455</v>
      </c>
      <c r="G33" s="5">
        <v>1.8308296000000002E-2</v>
      </c>
    </row>
    <row r="34" spans="1:7" ht="12.75" x14ac:dyDescent="0.2">
      <c r="A34" s="6">
        <v>28</v>
      </c>
      <c r="B34" s="7" t="s">
        <v>479</v>
      </c>
      <c r="C34" s="11" t="s">
        <v>480</v>
      </c>
      <c r="D34" s="2" t="s">
        <v>226</v>
      </c>
      <c r="E34" s="47">
        <v>105000</v>
      </c>
      <c r="F34" s="53">
        <v>125.0025</v>
      </c>
      <c r="G34" s="5">
        <v>1.7598323999999999E-2</v>
      </c>
    </row>
    <row r="35" spans="1:7" ht="25.5" x14ac:dyDescent="0.2">
      <c r="A35" s="6">
        <v>29</v>
      </c>
      <c r="B35" s="7" t="s">
        <v>422</v>
      </c>
      <c r="C35" s="11" t="s">
        <v>423</v>
      </c>
      <c r="D35" s="2" t="s">
        <v>30</v>
      </c>
      <c r="E35" s="47">
        <v>20000</v>
      </c>
      <c r="F35" s="53">
        <v>124.99</v>
      </c>
      <c r="G35" s="5">
        <v>1.7596563999999999E-2</v>
      </c>
    </row>
    <row r="36" spans="1:7" ht="51" x14ac:dyDescent="0.2">
      <c r="A36" s="6">
        <v>30</v>
      </c>
      <c r="B36" s="7" t="s">
        <v>206</v>
      </c>
      <c r="C36" s="11" t="s">
        <v>207</v>
      </c>
      <c r="D36" s="2" t="s">
        <v>208</v>
      </c>
      <c r="E36" s="47">
        <v>198000</v>
      </c>
      <c r="F36" s="53">
        <v>120.97799999999999</v>
      </c>
      <c r="G36" s="5">
        <v>1.7031739000000001E-2</v>
      </c>
    </row>
    <row r="37" spans="1:7" ht="25.5" x14ac:dyDescent="0.2">
      <c r="A37" s="6">
        <v>31</v>
      </c>
      <c r="B37" s="7" t="s">
        <v>324</v>
      </c>
      <c r="C37" s="11" t="s">
        <v>325</v>
      </c>
      <c r="D37" s="2" t="s">
        <v>22</v>
      </c>
      <c r="E37" s="47">
        <v>22202</v>
      </c>
      <c r="F37" s="53">
        <v>120.767779</v>
      </c>
      <c r="G37" s="5">
        <v>1.7002144E-2</v>
      </c>
    </row>
    <row r="38" spans="1:7" ht="25.5" x14ac:dyDescent="0.2">
      <c r="A38" s="6">
        <v>32</v>
      </c>
      <c r="B38" s="7" t="s">
        <v>209</v>
      </c>
      <c r="C38" s="11" t="s">
        <v>210</v>
      </c>
      <c r="D38" s="2" t="s">
        <v>22</v>
      </c>
      <c r="E38" s="47">
        <v>14822</v>
      </c>
      <c r="F38" s="53">
        <v>99.707594</v>
      </c>
      <c r="G38" s="5">
        <v>1.4037211000000001E-2</v>
      </c>
    </row>
    <row r="39" spans="1:7" ht="51" x14ac:dyDescent="0.2">
      <c r="A39" s="6">
        <v>33</v>
      </c>
      <c r="B39" s="7" t="s">
        <v>491</v>
      </c>
      <c r="C39" s="11" t="s">
        <v>492</v>
      </c>
      <c r="D39" s="2" t="s">
        <v>208</v>
      </c>
      <c r="E39" s="47">
        <v>28000</v>
      </c>
      <c r="F39" s="53">
        <v>98.195999999999998</v>
      </c>
      <c r="G39" s="5">
        <v>1.3824404E-2</v>
      </c>
    </row>
    <row r="40" spans="1:7" ht="25.5" x14ac:dyDescent="0.2">
      <c r="A40" s="6">
        <v>34</v>
      </c>
      <c r="B40" s="7" t="s">
        <v>330</v>
      </c>
      <c r="C40" s="11" t="s">
        <v>331</v>
      </c>
      <c r="D40" s="2" t="s">
        <v>30</v>
      </c>
      <c r="E40" s="47">
        <v>801</v>
      </c>
      <c r="F40" s="53">
        <v>98.060822999999999</v>
      </c>
      <c r="G40" s="5">
        <v>1.3805372999999999E-2</v>
      </c>
    </row>
    <row r="41" spans="1:7" ht="25.5" x14ac:dyDescent="0.2">
      <c r="A41" s="6">
        <v>35</v>
      </c>
      <c r="B41" s="7" t="s">
        <v>372</v>
      </c>
      <c r="C41" s="11" t="s">
        <v>373</v>
      </c>
      <c r="D41" s="2" t="s">
        <v>22</v>
      </c>
      <c r="E41" s="47">
        <v>30000</v>
      </c>
      <c r="F41" s="53">
        <v>96.194999999999993</v>
      </c>
      <c r="G41" s="5">
        <v>1.3542695E-2</v>
      </c>
    </row>
    <row r="42" spans="1:7" ht="12.75" x14ac:dyDescent="0.2">
      <c r="A42" s="6">
        <v>36</v>
      </c>
      <c r="B42" s="7" t="s">
        <v>95</v>
      </c>
      <c r="C42" s="11" t="s">
        <v>96</v>
      </c>
      <c r="D42" s="2" t="s">
        <v>50</v>
      </c>
      <c r="E42" s="47">
        <v>154000</v>
      </c>
      <c r="F42" s="53">
        <v>88.703999999999994</v>
      </c>
      <c r="G42" s="5">
        <v>1.2488084E-2</v>
      </c>
    </row>
    <row r="43" spans="1:7" ht="12.75" x14ac:dyDescent="0.2">
      <c r="A43" s="6">
        <v>37</v>
      </c>
      <c r="B43" s="7" t="s">
        <v>195</v>
      </c>
      <c r="C43" s="11" t="s">
        <v>196</v>
      </c>
      <c r="D43" s="2" t="s">
        <v>197</v>
      </c>
      <c r="E43" s="47">
        <v>66144</v>
      </c>
      <c r="F43" s="53">
        <v>88.467600000000004</v>
      </c>
      <c r="G43" s="5">
        <v>1.2454803E-2</v>
      </c>
    </row>
    <row r="44" spans="1:7" ht="12.75" x14ac:dyDescent="0.2">
      <c r="A44" s="6">
        <v>38</v>
      </c>
      <c r="B44" s="7" t="s">
        <v>190</v>
      </c>
      <c r="C44" s="11" t="s">
        <v>191</v>
      </c>
      <c r="D44" s="2" t="s">
        <v>192</v>
      </c>
      <c r="E44" s="47">
        <v>57000</v>
      </c>
      <c r="F44" s="53">
        <v>87.808499999999995</v>
      </c>
      <c r="G44" s="5">
        <v>1.2362012E-2</v>
      </c>
    </row>
    <row r="45" spans="1:7" ht="25.5" x14ac:dyDescent="0.2">
      <c r="A45" s="6">
        <v>39</v>
      </c>
      <c r="B45" s="7" t="s">
        <v>45</v>
      </c>
      <c r="C45" s="11" t="s">
        <v>46</v>
      </c>
      <c r="D45" s="2" t="s">
        <v>47</v>
      </c>
      <c r="E45" s="47">
        <v>10000</v>
      </c>
      <c r="F45" s="53">
        <v>84.185000000000002</v>
      </c>
      <c r="G45" s="5">
        <v>1.1851881999999999E-2</v>
      </c>
    </row>
    <row r="46" spans="1:7" ht="25.5" x14ac:dyDescent="0.2">
      <c r="A46" s="6">
        <v>40</v>
      </c>
      <c r="B46" s="7" t="s">
        <v>493</v>
      </c>
      <c r="C46" s="11" t="s">
        <v>494</v>
      </c>
      <c r="D46" s="2" t="s">
        <v>27</v>
      </c>
      <c r="E46" s="47">
        <v>5000</v>
      </c>
      <c r="F46" s="53">
        <v>71.422499999999999</v>
      </c>
      <c r="G46" s="5">
        <v>1.0055128999999999E-2</v>
      </c>
    </row>
    <row r="47" spans="1:7" ht="12.75" x14ac:dyDescent="0.2">
      <c r="A47" s="6">
        <v>41</v>
      </c>
      <c r="B47" s="7" t="s">
        <v>256</v>
      </c>
      <c r="C47" s="11" t="s">
        <v>257</v>
      </c>
      <c r="D47" s="2" t="s">
        <v>226</v>
      </c>
      <c r="E47" s="47">
        <v>18500</v>
      </c>
      <c r="F47" s="53">
        <v>68.412999999999997</v>
      </c>
      <c r="G47" s="5">
        <v>9.6314399999999998E-3</v>
      </c>
    </row>
    <row r="48" spans="1:7" ht="12.75" x14ac:dyDescent="0.2">
      <c r="A48" s="6">
        <v>42</v>
      </c>
      <c r="B48" s="7" t="s">
        <v>221</v>
      </c>
      <c r="C48" s="11" t="s">
        <v>222</v>
      </c>
      <c r="D48" s="2" t="s">
        <v>223</v>
      </c>
      <c r="E48" s="47">
        <v>13136</v>
      </c>
      <c r="F48" s="53">
        <v>59.598032000000003</v>
      </c>
      <c r="G48" s="5">
        <v>8.3904359999999994E-3</v>
      </c>
    </row>
    <row r="49" spans="1:7" ht="25.5" x14ac:dyDescent="0.2">
      <c r="A49" s="6">
        <v>43</v>
      </c>
      <c r="B49" s="7" t="s">
        <v>475</v>
      </c>
      <c r="C49" s="11" t="s">
        <v>476</v>
      </c>
      <c r="D49" s="2" t="s">
        <v>47</v>
      </c>
      <c r="E49" s="47">
        <v>6341</v>
      </c>
      <c r="F49" s="53">
        <v>57.722123000000003</v>
      </c>
      <c r="G49" s="5">
        <v>8.1263380000000003E-3</v>
      </c>
    </row>
    <row r="50" spans="1:7" ht="25.5" x14ac:dyDescent="0.2">
      <c r="A50" s="6">
        <v>44</v>
      </c>
      <c r="B50" s="7" t="s">
        <v>231</v>
      </c>
      <c r="C50" s="11" t="s">
        <v>232</v>
      </c>
      <c r="D50" s="2" t="s">
        <v>47</v>
      </c>
      <c r="E50" s="47">
        <v>20911</v>
      </c>
      <c r="F50" s="53">
        <v>52.737541999999998</v>
      </c>
      <c r="G50" s="5">
        <v>7.42459E-3</v>
      </c>
    </row>
    <row r="51" spans="1:7" ht="12.75" x14ac:dyDescent="0.2">
      <c r="A51" s="6">
        <v>45</v>
      </c>
      <c r="B51" s="7" t="s">
        <v>270</v>
      </c>
      <c r="C51" s="11" t="s">
        <v>271</v>
      </c>
      <c r="D51" s="2" t="s">
        <v>192</v>
      </c>
      <c r="E51" s="47">
        <v>68000</v>
      </c>
      <c r="F51" s="53">
        <v>51.408000000000001</v>
      </c>
      <c r="G51" s="5">
        <v>7.2374120000000004E-3</v>
      </c>
    </row>
    <row r="52" spans="1:7" ht="12.75" x14ac:dyDescent="0.2">
      <c r="A52" s="6">
        <v>46</v>
      </c>
      <c r="B52" s="7" t="s">
        <v>193</v>
      </c>
      <c r="C52" s="11" t="s">
        <v>194</v>
      </c>
      <c r="D52" s="2" t="s">
        <v>72</v>
      </c>
      <c r="E52" s="47">
        <v>5500</v>
      </c>
      <c r="F52" s="53">
        <v>48.79325</v>
      </c>
      <c r="G52" s="5">
        <v>6.8692980000000002E-3</v>
      </c>
    </row>
    <row r="53" spans="1:7" ht="12.75" x14ac:dyDescent="0.2">
      <c r="A53" s="6">
        <v>47</v>
      </c>
      <c r="B53" s="7" t="s">
        <v>238</v>
      </c>
      <c r="C53" s="11" t="s">
        <v>239</v>
      </c>
      <c r="D53" s="2" t="s">
        <v>72</v>
      </c>
      <c r="E53" s="47">
        <v>89575</v>
      </c>
      <c r="F53" s="53">
        <v>47.967412500000002</v>
      </c>
      <c r="G53" s="5">
        <v>6.7530330000000003E-3</v>
      </c>
    </row>
    <row r="54" spans="1:7" ht="12.75" x14ac:dyDescent="0.2">
      <c r="A54" s="1"/>
      <c r="B54" s="2"/>
      <c r="C54" s="8" t="s">
        <v>108</v>
      </c>
      <c r="D54" s="12"/>
      <c r="E54" s="49"/>
      <c r="F54" s="55">
        <v>6939.8868129999992</v>
      </c>
      <c r="G54" s="13">
        <v>0.97702346099999982</v>
      </c>
    </row>
    <row r="55" spans="1:7" ht="12.75" x14ac:dyDescent="0.2">
      <c r="A55" s="6"/>
      <c r="B55" s="7"/>
      <c r="C55" s="14"/>
      <c r="D55" s="15"/>
      <c r="E55" s="47"/>
      <c r="F55" s="53"/>
      <c r="G55" s="5"/>
    </row>
    <row r="56" spans="1:7" ht="12.75" x14ac:dyDescent="0.2">
      <c r="A56" s="1"/>
      <c r="B56" s="2"/>
      <c r="C56" s="8" t="s">
        <v>109</v>
      </c>
      <c r="D56" s="9"/>
      <c r="E56" s="48"/>
      <c r="F56" s="54"/>
      <c r="G56" s="10"/>
    </row>
    <row r="57" spans="1:7" ht="12.75" x14ac:dyDescent="0.2">
      <c r="A57" s="1"/>
      <c r="B57" s="2"/>
      <c r="C57" s="8" t="s">
        <v>108</v>
      </c>
      <c r="D57" s="12"/>
      <c r="E57" s="49"/>
      <c r="F57" s="55">
        <v>0</v>
      </c>
      <c r="G57" s="13">
        <v>0</v>
      </c>
    </row>
    <row r="58" spans="1:7" ht="12.75" x14ac:dyDescent="0.2">
      <c r="A58" s="6"/>
      <c r="B58" s="7"/>
      <c r="C58" s="14"/>
      <c r="D58" s="15"/>
      <c r="E58" s="47"/>
      <c r="F58" s="53"/>
      <c r="G58" s="5"/>
    </row>
    <row r="59" spans="1:7" ht="12.75" x14ac:dyDescent="0.2">
      <c r="A59" s="16"/>
      <c r="B59" s="17"/>
      <c r="C59" s="8" t="s">
        <v>110</v>
      </c>
      <c r="D59" s="9"/>
      <c r="E59" s="48"/>
      <c r="F59" s="54"/>
      <c r="G59" s="10"/>
    </row>
    <row r="60" spans="1:7" ht="12.75" x14ac:dyDescent="0.2">
      <c r="A60" s="18"/>
      <c r="B60" s="19"/>
      <c r="C60" s="8" t="s">
        <v>108</v>
      </c>
      <c r="D60" s="20"/>
      <c r="E60" s="50"/>
      <c r="F60" s="56">
        <v>0</v>
      </c>
      <c r="G60" s="21">
        <v>0</v>
      </c>
    </row>
    <row r="61" spans="1:7" ht="12.75" x14ac:dyDescent="0.2">
      <c r="A61" s="18"/>
      <c r="B61" s="19"/>
      <c r="C61" s="14"/>
      <c r="D61" s="22"/>
      <c r="E61" s="51"/>
      <c r="F61" s="57"/>
      <c r="G61" s="23"/>
    </row>
    <row r="62" spans="1:7" ht="12.75" x14ac:dyDescent="0.2">
      <c r="A62" s="1"/>
      <c r="B62" s="2"/>
      <c r="C62" s="8" t="s">
        <v>113</v>
      </c>
      <c r="D62" s="9"/>
      <c r="E62" s="48"/>
      <c r="F62" s="54"/>
      <c r="G62" s="10"/>
    </row>
    <row r="63" spans="1:7" ht="12.75" x14ac:dyDescent="0.2">
      <c r="A63" s="1"/>
      <c r="B63" s="2"/>
      <c r="C63" s="8" t="s">
        <v>108</v>
      </c>
      <c r="D63" s="12"/>
      <c r="E63" s="49"/>
      <c r="F63" s="55">
        <v>0</v>
      </c>
      <c r="G63" s="13">
        <v>0</v>
      </c>
    </row>
    <row r="64" spans="1:7" ht="12.75" x14ac:dyDescent="0.2">
      <c r="A64" s="1"/>
      <c r="B64" s="2"/>
      <c r="C64" s="14"/>
      <c r="D64" s="4"/>
      <c r="E64" s="47"/>
      <c r="F64" s="53"/>
      <c r="G64" s="5"/>
    </row>
    <row r="65" spans="1:7" ht="12.75" x14ac:dyDescent="0.2">
      <c r="A65" s="1"/>
      <c r="B65" s="2"/>
      <c r="C65" s="8" t="s">
        <v>114</v>
      </c>
      <c r="D65" s="9"/>
      <c r="E65" s="48"/>
      <c r="F65" s="54"/>
      <c r="G65" s="10"/>
    </row>
    <row r="66" spans="1:7" ht="12.75" x14ac:dyDescent="0.2">
      <c r="A66" s="1"/>
      <c r="B66" s="2"/>
      <c r="C66" s="8" t="s">
        <v>108</v>
      </c>
      <c r="D66" s="12"/>
      <c r="E66" s="49"/>
      <c r="F66" s="55">
        <v>0</v>
      </c>
      <c r="G66" s="13">
        <v>0</v>
      </c>
    </row>
    <row r="67" spans="1:7" ht="12.75" x14ac:dyDescent="0.2">
      <c r="A67" s="1"/>
      <c r="B67" s="2"/>
      <c r="C67" s="14"/>
      <c r="D67" s="4"/>
      <c r="E67" s="47"/>
      <c r="F67" s="53"/>
      <c r="G67" s="5"/>
    </row>
    <row r="68" spans="1:7" ht="12.75" x14ac:dyDescent="0.2">
      <c r="A68" s="1"/>
      <c r="B68" s="2"/>
      <c r="C68" s="128" t="s">
        <v>115</v>
      </c>
      <c r="D68" s="9"/>
      <c r="E68" s="48"/>
      <c r="F68" s="54"/>
      <c r="G68" s="10"/>
    </row>
    <row r="69" spans="1:7" ht="12.75" x14ac:dyDescent="0.2">
      <c r="A69" s="1"/>
      <c r="B69" s="2"/>
      <c r="C69" s="8" t="s">
        <v>108</v>
      </c>
      <c r="D69" s="12"/>
      <c r="E69" s="49"/>
      <c r="F69" s="55">
        <v>0</v>
      </c>
      <c r="G69" s="13">
        <v>0</v>
      </c>
    </row>
    <row r="70" spans="1:7" ht="12.75" x14ac:dyDescent="0.2">
      <c r="A70" s="1"/>
      <c r="B70" s="2"/>
      <c r="C70" s="14"/>
      <c r="D70" s="4"/>
      <c r="E70" s="47"/>
      <c r="F70" s="53"/>
      <c r="G70" s="5"/>
    </row>
    <row r="71" spans="1:7" ht="25.5" x14ac:dyDescent="0.2">
      <c r="A71" s="6"/>
      <c r="B71" s="7"/>
      <c r="C71" s="24" t="s">
        <v>116</v>
      </c>
      <c r="D71" s="25"/>
      <c r="E71" s="49"/>
      <c r="F71" s="55">
        <v>6939.8868129999992</v>
      </c>
      <c r="G71" s="13">
        <v>0.97702346099999982</v>
      </c>
    </row>
    <row r="72" spans="1:7" ht="12.75" x14ac:dyDescent="0.2">
      <c r="A72" s="1"/>
      <c r="B72" s="2"/>
      <c r="C72" s="11"/>
      <c r="D72" s="4"/>
      <c r="E72" s="47"/>
      <c r="F72" s="53"/>
      <c r="G72" s="5"/>
    </row>
    <row r="73" spans="1:7" ht="12.75" x14ac:dyDescent="0.2">
      <c r="A73" s="1"/>
      <c r="B73" s="2"/>
      <c r="C73" s="3" t="s">
        <v>117</v>
      </c>
      <c r="D73" s="4"/>
      <c r="E73" s="47"/>
      <c r="F73" s="53"/>
      <c r="G73" s="5"/>
    </row>
    <row r="74" spans="1:7" ht="25.5" x14ac:dyDescent="0.2">
      <c r="A74" s="1"/>
      <c r="B74" s="2"/>
      <c r="C74" s="8" t="s">
        <v>10</v>
      </c>
      <c r="D74" s="9"/>
      <c r="E74" s="48"/>
      <c r="F74" s="54"/>
      <c r="G74" s="10"/>
    </row>
    <row r="75" spans="1:7" ht="12.75" x14ac:dyDescent="0.2">
      <c r="A75" s="6"/>
      <c r="B75" s="7"/>
      <c r="C75" s="8" t="s">
        <v>108</v>
      </c>
      <c r="D75" s="12"/>
      <c r="E75" s="49"/>
      <c r="F75" s="55">
        <v>0</v>
      </c>
      <c r="G75" s="13">
        <v>0</v>
      </c>
    </row>
    <row r="76" spans="1:7" ht="12.75" x14ac:dyDescent="0.2">
      <c r="A76" s="6"/>
      <c r="B76" s="7"/>
      <c r="C76" s="14"/>
      <c r="D76" s="4"/>
      <c r="E76" s="47"/>
      <c r="F76" s="53"/>
      <c r="G76" s="5"/>
    </row>
    <row r="77" spans="1:7" ht="12.75" x14ac:dyDescent="0.2">
      <c r="A77" s="1"/>
      <c r="B77" s="26"/>
      <c r="C77" s="8" t="s">
        <v>118</v>
      </c>
      <c r="D77" s="9"/>
      <c r="E77" s="48"/>
      <c r="F77" s="54"/>
      <c r="G77" s="10"/>
    </row>
    <row r="78" spans="1:7" ht="12.75" x14ac:dyDescent="0.2">
      <c r="A78" s="6"/>
      <c r="B78" s="7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6"/>
      <c r="B79" s="7"/>
      <c r="C79" s="14"/>
      <c r="D79" s="4"/>
      <c r="E79" s="47"/>
      <c r="F79" s="59"/>
      <c r="G79" s="28"/>
    </row>
    <row r="80" spans="1:7" ht="12.75" x14ac:dyDescent="0.2">
      <c r="A80" s="1"/>
      <c r="B80" s="2"/>
      <c r="C80" s="8" t="s">
        <v>119</v>
      </c>
      <c r="D80" s="9"/>
      <c r="E80" s="48"/>
      <c r="F80" s="54"/>
      <c r="G80" s="10"/>
    </row>
    <row r="81" spans="1:7" ht="12.75" x14ac:dyDescent="0.2">
      <c r="A81" s="6"/>
      <c r="B81" s="7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1"/>
      <c r="B82" s="2"/>
      <c r="C82" s="14"/>
      <c r="D82" s="4"/>
      <c r="E82" s="47"/>
      <c r="F82" s="53"/>
      <c r="G82" s="5"/>
    </row>
    <row r="83" spans="1:7" ht="25.5" x14ac:dyDescent="0.2">
      <c r="A83" s="1"/>
      <c r="B83" s="26"/>
      <c r="C83" s="8" t="s">
        <v>120</v>
      </c>
      <c r="D83" s="9"/>
      <c r="E83" s="48"/>
      <c r="F83" s="54"/>
      <c r="G83" s="10"/>
    </row>
    <row r="84" spans="1:7" ht="12.75" x14ac:dyDescent="0.2">
      <c r="A84" s="6"/>
      <c r="B84" s="7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6"/>
      <c r="B85" s="7"/>
      <c r="C85" s="14"/>
      <c r="D85" s="4"/>
      <c r="E85" s="47"/>
      <c r="F85" s="53"/>
      <c r="G85" s="5"/>
    </row>
    <row r="86" spans="1:7" ht="12.75" x14ac:dyDescent="0.2">
      <c r="A86" s="6"/>
      <c r="B86" s="7"/>
      <c r="C86" s="29" t="s">
        <v>121</v>
      </c>
      <c r="D86" s="25"/>
      <c r="E86" s="49"/>
      <c r="F86" s="55">
        <v>0</v>
      </c>
      <c r="G86" s="13">
        <v>0</v>
      </c>
    </row>
    <row r="87" spans="1:7" ht="12.75" x14ac:dyDescent="0.2">
      <c r="A87" s="6"/>
      <c r="B87" s="7"/>
      <c r="C87" s="11"/>
      <c r="D87" s="4"/>
      <c r="E87" s="47"/>
      <c r="F87" s="53"/>
      <c r="G87" s="5"/>
    </row>
    <row r="88" spans="1:7" ht="12.75" x14ac:dyDescent="0.2">
      <c r="A88" s="1"/>
      <c r="B88" s="2"/>
      <c r="C88" s="3" t="s">
        <v>122</v>
      </c>
      <c r="D88" s="4"/>
      <c r="E88" s="47"/>
      <c r="F88" s="53"/>
      <c r="G88" s="5"/>
    </row>
    <row r="89" spans="1:7" ht="12.75" x14ac:dyDescent="0.2">
      <c r="A89" s="6"/>
      <c r="B89" s="7"/>
      <c r="C89" s="8" t="s">
        <v>123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25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7"/>
      <c r="E91" s="47"/>
      <c r="F91" s="53"/>
      <c r="G91" s="5"/>
    </row>
    <row r="92" spans="1:7" ht="12.75" x14ac:dyDescent="0.2">
      <c r="A92" s="6"/>
      <c r="B92" s="7"/>
      <c r="C92" s="8" t="s">
        <v>124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25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7"/>
      <c r="E94" s="47"/>
      <c r="F94" s="53"/>
      <c r="G94" s="5"/>
    </row>
    <row r="95" spans="1:7" ht="12.75" x14ac:dyDescent="0.2">
      <c r="A95" s="6"/>
      <c r="B95" s="7"/>
      <c r="C95" s="8" t="s">
        <v>125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25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4"/>
      <c r="D97" s="7"/>
      <c r="E97" s="47"/>
      <c r="F97" s="53"/>
      <c r="G97" s="5"/>
    </row>
    <row r="98" spans="1:7" ht="12.75" x14ac:dyDescent="0.2">
      <c r="A98" s="6"/>
      <c r="B98" s="7"/>
      <c r="C98" s="8" t="s">
        <v>126</v>
      </c>
      <c r="D98" s="9"/>
      <c r="E98" s="48"/>
      <c r="F98" s="54"/>
      <c r="G98" s="10"/>
    </row>
    <row r="99" spans="1:7" ht="12.75" x14ac:dyDescent="0.2">
      <c r="A99" s="6">
        <v>1</v>
      </c>
      <c r="B99" s="7"/>
      <c r="C99" s="11" t="s">
        <v>812</v>
      </c>
      <c r="D99" s="15"/>
      <c r="E99" s="47"/>
      <c r="F99" s="53">
        <v>166.97804120000001</v>
      </c>
      <c r="G99" s="5">
        <v>2.3507798999999999E-2</v>
      </c>
    </row>
    <row r="100" spans="1:7" ht="12.75" x14ac:dyDescent="0.2">
      <c r="A100" s="6"/>
      <c r="B100" s="7"/>
      <c r="C100" s="8" t="s">
        <v>108</v>
      </c>
      <c r="D100" s="25"/>
      <c r="E100" s="49"/>
      <c r="F100" s="55">
        <v>166.97804120000001</v>
      </c>
      <c r="G100" s="13">
        <v>2.3507798999999999E-2</v>
      </c>
    </row>
    <row r="101" spans="1:7" ht="12.75" x14ac:dyDescent="0.2">
      <c r="A101" s="6"/>
      <c r="B101" s="7"/>
      <c r="C101" s="14"/>
      <c r="D101" s="7"/>
      <c r="E101" s="47"/>
      <c r="F101" s="53"/>
      <c r="G101" s="5"/>
    </row>
    <row r="102" spans="1:7" ht="25.5" x14ac:dyDescent="0.2">
      <c r="A102" s="6"/>
      <c r="B102" s="7"/>
      <c r="C102" s="24" t="s">
        <v>127</v>
      </c>
      <c r="D102" s="25"/>
      <c r="E102" s="49"/>
      <c r="F102" s="55">
        <v>166.97804120000001</v>
      </c>
      <c r="G102" s="13">
        <v>2.3507798999999999E-2</v>
      </c>
    </row>
    <row r="103" spans="1:7" ht="12.75" x14ac:dyDescent="0.2">
      <c r="A103" s="6"/>
      <c r="B103" s="7"/>
      <c r="C103" s="30"/>
      <c r="D103" s="7"/>
      <c r="E103" s="47"/>
      <c r="F103" s="53"/>
      <c r="G103" s="5"/>
    </row>
    <row r="104" spans="1:7" ht="12.75" x14ac:dyDescent="0.2">
      <c r="A104" s="1"/>
      <c r="B104" s="2"/>
      <c r="C104" s="3" t="s">
        <v>128</v>
      </c>
      <c r="D104" s="4"/>
      <c r="E104" s="47"/>
      <c r="F104" s="53"/>
      <c r="G104" s="5"/>
    </row>
    <row r="105" spans="1:7" ht="25.5" x14ac:dyDescent="0.2">
      <c r="A105" s="6"/>
      <c r="B105" s="7"/>
      <c r="C105" s="8" t="s">
        <v>129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12.75" x14ac:dyDescent="0.2">
      <c r="A108" s="1"/>
      <c r="B108" s="2"/>
      <c r="C108" s="3" t="s">
        <v>131</v>
      </c>
      <c r="D108" s="4"/>
      <c r="E108" s="47"/>
      <c r="F108" s="53"/>
      <c r="G108" s="5"/>
    </row>
    <row r="109" spans="1:7" ht="25.5" x14ac:dyDescent="0.2">
      <c r="A109" s="6"/>
      <c r="B109" s="7"/>
      <c r="C109" s="8" t="s">
        <v>132</v>
      </c>
      <c r="D109" s="9"/>
      <c r="E109" s="48"/>
      <c r="F109" s="54"/>
      <c r="G109" s="10"/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0</v>
      </c>
      <c r="G110" s="13">
        <v>0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25.5" x14ac:dyDescent="0.2">
      <c r="A112" s="6"/>
      <c r="B112" s="7"/>
      <c r="C112" s="8" t="s">
        <v>133</v>
      </c>
      <c r="D112" s="9"/>
      <c r="E112" s="48"/>
      <c r="F112" s="54"/>
      <c r="G112" s="10"/>
    </row>
    <row r="113" spans="1:7" ht="12.75" x14ac:dyDescent="0.2">
      <c r="A113" s="6"/>
      <c r="B113" s="7"/>
      <c r="C113" s="8" t="s">
        <v>108</v>
      </c>
      <c r="D113" s="25"/>
      <c r="E113" s="49"/>
      <c r="F113" s="55">
        <v>0</v>
      </c>
      <c r="G113" s="13">
        <v>0</v>
      </c>
    </row>
    <row r="114" spans="1:7" ht="12.75" x14ac:dyDescent="0.2">
      <c r="A114" s="6"/>
      <c r="B114" s="7"/>
      <c r="C114" s="14"/>
      <c r="D114" s="7"/>
      <c r="E114" s="47"/>
      <c r="F114" s="59"/>
      <c r="G114" s="28"/>
    </row>
    <row r="115" spans="1:7" ht="25.5" x14ac:dyDescent="0.2">
      <c r="A115" s="6"/>
      <c r="B115" s="7"/>
      <c r="C115" s="30" t="s">
        <v>134</v>
      </c>
      <c r="D115" s="7"/>
      <c r="E115" s="47"/>
      <c r="F115" s="128">
        <v>-3.77357714</v>
      </c>
      <c r="G115" s="137">
        <v>-5.3125843281601475E-4</v>
      </c>
    </row>
    <row r="116" spans="1:7" ht="12.75" x14ac:dyDescent="0.2">
      <c r="A116" s="6"/>
      <c r="B116" s="7"/>
      <c r="C116" s="31" t="s">
        <v>135</v>
      </c>
      <c r="D116" s="12"/>
      <c r="E116" s="49"/>
      <c r="F116" s="55">
        <v>7103.0912770599989</v>
      </c>
      <c r="G116" s="13">
        <v>1.0000000019999997</v>
      </c>
    </row>
    <row r="118" spans="1:7" ht="12.75" x14ac:dyDescent="0.2">
      <c r="B118" s="179"/>
      <c r="C118" s="179"/>
      <c r="D118" s="179"/>
      <c r="E118" s="179"/>
      <c r="F118" s="179"/>
    </row>
    <row r="119" spans="1:7" ht="12.75" x14ac:dyDescent="0.2">
      <c r="B119" s="179"/>
      <c r="C119" s="179"/>
      <c r="D119" s="179"/>
      <c r="E119" s="179"/>
      <c r="F119" s="179"/>
    </row>
    <row r="121" spans="1:7" ht="12.75" x14ac:dyDescent="0.2">
      <c r="B121" s="37" t="s">
        <v>137</v>
      </c>
      <c r="C121" s="38"/>
      <c r="D121" s="39"/>
    </row>
    <row r="122" spans="1:7" ht="12.75" x14ac:dyDescent="0.2">
      <c r="B122" s="40" t="s">
        <v>808</v>
      </c>
      <c r="C122" s="41"/>
      <c r="D122" s="65" t="s">
        <v>138</v>
      </c>
    </row>
    <row r="123" spans="1:7" ht="12.75" x14ac:dyDescent="0.2">
      <c r="B123" s="40" t="s">
        <v>139</v>
      </c>
      <c r="C123" s="41"/>
      <c r="D123" s="65" t="s">
        <v>138</v>
      </c>
    </row>
    <row r="124" spans="1:7" ht="12.75" x14ac:dyDescent="0.2">
      <c r="B124" s="42" t="s">
        <v>140</v>
      </c>
      <c r="C124" s="41"/>
      <c r="D124" s="43"/>
    </row>
    <row r="125" spans="1:7" ht="25.5" customHeight="1" x14ac:dyDescent="0.2">
      <c r="B125" s="43"/>
      <c r="C125" s="33" t="s">
        <v>141</v>
      </c>
      <c r="D125" s="34" t="s">
        <v>142</v>
      </c>
    </row>
    <row r="126" spans="1:7" ht="12.75" customHeight="1" x14ac:dyDescent="0.2">
      <c r="B126" s="60" t="s">
        <v>143</v>
      </c>
      <c r="C126" s="61" t="s">
        <v>144</v>
      </c>
      <c r="D126" s="61" t="s">
        <v>145</v>
      </c>
    </row>
    <row r="127" spans="1:7" ht="12.75" x14ac:dyDescent="0.2">
      <c r="B127" s="43" t="s">
        <v>146</v>
      </c>
      <c r="C127" s="44">
        <v>10.127800000000001</v>
      </c>
      <c r="D127" s="44">
        <v>10.658899999999999</v>
      </c>
    </row>
    <row r="128" spans="1:7" ht="12.75" x14ac:dyDescent="0.2">
      <c r="B128" s="43" t="s">
        <v>147</v>
      </c>
      <c r="C128" s="44">
        <v>10.127800000000001</v>
      </c>
      <c r="D128" s="44">
        <v>10.658899999999999</v>
      </c>
    </row>
    <row r="129" spans="2:4" ht="12.75" x14ac:dyDescent="0.2">
      <c r="B129" s="43" t="s">
        <v>148</v>
      </c>
      <c r="C129" s="44">
        <v>10.0669</v>
      </c>
      <c r="D129" s="44">
        <v>10.591100000000001</v>
      </c>
    </row>
    <row r="130" spans="2:4" ht="12.75" x14ac:dyDescent="0.2">
      <c r="B130" s="43" t="s">
        <v>149</v>
      </c>
      <c r="C130" s="44">
        <v>10.067</v>
      </c>
      <c r="D130" s="44">
        <v>10.591100000000001</v>
      </c>
    </row>
    <row r="132" spans="2:4" ht="12.75" x14ac:dyDescent="0.2">
      <c r="B132" s="62" t="s">
        <v>150</v>
      </c>
      <c r="C132" s="45"/>
      <c r="D132" s="63" t="s">
        <v>138</v>
      </c>
    </row>
    <row r="133" spans="2:4" ht="24.75" customHeight="1" x14ac:dyDescent="0.2">
      <c r="B133" s="64"/>
      <c r="C133" s="64"/>
    </row>
    <row r="134" spans="2:4" ht="15" x14ac:dyDescent="0.25">
      <c r="B134" s="66"/>
      <c r="C134" s="68"/>
      <c r="D134"/>
    </row>
    <row r="136" spans="2:4" ht="12.75" x14ac:dyDescent="0.2">
      <c r="B136" s="42" t="s">
        <v>151</v>
      </c>
      <c r="C136" s="41"/>
      <c r="D136" s="67" t="s">
        <v>138</v>
      </c>
    </row>
    <row r="137" spans="2:4" ht="12.75" x14ac:dyDescent="0.2">
      <c r="B137" s="42" t="s">
        <v>152</v>
      </c>
      <c r="C137" s="41"/>
      <c r="D137" s="67" t="s">
        <v>138</v>
      </c>
    </row>
    <row r="138" spans="2:4" ht="12.75" x14ac:dyDescent="0.2">
      <c r="B138" s="42" t="s">
        <v>153</v>
      </c>
      <c r="C138" s="41"/>
      <c r="D138" s="46">
        <v>5.2781229306946731E-2</v>
      </c>
    </row>
    <row r="139" spans="2:4" ht="12.75" x14ac:dyDescent="0.2">
      <c r="B139" s="42" t="s">
        <v>154</v>
      </c>
      <c r="C139" s="41"/>
      <c r="D139" s="46" t="s">
        <v>138</v>
      </c>
    </row>
  </sheetData>
  <mergeCells count="5">
    <mergeCell ref="A1:G1"/>
    <mergeCell ref="A2:G2"/>
    <mergeCell ref="A3:G3"/>
    <mergeCell ref="B118:F118"/>
    <mergeCell ref="B119:F119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25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495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36</v>
      </c>
      <c r="C7" s="11" t="s">
        <v>37</v>
      </c>
      <c r="D7" s="2" t="s">
        <v>16</v>
      </c>
      <c r="E7" s="47">
        <v>778385</v>
      </c>
      <c r="F7" s="53">
        <v>9576.8598474999999</v>
      </c>
      <c r="G7" s="5">
        <v>9.1569593000000005E-2</v>
      </c>
    </row>
    <row r="8" spans="1:7" ht="25.5" x14ac:dyDescent="0.2">
      <c r="A8" s="6">
        <v>2</v>
      </c>
      <c r="B8" s="7" t="s">
        <v>31</v>
      </c>
      <c r="C8" s="11" t="s">
        <v>32</v>
      </c>
      <c r="D8" s="2" t="s">
        <v>33</v>
      </c>
      <c r="E8" s="47">
        <v>635302</v>
      </c>
      <c r="F8" s="53">
        <v>9303.0448369999995</v>
      </c>
      <c r="G8" s="5">
        <v>8.8951498000000004E-2</v>
      </c>
    </row>
    <row r="9" spans="1:7" ht="12.75" x14ac:dyDescent="0.2">
      <c r="A9" s="6">
        <v>3</v>
      </c>
      <c r="B9" s="7" t="s">
        <v>14</v>
      </c>
      <c r="C9" s="11" t="s">
        <v>15</v>
      </c>
      <c r="D9" s="2" t="s">
        <v>16</v>
      </c>
      <c r="E9" s="47">
        <v>1959917</v>
      </c>
      <c r="F9" s="53">
        <v>9075.3956684999994</v>
      </c>
      <c r="G9" s="5">
        <v>8.6774820000000003E-2</v>
      </c>
    </row>
    <row r="10" spans="1:7" ht="25.5" x14ac:dyDescent="0.2">
      <c r="A10" s="6">
        <v>4</v>
      </c>
      <c r="B10" s="7" t="s">
        <v>11</v>
      </c>
      <c r="C10" s="11" t="s">
        <v>12</v>
      </c>
      <c r="D10" s="2" t="s">
        <v>13</v>
      </c>
      <c r="E10" s="47">
        <v>566190</v>
      </c>
      <c r="F10" s="53">
        <v>8340.2617950000003</v>
      </c>
      <c r="G10" s="5">
        <v>7.9745803000000004E-2</v>
      </c>
    </row>
    <row r="11" spans="1:7" ht="12.75" x14ac:dyDescent="0.2">
      <c r="A11" s="6">
        <v>5</v>
      </c>
      <c r="B11" s="7" t="s">
        <v>408</v>
      </c>
      <c r="C11" s="11" t="s">
        <v>409</v>
      </c>
      <c r="D11" s="2" t="s">
        <v>16</v>
      </c>
      <c r="E11" s="47">
        <v>863592</v>
      </c>
      <c r="F11" s="53">
        <v>6359.0596919999998</v>
      </c>
      <c r="G11" s="5">
        <v>6.0802447000000003E-2</v>
      </c>
    </row>
    <row r="12" spans="1:7" ht="25.5" x14ac:dyDescent="0.2">
      <c r="A12" s="6">
        <v>6</v>
      </c>
      <c r="B12" s="7" t="s">
        <v>432</v>
      </c>
      <c r="C12" s="11" t="s">
        <v>433</v>
      </c>
      <c r="D12" s="2" t="s">
        <v>72</v>
      </c>
      <c r="E12" s="47">
        <v>293021</v>
      </c>
      <c r="F12" s="53">
        <v>6246.9146989999999</v>
      </c>
      <c r="G12" s="5">
        <v>5.9730167000000001E-2</v>
      </c>
    </row>
    <row r="13" spans="1:7" ht="25.5" x14ac:dyDescent="0.2">
      <c r="A13" s="6">
        <v>7</v>
      </c>
      <c r="B13" s="7" t="s">
        <v>424</v>
      </c>
      <c r="C13" s="11" t="s">
        <v>425</v>
      </c>
      <c r="D13" s="2" t="s">
        <v>30</v>
      </c>
      <c r="E13" s="47">
        <v>250044</v>
      </c>
      <c r="F13" s="53">
        <v>5439.3321539999997</v>
      </c>
      <c r="G13" s="5">
        <v>5.2008429000000002E-2</v>
      </c>
    </row>
    <row r="14" spans="1:7" ht="12.75" x14ac:dyDescent="0.2">
      <c r="A14" s="6">
        <v>8</v>
      </c>
      <c r="B14" s="7" t="s">
        <v>496</v>
      </c>
      <c r="C14" s="11" t="s">
        <v>497</v>
      </c>
      <c r="D14" s="2" t="s">
        <v>16</v>
      </c>
      <c r="E14" s="47">
        <v>328849</v>
      </c>
      <c r="F14" s="53">
        <v>5177.7275049999998</v>
      </c>
      <c r="G14" s="5">
        <v>4.9507084E-2</v>
      </c>
    </row>
    <row r="15" spans="1:7" ht="12.75" x14ac:dyDescent="0.2">
      <c r="A15" s="6">
        <v>9</v>
      </c>
      <c r="B15" s="7" t="s">
        <v>498</v>
      </c>
      <c r="C15" s="11" t="s">
        <v>499</v>
      </c>
      <c r="D15" s="2" t="s">
        <v>242</v>
      </c>
      <c r="E15" s="47">
        <v>538481</v>
      </c>
      <c r="F15" s="53">
        <v>3691.8257359999998</v>
      </c>
      <c r="G15" s="5">
        <v>3.5299563999999999E-2</v>
      </c>
    </row>
    <row r="16" spans="1:7" ht="25.5" x14ac:dyDescent="0.2">
      <c r="A16" s="6">
        <v>10</v>
      </c>
      <c r="B16" s="7" t="s">
        <v>63</v>
      </c>
      <c r="C16" s="11" t="s">
        <v>64</v>
      </c>
      <c r="D16" s="2" t="s">
        <v>65</v>
      </c>
      <c r="E16" s="47">
        <v>970209</v>
      </c>
      <c r="F16" s="53">
        <v>3631.0071825</v>
      </c>
      <c r="G16" s="5">
        <v>3.4718045000000003E-2</v>
      </c>
    </row>
    <row r="17" spans="1:7" ht="25.5" x14ac:dyDescent="0.2">
      <c r="A17" s="6">
        <v>11</v>
      </c>
      <c r="B17" s="7" t="s">
        <v>404</v>
      </c>
      <c r="C17" s="11" t="s">
        <v>405</v>
      </c>
      <c r="D17" s="2" t="s">
        <v>72</v>
      </c>
      <c r="E17" s="47">
        <v>323033</v>
      </c>
      <c r="F17" s="53">
        <v>3202.8721949999999</v>
      </c>
      <c r="G17" s="5">
        <v>3.0624412E-2</v>
      </c>
    </row>
    <row r="18" spans="1:7" ht="25.5" x14ac:dyDescent="0.2">
      <c r="A18" s="6">
        <v>12</v>
      </c>
      <c r="B18" s="7" t="s">
        <v>418</v>
      </c>
      <c r="C18" s="11" t="s">
        <v>419</v>
      </c>
      <c r="D18" s="2" t="s">
        <v>30</v>
      </c>
      <c r="E18" s="47">
        <v>1141517</v>
      </c>
      <c r="F18" s="53">
        <v>2941.1185504999999</v>
      </c>
      <c r="G18" s="5">
        <v>2.8121643000000002E-2</v>
      </c>
    </row>
    <row r="19" spans="1:7" ht="25.5" x14ac:dyDescent="0.2">
      <c r="A19" s="6">
        <v>13</v>
      </c>
      <c r="B19" s="7" t="s">
        <v>70</v>
      </c>
      <c r="C19" s="11" t="s">
        <v>71</v>
      </c>
      <c r="D19" s="2" t="s">
        <v>72</v>
      </c>
      <c r="E19" s="47">
        <v>205155</v>
      </c>
      <c r="F19" s="53">
        <v>2754.82134</v>
      </c>
      <c r="G19" s="5">
        <v>2.6340353E-2</v>
      </c>
    </row>
    <row r="20" spans="1:7" ht="25.5" x14ac:dyDescent="0.2">
      <c r="A20" s="6">
        <v>14</v>
      </c>
      <c r="B20" s="7" t="s">
        <v>318</v>
      </c>
      <c r="C20" s="11" t="s">
        <v>319</v>
      </c>
      <c r="D20" s="2" t="s">
        <v>30</v>
      </c>
      <c r="E20" s="47">
        <v>380905</v>
      </c>
      <c r="F20" s="53">
        <v>2362.1823574999999</v>
      </c>
      <c r="G20" s="5">
        <v>2.2586116999999999E-2</v>
      </c>
    </row>
    <row r="21" spans="1:7" ht="12.75" x14ac:dyDescent="0.2">
      <c r="A21" s="6">
        <v>15</v>
      </c>
      <c r="B21" s="7" t="s">
        <v>500</v>
      </c>
      <c r="C21" s="11" t="s">
        <v>501</v>
      </c>
      <c r="D21" s="2" t="s">
        <v>40</v>
      </c>
      <c r="E21" s="47">
        <v>1800429</v>
      </c>
      <c r="F21" s="53">
        <v>2203.7250960000001</v>
      </c>
      <c r="G21" s="5">
        <v>2.1071020999999999E-2</v>
      </c>
    </row>
    <row r="22" spans="1:7" ht="12.75" x14ac:dyDescent="0.2">
      <c r="A22" s="6">
        <v>16</v>
      </c>
      <c r="B22" s="7" t="s">
        <v>420</v>
      </c>
      <c r="C22" s="11" t="s">
        <v>421</v>
      </c>
      <c r="D22" s="2" t="s">
        <v>72</v>
      </c>
      <c r="E22" s="47">
        <v>52387</v>
      </c>
      <c r="F22" s="53">
        <v>2109.9126185</v>
      </c>
      <c r="G22" s="5">
        <v>2.0174028E-2</v>
      </c>
    </row>
    <row r="23" spans="1:7" ht="12.75" x14ac:dyDescent="0.2">
      <c r="A23" s="6">
        <v>17</v>
      </c>
      <c r="B23" s="7" t="s">
        <v>299</v>
      </c>
      <c r="C23" s="11" t="s">
        <v>300</v>
      </c>
      <c r="D23" s="2" t="s">
        <v>223</v>
      </c>
      <c r="E23" s="47">
        <v>387406</v>
      </c>
      <c r="F23" s="53">
        <v>2098.384599</v>
      </c>
      <c r="G23" s="5">
        <v>2.0063801999999999E-2</v>
      </c>
    </row>
    <row r="24" spans="1:7" ht="12.75" x14ac:dyDescent="0.2">
      <c r="A24" s="6">
        <v>18</v>
      </c>
      <c r="B24" s="7" t="s">
        <v>350</v>
      </c>
      <c r="C24" s="11" t="s">
        <v>351</v>
      </c>
      <c r="D24" s="2" t="s">
        <v>158</v>
      </c>
      <c r="E24" s="47">
        <v>224494</v>
      </c>
      <c r="F24" s="53">
        <v>1967.6899100000001</v>
      </c>
      <c r="G24" s="5">
        <v>1.8814159E-2</v>
      </c>
    </row>
    <row r="25" spans="1:7" ht="25.5" x14ac:dyDescent="0.2">
      <c r="A25" s="6">
        <v>19</v>
      </c>
      <c r="B25" s="7" t="s">
        <v>450</v>
      </c>
      <c r="C25" s="11" t="s">
        <v>451</v>
      </c>
      <c r="D25" s="2" t="s">
        <v>47</v>
      </c>
      <c r="E25" s="47">
        <v>142056</v>
      </c>
      <c r="F25" s="53">
        <v>1891.0494719999999</v>
      </c>
      <c r="G25" s="5">
        <v>1.8081357999999999E-2</v>
      </c>
    </row>
    <row r="26" spans="1:7" ht="12.75" x14ac:dyDescent="0.2">
      <c r="A26" s="6">
        <v>20</v>
      </c>
      <c r="B26" s="7" t="s">
        <v>502</v>
      </c>
      <c r="C26" s="11" t="s">
        <v>503</v>
      </c>
      <c r="D26" s="2" t="s">
        <v>16</v>
      </c>
      <c r="E26" s="47">
        <v>555000</v>
      </c>
      <c r="F26" s="53">
        <v>1733.82</v>
      </c>
      <c r="G26" s="5">
        <v>1.6578000999999998E-2</v>
      </c>
    </row>
    <row r="27" spans="1:7" ht="12.75" x14ac:dyDescent="0.2">
      <c r="A27" s="6">
        <v>21</v>
      </c>
      <c r="B27" s="7" t="s">
        <v>379</v>
      </c>
      <c r="C27" s="11" t="s">
        <v>380</v>
      </c>
      <c r="D27" s="2" t="s">
        <v>226</v>
      </c>
      <c r="E27" s="47">
        <v>95572</v>
      </c>
      <c r="F27" s="53">
        <v>1697.645436</v>
      </c>
      <c r="G27" s="5">
        <v>1.6232116000000001E-2</v>
      </c>
    </row>
    <row r="28" spans="1:7" ht="25.5" x14ac:dyDescent="0.2">
      <c r="A28" s="6">
        <v>22</v>
      </c>
      <c r="B28" s="7" t="s">
        <v>406</v>
      </c>
      <c r="C28" s="11" t="s">
        <v>407</v>
      </c>
      <c r="D28" s="2" t="s">
        <v>47</v>
      </c>
      <c r="E28" s="47">
        <v>618575</v>
      </c>
      <c r="F28" s="53">
        <v>1539.6331749999999</v>
      </c>
      <c r="G28" s="5">
        <v>1.4721275000000001E-2</v>
      </c>
    </row>
    <row r="29" spans="1:7" ht="25.5" x14ac:dyDescent="0.2">
      <c r="A29" s="6">
        <v>23</v>
      </c>
      <c r="B29" s="7" t="s">
        <v>446</v>
      </c>
      <c r="C29" s="11" t="s">
        <v>447</v>
      </c>
      <c r="D29" s="2" t="s">
        <v>47</v>
      </c>
      <c r="E29" s="47">
        <v>202779</v>
      </c>
      <c r="F29" s="53">
        <v>1436.6892150000001</v>
      </c>
      <c r="G29" s="5">
        <v>1.3736971000000001E-2</v>
      </c>
    </row>
    <row r="30" spans="1:7" ht="25.5" x14ac:dyDescent="0.2">
      <c r="A30" s="6">
        <v>24</v>
      </c>
      <c r="B30" s="7" t="s">
        <v>104</v>
      </c>
      <c r="C30" s="11" t="s">
        <v>105</v>
      </c>
      <c r="D30" s="2" t="s">
        <v>33</v>
      </c>
      <c r="E30" s="47">
        <v>204979</v>
      </c>
      <c r="F30" s="53">
        <v>1079.419414</v>
      </c>
      <c r="G30" s="5">
        <v>1.0320919E-2</v>
      </c>
    </row>
    <row r="31" spans="1:7" ht="12.75" x14ac:dyDescent="0.2">
      <c r="A31" s="6">
        <v>25</v>
      </c>
      <c r="B31" s="7" t="s">
        <v>91</v>
      </c>
      <c r="C31" s="11" t="s">
        <v>92</v>
      </c>
      <c r="D31" s="2" t="s">
        <v>19</v>
      </c>
      <c r="E31" s="47">
        <v>25534</v>
      </c>
      <c r="F31" s="53">
        <v>1057.9246880000001</v>
      </c>
      <c r="G31" s="5">
        <v>1.0115396E-2</v>
      </c>
    </row>
    <row r="32" spans="1:7" ht="25.5" x14ac:dyDescent="0.2">
      <c r="A32" s="6">
        <v>26</v>
      </c>
      <c r="B32" s="7" t="s">
        <v>504</v>
      </c>
      <c r="C32" s="11" t="s">
        <v>505</v>
      </c>
      <c r="D32" s="2" t="s">
        <v>27</v>
      </c>
      <c r="E32" s="47">
        <v>66425</v>
      </c>
      <c r="F32" s="53">
        <v>968.87504999999999</v>
      </c>
      <c r="G32" s="5">
        <v>9.2639439999999997E-3</v>
      </c>
    </row>
    <row r="33" spans="1:7" ht="12.75" x14ac:dyDescent="0.2">
      <c r="A33" s="6">
        <v>27</v>
      </c>
      <c r="B33" s="7" t="s">
        <v>506</v>
      </c>
      <c r="C33" s="11" t="s">
        <v>507</v>
      </c>
      <c r="D33" s="2" t="s">
        <v>168</v>
      </c>
      <c r="E33" s="47">
        <v>493065</v>
      </c>
      <c r="F33" s="53">
        <v>952.10851500000001</v>
      </c>
      <c r="G33" s="5">
        <v>9.1036299999999997E-3</v>
      </c>
    </row>
    <row r="34" spans="1:7" ht="12.75" x14ac:dyDescent="0.2">
      <c r="A34" s="6">
        <v>28</v>
      </c>
      <c r="B34" s="7" t="s">
        <v>508</v>
      </c>
      <c r="C34" s="11" t="s">
        <v>509</v>
      </c>
      <c r="D34" s="2" t="s">
        <v>168</v>
      </c>
      <c r="E34" s="47">
        <v>660000</v>
      </c>
      <c r="F34" s="53">
        <v>811.47</v>
      </c>
      <c r="G34" s="5">
        <v>7.7589080000000001E-3</v>
      </c>
    </row>
    <row r="35" spans="1:7" ht="12.75" x14ac:dyDescent="0.2">
      <c r="A35" s="6">
        <v>29</v>
      </c>
      <c r="B35" s="7" t="s">
        <v>510</v>
      </c>
      <c r="C35" s="11" t="s">
        <v>511</v>
      </c>
      <c r="D35" s="2" t="s">
        <v>19</v>
      </c>
      <c r="E35" s="47">
        <v>2333</v>
      </c>
      <c r="F35" s="53">
        <v>464.33815650000003</v>
      </c>
      <c r="G35" s="5">
        <v>4.4397910000000002E-3</v>
      </c>
    </row>
    <row r="36" spans="1:7" ht="12.75" x14ac:dyDescent="0.2">
      <c r="A36" s="6">
        <v>30</v>
      </c>
      <c r="B36" s="7" t="s">
        <v>393</v>
      </c>
      <c r="C36" s="11" t="s">
        <v>394</v>
      </c>
      <c r="D36" s="2" t="s">
        <v>158</v>
      </c>
      <c r="E36" s="47">
        <v>11225</v>
      </c>
      <c r="F36" s="53">
        <v>26.687437500000001</v>
      </c>
      <c r="G36" s="5">
        <v>2.5517299999999998E-4</v>
      </c>
    </row>
    <row r="37" spans="1:7" ht="12.75" x14ac:dyDescent="0.2">
      <c r="A37" s="1"/>
      <c r="B37" s="2"/>
      <c r="C37" s="8" t="s">
        <v>108</v>
      </c>
      <c r="D37" s="12"/>
      <c r="E37" s="49"/>
      <c r="F37" s="55">
        <v>100141.79634200003</v>
      </c>
      <c r="G37" s="13">
        <v>0.95751046700000009</v>
      </c>
    </row>
    <row r="38" spans="1:7" ht="12.75" x14ac:dyDescent="0.2">
      <c r="A38" s="6"/>
      <c r="B38" s="7"/>
      <c r="C38" s="14"/>
      <c r="D38" s="15"/>
      <c r="E38" s="47"/>
      <c r="F38" s="53"/>
      <c r="G38" s="5"/>
    </row>
    <row r="39" spans="1:7" ht="12.75" x14ac:dyDescent="0.2">
      <c r="A39" s="1"/>
      <c r="B39" s="2"/>
      <c r="C39" s="8" t="s">
        <v>109</v>
      </c>
      <c r="D39" s="9"/>
      <c r="E39" s="48"/>
      <c r="F39" s="54"/>
      <c r="G39" s="10"/>
    </row>
    <row r="40" spans="1:7" ht="12.75" x14ac:dyDescent="0.2">
      <c r="A40" s="1"/>
      <c r="B40" s="2"/>
      <c r="C40" s="8" t="s">
        <v>108</v>
      </c>
      <c r="D40" s="12"/>
      <c r="E40" s="49"/>
      <c r="F40" s="55">
        <v>0</v>
      </c>
      <c r="G40" s="13">
        <v>0</v>
      </c>
    </row>
    <row r="41" spans="1:7" ht="12.75" x14ac:dyDescent="0.2">
      <c r="A41" s="6"/>
      <c r="B41" s="7"/>
      <c r="C41" s="14"/>
      <c r="D41" s="15"/>
      <c r="E41" s="47"/>
      <c r="F41" s="53"/>
      <c r="G41" s="5"/>
    </row>
    <row r="42" spans="1:7" ht="12.75" x14ac:dyDescent="0.2">
      <c r="A42" s="16"/>
      <c r="B42" s="17"/>
      <c r="C42" s="8" t="s">
        <v>110</v>
      </c>
      <c r="D42" s="9"/>
      <c r="E42" s="48"/>
      <c r="F42" s="54"/>
      <c r="G42" s="10"/>
    </row>
    <row r="43" spans="1:7" ht="12.75" x14ac:dyDescent="0.2">
      <c r="A43" s="18"/>
      <c r="B43" s="19"/>
      <c r="C43" s="8" t="s">
        <v>108</v>
      </c>
      <c r="D43" s="20"/>
      <c r="E43" s="50"/>
      <c r="F43" s="56">
        <v>0</v>
      </c>
      <c r="G43" s="21">
        <v>0</v>
      </c>
    </row>
    <row r="44" spans="1:7" ht="12.75" x14ac:dyDescent="0.2">
      <c r="A44" s="18"/>
      <c r="B44" s="19"/>
      <c r="C44" s="14"/>
      <c r="D44" s="22"/>
      <c r="E44" s="51"/>
      <c r="F44" s="57"/>
      <c r="G44" s="23"/>
    </row>
    <row r="45" spans="1:7" ht="12.75" x14ac:dyDescent="0.2">
      <c r="A45" s="1"/>
      <c r="B45" s="2"/>
      <c r="C45" s="8" t="s">
        <v>113</v>
      </c>
      <c r="D45" s="9"/>
      <c r="E45" s="48"/>
      <c r="F45" s="54"/>
      <c r="G45" s="10"/>
    </row>
    <row r="46" spans="1:7" ht="12.75" x14ac:dyDescent="0.2">
      <c r="A46" s="1"/>
      <c r="B46" s="2"/>
      <c r="C46" s="8" t="s">
        <v>108</v>
      </c>
      <c r="D46" s="12"/>
      <c r="E46" s="49"/>
      <c r="F46" s="55">
        <v>0</v>
      </c>
      <c r="G46" s="13">
        <v>0</v>
      </c>
    </row>
    <row r="47" spans="1:7" ht="12.75" x14ac:dyDescent="0.2">
      <c r="A47" s="1"/>
      <c r="B47" s="2"/>
      <c r="C47" s="14"/>
      <c r="D47" s="4"/>
      <c r="E47" s="47"/>
      <c r="F47" s="53"/>
      <c r="G47" s="5"/>
    </row>
    <row r="48" spans="1:7" ht="12.75" x14ac:dyDescent="0.2">
      <c r="A48" s="1"/>
      <c r="B48" s="2"/>
      <c r="C48" s="8" t="s">
        <v>114</v>
      </c>
      <c r="D48" s="9"/>
      <c r="E48" s="48"/>
      <c r="F48" s="54"/>
      <c r="G48" s="10"/>
    </row>
    <row r="49" spans="1:7" ht="12.75" x14ac:dyDescent="0.2">
      <c r="A49" s="1"/>
      <c r="B49" s="2"/>
      <c r="C49" s="8" t="s">
        <v>108</v>
      </c>
      <c r="D49" s="12"/>
      <c r="E49" s="49"/>
      <c r="F49" s="55">
        <v>0</v>
      </c>
      <c r="G49" s="13">
        <v>0</v>
      </c>
    </row>
    <row r="50" spans="1:7" ht="12.75" x14ac:dyDescent="0.2">
      <c r="A50" s="1"/>
      <c r="B50" s="2"/>
      <c r="C50" s="14"/>
      <c r="D50" s="4"/>
      <c r="E50" s="47"/>
      <c r="F50" s="53"/>
      <c r="G50" s="5"/>
    </row>
    <row r="51" spans="1:7" ht="12.75" x14ac:dyDescent="0.2">
      <c r="A51" s="1"/>
      <c r="B51" s="2"/>
      <c r="C51" s="8" t="s">
        <v>115</v>
      </c>
      <c r="D51" s="9"/>
      <c r="E51" s="48"/>
      <c r="F51" s="54"/>
      <c r="G51" s="10"/>
    </row>
    <row r="52" spans="1:7" ht="12.75" x14ac:dyDescent="0.2">
      <c r="A52" s="1"/>
      <c r="B52" s="2"/>
      <c r="C52" s="8" t="s">
        <v>108</v>
      </c>
      <c r="D52" s="12"/>
      <c r="E52" s="49"/>
      <c r="F52" s="55">
        <v>0</v>
      </c>
      <c r="G52" s="13">
        <v>0</v>
      </c>
    </row>
    <row r="53" spans="1:7" ht="12.75" x14ac:dyDescent="0.2">
      <c r="A53" s="1"/>
      <c r="B53" s="2"/>
      <c r="C53" s="14"/>
      <c r="D53" s="4"/>
      <c r="E53" s="47"/>
      <c r="F53" s="53"/>
      <c r="G53" s="5"/>
    </row>
    <row r="54" spans="1:7" ht="25.5" x14ac:dyDescent="0.2">
      <c r="A54" s="6"/>
      <c r="B54" s="7"/>
      <c r="C54" s="24" t="s">
        <v>116</v>
      </c>
      <c r="D54" s="25"/>
      <c r="E54" s="49"/>
      <c r="F54" s="55">
        <v>100141.79634200003</v>
      </c>
      <c r="G54" s="13">
        <v>0.95751046700000009</v>
      </c>
    </row>
    <row r="55" spans="1:7" ht="12.75" x14ac:dyDescent="0.2">
      <c r="A55" s="1"/>
      <c r="B55" s="2"/>
      <c r="C55" s="11"/>
      <c r="D55" s="4"/>
      <c r="E55" s="47"/>
      <c r="F55" s="53"/>
      <c r="G55" s="5"/>
    </row>
    <row r="56" spans="1:7" ht="12.75" x14ac:dyDescent="0.2">
      <c r="A56" s="1"/>
      <c r="B56" s="2"/>
      <c r="C56" s="3" t="s">
        <v>117</v>
      </c>
      <c r="D56" s="4"/>
      <c r="E56" s="47"/>
      <c r="F56" s="53"/>
      <c r="G56" s="5"/>
    </row>
    <row r="57" spans="1:7" ht="25.5" x14ac:dyDescent="0.2">
      <c r="A57" s="1"/>
      <c r="B57" s="2"/>
      <c r="C57" s="8" t="s">
        <v>10</v>
      </c>
      <c r="D57" s="9"/>
      <c r="E57" s="48"/>
      <c r="F57" s="54"/>
      <c r="G57" s="10"/>
    </row>
    <row r="58" spans="1:7" ht="12.75" x14ac:dyDescent="0.2">
      <c r="A58" s="6"/>
      <c r="B58" s="7"/>
      <c r="C58" s="8" t="s">
        <v>108</v>
      </c>
      <c r="D58" s="12"/>
      <c r="E58" s="49"/>
      <c r="F58" s="55">
        <v>0</v>
      </c>
      <c r="G58" s="13">
        <v>0</v>
      </c>
    </row>
    <row r="59" spans="1:7" ht="12.75" x14ac:dyDescent="0.2">
      <c r="A59" s="6"/>
      <c r="B59" s="7"/>
      <c r="C59" s="14"/>
      <c r="D59" s="4"/>
      <c r="E59" s="47"/>
      <c r="F59" s="53"/>
      <c r="G59" s="5"/>
    </row>
    <row r="60" spans="1:7" ht="12.75" x14ac:dyDescent="0.2">
      <c r="A60" s="1"/>
      <c r="B60" s="26"/>
      <c r="C60" s="8" t="s">
        <v>118</v>
      </c>
      <c r="D60" s="9"/>
      <c r="E60" s="48"/>
      <c r="F60" s="54"/>
      <c r="G60" s="10"/>
    </row>
    <row r="61" spans="1:7" ht="12.75" x14ac:dyDescent="0.2">
      <c r="A61" s="6"/>
      <c r="B61" s="7"/>
      <c r="C61" s="8" t="s">
        <v>108</v>
      </c>
      <c r="D61" s="12"/>
      <c r="E61" s="49"/>
      <c r="F61" s="55">
        <v>0</v>
      </c>
      <c r="G61" s="13">
        <v>0</v>
      </c>
    </row>
    <row r="62" spans="1:7" ht="12.75" x14ac:dyDescent="0.2">
      <c r="A62" s="6"/>
      <c r="B62" s="7"/>
      <c r="C62" s="14"/>
      <c r="D62" s="4"/>
      <c r="E62" s="47"/>
      <c r="F62" s="59"/>
      <c r="G62" s="28"/>
    </row>
    <row r="63" spans="1:7" ht="12.75" x14ac:dyDescent="0.2">
      <c r="A63" s="1"/>
      <c r="B63" s="2"/>
      <c r="C63" s="8" t="s">
        <v>119</v>
      </c>
      <c r="D63" s="9"/>
      <c r="E63" s="48"/>
      <c r="F63" s="54"/>
      <c r="G63" s="10"/>
    </row>
    <row r="64" spans="1:7" ht="12.75" x14ac:dyDescent="0.2">
      <c r="A64" s="6"/>
      <c r="B64" s="7"/>
      <c r="C64" s="8" t="s">
        <v>108</v>
      </c>
      <c r="D64" s="12"/>
      <c r="E64" s="49"/>
      <c r="F64" s="55">
        <v>0</v>
      </c>
      <c r="G64" s="13">
        <v>0</v>
      </c>
    </row>
    <row r="65" spans="1:7" ht="12.75" x14ac:dyDescent="0.2">
      <c r="A65" s="1"/>
      <c r="B65" s="2"/>
      <c r="C65" s="14"/>
      <c r="D65" s="4"/>
      <c r="E65" s="47"/>
      <c r="F65" s="53"/>
      <c r="G65" s="5"/>
    </row>
    <row r="66" spans="1:7" ht="25.5" x14ac:dyDescent="0.2">
      <c r="A66" s="1"/>
      <c r="B66" s="26"/>
      <c r="C66" s="8" t="s">
        <v>120</v>
      </c>
      <c r="D66" s="9"/>
      <c r="E66" s="48"/>
      <c r="F66" s="54"/>
      <c r="G66" s="10"/>
    </row>
    <row r="67" spans="1:7" ht="12.75" x14ac:dyDescent="0.2">
      <c r="A67" s="6"/>
      <c r="B67" s="7"/>
      <c r="C67" s="8" t="s">
        <v>108</v>
      </c>
      <c r="D67" s="12"/>
      <c r="E67" s="49"/>
      <c r="F67" s="55">
        <v>0</v>
      </c>
      <c r="G67" s="13">
        <v>0</v>
      </c>
    </row>
    <row r="68" spans="1:7" ht="12.75" x14ac:dyDescent="0.2">
      <c r="A68" s="6"/>
      <c r="B68" s="7"/>
      <c r="C68" s="14"/>
      <c r="D68" s="4"/>
      <c r="E68" s="47"/>
      <c r="F68" s="53"/>
      <c r="G68" s="5"/>
    </row>
    <row r="69" spans="1:7" ht="12.75" x14ac:dyDescent="0.2">
      <c r="A69" s="6"/>
      <c r="B69" s="7"/>
      <c r="C69" s="29" t="s">
        <v>121</v>
      </c>
      <c r="D69" s="25"/>
      <c r="E69" s="49"/>
      <c r="F69" s="55">
        <v>0</v>
      </c>
      <c r="G69" s="13">
        <v>0</v>
      </c>
    </row>
    <row r="70" spans="1:7" ht="12.75" x14ac:dyDescent="0.2">
      <c r="A70" s="6"/>
      <c r="B70" s="7"/>
      <c r="C70" s="11"/>
      <c r="D70" s="4"/>
      <c r="E70" s="47"/>
      <c r="F70" s="53"/>
      <c r="G70" s="5"/>
    </row>
    <row r="71" spans="1:7" ht="12.75" x14ac:dyDescent="0.2">
      <c r="A71" s="1"/>
      <c r="B71" s="2"/>
      <c r="C71" s="3" t="s">
        <v>122</v>
      </c>
      <c r="D71" s="4"/>
      <c r="E71" s="47"/>
      <c r="F71" s="53"/>
      <c r="G71" s="5"/>
    </row>
    <row r="72" spans="1:7" ht="12.75" x14ac:dyDescent="0.2">
      <c r="A72" s="6"/>
      <c r="B72" s="7"/>
      <c r="C72" s="8" t="s">
        <v>123</v>
      </c>
      <c r="D72" s="9"/>
      <c r="E72" s="48"/>
      <c r="F72" s="54"/>
      <c r="G72" s="10"/>
    </row>
    <row r="73" spans="1:7" ht="12.75" x14ac:dyDescent="0.2">
      <c r="A73" s="6"/>
      <c r="B73" s="7"/>
      <c r="C73" s="8" t="s">
        <v>108</v>
      </c>
      <c r="D73" s="25"/>
      <c r="E73" s="49"/>
      <c r="F73" s="55">
        <v>0</v>
      </c>
      <c r="G73" s="13">
        <v>0</v>
      </c>
    </row>
    <row r="74" spans="1:7" ht="12.75" x14ac:dyDescent="0.2">
      <c r="A74" s="6"/>
      <c r="B74" s="7"/>
      <c r="C74" s="14"/>
      <c r="D74" s="7"/>
      <c r="E74" s="47"/>
      <c r="F74" s="53"/>
      <c r="G74" s="5"/>
    </row>
    <row r="75" spans="1:7" ht="12.75" x14ac:dyDescent="0.2">
      <c r="A75" s="6"/>
      <c r="B75" s="7"/>
      <c r="C75" s="8" t="s">
        <v>124</v>
      </c>
      <c r="D75" s="9"/>
      <c r="E75" s="48"/>
      <c r="F75" s="54"/>
      <c r="G75" s="10"/>
    </row>
    <row r="76" spans="1:7" ht="12.75" x14ac:dyDescent="0.2">
      <c r="A76" s="6"/>
      <c r="B76" s="7"/>
      <c r="C76" s="8" t="s">
        <v>108</v>
      </c>
      <c r="D76" s="25"/>
      <c r="E76" s="49"/>
      <c r="F76" s="55">
        <v>0</v>
      </c>
      <c r="G76" s="13">
        <v>0</v>
      </c>
    </row>
    <row r="77" spans="1:7" ht="12.75" x14ac:dyDescent="0.2">
      <c r="A77" s="6"/>
      <c r="B77" s="7"/>
      <c r="C77" s="14"/>
      <c r="D77" s="7"/>
      <c r="E77" s="47"/>
      <c r="F77" s="53"/>
      <c r="G77" s="5"/>
    </row>
    <row r="78" spans="1:7" ht="12.75" x14ac:dyDescent="0.2">
      <c r="A78" s="6"/>
      <c r="B78" s="7"/>
      <c r="C78" s="8" t="s">
        <v>125</v>
      </c>
      <c r="D78" s="9"/>
      <c r="E78" s="48"/>
      <c r="F78" s="54"/>
      <c r="G78" s="10"/>
    </row>
    <row r="79" spans="1:7" ht="12.75" x14ac:dyDescent="0.2">
      <c r="A79" s="6"/>
      <c r="B79" s="7"/>
      <c r="C79" s="8" t="s">
        <v>108</v>
      </c>
      <c r="D79" s="25"/>
      <c r="E79" s="49"/>
      <c r="F79" s="55">
        <v>0</v>
      </c>
      <c r="G79" s="13">
        <v>0</v>
      </c>
    </row>
    <row r="80" spans="1:7" ht="12.75" x14ac:dyDescent="0.2">
      <c r="A80" s="6"/>
      <c r="B80" s="7"/>
      <c r="C80" s="14"/>
      <c r="D80" s="7"/>
      <c r="E80" s="47"/>
      <c r="F80" s="53"/>
      <c r="G80" s="5"/>
    </row>
    <row r="81" spans="1:7" ht="12.75" x14ac:dyDescent="0.2">
      <c r="A81" s="6"/>
      <c r="B81" s="7"/>
      <c r="C81" s="8" t="s">
        <v>126</v>
      </c>
      <c r="D81" s="9"/>
      <c r="E81" s="48"/>
      <c r="F81" s="54"/>
      <c r="G81" s="10"/>
    </row>
    <row r="82" spans="1:7" ht="12.75" x14ac:dyDescent="0.2">
      <c r="A82" s="6">
        <v>1</v>
      </c>
      <c r="B82" s="7"/>
      <c r="C82" s="11" t="s">
        <v>812</v>
      </c>
      <c r="D82" s="15"/>
      <c r="E82" s="47"/>
      <c r="F82" s="53">
        <v>543.92846940000004</v>
      </c>
      <c r="G82" s="5">
        <v>5.2007970000000001E-3</v>
      </c>
    </row>
    <row r="83" spans="1:7" ht="12.75" x14ac:dyDescent="0.2">
      <c r="A83" s="6"/>
      <c r="B83" s="7"/>
      <c r="C83" s="8" t="s">
        <v>108</v>
      </c>
      <c r="D83" s="25"/>
      <c r="E83" s="49"/>
      <c r="F83" s="55">
        <v>543.92846940000004</v>
      </c>
      <c r="G83" s="13">
        <v>5.2007970000000001E-3</v>
      </c>
    </row>
    <row r="84" spans="1:7" ht="12.75" x14ac:dyDescent="0.2">
      <c r="A84" s="6"/>
      <c r="B84" s="7"/>
      <c r="C84" s="14"/>
      <c r="D84" s="7"/>
      <c r="E84" s="47"/>
      <c r="F84" s="53"/>
      <c r="G84" s="5"/>
    </row>
    <row r="85" spans="1:7" ht="25.5" x14ac:dyDescent="0.2">
      <c r="A85" s="6"/>
      <c r="B85" s="7"/>
      <c r="C85" s="24" t="s">
        <v>127</v>
      </c>
      <c r="D85" s="25"/>
      <c r="E85" s="49"/>
      <c r="F85" s="55">
        <v>543.92846940000004</v>
      </c>
      <c r="G85" s="13">
        <v>5.2007970000000001E-3</v>
      </c>
    </row>
    <row r="86" spans="1:7" ht="12.75" x14ac:dyDescent="0.2">
      <c r="A86" s="6"/>
      <c r="B86" s="7"/>
      <c r="C86" s="30"/>
      <c r="D86" s="7"/>
      <c r="E86" s="47"/>
      <c r="F86" s="53"/>
      <c r="G86" s="5"/>
    </row>
    <row r="87" spans="1:7" ht="12.75" x14ac:dyDescent="0.2">
      <c r="A87" s="1"/>
      <c r="B87" s="2"/>
      <c r="C87" s="3" t="s">
        <v>128</v>
      </c>
      <c r="D87" s="4"/>
      <c r="E87" s="47"/>
      <c r="F87" s="53"/>
      <c r="G87" s="5"/>
    </row>
    <row r="88" spans="1:7" ht="25.5" x14ac:dyDescent="0.2">
      <c r="A88" s="6"/>
      <c r="B88" s="7"/>
      <c r="C88" s="8" t="s">
        <v>129</v>
      </c>
      <c r="D88" s="9"/>
      <c r="E88" s="48"/>
      <c r="F88" s="54"/>
      <c r="G88" s="10"/>
    </row>
    <row r="89" spans="1:7" ht="25.5" x14ac:dyDescent="0.2">
      <c r="A89" s="6">
        <v>1</v>
      </c>
      <c r="B89" s="7" t="s">
        <v>130</v>
      </c>
      <c r="C89" s="11" t="s">
        <v>839</v>
      </c>
      <c r="D89" s="15"/>
      <c r="E89" s="47">
        <v>240000.73</v>
      </c>
      <c r="F89" s="53">
        <v>2500.328085141</v>
      </c>
      <c r="G89" s="5">
        <v>2.3907003999999999E-2</v>
      </c>
    </row>
    <row r="90" spans="1:7" ht="12.75" x14ac:dyDescent="0.2">
      <c r="A90" s="6"/>
      <c r="B90" s="7"/>
      <c r="C90" s="8" t="s">
        <v>108</v>
      </c>
      <c r="D90" s="25"/>
      <c r="E90" s="49"/>
      <c r="F90" s="55">
        <v>2500.328085141</v>
      </c>
      <c r="G90" s="13">
        <v>2.3907003999999999E-2</v>
      </c>
    </row>
    <row r="91" spans="1:7" ht="12.75" x14ac:dyDescent="0.2">
      <c r="A91" s="6"/>
      <c r="B91" s="7"/>
      <c r="C91" s="14"/>
      <c r="D91" s="7"/>
      <c r="E91" s="47"/>
      <c r="F91" s="53"/>
      <c r="G91" s="5"/>
    </row>
    <row r="92" spans="1:7" ht="12.75" x14ac:dyDescent="0.2">
      <c r="A92" s="1"/>
      <c r="B92" s="2"/>
      <c r="C92" s="3" t="s">
        <v>131</v>
      </c>
      <c r="D92" s="4"/>
      <c r="E92" s="47"/>
      <c r="F92" s="53"/>
      <c r="G92" s="5"/>
    </row>
    <row r="93" spans="1:7" ht="25.5" x14ac:dyDescent="0.2">
      <c r="A93" s="6"/>
      <c r="B93" s="7"/>
      <c r="C93" s="8" t="s">
        <v>132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25"/>
      <c r="E94" s="49"/>
      <c r="F94" s="55">
        <v>0</v>
      </c>
      <c r="G94" s="13">
        <v>0</v>
      </c>
    </row>
    <row r="95" spans="1:7" ht="12.75" x14ac:dyDescent="0.2">
      <c r="A95" s="6"/>
      <c r="B95" s="7"/>
      <c r="C95" s="14"/>
      <c r="D95" s="7"/>
      <c r="E95" s="47"/>
      <c r="F95" s="53"/>
      <c r="G95" s="5"/>
    </row>
    <row r="96" spans="1:7" ht="25.5" x14ac:dyDescent="0.2">
      <c r="A96" s="6"/>
      <c r="B96" s="7"/>
      <c r="C96" s="8" t="s">
        <v>133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25"/>
      <c r="E97" s="49"/>
      <c r="F97" s="55">
        <v>0</v>
      </c>
      <c r="G97" s="13">
        <v>0</v>
      </c>
    </row>
    <row r="98" spans="1:7" ht="12.75" x14ac:dyDescent="0.2">
      <c r="A98" s="6"/>
      <c r="B98" s="7"/>
      <c r="C98" s="14"/>
      <c r="D98" s="7"/>
      <c r="E98" s="47"/>
      <c r="F98" s="59"/>
      <c r="G98" s="28"/>
    </row>
    <row r="99" spans="1:7" ht="25.5" x14ac:dyDescent="0.2">
      <c r="A99" s="6"/>
      <c r="B99" s="7"/>
      <c r="C99" s="30" t="s">
        <v>134</v>
      </c>
      <c r="D99" s="7"/>
      <c r="E99" s="47"/>
      <c r="F99" s="127">
        <v>1399.5360674789845</v>
      </c>
      <c r="G99" s="136">
        <v>1.3381729560852394E-2</v>
      </c>
    </row>
    <row r="100" spans="1:7" ht="12.75" x14ac:dyDescent="0.2">
      <c r="A100" s="6"/>
      <c r="B100" s="7"/>
      <c r="C100" s="31" t="s">
        <v>135</v>
      </c>
      <c r="D100" s="12"/>
      <c r="E100" s="49"/>
      <c r="F100" s="55">
        <v>104585.58896402</v>
      </c>
      <c r="G100" s="13">
        <v>1</v>
      </c>
    </row>
    <row r="102" spans="1:7" ht="12.75" x14ac:dyDescent="0.2">
      <c r="B102" s="179"/>
      <c r="C102" s="179"/>
      <c r="D102" s="179"/>
      <c r="E102" s="179"/>
      <c r="F102" s="179"/>
    </row>
    <row r="103" spans="1:7" ht="12.75" x14ac:dyDescent="0.2">
      <c r="B103" s="179"/>
      <c r="C103" s="179"/>
      <c r="D103" s="179"/>
      <c r="E103" s="179"/>
      <c r="F103" s="179"/>
    </row>
    <row r="105" spans="1:7" ht="12.75" x14ac:dyDescent="0.2">
      <c r="B105" s="37" t="s">
        <v>137</v>
      </c>
      <c r="C105" s="38"/>
      <c r="D105" s="39"/>
    </row>
    <row r="106" spans="1:7" ht="12.75" x14ac:dyDescent="0.2">
      <c r="B106" s="40" t="s">
        <v>808</v>
      </c>
      <c r="C106" s="41"/>
      <c r="D106" s="65" t="s">
        <v>138</v>
      </c>
    </row>
    <row r="107" spans="1:7" ht="12.75" x14ac:dyDescent="0.2">
      <c r="B107" s="40" t="s">
        <v>139</v>
      </c>
      <c r="C107" s="41"/>
      <c r="D107" s="65" t="s">
        <v>138</v>
      </c>
    </row>
    <row r="108" spans="1:7" ht="12.75" x14ac:dyDescent="0.2">
      <c r="B108" s="42" t="s">
        <v>140</v>
      </c>
      <c r="C108" s="41"/>
      <c r="D108" s="43"/>
    </row>
    <row r="109" spans="1:7" ht="25.5" customHeight="1" x14ac:dyDescent="0.2">
      <c r="B109" s="43"/>
      <c r="C109" s="33" t="s">
        <v>141</v>
      </c>
      <c r="D109" s="34" t="s">
        <v>142</v>
      </c>
    </row>
    <row r="110" spans="1:7" ht="12.75" customHeight="1" x14ac:dyDescent="0.2">
      <c r="B110" s="60" t="s">
        <v>143</v>
      </c>
      <c r="C110" s="61" t="s">
        <v>144</v>
      </c>
      <c r="D110" s="61" t="s">
        <v>145</v>
      </c>
    </row>
    <row r="111" spans="1:7" ht="12.75" x14ac:dyDescent="0.2">
      <c r="B111" s="43" t="s">
        <v>146</v>
      </c>
      <c r="C111" s="44">
        <v>191.0771</v>
      </c>
      <c r="D111" s="44">
        <v>197.75370000000001</v>
      </c>
    </row>
    <row r="112" spans="1:7" ht="12.75" x14ac:dyDescent="0.2">
      <c r="B112" s="43" t="s">
        <v>147</v>
      </c>
      <c r="C112" s="44">
        <v>13.758900000000001</v>
      </c>
      <c r="D112" s="44">
        <v>14.239699999999999</v>
      </c>
    </row>
    <row r="113" spans="2:4" ht="12.75" x14ac:dyDescent="0.2">
      <c r="B113" s="43" t="s">
        <v>397</v>
      </c>
      <c r="C113" s="44">
        <v>195.30009999999999</v>
      </c>
      <c r="D113" s="44">
        <v>202.1241</v>
      </c>
    </row>
    <row r="114" spans="2:4" ht="12.75" x14ac:dyDescent="0.2">
      <c r="B114" s="43" t="s">
        <v>398</v>
      </c>
      <c r="C114" s="44">
        <v>14.028600000000001</v>
      </c>
      <c r="D114" s="44">
        <v>14.519</v>
      </c>
    </row>
    <row r="115" spans="2:4" ht="12.75" x14ac:dyDescent="0.2">
      <c r="B115" s="43" t="s">
        <v>148</v>
      </c>
      <c r="C115" s="44">
        <v>182.32040000000001</v>
      </c>
      <c r="D115" s="44">
        <v>188.5761</v>
      </c>
    </row>
    <row r="116" spans="2:4" ht="12.75" x14ac:dyDescent="0.2">
      <c r="B116" s="43" t="s">
        <v>149</v>
      </c>
      <c r="C116" s="44">
        <v>12.988099999999999</v>
      </c>
      <c r="D116" s="44">
        <v>13.4337</v>
      </c>
    </row>
    <row r="118" spans="2:4" ht="12.75" x14ac:dyDescent="0.2">
      <c r="B118" s="62" t="s">
        <v>150</v>
      </c>
      <c r="C118" s="45"/>
      <c r="D118" s="63" t="s">
        <v>138</v>
      </c>
    </row>
    <row r="119" spans="2:4" ht="24.75" customHeight="1" x14ac:dyDescent="0.2">
      <c r="B119" s="64"/>
      <c r="C119" s="64"/>
    </row>
    <row r="120" spans="2:4" ht="15" x14ac:dyDescent="0.25">
      <c r="B120" s="66"/>
      <c r="C120" s="68"/>
      <c r="D120"/>
    </row>
    <row r="122" spans="2:4" ht="12.75" x14ac:dyDescent="0.2">
      <c r="B122" s="42" t="s">
        <v>151</v>
      </c>
      <c r="C122" s="41"/>
      <c r="D122" s="67" t="s">
        <v>138</v>
      </c>
    </row>
    <row r="123" spans="2:4" ht="12.75" x14ac:dyDescent="0.2">
      <c r="B123" s="42" t="s">
        <v>152</v>
      </c>
      <c r="C123" s="41"/>
      <c r="D123" s="67" t="s">
        <v>138</v>
      </c>
    </row>
    <row r="124" spans="2:4" ht="12.75" x14ac:dyDescent="0.2">
      <c r="B124" s="42" t="s">
        <v>153</v>
      </c>
      <c r="C124" s="41"/>
      <c r="D124" s="46">
        <v>0.90912866471018128</v>
      </c>
    </row>
    <row r="125" spans="2:4" ht="12.75" x14ac:dyDescent="0.2">
      <c r="B125" s="42" t="s">
        <v>154</v>
      </c>
      <c r="C125" s="41"/>
      <c r="D125" s="46" t="s">
        <v>138</v>
      </c>
    </row>
  </sheetData>
  <mergeCells count="5">
    <mergeCell ref="A1:G1"/>
    <mergeCell ref="A2:G2"/>
    <mergeCell ref="A3:G3"/>
    <mergeCell ref="B102:F102"/>
    <mergeCell ref="B103:F10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2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512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457</v>
      </c>
      <c r="C7" s="11" t="s">
        <v>458</v>
      </c>
      <c r="D7" s="2" t="s">
        <v>192</v>
      </c>
      <c r="E7" s="47">
        <v>22122</v>
      </c>
      <c r="F7" s="53">
        <v>167.341869</v>
      </c>
      <c r="G7" s="5">
        <v>3.9852607999999998E-2</v>
      </c>
    </row>
    <row r="8" spans="1:7" ht="12.75" x14ac:dyDescent="0.2">
      <c r="A8" s="6">
        <v>2</v>
      </c>
      <c r="B8" s="7" t="s">
        <v>51</v>
      </c>
      <c r="C8" s="11" t="s">
        <v>52</v>
      </c>
      <c r="D8" s="2" t="s">
        <v>19</v>
      </c>
      <c r="E8" s="47">
        <v>14796</v>
      </c>
      <c r="F8" s="53">
        <v>165.278718</v>
      </c>
      <c r="G8" s="5">
        <v>3.9361266999999998E-2</v>
      </c>
    </row>
    <row r="9" spans="1:7" ht="25.5" x14ac:dyDescent="0.2">
      <c r="A9" s="6">
        <v>3</v>
      </c>
      <c r="B9" s="7" t="s">
        <v>453</v>
      </c>
      <c r="C9" s="11" t="s">
        <v>454</v>
      </c>
      <c r="D9" s="2" t="s">
        <v>47</v>
      </c>
      <c r="E9" s="47">
        <v>80234</v>
      </c>
      <c r="F9" s="53">
        <v>157.940629</v>
      </c>
      <c r="G9" s="5">
        <v>3.7613695000000003E-2</v>
      </c>
    </row>
    <row r="10" spans="1:7" ht="12.75" x14ac:dyDescent="0.2">
      <c r="A10" s="6">
        <v>4</v>
      </c>
      <c r="B10" s="7" t="s">
        <v>455</v>
      </c>
      <c r="C10" s="11" t="s">
        <v>456</v>
      </c>
      <c r="D10" s="2" t="s">
        <v>72</v>
      </c>
      <c r="E10" s="47">
        <v>24043</v>
      </c>
      <c r="F10" s="53">
        <v>153.43040450000001</v>
      </c>
      <c r="G10" s="5">
        <v>3.6539581000000002E-2</v>
      </c>
    </row>
    <row r="11" spans="1:7" ht="25.5" x14ac:dyDescent="0.2">
      <c r="A11" s="6">
        <v>5</v>
      </c>
      <c r="B11" s="7" t="s">
        <v>186</v>
      </c>
      <c r="C11" s="11" t="s">
        <v>187</v>
      </c>
      <c r="D11" s="2" t="s">
        <v>183</v>
      </c>
      <c r="E11" s="47">
        <v>26875</v>
      </c>
      <c r="F11" s="53">
        <v>152.59625</v>
      </c>
      <c r="G11" s="5">
        <v>3.6340926000000003E-2</v>
      </c>
    </row>
    <row r="12" spans="1:7" ht="25.5" x14ac:dyDescent="0.2">
      <c r="A12" s="6">
        <v>6</v>
      </c>
      <c r="B12" s="7" t="s">
        <v>20</v>
      </c>
      <c r="C12" s="11" t="s">
        <v>21</v>
      </c>
      <c r="D12" s="2" t="s">
        <v>22</v>
      </c>
      <c r="E12" s="47">
        <v>16000</v>
      </c>
      <c r="F12" s="53">
        <v>142.56</v>
      </c>
      <c r="G12" s="5">
        <v>3.3950784999999997E-2</v>
      </c>
    </row>
    <row r="13" spans="1:7" ht="25.5" x14ac:dyDescent="0.2">
      <c r="A13" s="6">
        <v>7</v>
      </c>
      <c r="B13" s="7" t="s">
        <v>55</v>
      </c>
      <c r="C13" s="11" t="s">
        <v>56</v>
      </c>
      <c r="D13" s="2" t="s">
        <v>22</v>
      </c>
      <c r="E13" s="47">
        <v>22971</v>
      </c>
      <c r="F13" s="53">
        <v>135.63226950000001</v>
      </c>
      <c r="G13" s="5">
        <v>3.230094E-2</v>
      </c>
    </row>
    <row r="14" spans="1:7" ht="25.5" x14ac:dyDescent="0.2">
      <c r="A14" s="6">
        <v>8</v>
      </c>
      <c r="B14" s="7" t="s">
        <v>156</v>
      </c>
      <c r="C14" s="11" t="s">
        <v>157</v>
      </c>
      <c r="D14" s="2" t="s">
        <v>158</v>
      </c>
      <c r="E14" s="47">
        <v>15063</v>
      </c>
      <c r="F14" s="53">
        <v>135.190425</v>
      </c>
      <c r="G14" s="5">
        <v>3.2195714E-2</v>
      </c>
    </row>
    <row r="15" spans="1:7" ht="25.5" x14ac:dyDescent="0.2">
      <c r="A15" s="6">
        <v>9</v>
      </c>
      <c r="B15" s="7" t="s">
        <v>171</v>
      </c>
      <c r="C15" s="11" t="s">
        <v>172</v>
      </c>
      <c r="D15" s="2" t="s">
        <v>22</v>
      </c>
      <c r="E15" s="47">
        <v>30000</v>
      </c>
      <c r="F15" s="53">
        <v>120.84</v>
      </c>
      <c r="G15" s="5">
        <v>2.8778148E-2</v>
      </c>
    </row>
    <row r="16" spans="1:7" ht="25.5" x14ac:dyDescent="0.2">
      <c r="A16" s="6">
        <v>10</v>
      </c>
      <c r="B16" s="7" t="s">
        <v>102</v>
      </c>
      <c r="C16" s="11" t="s">
        <v>103</v>
      </c>
      <c r="D16" s="2" t="s">
        <v>13</v>
      </c>
      <c r="E16" s="47">
        <v>115682</v>
      </c>
      <c r="F16" s="53">
        <v>119.036778</v>
      </c>
      <c r="G16" s="5">
        <v>2.8348709999999999E-2</v>
      </c>
    </row>
    <row r="17" spans="1:7" ht="12.75" x14ac:dyDescent="0.2">
      <c r="A17" s="6">
        <v>11</v>
      </c>
      <c r="B17" s="7" t="s">
        <v>159</v>
      </c>
      <c r="C17" s="11" t="s">
        <v>160</v>
      </c>
      <c r="D17" s="2" t="s">
        <v>19</v>
      </c>
      <c r="E17" s="47">
        <v>63210</v>
      </c>
      <c r="F17" s="53">
        <v>118.26591000000001</v>
      </c>
      <c r="G17" s="5">
        <v>2.8165127000000002E-2</v>
      </c>
    </row>
    <row r="18" spans="1:7" ht="25.5" x14ac:dyDescent="0.2">
      <c r="A18" s="6">
        <v>12</v>
      </c>
      <c r="B18" s="7" t="s">
        <v>161</v>
      </c>
      <c r="C18" s="11" t="s">
        <v>162</v>
      </c>
      <c r="D18" s="2" t="s">
        <v>163</v>
      </c>
      <c r="E18" s="47">
        <v>31815</v>
      </c>
      <c r="F18" s="53">
        <v>116.02930499999999</v>
      </c>
      <c r="G18" s="5">
        <v>2.7632476999999999E-2</v>
      </c>
    </row>
    <row r="19" spans="1:7" ht="12.75" x14ac:dyDescent="0.2">
      <c r="A19" s="6">
        <v>13</v>
      </c>
      <c r="B19" s="7" t="s">
        <v>48</v>
      </c>
      <c r="C19" s="11" t="s">
        <v>49</v>
      </c>
      <c r="D19" s="2" t="s">
        <v>50</v>
      </c>
      <c r="E19" s="47">
        <v>52125</v>
      </c>
      <c r="F19" s="53">
        <v>107.5078125</v>
      </c>
      <c r="G19" s="5">
        <v>2.5603076999999998E-2</v>
      </c>
    </row>
    <row r="20" spans="1:7" ht="25.5" x14ac:dyDescent="0.2">
      <c r="A20" s="6">
        <v>14</v>
      </c>
      <c r="B20" s="7" t="s">
        <v>179</v>
      </c>
      <c r="C20" s="11" t="s">
        <v>180</v>
      </c>
      <c r="D20" s="2" t="s">
        <v>22</v>
      </c>
      <c r="E20" s="47">
        <v>30200</v>
      </c>
      <c r="F20" s="53">
        <v>96.368200000000002</v>
      </c>
      <c r="G20" s="5">
        <v>2.2950168E-2</v>
      </c>
    </row>
    <row r="21" spans="1:7" ht="25.5" x14ac:dyDescent="0.2">
      <c r="A21" s="6">
        <v>15</v>
      </c>
      <c r="B21" s="7" t="s">
        <v>38</v>
      </c>
      <c r="C21" s="11" t="s">
        <v>39</v>
      </c>
      <c r="D21" s="2" t="s">
        <v>40</v>
      </c>
      <c r="E21" s="47">
        <v>21964</v>
      </c>
      <c r="F21" s="53">
        <v>94.752696</v>
      </c>
      <c r="G21" s="5">
        <v>2.2565434999999998E-2</v>
      </c>
    </row>
    <row r="22" spans="1:7" ht="25.5" x14ac:dyDescent="0.2">
      <c r="A22" s="6">
        <v>16</v>
      </c>
      <c r="B22" s="7" t="s">
        <v>45</v>
      </c>
      <c r="C22" s="11" t="s">
        <v>46</v>
      </c>
      <c r="D22" s="2" t="s">
        <v>47</v>
      </c>
      <c r="E22" s="47">
        <v>11111</v>
      </c>
      <c r="F22" s="53">
        <v>93.5379535</v>
      </c>
      <c r="G22" s="5">
        <v>2.2276143000000002E-2</v>
      </c>
    </row>
    <row r="23" spans="1:7" ht="25.5" x14ac:dyDescent="0.2">
      <c r="A23" s="6">
        <v>17</v>
      </c>
      <c r="B23" s="7" t="s">
        <v>43</v>
      </c>
      <c r="C23" s="11" t="s">
        <v>44</v>
      </c>
      <c r="D23" s="2" t="s">
        <v>22</v>
      </c>
      <c r="E23" s="47">
        <v>13000</v>
      </c>
      <c r="F23" s="53">
        <v>90.506</v>
      </c>
      <c r="G23" s="5">
        <v>2.1554080999999999E-2</v>
      </c>
    </row>
    <row r="24" spans="1:7" ht="25.5" x14ac:dyDescent="0.2">
      <c r="A24" s="6">
        <v>18</v>
      </c>
      <c r="B24" s="7" t="s">
        <v>81</v>
      </c>
      <c r="C24" s="11" t="s">
        <v>82</v>
      </c>
      <c r="D24" s="2" t="s">
        <v>22</v>
      </c>
      <c r="E24" s="47">
        <v>7868</v>
      </c>
      <c r="F24" s="53">
        <v>78.707538</v>
      </c>
      <c r="G24" s="5">
        <v>1.8744266999999998E-2</v>
      </c>
    </row>
    <row r="25" spans="1:7" ht="25.5" x14ac:dyDescent="0.2">
      <c r="A25" s="6">
        <v>19</v>
      </c>
      <c r="B25" s="7" t="s">
        <v>217</v>
      </c>
      <c r="C25" s="11" t="s">
        <v>218</v>
      </c>
      <c r="D25" s="2" t="s">
        <v>27</v>
      </c>
      <c r="E25" s="47">
        <v>61263</v>
      </c>
      <c r="F25" s="53">
        <v>74.618334000000004</v>
      </c>
      <c r="G25" s="5">
        <v>1.7770418999999999E-2</v>
      </c>
    </row>
    <row r="26" spans="1:7" ht="25.5" x14ac:dyDescent="0.2">
      <c r="A26" s="6">
        <v>20</v>
      </c>
      <c r="B26" s="7" t="s">
        <v>59</v>
      </c>
      <c r="C26" s="11" t="s">
        <v>60</v>
      </c>
      <c r="D26" s="2" t="s">
        <v>22</v>
      </c>
      <c r="E26" s="47">
        <v>5135</v>
      </c>
      <c r="F26" s="53">
        <v>70.221125000000001</v>
      </c>
      <c r="G26" s="5">
        <v>1.672322E-2</v>
      </c>
    </row>
    <row r="27" spans="1:7" ht="12.75" x14ac:dyDescent="0.2">
      <c r="A27" s="6">
        <v>21</v>
      </c>
      <c r="B27" s="7" t="s">
        <v>308</v>
      </c>
      <c r="C27" s="11" t="s">
        <v>309</v>
      </c>
      <c r="D27" s="2" t="s">
        <v>168</v>
      </c>
      <c r="E27" s="47">
        <v>3333</v>
      </c>
      <c r="F27" s="53">
        <v>69.843014999999994</v>
      </c>
      <c r="G27" s="5">
        <v>1.6633173000000001E-2</v>
      </c>
    </row>
    <row r="28" spans="1:7" ht="12.75" x14ac:dyDescent="0.2">
      <c r="A28" s="6">
        <v>22</v>
      </c>
      <c r="B28" s="7" t="s">
        <v>459</v>
      </c>
      <c r="C28" s="11" t="s">
        <v>460</v>
      </c>
      <c r="D28" s="2" t="s">
        <v>72</v>
      </c>
      <c r="E28" s="47">
        <v>74666</v>
      </c>
      <c r="F28" s="53">
        <v>69.700710999999998</v>
      </c>
      <c r="G28" s="5">
        <v>1.6599282999999999E-2</v>
      </c>
    </row>
    <row r="29" spans="1:7" ht="12.75" x14ac:dyDescent="0.2">
      <c r="A29" s="6">
        <v>23</v>
      </c>
      <c r="B29" s="7" t="s">
        <v>193</v>
      </c>
      <c r="C29" s="11" t="s">
        <v>194</v>
      </c>
      <c r="D29" s="2" t="s">
        <v>72</v>
      </c>
      <c r="E29" s="47">
        <v>7809</v>
      </c>
      <c r="F29" s="53">
        <v>69.277543499999993</v>
      </c>
      <c r="G29" s="5">
        <v>1.6498506E-2</v>
      </c>
    </row>
    <row r="30" spans="1:7" ht="12.75" x14ac:dyDescent="0.2">
      <c r="A30" s="6">
        <v>24</v>
      </c>
      <c r="B30" s="7" t="s">
        <v>479</v>
      </c>
      <c r="C30" s="11" t="s">
        <v>480</v>
      </c>
      <c r="D30" s="2" t="s">
        <v>226</v>
      </c>
      <c r="E30" s="47">
        <v>56450</v>
      </c>
      <c r="F30" s="53">
        <v>67.203725000000006</v>
      </c>
      <c r="G30" s="5">
        <v>1.6004623999999999E-2</v>
      </c>
    </row>
    <row r="31" spans="1:7" ht="51" x14ac:dyDescent="0.2">
      <c r="A31" s="6">
        <v>25</v>
      </c>
      <c r="B31" s="7" t="s">
        <v>264</v>
      </c>
      <c r="C31" s="11" t="s">
        <v>265</v>
      </c>
      <c r="D31" s="2" t="s">
        <v>208</v>
      </c>
      <c r="E31" s="47">
        <v>39551</v>
      </c>
      <c r="F31" s="53">
        <v>65.931516999999999</v>
      </c>
      <c r="G31" s="5">
        <v>1.5701646999999999E-2</v>
      </c>
    </row>
    <row r="32" spans="1:7" ht="12.75" x14ac:dyDescent="0.2">
      <c r="A32" s="6">
        <v>26</v>
      </c>
      <c r="B32" s="7" t="s">
        <v>175</v>
      </c>
      <c r="C32" s="11" t="s">
        <v>176</v>
      </c>
      <c r="D32" s="2" t="s">
        <v>19</v>
      </c>
      <c r="E32" s="47">
        <v>76000</v>
      </c>
      <c r="F32" s="53">
        <v>63.725999999999999</v>
      </c>
      <c r="G32" s="5">
        <v>1.5176401000000001E-2</v>
      </c>
    </row>
    <row r="33" spans="1:7" ht="25.5" x14ac:dyDescent="0.2">
      <c r="A33" s="6">
        <v>27</v>
      </c>
      <c r="B33" s="7" t="s">
        <v>83</v>
      </c>
      <c r="C33" s="11" t="s">
        <v>84</v>
      </c>
      <c r="D33" s="2" t="s">
        <v>22</v>
      </c>
      <c r="E33" s="47">
        <v>57781</v>
      </c>
      <c r="F33" s="53">
        <v>63.010180499999997</v>
      </c>
      <c r="G33" s="5">
        <v>1.5005928E-2</v>
      </c>
    </row>
    <row r="34" spans="1:7" ht="25.5" x14ac:dyDescent="0.2">
      <c r="A34" s="6">
        <v>28</v>
      </c>
      <c r="B34" s="7" t="s">
        <v>23</v>
      </c>
      <c r="C34" s="11" t="s">
        <v>24</v>
      </c>
      <c r="D34" s="2" t="s">
        <v>22</v>
      </c>
      <c r="E34" s="47">
        <v>10446</v>
      </c>
      <c r="F34" s="53">
        <v>62.817020999999997</v>
      </c>
      <c r="G34" s="5">
        <v>1.4959927E-2</v>
      </c>
    </row>
    <row r="35" spans="1:7" ht="25.5" x14ac:dyDescent="0.2">
      <c r="A35" s="6">
        <v>29</v>
      </c>
      <c r="B35" s="7" t="s">
        <v>177</v>
      </c>
      <c r="C35" s="11" t="s">
        <v>178</v>
      </c>
      <c r="D35" s="2" t="s">
        <v>47</v>
      </c>
      <c r="E35" s="47">
        <v>37230</v>
      </c>
      <c r="F35" s="53">
        <v>60.759360000000001</v>
      </c>
      <c r="G35" s="5">
        <v>1.4469892999999999E-2</v>
      </c>
    </row>
    <row r="36" spans="1:7" ht="25.5" x14ac:dyDescent="0.2">
      <c r="A36" s="6">
        <v>30</v>
      </c>
      <c r="B36" s="7" t="s">
        <v>461</v>
      </c>
      <c r="C36" s="11" t="s">
        <v>462</v>
      </c>
      <c r="D36" s="2" t="s">
        <v>80</v>
      </c>
      <c r="E36" s="47">
        <v>19707</v>
      </c>
      <c r="F36" s="53">
        <v>57.081325499999998</v>
      </c>
      <c r="G36" s="5">
        <v>1.3593966000000001E-2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40007</v>
      </c>
      <c r="F37" s="53">
        <v>53.509362500000002</v>
      </c>
      <c r="G37" s="5">
        <v>1.2743300000000001E-2</v>
      </c>
    </row>
    <row r="38" spans="1:7" ht="12.75" x14ac:dyDescent="0.2">
      <c r="A38" s="6">
        <v>32</v>
      </c>
      <c r="B38" s="7" t="s">
        <v>279</v>
      </c>
      <c r="C38" s="11" t="s">
        <v>280</v>
      </c>
      <c r="D38" s="2" t="s">
        <v>281</v>
      </c>
      <c r="E38" s="47">
        <v>6548</v>
      </c>
      <c r="F38" s="53">
        <v>52.996237999999998</v>
      </c>
      <c r="G38" s="5">
        <v>1.2621099E-2</v>
      </c>
    </row>
    <row r="39" spans="1:7" ht="25.5" x14ac:dyDescent="0.2">
      <c r="A39" s="6">
        <v>33</v>
      </c>
      <c r="B39" s="7" t="s">
        <v>200</v>
      </c>
      <c r="C39" s="11" t="s">
        <v>201</v>
      </c>
      <c r="D39" s="2" t="s">
        <v>30</v>
      </c>
      <c r="E39" s="47">
        <v>17404</v>
      </c>
      <c r="F39" s="53">
        <v>52.098874000000002</v>
      </c>
      <c r="G39" s="5">
        <v>1.2407391E-2</v>
      </c>
    </row>
    <row r="40" spans="1:7" ht="12.75" x14ac:dyDescent="0.2">
      <c r="A40" s="6">
        <v>34</v>
      </c>
      <c r="B40" s="7" t="s">
        <v>190</v>
      </c>
      <c r="C40" s="11" t="s">
        <v>191</v>
      </c>
      <c r="D40" s="2" t="s">
        <v>192</v>
      </c>
      <c r="E40" s="47">
        <v>31928</v>
      </c>
      <c r="F40" s="53">
        <v>49.185084000000003</v>
      </c>
      <c r="G40" s="5">
        <v>1.1713469000000001E-2</v>
      </c>
    </row>
    <row r="41" spans="1:7" ht="25.5" x14ac:dyDescent="0.2">
      <c r="A41" s="6">
        <v>35</v>
      </c>
      <c r="B41" s="7" t="s">
        <v>372</v>
      </c>
      <c r="C41" s="11" t="s">
        <v>373</v>
      </c>
      <c r="D41" s="2" t="s">
        <v>22</v>
      </c>
      <c r="E41" s="47">
        <v>15274</v>
      </c>
      <c r="F41" s="53">
        <v>48.976081000000001</v>
      </c>
      <c r="G41" s="5">
        <v>1.1663695E-2</v>
      </c>
    </row>
    <row r="42" spans="1:7" ht="25.5" x14ac:dyDescent="0.2">
      <c r="A42" s="6">
        <v>36</v>
      </c>
      <c r="B42" s="7" t="s">
        <v>169</v>
      </c>
      <c r="C42" s="11" t="s">
        <v>170</v>
      </c>
      <c r="D42" s="2" t="s">
        <v>27</v>
      </c>
      <c r="E42" s="47">
        <v>4063</v>
      </c>
      <c r="F42" s="53">
        <v>48.487842000000001</v>
      </c>
      <c r="G42" s="5">
        <v>1.1547421E-2</v>
      </c>
    </row>
    <row r="43" spans="1:7" ht="51" x14ac:dyDescent="0.2">
      <c r="A43" s="6">
        <v>37</v>
      </c>
      <c r="B43" s="7" t="s">
        <v>247</v>
      </c>
      <c r="C43" s="11" t="s">
        <v>248</v>
      </c>
      <c r="D43" s="2" t="s">
        <v>208</v>
      </c>
      <c r="E43" s="47">
        <v>22027</v>
      </c>
      <c r="F43" s="53">
        <v>47.655414499999999</v>
      </c>
      <c r="G43" s="5">
        <v>1.1349177E-2</v>
      </c>
    </row>
    <row r="44" spans="1:7" ht="12.75" x14ac:dyDescent="0.2">
      <c r="A44" s="6">
        <v>38</v>
      </c>
      <c r="B44" s="7" t="s">
        <v>219</v>
      </c>
      <c r="C44" s="11" t="s">
        <v>220</v>
      </c>
      <c r="D44" s="2" t="s">
        <v>72</v>
      </c>
      <c r="E44" s="47">
        <v>25220</v>
      </c>
      <c r="F44" s="53">
        <v>47.590139999999998</v>
      </c>
      <c r="G44" s="5">
        <v>1.1333632E-2</v>
      </c>
    </row>
    <row r="45" spans="1:7" ht="12.75" x14ac:dyDescent="0.2">
      <c r="A45" s="6">
        <v>39</v>
      </c>
      <c r="B45" s="7" t="s">
        <v>87</v>
      </c>
      <c r="C45" s="11" t="s">
        <v>88</v>
      </c>
      <c r="D45" s="2"/>
      <c r="E45" s="47">
        <v>26599</v>
      </c>
      <c r="F45" s="53">
        <v>45.244898999999997</v>
      </c>
      <c r="G45" s="5">
        <v>1.0775111E-2</v>
      </c>
    </row>
    <row r="46" spans="1:7" ht="51" x14ac:dyDescent="0.2">
      <c r="A46" s="6">
        <v>40</v>
      </c>
      <c r="B46" s="7" t="s">
        <v>206</v>
      </c>
      <c r="C46" s="11" t="s">
        <v>207</v>
      </c>
      <c r="D46" s="2" t="s">
        <v>208</v>
      </c>
      <c r="E46" s="47">
        <v>72033</v>
      </c>
      <c r="F46" s="53">
        <v>44.012163000000001</v>
      </c>
      <c r="G46" s="5">
        <v>1.0481534000000001E-2</v>
      </c>
    </row>
    <row r="47" spans="1:7" ht="25.5" x14ac:dyDescent="0.2">
      <c r="A47" s="6">
        <v>41</v>
      </c>
      <c r="B47" s="7" t="s">
        <v>57</v>
      </c>
      <c r="C47" s="11" t="s">
        <v>58</v>
      </c>
      <c r="D47" s="2" t="s">
        <v>27</v>
      </c>
      <c r="E47" s="47">
        <v>11620</v>
      </c>
      <c r="F47" s="53">
        <v>43.32517</v>
      </c>
      <c r="G47" s="5">
        <v>1.0317926E-2</v>
      </c>
    </row>
    <row r="48" spans="1:7" ht="25.5" x14ac:dyDescent="0.2">
      <c r="A48" s="6">
        <v>42</v>
      </c>
      <c r="B48" s="7" t="s">
        <v>181</v>
      </c>
      <c r="C48" s="11" t="s">
        <v>182</v>
      </c>
      <c r="D48" s="2" t="s">
        <v>183</v>
      </c>
      <c r="E48" s="47">
        <v>35936</v>
      </c>
      <c r="F48" s="53">
        <v>42.691968000000003</v>
      </c>
      <c r="G48" s="5">
        <v>1.0167127999999999E-2</v>
      </c>
    </row>
    <row r="49" spans="1:7" ht="12.75" x14ac:dyDescent="0.2">
      <c r="A49" s="6">
        <v>43</v>
      </c>
      <c r="B49" s="7" t="s">
        <v>463</v>
      </c>
      <c r="C49" s="11" t="s">
        <v>464</v>
      </c>
      <c r="D49" s="2" t="s">
        <v>192</v>
      </c>
      <c r="E49" s="47">
        <v>7206</v>
      </c>
      <c r="F49" s="53">
        <v>41.812815000000001</v>
      </c>
      <c r="G49" s="5">
        <v>9.9577569999999994E-3</v>
      </c>
    </row>
    <row r="50" spans="1:7" ht="25.5" x14ac:dyDescent="0.2">
      <c r="A50" s="6">
        <v>44</v>
      </c>
      <c r="B50" s="7" t="s">
        <v>209</v>
      </c>
      <c r="C50" s="11" t="s">
        <v>210</v>
      </c>
      <c r="D50" s="2" t="s">
        <v>22</v>
      </c>
      <c r="E50" s="47">
        <v>5921</v>
      </c>
      <c r="F50" s="53">
        <v>39.830567000000002</v>
      </c>
      <c r="G50" s="5">
        <v>9.485683E-3</v>
      </c>
    </row>
    <row r="51" spans="1:7" ht="12.75" x14ac:dyDescent="0.2">
      <c r="A51" s="6">
        <v>45</v>
      </c>
      <c r="B51" s="7" t="s">
        <v>221</v>
      </c>
      <c r="C51" s="11" t="s">
        <v>222</v>
      </c>
      <c r="D51" s="2" t="s">
        <v>223</v>
      </c>
      <c r="E51" s="47">
        <v>8474</v>
      </c>
      <c r="F51" s="53">
        <v>38.446537999999997</v>
      </c>
      <c r="G51" s="5">
        <v>9.1560760000000008E-3</v>
      </c>
    </row>
    <row r="52" spans="1:7" ht="25.5" x14ac:dyDescent="0.2">
      <c r="A52" s="6">
        <v>46</v>
      </c>
      <c r="B52" s="7" t="s">
        <v>475</v>
      </c>
      <c r="C52" s="11" t="s">
        <v>476</v>
      </c>
      <c r="D52" s="2" t="s">
        <v>47</v>
      </c>
      <c r="E52" s="47">
        <v>4155</v>
      </c>
      <c r="F52" s="53">
        <v>37.822965000000003</v>
      </c>
      <c r="G52" s="5">
        <v>9.0075710000000007E-3</v>
      </c>
    </row>
    <row r="53" spans="1:7" ht="12.75" x14ac:dyDescent="0.2">
      <c r="A53" s="6">
        <v>47</v>
      </c>
      <c r="B53" s="7" t="s">
        <v>224</v>
      </c>
      <c r="C53" s="11" t="s">
        <v>225</v>
      </c>
      <c r="D53" s="2" t="s">
        <v>226</v>
      </c>
      <c r="E53" s="47">
        <v>33177</v>
      </c>
      <c r="F53" s="53">
        <v>37.241182500000001</v>
      </c>
      <c r="G53" s="5">
        <v>8.8690190000000006E-3</v>
      </c>
    </row>
    <row r="54" spans="1:7" ht="25.5" x14ac:dyDescent="0.2">
      <c r="A54" s="6">
        <v>48</v>
      </c>
      <c r="B54" s="7" t="s">
        <v>231</v>
      </c>
      <c r="C54" s="11" t="s">
        <v>232</v>
      </c>
      <c r="D54" s="2" t="s">
        <v>47</v>
      </c>
      <c r="E54" s="47">
        <v>14540</v>
      </c>
      <c r="F54" s="53">
        <v>36.669879999999999</v>
      </c>
      <c r="G54" s="5">
        <v>8.7329629999999998E-3</v>
      </c>
    </row>
    <row r="55" spans="1:7" ht="12.75" x14ac:dyDescent="0.2">
      <c r="A55" s="6">
        <v>49</v>
      </c>
      <c r="B55" s="7" t="s">
        <v>184</v>
      </c>
      <c r="C55" s="11" t="s">
        <v>185</v>
      </c>
      <c r="D55" s="2" t="s">
        <v>16</v>
      </c>
      <c r="E55" s="47">
        <v>19798</v>
      </c>
      <c r="F55" s="53">
        <v>35.666097000000001</v>
      </c>
      <c r="G55" s="5">
        <v>8.4939109999999998E-3</v>
      </c>
    </row>
    <row r="56" spans="1:7" ht="12.75" x14ac:dyDescent="0.2">
      <c r="A56" s="6">
        <v>50</v>
      </c>
      <c r="B56" s="7" t="s">
        <v>250</v>
      </c>
      <c r="C56" s="11" t="s">
        <v>251</v>
      </c>
      <c r="D56" s="2" t="s">
        <v>168</v>
      </c>
      <c r="E56" s="47">
        <v>8924</v>
      </c>
      <c r="F56" s="53">
        <v>35.553215999999999</v>
      </c>
      <c r="G56" s="5">
        <v>8.4670289999999992E-3</v>
      </c>
    </row>
    <row r="57" spans="1:7" ht="12.75" x14ac:dyDescent="0.2">
      <c r="A57" s="6">
        <v>51</v>
      </c>
      <c r="B57" s="7" t="s">
        <v>238</v>
      </c>
      <c r="C57" s="11" t="s">
        <v>239</v>
      </c>
      <c r="D57" s="2" t="s">
        <v>72</v>
      </c>
      <c r="E57" s="47">
        <v>64500</v>
      </c>
      <c r="F57" s="53">
        <v>34.539749999999998</v>
      </c>
      <c r="G57" s="5">
        <v>8.2256710000000004E-3</v>
      </c>
    </row>
    <row r="58" spans="1:7" ht="25.5" x14ac:dyDescent="0.2">
      <c r="A58" s="6">
        <v>52</v>
      </c>
      <c r="B58" s="7" t="s">
        <v>215</v>
      </c>
      <c r="C58" s="11" t="s">
        <v>216</v>
      </c>
      <c r="D58" s="2" t="s">
        <v>13</v>
      </c>
      <c r="E58" s="47">
        <v>59275</v>
      </c>
      <c r="F58" s="53">
        <v>34.260950000000001</v>
      </c>
      <c r="G58" s="5">
        <v>8.1592739999999993E-3</v>
      </c>
    </row>
    <row r="59" spans="1:7" ht="12.75" x14ac:dyDescent="0.2">
      <c r="A59" s="6">
        <v>53</v>
      </c>
      <c r="B59" s="7" t="s">
        <v>268</v>
      </c>
      <c r="C59" s="11" t="s">
        <v>269</v>
      </c>
      <c r="D59" s="2" t="s">
        <v>72</v>
      </c>
      <c r="E59" s="47">
        <v>6294</v>
      </c>
      <c r="F59" s="53">
        <v>28.250619</v>
      </c>
      <c r="G59" s="5">
        <v>6.7279089999999998E-3</v>
      </c>
    </row>
    <row r="60" spans="1:7" ht="12.75" x14ac:dyDescent="0.2">
      <c r="A60" s="6">
        <v>54</v>
      </c>
      <c r="B60" s="7" t="s">
        <v>233</v>
      </c>
      <c r="C60" s="11" t="s">
        <v>234</v>
      </c>
      <c r="D60" s="2" t="s">
        <v>192</v>
      </c>
      <c r="E60" s="47">
        <v>12924</v>
      </c>
      <c r="F60" s="53">
        <v>23.42475</v>
      </c>
      <c r="G60" s="5">
        <v>5.5786239999999999E-3</v>
      </c>
    </row>
    <row r="61" spans="1:7" ht="25.5" x14ac:dyDescent="0.2">
      <c r="A61" s="6">
        <v>55</v>
      </c>
      <c r="B61" s="7" t="s">
        <v>467</v>
      </c>
      <c r="C61" s="11" t="s">
        <v>468</v>
      </c>
      <c r="D61" s="2" t="s">
        <v>163</v>
      </c>
      <c r="E61" s="47">
        <v>42552</v>
      </c>
      <c r="F61" s="53">
        <v>23.020631999999999</v>
      </c>
      <c r="G61" s="5">
        <v>5.4823830000000004E-3</v>
      </c>
    </row>
    <row r="62" spans="1:7" ht="12.75" x14ac:dyDescent="0.2">
      <c r="A62" s="6">
        <v>56</v>
      </c>
      <c r="B62" s="7" t="s">
        <v>235</v>
      </c>
      <c r="C62" s="11" t="s">
        <v>236</v>
      </c>
      <c r="D62" s="2" t="s">
        <v>237</v>
      </c>
      <c r="E62" s="47">
        <v>1900</v>
      </c>
      <c r="F62" s="53">
        <v>20.857250000000001</v>
      </c>
      <c r="G62" s="5">
        <v>4.9671719999999997E-3</v>
      </c>
    </row>
    <row r="63" spans="1:7" ht="12.75" x14ac:dyDescent="0.2">
      <c r="A63" s="6">
        <v>57</v>
      </c>
      <c r="B63" s="7" t="s">
        <v>472</v>
      </c>
      <c r="C63" s="11" t="s">
        <v>473</v>
      </c>
      <c r="D63" s="2" t="s">
        <v>168</v>
      </c>
      <c r="E63" s="47">
        <v>5560</v>
      </c>
      <c r="F63" s="53">
        <v>19.05968</v>
      </c>
      <c r="G63" s="5">
        <v>4.5390789999999997E-3</v>
      </c>
    </row>
    <row r="64" spans="1:7" ht="25.5" x14ac:dyDescent="0.2">
      <c r="A64" s="6">
        <v>58</v>
      </c>
      <c r="B64" s="7" t="s">
        <v>73</v>
      </c>
      <c r="C64" s="11" t="s">
        <v>74</v>
      </c>
      <c r="D64" s="2" t="s">
        <v>22</v>
      </c>
      <c r="E64" s="47">
        <v>2500</v>
      </c>
      <c r="F64" s="53">
        <v>16.3825</v>
      </c>
      <c r="G64" s="5">
        <v>3.9015059999999999E-3</v>
      </c>
    </row>
    <row r="65" spans="1:7" ht="12.75" x14ac:dyDescent="0.2">
      <c r="A65" s="6">
        <v>59</v>
      </c>
      <c r="B65" s="7" t="s">
        <v>106</v>
      </c>
      <c r="C65" s="11" t="s">
        <v>107</v>
      </c>
      <c r="D65" s="2" t="s">
        <v>50</v>
      </c>
      <c r="E65" s="47">
        <v>26599</v>
      </c>
      <c r="F65" s="53">
        <v>12.767519999999999</v>
      </c>
      <c r="G65" s="5">
        <v>3.040596E-3</v>
      </c>
    </row>
    <row r="66" spans="1:7" ht="25.5" x14ac:dyDescent="0.2">
      <c r="A66" s="6">
        <v>60</v>
      </c>
      <c r="B66" s="7" t="s">
        <v>243</v>
      </c>
      <c r="C66" s="11" t="s">
        <v>244</v>
      </c>
      <c r="D66" s="2" t="s">
        <v>163</v>
      </c>
      <c r="E66" s="47">
        <v>18902</v>
      </c>
      <c r="F66" s="53">
        <v>11.520769</v>
      </c>
      <c r="G66" s="5">
        <v>2.743681E-3</v>
      </c>
    </row>
    <row r="67" spans="1:7" ht="12.75" x14ac:dyDescent="0.2">
      <c r="A67" s="1"/>
      <c r="B67" s="2"/>
      <c r="C67" s="8" t="s">
        <v>108</v>
      </c>
      <c r="D67" s="12"/>
      <c r="E67" s="49"/>
      <c r="F67" s="55">
        <v>4142.6135319999985</v>
      </c>
      <c r="G67" s="13">
        <v>0.98656692299999993</v>
      </c>
    </row>
    <row r="68" spans="1:7" ht="12.75" x14ac:dyDescent="0.2">
      <c r="A68" s="6"/>
      <c r="B68" s="7"/>
      <c r="C68" s="14"/>
      <c r="D68" s="15"/>
      <c r="E68" s="47"/>
      <c r="F68" s="53"/>
      <c r="G68" s="5"/>
    </row>
    <row r="69" spans="1:7" ht="12.75" x14ac:dyDescent="0.2">
      <c r="A69" s="1"/>
      <c r="B69" s="2"/>
      <c r="C69" s="8" t="s">
        <v>109</v>
      </c>
      <c r="D69" s="9"/>
      <c r="E69" s="48"/>
      <c r="F69" s="54"/>
      <c r="G69" s="10"/>
    </row>
    <row r="70" spans="1:7" ht="12.75" x14ac:dyDescent="0.2">
      <c r="A70" s="1"/>
      <c r="B70" s="2"/>
      <c r="C70" s="8" t="s">
        <v>108</v>
      </c>
      <c r="D70" s="12"/>
      <c r="E70" s="49"/>
      <c r="F70" s="55">
        <v>0</v>
      </c>
      <c r="G70" s="13">
        <v>0</v>
      </c>
    </row>
    <row r="71" spans="1:7" ht="12.75" x14ac:dyDescent="0.2">
      <c r="A71" s="6"/>
      <c r="B71" s="7"/>
      <c r="C71" s="14"/>
      <c r="D71" s="15"/>
      <c r="E71" s="47"/>
      <c r="F71" s="53"/>
      <c r="G71" s="5"/>
    </row>
    <row r="72" spans="1:7" ht="12.75" x14ac:dyDescent="0.2">
      <c r="A72" s="16"/>
      <c r="B72" s="17"/>
      <c r="C72" s="8" t="s">
        <v>110</v>
      </c>
      <c r="D72" s="9"/>
      <c r="E72" s="48"/>
      <c r="F72" s="54"/>
      <c r="G72" s="10"/>
    </row>
    <row r="73" spans="1:7" ht="12.75" x14ac:dyDescent="0.2">
      <c r="A73" s="18"/>
      <c r="B73" s="19"/>
      <c r="C73" s="8" t="s">
        <v>108</v>
      </c>
      <c r="D73" s="20"/>
      <c r="E73" s="50"/>
      <c r="F73" s="56">
        <v>0</v>
      </c>
      <c r="G73" s="21">
        <v>0</v>
      </c>
    </row>
    <row r="74" spans="1:7" ht="12.75" x14ac:dyDescent="0.2">
      <c r="A74" s="18"/>
      <c r="B74" s="19"/>
      <c r="C74" s="14"/>
      <c r="D74" s="22"/>
      <c r="E74" s="51"/>
      <c r="F74" s="57"/>
      <c r="G74" s="23"/>
    </row>
    <row r="75" spans="1:7" ht="12.75" x14ac:dyDescent="0.2">
      <c r="A75" s="1"/>
      <c r="B75" s="2"/>
      <c r="C75" s="8" t="s">
        <v>113</v>
      </c>
      <c r="D75" s="9"/>
      <c r="E75" s="48"/>
      <c r="F75" s="54"/>
      <c r="G75" s="10"/>
    </row>
    <row r="76" spans="1:7" ht="12.75" x14ac:dyDescent="0.2">
      <c r="A76" s="1"/>
      <c r="B76" s="2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1"/>
      <c r="B77" s="2"/>
      <c r="C77" s="14"/>
      <c r="D77" s="4"/>
      <c r="E77" s="47"/>
      <c r="F77" s="53"/>
      <c r="G77" s="5"/>
    </row>
    <row r="78" spans="1:7" ht="12.75" x14ac:dyDescent="0.2">
      <c r="A78" s="1"/>
      <c r="B78" s="2"/>
      <c r="C78" s="8" t="s">
        <v>114</v>
      </c>
      <c r="D78" s="9"/>
      <c r="E78" s="48"/>
      <c r="F78" s="54"/>
      <c r="G78" s="10"/>
    </row>
    <row r="79" spans="1:7" ht="12.75" x14ac:dyDescent="0.2">
      <c r="A79" s="1"/>
      <c r="B79" s="2"/>
      <c r="C79" s="8" t="s">
        <v>108</v>
      </c>
      <c r="D79" s="12"/>
      <c r="E79" s="49"/>
      <c r="F79" s="55">
        <v>0</v>
      </c>
      <c r="G79" s="13">
        <v>0</v>
      </c>
    </row>
    <row r="80" spans="1:7" ht="12.75" x14ac:dyDescent="0.2">
      <c r="A80" s="1"/>
      <c r="B80" s="2"/>
      <c r="C80" s="14"/>
      <c r="D80" s="4"/>
      <c r="E80" s="47"/>
      <c r="F80" s="53"/>
      <c r="G80" s="5"/>
    </row>
    <row r="81" spans="1:7" ht="12.75" x14ac:dyDescent="0.2">
      <c r="A81" s="1"/>
      <c r="B81" s="2"/>
      <c r="C81" s="8" t="s">
        <v>115</v>
      </c>
      <c r="D81" s="9"/>
      <c r="E81" s="48"/>
      <c r="F81" s="54"/>
      <c r="G81" s="10"/>
    </row>
    <row r="82" spans="1:7" ht="12.75" x14ac:dyDescent="0.2">
      <c r="A82" s="1"/>
      <c r="B82" s="2"/>
      <c r="C82" s="8" t="s">
        <v>108</v>
      </c>
      <c r="D82" s="12"/>
      <c r="E82" s="49"/>
      <c r="F82" s="55">
        <v>0</v>
      </c>
      <c r="G82" s="13">
        <v>0</v>
      </c>
    </row>
    <row r="83" spans="1:7" ht="12.75" x14ac:dyDescent="0.2">
      <c r="A83" s="1"/>
      <c r="B83" s="2"/>
      <c r="C83" s="14"/>
      <c r="D83" s="4"/>
      <c r="E83" s="47"/>
      <c r="F83" s="53"/>
      <c r="G83" s="5"/>
    </row>
    <row r="84" spans="1:7" ht="25.5" x14ac:dyDescent="0.2">
      <c r="A84" s="6"/>
      <c r="B84" s="7"/>
      <c r="C84" s="24" t="s">
        <v>116</v>
      </c>
      <c r="D84" s="25"/>
      <c r="E84" s="49"/>
      <c r="F84" s="55">
        <v>4142.6135319999985</v>
      </c>
      <c r="G84" s="13">
        <v>0.98656692299999993</v>
      </c>
    </row>
    <row r="85" spans="1:7" ht="12.75" x14ac:dyDescent="0.2">
      <c r="A85" s="1"/>
      <c r="B85" s="2"/>
      <c r="C85" s="11"/>
      <c r="D85" s="4"/>
      <c r="E85" s="47"/>
      <c r="F85" s="53"/>
      <c r="G85" s="5"/>
    </row>
    <row r="86" spans="1:7" ht="12.75" x14ac:dyDescent="0.2">
      <c r="A86" s="1"/>
      <c r="B86" s="2"/>
      <c r="C86" s="3" t="s">
        <v>117</v>
      </c>
      <c r="D86" s="4"/>
      <c r="E86" s="47"/>
      <c r="F86" s="53"/>
      <c r="G86" s="5"/>
    </row>
    <row r="87" spans="1:7" ht="25.5" x14ac:dyDescent="0.2">
      <c r="A87" s="1"/>
      <c r="B87" s="2"/>
      <c r="C87" s="8" t="s">
        <v>10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12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4"/>
      <c r="E89" s="47"/>
      <c r="F89" s="53"/>
      <c r="G89" s="5"/>
    </row>
    <row r="90" spans="1:7" ht="12.75" x14ac:dyDescent="0.2">
      <c r="A90" s="1"/>
      <c r="B90" s="26"/>
      <c r="C90" s="8" t="s">
        <v>118</v>
      </c>
      <c r="D90" s="9"/>
      <c r="E90" s="48"/>
      <c r="F90" s="54"/>
      <c r="G90" s="10"/>
    </row>
    <row r="91" spans="1:7" ht="12.75" x14ac:dyDescent="0.2">
      <c r="A91" s="6"/>
      <c r="B91" s="7"/>
      <c r="C91" s="8" t="s">
        <v>108</v>
      </c>
      <c r="D91" s="12"/>
      <c r="E91" s="49"/>
      <c r="F91" s="55">
        <v>0</v>
      </c>
      <c r="G91" s="13">
        <v>0</v>
      </c>
    </row>
    <row r="92" spans="1:7" ht="12.75" x14ac:dyDescent="0.2">
      <c r="A92" s="6"/>
      <c r="B92" s="7"/>
      <c r="C92" s="14"/>
      <c r="D92" s="4"/>
      <c r="E92" s="47"/>
      <c r="F92" s="59"/>
      <c r="G92" s="28"/>
    </row>
    <row r="93" spans="1:7" ht="12.75" x14ac:dyDescent="0.2">
      <c r="A93" s="1"/>
      <c r="B93" s="2"/>
      <c r="C93" s="8" t="s">
        <v>119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7" ht="12.75" x14ac:dyDescent="0.2">
      <c r="A95" s="1"/>
      <c r="B95" s="2"/>
      <c r="C95" s="14"/>
      <c r="D95" s="4"/>
      <c r="E95" s="47"/>
      <c r="F95" s="53"/>
      <c r="G95" s="5"/>
    </row>
    <row r="96" spans="1:7" ht="25.5" x14ac:dyDescent="0.2">
      <c r="A96" s="1"/>
      <c r="B96" s="26"/>
      <c r="C96" s="8" t="s">
        <v>120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12"/>
      <c r="E97" s="49"/>
      <c r="F97" s="55">
        <v>0</v>
      </c>
      <c r="G97" s="13">
        <v>0</v>
      </c>
    </row>
    <row r="98" spans="1:7" ht="12.75" x14ac:dyDescent="0.2">
      <c r="A98" s="6"/>
      <c r="B98" s="7"/>
      <c r="C98" s="14"/>
      <c r="D98" s="4"/>
      <c r="E98" s="47"/>
      <c r="F98" s="53"/>
      <c r="G98" s="5"/>
    </row>
    <row r="99" spans="1:7" ht="12.75" x14ac:dyDescent="0.2">
      <c r="A99" s="6"/>
      <c r="B99" s="7"/>
      <c r="C99" s="29" t="s">
        <v>121</v>
      </c>
      <c r="D99" s="25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1"/>
      <c r="D100" s="4"/>
      <c r="E100" s="47"/>
      <c r="F100" s="53"/>
      <c r="G100" s="5"/>
    </row>
    <row r="101" spans="1:7" ht="12.75" x14ac:dyDescent="0.2">
      <c r="A101" s="1"/>
      <c r="B101" s="2"/>
      <c r="C101" s="3" t="s">
        <v>122</v>
      </c>
      <c r="D101" s="4"/>
      <c r="E101" s="47"/>
      <c r="F101" s="53"/>
      <c r="G101" s="5"/>
    </row>
    <row r="102" spans="1:7" ht="12.75" x14ac:dyDescent="0.2">
      <c r="A102" s="6"/>
      <c r="B102" s="7"/>
      <c r="C102" s="8" t="s">
        <v>123</v>
      </c>
      <c r="D102" s="9"/>
      <c r="E102" s="48"/>
      <c r="F102" s="54"/>
      <c r="G102" s="10"/>
    </row>
    <row r="103" spans="1:7" ht="12.75" x14ac:dyDescent="0.2">
      <c r="A103" s="6"/>
      <c r="B103" s="7"/>
      <c r="C103" s="8" t="s">
        <v>108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4"/>
      <c r="D104" s="7"/>
      <c r="E104" s="47"/>
      <c r="F104" s="53"/>
      <c r="G104" s="5"/>
    </row>
    <row r="105" spans="1:7" ht="12.75" x14ac:dyDescent="0.2">
      <c r="A105" s="6"/>
      <c r="B105" s="7"/>
      <c r="C105" s="8" t="s">
        <v>124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12.75" x14ac:dyDescent="0.2">
      <c r="A108" s="6"/>
      <c r="B108" s="7"/>
      <c r="C108" s="8" t="s">
        <v>125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12.75" x14ac:dyDescent="0.2">
      <c r="A111" s="6"/>
      <c r="B111" s="7"/>
      <c r="C111" s="8" t="s">
        <v>126</v>
      </c>
      <c r="D111" s="9"/>
      <c r="E111" s="48"/>
      <c r="F111" s="54"/>
      <c r="G111" s="10"/>
    </row>
    <row r="112" spans="1:7" ht="12.75" x14ac:dyDescent="0.2">
      <c r="A112" s="6">
        <v>1</v>
      </c>
      <c r="B112" s="7"/>
      <c r="C112" s="11" t="s">
        <v>812</v>
      </c>
      <c r="D112" s="15"/>
      <c r="E112" s="47"/>
      <c r="F112" s="53">
        <v>59.992110599999997</v>
      </c>
      <c r="G112" s="5">
        <v>1.4287172000000001E-2</v>
      </c>
    </row>
    <row r="113" spans="1:7" ht="12.75" x14ac:dyDescent="0.2">
      <c r="A113" s="6"/>
      <c r="B113" s="7"/>
      <c r="C113" s="8" t="s">
        <v>108</v>
      </c>
      <c r="D113" s="25"/>
      <c r="E113" s="49"/>
      <c r="F113" s="55">
        <v>59.992110599999997</v>
      </c>
      <c r="G113" s="13">
        <v>1.4287172000000001E-2</v>
      </c>
    </row>
    <row r="114" spans="1:7" ht="12.75" x14ac:dyDescent="0.2">
      <c r="A114" s="6"/>
      <c r="B114" s="7"/>
      <c r="C114" s="14"/>
      <c r="D114" s="7"/>
      <c r="E114" s="47"/>
      <c r="F114" s="53"/>
      <c r="G114" s="5"/>
    </row>
    <row r="115" spans="1:7" ht="25.5" x14ac:dyDescent="0.2">
      <c r="A115" s="6"/>
      <c r="B115" s="7"/>
      <c r="C115" s="24" t="s">
        <v>127</v>
      </c>
      <c r="D115" s="25"/>
      <c r="E115" s="49"/>
      <c r="F115" s="55">
        <v>59.992110599999997</v>
      </c>
      <c r="G115" s="13">
        <v>1.4287172000000001E-2</v>
      </c>
    </row>
    <row r="116" spans="1:7" ht="12.75" x14ac:dyDescent="0.2">
      <c r="A116" s="6"/>
      <c r="B116" s="7"/>
      <c r="C116" s="30"/>
      <c r="D116" s="7"/>
      <c r="E116" s="47"/>
      <c r="F116" s="53"/>
      <c r="G116" s="5"/>
    </row>
    <row r="117" spans="1:7" ht="12.75" x14ac:dyDescent="0.2">
      <c r="A117" s="1"/>
      <c r="B117" s="2"/>
      <c r="C117" s="3" t="s">
        <v>128</v>
      </c>
      <c r="D117" s="4"/>
      <c r="E117" s="47"/>
      <c r="F117" s="53"/>
      <c r="G117" s="5"/>
    </row>
    <row r="118" spans="1:7" ht="25.5" x14ac:dyDescent="0.2">
      <c r="A118" s="6"/>
      <c r="B118" s="7"/>
      <c r="C118" s="8" t="s">
        <v>129</v>
      </c>
      <c r="D118" s="9"/>
      <c r="E118" s="48"/>
      <c r="F118" s="54"/>
      <c r="G118" s="10"/>
    </row>
    <row r="119" spans="1:7" ht="12.75" x14ac:dyDescent="0.2">
      <c r="A119" s="6"/>
      <c r="B119" s="7"/>
      <c r="C119" s="8" t="s">
        <v>108</v>
      </c>
      <c r="D119" s="25"/>
      <c r="E119" s="49"/>
      <c r="F119" s="55">
        <v>0</v>
      </c>
      <c r="G119" s="13">
        <v>0</v>
      </c>
    </row>
    <row r="120" spans="1:7" ht="12.75" x14ac:dyDescent="0.2">
      <c r="A120" s="6"/>
      <c r="B120" s="7"/>
      <c r="C120" s="14"/>
      <c r="D120" s="7"/>
      <c r="E120" s="47"/>
      <c r="F120" s="53"/>
      <c r="G120" s="5"/>
    </row>
    <row r="121" spans="1:7" ht="12.75" x14ac:dyDescent="0.2">
      <c r="A121" s="1"/>
      <c r="B121" s="2"/>
      <c r="C121" s="3" t="s">
        <v>131</v>
      </c>
      <c r="D121" s="4"/>
      <c r="E121" s="47"/>
      <c r="F121" s="53"/>
      <c r="G121" s="5"/>
    </row>
    <row r="122" spans="1:7" ht="25.5" x14ac:dyDescent="0.2">
      <c r="A122" s="6"/>
      <c r="B122" s="7"/>
      <c r="C122" s="8" t="s">
        <v>132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3"/>
      <c r="G124" s="5"/>
    </row>
    <row r="125" spans="1:7" ht="25.5" x14ac:dyDescent="0.2">
      <c r="A125" s="6"/>
      <c r="B125" s="7"/>
      <c r="C125" s="8" t="s">
        <v>133</v>
      </c>
      <c r="D125" s="9"/>
      <c r="E125" s="48"/>
      <c r="F125" s="54"/>
      <c r="G125" s="10"/>
    </row>
    <row r="126" spans="1:7" ht="12.75" x14ac:dyDescent="0.2">
      <c r="A126" s="6"/>
      <c r="B126" s="7"/>
      <c r="C126" s="8" t="s">
        <v>108</v>
      </c>
      <c r="D126" s="25"/>
      <c r="E126" s="49"/>
      <c r="F126" s="55">
        <v>0</v>
      </c>
      <c r="G126" s="13">
        <v>0</v>
      </c>
    </row>
    <row r="127" spans="1:7" ht="12.75" x14ac:dyDescent="0.2">
      <c r="A127" s="6"/>
      <c r="B127" s="7"/>
      <c r="C127" s="14"/>
      <c r="D127" s="7"/>
      <c r="E127" s="47"/>
      <c r="F127" s="59"/>
      <c r="G127" s="28"/>
    </row>
    <row r="128" spans="1:7" ht="25.5" x14ac:dyDescent="0.2">
      <c r="A128" s="6"/>
      <c r="B128" s="7"/>
      <c r="C128" s="30" t="s">
        <v>134</v>
      </c>
      <c r="D128" s="7"/>
      <c r="E128" s="47"/>
      <c r="F128" s="128">
        <v>-3.58636249</v>
      </c>
      <c r="G128" s="137">
        <v>-8.5409526624179968E-4</v>
      </c>
    </row>
    <row r="129" spans="1:7" ht="12.75" x14ac:dyDescent="0.2">
      <c r="A129" s="6"/>
      <c r="B129" s="7"/>
      <c r="C129" s="31" t="s">
        <v>135</v>
      </c>
      <c r="D129" s="12"/>
      <c r="E129" s="49"/>
      <c r="F129" s="55">
        <v>4199.0192801099993</v>
      </c>
      <c r="G129" s="13">
        <v>0.99999999999999989</v>
      </c>
    </row>
    <row r="131" spans="1:7" ht="12.75" x14ac:dyDescent="0.2">
      <c r="B131" s="179"/>
      <c r="C131" s="179"/>
      <c r="D131" s="179"/>
      <c r="E131" s="179"/>
      <c r="F131" s="179"/>
    </row>
    <row r="132" spans="1:7" ht="12.75" x14ac:dyDescent="0.2">
      <c r="B132" s="179"/>
      <c r="C132" s="179"/>
      <c r="D132" s="179"/>
      <c r="E132" s="179"/>
      <c r="F132" s="179"/>
    </row>
    <row r="134" spans="1:7" ht="12.75" x14ac:dyDescent="0.2">
      <c r="B134" s="37" t="s">
        <v>137</v>
      </c>
      <c r="C134" s="38"/>
      <c r="D134" s="39"/>
    </row>
    <row r="135" spans="1:7" ht="12.75" x14ac:dyDescent="0.2">
      <c r="B135" s="40" t="s">
        <v>808</v>
      </c>
      <c r="C135" s="41"/>
      <c r="D135" s="65" t="s">
        <v>138</v>
      </c>
    </row>
    <row r="136" spans="1:7" ht="12.75" x14ac:dyDescent="0.2">
      <c r="B136" s="40" t="s">
        <v>139</v>
      </c>
      <c r="C136" s="41"/>
      <c r="D136" s="65" t="s">
        <v>138</v>
      </c>
    </row>
    <row r="137" spans="1:7" ht="12.75" x14ac:dyDescent="0.2">
      <c r="B137" s="42" t="s">
        <v>140</v>
      </c>
      <c r="C137" s="41"/>
      <c r="D137" s="43"/>
    </row>
    <row r="138" spans="1:7" ht="25.5" customHeight="1" x14ac:dyDescent="0.2">
      <c r="B138" s="43"/>
      <c r="C138" s="33" t="s">
        <v>141</v>
      </c>
      <c r="D138" s="34" t="s">
        <v>142</v>
      </c>
    </row>
    <row r="139" spans="1:7" ht="12.75" customHeight="1" x14ac:dyDescent="0.2">
      <c r="B139" s="60" t="s">
        <v>143</v>
      </c>
      <c r="C139" s="61" t="s">
        <v>144</v>
      </c>
      <c r="D139" s="61" t="s">
        <v>145</v>
      </c>
    </row>
    <row r="140" spans="1:7" ht="12.75" x14ac:dyDescent="0.2">
      <c r="B140" s="43" t="s">
        <v>146</v>
      </c>
      <c r="C140" s="44">
        <v>7.9328000000000003</v>
      </c>
      <c r="D140" s="44">
        <v>8.0589999999999993</v>
      </c>
    </row>
    <row r="141" spans="1:7" ht="12.75" x14ac:dyDescent="0.2">
      <c r="B141" s="43" t="s">
        <v>147</v>
      </c>
      <c r="C141" s="44">
        <v>7.9328000000000003</v>
      </c>
      <c r="D141" s="44">
        <v>8.0589999999999993</v>
      </c>
    </row>
    <row r="142" spans="1:7" ht="12.75" x14ac:dyDescent="0.2">
      <c r="B142" s="43" t="s">
        <v>148</v>
      </c>
      <c r="C142" s="44">
        <v>7.7849000000000004</v>
      </c>
      <c r="D142" s="44">
        <v>7.9073000000000002</v>
      </c>
    </row>
    <row r="143" spans="1:7" ht="12.75" x14ac:dyDescent="0.2">
      <c r="B143" s="43" t="s">
        <v>149</v>
      </c>
      <c r="C143" s="44">
        <v>7.7849000000000004</v>
      </c>
      <c r="D143" s="44">
        <v>7.9073000000000002</v>
      </c>
    </row>
    <row r="145" spans="2:4" ht="12.75" x14ac:dyDescent="0.2">
      <c r="B145" s="62" t="s">
        <v>150</v>
      </c>
      <c r="C145" s="45"/>
      <c r="D145" s="63" t="s">
        <v>138</v>
      </c>
    </row>
    <row r="146" spans="2:4" ht="24.75" customHeight="1" x14ac:dyDescent="0.2">
      <c r="B146" s="64"/>
      <c r="C146" s="64"/>
    </row>
    <row r="147" spans="2:4" ht="15" x14ac:dyDescent="0.25">
      <c r="B147" s="66"/>
      <c r="C147" s="68"/>
      <c r="D147"/>
    </row>
    <row r="149" spans="2:4" ht="12.75" x14ac:dyDescent="0.2">
      <c r="B149" s="42" t="s">
        <v>151</v>
      </c>
      <c r="C149" s="41"/>
      <c r="D149" s="67" t="s">
        <v>138</v>
      </c>
    </row>
    <row r="150" spans="2:4" ht="12.75" x14ac:dyDescent="0.2">
      <c r="B150" s="42" t="s">
        <v>152</v>
      </c>
      <c r="C150" s="41"/>
      <c r="D150" s="67" t="s">
        <v>138</v>
      </c>
    </row>
    <row r="151" spans="2:4" ht="12.75" x14ac:dyDescent="0.2">
      <c r="B151" s="42" t="s">
        <v>153</v>
      </c>
      <c r="C151" s="41"/>
      <c r="D151" s="46">
        <v>5.6481807946408731E-2</v>
      </c>
    </row>
    <row r="152" spans="2:4" ht="12.75" x14ac:dyDescent="0.2">
      <c r="B152" s="42" t="s">
        <v>154</v>
      </c>
      <c r="C152" s="41"/>
      <c r="D152" s="46" t="s">
        <v>138</v>
      </c>
    </row>
  </sheetData>
  <mergeCells count="5">
    <mergeCell ref="A1:G1"/>
    <mergeCell ref="A2:G2"/>
    <mergeCell ref="A3:G3"/>
    <mergeCell ref="B131:F131"/>
    <mergeCell ref="B132:F13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45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513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453</v>
      </c>
      <c r="C7" s="11" t="s">
        <v>454</v>
      </c>
      <c r="D7" s="2" t="s">
        <v>47</v>
      </c>
      <c r="E7" s="47">
        <v>59341</v>
      </c>
      <c r="F7" s="53">
        <v>116.8127585</v>
      </c>
      <c r="G7" s="5">
        <v>4.3511307999999999E-2</v>
      </c>
    </row>
    <row r="8" spans="1:7" ht="12.75" x14ac:dyDescent="0.2">
      <c r="A8" s="6">
        <v>2</v>
      </c>
      <c r="B8" s="7" t="s">
        <v>457</v>
      </c>
      <c r="C8" s="11" t="s">
        <v>458</v>
      </c>
      <c r="D8" s="2" t="s">
        <v>192</v>
      </c>
      <c r="E8" s="47">
        <v>14004</v>
      </c>
      <c r="F8" s="53">
        <v>105.933258</v>
      </c>
      <c r="G8" s="5">
        <v>3.9458829000000001E-2</v>
      </c>
    </row>
    <row r="9" spans="1:7" ht="12.75" x14ac:dyDescent="0.2">
      <c r="A9" s="6">
        <v>3</v>
      </c>
      <c r="B9" s="7" t="s">
        <v>455</v>
      </c>
      <c r="C9" s="11" t="s">
        <v>456</v>
      </c>
      <c r="D9" s="2" t="s">
        <v>72</v>
      </c>
      <c r="E9" s="47">
        <v>15923</v>
      </c>
      <c r="F9" s="53">
        <v>101.6126245</v>
      </c>
      <c r="G9" s="5">
        <v>3.7849446000000002E-2</v>
      </c>
    </row>
    <row r="10" spans="1:7" ht="12.75" x14ac:dyDescent="0.2">
      <c r="A10" s="6">
        <v>4</v>
      </c>
      <c r="B10" s="7" t="s">
        <v>51</v>
      </c>
      <c r="C10" s="11" t="s">
        <v>52</v>
      </c>
      <c r="D10" s="2" t="s">
        <v>19</v>
      </c>
      <c r="E10" s="47">
        <v>8925</v>
      </c>
      <c r="F10" s="53">
        <v>99.696712500000004</v>
      </c>
      <c r="G10" s="5">
        <v>3.7135793E-2</v>
      </c>
    </row>
    <row r="11" spans="1:7" ht="25.5" x14ac:dyDescent="0.2">
      <c r="A11" s="6">
        <v>5</v>
      </c>
      <c r="B11" s="7" t="s">
        <v>23</v>
      </c>
      <c r="C11" s="11" t="s">
        <v>24</v>
      </c>
      <c r="D11" s="2" t="s">
        <v>22</v>
      </c>
      <c r="E11" s="47">
        <v>15634</v>
      </c>
      <c r="F11" s="53">
        <v>94.015058999999994</v>
      </c>
      <c r="G11" s="5">
        <v>3.5019447000000002E-2</v>
      </c>
    </row>
    <row r="12" spans="1:7" ht="25.5" x14ac:dyDescent="0.2">
      <c r="A12" s="6">
        <v>6</v>
      </c>
      <c r="B12" s="7" t="s">
        <v>156</v>
      </c>
      <c r="C12" s="11" t="s">
        <v>157</v>
      </c>
      <c r="D12" s="2" t="s">
        <v>158</v>
      </c>
      <c r="E12" s="47">
        <v>10021</v>
      </c>
      <c r="F12" s="53">
        <v>89.938474999999997</v>
      </c>
      <c r="G12" s="5">
        <v>3.3500969999999998E-2</v>
      </c>
    </row>
    <row r="13" spans="1:7" ht="25.5" x14ac:dyDescent="0.2">
      <c r="A13" s="6">
        <v>7</v>
      </c>
      <c r="B13" s="7" t="s">
        <v>81</v>
      </c>
      <c r="C13" s="11" t="s">
        <v>82</v>
      </c>
      <c r="D13" s="2" t="s">
        <v>22</v>
      </c>
      <c r="E13" s="47">
        <v>8759</v>
      </c>
      <c r="F13" s="53">
        <v>87.620656499999996</v>
      </c>
      <c r="G13" s="5">
        <v>3.2637610999999997E-2</v>
      </c>
    </row>
    <row r="14" spans="1:7" ht="25.5" x14ac:dyDescent="0.2">
      <c r="A14" s="6">
        <v>8</v>
      </c>
      <c r="B14" s="7" t="s">
        <v>55</v>
      </c>
      <c r="C14" s="11" t="s">
        <v>56</v>
      </c>
      <c r="D14" s="2" t="s">
        <v>22</v>
      </c>
      <c r="E14" s="47">
        <v>14577</v>
      </c>
      <c r="F14" s="53">
        <v>86.069896499999999</v>
      </c>
      <c r="G14" s="5">
        <v>3.2059971999999999E-2</v>
      </c>
    </row>
    <row r="15" spans="1:7" ht="25.5" x14ac:dyDescent="0.2">
      <c r="A15" s="6">
        <v>9</v>
      </c>
      <c r="B15" s="7" t="s">
        <v>186</v>
      </c>
      <c r="C15" s="11" t="s">
        <v>187</v>
      </c>
      <c r="D15" s="2" t="s">
        <v>183</v>
      </c>
      <c r="E15" s="47">
        <v>14765</v>
      </c>
      <c r="F15" s="53">
        <v>83.835669999999993</v>
      </c>
      <c r="G15" s="5">
        <v>3.1227749999999999E-2</v>
      </c>
    </row>
    <row r="16" spans="1:7" ht="12.75" x14ac:dyDescent="0.2">
      <c r="A16" s="6">
        <v>10</v>
      </c>
      <c r="B16" s="7" t="s">
        <v>159</v>
      </c>
      <c r="C16" s="11" t="s">
        <v>160</v>
      </c>
      <c r="D16" s="2" t="s">
        <v>19</v>
      </c>
      <c r="E16" s="47">
        <v>42648</v>
      </c>
      <c r="F16" s="53">
        <v>79.794408000000004</v>
      </c>
      <c r="G16" s="5">
        <v>2.9722430000000001E-2</v>
      </c>
    </row>
    <row r="17" spans="1:7" ht="25.5" x14ac:dyDescent="0.2">
      <c r="A17" s="6">
        <v>11</v>
      </c>
      <c r="B17" s="7" t="s">
        <v>20</v>
      </c>
      <c r="C17" s="11" t="s">
        <v>21</v>
      </c>
      <c r="D17" s="2" t="s">
        <v>22</v>
      </c>
      <c r="E17" s="47">
        <v>8779</v>
      </c>
      <c r="F17" s="53">
        <v>78.220889999999997</v>
      </c>
      <c r="G17" s="5">
        <v>2.9136314E-2</v>
      </c>
    </row>
    <row r="18" spans="1:7" ht="25.5" x14ac:dyDescent="0.2">
      <c r="A18" s="6">
        <v>12</v>
      </c>
      <c r="B18" s="7" t="s">
        <v>161</v>
      </c>
      <c r="C18" s="11" t="s">
        <v>162</v>
      </c>
      <c r="D18" s="2" t="s">
        <v>163</v>
      </c>
      <c r="E18" s="47">
        <v>20818</v>
      </c>
      <c r="F18" s="53">
        <v>75.923246000000006</v>
      </c>
      <c r="G18" s="5">
        <v>2.8280469999999999E-2</v>
      </c>
    </row>
    <row r="19" spans="1:7" ht="25.5" x14ac:dyDescent="0.2">
      <c r="A19" s="6">
        <v>13</v>
      </c>
      <c r="B19" s="7" t="s">
        <v>43</v>
      </c>
      <c r="C19" s="11" t="s">
        <v>44</v>
      </c>
      <c r="D19" s="2" t="s">
        <v>22</v>
      </c>
      <c r="E19" s="47">
        <v>9615</v>
      </c>
      <c r="F19" s="53">
        <v>66.939629999999994</v>
      </c>
      <c r="G19" s="5">
        <v>2.4934184000000002E-2</v>
      </c>
    </row>
    <row r="20" spans="1:7" ht="25.5" x14ac:dyDescent="0.2">
      <c r="A20" s="6">
        <v>14</v>
      </c>
      <c r="B20" s="7" t="s">
        <v>102</v>
      </c>
      <c r="C20" s="11" t="s">
        <v>103</v>
      </c>
      <c r="D20" s="2" t="s">
        <v>13</v>
      </c>
      <c r="E20" s="47">
        <v>62965</v>
      </c>
      <c r="F20" s="53">
        <v>64.790985000000006</v>
      </c>
      <c r="G20" s="5">
        <v>2.4133841E-2</v>
      </c>
    </row>
    <row r="21" spans="1:7" ht="25.5" x14ac:dyDescent="0.2">
      <c r="A21" s="6">
        <v>15</v>
      </c>
      <c r="B21" s="7" t="s">
        <v>179</v>
      </c>
      <c r="C21" s="11" t="s">
        <v>180</v>
      </c>
      <c r="D21" s="2" t="s">
        <v>22</v>
      </c>
      <c r="E21" s="47">
        <v>20151</v>
      </c>
      <c r="F21" s="53">
        <v>64.301840999999996</v>
      </c>
      <c r="G21" s="5">
        <v>2.3951640999999999E-2</v>
      </c>
    </row>
    <row r="22" spans="1:7" ht="25.5" x14ac:dyDescent="0.2">
      <c r="A22" s="6">
        <v>16</v>
      </c>
      <c r="B22" s="7" t="s">
        <v>73</v>
      </c>
      <c r="C22" s="11" t="s">
        <v>74</v>
      </c>
      <c r="D22" s="2" t="s">
        <v>22</v>
      </c>
      <c r="E22" s="47">
        <v>9470</v>
      </c>
      <c r="F22" s="53">
        <v>62.056910000000002</v>
      </c>
      <c r="G22" s="5">
        <v>2.3115432000000002E-2</v>
      </c>
    </row>
    <row r="23" spans="1:7" ht="25.5" x14ac:dyDescent="0.2">
      <c r="A23" s="6">
        <v>17</v>
      </c>
      <c r="B23" s="7" t="s">
        <v>171</v>
      </c>
      <c r="C23" s="11" t="s">
        <v>172</v>
      </c>
      <c r="D23" s="2" t="s">
        <v>22</v>
      </c>
      <c r="E23" s="47">
        <v>14991</v>
      </c>
      <c r="F23" s="53">
        <v>60.383747999999997</v>
      </c>
      <c r="G23" s="5">
        <v>2.2492199000000001E-2</v>
      </c>
    </row>
    <row r="24" spans="1:7" ht="12.75" x14ac:dyDescent="0.2">
      <c r="A24" s="6">
        <v>18</v>
      </c>
      <c r="B24" s="7" t="s">
        <v>193</v>
      </c>
      <c r="C24" s="11" t="s">
        <v>194</v>
      </c>
      <c r="D24" s="2" t="s">
        <v>72</v>
      </c>
      <c r="E24" s="47">
        <v>6278</v>
      </c>
      <c r="F24" s="53">
        <v>55.695276999999997</v>
      </c>
      <c r="G24" s="5">
        <v>2.0745802000000001E-2</v>
      </c>
    </row>
    <row r="25" spans="1:7" ht="12.75" x14ac:dyDescent="0.2">
      <c r="A25" s="6">
        <v>19</v>
      </c>
      <c r="B25" s="7" t="s">
        <v>308</v>
      </c>
      <c r="C25" s="11" t="s">
        <v>309</v>
      </c>
      <c r="D25" s="2" t="s">
        <v>168</v>
      </c>
      <c r="E25" s="47">
        <v>2551</v>
      </c>
      <c r="F25" s="53">
        <v>53.456204999999997</v>
      </c>
      <c r="G25" s="5">
        <v>1.9911775E-2</v>
      </c>
    </row>
    <row r="26" spans="1:7" ht="25.5" x14ac:dyDescent="0.2">
      <c r="A26" s="6">
        <v>20</v>
      </c>
      <c r="B26" s="7" t="s">
        <v>38</v>
      </c>
      <c r="C26" s="11" t="s">
        <v>39</v>
      </c>
      <c r="D26" s="2" t="s">
        <v>40</v>
      </c>
      <c r="E26" s="47">
        <v>11831</v>
      </c>
      <c r="F26" s="53">
        <v>51.038933999999998</v>
      </c>
      <c r="G26" s="5">
        <v>1.9011371999999999E-2</v>
      </c>
    </row>
    <row r="27" spans="1:7" ht="12.75" x14ac:dyDescent="0.2">
      <c r="A27" s="6">
        <v>21</v>
      </c>
      <c r="B27" s="7" t="s">
        <v>175</v>
      </c>
      <c r="C27" s="11" t="s">
        <v>176</v>
      </c>
      <c r="D27" s="2" t="s">
        <v>19</v>
      </c>
      <c r="E27" s="47">
        <v>59961</v>
      </c>
      <c r="F27" s="53">
        <v>50.277298500000001</v>
      </c>
      <c r="G27" s="5">
        <v>1.8727672000000001E-2</v>
      </c>
    </row>
    <row r="28" spans="1:7" ht="25.5" x14ac:dyDescent="0.2">
      <c r="A28" s="6">
        <v>22</v>
      </c>
      <c r="B28" s="7" t="s">
        <v>83</v>
      </c>
      <c r="C28" s="11" t="s">
        <v>84</v>
      </c>
      <c r="D28" s="2" t="s">
        <v>22</v>
      </c>
      <c r="E28" s="47">
        <v>44521</v>
      </c>
      <c r="F28" s="53">
        <v>48.550150500000001</v>
      </c>
      <c r="G28" s="5">
        <v>1.8084330999999999E-2</v>
      </c>
    </row>
    <row r="29" spans="1:7" ht="12.75" x14ac:dyDescent="0.2">
      <c r="A29" s="6">
        <v>23</v>
      </c>
      <c r="B29" s="7" t="s">
        <v>48</v>
      </c>
      <c r="C29" s="11" t="s">
        <v>49</v>
      </c>
      <c r="D29" s="2" t="s">
        <v>50</v>
      </c>
      <c r="E29" s="47">
        <v>22906</v>
      </c>
      <c r="F29" s="53">
        <v>47.243625000000002</v>
      </c>
      <c r="G29" s="5">
        <v>1.7597666000000001E-2</v>
      </c>
    </row>
    <row r="30" spans="1:7" ht="25.5" x14ac:dyDescent="0.2">
      <c r="A30" s="6">
        <v>24</v>
      </c>
      <c r="B30" s="7" t="s">
        <v>169</v>
      </c>
      <c r="C30" s="11" t="s">
        <v>170</v>
      </c>
      <c r="D30" s="2" t="s">
        <v>27</v>
      </c>
      <c r="E30" s="47">
        <v>3915</v>
      </c>
      <c r="F30" s="53">
        <v>46.721609999999998</v>
      </c>
      <c r="G30" s="5">
        <v>1.7403221999999999E-2</v>
      </c>
    </row>
    <row r="31" spans="1:7" ht="12.75" x14ac:dyDescent="0.2">
      <c r="A31" s="6">
        <v>25</v>
      </c>
      <c r="B31" s="7" t="s">
        <v>459</v>
      </c>
      <c r="C31" s="11" t="s">
        <v>460</v>
      </c>
      <c r="D31" s="2" t="s">
        <v>72</v>
      </c>
      <c r="E31" s="47">
        <v>48902</v>
      </c>
      <c r="F31" s="53">
        <v>45.650016999999998</v>
      </c>
      <c r="G31" s="5">
        <v>1.7004067000000001E-2</v>
      </c>
    </row>
    <row r="32" spans="1:7" ht="12.75" x14ac:dyDescent="0.2">
      <c r="A32" s="6">
        <v>26</v>
      </c>
      <c r="B32" s="7" t="s">
        <v>190</v>
      </c>
      <c r="C32" s="11" t="s">
        <v>191</v>
      </c>
      <c r="D32" s="2" t="s">
        <v>192</v>
      </c>
      <c r="E32" s="47">
        <v>29206</v>
      </c>
      <c r="F32" s="53">
        <v>44.991843000000003</v>
      </c>
      <c r="G32" s="5">
        <v>1.6758905000000001E-2</v>
      </c>
    </row>
    <row r="33" spans="1:7" ht="25.5" x14ac:dyDescent="0.2">
      <c r="A33" s="6">
        <v>27</v>
      </c>
      <c r="B33" s="7" t="s">
        <v>461</v>
      </c>
      <c r="C33" s="11" t="s">
        <v>462</v>
      </c>
      <c r="D33" s="2" t="s">
        <v>80</v>
      </c>
      <c r="E33" s="47">
        <v>15500</v>
      </c>
      <c r="F33" s="53">
        <v>44.89575</v>
      </c>
      <c r="G33" s="5">
        <v>1.6723111999999998E-2</v>
      </c>
    </row>
    <row r="34" spans="1:7" ht="25.5" x14ac:dyDescent="0.2">
      <c r="A34" s="6">
        <v>28</v>
      </c>
      <c r="B34" s="7" t="s">
        <v>200</v>
      </c>
      <c r="C34" s="11" t="s">
        <v>201</v>
      </c>
      <c r="D34" s="2" t="s">
        <v>30</v>
      </c>
      <c r="E34" s="47">
        <v>14589</v>
      </c>
      <c r="F34" s="53">
        <v>43.672171499999997</v>
      </c>
      <c r="G34" s="5">
        <v>1.6267344E-2</v>
      </c>
    </row>
    <row r="35" spans="1:7" ht="12.75" x14ac:dyDescent="0.2">
      <c r="A35" s="6">
        <v>29</v>
      </c>
      <c r="B35" s="7" t="s">
        <v>479</v>
      </c>
      <c r="C35" s="11" t="s">
        <v>480</v>
      </c>
      <c r="D35" s="2" t="s">
        <v>226</v>
      </c>
      <c r="E35" s="47">
        <v>36279</v>
      </c>
      <c r="F35" s="53">
        <v>43.190149499999997</v>
      </c>
      <c r="G35" s="5">
        <v>1.6087797000000001E-2</v>
      </c>
    </row>
    <row r="36" spans="1:7" ht="12.75" x14ac:dyDescent="0.2">
      <c r="A36" s="6">
        <v>30</v>
      </c>
      <c r="B36" s="7" t="s">
        <v>279</v>
      </c>
      <c r="C36" s="11" t="s">
        <v>280</v>
      </c>
      <c r="D36" s="2" t="s">
        <v>281</v>
      </c>
      <c r="E36" s="47">
        <v>5153</v>
      </c>
      <c r="F36" s="53">
        <v>41.705805499999997</v>
      </c>
      <c r="G36" s="5">
        <v>1.5534897000000001E-2</v>
      </c>
    </row>
    <row r="37" spans="1:7" ht="25.5" x14ac:dyDescent="0.2">
      <c r="A37" s="6">
        <v>31</v>
      </c>
      <c r="B37" s="7" t="s">
        <v>372</v>
      </c>
      <c r="C37" s="11" t="s">
        <v>373</v>
      </c>
      <c r="D37" s="2" t="s">
        <v>22</v>
      </c>
      <c r="E37" s="47">
        <v>12191</v>
      </c>
      <c r="F37" s="53">
        <v>39.090441499999997</v>
      </c>
      <c r="G37" s="5">
        <v>1.4560706E-2</v>
      </c>
    </row>
    <row r="38" spans="1:7" ht="12.75" x14ac:dyDescent="0.2">
      <c r="A38" s="6">
        <v>32</v>
      </c>
      <c r="B38" s="7" t="s">
        <v>472</v>
      </c>
      <c r="C38" s="11" t="s">
        <v>473</v>
      </c>
      <c r="D38" s="2" t="s">
        <v>168</v>
      </c>
      <c r="E38" s="47">
        <v>11015</v>
      </c>
      <c r="F38" s="53">
        <v>37.759419999999999</v>
      </c>
      <c r="G38" s="5">
        <v>1.4064917E-2</v>
      </c>
    </row>
    <row r="39" spans="1:7" ht="12.75" x14ac:dyDescent="0.2">
      <c r="A39" s="6">
        <v>33</v>
      </c>
      <c r="B39" s="7" t="s">
        <v>195</v>
      </c>
      <c r="C39" s="11" t="s">
        <v>196</v>
      </c>
      <c r="D39" s="2" t="s">
        <v>197</v>
      </c>
      <c r="E39" s="47">
        <v>27630</v>
      </c>
      <c r="F39" s="53">
        <v>36.955125000000002</v>
      </c>
      <c r="G39" s="5">
        <v>1.3765327000000001E-2</v>
      </c>
    </row>
    <row r="40" spans="1:7" ht="25.5" x14ac:dyDescent="0.2">
      <c r="A40" s="6">
        <v>34</v>
      </c>
      <c r="B40" s="7" t="s">
        <v>217</v>
      </c>
      <c r="C40" s="11" t="s">
        <v>218</v>
      </c>
      <c r="D40" s="2" t="s">
        <v>27</v>
      </c>
      <c r="E40" s="47">
        <v>30148</v>
      </c>
      <c r="F40" s="53">
        <v>36.720264</v>
      </c>
      <c r="G40" s="5">
        <v>1.3677844E-2</v>
      </c>
    </row>
    <row r="41" spans="1:7" ht="12.75" x14ac:dyDescent="0.2">
      <c r="A41" s="6">
        <v>35</v>
      </c>
      <c r="B41" s="7" t="s">
        <v>465</v>
      </c>
      <c r="C41" s="11" t="s">
        <v>466</v>
      </c>
      <c r="D41" s="2" t="s">
        <v>168</v>
      </c>
      <c r="E41" s="47">
        <v>32043</v>
      </c>
      <c r="F41" s="53">
        <v>33.260634000000003</v>
      </c>
      <c r="G41" s="5">
        <v>1.2389175000000001E-2</v>
      </c>
    </row>
    <row r="42" spans="1:7" ht="12.75" x14ac:dyDescent="0.2">
      <c r="A42" s="6">
        <v>36</v>
      </c>
      <c r="B42" s="7" t="s">
        <v>219</v>
      </c>
      <c r="C42" s="11" t="s">
        <v>220</v>
      </c>
      <c r="D42" s="2" t="s">
        <v>72</v>
      </c>
      <c r="E42" s="47">
        <v>17000</v>
      </c>
      <c r="F42" s="53">
        <v>32.079000000000001</v>
      </c>
      <c r="G42" s="5">
        <v>1.1949031000000001E-2</v>
      </c>
    </row>
    <row r="43" spans="1:7" ht="12.75" x14ac:dyDescent="0.2">
      <c r="A43" s="6">
        <v>37</v>
      </c>
      <c r="B43" s="7" t="s">
        <v>256</v>
      </c>
      <c r="C43" s="11" t="s">
        <v>257</v>
      </c>
      <c r="D43" s="2" t="s">
        <v>226</v>
      </c>
      <c r="E43" s="47">
        <v>8620</v>
      </c>
      <c r="F43" s="53">
        <v>31.876760000000001</v>
      </c>
      <c r="G43" s="5">
        <v>1.1873699E-2</v>
      </c>
    </row>
    <row r="44" spans="1:7" ht="51" x14ac:dyDescent="0.2">
      <c r="A44" s="6">
        <v>38</v>
      </c>
      <c r="B44" s="7" t="s">
        <v>247</v>
      </c>
      <c r="C44" s="11" t="s">
        <v>248</v>
      </c>
      <c r="D44" s="2" t="s">
        <v>208</v>
      </c>
      <c r="E44" s="47">
        <v>14184</v>
      </c>
      <c r="F44" s="53">
        <v>30.687083999999999</v>
      </c>
      <c r="G44" s="5">
        <v>1.1430559E-2</v>
      </c>
    </row>
    <row r="45" spans="1:7" ht="12.75" x14ac:dyDescent="0.2">
      <c r="A45" s="6">
        <v>39</v>
      </c>
      <c r="B45" s="7" t="s">
        <v>262</v>
      </c>
      <c r="C45" s="11" t="s">
        <v>263</v>
      </c>
      <c r="D45" s="2" t="s">
        <v>242</v>
      </c>
      <c r="E45" s="47">
        <v>31755</v>
      </c>
      <c r="F45" s="53">
        <v>28.928805000000001</v>
      </c>
      <c r="G45" s="5">
        <v>1.0775622E-2</v>
      </c>
    </row>
    <row r="46" spans="1:7" ht="51" x14ac:dyDescent="0.2">
      <c r="A46" s="6">
        <v>40</v>
      </c>
      <c r="B46" s="7" t="s">
        <v>206</v>
      </c>
      <c r="C46" s="11" t="s">
        <v>207</v>
      </c>
      <c r="D46" s="2" t="s">
        <v>208</v>
      </c>
      <c r="E46" s="47">
        <v>46623</v>
      </c>
      <c r="F46" s="53">
        <v>28.486653</v>
      </c>
      <c r="G46" s="5">
        <v>1.0610926E-2</v>
      </c>
    </row>
    <row r="47" spans="1:7" ht="12.75" x14ac:dyDescent="0.2">
      <c r="A47" s="6">
        <v>41</v>
      </c>
      <c r="B47" s="7" t="s">
        <v>463</v>
      </c>
      <c r="C47" s="11" t="s">
        <v>464</v>
      </c>
      <c r="D47" s="2" t="s">
        <v>192</v>
      </c>
      <c r="E47" s="47">
        <v>4858</v>
      </c>
      <c r="F47" s="53">
        <v>28.188545000000001</v>
      </c>
      <c r="G47" s="5">
        <v>1.0499883999999999E-2</v>
      </c>
    </row>
    <row r="48" spans="1:7" ht="25.5" x14ac:dyDescent="0.2">
      <c r="A48" s="6">
        <v>42</v>
      </c>
      <c r="B48" s="7" t="s">
        <v>181</v>
      </c>
      <c r="C48" s="11" t="s">
        <v>182</v>
      </c>
      <c r="D48" s="2" t="s">
        <v>183</v>
      </c>
      <c r="E48" s="47">
        <v>23461</v>
      </c>
      <c r="F48" s="53">
        <v>27.871668</v>
      </c>
      <c r="G48" s="5">
        <v>1.0381852E-2</v>
      </c>
    </row>
    <row r="49" spans="1:7" ht="25.5" x14ac:dyDescent="0.2">
      <c r="A49" s="6">
        <v>43</v>
      </c>
      <c r="B49" s="7" t="s">
        <v>209</v>
      </c>
      <c r="C49" s="11" t="s">
        <v>210</v>
      </c>
      <c r="D49" s="2" t="s">
        <v>22</v>
      </c>
      <c r="E49" s="47">
        <v>4041</v>
      </c>
      <c r="F49" s="53">
        <v>27.183807000000002</v>
      </c>
      <c r="G49" s="5">
        <v>1.0125632000000001E-2</v>
      </c>
    </row>
    <row r="50" spans="1:7" ht="12.75" x14ac:dyDescent="0.2">
      <c r="A50" s="6">
        <v>44</v>
      </c>
      <c r="B50" s="7" t="s">
        <v>221</v>
      </c>
      <c r="C50" s="11" t="s">
        <v>222</v>
      </c>
      <c r="D50" s="2" t="s">
        <v>223</v>
      </c>
      <c r="E50" s="47">
        <v>5487</v>
      </c>
      <c r="F50" s="53">
        <v>24.894518999999999</v>
      </c>
      <c r="G50" s="5">
        <v>9.2729010000000001E-3</v>
      </c>
    </row>
    <row r="51" spans="1:7" ht="25.5" x14ac:dyDescent="0.2">
      <c r="A51" s="6">
        <v>45</v>
      </c>
      <c r="B51" s="7" t="s">
        <v>475</v>
      </c>
      <c r="C51" s="11" t="s">
        <v>476</v>
      </c>
      <c r="D51" s="2" t="s">
        <v>47</v>
      </c>
      <c r="E51" s="47">
        <v>2633</v>
      </c>
      <c r="F51" s="53">
        <v>23.968198999999998</v>
      </c>
      <c r="G51" s="5">
        <v>8.9278580000000003E-3</v>
      </c>
    </row>
    <row r="52" spans="1:7" ht="12.75" x14ac:dyDescent="0.2">
      <c r="A52" s="6">
        <v>46</v>
      </c>
      <c r="B52" s="7" t="s">
        <v>224</v>
      </c>
      <c r="C52" s="11" t="s">
        <v>225</v>
      </c>
      <c r="D52" s="2" t="s">
        <v>226</v>
      </c>
      <c r="E52" s="47">
        <v>21170</v>
      </c>
      <c r="F52" s="53">
        <v>23.763324999999998</v>
      </c>
      <c r="G52" s="5">
        <v>8.8515450000000006E-3</v>
      </c>
    </row>
    <row r="53" spans="1:7" ht="12.75" x14ac:dyDescent="0.2">
      <c r="A53" s="6">
        <v>47</v>
      </c>
      <c r="B53" s="7" t="s">
        <v>184</v>
      </c>
      <c r="C53" s="11" t="s">
        <v>185</v>
      </c>
      <c r="D53" s="2" t="s">
        <v>16</v>
      </c>
      <c r="E53" s="47">
        <v>12876</v>
      </c>
      <c r="F53" s="53">
        <v>23.196114000000001</v>
      </c>
      <c r="G53" s="5">
        <v>8.6402660000000006E-3</v>
      </c>
    </row>
    <row r="54" spans="1:7" ht="12.75" x14ac:dyDescent="0.2">
      <c r="A54" s="6">
        <v>48</v>
      </c>
      <c r="B54" s="7" t="s">
        <v>250</v>
      </c>
      <c r="C54" s="11" t="s">
        <v>251</v>
      </c>
      <c r="D54" s="2" t="s">
        <v>168</v>
      </c>
      <c r="E54" s="47">
        <v>5804</v>
      </c>
      <c r="F54" s="53">
        <v>23.123135999999999</v>
      </c>
      <c r="G54" s="5">
        <v>8.6130819999999993E-3</v>
      </c>
    </row>
    <row r="55" spans="1:7" ht="12.75" x14ac:dyDescent="0.2">
      <c r="A55" s="6">
        <v>49</v>
      </c>
      <c r="B55" s="7" t="s">
        <v>238</v>
      </c>
      <c r="C55" s="11" t="s">
        <v>239</v>
      </c>
      <c r="D55" s="2" t="s">
        <v>72</v>
      </c>
      <c r="E55" s="47">
        <v>39691</v>
      </c>
      <c r="F55" s="53">
        <v>21.254530500000001</v>
      </c>
      <c r="G55" s="5">
        <v>7.9170500000000001E-3</v>
      </c>
    </row>
    <row r="56" spans="1:7" ht="25.5" x14ac:dyDescent="0.2">
      <c r="A56" s="6">
        <v>50</v>
      </c>
      <c r="B56" s="7" t="s">
        <v>215</v>
      </c>
      <c r="C56" s="11" t="s">
        <v>216</v>
      </c>
      <c r="D56" s="2" t="s">
        <v>13</v>
      </c>
      <c r="E56" s="47">
        <v>33709</v>
      </c>
      <c r="F56" s="53">
        <v>19.483802000000001</v>
      </c>
      <c r="G56" s="5">
        <v>7.2574750000000002E-3</v>
      </c>
    </row>
    <row r="57" spans="1:7" ht="12.75" x14ac:dyDescent="0.2">
      <c r="A57" s="6">
        <v>51</v>
      </c>
      <c r="B57" s="7" t="s">
        <v>268</v>
      </c>
      <c r="C57" s="11" t="s">
        <v>269</v>
      </c>
      <c r="D57" s="2" t="s">
        <v>72</v>
      </c>
      <c r="E57" s="47">
        <v>4020</v>
      </c>
      <c r="F57" s="53">
        <v>18.043769999999999</v>
      </c>
      <c r="G57" s="5">
        <v>6.7210810000000003E-3</v>
      </c>
    </row>
    <row r="58" spans="1:7" ht="25.5" x14ac:dyDescent="0.2">
      <c r="A58" s="6">
        <v>52</v>
      </c>
      <c r="B58" s="7" t="s">
        <v>231</v>
      </c>
      <c r="C58" s="11" t="s">
        <v>232</v>
      </c>
      <c r="D58" s="2" t="s">
        <v>47</v>
      </c>
      <c r="E58" s="47">
        <v>6010</v>
      </c>
      <c r="F58" s="53">
        <v>15.157220000000001</v>
      </c>
      <c r="G58" s="5">
        <v>5.6458769999999997E-3</v>
      </c>
    </row>
    <row r="59" spans="1:7" ht="12.75" x14ac:dyDescent="0.2">
      <c r="A59" s="6">
        <v>53</v>
      </c>
      <c r="B59" s="7" t="s">
        <v>276</v>
      </c>
      <c r="C59" s="11" t="s">
        <v>277</v>
      </c>
      <c r="D59" s="2" t="s">
        <v>72</v>
      </c>
      <c r="E59" s="47">
        <v>1037</v>
      </c>
      <c r="F59" s="53">
        <v>0.80886000000000002</v>
      </c>
      <c r="G59" s="5">
        <v>3.0129000000000001E-4</v>
      </c>
    </row>
    <row r="60" spans="1:7" ht="12.75" x14ac:dyDescent="0.2">
      <c r="A60" s="1"/>
      <c r="B60" s="2"/>
      <c r="C60" s="8" t="s">
        <v>108</v>
      </c>
      <c r="D60" s="12"/>
      <c r="E60" s="49"/>
      <c r="F60" s="55">
        <v>2647.8172870000003</v>
      </c>
      <c r="G60" s="13">
        <v>0.98627919799999997</v>
      </c>
    </row>
    <row r="61" spans="1:7" ht="12.75" x14ac:dyDescent="0.2">
      <c r="A61" s="6"/>
      <c r="B61" s="7"/>
      <c r="C61" s="14"/>
      <c r="D61" s="15"/>
      <c r="E61" s="47"/>
      <c r="F61" s="53"/>
      <c r="G61" s="5"/>
    </row>
    <row r="62" spans="1:7" ht="12.75" x14ac:dyDescent="0.2">
      <c r="A62" s="1"/>
      <c r="B62" s="2"/>
      <c r="C62" s="8" t="s">
        <v>109</v>
      </c>
      <c r="D62" s="9"/>
      <c r="E62" s="48"/>
      <c r="F62" s="54"/>
      <c r="G62" s="10"/>
    </row>
    <row r="63" spans="1:7" ht="12.75" x14ac:dyDescent="0.2">
      <c r="A63" s="1"/>
      <c r="B63" s="2"/>
      <c r="C63" s="8" t="s">
        <v>108</v>
      </c>
      <c r="D63" s="12"/>
      <c r="E63" s="49"/>
      <c r="F63" s="55">
        <v>0</v>
      </c>
      <c r="G63" s="13">
        <v>0</v>
      </c>
    </row>
    <row r="64" spans="1:7" ht="12.75" x14ac:dyDescent="0.2">
      <c r="A64" s="6"/>
      <c r="B64" s="7"/>
      <c r="C64" s="14"/>
      <c r="D64" s="15"/>
      <c r="E64" s="47"/>
      <c r="F64" s="53"/>
      <c r="G64" s="5"/>
    </row>
    <row r="65" spans="1:7" ht="12.75" x14ac:dyDescent="0.2">
      <c r="A65" s="16"/>
      <c r="B65" s="17"/>
      <c r="C65" s="8" t="s">
        <v>110</v>
      </c>
      <c r="D65" s="9"/>
      <c r="E65" s="48"/>
      <c r="F65" s="54"/>
      <c r="G65" s="10"/>
    </row>
    <row r="66" spans="1:7" ht="12.75" x14ac:dyDescent="0.2">
      <c r="A66" s="18"/>
      <c r="B66" s="19"/>
      <c r="C66" s="8" t="s">
        <v>108</v>
      </c>
      <c r="D66" s="20"/>
      <c r="E66" s="50"/>
      <c r="F66" s="56">
        <v>0</v>
      </c>
      <c r="G66" s="21">
        <v>0</v>
      </c>
    </row>
    <row r="67" spans="1:7" ht="12.75" x14ac:dyDescent="0.2">
      <c r="A67" s="18"/>
      <c r="B67" s="19"/>
      <c r="C67" s="14"/>
      <c r="D67" s="22"/>
      <c r="E67" s="51"/>
      <c r="F67" s="57"/>
      <c r="G67" s="23"/>
    </row>
    <row r="68" spans="1:7" ht="12.75" x14ac:dyDescent="0.2">
      <c r="A68" s="1"/>
      <c r="B68" s="2"/>
      <c r="C68" s="8" t="s">
        <v>113</v>
      </c>
      <c r="D68" s="9"/>
      <c r="E68" s="48"/>
      <c r="F68" s="54"/>
      <c r="G68" s="10"/>
    </row>
    <row r="69" spans="1:7" ht="12.75" x14ac:dyDescent="0.2">
      <c r="A69" s="1"/>
      <c r="B69" s="2"/>
      <c r="C69" s="8" t="s">
        <v>108</v>
      </c>
      <c r="D69" s="12"/>
      <c r="E69" s="49"/>
      <c r="F69" s="55">
        <v>0</v>
      </c>
      <c r="G69" s="13">
        <v>0</v>
      </c>
    </row>
    <row r="70" spans="1:7" ht="12.75" x14ac:dyDescent="0.2">
      <c r="A70" s="1"/>
      <c r="B70" s="2"/>
      <c r="C70" s="14"/>
      <c r="D70" s="4"/>
      <c r="E70" s="47"/>
      <c r="F70" s="53"/>
      <c r="G70" s="5"/>
    </row>
    <row r="71" spans="1:7" ht="12.75" x14ac:dyDescent="0.2">
      <c r="A71" s="1"/>
      <c r="B71" s="2"/>
      <c r="C71" s="8" t="s">
        <v>114</v>
      </c>
      <c r="D71" s="9"/>
      <c r="E71" s="48"/>
      <c r="F71" s="54"/>
      <c r="G71" s="10"/>
    </row>
    <row r="72" spans="1:7" ht="12.75" x14ac:dyDescent="0.2">
      <c r="A72" s="1"/>
      <c r="B72" s="2"/>
      <c r="C72" s="8" t="s">
        <v>108</v>
      </c>
      <c r="D72" s="12"/>
      <c r="E72" s="49"/>
      <c r="F72" s="55">
        <v>0</v>
      </c>
      <c r="G72" s="13">
        <v>0</v>
      </c>
    </row>
    <row r="73" spans="1:7" ht="12.75" x14ac:dyDescent="0.2">
      <c r="A73" s="1"/>
      <c r="B73" s="2"/>
      <c r="C73" s="14"/>
      <c r="D73" s="4"/>
      <c r="E73" s="47"/>
      <c r="F73" s="53"/>
      <c r="G73" s="5"/>
    </row>
    <row r="74" spans="1:7" ht="12.75" x14ac:dyDescent="0.2">
      <c r="A74" s="1"/>
      <c r="B74" s="2"/>
      <c r="C74" s="8" t="s">
        <v>115</v>
      </c>
      <c r="D74" s="9"/>
      <c r="E74" s="48"/>
      <c r="F74" s="54"/>
      <c r="G74" s="10"/>
    </row>
    <row r="75" spans="1:7" ht="12.75" x14ac:dyDescent="0.2">
      <c r="A75" s="1"/>
      <c r="B75" s="2"/>
      <c r="C75" s="8" t="s">
        <v>108</v>
      </c>
      <c r="D75" s="12"/>
      <c r="E75" s="49"/>
      <c r="F75" s="55">
        <v>0</v>
      </c>
      <c r="G75" s="13">
        <v>0</v>
      </c>
    </row>
    <row r="76" spans="1:7" ht="12.75" x14ac:dyDescent="0.2">
      <c r="A76" s="1"/>
      <c r="B76" s="2"/>
      <c r="C76" s="14"/>
      <c r="D76" s="4"/>
      <c r="E76" s="47"/>
      <c r="F76" s="53"/>
      <c r="G76" s="5"/>
    </row>
    <row r="77" spans="1:7" ht="25.5" x14ac:dyDescent="0.2">
      <c r="A77" s="6"/>
      <c r="B77" s="7"/>
      <c r="C77" s="24" t="s">
        <v>116</v>
      </c>
      <c r="D77" s="25"/>
      <c r="E77" s="49"/>
      <c r="F77" s="55">
        <v>2647.8172870000003</v>
      </c>
      <c r="G77" s="13">
        <v>0.98627919799999997</v>
      </c>
    </row>
    <row r="78" spans="1:7" ht="12.75" x14ac:dyDescent="0.2">
      <c r="A78" s="1"/>
      <c r="B78" s="2"/>
      <c r="C78" s="11"/>
      <c r="D78" s="4"/>
      <c r="E78" s="47"/>
      <c r="F78" s="53"/>
      <c r="G78" s="5"/>
    </row>
    <row r="79" spans="1:7" ht="12.75" x14ac:dyDescent="0.2">
      <c r="A79" s="1"/>
      <c r="B79" s="2"/>
      <c r="C79" s="3" t="s">
        <v>117</v>
      </c>
      <c r="D79" s="4"/>
      <c r="E79" s="47"/>
      <c r="F79" s="53"/>
      <c r="G79" s="5"/>
    </row>
    <row r="80" spans="1:7" ht="25.5" x14ac:dyDescent="0.2">
      <c r="A80" s="1"/>
      <c r="B80" s="2"/>
      <c r="C80" s="8" t="s">
        <v>10</v>
      </c>
      <c r="D80" s="9"/>
      <c r="E80" s="48"/>
      <c r="F80" s="54"/>
      <c r="G80" s="10"/>
    </row>
    <row r="81" spans="1:7" ht="12.75" x14ac:dyDescent="0.2">
      <c r="A81" s="6"/>
      <c r="B81" s="7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6"/>
      <c r="B82" s="7"/>
      <c r="C82" s="14"/>
      <c r="D82" s="4"/>
      <c r="E82" s="47"/>
      <c r="F82" s="53"/>
      <c r="G82" s="5"/>
    </row>
    <row r="83" spans="1:7" ht="12.75" x14ac:dyDescent="0.2">
      <c r="A83" s="1"/>
      <c r="B83" s="26"/>
      <c r="C83" s="8" t="s">
        <v>118</v>
      </c>
      <c r="D83" s="9"/>
      <c r="E83" s="48"/>
      <c r="F83" s="54"/>
      <c r="G83" s="10"/>
    </row>
    <row r="84" spans="1:7" ht="12.75" x14ac:dyDescent="0.2">
      <c r="A84" s="6"/>
      <c r="B84" s="7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6"/>
      <c r="B85" s="7"/>
      <c r="C85" s="14"/>
      <c r="D85" s="4"/>
      <c r="E85" s="47"/>
      <c r="F85" s="59"/>
      <c r="G85" s="28"/>
    </row>
    <row r="86" spans="1:7" ht="12.75" x14ac:dyDescent="0.2">
      <c r="A86" s="1"/>
      <c r="B86" s="2"/>
      <c r="C86" s="8" t="s">
        <v>119</v>
      </c>
      <c r="D86" s="9"/>
      <c r="E86" s="48"/>
      <c r="F86" s="54"/>
      <c r="G86" s="10"/>
    </row>
    <row r="87" spans="1:7" ht="12.75" x14ac:dyDescent="0.2">
      <c r="A87" s="6"/>
      <c r="B87" s="7"/>
      <c r="C87" s="8" t="s">
        <v>108</v>
      </c>
      <c r="D87" s="12"/>
      <c r="E87" s="49"/>
      <c r="F87" s="55">
        <v>0</v>
      </c>
      <c r="G87" s="13">
        <v>0</v>
      </c>
    </row>
    <row r="88" spans="1:7" ht="12.75" x14ac:dyDescent="0.2">
      <c r="A88" s="1"/>
      <c r="B88" s="2"/>
      <c r="C88" s="14"/>
      <c r="D88" s="4"/>
      <c r="E88" s="47"/>
      <c r="F88" s="53"/>
      <c r="G88" s="5"/>
    </row>
    <row r="89" spans="1:7" ht="25.5" x14ac:dyDescent="0.2">
      <c r="A89" s="1"/>
      <c r="B89" s="26"/>
      <c r="C89" s="8" t="s">
        <v>120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12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4"/>
      <c r="E91" s="47"/>
      <c r="F91" s="53"/>
      <c r="G91" s="5"/>
    </row>
    <row r="92" spans="1:7" ht="12.75" x14ac:dyDescent="0.2">
      <c r="A92" s="6"/>
      <c r="B92" s="7"/>
      <c r="C92" s="29" t="s">
        <v>121</v>
      </c>
      <c r="D92" s="25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1"/>
      <c r="D93" s="4"/>
      <c r="E93" s="47"/>
      <c r="F93" s="53"/>
      <c r="G93" s="5"/>
    </row>
    <row r="94" spans="1:7" ht="12.75" x14ac:dyDescent="0.2">
      <c r="A94" s="1"/>
      <c r="B94" s="2"/>
      <c r="C94" s="3" t="s">
        <v>122</v>
      </c>
      <c r="D94" s="4"/>
      <c r="E94" s="47"/>
      <c r="F94" s="53"/>
      <c r="G94" s="5"/>
    </row>
    <row r="95" spans="1:7" ht="12.75" x14ac:dyDescent="0.2">
      <c r="A95" s="6"/>
      <c r="B95" s="7"/>
      <c r="C95" s="8" t="s">
        <v>123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25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4"/>
      <c r="D97" s="7"/>
      <c r="E97" s="47"/>
      <c r="F97" s="53"/>
      <c r="G97" s="5"/>
    </row>
    <row r="98" spans="1:7" ht="12.75" x14ac:dyDescent="0.2">
      <c r="A98" s="6"/>
      <c r="B98" s="7"/>
      <c r="C98" s="8" t="s">
        <v>124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25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7"/>
      <c r="E100" s="47"/>
      <c r="F100" s="53"/>
      <c r="G100" s="5"/>
    </row>
    <row r="101" spans="1:7" ht="12.75" x14ac:dyDescent="0.2">
      <c r="A101" s="6"/>
      <c r="B101" s="7"/>
      <c r="C101" s="8" t="s">
        <v>125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4"/>
      <c r="D103" s="7"/>
      <c r="E103" s="47"/>
      <c r="F103" s="53"/>
      <c r="G103" s="5"/>
    </row>
    <row r="104" spans="1:7" ht="12.75" x14ac:dyDescent="0.2">
      <c r="A104" s="6"/>
      <c r="B104" s="7"/>
      <c r="C104" s="8" t="s">
        <v>126</v>
      </c>
      <c r="D104" s="9"/>
      <c r="E104" s="48"/>
      <c r="F104" s="54"/>
      <c r="G104" s="10"/>
    </row>
    <row r="105" spans="1:7" ht="12.75" x14ac:dyDescent="0.2">
      <c r="A105" s="6">
        <v>1</v>
      </c>
      <c r="B105" s="7"/>
      <c r="C105" s="11" t="s">
        <v>812</v>
      </c>
      <c r="D105" s="15"/>
      <c r="E105" s="47"/>
      <c r="F105" s="53">
        <v>36.995134899999996</v>
      </c>
      <c r="G105" s="5">
        <v>1.3780229999999999E-2</v>
      </c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36.995134899999996</v>
      </c>
      <c r="G106" s="13">
        <v>1.3780229999999999E-2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25.5" x14ac:dyDescent="0.2">
      <c r="A108" s="6"/>
      <c r="B108" s="7"/>
      <c r="C108" s="24" t="s">
        <v>127</v>
      </c>
      <c r="D108" s="25"/>
      <c r="E108" s="49"/>
      <c r="F108" s="55">
        <v>36.995134899999996</v>
      </c>
      <c r="G108" s="13">
        <v>1.3780229999999999E-2</v>
      </c>
    </row>
    <row r="109" spans="1:7" ht="12.75" x14ac:dyDescent="0.2">
      <c r="A109" s="6"/>
      <c r="B109" s="7"/>
      <c r="C109" s="30"/>
      <c r="D109" s="7"/>
      <c r="E109" s="47"/>
      <c r="F109" s="53"/>
      <c r="G109" s="5"/>
    </row>
    <row r="110" spans="1:7" ht="12.75" x14ac:dyDescent="0.2">
      <c r="A110" s="1"/>
      <c r="B110" s="2"/>
      <c r="C110" s="3" t="s">
        <v>128</v>
      </c>
      <c r="D110" s="4"/>
      <c r="E110" s="47"/>
      <c r="F110" s="53"/>
      <c r="G110" s="5"/>
    </row>
    <row r="111" spans="1:7" ht="25.5" x14ac:dyDescent="0.2">
      <c r="A111" s="6"/>
      <c r="B111" s="7"/>
      <c r="C111" s="8" t="s">
        <v>129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3"/>
      <c r="G113" s="5"/>
    </row>
    <row r="114" spans="1:7" ht="12.75" x14ac:dyDescent="0.2">
      <c r="A114" s="1"/>
      <c r="B114" s="2"/>
      <c r="C114" s="3" t="s">
        <v>131</v>
      </c>
      <c r="D114" s="4"/>
      <c r="E114" s="47"/>
      <c r="F114" s="53"/>
      <c r="G114" s="5"/>
    </row>
    <row r="115" spans="1:7" ht="25.5" x14ac:dyDescent="0.2">
      <c r="A115" s="6"/>
      <c r="B115" s="7"/>
      <c r="C115" s="8" t="s">
        <v>132</v>
      </c>
      <c r="D115" s="9"/>
      <c r="E115" s="48"/>
      <c r="F115" s="54"/>
      <c r="G115" s="10"/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0</v>
      </c>
      <c r="G116" s="13">
        <v>0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25.5" x14ac:dyDescent="0.2">
      <c r="A118" s="6"/>
      <c r="B118" s="7"/>
      <c r="C118" s="8" t="s">
        <v>133</v>
      </c>
      <c r="D118" s="9"/>
      <c r="E118" s="48"/>
      <c r="F118" s="54"/>
      <c r="G118" s="10"/>
    </row>
    <row r="119" spans="1:7" ht="12.75" x14ac:dyDescent="0.2">
      <c r="A119" s="6"/>
      <c r="B119" s="7"/>
      <c r="C119" s="8" t="s">
        <v>108</v>
      </c>
      <c r="D119" s="25"/>
      <c r="E119" s="49"/>
      <c r="F119" s="55">
        <v>0</v>
      </c>
      <c r="G119" s="13">
        <v>0</v>
      </c>
    </row>
    <row r="120" spans="1:7" ht="12.75" x14ac:dyDescent="0.2">
      <c r="A120" s="6"/>
      <c r="B120" s="7"/>
      <c r="C120" s="14"/>
      <c r="D120" s="7"/>
      <c r="E120" s="47"/>
      <c r="F120" s="59"/>
      <c r="G120" s="28"/>
    </row>
    <row r="121" spans="1:7" ht="25.5" x14ac:dyDescent="0.2">
      <c r="A121" s="6"/>
      <c r="B121" s="7"/>
      <c r="C121" s="30" t="s">
        <v>134</v>
      </c>
      <c r="D121" s="7"/>
      <c r="E121" s="47"/>
      <c r="F121" s="128">
        <v>-0.15954652</v>
      </c>
      <c r="G121" s="137">
        <v>-5.9429105886703109E-5</v>
      </c>
    </row>
    <row r="122" spans="1:7" ht="12.75" x14ac:dyDescent="0.2">
      <c r="A122" s="6"/>
      <c r="B122" s="7"/>
      <c r="C122" s="31" t="s">
        <v>135</v>
      </c>
      <c r="D122" s="12"/>
      <c r="E122" s="49"/>
      <c r="F122" s="55">
        <v>2684.6528753800003</v>
      </c>
      <c r="G122" s="13">
        <v>0.99999999899999992</v>
      </c>
    </row>
    <row r="124" spans="1:7" ht="12.75" x14ac:dyDescent="0.2">
      <c r="B124" s="179"/>
      <c r="C124" s="179"/>
      <c r="D124" s="179"/>
      <c r="E124" s="179"/>
      <c r="F124" s="179"/>
    </row>
    <row r="125" spans="1:7" ht="12.75" x14ac:dyDescent="0.2">
      <c r="B125" s="179"/>
      <c r="C125" s="179"/>
      <c r="D125" s="179"/>
      <c r="E125" s="179"/>
      <c r="F125" s="179"/>
    </row>
    <row r="127" spans="1:7" ht="12.75" x14ac:dyDescent="0.2">
      <c r="B127" s="37" t="s">
        <v>137</v>
      </c>
      <c r="C127" s="38"/>
      <c r="D127" s="39"/>
    </row>
    <row r="128" spans="1:7" ht="12.75" x14ac:dyDescent="0.2">
      <c r="B128" s="40" t="s">
        <v>808</v>
      </c>
      <c r="C128" s="41"/>
      <c r="D128" s="65" t="s">
        <v>138</v>
      </c>
    </row>
    <row r="129" spans="2:4" ht="12.75" x14ac:dyDescent="0.2">
      <c r="B129" s="40" t="s">
        <v>139</v>
      </c>
      <c r="C129" s="41"/>
      <c r="D129" s="65" t="s">
        <v>138</v>
      </c>
    </row>
    <row r="130" spans="2:4" ht="12.75" x14ac:dyDescent="0.2">
      <c r="B130" s="42" t="s">
        <v>140</v>
      </c>
      <c r="C130" s="41"/>
      <c r="D130" s="43"/>
    </row>
    <row r="131" spans="2:4" ht="25.5" customHeight="1" x14ac:dyDescent="0.2">
      <c r="B131" s="43"/>
      <c r="C131" s="33" t="s">
        <v>141</v>
      </c>
      <c r="D131" s="34" t="s">
        <v>142</v>
      </c>
    </row>
    <row r="132" spans="2:4" ht="12.75" customHeight="1" x14ac:dyDescent="0.2">
      <c r="B132" s="60" t="s">
        <v>143</v>
      </c>
      <c r="C132" s="61" t="s">
        <v>144</v>
      </c>
      <c r="D132" s="61" t="s">
        <v>145</v>
      </c>
    </row>
    <row r="133" spans="2:4" ht="12.75" x14ac:dyDescent="0.2">
      <c r="B133" s="43" t="s">
        <v>146</v>
      </c>
      <c r="C133" s="44">
        <v>9.0646000000000004</v>
      </c>
      <c r="D133" s="44">
        <v>9.2086000000000006</v>
      </c>
    </row>
    <row r="134" spans="2:4" ht="12.75" x14ac:dyDescent="0.2">
      <c r="B134" s="43" t="s">
        <v>147</v>
      </c>
      <c r="C134" s="44">
        <v>9.0646000000000004</v>
      </c>
      <c r="D134" s="44">
        <v>9.2086000000000006</v>
      </c>
    </row>
    <row r="135" spans="2:4" ht="12.75" x14ac:dyDescent="0.2">
      <c r="B135" s="43" t="s">
        <v>148</v>
      </c>
      <c r="C135" s="44">
        <v>9.0120000000000005</v>
      </c>
      <c r="D135" s="44">
        <v>9.1527999999999992</v>
      </c>
    </row>
    <row r="136" spans="2:4" ht="12.75" x14ac:dyDescent="0.2">
      <c r="B136" s="43" t="s">
        <v>149</v>
      </c>
      <c r="C136" s="44">
        <v>9.0120000000000005</v>
      </c>
      <c r="D136" s="44">
        <v>9.1527999999999992</v>
      </c>
    </row>
    <row r="138" spans="2:4" ht="12.75" x14ac:dyDescent="0.2">
      <c r="B138" s="62" t="s">
        <v>150</v>
      </c>
      <c r="C138" s="45"/>
      <c r="D138" s="63" t="s">
        <v>138</v>
      </c>
    </row>
    <row r="139" spans="2:4" ht="24.75" customHeight="1" x14ac:dyDescent="0.2">
      <c r="B139" s="64"/>
      <c r="C139" s="64"/>
    </row>
    <row r="140" spans="2:4" ht="15" x14ac:dyDescent="0.25">
      <c r="B140" s="66"/>
      <c r="C140" s="68"/>
      <c r="D140"/>
    </row>
    <row r="142" spans="2:4" ht="12.75" x14ac:dyDescent="0.2">
      <c r="B142" s="42" t="s">
        <v>151</v>
      </c>
      <c r="C142" s="41"/>
      <c r="D142" s="67" t="s">
        <v>138</v>
      </c>
    </row>
    <row r="143" spans="2:4" ht="12.75" x14ac:dyDescent="0.2">
      <c r="B143" s="42" t="s">
        <v>152</v>
      </c>
      <c r="C143" s="41"/>
      <c r="D143" s="67" t="s">
        <v>138</v>
      </c>
    </row>
    <row r="144" spans="2:4" ht="12.75" x14ac:dyDescent="0.2">
      <c r="B144" s="42" t="s">
        <v>153</v>
      </c>
      <c r="C144" s="41"/>
      <c r="D144" s="46">
        <v>7.5771999076460747E-2</v>
      </c>
    </row>
    <row r="145" spans="2:4" ht="12.75" x14ac:dyDescent="0.2">
      <c r="B145" s="42" t="s">
        <v>154</v>
      </c>
      <c r="C145" s="41"/>
      <c r="D145" s="46" t="s">
        <v>138</v>
      </c>
    </row>
  </sheetData>
  <mergeCells count="5">
    <mergeCell ref="A1:G1"/>
    <mergeCell ref="A2:G2"/>
    <mergeCell ref="A3:G3"/>
    <mergeCell ref="B124:F124"/>
    <mergeCell ref="B125:F12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32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514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29141</v>
      </c>
      <c r="F7" s="53">
        <v>134.9374005</v>
      </c>
      <c r="G7" s="5">
        <v>7.3475890000000002E-2</v>
      </c>
    </row>
    <row r="8" spans="1:7" ht="12.75" x14ac:dyDescent="0.2">
      <c r="A8" s="6">
        <v>2</v>
      </c>
      <c r="B8" s="7" t="s">
        <v>36</v>
      </c>
      <c r="C8" s="11" t="s">
        <v>37</v>
      </c>
      <c r="D8" s="2" t="s">
        <v>16</v>
      </c>
      <c r="E8" s="47">
        <v>8880</v>
      </c>
      <c r="F8" s="53">
        <v>109.25508000000001</v>
      </c>
      <c r="G8" s="5">
        <v>5.9491395000000002E-2</v>
      </c>
    </row>
    <row r="9" spans="1:7" ht="25.5" x14ac:dyDescent="0.2">
      <c r="A9" s="6">
        <v>3</v>
      </c>
      <c r="B9" s="7" t="s">
        <v>31</v>
      </c>
      <c r="C9" s="11" t="s">
        <v>32</v>
      </c>
      <c r="D9" s="2" t="s">
        <v>33</v>
      </c>
      <c r="E9" s="47">
        <v>6068</v>
      </c>
      <c r="F9" s="53">
        <v>88.856757999999999</v>
      </c>
      <c r="G9" s="5">
        <v>4.8384135000000002E-2</v>
      </c>
    </row>
    <row r="10" spans="1:7" ht="25.5" x14ac:dyDescent="0.2">
      <c r="A10" s="6">
        <v>4</v>
      </c>
      <c r="B10" s="7" t="s">
        <v>426</v>
      </c>
      <c r="C10" s="11" t="s">
        <v>427</v>
      </c>
      <c r="D10" s="2" t="s">
        <v>30</v>
      </c>
      <c r="E10" s="47">
        <v>16802</v>
      </c>
      <c r="F10" s="53">
        <v>88.538139000000001</v>
      </c>
      <c r="G10" s="5">
        <v>4.8210640999999999E-2</v>
      </c>
    </row>
    <row r="11" spans="1:7" ht="12.75" x14ac:dyDescent="0.2">
      <c r="A11" s="6">
        <v>5</v>
      </c>
      <c r="B11" s="7" t="s">
        <v>502</v>
      </c>
      <c r="C11" s="11" t="s">
        <v>503</v>
      </c>
      <c r="D11" s="2" t="s">
        <v>16</v>
      </c>
      <c r="E11" s="47">
        <v>26762</v>
      </c>
      <c r="F11" s="53">
        <v>83.604488000000003</v>
      </c>
      <c r="G11" s="5">
        <v>4.5524176999999999E-2</v>
      </c>
    </row>
    <row r="12" spans="1:7" ht="25.5" x14ac:dyDescent="0.2">
      <c r="A12" s="6">
        <v>6</v>
      </c>
      <c r="B12" s="7" t="s">
        <v>432</v>
      </c>
      <c r="C12" s="11" t="s">
        <v>433</v>
      </c>
      <c r="D12" s="2" t="s">
        <v>72</v>
      </c>
      <c r="E12" s="47">
        <v>3898</v>
      </c>
      <c r="F12" s="53">
        <v>83.101461999999998</v>
      </c>
      <c r="G12" s="5">
        <v>4.5250270000000002E-2</v>
      </c>
    </row>
    <row r="13" spans="1:7" ht="25.5" x14ac:dyDescent="0.2">
      <c r="A13" s="6">
        <v>7</v>
      </c>
      <c r="B13" s="7" t="s">
        <v>11</v>
      </c>
      <c r="C13" s="11" t="s">
        <v>12</v>
      </c>
      <c r="D13" s="2" t="s">
        <v>13</v>
      </c>
      <c r="E13" s="47">
        <v>5527</v>
      </c>
      <c r="F13" s="53">
        <v>81.415473500000004</v>
      </c>
      <c r="G13" s="5">
        <v>4.4332218999999999E-2</v>
      </c>
    </row>
    <row r="14" spans="1:7" ht="12.75" x14ac:dyDescent="0.2">
      <c r="A14" s="6">
        <v>8</v>
      </c>
      <c r="B14" s="7" t="s">
        <v>498</v>
      </c>
      <c r="C14" s="11" t="s">
        <v>499</v>
      </c>
      <c r="D14" s="2" t="s">
        <v>242</v>
      </c>
      <c r="E14" s="47">
        <v>10249</v>
      </c>
      <c r="F14" s="53">
        <v>70.267144000000002</v>
      </c>
      <c r="G14" s="5">
        <v>3.8261748999999998E-2</v>
      </c>
    </row>
    <row r="15" spans="1:7" ht="12.75" x14ac:dyDescent="0.2">
      <c r="A15" s="6">
        <v>9</v>
      </c>
      <c r="B15" s="7" t="s">
        <v>515</v>
      </c>
      <c r="C15" s="11" t="s">
        <v>516</v>
      </c>
      <c r="D15" s="2" t="s">
        <v>242</v>
      </c>
      <c r="E15" s="47">
        <v>9208</v>
      </c>
      <c r="F15" s="53">
        <v>68.047120000000007</v>
      </c>
      <c r="G15" s="5">
        <v>3.7052904999999997E-2</v>
      </c>
    </row>
    <row r="16" spans="1:7" ht="25.5" x14ac:dyDescent="0.2">
      <c r="A16" s="6">
        <v>10</v>
      </c>
      <c r="B16" s="7" t="s">
        <v>404</v>
      </c>
      <c r="C16" s="11" t="s">
        <v>405</v>
      </c>
      <c r="D16" s="2" t="s">
        <v>72</v>
      </c>
      <c r="E16" s="47">
        <v>6690</v>
      </c>
      <c r="F16" s="53">
        <v>66.33135</v>
      </c>
      <c r="G16" s="5">
        <v>3.6118637000000002E-2</v>
      </c>
    </row>
    <row r="17" spans="1:7" ht="25.5" x14ac:dyDescent="0.2">
      <c r="A17" s="6">
        <v>11</v>
      </c>
      <c r="B17" s="7" t="s">
        <v>418</v>
      </c>
      <c r="C17" s="11" t="s">
        <v>419</v>
      </c>
      <c r="D17" s="2" t="s">
        <v>30</v>
      </c>
      <c r="E17" s="47">
        <v>25095</v>
      </c>
      <c r="F17" s="53">
        <v>64.657267500000003</v>
      </c>
      <c r="G17" s="5">
        <v>3.5207068000000001E-2</v>
      </c>
    </row>
    <row r="18" spans="1:7" ht="25.5" x14ac:dyDescent="0.2">
      <c r="A18" s="6">
        <v>12</v>
      </c>
      <c r="B18" s="7" t="s">
        <v>318</v>
      </c>
      <c r="C18" s="11" t="s">
        <v>319</v>
      </c>
      <c r="D18" s="2" t="s">
        <v>30</v>
      </c>
      <c r="E18" s="47">
        <v>9396</v>
      </c>
      <c r="F18" s="53">
        <v>58.269294000000002</v>
      </c>
      <c r="G18" s="5">
        <v>3.1728698999999999E-2</v>
      </c>
    </row>
    <row r="19" spans="1:7" ht="12.75" x14ac:dyDescent="0.2">
      <c r="A19" s="6">
        <v>13</v>
      </c>
      <c r="B19" s="7" t="s">
        <v>496</v>
      </c>
      <c r="C19" s="11" t="s">
        <v>497</v>
      </c>
      <c r="D19" s="2" t="s">
        <v>16</v>
      </c>
      <c r="E19" s="47">
        <v>3640</v>
      </c>
      <c r="F19" s="53">
        <v>57.311799999999998</v>
      </c>
      <c r="G19" s="5">
        <v>3.1207326000000001E-2</v>
      </c>
    </row>
    <row r="20" spans="1:7" ht="12.75" x14ac:dyDescent="0.2">
      <c r="A20" s="6">
        <v>14</v>
      </c>
      <c r="B20" s="7" t="s">
        <v>517</v>
      </c>
      <c r="C20" s="11" t="s">
        <v>518</v>
      </c>
      <c r="D20" s="2" t="s">
        <v>19</v>
      </c>
      <c r="E20" s="47">
        <v>6923</v>
      </c>
      <c r="F20" s="53">
        <v>53.2205625</v>
      </c>
      <c r="G20" s="5">
        <v>2.8979571999999999E-2</v>
      </c>
    </row>
    <row r="21" spans="1:7" ht="12.75" x14ac:dyDescent="0.2">
      <c r="A21" s="6">
        <v>15</v>
      </c>
      <c r="B21" s="7" t="s">
        <v>408</v>
      </c>
      <c r="C21" s="11" t="s">
        <v>409</v>
      </c>
      <c r="D21" s="2" t="s">
        <v>16</v>
      </c>
      <c r="E21" s="47">
        <v>6595</v>
      </c>
      <c r="F21" s="53">
        <v>48.562282500000002</v>
      </c>
      <c r="G21" s="5">
        <v>2.6443054000000001E-2</v>
      </c>
    </row>
    <row r="22" spans="1:7" ht="12.75" x14ac:dyDescent="0.2">
      <c r="A22" s="6">
        <v>16</v>
      </c>
      <c r="B22" s="7" t="s">
        <v>332</v>
      </c>
      <c r="C22" s="11" t="s">
        <v>333</v>
      </c>
      <c r="D22" s="2" t="s">
        <v>158</v>
      </c>
      <c r="E22" s="47">
        <v>7338</v>
      </c>
      <c r="F22" s="53">
        <v>45.994584000000003</v>
      </c>
      <c r="G22" s="5">
        <v>2.5044895000000001E-2</v>
      </c>
    </row>
    <row r="23" spans="1:7" ht="25.5" x14ac:dyDescent="0.2">
      <c r="A23" s="6">
        <v>17</v>
      </c>
      <c r="B23" s="7" t="s">
        <v>104</v>
      </c>
      <c r="C23" s="11" t="s">
        <v>105</v>
      </c>
      <c r="D23" s="2" t="s">
        <v>33</v>
      </c>
      <c r="E23" s="47">
        <v>7628</v>
      </c>
      <c r="F23" s="53">
        <v>40.169047999999997</v>
      </c>
      <c r="G23" s="5">
        <v>2.1872783E-2</v>
      </c>
    </row>
    <row r="24" spans="1:7" ht="25.5" x14ac:dyDescent="0.2">
      <c r="A24" s="6">
        <v>18</v>
      </c>
      <c r="B24" s="7" t="s">
        <v>314</v>
      </c>
      <c r="C24" s="11" t="s">
        <v>315</v>
      </c>
      <c r="D24" s="2" t="s">
        <v>30</v>
      </c>
      <c r="E24" s="47">
        <v>12423</v>
      </c>
      <c r="F24" s="53">
        <v>39.38091</v>
      </c>
      <c r="G24" s="5">
        <v>2.1443627999999999E-2</v>
      </c>
    </row>
    <row r="25" spans="1:7" ht="25.5" x14ac:dyDescent="0.2">
      <c r="A25" s="6">
        <v>19</v>
      </c>
      <c r="B25" s="7" t="s">
        <v>310</v>
      </c>
      <c r="C25" s="11" t="s">
        <v>311</v>
      </c>
      <c r="D25" s="2" t="s">
        <v>223</v>
      </c>
      <c r="E25" s="47">
        <v>16744</v>
      </c>
      <c r="F25" s="53">
        <v>35.530768000000002</v>
      </c>
      <c r="G25" s="5">
        <v>1.9347155000000001E-2</v>
      </c>
    </row>
    <row r="26" spans="1:7" ht="12.75" x14ac:dyDescent="0.2">
      <c r="A26" s="6">
        <v>20</v>
      </c>
      <c r="B26" s="7" t="s">
        <v>436</v>
      </c>
      <c r="C26" s="11" t="s">
        <v>437</v>
      </c>
      <c r="D26" s="2" t="s">
        <v>237</v>
      </c>
      <c r="E26" s="47">
        <v>5782</v>
      </c>
      <c r="F26" s="53">
        <v>35.064939000000003</v>
      </c>
      <c r="G26" s="5">
        <v>1.9093501999999998E-2</v>
      </c>
    </row>
    <row r="27" spans="1:7" ht="25.5" x14ac:dyDescent="0.2">
      <c r="A27" s="6">
        <v>21</v>
      </c>
      <c r="B27" s="7" t="s">
        <v>156</v>
      </c>
      <c r="C27" s="11" t="s">
        <v>157</v>
      </c>
      <c r="D27" s="2" t="s">
        <v>158</v>
      </c>
      <c r="E27" s="47">
        <v>3275</v>
      </c>
      <c r="F27" s="53">
        <v>29.393125000000001</v>
      </c>
      <c r="G27" s="5">
        <v>1.6005096E-2</v>
      </c>
    </row>
    <row r="28" spans="1:7" ht="12.75" x14ac:dyDescent="0.2">
      <c r="A28" s="6">
        <v>22</v>
      </c>
      <c r="B28" s="7" t="s">
        <v>519</v>
      </c>
      <c r="C28" s="11" t="s">
        <v>520</v>
      </c>
      <c r="D28" s="2" t="s">
        <v>281</v>
      </c>
      <c r="E28" s="47">
        <v>3229</v>
      </c>
      <c r="F28" s="53">
        <v>29.182087500000002</v>
      </c>
      <c r="G28" s="5">
        <v>1.5890181999999999E-2</v>
      </c>
    </row>
    <row r="29" spans="1:7" ht="25.5" x14ac:dyDescent="0.2">
      <c r="A29" s="6">
        <v>23</v>
      </c>
      <c r="B29" s="7" t="s">
        <v>521</v>
      </c>
      <c r="C29" s="11" t="s">
        <v>522</v>
      </c>
      <c r="D29" s="2" t="s">
        <v>30</v>
      </c>
      <c r="E29" s="47">
        <v>17627</v>
      </c>
      <c r="F29" s="53">
        <v>28.7231965</v>
      </c>
      <c r="G29" s="5">
        <v>1.5640306999999999E-2</v>
      </c>
    </row>
    <row r="30" spans="1:7" ht="12.75" x14ac:dyDescent="0.2">
      <c r="A30" s="6">
        <v>24</v>
      </c>
      <c r="B30" s="7" t="s">
        <v>336</v>
      </c>
      <c r="C30" s="11" t="s">
        <v>337</v>
      </c>
      <c r="D30" s="2" t="s">
        <v>197</v>
      </c>
      <c r="E30" s="47">
        <v>4850</v>
      </c>
      <c r="F30" s="53">
        <v>25.161799999999999</v>
      </c>
      <c r="G30" s="5">
        <v>1.3701062E-2</v>
      </c>
    </row>
    <row r="31" spans="1:7" ht="12.75" x14ac:dyDescent="0.2">
      <c r="A31" s="6">
        <v>25</v>
      </c>
      <c r="B31" s="7" t="s">
        <v>523</v>
      </c>
      <c r="C31" s="11" t="s">
        <v>524</v>
      </c>
      <c r="D31" s="2" t="s">
        <v>242</v>
      </c>
      <c r="E31" s="47">
        <v>2161</v>
      </c>
      <c r="F31" s="53">
        <v>25.127027500000001</v>
      </c>
      <c r="G31" s="5">
        <v>1.3682127000000001E-2</v>
      </c>
    </row>
    <row r="32" spans="1:7" ht="25.5" x14ac:dyDescent="0.2">
      <c r="A32" s="6">
        <v>26</v>
      </c>
      <c r="B32" s="7" t="s">
        <v>209</v>
      </c>
      <c r="C32" s="11" t="s">
        <v>210</v>
      </c>
      <c r="D32" s="2" t="s">
        <v>22</v>
      </c>
      <c r="E32" s="47">
        <v>3700</v>
      </c>
      <c r="F32" s="53">
        <v>24.889900000000001</v>
      </c>
      <c r="G32" s="5">
        <v>1.3553007000000001E-2</v>
      </c>
    </row>
    <row r="33" spans="1:7" ht="12.75" x14ac:dyDescent="0.2">
      <c r="A33" s="6">
        <v>27</v>
      </c>
      <c r="B33" s="7" t="s">
        <v>316</v>
      </c>
      <c r="C33" s="11" t="s">
        <v>317</v>
      </c>
      <c r="D33" s="2" t="s">
        <v>16</v>
      </c>
      <c r="E33" s="47">
        <v>28590</v>
      </c>
      <c r="F33" s="53">
        <v>23.95842</v>
      </c>
      <c r="G33" s="5">
        <v>1.3045799E-2</v>
      </c>
    </row>
    <row r="34" spans="1:7" ht="25.5" x14ac:dyDescent="0.2">
      <c r="A34" s="6">
        <v>28</v>
      </c>
      <c r="B34" s="7" t="s">
        <v>424</v>
      </c>
      <c r="C34" s="11" t="s">
        <v>425</v>
      </c>
      <c r="D34" s="2" t="s">
        <v>30</v>
      </c>
      <c r="E34" s="47">
        <v>1066</v>
      </c>
      <c r="F34" s="53">
        <v>23.189230999999999</v>
      </c>
      <c r="G34" s="5">
        <v>1.2626962E-2</v>
      </c>
    </row>
    <row r="35" spans="1:7" ht="12.75" x14ac:dyDescent="0.2">
      <c r="A35" s="6">
        <v>29</v>
      </c>
      <c r="B35" s="7" t="s">
        <v>479</v>
      </c>
      <c r="C35" s="11" t="s">
        <v>480</v>
      </c>
      <c r="D35" s="2" t="s">
        <v>226</v>
      </c>
      <c r="E35" s="47">
        <v>19460</v>
      </c>
      <c r="F35" s="53">
        <v>23.16713</v>
      </c>
      <c r="G35" s="5">
        <v>1.2614927E-2</v>
      </c>
    </row>
    <row r="36" spans="1:7" ht="12.75" x14ac:dyDescent="0.2">
      <c r="A36" s="6">
        <v>30</v>
      </c>
      <c r="B36" s="7" t="s">
        <v>227</v>
      </c>
      <c r="C36" s="11" t="s">
        <v>228</v>
      </c>
      <c r="D36" s="2" t="s">
        <v>158</v>
      </c>
      <c r="E36" s="47">
        <v>13000</v>
      </c>
      <c r="F36" s="53">
        <v>21.8855</v>
      </c>
      <c r="G36" s="5">
        <v>1.1917056000000001E-2</v>
      </c>
    </row>
    <row r="37" spans="1:7" ht="12.75" x14ac:dyDescent="0.2">
      <c r="A37" s="6">
        <v>31</v>
      </c>
      <c r="B37" s="7" t="s">
        <v>359</v>
      </c>
      <c r="C37" s="11" t="s">
        <v>360</v>
      </c>
      <c r="D37" s="2" t="s">
        <v>361</v>
      </c>
      <c r="E37" s="47">
        <v>4306</v>
      </c>
      <c r="F37" s="53">
        <v>20.470724000000001</v>
      </c>
      <c r="G37" s="5">
        <v>1.1146685E-2</v>
      </c>
    </row>
    <row r="38" spans="1:7" ht="25.5" x14ac:dyDescent="0.2">
      <c r="A38" s="6">
        <v>32</v>
      </c>
      <c r="B38" s="7" t="s">
        <v>181</v>
      </c>
      <c r="C38" s="11" t="s">
        <v>182</v>
      </c>
      <c r="D38" s="2" t="s">
        <v>183</v>
      </c>
      <c r="E38" s="47">
        <v>16688</v>
      </c>
      <c r="F38" s="53">
        <v>19.825344000000001</v>
      </c>
      <c r="G38" s="5">
        <v>1.0795262999999999E-2</v>
      </c>
    </row>
    <row r="39" spans="1:7" ht="25.5" x14ac:dyDescent="0.2">
      <c r="A39" s="6">
        <v>33</v>
      </c>
      <c r="B39" s="7" t="s">
        <v>461</v>
      </c>
      <c r="C39" s="11" t="s">
        <v>462</v>
      </c>
      <c r="D39" s="2" t="s">
        <v>80</v>
      </c>
      <c r="E39" s="47">
        <v>6711</v>
      </c>
      <c r="F39" s="53">
        <v>19.438411500000001</v>
      </c>
      <c r="G39" s="5">
        <v>1.0584572E-2</v>
      </c>
    </row>
    <row r="40" spans="1:7" ht="25.5" x14ac:dyDescent="0.2">
      <c r="A40" s="6">
        <v>34</v>
      </c>
      <c r="B40" s="7" t="s">
        <v>525</v>
      </c>
      <c r="C40" s="11" t="s">
        <v>526</v>
      </c>
      <c r="D40" s="2" t="s">
        <v>33</v>
      </c>
      <c r="E40" s="47">
        <v>12040</v>
      </c>
      <c r="F40" s="53">
        <v>17.674720000000001</v>
      </c>
      <c r="G40" s="5">
        <v>9.6242089999999999E-3</v>
      </c>
    </row>
    <row r="41" spans="1:7" ht="25.5" x14ac:dyDescent="0.2">
      <c r="A41" s="6">
        <v>35</v>
      </c>
      <c r="B41" s="7" t="s">
        <v>83</v>
      </c>
      <c r="C41" s="11" t="s">
        <v>84</v>
      </c>
      <c r="D41" s="2" t="s">
        <v>22</v>
      </c>
      <c r="E41" s="47">
        <v>15886</v>
      </c>
      <c r="F41" s="53">
        <v>17.323682999999999</v>
      </c>
      <c r="G41" s="5">
        <v>9.4330630000000002E-3</v>
      </c>
    </row>
    <row r="42" spans="1:7" ht="25.5" x14ac:dyDescent="0.2">
      <c r="A42" s="6">
        <v>36</v>
      </c>
      <c r="B42" s="7" t="s">
        <v>63</v>
      </c>
      <c r="C42" s="11" t="s">
        <v>64</v>
      </c>
      <c r="D42" s="2" t="s">
        <v>65</v>
      </c>
      <c r="E42" s="47">
        <v>4600</v>
      </c>
      <c r="F42" s="53">
        <v>17.215499999999999</v>
      </c>
      <c r="G42" s="5">
        <v>9.3741559999999998E-3</v>
      </c>
    </row>
    <row r="43" spans="1:7" ht="12.75" x14ac:dyDescent="0.2">
      <c r="A43" s="6">
        <v>37</v>
      </c>
      <c r="B43" s="7" t="s">
        <v>527</v>
      </c>
      <c r="C43" s="11" t="s">
        <v>528</v>
      </c>
      <c r="D43" s="2" t="s">
        <v>16</v>
      </c>
      <c r="E43" s="47">
        <v>17664</v>
      </c>
      <c r="F43" s="53">
        <v>17.169408000000001</v>
      </c>
      <c r="G43" s="5">
        <v>9.3490580000000004E-3</v>
      </c>
    </row>
    <row r="44" spans="1:7" ht="25.5" x14ac:dyDescent="0.2">
      <c r="A44" s="6">
        <v>38</v>
      </c>
      <c r="B44" s="7" t="s">
        <v>324</v>
      </c>
      <c r="C44" s="11" t="s">
        <v>325</v>
      </c>
      <c r="D44" s="2" t="s">
        <v>22</v>
      </c>
      <c r="E44" s="47">
        <v>2896</v>
      </c>
      <c r="F44" s="53">
        <v>15.752791999999999</v>
      </c>
      <c r="G44" s="5">
        <v>8.5776840000000003E-3</v>
      </c>
    </row>
    <row r="45" spans="1:7" ht="25.5" x14ac:dyDescent="0.2">
      <c r="A45" s="6">
        <v>39</v>
      </c>
      <c r="B45" s="7" t="s">
        <v>89</v>
      </c>
      <c r="C45" s="11" t="s">
        <v>90</v>
      </c>
      <c r="D45" s="2" t="s">
        <v>27</v>
      </c>
      <c r="E45" s="47">
        <v>25245</v>
      </c>
      <c r="F45" s="53">
        <v>14.276047500000001</v>
      </c>
      <c r="G45" s="5">
        <v>7.7735699999999996E-3</v>
      </c>
    </row>
    <row r="46" spans="1:7" ht="38.25" x14ac:dyDescent="0.2">
      <c r="A46" s="6">
        <v>40</v>
      </c>
      <c r="B46" s="7" t="s">
        <v>272</v>
      </c>
      <c r="C46" s="11" t="s">
        <v>273</v>
      </c>
      <c r="D46" s="2" t="s">
        <v>274</v>
      </c>
      <c r="E46" s="47">
        <v>16393</v>
      </c>
      <c r="F46" s="53">
        <v>12.196391999999999</v>
      </c>
      <c r="G46" s="5">
        <v>6.6411589999999998E-3</v>
      </c>
    </row>
    <row r="47" spans="1:7" ht="12.75" x14ac:dyDescent="0.2">
      <c r="A47" s="1"/>
      <c r="B47" s="2"/>
      <c r="C47" s="8" t="s">
        <v>108</v>
      </c>
      <c r="D47" s="12"/>
      <c r="E47" s="49"/>
      <c r="F47" s="55">
        <v>1778.5363100000009</v>
      </c>
      <c r="G47" s="13">
        <v>0.96844564399999999</v>
      </c>
    </row>
    <row r="48" spans="1:7" ht="12.75" x14ac:dyDescent="0.2">
      <c r="A48" s="6"/>
      <c r="B48" s="7"/>
      <c r="C48" s="14"/>
      <c r="D48" s="15"/>
      <c r="E48" s="47"/>
      <c r="F48" s="53"/>
      <c r="G48" s="5"/>
    </row>
    <row r="49" spans="1:7" ht="12.75" x14ac:dyDescent="0.2">
      <c r="A49" s="1"/>
      <c r="B49" s="2"/>
      <c r="C49" s="8" t="s">
        <v>109</v>
      </c>
      <c r="D49" s="9"/>
      <c r="E49" s="48"/>
      <c r="F49" s="54"/>
      <c r="G49" s="10"/>
    </row>
    <row r="50" spans="1:7" ht="12.75" x14ac:dyDescent="0.2">
      <c r="A50" s="1"/>
      <c r="B50" s="2"/>
      <c r="C50" s="8" t="s">
        <v>108</v>
      </c>
      <c r="D50" s="12"/>
      <c r="E50" s="49"/>
      <c r="F50" s="55">
        <v>0</v>
      </c>
      <c r="G50" s="13">
        <v>0</v>
      </c>
    </row>
    <row r="51" spans="1:7" ht="12.75" x14ac:dyDescent="0.2">
      <c r="A51" s="6"/>
      <c r="B51" s="7"/>
      <c r="C51" s="14"/>
      <c r="D51" s="15"/>
      <c r="E51" s="47"/>
      <c r="F51" s="53"/>
      <c r="G51" s="5"/>
    </row>
    <row r="52" spans="1:7" ht="12.75" x14ac:dyDescent="0.2">
      <c r="A52" s="16"/>
      <c r="B52" s="17"/>
      <c r="C52" s="8" t="s">
        <v>110</v>
      </c>
      <c r="D52" s="9"/>
      <c r="E52" s="48"/>
      <c r="F52" s="54"/>
      <c r="G52" s="10"/>
    </row>
    <row r="53" spans="1:7" ht="12.75" x14ac:dyDescent="0.2">
      <c r="A53" s="18"/>
      <c r="B53" s="19"/>
      <c r="C53" s="8" t="s">
        <v>108</v>
      </c>
      <c r="D53" s="20"/>
      <c r="E53" s="50"/>
      <c r="F53" s="56">
        <v>0</v>
      </c>
      <c r="G53" s="21">
        <v>0</v>
      </c>
    </row>
    <row r="54" spans="1:7" ht="12.75" x14ac:dyDescent="0.2">
      <c r="A54" s="18"/>
      <c r="B54" s="19"/>
      <c r="C54" s="14"/>
      <c r="D54" s="22"/>
      <c r="E54" s="51"/>
      <c r="F54" s="57"/>
      <c r="G54" s="23"/>
    </row>
    <row r="55" spans="1:7" ht="12.75" x14ac:dyDescent="0.2">
      <c r="A55" s="1"/>
      <c r="B55" s="2"/>
      <c r="C55" s="8" t="s">
        <v>113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1"/>
      <c r="B57" s="2"/>
      <c r="C57" s="14"/>
      <c r="D57" s="4"/>
      <c r="E57" s="47"/>
      <c r="F57" s="53"/>
      <c r="G57" s="5"/>
    </row>
    <row r="58" spans="1:7" ht="12.75" x14ac:dyDescent="0.2">
      <c r="A58" s="1"/>
      <c r="B58" s="2"/>
      <c r="C58" s="8" t="s">
        <v>114</v>
      </c>
      <c r="D58" s="9"/>
      <c r="E58" s="48"/>
      <c r="F58" s="54"/>
      <c r="G58" s="10"/>
    </row>
    <row r="59" spans="1:7" ht="12.75" x14ac:dyDescent="0.2">
      <c r="A59" s="1"/>
      <c r="B59" s="2"/>
      <c r="C59" s="8" t="s">
        <v>108</v>
      </c>
      <c r="D59" s="12"/>
      <c r="E59" s="49"/>
      <c r="F59" s="55">
        <v>0</v>
      </c>
      <c r="G59" s="13">
        <v>0</v>
      </c>
    </row>
    <row r="60" spans="1:7" ht="12.75" x14ac:dyDescent="0.2">
      <c r="A60" s="1"/>
      <c r="B60" s="2"/>
      <c r="C60" s="14"/>
      <c r="D60" s="4"/>
      <c r="E60" s="47"/>
      <c r="F60" s="53"/>
      <c r="G60" s="5"/>
    </row>
    <row r="61" spans="1:7" ht="12.75" x14ac:dyDescent="0.2">
      <c r="A61" s="1"/>
      <c r="B61" s="2"/>
      <c r="C61" s="8" t="s">
        <v>115</v>
      </c>
      <c r="D61" s="9"/>
      <c r="E61" s="48"/>
      <c r="F61" s="54"/>
      <c r="G61" s="10"/>
    </row>
    <row r="62" spans="1:7" ht="12.75" x14ac:dyDescent="0.2">
      <c r="A62" s="1"/>
      <c r="B62" s="2"/>
      <c r="C62" s="8" t="s">
        <v>108</v>
      </c>
      <c r="D62" s="12"/>
      <c r="E62" s="49"/>
      <c r="F62" s="55">
        <v>0</v>
      </c>
      <c r="G62" s="13">
        <v>0</v>
      </c>
    </row>
    <row r="63" spans="1:7" ht="12.75" x14ac:dyDescent="0.2">
      <c r="A63" s="1"/>
      <c r="B63" s="2"/>
      <c r="C63" s="14"/>
      <c r="D63" s="4"/>
      <c r="E63" s="47"/>
      <c r="F63" s="53"/>
      <c r="G63" s="5"/>
    </row>
    <row r="64" spans="1:7" ht="25.5" x14ac:dyDescent="0.2">
      <c r="A64" s="6"/>
      <c r="B64" s="7"/>
      <c r="C64" s="24" t="s">
        <v>116</v>
      </c>
      <c r="D64" s="25"/>
      <c r="E64" s="49"/>
      <c r="F64" s="55">
        <v>1778.5363100000009</v>
      </c>
      <c r="G64" s="13">
        <v>0.96844564399999999</v>
      </c>
    </row>
    <row r="65" spans="1:7" ht="12.75" x14ac:dyDescent="0.2">
      <c r="A65" s="1"/>
      <c r="B65" s="2"/>
      <c r="C65" s="11"/>
      <c r="D65" s="4"/>
      <c r="E65" s="47"/>
      <c r="F65" s="53"/>
      <c r="G65" s="5"/>
    </row>
    <row r="66" spans="1:7" ht="12.75" x14ac:dyDescent="0.2">
      <c r="A66" s="1"/>
      <c r="B66" s="2"/>
      <c r="C66" s="3" t="s">
        <v>117</v>
      </c>
      <c r="D66" s="4"/>
      <c r="E66" s="47"/>
      <c r="F66" s="53"/>
      <c r="G66" s="5"/>
    </row>
    <row r="67" spans="1:7" ht="25.5" x14ac:dyDescent="0.2">
      <c r="A67" s="1"/>
      <c r="B67" s="2"/>
      <c r="C67" s="8" t="s">
        <v>10</v>
      </c>
      <c r="D67" s="9"/>
      <c r="E67" s="48"/>
      <c r="F67" s="54"/>
      <c r="G67" s="10"/>
    </row>
    <row r="68" spans="1:7" ht="12.75" x14ac:dyDescent="0.2">
      <c r="A68" s="6"/>
      <c r="B68" s="7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6"/>
      <c r="B69" s="7"/>
      <c r="C69" s="14"/>
      <c r="D69" s="4"/>
      <c r="E69" s="47"/>
      <c r="F69" s="53"/>
      <c r="G69" s="5"/>
    </row>
    <row r="70" spans="1:7" ht="12.75" x14ac:dyDescent="0.2">
      <c r="A70" s="1"/>
      <c r="B70" s="26"/>
      <c r="C70" s="8" t="s">
        <v>118</v>
      </c>
      <c r="D70" s="9"/>
      <c r="E70" s="48"/>
      <c r="F70" s="54"/>
      <c r="G70" s="10"/>
    </row>
    <row r="71" spans="1:7" ht="12.75" x14ac:dyDescent="0.2">
      <c r="A71" s="6"/>
      <c r="B71" s="7"/>
      <c r="C71" s="8" t="s">
        <v>108</v>
      </c>
      <c r="D71" s="12"/>
      <c r="E71" s="49"/>
      <c r="F71" s="55">
        <v>0</v>
      </c>
      <c r="G71" s="13">
        <v>0</v>
      </c>
    </row>
    <row r="72" spans="1:7" ht="12.75" x14ac:dyDescent="0.2">
      <c r="A72" s="6"/>
      <c r="B72" s="7"/>
      <c r="C72" s="14"/>
      <c r="D72" s="4"/>
      <c r="E72" s="47"/>
      <c r="F72" s="59"/>
      <c r="G72" s="28"/>
    </row>
    <row r="73" spans="1:7" ht="12.75" x14ac:dyDescent="0.2">
      <c r="A73" s="1"/>
      <c r="B73" s="2"/>
      <c r="C73" s="8" t="s">
        <v>119</v>
      </c>
      <c r="D73" s="9"/>
      <c r="E73" s="48"/>
      <c r="F73" s="54"/>
      <c r="G73" s="10"/>
    </row>
    <row r="74" spans="1:7" ht="12.75" x14ac:dyDescent="0.2">
      <c r="A74" s="6"/>
      <c r="B74" s="7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1"/>
      <c r="B75" s="2"/>
      <c r="C75" s="14"/>
      <c r="D75" s="4"/>
      <c r="E75" s="47"/>
      <c r="F75" s="53"/>
      <c r="G75" s="5"/>
    </row>
    <row r="76" spans="1:7" ht="25.5" x14ac:dyDescent="0.2">
      <c r="A76" s="1"/>
      <c r="B76" s="26"/>
      <c r="C76" s="8" t="s">
        <v>120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12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4"/>
      <c r="E78" s="47"/>
      <c r="F78" s="53"/>
      <c r="G78" s="5"/>
    </row>
    <row r="79" spans="1:7" ht="12.75" x14ac:dyDescent="0.2">
      <c r="A79" s="6"/>
      <c r="B79" s="7"/>
      <c r="C79" s="29" t="s">
        <v>121</v>
      </c>
      <c r="D79" s="25"/>
      <c r="E79" s="49"/>
      <c r="F79" s="55">
        <v>0</v>
      </c>
      <c r="G79" s="13">
        <v>0</v>
      </c>
    </row>
    <row r="80" spans="1:7" ht="12.75" x14ac:dyDescent="0.2">
      <c r="A80" s="6"/>
      <c r="B80" s="7"/>
      <c r="C80" s="11"/>
      <c r="D80" s="4"/>
      <c r="E80" s="47"/>
      <c r="F80" s="53"/>
      <c r="G80" s="5"/>
    </row>
    <row r="81" spans="1:7" ht="12.75" x14ac:dyDescent="0.2">
      <c r="A81" s="1"/>
      <c r="B81" s="2"/>
      <c r="C81" s="3" t="s">
        <v>122</v>
      </c>
      <c r="D81" s="4"/>
      <c r="E81" s="47"/>
      <c r="F81" s="53"/>
      <c r="G81" s="5"/>
    </row>
    <row r="82" spans="1:7" ht="12.75" x14ac:dyDescent="0.2">
      <c r="A82" s="6"/>
      <c r="B82" s="7"/>
      <c r="C82" s="8" t="s">
        <v>123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25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7"/>
      <c r="E84" s="47"/>
      <c r="F84" s="53"/>
      <c r="G84" s="5"/>
    </row>
    <row r="85" spans="1:7" ht="12.75" x14ac:dyDescent="0.2">
      <c r="A85" s="6"/>
      <c r="B85" s="7"/>
      <c r="C85" s="8" t="s">
        <v>124</v>
      </c>
      <c r="D85" s="9"/>
      <c r="E85" s="48"/>
      <c r="F85" s="54"/>
      <c r="G85" s="10"/>
    </row>
    <row r="86" spans="1:7" ht="12.75" x14ac:dyDescent="0.2">
      <c r="A86" s="6"/>
      <c r="B86" s="7"/>
      <c r="C86" s="8" t="s">
        <v>108</v>
      </c>
      <c r="D86" s="25"/>
      <c r="E86" s="49"/>
      <c r="F86" s="55">
        <v>0</v>
      </c>
      <c r="G86" s="13">
        <v>0</v>
      </c>
    </row>
    <row r="87" spans="1:7" ht="12.75" x14ac:dyDescent="0.2">
      <c r="A87" s="6"/>
      <c r="B87" s="7"/>
      <c r="C87" s="14"/>
      <c r="D87" s="7"/>
      <c r="E87" s="47"/>
      <c r="F87" s="53"/>
      <c r="G87" s="5"/>
    </row>
    <row r="88" spans="1:7" ht="12.75" x14ac:dyDescent="0.2">
      <c r="A88" s="6"/>
      <c r="B88" s="7"/>
      <c r="C88" s="8" t="s">
        <v>125</v>
      </c>
      <c r="D88" s="9"/>
      <c r="E88" s="48"/>
      <c r="F88" s="54"/>
      <c r="G88" s="10"/>
    </row>
    <row r="89" spans="1:7" ht="12.75" x14ac:dyDescent="0.2">
      <c r="A89" s="6"/>
      <c r="B89" s="7"/>
      <c r="C89" s="8" t="s">
        <v>108</v>
      </c>
      <c r="D89" s="25"/>
      <c r="E89" s="49"/>
      <c r="F89" s="55">
        <v>0</v>
      </c>
      <c r="G89" s="13">
        <v>0</v>
      </c>
    </row>
    <row r="90" spans="1:7" ht="12.75" x14ac:dyDescent="0.2">
      <c r="A90" s="6"/>
      <c r="B90" s="7"/>
      <c r="C90" s="14"/>
      <c r="D90" s="7"/>
      <c r="E90" s="47"/>
      <c r="F90" s="53"/>
      <c r="G90" s="5"/>
    </row>
    <row r="91" spans="1:7" ht="12.75" x14ac:dyDescent="0.2">
      <c r="A91" s="6"/>
      <c r="B91" s="7"/>
      <c r="C91" s="8" t="s">
        <v>126</v>
      </c>
      <c r="D91" s="9"/>
      <c r="E91" s="48"/>
      <c r="F91" s="54"/>
      <c r="G91" s="10"/>
    </row>
    <row r="92" spans="1:7" ht="12.75" x14ac:dyDescent="0.2">
      <c r="A92" s="6">
        <v>1</v>
      </c>
      <c r="B92" s="7"/>
      <c r="C92" s="11" t="s">
        <v>812</v>
      </c>
      <c r="D92" s="15"/>
      <c r="E92" s="47"/>
      <c r="F92" s="53">
        <v>64.991453199999995</v>
      </c>
      <c r="G92" s="5">
        <v>3.5389037999999998E-2</v>
      </c>
    </row>
    <row r="93" spans="1:7" ht="12.75" x14ac:dyDescent="0.2">
      <c r="A93" s="6"/>
      <c r="B93" s="7"/>
      <c r="C93" s="8" t="s">
        <v>108</v>
      </c>
      <c r="D93" s="25"/>
      <c r="E93" s="49"/>
      <c r="F93" s="55">
        <v>64.991453199999995</v>
      </c>
      <c r="G93" s="13">
        <v>3.5389037999999998E-2</v>
      </c>
    </row>
    <row r="94" spans="1:7" ht="12.75" x14ac:dyDescent="0.2">
      <c r="A94" s="6"/>
      <c r="B94" s="7"/>
      <c r="C94" s="14"/>
      <c r="D94" s="7"/>
      <c r="E94" s="47"/>
      <c r="F94" s="53"/>
      <c r="G94" s="5"/>
    </row>
    <row r="95" spans="1:7" ht="25.5" x14ac:dyDescent="0.2">
      <c r="A95" s="6"/>
      <c r="B95" s="7"/>
      <c r="C95" s="24" t="s">
        <v>127</v>
      </c>
      <c r="D95" s="25"/>
      <c r="E95" s="49"/>
      <c r="F95" s="55">
        <v>64.991453199999995</v>
      </c>
      <c r="G95" s="13">
        <v>3.5389037999999998E-2</v>
      </c>
    </row>
    <row r="96" spans="1:7" ht="12.75" x14ac:dyDescent="0.2">
      <c r="A96" s="6"/>
      <c r="B96" s="7"/>
      <c r="C96" s="30"/>
      <c r="D96" s="7"/>
      <c r="E96" s="47"/>
      <c r="F96" s="53"/>
      <c r="G96" s="5"/>
    </row>
    <row r="97" spans="1:7" ht="12.75" x14ac:dyDescent="0.2">
      <c r="A97" s="1"/>
      <c r="B97" s="2"/>
      <c r="C97" s="3" t="s">
        <v>128</v>
      </c>
      <c r="D97" s="4"/>
      <c r="E97" s="47"/>
      <c r="F97" s="53"/>
      <c r="G97" s="5"/>
    </row>
    <row r="98" spans="1:7" ht="25.5" x14ac:dyDescent="0.2">
      <c r="A98" s="6"/>
      <c r="B98" s="7"/>
      <c r="C98" s="8" t="s">
        <v>129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25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7"/>
      <c r="E100" s="47"/>
      <c r="F100" s="53"/>
      <c r="G100" s="5"/>
    </row>
    <row r="101" spans="1:7" ht="12.75" x14ac:dyDescent="0.2">
      <c r="A101" s="1"/>
      <c r="B101" s="2"/>
      <c r="C101" s="3" t="s">
        <v>131</v>
      </c>
      <c r="D101" s="4"/>
      <c r="E101" s="47"/>
      <c r="F101" s="53"/>
      <c r="G101" s="5"/>
    </row>
    <row r="102" spans="1:7" ht="25.5" x14ac:dyDescent="0.2">
      <c r="A102" s="6"/>
      <c r="B102" s="7"/>
      <c r="C102" s="8" t="s">
        <v>132</v>
      </c>
      <c r="D102" s="9"/>
      <c r="E102" s="48"/>
      <c r="F102" s="54"/>
      <c r="G102" s="10"/>
    </row>
    <row r="103" spans="1:7" ht="12.75" x14ac:dyDescent="0.2">
      <c r="A103" s="6"/>
      <c r="B103" s="7"/>
      <c r="C103" s="8" t="s">
        <v>108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4"/>
      <c r="D104" s="7"/>
      <c r="E104" s="47"/>
      <c r="F104" s="53"/>
      <c r="G104" s="5"/>
    </row>
    <row r="105" spans="1:7" ht="25.5" x14ac:dyDescent="0.2">
      <c r="A105" s="6"/>
      <c r="B105" s="7"/>
      <c r="C105" s="8" t="s">
        <v>133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9"/>
      <c r="G107" s="28"/>
    </row>
    <row r="108" spans="1:7" ht="25.5" x14ac:dyDescent="0.2">
      <c r="A108" s="6"/>
      <c r="B108" s="7"/>
      <c r="C108" s="30" t="s">
        <v>134</v>
      </c>
      <c r="D108" s="7"/>
      <c r="E108" s="47"/>
      <c r="F108" s="128">
        <v>-7.0423353899999999</v>
      </c>
      <c r="G108" s="137">
        <v>-3.8346807893803697E-3</v>
      </c>
    </row>
    <row r="109" spans="1:7" ht="12.75" x14ac:dyDescent="0.2">
      <c r="A109" s="6"/>
      <c r="B109" s="7"/>
      <c r="C109" s="31" t="s">
        <v>135</v>
      </c>
      <c r="D109" s="12"/>
      <c r="E109" s="49"/>
      <c r="F109" s="55">
        <v>1836.4854278100008</v>
      </c>
      <c r="G109" s="13">
        <v>1.0000000009999999</v>
      </c>
    </row>
    <row r="111" spans="1:7" ht="12.75" x14ac:dyDescent="0.2">
      <c r="B111" s="179"/>
      <c r="C111" s="179"/>
      <c r="D111" s="179"/>
      <c r="E111" s="179"/>
      <c r="F111" s="179"/>
    </row>
    <row r="112" spans="1:7" ht="12.75" x14ac:dyDescent="0.2">
      <c r="B112" s="179"/>
      <c r="C112" s="179"/>
      <c r="D112" s="179"/>
      <c r="E112" s="179"/>
      <c r="F112" s="179"/>
    </row>
    <row r="114" spans="2:4" ht="12.75" x14ac:dyDescent="0.2">
      <c r="B114" s="37" t="s">
        <v>137</v>
      </c>
      <c r="C114" s="38"/>
      <c r="D114" s="39"/>
    </row>
    <row r="115" spans="2:4" ht="12.75" x14ac:dyDescent="0.2">
      <c r="B115" s="40" t="s">
        <v>808</v>
      </c>
      <c r="C115" s="41"/>
      <c r="D115" s="65" t="s">
        <v>138</v>
      </c>
    </row>
    <row r="116" spans="2:4" ht="12.75" x14ac:dyDescent="0.2">
      <c r="B116" s="40" t="s">
        <v>139</v>
      </c>
      <c r="C116" s="41"/>
      <c r="D116" s="65" t="s">
        <v>138</v>
      </c>
    </row>
    <row r="117" spans="2:4" ht="12.75" x14ac:dyDescent="0.2">
      <c r="B117" s="42" t="s">
        <v>140</v>
      </c>
      <c r="C117" s="41"/>
      <c r="D117" s="43"/>
    </row>
    <row r="118" spans="2:4" ht="25.5" customHeight="1" x14ac:dyDescent="0.2">
      <c r="B118" s="43"/>
      <c r="C118" s="33" t="s">
        <v>141</v>
      </c>
      <c r="D118" s="34" t="s">
        <v>142</v>
      </c>
    </row>
    <row r="119" spans="2:4" ht="12.75" customHeight="1" x14ac:dyDescent="0.2">
      <c r="B119" s="60" t="s">
        <v>143</v>
      </c>
      <c r="C119" s="61" t="s">
        <v>144</v>
      </c>
      <c r="D119" s="61" t="s">
        <v>145</v>
      </c>
    </row>
    <row r="120" spans="2:4" ht="12.75" x14ac:dyDescent="0.2">
      <c r="B120" s="43" t="s">
        <v>146</v>
      </c>
      <c r="C120" s="44">
        <v>13.412599999999999</v>
      </c>
      <c r="D120" s="44">
        <v>13.9536</v>
      </c>
    </row>
    <row r="121" spans="2:4" ht="12.75" x14ac:dyDescent="0.2">
      <c r="B121" s="43" t="s">
        <v>147</v>
      </c>
      <c r="C121" s="44">
        <v>12.3713</v>
      </c>
      <c r="D121" s="44">
        <v>12.870200000000001</v>
      </c>
    </row>
    <row r="122" spans="2:4" ht="12.75" x14ac:dyDescent="0.2">
      <c r="B122" s="43" t="s">
        <v>148</v>
      </c>
      <c r="C122" s="44">
        <v>13.161300000000001</v>
      </c>
      <c r="D122" s="44">
        <v>13.687200000000001</v>
      </c>
    </row>
    <row r="123" spans="2:4" ht="12.75" x14ac:dyDescent="0.2">
      <c r="B123" s="43" t="s">
        <v>149</v>
      </c>
      <c r="C123" s="44">
        <v>12.1272</v>
      </c>
      <c r="D123" s="44">
        <v>12.6119</v>
      </c>
    </row>
    <row r="125" spans="2:4" ht="12.75" x14ac:dyDescent="0.2">
      <c r="B125" s="62" t="s">
        <v>150</v>
      </c>
      <c r="C125" s="45"/>
      <c r="D125" s="63" t="s">
        <v>138</v>
      </c>
    </row>
    <row r="126" spans="2:4" ht="24.75" customHeight="1" x14ac:dyDescent="0.2">
      <c r="B126" s="64"/>
      <c r="C126" s="64"/>
    </row>
    <row r="127" spans="2:4" ht="15" x14ac:dyDescent="0.25">
      <c r="B127" s="66"/>
      <c r="C127" s="68"/>
      <c r="D127"/>
    </row>
    <row r="129" spans="2:4" ht="12.75" x14ac:dyDescent="0.2">
      <c r="B129" s="42" t="s">
        <v>151</v>
      </c>
      <c r="C129" s="41"/>
      <c r="D129" s="67" t="s">
        <v>138</v>
      </c>
    </row>
    <row r="130" spans="2:4" ht="12.75" x14ac:dyDescent="0.2">
      <c r="B130" s="42" t="s">
        <v>152</v>
      </c>
      <c r="C130" s="41"/>
      <c r="D130" s="67" t="s">
        <v>138</v>
      </c>
    </row>
    <row r="131" spans="2:4" ht="12.75" x14ac:dyDescent="0.2">
      <c r="B131" s="42" t="s">
        <v>153</v>
      </c>
      <c r="C131" s="41"/>
      <c r="D131" s="46">
        <v>0.191831144730606</v>
      </c>
    </row>
    <row r="132" spans="2:4" ht="12.75" x14ac:dyDescent="0.2">
      <c r="B132" s="42" t="s">
        <v>154</v>
      </c>
      <c r="C132" s="41"/>
      <c r="D132" s="46" t="s">
        <v>138</v>
      </c>
    </row>
  </sheetData>
  <mergeCells count="5">
    <mergeCell ref="A1:G1"/>
    <mergeCell ref="A2:G2"/>
    <mergeCell ref="A3:G3"/>
    <mergeCell ref="B111:F111"/>
    <mergeCell ref="B112:F11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31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529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22444</v>
      </c>
      <c r="F7" s="53">
        <v>103.926942</v>
      </c>
      <c r="G7" s="5">
        <v>7.4127412000000004E-2</v>
      </c>
    </row>
    <row r="8" spans="1:7" ht="12.75" x14ac:dyDescent="0.2">
      <c r="A8" s="6">
        <v>2</v>
      </c>
      <c r="B8" s="7" t="s">
        <v>36</v>
      </c>
      <c r="C8" s="11" t="s">
        <v>37</v>
      </c>
      <c r="D8" s="2" t="s">
        <v>16</v>
      </c>
      <c r="E8" s="47">
        <v>8152</v>
      </c>
      <c r="F8" s="53">
        <v>100.298132</v>
      </c>
      <c r="G8" s="5">
        <v>7.1539110000000003E-2</v>
      </c>
    </row>
    <row r="9" spans="1:7" ht="25.5" x14ac:dyDescent="0.2">
      <c r="A9" s="6">
        <v>3</v>
      </c>
      <c r="B9" s="7" t="s">
        <v>31</v>
      </c>
      <c r="C9" s="11" t="s">
        <v>32</v>
      </c>
      <c r="D9" s="2" t="s">
        <v>33</v>
      </c>
      <c r="E9" s="47">
        <v>4728</v>
      </c>
      <c r="F9" s="53">
        <v>69.234468000000007</v>
      </c>
      <c r="G9" s="5">
        <v>4.9382496999999997E-2</v>
      </c>
    </row>
    <row r="10" spans="1:7" ht="12.75" x14ac:dyDescent="0.2">
      <c r="A10" s="6">
        <v>4</v>
      </c>
      <c r="B10" s="7" t="s">
        <v>502</v>
      </c>
      <c r="C10" s="11" t="s">
        <v>503</v>
      </c>
      <c r="D10" s="2" t="s">
        <v>16</v>
      </c>
      <c r="E10" s="47">
        <v>22136</v>
      </c>
      <c r="F10" s="53">
        <v>69.152863999999994</v>
      </c>
      <c r="G10" s="5">
        <v>4.9324291999999999E-2</v>
      </c>
    </row>
    <row r="11" spans="1:7" ht="25.5" x14ac:dyDescent="0.2">
      <c r="A11" s="6">
        <v>5</v>
      </c>
      <c r="B11" s="7" t="s">
        <v>426</v>
      </c>
      <c r="C11" s="11" t="s">
        <v>427</v>
      </c>
      <c r="D11" s="2" t="s">
        <v>30</v>
      </c>
      <c r="E11" s="47">
        <v>13100</v>
      </c>
      <c r="F11" s="53">
        <v>69.030450000000002</v>
      </c>
      <c r="G11" s="5">
        <v>4.9236979E-2</v>
      </c>
    </row>
    <row r="12" spans="1:7" ht="25.5" x14ac:dyDescent="0.2">
      <c r="A12" s="6">
        <v>6</v>
      </c>
      <c r="B12" s="7" t="s">
        <v>432</v>
      </c>
      <c r="C12" s="11" t="s">
        <v>433</v>
      </c>
      <c r="D12" s="2" t="s">
        <v>72</v>
      </c>
      <c r="E12" s="47">
        <v>3034</v>
      </c>
      <c r="F12" s="53">
        <v>64.681845999999993</v>
      </c>
      <c r="G12" s="5">
        <v>4.6135272999999997E-2</v>
      </c>
    </row>
    <row r="13" spans="1:7" ht="25.5" x14ac:dyDescent="0.2">
      <c r="A13" s="6">
        <v>7</v>
      </c>
      <c r="B13" s="7" t="s">
        <v>11</v>
      </c>
      <c r="C13" s="11" t="s">
        <v>12</v>
      </c>
      <c r="D13" s="2" t="s">
        <v>13</v>
      </c>
      <c r="E13" s="47">
        <v>4296</v>
      </c>
      <c r="F13" s="53">
        <v>63.282228000000003</v>
      </c>
      <c r="G13" s="5">
        <v>4.5136975000000003E-2</v>
      </c>
    </row>
    <row r="14" spans="1:7" ht="12.75" x14ac:dyDescent="0.2">
      <c r="A14" s="6">
        <v>8</v>
      </c>
      <c r="B14" s="7" t="s">
        <v>498</v>
      </c>
      <c r="C14" s="11" t="s">
        <v>499</v>
      </c>
      <c r="D14" s="2" t="s">
        <v>242</v>
      </c>
      <c r="E14" s="47">
        <v>7983</v>
      </c>
      <c r="F14" s="53">
        <v>54.731448</v>
      </c>
      <c r="G14" s="5">
        <v>3.9038006E-2</v>
      </c>
    </row>
    <row r="15" spans="1:7" ht="25.5" x14ac:dyDescent="0.2">
      <c r="A15" s="6">
        <v>9</v>
      </c>
      <c r="B15" s="7" t="s">
        <v>404</v>
      </c>
      <c r="C15" s="11" t="s">
        <v>405</v>
      </c>
      <c r="D15" s="2" t="s">
        <v>72</v>
      </c>
      <c r="E15" s="47">
        <v>5201</v>
      </c>
      <c r="F15" s="53">
        <v>51.567914999999999</v>
      </c>
      <c r="G15" s="5">
        <v>3.678157E-2</v>
      </c>
    </row>
    <row r="16" spans="1:7" ht="12.75" x14ac:dyDescent="0.2">
      <c r="A16" s="6">
        <v>10</v>
      </c>
      <c r="B16" s="7" t="s">
        <v>496</v>
      </c>
      <c r="C16" s="11" t="s">
        <v>497</v>
      </c>
      <c r="D16" s="2" t="s">
        <v>16</v>
      </c>
      <c r="E16" s="47">
        <v>2986</v>
      </c>
      <c r="F16" s="53">
        <v>47.014569999999999</v>
      </c>
      <c r="G16" s="5">
        <v>3.3533830000000001E-2</v>
      </c>
    </row>
    <row r="17" spans="1:7" ht="12.75" x14ac:dyDescent="0.2">
      <c r="A17" s="6">
        <v>11</v>
      </c>
      <c r="B17" s="7" t="s">
        <v>515</v>
      </c>
      <c r="C17" s="11" t="s">
        <v>516</v>
      </c>
      <c r="D17" s="2" t="s">
        <v>242</v>
      </c>
      <c r="E17" s="47">
        <v>6072</v>
      </c>
      <c r="F17" s="53">
        <v>44.872079999999997</v>
      </c>
      <c r="G17" s="5">
        <v>3.2005668000000001E-2</v>
      </c>
    </row>
    <row r="18" spans="1:7" ht="25.5" x14ac:dyDescent="0.2">
      <c r="A18" s="6">
        <v>12</v>
      </c>
      <c r="B18" s="7" t="s">
        <v>318</v>
      </c>
      <c r="C18" s="11" t="s">
        <v>319</v>
      </c>
      <c r="D18" s="2" t="s">
        <v>30</v>
      </c>
      <c r="E18" s="47">
        <v>7149</v>
      </c>
      <c r="F18" s="53">
        <v>44.334523500000003</v>
      </c>
      <c r="G18" s="5">
        <v>3.1622247999999999E-2</v>
      </c>
    </row>
    <row r="19" spans="1:7" ht="12.75" x14ac:dyDescent="0.2">
      <c r="A19" s="6">
        <v>13</v>
      </c>
      <c r="B19" s="7" t="s">
        <v>517</v>
      </c>
      <c r="C19" s="11" t="s">
        <v>518</v>
      </c>
      <c r="D19" s="2" t="s">
        <v>19</v>
      </c>
      <c r="E19" s="47">
        <v>5214</v>
      </c>
      <c r="F19" s="53">
        <v>40.082625</v>
      </c>
      <c r="G19" s="5">
        <v>2.8589519000000001E-2</v>
      </c>
    </row>
    <row r="20" spans="1:7" ht="12.75" x14ac:dyDescent="0.2">
      <c r="A20" s="6">
        <v>14</v>
      </c>
      <c r="B20" s="7" t="s">
        <v>408</v>
      </c>
      <c r="C20" s="11" t="s">
        <v>409</v>
      </c>
      <c r="D20" s="2" t="s">
        <v>16</v>
      </c>
      <c r="E20" s="47">
        <v>5192</v>
      </c>
      <c r="F20" s="53">
        <v>38.231292000000003</v>
      </c>
      <c r="G20" s="5">
        <v>2.7269028000000001E-2</v>
      </c>
    </row>
    <row r="21" spans="1:7" ht="25.5" x14ac:dyDescent="0.2">
      <c r="A21" s="6">
        <v>15</v>
      </c>
      <c r="B21" s="7" t="s">
        <v>418</v>
      </c>
      <c r="C21" s="11" t="s">
        <v>419</v>
      </c>
      <c r="D21" s="2" t="s">
        <v>30</v>
      </c>
      <c r="E21" s="47">
        <v>13897</v>
      </c>
      <c r="F21" s="53">
        <v>35.805620500000003</v>
      </c>
      <c r="G21" s="5">
        <v>2.5538882999999998E-2</v>
      </c>
    </row>
    <row r="22" spans="1:7" ht="12.75" x14ac:dyDescent="0.2">
      <c r="A22" s="6">
        <v>16</v>
      </c>
      <c r="B22" s="7" t="s">
        <v>332</v>
      </c>
      <c r="C22" s="11" t="s">
        <v>333</v>
      </c>
      <c r="D22" s="2" t="s">
        <v>158</v>
      </c>
      <c r="E22" s="47">
        <v>5580</v>
      </c>
      <c r="F22" s="53">
        <v>34.975439999999999</v>
      </c>
      <c r="G22" s="5">
        <v>2.4946744E-2</v>
      </c>
    </row>
    <row r="23" spans="1:7" ht="25.5" x14ac:dyDescent="0.2">
      <c r="A23" s="6">
        <v>17</v>
      </c>
      <c r="B23" s="7" t="s">
        <v>104</v>
      </c>
      <c r="C23" s="11" t="s">
        <v>105</v>
      </c>
      <c r="D23" s="2" t="s">
        <v>33</v>
      </c>
      <c r="E23" s="47">
        <v>6594</v>
      </c>
      <c r="F23" s="53">
        <v>34.724004000000001</v>
      </c>
      <c r="G23" s="5">
        <v>2.4767404E-2</v>
      </c>
    </row>
    <row r="24" spans="1:7" ht="12.75" x14ac:dyDescent="0.2">
      <c r="A24" s="6">
        <v>18</v>
      </c>
      <c r="B24" s="7" t="s">
        <v>359</v>
      </c>
      <c r="C24" s="11" t="s">
        <v>360</v>
      </c>
      <c r="D24" s="2" t="s">
        <v>361</v>
      </c>
      <c r="E24" s="47">
        <v>7300</v>
      </c>
      <c r="F24" s="53">
        <v>34.7042</v>
      </c>
      <c r="G24" s="5">
        <v>2.4753279E-2</v>
      </c>
    </row>
    <row r="25" spans="1:7" ht="25.5" x14ac:dyDescent="0.2">
      <c r="A25" s="6">
        <v>19</v>
      </c>
      <c r="B25" s="7" t="s">
        <v>314</v>
      </c>
      <c r="C25" s="11" t="s">
        <v>315</v>
      </c>
      <c r="D25" s="2" t="s">
        <v>30</v>
      </c>
      <c r="E25" s="47">
        <v>9779</v>
      </c>
      <c r="F25" s="53">
        <v>30.99943</v>
      </c>
      <c r="G25" s="5">
        <v>2.2110797000000001E-2</v>
      </c>
    </row>
    <row r="26" spans="1:7" ht="12.75" x14ac:dyDescent="0.2">
      <c r="A26" s="6">
        <v>20</v>
      </c>
      <c r="B26" s="7" t="s">
        <v>436</v>
      </c>
      <c r="C26" s="11" t="s">
        <v>437</v>
      </c>
      <c r="D26" s="2" t="s">
        <v>237</v>
      </c>
      <c r="E26" s="47">
        <v>4408</v>
      </c>
      <c r="F26" s="53">
        <v>26.732316000000001</v>
      </c>
      <c r="G26" s="5">
        <v>1.9067216000000001E-2</v>
      </c>
    </row>
    <row r="27" spans="1:7" ht="25.5" x14ac:dyDescent="0.2">
      <c r="A27" s="6">
        <v>21</v>
      </c>
      <c r="B27" s="7" t="s">
        <v>310</v>
      </c>
      <c r="C27" s="11" t="s">
        <v>311</v>
      </c>
      <c r="D27" s="2" t="s">
        <v>223</v>
      </c>
      <c r="E27" s="47">
        <v>11466</v>
      </c>
      <c r="F27" s="53">
        <v>24.330852</v>
      </c>
      <c r="G27" s="5">
        <v>1.7354336000000001E-2</v>
      </c>
    </row>
    <row r="28" spans="1:7" ht="12.75" x14ac:dyDescent="0.2">
      <c r="A28" s="6">
        <v>22</v>
      </c>
      <c r="B28" s="7" t="s">
        <v>519</v>
      </c>
      <c r="C28" s="11" t="s">
        <v>520</v>
      </c>
      <c r="D28" s="2" t="s">
        <v>281</v>
      </c>
      <c r="E28" s="47">
        <v>2684</v>
      </c>
      <c r="F28" s="53">
        <v>24.25665</v>
      </c>
      <c r="G28" s="5">
        <v>1.7301410999999999E-2</v>
      </c>
    </row>
    <row r="29" spans="1:7" ht="25.5" x14ac:dyDescent="0.2">
      <c r="A29" s="6">
        <v>23</v>
      </c>
      <c r="B29" s="7" t="s">
        <v>156</v>
      </c>
      <c r="C29" s="11" t="s">
        <v>157</v>
      </c>
      <c r="D29" s="2" t="s">
        <v>158</v>
      </c>
      <c r="E29" s="47">
        <v>2648</v>
      </c>
      <c r="F29" s="53">
        <v>23.765799999999999</v>
      </c>
      <c r="G29" s="5">
        <v>1.6951305E-2</v>
      </c>
    </row>
    <row r="30" spans="1:7" ht="25.5" x14ac:dyDescent="0.2">
      <c r="A30" s="6">
        <v>24</v>
      </c>
      <c r="B30" s="7" t="s">
        <v>521</v>
      </c>
      <c r="C30" s="11" t="s">
        <v>522</v>
      </c>
      <c r="D30" s="2" t="s">
        <v>30</v>
      </c>
      <c r="E30" s="47">
        <v>13754</v>
      </c>
      <c r="F30" s="53">
        <v>22.412143</v>
      </c>
      <c r="G30" s="5">
        <v>1.5985789E-2</v>
      </c>
    </row>
    <row r="31" spans="1:7" ht="12.75" x14ac:dyDescent="0.2">
      <c r="A31" s="6">
        <v>25</v>
      </c>
      <c r="B31" s="7" t="s">
        <v>479</v>
      </c>
      <c r="C31" s="11" t="s">
        <v>480</v>
      </c>
      <c r="D31" s="2" t="s">
        <v>226</v>
      </c>
      <c r="E31" s="47">
        <v>18095</v>
      </c>
      <c r="F31" s="53">
        <v>21.542097500000001</v>
      </c>
      <c r="G31" s="5">
        <v>1.5365215999999999E-2</v>
      </c>
    </row>
    <row r="32" spans="1:7" ht="12.75" x14ac:dyDescent="0.2">
      <c r="A32" s="6">
        <v>26</v>
      </c>
      <c r="B32" s="7" t="s">
        <v>316</v>
      </c>
      <c r="C32" s="11" t="s">
        <v>317</v>
      </c>
      <c r="D32" s="2" t="s">
        <v>16</v>
      </c>
      <c r="E32" s="47">
        <v>22387</v>
      </c>
      <c r="F32" s="53">
        <v>18.760306</v>
      </c>
      <c r="G32" s="5">
        <v>1.3381063E-2</v>
      </c>
    </row>
    <row r="33" spans="1:7" ht="12.75" x14ac:dyDescent="0.2">
      <c r="A33" s="6">
        <v>27</v>
      </c>
      <c r="B33" s="7" t="s">
        <v>523</v>
      </c>
      <c r="C33" s="11" t="s">
        <v>524</v>
      </c>
      <c r="D33" s="2" t="s">
        <v>242</v>
      </c>
      <c r="E33" s="47">
        <v>1612</v>
      </c>
      <c r="F33" s="53">
        <v>18.74353</v>
      </c>
      <c r="G33" s="5">
        <v>1.3369097E-2</v>
      </c>
    </row>
    <row r="34" spans="1:7" ht="12.75" x14ac:dyDescent="0.2">
      <c r="A34" s="6">
        <v>28</v>
      </c>
      <c r="B34" s="7" t="s">
        <v>336</v>
      </c>
      <c r="C34" s="11" t="s">
        <v>337</v>
      </c>
      <c r="D34" s="2" t="s">
        <v>197</v>
      </c>
      <c r="E34" s="47">
        <v>3606</v>
      </c>
      <c r="F34" s="53">
        <v>18.707927999999999</v>
      </c>
      <c r="G34" s="5">
        <v>1.3343703E-2</v>
      </c>
    </row>
    <row r="35" spans="1:7" ht="25.5" x14ac:dyDescent="0.2">
      <c r="A35" s="6">
        <v>29</v>
      </c>
      <c r="B35" s="7" t="s">
        <v>424</v>
      </c>
      <c r="C35" s="11" t="s">
        <v>425</v>
      </c>
      <c r="D35" s="2" t="s">
        <v>30</v>
      </c>
      <c r="E35" s="47">
        <v>833</v>
      </c>
      <c r="F35" s="53">
        <v>18.120665500000001</v>
      </c>
      <c r="G35" s="5">
        <v>1.292483E-2</v>
      </c>
    </row>
    <row r="36" spans="1:7" ht="25.5" x14ac:dyDescent="0.2">
      <c r="A36" s="6">
        <v>30</v>
      </c>
      <c r="B36" s="7" t="s">
        <v>461</v>
      </c>
      <c r="C36" s="11" t="s">
        <v>462</v>
      </c>
      <c r="D36" s="2" t="s">
        <v>80</v>
      </c>
      <c r="E36" s="47">
        <v>6130</v>
      </c>
      <c r="F36" s="53">
        <v>17.755545000000001</v>
      </c>
      <c r="G36" s="5">
        <v>1.2664402E-2</v>
      </c>
    </row>
    <row r="37" spans="1:7" ht="25.5" x14ac:dyDescent="0.2">
      <c r="A37" s="6">
        <v>31</v>
      </c>
      <c r="B37" s="7" t="s">
        <v>525</v>
      </c>
      <c r="C37" s="11" t="s">
        <v>526</v>
      </c>
      <c r="D37" s="2" t="s">
        <v>33</v>
      </c>
      <c r="E37" s="47">
        <v>10548</v>
      </c>
      <c r="F37" s="53">
        <v>15.484463999999999</v>
      </c>
      <c r="G37" s="5">
        <v>1.1044521E-2</v>
      </c>
    </row>
    <row r="38" spans="1:7" ht="25.5" x14ac:dyDescent="0.2">
      <c r="A38" s="6">
        <v>32</v>
      </c>
      <c r="B38" s="7" t="s">
        <v>83</v>
      </c>
      <c r="C38" s="11" t="s">
        <v>84</v>
      </c>
      <c r="D38" s="2" t="s">
        <v>22</v>
      </c>
      <c r="E38" s="47">
        <v>13969</v>
      </c>
      <c r="F38" s="53">
        <v>15.2331945</v>
      </c>
      <c r="G38" s="5">
        <v>1.0865299E-2</v>
      </c>
    </row>
    <row r="39" spans="1:7" ht="12.75" x14ac:dyDescent="0.2">
      <c r="A39" s="6">
        <v>33</v>
      </c>
      <c r="B39" s="7" t="s">
        <v>527</v>
      </c>
      <c r="C39" s="11" t="s">
        <v>528</v>
      </c>
      <c r="D39" s="2" t="s">
        <v>16</v>
      </c>
      <c r="E39" s="47">
        <v>15427</v>
      </c>
      <c r="F39" s="53">
        <v>14.995044</v>
      </c>
      <c r="G39" s="5">
        <v>1.0695435E-2</v>
      </c>
    </row>
    <row r="40" spans="1:7" ht="25.5" x14ac:dyDescent="0.2">
      <c r="A40" s="6">
        <v>34</v>
      </c>
      <c r="B40" s="7" t="s">
        <v>209</v>
      </c>
      <c r="C40" s="11" t="s">
        <v>210</v>
      </c>
      <c r="D40" s="2" t="s">
        <v>22</v>
      </c>
      <c r="E40" s="47">
        <v>2180</v>
      </c>
      <c r="F40" s="53">
        <v>14.664859999999999</v>
      </c>
      <c r="G40" s="5">
        <v>1.0459926E-2</v>
      </c>
    </row>
    <row r="41" spans="1:7" ht="25.5" x14ac:dyDescent="0.2">
      <c r="A41" s="6">
        <v>35</v>
      </c>
      <c r="B41" s="7" t="s">
        <v>181</v>
      </c>
      <c r="C41" s="11" t="s">
        <v>182</v>
      </c>
      <c r="D41" s="2" t="s">
        <v>183</v>
      </c>
      <c r="E41" s="47">
        <v>11731</v>
      </c>
      <c r="F41" s="53">
        <v>13.936427999999999</v>
      </c>
      <c r="G41" s="5">
        <v>9.940361E-3</v>
      </c>
    </row>
    <row r="42" spans="1:7" ht="25.5" x14ac:dyDescent="0.2">
      <c r="A42" s="6">
        <v>36</v>
      </c>
      <c r="B42" s="7" t="s">
        <v>324</v>
      </c>
      <c r="C42" s="11" t="s">
        <v>325</v>
      </c>
      <c r="D42" s="2" t="s">
        <v>22</v>
      </c>
      <c r="E42" s="47">
        <v>2511</v>
      </c>
      <c r="F42" s="53">
        <v>13.6585845</v>
      </c>
      <c r="G42" s="5">
        <v>9.7421850000000004E-3</v>
      </c>
    </row>
    <row r="43" spans="1:7" ht="25.5" x14ac:dyDescent="0.2">
      <c r="A43" s="6">
        <v>37</v>
      </c>
      <c r="B43" s="7" t="s">
        <v>63</v>
      </c>
      <c r="C43" s="11" t="s">
        <v>64</v>
      </c>
      <c r="D43" s="2" t="s">
        <v>65</v>
      </c>
      <c r="E43" s="47">
        <v>3600</v>
      </c>
      <c r="F43" s="53">
        <v>13.473000000000001</v>
      </c>
      <c r="G43" s="5">
        <v>9.6098139999999995E-3</v>
      </c>
    </row>
    <row r="44" spans="1:7" ht="25.5" x14ac:dyDescent="0.2">
      <c r="A44" s="6">
        <v>38</v>
      </c>
      <c r="B44" s="7" t="s">
        <v>89</v>
      </c>
      <c r="C44" s="11" t="s">
        <v>90</v>
      </c>
      <c r="D44" s="2" t="s">
        <v>27</v>
      </c>
      <c r="E44" s="47">
        <v>21400</v>
      </c>
      <c r="F44" s="53">
        <v>12.101699999999999</v>
      </c>
      <c r="G44" s="5">
        <v>8.6317149999999999E-3</v>
      </c>
    </row>
    <row r="45" spans="1:7" ht="38.25" x14ac:dyDescent="0.2">
      <c r="A45" s="6">
        <v>39</v>
      </c>
      <c r="B45" s="7" t="s">
        <v>272</v>
      </c>
      <c r="C45" s="11" t="s">
        <v>273</v>
      </c>
      <c r="D45" s="2" t="s">
        <v>274</v>
      </c>
      <c r="E45" s="47">
        <v>9280</v>
      </c>
      <c r="F45" s="53">
        <v>6.9043200000000002</v>
      </c>
      <c r="G45" s="5">
        <v>4.9246070000000001E-3</v>
      </c>
    </row>
    <row r="46" spans="1:7" ht="12.75" x14ac:dyDescent="0.2">
      <c r="A46" s="1"/>
      <c r="B46" s="2"/>
      <c r="C46" s="8" t="s">
        <v>108</v>
      </c>
      <c r="D46" s="12"/>
      <c r="E46" s="49"/>
      <c r="F46" s="55">
        <v>1387.2295060000001</v>
      </c>
      <c r="G46" s="13">
        <v>0.98946174499999984</v>
      </c>
    </row>
    <row r="47" spans="1:7" ht="12.75" x14ac:dyDescent="0.2">
      <c r="A47" s="6"/>
      <c r="B47" s="7"/>
      <c r="C47" s="14"/>
      <c r="D47" s="15"/>
      <c r="E47" s="47"/>
      <c r="F47" s="53"/>
      <c r="G47" s="5"/>
    </row>
    <row r="48" spans="1:7" ht="12.75" x14ac:dyDescent="0.2">
      <c r="A48" s="1"/>
      <c r="B48" s="2"/>
      <c r="C48" s="8" t="s">
        <v>109</v>
      </c>
      <c r="D48" s="9"/>
      <c r="E48" s="48"/>
      <c r="F48" s="54"/>
      <c r="G48" s="10"/>
    </row>
    <row r="49" spans="1:7" ht="12.75" x14ac:dyDescent="0.2">
      <c r="A49" s="1"/>
      <c r="B49" s="2"/>
      <c r="C49" s="8" t="s">
        <v>108</v>
      </c>
      <c r="D49" s="12"/>
      <c r="E49" s="49"/>
      <c r="F49" s="55">
        <v>0</v>
      </c>
      <c r="G49" s="13">
        <v>0</v>
      </c>
    </row>
    <row r="50" spans="1:7" ht="12.75" x14ac:dyDescent="0.2">
      <c r="A50" s="6"/>
      <c r="B50" s="7"/>
      <c r="C50" s="14"/>
      <c r="D50" s="15"/>
      <c r="E50" s="47"/>
      <c r="F50" s="53"/>
      <c r="G50" s="5"/>
    </row>
    <row r="51" spans="1:7" ht="12.75" x14ac:dyDescent="0.2">
      <c r="A51" s="16"/>
      <c r="B51" s="17"/>
      <c r="C51" s="8" t="s">
        <v>110</v>
      </c>
      <c r="D51" s="9"/>
      <c r="E51" s="48"/>
      <c r="F51" s="54"/>
      <c r="G51" s="10"/>
    </row>
    <row r="52" spans="1:7" ht="12.75" x14ac:dyDescent="0.2">
      <c r="A52" s="18"/>
      <c r="B52" s="19"/>
      <c r="C52" s="8" t="s">
        <v>108</v>
      </c>
      <c r="D52" s="20"/>
      <c r="E52" s="50"/>
      <c r="F52" s="56">
        <v>0</v>
      </c>
      <c r="G52" s="21">
        <v>0</v>
      </c>
    </row>
    <row r="53" spans="1:7" ht="12.75" x14ac:dyDescent="0.2">
      <c r="A53" s="18"/>
      <c r="B53" s="19"/>
      <c r="C53" s="14"/>
      <c r="D53" s="22"/>
      <c r="E53" s="51"/>
      <c r="F53" s="57"/>
      <c r="G53" s="23"/>
    </row>
    <row r="54" spans="1:7" ht="12.75" x14ac:dyDescent="0.2">
      <c r="A54" s="1"/>
      <c r="B54" s="2"/>
      <c r="C54" s="8" t="s">
        <v>113</v>
      </c>
      <c r="D54" s="9"/>
      <c r="E54" s="48"/>
      <c r="F54" s="54"/>
      <c r="G54" s="10"/>
    </row>
    <row r="55" spans="1:7" ht="12.75" x14ac:dyDescent="0.2">
      <c r="A55" s="1"/>
      <c r="B55" s="2"/>
      <c r="C55" s="8" t="s">
        <v>108</v>
      </c>
      <c r="D55" s="12"/>
      <c r="E55" s="49"/>
      <c r="F55" s="55">
        <v>0</v>
      </c>
      <c r="G55" s="13">
        <v>0</v>
      </c>
    </row>
    <row r="56" spans="1:7" ht="12.75" x14ac:dyDescent="0.2">
      <c r="A56" s="1"/>
      <c r="B56" s="2"/>
      <c r="C56" s="14"/>
      <c r="D56" s="4"/>
      <c r="E56" s="47"/>
      <c r="F56" s="53"/>
      <c r="G56" s="5"/>
    </row>
    <row r="57" spans="1:7" ht="12.75" x14ac:dyDescent="0.2">
      <c r="A57" s="1"/>
      <c r="B57" s="2"/>
      <c r="C57" s="8" t="s">
        <v>114</v>
      </c>
      <c r="D57" s="9"/>
      <c r="E57" s="48"/>
      <c r="F57" s="54"/>
      <c r="G57" s="10"/>
    </row>
    <row r="58" spans="1:7" ht="12.75" x14ac:dyDescent="0.2">
      <c r="A58" s="1"/>
      <c r="B58" s="2"/>
      <c r="C58" s="8" t="s">
        <v>108</v>
      </c>
      <c r="D58" s="12"/>
      <c r="E58" s="49"/>
      <c r="F58" s="55">
        <v>0</v>
      </c>
      <c r="G58" s="13">
        <v>0</v>
      </c>
    </row>
    <row r="59" spans="1:7" ht="12.75" x14ac:dyDescent="0.2">
      <c r="A59" s="1"/>
      <c r="B59" s="2"/>
      <c r="C59" s="14"/>
      <c r="D59" s="4"/>
      <c r="E59" s="47"/>
      <c r="F59" s="53"/>
      <c r="G59" s="5"/>
    </row>
    <row r="60" spans="1:7" ht="12.75" x14ac:dyDescent="0.2">
      <c r="A60" s="1"/>
      <c r="B60" s="2"/>
      <c r="C60" s="8" t="s">
        <v>115</v>
      </c>
      <c r="D60" s="9"/>
      <c r="E60" s="48"/>
      <c r="F60" s="54"/>
      <c r="G60" s="10"/>
    </row>
    <row r="61" spans="1:7" ht="12.75" x14ac:dyDescent="0.2">
      <c r="A61" s="1"/>
      <c r="B61" s="2"/>
      <c r="C61" s="8" t="s">
        <v>108</v>
      </c>
      <c r="D61" s="12"/>
      <c r="E61" s="49"/>
      <c r="F61" s="55">
        <v>0</v>
      </c>
      <c r="G61" s="13">
        <v>0</v>
      </c>
    </row>
    <row r="62" spans="1:7" ht="12.75" x14ac:dyDescent="0.2">
      <c r="A62" s="1"/>
      <c r="B62" s="2"/>
      <c r="C62" s="14"/>
      <c r="D62" s="4"/>
      <c r="E62" s="47"/>
      <c r="F62" s="53"/>
      <c r="G62" s="5"/>
    </row>
    <row r="63" spans="1:7" ht="25.5" x14ac:dyDescent="0.2">
      <c r="A63" s="6"/>
      <c r="B63" s="7"/>
      <c r="C63" s="24" t="s">
        <v>116</v>
      </c>
      <c r="D63" s="25"/>
      <c r="E63" s="49"/>
      <c r="F63" s="55">
        <v>1387.2295060000001</v>
      </c>
      <c r="G63" s="13">
        <v>0.98946174499999984</v>
      </c>
    </row>
    <row r="64" spans="1:7" ht="12.75" x14ac:dyDescent="0.2">
      <c r="A64" s="1"/>
      <c r="B64" s="2"/>
      <c r="C64" s="11"/>
      <c r="D64" s="4"/>
      <c r="E64" s="47"/>
      <c r="F64" s="53"/>
      <c r="G64" s="5"/>
    </row>
    <row r="65" spans="1:7" ht="12.75" x14ac:dyDescent="0.2">
      <c r="A65" s="1"/>
      <c r="B65" s="2"/>
      <c r="C65" s="3" t="s">
        <v>117</v>
      </c>
      <c r="D65" s="4"/>
      <c r="E65" s="47"/>
      <c r="F65" s="53"/>
      <c r="G65" s="5"/>
    </row>
    <row r="66" spans="1:7" ht="25.5" x14ac:dyDescent="0.2">
      <c r="A66" s="1"/>
      <c r="B66" s="2"/>
      <c r="C66" s="8" t="s">
        <v>10</v>
      </c>
      <c r="D66" s="9"/>
      <c r="E66" s="48"/>
      <c r="F66" s="54"/>
      <c r="G66" s="10"/>
    </row>
    <row r="67" spans="1:7" ht="12.75" x14ac:dyDescent="0.2">
      <c r="A67" s="6"/>
      <c r="B67" s="7"/>
      <c r="C67" s="8" t="s">
        <v>108</v>
      </c>
      <c r="D67" s="12"/>
      <c r="E67" s="49"/>
      <c r="F67" s="55">
        <v>0</v>
      </c>
      <c r="G67" s="13">
        <v>0</v>
      </c>
    </row>
    <row r="68" spans="1:7" ht="12.75" x14ac:dyDescent="0.2">
      <c r="A68" s="6"/>
      <c r="B68" s="7"/>
      <c r="C68" s="14"/>
      <c r="D68" s="4"/>
      <c r="E68" s="47"/>
      <c r="F68" s="53"/>
      <c r="G68" s="5"/>
    </row>
    <row r="69" spans="1:7" ht="12.75" x14ac:dyDescent="0.2">
      <c r="A69" s="1"/>
      <c r="B69" s="26"/>
      <c r="C69" s="8" t="s">
        <v>118</v>
      </c>
      <c r="D69" s="9"/>
      <c r="E69" s="48"/>
      <c r="F69" s="54"/>
      <c r="G69" s="10"/>
    </row>
    <row r="70" spans="1:7" ht="12.75" x14ac:dyDescent="0.2">
      <c r="A70" s="6"/>
      <c r="B70" s="7"/>
      <c r="C70" s="8" t="s">
        <v>108</v>
      </c>
      <c r="D70" s="12"/>
      <c r="E70" s="49"/>
      <c r="F70" s="55">
        <v>0</v>
      </c>
      <c r="G70" s="13">
        <v>0</v>
      </c>
    </row>
    <row r="71" spans="1:7" ht="12.75" x14ac:dyDescent="0.2">
      <c r="A71" s="6"/>
      <c r="B71" s="7"/>
      <c r="C71" s="14"/>
      <c r="D71" s="4"/>
      <c r="E71" s="47"/>
      <c r="F71" s="59"/>
      <c r="G71" s="28"/>
    </row>
    <row r="72" spans="1:7" ht="12.75" x14ac:dyDescent="0.2">
      <c r="A72" s="1"/>
      <c r="B72" s="2"/>
      <c r="C72" s="8" t="s">
        <v>119</v>
      </c>
      <c r="D72" s="9"/>
      <c r="E72" s="48"/>
      <c r="F72" s="54"/>
      <c r="G72" s="10"/>
    </row>
    <row r="73" spans="1:7" ht="12.75" x14ac:dyDescent="0.2">
      <c r="A73" s="6"/>
      <c r="B73" s="7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1"/>
      <c r="B74" s="2"/>
      <c r="C74" s="14"/>
      <c r="D74" s="4"/>
      <c r="E74" s="47"/>
      <c r="F74" s="53"/>
      <c r="G74" s="5"/>
    </row>
    <row r="75" spans="1:7" ht="25.5" x14ac:dyDescent="0.2">
      <c r="A75" s="1"/>
      <c r="B75" s="26"/>
      <c r="C75" s="8" t="s">
        <v>120</v>
      </c>
      <c r="D75" s="9"/>
      <c r="E75" s="48"/>
      <c r="F75" s="54"/>
      <c r="G75" s="10"/>
    </row>
    <row r="76" spans="1:7" ht="12.75" x14ac:dyDescent="0.2">
      <c r="A76" s="6"/>
      <c r="B76" s="7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6"/>
      <c r="B77" s="7"/>
      <c r="C77" s="14"/>
      <c r="D77" s="4"/>
      <c r="E77" s="47"/>
      <c r="F77" s="53"/>
      <c r="G77" s="5"/>
    </row>
    <row r="78" spans="1:7" ht="12.75" x14ac:dyDescent="0.2">
      <c r="A78" s="6"/>
      <c r="B78" s="7"/>
      <c r="C78" s="29" t="s">
        <v>121</v>
      </c>
      <c r="D78" s="25"/>
      <c r="E78" s="49"/>
      <c r="F78" s="55">
        <v>0</v>
      </c>
      <c r="G78" s="13">
        <v>0</v>
      </c>
    </row>
    <row r="79" spans="1:7" ht="12.75" x14ac:dyDescent="0.2">
      <c r="A79" s="6"/>
      <c r="B79" s="7"/>
      <c r="C79" s="11"/>
      <c r="D79" s="4"/>
      <c r="E79" s="47"/>
      <c r="F79" s="53"/>
      <c r="G79" s="5"/>
    </row>
    <row r="80" spans="1:7" ht="12.75" x14ac:dyDescent="0.2">
      <c r="A80" s="1"/>
      <c r="B80" s="2"/>
      <c r="C80" s="3" t="s">
        <v>122</v>
      </c>
      <c r="D80" s="4"/>
      <c r="E80" s="47"/>
      <c r="F80" s="53"/>
      <c r="G80" s="5"/>
    </row>
    <row r="81" spans="1:7" ht="12.75" x14ac:dyDescent="0.2">
      <c r="A81" s="6"/>
      <c r="B81" s="7"/>
      <c r="C81" s="8" t="s">
        <v>123</v>
      </c>
      <c r="D81" s="9"/>
      <c r="E81" s="48"/>
      <c r="F81" s="54"/>
      <c r="G81" s="10"/>
    </row>
    <row r="82" spans="1:7" ht="12.75" x14ac:dyDescent="0.2">
      <c r="A82" s="6"/>
      <c r="B82" s="7"/>
      <c r="C82" s="8" t="s">
        <v>108</v>
      </c>
      <c r="D82" s="25"/>
      <c r="E82" s="49"/>
      <c r="F82" s="55">
        <v>0</v>
      </c>
      <c r="G82" s="13">
        <v>0</v>
      </c>
    </row>
    <row r="83" spans="1:7" ht="12.75" x14ac:dyDescent="0.2">
      <c r="A83" s="6"/>
      <c r="B83" s="7"/>
      <c r="C83" s="14"/>
      <c r="D83" s="7"/>
      <c r="E83" s="47"/>
      <c r="F83" s="53"/>
      <c r="G83" s="5"/>
    </row>
    <row r="84" spans="1:7" ht="12.75" x14ac:dyDescent="0.2">
      <c r="A84" s="6"/>
      <c r="B84" s="7"/>
      <c r="C84" s="8" t="s">
        <v>124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7"/>
      <c r="E86" s="47"/>
      <c r="F86" s="53"/>
      <c r="G86" s="5"/>
    </row>
    <row r="87" spans="1:7" ht="12.75" x14ac:dyDescent="0.2">
      <c r="A87" s="6"/>
      <c r="B87" s="7"/>
      <c r="C87" s="8" t="s">
        <v>125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25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7"/>
      <c r="E89" s="47"/>
      <c r="F89" s="53"/>
      <c r="G89" s="5"/>
    </row>
    <row r="90" spans="1:7" ht="12.75" x14ac:dyDescent="0.2">
      <c r="A90" s="6"/>
      <c r="B90" s="7"/>
      <c r="C90" s="8" t="s">
        <v>126</v>
      </c>
      <c r="D90" s="9"/>
      <c r="E90" s="48"/>
      <c r="F90" s="54"/>
      <c r="G90" s="10"/>
    </row>
    <row r="91" spans="1:7" ht="12.75" x14ac:dyDescent="0.2">
      <c r="A91" s="6">
        <v>1</v>
      </c>
      <c r="B91" s="7"/>
      <c r="C91" s="11" t="s">
        <v>812</v>
      </c>
      <c r="D91" s="15"/>
      <c r="E91" s="47"/>
      <c r="F91" s="53">
        <v>17.997633199999999</v>
      </c>
      <c r="G91" s="5">
        <v>1.2837075E-2</v>
      </c>
    </row>
    <row r="92" spans="1:7" ht="12.75" x14ac:dyDescent="0.2">
      <c r="A92" s="6"/>
      <c r="B92" s="7"/>
      <c r="C92" s="8" t="s">
        <v>108</v>
      </c>
      <c r="D92" s="25"/>
      <c r="E92" s="49"/>
      <c r="F92" s="55">
        <v>17.997633199999999</v>
      </c>
      <c r="G92" s="13">
        <v>1.2837075E-2</v>
      </c>
    </row>
    <row r="93" spans="1:7" ht="12.75" x14ac:dyDescent="0.2">
      <c r="A93" s="6"/>
      <c r="B93" s="7"/>
      <c r="C93" s="14"/>
      <c r="D93" s="7"/>
      <c r="E93" s="47"/>
      <c r="F93" s="53"/>
      <c r="G93" s="5"/>
    </row>
    <row r="94" spans="1:7" ht="25.5" x14ac:dyDescent="0.2">
      <c r="A94" s="6"/>
      <c r="B94" s="7"/>
      <c r="C94" s="24" t="s">
        <v>127</v>
      </c>
      <c r="D94" s="25"/>
      <c r="E94" s="49"/>
      <c r="F94" s="55">
        <v>17.997633199999999</v>
      </c>
      <c r="G94" s="13">
        <v>1.2837075E-2</v>
      </c>
    </row>
    <row r="95" spans="1:7" ht="12.75" x14ac:dyDescent="0.2">
      <c r="A95" s="6"/>
      <c r="B95" s="7"/>
      <c r="C95" s="30"/>
      <c r="D95" s="7"/>
      <c r="E95" s="47"/>
      <c r="F95" s="53"/>
      <c r="G95" s="5"/>
    </row>
    <row r="96" spans="1:7" ht="12.75" x14ac:dyDescent="0.2">
      <c r="A96" s="1"/>
      <c r="B96" s="2"/>
      <c r="C96" s="3" t="s">
        <v>128</v>
      </c>
      <c r="D96" s="4"/>
      <c r="E96" s="47"/>
      <c r="F96" s="53"/>
      <c r="G96" s="5"/>
    </row>
    <row r="97" spans="1:7" ht="25.5" x14ac:dyDescent="0.2">
      <c r="A97" s="6"/>
      <c r="B97" s="7"/>
      <c r="C97" s="8" t="s">
        <v>129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25"/>
      <c r="E98" s="49"/>
      <c r="F98" s="55">
        <v>0</v>
      </c>
      <c r="G98" s="13">
        <v>0</v>
      </c>
    </row>
    <row r="99" spans="1:7" ht="12.75" x14ac:dyDescent="0.2">
      <c r="A99" s="6"/>
      <c r="B99" s="7"/>
      <c r="C99" s="14"/>
      <c r="D99" s="7"/>
      <c r="E99" s="47"/>
      <c r="F99" s="53"/>
      <c r="G99" s="5"/>
    </row>
    <row r="100" spans="1:7" ht="12.75" x14ac:dyDescent="0.2">
      <c r="A100" s="1"/>
      <c r="B100" s="2"/>
      <c r="C100" s="3" t="s">
        <v>131</v>
      </c>
      <c r="D100" s="4"/>
      <c r="E100" s="47"/>
      <c r="F100" s="53"/>
      <c r="G100" s="5"/>
    </row>
    <row r="101" spans="1:7" ht="25.5" x14ac:dyDescent="0.2">
      <c r="A101" s="6"/>
      <c r="B101" s="7"/>
      <c r="C101" s="8" t="s">
        <v>132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4"/>
      <c r="D103" s="7"/>
      <c r="E103" s="47"/>
      <c r="F103" s="53"/>
      <c r="G103" s="5"/>
    </row>
    <row r="104" spans="1:7" ht="25.5" x14ac:dyDescent="0.2">
      <c r="A104" s="6"/>
      <c r="B104" s="7"/>
      <c r="C104" s="8" t="s">
        <v>133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9"/>
      <c r="G106" s="28"/>
    </row>
    <row r="107" spans="1:7" ht="25.5" x14ac:dyDescent="0.2">
      <c r="A107" s="6"/>
      <c r="B107" s="7"/>
      <c r="C107" s="30" t="s">
        <v>134</v>
      </c>
      <c r="D107" s="7"/>
      <c r="E107" s="47"/>
      <c r="F107" s="128">
        <v>-3.2229565999999998</v>
      </c>
      <c r="G107" s="137">
        <v>-2.2988209593091686E-3</v>
      </c>
    </row>
    <row r="108" spans="1:7" ht="12.75" x14ac:dyDescent="0.2">
      <c r="A108" s="6"/>
      <c r="B108" s="7"/>
      <c r="C108" s="31" t="s">
        <v>135</v>
      </c>
      <c r="D108" s="12"/>
      <c r="E108" s="49"/>
      <c r="F108" s="55">
        <v>1402.0041826000004</v>
      </c>
      <c r="G108" s="13">
        <v>0.99999999899999981</v>
      </c>
    </row>
    <row r="110" spans="1:7" ht="12.75" x14ac:dyDescent="0.2">
      <c r="B110" s="179"/>
      <c r="C110" s="179"/>
      <c r="D110" s="179"/>
      <c r="E110" s="179"/>
      <c r="F110" s="179"/>
    </row>
    <row r="111" spans="1:7" ht="12.75" x14ac:dyDescent="0.2">
      <c r="B111" s="179"/>
      <c r="C111" s="179"/>
      <c r="D111" s="179"/>
      <c r="E111" s="179"/>
      <c r="F111" s="179"/>
    </row>
    <row r="113" spans="2:4" ht="12.75" x14ac:dyDescent="0.2">
      <c r="B113" s="37" t="s">
        <v>137</v>
      </c>
      <c r="C113" s="38"/>
      <c r="D113" s="39"/>
    </row>
    <row r="114" spans="2:4" ht="12.75" x14ac:dyDescent="0.2">
      <c r="B114" s="40" t="s">
        <v>808</v>
      </c>
      <c r="C114" s="41"/>
      <c r="D114" s="65" t="s">
        <v>138</v>
      </c>
    </row>
    <row r="115" spans="2:4" ht="12.75" x14ac:dyDescent="0.2">
      <c r="B115" s="40" t="s">
        <v>139</v>
      </c>
      <c r="C115" s="41"/>
      <c r="D115" s="65" t="s">
        <v>138</v>
      </c>
    </row>
    <row r="116" spans="2:4" ht="12.75" x14ac:dyDescent="0.2">
      <c r="B116" s="42" t="s">
        <v>140</v>
      </c>
      <c r="C116" s="41"/>
      <c r="D116" s="43"/>
    </row>
    <row r="117" spans="2:4" ht="25.5" customHeight="1" x14ac:dyDescent="0.2">
      <c r="B117" s="43"/>
      <c r="C117" s="33" t="s">
        <v>141</v>
      </c>
      <c r="D117" s="34" t="s">
        <v>142</v>
      </c>
    </row>
    <row r="118" spans="2:4" ht="12.75" customHeight="1" x14ac:dyDescent="0.2">
      <c r="B118" s="60" t="s">
        <v>143</v>
      </c>
      <c r="C118" s="61" t="s">
        <v>144</v>
      </c>
      <c r="D118" s="61" t="s">
        <v>145</v>
      </c>
    </row>
    <row r="119" spans="2:4" ht="12.75" x14ac:dyDescent="0.2">
      <c r="B119" s="43" t="s">
        <v>146</v>
      </c>
      <c r="C119" s="44">
        <v>14.546799999999999</v>
      </c>
      <c r="D119" s="44">
        <v>15.1585</v>
      </c>
    </row>
    <row r="120" spans="2:4" ht="12.75" x14ac:dyDescent="0.2">
      <c r="B120" s="43" t="s">
        <v>147</v>
      </c>
      <c r="C120" s="44">
        <v>13.487</v>
      </c>
      <c r="D120" s="44">
        <v>14.0541</v>
      </c>
    </row>
    <row r="121" spans="2:4" ht="12.75" x14ac:dyDescent="0.2">
      <c r="B121" s="43" t="s">
        <v>148</v>
      </c>
      <c r="C121" s="44">
        <v>14.2776</v>
      </c>
      <c r="D121" s="44">
        <v>14.874599999999999</v>
      </c>
    </row>
    <row r="122" spans="2:4" ht="12.75" x14ac:dyDescent="0.2">
      <c r="B122" s="43" t="s">
        <v>149</v>
      </c>
      <c r="C122" s="44">
        <v>13.2301</v>
      </c>
      <c r="D122" s="44">
        <v>13.783300000000001</v>
      </c>
    </row>
    <row r="124" spans="2:4" ht="12.75" x14ac:dyDescent="0.2">
      <c r="B124" s="62" t="s">
        <v>150</v>
      </c>
      <c r="C124" s="45"/>
      <c r="D124" s="63" t="s">
        <v>138</v>
      </c>
    </row>
    <row r="125" spans="2:4" ht="24.75" customHeight="1" x14ac:dyDescent="0.2">
      <c r="B125" s="64"/>
      <c r="C125" s="64"/>
    </row>
    <row r="126" spans="2:4" ht="15" x14ac:dyDescent="0.25">
      <c r="B126" s="66"/>
      <c r="C126" s="68"/>
      <c r="D126"/>
    </row>
    <row r="128" spans="2:4" ht="12.75" x14ac:dyDescent="0.2">
      <c r="B128" s="42" t="s">
        <v>151</v>
      </c>
      <c r="C128" s="41"/>
      <c r="D128" s="67" t="s">
        <v>138</v>
      </c>
    </row>
    <row r="129" spans="2:4" ht="12.75" x14ac:dyDescent="0.2">
      <c r="B129" s="42" t="s">
        <v>152</v>
      </c>
      <c r="C129" s="41"/>
      <c r="D129" s="67" t="s">
        <v>138</v>
      </c>
    </row>
    <row r="130" spans="2:4" ht="12.75" x14ac:dyDescent="0.2">
      <c r="B130" s="42" t="s">
        <v>153</v>
      </c>
      <c r="C130" s="41"/>
      <c r="D130" s="46">
        <v>0.1902236852452725</v>
      </c>
    </row>
    <row r="131" spans="2:4" ht="12.75" x14ac:dyDescent="0.2">
      <c r="B131" s="42" t="s">
        <v>154</v>
      </c>
      <c r="C131" s="41"/>
      <c r="D131" s="46" t="s">
        <v>138</v>
      </c>
    </row>
  </sheetData>
  <mergeCells count="5">
    <mergeCell ref="A1:G1"/>
    <mergeCell ref="A2:G2"/>
    <mergeCell ref="A3:G3"/>
    <mergeCell ref="B110:F110"/>
    <mergeCell ref="B111:F11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54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530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55927</v>
      </c>
      <c r="F7" s="53">
        <v>501.94482499999998</v>
      </c>
      <c r="G7" s="5">
        <v>4.9203595000000003E-2</v>
      </c>
    </row>
    <row r="8" spans="1:7" ht="25.5" x14ac:dyDescent="0.2">
      <c r="A8" s="6">
        <v>2</v>
      </c>
      <c r="B8" s="7" t="s">
        <v>23</v>
      </c>
      <c r="C8" s="11" t="s">
        <v>24</v>
      </c>
      <c r="D8" s="2" t="s">
        <v>22</v>
      </c>
      <c r="E8" s="47">
        <v>74316</v>
      </c>
      <c r="F8" s="53">
        <v>446.89926600000001</v>
      </c>
      <c r="G8" s="5">
        <v>4.3807705000000002E-2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210057</v>
      </c>
      <c r="F9" s="53">
        <v>393.01664699999998</v>
      </c>
      <c r="G9" s="5">
        <v>3.8525812E-2</v>
      </c>
    </row>
    <row r="10" spans="1:7" ht="25.5" x14ac:dyDescent="0.2">
      <c r="A10" s="6">
        <v>4</v>
      </c>
      <c r="B10" s="7" t="s">
        <v>161</v>
      </c>
      <c r="C10" s="11" t="s">
        <v>162</v>
      </c>
      <c r="D10" s="2" t="s">
        <v>163</v>
      </c>
      <c r="E10" s="47">
        <v>96262</v>
      </c>
      <c r="F10" s="53">
        <v>351.06751400000002</v>
      </c>
      <c r="G10" s="5">
        <v>3.441371E-2</v>
      </c>
    </row>
    <row r="11" spans="1:7" ht="25.5" x14ac:dyDescent="0.2">
      <c r="A11" s="6">
        <v>5</v>
      </c>
      <c r="B11" s="7" t="s">
        <v>55</v>
      </c>
      <c r="C11" s="11" t="s">
        <v>56</v>
      </c>
      <c r="D11" s="2" t="s">
        <v>22</v>
      </c>
      <c r="E11" s="47">
        <v>58266</v>
      </c>
      <c r="F11" s="53">
        <v>344.03159699999998</v>
      </c>
      <c r="G11" s="5">
        <v>3.3724008E-2</v>
      </c>
    </row>
    <row r="12" spans="1:7" ht="25.5" x14ac:dyDescent="0.2">
      <c r="A12" s="6">
        <v>6</v>
      </c>
      <c r="B12" s="7" t="s">
        <v>188</v>
      </c>
      <c r="C12" s="11" t="s">
        <v>189</v>
      </c>
      <c r="D12" s="2" t="s">
        <v>47</v>
      </c>
      <c r="E12" s="47">
        <v>14795</v>
      </c>
      <c r="F12" s="53">
        <v>314.48991749999999</v>
      </c>
      <c r="G12" s="5">
        <v>3.0828158000000001E-2</v>
      </c>
    </row>
    <row r="13" spans="1:7" ht="25.5" x14ac:dyDescent="0.2">
      <c r="A13" s="6">
        <v>7</v>
      </c>
      <c r="B13" s="7" t="s">
        <v>38</v>
      </c>
      <c r="C13" s="11" t="s">
        <v>39</v>
      </c>
      <c r="D13" s="2" t="s">
        <v>40</v>
      </c>
      <c r="E13" s="47">
        <v>72653</v>
      </c>
      <c r="F13" s="53">
        <v>313.42504200000002</v>
      </c>
      <c r="G13" s="5">
        <v>3.0723772999999999E-2</v>
      </c>
    </row>
    <row r="14" spans="1:7" ht="25.5" x14ac:dyDescent="0.2">
      <c r="A14" s="6">
        <v>8</v>
      </c>
      <c r="B14" s="7" t="s">
        <v>266</v>
      </c>
      <c r="C14" s="11" t="s">
        <v>267</v>
      </c>
      <c r="D14" s="2" t="s">
        <v>27</v>
      </c>
      <c r="E14" s="47">
        <v>295852</v>
      </c>
      <c r="F14" s="53">
        <v>298.218816</v>
      </c>
      <c r="G14" s="5">
        <v>2.9233169E-2</v>
      </c>
    </row>
    <row r="15" spans="1:7" ht="25.5" x14ac:dyDescent="0.2">
      <c r="A15" s="6">
        <v>9</v>
      </c>
      <c r="B15" s="7" t="s">
        <v>102</v>
      </c>
      <c r="C15" s="11" t="s">
        <v>103</v>
      </c>
      <c r="D15" s="2" t="s">
        <v>13</v>
      </c>
      <c r="E15" s="47">
        <v>284872</v>
      </c>
      <c r="F15" s="53">
        <v>293.13328799999999</v>
      </c>
      <c r="G15" s="5">
        <v>2.8734656000000001E-2</v>
      </c>
    </row>
    <row r="16" spans="1:7" ht="38.25" x14ac:dyDescent="0.2">
      <c r="A16" s="6">
        <v>10</v>
      </c>
      <c r="B16" s="7" t="s">
        <v>75</v>
      </c>
      <c r="C16" s="11" t="s">
        <v>76</v>
      </c>
      <c r="D16" s="2" t="s">
        <v>77</v>
      </c>
      <c r="E16" s="47">
        <v>325408</v>
      </c>
      <c r="F16" s="53">
        <v>256.42150400000003</v>
      </c>
      <c r="G16" s="5">
        <v>2.5135950000000001E-2</v>
      </c>
    </row>
    <row r="17" spans="1:7" ht="12.75" x14ac:dyDescent="0.2">
      <c r="A17" s="6">
        <v>11</v>
      </c>
      <c r="B17" s="7" t="s">
        <v>48</v>
      </c>
      <c r="C17" s="11" t="s">
        <v>49</v>
      </c>
      <c r="D17" s="2" t="s">
        <v>50</v>
      </c>
      <c r="E17" s="47">
        <v>122974</v>
      </c>
      <c r="F17" s="53">
        <v>253.63387499999999</v>
      </c>
      <c r="G17" s="5">
        <v>2.486269E-2</v>
      </c>
    </row>
    <row r="18" spans="1:7" ht="25.5" x14ac:dyDescent="0.2">
      <c r="A18" s="6">
        <v>12</v>
      </c>
      <c r="B18" s="7" t="s">
        <v>20</v>
      </c>
      <c r="C18" s="11" t="s">
        <v>21</v>
      </c>
      <c r="D18" s="2" t="s">
        <v>22</v>
      </c>
      <c r="E18" s="47">
        <v>27000</v>
      </c>
      <c r="F18" s="53">
        <v>240.57</v>
      </c>
      <c r="G18" s="5">
        <v>2.3582091999999999E-2</v>
      </c>
    </row>
    <row r="19" spans="1:7" ht="25.5" x14ac:dyDescent="0.2">
      <c r="A19" s="6">
        <v>13</v>
      </c>
      <c r="B19" s="7" t="s">
        <v>186</v>
      </c>
      <c r="C19" s="11" t="s">
        <v>187</v>
      </c>
      <c r="D19" s="2" t="s">
        <v>183</v>
      </c>
      <c r="E19" s="47">
        <v>41115</v>
      </c>
      <c r="F19" s="53">
        <v>233.45097000000001</v>
      </c>
      <c r="G19" s="5">
        <v>2.2884241999999999E-2</v>
      </c>
    </row>
    <row r="20" spans="1:7" ht="25.5" x14ac:dyDescent="0.2">
      <c r="A20" s="6">
        <v>14</v>
      </c>
      <c r="B20" s="7" t="s">
        <v>169</v>
      </c>
      <c r="C20" s="11" t="s">
        <v>170</v>
      </c>
      <c r="D20" s="2" t="s">
        <v>27</v>
      </c>
      <c r="E20" s="47">
        <v>19536</v>
      </c>
      <c r="F20" s="53">
        <v>233.14262400000001</v>
      </c>
      <c r="G20" s="5">
        <v>2.2854016000000001E-2</v>
      </c>
    </row>
    <row r="21" spans="1:7" ht="25.5" x14ac:dyDescent="0.2">
      <c r="A21" s="6">
        <v>15</v>
      </c>
      <c r="B21" s="7" t="s">
        <v>171</v>
      </c>
      <c r="C21" s="11" t="s">
        <v>172</v>
      </c>
      <c r="D21" s="2" t="s">
        <v>22</v>
      </c>
      <c r="E21" s="47">
        <v>57658</v>
      </c>
      <c r="F21" s="53">
        <v>232.24642399999999</v>
      </c>
      <c r="G21" s="5">
        <v>2.2766166000000001E-2</v>
      </c>
    </row>
    <row r="22" spans="1:7" ht="25.5" x14ac:dyDescent="0.2">
      <c r="A22" s="6">
        <v>16</v>
      </c>
      <c r="B22" s="7" t="s">
        <v>41</v>
      </c>
      <c r="C22" s="11" t="s">
        <v>42</v>
      </c>
      <c r="D22" s="2" t="s">
        <v>27</v>
      </c>
      <c r="E22" s="47">
        <v>182388</v>
      </c>
      <c r="F22" s="53">
        <v>209.47261800000001</v>
      </c>
      <c r="G22" s="5">
        <v>2.0533743E-2</v>
      </c>
    </row>
    <row r="23" spans="1:7" ht="12.75" x14ac:dyDescent="0.2">
      <c r="A23" s="6">
        <v>17</v>
      </c>
      <c r="B23" s="7" t="s">
        <v>229</v>
      </c>
      <c r="C23" s="11" t="s">
        <v>230</v>
      </c>
      <c r="D23" s="2" t="s">
        <v>50</v>
      </c>
      <c r="E23" s="47">
        <v>87000</v>
      </c>
      <c r="F23" s="53">
        <v>207.66900000000001</v>
      </c>
      <c r="G23" s="5">
        <v>2.0356941E-2</v>
      </c>
    </row>
    <row r="24" spans="1:7" ht="25.5" x14ac:dyDescent="0.2">
      <c r="A24" s="6">
        <v>18</v>
      </c>
      <c r="B24" s="7" t="s">
        <v>81</v>
      </c>
      <c r="C24" s="11" t="s">
        <v>82</v>
      </c>
      <c r="D24" s="2" t="s">
        <v>22</v>
      </c>
      <c r="E24" s="47">
        <v>20270</v>
      </c>
      <c r="F24" s="53">
        <v>202.77094500000001</v>
      </c>
      <c r="G24" s="5">
        <v>1.9876805000000001E-2</v>
      </c>
    </row>
    <row r="25" spans="1:7" ht="12.75" x14ac:dyDescent="0.2">
      <c r="A25" s="6">
        <v>19</v>
      </c>
      <c r="B25" s="7" t="s">
        <v>190</v>
      </c>
      <c r="C25" s="11" t="s">
        <v>191</v>
      </c>
      <c r="D25" s="2" t="s">
        <v>192</v>
      </c>
      <c r="E25" s="47">
        <v>131178</v>
      </c>
      <c r="F25" s="53">
        <v>202.07970900000001</v>
      </c>
      <c r="G25" s="5">
        <v>1.9809046E-2</v>
      </c>
    </row>
    <row r="26" spans="1:7" ht="25.5" x14ac:dyDescent="0.2">
      <c r="A26" s="6">
        <v>20</v>
      </c>
      <c r="B26" s="7" t="s">
        <v>83</v>
      </c>
      <c r="C26" s="11" t="s">
        <v>84</v>
      </c>
      <c r="D26" s="2" t="s">
        <v>22</v>
      </c>
      <c r="E26" s="47">
        <v>173751</v>
      </c>
      <c r="F26" s="53">
        <v>189.47546550000001</v>
      </c>
      <c r="G26" s="5">
        <v>1.8573504000000001E-2</v>
      </c>
    </row>
    <row r="27" spans="1:7" ht="12.75" x14ac:dyDescent="0.2">
      <c r="A27" s="6">
        <v>21</v>
      </c>
      <c r="B27" s="7" t="s">
        <v>175</v>
      </c>
      <c r="C27" s="11" t="s">
        <v>176</v>
      </c>
      <c r="D27" s="2" t="s">
        <v>19</v>
      </c>
      <c r="E27" s="47">
        <v>225000</v>
      </c>
      <c r="F27" s="53">
        <v>188.66249999999999</v>
      </c>
      <c r="G27" s="5">
        <v>1.8493811999999998E-2</v>
      </c>
    </row>
    <row r="28" spans="1:7" ht="25.5" x14ac:dyDescent="0.2">
      <c r="A28" s="6">
        <v>22</v>
      </c>
      <c r="B28" s="7" t="s">
        <v>57</v>
      </c>
      <c r="C28" s="11" t="s">
        <v>58</v>
      </c>
      <c r="D28" s="2" t="s">
        <v>27</v>
      </c>
      <c r="E28" s="47">
        <v>45390</v>
      </c>
      <c r="F28" s="53">
        <v>169.236615</v>
      </c>
      <c r="G28" s="5">
        <v>1.6589572E-2</v>
      </c>
    </row>
    <row r="29" spans="1:7" ht="25.5" x14ac:dyDescent="0.2">
      <c r="A29" s="6">
        <v>23</v>
      </c>
      <c r="B29" s="7" t="s">
        <v>181</v>
      </c>
      <c r="C29" s="11" t="s">
        <v>182</v>
      </c>
      <c r="D29" s="2" t="s">
        <v>183</v>
      </c>
      <c r="E29" s="47">
        <v>140881</v>
      </c>
      <c r="F29" s="53">
        <v>167.36662799999999</v>
      </c>
      <c r="G29" s="5">
        <v>1.6406265E-2</v>
      </c>
    </row>
    <row r="30" spans="1:7" ht="12.75" x14ac:dyDescent="0.2">
      <c r="A30" s="6">
        <v>24</v>
      </c>
      <c r="B30" s="7" t="s">
        <v>198</v>
      </c>
      <c r="C30" s="11" t="s">
        <v>199</v>
      </c>
      <c r="D30" s="2" t="s">
        <v>40</v>
      </c>
      <c r="E30" s="47">
        <v>279679</v>
      </c>
      <c r="F30" s="53">
        <v>166.96836300000001</v>
      </c>
      <c r="G30" s="5">
        <v>1.6367224999999999E-2</v>
      </c>
    </row>
    <row r="31" spans="1:7" ht="51" x14ac:dyDescent="0.2">
      <c r="A31" s="6">
        <v>25</v>
      </c>
      <c r="B31" s="7" t="s">
        <v>247</v>
      </c>
      <c r="C31" s="11" t="s">
        <v>248</v>
      </c>
      <c r="D31" s="2" t="s">
        <v>208</v>
      </c>
      <c r="E31" s="47">
        <v>72200</v>
      </c>
      <c r="F31" s="53">
        <v>156.2047</v>
      </c>
      <c r="G31" s="5">
        <v>1.5312107E-2</v>
      </c>
    </row>
    <row r="32" spans="1:7" ht="51" x14ac:dyDescent="0.2">
      <c r="A32" s="6">
        <v>26</v>
      </c>
      <c r="B32" s="7" t="s">
        <v>264</v>
      </c>
      <c r="C32" s="11" t="s">
        <v>265</v>
      </c>
      <c r="D32" s="2" t="s">
        <v>208</v>
      </c>
      <c r="E32" s="47">
        <v>91923</v>
      </c>
      <c r="F32" s="53">
        <v>153.23564099999999</v>
      </c>
      <c r="G32" s="5">
        <v>1.5021062E-2</v>
      </c>
    </row>
    <row r="33" spans="1:7" ht="12.75" x14ac:dyDescent="0.2">
      <c r="A33" s="6">
        <v>27</v>
      </c>
      <c r="B33" s="7" t="s">
        <v>51</v>
      </c>
      <c r="C33" s="11" t="s">
        <v>52</v>
      </c>
      <c r="D33" s="2" t="s">
        <v>19</v>
      </c>
      <c r="E33" s="47">
        <v>13225</v>
      </c>
      <c r="F33" s="53">
        <v>147.7298625</v>
      </c>
      <c r="G33" s="5">
        <v>1.4481353000000001E-2</v>
      </c>
    </row>
    <row r="34" spans="1:7" ht="25.5" x14ac:dyDescent="0.2">
      <c r="A34" s="6">
        <v>28</v>
      </c>
      <c r="B34" s="7" t="s">
        <v>73</v>
      </c>
      <c r="C34" s="11" t="s">
        <v>74</v>
      </c>
      <c r="D34" s="2" t="s">
        <v>22</v>
      </c>
      <c r="E34" s="47">
        <v>22520</v>
      </c>
      <c r="F34" s="53">
        <v>147.57355999999999</v>
      </c>
      <c r="G34" s="5">
        <v>1.4466032E-2</v>
      </c>
    </row>
    <row r="35" spans="1:7" ht="12.75" x14ac:dyDescent="0.2">
      <c r="A35" s="6">
        <v>29</v>
      </c>
      <c r="B35" s="7" t="s">
        <v>193</v>
      </c>
      <c r="C35" s="11" t="s">
        <v>194</v>
      </c>
      <c r="D35" s="2" t="s">
        <v>72</v>
      </c>
      <c r="E35" s="47">
        <v>15871</v>
      </c>
      <c r="F35" s="53">
        <v>140.7995765</v>
      </c>
      <c r="G35" s="5">
        <v>1.3802006E-2</v>
      </c>
    </row>
    <row r="36" spans="1:7" ht="25.5" x14ac:dyDescent="0.2">
      <c r="A36" s="6">
        <v>30</v>
      </c>
      <c r="B36" s="7" t="s">
        <v>97</v>
      </c>
      <c r="C36" s="11" t="s">
        <v>98</v>
      </c>
      <c r="D36" s="2" t="s">
        <v>99</v>
      </c>
      <c r="E36" s="47">
        <v>70000</v>
      </c>
      <c r="F36" s="53">
        <v>137.935</v>
      </c>
      <c r="G36" s="5">
        <v>1.3521203000000001E-2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99251</v>
      </c>
      <c r="F37" s="53">
        <v>132.74821249999999</v>
      </c>
      <c r="G37" s="5">
        <v>1.3012764E-2</v>
      </c>
    </row>
    <row r="38" spans="1:7" ht="12.75" x14ac:dyDescent="0.2">
      <c r="A38" s="6">
        <v>32</v>
      </c>
      <c r="B38" s="7" t="s">
        <v>254</v>
      </c>
      <c r="C38" s="11" t="s">
        <v>255</v>
      </c>
      <c r="D38" s="2" t="s">
        <v>168</v>
      </c>
      <c r="E38" s="47">
        <v>47310</v>
      </c>
      <c r="F38" s="53">
        <v>131.02504500000001</v>
      </c>
      <c r="G38" s="5">
        <v>1.2843848E-2</v>
      </c>
    </row>
    <row r="39" spans="1:7" ht="12.75" x14ac:dyDescent="0.2">
      <c r="A39" s="6">
        <v>33</v>
      </c>
      <c r="B39" s="7" t="s">
        <v>61</v>
      </c>
      <c r="C39" s="11" t="s">
        <v>62</v>
      </c>
      <c r="D39" s="2" t="s">
        <v>19</v>
      </c>
      <c r="E39" s="47">
        <v>132970</v>
      </c>
      <c r="F39" s="53">
        <v>128.18307999999999</v>
      </c>
      <c r="G39" s="5">
        <v>1.2565262000000001E-2</v>
      </c>
    </row>
    <row r="40" spans="1:7" ht="12.75" x14ac:dyDescent="0.2">
      <c r="A40" s="6">
        <v>34</v>
      </c>
      <c r="B40" s="7" t="s">
        <v>279</v>
      </c>
      <c r="C40" s="11" t="s">
        <v>280</v>
      </c>
      <c r="D40" s="2" t="s">
        <v>281</v>
      </c>
      <c r="E40" s="47">
        <v>15770</v>
      </c>
      <c r="F40" s="53">
        <v>127.634495</v>
      </c>
      <c r="G40" s="5">
        <v>1.2511487E-2</v>
      </c>
    </row>
    <row r="41" spans="1:7" ht="12.75" x14ac:dyDescent="0.2">
      <c r="A41" s="6">
        <v>35</v>
      </c>
      <c r="B41" s="7" t="s">
        <v>184</v>
      </c>
      <c r="C41" s="11" t="s">
        <v>185</v>
      </c>
      <c r="D41" s="2" t="s">
        <v>16</v>
      </c>
      <c r="E41" s="47">
        <v>69260</v>
      </c>
      <c r="F41" s="53">
        <v>124.77189</v>
      </c>
      <c r="G41" s="5">
        <v>1.2230876999999999E-2</v>
      </c>
    </row>
    <row r="42" spans="1:7" ht="25.5" x14ac:dyDescent="0.2">
      <c r="A42" s="6">
        <v>36</v>
      </c>
      <c r="B42" s="7" t="s">
        <v>215</v>
      </c>
      <c r="C42" s="11" t="s">
        <v>216</v>
      </c>
      <c r="D42" s="2" t="s">
        <v>13</v>
      </c>
      <c r="E42" s="47">
        <v>213143</v>
      </c>
      <c r="F42" s="53">
        <v>123.196654</v>
      </c>
      <c r="G42" s="5">
        <v>1.2076463000000001E-2</v>
      </c>
    </row>
    <row r="43" spans="1:7" ht="25.5" x14ac:dyDescent="0.2">
      <c r="A43" s="6">
        <v>37</v>
      </c>
      <c r="B43" s="7" t="s">
        <v>213</v>
      </c>
      <c r="C43" s="11" t="s">
        <v>214</v>
      </c>
      <c r="D43" s="2" t="s">
        <v>163</v>
      </c>
      <c r="E43" s="47">
        <v>120007</v>
      </c>
      <c r="F43" s="53">
        <v>122.58715050000001</v>
      </c>
      <c r="G43" s="5">
        <v>1.2016716E-2</v>
      </c>
    </row>
    <row r="44" spans="1:7" ht="12.75" x14ac:dyDescent="0.2">
      <c r="A44" s="6">
        <v>38</v>
      </c>
      <c r="B44" s="7" t="s">
        <v>204</v>
      </c>
      <c r="C44" s="11" t="s">
        <v>205</v>
      </c>
      <c r="D44" s="2" t="s">
        <v>72</v>
      </c>
      <c r="E44" s="47">
        <v>42804</v>
      </c>
      <c r="F44" s="53">
        <v>116.79071399999999</v>
      </c>
      <c r="G44" s="5">
        <v>1.1448514999999999E-2</v>
      </c>
    </row>
    <row r="45" spans="1:7" ht="51" x14ac:dyDescent="0.2">
      <c r="A45" s="6">
        <v>39</v>
      </c>
      <c r="B45" s="7" t="s">
        <v>206</v>
      </c>
      <c r="C45" s="11" t="s">
        <v>207</v>
      </c>
      <c r="D45" s="2" t="s">
        <v>208</v>
      </c>
      <c r="E45" s="47">
        <v>178006</v>
      </c>
      <c r="F45" s="53">
        <v>108.76166600000001</v>
      </c>
      <c r="G45" s="5">
        <v>1.0661461000000001E-2</v>
      </c>
    </row>
    <row r="46" spans="1:7" ht="12.75" x14ac:dyDescent="0.2">
      <c r="A46" s="6">
        <v>40</v>
      </c>
      <c r="B46" s="7" t="s">
        <v>262</v>
      </c>
      <c r="C46" s="11" t="s">
        <v>263</v>
      </c>
      <c r="D46" s="2" t="s">
        <v>242</v>
      </c>
      <c r="E46" s="47">
        <v>115696</v>
      </c>
      <c r="F46" s="53">
        <v>105.399056</v>
      </c>
      <c r="G46" s="5">
        <v>1.0331837999999999E-2</v>
      </c>
    </row>
    <row r="47" spans="1:7" ht="12.75" x14ac:dyDescent="0.2">
      <c r="A47" s="6">
        <v>41</v>
      </c>
      <c r="B47" s="7" t="s">
        <v>87</v>
      </c>
      <c r="C47" s="11" t="s">
        <v>88</v>
      </c>
      <c r="D47" s="2"/>
      <c r="E47" s="47">
        <v>60000</v>
      </c>
      <c r="F47" s="53">
        <v>102.06</v>
      </c>
      <c r="G47" s="5">
        <v>1.0004524000000001E-2</v>
      </c>
    </row>
    <row r="48" spans="1:7" ht="12.75" x14ac:dyDescent="0.2">
      <c r="A48" s="6">
        <v>42</v>
      </c>
      <c r="B48" s="7" t="s">
        <v>211</v>
      </c>
      <c r="C48" s="11" t="s">
        <v>212</v>
      </c>
      <c r="D48" s="2" t="s">
        <v>72</v>
      </c>
      <c r="E48" s="47">
        <v>332373</v>
      </c>
      <c r="F48" s="53">
        <v>98.714781000000002</v>
      </c>
      <c r="G48" s="5">
        <v>9.6766060000000008E-3</v>
      </c>
    </row>
    <row r="49" spans="1:7" ht="12.75" x14ac:dyDescent="0.2">
      <c r="A49" s="6">
        <v>43</v>
      </c>
      <c r="B49" s="7" t="s">
        <v>268</v>
      </c>
      <c r="C49" s="11" t="s">
        <v>269</v>
      </c>
      <c r="D49" s="2" t="s">
        <v>72</v>
      </c>
      <c r="E49" s="47">
        <v>21285</v>
      </c>
      <c r="F49" s="53">
        <v>95.537722500000001</v>
      </c>
      <c r="G49" s="5">
        <v>9.3651719999999997E-3</v>
      </c>
    </row>
    <row r="50" spans="1:7" ht="12.75" x14ac:dyDescent="0.2">
      <c r="A50" s="6">
        <v>44</v>
      </c>
      <c r="B50" s="7" t="s">
        <v>221</v>
      </c>
      <c r="C50" s="11" t="s">
        <v>222</v>
      </c>
      <c r="D50" s="2" t="s">
        <v>223</v>
      </c>
      <c r="E50" s="47">
        <v>20467</v>
      </c>
      <c r="F50" s="53">
        <v>92.858778999999998</v>
      </c>
      <c r="G50" s="5">
        <v>9.1025659999999994E-3</v>
      </c>
    </row>
    <row r="51" spans="1:7" ht="12.75" x14ac:dyDescent="0.2">
      <c r="A51" s="6">
        <v>45</v>
      </c>
      <c r="B51" s="7" t="s">
        <v>68</v>
      </c>
      <c r="C51" s="11" t="s">
        <v>69</v>
      </c>
      <c r="D51" s="2" t="s">
        <v>50</v>
      </c>
      <c r="E51" s="47">
        <v>43175</v>
      </c>
      <c r="F51" s="53">
        <v>91.96275</v>
      </c>
      <c r="G51" s="5">
        <v>9.0147319999999993E-3</v>
      </c>
    </row>
    <row r="52" spans="1:7" ht="12.75" x14ac:dyDescent="0.2">
      <c r="A52" s="6">
        <v>46</v>
      </c>
      <c r="B52" s="7" t="s">
        <v>250</v>
      </c>
      <c r="C52" s="11" t="s">
        <v>251</v>
      </c>
      <c r="D52" s="2" t="s">
        <v>168</v>
      </c>
      <c r="E52" s="47">
        <v>22208</v>
      </c>
      <c r="F52" s="53">
        <v>88.476671999999994</v>
      </c>
      <c r="G52" s="5">
        <v>8.6730060000000005E-3</v>
      </c>
    </row>
    <row r="53" spans="1:7" ht="25.5" x14ac:dyDescent="0.2">
      <c r="A53" s="6">
        <v>47</v>
      </c>
      <c r="B53" s="7" t="s">
        <v>209</v>
      </c>
      <c r="C53" s="11" t="s">
        <v>210</v>
      </c>
      <c r="D53" s="2" t="s">
        <v>22</v>
      </c>
      <c r="E53" s="47">
        <v>12589</v>
      </c>
      <c r="F53" s="53">
        <v>84.686203000000006</v>
      </c>
      <c r="G53" s="5">
        <v>8.3014419999999992E-3</v>
      </c>
    </row>
    <row r="54" spans="1:7" ht="12.75" x14ac:dyDescent="0.2">
      <c r="A54" s="6">
        <v>48</v>
      </c>
      <c r="B54" s="7" t="s">
        <v>479</v>
      </c>
      <c r="C54" s="11" t="s">
        <v>480</v>
      </c>
      <c r="D54" s="2" t="s">
        <v>226</v>
      </c>
      <c r="E54" s="47">
        <v>69001</v>
      </c>
      <c r="F54" s="53">
        <v>82.145690500000001</v>
      </c>
      <c r="G54" s="5">
        <v>8.0524059999999998E-3</v>
      </c>
    </row>
    <row r="55" spans="1:7" ht="25.5" x14ac:dyDescent="0.2">
      <c r="A55" s="6">
        <v>49</v>
      </c>
      <c r="B55" s="7" t="s">
        <v>177</v>
      </c>
      <c r="C55" s="11" t="s">
        <v>178</v>
      </c>
      <c r="D55" s="2" t="s">
        <v>47</v>
      </c>
      <c r="E55" s="47">
        <v>48452</v>
      </c>
      <c r="F55" s="53">
        <v>79.073663999999994</v>
      </c>
      <c r="G55" s="5">
        <v>7.7512670000000001E-3</v>
      </c>
    </row>
    <row r="56" spans="1:7" ht="12.75" x14ac:dyDescent="0.2">
      <c r="A56" s="6">
        <v>50</v>
      </c>
      <c r="B56" s="7" t="s">
        <v>219</v>
      </c>
      <c r="C56" s="11" t="s">
        <v>220</v>
      </c>
      <c r="D56" s="2" t="s">
        <v>72</v>
      </c>
      <c r="E56" s="47">
        <v>41106</v>
      </c>
      <c r="F56" s="53">
        <v>77.567021999999994</v>
      </c>
      <c r="G56" s="5">
        <v>7.6035770000000003E-3</v>
      </c>
    </row>
    <row r="57" spans="1:7" ht="25.5" x14ac:dyDescent="0.2">
      <c r="A57" s="6">
        <v>51</v>
      </c>
      <c r="B57" s="7" t="s">
        <v>231</v>
      </c>
      <c r="C57" s="11" t="s">
        <v>232</v>
      </c>
      <c r="D57" s="2" t="s">
        <v>47</v>
      </c>
      <c r="E57" s="47">
        <v>28807</v>
      </c>
      <c r="F57" s="53">
        <v>72.651253999999994</v>
      </c>
      <c r="G57" s="5">
        <v>7.1217049999999999E-3</v>
      </c>
    </row>
    <row r="58" spans="1:7" ht="12.75" x14ac:dyDescent="0.2">
      <c r="A58" s="6">
        <v>52</v>
      </c>
      <c r="B58" s="7" t="s">
        <v>233</v>
      </c>
      <c r="C58" s="11" t="s">
        <v>234</v>
      </c>
      <c r="D58" s="2" t="s">
        <v>192</v>
      </c>
      <c r="E58" s="47">
        <v>37995</v>
      </c>
      <c r="F58" s="53">
        <v>68.865937500000001</v>
      </c>
      <c r="G58" s="5">
        <v>6.7506459999999999E-3</v>
      </c>
    </row>
    <row r="59" spans="1:7" ht="12.75" x14ac:dyDescent="0.2">
      <c r="A59" s="6">
        <v>53</v>
      </c>
      <c r="B59" s="7" t="s">
        <v>227</v>
      </c>
      <c r="C59" s="11" t="s">
        <v>228</v>
      </c>
      <c r="D59" s="2" t="s">
        <v>158</v>
      </c>
      <c r="E59" s="47">
        <v>39495</v>
      </c>
      <c r="F59" s="53">
        <v>66.489832500000006</v>
      </c>
      <c r="G59" s="5">
        <v>6.5177259999999997E-3</v>
      </c>
    </row>
    <row r="60" spans="1:7" ht="38.25" x14ac:dyDescent="0.2">
      <c r="A60" s="6">
        <v>54</v>
      </c>
      <c r="B60" s="7" t="s">
        <v>272</v>
      </c>
      <c r="C60" s="11" t="s">
        <v>273</v>
      </c>
      <c r="D60" s="2" t="s">
        <v>274</v>
      </c>
      <c r="E60" s="47">
        <v>83954</v>
      </c>
      <c r="F60" s="53">
        <v>62.461776</v>
      </c>
      <c r="G60" s="5">
        <v>6.1228719999999997E-3</v>
      </c>
    </row>
    <row r="61" spans="1:7" ht="12.75" x14ac:dyDescent="0.2">
      <c r="A61" s="6">
        <v>55</v>
      </c>
      <c r="B61" s="7" t="s">
        <v>235</v>
      </c>
      <c r="C61" s="11" t="s">
        <v>236</v>
      </c>
      <c r="D61" s="2" t="s">
        <v>237</v>
      </c>
      <c r="E61" s="47">
        <v>5500</v>
      </c>
      <c r="F61" s="53">
        <v>60.376249999999999</v>
      </c>
      <c r="G61" s="5">
        <v>5.918436E-3</v>
      </c>
    </row>
    <row r="62" spans="1:7" ht="12.75" x14ac:dyDescent="0.2">
      <c r="A62" s="6">
        <v>56</v>
      </c>
      <c r="B62" s="7" t="s">
        <v>270</v>
      </c>
      <c r="C62" s="11" t="s">
        <v>271</v>
      </c>
      <c r="D62" s="2" t="s">
        <v>192</v>
      </c>
      <c r="E62" s="47">
        <v>67579</v>
      </c>
      <c r="F62" s="53">
        <v>51.089723999999997</v>
      </c>
      <c r="G62" s="5">
        <v>5.008116E-3</v>
      </c>
    </row>
    <row r="63" spans="1:7" ht="12.75" x14ac:dyDescent="0.2">
      <c r="A63" s="6">
        <v>57</v>
      </c>
      <c r="B63" s="7" t="s">
        <v>238</v>
      </c>
      <c r="C63" s="11" t="s">
        <v>239</v>
      </c>
      <c r="D63" s="2" t="s">
        <v>72</v>
      </c>
      <c r="E63" s="47">
        <v>90950</v>
      </c>
      <c r="F63" s="53">
        <v>48.703724999999999</v>
      </c>
      <c r="G63" s="5">
        <v>4.7742269999999998E-3</v>
      </c>
    </row>
    <row r="64" spans="1:7" ht="12.75" x14ac:dyDescent="0.2">
      <c r="A64" s="6">
        <v>58</v>
      </c>
      <c r="B64" s="7" t="s">
        <v>240</v>
      </c>
      <c r="C64" s="11" t="s">
        <v>241</v>
      </c>
      <c r="D64" s="2" t="s">
        <v>242</v>
      </c>
      <c r="E64" s="47">
        <v>10928</v>
      </c>
      <c r="F64" s="53">
        <v>44.449640000000002</v>
      </c>
      <c r="G64" s="5">
        <v>4.3572159999999997E-3</v>
      </c>
    </row>
    <row r="65" spans="1:7" ht="12.75" x14ac:dyDescent="0.2">
      <c r="A65" s="6">
        <v>59</v>
      </c>
      <c r="B65" s="7" t="s">
        <v>100</v>
      </c>
      <c r="C65" s="11" t="s">
        <v>101</v>
      </c>
      <c r="D65" s="2" t="s">
        <v>50</v>
      </c>
      <c r="E65" s="47">
        <v>39001</v>
      </c>
      <c r="F65" s="53">
        <v>37.226454500000003</v>
      </c>
      <c r="G65" s="5">
        <v>3.6491570000000001E-3</v>
      </c>
    </row>
    <row r="66" spans="1:7" ht="12.75" x14ac:dyDescent="0.2">
      <c r="A66" s="6">
        <v>60</v>
      </c>
      <c r="B66" s="7" t="s">
        <v>106</v>
      </c>
      <c r="C66" s="11" t="s">
        <v>107</v>
      </c>
      <c r="D66" s="2" t="s">
        <v>50</v>
      </c>
      <c r="E66" s="47">
        <v>60000</v>
      </c>
      <c r="F66" s="53">
        <v>28.8</v>
      </c>
      <c r="G66" s="5">
        <v>2.8231459999999999E-3</v>
      </c>
    </row>
    <row r="67" spans="1:7" ht="25.5" x14ac:dyDescent="0.2">
      <c r="A67" s="6">
        <v>61</v>
      </c>
      <c r="B67" s="7" t="s">
        <v>243</v>
      </c>
      <c r="C67" s="11" t="s">
        <v>244</v>
      </c>
      <c r="D67" s="2" t="s">
        <v>163</v>
      </c>
      <c r="E67" s="47">
        <v>22595</v>
      </c>
      <c r="F67" s="53">
        <v>13.7716525</v>
      </c>
      <c r="G67" s="5">
        <v>1.3499790000000001E-3</v>
      </c>
    </row>
    <row r="68" spans="1:7" ht="25.5" x14ac:dyDescent="0.2">
      <c r="A68" s="6">
        <v>62</v>
      </c>
      <c r="B68" s="7" t="s">
        <v>245</v>
      </c>
      <c r="C68" s="11" t="s">
        <v>246</v>
      </c>
      <c r="D68" s="2" t="s">
        <v>30</v>
      </c>
      <c r="E68" s="47">
        <v>81375</v>
      </c>
      <c r="F68" s="53">
        <v>5.69625</v>
      </c>
      <c r="G68" s="5">
        <v>5.5838000000000003E-4</v>
      </c>
    </row>
    <row r="69" spans="1:7" ht="12.75" x14ac:dyDescent="0.2">
      <c r="A69" s="1"/>
      <c r="B69" s="2"/>
      <c r="C69" s="8" t="s">
        <v>108</v>
      </c>
      <c r="D69" s="12"/>
      <c r="E69" s="49"/>
      <c r="F69" s="55">
        <v>9967.6362359999985</v>
      </c>
      <c r="G69" s="13">
        <v>0.97708655299999969</v>
      </c>
    </row>
    <row r="70" spans="1:7" ht="12.75" x14ac:dyDescent="0.2">
      <c r="A70" s="6"/>
      <c r="B70" s="7"/>
      <c r="C70" s="14"/>
      <c r="D70" s="15"/>
      <c r="E70" s="47"/>
      <c r="F70" s="53"/>
      <c r="G70" s="5"/>
    </row>
    <row r="71" spans="1:7" ht="12.75" x14ac:dyDescent="0.2">
      <c r="A71" s="1"/>
      <c r="B71" s="2"/>
      <c r="C71" s="8" t="s">
        <v>109</v>
      </c>
      <c r="D71" s="9"/>
      <c r="E71" s="48"/>
      <c r="F71" s="54"/>
      <c r="G71" s="10"/>
    </row>
    <row r="72" spans="1:7" ht="12.75" x14ac:dyDescent="0.2">
      <c r="A72" s="1"/>
      <c r="B72" s="2"/>
      <c r="C72" s="8" t="s">
        <v>108</v>
      </c>
      <c r="D72" s="12"/>
      <c r="E72" s="49"/>
      <c r="F72" s="55">
        <v>0</v>
      </c>
      <c r="G72" s="13">
        <v>0</v>
      </c>
    </row>
    <row r="73" spans="1:7" ht="12.75" x14ac:dyDescent="0.2">
      <c r="A73" s="6"/>
      <c r="B73" s="7"/>
      <c r="C73" s="14"/>
      <c r="D73" s="15"/>
      <c r="E73" s="47"/>
      <c r="F73" s="53"/>
      <c r="G73" s="5"/>
    </row>
    <row r="74" spans="1:7" ht="12.75" x14ac:dyDescent="0.2">
      <c r="A74" s="16"/>
      <c r="B74" s="17"/>
      <c r="C74" s="8" t="s">
        <v>110</v>
      </c>
      <c r="D74" s="9"/>
      <c r="E74" s="48"/>
      <c r="F74" s="54"/>
      <c r="G74" s="10"/>
    </row>
    <row r="75" spans="1:7" ht="12.75" x14ac:dyDescent="0.2">
      <c r="A75" s="18"/>
      <c r="B75" s="19"/>
      <c r="C75" s="8" t="s">
        <v>108</v>
      </c>
      <c r="D75" s="20"/>
      <c r="E75" s="50"/>
      <c r="F75" s="56">
        <v>0</v>
      </c>
      <c r="G75" s="21">
        <v>0</v>
      </c>
    </row>
    <row r="76" spans="1:7" ht="12.75" x14ac:dyDescent="0.2">
      <c r="A76" s="18"/>
      <c r="B76" s="19"/>
      <c r="C76" s="14"/>
      <c r="D76" s="22"/>
      <c r="E76" s="51"/>
      <c r="F76" s="57"/>
      <c r="G76" s="23"/>
    </row>
    <row r="77" spans="1:7" ht="12.75" x14ac:dyDescent="0.2">
      <c r="A77" s="1"/>
      <c r="B77" s="2"/>
      <c r="C77" s="8" t="s">
        <v>113</v>
      </c>
      <c r="D77" s="9"/>
      <c r="E77" s="48"/>
      <c r="F77" s="54"/>
      <c r="G77" s="10"/>
    </row>
    <row r="78" spans="1:7" ht="12.75" x14ac:dyDescent="0.2">
      <c r="A78" s="1"/>
      <c r="B78" s="2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1"/>
      <c r="B79" s="2"/>
      <c r="C79" s="14"/>
      <c r="D79" s="4"/>
      <c r="E79" s="47"/>
      <c r="F79" s="53"/>
      <c r="G79" s="5"/>
    </row>
    <row r="80" spans="1:7" ht="12.75" x14ac:dyDescent="0.2">
      <c r="A80" s="1"/>
      <c r="B80" s="2"/>
      <c r="C80" s="8" t="s">
        <v>114</v>
      </c>
      <c r="D80" s="9"/>
      <c r="E80" s="48"/>
      <c r="F80" s="54"/>
      <c r="G80" s="10"/>
    </row>
    <row r="81" spans="1:7" ht="12.75" x14ac:dyDescent="0.2">
      <c r="A81" s="1"/>
      <c r="B81" s="2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1"/>
      <c r="B82" s="2"/>
      <c r="C82" s="14"/>
      <c r="D82" s="4"/>
      <c r="E82" s="47"/>
      <c r="F82" s="53"/>
      <c r="G82" s="5"/>
    </row>
    <row r="83" spans="1:7" ht="12.75" x14ac:dyDescent="0.2">
      <c r="A83" s="1"/>
      <c r="B83" s="2"/>
      <c r="C83" s="8" t="s">
        <v>115</v>
      </c>
      <c r="D83" s="9"/>
      <c r="E83" s="48"/>
      <c r="F83" s="54"/>
      <c r="G83" s="10"/>
    </row>
    <row r="84" spans="1:7" ht="12.75" x14ac:dyDescent="0.2">
      <c r="A84" s="1"/>
      <c r="B84" s="2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1"/>
      <c r="B85" s="2"/>
      <c r="C85" s="14"/>
      <c r="D85" s="4"/>
      <c r="E85" s="47"/>
      <c r="F85" s="53"/>
      <c r="G85" s="5"/>
    </row>
    <row r="86" spans="1:7" ht="25.5" x14ac:dyDescent="0.2">
      <c r="A86" s="6"/>
      <c r="B86" s="7"/>
      <c r="C86" s="24" t="s">
        <v>116</v>
      </c>
      <c r="D86" s="25"/>
      <c r="E86" s="49"/>
      <c r="F86" s="55">
        <v>9967.6362359999985</v>
      </c>
      <c r="G86" s="13">
        <v>0.97708655299999969</v>
      </c>
    </row>
    <row r="87" spans="1:7" ht="12.75" x14ac:dyDescent="0.2">
      <c r="A87" s="1"/>
      <c r="B87" s="2"/>
      <c r="C87" s="11"/>
      <c r="D87" s="4"/>
      <c r="E87" s="47"/>
      <c r="F87" s="53"/>
      <c r="G87" s="5"/>
    </row>
    <row r="88" spans="1:7" ht="12.75" x14ac:dyDescent="0.2">
      <c r="A88" s="1"/>
      <c r="B88" s="2"/>
      <c r="C88" s="3" t="s">
        <v>117</v>
      </c>
      <c r="D88" s="4"/>
      <c r="E88" s="47"/>
      <c r="F88" s="53"/>
      <c r="G88" s="5"/>
    </row>
    <row r="89" spans="1:7" ht="25.5" x14ac:dyDescent="0.2">
      <c r="A89" s="1"/>
      <c r="B89" s="2"/>
      <c r="C89" s="8" t="s">
        <v>10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12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4"/>
      <c r="E91" s="47"/>
      <c r="F91" s="53"/>
      <c r="G91" s="5"/>
    </row>
    <row r="92" spans="1:7" ht="12.75" x14ac:dyDescent="0.2">
      <c r="A92" s="1"/>
      <c r="B92" s="26"/>
      <c r="C92" s="8" t="s">
        <v>118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12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4"/>
      <c r="E94" s="47"/>
      <c r="F94" s="59"/>
      <c r="G94" s="28"/>
    </row>
    <row r="95" spans="1:7" ht="12.75" x14ac:dyDescent="0.2">
      <c r="A95" s="1"/>
      <c r="B95" s="2"/>
      <c r="C95" s="8" t="s">
        <v>119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12"/>
      <c r="E96" s="49"/>
      <c r="F96" s="55">
        <v>0</v>
      </c>
      <c r="G96" s="13">
        <v>0</v>
      </c>
    </row>
    <row r="97" spans="1:7" ht="12.75" x14ac:dyDescent="0.2">
      <c r="A97" s="1"/>
      <c r="B97" s="2"/>
      <c r="C97" s="14"/>
      <c r="D97" s="4"/>
      <c r="E97" s="47"/>
      <c r="F97" s="53"/>
      <c r="G97" s="5"/>
    </row>
    <row r="98" spans="1:7" ht="25.5" x14ac:dyDescent="0.2">
      <c r="A98" s="1"/>
      <c r="B98" s="26"/>
      <c r="C98" s="8" t="s">
        <v>120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12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4"/>
      <c r="E100" s="47"/>
      <c r="F100" s="53"/>
      <c r="G100" s="5"/>
    </row>
    <row r="101" spans="1:7" ht="12.75" x14ac:dyDescent="0.2">
      <c r="A101" s="6"/>
      <c r="B101" s="7"/>
      <c r="C101" s="29" t="s">
        <v>121</v>
      </c>
      <c r="D101" s="25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1"/>
      <c r="D102" s="4"/>
      <c r="E102" s="47"/>
      <c r="F102" s="53"/>
      <c r="G102" s="5"/>
    </row>
    <row r="103" spans="1:7" ht="12.75" x14ac:dyDescent="0.2">
      <c r="A103" s="1"/>
      <c r="B103" s="2"/>
      <c r="C103" s="3" t="s">
        <v>122</v>
      </c>
      <c r="D103" s="4"/>
      <c r="E103" s="47"/>
      <c r="F103" s="53"/>
      <c r="G103" s="5"/>
    </row>
    <row r="104" spans="1:7" ht="12.75" x14ac:dyDescent="0.2">
      <c r="A104" s="6"/>
      <c r="B104" s="7"/>
      <c r="C104" s="8" t="s">
        <v>123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6"/>
      <c r="B107" s="7"/>
      <c r="C107" s="8" t="s">
        <v>124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3"/>
      <c r="G109" s="5"/>
    </row>
    <row r="110" spans="1:7" ht="12.75" x14ac:dyDescent="0.2">
      <c r="A110" s="6"/>
      <c r="B110" s="7"/>
      <c r="C110" s="8" t="s">
        <v>125</v>
      </c>
      <c r="D110" s="9"/>
      <c r="E110" s="48"/>
      <c r="F110" s="54"/>
      <c r="G110" s="10"/>
    </row>
    <row r="111" spans="1:7" ht="12.75" x14ac:dyDescent="0.2">
      <c r="A111" s="6"/>
      <c r="B111" s="7"/>
      <c r="C111" s="8" t="s">
        <v>108</v>
      </c>
      <c r="D111" s="25"/>
      <c r="E111" s="49"/>
      <c r="F111" s="55">
        <v>0</v>
      </c>
      <c r="G111" s="13">
        <v>0</v>
      </c>
    </row>
    <row r="112" spans="1:7" ht="12.75" x14ac:dyDescent="0.2">
      <c r="A112" s="6"/>
      <c r="B112" s="7"/>
      <c r="C112" s="14"/>
      <c r="D112" s="7"/>
      <c r="E112" s="47"/>
      <c r="F112" s="53"/>
      <c r="G112" s="5"/>
    </row>
    <row r="113" spans="1:7" ht="12.75" x14ac:dyDescent="0.2">
      <c r="A113" s="6"/>
      <c r="B113" s="7"/>
      <c r="C113" s="8" t="s">
        <v>126</v>
      </c>
      <c r="D113" s="9"/>
      <c r="E113" s="48"/>
      <c r="F113" s="54"/>
      <c r="G113" s="10"/>
    </row>
    <row r="114" spans="1:7" ht="12.75" x14ac:dyDescent="0.2">
      <c r="A114" s="6">
        <v>1</v>
      </c>
      <c r="B114" s="7"/>
      <c r="C114" s="11" t="s">
        <v>812</v>
      </c>
      <c r="D114" s="15"/>
      <c r="E114" s="47"/>
      <c r="F114" s="53">
        <v>135.98211739999999</v>
      </c>
      <c r="G114" s="5">
        <v>1.3329769999999999E-2</v>
      </c>
    </row>
    <row r="115" spans="1:7" ht="12.75" x14ac:dyDescent="0.2">
      <c r="A115" s="6"/>
      <c r="B115" s="7"/>
      <c r="C115" s="8" t="s">
        <v>108</v>
      </c>
      <c r="D115" s="25"/>
      <c r="E115" s="49"/>
      <c r="F115" s="55">
        <v>135.98211739999999</v>
      </c>
      <c r="G115" s="13">
        <v>1.3329769999999999E-2</v>
      </c>
    </row>
    <row r="116" spans="1:7" ht="12.75" x14ac:dyDescent="0.2">
      <c r="A116" s="6"/>
      <c r="B116" s="7"/>
      <c r="C116" s="14"/>
      <c r="D116" s="7"/>
      <c r="E116" s="47"/>
      <c r="F116" s="53"/>
      <c r="G116" s="5"/>
    </row>
    <row r="117" spans="1:7" ht="25.5" x14ac:dyDescent="0.2">
      <c r="A117" s="6"/>
      <c r="B117" s="7"/>
      <c r="C117" s="24" t="s">
        <v>127</v>
      </c>
      <c r="D117" s="25"/>
      <c r="E117" s="49"/>
      <c r="F117" s="55">
        <v>135.98211739999999</v>
      </c>
      <c r="G117" s="13">
        <v>1.3329769999999999E-2</v>
      </c>
    </row>
    <row r="118" spans="1:7" ht="12.75" x14ac:dyDescent="0.2">
      <c r="A118" s="6"/>
      <c r="B118" s="7"/>
      <c r="C118" s="30"/>
      <c r="D118" s="7"/>
      <c r="E118" s="47"/>
      <c r="F118" s="53"/>
      <c r="G118" s="5"/>
    </row>
    <row r="119" spans="1:7" ht="12.75" x14ac:dyDescent="0.2">
      <c r="A119" s="1"/>
      <c r="B119" s="2"/>
      <c r="C119" s="3" t="s">
        <v>128</v>
      </c>
      <c r="D119" s="4"/>
      <c r="E119" s="47"/>
      <c r="F119" s="53"/>
      <c r="G119" s="5"/>
    </row>
    <row r="120" spans="1:7" ht="25.5" x14ac:dyDescent="0.2">
      <c r="A120" s="6"/>
      <c r="B120" s="7"/>
      <c r="C120" s="8" t="s">
        <v>129</v>
      </c>
      <c r="D120" s="9"/>
      <c r="E120" s="48"/>
      <c r="F120" s="54"/>
      <c r="G120" s="10"/>
    </row>
    <row r="121" spans="1:7" ht="12.75" x14ac:dyDescent="0.2">
      <c r="A121" s="6"/>
      <c r="B121" s="7"/>
      <c r="C121" s="8" t="s">
        <v>108</v>
      </c>
      <c r="D121" s="25"/>
      <c r="E121" s="49"/>
      <c r="F121" s="55">
        <v>0</v>
      </c>
      <c r="G121" s="13">
        <v>0</v>
      </c>
    </row>
    <row r="122" spans="1:7" ht="12.75" x14ac:dyDescent="0.2">
      <c r="A122" s="6"/>
      <c r="B122" s="7"/>
      <c r="C122" s="14"/>
      <c r="D122" s="7"/>
      <c r="E122" s="47"/>
      <c r="F122" s="53"/>
      <c r="G122" s="5"/>
    </row>
    <row r="123" spans="1:7" ht="12.75" x14ac:dyDescent="0.2">
      <c r="A123" s="1"/>
      <c r="B123" s="2"/>
      <c r="C123" s="3" t="s">
        <v>131</v>
      </c>
      <c r="D123" s="4"/>
      <c r="E123" s="47"/>
      <c r="F123" s="53"/>
      <c r="G123" s="5"/>
    </row>
    <row r="124" spans="1:7" ht="25.5" x14ac:dyDescent="0.2">
      <c r="A124" s="6"/>
      <c r="B124" s="7"/>
      <c r="C124" s="8" t="s">
        <v>132</v>
      </c>
      <c r="D124" s="9"/>
      <c r="E124" s="48"/>
      <c r="F124" s="54"/>
      <c r="G124" s="10"/>
    </row>
    <row r="125" spans="1:7" ht="12.75" x14ac:dyDescent="0.2">
      <c r="A125" s="6"/>
      <c r="B125" s="7"/>
      <c r="C125" s="8" t="s">
        <v>108</v>
      </c>
      <c r="D125" s="25"/>
      <c r="E125" s="49"/>
      <c r="F125" s="55">
        <v>0</v>
      </c>
      <c r="G125" s="13">
        <v>0</v>
      </c>
    </row>
    <row r="126" spans="1:7" ht="12.75" x14ac:dyDescent="0.2">
      <c r="A126" s="6"/>
      <c r="B126" s="7"/>
      <c r="C126" s="14"/>
      <c r="D126" s="7"/>
      <c r="E126" s="47"/>
      <c r="F126" s="53"/>
      <c r="G126" s="5"/>
    </row>
    <row r="127" spans="1:7" ht="25.5" x14ac:dyDescent="0.2">
      <c r="A127" s="6"/>
      <c r="B127" s="7"/>
      <c r="C127" s="8" t="s">
        <v>133</v>
      </c>
      <c r="D127" s="9"/>
      <c r="E127" s="48"/>
      <c r="F127" s="54"/>
      <c r="G127" s="10"/>
    </row>
    <row r="128" spans="1:7" ht="12.75" x14ac:dyDescent="0.2">
      <c r="A128" s="6"/>
      <c r="B128" s="7"/>
      <c r="C128" s="8" t="s">
        <v>108</v>
      </c>
      <c r="D128" s="25"/>
      <c r="E128" s="49"/>
      <c r="F128" s="55">
        <v>0</v>
      </c>
      <c r="G128" s="13">
        <v>0</v>
      </c>
    </row>
    <row r="129" spans="1:7" ht="12.75" x14ac:dyDescent="0.2">
      <c r="A129" s="6"/>
      <c r="B129" s="7"/>
      <c r="C129" s="14"/>
      <c r="D129" s="7"/>
      <c r="E129" s="47"/>
      <c r="F129" s="59"/>
      <c r="G129" s="28"/>
    </row>
    <row r="130" spans="1:7" ht="25.5" x14ac:dyDescent="0.2">
      <c r="A130" s="6"/>
      <c r="B130" s="7"/>
      <c r="C130" s="30" t="s">
        <v>134</v>
      </c>
      <c r="D130" s="7"/>
      <c r="E130" s="47"/>
      <c r="F130" s="59">
        <v>97.766777009999998</v>
      </c>
      <c r="G130" s="28">
        <v>9.5836770000000005E-3</v>
      </c>
    </row>
    <row r="131" spans="1:7" ht="12.75" x14ac:dyDescent="0.2">
      <c r="A131" s="6"/>
      <c r="B131" s="7"/>
      <c r="C131" s="31" t="s">
        <v>135</v>
      </c>
      <c r="D131" s="12"/>
      <c r="E131" s="49"/>
      <c r="F131" s="55">
        <v>10201.385130409999</v>
      </c>
      <c r="G131" s="13">
        <v>0.99999999999999978</v>
      </c>
    </row>
    <row r="133" spans="1:7" ht="12.75" x14ac:dyDescent="0.2">
      <c r="B133" s="179"/>
      <c r="C133" s="179"/>
      <c r="D133" s="179"/>
      <c r="E133" s="179"/>
      <c r="F133" s="179"/>
    </row>
    <row r="134" spans="1:7" ht="12.75" x14ac:dyDescent="0.2">
      <c r="B134" s="179"/>
      <c r="C134" s="179"/>
      <c r="D134" s="179"/>
      <c r="E134" s="179"/>
      <c r="F134" s="179"/>
    </row>
    <row r="136" spans="1:7" ht="12.75" x14ac:dyDescent="0.2">
      <c r="B136" s="37" t="s">
        <v>137</v>
      </c>
      <c r="C136" s="38"/>
      <c r="D136" s="39"/>
    </row>
    <row r="137" spans="1:7" ht="12.75" x14ac:dyDescent="0.2">
      <c r="B137" s="40" t="s">
        <v>808</v>
      </c>
      <c r="C137" s="41"/>
      <c r="D137" s="65" t="s">
        <v>138</v>
      </c>
    </row>
    <row r="138" spans="1:7" ht="12.75" x14ac:dyDescent="0.2">
      <c r="B138" s="40" t="s">
        <v>139</v>
      </c>
      <c r="C138" s="41"/>
      <c r="D138" s="65" t="s">
        <v>138</v>
      </c>
    </row>
    <row r="139" spans="1:7" ht="12.75" x14ac:dyDescent="0.2">
      <c r="B139" s="42" t="s">
        <v>140</v>
      </c>
      <c r="C139" s="41"/>
      <c r="D139" s="43"/>
    </row>
    <row r="140" spans="1:7" ht="25.5" customHeight="1" x14ac:dyDescent="0.2">
      <c r="B140" s="43"/>
      <c r="C140" s="33" t="s">
        <v>141</v>
      </c>
      <c r="D140" s="34" t="s">
        <v>142</v>
      </c>
    </row>
    <row r="141" spans="1:7" ht="12.75" customHeight="1" x14ac:dyDescent="0.2">
      <c r="B141" s="60" t="s">
        <v>143</v>
      </c>
      <c r="C141" s="61" t="s">
        <v>144</v>
      </c>
      <c r="D141" s="61" t="s">
        <v>145</v>
      </c>
    </row>
    <row r="142" spans="1:7" ht="12.75" x14ac:dyDescent="0.2">
      <c r="B142" s="43" t="s">
        <v>146</v>
      </c>
      <c r="C142" s="44">
        <v>9.4297000000000004</v>
      </c>
      <c r="D142" s="44">
        <v>9.5521999999999991</v>
      </c>
    </row>
    <row r="143" spans="1:7" ht="12.75" x14ac:dyDescent="0.2">
      <c r="B143" s="43" t="s">
        <v>147</v>
      </c>
      <c r="C143" s="44">
        <v>8.6854999999999993</v>
      </c>
      <c r="D143" s="44">
        <v>8.7982999999999993</v>
      </c>
    </row>
    <row r="144" spans="1:7" ht="12.75" x14ac:dyDescent="0.2">
      <c r="B144" s="43" t="s">
        <v>148</v>
      </c>
      <c r="C144" s="44">
        <v>9.2475000000000005</v>
      </c>
      <c r="D144" s="44">
        <v>9.3664000000000005</v>
      </c>
    </row>
    <row r="145" spans="2:4" ht="12.75" x14ac:dyDescent="0.2">
      <c r="B145" s="43" t="s">
        <v>149</v>
      </c>
      <c r="C145" s="44">
        <v>8.5088000000000008</v>
      </c>
      <c r="D145" s="44">
        <v>8.6182999999999996</v>
      </c>
    </row>
    <row r="147" spans="2:4" ht="12.75" x14ac:dyDescent="0.2">
      <c r="B147" s="62" t="s">
        <v>150</v>
      </c>
      <c r="C147" s="45"/>
      <c r="D147" s="63" t="s">
        <v>138</v>
      </c>
    </row>
    <row r="148" spans="2:4" ht="24.75" customHeight="1" x14ac:dyDescent="0.2">
      <c r="B148" s="64"/>
      <c r="C148" s="64"/>
    </row>
    <row r="149" spans="2:4" ht="15" x14ac:dyDescent="0.25">
      <c r="B149" s="66"/>
      <c r="C149" s="68"/>
      <c r="D149"/>
    </row>
    <row r="151" spans="2:4" ht="12.75" x14ac:dyDescent="0.2">
      <c r="B151" s="42" t="s">
        <v>151</v>
      </c>
      <c r="C151" s="41"/>
      <c r="D151" s="67" t="s">
        <v>138</v>
      </c>
    </row>
    <row r="152" spans="2:4" ht="12.75" x14ac:dyDescent="0.2">
      <c r="B152" s="42" t="s">
        <v>152</v>
      </c>
      <c r="C152" s="41"/>
      <c r="D152" s="67" t="s">
        <v>138</v>
      </c>
    </row>
    <row r="153" spans="2:4" ht="12.75" x14ac:dyDescent="0.2">
      <c r="B153" s="42" t="s">
        <v>153</v>
      </c>
      <c r="C153" s="41"/>
      <c r="D153" s="46">
        <v>0.1777514715806594</v>
      </c>
    </row>
    <row r="154" spans="2:4" ht="12.75" x14ac:dyDescent="0.2">
      <c r="B154" s="42" t="s">
        <v>154</v>
      </c>
      <c r="C154" s="41"/>
      <c r="D154" s="46" t="s">
        <v>138</v>
      </c>
    </row>
  </sheetData>
  <mergeCells count="5">
    <mergeCell ref="A1:G1"/>
    <mergeCell ref="A2:G2"/>
    <mergeCell ref="A3:G3"/>
    <mergeCell ref="B133:F133"/>
    <mergeCell ref="B134:F134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55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531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23650</v>
      </c>
      <c r="F7" s="53">
        <v>212.25874999999999</v>
      </c>
      <c r="G7" s="5">
        <v>4.9440162000000003E-2</v>
      </c>
    </row>
    <row r="8" spans="1:7" ht="25.5" x14ac:dyDescent="0.2">
      <c r="A8" s="6">
        <v>2</v>
      </c>
      <c r="B8" s="7" t="s">
        <v>23</v>
      </c>
      <c r="C8" s="11" t="s">
        <v>24</v>
      </c>
      <c r="D8" s="2" t="s">
        <v>22</v>
      </c>
      <c r="E8" s="47">
        <v>30200</v>
      </c>
      <c r="F8" s="53">
        <v>181.60769999999999</v>
      </c>
      <c r="G8" s="5">
        <v>4.2300796000000002E-2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89071</v>
      </c>
      <c r="F9" s="53">
        <v>166.65184099999999</v>
      </c>
      <c r="G9" s="5">
        <v>3.8817217000000001E-2</v>
      </c>
    </row>
    <row r="10" spans="1:7" ht="25.5" x14ac:dyDescent="0.2">
      <c r="A10" s="6">
        <v>4</v>
      </c>
      <c r="B10" s="7" t="s">
        <v>161</v>
      </c>
      <c r="C10" s="11" t="s">
        <v>162</v>
      </c>
      <c r="D10" s="2" t="s">
        <v>163</v>
      </c>
      <c r="E10" s="47">
        <v>40670</v>
      </c>
      <c r="F10" s="53">
        <v>148.32348999999999</v>
      </c>
      <c r="G10" s="5">
        <v>3.4548104000000003E-2</v>
      </c>
    </row>
    <row r="11" spans="1:7" ht="25.5" x14ac:dyDescent="0.2">
      <c r="A11" s="6">
        <v>5</v>
      </c>
      <c r="B11" s="7" t="s">
        <v>188</v>
      </c>
      <c r="C11" s="11" t="s">
        <v>189</v>
      </c>
      <c r="D11" s="2" t="s">
        <v>47</v>
      </c>
      <c r="E11" s="47">
        <v>6223</v>
      </c>
      <c r="F11" s="53">
        <v>132.2791995</v>
      </c>
      <c r="G11" s="5">
        <v>3.0811003E-2</v>
      </c>
    </row>
    <row r="12" spans="1:7" ht="25.5" x14ac:dyDescent="0.2">
      <c r="A12" s="6">
        <v>6</v>
      </c>
      <c r="B12" s="7" t="s">
        <v>38</v>
      </c>
      <c r="C12" s="11" t="s">
        <v>39</v>
      </c>
      <c r="D12" s="2" t="s">
        <v>40</v>
      </c>
      <c r="E12" s="47">
        <v>29675</v>
      </c>
      <c r="F12" s="53">
        <v>128.01795000000001</v>
      </c>
      <c r="G12" s="5">
        <v>2.9818456E-2</v>
      </c>
    </row>
    <row r="13" spans="1:7" ht="25.5" x14ac:dyDescent="0.2">
      <c r="A13" s="6">
        <v>7</v>
      </c>
      <c r="B13" s="7" t="s">
        <v>102</v>
      </c>
      <c r="C13" s="11" t="s">
        <v>103</v>
      </c>
      <c r="D13" s="2" t="s">
        <v>13</v>
      </c>
      <c r="E13" s="47">
        <v>117125</v>
      </c>
      <c r="F13" s="53">
        <v>120.521625</v>
      </c>
      <c r="G13" s="5">
        <v>2.8072382E-2</v>
      </c>
    </row>
    <row r="14" spans="1:7" ht="38.25" x14ac:dyDescent="0.2">
      <c r="A14" s="6">
        <v>8</v>
      </c>
      <c r="B14" s="7" t="s">
        <v>75</v>
      </c>
      <c r="C14" s="11" t="s">
        <v>76</v>
      </c>
      <c r="D14" s="2" t="s">
        <v>77</v>
      </c>
      <c r="E14" s="47">
        <v>136511</v>
      </c>
      <c r="F14" s="53">
        <v>107.570668</v>
      </c>
      <c r="G14" s="5">
        <v>2.5055793E-2</v>
      </c>
    </row>
    <row r="15" spans="1:7" ht="12.75" x14ac:dyDescent="0.2">
      <c r="A15" s="6">
        <v>9</v>
      </c>
      <c r="B15" s="7" t="s">
        <v>48</v>
      </c>
      <c r="C15" s="11" t="s">
        <v>49</v>
      </c>
      <c r="D15" s="2" t="s">
        <v>50</v>
      </c>
      <c r="E15" s="47">
        <v>50706</v>
      </c>
      <c r="F15" s="53">
        <v>104.581125</v>
      </c>
      <c r="G15" s="5">
        <v>2.4359456000000002E-2</v>
      </c>
    </row>
    <row r="16" spans="1:7" ht="25.5" x14ac:dyDescent="0.2">
      <c r="A16" s="6">
        <v>10</v>
      </c>
      <c r="B16" s="7" t="s">
        <v>55</v>
      </c>
      <c r="C16" s="11" t="s">
        <v>56</v>
      </c>
      <c r="D16" s="2" t="s">
        <v>22</v>
      </c>
      <c r="E16" s="47">
        <v>17109</v>
      </c>
      <c r="F16" s="53">
        <v>101.02009049999999</v>
      </c>
      <c r="G16" s="5">
        <v>2.3530005999999999E-2</v>
      </c>
    </row>
    <row r="17" spans="1:7" ht="25.5" x14ac:dyDescent="0.2">
      <c r="A17" s="6">
        <v>11</v>
      </c>
      <c r="B17" s="7" t="s">
        <v>171</v>
      </c>
      <c r="C17" s="11" t="s">
        <v>172</v>
      </c>
      <c r="D17" s="2" t="s">
        <v>22</v>
      </c>
      <c r="E17" s="47">
        <v>24826</v>
      </c>
      <c r="F17" s="53">
        <v>99.999127999999999</v>
      </c>
      <c r="G17" s="5">
        <v>2.3292199E-2</v>
      </c>
    </row>
    <row r="18" spans="1:7" ht="25.5" x14ac:dyDescent="0.2">
      <c r="A18" s="6">
        <v>12</v>
      </c>
      <c r="B18" s="7" t="s">
        <v>20</v>
      </c>
      <c r="C18" s="11" t="s">
        <v>21</v>
      </c>
      <c r="D18" s="2" t="s">
        <v>22</v>
      </c>
      <c r="E18" s="47">
        <v>11000</v>
      </c>
      <c r="F18" s="53">
        <v>98.01</v>
      </c>
      <c r="G18" s="5">
        <v>2.2828883000000001E-2</v>
      </c>
    </row>
    <row r="19" spans="1:7" ht="25.5" x14ac:dyDescent="0.2">
      <c r="A19" s="6">
        <v>13</v>
      </c>
      <c r="B19" s="7" t="s">
        <v>169</v>
      </c>
      <c r="C19" s="11" t="s">
        <v>170</v>
      </c>
      <c r="D19" s="2" t="s">
        <v>27</v>
      </c>
      <c r="E19" s="47">
        <v>8188</v>
      </c>
      <c r="F19" s="53">
        <v>97.715592000000001</v>
      </c>
      <c r="G19" s="5">
        <v>2.2760308999999999E-2</v>
      </c>
    </row>
    <row r="20" spans="1:7" ht="25.5" x14ac:dyDescent="0.2">
      <c r="A20" s="6">
        <v>14</v>
      </c>
      <c r="B20" s="7" t="s">
        <v>186</v>
      </c>
      <c r="C20" s="11" t="s">
        <v>187</v>
      </c>
      <c r="D20" s="2" t="s">
        <v>183</v>
      </c>
      <c r="E20" s="47">
        <v>17188</v>
      </c>
      <c r="F20" s="53">
        <v>97.593463999999997</v>
      </c>
      <c r="G20" s="5">
        <v>2.2731861999999999E-2</v>
      </c>
    </row>
    <row r="21" spans="1:7" ht="12.75" x14ac:dyDescent="0.2">
      <c r="A21" s="6">
        <v>15</v>
      </c>
      <c r="B21" s="7" t="s">
        <v>279</v>
      </c>
      <c r="C21" s="11" t="s">
        <v>280</v>
      </c>
      <c r="D21" s="2" t="s">
        <v>281</v>
      </c>
      <c r="E21" s="47">
        <v>11787</v>
      </c>
      <c r="F21" s="53">
        <v>95.398084499999996</v>
      </c>
      <c r="G21" s="5">
        <v>2.2220506000000001E-2</v>
      </c>
    </row>
    <row r="22" spans="1:7" ht="12.75" x14ac:dyDescent="0.2">
      <c r="A22" s="6">
        <v>16</v>
      </c>
      <c r="B22" s="7" t="s">
        <v>190</v>
      </c>
      <c r="C22" s="11" t="s">
        <v>191</v>
      </c>
      <c r="D22" s="2" t="s">
        <v>192</v>
      </c>
      <c r="E22" s="47">
        <v>61568</v>
      </c>
      <c r="F22" s="53">
        <v>94.845504000000005</v>
      </c>
      <c r="G22" s="5">
        <v>2.2091796E-2</v>
      </c>
    </row>
    <row r="23" spans="1:7" ht="25.5" x14ac:dyDescent="0.2">
      <c r="A23" s="6">
        <v>17</v>
      </c>
      <c r="B23" s="7" t="s">
        <v>41</v>
      </c>
      <c r="C23" s="11" t="s">
        <v>42</v>
      </c>
      <c r="D23" s="2" t="s">
        <v>27</v>
      </c>
      <c r="E23" s="47">
        <v>77020</v>
      </c>
      <c r="F23" s="53">
        <v>88.457470000000001</v>
      </c>
      <c r="G23" s="5">
        <v>2.060387E-2</v>
      </c>
    </row>
    <row r="24" spans="1:7" ht="12.75" x14ac:dyDescent="0.2">
      <c r="A24" s="6">
        <v>18</v>
      </c>
      <c r="B24" s="7" t="s">
        <v>229</v>
      </c>
      <c r="C24" s="11" t="s">
        <v>230</v>
      </c>
      <c r="D24" s="2" t="s">
        <v>50</v>
      </c>
      <c r="E24" s="47">
        <v>34131</v>
      </c>
      <c r="F24" s="53">
        <v>81.470697000000001</v>
      </c>
      <c r="G24" s="5">
        <v>1.8976481999999999E-2</v>
      </c>
    </row>
    <row r="25" spans="1:7" ht="12.75" x14ac:dyDescent="0.2">
      <c r="A25" s="6">
        <v>19</v>
      </c>
      <c r="B25" s="7" t="s">
        <v>61</v>
      </c>
      <c r="C25" s="11" t="s">
        <v>62</v>
      </c>
      <c r="D25" s="2" t="s">
        <v>19</v>
      </c>
      <c r="E25" s="47">
        <v>84304</v>
      </c>
      <c r="F25" s="53">
        <v>81.269056000000006</v>
      </c>
      <c r="G25" s="5">
        <v>1.8929515000000001E-2</v>
      </c>
    </row>
    <row r="26" spans="1:7" ht="12.75" x14ac:dyDescent="0.2">
      <c r="A26" s="6">
        <v>20</v>
      </c>
      <c r="B26" s="7" t="s">
        <v>282</v>
      </c>
      <c r="C26" s="11" t="s">
        <v>283</v>
      </c>
      <c r="D26" s="2" t="s">
        <v>19</v>
      </c>
      <c r="E26" s="47">
        <v>44231</v>
      </c>
      <c r="F26" s="53">
        <v>80.986960999999994</v>
      </c>
      <c r="G26" s="5">
        <v>1.8863808999999999E-2</v>
      </c>
    </row>
    <row r="27" spans="1:7" ht="51" x14ac:dyDescent="0.2">
      <c r="A27" s="6">
        <v>21</v>
      </c>
      <c r="B27" s="7" t="s">
        <v>247</v>
      </c>
      <c r="C27" s="11" t="s">
        <v>248</v>
      </c>
      <c r="D27" s="2" t="s">
        <v>208</v>
      </c>
      <c r="E27" s="47">
        <v>36912</v>
      </c>
      <c r="F27" s="53">
        <v>79.859111999999996</v>
      </c>
      <c r="G27" s="5">
        <v>1.8601105999999999E-2</v>
      </c>
    </row>
    <row r="28" spans="1:7" ht="25.5" x14ac:dyDescent="0.2">
      <c r="A28" s="6">
        <v>22</v>
      </c>
      <c r="B28" s="7" t="s">
        <v>83</v>
      </c>
      <c r="C28" s="11" t="s">
        <v>84</v>
      </c>
      <c r="D28" s="2" t="s">
        <v>22</v>
      </c>
      <c r="E28" s="47">
        <v>73228</v>
      </c>
      <c r="F28" s="53">
        <v>79.855134000000007</v>
      </c>
      <c r="G28" s="5">
        <v>1.8600179000000001E-2</v>
      </c>
    </row>
    <row r="29" spans="1:7" ht="12.75" x14ac:dyDescent="0.2">
      <c r="A29" s="6">
        <v>23</v>
      </c>
      <c r="B29" s="7" t="s">
        <v>175</v>
      </c>
      <c r="C29" s="11" t="s">
        <v>176</v>
      </c>
      <c r="D29" s="2" t="s">
        <v>19</v>
      </c>
      <c r="E29" s="47">
        <v>89778</v>
      </c>
      <c r="F29" s="53">
        <v>75.278852999999998</v>
      </c>
      <c r="G29" s="5">
        <v>1.7534253E-2</v>
      </c>
    </row>
    <row r="30" spans="1:7" ht="25.5" x14ac:dyDescent="0.2">
      <c r="A30" s="6">
        <v>24</v>
      </c>
      <c r="B30" s="7" t="s">
        <v>266</v>
      </c>
      <c r="C30" s="11" t="s">
        <v>267</v>
      </c>
      <c r="D30" s="2" t="s">
        <v>27</v>
      </c>
      <c r="E30" s="47">
        <v>73828</v>
      </c>
      <c r="F30" s="53">
        <v>74.418623999999994</v>
      </c>
      <c r="G30" s="5">
        <v>1.7333885E-2</v>
      </c>
    </row>
    <row r="31" spans="1:7" ht="25.5" x14ac:dyDescent="0.2">
      <c r="A31" s="6">
        <v>25</v>
      </c>
      <c r="B31" s="7" t="s">
        <v>57</v>
      </c>
      <c r="C31" s="11" t="s">
        <v>58</v>
      </c>
      <c r="D31" s="2" t="s">
        <v>27</v>
      </c>
      <c r="E31" s="47">
        <v>18720</v>
      </c>
      <c r="F31" s="53">
        <v>69.797520000000006</v>
      </c>
      <c r="G31" s="5">
        <v>1.6257519000000002E-2</v>
      </c>
    </row>
    <row r="32" spans="1:7" ht="51" x14ac:dyDescent="0.2">
      <c r="A32" s="6">
        <v>26</v>
      </c>
      <c r="B32" s="7" t="s">
        <v>264</v>
      </c>
      <c r="C32" s="11" t="s">
        <v>265</v>
      </c>
      <c r="D32" s="2" t="s">
        <v>208</v>
      </c>
      <c r="E32" s="47">
        <v>38990</v>
      </c>
      <c r="F32" s="53">
        <v>64.99633</v>
      </c>
      <c r="G32" s="5">
        <v>1.5139207E-2</v>
      </c>
    </row>
    <row r="33" spans="1:7" ht="12.75" x14ac:dyDescent="0.2">
      <c r="A33" s="6">
        <v>27</v>
      </c>
      <c r="B33" s="7" t="s">
        <v>198</v>
      </c>
      <c r="C33" s="11" t="s">
        <v>199</v>
      </c>
      <c r="D33" s="2" t="s">
        <v>40</v>
      </c>
      <c r="E33" s="47">
        <v>107902</v>
      </c>
      <c r="F33" s="53">
        <v>64.417494000000005</v>
      </c>
      <c r="G33" s="5">
        <v>1.5004382E-2</v>
      </c>
    </row>
    <row r="34" spans="1:7" ht="25.5" x14ac:dyDescent="0.2">
      <c r="A34" s="6">
        <v>28</v>
      </c>
      <c r="B34" s="7" t="s">
        <v>73</v>
      </c>
      <c r="C34" s="11" t="s">
        <v>74</v>
      </c>
      <c r="D34" s="2" t="s">
        <v>22</v>
      </c>
      <c r="E34" s="47">
        <v>9438</v>
      </c>
      <c r="F34" s="53">
        <v>61.847214000000001</v>
      </c>
      <c r="G34" s="5">
        <v>1.4405701999999999E-2</v>
      </c>
    </row>
    <row r="35" spans="1:7" ht="12.75" x14ac:dyDescent="0.2">
      <c r="A35" s="6">
        <v>29</v>
      </c>
      <c r="B35" s="7" t="s">
        <v>51</v>
      </c>
      <c r="C35" s="11" t="s">
        <v>52</v>
      </c>
      <c r="D35" s="2" t="s">
        <v>19</v>
      </c>
      <c r="E35" s="47">
        <v>5523</v>
      </c>
      <c r="F35" s="53">
        <v>61.694671499999998</v>
      </c>
      <c r="G35" s="5">
        <v>1.4370170999999999E-2</v>
      </c>
    </row>
    <row r="36" spans="1:7" ht="25.5" x14ac:dyDescent="0.2">
      <c r="A36" s="6">
        <v>30</v>
      </c>
      <c r="B36" s="7" t="s">
        <v>97</v>
      </c>
      <c r="C36" s="11" t="s">
        <v>98</v>
      </c>
      <c r="D36" s="2" t="s">
        <v>99</v>
      </c>
      <c r="E36" s="47">
        <v>28994</v>
      </c>
      <c r="F36" s="53">
        <v>57.132677000000001</v>
      </c>
      <c r="G36" s="5">
        <v>1.3307573E-2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41991</v>
      </c>
      <c r="F37" s="53">
        <v>56.162962499999999</v>
      </c>
      <c r="G37" s="5">
        <v>1.3081703E-2</v>
      </c>
    </row>
    <row r="38" spans="1:7" ht="12.75" x14ac:dyDescent="0.2">
      <c r="A38" s="6">
        <v>32</v>
      </c>
      <c r="B38" s="7" t="s">
        <v>193</v>
      </c>
      <c r="C38" s="11" t="s">
        <v>194</v>
      </c>
      <c r="D38" s="2" t="s">
        <v>72</v>
      </c>
      <c r="E38" s="47">
        <v>6320</v>
      </c>
      <c r="F38" s="53">
        <v>56.067880000000002</v>
      </c>
      <c r="G38" s="5">
        <v>1.3059556E-2</v>
      </c>
    </row>
    <row r="39" spans="1:7" ht="12.75" x14ac:dyDescent="0.2">
      <c r="A39" s="6">
        <v>33</v>
      </c>
      <c r="B39" s="7" t="s">
        <v>254</v>
      </c>
      <c r="C39" s="11" t="s">
        <v>255</v>
      </c>
      <c r="D39" s="2" t="s">
        <v>168</v>
      </c>
      <c r="E39" s="47">
        <v>20011</v>
      </c>
      <c r="F39" s="53">
        <v>55.420464500000001</v>
      </c>
      <c r="G39" s="5">
        <v>1.2908757999999999E-2</v>
      </c>
    </row>
    <row r="40" spans="1:7" ht="25.5" x14ac:dyDescent="0.2">
      <c r="A40" s="6">
        <v>34</v>
      </c>
      <c r="B40" s="7" t="s">
        <v>209</v>
      </c>
      <c r="C40" s="11" t="s">
        <v>210</v>
      </c>
      <c r="D40" s="2" t="s">
        <v>22</v>
      </c>
      <c r="E40" s="47">
        <v>8207</v>
      </c>
      <c r="F40" s="53">
        <v>55.208489</v>
      </c>
      <c r="G40" s="5">
        <v>1.2859383E-2</v>
      </c>
    </row>
    <row r="41" spans="1:7" ht="25.5" x14ac:dyDescent="0.2">
      <c r="A41" s="6">
        <v>35</v>
      </c>
      <c r="B41" s="7" t="s">
        <v>284</v>
      </c>
      <c r="C41" s="11" t="s">
        <v>285</v>
      </c>
      <c r="D41" s="2" t="s">
        <v>30</v>
      </c>
      <c r="E41" s="47">
        <v>62529</v>
      </c>
      <c r="F41" s="53">
        <v>52.743211500000001</v>
      </c>
      <c r="G41" s="5">
        <v>1.2285160999999999E-2</v>
      </c>
    </row>
    <row r="42" spans="1:7" ht="12.75" x14ac:dyDescent="0.2">
      <c r="A42" s="6">
        <v>36</v>
      </c>
      <c r="B42" s="7" t="s">
        <v>184</v>
      </c>
      <c r="C42" s="11" t="s">
        <v>185</v>
      </c>
      <c r="D42" s="2" t="s">
        <v>16</v>
      </c>
      <c r="E42" s="47">
        <v>28656</v>
      </c>
      <c r="F42" s="53">
        <v>51.623784000000001</v>
      </c>
      <c r="G42" s="5">
        <v>1.2024419E-2</v>
      </c>
    </row>
    <row r="43" spans="1:7" ht="25.5" x14ac:dyDescent="0.2">
      <c r="A43" s="6">
        <v>37</v>
      </c>
      <c r="B43" s="7" t="s">
        <v>213</v>
      </c>
      <c r="C43" s="11" t="s">
        <v>214</v>
      </c>
      <c r="D43" s="2" t="s">
        <v>163</v>
      </c>
      <c r="E43" s="47">
        <v>49363</v>
      </c>
      <c r="F43" s="53">
        <v>50.424304499999998</v>
      </c>
      <c r="G43" s="5">
        <v>1.1745032000000001E-2</v>
      </c>
    </row>
    <row r="44" spans="1:7" ht="12.75" x14ac:dyDescent="0.2">
      <c r="A44" s="6">
        <v>38</v>
      </c>
      <c r="B44" s="7" t="s">
        <v>204</v>
      </c>
      <c r="C44" s="11" t="s">
        <v>205</v>
      </c>
      <c r="D44" s="2" t="s">
        <v>72</v>
      </c>
      <c r="E44" s="47">
        <v>18021</v>
      </c>
      <c r="F44" s="53">
        <v>49.170298500000001</v>
      </c>
      <c r="G44" s="5">
        <v>1.1452944E-2</v>
      </c>
    </row>
    <row r="45" spans="1:7" ht="51" x14ac:dyDescent="0.2">
      <c r="A45" s="6">
        <v>39</v>
      </c>
      <c r="B45" s="7" t="s">
        <v>206</v>
      </c>
      <c r="C45" s="11" t="s">
        <v>207</v>
      </c>
      <c r="D45" s="2" t="s">
        <v>208</v>
      </c>
      <c r="E45" s="47">
        <v>75205</v>
      </c>
      <c r="F45" s="53">
        <v>45.950254999999999</v>
      </c>
      <c r="G45" s="5">
        <v>1.0702918000000001E-2</v>
      </c>
    </row>
    <row r="46" spans="1:7" ht="25.5" x14ac:dyDescent="0.2">
      <c r="A46" s="6">
        <v>40</v>
      </c>
      <c r="B46" s="7" t="s">
        <v>181</v>
      </c>
      <c r="C46" s="11" t="s">
        <v>182</v>
      </c>
      <c r="D46" s="2" t="s">
        <v>183</v>
      </c>
      <c r="E46" s="47">
        <v>37938</v>
      </c>
      <c r="F46" s="53">
        <v>45.070343999999999</v>
      </c>
      <c r="G46" s="5">
        <v>1.0497965999999999E-2</v>
      </c>
    </row>
    <row r="47" spans="1:7" ht="25.5" x14ac:dyDescent="0.2">
      <c r="A47" s="6">
        <v>41</v>
      </c>
      <c r="B47" s="7" t="s">
        <v>215</v>
      </c>
      <c r="C47" s="11" t="s">
        <v>216</v>
      </c>
      <c r="D47" s="2" t="s">
        <v>13</v>
      </c>
      <c r="E47" s="47">
        <v>76425</v>
      </c>
      <c r="F47" s="53">
        <v>44.173650000000002</v>
      </c>
      <c r="G47" s="5">
        <v>1.0289104E-2</v>
      </c>
    </row>
    <row r="48" spans="1:7" ht="12.75" x14ac:dyDescent="0.2">
      <c r="A48" s="6">
        <v>42</v>
      </c>
      <c r="B48" s="7" t="s">
        <v>262</v>
      </c>
      <c r="C48" s="11" t="s">
        <v>263</v>
      </c>
      <c r="D48" s="2" t="s">
        <v>242</v>
      </c>
      <c r="E48" s="47">
        <v>48341</v>
      </c>
      <c r="F48" s="53">
        <v>44.038651000000002</v>
      </c>
      <c r="G48" s="5">
        <v>1.025766E-2</v>
      </c>
    </row>
    <row r="49" spans="1:7" ht="25.5" x14ac:dyDescent="0.2">
      <c r="A49" s="6">
        <v>43</v>
      </c>
      <c r="B49" s="7" t="s">
        <v>81</v>
      </c>
      <c r="C49" s="11" t="s">
        <v>82</v>
      </c>
      <c r="D49" s="2" t="s">
        <v>22</v>
      </c>
      <c r="E49" s="47">
        <v>4259</v>
      </c>
      <c r="F49" s="53">
        <v>42.604906499999998</v>
      </c>
      <c r="G49" s="5">
        <v>9.9237059999999992E-3</v>
      </c>
    </row>
    <row r="50" spans="1:7" ht="12.75" x14ac:dyDescent="0.2">
      <c r="A50" s="6">
        <v>44</v>
      </c>
      <c r="B50" s="7" t="s">
        <v>211</v>
      </c>
      <c r="C50" s="11" t="s">
        <v>212</v>
      </c>
      <c r="D50" s="2" t="s">
        <v>72</v>
      </c>
      <c r="E50" s="47">
        <v>140551</v>
      </c>
      <c r="F50" s="53">
        <v>41.743647000000003</v>
      </c>
      <c r="G50" s="5">
        <v>9.7230979999999995E-3</v>
      </c>
    </row>
    <row r="51" spans="1:7" ht="12.75" x14ac:dyDescent="0.2">
      <c r="A51" s="6">
        <v>45</v>
      </c>
      <c r="B51" s="7" t="s">
        <v>463</v>
      </c>
      <c r="C51" s="11" t="s">
        <v>464</v>
      </c>
      <c r="D51" s="2" t="s">
        <v>192</v>
      </c>
      <c r="E51" s="47">
        <v>7089</v>
      </c>
      <c r="F51" s="53">
        <v>41.133922499999997</v>
      </c>
      <c r="G51" s="5">
        <v>9.5810789999999993E-3</v>
      </c>
    </row>
    <row r="52" spans="1:7" ht="12.75" x14ac:dyDescent="0.2">
      <c r="A52" s="6">
        <v>46</v>
      </c>
      <c r="B52" s="7" t="s">
        <v>270</v>
      </c>
      <c r="C52" s="11" t="s">
        <v>271</v>
      </c>
      <c r="D52" s="2" t="s">
        <v>192</v>
      </c>
      <c r="E52" s="47">
        <v>54056</v>
      </c>
      <c r="F52" s="53">
        <v>40.866335999999997</v>
      </c>
      <c r="G52" s="5">
        <v>9.5187510000000006E-3</v>
      </c>
    </row>
    <row r="53" spans="1:7" ht="12.75" x14ac:dyDescent="0.2">
      <c r="A53" s="6">
        <v>47</v>
      </c>
      <c r="B53" s="7" t="s">
        <v>221</v>
      </c>
      <c r="C53" s="11" t="s">
        <v>222</v>
      </c>
      <c r="D53" s="2" t="s">
        <v>223</v>
      </c>
      <c r="E53" s="47">
        <v>8845</v>
      </c>
      <c r="F53" s="53">
        <v>40.129764999999999</v>
      </c>
      <c r="G53" s="5">
        <v>9.3471860000000004E-3</v>
      </c>
    </row>
    <row r="54" spans="1:7" ht="12.75" x14ac:dyDescent="0.2">
      <c r="A54" s="6">
        <v>48</v>
      </c>
      <c r="B54" s="7" t="s">
        <v>268</v>
      </c>
      <c r="C54" s="11" t="s">
        <v>269</v>
      </c>
      <c r="D54" s="2" t="s">
        <v>72</v>
      </c>
      <c r="E54" s="47">
        <v>8894</v>
      </c>
      <c r="F54" s="53">
        <v>39.920718999999998</v>
      </c>
      <c r="G54" s="5">
        <v>9.2984939999999992E-3</v>
      </c>
    </row>
    <row r="55" spans="1:7" ht="12.75" x14ac:dyDescent="0.2">
      <c r="A55" s="6">
        <v>49</v>
      </c>
      <c r="B55" s="7" t="s">
        <v>68</v>
      </c>
      <c r="C55" s="11" t="s">
        <v>69</v>
      </c>
      <c r="D55" s="2" t="s">
        <v>50</v>
      </c>
      <c r="E55" s="47">
        <v>17708</v>
      </c>
      <c r="F55" s="53">
        <v>37.718040000000002</v>
      </c>
      <c r="G55" s="5">
        <v>8.7854379999999996E-3</v>
      </c>
    </row>
    <row r="56" spans="1:7" ht="12.75" x14ac:dyDescent="0.2">
      <c r="A56" s="6">
        <v>50</v>
      </c>
      <c r="B56" s="7" t="s">
        <v>250</v>
      </c>
      <c r="C56" s="11" t="s">
        <v>251</v>
      </c>
      <c r="D56" s="2" t="s">
        <v>168</v>
      </c>
      <c r="E56" s="47">
        <v>9422</v>
      </c>
      <c r="F56" s="53">
        <v>37.537247999999998</v>
      </c>
      <c r="G56" s="5">
        <v>8.7433270000000004E-3</v>
      </c>
    </row>
    <row r="57" spans="1:7" ht="12.75" x14ac:dyDescent="0.2">
      <c r="A57" s="6">
        <v>51</v>
      </c>
      <c r="B57" s="7" t="s">
        <v>479</v>
      </c>
      <c r="C57" s="11" t="s">
        <v>480</v>
      </c>
      <c r="D57" s="2" t="s">
        <v>226</v>
      </c>
      <c r="E57" s="47">
        <v>28803</v>
      </c>
      <c r="F57" s="53">
        <v>34.2899715</v>
      </c>
      <c r="G57" s="5">
        <v>7.9869580000000006E-3</v>
      </c>
    </row>
    <row r="58" spans="1:7" ht="12.75" x14ac:dyDescent="0.2">
      <c r="A58" s="6">
        <v>52</v>
      </c>
      <c r="B58" s="7" t="s">
        <v>233</v>
      </c>
      <c r="C58" s="11" t="s">
        <v>234</v>
      </c>
      <c r="D58" s="2" t="s">
        <v>192</v>
      </c>
      <c r="E58" s="47">
        <v>16540</v>
      </c>
      <c r="F58" s="53">
        <v>29.978750000000002</v>
      </c>
      <c r="G58" s="5">
        <v>6.9827709999999996E-3</v>
      </c>
    </row>
    <row r="59" spans="1:7" ht="25.5" x14ac:dyDescent="0.2">
      <c r="A59" s="6">
        <v>53</v>
      </c>
      <c r="B59" s="7" t="s">
        <v>231</v>
      </c>
      <c r="C59" s="11" t="s">
        <v>232</v>
      </c>
      <c r="D59" s="2" t="s">
        <v>47</v>
      </c>
      <c r="E59" s="47">
        <v>11760</v>
      </c>
      <c r="F59" s="53">
        <v>29.658719999999999</v>
      </c>
      <c r="G59" s="5">
        <v>6.9082279999999998E-3</v>
      </c>
    </row>
    <row r="60" spans="1:7" ht="12.75" x14ac:dyDescent="0.2">
      <c r="A60" s="6">
        <v>54</v>
      </c>
      <c r="B60" s="7" t="s">
        <v>227</v>
      </c>
      <c r="C60" s="11" t="s">
        <v>228</v>
      </c>
      <c r="D60" s="2" t="s">
        <v>158</v>
      </c>
      <c r="E60" s="47">
        <v>16080</v>
      </c>
      <c r="F60" s="53">
        <v>27.070679999999999</v>
      </c>
      <c r="G60" s="5">
        <v>6.3054119999999998E-3</v>
      </c>
    </row>
    <row r="61" spans="1:7" ht="12.75" x14ac:dyDescent="0.2">
      <c r="A61" s="6">
        <v>55</v>
      </c>
      <c r="B61" s="7" t="s">
        <v>235</v>
      </c>
      <c r="C61" s="11" t="s">
        <v>236</v>
      </c>
      <c r="D61" s="2" t="s">
        <v>237</v>
      </c>
      <c r="E61" s="47">
        <v>2338</v>
      </c>
      <c r="F61" s="53">
        <v>25.665395</v>
      </c>
      <c r="G61" s="5">
        <v>5.978087E-3</v>
      </c>
    </row>
    <row r="62" spans="1:7" ht="12.75" x14ac:dyDescent="0.2">
      <c r="A62" s="6">
        <v>56</v>
      </c>
      <c r="B62" s="7" t="s">
        <v>87</v>
      </c>
      <c r="C62" s="11" t="s">
        <v>88</v>
      </c>
      <c r="D62" s="2"/>
      <c r="E62" s="47">
        <v>14000</v>
      </c>
      <c r="F62" s="53">
        <v>23.814</v>
      </c>
      <c r="G62" s="5">
        <v>5.546853E-3</v>
      </c>
    </row>
    <row r="63" spans="1:7" ht="12.75" x14ac:dyDescent="0.2">
      <c r="A63" s="6">
        <v>57</v>
      </c>
      <c r="B63" s="7" t="s">
        <v>100</v>
      </c>
      <c r="C63" s="11" t="s">
        <v>101</v>
      </c>
      <c r="D63" s="2" t="s">
        <v>50</v>
      </c>
      <c r="E63" s="47">
        <v>23034</v>
      </c>
      <c r="F63" s="53">
        <v>21.985952999999999</v>
      </c>
      <c r="G63" s="5">
        <v>5.121057E-3</v>
      </c>
    </row>
    <row r="64" spans="1:7" ht="12.75" x14ac:dyDescent="0.2">
      <c r="A64" s="6">
        <v>58</v>
      </c>
      <c r="B64" s="7" t="s">
        <v>238</v>
      </c>
      <c r="C64" s="11" t="s">
        <v>239</v>
      </c>
      <c r="D64" s="2" t="s">
        <v>72</v>
      </c>
      <c r="E64" s="47">
        <v>37889</v>
      </c>
      <c r="F64" s="53">
        <v>20.289559499999999</v>
      </c>
      <c r="G64" s="5">
        <v>4.7259260000000001E-3</v>
      </c>
    </row>
    <row r="65" spans="1:7" ht="38.25" x14ac:dyDescent="0.2">
      <c r="A65" s="6">
        <v>59</v>
      </c>
      <c r="B65" s="7" t="s">
        <v>272</v>
      </c>
      <c r="C65" s="11" t="s">
        <v>273</v>
      </c>
      <c r="D65" s="2" t="s">
        <v>274</v>
      </c>
      <c r="E65" s="47">
        <v>26155</v>
      </c>
      <c r="F65" s="53">
        <v>19.459320000000002</v>
      </c>
      <c r="G65" s="5">
        <v>4.532543E-3</v>
      </c>
    </row>
    <row r="66" spans="1:7" ht="12.75" x14ac:dyDescent="0.2">
      <c r="A66" s="6">
        <v>60</v>
      </c>
      <c r="B66" s="7" t="s">
        <v>240</v>
      </c>
      <c r="C66" s="11" t="s">
        <v>241</v>
      </c>
      <c r="D66" s="2" t="s">
        <v>242</v>
      </c>
      <c r="E66" s="47">
        <v>4610</v>
      </c>
      <c r="F66" s="53">
        <v>18.751175</v>
      </c>
      <c r="G66" s="5">
        <v>4.3675989999999998E-3</v>
      </c>
    </row>
    <row r="67" spans="1:7" ht="25.5" x14ac:dyDescent="0.2">
      <c r="A67" s="6">
        <v>61</v>
      </c>
      <c r="B67" s="7" t="s">
        <v>243</v>
      </c>
      <c r="C67" s="11" t="s">
        <v>244</v>
      </c>
      <c r="D67" s="2" t="s">
        <v>163</v>
      </c>
      <c r="E67" s="47">
        <v>13694</v>
      </c>
      <c r="F67" s="53">
        <v>8.3464930000000006</v>
      </c>
      <c r="G67" s="5">
        <v>1.9440989999999999E-3</v>
      </c>
    </row>
    <row r="68" spans="1:7" ht="12.75" x14ac:dyDescent="0.2">
      <c r="A68" s="6">
        <v>62</v>
      </c>
      <c r="B68" s="7" t="s">
        <v>106</v>
      </c>
      <c r="C68" s="11" t="s">
        <v>107</v>
      </c>
      <c r="D68" s="2" t="s">
        <v>50</v>
      </c>
      <c r="E68" s="47">
        <v>14000</v>
      </c>
      <c r="F68" s="53">
        <v>6.72</v>
      </c>
      <c r="G68" s="5">
        <v>1.5652489999999999E-3</v>
      </c>
    </row>
    <row r="69" spans="1:7" ht="25.5" x14ac:dyDescent="0.2">
      <c r="A69" s="6">
        <v>63</v>
      </c>
      <c r="B69" s="7" t="s">
        <v>245</v>
      </c>
      <c r="C69" s="11" t="s">
        <v>246</v>
      </c>
      <c r="D69" s="2" t="s">
        <v>30</v>
      </c>
      <c r="E69" s="47">
        <v>32999</v>
      </c>
      <c r="F69" s="53">
        <v>2.30993</v>
      </c>
      <c r="G69" s="5">
        <v>5.3803800000000001E-4</v>
      </c>
    </row>
    <row r="70" spans="1:7" ht="12.75" x14ac:dyDescent="0.2">
      <c r="A70" s="1"/>
      <c r="B70" s="2"/>
      <c r="C70" s="8" t="s">
        <v>108</v>
      </c>
      <c r="D70" s="12"/>
      <c r="E70" s="49"/>
      <c r="F70" s="55">
        <v>4203.9248505000023</v>
      </c>
      <c r="G70" s="13">
        <v>0.97919508599999994</v>
      </c>
    </row>
    <row r="71" spans="1:7" ht="12.75" x14ac:dyDescent="0.2">
      <c r="A71" s="6"/>
      <c r="B71" s="7"/>
      <c r="C71" s="14"/>
      <c r="D71" s="15"/>
      <c r="E71" s="47"/>
      <c r="F71" s="53"/>
      <c r="G71" s="5"/>
    </row>
    <row r="72" spans="1:7" ht="12.75" x14ac:dyDescent="0.2">
      <c r="A72" s="1"/>
      <c r="B72" s="2"/>
      <c r="C72" s="8" t="s">
        <v>109</v>
      </c>
      <c r="D72" s="9"/>
      <c r="E72" s="48"/>
      <c r="F72" s="54"/>
      <c r="G72" s="10"/>
    </row>
    <row r="73" spans="1:7" ht="12.75" x14ac:dyDescent="0.2">
      <c r="A73" s="1"/>
      <c r="B73" s="2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6"/>
      <c r="B74" s="7"/>
      <c r="C74" s="14"/>
      <c r="D74" s="15"/>
      <c r="E74" s="47"/>
      <c r="F74" s="53"/>
      <c r="G74" s="5"/>
    </row>
    <row r="75" spans="1:7" ht="12.75" x14ac:dyDescent="0.2">
      <c r="A75" s="16"/>
      <c r="B75" s="17"/>
      <c r="C75" s="8" t="s">
        <v>110</v>
      </c>
      <c r="D75" s="9"/>
      <c r="E75" s="48"/>
      <c r="F75" s="54"/>
      <c r="G75" s="10"/>
    </row>
    <row r="76" spans="1:7" ht="12.75" x14ac:dyDescent="0.2">
      <c r="A76" s="18"/>
      <c r="B76" s="19"/>
      <c r="C76" s="8" t="s">
        <v>108</v>
      </c>
      <c r="D76" s="20"/>
      <c r="E76" s="50"/>
      <c r="F76" s="56">
        <v>0</v>
      </c>
      <c r="G76" s="21">
        <v>0</v>
      </c>
    </row>
    <row r="77" spans="1:7" ht="12.75" x14ac:dyDescent="0.2">
      <c r="A77" s="18"/>
      <c r="B77" s="19"/>
      <c r="C77" s="14"/>
      <c r="D77" s="22"/>
      <c r="E77" s="51"/>
      <c r="F77" s="57"/>
      <c r="G77" s="23"/>
    </row>
    <row r="78" spans="1:7" ht="12.75" x14ac:dyDescent="0.2">
      <c r="A78" s="1"/>
      <c r="B78" s="2"/>
      <c r="C78" s="8" t="s">
        <v>113</v>
      </c>
      <c r="D78" s="9"/>
      <c r="E78" s="48"/>
      <c r="F78" s="54"/>
      <c r="G78" s="10"/>
    </row>
    <row r="79" spans="1:7" ht="12.75" x14ac:dyDescent="0.2">
      <c r="A79" s="1"/>
      <c r="B79" s="2"/>
      <c r="C79" s="8" t="s">
        <v>108</v>
      </c>
      <c r="D79" s="12"/>
      <c r="E79" s="49"/>
      <c r="F79" s="55">
        <v>0</v>
      </c>
      <c r="G79" s="13">
        <v>0</v>
      </c>
    </row>
    <row r="80" spans="1:7" ht="12.75" x14ac:dyDescent="0.2">
      <c r="A80" s="1"/>
      <c r="B80" s="2"/>
      <c r="C80" s="14"/>
      <c r="D80" s="4"/>
      <c r="E80" s="47"/>
      <c r="F80" s="53"/>
      <c r="G80" s="5"/>
    </row>
    <row r="81" spans="1:7" ht="12.75" x14ac:dyDescent="0.2">
      <c r="A81" s="1"/>
      <c r="B81" s="2"/>
      <c r="C81" s="8" t="s">
        <v>114</v>
      </c>
      <c r="D81" s="9"/>
      <c r="E81" s="48"/>
      <c r="F81" s="54"/>
      <c r="G81" s="10"/>
    </row>
    <row r="82" spans="1:7" ht="12.75" x14ac:dyDescent="0.2">
      <c r="A82" s="1"/>
      <c r="B82" s="2"/>
      <c r="C82" s="8" t="s">
        <v>108</v>
      </c>
      <c r="D82" s="12"/>
      <c r="E82" s="49"/>
      <c r="F82" s="55">
        <v>0</v>
      </c>
      <c r="G82" s="13">
        <v>0</v>
      </c>
    </row>
    <row r="83" spans="1:7" ht="12.75" x14ac:dyDescent="0.2">
      <c r="A83" s="1"/>
      <c r="B83" s="2"/>
      <c r="C83" s="14"/>
      <c r="D83" s="4"/>
      <c r="E83" s="47"/>
      <c r="F83" s="53"/>
      <c r="G83" s="5"/>
    </row>
    <row r="84" spans="1:7" ht="12.75" x14ac:dyDescent="0.2">
      <c r="A84" s="1"/>
      <c r="B84" s="2"/>
      <c r="C84" s="8" t="s">
        <v>115</v>
      </c>
      <c r="D84" s="9"/>
      <c r="E84" s="48"/>
      <c r="F84" s="54"/>
      <c r="G84" s="10"/>
    </row>
    <row r="85" spans="1:7" ht="12.75" x14ac:dyDescent="0.2">
      <c r="A85" s="1"/>
      <c r="B85" s="2"/>
      <c r="C85" s="8" t="s">
        <v>108</v>
      </c>
      <c r="D85" s="12"/>
      <c r="E85" s="49"/>
      <c r="F85" s="55">
        <v>0</v>
      </c>
      <c r="G85" s="13">
        <v>0</v>
      </c>
    </row>
    <row r="86" spans="1:7" ht="12.75" x14ac:dyDescent="0.2">
      <c r="A86" s="1"/>
      <c r="B86" s="2"/>
      <c r="C86" s="14"/>
      <c r="D86" s="4"/>
      <c r="E86" s="47"/>
      <c r="F86" s="53"/>
      <c r="G86" s="5"/>
    </row>
    <row r="87" spans="1:7" ht="25.5" x14ac:dyDescent="0.2">
      <c r="A87" s="6"/>
      <c r="B87" s="7"/>
      <c r="C87" s="24" t="s">
        <v>116</v>
      </c>
      <c r="D87" s="25"/>
      <c r="E87" s="49"/>
      <c r="F87" s="55">
        <v>4203.9248505000023</v>
      </c>
      <c r="G87" s="13">
        <v>0.97919508599999994</v>
      </c>
    </row>
    <row r="88" spans="1:7" ht="12.75" x14ac:dyDescent="0.2">
      <c r="A88" s="1"/>
      <c r="B88" s="2"/>
      <c r="C88" s="11"/>
      <c r="D88" s="4"/>
      <c r="E88" s="47"/>
      <c r="F88" s="53"/>
      <c r="G88" s="5"/>
    </row>
    <row r="89" spans="1:7" ht="12.75" x14ac:dyDescent="0.2">
      <c r="A89" s="1"/>
      <c r="B89" s="2"/>
      <c r="C89" s="3" t="s">
        <v>117</v>
      </c>
      <c r="D89" s="4"/>
      <c r="E89" s="47"/>
      <c r="F89" s="53"/>
      <c r="G89" s="5"/>
    </row>
    <row r="90" spans="1:7" ht="25.5" x14ac:dyDescent="0.2">
      <c r="A90" s="1"/>
      <c r="B90" s="2"/>
      <c r="C90" s="8" t="s">
        <v>10</v>
      </c>
      <c r="D90" s="9"/>
      <c r="E90" s="48"/>
      <c r="F90" s="54"/>
      <c r="G90" s="10"/>
    </row>
    <row r="91" spans="1:7" ht="12.75" x14ac:dyDescent="0.2">
      <c r="A91" s="6"/>
      <c r="B91" s="7"/>
      <c r="C91" s="8" t="s">
        <v>108</v>
      </c>
      <c r="D91" s="12"/>
      <c r="E91" s="49"/>
      <c r="F91" s="55">
        <v>0</v>
      </c>
      <c r="G91" s="13">
        <v>0</v>
      </c>
    </row>
    <row r="92" spans="1:7" ht="12.75" x14ac:dyDescent="0.2">
      <c r="A92" s="6"/>
      <c r="B92" s="7"/>
      <c r="C92" s="14"/>
      <c r="D92" s="4"/>
      <c r="E92" s="47"/>
      <c r="F92" s="53"/>
      <c r="G92" s="5"/>
    </row>
    <row r="93" spans="1:7" ht="12.75" x14ac:dyDescent="0.2">
      <c r="A93" s="1"/>
      <c r="B93" s="26"/>
      <c r="C93" s="8" t="s">
        <v>118</v>
      </c>
      <c r="D93" s="9"/>
      <c r="E93" s="48"/>
      <c r="F93" s="54"/>
      <c r="G93" s="10"/>
    </row>
    <row r="94" spans="1:7" ht="12.75" x14ac:dyDescent="0.2">
      <c r="A94" s="6"/>
      <c r="B94" s="7"/>
      <c r="C94" s="8" t="s">
        <v>108</v>
      </c>
      <c r="D94" s="12"/>
      <c r="E94" s="49"/>
      <c r="F94" s="55">
        <v>0</v>
      </c>
      <c r="G94" s="13">
        <v>0</v>
      </c>
    </row>
    <row r="95" spans="1:7" ht="12.75" x14ac:dyDescent="0.2">
      <c r="A95" s="6"/>
      <c r="B95" s="7"/>
      <c r="C95" s="14"/>
      <c r="D95" s="4"/>
      <c r="E95" s="47"/>
      <c r="F95" s="59"/>
      <c r="G95" s="28"/>
    </row>
    <row r="96" spans="1:7" ht="12.75" x14ac:dyDescent="0.2">
      <c r="A96" s="1"/>
      <c r="B96" s="2"/>
      <c r="C96" s="8" t="s">
        <v>119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12"/>
      <c r="E97" s="49"/>
      <c r="F97" s="55">
        <v>0</v>
      </c>
      <c r="G97" s="13">
        <v>0</v>
      </c>
    </row>
    <row r="98" spans="1:7" ht="12.75" x14ac:dyDescent="0.2">
      <c r="A98" s="1"/>
      <c r="B98" s="2"/>
      <c r="C98" s="14"/>
      <c r="D98" s="4"/>
      <c r="E98" s="47"/>
      <c r="F98" s="53"/>
      <c r="G98" s="5"/>
    </row>
    <row r="99" spans="1:7" ht="25.5" x14ac:dyDescent="0.2">
      <c r="A99" s="1"/>
      <c r="B99" s="26"/>
      <c r="C99" s="8" t="s">
        <v>120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12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4"/>
      <c r="D101" s="4"/>
      <c r="E101" s="47"/>
      <c r="F101" s="53"/>
      <c r="G101" s="5"/>
    </row>
    <row r="102" spans="1:7" ht="12.75" x14ac:dyDescent="0.2">
      <c r="A102" s="6"/>
      <c r="B102" s="7"/>
      <c r="C102" s="29" t="s">
        <v>121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1"/>
      <c r="D103" s="4"/>
      <c r="E103" s="47"/>
      <c r="F103" s="53"/>
      <c r="G103" s="5"/>
    </row>
    <row r="104" spans="1:7" ht="12.75" x14ac:dyDescent="0.2">
      <c r="A104" s="1"/>
      <c r="B104" s="2"/>
      <c r="C104" s="3" t="s">
        <v>122</v>
      </c>
      <c r="D104" s="4"/>
      <c r="E104" s="47"/>
      <c r="F104" s="53"/>
      <c r="G104" s="5"/>
    </row>
    <row r="105" spans="1:7" ht="12.75" x14ac:dyDescent="0.2">
      <c r="A105" s="6"/>
      <c r="B105" s="7"/>
      <c r="C105" s="8" t="s">
        <v>123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12.75" x14ac:dyDescent="0.2">
      <c r="A108" s="6"/>
      <c r="B108" s="7"/>
      <c r="C108" s="8" t="s">
        <v>124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12.75" x14ac:dyDescent="0.2">
      <c r="A111" s="6"/>
      <c r="B111" s="7"/>
      <c r="C111" s="8" t="s">
        <v>125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3"/>
      <c r="G113" s="5"/>
    </row>
    <row r="114" spans="1:7" ht="12.75" x14ac:dyDescent="0.2">
      <c r="A114" s="6"/>
      <c r="B114" s="7"/>
      <c r="C114" s="8" t="s">
        <v>126</v>
      </c>
      <c r="D114" s="9"/>
      <c r="E114" s="48"/>
      <c r="F114" s="54"/>
      <c r="G114" s="10"/>
    </row>
    <row r="115" spans="1:7" ht="12.75" x14ac:dyDescent="0.2">
      <c r="A115" s="6">
        <v>1</v>
      </c>
      <c r="B115" s="7"/>
      <c r="C115" s="11" t="s">
        <v>812</v>
      </c>
      <c r="D115" s="15"/>
      <c r="E115" s="47"/>
      <c r="F115" s="53">
        <v>57.992373600000001</v>
      </c>
      <c r="G115" s="5">
        <v>1.3507817E-2</v>
      </c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57.992373600000001</v>
      </c>
      <c r="G116" s="13">
        <v>1.3507817E-2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25.5" x14ac:dyDescent="0.2">
      <c r="A118" s="6"/>
      <c r="B118" s="7"/>
      <c r="C118" s="24" t="s">
        <v>127</v>
      </c>
      <c r="D118" s="25"/>
      <c r="E118" s="49"/>
      <c r="F118" s="55">
        <v>57.992373600000001</v>
      </c>
      <c r="G118" s="13">
        <v>1.3507817E-2</v>
      </c>
    </row>
    <row r="119" spans="1:7" ht="12.75" x14ac:dyDescent="0.2">
      <c r="A119" s="6"/>
      <c r="B119" s="7"/>
      <c r="C119" s="30"/>
      <c r="D119" s="7"/>
      <c r="E119" s="47"/>
      <c r="F119" s="53"/>
      <c r="G119" s="5"/>
    </row>
    <row r="120" spans="1:7" ht="12.75" x14ac:dyDescent="0.2">
      <c r="A120" s="1"/>
      <c r="B120" s="2"/>
      <c r="C120" s="3" t="s">
        <v>128</v>
      </c>
      <c r="D120" s="4"/>
      <c r="E120" s="47"/>
      <c r="F120" s="53"/>
      <c r="G120" s="5"/>
    </row>
    <row r="121" spans="1:7" ht="25.5" x14ac:dyDescent="0.2">
      <c r="A121" s="6"/>
      <c r="B121" s="7"/>
      <c r="C121" s="8" t="s">
        <v>129</v>
      </c>
      <c r="D121" s="9"/>
      <c r="E121" s="48"/>
      <c r="F121" s="54"/>
      <c r="G121" s="10"/>
    </row>
    <row r="122" spans="1:7" ht="12.75" x14ac:dyDescent="0.2">
      <c r="A122" s="6"/>
      <c r="B122" s="7"/>
      <c r="C122" s="8" t="s">
        <v>108</v>
      </c>
      <c r="D122" s="25"/>
      <c r="E122" s="49"/>
      <c r="F122" s="55">
        <v>0</v>
      </c>
      <c r="G122" s="13">
        <v>0</v>
      </c>
    </row>
    <row r="123" spans="1:7" ht="12.75" x14ac:dyDescent="0.2">
      <c r="A123" s="6"/>
      <c r="B123" s="7"/>
      <c r="C123" s="14"/>
      <c r="D123" s="7"/>
      <c r="E123" s="47"/>
      <c r="F123" s="53"/>
      <c r="G123" s="5"/>
    </row>
    <row r="124" spans="1:7" ht="12.75" x14ac:dyDescent="0.2">
      <c r="A124" s="1"/>
      <c r="B124" s="2"/>
      <c r="C124" s="3" t="s">
        <v>131</v>
      </c>
      <c r="D124" s="4"/>
      <c r="E124" s="47"/>
      <c r="F124" s="53"/>
      <c r="G124" s="5"/>
    </row>
    <row r="125" spans="1:7" ht="25.5" x14ac:dyDescent="0.2">
      <c r="A125" s="6"/>
      <c r="B125" s="7"/>
      <c r="C125" s="8" t="s">
        <v>132</v>
      </c>
      <c r="D125" s="9"/>
      <c r="E125" s="48"/>
      <c r="F125" s="54"/>
      <c r="G125" s="10"/>
    </row>
    <row r="126" spans="1:7" ht="12.75" x14ac:dyDescent="0.2">
      <c r="A126" s="6"/>
      <c r="B126" s="7"/>
      <c r="C126" s="8" t="s">
        <v>108</v>
      </c>
      <c r="D126" s="25"/>
      <c r="E126" s="49"/>
      <c r="F126" s="55">
        <v>0</v>
      </c>
      <c r="G126" s="13">
        <v>0</v>
      </c>
    </row>
    <row r="127" spans="1:7" ht="12.75" x14ac:dyDescent="0.2">
      <c r="A127" s="6"/>
      <c r="B127" s="7"/>
      <c r="C127" s="14"/>
      <c r="D127" s="7"/>
      <c r="E127" s="47"/>
      <c r="F127" s="53"/>
      <c r="G127" s="5"/>
    </row>
    <row r="128" spans="1:7" ht="25.5" x14ac:dyDescent="0.2">
      <c r="A128" s="6"/>
      <c r="B128" s="7"/>
      <c r="C128" s="8" t="s">
        <v>133</v>
      </c>
      <c r="D128" s="9"/>
      <c r="E128" s="48"/>
      <c r="F128" s="54"/>
      <c r="G128" s="10"/>
    </row>
    <row r="129" spans="1:7" ht="12.75" x14ac:dyDescent="0.2">
      <c r="A129" s="6"/>
      <c r="B129" s="7"/>
      <c r="C129" s="8" t="s">
        <v>108</v>
      </c>
      <c r="D129" s="25"/>
      <c r="E129" s="49"/>
      <c r="F129" s="55">
        <v>0</v>
      </c>
      <c r="G129" s="13">
        <v>0</v>
      </c>
    </row>
    <row r="130" spans="1:7" ht="12.75" x14ac:dyDescent="0.2">
      <c r="A130" s="6"/>
      <c r="B130" s="7"/>
      <c r="C130" s="14"/>
      <c r="D130" s="7"/>
      <c r="E130" s="47"/>
      <c r="F130" s="59"/>
      <c r="G130" s="28"/>
    </row>
    <row r="131" spans="1:7" ht="25.5" x14ac:dyDescent="0.2">
      <c r="A131" s="6"/>
      <c r="B131" s="7"/>
      <c r="C131" s="30" t="s">
        <v>134</v>
      </c>
      <c r="D131" s="7"/>
      <c r="E131" s="47"/>
      <c r="F131" s="59">
        <v>31.328230600000001</v>
      </c>
      <c r="G131" s="28">
        <v>7.2970969999999998E-3</v>
      </c>
    </row>
    <row r="132" spans="1:7" ht="12.75" x14ac:dyDescent="0.2">
      <c r="A132" s="6"/>
      <c r="B132" s="7"/>
      <c r="C132" s="31" t="s">
        <v>135</v>
      </c>
      <c r="D132" s="12"/>
      <c r="E132" s="49"/>
      <c r="F132" s="55">
        <v>4293.2454547000025</v>
      </c>
      <c r="G132" s="13">
        <v>1</v>
      </c>
    </row>
    <row r="134" spans="1:7" ht="12.75" x14ac:dyDescent="0.2">
      <c r="B134" s="179"/>
      <c r="C134" s="179"/>
      <c r="D134" s="179"/>
      <c r="E134" s="179"/>
      <c r="F134" s="179"/>
    </row>
    <row r="135" spans="1:7" ht="12.75" x14ac:dyDescent="0.2">
      <c r="B135" s="179"/>
      <c r="C135" s="179"/>
      <c r="D135" s="179"/>
      <c r="E135" s="179"/>
      <c r="F135" s="179"/>
    </row>
    <row r="137" spans="1:7" ht="12.75" x14ac:dyDescent="0.2">
      <c r="B137" s="37" t="s">
        <v>137</v>
      </c>
      <c r="C137" s="38"/>
      <c r="D137" s="39"/>
    </row>
    <row r="138" spans="1:7" ht="12.75" x14ac:dyDescent="0.2">
      <c r="B138" s="40" t="s">
        <v>808</v>
      </c>
      <c r="C138" s="41"/>
      <c r="D138" s="65" t="s">
        <v>138</v>
      </c>
    </row>
    <row r="139" spans="1:7" ht="12.75" x14ac:dyDescent="0.2">
      <c r="B139" s="40" t="s">
        <v>139</v>
      </c>
      <c r="C139" s="41"/>
      <c r="D139" s="65" t="s">
        <v>138</v>
      </c>
    </row>
    <row r="140" spans="1:7" ht="12.75" x14ac:dyDescent="0.2">
      <c r="B140" s="42" t="s">
        <v>140</v>
      </c>
      <c r="C140" s="41"/>
      <c r="D140" s="43"/>
    </row>
    <row r="141" spans="1:7" ht="25.5" customHeight="1" x14ac:dyDescent="0.2">
      <c r="B141" s="43"/>
      <c r="C141" s="33" t="s">
        <v>141</v>
      </c>
      <c r="D141" s="34" t="s">
        <v>142</v>
      </c>
    </row>
    <row r="142" spans="1:7" ht="12.75" customHeight="1" x14ac:dyDescent="0.2">
      <c r="B142" s="60" t="s">
        <v>143</v>
      </c>
      <c r="C142" s="61" t="s">
        <v>144</v>
      </c>
      <c r="D142" s="61" t="s">
        <v>145</v>
      </c>
    </row>
    <row r="143" spans="1:7" ht="12.75" x14ac:dyDescent="0.2">
      <c r="B143" s="43" t="s">
        <v>146</v>
      </c>
      <c r="C143" s="44">
        <v>8.0052000000000003</v>
      </c>
      <c r="D143" s="44">
        <v>8.1159999999999997</v>
      </c>
    </row>
    <row r="144" spans="1:7" ht="12.75" x14ac:dyDescent="0.2">
      <c r="B144" s="43" t="s">
        <v>147</v>
      </c>
      <c r="C144" s="44">
        <v>8.0052000000000003</v>
      </c>
      <c r="D144" s="44">
        <v>8.1159999999999997</v>
      </c>
    </row>
    <row r="145" spans="2:4" ht="12.75" x14ac:dyDescent="0.2">
      <c r="B145" s="43" t="s">
        <v>148</v>
      </c>
      <c r="C145" s="44">
        <v>7.8795000000000002</v>
      </c>
      <c r="D145" s="44">
        <v>7.9875999999999996</v>
      </c>
    </row>
    <row r="146" spans="2:4" ht="12.75" x14ac:dyDescent="0.2">
      <c r="B146" s="43" t="s">
        <v>149</v>
      </c>
      <c r="C146" s="44">
        <v>7.8795000000000002</v>
      </c>
      <c r="D146" s="44">
        <v>7.9875999999999996</v>
      </c>
    </row>
    <row r="148" spans="2:4" ht="12.75" x14ac:dyDescent="0.2">
      <c r="B148" s="62" t="s">
        <v>150</v>
      </c>
      <c r="C148" s="45"/>
      <c r="D148" s="63" t="s">
        <v>138</v>
      </c>
    </row>
    <row r="149" spans="2:4" ht="24.75" customHeight="1" x14ac:dyDescent="0.2">
      <c r="B149" s="64"/>
      <c r="C149" s="64"/>
    </row>
    <row r="150" spans="2:4" ht="15" x14ac:dyDescent="0.25">
      <c r="B150" s="66"/>
      <c r="C150" s="68"/>
      <c r="D150"/>
    </row>
    <row r="152" spans="2:4" ht="12.75" x14ac:dyDescent="0.2">
      <c r="B152" s="42" t="s">
        <v>151</v>
      </c>
      <c r="C152" s="41"/>
      <c r="D152" s="67" t="s">
        <v>138</v>
      </c>
    </row>
    <row r="153" spans="2:4" ht="12.75" x14ac:dyDescent="0.2">
      <c r="B153" s="42" t="s">
        <v>152</v>
      </c>
      <c r="C153" s="41"/>
      <c r="D153" s="67" t="s">
        <v>138</v>
      </c>
    </row>
    <row r="154" spans="2:4" ht="12.75" x14ac:dyDescent="0.2">
      <c r="B154" s="42" t="s">
        <v>153</v>
      </c>
      <c r="C154" s="41"/>
      <c r="D154" s="46">
        <v>0.18125351191273958</v>
      </c>
    </row>
    <row r="155" spans="2:4" ht="12.75" x14ac:dyDescent="0.2">
      <c r="B155" s="42" t="s">
        <v>154</v>
      </c>
      <c r="C155" s="41"/>
      <c r="D155" s="46" t="s">
        <v>138</v>
      </c>
    </row>
  </sheetData>
  <mergeCells count="5">
    <mergeCell ref="A1:G1"/>
    <mergeCell ref="A2:G2"/>
    <mergeCell ref="A3:G3"/>
    <mergeCell ref="B134:F134"/>
    <mergeCell ref="B135:F13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59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532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23565</v>
      </c>
      <c r="F7" s="53">
        <v>211.49587500000001</v>
      </c>
      <c r="G7" s="5">
        <v>4.9542489000000002E-2</v>
      </c>
    </row>
    <row r="8" spans="1:7" ht="12.75" x14ac:dyDescent="0.2">
      <c r="A8" s="6">
        <v>2</v>
      </c>
      <c r="B8" s="7" t="s">
        <v>159</v>
      </c>
      <c r="C8" s="11" t="s">
        <v>160</v>
      </c>
      <c r="D8" s="2" t="s">
        <v>19</v>
      </c>
      <c r="E8" s="47">
        <v>88740</v>
      </c>
      <c r="F8" s="53">
        <v>166.03254000000001</v>
      </c>
      <c r="G8" s="5">
        <v>3.8892793000000002E-2</v>
      </c>
    </row>
    <row r="9" spans="1:7" ht="25.5" x14ac:dyDescent="0.2">
      <c r="A9" s="6">
        <v>3</v>
      </c>
      <c r="B9" s="7" t="s">
        <v>161</v>
      </c>
      <c r="C9" s="11" t="s">
        <v>162</v>
      </c>
      <c r="D9" s="2" t="s">
        <v>163</v>
      </c>
      <c r="E9" s="47">
        <v>40418</v>
      </c>
      <c r="F9" s="53">
        <v>147.40444600000001</v>
      </c>
      <c r="G9" s="5">
        <v>3.4529198999999997E-2</v>
      </c>
    </row>
    <row r="10" spans="1:7" ht="25.5" x14ac:dyDescent="0.2">
      <c r="A10" s="6">
        <v>4</v>
      </c>
      <c r="B10" s="7" t="s">
        <v>55</v>
      </c>
      <c r="C10" s="11" t="s">
        <v>56</v>
      </c>
      <c r="D10" s="2" t="s">
        <v>22</v>
      </c>
      <c r="E10" s="47">
        <v>24447</v>
      </c>
      <c r="F10" s="53">
        <v>144.34731149999999</v>
      </c>
      <c r="G10" s="5">
        <v>3.3813071E-2</v>
      </c>
    </row>
    <row r="11" spans="1:7" ht="25.5" x14ac:dyDescent="0.2">
      <c r="A11" s="6">
        <v>5</v>
      </c>
      <c r="B11" s="7" t="s">
        <v>23</v>
      </c>
      <c r="C11" s="11" t="s">
        <v>24</v>
      </c>
      <c r="D11" s="2" t="s">
        <v>22</v>
      </c>
      <c r="E11" s="47">
        <v>22133</v>
      </c>
      <c r="F11" s="53">
        <v>133.09679550000001</v>
      </c>
      <c r="G11" s="5">
        <v>3.1177659999999999E-2</v>
      </c>
    </row>
    <row r="12" spans="1:7" ht="25.5" x14ac:dyDescent="0.2">
      <c r="A12" s="6">
        <v>6</v>
      </c>
      <c r="B12" s="7" t="s">
        <v>38</v>
      </c>
      <c r="C12" s="11" t="s">
        <v>39</v>
      </c>
      <c r="D12" s="2" t="s">
        <v>40</v>
      </c>
      <c r="E12" s="47">
        <v>28281</v>
      </c>
      <c r="F12" s="53">
        <v>122.004234</v>
      </c>
      <c r="G12" s="5">
        <v>2.8579249000000001E-2</v>
      </c>
    </row>
    <row r="13" spans="1:7" ht="25.5" x14ac:dyDescent="0.2">
      <c r="A13" s="6">
        <v>7</v>
      </c>
      <c r="B13" s="7" t="s">
        <v>102</v>
      </c>
      <c r="C13" s="11" t="s">
        <v>103</v>
      </c>
      <c r="D13" s="2" t="s">
        <v>13</v>
      </c>
      <c r="E13" s="47">
        <v>113155</v>
      </c>
      <c r="F13" s="53">
        <v>116.43649499999999</v>
      </c>
      <c r="G13" s="5">
        <v>2.7275018000000002E-2</v>
      </c>
    </row>
    <row r="14" spans="1:7" ht="25.5" x14ac:dyDescent="0.2">
      <c r="A14" s="6">
        <v>8</v>
      </c>
      <c r="B14" s="7" t="s">
        <v>188</v>
      </c>
      <c r="C14" s="11" t="s">
        <v>189</v>
      </c>
      <c r="D14" s="2" t="s">
        <v>47</v>
      </c>
      <c r="E14" s="47">
        <v>5363</v>
      </c>
      <c r="F14" s="53">
        <v>113.9986095</v>
      </c>
      <c r="G14" s="5">
        <v>2.6703948000000002E-2</v>
      </c>
    </row>
    <row r="15" spans="1:7" ht="25.5" x14ac:dyDescent="0.2">
      <c r="A15" s="6">
        <v>9</v>
      </c>
      <c r="B15" s="7" t="s">
        <v>81</v>
      </c>
      <c r="C15" s="11" t="s">
        <v>82</v>
      </c>
      <c r="D15" s="2" t="s">
        <v>22</v>
      </c>
      <c r="E15" s="47">
        <v>10300</v>
      </c>
      <c r="F15" s="53">
        <v>103.03605</v>
      </c>
      <c r="G15" s="5">
        <v>2.413599E-2</v>
      </c>
    </row>
    <row r="16" spans="1:7" ht="12.75" x14ac:dyDescent="0.2">
      <c r="A16" s="6">
        <v>10</v>
      </c>
      <c r="B16" s="7" t="s">
        <v>288</v>
      </c>
      <c r="C16" s="11" t="s">
        <v>289</v>
      </c>
      <c r="D16" s="2" t="s">
        <v>290</v>
      </c>
      <c r="E16" s="47">
        <v>152417</v>
      </c>
      <c r="F16" s="53">
        <v>102.271807</v>
      </c>
      <c r="G16" s="5">
        <v>2.3956967999999999E-2</v>
      </c>
    </row>
    <row r="17" spans="1:7" ht="25.5" x14ac:dyDescent="0.2">
      <c r="A17" s="6">
        <v>11</v>
      </c>
      <c r="B17" s="7" t="s">
        <v>169</v>
      </c>
      <c r="C17" s="11" t="s">
        <v>170</v>
      </c>
      <c r="D17" s="2" t="s">
        <v>27</v>
      </c>
      <c r="E17" s="47">
        <v>8318</v>
      </c>
      <c r="F17" s="53">
        <v>99.267011999999994</v>
      </c>
      <c r="G17" s="5">
        <v>2.3253099999999999E-2</v>
      </c>
    </row>
    <row r="18" spans="1:7" ht="25.5" x14ac:dyDescent="0.2">
      <c r="A18" s="6">
        <v>12</v>
      </c>
      <c r="B18" s="7" t="s">
        <v>171</v>
      </c>
      <c r="C18" s="11" t="s">
        <v>172</v>
      </c>
      <c r="D18" s="2" t="s">
        <v>22</v>
      </c>
      <c r="E18" s="47">
        <v>24546</v>
      </c>
      <c r="F18" s="53">
        <v>98.871288000000007</v>
      </c>
      <c r="G18" s="5">
        <v>2.3160403E-2</v>
      </c>
    </row>
    <row r="19" spans="1:7" ht="12.75" x14ac:dyDescent="0.2">
      <c r="A19" s="6">
        <v>13</v>
      </c>
      <c r="B19" s="7" t="s">
        <v>229</v>
      </c>
      <c r="C19" s="11" t="s">
        <v>230</v>
      </c>
      <c r="D19" s="2" t="s">
        <v>50</v>
      </c>
      <c r="E19" s="47">
        <v>41124</v>
      </c>
      <c r="F19" s="53">
        <v>98.162987999999999</v>
      </c>
      <c r="G19" s="5">
        <v>2.2994484999999999E-2</v>
      </c>
    </row>
    <row r="20" spans="1:7" ht="25.5" x14ac:dyDescent="0.2">
      <c r="A20" s="6">
        <v>14</v>
      </c>
      <c r="B20" s="7" t="s">
        <v>186</v>
      </c>
      <c r="C20" s="11" t="s">
        <v>187</v>
      </c>
      <c r="D20" s="2" t="s">
        <v>183</v>
      </c>
      <c r="E20" s="47">
        <v>17134</v>
      </c>
      <c r="F20" s="53">
        <v>97.286851999999996</v>
      </c>
      <c r="G20" s="5">
        <v>2.2789251999999999E-2</v>
      </c>
    </row>
    <row r="21" spans="1:7" ht="12.75" x14ac:dyDescent="0.2">
      <c r="A21" s="6">
        <v>15</v>
      </c>
      <c r="B21" s="7" t="s">
        <v>166</v>
      </c>
      <c r="C21" s="11" t="s">
        <v>167</v>
      </c>
      <c r="D21" s="2" t="s">
        <v>168</v>
      </c>
      <c r="E21" s="47">
        <v>35220</v>
      </c>
      <c r="F21" s="53">
        <v>89.934269999999998</v>
      </c>
      <c r="G21" s="5">
        <v>2.1066924000000001E-2</v>
      </c>
    </row>
    <row r="22" spans="1:7" ht="25.5" x14ac:dyDescent="0.2">
      <c r="A22" s="6">
        <v>16</v>
      </c>
      <c r="B22" s="7" t="s">
        <v>41</v>
      </c>
      <c r="C22" s="11" t="s">
        <v>42</v>
      </c>
      <c r="D22" s="2" t="s">
        <v>27</v>
      </c>
      <c r="E22" s="47">
        <v>76711</v>
      </c>
      <c r="F22" s="53">
        <v>88.102583499999994</v>
      </c>
      <c r="G22" s="5">
        <v>2.0637855E-2</v>
      </c>
    </row>
    <row r="23" spans="1:7" ht="12.75" x14ac:dyDescent="0.2">
      <c r="A23" s="6">
        <v>17</v>
      </c>
      <c r="B23" s="7" t="s">
        <v>279</v>
      </c>
      <c r="C23" s="11" t="s">
        <v>280</v>
      </c>
      <c r="D23" s="2" t="s">
        <v>281</v>
      </c>
      <c r="E23" s="47">
        <v>10405</v>
      </c>
      <c r="F23" s="53">
        <v>84.212867500000002</v>
      </c>
      <c r="G23" s="5">
        <v>1.9726697000000001E-2</v>
      </c>
    </row>
    <row r="24" spans="1:7" ht="25.5" x14ac:dyDescent="0.2">
      <c r="A24" s="6">
        <v>18</v>
      </c>
      <c r="B24" s="7" t="s">
        <v>83</v>
      </c>
      <c r="C24" s="11" t="s">
        <v>84</v>
      </c>
      <c r="D24" s="2" t="s">
        <v>22</v>
      </c>
      <c r="E24" s="47">
        <v>73167</v>
      </c>
      <c r="F24" s="53">
        <v>79.788613499999997</v>
      </c>
      <c r="G24" s="5">
        <v>1.8690324000000001E-2</v>
      </c>
    </row>
    <row r="25" spans="1:7" ht="51" x14ac:dyDescent="0.2">
      <c r="A25" s="6">
        <v>19</v>
      </c>
      <c r="B25" s="7" t="s">
        <v>247</v>
      </c>
      <c r="C25" s="11" t="s">
        <v>248</v>
      </c>
      <c r="D25" s="2" t="s">
        <v>208</v>
      </c>
      <c r="E25" s="47">
        <v>36333</v>
      </c>
      <c r="F25" s="53">
        <v>78.606445500000007</v>
      </c>
      <c r="G25" s="5">
        <v>1.8413404000000001E-2</v>
      </c>
    </row>
    <row r="26" spans="1:7" ht="12.75" x14ac:dyDescent="0.2">
      <c r="A26" s="6">
        <v>20</v>
      </c>
      <c r="B26" s="7" t="s">
        <v>282</v>
      </c>
      <c r="C26" s="11" t="s">
        <v>283</v>
      </c>
      <c r="D26" s="2" t="s">
        <v>19</v>
      </c>
      <c r="E26" s="47">
        <v>41761</v>
      </c>
      <c r="F26" s="53">
        <v>76.464391000000006</v>
      </c>
      <c r="G26" s="5">
        <v>1.7911632E-2</v>
      </c>
    </row>
    <row r="27" spans="1:7" ht="25.5" x14ac:dyDescent="0.2">
      <c r="A27" s="6">
        <v>21</v>
      </c>
      <c r="B27" s="7" t="s">
        <v>73</v>
      </c>
      <c r="C27" s="11" t="s">
        <v>74</v>
      </c>
      <c r="D27" s="2" t="s">
        <v>22</v>
      </c>
      <c r="E27" s="47">
        <v>11533</v>
      </c>
      <c r="F27" s="53">
        <v>75.575749000000002</v>
      </c>
      <c r="G27" s="5">
        <v>1.7703468999999999E-2</v>
      </c>
    </row>
    <row r="28" spans="1:7" ht="12.75" x14ac:dyDescent="0.2">
      <c r="A28" s="6">
        <v>22</v>
      </c>
      <c r="B28" s="7" t="s">
        <v>61</v>
      </c>
      <c r="C28" s="11" t="s">
        <v>62</v>
      </c>
      <c r="D28" s="2" t="s">
        <v>19</v>
      </c>
      <c r="E28" s="47">
        <v>77859</v>
      </c>
      <c r="F28" s="53">
        <v>75.056076000000004</v>
      </c>
      <c r="G28" s="5">
        <v>1.7581737E-2</v>
      </c>
    </row>
    <row r="29" spans="1:7" ht="12.75" x14ac:dyDescent="0.2">
      <c r="A29" s="6">
        <v>23</v>
      </c>
      <c r="B29" s="7" t="s">
        <v>48</v>
      </c>
      <c r="C29" s="11" t="s">
        <v>49</v>
      </c>
      <c r="D29" s="2" t="s">
        <v>50</v>
      </c>
      <c r="E29" s="47">
        <v>35074</v>
      </c>
      <c r="F29" s="53">
        <v>72.340125</v>
      </c>
      <c r="G29" s="5">
        <v>1.6945531E-2</v>
      </c>
    </row>
    <row r="30" spans="1:7" ht="25.5" x14ac:dyDescent="0.2">
      <c r="A30" s="6">
        <v>24</v>
      </c>
      <c r="B30" s="7" t="s">
        <v>57</v>
      </c>
      <c r="C30" s="11" t="s">
        <v>58</v>
      </c>
      <c r="D30" s="2" t="s">
        <v>27</v>
      </c>
      <c r="E30" s="47">
        <v>18340</v>
      </c>
      <c r="F30" s="53">
        <v>68.380690000000001</v>
      </c>
      <c r="G30" s="5">
        <v>1.6018041E-2</v>
      </c>
    </row>
    <row r="31" spans="1:7" ht="12.75" x14ac:dyDescent="0.2">
      <c r="A31" s="6">
        <v>25</v>
      </c>
      <c r="B31" s="7" t="s">
        <v>51</v>
      </c>
      <c r="C31" s="11" t="s">
        <v>52</v>
      </c>
      <c r="D31" s="2" t="s">
        <v>19</v>
      </c>
      <c r="E31" s="47">
        <v>5552</v>
      </c>
      <c r="F31" s="53">
        <v>62.018616000000002</v>
      </c>
      <c r="G31" s="5">
        <v>1.4527738E-2</v>
      </c>
    </row>
    <row r="32" spans="1:7" ht="12.75" x14ac:dyDescent="0.2">
      <c r="A32" s="6">
        <v>26</v>
      </c>
      <c r="B32" s="7" t="s">
        <v>190</v>
      </c>
      <c r="C32" s="11" t="s">
        <v>191</v>
      </c>
      <c r="D32" s="2" t="s">
        <v>192</v>
      </c>
      <c r="E32" s="47">
        <v>40248</v>
      </c>
      <c r="F32" s="53">
        <v>62.002043999999998</v>
      </c>
      <c r="G32" s="5">
        <v>1.4523856E-2</v>
      </c>
    </row>
    <row r="33" spans="1:7" ht="51" x14ac:dyDescent="0.2">
      <c r="A33" s="6">
        <v>27</v>
      </c>
      <c r="B33" s="7" t="s">
        <v>264</v>
      </c>
      <c r="C33" s="11" t="s">
        <v>265</v>
      </c>
      <c r="D33" s="2" t="s">
        <v>208</v>
      </c>
      <c r="E33" s="47">
        <v>36855</v>
      </c>
      <c r="F33" s="53">
        <v>61.437285000000003</v>
      </c>
      <c r="G33" s="5">
        <v>1.4391562E-2</v>
      </c>
    </row>
    <row r="34" spans="1:7" ht="12.75" x14ac:dyDescent="0.2">
      <c r="A34" s="6">
        <v>28</v>
      </c>
      <c r="B34" s="7" t="s">
        <v>193</v>
      </c>
      <c r="C34" s="11" t="s">
        <v>194</v>
      </c>
      <c r="D34" s="2" t="s">
        <v>72</v>
      </c>
      <c r="E34" s="47">
        <v>6703</v>
      </c>
      <c r="F34" s="53">
        <v>59.465664500000003</v>
      </c>
      <c r="G34" s="5">
        <v>1.3929713999999999E-2</v>
      </c>
    </row>
    <row r="35" spans="1:7" ht="12.75" x14ac:dyDescent="0.2">
      <c r="A35" s="6">
        <v>29</v>
      </c>
      <c r="B35" s="7" t="s">
        <v>195</v>
      </c>
      <c r="C35" s="11" t="s">
        <v>196</v>
      </c>
      <c r="D35" s="2" t="s">
        <v>197</v>
      </c>
      <c r="E35" s="47">
        <v>41794</v>
      </c>
      <c r="F35" s="53">
        <v>55.899475000000002</v>
      </c>
      <c r="G35" s="5">
        <v>1.3094341000000001E-2</v>
      </c>
    </row>
    <row r="36" spans="1:7" ht="12.75" x14ac:dyDescent="0.2">
      <c r="A36" s="6">
        <v>30</v>
      </c>
      <c r="B36" s="7" t="s">
        <v>254</v>
      </c>
      <c r="C36" s="11" t="s">
        <v>255</v>
      </c>
      <c r="D36" s="2" t="s">
        <v>168</v>
      </c>
      <c r="E36" s="47">
        <v>19619</v>
      </c>
      <c r="F36" s="53">
        <v>54.334820499999999</v>
      </c>
      <c r="G36" s="5">
        <v>1.2727824E-2</v>
      </c>
    </row>
    <row r="37" spans="1:7" ht="25.5" x14ac:dyDescent="0.2">
      <c r="A37" s="6">
        <v>31</v>
      </c>
      <c r="B37" s="7" t="s">
        <v>97</v>
      </c>
      <c r="C37" s="11" t="s">
        <v>98</v>
      </c>
      <c r="D37" s="2" t="s">
        <v>99</v>
      </c>
      <c r="E37" s="47">
        <v>27204</v>
      </c>
      <c r="F37" s="53">
        <v>53.605482000000002</v>
      </c>
      <c r="G37" s="5">
        <v>1.2556978E-2</v>
      </c>
    </row>
    <row r="38" spans="1:7" ht="25.5" x14ac:dyDescent="0.2">
      <c r="A38" s="6">
        <v>32</v>
      </c>
      <c r="B38" s="7" t="s">
        <v>209</v>
      </c>
      <c r="C38" s="11" t="s">
        <v>210</v>
      </c>
      <c r="D38" s="2" t="s">
        <v>22</v>
      </c>
      <c r="E38" s="47">
        <v>7905</v>
      </c>
      <c r="F38" s="53">
        <v>53.176935</v>
      </c>
      <c r="G38" s="5">
        <v>1.2456590999999999E-2</v>
      </c>
    </row>
    <row r="39" spans="1:7" ht="25.5" x14ac:dyDescent="0.2">
      <c r="A39" s="6">
        <v>33</v>
      </c>
      <c r="B39" s="7" t="s">
        <v>200</v>
      </c>
      <c r="C39" s="11" t="s">
        <v>201</v>
      </c>
      <c r="D39" s="2" t="s">
        <v>30</v>
      </c>
      <c r="E39" s="47">
        <v>17398</v>
      </c>
      <c r="F39" s="53">
        <v>52.080913000000002</v>
      </c>
      <c r="G39" s="5">
        <v>1.219985E-2</v>
      </c>
    </row>
    <row r="40" spans="1:7" ht="12.75" x14ac:dyDescent="0.2">
      <c r="A40" s="6">
        <v>34</v>
      </c>
      <c r="B40" s="7" t="s">
        <v>184</v>
      </c>
      <c r="C40" s="11" t="s">
        <v>185</v>
      </c>
      <c r="D40" s="2" t="s">
        <v>16</v>
      </c>
      <c r="E40" s="47">
        <v>28149</v>
      </c>
      <c r="F40" s="53">
        <v>50.710423499999997</v>
      </c>
      <c r="G40" s="5">
        <v>1.1878816E-2</v>
      </c>
    </row>
    <row r="41" spans="1:7" ht="25.5" x14ac:dyDescent="0.2">
      <c r="A41" s="6">
        <v>35</v>
      </c>
      <c r="B41" s="7" t="s">
        <v>284</v>
      </c>
      <c r="C41" s="11" t="s">
        <v>285</v>
      </c>
      <c r="D41" s="2" t="s">
        <v>30</v>
      </c>
      <c r="E41" s="47">
        <v>60000</v>
      </c>
      <c r="F41" s="53">
        <v>50.61</v>
      </c>
      <c r="G41" s="5">
        <v>1.1855292E-2</v>
      </c>
    </row>
    <row r="42" spans="1:7" ht="25.5" x14ac:dyDescent="0.2">
      <c r="A42" s="6">
        <v>36</v>
      </c>
      <c r="B42" s="7" t="s">
        <v>493</v>
      </c>
      <c r="C42" s="11" t="s">
        <v>494</v>
      </c>
      <c r="D42" s="2" t="s">
        <v>27</v>
      </c>
      <c r="E42" s="47">
        <v>3424</v>
      </c>
      <c r="F42" s="53">
        <v>48.910128</v>
      </c>
      <c r="G42" s="5">
        <v>1.14571E-2</v>
      </c>
    </row>
    <row r="43" spans="1:7" ht="12.75" x14ac:dyDescent="0.2">
      <c r="A43" s="6">
        <v>37</v>
      </c>
      <c r="B43" s="7" t="s">
        <v>204</v>
      </c>
      <c r="C43" s="11" t="s">
        <v>205</v>
      </c>
      <c r="D43" s="2" t="s">
        <v>72</v>
      </c>
      <c r="E43" s="47">
        <v>17896</v>
      </c>
      <c r="F43" s="53">
        <v>48.829236000000002</v>
      </c>
      <c r="G43" s="5">
        <v>1.1438152E-2</v>
      </c>
    </row>
    <row r="44" spans="1:7" ht="12.75" x14ac:dyDescent="0.2">
      <c r="A44" s="6">
        <v>38</v>
      </c>
      <c r="B44" s="7" t="s">
        <v>479</v>
      </c>
      <c r="C44" s="11" t="s">
        <v>480</v>
      </c>
      <c r="D44" s="2" t="s">
        <v>226</v>
      </c>
      <c r="E44" s="47">
        <v>40937</v>
      </c>
      <c r="F44" s="53">
        <v>48.735498499999999</v>
      </c>
      <c r="G44" s="5">
        <v>1.1416193999999999E-2</v>
      </c>
    </row>
    <row r="45" spans="1:7" ht="25.5" x14ac:dyDescent="0.2">
      <c r="A45" s="6">
        <v>39</v>
      </c>
      <c r="B45" s="7" t="s">
        <v>43</v>
      </c>
      <c r="C45" s="11" t="s">
        <v>44</v>
      </c>
      <c r="D45" s="2" t="s">
        <v>22</v>
      </c>
      <c r="E45" s="47">
        <v>6884</v>
      </c>
      <c r="F45" s="53">
        <v>47.926408000000002</v>
      </c>
      <c r="G45" s="5">
        <v>1.1226666E-2</v>
      </c>
    </row>
    <row r="46" spans="1:7" ht="38.25" x14ac:dyDescent="0.2">
      <c r="A46" s="6">
        <v>40</v>
      </c>
      <c r="B46" s="7" t="s">
        <v>75</v>
      </c>
      <c r="C46" s="11" t="s">
        <v>76</v>
      </c>
      <c r="D46" s="2" t="s">
        <v>77</v>
      </c>
      <c r="E46" s="47">
        <v>59259</v>
      </c>
      <c r="F46" s="53">
        <v>46.696092</v>
      </c>
      <c r="G46" s="5">
        <v>1.0938467E-2</v>
      </c>
    </row>
    <row r="47" spans="1:7" ht="25.5" x14ac:dyDescent="0.2">
      <c r="A47" s="6">
        <v>41</v>
      </c>
      <c r="B47" s="7" t="s">
        <v>231</v>
      </c>
      <c r="C47" s="11" t="s">
        <v>232</v>
      </c>
      <c r="D47" s="2" t="s">
        <v>47</v>
      </c>
      <c r="E47" s="47">
        <v>18315</v>
      </c>
      <c r="F47" s="53">
        <v>46.190429999999999</v>
      </c>
      <c r="G47" s="5">
        <v>1.0820016E-2</v>
      </c>
    </row>
    <row r="48" spans="1:7" ht="51" x14ac:dyDescent="0.2">
      <c r="A48" s="6">
        <v>42</v>
      </c>
      <c r="B48" s="7" t="s">
        <v>206</v>
      </c>
      <c r="C48" s="11" t="s">
        <v>207</v>
      </c>
      <c r="D48" s="2" t="s">
        <v>208</v>
      </c>
      <c r="E48" s="47">
        <v>74739</v>
      </c>
      <c r="F48" s="53">
        <v>45.665528999999999</v>
      </c>
      <c r="G48" s="5">
        <v>1.0697059E-2</v>
      </c>
    </row>
    <row r="49" spans="1:7" ht="25.5" x14ac:dyDescent="0.2">
      <c r="A49" s="6">
        <v>43</v>
      </c>
      <c r="B49" s="7" t="s">
        <v>215</v>
      </c>
      <c r="C49" s="11" t="s">
        <v>216</v>
      </c>
      <c r="D49" s="2" t="s">
        <v>13</v>
      </c>
      <c r="E49" s="47">
        <v>76923</v>
      </c>
      <c r="F49" s="53">
        <v>44.461494000000002</v>
      </c>
      <c r="G49" s="5">
        <v>1.0415017E-2</v>
      </c>
    </row>
    <row r="50" spans="1:7" ht="12.75" x14ac:dyDescent="0.2">
      <c r="A50" s="6">
        <v>44</v>
      </c>
      <c r="B50" s="7" t="s">
        <v>262</v>
      </c>
      <c r="C50" s="11" t="s">
        <v>263</v>
      </c>
      <c r="D50" s="2" t="s">
        <v>242</v>
      </c>
      <c r="E50" s="47">
        <v>48651</v>
      </c>
      <c r="F50" s="53">
        <v>44.321061</v>
      </c>
      <c r="G50" s="5">
        <v>1.038212E-2</v>
      </c>
    </row>
    <row r="51" spans="1:7" ht="25.5" x14ac:dyDescent="0.2">
      <c r="A51" s="6">
        <v>45</v>
      </c>
      <c r="B51" s="7" t="s">
        <v>181</v>
      </c>
      <c r="C51" s="11" t="s">
        <v>182</v>
      </c>
      <c r="D51" s="2" t="s">
        <v>183</v>
      </c>
      <c r="E51" s="47">
        <v>37225</v>
      </c>
      <c r="F51" s="53">
        <v>44.223300000000002</v>
      </c>
      <c r="G51" s="5">
        <v>1.0359220000000001E-2</v>
      </c>
    </row>
    <row r="52" spans="1:7" ht="12.75" x14ac:dyDescent="0.2">
      <c r="A52" s="6">
        <v>46</v>
      </c>
      <c r="B52" s="7" t="s">
        <v>175</v>
      </c>
      <c r="C52" s="11" t="s">
        <v>176</v>
      </c>
      <c r="D52" s="2" t="s">
        <v>19</v>
      </c>
      <c r="E52" s="47">
        <v>52696</v>
      </c>
      <c r="F52" s="53">
        <v>44.185595999999997</v>
      </c>
      <c r="G52" s="5">
        <v>1.0350388E-2</v>
      </c>
    </row>
    <row r="53" spans="1:7" ht="12.75" x14ac:dyDescent="0.2">
      <c r="A53" s="6">
        <v>47</v>
      </c>
      <c r="B53" s="7" t="s">
        <v>211</v>
      </c>
      <c r="C53" s="11" t="s">
        <v>212</v>
      </c>
      <c r="D53" s="2" t="s">
        <v>72</v>
      </c>
      <c r="E53" s="47">
        <v>140045</v>
      </c>
      <c r="F53" s="53">
        <v>41.593364999999999</v>
      </c>
      <c r="G53" s="5">
        <v>9.7431630000000009E-3</v>
      </c>
    </row>
    <row r="54" spans="1:7" ht="12.75" x14ac:dyDescent="0.2">
      <c r="A54" s="6">
        <v>48</v>
      </c>
      <c r="B54" s="7" t="s">
        <v>463</v>
      </c>
      <c r="C54" s="11" t="s">
        <v>464</v>
      </c>
      <c r="D54" s="2" t="s">
        <v>192</v>
      </c>
      <c r="E54" s="47">
        <v>7030</v>
      </c>
      <c r="F54" s="53">
        <v>40.791575000000002</v>
      </c>
      <c r="G54" s="5">
        <v>9.5553449999999998E-3</v>
      </c>
    </row>
    <row r="55" spans="1:7" ht="12.75" x14ac:dyDescent="0.2">
      <c r="A55" s="6">
        <v>49</v>
      </c>
      <c r="B55" s="7" t="s">
        <v>221</v>
      </c>
      <c r="C55" s="11" t="s">
        <v>222</v>
      </c>
      <c r="D55" s="2" t="s">
        <v>223</v>
      </c>
      <c r="E55" s="47">
        <v>8912</v>
      </c>
      <c r="F55" s="53">
        <v>40.433743999999997</v>
      </c>
      <c r="G55" s="5">
        <v>9.4715240000000003E-3</v>
      </c>
    </row>
    <row r="56" spans="1:7" ht="12.75" x14ac:dyDescent="0.2">
      <c r="A56" s="6">
        <v>50</v>
      </c>
      <c r="B56" s="7" t="s">
        <v>268</v>
      </c>
      <c r="C56" s="11" t="s">
        <v>269</v>
      </c>
      <c r="D56" s="2" t="s">
        <v>72</v>
      </c>
      <c r="E56" s="47">
        <v>8699</v>
      </c>
      <c r="F56" s="53">
        <v>39.045461500000002</v>
      </c>
      <c r="G56" s="5">
        <v>9.1463220000000001E-3</v>
      </c>
    </row>
    <row r="57" spans="1:7" ht="12.75" x14ac:dyDescent="0.2">
      <c r="A57" s="6">
        <v>51</v>
      </c>
      <c r="B57" s="7" t="s">
        <v>250</v>
      </c>
      <c r="C57" s="11" t="s">
        <v>251</v>
      </c>
      <c r="D57" s="2" t="s">
        <v>168</v>
      </c>
      <c r="E57" s="47">
        <v>9362</v>
      </c>
      <c r="F57" s="53">
        <v>37.298208000000002</v>
      </c>
      <c r="G57" s="5">
        <v>8.7370309999999993E-3</v>
      </c>
    </row>
    <row r="58" spans="1:7" ht="12.75" x14ac:dyDescent="0.2">
      <c r="A58" s="6">
        <v>52</v>
      </c>
      <c r="B58" s="7" t="s">
        <v>68</v>
      </c>
      <c r="C58" s="11" t="s">
        <v>69</v>
      </c>
      <c r="D58" s="2" t="s">
        <v>50</v>
      </c>
      <c r="E58" s="47">
        <v>16933</v>
      </c>
      <c r="F58" s="53">
        <v>36.06729</v>
      </c>
      <c r="G58" s="5">
        <v>8.4486909999999995E-3</v>
      </c>
    </row>
    <row r="59" spans="1:7" ht="12.75" x14ac:dyDescent="0.2">
      <c r="A59" s="6">
        <v>53</v>
      </c>
      <c r="B59" s="7" t="s">
        <v>198</v>
      </c>
      <c r="C59" s="11" t="s">
        <v>199</v>
      </c>
      <c r="D59" s="2" t="s">
        <v>40</v>
      </c>
      <c r="E59" s="47">
        <v>59449</v>
      </c>
      <c r="F59" s="53">
        <v>35.491053000000001</v>
      </c>
      <c r="G59" s="5">
        <v>8.3137090000000007E-3</v>
      </c>
    </row>
    <row r="60" spans="1:7" ht="25.5" x14ac:dyDescent="0.2">
      <c r="A60" s="6">
        <v>54</v>
      </c>
      <c r="B60" s="7" t="s">
        <v>177</v>
      </c>
      <c r="C60" s="11" t="s">
        <v>178</v>
      </c>
      <c r="D60" s="2" t="s">
        <v>47</v>
      </c>
      <c r="E60" s="47">
        <v>18961</v>
      </c>
      <c r="F60" s="53">
        <v>30.944351999999999</v>
      </c>
      <c r="G60" s="5">
        <v>7.2486529999999999E-3</v>
      </c>
    </row>
    <row r="61" spans="1:7" ht="12.75" x14ac:dyDescent="0.2">
      <c r="A61" s="6">
        <v>55</v>
      </c>
      <c r="B61" s="7" t="s">
        <v>87</v>
      </c>
      <c r="C61" s="11" t="s">
        <v>88</v>
      </c>
      <c r="D61" s="2"/>
      <c r="E61" s="47">
        <v>16556</v>
      </c>
      <c r="F61" s="53">
        <v>28.161756</v>
      </c>
      <c r="G61" s="5">
        <v>6.5968349999999997E-3</v>
      </c>
    </row>
    <row r="62" spans="1:7" ht="12.75" x14ac:dyDescent="0.2">
      <c r="A62" s="6">
        <v>56</v>
      </c>
      <c r="B62" s="7" t="s">
        <v>227</v>
      </c>
      <c r="C62" s="11" t="s">
        <v>228</v>
      </c>
      <c r="D62" s="2" t="s">
        <v>158</v>
      </c>
      <c r="E62" s="47">
        <v>15555</v>
      </c>
      <c r="F62" s="53">
        <v>26.186842500000001</v>
      </c>
      <c r="G62" s="5">
        <v>6.1342159999999996E-3</v>
      </c>
    </row>
    <row r="63" spans="1:7" ht="12.75" x14ac:dyDescent="0.2">
      <c r="A63" s="6">
        <v>57</v>
      </c>
      <c r="B63" s="7" t="s">
        <v>235</v>
      </c>
      <c r="C63" s="11" t="s">
        <v>236</v>
      </c>
      <c r="D63" s="2" t="s">
        <v>237</v>
      </c>
      <c r="E63" s="47">
        <v>2354</v>
      </c>
      <c r="F63" s="53">
        <v>25.841035000000002</v>
      </c>
      <c r="G63" s="5">
        <v>6.0532110000000002E-3</v>
      </c>
    </row>
    <row r="64" spans="1:7" ht="12.75" x14ac:dyDescent="0.2">
      <c r="A64" s="6">
        <v>58</v>
      </c>
      <c r="B64" s="7" t="s">
        <v>270</v>
      </c>
      <c r="C64" s="11" t="s">
        <v>271</v>
      </c>
      <c r="D64" s="2" t="s">
        <v>192</v>
      </c>
      <c r="E64" s="47">
        <v>32984</v>
      </c>
      <c r="F64" s="53">
        <v>24.935904000000001</v>
      </c>
      <c r="G64" s="5">
        <v>5.8411859999999999E-3</v>
      </c>
    </row>
    <row r="65" spans="1:7" ht="12.75" x14ac:dyDescent="0.2">
      <c r="A65" s="6">
        <v>59</v>
      </c>
      <c r="B65" s="7" t="s">
        <v>233</v>
      </c>
      <c r="C65" s="11" t="s">
        <v>234</v>
      </c>
      <c r="D65" s="2" t="s">
        <v>192</v>
      </c>
      <c r="E65" s="47">
        <v>11778</v>
      </c>
      <c r="F65" s="53">
        <v>21.347625000000001</v>
      </c>
      <c r="G65" s="5">
        <v>5.0006390000000003E-3</v>
      </c>
    </row>
    <row r="66" spans="1:7" ht="12.75" x14ac:dyDescent="0.2">
      <c r="A66" s="6">
        <v>60</v>
      </c>
      <c r="B66" s="7" t="s">
        <v>238</v>
      </c>
      <c r="C66" s="11" t="s">
        <v>239</v>
      </c>
      <c r="D66" s="2" t="s">
        <v>72</v>
      </c>
      <c r="E66" s="47">
        <v>37882</v>
      </c>
      <c r="F66" s="53">
        <v>20.285810999999999</v>
      </c>
      <c r="G66" s="5">
        <v>4.7519110000000002E-3</v>
      </c>
    </row>
    <row r="67" spans="1:7" ht="12.75" x14ac:dyDescent="0.2">
      <c r="A67" s="6">
        <v>61</v>
      </c>
      <c r="B67" s="7" t="s">
        <v>100</v>
      </c>
      <c r="C67" s="11" t="s">
        <v>101</v>
      </c>
      <c r="D67" s="2" t="s">
        <v>50</v>
      </c>
      <c r="E67" s="47">
        <v>19930</v>
      </c>
      <c r="F67" s="53">
        <v>19.023185000000002</v>
      </c>
      <c r="G67" s="5">
        <v>4.4561430000000001E-3</v>
      </c>
    </row>
    <row r="68" spans="1:7" ht="12.75" x14ac:dyDescent="0.2">
      <c r="A68" s="6">
        <v>62</v>
      </c>
      <c r="B68" s="7" t="s">
        <v>240</v>
      </c>
      <c r="C68" s="11" t="s">
        <v>241</v>
      </c>
      <c r="D68" s="2" t="s">
        <v>242</v>
      </c>
      <c r="E68" s="47">
        <v>4634</v>
      </c>
      <c r="F68" s="53">
        <v>18.848794999999999</v>
      </c>
      <c r="G68" s="5">
        <v>4.4152929999999998E-3</v>
      </c>
    </row>
    <row r="69" spans="1:7" ht="38.25" x14ac:dyDescent="0.2">
      <c r="A69" s="6">
        <v>63</v>
      </c>
      <c r="B69" s="7" t="s">
        <v>272</v>
      </c>
      <c r="C69" s="11" t="s">
        <v>273</v>
      </c>
      <c r="D69" s="2" t="s">
        <v>274</v>
      </c>
      <c r="E69" s="47">
        <v>11719</v>
      </c>
      <c r="F69" s="53">
        <v>8.7189359999999994</v>
      </c>
      <c r="G69" s="5">
        <v>2.042393E-3</v>
      </c>
    </row>
    <row r="70" spans="1:7" ht="12.75" x14ac:dyDescent="0.2">
      <c r="A70" s="6">
        <v>64</v>
      </c>
      <c r="B70" s="7" t="s">
        <v>106</v>
      </c>
      <c r="C70" s="11" t="s">
        <v>107</v>
      </c>
      <c r="D70" s="2" t="s">
        <v>50</v>
      </c>
      <c r="E70" s="47">
        <v>16556</v>
      </c>
      <c r="F70" s="53">
        <v>7.9468800000000002</v>
      </c>
      <c r="G70" s="5">
        <v>1.861541E-3</v>
      </c>
    </row>
    <row r="71" spans="1:7" ht="25.5" x14ac:dyDescent="0.2">
      <c r="A71" s="6">
        <v>65</v>
      </c>
      <c r="B71" s="7" t="s">
        <v>243</v>
      </c>
      <c r="C71" s="11" t="s">
        <v>244</v>
      </c>
      <c r="D71" s="2" t="s">
        <v>163</v>
      </c>
      <c r="E71" s="47">
        <v>12909</v>
      </c>
      <c r="F71" s="53">
        <v>7.8680355000000004</v>
      </c>
      <c r="G71" s="5">
        <v>1.8430720000000001E-3</v>
      </c>
    </row>
    <row r="72" spans="1:7" ht="25.5" x14ac:dyDescent="0.2">
      <c r="A72" s="6">
        <v>66</v>
      </c>
      <c r="B72" s="7" t="s">
        <v>245</v>
      </c>
      <c r="C72" s="11" t="s">
        <v>246</v>
      </c>
      <c r="D72" s="2" t="s">
        <v>30</v>
      </c>
      <c r="E72" s="47">
        <v>42928</v>
      </c>
      <c r="F72" s="53">
        <v>3.0049600000000001</v>
      </c>
      <c r="G72" s="5">
        <v>7.0390600000000002E-4</v>
      </c>
    </row>
    <row r="73" spans="1:7" ht="12.75" x14ac:dyDescent="0.2">
      <c r="A73" s="6">
        <v>67</v>
      </c>
      <c r="B73" s="7" t="s">
        <v>276</v>
      </c>
      <c r="C73" s="11" t="s">
        <v>277</v>
      </c>
      <c r="D73" s="2" t="s">
        <v>72</v>
      </c>
      <c r="E73" s="47">
        <v>1687</v>
      </c>
      <c r="F73" s="53">
        <v>1.31586</v>
      </c>
      <c r="G73" s="5">
        <v>3.0823800000000001E-4</v>
      </c>
    </row>
    <row r="74" spans="1:7" ht="12.75" x14ac:dyDescent="0.2">
      <c r="A74" s="1"/>
      <c r="B74" s="2"/>
      <c r="C74" s="8" t="s">
        <v>108</v>
      </c>
      <c r="D74" s="12"/>
      <c r="E74" s="49"/>
      <c r="F74" s="55">
        <v>4182.8112190000002</v>
      </c>
      <c r="G74" s="13">
        <v>0.97981522199999982</v>
      </c>
    </row>
    <row r="75" spans="1:7" ht="12.75" x14ac:dyDescent="0.2">
      <c r="A75" s="6"/>
      <c r="B75" s="7"/>
      <c r="C75" s="14"/>
      <c r="D75" s="15"/>
      <c r="E75" s="47"/>
      <c r="F75" s="53"/>
      <c r="G75" s="5"/>
    </row>
    <row r="76" spans="1:7" ht="12.75" x14ac:dyDescent="0.2">
      <c r="A76" s="1"/>
      <c r="B76" s="2"/>
      <c r="C76" s="8" t="s">
        <v>109</v>
      </c>
      <c r="D76" s="9"/>
      <c r="E76" s="48"/>
      <c r="F76" s="54"/>
      <c r="G76" s="10"/>
    </row>
    <row r="77" spans="1:7" ht="12.75" x14ac:dyDescent="0.2">
      <c r="A77" s="1"/>
      <c r="B77" s="2"/>
      <c r="C77" s="8" t="s">
        <v>108</v>
      </c>
      <c r="D77" s="12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15"/>
      <c r="E78" s="47"/>
      <c r="F78" s="53"/>
      <c r="G78" s="5"/>
    </row>
    <row r="79" spans="1:7" ht="12.75" x14ac:dyDescent="0.2">
      <c r="A79" s="16"/>
      <c r="B79" s="17"/>
      <c r="C79" s="8" t="s">
        <v>110</v>
      </c>
      <c r="D79" s="9"/>
      <c r="E79" s="48"/>
      <c r="F79" s="54"/>
      <c r="G79" s="10"/>
    </row>
    <row r="80" spans="1:7" ht="12.75" x14ac:dyDescent="0.2">
      <c r="A80" s="18"/>
      <c r="B80" s="19"/>
      <c r="C80" s="8" t="s">
        <v>108</v>
      </c>
      <c r="D80" s="20"/>
      <c r="E80" s="50"/>
      <c r="F80" s="56">
        <v>0</v>
      </c>
      <c r="G80" s="21">
        <v>0</v>
      </c>
    </row>
    <row r="81" spans="1:7" ht="12.75" x14ac:dyDescent="0.2">
      <c r="A81" s="18"/>
      <c r="B81" s="19"/>
      <c r="C81" s="14"/>
      <c r="D81" s="22"/>
      <c r="E81" s="51"/>
      <c r="F81" s="57"/>
      <c r="G81" s="23"/>
    </row>
    <row r="82" spans="1:7" ht="12.75" x14ac:dyDescent="0.2">
      <c r="A82" s="1"/>
      <c r="B82" s="2"/>
      <c r="C82" s="8" t="s">
        <v>113</v>
      </c>
      <c r="D82" s="9"/>
      <c r="E82" s="48"/>
      <c r="F82" s="54"/>
      <c r="G82" s="10"/>
    </row>
    <row r="83" spans="1:7" ht="12.75" x14ac:dyDescent="0.2">
      <c r="A83" s="1"/>
      <c r="B83" s="2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1"/>
      <c r="B84" s="2"/>
      <c r="C84" s="14"/>
      <c r="D84" s="4"/>
      <c r="E84" s="47"/>
      <c r="F84" s="53"/>
      <c r="G84" s="5"/>
    </row>
    <row r="85" spans="1:7" ht="12.75" x14ac:dyDescent="0.2">
      <c r="A85" s="1"/>
      <c r="B85" s="2"/>
      <c r="C85" s="8" t="s">
        <v>114</v>
      </c>
      <c r="D85" s="9"/>
      <c r="E85" s="48"/>
      <c r="F85" s="54"/>
      <c r="G85" s="10"/>
    </row>
    <row r="86" spans="1:7" ht="12.75" x14ac:dyDescent="0.2">
      <c r="A86" s="1"/>
      <c r="B86" s="2"/>
      <c r="C86" s="8" t="s">
        <v>108</v>
      </c>
      <c r="D86" s="12"/>
      <c r="E86" s="49"/>
      <c r="F86" s="55">
        <v>0</v>
      </c>
      <c r="G86" s="13">
        <v>0</v>
      </c>
    </row>
    <row r="87" spans="1:7" ht="12.75" x14ac:dyDescent="0.2">
      <c r="A87" s="1"/>
      <c r="B87" s="2"/>
      <c r="C87" s="14"/>
      <c r="D87" s="4"/>
      <c r="E87" s="47"/>
      <c r="F87" s="53"/>
      <c r="G87" s="5"/>
    </row>
    <row r="88" spans="1:7" ht="12.75" x14ac:dyDescent="0.2">
      <c r="A88" s="1"/>
      <c r="B88" s="2"/>
      <c r="C88" s="8" t="s">
        <v>115</v>
      </c>
      <c r="D88" s="9"/>
      <c r="E88" s="48"/>
      <c r="F88" s="54"/>
      <c r="G88" s="10"/>
    </row>
    <row r="89" spans="1:7" ht="12.75" x14ac:dyDescent="0.2">
      <c r="A89" s="1"/>
      <c r="B89" s="2"/>
      <c r="C89" s="8" t="s">
        <v>108</v>
      </c>
      <c r="D89" s="12"/>
      <c r="E89" s="49"/>
      <c r="F89" s="55">
        <v>0</v>
      </c>
      <c r="G89" s="13">
        <v>0</v>
      </c>
    </row>
    <row r="90" spans="1:7" ht="12.75" x14ac:dyDescent="0.2">
      <c r="A90" s="1"/>
      <c r="B90" s="2"/>
      <c r="C90" s="14"/>
      <c r="D90" s="4"/>
      <c r="E90" s="47"/>
      <c r="F90" s="53"/>
      <c r="G90" s="5"/>
    </row>
    <row r="91" spans="1:7" ht="25.5" x14ac:dyDescent="0.2">
      <c r="A91" s="6"/>
      <c r="B91" s="7"/>
      <c r="C91" s="24" t="s">
        <v>116</v>
      </c>
      <c r="D91" s="25"/>
      <c r="E91" s="49"/>
      <c r="F91" s="55">
        <v>4182.8112190000002</v>
      </c>
      <c r="G91" s="13">
        <v>0.97981522199999982</v>
      </c>
    </row>
    <row r="92" spans="1:7" ht="12.75" x14ac:dyDescent="0.2">
      <c r="A92" s="1"/>
      <c r="B92" s="2"/>
      <c r="C92" s="11"/>
      <c r="D92" s="4"/>
      <c r="E92" s="47"/>
      <c r="F92" s="53"/>
      <c r="G92" s="5"/>
    </row>
    <row r="93" spans="1:7" ht="12.75" x14ac:dyDescent="0.2">
      <c r="A93" s="1"/>
      <c r="B93" s="2"/>
      <c r="C93" s="3" t="s">
        <v>117</v>
      </c>
      <c r="D93" s="4"/>
      <c r="E93" s="47"/>
      <c r="F93" s="53"/>
      <c r="G93" s="5"/>
    </row>
    <row r="94" spans="1:7" ht="25.5" x14ac:dyDescent="0.2">
      <c r="A94" s="1"/>
      <c r="B94" s="2"/>
      <c r="C94" s="8" t="s">
        <v>10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12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4"/>
      <c r="E96" s="47"/>
      <c r="F96" s="53"/>
      <c r="G96" s="5"/>
    </row>
    <row r="97" spans="1:7" ht="12.75" x14ac:dyDescent="0.2">
      <c r="A97" s="1"/>
      <c r="B97" s="26"/>
      <c r="C97" s="8" t="s">
        <v>118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12"/>
      <c r="E98" s="49"/>
      <c r="F98" s="55">
        <v>0</v>
      </c>
      <c r="G98" s="13">
        <v>0</v>
      </c>
    </row>
    <row r="99" spans="1:7" ht="12.75" x14ac:dyDescent="0.2">
      <c r="A99" s="6"/>
      <c r="B99" s="7"/>
      <c r="C99" s="14"/>
      <c r="D99" s="4"/>
      <c r="E99" s="47"/>
      <c r="F99" s="59"/>
      <c r="G99" s="28"/>
    </row>
    <row r="100" spans="1:7" ht="12.75" x14ac:dyDescent="0.2">
      <c r="A100" s="1"/>
      <c r="B100" s="2"/>
      <c r="C100" s="8" t="s">
        <v>119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12"/>
      <c r="E101" s="49"/>
      <c r="F101" s="55">
        <v>0</v>
      </c>
      <c r="G101" s="13">
        <v>0</v>
      </c>
    </row>
    <row r="102" spans="1:7" ht="12.75" x14ac:dyDescent="0.2">
      <c r="A102" s="1"/>
      <c r="B102" s="2"/>
      <c r="C102" s="14"/>
      <c r="D102" s="4"/>
      <c r="E102" s="47"/>
      <c r="F102" s="53"/>
      <c r="G102" s="5"/>
    </row>
    <row r="103" spans="1:7" ht="25.5" x14ac:dyDescent="0.2">
      <c r="A103" s="1"/>
      <c r="B103" s="26"/>
      <c r="C103" s="8" t="s">
        <v>120</v>
      </c>
      <c r="D103" s="9"/>
      <c r="E103" s="48"/>
      <c r="F103" s="54"/>
      <c r="G103" s="10"/>
    </row>
    <row r="104" spans="1:7" ht="12.75" x14ac:dyDescent="0.2">
      <c r="A104" s="6"/>
      <c r="B104" s="7"/>
      <c r="C104" s="8" t="s">
        <v>108</v>
      </c>
      <c r="D104" s="12"/>
      <c r="E104" s="49"/>
      <c r="F104" s="55">
        <v>0</v>
      </c>
      <c r="G104" s="13">
        <v>0</v>
      </c>
    </row>
    <row r="105" spans="1:7" ht="12.75" x14ac:dyDescent="0.2">
      <c r="A105" s="6"/>
      <c r="B105" s="7"/>
      <c r="C105" s="14"/>
      <c r="D105" s="4"/>
      <c r="E105" s="47"/>
      <c r="F105" s="53"/>
      <c r="G105" s="5"/>
    </row>
    <row r="106" spans="1:7" ht="12.75" x14ac:dyDescent="0.2">
      <c r="A106" s="6"/>
      <c r="B106" s="7"/>
      <c r="C106" s="29" t="s">
        <v>121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1"/>
      <c r="D107" s="4"/>
      <c r="E107" s="47"/>
      <c r="F107" s="53"/>
      <c r="G107" s="5"/>
    </row>
    <row r="108" spans="1:7" ht="12.75" x14ac:dyDescent="0.2">
      <c r="A108" s="1"/>
      <c r="B108" s="2"/>
      <c r="C108" s="3" t="s">
        <v>122</v>
      </c>
      <c r="D108" s="4"/>
      <c r="E108" s="47"/>
      <c r="F108" s="53"/>
      <c r="G108" s="5"/>
    </row>
    <row r="109" spans="1:7" ht="12.75" x14ac:dyDescent="0.2">
      <c r="A109" s="6"/>
      <c r="B109" s="7"/>
      <c r="C109" s="8" t="s">
        <v>123</v>
      </c>
      <c r="D109" s="9"/>
      <c r="E109" s="48"/>
      <c r="F109" s="54"/>
      <c r="G109" s="10"/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0</v>
      </c>
      <c r="G110" s="13">
        <v>0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12.75" x14ac:dyDescent="0.2">
      <c r="A112" s="6"/>
      <c r="B112" s="7"/>
      <c r="C112" s="8" t="s">
        <v>124</v>
      </c>
      <c r="D112" s="9"/>
      <c r="E112" s="48"/>
      <c r="F112" s="54"/>
      <c r="G112" s="10"/>
    </row>
    <row r="113" spans="1:7" ht="12.75" x14ac:dyDescent="0.2">
      <c r="A113" s="6"/>
      <c r="B113" s="7"/>
      <c r="C113" s="8" t="s">
        <v>108</v>
      </c>
      <c r="D113" s="25"/>
      <c r="E113" s="49"/>
      <c r="F113" s="55">
        <v>0</v>
      </c>
      <c r="G113" s="13">
        <v>0</v>
      </c>
    </row>
    <row r="114" spans="1:7" ht="12.75" x14ac:dyDescent="0.2">
      <c r="A114" s="6"/>
      <c r="B114" s="7"/>
      <c r="C114" s="14"/>
      <c r="D114" s="7"/>
      <c r="E114" s="47"/>
      <c r="F114" s="53"/>
      <c r="G114" s="5"/>
    </row>
    <row r="115" spans="1:7" ht="12.75" x14ac:dyDescent="0.2">
      <c r="A115" s="6"/>
      <c r="B115" s="7"/>
      <c r="C115" s="8" t="s">
        <v>125</v>
      </c>
      <c r="D115" s="9"/>
      <c r="E115" s="48"/>
      <c r="F115" s="54"/>
      <c r="G115" s="10"/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0</v>
      </c>
      <c r="G116" s="13">
        <v>0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12.75" x14ac:dyDescent="0.2">
      <c r="A118" s="6"/>
      <c r="B118" s="7"/>
      <c r="C118" s="8" t="s">
        <v>126</v>
      </c>
      <c r="D118" s="9"/>
      <c r="E118" s="48"/>
      <c r="F118" s="54"/>
      <c r="G118" s="10"/>
    </row>
    <row r="119" spans="1:7" ht="12.75" x14ac:dyDescent="0.2">
      <c r="A119" s="6">
        <v>1</v>
      </c>
      <c r="B119" s="7"/>
      <c r="C119" s="11" t="s">
        <v>812</v>
      </c>
      <c r="D119" s="15"/>
      <c r="E119" s="47"/>
      <c r="F119" s="53">
        <v>75.990006800000003</v>
      </c>
      <c r="G119" s="5">
        <v>1.7800508E-2</v>
      </c>
    </row>
    <row r="120" spans="1:7" ht="12.75" x14ac:dyDescent="0.2">
      <c r="A120" s="6"/>
      <c r="B120" s="7"/>
      <c r="C120" s="8" t="s">
        <v>108</v>
      </c>
      <c r="D120" s="25"/>
      <c r="E120" s="49"/>
      <c r="F120" s="55">
        <v>75.990006800000003</v>
      </c>
      <c r="G120" s="13">
        <v>1.7800508E-2</v>
      </c>
    </row>
    <row r="121" spans="1:7" ht="12.75" x14ac:dyDescent="0.2">
      <c r="A121" s="6"/>
      <c r="B121" s="7"/>
      <c r="C121" s="14"/>
      <c r="D121" s="7"/>
      <c r="E121" s="47"/>
      <c r="F121" s="53"/>
      <c r="G121" s="5"/>
    </row>
    <row r="122" spans="1:7" ht="25.5" x14ac:dyDescent="0.2">
      <c r="A122" s="6"/>
      <c r="B122" s="7"/>
      <c r="C122" s="24" t="s">
        <v>127</v>
      </c>
      <c r="D122" s="25"/>
      <c r="E122" s="49"/>
      <c r="F122" s="55">
        <v>75.990006800000003</v>
      </c>
      <c r="G122" s="13">
        <v>1.7800508E-2</v>
      </c>
    </row>
    <row r="123" spans="1:7" ht="12.75" x14ac:dyDescent="0.2">
      <c r="A123" s="6"/>
      <c r="B123" s="7"/>
      <c r="C123" s="30"/>
      <c r="D123" s="7"/>
      <c r="E123" s="47"/>
      <c r="F123" s="53"/>
      <c r="G123" s="5"/>
    </row>
    <row r="124" spans="1:7" ht="12.75" x14ac:dyDescent="0.2">
      <c r="A124" s="1"/>
      <c r="B124" s="2"/>
      <c r="C124" s="3" t="s">
        <v>128</v>
      </c>
      <c r="D124" s="4"/>
      <c r="E124" s="47"/>
      <c r="F124" s="53"/>
      <c r="G124" s="5"/>
    </row>
    <row r="125" spans="1:7" ht="25.5" x14ac:dyDescent="0.2">
      <c r="A125" s="6"/>
      <c r="B125" s="7"/>
      <c r="C125" s="8" t="s">
        <v>129</v>
      </c>
      <c r="D125" s="9"/>
      <c r="E125" s="48"/>
      <c r="F125" s="54"/>
      <c r="G125" s="10"/>
    </row>
    <row r="126" spans="1:7" ht="12.75" x14ac:dyDescent="0.2">
      <c r="A126" s="6"/>
      <c r="B126" s="7"/>
      <c r="C126" s="8" t="s">
        <v>108</v>
      </c>
      <c r="D126" s="25"/>
      <c r="E126" s="49"/>
      <c r="F126" s="55">
        <v>0</v>
      </c>
      <c r="G126" s="13">
        <v>0</v>
      </c>
    </row>
    <row r="127" spans="1:7" ht="12.75" x14ac:dyDescent="0.2">
      <c r="A127" s="6"/>
      <c r="B127" s="7"/>
      <c r="C127" s="14"/>
      <c r="D127" s="7"/>
      <c r="E127" s="47"/>
      <c r="F127" s="53"/>
      <c r="G127" s="5"/>
    </row>
    <row r="128" spans="1:7" ht="12.75" x14ac:dyDescent="0.2">
      <c r="A128" s="1"/>
      <c r="B128" s="2"/>
      <c r="C128" s="3" t="s">
        <v>131</v>
      </c>
      <c r="D128" s="4"/>
      <c r="E128" s="47"/>
      <c r="F128" s="53"/>
      <c r="G128" s="5"/>
    </row>
    <row r="129" spans="1:7" ht="25.5" x14ac:dyDescent="0.2">
      <c r="A129" s="6"/>
      <c r="B129" s="7"/>
      <c r="C129" s="8" t="s">
        <v>132</v>
      </c>
      <c r="D129" s="9"/>
      <c r="E129" s="48"/>
      <c r="F129" s="54"/>
      <c r="G129" s="10"/>
    </row>
    <row r="130" spans="1:7" ht="12.75" x14ac:dyDescent="0.2">
      <c r="A130" s="6"/>
      <c r="B130" s="7"/>
      <c r="C130" s="8" t="s">
        <v>108</v>
      </c>
      <c r="D130" s="25"/>
      <c r="E130" s="49"/>
      <c r="F130" s="55">
        <v>0</v>
      </c>
      <c r="G130" s="13">
        <v>0</v>
      </c>
    </row>
    <row r="131" spans="1:7" ht="12.75" x14ac:dyDescent="0.2">
      <c r="A131" s="6"/>
      <c r="B131" s="7"/>
      <c r="C131" s="14"/>
      <c r="D131" s="7"/>
      <c r="E131" s="47"/>
      <c r="F131" s="53"/>
      <c r="G131" s="5"/>
    </row>
    <row r="132" spans="1:7" ht="25.5" x14ac:dyDescent="0.2">
      <c r="A132" s="6"/>
      <c r="B132" s="7"/>
      <c r="C132" s="8" t="s">
        <v>133</v>
      </c>
      <c r="D132" s="9"/>
      <c r="E132" s="48"/>
      <c r="F132" s="54"/>
      <c r="G132" s="10"/>
    </row>
    <row r="133" spans="1:7" ht="12.75" x14ac:dyDescent="0.2">
      <c r="A133" s="6"/>
      <c r="B133" s="7"/>
      <c r="C133" s="8" t="s">
        <v>108</v>
      </c>
      <c r="D133" s="25"/>
      <c r="E133" s="49"/>
      <c r="F133" s="55">
        <v>0</v>
      </c>
      <c r="G133" s="13">
        <v>0</v>
      </c>
    </row>
    <row r="134" spans="1:7" ht="12.75" x14ac:dyDescent="0.2">
      <c r="A134" s="6"/>
      <c r="B134" s="7"/>
      <c r="C134" s="14"/>
      <c r="D134" s="7"/>
      <c r="E134" s="47"/>
      <c r="F134" s="59"/>
      <c r="G134" s="28"/>
    </row>
    <row r="135" spans="1:7" ht="25.5" x14ac:dyDescent="0.2">
      <c r="A135" s="6"/>
      <c r="B135" s="7"/>
      <c r="C135" s="30" t="s">
        <v>134</v>
      </c>
      <c r="D135" s="7"/>
      <c r="E135" s="47"/>
      <c r="F135" s="59">
        <v>10.1784154</v>
      </c>
      <c r="G135" s="28">
        <v>2.384274E-3</v>
      </c>
    </row>
    <row r="136" spans="1:7" ht="12.75" x14ac:dyDescent="0.2">
      <c r="A136" s="6"/>
      <c r="B136" s="7"/>
      <c r="C136" s="31" t="s">
        <v>135</v>
      </c>
      <c r="D136" s="12"/>
      <c r="E136" s="49"/>
      <c r="F136" s="55">
        <v>4268.9796412000005</v>
      </c>
      <c r="G136" s="13">
        <v>1.0000000039999999</v>
      </c>
    </row>
    <row r="138" spans="1:7" ht="12.75" x14ac:dyDescent="0.2">
      <c r="B138" s="179"/>
      <c r="C138" s="179"/>
      <c r="D138" s="179"/>
      <c r="E138" s="179"/>
      <c r="F138" s="179"/>
    </row>
    <row r="139" spans="1:7" ht="12.75" x14ac:dyDescent="0.2">
      <c r="B139" s="179"/>
      <c r="C139" s="179"/>
      <c r="D139" s="179"/>
      <c r="E139" s="179"/>
      <c r="F139" s="179"/>
    </row>
    <row r="141" spans="1:7" ht="12.75" x14ac:dyDescent="0.2">
      <c r="B141" s="37" t="s">
        <v>137</v>
      </c>
      <c r="C141" s="38"/>
      <c r="D141" s="39"/>
    </row>
    <row r="142" spans="1:7" ht="12.75" x14ac:dyDescent="0.2">
      <c r="B142" s="40" t="s">
        <v>808</v>
      </c>
      <c r="C142" s="41"/>
      <c r="D142" s="65" t="s">
        <v>138</v>
      </c>
    </row>
    <row r="143" spans="1:7" ht="12.75" x14ac:dyDescent="0.2">
      <c r="B143" s="40" t="s">
        <v>139</v>
      </c>
      <c r="C143" s="41"/>
      <c r="D143" s="65" t="s">
        <v>138</v>
      </c>
    </row>
    <row r="144" spans="1:7" ht="12.75" x14ac:dyDescent="0.2">
      <c r="B144" s="42" t="s">
        <v>140</v>
      </c>
      <c r="C144" s="41"/>
      <c r="D144" s="43"/>
    </row>
    <row r="145" spans="2:4" ht="25.5" customHeight="1" x14ac:dyDescent="0.2">
      <c r="B145" s="43"/>
      <c r="C145" s="33" t="s">
        <v>141</v>
      </c>
      <c r="D145" s="34" t="s">
        <v>142</v>
      </c>
    </row>
    <row r="146" spans="2:4" ht="12.75" customHeight="1" x14ac:dyDescent="0.2">
      <c r="B146" s="60" t="s">
        <v>143</v>
      </c>
      <c r="C146" s="61" t="s">
        <v>144</v>
      </c>
      <c r="D146" s="61" t="s">
        <v>145</v>
      </c>
    </row>
    <row r="147" spans="2:4" ht="12.75" x14ac:dyDescent="0.2">
      <c r="B147" s="43" t="s">
        <v>146</v>
      </c>
      <c r="C147" s="44">
        <v>7.7775999999999996</v>
      </c>
      <c r="D147" s="44">
        <v>7.8548999999999998</v>
      </c>
    </row>
    <row r="148" spans="2:4" ht="12.75" x14ac:dyDescent="0.2">
      <c r="B148" s="43" t="s">
        <v>147</v>
      </c>
      <c r="C148" s="44">
        <v>7.7775999999999996</v>
      </c>
      <c r="D148" s="44">
        <v>7.8550000000000004</v>
      </c>
    </row>
    <row r="149" spans="2:4" ht="12.75" x14ac:dyDescent="0.2">
      <c r="B149" s="43" t="s">
        <v>148</v>
      </c>
      <c r="C149" s="44">
        <v>7.6706000000000003</v>
      </c>
      <c r="D149" s="44">
        <v>7.7447999999999997</v>
      </c>
    </row>
    <row r="150" spans="2:4" ht="12.75" x14ac:dyDescent="0.2">
      <c r="B150" s="43" t="s">
        <v>149</v>
      </c>
      <c r="C150" s="44">
        <v>7.6706000000000003</v>
      </c>
      <c r="D150" s="44">
        <v>7.7447999999999997</v>
      </c>
    </row>
    <row r="152" spans="2:4" ht="12.75" x14ac:dyDescent="0.2">
      <c r="B152" s="62" t="s">
        <v>150</v>
      </c>
      <c r="C152" s="45"/>
      <c r="D152" s="63" t="s">
        <v>138</v>
      </c>
    </row>
    <row r="153" spans="2:4" ht="24.75" customHeight="1" x14ac:dyDescent="0.2">
      <c r="B153" s="64"/>
      <c r="C153" s="64"/>
    </row>
    <row r="154" spans="2:4" ht="15" x14ac:dyDescent="0.25">
      <c r="B154" s="66"/>
      <c r="C154" s="68"/>
      <c r="D154"/>
    </row>
    <row r="156" spans="2:4" ht="12.75" x14ac:dyDescent="0.2">
      <c r="B156" s="42" t="s">
        <v>151</v>
      </c>
      <c r="C156" s="41"/>
      <c r="D156" s="67" t="s">
        <v>138</v>
      </c>
    </row>
    <row r="157" spans="2:4" ht="12.75" x14ac:dyDescent="0.2">
      <c r="B157" s="42" t="s">
        <v>152</v>
      </c>
      <c r="C157" s="41"/>
      <c r="D157" s="67" t="s">
        <v>138</v>
      </c>
    </row>
    <row r="158" spans="2:4" ht="12.75" x14ac:dyDescent="0.2">
      <c r="B158" s="42" t="s">
        <v>153</v>
      </c>
      <c r="C158" s="41"/>
      <c r="D158" s="46">
        <v>0.19915412990598277</v>
      </c>
    </row>
    <row r="159" spans="2:4" ht="12.75" x14ac:dyDescent="0.2">
      <c r="B159" s="42" t="s">
        <v>154</v>
      </c>
      <c r="C159" s="41"/>
      <c r="D159" s="46" t="s">
        <v>138</v>
      </c>
    </row>
  </sheetData>
  <mergeCells count="5">
    <mergeCell ref="A1:G1"/>
    <mergeCell ref="A2:G2"/>
    <mergeCell ref="A3:G3"/>
    <mergeCell ref="B138:F138"/>
    <mergeCell ref="B139:F139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56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533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20900</v>
      </c>
      <c r="F7" s="53">
        <v>187.57749999999999</v>
      </c>
      <c r="G7" s="5">
        <v>4.9495036999999999E-2</v>
      </c>
    </row>
    <row r="8" spans="1:7" ht="25.5" x14ac:dyDescent="0.2">
      <c r="A8" s="6">
        <v>2</v>
      </c>
      <c r="B8" s="7" t="s">
        <v>209</v>
      </c>
      <c r="C8" s="11" t="s">
        <v>210</v>
      </c>
      <c r="D8" s="2" t="s">
        <v>22</v>
      </c>
      <c r="E8" s="47">
        <v>25568</v>
      </c>
      <c r="F8" s="53">
        <v>171.995936</v>
      </c>
      <c r="G8" s="5">
        <v>4.5383616000000002E-2</v>
      </c>
    </row>
    <row r="9" spans="1:7" ht="12.75" x14ac:dyDescent="0.2">
      <c r="A9" s="6">
        <v>3</v>
      </c>
      <c r="B9" s="7" t="s">
        <v>159</v>
      </c>
      <c r="C9" s="11" t="s">
        <v>160</v>
      </c>
      <c r="D9" s="2" t="s">
        <v>19</v>
      </c>
      <c r="E9" s="47">
        <v>78642</v>
      </c>
      <c r="F9" s="53">
        <v>147.13918200000001</v>
      </c>
      <c r="G9" s="5">
        <v>3.8824801999999999E-2</v>
      </c>
    </row>
    <row r="10" spans="1:7" ht="25.5" x14ac:dyDescent="0.2">
      <c r="A10" s="6">
        <v>4</v>
      </c>
      <c r="B10" s="7" t="s">
        <v>55</v>
      </c>
      <c r="C10" s="11" t="s">
        <v>56</v>
      </c>
      <c r="D10" s="2" t="s">
        <v>22</v>
      </c>
      <c r="E10" s="47">
        <v>22423</v>
      </c>
      <c r="F10" s="53">
        <v>132.3966035</v>
      </c>
      <c r="G10" s="5">
        <v>3.4934759000000003E-2</v>
      </c>
    </row>
    <row r="11" spans="1:7" ht="25.5" x14ac:dyDescent="0.2">
      <c r="A11" s="6">
        <v>5</v>
      </c>
      <c r="B11" s="7" t="s">
        <v>161</v>
      </c>
      <c r="C11" s="11" t="s">
        <v>162</v>
      </c>
      <c r="D11" s="2" t="s">
        <v>163</v>
      </c>
      <c r="E11" s="47">
        <v>35756</v>
      </c>
      <c r="F11" s="53">
        <v>130.40213199999999</v>
      </c>
      <c r="G11" s="5">
        <v>3.4408489E-2</v>
      </c>
    </row>
    <row r="12" spans="1:7" ht="25.5" x14ac:dyDescent="0.2">
      <c r="A12" s="6">
        <v>6</v>
      </c>
      <c r="B12" s="7" t="s">
        <v>38</v>
      </c>
      <c r="C12" s="11" t="s">
        <v>39</v>
      </c>
      <c r="D12" s="2" t="s">
        <v>40</v>
      </c>
      <c r="E12" s="47">
        <v>29129</v>
      </c>
      <c r="F12" s="53">
        <v>125.66250599999999</v>
      </c>
      <c r="G12" s="5">
        <v>3.3157869999999999E-2</v>
      </c>
    </row>
    <row r="13" spans="1:7" ht="25.5" x14ac:dyDescent="0.2">
      <c r="A13" s="6">
        <v>7</v>
      </c>
      <c r="B13" s="7" t="s">
        <v>102</v>
      </c>
      <c r="C13" s="11" t="s">
        <v>103</v>
      </c>
      <c r="D13" s="2" t="s">
        <v>13</v>
      </c>
      <c r="E13" s="47">
        <v>100176</v>
      </c>
      <c r="F13" s="53">
        <v>103.081104</v>
      </c>
      <c r="G13" s="5">
        <v>2.7199441000000001E-2</v>
      </c>
    </row>
    <row r="14" spans="1:7" ht="25.5" x14ac:dyDescent="0.2">
      <c r="A14" s="6">
        <v>8</v>
      </c>
      <c r="B14" s="7" t="s">
        <v>81</v>
      </c>
      <c r="C14" s="11" t="s">
        <v>82</v>
      </c>
      <c r="D14" s="2" t="s">
        <v>22</v>
      </c>
      <c r="E14" s="47">
        <v>9300</v>
      </c>
      <c r="F14" s="53">
        <v>93.032550000000001</v>
      </c>
      <c r="G14" s="5">
        <v>2.4547983999999998E-2</v>
      </c>
    </row>
    <row r="15" spans="1:7" ht="12.75" x14ac:dyDescent="0.2">
      <c r="A15" s="6">
        <v>9</v>
      </c>
      <c r="B15" s="7" t="s">
        <v>288</v>
      </c>
      <c r="C15" s="11" t="s">
        <v>289</v>
      </c>
      <c r="D15" s="2" t="s">
        <v>290</v>
      </c>
      <c r="E15" s="47">
        <v>136241</v>
      </c>
      <c r="F15" s="53">
        <v>91.417710999999997</v>
      </c>
      <c r="G15" s="5">
        <v>2.4121885999999999E-2</v>
      </c>
    </row>
    <row r="16" spans="1:7" ht="12.75" x14ac:dyDescent="0.2">
      <c r="A16" s="6">
        <v>10</v>
      </c>
      <c r="B16" s="7" t="s">
        <v>229</v>
      </c>
      <c r="C16" s="11" t="s">
        <v>230</v>
      </c>
      <c r="D16" s="2" t="s">
        <v>50</v>
      </c>
      <c r="E16" s="47">
        <v>37163</v>
      </c>
      <c r="F16" s="53">
        <v>88.708081000000007</v>
      </c>
      <c r="G16" s="5">
        <v>2.340691E-2</v>
      </c>
    </row>
    <row r="17" spans="1:7" ht="25.5" x14ac:dyDescent="0.2">
      <c r="A17" s="6">
        <v>11</v>
      </c>
      <c r="B17" s="7" t="s">
        <v>171</v>
      </c>
      <c r="C17" s="11" t="s">
        <v>172</v>
      </c>
      <c r="D17" s="2" t="s">
        <v>22</v>
      </c>
      <c r="E17" s="47">
        <v>22018</v>
      </c>
      <c r="F17" s="53">
        <v>88.688503999999995</v>
      </c>
      <c r="G17" s="5">
        <v>2.3401745000000002E-2</v>
      </c>
    </row>
    <row r="18" spans="1:7" ht="25.5" x14ac:dyDescent="0.2">
      <c r="A18" s="6">
        <v>12</v>
      </c>
      <c r="B18" s="7" t="s">
        <v>169</v>
      </c>
      <c r="C18" s="11" t="s">
        <v>170</v>
      </c>
      <c r="D18" s="2" t="s">
        <v>27</v>
      </c>
      <c r="E18" s="47">
        <v>7360</v>
      </c>
      <c r="F18" s="53">
        <v>87.834239999999994</v>
      </c>
      <c r="G18" s="5">
        <v>2.3176334999999999E-2</v>
      </c>
    </row>
    <row r="19" spans="1:7" ht="25.5" x14ac:dyDescent="0.2">
      <c r="A19" s="6">
        <v>13</v>
      </c>
      <c r="B19" s="7" t="s">
        <v>186</v>
      </c>
      <c r="C19" s="11" t="s">
        <v>187</v>
      </c>
      <c r="D19" s="2" t="s">
        <v>183</v>
      </c>
      <c r="E19" s="47">
        <v>15130</v>
      </c>
      <c r="F19" s="53">
        <v>85.908140000000003</v>
      </c>
      <c r="G19" s="5">
        <v>2.2668106E-2</v>
      </c>
    </row>
    <row r="20" spans="1:7" ht="12.75" x14ac:dyDescent="0.2">
      <c r="A20" s="6">
        <v>14</v>
      </c>
      <c r="B20" s="7" t="s">
        <v>166</v>
      </c>
      <c r="C20" s="11" t="s">
        <v>167</v>
      </c>
      <c r="D20" s="2" t="s">
        <v>168</v>
      </c>
      <c r="E20" s="47">
        <v>31940</v>
      </c>
      <c r="F20" s="53">
        <v>81.558790000000002</v>
      </c>
      <c r="G20" s="5">
        <v>2.1520467000000001E-2</v>
      </c>
    </row>
    <row r="21" spans="1:7" ht="25.5" x14ac:dyDescent="0.2">
      <c r="A21" s="6">
        <v>15</v>
      </c>
      <c r="B21" s="7" t="s">
        <v>179</v>
      </c>
      <c r="C21" s="11" t="s">
        <v>180</v>
      </c>
      <c r="D21" s="2" t="s">
        <v>22</v>
      </c>
      <c r="E21" s="47">
        <v>25078</v>
      </c>
      <c r="F21" s="53">
        <v>80.023898000000003</v>
      </c>
      <c r="G21" s="5">
        <v>2.1115463000000001E-2</v>
      </c>
    </row>
    <row r="22" spans="1:7" ht="25.5" x14ac:dyDescent="0.2">
      <c r="A22" s="6">
        <v>16</v>
      </c>
      <c r="B22" s="7" t="s">
        <v>41</v>
      </c>
      <c r="C22" s="11" t="s">
        <v>42</v>
      </c>
      <c r="D22" s="2" t="s">
        <v>27</v>
      </c>
      <c r="E22" s="47">
        <v>67937</v>
      </c>
      <c r="F22" s="53">
        <v>78.025644499999999</v>
      </c>
      <c r="G22" s="5">
        <v>2.0588195E-2</v>
      </c>
    </row>
    <row r="23" spans="1:7" ht="25.5" x14ac:dyDescent="0.2">
      <c r="A23" s="6">
        <v>17</v>
      </c>
      <c r="B23" s="7" t="s">
        <v>83</v>
      </c>
      <c r="C23" s="11" t="s">
        <v>84</v>
      </c>
      <c r="D23" s="2" t="s">
        <v>22</v>
      </c>
      <c r="E23" s="47">
        <v>64899</v>
      </c>
      <c r="F23" s="53">
        <v>70.772359499999993</v>
      </c>
      <c r="G23" s="5">
        <v>1.8674310999999999E-2</v>
      </c>
    </row>
    <row r="24" spans="1:7" ht="12.75" x14ac:dyDescent="0.2">
      <c r="A24" s="6">
        <v>18</v>
      </c>
      <c r="B24" s="7" t="s">
        <v>282</v>
      </c>
      <c r="C24" s="11" t="s">
        <v>283</v>
      </c>
      <c r="D24" s="2" t="s">
        <v>19</v>
      </c>
      <c r="E24" s="47">
        <v>38196</v>
      </c>
      <c r="F24" s="53">
        <v>69.936875999999998</v>
      </c>
      <c r="G24" s="5">
        <v>1.8453856000000001E-2</v>
      </c>
    </row>
    <row r="25" spans="1:7" ht="51" x14ac:dyDescent="0.2">
      <c r="A25" s="6">
        <v>19</v>
      </c>
      <c r="B25" s="7" t="s">
        <v>247</v>
      </c>
      <c r="C25" s="11" t="s">
        <v>248</v>
      </c>
      <c r="D25" s="2" t="s">
        <v>208</v>
      </c>
      <c r="E25" s="47">
        <v>31833</v>
      </c>
      <c r="F25" s="53">
        <v>68.870695499999997</v>
      </c>
      <c r="G25" s="5">
        <v>1.8172529E-2</v>
      </c>
    </row>
    <row r="26" spans="1:7" ht="12.75" x14ac:dyDescent="0.2">
      <c r="A26" s="6">
        <v>20</v>
      </c>
      <c r="B26" s="7" t="s">
        <v>61</v>
      </c>
      <c r="C26" s="11" t="s">
        <v>62</v>
      </c>
      <c r="D26" s="2" t="s">
        <v>19</v>
      </c>
      <c r="E26" s="47">
        <v>69927</v>
      </c>
      <c r="F26" s="53">
        <v>67.409627999999998</v>
      </c>
      <c r="G26" s="5">
        <v>1.7787006000000001E-2</v>
      </c>
    </row>
    <row r="27" spans="1:7" ht="12.75" x14ac:dyDescent="0.2">
      <c r="A27" s="6">
        <v>21</v>
      </c>
      <c r="B27" s="7" t="s">
        <v>48</v>
      </c>
      <c r="C27" s="11" t="s">
        <v>49</v>
      </c>
      <c r="D27" s="2" t="s">
        <v>50</v>
      </c>
      <c r="E27" s="47">
        <v>32529</v>
      </c>
      <c r="F27" s="53">
        <v>67.091062500000007</v>
      </c>
      <c r="G27" s="5">
        <v>1.7702947E-2</v>
      </c>
    </row>
    <row r="28" spans="1:7" ht="25.5" x14ac:dyDescent="0.2">
      <c r="A28" s="6">
        <v>22</v>
      </c>
      <c r="B28" s="7" t="s">
        <v>57</v>
      </c>
      <c r="C28" s="11" t="s">
        <v>58</v>
      </c>
      <c r="D28" s="2" t="s">
        <v>27</v>
      </c>
      <c r="E28" s="47">
        <v>16700</v>
      </c>
      <c r="F28" s="53">
        <v>62.265949999999997</v>
      </c>
      <c r="G28" s="5">
        <v>1.6429771999999999E-2</v>
      </c>
    </row>
    <row r="29" spans="1:7" ht="25.5" x14ac:dyDescent="0.2">
      <c r="A29" s="6">
        <v>23</v>
      </c>
      <c r="B29" s="7" t="s">
        <v>20</v>
      </c>
      <c r="C29" s="11" t="s">
        <v>21</v>
      </c>
      <c r="D29" s="2" t="s">
        <v>22</v>
      </c>
      <c r="E29" s="47">
        <v>6946</v>
      </c>
      <c r="F29" s="53">
        <v>61.888860000000001</v>
      </c>
      <c r="G29" s="5">
        <v>1.6330271E-2</v>
      </c>
    </row>
    <row r="30" spans="1:7" ht="12.75" x14ac:dyDescent="0.2">
      <c r="A30" s="6">
        <v>24</v>
      </c>
      <c r="B30" s="7" t="s">
        <v>184</v>
      </c>
      <c r="C30" s="11" t="s">
        <v>185</v>
      </c>
      <c r="D30" s="2" t="s">
        <v>16</v>
      </c>
      <c r="E30" s="47">
        <v>32083</v>
      </c>
      <c r="F30" s="53">
        <v>57.797524500000002</v>
      </c>
      <c r="G30" s="5">
        <v>1.5250713000000001E-2</v>
      </c>
    </row>
    <row r="31" spans="1:7" ht="12.75" x14ac:dyDescent="0.2">
      <c r="A31" s="6">
        <v>25</v>
      </c>
      <c r="B31" s="7" t="s">
        <v>190</v>
      </c>
      <c r="C31" s="11" t="s">
        <v>191</v>
      </c>
      <c r="D31" s="2" t="s">
        <v>192</v>
      </c>
      <c r="E31" s="47">
        <v>37187</v>
      </c>
      <c r="F31" s="53">
        <v>57.286573500000003</v>
      </c>
      <c r="G31" s="5">
        <v>1.5115890999999999E-2</v>
      </c>
    </row>
    <row r="32" spans="1:7" ht="12.75" x14ac:dyDescent="0.2">
      <c r="A32" s="6">
        <v>26</v>
      </c>
      <c r="B32" s="7" t="s">
        <v>193</v>
      </c>
      <c r="C32" s="11" t="s">
        <v>194</v>
      </c>
      <c r="D32" s="2" t="s">
        <v>72</v>
      </c>
      <c r="E32" s="47">
        <v>6229</v>
      </c>
      <c r="F32" s="53">
        <v>55.2605735</v>
      </c>
      <c r="G32" s="5">
        <v>1.4581302000000001E-2</v>
      </c>
    </row>
    <row r="33" spans="1:7" ht="12.75" x14ac:dyDescent="0.2">
      <c r="A33" s="6">
        <v>27</v>
      </c>
      <c r="B33" s="7" t="s">
        <v>51</v>
      </c>
      <c r="C33" s="11" t="s">
        <v>52</v>
      </c>
      <c r="D33" s="2" t="s">
        <v>19</v>
      </c>
      <c r="E33" s="47">
        <v>4900</v>
      </c>
      <c r="F33" s="53">
        <v>54.73545</v>
      </c>
      <c r="G33" s="5">
        <v>1.4442740000000001E-2</v>
      </c>
    </row>
    <row r="34" spans="1:7" ht="25.5" x14ac:dyDescent="0.2">
      <c r="A34" s="6">
        <v>28</v>
      </c>
      <c r="B34" s="7" t="s">
        <v>73</v>
      </c>
      <c r="C34" s="11" t="s">
        <v>74</v>
      </c>
      <c r="D34" s="2" t="s">
        <v>22</v>
      </c>
      <c r="E34" s="47">
        <v>8247</v>
      </c>
      <c r="F34" s="53">
        <v>54.042591000000002</v>
      </c>
      <c r="G34" s="5">
        <v>1.4259918999999999E-2</v>
      </c>
    </row>
    <row r="35" spans="1:7" ht="51" x14ac:dyDescent="0.2">
      <c r="A35" s="6">
        <v>29</v>
      </c>
      <c r="B35" s="7" t="s">
        <v>264</v>
      </c>
      <c r="C35" s="11" t="s">
        <v>265</v>
      </c>
      <c r="D35" s="2" t="s">
        <v>208</v>
      </c>
      <c r="E35" s="47">
        <v>32152</v>
      </c>
      <c r="F35" s="53">
        <v>53.597383999999998</v>
      </c>
      <c r="G35" s="5">
        <v>1.4142445E-2</v>
      </c>
    </row>
    <row r="36" spans="1:7" ht="25.5" x14ac:dyDescent="0.2">
      <c r="A36" s="6">
        <v>30</v>
      </c>
      <c r="B36" s="7" t="s">
        <v>284</v>
      </c>
      <c r="C36" s="11" t="s">
        <v>285</v>
      </c>
      <c r="D36" s="2" t="s">
        <v>30</v>
      </c>
      <c r="E36" s="47">
        <v>60000</v>
      </c>
      <c r="F36" s="53">
        <v>50.61</v>
      </c>
      <c r="G36" s="5">
        <v>1.3354181E-2</v>
      </c>
    </row>
    <row r="37" spans="1:7" ht="12.75" x14ac:dyDescent="0.2">
      <c r="A37" s="6">
        <v>31</v>
      </c>
      <c r="B37" s="7" t="s">
        <v>195</v>
      </c>
      <c r="C37" s="11" t="s">
        <v>196</v>
      </c>
      <c r="D37" s="2" t="s">
        <v>197</v>
      </c>
      <c r="E37" s="47">
        <v>37159</v>
      </c>
      <c r="F37" s="53">
        <v>49.700162499999998</v>
      </c>
      <c r="G37" s="5">
        <v>1.3114107E-2</v>
      </c>
    </row>
    <row r="38" spans="1:7" ht="12.75" x14ac:dyDescent="0.2">
      <c r="A38" s="6">
        <v>32</v>
      </c>
      <c r="B38" s="7" t="s">
        <v>254</v>
      </c>
      <c r="C38" s="11" t="s">
        <v>255</v>
      </c>
      <c r="D38" s="2" t="s">
        <v>168</v>
      </c>
      <c r="E38" s="47">
        <v>17672</v>
      </c>
      <c r="F38" s="53">
        <v>48.942604000000003</v>
      </c>
      <c r="G38" s="5">
        <v>1.2914214E-2</v>
      </c>
    </row>
    <row r="39" spans="1:7" ht="25.5" x14ac:dyDescent="0.2">
      <c r="A39" s="6">
        <v>33</v>
      </c>
      <c r="B39" s="7" t="s">
        <v>188</v>
      </c>
      <c r="C39" s="11" t="s">
        <v>189</v>
      </c>
      <c r="D39" s="2" t="s">
        <v>47</v>
      </c>
      <c r="E39" s="47">
        <v>2285</v>
      </c>
      <c r="F39" s="53">
        <v>48.571102500000002</v>
      </c>
      <c r="G39" s="5">
        <v>1.2816187999999999E-2</v>
      </c>
    </row>
    <row r="40" spans="1:7" ht="25.5" x14ac:dyDescent="0.2">
      <c r="A40" s="6">
        <v>34</v>
      </c>
      <c r="B40" s="7" t="s">
        <v>97</v>
      </c>
      <c r="C40" s="11" t="s">
        <v>98</v>
      </c>
      <c r="D40" s="2" t="s">
        <v>99</v>
      </c>
      <c r="E40" s="47">
        <v>23000</v>
      </c>
      <c r="F40" s="53">
        <v>45.3215</v>
      </c>
      <c r="G40" s="5">
        <v>1.1958732999999999E-2</v>
      </c>
    </row>
    <row r="41" spans="1:7" ht="12.75" x14ac:dyDescent="0.2">
      <c r="A41" s="6">
        <v>35</v>
      </c>
      <c r="B41" s="7" t="s">
        <v>204</v>
      </c>
      <c r="C41" s="11" t="s">
        <v>205</v>
      </c>
      <c r="D41" s="2" t="s">
        <v>72</v>
      </c>
      <c r="E41" s="47">
        <v>15939</v>
      </c>
      <c r="F41" s="53">
        <v>43.489561500000001</v>
      </c>
      <c r="G41" s="5">
        <v>1.147535E-2</v>
      </c>
    </row>
    <row r="42" spans="1:7" ht="12.75" x14ac:dyDescent="0.2">
      <c r="A42" s="6">
        <v>36</v>
      </c>
      <c r="B42" s="7" t="s">
        <v>479</v>
      </c>
      <c r="C42" s="11" t="s">
        <v>480</v>
      </c>
      <c r="D42" s="2" t="s">
        <v>226</v>
      </c>
      <c r="E42" s="47">
        <v>36209</v>
      </c>
      <c r="F42" s="53">
        <v>43.106814499999999</v>
      </c>
      <c r="G42" s="5">
        <v>1.1374357E-2</v>
      </c>
    </row>
    <row r="43" spans="1:7" ht="25.5" x14ac:dyDescent="0.2">
      <c r="A43" s="6">
        <v>37</v>
      </c>
      <c r="B43" s="7" t="s">
        <v>200</v>
      </c>
      <c r="C43" s="11" t="s">
        <v>201</v>
      </c>
      <c r="D43" s="2" t="s">
        <v>30</v>
      </c>
      <c r="E43" s="47">
        <v>14229</v>
      </c>
      <c r="F43" s="53">
        <v>42.594511500000003</v>
      </c>
      <c r="G43" s="5">
        <v>1.1239178000000001E-2</v>
      </c>
    </row>
    <row r="44" spans="1:7" ht="25.5" x14ac:dyDescent="0.2">
      <c r="A44" s="6">
        <v>38</v>
      </c>
      <c r="B44" s="7" t="s">
        <v>43</v>
      </c>
      <c r="C44" s="11" t="s">
        <v>44</v>
      </c>
      <c r="D44" s="2" t="s">
        <v>22</v>
      </c>
      <c r="E44" s="47">
        <v>6082</v>
      </c>
      <c r="F44" s="53">
        <v>42.342883999999998</v>
      </c>
      <c r="G44" s="5">
        <v>1.1172781999999999E-2</v>
      </c>
    </row>
    <row r="45" spans="1:7" ht="25.5" x14ac:dyDescent="0.2">
      <c r="A45" s="6">
        <v>39</v>
      </c>
      <c r="B45" s="7" t="s">
        <v>231</v>
      </c>
      <c r="C45" s="11" t="s">
        <v>232</v>
      </c>
      <c r="D45" s="2" t="s">
        <v>47</v>
      </c>
      <c r="E45" s="47">
        <v>16672</v>
      </c>
      <c r="F45" s="53">
        <v>42.046784000000002</v>
      </c>
      <c r="G45" s="5">
        <v>1.1094652E-2</v>
      </c>
    </row>
    <row r="46" spans="1:7" ht="38.25" x14ac:dyDescent="0.2">
      <c r="A46" s="6">
        <v>40</v>
      </c>
      <c r="B46" s="7" t="s">
        <v>75</v>
      </c>
      <c r="C46" s="11" t="s">
        <v>76</v>
      </c>
      <c r="D46" s="2" t="s">
        <v>77</v>
      </c>
      <c r="E46" s="47">
        <v>52000</v>
      </c>
      <c r="F46" s="53">
        <v>40.975999999999999</v>
      </c>
      <c r="G46" s="5">
        <v>1.081211E-2</v>
      </c>
    </row>
    <row r="47" spans="1:7" ht="51" x14ac:dyDescent="0.2">
      <c r="A47" s="6">
        <v>41</v>
      </c>
      <c r="B47" s="7" t="s">
        <v>206</v>
      </c>
      <c r="C47" s="11" t="s">
        <v>207</v>
      </c>
      <c r="D47" s="2" t="s">
        <v>208</v>
      </c>
      <c r="E47" s="47">
        <v>66119</v>
      </c>
      <c r="F47" s="53">
        <v>40.398708999999997</v>
      </c>
      <c r="G47" s="5">
        <v>1.0659784E-2</v>
      </c>
    </row>
    <row r="48" spans="1:7" ht="25.5" x14ac:dyDescent="0.2">
      <c r="A48" s="6">
        <v>42</v>
      </c>
      <c r="B48" s="7" t="s">
        <v>215</v>
      </c>
      <c r="C48" s="11" t="s">
        <v>216</v>
      </c>
      <c r="D48" s="2" t="s">
        <v>13</v>
      </c>
      <c r="E48" s="47">
        <v>69312</v>
      </c>
      <c r="F48" s="53">
        <v>40.062336000000002</v>
      </c>
      <c r="G48" s="5">
        <v>1.0571027E-2</v>
      </c>
    </row>
    <row r="49" spans="1:7" ht="25.5" x14ac:dyDescent="0.2">
      <c r="A49" s="6">
        <v>43</v>
      </c>
      <c r="B49" s="7" t="s">
        <v>181</v>
      </c>
      <c r="C49" s="11" t="s">
        <v>182</v>
      </c>
      <c r="D49" s="2" t="s">
        <v>183</v>
      </c>
      <c r="E49" s="47">
        <v>33049</v>
      </c>
      <c r="F49" s="53">
        <v>39.262211999999998</v>
      </c>
      <c r="G49" s="5">
        <v>1.0359903E-2</v>
      </c>
    </row>
    <row r="50" spans="1:7" ht="12.75" x14ac:dyDescent="0.2">
      <c r="A50" s="6">
        <v>44</v>
      </c>
      <c r="B50" s="7" t="s">
        <v>262</v>
      </c>
      <c r="C50" s="11" t="s">
        <v>263</v>
      </c>
      <c r="D50" s="2" t="s">
        <v>242</v>
      </c>
      <c r="E50" s="47">
        <v>42885</v>
      </c>
      <c r="F50" s="53">
        <v>39.068235000000001</v>
      </c>
      <c r="G50" s="5">
        <v>1.0308718999999999E-2</v>
      </c>
    </row>
    <row r="51" spans="1:7" ht="12.75" x14ac:dyDescent="0.2">
      <c r="A51" s="6">
        <v>45</v>
      </c>
      <c r="B51" s="7" t="s">
        <v>221</v>
      </c>
      <c r="C51" s="11" t="s">
        <v>222</v>
      </c>
      <c r="D51" s="2" t="s">
        <v>223</v>
      </c>
      <c r="E51" s="47">
        <v>7886</v>
      </c>
      <c r="F51" s="53">
        <v>35.778782</v>
      </c>
      <c r="G51" s="5">
        <v>9.440749E-3</v>
      </c>
    </row>
    <row r="52" spans="1:7" ht="12.75" x14ac:dyDescent="0.2">
      <c r="A52" s="6">
        <v>46</v>
      </c>
      <c r="B52" s="7" t="s">
        <v>268</v>
      </c>
      <c r="C52" s="11" t="s">
        <v>269</v>
      </c>
      <c r="D52" s="2" t="s">
        <v>72</v>
      </c>
      <c r="E52" s="47">
        <v>7964</v>
      </c>
      <c r="F52" s="53">
        <v>35.746414000000001</v>
      </c>
      <c r="G52" s="5">
        <v>9.4322079999999992E-3</v>
      </c>
    </row>
    <row r="53" spans="1:7" ht="12.75" x14ac:dyDescent="0.2">
      <c r="A53" s="6">
        <v>47</v>
      </c>
      <c r="B53" s="7" t="s">
        <v>68</v>
      </c>
      <c r="C53" s="11" t="s">
        <v>69</v>
      </c>
      <c r="D53" s="2" t="s">
        <v>50</v>
      </c>
      <c r="E53" s="47">
        <v>15702</v>
      </c>
      <c r="F53" s="53">
        <v>33.445259999999998</v>
      </c>
      <c r="G53" s="5">
        <v>8.8250159999999998E-3</v>
      </c>
    </row>
    <row r="54" spans="1:7" ht="12.75" x14ac:dyDescent="0.2">
      <c r="A54" s="6">
        <v>48</v>
      </c>
      <c r="B54" s="7" t="s">
        <v>250</v>
      </c>
      <c r="C54" s="11" t="s">
        <v>251</v>
      </c>
      <c r="D54" s="2" t="s">
        <v>168</v>
      </c>
      <c r="E54" s="47">
        <v>8298</v>
      </c>
      <c r="F54" s="53">
        <v>33.059232000000002</v>
      </c>
      <c r="G54" s="5">
        <v>8.7231570000000005E-3</v>
      </c>
    </row>
    <row r="55" spans="1:7" ht="12.75" x14ac:dyDescent="0.2">
      <c r="A55" s="6">
        <v>49</v>
      </c>
      <c r="B55" s="7" t="s">
        <v>291</v>
      </c>
      <c r="C55" s="11" t="s">
        <v>292</v>
      </c>
      <c r="D55" s="2" t="s">
        <v>158</v>
      </c>
      <c r="E55" s="47">
        <v>16648</v>
      </c>
      <c r="F55" s="53">
        <v>31.930864</v>
      </c>
      <c r="G55" s="5">
        <v>8.4254199999999994E-3</v>
      </c>
    </row>
    <row r="56" spans="1:7" ht="12.75" x14ac:dyDescent="0.2">
      <c r="A56" s="6">
        <v>50</v>
      </c>
      <c r="B56" s="7" t="s">
        <v>198</v>
      </c>
      <c r="C56" s="11" t="s">
        <v>199</v>
      </c>
      <c r="D56" s="2" t="s">
        <v>40</v>
      </c>
      <c r="E56" s="47">
        <v>52651</v>
      </c>
      <c r="F56" s="53">
        <v>31.432646999999999</v>
      </c>
      <c r="G56" s="5">
        <v>8.2939590000000001E-3</v>
      </c>
    </row>
    <row r="57" spans="1:7" ht="25.5" x14ac:dyDescent="0.2">
      <c r="A57" s="6">
        <v>51</v>
      </c>
      <c r="B57" s="7" t="s">
        <v>177</v>
      </c>
      <c r="C57" s="11" t="s">
        <v>178</v>
      </c>
      <c r="D57" s="2" t="s">
        <v>47</v>
      </c>
      <c r="E57" s="47">
        <v>17026</v>
      </c>
      <c r="F57" s="53">
        <v>27.786432000000001</v>
      </c>
      <c r="G57" s="5">
        <v>7.3318519999999998E-3</v>
      </c>
    </row>
    <row r="58" spans="1:7" ht="12.75" x14ac:dyDescent="0.2">
      <c r="A58" s="6">
        <v>52</v>
      </c>
      <c r="B58" s="7" t="s">
        <v>219</v>
      </c>
      <c r="C58" s="11" t="s">
        <v>220</v>
      </c>
      <c r="D58" s="2" t="s">
        <v>72</v>
      </c>
      <c r="E58" s="47">
        <v>14456</v>
      </c>
      <c r="F58" s="53">
        <v>27.278472000000001</v>
      </c>
      <c r="G58" s="5">
        <v>7.1978190000000003E-3</v>
      </c>
    </row>
    <row r="59" spans="1:7" ht="12.75" x14ac:dyDescent="0.2">
      <c r="A59" s="6">
        <v>53</v>
      </c>
      <c r="B59" s="7" t="s">
        <v>233</v>
      </c>
      <c r="C59" s="11" t="s">
        <v>234</v>
      </c>
      <c r="D59" s="2" t="s">
        <v>192</v>
      </c>
      <c r="E59" s="47">
        <v>15030</v>
      </c>
      <c r="F59" s="53">
        <v>27.241875</v>
      </c>
      <c r="G59" s="5">
        <v>7.188163E-3</v>
      </c>
    </row>
    <row r="60" spans="1:7" ht="12.75" x14ac:dyDescent="0.2">
      <c r="A60" s="6">
        <v>54</v>
      </c>
      <c r="B60" s="7" t="s">
        <v>87</v>
      </c>
      <c r="C60" s="11" t="s">
        <v>88</v>
      </c>
      <c r="D60" s="2"/>
      <c r="E60" s="47">
        <v>15303</v>
      </c>
      <c r="F60" s="53">
        <v>26.030403</v>
      </c>
      <c r="G60" s="5">
        <v>6.8684979999999998E-3</v>
      </c>
    </row>
    <row r="61" spans="1:7" ht="12.75" x14ac:dyDescent="0.2">
      <c r="A61" s="6">
        <v>55</v>
      </c>
      <c r="B61" s="7" t="s">
        <v>227</v>
      </c>
      <c r="C61" s="11" t="s">
        <v>228</v>
      </c>
      <c r="D61" s="2" t="s">
        <v>158</v>
      </c>
      <c r="E61" s="47">
        <v>15046</v>
      </c>
      <c r="F61" s="53">
        <v>25.329941000000002</v>
      </c>
      <c r="G61" s="5">
        <v>6.6836710000000004E-3</v>
      </c>
    </row>
    <row r="62" spans="1:7" ht="12.75" x14ac:dyDescent="0.2">
      <c r="A62" s="6">
        <v>56</v>
      </c>
      <c r="B62" s="7" t="s">
        <v>270</v>
      </c>
      <c r="C62" s="11" t="s">
        <v>271</v>
      </c>
      <c r="D62" s="2" t="s">
        <v>192</v>
      </c>
      <c r="E62" s="47">
        <v>30096</v>
      </c>
      <c r="F62" s="53">
        <v>22.752576000000001</v>
      </c>
      <c r="G62" s="5">
        <v>6.0035959999999999E-3</v>
      </c>
    </row>
    <row r="63" spans="1:7" ht="12.75" x14ac:dyDescent="0.2">
      <c r="A63" s="6">
        <v>57</v>
      </c>
      <c r="B63" s="7" t="s">
        <v>235</v>
      </c>
      <c r="C63" s="11" t="s">
        <v>236</v>
      </c>
      <c r="D63" s="2" t="s">
        <v>237</v>
      </c>
      <c r="E63" s="47">
        <v>2037</v>
      </c>
      <c r="F63" s="53">
        <v>22.361167500000001</v>
      </c>
      <c r="G63" s="5">
        <v>5.9003179999999999E-3</v>
      </c>
    </row>
    <row r="64" spans="1:7" ht="12.75" x14ac:dyDescent="0.2">
      <c r="A64" s="6">
        <v>58</v>
      </c>
      <c r="B64" s="7" t="s">
        <v>211</v>
      </c>
      <c r="C64" s="11" t="s">
        <v>212</v>
      </c>
      <c r="D64" s="2" t="s">
        <v>72</v>
      </c>
      <c r="E64" s="47">
        <v>62102</v>
      </c>
      <c r="F64" s="53">
        <v>18.444293999999999</v>
      </c>
      <c r="G64" s="5">
        <v>4.8667939999999998E-3</v>
      </c>
    </row>
    <row r="65" spans="1:7" ht="12.75" x14ac:dyDescent="0.2">
      <c r="A65" s="6">
        <v>59</v>
      </c>
      <c r="B65" s="7" t="s">
        <v>238</v>
      </c>
      <c r="C65" s="11" t="s">
        <v>239</v>
      </c>
      <c r="D65" s="2" t="s">
        <v>72</v>
      </c>
      <c r="E65" s="47">
        <v>33563</v>
      </c>
      <c r="F65" s="53">
        <v>17.972986500000001</v>
      </c>
      <c r="G65" s="5">
        <v>4.7424320000000004E-3</v>
      </c>
    </row>
    <row r="66" spans="1:7" ht="12.75" x14ac:dyDescent="0.2">
      <c r="A66" s="6">
        <v>60</v>
      </c>
      <c r="B66" s="7" t="s">
        <v>100</v>
      </c>
      <c r="C66" s="11" t="s">
        <v>101</v>
      </c>
      <c r="D66" s="2" t="s">
        <v>50</v>
      </c>
      <c r="E66" s="47">
        <v>17996</v>
      </c>
      <c r="F66" s="53">
        <v>17.177181999999998</v>
      </c>
      <c r="G66" s="5">
        <v>4.5324479999999997E-3</v>
      </c>
    </row>
    <row r="67" spans="1:7" ht="12.75" x14ac:dyDescent="0.2">
      <c r="A67" s="6">
        <v>61</v>
      </c>
      <c r="B67" s="7" t="s">
        <v>240</v>
      </c>
      <c r="C67" s="11" t="s">
        <v>241</v>
      </c>
      <c r="D67" s="2" t="s">
        <v>242</v>
      </c>
      <c r="E67" s="47">
        <v>4103</v>
      </c>
      <c r="F67" s="53">
        <v>16.688952499999999</v>
      </c>
      <c r="G67" s="5">
        <v>4.4036220000000003E-3</v>
      </c>
    </row>
    <row r="68" spans="1:7" ht="12.75" x14ac:dyDescent="0.2">
      <c r="A68" s="6">
        <v>62</v>
      </c>
      <c r="B68" s="7" t="s">
        <v>106</v>
      </c>
      <c r="C68" s="11" t="s">
        <v>107</v>
      </c>
      <c r="D68" s="2" t="s">
        <v>50</v>
      </c>
      <c r="E68" s="47">
        <v>15303</v>
      </c>
      <c r="F68" s="53">
        <v>7.34544</v>
      </c>
      <c r="G68" s="5">
        <v>1.9382010000000001E-3</v>
      </c>
    </row>
    <row r="69" spans="1:7" ht="38.25" x14ac:dyDescent="0.2">
      <c r="A69" s="6">
        <v>63</v>
      </c>
      <c r="B69" s="7" t="s">
        <v>272</v>
      </c>
      <c r="C69" s="11" t="s">
        <v>273</v>
      </c>
      <c r="D69" s="2" t="s">
        <v>274</v>
      </c>
      <c r="E69" s="47">
        <v>9826</v>
      </c>
      <c r="F69" s="53">
        <v>7.3105440000000002</v>
      </c>
      <c r="G69" s="5">
        <v>1.9289929999999999E-3</v>
      </c>
    </row>
    <row r="70" spans="1:7" ht="25.5" x14ac:dyDescent="0.2">
      <c r="A70" s="6">
        <v>64</v>
      </c>
      <c r="B70" s="7" t="s">
        <v>243</v>
      </c>
      <c r="C70" s="11" t="s">
        <v>244</v>
      </c>
      <c r="D70" s="2" t="s">
        <v>163</v>
      </c>
      <c r="E70" s="47">
        <v>10966</v>
      </c>
      <c r="F70" s="53">
        <v>6.6837770000000001</v>
      </c>
      <c r="G70" s="5">
        <v>1.763611E-3</v>
      </c>
    </row>
    <row r="71" spans="1:7" ht="12.75" x14ac:dyDescent="0.2">
      <c r="A71" s="1"/>
      <c r="B71" s="2"/>
      <c r="C71" s="8" t="s">
        <v>108</v>
      </c>
      <c r="D71" s="12"/>
      <c r="E71" s="49"/>
      <c r="F71" s="55">
        <v>3702.6987080000008</v>
      </c>
      <c r="G71" s="13">
        <v>0.97701061900000008</v>
      </c>
    </row>
    <row r="72" spans="1:7" ht="12.75" x14ac:dyDescent="0.2">
      <c r="A72" s="6"/>
      <c r="B72" s="7"/>
      <c r="C72" s="14"/>
      <c r="D72" s="15"/>
      <c r="E72" s="47"/>
      <c r="F72" s="53"/>
      <c r="G72" s="5"/>
    </row>
    <row r="73" spans="1:7" ht="12.75" x14ac:dyDescent="0.2">
      <c r="A73" s="1"/>
      <c r="B73" s="2"/>
      <c r="C73" s="8" t="s">
        <v>109</v>
      </c>
      <c r="D73" s="9"/>
      <c r="E73" s="48"/>
      <c r="F73" s="54"/>
      <c r="G73" s="10"/>
    </row>
    <row r="74" spans="1:7" ht="12.75" x14ac:dyDescent="0.2">
      <c r="A74" s="1"/>
      <c r="B74" s="2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4"/>
      <c r="D75" s="15"/>
      <c r="E75" s="47"/>
      <c r="F75" s="53"/>
      <c r="G75" s="5"/>
    </row>
    <row r="76" spans="1:7" ht="12.75" x14ac:dyDescent="0.2">
      <c r="A76" s="16"/>
      <c r="B76" s="17"/>
      <c r="C76" s="8" t="s">
        <v>110</v>
      </c>
      <c r="D76" s="9"/>
      <c r="E76" s="48"/>
      <c r="F76" s="54"/>
      <c r="G76" s="10"/>
    </row>
    <row r="77" spans="1:7" ht="12.75" x14ac:dyDescent="0.2">
      <c r="A77" s="18"/>
      <c r="B77" s="19"/>
      <c r="C77" s="8" t="s">
        <v>108</v>
      </c>
      <c r="D77" s="20"/>
      <c r="E77" s="50"/>
      <c r="F77" s="56">
        <v>0</v>
      </c>
      <c r="G77" s="21">
        <v>0</v>
      </c>
    </row>
    <row r="78" spans="1:7" ht="12.75" x14ac:dyDescent="0.2">
      <c r="A78" s="18"/>
      <c r="B78" s="19"/>
      <c r="C78" s="14"/>
      <c r="D78" s="22"/>
      <c r="E78" s="51"/>
      <c r="F78" s="57"/>
      <c r="G78" s="23"/>
    </row>
    <row r="79" spans="1:7" ht="12.75" x14ac:dyDescent="0.2">
      <c r="A79" s="1"/>
      <c r="B79" s="2"/>
      <c r="C79" s="8" t="s">
        <v>113</v>
      </c>
      <c r="D79" s="9"/>
      <c r="E79" s="48"/>
      <c r="F79" s="54"/>
      <c r="G79" s="10"/>
    </row>
    <row r="80" spans="1:7" ht="12.75" x14ac:dyDescent="0.2">
      <c r="A80" s="1"/>
      <c r="B80" s="2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1"/>
      <c r="B81" s="2"/>
      <c r="C81" s="14"/>
      <c r="D81" s="4"/>
      <c r="E81" s="47"/>
      <c r="F81" s="53"/>
      <c r="G81" s="5"/>
    </row>
    <row r="82" spans="1:7" ht="12.75" x14ac:dyDescent="0.2">
      <c r="A82" s="1"/>
      <c r="B82" s="2"/>
      <c r="C82" s="8" t="s">
        <v>114</v>
      </c>
      <c r="D82" s="9"/>
      <c r="E82" s="48"/>
      <c r="F82" s="54"/>
      <c r="G82" s="10"/>
    </row>
    <row r="83" spans="1:7" ht="12.75" x14ac:dyDescent="0.2">
      <c r="A83" s="1"/>
      <c r="B83" s="2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1"/>
      <c r="B84" s="2"/>
      <c r="C84" s="14"/>
      <c r="D84" s="4"/>
      <c r="E84" s="47"/>
      <c r="F84" s="53"/>
      <c r="G84" s="5"/>
    </row>
    <row r="85" spans="1:7" ht="12.75" x14ac:dyDescent="0.2">
      <c r="A85" s="1"/>
      <c r="B85" s="2"/>
      <c r="C85" s="8" t="s">
        <v>115</v>
      </c>
      <c r="D85" s="9"/>
      <c r="E85" s="48"/>
      <c r="F85" s="54"/>
      <c r="G85" s="10"/>
    </row>
    <row r="86" spans="1:7" ht="12.75" x14ac:dyDescent="0.2">
      <c r="A86" s="1"/>
      <c r="B86" s="2"/>
      <c r="C86" s="8" t="s">
        <v>108</v>
      </c>
      <c r="D86" s="12"/>
      <c r="E86" s="49"/>
      <c r="F86" s="55">
        <v>0</v>
      </c>
      <c r="G86" s="13">
        <v>0</v>
      </c>
    </row>
    <row r="87" spans="1:7" ht="12.75" x14ac:dyDescent="0.2">
      <c r="A87" s="1"/>
      <c r="B87" s="2"/>
      <c r="C87" s="14"/>
      <c r="D87" s="4"/>
      <c r="E87" s="47"/>
      <c r="F87" s="53"/>
      <c r="G87" s="5"/>
    </row>
    <row r="88" spans="1:7" ht="25.5" x14ac:dyDescent="0.2">
      <c r="A88" s="6"/>
      <c r="B88" s="7"/>
      <c r="C88" s="24" t="s">
        <v>116</v>
      </c>
      <c r="D88" s="25"/>
      <c r="E88" s="49"/>
      <c r="F88" s="55">
        <v>3702.6987080000008</v>
      </c>
      <c r="G88" s="13">
        <v>0.97701061900000008</v>
      </c>
    </row>
    <row r="89" spans="1:7" ht="12.75" x14ac:dyDescent="0.2">
      <c r="A89" s="1"/>
      <c r="B89" s="2"/>
      <c r="C89" s="11"/>
      <c r="D89" s="4"/>
      <c r="E89" s="47"/>
      <c r="F89" s="53"/>
      <c r="G89" s="5"/>
    </row>
    <row r="90" spans="1:7" ht="12.75" x14ac:dyDescent="0.2">
      <c r="A90" s="1"/>
      <c r="B90" s="2"/>
      <c r="C90" s="3" t="s">
        <v>117</v>
      </c>
      <c r="D90" s="4"/>
      <c r="E90" s="47"/>
      <c r="F90" s="53"/>
      <c r="G90" s="5"/>
    </row>
    <row r="91" spans="1:7" ht="25.5" x14ac:dyDescent="0.2">
      <c r="A91" s="1"/>
      <c r="B91" s="2"/>
      <c r="C91" s="8" t="s">
        <v>10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12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4"/>
      <c r="E93" s="47"/>
      <c r="F93" s="53"/>
      <c r="G93" s="5"/>
    </row>
    <row r="94" spans="1:7" ht="12.75" x14ac:dyDescent="0.2">
      <c r="A94" s="1"/>
      <c r="B94" s="26"/>
      <c r="C94" s="8" t="s">
        <v>118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12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4"/>
      <c r="E96" s="47"/>
      <c r="F96" s="59"/>
      <c r="G96" s="28"/>
    </row>
    <row r="97" spans="1:7" ht="12.75" x14ac:dyDescent="0.2">
      <c r="A97" s="1"/>
      <c r="B97" s="2"/>
      <c r="C97" s="8" t="s">
        <v>119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12"/>
      <c r="E98" s="49"/>
      <c r="F98" s="55">
        <v>0</v>
      </c>
      <c r="G98" s="13">
        <v>0</v>
      </c>
    </row>
    <row r="99" spans="1:7" ht="12.75" x14ac:dyDescent="0.2">
      <c r="A99" s="1"/>
      <c r="B99" s="2"/>
      <c r="C99" s="14"/>
      <c r="D99" s="4"/>
      <c r="E99" s="47"/>
      <c r="F99" s="53"/>
      <c r="G99" s="5"/>
    </row>
    <row r="100" spans="1:7" ht="25.5" x14ac:dyDescent="0.2">
      <c r="A100" s="1"/>
      <c r="B100" s="26"/>
      <c r="C100" s="8" t="s">
        <v>120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12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4"/>
      <c r="D102" s="4"/>
      <c r="E102" s="47"/>
      <c r="F102" s="53"/>
      <c r="G102" s="5"/>
    </row>
    <row r="103" spans="1:7" ht="12.75" x14ac:dyDescent="0.2">
      <c r="A103" s="6"/>
      <c r="B103" s="7"/>
      <c r="C103" s="29" t="s">
        <v>121</v>
      </c>
      <c r="D103" s="25"/>
      <c r="E103" s="49"/>
      <c r="F103" s="55">
        <v>0</v>
      </c>
      <c r="G103" s="13">
        <v>0</v>
      </c>
    </row>
    <row r="104" spans="1:7" ht="12.75" x14ac:dyDescent="0.2">
      <c r="A104" s="6"/>
      <c r="B104" s="7"/>
      <c r="C104" s="11"/>
      <c r="D104" s="4"/>
      <c r="E104" s="47"/>
      <c r="F104" s="53"/>
      <c r="G104" s="5"/>
    </row>
    <row r="105" spans="1:7" ht="12.75" x14ac:dyDescent="0.2">
      <c r="A105" s="1"/>
      <c r="B105" s="2"/>
      <c r="C105" s="3" t="s">
        <v>122</v>
      </c>
      <c r="D105" s="4"/>
      <c r="E105" s="47"/>
      <c r="F105" s="53"/>
      <c r="G105" s="5"/>
    </row>
    <row r="106" spans="1:7" ht="12.75" x14ac:dyDescent="0.2">
      <c r="A106" s="6"/>
      <c r="B106" s="7"/>
      <c r="C106" s="8" t="s">
        <v>123</v>
      </c>
      <c r="D106" s="9"/>
      <c r="E106" s="48"/>
      <c r="F106" s="54"/>
      <c r="G106" s="10"/>
    </row>
    <row r="107" spans="1:7" ht="12.75" x14ac:dyDescent="0.2">
      <c r="A107" s="6"/>
      <c r="B107" s="7"/>
      <c r="C107" s="8" t="s">
        <v>108</v>
      </c>
      <c r="D107" s="25"/>
      <c r="E107" s="49"/>
      <c r="F107" s="55">
        <v>0</v>
      </c>
      <c r="G107" s="13">
        <v>0</v>
      </c>
    </row>
    <row r="108" spans="1:7" ht="12.75" x14ac:dyDescent="0.2">
      <c r="A108" s="6"/>
      <c r="B108" s="7"/>
      <c r="C108" s="14"/>
      <c r="D108" s="7"/>
      <c r="E108" s="47"/>
      <c r="F108" s="53"/>
      <c r="G108" s="5"/>
    </row>
    <row r="109" spans="1:7" ht="12.75" x14ac:dyDescent="0.2">
      <c r="A109" s="6"/>
      <c r="B109" s="7"/>
      <c r="C109" s="8" t="s">
        <v>124</v>
      </c>
      <c r="D109" s="9"/>
      <c r="E109" s="48"/>
      <c r="F109" s="54"/>
      <c r="G109" s="10"/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0</v>
      </c>
      <c r="G110" s="13">
        <v>0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12.75" x14ac:dyDescent="0.2">
      <c r="A112" s="6"/>
      <c r="B112" s="7"/>
      <c r="C112" s="8" t="s">
        <v>125</v>
      </c>
      <c r="D112" s="9"/>
      <c r="E112" s="48"/>
      <c r="F112" s="54"/>
      <c r="G112" s="10"/>
    </row>
    <row r="113" spans="1:7" ht="12.75" x14ac:dyDescent="0.2">
      <c r="A113" s="6"/>
      <c r="B113" s="7"/>
      <c r="C113" s="8" t="s">
        <v>108</v>
      </c>
      <c r="D113" s="25"/>
      <c r="E113" s="49"/>
      <c r="F113" s="55">
        <v>0</v>
      </c>
      <c r="G113" s="13">
        <v>0</v>
      </c>
    </row>
    <row r="114" spans="1:7" ht="12.75" x14ac:dyDescent="0.2">
      <c r="A114" s="6"/>
      <c r="B114" s="7"/>
      <c r="C114" s="14"/>
      <c r="D114" s="7"/>
      <c r="E114" s="47"/>
      <c r="F114" s="53"/>
      <c r="G114" s="5"/>
    </row>
    <row r="115" spans="1:7" ht="12.75" x14ac:dyDescent="0.2">
      <c r="A115" s="6"/>
      <c r="B115" s="7"/>
      <c r="C115" s="8" t="s">
        <v>126</v>
      </c>
      <c r="D115" s="9"/>
      <c r="E115" s="48"/>
      <c r="F115" s="54"/>
      <c r="G115" s="10"/>
    </row>
    <row r="116" spans="1:7" ht="12.75" x14ac:dyDescent="0.2">
      <c r="A116" s="6">
        <v>1</v>
      </c>
      <c r="B116" s="7"/>
      <c r="C116" s="11" t="s">
        <v>812</v>
      </c>
      <c r="D116" s="15"/>
      <c r="E116" s="47"/>
      <c r="F116" s="53">
        <v>70.990664199999998</v>
      </c>
      <c r="G116" s="5">
        <v>1.8731913999999999E-2</v>
      </c>
    </row>
    <row r="117" spans="1:7" ht="12.75" x14ac:dyDescent="0.2">
      <c r="A117" s="6"/>
      <c r="B117" s="7"/>
      <c r="C117" s="8" t="s">
        <v>108</v>
      </c>
      <c r="D117" s="25"/>
      <c r="E117" s="49"/>
      <c r="F117" s="55">
        <v>70.990664199999998</v>
      </c>
      <c r="G117" s="13">
        <v>1.8731913999999999E-2</v>
      </c>
    </row>
    <row r="118" spans="1:7" ht="12.75" x14ac:dyDescent="0.2">
      <c r="A118" s="6"/>
      <c r="B118" s="7"/>
      <c r="C118" s="14"/>
      <c r="D118" s="7"/>
      <c r="E118" s="47"/>
      <c r="F118" s="53"/>
      <c r="G118" s="5"/>
    </row>
    <row r="119" spans="1:7" ht="25.5" x14ac:dyDescent="0.2">
      <c r="A119" s="6"/>
      <c r="B119" s="7"/>
      <c r="C119" s="24" t="s">
        <v>127</v>
      </c>
      <c r="D119" s="25"/>
      <c r="E119" s="49"/>
      <c r="F119" s="55">
        <v>70.990664199999998</v>
      </c>
      <c r="G119" s="13">
        <v>1.8731913999999999E-2</v>
      </c>
    </row>
    <row r="120" spans="1:7" ht="12.75" x14ac:dyDescent="0.2">
      <c r="A120" s="6"/>
      <c r="B120" s="7"/>
      <c r="C120" s="30"/>
      <c r="D120" s="7"/>
      <c r="E120" s="47"/>
      <c r="F120" s="53"/>
      <c r="G120" s="5"/>
    </row>
    <row r="121" spans="1:7" ht="12.75" x14ac:dyDescent="0.2">
      <c r="A121" s="1"/>
      <c r="B121" s="2"/>
      <c r="C121" s="3" t="s">
        <v>128</v>
      </c>
      <c r="D121" s="4"/>
      <c r="E121" s="47"/>
      <c r="F121" s="53"/>
      <c r="G121" s="5"/>
    </row>
    <row r="122" spans="1:7" ht="25.5" x14ac:dyDescent="0.2">
      <c r="A122" s="6"/>
      <c r="B122" s="7"/>
      <c r="C122" s="8" t="s">
        <v>129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3"/>
      <c r="G124" s="5"/>
    </row>
    <row r="125" spans="1:7" ht="12.75" x14ac:dyDescent="0.2">
      <c r="A125" s="1"/>
      <c r="B125" s="2"/>
      <c r="C125" s="3" t="s">
        <v>131</v>
      </c>
      <c r="D125" s="4"/>
      <c r="E125" s="47"/>
      <c r="F125" s="53"/>
      <c r="G125" s="5"/>
    </row>
    <row r="126" spans="1:7" ht="25.5" x14ac:dyDescent="0.2">
      <c r="A126" s="6"/>
      <c r="B126" s="7"/>
      <c r="C126" s="8" t="s">
        <v>132</v>
      </c>
      <c r="D126" s="9"/>
      <c r="E126" s="48"/>
      <c r="F126" s="54"/>
      <c r="G126" s="10"/>
    </row>
    <row r="127" spans="1:7" ht="12.75" x14ac:dyDescent="0.2">
      <c r="A127" s="6"/>
      <c r="B127" s="7"/>
      <c r="C127" s="8" t="s">
        <v>108</v>
      </c>
      <c r="D127" s="25"/>
      <c r="E127" s="49"/>
      <c r="F127" s="55">
        <v>0</v>
      </c>
      <c r="G127" s="13">
        <v>0</v>
      </c>
    </row>
    <row r="128" spans="1:7" ht="12.75" x14ac:dyDescent="0.2">
      <c r="A128" s="6"/>
      <c r="B128" s="7"/>
      <c r="C128" s="14"/>
      <c r="D128" s="7"/>
      <c r="E128" s="47"/>
      <c r="F128" s="53"/>
      <c r="G128" s="5"/>
    </row>
    <row r="129" spans="1:7" ht="25.5" x14ac:dyDescent="0.2">
      <c r="A129" s="6"/>
      <c r="B129" s="7"/>
      <c r="C129" s="8" t="s">
        <v>133</v>
      </c>
      <c r="D129" s="9"/>
      <c r="E129" s="48"/>
      <c r="F129" s="54"/>
      <c r="G129" s="10"/>
    </row>
    <row r="130" spans="1:7" ht="12.75" x14ac:dyDescent="0.2">
      <c r="A130" s="6"/>
      <c r="B130" s="7"/>
      <c r="C130" s="8" t="s">
        <v>108</v>
      </c>
      <c r="D130" s="25"/>
      <c r="E130" s="49"/>
      <c r="F130" s="55">
        <v>0</v>
      </c>
      <c r="G130" s="13">
        <v>0</v>
      </c>
    </row>
    <row r="131" spans="1:7" ht="12.75" x14ac:dyDescent="0.2">
      <c r="A131" s="6"/>
      <c r="B131" s="7"/>
      <c r="C131" s="14"/>
      <c r="D131" s="7"/>
      <c r="E131" s="47"/>
      <c r="F131" s="59"/>
      <c r="G131" s="28"/>
    </row>
    <row r="132" spans="1:7" ht="25.5" x14ac:dyDescent="0.2">
      <c r="A132" s="6"/>
      <c r="B132" s="7"/>
      <c r="C132" s="30" t="s">
        <v>134</v>
      </c>
      <c r="D132" s="7"/>
      <c r="E132" s="47"/>
      <c r="F132" s="59">
        <v>16.135052609999999</v>
      </c>
      <c r="G132" s="28">
        <v>4.257467E-3</v>
      </c>
    </row>
    <row r="133" spans="1:7" ht="12.75" x14ac:dyDescent="0.2">
      <c r="A133" s="6"/>
      <c r="B133" s="7"/>
      <c r="C133" s="31" t="s">
        <v>135</v>
      </c>
      <c r="D133" s="12"/>
      <c r="E133" s="49"/>
      <c r="F133" s="55">
        <v>3789.8244248100009</v>
      </c>
      <c r="G133" s="13">
        <v>1</v>
      </c>
    </row>
    <row r="135" spans="1:7" ht="12.75" x14ac:dyDescent="0.2">
      <c r="B135" s="179"/>
      <c r="C135" s="179"/>
      <c r="D135" s="179"/>
      <c r="E135" s="179"/>
      <c r="F135" s="179"/>
    </row>
    <row r="136" spans="1:7" ht="12.75" x14ac:dyDescent="0.2">
      <c r="B136" s="179"/>
      <c r="C136" s="179"/>
      <c r="D136" s="179"/>
      <c r="E136" s="179"/>
      <c r="F136" s="179"/>
    </row>
    <row r="138" spans="1:7" ht="12.75" x14ac:dyDescent="0.2">
      <c r="B138" s="37" t="s">
        <v>137</v>
      </c>
      <c r="C138" s="38"/>
      <c r="D138" s="39"/>
    </row>
    <row r="139" spans="1:7" ht="12.75" x14ac:dyDescent="0.2">
      <c r="B139" s="40" t="s">
        <v>808</v>
      </c>
      <c r="C139" s="41"/>
      <c r="D139" s="65" t="s">
        <v>138</v>
      </c>
    </row>
    <row r="140" spans="1:7" ht="12.75" x14ac:dyDescent="0.2">
      <c r="B140" s="40" t="s">
        <v>139</v>
      </c>
      <c r="C140" s="41"/>
      <c r="D140" s="65" t="s">
        <v>138</v>
      </c>
    </row>
    <row r="141" spans="1:7" ht="12.75" x14ac:dyDescent="0.2">
      <c r="B141" s="42" t="s">
        <v>140</v>
      </c>
      <c r="C141" s="41"/>
      <c r="D141" s="43"/>
    </row>
    <row r="142" spans="1:7" ht="25.5" customHeight="1" x14ac:dyDescent="0.2">
      <c r="B142" s="43"/>
      <c r="C142" s="33" t="s">
        <v>141</v>
      </c>
      <c r="D142" s="34" t="s">
        <v>142</v>
      </c>
    </row>
    <row r="143" spans="1:7" ht="12.75" customHeight="1" x14ac:dyDescent="0.2">
      <c r="B143" s="60" t="s">
        <v>143</v>
      </c>
      <c r="C143" s="61" t="s">
        <v>144</v>
      </c>
      <c r="D143" s="61" t="s">
        <v>145</v>
      </c>
    </row>
    <row r="144" spans="1:7" ht="12.75" x14ac:dyDescent="0.2">
      <c r="B144" s="43" t="s">
        <v>146</v>
      </c>
      <c r="C144" s="44">
        <v>7.4545000000000003</v>
      </c>
      <c r="D144" s="44">
        <v>7.5429000000000004</v>
      </c>
    </row>
    <row r="145" spans="2:4" ht="12.75" x14ac:dyDescent="0.2">
      <c r="B145" s="43" t="s">
        <v>147</v>
      </c>
      <c r="C145" s="44">
        <v>7.4545000000000003</v>
      </c>
      <c r="D145" s="44">
        <v>7.5429000000000004</v>
      </c>
    </row>
    <row r="146" spans="2:4" ht="12.75" x14ac:dyDescent="0.2">
      <c r="B146" s="43" t="s">
        <v>148</v>
      </c>
      <c r="C146" s="44">
        <v>7.2130999999999998</v>
      </c>
      <c r="D146" s="44">
        <v>7.2969999999999997</v>
      </c>
    </row>
    <row r="147" spans="2:4" ht="12.75" x14ac:dyDescent="0.2">
      <c r="B147" s="43" t="s">
        <v>149</v>
      </c>
      <c r="C147" s="44">
        <v>7.2130999999999998</v>
      </c>
      <c r="D147" s="44">
        <v>7.2969999999999997</v>
      </c>
    </row>
    <row r="149" spans="2:4" ht="12.75" x14ac:dyDescent="0.2">
      <c r="B149" s="62" t="s">
        <v>150</v>
      </c>
      <c r="C149" s="45"/>
      <c r="D149" s="63" t="s">
        <v>138</v>
      </c>
    </row>
    <row r="150" spans="2:4" ht="24.75" customHeight="1" x14ac:dyDescent="0.2">
      <c r="B150" s="64"/>
      <c r="C150" s="64"/>
    </row>
    <row r="151" spans="2:4" ht="15" x14ac:dyDescent="0.25">
      <c r="B151" s="66"/>
      <c r="C151" s="68"/>
      <c r="D151"/>
    </row>
    <row r="153" spans="2:4" ht="12.75" x14ac:dyDescent="0.2">
      <c r="B153" s="42" t="s">
        <v>151</v>
      </c>
      <c r="C153" s="41"/>
      <c r="D153" s="67" t="s">
        <v>138</v>
      </c>
    </row>
    <row r="154" spans="2:4" ht="12.75" x14ac:dyDescent="0.2">
      <c r="B154" s="42" t="s">
        <v>152</v>
      </c>
      <c r="C154" s="41"/>
      <c r="D154" s="67" t="s">
        <v>138</v>
      </c>
    </row>
    <row r="155" spans="2:4" ht="12.75" x14ac:dyDescent="0.2">
      <c r="B155" s="42" t="s">
        <v>153</v>
      </c>
      <c r="C155" s="41"/>
      <c r="D155" s="46">
        <v>0.1953878139739649</v>
      </c>
    </row>
    <row r="156" spans="2:4" ht="12.75" x14ac:dyDescent="0.2">
      <c r="B156" s="42" t="s">
        <v>154</v>
      </c>
      <c r="C156" s="41"/>
      <c r="D156" s="46" t="s">
        <v>138</v>
      </c>
    </row>
  </sheetData>
  <mergeCells count="5">
    <mergeCell ref="A1:G1"/>
    <mergeCell ref="A2:G2"/>
    <mergeCell ref="A3:G3"/>
    <mergeCell ref="B135:F135"/>
    <mergeCell ref="B136:F13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3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534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17</v>
      </c>
      <c r="C7" s="11" t="s">
        <v>18</v>
      </c>
      <c r="D7" s="2" t="s">
        <v>19</v>
      </c>
      <c r="E7" s="47">
        <v>29606</v>
      </c>
      <c r="F7" s="53">
        <v>232.34788800000001</v>
      </c>
      <c r="G7" s="5">
        <v>4.2852452999999999E-2</v>
      </c>
    </row>
    <row r="8" spans="1:7" ht="12.75" x14ac:dyDescent="0.2">
      <c r="A8" s="6">
        <v>2</v>
      </c>
      <c r="B8" s="7" t="s">
        <v>299</v>
      </c>
      <c r="C8" s="11" t="s">
        <v>300</v>
      </c>
      <c r="D8" s="2" t="s">
        <v>223</v>
      </c>
      <c r="E8" s="47">
        <v>40394</v>
      </c>
      <c r="F8" s="53">
        <v>218.79410100000001</v>
      </c>
      <c r="G8" s="5">
        <v>4.0352697E-2</v>
      </c>
    </row>
    <row r="9" spans="1:7" ht="25.5" x14ac:dyDescent="0.2">
      <c r="A9" s="6">
        <v>3</v>
      </c>
      <c r="B9" s="7" t="s">
        <v>444</v>
      </c>
      <c r="C9" s="11" t="s">
        <v>445</v>
      </c>
      <c r="D9" s="2" t="s">
        <v>27</v>
      </c>
      <c r="E9" s="47">
        <v>12783</v>
      </c>
      <c r="F9" s="53">
        <v>211.699263</v>
      </c>
      <c r="G9" s="5">
        <v>3.9044179999999998E-2</v>
      </c>
    </row>
    <row r="10" spans="1:7" ht="25.5" x14ac:dyDescent="0.2">
      <c r="A10" s="6">
        <v>4</v>
      </c>
      <c r="B10" s="7" t="s">
        <v>402</v>
      </c>
      <c r="C10" s="11" t="s">
        <v>403</v>
      </c>
      <c r="D10" s="2" t="s">
        <v>30</v>
      </c>
      <c r="E10" s="47">
        <v>12413</v>
      </c>
      <c r="F10" s="53">
        <v>198.719717</v>
      </c>
      <c r="G10" s="5">
        <v>3.6650332000000001E-2</v>
      </c>
    </row>
    <row r="11" spans="1:7" ht="12.75" x14ac:dyDescent="0.2">
      <c r="A11" s="6">
        <v>5</v>
      </c>
      <c r="B11" s="7" t="s">
        <v>420</v>
      </c>
      <c r="C11" s="11" t="s">
        <v>421</v>
      </c>
      <c r="D11" s="2" t="s">
        <v>72</v>
      </c>
      <c r="E11" s="47">
        <v>4847</v>
      </c>
      <c r="F11" s="53">
        <v>195.2153485</v>
      </c>
      <c r="G11" s="5">
        <v>3.6004014000000001E-2</v>
      </c>
    </row>
    <row r="12" spans="1:7" ht="25.5" x14ac:dyDescent="0.2">
      <c r="A12" s="6">
        <v>6</v>
      </c>
      <c r="B12" s="7" t="s">
        <v>34</v>
      </c>
      <c r="C12" s="11" t="s">
        <v>35</v>
      </c>
      <c r="D12" s="2" t="s">
        <v>27</v>
      </c>
      <c r="E12" s="47">
        <v>17275</v>
      </c>
      <c r="F12" s="53">
        <v>195.0088375</v>
      </c>
      <c r="G12" s="5">
        <v>3.5965926000000002E-2</v>
      </c>
    </row>
    <row r="13" spans="1:7" ht="25.5" x14ac:dyDescent="0.2">
      <c r="A13" s="6">
        <v>7</v>
      </c>
      <c r="B13" s="7" t="s">
        <v>70</v>
      </c>
      <c r="C13" s="11" t="s">
        <v>71</v>
      </c>
      <c r="D13" s="2" t="s">
        <v>72</v>
      </c>
      <c r="E13" s="47">
        <v>14514</v>
      </c>
      <c r="F13" s="53">
        <v>194.893992</v>
      </c>
      <c r="G13" s="5">
        <v>3.5944745E-2</v>
      </c>
    </row>
    <row r="14" spans="1:7" ht="12.75" x14ac:dyDescent="0.2">
      <c r="A14" s="6">
        <v>8</v>
      </c>
      <c r="B14" s="7" t="s">
        <v>535</v>
      </c>
      <c r="C14" s="11" t="s">
        <v>536</v>
      </c>
      <c r="D14" s="2" t="s">
        <v>72</v>
      </c>
      <c r="E14" s="47">
        <v>2261</v>
      </c>
      <c r="F14" s="53">
        <v>183.9176535</v>
      </c>
      <c r="G14" s="5">
        <v>3.3920354E-2</v>
      </c>
    </row>
    <row r="15" spans="1:7" ht="25.5" x14ac:dyDescent="0.2">
      <c r="A15" s="6">
        <v>9</v>
      </c>
      <c r="B15" s="7" t="s">
        <v>404</v>
      </c>
      <c r="C15" s="11" t="s">
        <v>405</v>
      </c>
      <c r="D15" s="2" t="s">
        <v>72</v>
      </c>
      <c r="E15" s="47">
        <v>18099</v>
      </c>
      <c r="F15" s="53">
        <v>179.45158499999999</v>
      </c>
      <c r="G15" s="5">
        <v>3.3096667000000003E-2</v>
      </c>
    </row>
    <row r="16" spans="1:7" ht="25.5" x14ac:dyDescent="0.2">
      <c r="A16" s="6">
        <v>10</v>
      </c>
      <c r="B16" s="7" t="s">
        <v>303</v>
      </c>
      <c r="C16" s="11" t="s">
        <v>304</v>
      </c>
      <c r="D16" s="2" t="s">
        <v>47</v>
      </c>
      <c r="E16" s="47">
        <v>7797</v>
      </c>
      <c r="F16" s="53">
        <v>171.10126650000001</v>
      </c>
      <c r="G16" s="5">
        <v>3.1556597999999998E-2</v>
      </c>
    </row>
    <row r="17" spans="1:7" ht="12.75" x14ac:dyDescent="0.2">
      <c r="A17" s="6">
        <v>11</v>
      </c>
      <c r="B17" s="7" t="s">
        <v>320</v>
      </c>
      <c r="C17" s="11" t="s">
        <v>321</v>
      </c>
      <c r="D17" s="2" t="s">
        <v>16</v>
      </c>
      <c r="E17" s="47">
        <v>74430</v>
      </c>
      <c r="F17" s="53">
        <v>157.71717000000001</v>
      </c>
      <c r="G17" s="5">
        <v>2.9088138999999999E-2</v>
      </c>
    </row>
    <row r="18" spans="1:7" ht="25.5" x14ac:dyDescent="0.2">
      <c r="A18" s="6">
        <v>12</v>
      </c>
      <c r="B18" s="7" t="s">
        <v>314</v>
      </c>
      <c r="C18" s="11" t="s">
        <v>315</v>
      </c>
      <c r="D18" s="2" t="s">
        <v>30</v>
      </c>
      <c r="E18" s="47">
        <v>45381</v>
      </c>
      <c r="F18" s="53">
        <v>143.85776999999999</v>
      </c>
      <c r="G18" s="5">
        <v>2.6532018000000001E-2</v>
      </c>
    </row>
    <row r="19" spans="1:7" ht="12.75" x14ac:dyDescent="0.2">
      <c r="A19" s="6">
        <v>13</v>
      </c>
      <c r="B19" s="7" t="s">
        <v>305</v>
      </c>
      <c r="C19" s="11" t="s">
        <v>306</v>
      </c>
      <c r="D19" s="2" t="s">
        <v>307</v>
      </c>
      <c r="E19" s="47">
        <v>36531</v>
      </c>
      <c r="F19" s="53">
        <v>143.03713049999999</v>
      </c>
      <c r="G19" s="5">
        <v>2.6380665000000001E-2</v>
      </c>
    </row>
    <row r="20" spans="1:7" ht="25.5" x14ac:dyDescent="0.2">
      <c r="A20" s="6">
        <v>14</v>
      </c>
      <c r="B20" s="7" t="s">
        <v>406</v>
      </c>
      <c r="C20" s="11" t="s">
        <v>407</v>
      </c>
      <c r="D20" s="2" t="s">
        <v>47</v>
      </c>
      <c r="E20" s="47">
        <v>56954</v>
      </c>
      <c r="F20" s="53">
        <v>141.75850600000001</v>
      </c>
      <c r="G20" s="5">
        <v>2.6144845999999999E-2</v>
      </c>
    </row>
    <row r="21" spans="1:7" ht="25.5" x14ac:dyDescent="0.2">
      <c r="A21" s="6">
        <v>15</v>
      </c>
      <c r="B21" s="7" t="s">
        <v>322</v>
      </c>
      <c r="C21" s="11" t="s">
        <v>323</v>
      </c>
      <c r="D21" s="2" t="s">
        <v>72</v>
      </c>
      <c r="E21" s="47">
        <v>43770</v>
      </c>
      <c r="F21" s="53">
        <v>133.49850000000001</v>
      </c>
      <c r="G21" s="5">
        <v>2.4621434000000001E-2</v>
      </c>
    </row>
    <row r="22" spans="1:7" ht="25.5" x14ac:dyDescent="0.2">
      <c r="A22" s="6">
        <v>16</v>
      </c>
      <c r="B22" s="7" t="s">
        <v>164</v>
      </c>
      <c r="C22" s="11" t="s">
        <v>165</v>
      </c>
      <c r="D22" s="2" t="s">
        <v>47</v>
      </c>
      <c r="E22" s="47">
        <v>45421</v>
      </c>
      <c r="F22" s="53">
        <v>113.461658</v>
      </c>
      <c r="G22" s="5">
        <v>2.0925993E-2</v>
      </c>
    </row>
    <row r="23" spans="1:7" ht="25.5" x14ac:dyDescent="0.2">
      <c r="A23" s="6">
        <v>17</v>
      </c>
      <c r="B23" s="7" t="s">
        <v>537</v>
      </c>
      <c r="C23" s="11" t="s">
        <v>538</v>
      </c>
      <c r="D23" s="2" t="s">
        <v>13</v>
      </c>
      <c r="E23" s="47">
        <v>537345</v>
      </c>
      <c r="F23" s="53">
        <v>111.4990875</v>
      </c>
      <c r="G23" s="5">
        <v>2.0564031999999999E-2</v>
      </c>
    </row>
    <row r="24" spans="1:7" ht="25.5" x14ac:dyDescent="0.2">
      <c r="A24" s="6">
        <v>18</v>
      </c>
      <c r="B24" s="7" t="s">
        <v>424</v>
      </c>
      <c r="C24" s="11" t="s">
        <v>425</v>
      </c>
      <c r="D24" s="2" t="s">
        <v>30</v>
      </c>
      <c r="E24" s="47">
        <v>5095</v>
      </c>
      <c r="F24" s="53">
        <v>110.83408249999999</v>
      </c>
      <c r="G24" s="5">
        <v>2.0441384E-2</v>
      </c>
    </row>
    <row r="25" spans="1:7" ht="12.75" x14ac:dyDescent="0.2">
      <c r="A25" s="6">
        <v>19</v>
      </c>
      <c r="B25" s="7" t="s">
        <v>374</v>
      </c>
      <c r="C25" s="11" t="s">
        <v>375</v>
      </c>
      <c r="D25" s="2" t="s">
        <v>376</v>
      </c>
      <c r="E25" s="47">
        <v>3005</v>
      </c>
      <c r="F25" s="53">
        <v>107.996695</v>
      </c>
      <c r="G25" s="5">
        <v>1.9918077999999999E-2</v>
      </c>
    </row>
    <row r="26" spans="1:7" ht="25.5" x14ac:dyDescent="0.2">
      <c r="A26" s="6">
        <v>20</v>
      </c>
      <c r="B26" s="7" t="s">
        <v>334</v>
      </c>
      <c r="C26" s="11" t="s">
        <v>335</v>
      </c>
      <c r="D26" s="2" t="s">
        <v>30</v>
      </c>
      <c r="E26" s="47">
        <v>32997</v>
      </c>
      <c r="F26" s="53">
        <v>107.9496855</v>
      </c>
      <c r="G26" s="5">
        <v>1.9909408E-2</v>
      </c>
    </row>
    <row r="27" spans="1:7" ht="25.5" x14ac:dyDescent="0.2">
      <c r="A27" s="6">
        <v>21</v>
      </c>
      <c r="B27" s="7" t="s">
        <v>310</v>
      </c>
      <c r="C27" s="11" t="s">
        <v>311</v>
      </c>
      <c r="D27" s="2" t="s">
        <v>223</v>
      </c>
      <c r="E27" s="47">
        <v>49383</v>
      </c>
      <c r="F27" s="53">
        <v>104.79072600000001</v>
      </c>
      <c r="G27" s="5">
        <v>1.9326794000000001E-2</v>
      </c>
    </row>
    <row r="28" spans="1:7" ht="25.5" x14ac:dyDescent="0.2">
      <c r="A28" s="6">
        <v>22</v>
      </c>
      <c r="B28" s="7" t="s">
        <v>312</v>
      </c>
      <c r="C28" s="11" t="s">
        <v>313</v>
      </c>
      <c r="D28" s="2" t="s">
        <v>22</v>
      </c>
      <c r="E28" s="47">
        <v>2374</v>
      </c>
      <c r="F28" s="53">
        <v>102.04995099999999</v>
      </c>
      <c r="G28" s="5">
        <v>1.8821305999999999E-2</v>
      </c>
    </row>
    <row r="29" spans="1:7" ht="51" x14ac:dyDescent="0.2">
      <c r="A29" s="6">
        <v>23</v>
      </c>
      <c r="B29" s="7" t="s">
        <v>328</v>
      </c>
      <c r="C29" s="11" t="s">
        <v>329</v>
      </c>
      <c r="D29" s="2" t="s">
        <v>208</v>
      </c>
      <c r="E29" s="47">
        <v>60895</v>
      </c>
      <c r="F29" s="53">
        <v>102.0295725</v>
      </c>
      <c r="G29" s="5">
        <v>1.8817548E-2</v>
      </c>
    </row>
    <row r="30" spans="1:7" ht="25.5" x14ac:dyDescent="0.2">
      <c r="A30" s="6">
        <v>24</v>
      </c>
      <c r="B30" s="7" t="s">
        <v>368</v>
      </c>
      <c r="C30" s="11" t="s">
        <v>369</v>
      </c>
      <c r="D30" s="2" t="s">
        <v>356</v>
      </c>
      <c r="E30" s="47">
        <v>453</v>
      </c>
      <c r="F30" s="53">
        <v>101.871546</v>
      </c>
      <c r="G30" s="5">
        <v>1.8788401999999999E-2</v>
      </c>
    </row>
    <row r="31" spans="1:7" ht="25.5" x14ac:dyDescent="0.2">
      <c r="A31" s="6">
        <v>25</v>
      </c>
      <c r="B31" s="7" t="s">
        <v>11</v>
      </c>
      <c r="C31" s="11" t="s">
        <v>12</v>
      </c>
      <c r="D31" s="2" t="s">
        <v>13</v>
      </c>
      <c r="E31" s="47">
        <v>6909</v>
      </c>
      <c r="F31" s="53">
        <v>101.77302450000001</v>
      </c>
      <c r="G31" s="5">
        <v>1.8770232000000001E-2</v>
      </c>
    </row>
    <row r="32" spans="1:7" ht="12.75" x14ac:dyDescent="0.2">
      <c r="A32" s="6">
        <v>26</v>
      </c>
      <c r="B32" s="7" t="s">
        <v>342</v>
      </c>
      <c r="C32" s="11" t="s">
        <v>343</v>
      </c>
      <c r="D32" s="2" t="s">
        <v>72</v>
      </c>
      <c r="E32" s="47">
        <v>24058</v>
      </c>
      <c r="F32" s="53">
        <v>99.215192000000002</v>
      </c>
      <c r="G32" s="5">
        <v>1.8298485E-2</v>
      </c>
    </row>
    <row r="33" spans="1:7" ht="25.5" x14ac:dyDescent="0.2">
      <c r="A33" s="6">
        <v>27</v>
      </c>
      <c r="B33" s="7" t="s">
        <v>318</v>
      </c>
      <c r="C33" s="11" t="s">
        <v>319</v>
      </c>
      <c r="D33" s="2" t="s">
        <v>30</v>
      </c>
      <c r="E33" s="47">
        <v>15768</v>
      </c>
      <c r="F33" s="53">
        <v>97.785252</v>
      </c>
      <c r="G33" s="5">
        <v>1.8034758000000001E-2</v>
      </c>
    </row>
    <row r="34" spans="1:7" ht="12.75" x14ac:dyDescent="0.2">
      <c r="A34" s="6">
        <v>28</v>
      </c>
      <c r="B34" s="7" t="s">
        <v>338</v>
      </c>
      <c r="C34" s="11" t="s">
        <v>339</v>
      </c>
      <c r="D34" s="2" t="s">
        <v>72</v>
      </c>
      <c r="E34" s="47">
        <v>28411</v>
      </c>
      <c r="F34" s="53">
        <v>92.0942565</v>
      </c>
      <c r="G34" s="5">
        <v>1.6985154999999998E-2</v>
      </c>
    </row>
    <row r="35" spans="1:7" ht="12.75" x14ac:dyDescent="0.2">
      <c r="A35" s="6">
        <v>29</v>
      </c>
      <c r="B35" s="7" t="s">
        <v>51</v>
      </c>
      <c r="C35" s="11" t="s">
        <v>52</v>
      </c>
      <c r="D35" s="2" t="s">
        <v>19</v>
      </c>
      <c r="E35" s="47">
        <v>8058</v>
      </c>
      <c r="F35" s="53">
        <v>90.011888999999996</v>
      </c>
      <c r="G35" s="5">
        <v>1.6601099000000001E-2</v>
      </c>
    </row>
    <row r="36" spans="1:7" ht="12.75" x14ac:dyDescent="0.2">
      <c r="A36" s="6">
        <v>30</v>
      </c>
      <c r="B36" s="7" t="s">
        <v>346</v>
      </c>
      <c r="C36" s="11" t="s">
        <v>347</v>
      </c>
      <c r="D36" s="2" t="s">
        <v>72</v>
      </c>
      <c r="E36" s="47">
        <v>21095</v>
      </c>
      <c r="F36" s="53">
        <v>85.677342499999995</v>
      </c>
      <c r="G36" s="5">
        <v>1.5801668000000001E-2</v>
      </c>
    </row>
    <row r="37" spans="1:7" ht="25.5" x14ac:dyDescent="0.2">
      <c r="A37" s="6">
        <v>31</v>
      </c>
      <c r="B37" s="7" t="s">
        <v>364</v>
      </c>
      <c r="C37" s="11" t="s">
        <v>365</v>
      </c>
      <c r="D37" s="2" t="s">
        <v>72</v>
      </c>
      <c r="E37" s="47">
        <v>23874</v>
      </c>
      <c r="F37" s="53">
        <v>84.275220000000004</v>
      </c>
      <c r="G37" s="5">
        <v>1.5543072E-2</v>
      </c>
    </row>
    <row r="38" spans="1:7" ht="12.75" x14ac:dyDescent="0.2">
      <c r="A38" s="6">
        <v>32</v>
      </c>
      <c r="B38" s="7" t="s">
        <v>340</v>
      </c>
      <c r="C38" s="11" t="s">
        <v>341</v>
      </c>
      <c r="D38" s="2" t="s">
        <v>242</v>
      </c>
      <c r="E38" s="47">
        <v>5581</v>
      </c>
      <c r="F38" s="53">
        <v>83.918706499999999</v>
      </c>
      <c r="G38" s="5">
        <v>1.5477319E-2</v>
      </c>
    </row>
    <row r="39" spans="1:7" ht="12.75" x14ac:dyDescent="0.2">
      <c r="A39" s="6">
        <v>33</v>
      </c>
      <c r="B39" s="7" t="s">
        <v>539</v>
      </c>
      <c r="C39" s="11" t="s">
        <v>540</v>
      </c>
      <c r="D39" s="2" t="s">
        <v>72</v>
      </c>
      <c r="E39" s="47">
        <v>86029</v>
      </c>
      <c r="F39" s="53">
        <v>82.243724</v>
      </c>
      <c r="G39" s="5">
        <v>1.5168398E-2</v>
      </c>
    </row>
    <row r="40" spans="1:7" ht="25.5" x14ac:dyDescent="0.2">
      <c r="A40" s="6">
        <v>34</v>
      </c>
      <c r="B40" s="7" t="s">
        <v>485</v>
      </c>
      <c r="C40" s="11" t="s">
        <v>486</v>
      </c>
      <c r="D40" s="2" t="s">
        <v>33</v>
      </c>
      <c r="E40" s="47">
        <v>52944</v>
      </c>
      <c r="F40" s="53">
        <v>80.554295999999994</v>
      </c>
      <c r="G40" s="5">
        <v>1.4856813E-2</v>
      </c>
    </row>
    <row r="41" spans="1:7" ht="12.75" x14ac:dyDescent="0.2">
      <c r="A41" s="6">
        <v>35</v>
      </c>
      <c r="B41" s="7" t="s">
        <v>326</v>
      </c>
      <c r="C41" s="11" t="s">
        <v>327</v>
      </c>
      <c r="D41" s="2" t="s">
        <v>168</v>
      </c>
      <c r="E41" s="47">
        <v>1214</v>
      </c>
      <c r="F41" s="53">
        <v>75.334163000000004</v>
      </c>
      <c r="G41" s="5">
        <v>1.3894052E-2</v>
      </c>
    </row>
    <row r="42" spans="1:7" ht="25.5" x14ac:dyDescent="0.2">
      <c r="A42" s="6">
        <v>36</v>
      </c>
      <c r="B42" s="7" t="s">
        <v>301</v>
      </c>
      <c r="C42" s="11" t="s">
        <v>302</v>
      </c>
      <c r="D42" s="2" t="s">
        <v>183</v>
      </c>
      <c r="E42" s="47">
        <v>4646</v>
      </c>
      <c r="F42" s="53">
        <v>68.983807999999996</v>
      </c>
      <c r="G42" s="5">
        <v>1.2722842E-2</v>
      </c>
    </row>
    <row r="43" spans="1:7" ht="12.75" x14ac:dyDescent="0.2">
      <c r="A43" s="6">
        <v>37</v>
      </c>
      <c r="B43" s="7" t="s">
        <v>519</v>
      </c>
      <c r="C43" s="11" t="s">
        <v>520</v>
      </c>
      <c r="D43" s="2" t="s">
        <v>281</v>
      </c>
      <c r="E43" s="47">
        <v>7602</v>
      </c>
      <c r="F43" s="53">
        <v>68.703074999999998</v>
      </c>
      <c r="G43" s="5">
        <v>1.2671065E-2</v>
      </c>
    </row>
    <row r="44" spans="1:7" ht="12.75" x14ac:dyDescent="0.2">
      <c r="A44" s="6">
        <v>38</v>
      </c>
      <c r="B44" s="7" t="s">
        <v>316</v>
      </c>
      <c r="C44" s="11" t="s">
        <v>317</v>
      </c>
      <c r="D44" s="2" t="s">
        <v>16</v>
      </c>
      <c r="E44" s="47">
        <v>80284</v>
      </c>
      <c r="F44" s="53">
        <v>67.277991999999998</v>
      </c>
      <c r="G44" s="5">
        <v>1.2408234000000001E-2</v>
      </c>
    </row>
    <row r="45" spans="1:7" ht="12.75" x14ac:dyDescent="0.2">
      <c r="A45" s="6">
        <v>39</v>
      </c>
      <c r="B45" s="7" t="s">
        <v>276</v>
      </c>
      <c r="C45" s="11" t="s">
        <v>277</v>
      </c>
      <c r="D45" s="2" t="s">
        <v>72</v>
      </c>
      <c r="E45" s="47">
        <v>82442</v>
      </c>
      <c r="F45" s="53">
        <v>64.304760000000002</v>
      </c>
      <c r="G45" s="5">
        <v>1.1859873999999999E-2</v>
      </c>
    </row>
    <row r="46" spans="1:7" ht="12.75" x14ac:dyDescent="0.2">
      <c r="A46" s="6">
        <v>40</v>
      </c>
      <c r="B46" s="7" t="s">
        <v>336</v>
      </c>
      <c r="C46" s="11" t="s">
        <v>337</v>
      </c>
      <c r="D46" s="2" t="s">
        <v>197</v>
      </c>
      <c r="E46" s="47">
        <v>11986</v>
      </c>
      <c r="F46" s="53">
        <v>62.183368000000002</v>
      </c>
      <c r="G46" s="5">
        <v>1.1468621E-2</v>
      </c>
    </row>
    <row r="47" spans="1:7" ht="12.75" x14ac:dyDescent="0.2">
      <c r="A47" s="6">
        <v>41</v>
      </c>
      <c r="B47" s="7" t="s">
        <v>359</v>
      </c>
      <c r="C47" s="11" t="s">
        <v>360</v>
      </c>
      <c r="D47" s="2" t="s">
        <v>361</v>
      </c>
      <c r="E47" s="47">
        <v>12793</v>
      </c>
      <c r="F47" s="53">
        <v>60.817922000000003</v>
      </c>
      <c r="G47" s="5">
        <v>1.1216789E-2</v>
      </c>
    </row>
    <row r="48" spans="1:7" ht="12.75" x14ac:dyDescent="0.2">
      <c r="A48" s="6">
        <v>42</v>
      </c>
      <c r="B48" s="7" t="s">
        <v>308</v>
      </c>
      <c r="C48" s="11" t="s">
        <v>309</v>
      </c>
      <c r="D48" s="2" t="s">
        <v>168</v>
      </c>
      <c r="E48" s="47">
        <v>2684</v>
      </c>
      <c r="F48" s="53">
        <v>56.243220000000001</v>
      </c>
      <c r="G48" s="5">
        <v>1.0373066E-2</v>
      </c>
    </row>
    <row r="49" spans="1:7" ht="12.75" x14ac:dyDescent="0.2">
      <c r="A49" s="6">
        <v>43</v>
      </c>
      <c r="B49" s="7" t="s">
        <v>508</v>
      </c>
      <c r="C49" s="11" t="s">
        <v>509</v>
      </c>
      <c r="D49" s="2" t="s">
        <v>168</v>
      </c>
      <c r="E49" s="47">
        <v>43406</v>
      </c>
      <c r="F49" s="53">
        <v>53.367677</v>
      </c>
      <c r="G49" s="5">
        <v>9.8427229999999994E-3</v>
      </c>
    </row>
    <row r="50" spans="1:7" ht="25.5" x14ac:dyDescent="0.2">
      <c r="A50" s="6">
        <v>44</v>
      </c>
      <c r="B50" s="7" t="s">
        <v>31</v>
      </c>
      <c r="C50" s="11" t="s">
        <v>32</v>
      </c>
      <c r="D50" s="2" t="s">
        <v>33</v>
      </c>
      <c r="E50" s="47">
        <v>3629</v>
      </c>
      <c r="F50" s="53">
        <v>53.141261499999999</v>
      </c>
      <c r="G50" s="5">
        <v>9.800965E-3</v>
      </c>
    </row>
    <row r="51" spans="1:7" ht="12.75" x14ac:dyDescent="0.2">
      <c r="A51" s="6">
        <v>45</v>
      </c>
      <c r="B51" s="7" t="s">
        <v>377</v>
      </c>
      <c r="C51" s="11" t="s">
        <v>378</v>
      </c>
      <c r="D51" s="2" t="s">
        <v>40</v>
      </c>
      <c r="E51" s="47">
        <v>74332</v>
      </c>
      <c r="F51" s="53">
        <v>44.078876000000001</v>
      </c>
      <c r="G51" s="5">
        <v>8.1295680000000002E-3</v>
      </c>
    </row>
    <row r="52" spans="1:7" ht="12.75" x14ac:dyDescent="0.2">
      <c r="A52" s="6">
        <v>46</v>
      </c>
      <c r="B52" s="7" t="s">
        <v>389</v>
      </c>
      <c r="C52" s="11" t="s">
        <v>390</v>
      </c>
      <c r="D52" s="2" t="s">
        <v>16</v>
      </c>
      <c r="E52" s="47">
        <v>46077</v>
      </c>
      <c r="F52" s="53">
        <v>25.273234500000001</v>
      </c>
      <c r="G52" s="5">
        <v>4.6612010000000002E-3</v>
      </c>
    </row>
    <row r="53" spans="1:7" ht="12.75" x14ac:dyDescent="0.2">
      <c r="A53" s="1"/>
      <c r="B53" s="2"/>
      <c r="C53" s="8" t="s">
        <v>108</v>
      </c>
      <c r="D53" s="12"/>
      <c r="E53" s="49"/>
      <c r="F53" s="55">
        <v>5260.7599925000022</v>
      </c>
      <c r="G53" s="13">
        <v>0.97025401200000017</v>
      </c>
    </row>
    <row r="54" spans="1:7" ht="12.75" x14ac:dyDescent="0.2">
      <c r="A54" s="6"/>
      <c r="B54" s="7"/>
      <c r="C54" s="14"/>
      <c r="D54" s="15"/>
      <c r="E54" s="47"/>
      <c r="F54" s="53"/>
      <c r="G54" s="5"/>
    </row>
    <row r="55" spans="1:7" ht="12.75" x14ac:dyDescent="0.2">
      <c r="A55" s="1"/>
      <c r="B55" s="2"/>
      <c r="C55" s="8" t="s">
        <v>109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6"/>
      <c r="B57" s="7"/>
      <c r="C57" s="14"/>
      <c r="D57" s="15"/>
      <c r="E57" s="47"/>
      <c r="F57" s="53"/>
      <c r="G57" s="5"/>
    </row>
    <row r="58" spans="1:7" ht="12.75" x14ac:dyDescent="0.2">
      <c r="A58" s="16"/>
      <c r="B58" s="17"/>
      <c r="C58" s="8" t="s">
        <v>110</v>
      </c>
      <c r="D58" s="9"/>
      <c r="E58" s="48"/>
      <c r="F58" s="54"/>
      <c r="G58" s="10"/>
    </row>
    <row r="59" spans="1:7" ht="12.75" x14ac:dyDescent="0.2">
      <c r="A59" s="18"/>
      <c r="B59" s="19"/>
      <c r="C59" s="8" t="s">
        <v>108</v>
      </c>
      <c r="D59" s="20"/>
      <c r="E59" s="50"/>
      <c r="F59" s="56">
        <v>0</v>
      </c>
      <c r="G59" s="21">
        <v>0</v>
      </c>
    </row>
    <row r="60" spans="1:7" ht="12.75" x14ac:dyDescent="0.2">
      <c r="A60" s="18"/>
      <c r="B60" s="19"/>
      <c r="C60" s="14"/>
      <c r="D60" s="22"/>
      <c r="E60" s="51"/>
      <c r="F60" s="57"/>
      <c r="G60" s="23"/>
    </row>
    <row r="61" spans="1:7" ht="12.75" x14ac:dyDescent="0.2">
      <c r="A61" s="1"/>
      <c r="B61" s="2"/>
      <c r="C61" s="8" t="s">
        <v>113</v>
      </c>
      <c r="D61" s="9"/>
      <c r="E61" s="48"/>
      <c r="F61" s="54"/>
      <c r="G61" s="10"/>
    </row>
    <row r="62" spans="1:7" ht="12.75" x14ac:dyDescent="0.2">
      <c r="A62" s="1"/>
      <c r="B62" s="2"/>
      <c r="C62" s="8" t="s">
        <v>108</v>
      </c>
      <c r="D62" s="12"/>
      <c r="E62" s="49"/>
      <c r="F62" s="55">
        <v>0</v>
      </c>
      <c r="G62" s="13">
        <v>0</v>
      </c>
    </row>
    <row r="63" spans="1:7" ht="12.75" x14ac:dyDescent="0.2">
      <c r="A63" s="1"/>
      <c r="B63" s="2"/>
      <c r="C63" s="14"/>
      <c r="D63" s="4"/>
      <c r="E63" s="47"/>
      <c r="F63" s="53"/>
      <c r="G63" s="5"/>
    </row>
    <row r="64" spans="1:7" ht="12.75" x14ac:dyDescent="0.2">
      <c r="A64" s="1"/>
      <c r="B64" s="2"/>
      <c r="C64" s="8" t="s">
        <v>114</v>
      </c>
      <c r="D64" s="9"/>
      <c r="E64" s="48"/>
      <c r="F64" s="54"/>
      <c r="G64" s="10"/>
    </row>
    <row r="65" spans="1:7" ht="12.75" x14ac:dyDescent="0.2">
      <c r="A65" s="1"/>
      <c r="B65" s="2"/>
      <c r="C65" s="8" t="s">
        <v>108</v>
      </c>
      <c r="D65" s="12"/>
      <c r="E65" s="49"/>
      <c r="F65" s="55">
        <v>0</v>
      </c>
      <c r="G65" s="13">
        <v>0</v>
      </c>
    </row>
    <row r="66" spans="1:7" ht="12.75" x14ac:dyDescent="0.2">
      <c r="A66" s="1"/>
      <c r="B66" s="2"/>
      <c r="C66" s="14"/>
      <c r="D66" s="4"/>
      <c r="E66" s="47"/>
      <c r="F66" s="53"/>
      <c r="G66" s="5"/>
    </row>
    <row r="67" spans="1:7" ht="12.75" x14ac:dyDescent="0.2">
      <c r="A67" s="1"/>
      <c r="B67" s="2"/>
      <c r="C67" s="8" t="s">
        <v>115</v>
      </c>
      <c r="D67" s="9"/>
      <c r="E67" s="48"/>
      <c r="F67" s="54"/>
      <c r="G67" s="10"/>
    </row>
    <row r="68" spans="1:7" ht="12.75" x14ac:dyDescent="0.2">
      <c r="A68" s="1"/>
      <c r="B68" s="2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1"/>
      <c r="B69" s="2"/>
      <c r="C69" s="14"/>
      <c r="D69" s="4"/>
      <c r="E69" s="47"/>
      <c r="F69" s="53"/>
      <c r="G69" s="5"/>
    </row>
    <row r="70" spans="1:7" ht="25.5" x14ac:dyDescent="0.2">
      <c r="A70" s="6"/>
      <c r="B70" s="7"/>
      <c r="C70" s="24" t="s">
        <v>116</v>
      </c>
      <c r="D70" s="25"/>
      <c r="E70" s="49"/>
      <c r="F70" s="55">
        <v>5260.7599925000022</v>
      </c>
      <c r="G70" s="13">
        <v>0.97025401200000017</v>
      </c>
    </row>
    <row r="71" spans="1:7" ht="12.75" x14ac:dyDescent="0.2">
      <c r="A71" s="1"/>
      <c r="B71" s="2"/>
      <c r="C71" s="11"/>
      <c r="D71" s="4"/>
      <c r="E71" s="47"/>
      <c r="F71" s="53"/>
      <c r="G71" s="5"/>
    </row>
    <row r="72" spans="1:7" ht="12.75" x14ac:dyDescent="0.2">
      <c r="A72" s="1"/>
      <c r="B72" s="2"/>
      <c r="C72" s="3" t="s">
        <v>117</v>
      </c>
      <c r="D72" s="4"/>
      <c r="E72" s="47"/>
      <c r="F72" s="53"/>
      <c r="G72" s="5"/>
    </row>
    <row r="73" spans="1:7" ht="25.5" x14ac:dyDescent="0.2">
      <c r="A73" s="1"/>
      <c r="B73" s="2"/>
      <c r="C73" s="8" t="s">
        <v>10</v>
      </c>
      <c r="D73" s="9"/>
      <c r="E73" s="48"/>
      <c r="F73" s="54"/>
      <c r="G73" s="10"/>
    </row>
    <row r="74" spans="1:7" ht="12.75" x14ac:dyDescent="0.2">
      <c r="A74" s="6"/>
      <c r="B74" s="7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4"/>
      <c r="D75" s="4"/>
      <c r="E75" s="47"/>
      <c r="F75" s="53"/>
      <c r="G75" s="5"/>
    </row>
    <row r="76" spans="1:7" ht="12.75" x14ac:dyDescent="0.2">
      <c r="A76" s="1"/>
      <c r="B76" s="26"/>
      <c r="C76" s="8" t="s">
        <v>118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12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4"/>
      <c r="E78" s="47"/>
      <c r="F78" s="59"/>
      <c r="G78" s="28"/>
    </row>
    <row r="79" spans="1:7" ht="12.75" x14ac:dyDescent="0.2">
      <c r="A79" s="1"/>
      <c r="B79" s="2"/>
      <c r="C79" s="8" t="s">
        <v>119</v>
      </c>
      <c r="D79" s="9"/>
      <c r="E79" s="48"/>
      <c r="F79" s="54"/>
      <c r="G79" s="10"/>
    </row>
    <row r="80" spans="1:7" ht="12.75" x14ac:dyDescent="0.2">
      <c r="A80" s="6"/>
      <c r="B80" s="7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1"/>
      <c r="B81" s="2"/>
      <c r="C81" s="14"/>
      <c r="D81" s="4"/>
      <c r="E81" s="47"/>
      <c r="F81" s="53"/>
      <c r="G81" s="5"/>
    </row>
    <row r="82" spans="1:7" ht="25.5" x14ac:dyDescent="0.2">
      <c r="A82" s="1"/>
      <c r="B82" s="26"/>
      <c r="C82" s="8" t="s">
        <v>120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4"/>
      <c r="E84" s="47"/>
      <c r="F84" s="53"/>
      <c r="G84" s="5"/>
    </row>
    <row r="85" spans="1:7" ht="12.75" x14ac:dyDescent="0.2">
      <c r="A85" s="6"/>
      <c r="B85" s="7"/>
      <c r="C85" s="29" t="s">
        <v>121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1"/>
      <c r="D86" s="4"/>
      <c r="E86" s="47"/>
      <c r="F86" s="53"/>
      <c r="G86" s="5"/>
    </row>
    <row r="87" spans="1:7" ht="12.75" x14ac:dyDescent="0.2">
      <c r="A87" s="1"/>
      <c r="B87" s="2"/>
      <c r="C87" s="3" t="s">
        <v>122</v>
      </c>
      <c r="D87" s="4"/>
      <c r="E87" s="47"/>
      <c r="F87" s="53"/>
      <c r="G87" s="5"/>
    </row>
    <row r="88" spans="1:7" ht="12.75" x14ac:dyDescent="0.2">
      <c r="A88" s="6"/>
      <c r="B88" s="7"/>
      <c r="C88" s="8" t="s">
        <v>123</v>
      </c>
      <c r="D88" s="9"/>
      <c r="E88" s="48"/>
      <c r="F88" s="54"/>
      <c r="G88" s="10"/>
    </row>
    <row r="89" spans="1:7" ht="12.75" x14ac:dyDescent="0.2">
      <c r="A89" s="6"/>
      <c r="B89" s="7"/>
      <c r="C89" s="8" t="s">
        <v>108</v>
      </c>
      <c r="D89" s="25"/>
      <c r="E89" s="49"/>
      <c r="F89" s="55">
        <v>0</v>
      </c>
      <c r="G89" s="13">
        <v>0</v>
      </c>
    </row>
    <row r="90" spans="1:7" ht="12.75" x14ac:dyDescent="0.2">
      <c r="A90" s="6"/>
      <c r="B90" s="7"/>
      <c r="C90" s="14"/>
      <c r="D90" s="7"/>
      <c r="E90" s="47"/>
      <c r="F90" s="53"/>
      <c r="G90" s="5"/>
    </row>
    <row r="91" spans="1:7" ht="12.75" x14ac:dyDescent="0.2">
      <c r="A91" s="6"/>
      <c r="B91" s="7"/>
      <c r="C91" s="8" t="s">
        <v>124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25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7"/>
      <c r="E93" s="47"/>
      <c r="F93" s="53"/>
      <c r="G93" s="5"/>
    </row>
    <row r="94" spans="1:7" ht="12.75" x14ac:dyDescent="0.2">
      <c r="A94" s="6"/>
      <c r="B94" s="7"/>
      <c r="C94" s="8" t="s">
        <v>125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25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7"/>
      <c r="E96" s="47"/>
      <c r="F96" s="53"/>
      <c r="G96" s="5"/>
    </row>
    <row r="97" spans="1:7" ht="12.75" x14ac:dyDescent="0.2">
      <c r="A97" s="6"/>
      <c r="B97" s="7"/>
      <c r="C97" s="8" t="s">
        <v>126</v>
      </c>
      <c r="D97" s="9"/>
      <c r="E97" s="48"/>
      <c r="F97" s="54"/>
      <c r="G97" s="10"/>
    </row>
    <row r="98" spans="1:7" ht="12.75" x14ac:dyDescent="0.2">
      <c r="A98" s="6">
        <v>1</v>
      </c>
      <c r="B98" s="7"/>
      <c r="C98" s="11" t="s">
        <v>812</v>
      </c>
      <c r="D98" s="15"/>
      <c r="E98" s="47"/>
      <c r="F98" s="53">
        <v>160.97883010000001</v>
      </c>
      <c r="G98" s="5">
        <v>2.9689693999999999E-2</v>
      </c>
    </row>
    <row r="99" spans="1:7" ht="12.75" x14ac:dyDescent="0.2">
      <c r="A99" s="6"/>
      <c r="B99" s="7"/>
      <c r="C99" s="8" t="s">
        <v>108</v>
      </c>
      <c r="D99" s="25"/>
      <c r="E99" s="49"/>
      <c r="F99" s="55">
        <v>160.97883010000001</v>
      </c>
      <c r="G99" s="13">
        <v>2.9689693999999999E-2</v>
      </c>
    </row>
    <row r="100" spans="1:7" ht="12.75" x14ac:dyDescent="0.2">
      <c r="A100" s="6"/>
      <c r="B100" s="7"/>
      <c r="C100" s="14"/>
      <c r="D100" s="7"/>
      <c r="E100" s="47"/>
      <c r="F100" s="53"/>
      <c r="G100" s="5"/>
    </row>
    <row r="101" spans="1:7" ht="25.5" x14ac:dyDescent="0.2">
      <c r="A101" s="6"/>
      <c r="B101" s="7"/>
      <c r="C101" s="24" t="s">
        <v>127</v>
      </c>
      <c r="D101" s="25"/>
      <c r="E101" s="49"/>
      <c r="F101" s="55">
        <v>160.97883010000001</v>
      </c>
      <c r="G101" s="13">
        <v>2.9689693999999999E-2</v>
      </c>
    </row>
    <row r="102" spans="1:7" ht="12.75" x14ac:dyDescent="0.2">
      <c r="A102" s="6"/>
      <c r="B102" s="7"/>
      <c r="C102" s="30"/>
      <c r="D102" s="7"/>
      <c r="E102" s="47"/>
      <c r="F102" s="53"/>
      <c r="G102" s="5"/>
    </row>
    <row r="103" spans="1:7" ht="12.75" x14ac:dyDescent="0.2">
      <c r="A103" s="1"/>
      <c r="B103" s="2"/>
      <c r="C103" s="3" t="s">
        <v>128</v>
      </c>
      <c r="D103" s="4"/>
      <c r="E103" s="47"/>
      <c r="F103" s="53"/>
      <c r="G103" s="5"/>
    </row>
    <row r="104" spans="1:7" ht="25.5" x14ac:dyDescent="0.2">
      <c r="A104" s="6"/>
      <c r="B104" s="7"/>
      <c r="C104" s="8" t="s">
        <v>129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1"/>
      <c r="B107" s="2"/>
      <c r="C107" s="3" t="s">
        <v>131</v>
      </c>
      <c r="D107" s="4"/>
      <c r="E107" s="47"/>
      <c r="F107" s="53"/>
      <c r="G107" s="5"/>
    </row>
    <row r="108" spans="1:7" ht="25.5" x14ac:dyDescent="0.2">
      <c r="A108" s="6"/>
      <c r="B108" s="7"/>
      <c r="C108" s="8" t="s">
        <v>132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25.5" x14ac:dyDescent="0.2">
      <c r="A111" s="6"/>
      <c r="B111" s="7"/>
      <c r="C111" s="8" t="s">
        <v>133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9"/>
      <c r="G113" s="28"/>
    </row>
    <row r="114" spans="1:7" ht="25.5" x14ac:dyDescent="0.2">
      <c r="A114" s="6"/>
      <c r="B114" s="7"/>
      <c r="C114" s="30" t="s">
        <v>134</v>
      </c>
      <c r="D114" s="7"/>
      <c r="E114" s="47"/>
      <c r="F114" s="59">
        <v>0.30524051000000002</v>
      </c>
      <c r="G114" s="28">
        <v>5.6295999999999998E-5</v>
      </c>
    </row>
    <row r="115" spans="1:7" ht="12.75" x14ac:dyDescent="0.2">
      <c r="A115" s="6"/>
      <c r="B115" s="7"/>
      <c r="C115" s="31" t="s">
        <v>135</v>
      </c>
      <c r="D115" s="12"/>
      <c r="E115" s="49"/>
      <c r="F115" s="55">
        <v>5422.0440631100028</v>
      </c>
      <c r="G115" s="13">
        <v>1.0000000020000002</v>
      </c>
    </row>
    <row r="117" spans="1:7" ht="12.75" x14ac:dyDescent="0.2">
      <c r="B117" s="179"/>
      <c r="C117" s="179"/>
      <c r="D117" s="179"/>
      <c r="E117" s="179"/>
      <c r="F117" s="179"/>
    </row>
    <row r="118" spans="1:7" ht="12.75" x14ac:dyDescent="0.2">
      <c r="B118" s="179"/>
      <c r="C118" s="179"/>
      <c r="D118" s="179"/>
      <c r="E118" s="179"/>
      <c r="F118" s="179"/>
    </row>
    <row r="120" spans="1:7" ht="12.75" x14ac:dyDescent="0.2">
      <c r="B120" s="37" t="s">
        <v>137</v>
      </c>
      <c r="C120" s="38"/>
      <c r="D120" s="39"/>
    </row>
    <row r="121" spans="1:7" ht="12.75" x14ac:dyDescent="0.2">
      <c r="B121" s="40" t="s">
        <v>808</v>
      </c>
      <c r="C121" s="41"/>
      <c r="D121" s="65" t="s">
        <v>138</v>
      </c>
    </row>
    <row r="122" spans="1:7" ht="12.75" x14ac:dyDescent="0.2">
      <c r="B122" s="40" t="s">
        <v>139</v>
      </c>
      <c r="C122" s="41"/>
      <c r="D122" s="65" t="s">
        <v>138</v>
      </c>
    </row>
    <row r="123" spans="1:7" ht="12.75" x14ac:dyDescent="0.2">
      <c r="B123" s="42" t="s">
        <v>140</v>
      </c>
      <c r="C123" s="41"/>
      <c r="D123" s="43"/>
    </row>
    <row r="124" spans="1:7" ht="25.5" customHeight="1" x14ac:dyDescent="0.2">
      <c r="B124" s="43"/>
      <c r="C124" s="33" t="s">
        <v>141</v>
      </c>
      <c r="D124" s="34" t="s">
        <v>142</v>
      </c>
    </row>
    <row r="125" spans="1:7" ht="12.75" customHeight="1" x14ac:dyDescent="0.2">
      <c r="B125" s="60" t="s">
        <v>143</v>
      </c>
      <c r="C125" s="61" t="s">
        <v>144</v>
      </c>
      <c r="D125" s="61" t="s">
        <v>145</v>
      </c>
    </row>
    <row r="126" spans="1:7" ht="12.75" x14ac:dyDescent="0.2">
      <c r="B126" s="43" t="s">
        <v>146</v>
      </c>
      <c r="C126" s="44">
        <v>14.6318</v>
      </c>
      <c r="D126" s="44">
        <v>15.398099999999999</v>
      </c>
    </row>
    <row r="127" spans="1:7" ht="12.75" x14ac:dyDescent="0.2">
      <c r="B127" s="43" t="s">
        <v>147</v>
      </c>
      <c r="C127" s="44">
        <v>12.5512</v>
      </c>
      <c r="D127" s="44">
        <v>13.208500000000001</v>
      </c>
    </row>
    <row r="128" spans="1:7" ht="12.75" x14ac:dyDescent="0.2">
      <c r="B128" s="43" t="s">
        <v>148</v>
      </c>
      <c r="C128" s="44">
        <v>14.347899999999999</v>
      </c>
      <c r="D128" s="44">
        <v>15.091699999999999</v>
      </c>
    </row>
    <row r="129" spans="2:4" ht="12.75" x14ac:dyDescent="0.2">
      <c r="B129" s="43" t="s">
        <v>149</v>
      </c>
      <c r="C129" s="44">
        <v>12.261900000000001</v>
      </c>
      <c r="D129" s="44">
        <v>12.897600000000001</v>
      </c>
    </row>
    <row r="131" spans="2:4" ht="12.75" x14ac:dyDescent="0.2">
      <c r="B131" s="62" t="s">
        <v>150</v>
      </c>
      <c r="C131" s="45"/>
      <c r="D131" s="63" t="s">
        <v>138</v>
      </c>
    </row>
    <row r="132" spans="2:4" ht="24.75" customHeight="1" x14ac:dyDescent="0.2">
      <c r="B132" s="64"/>
      <c r="C132" s="64"/>
    </row>
    <row r="133" spans="2:4" ht="15" x14ac:dyDescent="0.25">
      <c r="B133" s="66"/>
      <c r="C133" s="68"/>
      <c r="D133"/>
    </row>
    <row r="135" spans="2:4" ht="12.75" x14ac:dyDescent="0.2">
      <c r="B135" s="42" t="s">
        <v>151</v>
      </c>
      <c r="C135" s="41"/>
      <c r="D135" s="67" t="s">
        <v>138</v>
      </c>
    </row>
    <row r="136" spans="2:4" ht="12.75" x14ac:dyDescent="0.2">
      <c r="B136" s="42" t="s">
        <v>152</v>
      </c>
      <c r="C136" s="41"/>
      <c r="D136" s="67" t="s">
        <v>138</v>
      </c>
    </row>
    <row r="137" spans="2:4" ht="12.75" x14ac:dyDescent="0.2">
      <c r="B137" s="42" t="s">
        <v>153</v>
      </c>
      <c r="C137" s="41"/>
      <c r="D137" s="46">
        <v>0.34822804871974372</v>
      </c>
    </row>
    <row r="138" spans="2:4" ht="12.75" x14ac:dyDescent="0.2">
      <c r="B138" s="42" t="s">
        <v>154</v>
      </c>
      <c r="C138" s="41"/>
      <c r="D138" s="46" t="s">
        <v>138</v>
      </c>
    </row>
  </sheetData>
  <mergeCells count="5">
    <mergeCell ref="A1:G1"/>
    <mergeCell ref="A2:G2"/>
    <mergeCell ref="A3:G3"/>
    <mergeCell ref="B117:F117"/>
    <mergeCell ref="B118:F118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3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541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17</v>
      </c>
      <c r="C7" s="11" t="s">
        <v>18</v>
      </c>
      <c r="D7" s="2" t="s">
        <v>19</v>
      </c>
      <c r="E7" s="47">
        <v>31050</v>
      </c>
      <c r="F7" s="53">
        <v>243.68039999999999</v>
      </c>
      <c r="G7" s="5">
        <v>4.2837119999999999E-2</v>
      </c>
    </row>
    <row r="8" spans="1:7" ht="12.75" x14ac:dyDescent="0.2">
      <c r="A8" s="6">
        <v>2</v>
      </c>
      <c r="B8" s="7" t="s">
        <v>299</v>
      </c>
      <c r="C8" s="11" t="s">
        <v>300</v>
      </c>
      <c r="D8" s="2" t="s">
        <v>223</v>
      </c>
      <c r="E8" s="47">
        <v>42460</v>
      </c>
      <c r="F8" s="53">
        <v>229.98459</v>
      </c>
      <c r="G8" s="5">
        <v>4.0429502999999999E-2</v>
      </c>
    </row>
    <row r="9" spans="1:7" ht="25.5" x14ac:dyDescent="0.2">
      <c r="A9" s="6">
        <v>3</v>
      </c>
      <c r="B9" s="7" t="s">
        <v>444</v>
      </c>
      <c r="C9" s="11" t="s">
        <v>445</v>
      </c>
      <c r="D9" s="2" t="s">
        <v>27</v>
      </c>
      <c r="E9" s="47">
        <v>13390</v>
      </c>
      <c r="F9" s="53">
        <v>221.75179</v>
      </c>
      <c r="G9" s="5">
        <v>3.8982241000000001E-2</v>
      </c>
    </row>
    <row r="10" spans="1:7" ht="25.5" x14ac:dyDescent="0.2">
      <c r="A10" s="6">
        <v>4</v>
      </c>
      <c r="B10" s="7" t="s">
        <v>402</v>
      </c>
      <c r="C10" s="11" t="s">
        <v>403</v>
      </c>
      <c r="D10" s="2" t="s">
        <v>30</v>
      </c>
      <c r="E10" s="47">
        <v>13035</v>
      </c>
      <c r="F10" s="53">
        <v>208.67731499999999</v>
      </c>
      <c r="G10" s="5">
        <v>3.6683849999999997E-2</v>
      </c>
    </row>
    <row r="11" spans="1:7" ht="12.75" x14ac:dyDescent="0.2">
      <c r="A11" s="6">
        <v>5</v>
      </c>
      <c r="B11" s="7" t="s">
        <v>420</v>
      </c>
      <c r="C11" s="11" t="s">
        <v>421</v>
      </c>
      <c r="D11" s="2" t="s">
        <v>72</v>
      </c>
      <c r="E11" s="47">
        <v>5104</v>
      </c>
      <c r="F11" s="53">
        <v>205.56615199999999</v>
      </c>
      <c r="G11" s="5">
        <v>3.6136931999999997E-2</v>
      </c>
    </row>
    <row r="12" spans="1:7" ht="25.5" x14ac:dyDescent="0.2">
      <c r="A12" s="6">
        <v>6</v>
      </c>
      <c r="B12" s="7" t="s">
        <v>34</v>
      </c>
      <c r="C12" s="11" t="s">
        <v>35</v>
      </c>
      <c r="D12" s="2" t="s">
        <v>27</v>
      </c>
      <c r="E12" s="47">
        <v>18184</v>
      </c>
      <c r="F12" s="53">
        <v>205.270084</v>
      </c>
      <c r="G12" s="5">
        <v>3.6084884999999997E-2</v>
      </c>
    </row>
    <row r="13" spans="1:7" ht="25.5" x14ac:dyDescent="0.2">
      <c r="A13" s="6">
        <v>7</v>
      </c>
      <c r="B13" s="7" t="s">
        <v>70</v>
      </c>
      <c r="C13" s="11" t="s">
        <v>71</v>
      </c>
      <c r="D13" s="2" t="s">
        <v>72</v>
      </c>
      <c r="E13" s="47">
        <v>14951</v>
      </c>
      <c r="F13" s="53">
        <v>200.76202799999999</v>
      </c>
      <c r="G13" s="5">
        <v>3.5292403999999999E-2</v>
      </c>
    </row>
    <row r="14" spans="1:7" ht="12.75" x14ac:dyDescent="0.2">
      <c r="A14" s="6">
        <v>8</v>
      </c>
      <c r="B14" s="7" t="s">
        <v>535</v>
      </c>
      <c r="C14" s="11" t="s">
        <v>536</v>
      </c>
      <c r="D14" s="2" t="s">
        <v>72</v>
      </c>
      <c r="E14" s="47">
        <v>2370</v>
      </c>
      <c r="F14" s="53">
        <v>192.78409500000001</v>
      </c>
      <c r="G14" s="5">
        <v>3.3889944999999998E-2</v>
      </c>
    </row>
    <row r="15" spans="1:7" ht="25.5" x14ac:dyDescent="0.2">
      <c r="A15" s="6">
        <v>9</v>
      </c>
      <c r="B15" s="7" t="s">
        <v>404</v>
      </c>
      <c r="C15" s="11" t="s">
        <v>405</v>
      </c>
      <c r="D15" s="2" t="s">
        <v>72</v>
      </c>
      <c r="E15" s="47">
        <v>18987</v>
      </c>
      <c r="F15" s="53">
        <v>188.25610499999999</v>
      </c>
      <c r="G15" s="5">
        <v>3.3093959999999999E-2</v>
      </c>
    </row>
    <row r="16" spans="1:7" ht="25.5" x14ac:dyDescent="0.2">
      <c r="A16" s="6">
        <v>10</v>
      </c>
      <c r="B16" s="7" t="s">
        <v>303</v>
      </c>
      <c r="C16" s="11" t="s">
        <v>304</v>
      </c>
      <c r="D16" s="2" t="s">
        <v>47</v>
      </c>
      <c r="E16" s="47">
        <v>8217</v>
      </c>
      <c r="F16" s="53">
        <v>180.31795650000001</v>
      </c>
      <c r="G16" s="5">
        <v>3.1698495E-2</v>
      </c>
    </row>
    <row r="17" spans="1:7" ht="12.75" x14ac:dyDescent="0.2">
      <c r="A17" s="6">
        <v>11</v>
      </c>
      <c r="B17" s="7" t="s">
        <v>320</v>
      </c>
      <c r="C17" s="11" t="s">
        <v>321</v>
      </c>
      <c r="D17" s="2" t="s">
        <v>16</v>
      </c>
      <c r="E17" s="47">
        <v>78202</v>
      </c>
      <c r="F17" s="53">
        <v>165.710038</v>
      </c>
      <c r="G17" s="5">
        <v>2.9130537000000001E-2</v>
      </c>
    </row>
    <row r="18" spans="1:7" ht="25.5" x14ac:dyDescent="0.2">
      <c r="A18" s="6">
        <v>12</v>
      </c>
      <c r="B18" s="7" t="s">
        <v>314</v>
      </c>
      <c r="C18" s="11" t="s">
        <v>315</v>
      </c>
      <c r="D18" s="2" t="s">
        <v>30</v>
      </c>
      <c r="E18" s="47">
        <v>47595</v>
      </c>
      <c r="F18" s="53">
        <v>150.87615</v>
      </c>
      <c r="G18" s="5">
        <v>2.6522853999999998E-2</v>
      </c>
    </row>
    <row r="19" spans="1:7" ht="25.5" x14ac:dyDescent="0.2">
      <c r="A19" s="6">
        <v>13</v>
      </c>
      <c r="B19" s="7" t="s">
        <v>406</v>
      </c>
      <c r="C19" s="11" t="s">
        <v>407</v>
      </c>
      <c r="D19" s="2" t="s">
        <v>47</v>
      </c>
      <c r="E19" s="47">
        <v>59789</v>
      </c>
      <c r="F19" s="53">
        <v>148.81482099999999</v>
      </c>
      <c r="G19" s="5">
        <v>2.6160488999999999E-2</v>
      </c>
    </row>
    <row r="20" spans="1:7" ht="12.75" x14ac:dyDescent="0.2">
      <c r="A20" s="6">
        <v>14</v>
      </c>
      <c r="B20" s="7" t="s">
        <v>305</v>
      </c>
      <c r="C20" s="11" t="s">
        <v>306</v>
      </c>
      <c r="D20" s="2" t="s">
        <v>307</v>
      </c>
      <c r="E20" s="47">
        <v>37105</v>
      </c>
      <c r="F20" s="53">
        <v>145.2846275</v>
      </c>
      <c r="G20" s="5">
        <v>2.5539908E-2</v>
      </c>
    </row>
    <row r="21" spans="1:7" ht="25.5" x14ac:dyDescent="0.2">
      <c r="A21" s="6">
        <v>15</v>
      </c>
      <c r="B21" s="7" t="s">
        <v>322</v>
      </c>
      <c r="C21" s="11" t="s">
        <v>323</v>
      </c>
      <c r="D21" s="2" t="s">
        <v>72</v>
      </c>
      <c r="E21" s="47">
        <v>46145</v>
      </c>
      <c r="F21" s="53">
        <v>140.74225000000001</v>
      </c>
      <c r="G21" s="5">
        <v>2.4741394E-2</v>
      </c>
    </row>
    <row r="22" spans="1:7" ht="25.5" x14ac:dyDescent="0.2">
      <c r="A22" s="6">
        <v>16</v>
      </c>
      <c r="B22" s="7" t="s">
        <v>164</v>
      </c>
      <c r="C22" s="11" t="s">
        <v>165</v>
      </c>
      <c r="D22" s="2" t="s">
        <v>47</v>
      </c>
      <c r="E22" s="47">
        <v>47527</v>
      </c>
      <c r="F22" s="53">
        <v>118.72244600000001</v>
      </c>
      <c r="G22" s="5">
        <v>2.0870482999999999E-2</v>
      </c>
    </row>
    <row r="23" spans="1:7" ht="25.5" x14ac:dyDescent="0.2">
      <c r="A23" s="6">
        <v>17</v>
      </c>
      <c r="B23" s="7" t="s">
        <v>537</v>
      </c>
      <c r="C23" s="11" t="s">
        <v>538</v>
      </c>
      <c r="D23" s="2" t="s">
        <v>13</v>
      </c>
      <c r="E23" s="47">
        <v>561462</v>
      </c>
      <c r="F23" s="53">
        <v>116.503365</v>
      </c>
      <c r="G23" s="5">
        <v>2.0480386E-2</v>
      </c>
    </row>
    <row r="24" spans="1:7" ht="25.5" x14ac:dyDescent="0.2">
      <c r="A24" s="6">
        <v>18</v>
      </c>
      <c r="B24" s="7" t="s">
        <v>424</v>
      </c>
      <c r="C24" s="11" t="s">
        <v>425</v>
      </c>
      <c r="D24" s="2" t="s">
        <v>30</v>
      </c>
      <c r="E24" s="47">
        <v>5347</v>
      </c>
      <c r="F24" s="53">
        <v>116.31596450000001</v>
      </c>
      <c r="G24" s="5">
        <v>2.0447442E-2</v>
      </c>
    </row>
    <row r="25" spans="1:7" ht="25.5" x14ac:dyDescent="0.2">
      <c r="A25" s="6">
        <v>19</v>
      </c>
      <c r="B25" s="7" t="s">
        <v>334</v>
      </c>
      <c r="C25" s="11" t="s">
        <v>335</v>
      </c>
      <c r="D25" s="2" t="s">
        <v>30</v>
      </c>
      <c r="E25" s="47">
        <v>34616</v>
      </c>
      <c r="F25" s="53">
        <v>113.246244</v>
      </c>
      <c r="G25" s="5">
        <v>1.9907808999999999E-2</v>
      </c>
    </row>
    <row r="26" spans="1:7" ht="12.75" x14ac:dyDescent="0.2">
      <c r="A26" s="6">
        <v>20</v>
      </c>
      <c r="B26" s="7" t="s">
        <v>374</v>
      </c>
      <c r="C26" s="11" t="s">
        <v>375</v>
      </c>
      <c r="D26" s="2" t="s">
        <v>376</v>
      </c>
      <c r="E26" s="47">
        <v>3149</v>
      </c>
      <c r="F26" s="53">
        <v>113.17191099999999</v>
      </c>
      <c r="G26" s="5">
        <v>1.9894742E-2</v>
      </c>
    </row>
    <row r="27" spans="1:7" ht="25.5" x14ac:dyDescent="0.2">
      <c r="A27" s="6">
        <v>21</v>
      </c>
      <c r="B27" s="7" t="s">
        <v>310</v>
      </c>
      <c r="C27" s="11" t="s">
        <v>311</v>
      </c>
      <c r="D27" s="2" t="s">
        <v>223</v>
      </c>
      <c r="E27" s="47">
        <v>52105</v>
      </c>
      <c r="F27" s="53">
        <v>110.56681</v>
      </c>
      <c r="G27" s="5">
        <v>1.9436786000000001E-2</v>
      </c>
    </row>
    <row r="28" spans="1:7" ht="25.5" x14ac:dyDescent="0.2">
      <c r="A28" s="6">
        <v>22</v>
      </c>
      <c r="B28" s="7" t="s">
        <v>312</v>
      </c>
      <c r="C28" s="11" t="s">
        <v>313</v>
      </c>
      <c r="D28" s="2" t="s">
        <v>22</v>
      </c>
      <c r="E28" s="47">
        <v>2504</v>
      </c>
      <c r="F28" s="53">
        <v>107.63819599999999</v>
      </c>
      <c r="G28" s="5">
        <v>1.8921957999999999E-2</v>
      </c>
    </row>
    <row r="29" spans="1:7" ht="25.5" x14ac:dyDescent="0.2">
      <c r="A29" s="6">
        <v>23</v>
      </c>
      <c r="B29" s="7" t="s">
        <v>11</v>
      </c>
      <c r="C29" s="11" t="s">
        <v>12</v>
      </c>
      <c r="D29" s="2" t="s">
        <v>13</v>
      </c>
      <c r="E29" s="47">
        <v>7252</v>
      </c>
      <c r="F29" s="53">
        <v>106.825586</v>
      </c>
      <c r="G29" s="5">
        <v>1.8779107999999999E-2</v>
      </c>
    </row>
    <row r="30" spans="1:7" ht="25.5" x14ac:dyDescent="0.2">
      <c r="A30" s="6">
        <v>24</v>
      </c>
      <c r="B30" s="7" t="s">
        <v>368</v>
      </c>
      <c r="C30" s="11" t="s">
        <v>369</v>
      </c>
      <c r="D30" s="2" t="s">
        <v>356</v>
      </c>
      <c r="E30" s="47">
        <v>475</v>
      </c>
      <c r="F30" s="53">
        <v>106.81895</v>
      </c>
      <c r="G30" s="5">
        <v>1.8777940999999999E-2</v>
      </c>
    </row>
    <row r="31" spans="1:7" ht="51" x14ac:dyDescent="0.2">
      <c r="A31" s="6">
        <v>25</v>
      </c>
      <c r="B31" s="7" t="s">
        <v>328</v>
      </c>
      <c r="C31" s="11" t="s">
        <v>329</v>
      </c>
      <c r="D31" s="2" t="s">
        <v>208</v>
      </c>
      <c r="E31" s="47">
        <v>63751</v>
      </c>
      <c r="F31" s="53">
        <v>106.8148005</v>
      </c>
      <c r="G31" s="5">
        <v>1.8777212000000001E-2</v>
      </c>
    </row>
    <row r="32" spans="1:7" ht="12.75" x14ac:dyDescent="0.2">
      <c r="A32" s="6">
        <v>26</v>
      </c>
      <c r="B32" s="7" t="s">
        <v>342</v>
      </c>
      <c r="C32" s="11" t="s">
        <v>343</v>
      </c>
      <c r="D32" s="2" t="s">
        <v>72</v>
      </c>
      <c r="E32" s="47">
        <v>25263</v>
      </c>
      <c r="F32" s="53">
        <v>104.184612</v>
      </c>
      <c r="G32" s="5">
        <v>1.8314845E-2</v>
      </c>
    </row>
    <row r="33" spans="1:7" ht="25.5" x14ac:dyDescent="0.2">
      <c r="A33" s="6">
        <v>27</v>
      </c>
      <c r="B33" s="7" t="s">
        <v>318</v>
      </c>
      <c r="C33" s="11" t="s">
        <v>319</v>
      </c>
      <c r="D33" s="2" t="s">
        <v>30</v>
      </c>
      <c r="E33" s="47">
        <v>16558</v>
      </c>
      <c r="F33" s="53">
        <v>102.684437</v>
      </c>
      <c r="G33" s="5">
        <v>1.8051126000000001E-2</v>
      </c>
    </row>
    <row r="34" spans="1:7" ht="12.75" x14ac:dyDescent="0.2">
      <c r="A34" s="6">
        <v>28</v>
      </c>
      <c r="B34" s="7" t="s">
        <v>338</v>
      </c>
      <c r="C34" s="11" t="s">
        <v>339</v>
      </c>
      <c r="D34" s="2" t="s">
        <v>72</v>
      </c>
      <c r="E34" s="47">
        <v>29802</v>
      </c>
      <c r="F34" s="53">
        <v>96.603183000000001</v>
      </c>
      <c r="G34" s="5">
        <v>1.6982088999999999E-2</v>
      </c>
    </row>
    <row r="35" spans="1:7" ht="12.75" x14ac:dyDescent="0.2">
      <c r="A35" s="6">
        <v>29</v>
      </c>
      <c r="B35" s="7" t="s">
        <v>51</v>
      </c>
      <c r="C35" s="11" t="s">
        <v>52</v>
      </c>
      <c r="D35" s="2" t="s">
        <v>19</v>
      </c>
      <c r="E35" s="47">
        <v>8495</v>
      </c>
      <c r="F35" s="53">
        <v>94.893397500000006</v>
      </c>
      <c r="G35" s="5">
        <v>1.6681522000000001E-2</v>
      </c>
    </row>
    <row r="36" spans="1:7" ht="12.75" x14ac:dyDescent="0.2">
      <c r="A36" s="6">
        <v>30</v>
      </c>
      <c r="B36" s="7" t="s">
        <v>340</v>
      </c>
      <c r="C36" s="11" t="s">
        <v>341</v>
      </c>
      <c r="D36" s="2" t="s">
        <v>242</v>
      </c>
      <c r="E36" s="47">
        <v>5879</v>
      </c>
      <c r="F36" s="53">
        <v>88.399583500000006</v>
      </c>
      <c r="G36" s="5">
        <v>1.553996E-2</v>
      </c>
    </row>
    <row r="37" spans="1:7" ht="12.75" x14ac:dyDescent="0.2">
      <c r="A37" s="6">
        <v>31</v>
      </c>
      <c r="B37" s="7" t="s">
        <v>539</v>
      </c>
      <c r="C37" s="11" t="s">
        <v>540</v>
      </c>
      <c r="D37" s="2" t="s">
        <v>72</v>
      </c>
      <c r="E37" s="47">
        <v>90289</v>
      </c>
      <c r="F37" s="53">
        <v>86.316283999999996</v>
      </c>
      <c r="G37" s="5">
        <v>1.5173732000000001E-2</v>
      </c>
    </row>
    <row r="38" spans="1:7" ht="25.5" x14ac:dyDescent="0.2">
      <c r="A38" s="6">
        <v>32</v>
      </c>
      <c r="B38" s="7" t="s">
        <v>364</v>
      </c>
      <c r="C38" s="11" t="s">
        <v>365</v>
      </c>
      <c r="D38" s="2" t="s">
        <v>72</v>
      </c>
      <c r="E38" s="47">
        <v>24353</v>
      </c>
      <c r="F38" s="53">
        <v>85.966089999999994</v>
      </c>
      <c r="G38" s="5">
        <v>1.5112169999999999E-2</v>
      </c>
    </row>
    <row r="39" spans="1:7" ht="12.75" x14ac:dyDescent="0.2">
      <c r="A39" s="6">
        <v>33</v>
      </c>
      <c r="B39" s="7" t="s">
        <v>346</v>
      </c>
      <c r="C39" s="11" t="s">
        <v>347</v>
      </c>
      <c r="D39" s="2" t="s">
        <v>72</v>
      </c>
      <c r="E39" s="47">
        <v>21089</v>
      </c>
      <c r="F39" s="53">
        <v>85.652973500000002</v>
      </c>
      <c r="G39" s="5">
        <v>1.5057127E-2</v>
      </c>
    </row>
    <row r="40" spans="1:7" ht="25.5" x14ac:dyDescent="0.2">
      <c r="A40" s="6">
        <v>34</v>
      </c>
      <c r="B40" s="7" t="s">
        <v>485</v>
      </c>
      <c r="C40" s="11" t="s">
        <v>486</v>
      </c>
      <c r="D40" s="2" t="s">
        <v>33</v>
      </c>
      <c r="E40" s="47">
        <v>52822</v>
      </c>
      <c r="F40" s="53">
        <v>80.368673000000001</v>
      </c>
      <c r="G40" s="5">
        <v>1.4128188E-2</v>
      </c>
    </row>
    <row r="41" spans="1:7" ht="12.75" x14ac:dyDescent="0.2">
      <c r="A41" s="6">
        <v>35</v>
      </c>
      <c r="B41" s="7" t="s">
        <v>326</v>
      </c>
      <c r="C41" s="11" t="s">
        <v>327</v>
      </c>
      <c r="D41" s="2" t="s">
        <v>168</v>
      </c>
      <c r="E41" s="47">
        <v>1274</v>
      </c>
      <c r="F41" s="53">
        <v>79.057433000000003</v>
      </c>
      <c r="G41" s="5">
        <v>1.3897682E-2</v>
      </c>
    </row>
    <row r="42" spans="1:7" ht="25.5" x14ac:dyDescent="0.2">
      <c r="A42" s="6">
        <v>36</v>
      </c>
      <c r="B42" s="7" t="s">
        <v>301</v>
      </c>
      <c r="C42" s="11" t="s">
        <v>302</v>
      </c>
      <c r="D42" s="2" t="s">
        <v>183</v>
      </c>
      <c r="E42" s="47">
        <v>4917</v>
      </c>
      <c r="F42" s="53">
        <v>73.007615999999999</v>
      </c>
      <c r="G42" s="5">
        <v>1.2834171E-2</v>
      </c>
    </row>
    <row r="43" spans="1:7" ht="12.75" x14ac:dyDescent="0.2">
      <c r="A43" s="6">
        <v>37</v>
      </c>
      <c r="B43" s="7" t="s">
        <v>519</v>
      </c>
      <c r="C43" s="11" t="s">
        <v>520</v>
      </c>
      <c r="D43" s="2" t="s">
        <v>281</v>
      </c>
      <c r="E43" s="47">
        <v>8060</v>
      </c>
      <c r="F43" s="53">
        <v>72.842250000000007</v>
      </c>
      <c r="G43" s="5">
        <v>1.2805100999999999E-2</v>
      </c>
    </row>
    <row r="44" spans="1:7" ht="12.75" x14ac:dyDescent="0.2">
      <c r="A44" s="6">
        <v>38</v>
      </c>
      <c r="B44" s="7" t="s">
        <v>316</v>
      </c>
      <c r="C44" s="11" t="s">
        <v>317</v>
      </c>
      <c r="D44" s="2" t="s">
        <v>16</v>
      </c>
      <c r="E44" s="47">
        <v>84278</v>
      </c>
      <c r="F44" s="53">
        <v>70.624964000000006</v>
      </c>
      <c r="G44" s="5">
        <v>1.2415320000000001E-2</v>
      </c>
    </row>
    <row r="45" spans="1:7" ht="12.75" x14ac:dyDescent="0.2">
      <c r="A45" s="6">
        <v>39</v>
      </c>
      <c r="B45" s="7" t="s">
        <v>276</v>
      </c>
      <c r="C45" s="11" t="s">
        <v>277</v>
      </c>
      <c r="D45" s="2" t="s">
        <v>72</v>
      </c>
      <c r="E45" s="47">
        <v>87578</v>
      </c>
      <c r="F45" s="53">
        <v>68.310839999999999</v>
      </c>
      <c r="G45" s="5">
        <v>1.2008515000000001E-2</v>
      </c>
    </row>
    <row r="46" spans="1:7" ht="12.75" x14ac:dyDescent="0.2">
      <c r="A46" s="6">
        <v>40</v>
      </c>
      <c r="B46" s="7" t="s">
        <v>336</v>
      </c>
      <c r="C46" s="11" t="s">
        <v>337</v>
      </c>
      <c r="D46" s="2" t="s">
        <v>197</v>
      </c>
      <c r="E46" s="47">
        <v>12600</v>
      </c>
      <c r="F46" s="53">
        <v>65.368799999999993</v>
      </c>
      <c r="G46" s="5">
        <v>1.1491327000000001E-2</v>
      </c>
    </row>
    <row r="47" spans="1:7" ht="12.75" x14ac:dyDescent="0.2">
      <c r="A47" s="6">
        <v>41</v>
      </c>
      <c r="B47" s="7" t="s">
        <v>359</v>
      </c>
      <c r="C47" s="11" t="s">
        <v>360</v>
      </c>
      <c r="D47" s="2" t="s">
        <v>361</v>
      </c>
      <c r="E47" s="47">
        <v>13426</v>
      </c>
      <c r="F47" s="53">
        <v>63.827204000000002</v>
      </c>
      <c r="G47" s="5">
        <v>1.1220325999999999E-2</v>
      </c>
    </row>
    <row r="48" spans="1:7" ht="12.75" x14ac:dyDescent="0.2">
      <c r="A48" s="6">
        <v>42</v>
      </c>
      <c r="B48" s="7" t="s">
        <v>308</v>
      </c>
      <c r="C48" s="11" t="s">
        <v>309</v>
      </c>
      <c r="D48" s="2" t="s">
        <v>168</v>
      </c>
      <c r="E48" s="47">
        <v>2818</v>
      </c>
      <c r="F48" s="53">
        <v>59.051189999999998</v>
      </c>
      <c r="G48" s="5">
        <v>1.0380739999999999E-2</v>
      </c>
    </row>
    <row r="49" spans="1:7" ht="25.5" x14ac:dyDescent="0.2">
      <c r="A49" s="6">
        <v>43</v>
      </c>
      <c r="B49" s="7" t="s">
        <v>31</v>
      </c>
      <c r="C49" s="11" t="s">
        <v>32</v>
      </c>
      <c r="D49" s="2" t="s">
        <v>33</v>
      </c>
      <c r="E49" s="47">
        <v>3808</v>
      </c>
      <c r="F49" s="53">
        <v>55.762447999999999</v>
      </c>
      <c r="G49" s="5">
        <v>9.8026050000000007E-3</v>
      </c>
    </row>
    <row r="50" spans="1:7" ht="12.75" x14ac:dyDescent="0.2">
      <c r="A50" s="6">
        <v>44</v>
      </c>
      <c r="B50" s="7" t="s">
        <v>508</v>
      </c>
      <c r="C50" s="11" t="s">
        <v>509</v>
      </c>
      <c r="D50" s="2" t="s">
        <v>168</v>
      </c>
      <c r="E50" s="47">
        <v>45135</v>
      </c>
      <c r="F50" s="53">
        <v>55.493482499999999</v>
      </c>
      <c r="G50" s="5">
        <v>9.7553229999999998E-3</v>
      </c>
    </row>
    <row r="51" spans="1:7" ht="12.75" x14ac:dyDescent="0.2">
      <c r="A51" s="6">
        <v>45</v>
      </c>
      <c r="B51" s="7" t="s">
        <v>377</v>
      </c>
      <c r="C51" s="11" t="s">
        <v>378</v>
      </c>
      <c r="D51" s="2" t="s">
        <v>40</v>
      </c>
      <c r="E51" s="47">
        <v>78021</v>
      </c>
      <c r="F51" s="53">
        <v>46.266452999999998</v>
      </c>
      <c r="G51" s="5">
        <v>8.1332829999999998E-3</v>
      </c>
    </row>
    <row r="52" spans="1:7" ht="12.75" x14ac:dyDescent="0.2">
      <c r="A52" s="6">
        <v>46</v>
      </c>
      <c r="B52" s="7" t="s">
        <v>389</v>
      </c>
      <c r="C52" s="11" t="s">
        <v>390</v>
      </c>
      <c r="D52" s="2" t="s">
        <v>16</v>
      </c>
      <c r="E52" s="47">
        <v>47739</v>
      </c>
      <c r="F52" s="53">
        <v>26.184841500000001</v>
      </c>
      <c r="G52" s="5">
        <v>4.6030919999999996E-3</v>
      </c>
    </row>
    <row r="53" spans="1:7" ht="12.75" x14ac:dyDescent="0.2">
      <c r="A53" s="1"/>
      <c r="B53" s="2"/>
      <c r="C53" s="8" t="s">
        <v>108</v>
      </c>
      <c r="D53" s="12"/>
      <c r="E53" s="49"/>
      <c r="F53" s="55">
        <v>5505.9694305000003</v>
      </c>
      <c r="G53" s="13">
        <v>0.96790662799999994</v>
      </c>
    </row>
    <row r="54" spans="1:7" ht="12.75" x14ac:dyDescent="0.2">
      <c r="A54" s="6"/>
      <c r="B54" s="7"/>
      <c r="C54" s="14"/>
      <c r="D54" s="15"/>
      <c r="E54" s="47"/>
      <c r="F54" s="53"/>
      <c r="G54" s="5"/>
    </row>
    <row r="55" spans="1:7" ht="12.75" x14ac:dyDescent="0.2">
      <c r="A55" s="1"/>
      <c r="B55" s="2"/>
      <c r="C55" s="8" t="s">
        <v>109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6"/>
      <c r="B57" s="7"/>
      <c r="C57" s="14"/>
      <c r="D57" s="15"/>
      <c r="E57" s="47"/>
      <c r="F57" s="53"/>
      <c r="G57" s="5"/>
    </row>
    <row r="58" spans="1:7" ht="12.75" x14ac:dyDescent="0.2">
      <c r="A58" s="16"/>
      <c r="B58" s="17"/>
      <c r="C58" s="8" t="s">
        <v>110</v>
      </c>
      <c r="D58" s="9"/>
      <c r="E58" s="48"/>
      <c r="F58" s="54"/>
      <c r="G58" s="10"/>
    </row>
    <row r="59" spans="1:7" ht="12.75" x14ac:dyDescent="0.2">
      <c r="A59" s="18"/>
      <c r="B59" s="19"/>
      <c r="C59" s="8" t="s">
        <v>108</v>
      </c>
      <c r="D59" s="20"/>
      <c r="E59" s="50"/>
      <c r="F59" s="56">
        <v>0</v>
      </c>
      <c r="G59" s="21">
        <v>0</v>
      </c>
    </row>
    <row r="60" spans="1:7" ht="12.75" x14ac:dyDescent="0.2">
      <c r="A60" s="18"/>
      <c r="B60" s="19"/>
      <c r="C60" s="14"/>
      <c r="D60" s="22"/>
      <c r="E60" s="51"/>
      <c r="F60" s="57"/>
      <c r="G60" s="23"/>
    </row>
    <row r="61" spans="1:7" ht="12.75" x14ac:dyDescent="0.2">
      <c r="A61" s="1"/>
      <c r="B61" s="2"/>
      <c r="C61" s="8" t="s">
        <v>113</v>
      </c>
      <c r="D61" s="9"/>
      <c r="E61" s="48"/>
      <c r="F61" s="54"/>
      <c r="G61" s="10"/>
    </row>
    <row r="62" spans="1:7" ht="12.75" x14ac:dyDescent="0.2">
      <c r="A62" s="1"/>
      <c r="B62" s="2"/>
      <c r="C62" s="8" t="s">
        <v>108</v>
      </c>
      <c r="D62" s="12"/>
      <c r="E62" s="49"/>
      <c r="F62" s="55">
        <v>0</v>
      </c>
      <c r="G62" s="13">
        <v>0</v>
      </c>
    </row>
    <row r="63" spans="1:7" ht="12.75" x14ac:dyDescent="0.2">
      <c r="A63" s="1"/>
      <c r="B63" s="2"/>
      <c r="C63" s="14"/>
      <c r="D63" s="4"/>
      <c r="E63" s="47"/>
      <c r="F63" s="53"/>
      <c r="G63" s="5"/>
    </row>
    <row r="64" spans="1:7" ht="12.75" x14ac:dyDescent="0.2">
      <c r="A64" s="1"/>
      <c r="B64" s="2"/>
      <c r="C64" s="8" t="s">
        <v>114</v>
      </c>
      <c r="D64" s="9"/>
      <c r="E64" s="48"/>
      <c r="F64" s="54"/>
      <c r="G64" s="10"/>
    </row>
    <row r="65" spans="1:7" ht="12.75" x14ac:dyDescent="0.2">
      <c r="A65" s="1"/>
      <c r="B65" s="2"/>
      <c r="C65" s="8" t="s">
        <v>108</v>
      </c>
      <c r="D65" s="12"/>
      <c r="E65" s="49"/>
      <c r="F65" s="55">
        <v>0</v>
      </c>
      <c r="G65" s="13">
        <v>0</v>
      </c>
    </row>
    <row r="66" spans="1:7" ht="12.75" x14ac:dyDescent="0.2">
      <c r="A66" s="1"/>
      <c r="B66" s="2"/>
      <c r="C66" s="14"/>
      <c r="D66" s="4"/>
      <c r="E66" s="47"/>
      <c r="F66" s="53"/>
      <c r="G66" s="5"/>
    </row>
    <row r="67" spans="1:7" ht="12.75" x14ac:dyDescent="0.2">
      <c r="A67" s="1"/>
      <c r="B67" s="2"/>
      <c r="C67" s="8" t="s">
        <v>115</v>
      </c>
      <c r="D67" s="9"/>
      <c r="E67" s="48"/>
      <c r="F67" s="54"/>
      <c r="G67" s="10"/>
    </row>
    <row r="68" spans="1:7" ht="12.75" x14ac:dyDescent="0.2">
      <c r="A68" s="1"/>
      <c r="B68" s="2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1"/>
      <c r="B69" s="2"/>
      <c r="C69" s="14"/>
      <c r="D69" s="4"/>
      <c r="E69" s="47"/>
      <c r="F69" s="53"/>
      <c r="G69" s="5"/>
    </row>
    <row r="70" spans="1:7" ht="25.5" x14ac:dyDescent="0.2">
      <c r="A70" s="6"/>
      <c r="B70" s="7"/>
      <c r="C70" s="24" t="s">
        <v>116</v>
      </c>
      <c r="D70" s="25"/>
      <c r="E70" s="49"/>
      <c r="F70" s="55">
        <v>5505.9694305000003</v>
      </c>
      <c r="G70" s="13">
        <v>0.96790662799999994</v>
      </c>
    </row>
    <row r="71" spans="1:7" ht="12.75" x14ac:dyDescent="0.2">
      <c r="A71" s="1"/>
      <c r="B71" s="2"/>
      <c r="C71" s="11"/>
      <c r="D71" s="4"/>
      <c r="E71" s="47"/>
      <c r="F71" s="53"/>
      <c r="G71" s="5"/>
    </row>
    <row r="72" spans="1:7" ht="12.75" x14ac:dyDescent="0.2">
      <c r="A72" s="1"/>
      <c r="B72" s="2"/>
      <c r="C72" s="3" t="s">
        <v>117</v>
      </c>
      <c r="D72" s="4"/>
      <c r="E72" s="47"/>
      <c r="F72" s="53"/>
      <c r="G72" s="5"/>
    </row>
    <row r="73" spans="1:7" ht="25.5" x14ac:dyDescent="0.2">
      <c r="A73" s="1"/>
      <c r="B73" s="2"/>
      <c r="C73" s="8" t="s">
        <v>10</v>
      </c>
      <c r="D73" s="9"/>
      <c r="E73" s="48"/>
      <c r="F73" s="54"/>
      <c r="G73" s="10"/>
    </row>
    <row r="74" spans="1:7" ht="12.75" x14ac:dyDescent="0.2">
      <c r="A74" s="6"/>
      <c r="B74" s="7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4"/>
      <c r="D75" s="4"/>
      <c r="E75" s="47"/>
      <c r="F75" s="53"/>
      <c r="G75" s="5"/>
    </row>
    <row r="76" spans="1:7" ht="12.75" x14ac:dyDescent="0.2">
      <c r="A76" s="1"/>
      <c r="B76" s="26"/>
      <c r="C76" s="8" t="s">
        <v>118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12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4"/>
      <c r="E78" s="47"/>
      <c r="F78" s="59"/>
      <c r="G78" s="28"/>
    </row>
    <row r="79" spans="1:7" ht="12.75" x14ac:dyDescent="0.2">
      <c r="A79" s="1"/>
      <c r="B79" s="2"/>
      <c r="C79" s="8" t="s">
        <v>119</v>
      </c>
      <c r="D79" s="9"/>
      <c r="E79" s="48"/>
      <c r="F79" s="54"/>
      <c r="G79" s="10"/>
    </row>
    <row r="80" spans="1:7" ht="12.75" x14ac:dyDescent="0.2">
      <c r="A80" s="6"/>
      <c r="B80" s="7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1"/>
      <c r="B81" s="2"/>
      <c r="C81" s="14"/>
      <c r="D81" s="4"/>
      <c r="E81" s="47"/>
      <c r="F81" s="53"/>
      <c r="G81" s="5"/>
    </row>
    <row r="82" spans="1:7" ht="25.5" x14ac:dyDescent="0.2">
      <c r="A82" s="1"/>
      <c r="B82" s="26"/>
      <c r="C82" s="8" t="s">
        <v>120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4"/>
      <c r="E84" s="47"/>
      <c r="F84" s="53"/>
      <c r="G84" s="5"/>
    </row>
    <row r="85" spans="1:7" ht="12.75" x14ac:dyDescent="0.2">
      <c r="A85" s="6"/>
      <c r="B85" s="7"/>
      <c r="C85" s="29" t="s">
        <v>121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1"/>
      <c r="D86" s="4"/>
      <c r="E86" s="47"/>
      <c r="F86" s="53"/>
      <c r="G86" s="5"/>
    </row>
    <row r="87" spans="1:7" ht="12.75" x14ac:dyDescent="0.2">
      <c r="A87" s="1"/>
      <c r="B87" s="2"/>
      <c r="C87" s="3" t="s">
        <v>122</v>
      </c>
      <c r="D87" s="4"/>
      <c r="E87" s="47"/>
      <c r="F87" s="53"/>
      <c r="G87" s="5"/>
    </row>
    <row r="88" spans="1:7" ht="12.75" x14ac:dyDescent="0.2">
      <c r="A88" s="6"/>
      <c r="B88" s="7"/>
      <c r="C88" s="8" t="s">
        <v>123</v>
      </c>
      <c r="D88" s="9"/>
      <c r="E88" s="48"/>
      <c r="F88" s="54"/>
      <c r="G88" s="10"/>
    </row>
    <row r="89" spans="1:7" ht="12.75" x14ac:dyDescent="0.2">
      <c r="A89" s="6"/>
      <c r="B89" s="7"/>
      <c r="C89" s="8" t="s">
        <v>108</v>
      </c>
      <c r="D89" s="25"/>
      <c r="E89" s="49"/>
      <c r="F89" s="55">
        <v>0</v>
      </c>
      <c r="G89" s="13">
        <v>0</v>
      </c>
    </row>
    <row r="90" spans="1:7" ht="12.75" x14ac:dyDescent="0.2">
      <c r="A90" s="6"/>
      <c r="B90" s="7"/>
      <c r="C90" s="14"/>
      <c r="D90" s="7"/>
      <c r="E90" s="47"/>
      <c r="F90" s="53"/>
      <c r="G90" s="5"/>
    </row>
    <row r="91" spans="1:7" ht="12.75" x14ac:dyDescent="0.2">
      <c r="A91" s="6"/>
      <c r="B91" s="7"/>
      <c r="C91" s="8" t="s">
        <v>124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25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7"/>
      <c r="E93" s="47"/>
      <c r="F93" s="53"/>
      <c r="G93" s="5"/>
    </row>
    <row r="94" spans="1:7" ht="12.75" x14ac:dyDescent="0.2">
      <c r="A94" s="6"/>
      <c r="B94" s="7"/>
      <c r="C94" s="8" t="s">
        <v>125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25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7"/>
      <c r="E96" s="47"/>
      <c r="F96" s="53"/>
      <c r="G96" s="5"/>
    </row>
    <row r="97" spans="1:7" ht="12.75" x14ac:dyDescent="0.2">
      <c r="A97" s="6"/>
      <c r="B97" s="7"/>
      <c r="C97" s="8" t="s">
        <v>126</v>
      </c>
      <c r="D97" s="9"/>
      <c r="E97" s="48"/>
      <c r="F97" s="54"/>
      <c r="G97" s="10"/>
    </row>
    <row r="98" spans="1:7" ht="12.75" x14ac:dyDescent="0.2">
      <c r="A98" s="6">
        <v>1</v>
      </c>
      <c r="B98" s="7"/>
      <c r="C98" s="11" t="s">
        <v>812</v>
      </c>
      <c r="D98" s="15"/>
      <c r="E98" s="47"/>
      <c r="F98" s="53">
        <v>183.97580579999999</v>
      </c>
      <c r="G98" s="5">
        <v>3.2341517E-2</v>
      </c>
    </row>
    <row r="99" spans="1:7" ht="12.75" x14ac:dyDescent="0.2">
      <c r="A99" s="6"/>
      <c r="B99" s="7"/>
      <c r="C99" s="8" t="s">
        <v>108</v>
      </c>
      <c r="D99" s="25"/>
      <c r="E99" s="49"/>
      <c r="F99" s="55">
        <v>183.97580579999999</v>
      </c>
      <c r="G99" s="13">
        <v>3.2341517E-2</v>
      </c>
    </row>
    <row r="100" spans="1:7" ht="12.75" x14ac:dyDescent="0.2">
      <c r="A100" s="6"/>
      <c r="B100" s="7"/>
      <c r="C100" s="14"/>
      <c r="D100" s="7"/>
      <c r="E100" s="47"/>
      <c r="F100" s="53"/>
      <c r="G100" s="5"/>
    </row>
    <row r="101" spans="1:7" ht="25.5" x14ac:dyDescent="0.2">
      <c r="A101" s="6"/>
      <c r="B101" s="7"/>
      <c r="C101" s="24" t="s">
        <v>127</v>
      </c>
      <c r="D101" s="25"/>
      <c r="E101" s="49"/>
      <c r="F101" s="55">
        <v>183.97580579999999</v>
      </c>
      <c r="G101" s="13">
        <v>3.2341517E-2</v>
      </c>
    </row>
    <row r="102" spans="1:7" ht="12.75" x14ac:dyDescent="0.2">
      <c r="A102" s="6"/>
      <c r="B102" s="7"/>
      <c r="C102" s="30"/>
      <c r="D102" s="7"/>
      <c r="E102" s="47"/>
      <c r="F102" s="53"/>
      <c r="G102" s="5"/>
    </row>
    <row r="103" spans="1:7" ht="12.75" x14ac:dyDescent="0.2">
      <c r="A103" s="1"/>
      <c r="B103" s="2"/>
      <c r="C103" s="3" t="s">
        <v>128</v>
      </c>
      <c r="D103" s="4"/>
      <c r="E103" s="47"/>
      <c r="F103" s="53"/>
      <c r="G103" s="5"/>
    </row>
    <row r="104" spans="1:7" ht="25.5" x14ac:dyDescent="0.2">
      <c r="A104" s="6"/>
      <c r="B104" s="7"/>
      <c r="C104" s="8" t="s">
        <v>129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1"/>
      <c r="B107" s="2"/>
      <c r="C107" s="3" t="s">
        <v>131</v>
      </c>
      <c r="D107" s="4"/>
      <c r="E107" s="47"/>
      <c r="F107" s="53"/>
      <c r="G107" s="5"/>
    </row>
    <row r="108" spans="1:7" ht="25.5" x14ac:dyDescent="0.2">
      <c r="A108" s="6"/>
      <c r="B108" s="7"/>
      <c r="C108" s="8" t="s">
        <v>132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25.5" x14ac:dyDescent="0.2">
      <c r="A111" s="6"/>
      <c r="B111" s="7"/>
      <c r="C111" s="8" t="s">
        <v>133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9"/>
      <c r="G113" s="28"/>
    </row>
    <row r="114" spans="1:7" ht="25.5" x14ac:dyDescent="0.2">
      <c r="A114" s="6"/>
      <c r="B114" s="7"/>
      <c r="C114" s="30" t="s">
        <v>134</v>
      </c>
      <c r="D114" s="7"/>
      <c r="E114" s="47"/>
      <c r="F114" s="128">
        <v>-1.4115911000000001</v>
      </c>
      <c r="G114" s="137">
        <v>-2.4814674361486893E-4</v>
      </c>
    </row>
    <row r="115" spans="1:7" ht="12.75" x14ac:dyDescent="0.2">
      <c r="A115" s="6"/>
      <c r="B115" s="7"/>
      <c r="C115" s="31" t="s">
        <v>135</v>
      </c>
      <c r="D115" s="12"/>
      <c r="E115" s="49"/>
      <c r="F115" s="55">
        <v>5688.5336451999992</v>
      </c>
      <c r="G115" s="13">
        <v>0.99999999799999995</v>
      </c>
    </row>
    <row r="117" spans="1:7" ht="12.75" x14ac:dyDescent="0.2">
      <c r="B117" s="179"/>
      <c r="C117" s="179"/>
      <c r="D117" s="179"/>
      <c r="E117" s="179"/>
      <c r="F117" s="179"/>
    </row>
    <row r="118" spans="1:7" ht="12.75" x14ac:dyDescent="0.2">
      <c r="B118" s="179"/>
      <c r="C118" s="179"/>
      <c r="D118" s="179"/>
      <c r="E118" s="179"/>
      <c r="F118" s="179"/>
    </row>
    <row r="120" spans="1:7" ht="12.75" x14ac:dyDescent="0.2">
      <c r="B120" s="37" t="s">
        <v>137</v>
      </c>
      <c r="C120" s="38"/>
      <c r="D120" s="39"/>
    </row>
    <row r="121" spans="1:7" ht="12.75" x14ac:dyDescent="0.2">
      <c r="B121" s="40" t="s">
        <v>808</v>
      </c>
      <c r="C121" s="41"/>
      <c r="D121" s="65" t="s">
        <v>138</v>
      </c>
    </row>
    <row r="122" spans="1:7" ht="12.75" x14ac:dyDescent="0.2">
      <c r="B122" s="40" t="s">
        <v>139</v>
      </c>
      <c r="C122" s="41"/>
      <c r="D122" s="65" t="s">
        <v>138</v>
      </c>
    </row>
    <row r="123" spans="1:7" ht="12.75" x14ac:dyDescent="0.2">
      <c r="B123" s="42" t="s">
        <v>140</v>
      </c>
      <c r="C123" s="41"/>
      <c r="D123" s="43"/>
    </row>
    <row r="124" spans="1:7" ht="25.5" customHeight="1" x14ac:dyDescent="0.2">
      <c r="B124" s="43"/>
      <c r="C124" s="33" t="s">
        <v>141</v>
      </c>
      <c r="D124" s="34" t="s">
        <v>142</v>
      </c>
    </row>
    <row r="125" spans="1:7" ht="12.75" customHeight="1" x14ac:dyDescent="0.2">
      <c r="B125" s="60" t="s">
        <v>143</v>
      </c>
      <c r="C125" s="61" t="s">
        <v>144</v>
      </c>
      <c r="D125" s="61" t="s">
        <v>145</v>
      </c>
    </row>
    <row r="126" spans="1:7" ht="12.75" x14ac:dyDescent="0.2">
      <c r="B126" s="43" t="s">
        <v>146</v>
      </c>
      <c r="C126" s="44">
        <v>14.616099999999999</v>
      </c>
      <c r="D126" s="44">
        <v>15.3726</v>
      </c>
    </row>
    <row r="127" spans="1:7" ht="12.75" x14ac:dyDescent="0.2">
      <c r="B127" s="43" t="s">
        <v>147</v>
      </c>
      <c r="C127" s="44">
        <v>12.508800000000001</v>
      </c>
      <c r="D127" s="44">
        <v>13.1562</v>
      </c>
    </row>
    <row r="128" spans="1:7" ht="12.75" x14ac:dyDescent="0.2">
      <c r="B128" s="43" t="s">
        <v>148</v>
      </c>
      <c r="C128" s="44">
        <v>14.370900000000001</v>
      </c>
      <c r="D128" s="44">
        <v>15.111499999999999</v>
      </c>
    </row>
    <row r="129" spans="2:4" ht="12.75" x14ac:dyDescent="0.2">
      <c r="B129" s="43" t="s">
        <v>149</v>
      </c>
      <c r="C129" s="44">
        <v>12.276999999999999</v>
      </c>
      <c r="D129" s="44">
        <v>12.909700000000001</v>
      </c>
    </row>
    <row r="131" spans="2:4" ht="12.75" x14ac:dyDescent="0.2">
      <c r="B131" s="62" t="s">
        <v>150</v>
      </c>
      <c r="C131" s="45"/>
      <c r="D131" s="63" t="s">
        <v>138</v>
      </c>
    </row>
    <row r="132" spans="2:4" ht="24.75" customHeight="1" x14ac:dyDescent="0.2">
      <c r="B132" s="64"/>
      <c r="C132" s="64"/>
    </row>
    <row r="133" spans="2:4" ht="15" x14ac:dyDescent="0.25">
      <c r="B133" s="66"/>
      <c r="C133" s="68"/>
      <c r="D133"/>
    </row>
    <row r="135" spans="2:4" ht="12.75" x14ac:dyDescent="0.2">
      <c r="B135" s="42" t="s">
        <v>151</v>
      </c>
      <c r="C135" s="41"/>
      <c r="D135" s="67" t="s">
        <v>138</v>
      </c>
    </row>
    <row r="136" spans="2:4" ht="12.75" x14ac:dyDescent="0.2">
      <c r="B136" s="42" t="s">
        <v>152</v>
      </c>
      <c r="C136" s="41"/>
      <c r="D136" s="67" t="s">
        <v>138</v>
      </c>
    </row>
    <row r="137" spans="2:4" ht="12.75" x14ac:dyDescent="0.2">
      <c r="B137" s="42" t="s">
        <v>153</v>
      </c>
      <c r="C137" s="41"/>
      <c r="D137" s="46">
        <v>0.35989631597503441</v>
      </c>
    </row>
    <row r="138" spans="2:4" ht="12.75" x14ac:dyDescent="0.2">
      <c r="B138" s="42" t="s">
        <v>154</v>
      </c>
      <c r="C138" s="41"/>
      <c r="D138" s="46" t="s">
        <v>138</v>
      </c>
    </row>
  </sheetData>
  <mergeCells count="5">
    <mergeCell ref="A1:G1"/>
    <mergeCell ref="A2:G2"/>
    <mergeCell ref="A3:G3"/>
    <mergeCell ref="B117:F117"/>
    <mergeCell ref="B118:F118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39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542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17</v>
      </c>
      <c r="C7" s="11" t="s">
        <v>18</v>
      </c>
      <c r="D7" s="2" t="s">
        <v>19</v>
      </c>
      <c r="E7" s="47">
        <v>50180</v>
      </c>
      <c r="F7" s="53">
        <v>393.81263999999999</v>
      </c>
      <c r="G7" s="5">
        <v>4.4763661000000003E-2</v>
      </c>
    </row>
    <row r="8" spans="1:7" ht="12.75" x14ac:dyDescent="0.2">
      <c r="A8" s="6">
        <v>2</v>
      </c>
      <c r="B8" s="7" t="s">
        <v>299</v>
      </c>
      <c r="C8" s="11" t="s">
        <v>300</v>
      </c>
      <c r="D8" s="2" t="s">
        <v>223</v>
      </c>
      <c r="E8" s="47">
        <v>65601</v>
      </c>
      <c r="F8" s="53">
        <v>355.32781649999998</v>
      </c>
      <c r="G8" s="5">
        <v>4.0389190999999998E-2</v>
      </c>
    </row>
    <row r="9" spans="1:7" ht="25.5" x14ac:dyDescent="0.2">
      <c r="A9" s="6">
        <v>3</v>
      </c>
      <c r="B9" s="7" t="s">
        <v>444</v>
      </c>
      <c r="C9" s="11" t="s">
        <v>445</v>
      </c>
      <c r="D9" s="2" t="s">
        <v>27</v>
      </c>
      <c r="E9" s="47">
        <v>20550</v>
      </c>
      <c r="F9" s="53">
        <v>340.32855000000001</v>
      </c>
      <c r="G9" s="5">
        <v>3.8684263000000003E-2</v>
      </c>
    </row>
    <row r="10" spans="1:7" ht="25.5" x14ac:dyDescent="0.2">
      <c r="A10" s="6">
        <v>4</v>
      </c>
      <c r="B10" s="7" t="s">
        <v>402</v>
      </c>
      <c r="C10" s="11" t="s">
        <v>403</v>
      </c>
      <c r="D10" s="2" t="s">
        <v>30</v>
      </c>
      <c r="E10" s="47">
        <v>19965</v>
      </c>
      <c r="F10" s="53">
        <v>319.619685</v>
      </c>
      <c r="G10" s="5">
        <v>3.6330340000000003E-2</v>
      </c>
    </row>
    <row r="11" spans="1:7" ht="12.75" x14ac:dyDescent="0.2">
      <c r="A11" s="6">
        <v>5</v>
      </c>
      <c r="B11" s="7" t="s">
        <v>420</v>
      </c>
      <c r="C11" s="11" t="s">
        <v>421</v>
      </c>
      <c r="D11" s="2" t="s">
        <v>72</v>
      </c>
      <c r="E11" s="47">
        <v>7822</v>
      </c>
      <c r="F11" s="53">
        <v>315.03496100000001</v>
      </c>
      <c r="G11" s="5">
        <v>3.5809207000000003E-2</v>
      </c>
    </row>
    <row r="12" spans="1:7" ht="25.5" x14ac:dyDescent="0.2">
      <c r="A12" s="6">
        <v>6</v>
      </c>
      <c r="B12" s="7" t="s">
        <v>34</v>
      </c>
      <c r="C12" s="11" t="s">
        <v>35</v>
      </c>
      <c r="D12" s="2" t="s">
        <v>27</v>
      </c>
      <c r="E12" s="47">
        <v>27904</v>
      </c>
      <c r="F12" s="53">
        <v>314.994304</v>
      </c>
      <c r="G12" s="5">
        <v>3.5804585E-2</v>
      </c>
    </row>
    <row r="13" spans="1:7" ht="25.5" x14ac:dyDescent="0.2">
      <c r="A13" s="6">
        <v>7</v>
      </c>
      <c r="B13" s="7" t="s">
        <v>70</v>
      </c>
      <c r="C13" s="11" t="s">
        <v>71</v>
      </c>
      <c r="D13" s="2" t="s">
        <v>72</v>
      </c>
      <c r="E13" s="47">
        <v>22796</v>
      </c>
      <c r="F13" s="53">
        <v>306.10468800000001</v>
      </c>
      <c r="G13" s="5">
        <v>3.4794126000000002E-2</v>
      </c>
    </row>
    <row r="14" spans="1:7" ht="12.75" x14ac:dyDescent="0.2">
      <c r="A14" s="6">
        <v>8</v>
      </c>
      <c r="B14" s="7" t="s">
        <v>535</v>
      </c>
      <c r="C14" s="11" t="s">
        <v>536</v>
      </c>
      <c r="D14" s="2" t="s">
        <v>72</v>
      </c>
      <c r="E14" s="47">
        <v>3644</v>
      </c>
      <c r="F14" s="53">
        <v>296.41571399999998</v>
      </c>
      <c r="G14" s="5">
        <v>3.3692804999999999E-2</v>
      </c>
    </row>
    <row r="15" spans="1:7" ht="25.5" x14ac:dyDescent="0.2">
      <c r="A15" s="6">
        <v>9</v>
      </c>
      <c r="B15" s="7" t="s">
        <v>404</v>
      </c>
      <c r="C15" s="11" t="s">
        <v>405</v>
      </c>
      <c r="D15" s="2" t="s">
        <v>72</v>
      </c>
      <c r="E15" s="47">
        <v>29219</v>
      </c>
      <c r="F15" s="53">
        <v>289.70638500000001</v>
      </c>
      <c r="G15" s="5">
        <v>3.2930173E-2</v>
      </c>
    </row>
    <row r="16" spans="1:7" ht="25.5" x14ac:dyDescent="0.2">
      <c r="A16" s="6">
        <v>10</v>
      </c>
      <c r="B16" s="7" t="s">
        <v>301</v>
      </c>
      <c r="C16" s="11" t="s">
        <v>302</v>
      </c>
      <c r="D16" s="2" t="s">
        <v>183</v>
      </c>
      <c r="E16" s="47">
        <v>18753</v>
      </c>
      <c r="F16" s="53">
        <v>278.44454400000001</v>
      </c>
      <c r="G16" s="5">
        <v>3.1650069000000003E-2</v>
      </c>
    </row>
    <row r="17" spans="1:7" ht="25.5" x14ac:dyDescent="0.2">
      <c r="A17" s="6">
        <v>11</v>
      </c>
      <c r="B17" s="7" t="s">
        <v>303</v>
      </c>
      <c r="C17" s="11" t="s">
        <v>304</v>
      </c>
      <c r="D17" s="2" t="s">
        <v>47</v>
      </c>
      <c r="E17" s="47">
        <v>12017</v>
      </c>
      <c r="F17" s="53">
        <v>263.70705650000002</v>
      </c>
      <c r="G17" s="5">
        <v>2.9974897E-2</v>
      </c>
    </row>
    <row r="18" spans="1:7" ht="25.5" x14ac:dyDescent="0.2">
      <c r="A18" s="6">
        <v>12</v>
      </c>
      <c r="B18" s="7" t="s">
        <v>322</v>
      </c>
      <c r="C18" s="11" t="s">
        <v>323</v>
      </c>
      <c r="D18" s="2" t="s">
        <v>72</v>
      </c>
      <c r="E18" s="47">
        <v>85240</v>
      </c>
      <c r="F18" s="53">
        <v>259.98200000000003</v>
      </c>
      <c r="G18" s="5">
        <v>2.9551480000000001E-2</v>
      </c>
    </row>
    <row r="19" spans="1:7" ht="12.75" x14ac:dyDescent="0.2">
      <c r="A19" s="6">
        <v>13</v>
      </c>
      <c r="B19" s="7" t="s">
        <v>320</v>
      </c>
      <c r="C19" s="11" t="s">
        <v>321</v>
      </c>
      <c r="D19" s="2" t="s">
        <v>16</v>
      </c>
      <c r="E19" s="47">
        <v>120386</v>
      </c>
      <c r="F19" s="53">
        <v>255.09793400000001</v>
      </c>
      <c r="G19" s="5">
        <v>2.8996319999999999E-2</v>
      </c>
    </row>
    <row r="20" spans="1:7" ht="12.75" x14ac:dyDescent="0.2">
      <c r="A20" s="6">
        <v>14</v>
      </c>
      <c r="B20" s="7" t="s">
        <v>305</v>
      </c>
      <c r="C20" s="11" t="s">
        <v>306</v>
      </c>
      <c r="D20" s="2" t="s">
        <v>307</v>
      </c>
      <c r="E20" s="47">
        <v>59802</v>
      </c>
      <c r="F20" s="53">
        <v>234.154731</v>
      </c>
      <c r="G20" s="5">
        <v>2.6615761000000002E-2</v>
      </c>
    </row>
    <row r="21" spans="1:7" ht="25.5" x14ac:dyDescent="0.2">
      <c r="A21" s="6">
        <v>15</v>
      </c>
      <c r="B21" s="7" t="s">
        <v>314</v>
      </c>
      <c r="C21" s="11" t="s">
        <v>315</v>
      </c>
      <c r="D21" s="2" t="s">
        <v>30</v>
      </c>
      <c r="E21" s="47">
        <v>73256</v>
      </c>
      <c r="F21" s="53">
        <v>232.22152</v>
      </c>
      <c r="G21" s="5">
        <v>2.6396018E-2</v>
      </c>
    </row>
    <row r="22" spans="1:7" ht="25.5" x14ac:dyDescent="0.2">
      <c r="A22" s="6">
        <v>16</v>
      </c>
      <c r="B22" s="7" t="s">
        <v>406</v>
      </c>
      <c r="C22" s="11" t="s">
        <v>407</v>
      </c>
      <c r="D22" s="2" t="s">
        <v>47</v>
      </c>
      <c r="E22" s="47">
        <v>91972</v>
      </c>
      <c r="F22" s="53">
        <v>228.918308</v>
      </c>
      <c r="G22" s="5">
        <v>2.602055E-2</v>
      </c>
    </row>
    <row r="23" spans="1:7" ht="25.5" x14ac:dyDescent="0.2">
      <c r="A23" s="6">
        <v>17</v>
      </c>
      <c r="B23" s="7" t="s">
        <v>164</v>
      </c>
      <c r="C23" s="11" t="s">
        <v>165</v>
      </c>
      <c r="D23" s="2" t="s">
        <v>47</v>
      </c>
      <c r="E23" s="47">
        <v>73074</v>
      </c>
      <c r="F23" s="53">
        <v>182.53885199999999</v>
      </c>
      <c r="G23" s="5">
        <v>2.0748717999999999E-2</v>
      </c>
    </row>
    <row r="24" spans="1:7" ht="25.5" x14ac:dyDescent="0.2">
      <c r="A24" s="6">
        <v>18</v>
      </c>
      <c r="B24" s="7" t="s">
        <v>537</v>
      </c>
      <c r="C24" s="11" t="s">
        <v>538</v>
      </c>
      <c r="D24" s="2" t="s">
        <v>13</v>
      </c>
      <c r="E24" s="47">
        <v>865199</v>
      </c>
      <c r="F24" s="53">
        <v>179.52879250000001</v>
      </c>
      <c r="G24" s="5">
        <v>2.0406572000000001E-2</v>
      </c>
    </row>
    <row r="25" spans="1:7" ht="25.5" x14ac:dyDescent="0.2">
      <c r="A25" s="6">
        <v>19</v>
      </c>
      <c r="B25" s="7" t="s">
        <v>424</v>
      </c>
      <c r="C25" s="11" t="s">
        <v>425</v>
      </c>
      <c r="D25" s="2" t="s">
        <v>30</v>
      </c>
      <c r="E25" s="47">
        <v>8252</v>
      </c>
      <c r="F25" s="53">
        <v>179.509882</v>
      </c>
      <c r="G25" s="5">
        <v>2.0404423000000001E-2</v>
      </c>
    </row>
    <row r="26" spans="1:7" ht="25.5" x14ac:dyDescent="0.2">
      <c r="A26" s="6">
        <v>20</v>
      </c>
      <c r="B26" s="7" t="s">
        <v>334</v>
      </c>
      <c r="C26" s="11" t="s">
        <v>335</v>
      </c>
      <c r="D26" s="2" t="s">
        <v>30</v>
      </c>
      <c r="E26" s="47">
        <v>53652</v>
      </c>
      <c r="F26" s="53">
        <v>175.52251799999999</v>
      </c>
      <c r="G26" s="5">
        <v>1.9951189000000001E-2</v>
      </c>
    </row>
    <row r="27" spans="1:7" ht="25.5" x14ac:dyDescent="0.2">
      <c r="A27" s="6">
        <v>21</v>
      </c>
      <c r="B27" s="7" t="s">
        <v>310</v>
      </c>
      <c r="C27" s="11" t="s">
        <v>311</v>
      </c>
      <c r="D27" s="2" t="s">
        <v>223</v>
      </c>
      <c r="E27" s="47">
        <v>80062</v>
      </c>
      <c r="F27" s="53">
        <v>169.89156399999999</v>
      </c>
      <c r="G27" s="5">
        <v>1.9311133000000001E-2</v>
      </c>
    </row>
    <row r="28" spans="1:7" ht="12.75" x14ac:dyDescent="0.2">
      <c r="A28" s="6">
        <v>22</v>
      </c>
      <c r="B28" s="7" t="s">
        <v>374</v>
      </c>
      <c r="C28" s="11" t="s">
        <v>375</v>
      </c>
      <c r="D28" s="2" t="s">
        <v>376</v>
      </c>
      <c r="E28" s="47">
        <v>4704</v>
      </c>
      <c r="F28" s="53">
        <v>169.05705599999999</v>
      </c>
      <c r="G28" s="5">
        <v>1.9216277E-2</v>
      </c>
    </row>
    <row r="29" spans="1:7" ht="25.5" x14ac:dyDescent="0.2">
      <c r="A29" s="6">
        <v>23</v>
      </c>
      <c r="B29" s="7" t="s">
        <v>368</v>
      </c>
      <c r="C29" s="11" t="s">
        <v>369</v>
      </c>
      <c r="D29" s="2" t="s">
        <v>356</v>
      </c>
      <c r="E29" s="47">
        <v>736</v>
      </c>
      <c r="F29" s="53">
        <v>165.51315199999999</v>
      </c>
      <c r="G29" s="5">
        <v>1.8813450999999998E-2</v>
      </c>
    </row>
    <row r="30" spans="1:7" ht="25.5" x14ac:dyDescent="0.2">
      <c r="A30" s="6">
        <v>24</v>
      </c>
      <c r="B30" s="7" t="s">
        <v>11</v>
      </c>
      <c r="C30" s="11" t="s">
        <v>12</v>
      </c>
      <c r="D30" s="2" t="s">
        <v>13</v>
      </c>
      <c r="E30" s="47">
        <v>11224</v>
      </c>
      <c r="F30" s="53">
        <v>165.33513199999999</v>
      </c>
      <c r="G30" s="5">
        <v>1.8793216000000001E-2</v>
      </c>
    </row>
    <row r="31" spans="1:7" ht="51" x14ac:dyDescent="0.2">
      <c r="A31" s="6">
        <v>25</v>
      </c>
      <c r="B31" s="7" t="s">
        <v>328</v>
      </c>
      <c r="C31" s="11" t="s">
        <v>329</v>
      </c>
      <c r="D31" s="2" t="s">
        <v>208</v>
      </c>
      <c r="E31" s="47">
        <v>98300</v>
      </c>
      <c r="F31" s="53">
        <v>164.70165</v>
      </c>
      <c r="G31" s="5">
        <v>1.8721208999999999E-2</v>
      </c>
    </row>
    <row r="32" spans="1:7" ht="12.75" x14ac:dyDescent="0.2">
      <c r="A32" s="6">
        <v>26</v>
      </c>
      <c r="B32" s="7" t="s">
        <v>342</v>
      </c>
      <c r="C32" s="11" t="s">
        <v>343</v>
      </c>
      <c r="D32" s="2" t="s">
        <v>72</v>
      </c>
      <c r="E32" s="47">
        <v>38817</v>
      </c>
      <c r="F32" s="53">
        <v>160.08130800000001</v>
      </c>
      <c r="G32" s="5">
        <v>1.8196027E-2</v>
      </c>
    </row>
    <row r="33" spans="1:7" ht="12.75" x14ac:dyDescent="0.2">
      <c r="A33" s="6">
        <v>27</v>
      </c>
      <c r="B33" s="7" t="s">
        <v>346</v>
      </c>
      <c r="C33" s="11" t="s">
        <v>347</v>
      </c>
      <c r="D33" s="2" t="s">
        <v>72</v>
      </c>
      <c r="E33" s="47">
        <v>39394</v>
      </c>
      <c r="F33" s="53">
        <v>159.99873099999999</v>
      </c>
      <c r="G33" s="5">
        <v>1.8186641E-2</v>
      </c>
    </row>
    <row r="34" spans="1:7" ht="25.5" x14ac:dyDescent="0.2">
      <c r="A34" s="6">
        <v>28</v>
      </c>
      <c r="B34" s="7" t="s">
        <v>318</v>
      </c>
      <c r="C34" s="11" t="s">
        <v>319</v>
      </c>
      <c r="D34" s="2" t="s">
        <v>30</v>
      </c>
      <c r="E34" s="47">
        <v>25318</v>
      </c>
      <c r="F34" s="53">
        <v>157.00957700000001</v>
      </c>
      <c r="G34" s="5">
        <v>1.7846871E-2</v>
      </c>
    </row>
    <row r="35" spans="1:7" ht="12.75" x14ac:dyDescent="0.2">
      <c r="A35" s="6">
        <v>29</v>
      </c>
      <c r="B35" s="7" t="s">
        <v>338</v>
      </c>
      <c r="C35" s="11" t="s">
        <v>339</v>
      </c>
      <c r="D35" s="2" t="s">
        <v>72</v>
      </c>
      <c r="E35" s="47">
        <v>46262</v>
      </c>
      <c r="F35" s="53">
        <v>149.95827299999999</v>
      </c>
      <c r="G35" s="5">
        <v>1.7045368000000002E-2</v>
      </c>
    </row>
    <row r="36" spans="1:7" ht="25.5" x14ac:dyDescent="0.2">
      <c r="A36" s="6">
        <v>30</v>
      </c>
      <c r="B36" s="7" t="s">
        <v>485</v>
      </c>
      <c r="C36" s="11" t="s">
        <v>486</v>
      </c>
      <c r="D36" s="2" t="s">
        <v>33</v>
      </c>
      <c r="E36" s="47">
        <v>90354</v>
      </c>
      <c r="F36" s="53">
        <v>137.47361100000001</v>
      </c>
      <c r="G36" s="5">
        <v>1.5626269000000002E-2</v>
      </c>
    </row>
    <row r="37" spans="1:7" ht="12.75" x14ac:dyDescent="0.2">
      <c r="A37" s="6">
        <v>31</v>
      </c>
      <c r="B37" s="7" t="s">
        <v>340</v>
      </c>
      <c r="C37" s="11" t="s">
        <v>341</v>
      </c>
      <c r="D37" s="2" t="s">
        <v>242</v>
      </c>
      <c r="E37" s="47">
        <v>8999</v>
      </c>
      <c r="F37" s="53">
        <v>135.31346350000001</v>
      </c>
      <c r="G37" s="5">
        <v>1.538073E-2</v>
      </c>
    </row>
    <row r="38" spans="1:7" ht="25.5" x14ac:dyDescent="0.2">
      <c r="A38" s="6">
        <v>32</v>
      </c>
      <c r="B38" s="7" t="s">
        <v>364</v>
      </c>
      <c r="C38" s="11" t="s">
        <v>365</v>
      </c>
      <c r="D38" s="2" t="s">
        <v>72</v>
      </c>
      <c r="E38" s="47">
        <v>37895</v>
      </c>
      <c r="F38" s="53">
        <v>133.76935</v>
      </c>
      <c r="G38" s="5">
        <v>1.5205214999999999E-2</v>
      </c>
    </row>
    <row r="39" spans="1:7" ht="12.75" x14ac:dyDescent="0.2">
      <c r="A39" s="6">
        <v>33</v>
      </c>
      <c r="B39" s="7" t="s">
        <v>539</v>
      </c>
      <c r="C39" s="11" t="s">
        <v>540</v>
      </c>
      <c r="D39" s="2" t="s">
        <v>72</v>
      </c>
      <c r="E39" s="47">
        <v>138772</v>
      </c>
      <c r="F39" s="53">
        <v>132.666032</v>
      </c>
      <c r="G39" s="5">
        <v>1.5079804E-2</v>
      </c>
    </row>
    <row r="40" spans="1:7" ht="12.75" x14ac:dyDescent="0.2">
      <c r="A40" s="6">
        <v>34</v>
      </c>
      <c r="B40" s="7" t="s">
        <v>336</v>
      </c>
      <c r="C40" s="11" t="s">
        <v>337</v>
      </c>
      <c r="D40" s="2" t="s">
        <v>197</v>
      </c>
      <c r="E40" s="47">
        <v>25523</v>
      </c>
      <c r="F40" s="53">
        <v>132.41332399999999</v>
      </c>
      <c r="G40" s="5">
        <v>1.5051079E-2</v>
      </c>
    </row>
    <row r="41" spans="1:7" ht="12.75" x14ac:dyDescent="0.2">
      <c r="A41" s="6">
        <v>35</v>
      </c>
      <c r="B41" s="7" t="s">
        <v>51</v>
      </c>
      <c r="C41" s="11" t="s">
        <v>52</v>
      </c>
      <c r="D41" s="2" t="s">
        <v>19</v>
      </c>
      <c r="E41" s="47">
        <v>10948</v>
      </c>
      <c r="F41" s="53">
        <v>122.294634</v>
      </c>
      <c r="G41" s="5">
        <v>1.3900914E-2</v>
      </c>
    </row>
    <row r="42" spans="1:7" ht="12.75" x14ac:dyDescent="0.2">
      <c r="A42" s="6">
        <v>36</v>
      </c>
      <c r="B42" s="7" t="s">
        <v>326</v>
      </c>
      <c r="C42" s="11" t="s">
        <v>327</v>
      </c>
      <c r="D42" s="2" t="s">
        <v>168</v>
      </c>
      <c r="E42" s="47">
        <v>1962</v>
      </c>
      <c r="F42" s="53">
        <v>121.750929</v>
      </c>
      <c r="G42" s="5">
        <v>1.3839112000000001E-2</v>
      </c>
    </row>
    <row r="43" spans="1:7" ht="12.75" x14ac:dyDescent="0.2">
      <c r="A43" s="6">
        <v>37</v>
      </c>
      <c r="B43" s="7" t="s">
        <v>316</v>
      </c>
      <c r="C43" s="11" t="s">
        <v>317</v>
      </c>
      <c r="D43" s="2" t="s">
        <v>16</v>
      </c>
      <c r="E43" s="47">
        <v>129075</v>
      </c>
      <c r="F43" s="53">
        <v>108.16485</v>
      </c>
      <c r="G43" s="5">
        <v>1.2294818000000001E-2</v>
      </c>
    </row>
    <row r="44" spans="1:7" ht="12.75" x14ac:dyDescent="0.2">
      <c r="A44" s="6">
        <v>38</v>
      </c>
      <c r="B44" s="7" t="s">
        <v>276</v>
      </c>
      <c r="C44" s="11" t="s">
        <v>277</v>
      </c>
      <c r="D44" s="2" t="s">
        <v>72</v>
      </c>
      <c r="E44" s="47">
        <v>137000</v>
      </c>
      <c r="F44" s="53">
        <v>106.86</v>
      </c>
      <c r="G44" s="5">
        <v>1.2146499E-2</v>
      </c>
    </row>
    <row r="45" spans="1:7" ht="12.75" x14ac:dyDescent="0.2">
      <c r="A45" s="6">
        <v>39</v>
      </c>
      <c r="B45" s="7" t="s">
        <v>519</v>
      </c>
      <c r="C45" s="11" t="s">
        <v>520</v>
      </c>
      <c r="D45" s="2" t="s">
        <v>281</v>
      </c>
      <c r="E45" s="47">
        <v>11307</v>
      </c>
      <c r="F45" s="53">
        <v>102.18701249999999</v>
      </c>
      <c r="G45" s="5">
        <v>1.1615333E-2</v>
      </c>
    </row>
    <row r="46" spans="1:7" ht="12.75" x14ac:dyDescent="0.2">
      <c r="A46" s="6">
        <v>40</v>
      </c>
      <c r="B46" s="7" t="s">
        <v>359</v>
      </c>
      <c r="C46" s="11" t="s">
        <v>360</v>
      </c>
      <c r="D46" s="2" t="s">
        <v>361</v>
      </c>
      <c r="E46" s="47">
        <v>20772</v>
      </c>
      <c r="F46" s="53">
        <v>98.750088000000005</v>
      </c>
      <c r="G46" s="5">
        <v>1.1224665999999999E-2</v>
      </c>
    </row>
    <row r="47" spans="1:7" ht="12.75" x14ac:dyDescent="0.2">
      <c r="A47" s="6">
        <v>41</v>
      </c>
      <c r="B47" s="7" t="s">
        <v>527</v>
      </c>
      <c r="C47" s="11" t="s">
        <v>528</v>
      </c>
      <c r="D47" s="2" t="s">
        <v>16</v>
      </c>
      <c r="E47" s="47">
        <v>91323</v>
      </c>
      <c r="F47" s="53">
        <v>88.765956000000003</v>
      </c>
      <c r="G47" s="5">
        <v>1.0089796E-2</v>
      </c>
    </row>
    <row r="48" spans="1:7" ht="12.75" x14ac:dyDescent="0.2">
      <c r="A48" s="6">
        <v>42</v>
      </c>
      <c r="B48" s="7" t="s">
        <v>308</v>
      </c>
      <c r="C48" s="11" t="s">
        <v>309</v>
      </c>
      <c r="D48" s="2" t="s">
        <v>168</v>
      </c>
      <c r="E48" s="47">
        <v>4127</v>
      </c>
      <c r="F48" s="53">
        <v>86.481285</v>
      </c>
      <c r="G48" s="5">
        <v>9.8301029999999998E-3</v>
      </c>
    </row>
    <row r="49" spans="1:7" ht="25.5" x14ac:dyDescent="0.2">
      <c r="A49" s="6">
        <v>43</v>
      </c>
      <c r="B49" s="7" t="s">
        <v>31</v>
      </c>
      <c r="C49" s="11" t="s">
        <v>32</v>
      </c>
      <c r="D49" s="2" t="s">
        <v>33</v>
      </c>
      <c r="E49" s="47">
        <v>5883</v>
      </c>
      <c r="F49" s="53">
        <v>86.147710500000002</v>
      </c>
      <c r="G49" s="5">
        <v>9.7921870000000008E-3</v>
      </c>
    </row>
    <row r="50" spans="1:7" ht="12.75" x14ac:dyDescent="0.2">
      <c r="A50" s="6">
        <v>44</v>
      </c>
      <c r="B50" s="7" t="s">
        <v>508</v>
      </c>
      <c r="C50" s="11" t="s">
        <v>509</v>
      </c>
      <c r="D50" s="2" t="s">
        <v>168</v>
      </c>
      <c r="E50" s="47">
        <v>69216</v>
      </c>
      <c r="F50" s="53">
        <v>85.101072000000002</v>
      </c>
      <c r="G50" s="5">
        <v>9.6732180000000008E-3</v>
      </c>
    </row>
    <row r="51" spans="1:7" ht="25.5" x14ac:dyDescent="0.2">
      <c r="A51" s="6">
        <v>45</v>
      </c>
      <c r="B51" s="7" t="s">
        <v>312</v>
      </c>
      <c r="C51" s="11" t="s">
        <v>313</v>
      </c>
      <c r="D51" s="2" t="s">
        <v>22</v>
      </c>
      <c r="E51" s="47">
        <v>1936</v>
      </c>
      <c r="F51" s="53">
        <v>83.221863999999997</v>
      </c>
      <c r="G51" s="5">
        <v>9.4596130000000004E-3</v>
      </c>
    </row>
    <row r="52" spans="1:7" ht="12.75" x14ac:dyDescent="0.2">
      <c r="A52" s="6">
        <v>46</v>
      </c>
      <c r="B52" s="7" t="s">
        <v>377</v>
      </c>
      <c r="C52" s="11" t="s">
        <v>378</v>
      </c>
      <c r="D52" s="2" t="s">
        <v>40</v>
      </c>
      <c r="E52" s="47">
        <v>119700</v>
      </c>
      <c r="F52" s="53">
        <v>70.982100000000003</v>
      </c>
      <c r="G52" s="5">
        <v>8.0683509999999996E-3</v>
      </c>
    </row>
    <row r="53" spans="1:7" ht="12.75" x14ac:dyDescent="0.2">
      <c r="A53" s="6">
        <v>47</v>
      </c>
      <c r="B53" s="7" t="s">
        <v>389</v>
      </c>
      <c r="C53" s="11" t="s">
        <v>390</v>
      </c>
      <c r="D53" s="2" t="s">
        <v>16</v>
      </c>
      <c r="E53" s="47">
        <v>73942</v>
      </c>
      <c r="F53" s="53">
        <v>40.557186999999999</v>
      </c>
      <c r="G53" s="5">
        <v>4.6100300000000002E-3</v>
      </c>
    </row>
    <row r="54" spans="1:7" ht="12.75" x14ac:dyDescent="0.2">
      <c r="A54" s="1"/>
      <c r="B54" s="2"/>
      <c r="C54" s="8" t="s">
        <v>108</v>
      </c>
      <c r="D54" s="12"/>
      <c r="E54" s="49"/>
      <c r="F54" s="55">
        <v>8735.4177929999951</v>
      </c>
      <c r="G54" s="13">
        <v>0.99293227800000006</v>
      </c>
    </row>
    <row r="55" spans="1:7" ht="12.75" x14ac:dyDescent="0.2">
      <c r="A55" s="6"/>
      <c r="B55" s="7"/>
      <c r="C55" s="14"/>
      <c r="D55" s="15"/>
      <c r="E55" s="47"/>
      <c r="F55" s="53"/>
      <c r="G55" s="5"/>
    </row>
    <row r="56" spans="1:7" ht="12.75" x14ac:dyDescent="0.2">
      <c r="A56" s="1"/>
      <c r="B56" s="2"/>
      <c r="C56" s="8" t="s">
        <v>109</v>
      </c>
      <c r="D56" s="9"/>
      <c r="E56" s="48"/>
      <c r="F56" s="54"/>
      <c r="G56" s="10"/>
    </row>
    <row r="57" spans="1:7" ht="12.75" x14ac:dyDescent="0.2">
      <c r="A57" s="1"/>
      <c r="B57" s="2"/>
      <c r="C57" s="8" t="s">
        <v>108</v>
      </c>
      <c r="D57" s="12"/>
      <c r="E57" s="49"/>
      <c r="F57" s="55">
        <v>0</v>
      </c>
      <c r="G57" s="13">
        <v>0</v>
      </c>
    </row>
    <row r="58" spans="1:7" ht="12.75" x14ac:dyDescent="0.2">
      <c r="A58" s="6"/>
      <c r="B58" s="7"/>
      <c r="C58" s="14"/>
      <c r="D58" s="15"/>
      <c r="E58" s="47"/>
      <c r="F58" s="53"/>
      <c r="G58" s="5"/>
    </row>
    <row r="59" spans="1:7" ht="12.75" x14ac:dyDescent="0.2">
      <c r="A59" s="16"/>
      <c r="B59" s="17"/>
      <c r="C59" s="8" t="s">
        <v>110</v>
      </c>
      <c r="D59" s="9"/>
      <c r="E59" s="48"/>
      <c r="F59" s="54"/>
      <c r="G59" s="10"/>
    </row>
    <row r="60" spans="1:7" ht="12.75" x14ac:dyDescent="0.2">
      <c r="A60" s="18"/>
      <c r="B60" s="19"/>
      <c r="C60" s="8" t="s">
        <v>108</v>
      </c>
      <c r="D60" s="20"/>
      <c r="E60" s="50"/>
      <c r="F60" s="56">
        <v>0</v>
      </c>
      <c r="G60" s="21">
        <v>0</v>
      </c>
    </row>
    <row r="61" spans="1:7" ht="12.75" x14ac:dyDescent="0.2">
      <c r="A61" s="18"/>
      <c r="B61" s="19"/>
      <c r="C61" s="14"/>
      <c r="D61" s="22"/>
      <c r="E61" s="51"/>
      <c r="F61" s="57"/>
      <c r="G61" s="23"/>
    </row>
    <row r="62" spans="1:7" ht="12.75" x14ac:dyDescent="0.2">
      <c r="A62" s="1"/>
      <c r="B62" s="2"/>
      <c r="C62" s="8" t="s">
        <v>113</v>
      </c>
      <c r="D62" s="9"/>
      <c r="E62" s="48"/>
      <c r="F62" s="54"/>
      <c r="G62" s="10"/>
    </row>
    <row r="63" spans="1:7" ht="12.75" x14ac:dyDescent="0.2">
      <c r="A63" s="1"/>
      <c r="B63" s="2"/>
      <c r="C63" s="8" t="s">
        <v>108</v>
      </c>
      <c r="D63" s="12"/>
      <c r="E63" s="49"/>
      <c r="F63" s="55">
        <v>0</v>
      </c>
      <c r="G63" s="13">
        <v>0</v>
      </c>
    </row>
    <row r="64" spans="1:7" ht="12.75" x14ac:dyDescent="0.2">
      <c r="A64" s="1"/>
      <c r="B64" s="2"/>
      <c r="C64" s="14"/>
      <c r="D64" s="4"/>
      <c r="E64" s="47"/>
      <c r="F64" s="53"/>
      <c r="G64" s="5"/>
    </row>
    <row r="65" spans="1:7" ht="12.75" x14ac:dyDescent="0.2">
      <c r="A65" s="1"/>
      <c r="B65" s="2"/>
      <c r="C65" s="8" t="s">
        <v>114</v>
      </c>
      <c r="D65" s="9"/>
      <c r="E65" s="48"/>
      <c r="F65" s="54"/>
      <c r="G65" s="10"/>
    </row>
    <row r="66" spans="1:7" ht="12.75" x14ac:dyDescent="0.2">
      <c r="A66" s="1"/>
      <c r="B66" s="2"/>
      <c r="C66" s="8" t="s">
        <v>108</v>
      </c>
      <c r="D66" s="12"/>
      <c r="E66" s="49"/>
      <c r="F66" s="55">
        <v>0</v>
      </c>
      <c r="G66" s="13">
        <v>0</v>
      </c>
    </row>
    <row r="67" spans="1:7" ht="12.75" x14ac:dyDescent="0.2">
      <c r="A67" s="1"/>
      <c r="B67" s="2"/>
      <c r="C67" s="14"/>
      <c r="D67" s="4"/>
      <c r="E67" s="47"/>
      <c r="F67" s="53"/>
      <c r="G67" s="5"/>
    </row>
    <row r="68" spans="1:7" ht="12.75" x14ac:dyDescent="0.2">
      <c r="A68" s="1"/>
      <c r="B68" s="2"/>
      <c r="C68" s="8" t="s">
        <v>115</v>
      </c>
      <c r="D68" s="9"/>
      <c r="E68" s="48"/>
      <c r="F68" s="54"/>
      <c r="G68" s="10"/>
    </row>
    <row r="69" spans="1:7" ht="12.75" x14ac:dyDescent="0.2">
      <c r="A69" s="1"/>
      <c r="B69" s="2"/>
      <c r="C69" s="8" t="s">
        <v>108</v>
      </c>
      <c r="D69" s="12"/>
      <c r="E69" s="49"/>
      <c r="F69" s="55">
        <v>0</v>
      </c>
      <c r="G69" s="13">
        <v>0</v>
      </c>
    </row>
    <row r="70" spans="1:7" ht="12.75" x14ac:dyDescent="0.2">
      <c r="A70" s="1"/>
      <c r="B70" s="2"/>
      <c r="C70" s="14"/>
      <c r="D70" s="4"/>
      <c r="E70" s="47"/>
      <c r="F70" s="53"/>
      <c r="G70" s="5"/>
    </row>
    <row r="71" spans="1:7" ht="25.5" x14ac:dyDescent="0.2">
      <c r="A71" s="6"/>
      <c r="B71" s="7"/>
      <c r="C71" s="24" t="s">
        <v>116</v>
      </c>
      <c r="D71" s="25"/>
      <c r="E71" s="49"/>
      <c r="F71" s="55">
        <v>8735.4177929999951</v>
      </c>
      <c r="G71" s="13">
        <v>0.99293227800000006</v>
      </c>
    </row>
    <row r="72" spans="1:7" ht="12.75" x14ac:dyDescent="0.2">
      <c r="A72" s="1"/>
      <c r="B72" s="2"/>
      <c r="C72" s="11"/>
      <c r="D72" s="4"/>
      <c r="E72" s="47"/>
      <c r="F72" s="53"/>
      <c r="G72" s="5"/>
    </row>
    <row r="73" spans="1:7" ht="12.75" x14ac:dyDescent="0.2">
      <c r="A73" s="1"/>
      <c r="B73" s="2"/>
      <c r="C73" s="3" t="s">
        <v>117</v>
      </c>
      <c r="D73" s="4"/>
      <c r="E73" s="47"/>
      <c r="F73" s="53"/>
      <c r="G73" s="5"/>
    </row>
    <row r="74" spans="1:7" ht="25.5" x14ac:dyDescent="0.2">
      <c r="A74" s="1"/>
      <c r="B74" s="2"/>
      <c r="C74" s="8" t="s">
        <v>10</v>
      </c>
      <c r="D74" s="9"/>
      <c r="E74" s="48"/>
      <c r="F74" s="54"/>
      <c r="G74" s="10"/>
    </row>
    <row r="75" spans="1:7" ht="12.75" x14ac:dyDescent="0.2">
      <c r="A75" s="6"/>
      <c r="B75" s="7"/>
      <c r="C75" s="8" t="s">
        <v>108</v>
      </c>
      <c r="D75" s="12"/>
      <c r="E75" s="49"/>
      <c r="F75" s="55">
        <v>0</v>
      </c>
      <c r="G75" s="13">
        <v>0</v>
      </c>
    </row>
    <row r="76" spans="1:7" ht="12.75" x14ac:dyDescent="0.2">
      <c r="A76" s="6"/>
      <c r="B76" s="7"/>
      <c r="C76" s="14"/>
      <c r="D76" s="4"/>
      <c r="E76" s="47"/>
      <c r="F76" s="53"/>
      <c r="G76" s="5"/>
    </row>
    <row r="77" spans="1:7" ht="12.75" x14ac:dyDescent="0.2">
      <c r="A77" s="1"/>
      <c r="B77" s="26"/>
      <c r="C77" s="8" t="s">
        <v>118</v>
      </c>
      <c r="D77" s="9"/>
      <c r="E77" s="48"/>
      <c r="F77" s="54"/>
      <c r="G77" s="10"/>
    </row>
    <row r="78" spans="1:7" ht="12.75" x14ac:dyDescent="0.2">
      <c r="A78" s="6"/>
      <c r="B78" s="7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6"/>
      <c r="B79" s="7"/>
      <c r="C79" s="14"/>
      <c r="D79" s="4"/>
      <c r="E79" s="47"/>
      <c r="F79" s="59"/>
      <c r="G79" s="28"/>
    </row>
    <row r="80" spans="1:7" ht="12.75" x14ac:dyDescent="0.2">
      <c r="A80" s="1"/>
      <c r="B80" s="2"/>
      <c r="C80" s="8" t="s">
        <v>119</v>
      </c>
      <c r="D80" s="9"/>
      <c r="E80" s="48"/>
      <c r="F80" s="54"/>
      <c r="G80" s="10"/>
    </row>
    <row r="81" spans="1:7" ht="12.75" x14ac:dyDescent="0.2">
      <c r="A81" s="6"/>
      <c r="B81" s="7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1"/>
      <c r="B82" s="2"/>
      <c r="C82" s="14"/>
      <c r="D82" s="4"/>
      <c r="E82" s="47"/>
      <c r="F82" s="53"/>
      <c r="G82" s="5"/>
    </row>
    <row r="83" spans="1:7" ht="25.5" x14ac:dyDescent="0.2">
      <c r="A83" s="1"/>
      <c r="B83" s="26"/>
      <c r="C83" s="8" t="s">
        <v>120</v>
      </c>
      <c r="D83" s="9"/>
      <c r="E83" s="48"/>
      <c r="F83" s="54"/>
      <c r="G83" s="10"/>
    </row>
    <row r="84" spans="1:7" ht="12.75" x14ac:dyDescent="0.2">
      <c r="A84" s="6"/>
      <c r="B84" s="7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6"/>
      <c r="B85" s="7"/>
      <c r="C85" s="14"/>
      <c r="D85" s="4"/>
      <c r="E85" s="47"/>
      <c r="F85" s="53"/>
      <c r="G85" s="5"/>
    </row>
    <row r="86" spans="1:7" ht="12.75" x14ac:dyDescent="0.2">
      <c r="A86" s="6"/>
      <c r="B86" s="7"/>
      <c r="C86" s="29" t="s">
        <v>121</v>
      </c>
      <c r="D86" s="25"/>
      <c r="E86" s="49"/>
      <c r="F86" s="55">
        <v>0</v>
      </c>
      <c r="G86" s="13">
        <v>0</v>
      </c>
    </row>
    <row r="87" spans="1:7" ht="12.75" x14ac:dyDescent="0.2">
      <c r="A87" s="6"/>
      <c r="B87" s="7"/>
      <c r="C87" s="11"/>
      <c r="D87" s="4"/>
      <c r="E87" s="47"/>
      <c r="F87" s="53"/>
      <c r="G87" s="5"/>
    </row>
    <row r="88" spans="1:7" ht="12.75" x14ac:dyDescent="0.2">
      <c r="A88" s="1"/>
      <c r="B88" s="2"/>
      <c r="C88" s="3" t="s">
        <v>122</v>
      </c>
      <c r="D88" s="4"/>
      <c r="E88" s="47"/>
      <c r="F88" s="53"/>
      <c r="G88" s="5"/>
    </row>
    <row r="89" spans="1:7" ht="12.75" x14ac:dyDescent="0.2">
      <c r="A89" s="6"/>
      <c r="B89" s="7"/>
      <c r="C89" s="8" t="s">
        <v>123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25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7"/>
      <c r="E91" s="47"/>
      <c r="F91" s="53"/>
      <c r="G91" s="5"/>
    </row>
    <row r="92" spans="1:7" ht="12.75" x14ac:dyDescent="0.2">
      <c r="A92" s="6"/>
      <c r="B92" s="7"/>
      <c r="C92" s="8" t="s">
        <v>124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25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7"/>
      <c r="E94" s="47"/>
      <c r="F94" s="53"/>
      <c r="G94" s="5"/>
    </row>
    <row r="95" spans="1:7" ht="12.75" x14ac:dyDescent="0.2">
      <c r="A95" s="6"/>
      <c r="B95" s="7"/>
      <c r="C95" s="8" t="s">
        <v>125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25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4"/>
      <c r="D97" s="7"/>
      <c r="E97" s="47"/>
      <c r="F97" s="53"/>
      <c r="G97" s="5"/>
    </row>
    <row r="98" spans="1:7" ht="12.75" x14ac:dyDescent="0.2">
      <c r="A98" s="6"/>
      <c r="B98" s="7"/>
      <c r="C98" s="8" t="s">
        <v>126</v>
      </c>
      <c r="D98" s="9"/>
      <c r="E98" s="48"/>
      <c r="F98" s="54"/>
      <c r="G98" s="10"/>
    </row>
    <row r="99" spans="1:7" ht="12.75" x14ac:dyDescent="0.2">
      <c r="A99" s="6">
        <v>1</v>
      </c>
      <c r="B99" s="7"/>
      <c r="C99" s="11" t="s">
        <v>812</v>
      </c>
      <c r="D99" s="15"/>
      <c r="E99" s="47"/>
      <c r="F99" s="53">
        <v>68.990927200000002</v>
      </c>
      <c r="G99" s="5">
        <v>7.8420199999999999E-3</v>
      </c>
    </row>
    <row r="100" spans="1:7" ht="12.75" x14ac:dyDescent="0.2">
      <c r="A100" s="6"/>
      <c r="B100" s="7"/>
      <c r="C100" s="8" t="s">
        <v>108</v>
      </c>
      <c r="D100" s="25"/>
      <c r="E100" s="49"/>
      <c r="F100" s="55">
        <v>68.990927200000002</v>
      </c>
      <c r="G100" s="13">
        <v>7.8420199999999999E-3</v>
      </c>
    </row>
    <row r="101" spans="1:7" ht="12.75" x14ac:dyDescent="0.2">
      <c r="A101" s="6"/>
      <c r="B101" s="7"/>
      <c r="C101" s="14"/>
      <c r="D101" s="7"/>
      <c r="E101" s="47"/>
      <c r="F101" s="53"/>
      <c r="G101" s="5"/>
    </row>
    <row r="102" spans="1:7" ht="25.5" x14ac:dyDescent="0.2">
      <c r="A102" s="6"/>
      <c r="B102" s="7"/>
      <c r="C102" s="24" t="s">
        <v>127</v>
      </c>
      <c r="D102" s="25"/>
      <c r="E102" s="49"/>
      <c r="F102" s="55">
        <v>68.990927200000002</v>
      </c>
      <c r="G102" s="13">
        <v>7.8420199999999999E-3</v>
      </c>
    </row>
    <row r="103" spans="1:7" ht="12.75" x14ac:dyDescent="0.2">
      <c r="A103" s="6"/>
      <c r="B103" s="7"/>
      <c r="C103" s="30"/>
      <c r="D103" s="7"/>
      <c r="E103" s="47"/>
      <c r="F103" s="53"/>
      <c r="G103" s="5"/>
    </row>
    <row r="104" spans="1:7" ht="12.75" x14ac:dyDescent="0.2">
      <c r="A104" s="1"/>
      <c r="B104" s="2"/>
      <c r="C104" s="3" t="s">
        <v>128</v>
      </c>
      <c r="D104" s="4"/>
      <c r="E104" s="47"/>
      <c r="F104" s="53"/>
      <c r="G104" s="5"/>
    </row>
    <row r="105" spans="1:7" ht="25.5" x14ac:dyDescent="0.2">
      <c r="A105" s="6"/>
      <c r="B105" s="7"/>
      <c r="C105" s="8" t="s">
        <v>129</v>
      </c>
      <c r="D105" s="9"/>
      <c r="E105" s="48"/>
      <c r="F105" s="54"/>
      <c r="G105" s="10"/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12.75" x14ac:dyDescent="0.2">
      <c r="A108" s="1"/>
      <c r="B108" s="2"/>
      <c r="C108" s="3" t="s">
        <v>131</v>
      </c>
      <c r="D108" s="4"/>
      <c r="E108" s="47"/>
      <c r="F108" s="53"/>
      <c r="G108" s="5"/>
    </row>
    <row r="109" spans="1:7" ht="25.5" x14ac:dyDescent="0.2">
      <c r="A109" s="6"/>
      <c r="B109" s="7"/>
      <c r="C109" s="8" t="s">
        <v>132</v>
      </c>
      <c r="D109" s="9"/>
      <c r="E109" s="48"/>
      <c r="F109" s="54"/>
      <c r="G109" s="10"/>
    </row>
    <row r="110" spans="1:7" ht="12.75" x14ac:dyDescent="0.2">
      <c r="A110" s="6"/>
      <c r="B110" s="7"/>
      <c r="C110" s="8" t="s">
        <v>108</v>
      </c>
      <c r="D110" s="25"/>
      <c r="E110" s="49"/>
      <c r="F110" s="55">
        <v>0</v>
      </c>
      <c r="G110" s="13">
        <v>0</v>
      </c>
    </row>
    <row r="111" spans="1:7" ht="12.75" x14ac:dyDescent="0.2">
      <c r="A111" s="6"/>
      <c r="B111" s="7"/>
      <c r="C111" s="14"/>
      <c r="D111" s="7"/>
      <c r="E111" s="47"/>
      <c r="F111" s="53"/>
      <c r="G111" s="5"/>
    </row>
    <row r="112" spans="1:7" ht="25.5" x14ac:dyDescent="0.2">
      <c r="A112" s="6"/>
      <c r="B112" s="7"/>
      <c r="C112" s="8" t="s">
        <v>133</v>
      </c>
      <c r="D112" s="9"/>
      <c r="E112" s="48"/>
      <c r="F112" s="54"/>
      <c r="G112" s="10"/>
    </row>
    <row r="113" spans="1:7" ht="12.75" x14ac:dyDescent="0.2">
      <c r="A113" s="6"/>
      <c r="B113" s="7"/>
      <c r="C113" s="8" t="s">
        <v>108</v>
      </c>
      <c r="D113" s="25"/>
      <c r="E113" s="49"/>
      <c r="F113" s="55">
        <v>0</v>
      </c>
      <c r="G113" s="13">
        <v>0</v>
      </c>
    </row>
    <row r="114" spans="1:7" ht="12.75" x14ac:dyDescent="0.2">
      <c r="A114" s="6"/>
      <c r="B114" s="7"/>
      <c r="C114" s="14"/>
      <c r="D114" s="7"/>
      <c r="E114" s="47"/>
      <c r="F114" s="59"/>
      <c r="G114" s="28"/>
    </row>
    <row r="115" spans="1:7" ht="25.5" x14ac:dyDescent="0.2">
      <c r="A115" s="6"/>
      <c r="B115" s="7"/>
      <c r="C115" s="30" t="s">
        <v>134</v>
      </c>
      <c r="D115" s="7"/>
      <c r="E115" s="47"/>
      <c r="F115" s="128">
        <v>-6.8119736</v>
      </c>
      <c r="G115" s="137">
        <v>-7.742993679077893E-4</v>
      </c>
    </row>
    <row r="116" spans="1:7" ht="12.75" x14ac:dyDescent="0.2">
      <c r="A116" s="6"/>
      <c r="B116" s="7"/>
      <c r="C116" s="31" t="s">
        <v>135</v>
      </c>
      <c r="D116" s="12"/>
      <c r="E116" s="49"/>
      <c r="F116" s="55">
        <v>8797.5967465999947</v>
      </c>
      <c r="G116" s="13">
        <v>0.99999999899999992</v>
      </c>
    </row>
    <row r="118" spans="1:7" ht="12.75" x14ac:dyDescent="0.2">
      <c r="B118" s="179"/>
      <c r="C118" s="179"/>
      <c r="D118" s="179"/>
      <c r="E118" s="179"/>
      <c r="F118" s="179"/>
    </row>
    <row r="119" spans="1:7" ht="12.75" x14ac:dyDescent="0.2">
      <c r="B119" s="179"/>
      <c r="C119" s="179"/>
      <c r="D119" s="179"/>
      <c r="E119" s="179"/>
      <c r="F119" s="179"/>
    </row>
    <row r="121" spans="1:7" ht="12.75" x14ac:dyDescent="0.2">
      <c r="B121" s="37" t="s">
        <v>137</v>
      </c>
      <c r="C121" s="38"/>
      <c r="D121" s="39"/>
    </row>
    <row r="122" spans="1:7" ht="12.75" x14ac:dyDescent="0.2">
      <c r="B122" s="40" t="s">
        <v>808</v>
      </c>
      <c r="C122" s="41"/>
      <c r="D122" s="65" t="s">
        <v>138</v>
      </c>
    </row>
    <row r="123" spans="1:7" ht="12.75" x14ac:dyDescent="0.2">
      <c r="B123" s="40" t="s">
        <v>139</v>
      </c>
      <c r="C123" s="41"/>
      <c r="D123" s="65" t="s">
        <v>138</v>
      </c>
    </row>
    <row r="124" spans="1:7" ht="12.75" x14ac:dyDescent="0.2">
      <c r="B124" s="42" t="s">
        <v>140</v>
      </c>
      <c r="C124" s="41"/>
      <c r="D124" s="43"/>
    </row>
    <row r="125" spans="1:7" ht="25.5" customHeight="1" x14ac:dyDescent="0.2">
      <c r="B125" s="43"/>
      <c r="C125" s="33" t="s">
        <v>141</v>
      </c>
      <c r="D125" s="34" t="s">
        <v>142</v>
      </c>
    </row>
    <row r="126" spans="1:7" ht="12.75" customHeight="1" x14ac:dyDescent="0.2">
      <c r="B126" s="60" t="s">
        <v>143</v>
      </c>
      <c r="C126" s="61" t="s">
        <v>144</v>
      </c>
      <c r="D126" s="61" t="s">
        <v>145</v>
      </c>
    </row>
    <row r="127" spans="1:7" ht="12.75" x14ac:dyDescent="0.2">
      <c r="B127" s="43" t="s">
        <v>146</v>
      </c>
      <c r="C127" s="44">
        <v>10.184799999999999</v>
      </c>
      <c r="D127" s="44">
        <v>10.735099999999999</v>
      </c>
    </row>
    <row r="128" spans="1:7" ht="12.75" x14ac:dyDescent="0.2">
      <c r="B128" s="43" t="s">
        <v>147</v>
      </c>
      <c r="C128" s="44">
        <v>10.184799999999999</v>
      </c>
      <c r="D128" s="44">
        <v>10.735099999999999</v>
      </c>
    </row>
    <row r="129" spans="2:4" ht="12.75" x14ac:dyDescent="0.2">
      <c r="B129" s="43" t="s">
        <v>148</v>
      </c>
      <c r="C129" s="44">
        <v>9.9785000000000004</v>
      </c>
      <c r="D129" s="44">
        <v>10.5107</v>
      </c>
    </row>
    <row r="130" spans="2:4" ht="12.75" x14ac:dyDescent="0.2">
      <c r="B130" s="43" t="s">
        <v>149</v>
      </c>
      <c r="C130" s="44">
        <v>9.9785000000000004</v>
      </c>
      <c r="D130" s="44">
        <v>10.5107</v>
      </c>
    </row>
    <row r="132" spans="2:4" ht="12.75" x14ac:dyDescent="0.2">
      <c r="B132" s="62" t="s">
        <v>150</v>
      </c>
      <c r="C132" s="45"/>
      <c r="D132" s="63" t="s">
        <v>138</v>
      </c>
    </row>
    <row r="133" spans="2:4" ht="24.75" customHeight="1" x14ac:dyDescent="0.2">
      <c r="B133" s="64"/>
      <c r="C133" s="64"/>
    </row>
    <row r="134" spans="2:4" ht="15" x14ac:dyDescent="0.25">
      <c r="B134" s="66"/>
      <c r="C134" s="68"/>
      <c r="D134"/>
    </row>
    <row r="136" spans="2:4" ht="12.75" x14ac:dyDescent="0.2">
      <c r="B136" s="42" t="s">
        <v>151</v>
      </c>
      <c r="C136" s="41"/>
      <c r="D136" s="67" t="s">
        <v>138</v>
      </c>
    </row>
    <row r="137" spans="2:4" ht="12.75" x14ac:dyDescent="0.2">
      <c r="B137" s="42" t="s">
        <v>152</v>
      </c>
      <c r="C137" s="41"/>
      <c r="D137" s="67" t="s">
        <v>138</v>
      </c>
    </row>
    <row r="138" spans="2:4" ht="12.75" x14ac:dyDescent="0.2">
      <c r="B138" s="42" t="s">
        <v>153</v>
      </c>
      <c r="C138" s="41"/>
      <c r="D138" s="46">
        <v>0.35528430774718983</v>
      </c>
    </row>
    <row r="139" spans="2:4" ht="12.75" x14ac:dyDescent="0.2">
      <c r="B139" s="42" t="s">
        <v>154</v>
      </c>
      <c r="C139" s="41"/>
      <c r="D139" s="46" t="s">
        <v>138</v>
      </c>
    </row>
  </sheetData>
  <mergeCells count="5">
    <mergeCell ref="A1:G1"/>
    <mergeCell ref="A2:G2"/>
    <mergeCell ref="A3:G3"/>
    <mergeCell ref="B118:F118"/>
    <mergeCell ref="B119:F119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3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543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17</v>
      </c>
      <c r="C7" s="11" t="s">
        <v>18</v>
      </c>
      <c r="D7" s="2" t="s">
        <v>19</v>
      </c>
      <c r="E7" s="47">
        <v>21928</v>
      </c>
      <c r="F7" s="53">
        <v>172.09094400000001</v>
      </c>
      <c r="G7" s="5">
        <v>4.4531600999999997E-2</v>
      </c>
    </row>
    <row r="8" spans="1:7" ht="12.75" x14ac:dyDescent="0.2">
      <c r="A8" s="6">
        <v>2</v>
      </c>
      <c r="B8" s="7" t="s">
        <v>299</v>
      </c>
      <c r="C8" s="11" t="s">
        <v>300</v>
      </c>
      <c r="D8" s="2" t="s">
        <v>223</v>
      </c>
      <c r="E8" s="47">
        <v>28769</v>
      </c>
      <c r="F8" s="53">
        <v>155.82728850000001</v>
      </c>
      <c r="G8" s="5">
        <v>4.0323089999999999E-2</v>
      </c>
    </row>
    <row r="9" spans="1:7" ht="25.5" x14ac:dyDescent="0.2">
      <c r="A9" s="6">
        <v>3</v>
      </c>
      <c r="B9" s="7" t="s">
        <v>444</v>
      </c>
      <c r="C9" s="11" t="s">
        <v>445</v>
      </c>
      <c r="D9" s="2" t="s">
        <v>27</v>
      </c>
      <c r="E9" s="47">
        <v>8998</v>
      </c>
      <c r="F9" s="53">
        <v>149.01587799999999</v>
      </c>
      <c r="G9" s="5">
        <v>3.8560516000000003E-2</v>
      </c>
    </row>
    <row r="10" spans="1:7" ht="12.75" x14ac:dyDescent="0.2">
      <c r="A10" s="6">
        <v>4</v>
      </c>
      <c r="B10" s="7" t="s">
        <v>420</v>
      </c>
      <c r="C10" s="11" t="s">
        <v>421</v>
      </c>
      <c r="D10" s="2" t="s">
        <v>72</v>
      </c>
      <c r="E10" s="47">
        <v>3447</v>
      </c>
      <c r="F10" s="53">
        <v>138.82964849999999</v>
      </c>
      <c r="G10" s="5">
        <v>3.5924648000000003E-2</v>
      </c>
    </row>
    <row r="11" spans="1:7" ht="25.5" x14ac:dyDescent="0.2">
      <c r="A11" s="6">
        <v>5</v>
      </c>
      <c r="B11" s="7" t="s">
        <v>402</v>
      </c>
      <c r="C11" s="11" t="s">
        <v>403</v>
      </c>
      <c r="D11" s="2" t="s">
        <v>30</v>
      </c>
      <c r="E11" s="47">
        <v>8653</v>
      </c>
      <c r="F11" s="53">
        <v>138.52587700000001</v>
      </c>
      <c r="G11" s="5">
        <v>3.5846042000000002E-2</v>
      </c>
    </row>
    <row r="12" spans="1:7" ht="25.5" x14ac:dyDescent="0.2">
      <c r="A12" s="6">
        <v>6</v>
      </c>
      <c r="B12" s="7" t="s">
        <v>70</v>
      </c>
      <c r="C12" s="11" t="s">
        <v>71</v>
      </c>
      <c r="D12" s="2" t="s">
        <v>72</v>
      </c>
      <c r="E12" s="47">
        <v>10308</v>
      </c>
      <c r="F12" s="53">
        <v>138.41582399999999</v>
      </c>
      <c r="G12" s="5">
        <v>3.5817562999999997E-2</v>
      </c>
    </row>
    <row r="13" spans="1:7" ht="25.5" x14ac:dyDescent="0.2">
      <c r="A13" s="6">
        <v>7</v>
      </c>
      <c r="B13" s="7" t="s">
        <v>34</v>
      </c>
      <c r="C13" s="11" t="s">
        <v>35</v>
      </c>
      <c r="D13" s="2" t="s">
        <v>27</v>
      </c>
      <c r="E13" s="47">
        <v>12255</v>
      </c>
      <c r="F13" s="53">
        <v>138.34056749999999</v>
      </c>
      <c r="G13" s="5">
        <v>3.5798088999999998E-2</v>
      </c>
    </row>
    <row r="14" spans="1:7" ht="12.75" x14ac:dyDescent="0.2">
      <c r="A14" s="6">
        <v>8</v>
      </c>
      <c r="B14" s="7" t="s">
        <v>535</v>
      </c>
      <c r="C14" s="11" t="s">
        <v>536</v>
      </c>
      <c r="D14" s="2" t="s">
        <v>72</v>
      </c>
      <c r="E14" s="47">
        <v>1597</v>
      </c>
      <c r="F14" s="53">
        <v>129.90556950000001</v>
      </c>
      <c r="G14" s="5">
        <v>3.3615382999999999E-2</v>
      </c>
    </row>
    <row r="15" spans="1:7" ht="25.5" x14ac:dyDescent="0.2">
      <c r="A15" s="6">
        <v>9</v>
      </c>
      <c r="B15" s="7" t="s">
        <v>404</v>
      </c>
      <c r="C15" s="11" t="s">
        <v>405</v>
      </c>
      <c r="D15" s="2" t="s">
        <v>72</v>
      </c>
      <c r="E15" s="47">
        <v>12848</v>
      </c>
      <c r="F15" s="53">
        <v>127.38791999999999</v>
      </c>
      <c r="G15" s="5">
        <v>3.2963896999999999E-2</v>
      </c>
    </row>
    <row r="16" spans="1:7" ht="25.5" x14ac:dyDescent="0.2">
      <c r="A16" s="6">
        <v>10</v>
      </c>
      <c r="B16" s="7" t="s">
        <v>301</v>
      </c>
      <c r="C16" s="11" t="s">
        <v>302</v>
      </c>
      <c r="D16" s="2" t="s">
        <v>183</v>
      </c>
      <c r="E16" s="47">
        <v>8330</v>
      </c>
      <c r="F16" s="53">
        <v>123.68384</v>
      </c>
      <c r="G16" s="5">
        <v>3.2005400000000003E-2</v>
      </c>
    </row>
    <row r="17" spans="1:7" ht="25.5" x14ac:dyDescent="0.2">
      <c r="A17" s="6">
        <v>11</v>
      </c>
      <c r="B17" s="7" t="s">
        <v>303</v>
      </c>
      <c r="C17" s="11" t="s">
        <v>304</v>
      </c>
      <c r="D17" s="2" t="s">
        <v>47</v>
      </c>
      <c r="E17" s="47">
        <v>5264</v>
      </c>
      <c r="F17" s="53">
        <v>115.51584800000001</v>
      </c>
      <c r="G17" s="5">
        <v>2.9891786E-2</v>
      </c>
    </row>
    <row r="18" spans="1:7" ht="25.5" x14ac:dyDescent="0.2">
      <c r="A18" s="6">
        <v>12</v>
      </c>
      <c r="B18" s="7" t="s">
        <v>322</v>
      </c>
      <c r="C18" s="11" t="s">
        <v>323</v>
      </c>
      <c r="D18" s="2" t="s">
        <v>72</v>
      </c>
      <c r="E18" s="47">
        <v>37460</v>
      </c>
      <c r="F18" s="53">
        <v>114.253</v>
      </c>
      <c r="G18" s="5">
        <v>2.9565002E-2</v>
      </c>
    </row>
    <row r="19" spans="1:7" ht="12.75" x14ac:dyDescent="0.2">
      <c r="A19" s="6">
        <v>13</v>
      </c>
      <c r="B19" s="7" t="s">
        <v>320</v>
      </c>
      <c r="C19" s="11" t="s">
        <v>321</v>
      </c>
      <c r="D19" s="2" t="s">
        <v>16</v>
      </c>
      <c r="E19" s="47">
        <v>52762</v>
      </c>
      <c r="F19" s="53">
        <v>111.802678</v>
      </c>
      <c r="G19" s="5">
        <v>2.8930937E-2</v>
      </c>
    </row>
    <row r="20" spans="1:7" ht="12.75" x14ac:dyDescent="0.2">
      <c r="A20" s="6">
        <v>14</v>
      </c>
      <c r="B20" s="7" t="s">
        <v>305</v>
      </c>
      <c r="C20" s="11" t="s">
        <v>306</v>
      </c>
      <c r="D20" s="2" t="s">
        <v>307</v>
      </c>
      <c r="E20" s="47">
        <v>26254</v>
      </c>
      <c r="F20" s="53">
        <v>102.79753700000001</v>
      </c>
      <c r="G20" s="5">
        <v>2.6600696E-2</v>
      </c>
    </row>
    <row r="21" spans="1:7" ht="25.5" x14ac:dyDescent="0.2">
      <c r="A21" s="6">
        <v>15</v>
      </c>
      <c r="B21" s="7" t="s">
        <v>314</v>
      </c>
      <c r="C21" s="11" t="s">
        <v>315</v>
      </c>
      <c r="D21" s="2" t="s">
        <v>30</v>
      </c>
      <c r="E21" s="47">
        <v>32115</v>
      </c>
      <c r="F21" s="53">
        <v>101.80455000000001</v>
      </c>
      <c r="G21" s="5">
        <v>2.6343742999999999E-2</v>
      </c>
    </row>
    <row r="22" spans="1:7" ht="25.5" x14ac:dyDescent="0.2">
      <c r="A22" s="6">
        <v>16</v>
      </c>
      <c r="B22" s="7" t="s">
        <v>406</v>
      </c>
      <c r="C22" s="11" t="s">
        <v>407</v>
      </c>
      <c r="D22" s="2" t="s">
        <v>47</v>
      </c>
      <c r="E22" s="47">
        <v>40249</v>
      </c>
      <c r="F22" s="53">
        <v>100.179761</v>
      </c>
      <c r="G22" s="5">
        <v>2.59233E-2</v>
      </c>
    </row>
    <row r="23" spans="1:7" ht="25.5" x14ac:dyDescent="0.2">
      <c r="A23" s="6">
        <v>17</v>
      </c>
      <c r="B23" s="7" t="s">
        <v>164</v>
      </c>
      <c r="C23" s="11" t="s">
        <v>165</v>
      </c>
      <c r="D23" s="2" t="s">
        <v>47</v>
      </c>
      <c r="E23" s="47">
        <v>32121</v>
      </c>
      <c r="F23" s="53">
        <v>80.238258000000002</v>
      </c>
      <c r="G23" s="5">
        <v>2.076308E-2</v>
      </c>
    </row>
    <row r="24" spans="1:7" ht="25.5" x14ac:dyDescent="0.2">
      <c r="A24" s="6">
        <v>18</v>
      </c>
      <c r="B24" s="7" t="s">
        <v>424</v>
      </c>
      <c r="C24" s="11" t="s">
        <v>425</v>
      </c>
      <c r="D24" s="2" t="s">
        <v>30</v>
      </c>
      <c r="E24" s="47">
        <v>3631</v>
      </c>
      <c r="F24" s="53">
        <v>78.9869585</v>
      </c>
      <c r="G24" s="5">
        <v>2.0439283999999999E-2</v>
      </c>
    </row>
    <row r="25" spans="1:7" ht="25.5" x14ac:dyDescent="0.2">
      <c r="A25" s="6">
        <v>19</v>
      </c>
      <c r="B25" s="7" t="s">
        <v>537</v>
      </c>
      <c r="C25" s="11" t="s">
        <v>538</v>
      </c>
      <c r="D25" s="2" t="s">
        <v>13</v>
      </c>
      <c r="E25" s="47">
        <v>372197</v>
      </c>
      <c r="F25" s="53">
        <v>77.230877500000005</v>
      </c>
      <c r="G25" s="5">
        <v>1.9984867E-2</v>
      </c>
    </row>
    <row r="26" spans="1:7" ht="25.5" x14ac:dyDescent="0.2">
      <c r="A26" s="6">
        <v>20</v>
      </c>
      <c r="B26" s="7" t="s">
        <v>334</v>
      </c>
      <c r="C26" s="11" t="s">
        <v>335</v>
      </c>
      <c r="D26" s="2" t="s">
        <v>30</v>
      </c>
      <c r="E26" s="47">
        <v>23024</v>
      </c>
      <c r="F26" s="53">
        <v>75.323015999999996</v>
      </c>
      <c r="G26" s="5">
        <v>1.9491174E-2</v>
      </c>
    </row>
    <row r="27" spans="1:7" ht="25.5" x14ac:dyDescent="0.2">
      <c r="A27" s="6">
        <v>21</v>
      </c>
      <c r="B27" s="7" t="s">
        <v>310</v>
      </c>
      <c r="C27" s="11" t="s">
        <v>311</v>
      </c>
      <c r="D27" s="2" t="s">
        <v>223</v>
      </c>
      <c r="E27" s="47">
        <v>35123</v>
      </c>
      <c r="F27" s="53">
        <v>74.531006000000005</v>
      </c>
      <c r="G27" s="5">
        <v>1.9286227E-2</v>
      </c>
    </row>
    <row r="28" spans="1:7" ht="25.5" x14ac:dyDescent="0.2">
      <c r="A28" s="6">
        <v>22</v>
      </c>
      <c r="B28" s="7" t="s">
        <v>368</v>
      </c>
      <c r="C28" s="11" t="s">
        <v>369</v>
      </c>
      <c r="D28" s="2" t="s">
        <v>356</v>
      </c>
      <c r="E28" s="47">
        <v>323</v>
      </c>
      <c r="F28" s="53">
        <v>72.636886000000004</v>
      </c>
      <c r="G28" s="5">
        <v>1.8796090000000001E-2</v>
      </c>
    </row>
    <row r="29" spans="1:7" ht="51" x14ac:dyDescent="0.2">
      <c r="A29" s="6">
        <v>23</v>
      </c>
      <c r="B29" s="7" t="s">
        <v>328</v>
      </c>
      <c r="C29" s="11" t="s">
        <v>329</v>
      </c>
      <c r="D29" s="2" t="s">
        <v>208</v>
      </c>
      <c r="E29" s="47">
        <v>43143</v>
      </c>
      <c r="F29" s="53">
        <v>72.286096499999999</v>
      </c>
      <c r="G29" s="5">
        <v>1.8705316999999999E-2</v>
      </c>
    </row>
    <row r="30" spans="1:7" ht="25.5" x14ac:dyDescent="0.2">
      <c r="A30" s="6">
        <v>24</v>
      </c>
      <c r="B30" s="7" t="s">
        <v>11</v>
      </c>
      <c r="C30" s="11" t="s">
        <v>12</v>
      </c>
      <c r="D30" s="2" t="s">
        <v>13</v>
      </c>
      <c r="E30" s="47">
        <v>4890</v>
      </c>
      <c r="F30" s="53">
        <v>72.032145</v>
      </c>
      <c r="G30" s="5">
        <v>1.8639602000000002E-2</v>
      </c>
    </row>
    <row r="31" spans="1:7" ht="12.75" x14ac:dyDescent="0.2">
      <c r="A31" s="6">
        <v>25</v>
      </c>
      <c r="B31" s="7" t="s">
        <v>342</v>
      </c>
      <c r="C31" s="11" t="s">
        <v>343</v>
      </c>
      <c r="D31" s="2" t="s">
        <v>72</v>
      </c>
      <c r="E31" s="47">
        <v>17003</v>
      </c>
      <c r="F31" s="53">
        <v>70.120372000000003</v>
      </c>
      <c r="G31" s="5">
        <v>1.8144897E-2</v>
      </c>
    </row>
    <row r="32" spans="1:7" ht="25.5" x14ac:dyDescent="0.2">
      <c r="A32" s="6">
        <v>26</v>
      </c>
      <c r="B32" s="7" t="s">
        <v>318</v>
      </c>
      <c r="C32" s="11" t="s">
        <v>319</v>
      </c>
      <c r="D32" s="2" t="s">
        <v>30</v>
      </c>
      <c r="E32" s="47">
        <v>10977</v>
      </c>
      <c r="F32" s="53">
        <v>68.073865499999997</v>
      </c>
      <c r="G32" s="5">
        <v>1.7615327E-2</v>
      </c>
    </row>
    <row r="33" spans="1:7" ht="12.75" x14ac:dyDescent="0.2">
      <c r="A33" s="6">
        <v>27</v>
      </c>
      <c r="B33" s="7" t="s">
        <v>338</v>
      </c>
      <c r="C33" s="11" t="s">
        <v>339</v>
      </c>
      <c r="D33" s="2" t="s">
        <v>72</v>
      </c>
      <c r="E33" s="47">
        <v>20406</v>
      </c>
      <c r="F33" s="53">
        <v>66.146049000000005</v>
      </c>
      <c r="G33" s="5">
        <v>1.7116470000000002E-2</v>
      </c>
    </row>
    <row r="34" spans="1:7" ht="12.75" x14ac:dyDescent="0.2">
      <c r="A34" s="6">
        <v>28</v>
      </c>
      <c r="B34" s="7" t="s">
        <v>346</v>
      </c>
      <c r="C34" s="11" t="s">
        <v>347</v>
      </c>
      <c r="D34" s="2" t="s">
        <v>72</v>
      </c>
      <c r="E34" s="47">
        <v>15600</v>
      </c>
      <c r="F34" s="53">
        <v>63.359400000000001</v>
      </c>
      <c r="G34" s="5">
        <v>1.6395375E-2</v>
      </c>
    </row>
    <row r="35" spans="1:7" ht="25.5" x14ac:dyDescent="0.2">
      <c r="A35" s="6">
        <v>29</v>
      </c>
      <c r="B35" s="7" t="s">
        <v>485</v>
      </c>
      <c r="C35" s="11" t="s">
        <v>486</v>
      </c>
      <c r="D35" s="2" t="s">
        <v>33</v>
      </c>
      <c r="E35" s="47">
        <v>39424</v>
      </c>
      <c r="F35" s="53">
        <v>59.983615999999998</v>
      </c>
      <c r="G35" s="5">
        <v>1.5521831E-2</v>
      </c>
    </row>
    <row r="36" spans="1:7" ht="12.75" x14ac:dyDescent="0.2">
      <c r="A36" s="6">
        <v>30</v>
      </c>
      <c r="B36" s="7" t="s">
        <v>340</v>
      </c>
      <c r="C36" s="11" t="s">
        <v>341</v>
      </c>
      <c r="D36" s="2" t="s">
        <v>242</v>
      </c>
      <c r="E36" s="47">
        <v>3931</v>
      </c>
      <c r="F36" s="53">
        <v>59.108481500000003</v>
      </c>
      <c r="G36" s="5">
        <v>1.5295374E-2</v>
      </c>
    </row>
    <row r="37" spans="1:7" ht="25.5" x14ac:dyDescent="0.2">
      <c r="A37" s="6">
        <v>31</v>
      </c>
      <c r="B37" s="7" t="s">
        <v>364</v>
      </c>
      <c r="C37" s="11" t="s">
        <v>365</v>
      </c>
      <c r="D37" s="2" t="s">
        <v>72</v>
      </c>
      <c r="E37" s="47">
        <v>16647</v>
      </c>
      <c r="F37" s="53">
        <v>58.763910000000003</v>
      </c>
      <c r="G37" s="5">
        <v>1.520621E-2</v>
      </c>
    </row>
    <row r="38" spans="1:7" ht="12.75" x14ac:dyDescent="0.2">
      <c r="A38" s="6">
        <v>32</v>
      </c>
      <c r="B38" s="7" t="s">
        <v>539</v>
      </c>
      <c r="C38" s="11" t="s">
        <v>540</v>
      </c>
      <c r="D38" s="2" t="s">
        <v>72</v>
      </c>
      <c r="E38" s="47">
        <v>60715</v>
      </c>
      <c r="F38" s="53">
        <v>58.04354</v>
      </c>
      <c r="G38" s="5">
        <v>1.5019800999999999E-2</v>
      </c>
    </row>
    <row r="39" spans="1:7" ht="12.75" x14ac:dyDescent="0.2">
      <c r="A39" s="6">
        <v>33</v>
      </c>
      <c r="B39" s="7" t="s">
        <v>336</v>
      </c>
      <c r="C39" s="11" t="s">
        <v>337</v>
      </c>
      <c r="D39" s="2" t="s">
        <v>197</v>
      </c>
      <c r="E39" s="47">
        <v>11002</v>
      </c>
      <c r="F39" s="53">
        <v>57.078375999999999</v>
      </c>
      <c r="G39" s="5">
        <v>1.4770047999999999E-2</v>
      </c>
    </row>
    <row r="40" spans="1:7" ht="12.75" x14ac:dyDescent="0.2">
      <c r="A40" s="6">
        <v>34</v>
      </c>
      <c r="B40" s="7" t="s">
        <v>51</v>
      </c>
      <c r="C40" s="11" t="s">
        <v>52</v>
      </c>
      <c r="D40" s="2" t="s">
        <v>19</v>
      </c>
      <c r="E40" s="47">
        <v>4830</v>
      </c>
      <c r="F40" s="53">
        <v>53.953515000000003</v>
      </c>
      <c r="G40" s="5">
        <v>1.3961434E-2</v>
      </c>
    </row>
    <row r="41" spans="1:7" ht="12.75" x14ac:dyDescent="0.2">
      <c r="A41" s="6">
        <v>35</v>
      </c>
      <c r="B41" s="7" t="s">
        <v>326</v>
      </c>
      <c r="C41" s="11" t="s">
        <v>327</v>
      </c>
      <c r="D41" s="2" t="s">
        <v>168</v>
      </c>
      <c r="E41" s="47">
        <v>859</v>
      </c>
      <c r="F41" s="53">
        <v>53.304815499999997</v>
      </c>
      <c r="G41" s="5">
        <v>1.3793572E-2</v>
      </c>
    </row>
    <row r="42" spans="1:7" ht="12.75" x14ac:dyDescent="0.2">
      <c r="A42" s="6">
        <v>36</v>
      </c>
      <c r="B42" s="7" t="s">
        <v>316</v>
      </c>
      <c r="C42" s="11" t="s">
        <v>317</v>
      </c>
      <c r="D42" s="2" t="s">
        <v>16</v>
      </c>
      <c r="E42" s="47">
        <v>56603</v>
      </c>
      <c r="F42" s="53">
        <v>47.433314000000003</v>
      </c>
      <c r="G42" s="5">
        <v>1.2274215999999999E-2</v>
      </c>
    </row>
    <row r="43" spans="1:7" ht="12.75" x14ac:dyDescent="0.2">
      <c r="A43" s="6">
        <v>37</v>
      </c>
      <c r="B43" s="7" t="s">
        <v>276</v>
      </c>
      <c r="C43" s="11" t="s">
        <v>277</v>
      </c>
      <c r="D43" s="2" t="s">
        <v>72</v>
      </c>
      <c r="E43" s="47">
        <v>60000</v>
      </c>
      <c r="F43" s="53">
        <v>46.8</v>
      </c>
      <c r="G43" s="5">
        <v>1.2110335E-2</v>
      </c>
    </row>
    <row r="44" spans="1:7" ht="12.75" x14ac:dyDescent="0.2">
      <c r="A44" s="6">
        <v>38</v>
      </c>
      <c r="B44" s="7" t="s">
        <v>519</v>
      </c>
      <c r="C44" s="11" t="s">
        <v>520</v>
      </c>
      <c r="D44" s="2" t="s">
        <v>281</v>
      </c>
      <c r="E44" s="47">
        <v>4983</v>
      </c>
      <c r="F44" s="53">
        <v>45.033862499999998</v>
      </c>
      <c r="G44" s="5">
        <v>1.1653314999999999E-2</v>
      </c>
    </row>
    <row r="45" spans="1:7" ht="12.75" x14ac:dyDescent="0.2">
      <c r="A45" s="6">
        <v>39</v>
      </c>
      <c r="B45" s="7" t="s">
        <v>359</v>
      </c>
      <c r="C45" s="11" t="s">
        <v>360</v>
      </c>
      <c r="D45" s="2" t="s">
        <v>361</v>
      </c>
      <c r="E45" s="47">
        <v>9104</v>
      </c>
      <c r="F45" s="53">
        <v>43.280416000000002</v>
      </c>
      <c r="G45" s="5">
        <v>1.1199580000000001E-2</v>
      </c>
    </row>
    <row r="46" spans="1:7" ht="12.75" x14ac:dyDescent="0.2">
      <c r="A46" s="6">
        <v>40</v>
      </c>
      <c r="B46" s="7" t="s">
        <v>527</v>
      </c>
      <c r="C46" s="11" t="s">
        <v>528</v>
      </c>
      <c r="D46" s="2" t="s">
        <v>16</v>
      </c>
      <c r="E46" s="47">
        <v>42702</v>
      </c>
      <c r="F46" s="53">
        <v>41.506343999999999</v>
      </c>
      <c r="G46" s="5">
        <v>1.0740507E-2</v>
      </c>
    </row>
    <row r="47" spans="1:7" ht="12.75" x14ac:dyDescent="0.2">
      <c r="A47" s="6">
        <v>41</v>
      </c>
      <c r="B47" s="7" t="s">
        <v>308</v>
      </c>
      <c r="C47" s="11" t="s">
        <v>309</v>
      </c>
      <c r="D47" s="2" t="s">
        <v>168</v>
      </c>
      <c r="E47" s="47">
        <v>1901</v>
      </c>
      <c r="F47" s="53">
        <v>39.835455000000003</v>
      </c>
      <c r="G47" s="5">
        <v>1.0308135E-2</v>
      </c>
    </row>
    <row r="48" spans="1:7" ht="25.5" x14ac:dyDescent="0.2">
      <c r="A48" s="6">
        <v>42</v>
      </c>
      <c r="B48" s="7" t="s">
        <v>31</v>
      </c>
      <c r="C48" s="11" t="s">
        <v>32</v>
      </c>
      <c r="D48" s="2" t="s">
        <v>33</v>
      </c>
      <c r="E48" s="47">
        <v>2588</v>
      </c>
      <c r="F48" s="53">
        <v>37.897378000000003</v>
      </c>
      <c r="G48" s="5">
        <v>9.8066230000000004E-3</v>
      </c>
    </row>
    <row r="49" spans="1:7" ht="12.75" x14ac:dyDescent="0.2">
      <c r="A49" s="6">
        <v>43</v>
      </c>
      <c r="B49" s="7" t="s">
        <v>508</v>
      </c>
      <c r="C49" s="11" t="s">
        <v>509</v>
      </c>
      <c r="D49" s="2" t="s">
        <v>168</v>
      </c>
      <c r="E49" s="47">
        <v>30543</v>
      </c>
      <c r="F49" s="53">
        <v>37.552618500000001</v>
      </c>
      <c r="G49" s="5">
        <v>9.7174099999999992E-3</v>
      </c>
    </row>
    <row r="50" spans="1:7" ht="25.5" x14ac:dyDescent="0.2">
      <c r="A50" s="6">
        <v>44</v>
      </c>
      <c r="B50" s="7" t="s">
        <v>312</v>
      </c>
      <c r="C50" s="11" t="s">
        <v>313</v>
      </c>
      <c r="D50" s="2" t="s">
        <v>22</v>
      </c>
      <c r="E50" s="47">
        <v>849</v>
      </c>
      <c r="F50" s="53">
        <v>36.495538500000002</v>
      </c>
      <c r="G50" s="5">
        <v>9.4438720000000007E-3</v>
      </c>
    </row>
    <row r="51" spans="1:7" ht="12.75" x14ac:dyDescent="0.2">
      <c r="A51" s="6">
        <v>45</v>
      </c>
      <c r="B51" s="7" t="s">
        <v>377</v>
      </c>
      <c r="C51" s="11" t="s">
        <v>378</v>
      </c>
      <c r="D51" s="2" t="s">
        <v>40</v>
      </c>
      <c r="E51" s="47">
        <v>52451</v>
      </c>
      <c r="F51" s="53">
        <v>31.103442999999999</v>
      </c>
      <c r="G51" s="5">
        <v>8.0485709999999992E-3</v>
      </c>
    </row>
    <row r="52" spans="1:7" ht="12.75" x14ac:dyDescent="0.2">
      <c r="A52" s="6">
        <v>46</v>
      </c>
      <c r="B52" s="7" t="s">
        <v>389</v>
      </c>
      <c r="C52" s="11" t="s">
        <v>390</v>
      </c>
      <c r="D52" s="2" t="s">
        <v>16</v>
      </c>
      <c r="E52" s="47">
        <v>32427</v>
      </c>
      <c r="F52" s="53">
        <v>17.786209499999998</v>
      </c>
      <c r="G52" s="5">
        <v>4.6024990000000003E-3</v>
      </c>
    </row>
    <row r="53" spans="1:7" ht="12.75" x14ac:dyDescent="0.2">
      <c r="A53" s="1"/>
      <c r="B53" s="2"/>
      <c r="C53" s="8" t="s">
        <v>108</v>
      </c>
      <c r="D53" s="12"/>
      <c r="E53" s="49"/>
      <c r="F53" s="55">
        <v>3754.302494</v>
      </c>
      <c r="G53" s="13">
        <v>0.9714927360000003</v>
      </c>
    </row>
    <row r="54" spans="1:7" ht="12.75" x14ac:dyDescent="0.2">
      <c r="A54" s="6"/>
      <c r="B54" s="7"/>
      <c r="C54" s="14"/>
      <c r="D54" s="15"/>
      <c r="E54" s="47"/>
      <c r="F54" s="53"/>
      <c r="G54" s="5"/>
    </row>
    <row r="55" spans="1:7" ht="12.75" x14ac:dyDescent="0.2">
      <c r="A55" s="1"/>
      <c r="B55" s="2"/>
      <c r="C55" s="8" t="s">
        <v>109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6"/>
      <c r="B57" s="7"/>
      <c r="C57" s="14"/>
      <c r="D57" s="15"/>
      <c r="E57" s="47"/>
      <c r="F57" s="53"/>
      <c r="G57" s="5"/>
    </row>
    <row r="58" spans="1:7" ht="12.75" x14ac:dyDescent="0.2">
      <c r="A58" s="16"/>
      <c r="B58" s="17"/>
      <c r="C58" s="8" t="s">
        <v>110</v>
      </c>
      <c r="D58" s="9"/>
      <c r="E58" s="48"/>
      <c r="F58" s="54"/>
      <c r="G58" s="10"/>
    </row>
    <row r="59" spans="1:7" ht="12.75" x14ac:dyDescent="0.2">
      <c r="A59" s="18"/>
      <c r="B59" s="19"/>
      <c r="C59" s="8" t="s">
        <v>108</v>
      </c>
      <c r="D59" s="20"/>
      <c r="E59" s="50"/>
      <c r="F59" s="56">
        <v>0</v>
      </c>
      <c r="G59" s="21">
        <v>0</v>
      </c>
    </row>
    <row r="60" spans="1:7" ht="12.75" x14ac:dyDescent="0.2">
      <c r="A60" s="18"/>
      <c r="B60" s="19"/>
      <c r="C60" s="14"/>
      <c r="D60" s="22"/>
      <c r="E60" s="51"/>
      <c r="F60" s="57"/>
      <c r="G60" s="23"/>
    </row>
    <row r="61" spans="1:7" ht="12.75" x14ac:dyDescent="0.2">
      <c r="A61" s="1"/>
      <c r="B61" s="2"/>
      <c r="C61" s="8" t="s">
        <v>113</v>
      </c>
      <c r="D61" s="9"/>
      <c r="E61" s="48"/>
      <c r="F61" s="54"/>
      <c r="G61" s="10"/>
    </row>
    <row r="62" spans="1:7" ht="12.75" x14ac:dyDescent="0.2">
      <c r="A62" s="1"/>
      <c r="B62" s="2"/>
      <c r="C62" s="8" t="s">
        <v>108</v>
      </c>
      <c r="D62" s="12"/>
      <c r="E62" s="49"/>
      <c r="F62" s="55">
        <v>0</v>
      </c>
      <c r="G62" s="13">
        <v>0</v>
      </c>
    </row>
    <row r="63" spans="1:7" ht="12.75" x14ac:dyDescent="0.2">
      <c r="A63" s="1"/>
      <c r="B63" s="2"/>
      <c r="C63" s="14"/>
      <c r="D63" s="4"/>
      <c r="E63" s="47"/>
      <c r="F63" s="53"/>
      <c r="G63" s="5"/>
    </row>
    <row r="64" spans="1:7" ht="12.75" x14ac:dyDescent="0.2">
      <c r="A64" s="1"/>
      <c r="B64" s="2"/>
      <c r="C64" s="8" t="s">
        <v>114</v>
      </c>
      <c r="D64" s="9"/>
      <c r="E64" s="48"/>
      <c r="F64" s="54"/>
      <c r="G64" s="10"/>
    </row>
    <row r="65" spans="1:7" ht="12.75" x14ac:dyDescent="0.2">
      <c r="A65" s="1"/>
      <c r="B65" s="2"/>
      <c r="C65" s="8" t="s">
        <v>108</v>
      </c>
      <c r="D65" s="12"/>
      <c r="E65" s="49"/>
      <c r="F65" s="55">
        <v>0</v>
      </c>
      <c r="G65" s="13">
        <v>0</v>
      </c>
    </row>
    <row r="66" spans="1:7" ht="12.75" x14ac:dyDescent="0.2">
      <c r="A66" s="1"/>
      <c r="B66" s="2"/>
      <c r="C66" s="14"/>
      <c r="D66" s="4"/>
      <c r="E66" s="47"/>
      <c r="F66" s="53"/>
      <c r="G66" s="5"/>
    </row>
    <row r="67" spans="1:7" ht="12.75" x14ac:dyDescent="0.2">
      <c r="A67" s="1"/>
      <c r="B67" s="2"/>
      <c r="C67" s="8" t="s">
        <v>115</v>
      </c>
      <c r="D67" s="9"/>
      <c r="E67" s="48"/>
      <c r="F67" s="54"/>
      <c r="G67" s="10"/>
    </row>
    <row r="68" spans="1:7" ht="12.75" x14ac:dyDescent="0.2">
      <c r="A68" s="1"/>
      <c r="B68" s="2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1"/>
      <c r="B69" s="2"/>
      <c r="C69" s="14"/>
      <c r="D69" s="4"/>
      <c r="E69" s="47"/>
      <c r="F69" s="53"/>
      <c r="G69" s="5"/>
    </row>
    <row r="70" spans="1:7" ht="25.5" x14ac:dyDescent="0.2">
      <c r="A70" s="6"/>
      <c r="B70" s="7"/>
      <c r="C70" s="24" t="s">
        <v>116</v>
      </c>
      <c r="D70" s="25"/>
      <c r="E70" s="49"/>
      <c r="F70" s="55">
        <v>3754.302494</v>
      </c>
      <c r="G70" s="13">
        <v>0.9714927360000003</v>
      </c>
    </row>
    <row r="71" spans="1:7" ht="12.75" x14ac:dyDescent="0.2">
      <c r="A71" s="1"/>
      <c r="B71" s="2"/>
      <c r="C71" s="11"/>
      <c r="D71" s="4"/>
      <c r="E71" s="47"/>
      <c r="F71" s="53"/>
      <c r="G71" s="5"/>
    </row>
    <row r="72" spans="1:7" ht="12.75" x14ac:dyDescent="0.2">
      <c r="A72" s="1"/>
      <c r="B72" s="2"/>
      <c r="C72" s="3" t="s">
        <v>117</v>
      </c>
      <c r="D72" s="4"/>
      <c r="E72" s="47"/>
      <c r="F72" s="53"/>
      <c r="G72" s="5"/>
    </row>
    <row r="73" spans="1:7" ht="25.5" x14ac:dyDescent="0.2">
      <c r="A73" s="1"/>
      <c r="B73" s="2"/>
      <c r="C73" s="8" t="s">
        <v>10</v>
      </c>
      <c r="D73" s="9"/>
      <c r="E73" s="48"/>
      <c r="F73" s="54"/>
      <c r="G73" s="10"/>
    </row>
    <row r="74" spans="1:7" ht="12.75" x14ac:dyDescent="0.2">
      <c r="A74" s="6"/>
      <c r="B74" s="7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4"/>
      <c r="D75" s="4"/>
      <c r="E75" s="47"/>
      <c r="F75" s="53"/>
      <c r="G75" s="5"/>
    </row>
    <row r="76" spans="1:7" ht="12.75" x14ac:dyDescent="0.2">
      <c r="A76" s="1"/>
      <c r="B76" s="26"/>
      <c r="C76" s="8" t="s">
        <v>118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12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4"/>
      <c r="E78" s="47"/>
      <c r="F78" s="59"/>
      <c r="G78" s="28"/>
    </row>
    <row r="79" spans="1:7" ht="12.75" x14ac:dyDescent="0.2">
      <c r="A79" s="1"/>
      <c r="B79" s="2"/>
      <c r="C79" s="8" t="s">
        <v>119</v>
      </c>
      <c r="D79" s="9"/>
      <c r="E79" s="48"/>
      <c r="F79" s="54"/>
      <c r="G79" s="10"/>
    </row>
    <row r="80" spans="1:7" ht="12.75" x14ac:dyDescent="0.2">
      <c r="A80" s="6"/>
      <c r="B80" s="7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1"/>
      <c r="B81" s="2"/>
      <c r="C81" s="14"/>
      <c r="D81" s="4"/>
      <c r="E81" s="47"/>
      <c r="F81" s="53"/>
      <c r="G81" s="5"/>
    </row>
    <row r="82" spans="1:7" ht="25.5" x14ac:dyDescent="0.2">
      <c r="A82" s="1"/>
      <c r="B82" s="26"/>
      <c r="C82" s="8" t="s">
        <v>120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4"/>
      <c r="E84" s="47"/>
      <c r="F84" s="53"/>
      <c r="G84" s="5"/>
    </row>
    <row r="85" spans="1:7" ht="12.75" x14ac:dyDescent="0.2">
      <c r="A85" s="6"/>
      <c r="B85" s="7"/>
      <c r="C85" s="29" t="s">
        <v>121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1"/>
      <c r="D86" s="4"/>
      <c r="E86" s="47"/>
      <c r="F86" s="53"/>
      <c r="G86" s="5"/>
    </row>
    <row r="87" spans="1:7" ht="12.75" x14ac:dyDescent="0.2">
      <c r="A87" s="1"/>
      <c r="B87" s="2"/>
      <c r="C87" s="3" t="s">
        <v>122</v>
      </c>
      <c r="D87" s="4"/>
      <c r="E87" s="47"/>
      <c r="F87" s="53"/>
      <c r="G87" s="5"/>
    </row>
    <row r="88" spans="1:7" ht="12.75" x14ac:dyDescent="0.2">
      <c r="A88" s="6"/>
      <c r="B88" s="7"/>
      <c r="C88" s="8" t="s">
        <v>123</v>
      </c>
      <c r="D88" s="9"/>
      <c r="E88" s="48"/>
      <c r="F88" s="54"/>
      <c r="G88" s="10"/>
    </row>
    <row r="89" spans="1:7" ht="12.75" x14ac:dyDescent="0.2">
      <c r="A89" s="6"/>
      <c r="B89" s="7"/>
      <c r="C89" s="8" t="s">
        <v>108</v>
      </c>
      <c r="D89" s="25"/>
      <c r="E89" s="49"/>
      <c r="F89" s="55">
        <v>0</v>
      </c>
      <c r="G89" s="13">
        <v>0</v>
      </c>
    </row>
    <row r="90" spans="1:7" ht="12.75" x14ac:dyDescent="0.2">
      <c r="A90" s="6"/>
      <c r="B90" s="7"/>
      <c r="C90" s="14"/>
      <c r="D90" s="7"/>
      <c r="E90" s="47"/>
      <c r="F90" s="53"/>
      <c r="G90" s="5"/>
    </row>
    <row r="91" spans="1:7" ht="12.75" x14ac:dyDescent="0.2">
      <c r="A91" s="6"/>
      <c r="B91" s="7"/>
      <c r="C91" s="8" t="s">
        <v>124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25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7"/>
      <c r="E93" s="47"/>
      <c r="F93" s="53"/>
      <c r="G93" s="5"/>
    </row>
    <row r="94" spans="1:7" ht="12.75" x14ac:dyDescent="0.2">
      <c r="A94" s="6"/>
      <c r="B94" s="7"/>
      <c r="C94" s="8" t="s">
        <v>125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25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7"/>
      <c r="E96" s="47"/>
      <c r="F96" s="53"/>
      <c r="G96" s="5"/>
    </row>
    <row r="97" spans="1:7" ht="12.75" x14ac:dyDescent="0.2">
      <c r="A97" s="6"/>
      <c r="B97" s="7"/>
      <c r="C97" s="8" t="s">
        <v>126</v>
      </c>
      <c r="D97" s="9"/>
      <c r="E97" s="48"/>
      <c r="F97" s="54"/>
      <c r="G97" s="10"/>
    </row>
    <row r="98" spans="1:7" ht="12.75" x14ac:dyDescent="0.2">
      <c r="A98" s="6">
        <v>1</v>
      </c>
      <c r="B98" s="7"/>
      <c r="C98" s="11" t="s">
        <v>812</v>
      </c>
      <c r="D98" s="15"/>
      <c r="E98" s="47"/>
      <c r="F98" s="53">
        <v>109.9855361</v>
      </c>
      <c r="G98" s="5">
        <v>2.8460718999999999E-2</v>
      </c>
    </row>
    <row r="99" spans="1:7" ht="12.75" x14ac:dyDescent="0.2">
      <c r="A99" s="6"/>
      <c r="B99" s="7"/>
      <c r="C99" s="8" t="s">
        <v>108</v>
      </c>
      <c r="D99" s="25"/>
      <c r="E99" s="49"/>
      <c r="F99" s="55">
        <v>109.9855361</v>
      </c>
      <c r="G99" s="13">
        <v>2.8460718999999999E-2</v>
      </c>
    </row>
    <row r="100" spans="1:7" ht="12.75" x14ac:dyDescent="0.2">
      <c r="A100" s="6"/>
      <c r="B100" s="7"/>
      <c r="C100" s="14"/>
      <c r="D100" s="7"/>
      <c r="E100" s="47"/>
      <c r="F100" s="53"/>
      <c r="G100" s="5"/>
    </row>
    <row r="101" spans="1:7" ht="25.5" x14ac:dyDescent="0.2">
      <c r="A101" s="6"/>
      <c r="B101" s="7"/>
      <c r="C101" s="24" t="s">
        <v>127</v>
      </c>
      <c r="D101" s="25"/>
      <c r="E101" s="49"/>
      <c r="F101" s="55">
        <v>109.9855361</v>
      </c>
      <c r="G101" s="13">
        <v>2.8460718999999999E-2</v>
      </c>
    </row>
    <row r="102" spans="1:7" ht="12.75" x14ac:dyDescent="0.2">
      <c r="A102" s="6"/>
      <c r="B102" s="7"/>
      <c r="C102" s="30"/>
      <c r="D102" s="7"/>
      <c r="E102" s="47"/>
      <c r="F102" s="53"/>
      <c r="G102" s="5"/>
    </row>
    <row r="103" spans="1:7" ht="12.75" x14ac:dyDescent="0.2">
      <c r="A103" s="1"/>
      <c r="B103" s="2"/>
      <c r="C103" s="3" t="s">
        <v>128</v>
      </c>
      <c r="D103" s="4"/>
      <c r="E103" s="47"/>
      <c r="F103" s="53"/>
      <c r="G103" s="5"/>
    </row>
    <row r="104" spans="1:7" ht="25.5" x14ac:dyDescent="0.2">
      <c r="A104" s="6"/>
      <c r="B104" s="7"/>
      <c r="C104" s="8" t="s">
        <v>129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1"/>
      <c r="B107" s="2"/>
      <c r="C107" s="3" t="s">
        <v>131</v>
      </c>
      <c r="D107" s="4"/>
      <c r="E107" s="47"/>
      <c r="F107" s="53"/>
      <c r="G107" s="5"/>
    </row>
    <row r="108" spans="1:7" ht="25.5" x14ac:dyDescent="0.2">
      <c r="A108" s="6"/>
      <c r="B108" s="7"/>
      <c r="C108" s="8" t="s">
        <v>132</v>
      </c>
      <c r="D108" s="9"/>
      <c r="E108" s="48"/>
      <c r="F108" s="54"/>
      <c r="G108" s="10"/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0</v>
      </c>
      <c r="G109" s="13">
        <v>0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25.5" x14ac:dyDescent="0.2">
      <c r="A111" s="6"/>
      <c r="B111" s="7"/>
      <c r="C111" s="8" t="s">
        <v>133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9"/>
      <c r="G113" s="28"/>
    </row>
    <row r="114" spans="1:7" ht="25.5" x14ac:dyDescent="0.2">
      <c r="A114" s="6"/>
      <c r="B114" s="7"/>
      <c r="C114" s="30" t="s">
        <v>134</v>
      </c>
      <c r="D114" s="7"/>
      <c r="E114" s="47"/>
      <c r="F114" s="59">
        <v>0.17986563</v>
      </c>
      <c r="G114" s="140" t="s">
        <v>810</v>
      </c>
    </row>
    <row r="115" spans="1:7" ht="12.75" x14ac:dyDescent="0.2">
      <c r="A115" s="6"/>
      <c r="B115" s="7"/>
      <c r="C115" s="31" t="s">
        <v>135</v>
      </c>
      <c r="D115" s="12"/>
      <c r="E115" s="49"/>
      <c r="F115" s="55">
        <v>3864.4678957299998</v>
      </c>
      <c r="G115" s="13">
        <v>0.99999999800000028</v>
      </c>
    </row>
    <row r="117" spans="1:7" ht="12.75" x14ac:dyDescent="0.2">
      <c r="B117" s="179"/>
      <c r="C117" s="179"/>
      <c r="D117" s="179"/>
      <c r="E117" s="179"/>
      <c r="F117" s="179"/>
    </row>
    <row r="118" spans="1:7" ht="12.75" x14ac:dyDescent="0.2">
      <c r="B118" s="179" t="s">
        <v>136</v>
      </c>
      <c r="C118" s="179"/>
      <c r="D118" s="179"/>
      <c r="E118" s="179"/>
      <c r="F118" s="179"/>
    </row>
    <row r="120" spans="1:7" ht="12.75" x14ac:dyDescent="0.2">
      <c r="B120" s="37" t="s">
        <v>137</v>
      </c>
      <c r="C120" s="38"/>
      <c r="D120" s="39"/>
    </row>
    <row r="121" spans="1:7" ht="12.75" x14ac:dyDescent="0.2">
      <c r="B121" s="40" t="s">
        <v>808</v>
      </c>
      <c r="C121" s="41"/>
      <c r="D121" s="65" t="s">
        <v>138</v>
      </c>
    </row>
    <row r="122" spans="1:7" ht="12.75" x14ac:dyDescent="0.2">
      <c r="B122" s="40" t="s">
        <v>139</v>
      </c>
      <c r="C122" s="41"/>
      <c r="D122" s="65" t="s">
        <v>138</v>
      </c>
    </row>
    <row r="123" spans="1:7" ht="12.75" x14ac:dyDescent="0.2">
      <c r="B123" s="42" t="s">
        <v>140</v>
      </c>
      <c r="C123" s="41"/>
      <c r="D123" s="43"/>
    </row>
    <row r="124" spans="1:7" ht="25.5" customHeight="1" x14ac:dyDescent="0.2">
      <c r="B124" s="43"/>
      <c r="C124" s="33" t="s">
        <v>141</v>
      </c>
      <c r="D124" s="34" t="s">
        <v>142</v>
      </c>
    </row>
    <row r="125" spans="1:7" ht="12.75" customHeight="1" x14ac:dyDescent="0.2">
      <c r="B125" s="60" t="s">
        <v>143</v>
      </c>
      <c r="C125" s="61" t="s">
        <v>144</v>
      </c>
      <c r="D125" s="61" t="s">
        <v>145</v>
      </c>
    </row>
    <row r="126" spans="1:7" ht="12.75" x14ac:dyDescent="0.2">
      <c r="B126" s="43" t="s">
        <v>146</v>
      </c>
      <c r="C126" s="44">
        <v>9.9596</v>
      </c>
      <c r="D126" s="44">
        <v>10.4815</v>
      </c>
    </row>
    <row r="127" spans="1:7" ht="12.75" x14ac:dyDescent="0.2">
      <c r="B127" s="43" t="s">
        <v>147</v>
      </c>
      <c r="C127" s="44">
        <v>9.9595000000000002</v>
      </c>
      <c r="D127" s="44">
        <v>10.4815</v>
      </c>
    </row>
    <row r="128" spans="1:7" ht="12.75" x14ac:dyDescent="0.2">
      <c r="B128" s="43" t="s">
        <v>148</v>
      </c>
      <c r="C128" s="44">
        <v>9.7734000000000005</v>
      </c>
      <c r="D128" s="44">
        <v>10.280900000000001</v>
      </c>
    </row>
    <row r="129" spans="2:4" ht="12.75" x14ac:dyDescent="0.2">
      <c r="B129" s="43" t="s">
        <v>149</v>
      </c>
      <c r="C129" s="44">
        <v>9.7734000000000005</v>
      </c>
      <c r="D129" s="44">
        <v>10.280900000000001</v>
      </c>
    </row>
    <row r="131" spans="2:4" ht="12.75" x14ac:dyDescent="0.2">
      <c r="B131" s="62" t="s">
        <v>150</v>
      </c>
      <c r="C131" s="45"/>
      <c r="D131" s="63" t="s">
        <v>138</v>
      </c>
    </row>
    <row r="132" spans="2:4" ht="24.75" customHeight="1" x14ac:dyDescent="0.2">
      <c r="B132" s="64"/>
      <c r="C132" s="64"/>
    </row>
    <row r="133" spans="2:4" ht="15" x14ac:dyDescent="0.25">
      <c r="B133" s="66"/>
      <c r="C133" s="68"/>
      <c r="D133"/>
    </row>
    <row r="135" spans="2:4" ht="12.75" x14ac:dyDescent="0.2">
      <c r="B135" s="42" t="s">
        <v>151</v>
      </c>
      <c r="C135" s="41"/>
      <c r="D135" s="67" t="s">
        <v>138</v>
      </c>
    </row>
    <row r="136" spans="2:4" ht="12.75" x14ac:dyDescent="0.2">
      <c r="B136" s="42" t="s">
        <v>152</v>
      </c>
      <c r="C136" s="41"/>
      <c r="D136" s="67" t="s">
        <v>138</v>
      </c>
    </row>
    <row r="137" spans="2:4" ht="12.75" x14ac:dyDescent="0.2">
      <c r="B137" s="42" t="s">
        <v>153</v>
      </c>
      <c r="C137" s="41"/>
      <c r="D137" s="46">
        <v>0.36180549878405388</v>
      </c>
    </row>
    <row r="138" spans="2:4" ht="12.75" x14ac:dyDescent="0.2">
      <c r="B138" s="42" t="s">
        <v>154</v>
      </c>
      <c r="C138" s="41"/>
      <c r="D138" s="46" t="s">
        <v>138</v>
      </c>
    </row>
  </sheetData>
  <mergeCells count="5">
    <mergeCell ref="A1:G1"/>
    <mergeCell ref="A2:G2"/>
    <mergeCell ref="A3:G3"/>
    <mergeCell ref="B117:F117"/>
    <mergeCell ref="B118:F118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47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544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156</v>
      </c>
      <c r="C7" s="11" t="s">
        <v>157</v>
      </c>
      <c r="D7" s="2" t="s">
        <v>158</v>
      </c>
      <c r="E7" s="47">
        <v>682501</v>
      </c>
      <c r="F7" s="53">
        <v>6125.4464749999997</v>
      </c>
      <c r="G7" s="5">
        <v>5.6287021999999999E-2</v>
      </c>
    </row>
    <row r="8" spans="1:7" ht="12.75" x14ac:dyDescent="0.2">
      <c r="A8" s="6">
        <v>2</v>
      </c>
      <c r="B8" s="7" t="s">
        <v>250</v>
      </c>
      <c r="C8" s="11" t="s">
        <v>251</v>
      </c>
      <c r="D8" s="2" t="s">
        <v>168</v>
      </c>
      <c r="E8" s="47">
        <v>1229002</v>
      </c>
      <c r="F8" s="53">
        <v>4896.3439680000001</v>
      </c>
      <c r="G8" s="5">
        <v>4.4992740000000003E-2</v>
      </c>
    </row>
    <row r="9" spans="1:7" ht="12.75" x14ac:dyDescent="0.2">
      <c r="A9" s="6">
        <v>3</v>
      </c>
      <c r="B9" s="7" t="s">
        <v>51</v>
      </c>
      <c r="C9" s="11" t="s">
        <v>52</v>
      </c>
      <c r="D9" s="2" t="s">
        <v>19</v>
      </c>
      <c r="E9" s="47">
        <v>389214</v>
      </c>
      <c r="F9" s="53">
        <v>4347.7149870000003</v>
      </c>
      <c r="G9" s="5">
        <v>3.9951361999999997E-2</v>
      </c>
    </row>
    <row r="10" spans="1:7" ht="25.5" x14ac:dyDescent="0.2">
      <c r="A10" s="6">
        <v>4</v>
      </c>
      <c r="B10" s="7" t="s">
        <v>20</v>
      </c>
      <c r="C10" s="11" t="s">
        <v>21</v>
      </c>
      <c r="D10" s="2" t="s">
        <v>22</v>
      </c>
      <c r="E10" s="47">
        <v>444000</v>
      </c>
      <c r="F10" s="53">
        <v>3956.04</v>
      </c>
      <c r="G10" s="5">
        <v>3.6352242E-2</v>
      </c>
    </row>
    <row r="11" spans="1:7" ht="12.75" x14ac:dyDescent="0.2">
      <c r="A11" s="6">
        <v>5</v>
      </c>
      <c r="B11" s="7" t="s">
        <v>159</v>
      </c>
      <c r="C11" s="11" t="s">
        <v>160</v>
      </c>
      <c r="D11" s="2" t="s">
        <v>19</v>
      </c>
      <c r="E11" s="47">
        <v>2039127</v>
      </c>
      <c r="F11" s="53">
        <v>3815.2066169999998</v>
      </c>
      <c r="G11" s="5">
        <v>3.5058117E-2</v>
      </c>
    </row>
    <row r="12" spans="1:7" ht="25.5" x14ac:dyDescent="0.2">
      <c r="A12" s="6">
        <v>6</v>
      </c>
      <c r="B12" s="7" t="s">
        <v>186</v>
      </c>
      <c r="C12" s="11" t="s">
        <v>187</v>
      </c>
      <c r="D12" s="2" t="s">
        <v>183</v>
      </c>
      <c r="E12" s="47">
        <v>660815</v>
      </c>
      <c r="F12" s="53">
        <v>3752.1075700000001</v>
      </c>
      <c r="G12" s="5">
        <v>3.4478296999999998E-2</v>
      </c>
    </row>
    <row r="13" spans="1:7" ht="25.5" x14ac:dyDescent="0.2">
      <c r="A13" s="6">
        <v>7</v>
      </c>
      <c r="B13" s="7" t="s">
        <v>161</v>
      </c>
      <c r="C13" s="11" t="s">
        <v>162</v>
      </c>
      <c r="D13" s="2" t="s">
        <v>163</v>
      </c>
      <c r="E13" s="47">
        <v>1001388</v>
      </c>
      <c r="F13" s="53">
        <v>3652.0620359999998</v>
      </c>
      <c r="G13" s="5">
        <v>3.3558973999999998E-2</v>
      </c>
    </row>
    <row r="14" spans="1:7" ht="12.75" x14ac:dyDescent="0.2">
      <c r="A14" s="6">
        <v>8</v>
      </c>
      <c r="B14" s="7" t="s">
        <v>184</v>
      </c>
      <c r="C14" s="11" t="s">
        <v>185</v>
      </c>
      <c r="D14" s="2" t="s">
        <v>16</v>
      </c>
      <c r="E14" s="47">
        <v>1931856</v>
      </c>
      <c r="F14" s="53">
        <v>3480.2385840000002</v>
      </c>
      <c r="G14" s="5">
        <v>3.1980080000000001E-2</v>
      </c>
    </row>
    <row r="15" spans="1:7" ht="25.5" x14ac:dyDescent="0.2">
      <c r="A15" s="6">
        <v>9</v>
      </c>
      <c r="B15" s="7" t="s">
        <v>164</v>
      </c>
      <c r="C15" s="11" t="s">
        <v>165</v>
      </c>
      <c r="D15" s="2" t="s">
        <v>47</v>
      </c>
      <c r="E15" s="47">
        <v>1266733</v>
      </c>
      <c r="F15" s="53">
        <v>3164.2990340000001</v>
      </c>
      <c r="G15" s="5">
        <v>2.9076896000000001E-2</v>
      </c>
    </row>
    <row r="16" spans="1:7" ht="25.5" x14ac:dyDescent="0.2">
      <c r="A16" s="6">
        <v>10</v>
      </c>
      <c r="B16" s="7" t="s">
        <v>188</v>
      </c>
      <c r="C16" s="11" t="s">
        <v>189</v>
      </c>
      <c r="D16" s="2" t="s">
        <v>47</v>
      </c>
      <c r="E16" s="47">
        <v>142407</v>
      </c>
      <c r="F16" s="53">
        <v>3027.0743954999998</v>
      </c>
      <c r="G16" s="5">
        <v>2.7815932000000002E-2</v>
      </c>
    </row>
    <row r="17" spans="1:7" ht="12.75" x14ac:dyDescent="0.2">
      <c r="A17" s="6">
        <v>11</v>
      </c>
      <c r="B17" s="7" t="s">
        <v>545</v>
      </c>
      <c r="C17" s="11" t="s">
        <v>546</v>
      </c>
      <c r="D17" s="2" t="s">
        <v>226</v>
      </c>
      <c r="E17" s="47">
        <v>690000</v>
      </c>
      <c r="F17" s="53">
        <v>2957.34</v>
      </c>
      <c r="G17" s="5">
        <v>2.7175139000000001E-2</v>
      </c>
    </row>
    <row r="18" spans="1:7" ht="12.75" x14ac:dyDescent="0.2">
      <c r="A18" s="6">
        <v>12</v>
      </c>
      <c r="B18" s="7" t="s">
        <v>48</v>
      </c>
      <c r="C18" s="11" t="s">
        <v>49</v>
      </c>
      <c r="D18" s="2" t="s">
        <v>50</v>
      </c>
      <c r="E18" s="47">
        <v>1414323</v>
      </c>
      <c r="F18" s="53">
        <v>2917.0411875</v>
      </c>
      <c r="G18" s="5">
        <v>2.6804832000000001E-2</v>
      </c>
    </row>
    <row r="19" spans="1:7" ht="25.5" x14ac:dyDescent="0.2">
      <c r="A19" s="6">
        <v>13</v>
      </c>
      <c r="B19" s="7" t="s">
        <v>38</v>
      </c>
      <c r="C19" s="11" t="s">
        <v>39</v>
      </c>
      <c r="D19" s="2" t="s">
        <v>40</v>
      </c>
      <c r="E19" s="47">
        <v>670000</v>
      </c>
      <c r="F19" s="53">
        <v>2890.38</v>
      </c>
      <c r="G19" s="5">
        <v>2.6559841000000001E-2</v>
      </c>
    </row>
    <row r="20" spans="1:7" ht="25.5" x14ac:dyDescent="0.2">
      <c r="A20" s="6">
        <v>14</v>
      </c>
      <c r="B20" s="7" t="s">
        <v>83</v>
      </c>
      <c r="C20" s="11" t="s">
        <v>84</v>
      </c>
      <c r="D20" s="2" t="s">
        <v>22</v>
      </c>
      <c r="E20" s="47">
        <v>2550274</v>
      </c>
      <c r="F20" s="53">
        <v>2781.073797</v>
      </c>
      <c r="G20" s="5">
        <v>2.5555420999999998E-2</v>
      </c>
    </row>
    <row r="21" spans="1:7" ht="51" x14ac:dyDescent="0.2">
      <c r="A21" s="6">
        <v>15</v>
      </c>
      <c r="B21" s="7" t="s">
        <v>491</v>
      </c>
      <c r="C21" s="11" t="s">
        <v>492</v>
      </c>
      <c r="D21" s="2" t="s">
        <v>208</v>
      </c>
      <c r="E21" s="47">
        <v>696919</v>
      </c>
      <c r="F21" s="53">
        <v>2444.0949329999999</v>
      </c>
      <c r="G21" s="5">
        <v>2.2458906000000001E-2</v>
      </c>
    </row>
    <row r="22" spans="1:7" ht="51" x14ac:dyDescent="0.2">
      <c r="A22" s="6">
        <v>16</v>
      </c>
      <c r="B22" s="7" t="s">
        <v>206</v>
      </c>
      <c r="C22" s="11" t="s">
        <v>207</v>
      </c>
      <c r="D22" s="2" t="s">
        <v>208</v>
      </c>
      <c r="E22" s="47">
        <v>3749123</v>
      </c>
      <c r="F22" s="53">
        <v>2290.7141529999999</v>
      </c>
      <c r="G22" s="5">
        <v>2.1049482000000001E-2</v>
      </c>
    </row>
    <row r="23" spans="1:7" ht="12.75" x14ac:dyDescent="0.2">
      <c r="A23" s="6">
        <v>17</v>
      </c>
      <c r="B23" s="7" t="s">
        <v>282</v>
      </c>
      <c r="C23" s="11" t="s">
        <v>283</v>
      </c>
      <c r="D23" s="2" t="s">
        <v>19</v>
      </c>
      <c r="E23" s="47">
        <v>1245500</v>
      </c>
      <c r="F23" s="53">
        <v>2280.5104999999999</v>
      </c>
      <c r="G23" s="5">
        <v>2.0955721E-2</v>
      </c>
    </row>
    <row r="24" spans="1:7" ht="12.75" x14ac:dyDescent="0.2">
      <c r="A24" s="6">
        <v>18</v>
      </c>
      <c r="B24" s="7" t="s">
        <v>193</v>
      </c>
      <c r="C24" s="11" t="s">
        <v>194</v>
      </c>
      <c r="D24" s="2" t="s">
        <v>72</v>
      </c>
      <c r="E24" s="47">
        <v>246000</v>
      </c>
      <c r="F24" s="53">
        <v>2182.3890000000001</v>
      </c>
      <c r="G24" s="5">
        <v>2.0054077E-2</v>
      </c>
    </row>
    <row r="25" spans="1:7" ht="25.5" x14ac:dyDescent="0.2">
      <c r="A25" s="6">
        <v>19</v>
      </c>
      <c r="B25" s="7" t="s">
        <v>41</v>
      </c>
      <c r="C25" s="11" t="s">
        <v>42</v>
      </c>
      <c r="D25" s="2" t="s">
        <v>27</v>
      </c>
      <c r="E25" s="47">
        <v>1899946</v>
      </c>
      <c r="F25" s="53">
        <v>2182.0879810000001</v>
      </c>
      <c r="G25" s="5">
        <v>2.0051310999999999E-2</v>
      </c>
    </row>
    <row r="26" spans="1:7" ht="25.5" x14ac:dyDescent="0.2">
      <c r="A26" s="6">
        <v>20</v>
      </c>
      <c r="B26" s="7" t="s">
        <v>57</v>
      </c>
      <c r="C26" s="11" t="s">
        <v>58</v>
      </c>
      <c r="D26" s="2" t="s">
        <v>27</v>
      </c>
      <c r="E26" s="47">
        <v>553311</v>
      </c>
      <c r="F26" s="53">
        <v>2063.0200635000001</v>
      </c>
      <c r="G26" s="5">
        <v>1.8957191000000002E-2</v>
      </c>
    </row>
    <row r="27" spans="1:7" ht="25.5" x14ac:dyDescent="0.2">
      <c r="A27" s="6">
        <v>21</v>
      </c>
      <c r="B27" s="7" t="s">
        <v>200</v>
      </c>
      <c r="C27" s="11" t="s">
        <v>201</v>
      </c>
      <c r="D27" s="2" t="s">
        <v>30</v>
      </c>
      <c r="E27" s="47">
        <v>677470</v>
      </c>
      <c r="F27" s="53">
        <v>2028.006445</v>
      </c>
      <c r="G27" s="5">
        <v>1.8635448999999998E-2</v>
      </c>
    </row>
    <row r="28" spans="1:7" ht="12.75" x14ac:dyDescent="0.2">
      <c r="A28" s="6">
        <v>22</v>
      </c>
      <c r="B28" s="7" t="s">
        <v>190</v>
      </c>
      <c r="C28" s="11" t="s">
        <v>191</v>
      </c>
      <c r="D28" s="2" t="s">
        <v>192</v>
      </c>
      <c r="E28" s="47">
        <v>1261926</v>
      </c>
      <c r="F28" s="53">
        <v>1943.9970029999999</v>
      </c>
      <c r="G28" s="5">
        <v>1.7863482E-2</v>
      </c>
    </row>
    <row r="29" spans="1:7" ht="51" x14ac:dyDescent="0.2">
      <c r="A29" s="6">
        <v>23</v>
      </c>
      <c r="B29" s="7" t="s">
        <v>264</v>
      </c>
      <c r="C29" s="11" t="s">
        <v>265</v>
      </c>
      <c r="D29" s="2" t="s">
        <v>208</v>
      </c>
      <c r="E29" s="47">
        <v>1164194</v>
      </c>
      <c r="F29" s="53">
        <v>1940.7113979999999</v>
      </c>
      <c r="G29" s="5">
        <v>1.7833290000000002E-2</v>
      </c>
    </row>
    <row r="30" spans="1:7" ht="12.75" x14ac:dyDescent="0.2">
      <c r="A30" s="6">
        <v>24</v>
      </c>
      <c r="B30" s="7" t="s">
        <v>547</v>
      </c>
      <c r="C30" s="11" t="s">
        <v>548</v>
      </c>
      <c r="D30" s="2" t="s">
        <v>168</v>
      </c>
      <c r="E30" s="47">
        <v>611272</v>
      </c>
      <c r="F30" s="53">
        <v>1920.616624</v>
      </c>
      <c r="G30" s="5">
        <v>1.7648638000000001E-2</v>
      </c>
    </row>
    <row r="31" spans="1:7" ht="25.5" x14ac:dyDescent="0.2">
      <c r="A31" s="6">
        <v>25</v>
      </c>
      <c r="B31" s="7" t="s">
        <v>177</v>
      </c>
      <c r="C31" s="11" t="s">
        <v>178</v>
      </c>
      <c r="D31" s="2" t="s">
        <v>47</v>
      </c>
      <c r="E31" s="47">
        <v>1158665</v>
      </c>
      <c r="F31" s="53">
        <v>1890.94128</v>
      </c>
      <c r="G31" s="5">
        <v>1.7375950000000001E-2</v>
      </c>
    </row>
    <row r="32" spans="1:7" ht="12.75" x14ac:dyDescent="0.2">
      <c r="A32" s="6">
        <v>26</v>
      </c>
      <c r="B32" s="7" t="s">
        <v>175</v>
      </c>
      <c r="C32" s="11" t="s">
        <v>176</v>
      </c>
      <c r="D32" s="2" t="s">
        <v>19</v>
      </c>
      <c r="E32" s="47">
        <v>2251576</v>
      </c>
      <c r="F32" s="53">
        <v>1887.9464760000001</v>
      </c>
      <c r="G32" s="5">
        <v>1.7348431000000001E-2</v>
      </c>
    </row>
    <row r="33" spans="1:7" ht="25.5" x14ac:dyDescent="0.2">
      <c r="A33" s="6">
        <v>27</v>
      </c>
      <c r="B33" s="7" t="s">
        <v>385</v>
      </c>
      <c r="C33" s="11" t="s">
        <v>386</v>
      </c>
      <c r="D33" s="2" t="s">
        <v>197</v>
      </c>
      <c r="E33" s="47">
        <v>197750</v>
      </c>
      <c r="F33" s="53">
        <v>1743.5617500000001</v>
      </c>
      <c r="G33" s="5">
        <v>1.6021673E-2</v>
      </c>
    </row>
    <row r="34" spans="1:7" ht="25.5" x14ac:dyDescent="0.2">
      <c r="A34" s="6">
        <v>28</v>
      </c>
      <c r="B34" s="7" t="s">
        <v>43</v>
      </c>
      <c r="C34" s="11" t="s">
        <v>44</v>
      </c>
      <c r="D34" s="2" t="s">
        <v>22</v>
      </c>
      <c r="E34" s="47">
        <v>236956</v>
      </c>
      <c r="F34" s="53">
        <v>1649.687672</v>
      </c>
      <c r="G34" s="5">
        <v>1.5159059000000001E-2</v>
      </c>
    </row>
    <row r="35" spans="1:7" ht="25.5" x14ac:dyDescent="0.2">
      <c r="A35" s="6">
        <v>29</v>
      </c>
      <c r="B35" s="7" t="s">
        <v>66</v>
      </c>
      <c r="C35" s="11" t="s">
        <v>67</v>
      </c>
      <c r="D35" s="2" t="s">
        <v>27</v>
      </c>
      <c r="E35" s="47">
        <v>1126000</v>
      </c>
      <c r="F35" s="53">
        <v>1633.826</v>
      </c>
      <c r="G35" s="5">
        <v>1.5013306000000001E-2</v>
      </c>
    </row>
    <row r="36" spans="1:7" ht="12.75" x14ac:dyDescent="0.2">
      <c r="A36" s="6">
        <v>30</v>
      </c>
      <c r="B36" s="7" t="s">
        <v>87</v>
      </c>
      <c r="C36" s="11" t="s">
        <v>88</v>
      </c>
      <c r="D36" s="2"/>
      <c r="E36" s="47">
        <v>943522</v>
      </c>
      <c r="F36" s="53">
        <v>1604.930922</v>
      </c>
      <c r="G36" s="5">
        <v>1.4747787E-2</v>
      </c>
    </row>
    <row r="37" spans="1:7" ht="12.75" x14ac:dyDescent="0.2">
      <c r="A37" s="6">
        <v>31</v>
      </c>
      <c r="B37" s="7" t="s">
        <v>224</v>
      </c>
      <c r="C37" s="11" t="s">
        <v>225</v>
      </c>
      <c r="D37" s="2" t="s">
        <v>226</v>
      </c>
      <c r="E37" s="47">
        <v>1414445</v>
      </c>
      <c r="F37" s="53">
        <v>1587.7145125</v>
      </c>
      <c r="G37" s="5">
        <v>1.4589585E-2</v>
      </c>
    </row>
    <row r="38" spans="1:7" ht="12.75" x14ac:dyDescent="0.2">
      <c r="A38" s="6">
        <v>32</v>
      </c>
      <c r="B38" s="7" t="s">
        <v>256</v>
      </c>
      <c r="C38" s="11" t="s">
        <v>257</v>
      </c>
      <c r="D38" s="2" t="s">
        <v>226</v>
      </c>
      <c r="E38" s="47">
        <v>394704</v>
      </c>
      <c r="F38" s="53">
        <v>1459.6153919999999</v>
      </c>
      <c r="G38" s="5">
        <v>1.3412476E-2</v>
      </c>
    </row>
    <row r="39" spans="1:7" ht="25.5" x14ac:dyDescent="0.2">
      <c r="A39" s="6">
        <v>33</v>
      </c>
      <c r="B39" s="7" t="s">
        <v>171</v>
      </c>
      <c r="C39" s="11" t="s">
        <v>172</v>
      </c>
      <c r="D39" s="2" t="s">
        <v>22</v>
      </c>
      <c r="E39" s="47">
        <v>350942</v>
      </c>
      <c r="F39" s="53">
        <v>1413.594376</v>
      </c>
      <c r="G39" s="5">
        <v>1.2989587E-2</v>
      </c>
    </row>
    <row r="40" spans="1:7" ht="25.5" x14ac:dyDescent="0.2">
      <c r="A40" s="6">
        <v>34</v>
      </c>
      <c r="B40" s="7" t="s">
        <v>549</v>
      </c>
      <c r="C40" s="11" t="s">
        <v>550</v>
      </c>
      <c r="D40" s="2" t="s">
        <v>183</v>
      </c>
      <c r="E40" s="47">
        <v>96036</v>
      </c>
      <c r="F40" s="53">
        <v>1389.7849739999999</v>
      </c>
      <c r="G40" s="5">
        <v>1.2770801E-2</v>
      </c>
    </row>
    <row r="41" spans="1:7" ht="12.75" x14ac:dyDescent="0.2">
      <c r="A41" s="6">
        <v>35</v>
      </c>
      <c r="B41" s="7" t="s">
        <v>68</v>
      </c>
      <c r="C41" s="11" t="s">
        <v>69</v>
      </c>
      <c r="D41" s="2" t="s">
        <v>50</v>
      </c>
      <c r="E41" s="47">
        <v>629306</v>
      </c>
      <c r="F41" s="53">
        <v>1340.4217799999999</v>
      </c>
      <c r="G41" s="5">
        <v>1.23172E-2</v>
      </c>
    </row>
    <row r="42" spans="1:7" ht="25.5" x14ac:dyDescent="0.2">
      <c r="A42" s="6">
        <v>36</v>
      </c>
      <c r="B42" s="7" t="s">
        <v>55</v>
      </c>
      <c r="C42" s="11" t="s">
        <v>56</v>
      </c>
      <c r="D42" s="2" t="s">
        <v>22</v>
      </c>
      <c r="E42" s="47">
        <v>216312</v>
      </c>
      <c r="F42" s="53">
        <v>1277.2142040000001</v>
      </c>
      <c r="G42" s="5">
        <v>1.1736383E-2</v>
      </c>
    </row>
    <row r="43" spans="1:7" ht="12.75" x14ac:dyDescent="0.2">
      <c r="A43" s="6">
        <v>37</v>
      </c>
      <c r="B43" s="7" t="s">
        <v>221</v>
      </c>
      <c r="C43" s="11" t="s">
        <v>222</v>
      </c>
      <c r="D43" s="2" t="s">
        <v>223</v>
      </c>
      <c r="E43" s="47">
        <v>252024</v>
      </c>
      <c r="F43" s="53">
        <v>1143.432888</v>
      </c>
      <c r="G43" s="5">
        <v>1.050706E-2</v>
      </c>
    </row>
    <row r="44" spans="1:7" ht="25.5" x14ac:dyDescent="0.2">
      <c r="A44" s="6">
        <v>38</v>
      </c>
      <c r="B44" s="7" t="s">
        <v>181</v>
      </c>
      <c r="C44" s="11" t="s">
        <v>182</v>
      </c>
      <c r="D44" s="2" t="s">
        <v>183</v>
      </c>
      <c r="E44" s="47">
        <v>926885</v>
      </c>
      <c r="F44" s="53">
        <v>1101.1393800000001</v>
      </c>
      <c r="G44" s="5">
        <v>1.0118423E-2</v>
      </c>
    </row>
    <row r="45" spans="1:7" ht="12.75" x14ac:dyDescent="0.2">
      <c r="A45" s="6">
        <v>39</v>
      </c>
      <c r="B45" s="7" t="s">
        <v>95</v>
      </c>
      <c r="C45" s="11" t="s">
        <v>96</v>
      </c>
      <c r="D45" s="2" t="s">
        <v>50</v>
      </c>
      <c r="E45" s="47">
        <v>1858982</v>
      </c>
      <c r="F45" s="53">
        <v>1070.7736319999999</v>
      </c>
      <c r="G45" s="5">
        <v>9.8393899999999999E-3</v>
      </c>
    </row>
    <row r="46" spans="1:7" ht="38.25" x14ac:dyDescent="0.2">
      <c r="A46" s="6">
        <v>40</v>
      </c>
      <c r="B46" s="7" t="s">
        <v>75</v>
      </c>
      <c r="C46" s="11" t="s">
        <v>76</v>
      </c>
      <c r="D46" s="2" t="s">
        <v>77</v>
      </c>
      <c r="E46" s="47">
        <v>1349184</v>
      </c>
      <c r="F46" s="53">
        <v>1063.1569919999999</v>
      </c>
      <c r="G46" s="5">
        <v>9.7694010000000005E-3</v>
      </c>
    </row>
    <row r="47" spans="1:7" ht="12.75" x14ac:dyDescent="0.2">
      <c r="A47" s="6">
        <v>41</v>
      </c>
      <c r="B47" s="7" t="s">
        <v>463</v>
      </c>
      <c r="C47" s="11" t="s">
        <v>464</v>
      </c>
      <c r="D47" s="2" t="s">
        <v>192</v>
      </c>
      <c r="E47" s="47">
        <v>172229</v>
      </c>
      <c r="F47" s="53">
        <v>999.35877249999999</v>
      </c>
      <c r="G47" s="5">
        <v>9.1831559999999996E-3</v>
      </c>
    </row>
    <row r="48" spans="1:7" ht="12.75" x14ac:dyDescent="0.2">
      <c r="A48" s="6">
        <v>42</v>
      </c>
      <c r="B48" s="7" t="s">
        <v>61</v>
      </c>
      <c r="C48" s="11" t="s">
        <v>62</v>
      </c>
      <c r="D48" s="2" t="s">
        <v>19</v>
      </c>
      <c r="E48" s="47">
        <v>1010000</v>
      </c>
      <c r="F48" s="53">
        <v>973.64</v>
      </c>
      <c r="G48" s="5">
        <v>8.9468250000000003E-3</v>
      </c>
    </row>
    <row r="49" spans="1:7" ht="12.75" x14ac:dyDescent="0.2">
      <c r="A49" s="6">
        <v>43</v>
      </c>
      <c r="B49" s="7" t="s">
        <v>262</v>
      </c>
      <c r="C49" s="11" t="s">
        <v>263</v>
      </c>
      <c r="D49" s="2" t="s">
        <v>242</v>
      </c>
      <c r="E49" s="47">
        <v>1047482</v>
      </c>
      <c r="F49" s="53">
        <v>954.25610200000006</v>
      </c>
      <c r="G49" s="5">
        <v>8.7687049999999999E-3</v>
      </c>
    </row>
    <row r="50" spans="1:7" ht="12.75" x14ac:dyDescent="0.2">
      <c r="A50" s="6">
        <v>44</v>
      </c>
      <c r="B50" s="7" t="s">
        <v>551</v>
      </c>
      <c r="C50" s="11" t="s">
        <v>552</v>
      </c>
      <c r="D50" s="2" t="s">
        <v>158</v>
      </c>
      <c r="E50" s="47">
        <v>239140</v>
      </c>
      <c r="F50" s="53">
        <v>924.27610000000004</v>
      </c>
      <c r="G50" s="5">
        <v>8.4932180000000003E-3</v>
      </c>
    </row>
    <row r="51" spans="1:7" ht="12.75" x14ac:dyDescent="0.2">
      <c r="A51" s="6">
        <v>45</v>
      </c>
      <c r="B51" s="7" t="s">
        <v>238</v>
      </c>
      <c r="C51" s="11" t="s">
        <v>239</v>
      </c>
      <c r="D51" s="2" t="s">
        <v>72</v>
      </c>
      <c r="E51" s="47">
        <v>1719580</v>
      </c>
      <c r="F51" s="53">
        <v>920.83509000000004</v>
      </c>
      <c r="G51" s="5">
        <v>8.4615980000000007E-3</v>
      </c>
    </row>
    <row r="52" spans="1:7" ht="12.75" x14ac:dyDescent="0.2">
      <c r="A52" s="6">
        <v>46</v>
      </c>
      <c r="B52" s="7" t="s">
        <v>229</v>
      </c>
      <c r="C52" s="11" t="s">
        <v>230</v>
      </c>
      <c r="D52" s="2" t="s">
        <v>50</v>
      </c>
      <c r="E52" s="47">
        <v>367557</v>
      </c>
      <c r="F52" s="53">
        <v>877.35855900000001</v>
      </c>
      <c r="G52" s="5">
        <v>8.0620899999999992E-3</v>
      </c>
    </row>
    <row r="53" spans="1:7" ht="12.75" x14ac:dyDescent="0.2">
      <c r="A53" s="6">
        <v>47</v>
      </c>
      <c r="B53" s="7" t="s">
        <v>553</v>
      </c>
      <c r="C53" s="11" t="s">
        <v>554</v>
      </c>
      <c r="D53" s="2" t="s">
        <v>168</v>
      </c>
      <c r="E53" s="47">
        <v>335000</v>
      </c>
      <c r="F53" s="53">
        <v>817.06500000000005</v>
      </c>
      <c r="G53" s="5">
        <v>7.5080499999999996E-3</v>
      </c>
    </row>
    <row r="54" spans="1:7" ht="25.5" x14ac:dyDescent="0.2">
      <c r="A54" s="6">
        <v>48</v>
      </c>
      <c r="B54" s="7" t="s">
        <v>555</v>
      </c>
      <c r="C54" s="11" t="s">
        <v>556</v>
      </c>
      <c r="D54" s="2" t="s">
        <v>47</v>
      </c>
      <c r="E54" s="47">
        <v>420115</v>
      </c>
      <c r="F54" s="53">
        <v>708.73400500000002</v>
      </c>
      <c r="G54" s="5">
        <v>6.5125909999999999E-3</v>
      </c>
    </row>
    <row r="55" spans="1:7" ht="25.5" x14ac:dyDescent="0.2">
      <c r="A55" s="6">
        <v>49</v>
      </c>
      <c r="B55" s="7" t="s">
        <v>231</v>
      </c>
      <c r="C55" s="11" t="s">
        <v>232</v>
      </c>
      <c r="D55" s="2" t="s">
        <v>47</v>
      </c>
      <c r="E55" s="47">
        <v>255000</v>
      </c>
      <c r="F55" s="53">
        <v>643.11</v>
      </c>
      <c r="G55" s="5">
        <v>5.9095689999999999E-3</v>
      </c>
    </row>
    <row r="56" spans="1:7" ht="25.5" x14ac:dyDescent="0.2">
      <c r="A56" s="6">
        <v>50</v>
      </c>
      <c r="B56" s="7" t="s">
        <v>97</v>
      </c>
      <c r="C56" s="11" t="s">
        <v>98</v>
      </c>
      <c r="D56" s="2" t="s">
        <v>99</v>
      </c>
      <c r="E56" s="47">
        <v>300172</v>
      </c>
      <c r="F56" s="53">
        <v>591.48892599999999</v>
      </c>
      <c r="G56" s="5">
        <v>5.4352200000000002E-3</v>
      </c>
    </row>
    <row r="57" spans="1:7" ht="12.75" x14ac:dyDescent="0.2">
      <c r="A57" s="6">
        <v>51</v>
      </c>
      <c r="B57" s="7" t="s">
        <v>106</v>
      </c>
      <c r="C57" s="11" t="s">
        <v>107</v>
      </c>
      <c r="D57" s="2" t="s">
        <v>50</v>
      </c>
      <c r="E57" s="47">
        <v>943522</v>
      </c>
      <c r="F57" s="53">
        <v>452.89055999999999</v>
      </c>
      <c r="G57" s="5">
        <v>4.1616329999999997E-3</v>
      </c>
    </row>
    <row r="58" spans="1:7" ht="12.75" x14ac:dyDescent="0.2">
      <c r="A58" s="1"/>
      <c r="B58" s="2"/>
      <c r="C58" s="8" t="s">
        <v>108</v>
      </c>
      <c r="D58" s="12"/>
      <c r="E58" s="49"/>
      <c r="F58" s="55">
        <v>105159.27209649998</v>
      </c>
      <c r="G58" s="13">
        <v>0.96631360900000018</v>
      </c>
    </row>
    <row r="59" spans="1:7" ht="12.75" x14ac:dyDescent="0.2">
      <c r="A59" s="6"/>
      <c r="B59" s="7"/>
      <c r="C59" s="14"/>
      <c r="D59" s="15"/>
      <c r="E59" s="47"/>
      <c r="F59" s="53"/>
      <c r="G59" s="5"/>
    </row>
    <row r="60" spans="1:7" ht="12.75" x14ac:dyDescent="0.2">
      <c r="A60" s="1"/>
      <c r="B60" s="2"/>
      <c r="C60" s="8" t="s">
        <v>109</v>
      </c>
      <c r="D60" s="9"/>
      <c r="E60" s="48"/>
      <c r="F60" s="54"/>
      <c r="G60" s="10"/>
    </row>
    <row r="61" spans="1:7" ht="12.75" x14ac:dyDescent="0.2">
      <c r="A61" s="1"/>
      <c r="B61" s="2"/>
      <c r="C61" s="8" t="s">
        <v>108</v>
      </c>
      <c r="D61" s="12"/>
      <c r="E61" s="49"/>
      <c r="F61" s="55">
        <v>0</v>
      </c>
      <c r="G61" s="13">
        <v>0</v>
      </c>
    </row>
    <row r="62" spans="1:7" ht="12.75" x14ac:dyDescent="0.2">
      <c r="A62" s="6"/>
      <c r="B62" s="7"/>
      <c r="C62" s="14"/>
      <c r="D62" s="15"/>
      <c r="E62" s="47"/>
      <c r="F62" s="53"/>
      <c r="G62" s="5"/>
    </row>
    <row r="63" spans="1:7" ht="12.75" x14ac:dyDescent="0.2">
      <c r="A63" s="16"/>
      <c r="B63" s="17"/>
      <c r="C63" s="8" t="s">
        <v>110</v>
      </c>
      <c r="D63" s="9"/>
      <c r="E63" s="48"/>
      <c r="F63" s="54"/>
      <c r="G63" s="10"/>
    </row>
    <row r="64" spans="1:7" ht="25.5" x14ac:dyDescent="0.2">
      <c r="A64" s="6">
        <v>1</v>
      </c>
      <c r="B64" s="7" t="s">
        <v>111</v>
      </c>
      <c r="C64" s="11" t="s">
        <v>112</v>
      </c>
      <c r="D64" s="15" t="s">
        <v>99</v>
      </c>
      <c r="E64" s="47">
        <v>375961</v>
      </c>
      <c r="F64" s="53">
        <v>7.5190000000000003E-6</v>
      </c>
      <c r="G64" s="129" t="s">
        <v>810</v>
      </c>
    </row>
    <row r="65" spans="1:7" ht="12.75" x14ac:dyDescent="0.2">
      <c r="A65" s="18"/>
      <c r="B65" s="19"/>
      <c r="C65" s="8" t="s">
        <v>108</v>
      </c>
      <c r="D65" s="20"/>
      <c r="E65" s="50"/>
      <c r="F65" s="56">
        <v>7.5190000000000003E-6</v>
      </c>
      <c r="G65" s="99">
        <v>0</v>
      </c>
    </row>
    <row r="66" spans="1:7" ht="12.75" x14ac:dyDescent="0.2">
      <c r="A66" s="18"/>
      <c r="B66" s="19"/>
      <c r="C66" s="14"/>
      <c r="D66" s="22"/>
      <c r="E66" s="51"/>
      <c r="F66" s="57"/>
      <c r="G66" s="23"/>
    </row>
    <row r="67" spans="1:7" ht="12.75" x14ac:dyDescent="0.2">
      <c r="A67" s="1"/>
      <c r="B67" s="2"/>
      <c r="C67" s="8" t="s">
        <v>113</v>
      </c>
      <c r="D67" s="9"/>
      <c r="E67" s="48"/>
      <c r="F67" s="54"/>
      <c r="G67" s="10"/>
    </row>
    <row r="68" spans="1:7" ht="12.75" x14ac:dyDescent="0.2">
      <c r="A68" s="1"/>
      <c r="B68" s="2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1"/>
      <c r="B69" s="2"/>
      <c r="C69" s="14"/>
      <c r="D69" s="4"/>
      <c r="E69" s="47"/>
      <c r="F69" s="53"/>
      <c r="G69" s="5"/>
    </row>
    <row r="70" spans="1:7" ht="12.75" x14ac:dyDescent="0.2">
      <c r="A70" s="1"/>
      <c r="B70" s="2"/>
      <c r="C70" s="8" t="s">
        <v>114</v>
      </c>
      <c r="D70" s="9"/>
      <c r="E70" s="48"/>
      <c r="F70" s="54"/>
      <c r="G70" s="10"/>
    </row>
    <row r="71" spans="1:7" ht="12.75" x14ac:dyDescent="0.2">
      <c r="A71" s="1"/>
      <c r="B71" s="2"/>
      <c r="C71" s="8" t="s">
        <v>108</v>
      </c>
      <c r="D71" s="12"/>
      <c r="E71" s="49"/>
      <c r="F71" s="55">
        <v>0</v>
      </c>
      <c r="G71" s="13">
        <v>0</v>
      </c>
    </row>
    <row r="72" spans="1:7" ht="12.75" x14ac:dyDescent="0.2">
      <c r="A72" s="1"/>
      <c r="B72" s="2"/>
      <c r="C72" s="14"/>
      <c r="D72" s="4"/>
      <c r="E72" s="47"/>
      <c r="F72" s="53"/>
      <c r="G72" s="5"/>
    </row>
    <row r="73" spans="1:7" ht="12.75" x14ac:dyDescent="0.2">
      <c r="A73" s="1"/>
      <c r="B73" s="2"/>
      <c r="C73" s="8" t="s">
        <v>115</v>
      </c>
      <c r="D73" s="9"/>
      <c r="E73" s="48"/>
      <c r="F73" s="54"/>
      <c r="G73" s="10"/>
    </row>
    <row r="74" spans="1:7" ht="12.75" x14ac:dyDescent="0.2">
      <c r="A74" s="1"/>
      <c r="B74" s="2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1"/>
      <c r="B75" s="2"/>
      <c r="C75" s="14"/>
      <c r="D75" s="4"/>
      <c r="E75" s="47"/>
      <c r="F75" s="53"/>
      <c r="G75" s="5"/>
    </row>
    <row r="76" spans="1:7" ht="25.5" x14ac:dyDescent="0.2">
      <c r="A76" s="6"/>
      <c r="B76" s="7"/>
      <c r="C76" s="24" t="s">
        <v>116</v>
      </c>
      <c r="D76" s="25"/>
      <c r="E76" s="49"/>
      <c r="F76" s="55">
        <v>105159.27210401898</v>
      </c>
      <c r="G76" s="13">
        <v>0.96631360900000018</v>
      </c>
    </row>
    <row r="77" spans="1:7" ht="12.75" x14ac:dyDescent="0.2">
      <c r="A77" s="1"/>
      <c r="B77" s="2"/>
      <c r="C77" s="11"/>
      <c r="D77" s="4"/>
      <c r="E77" s="47"/>
      <c r="F77" s="53"/>
      <c r="G77" s="5"/>
    </row>
    <row r="78" spans="1:7" ht="12.75" x14ac:dyDescent="0.2">
      <c r="A78" s="1"/>
      <c r="B78" s="2"/>
      <c r="C78" s="3" t="s">
        <v>117</v>
      </c>
      <c r="D78" s="4"/>
      <c r="E78" s="47"/>
      <c r="F78" s="53"/>
      <c r="G78" s="5"/>
    </row>
    <row r="79" spans="1:7" ht="25.5" x14ac:dyDescent="0.2">
      <c r="A79" s="1"/>
      <c r="B79" s="2"/>
      <c r="C79" s="8" t="s">
        <v>10</v>
      </c>
      <c r="D79" s="9"/>
      <c r="E79" s="48"/>
      <c r="F79" s="54"/>
      <c r="G79" s="10"/>
    </row>
    <row r="80" spans="1:7" ht="12.75" x14ac:dyDescent="0.2">
      <c r="A80" s="6"/>
      <c r="B80" s="7"/>
      <c r="C80" s="8" t="s">
        <v>108</v>
      </c>
      <c r="D80" s="12"/>
      <c r="E80" s="49"/>
      <c r="F80" s="55">
        <v>0</v>
      </c>
      <c r="G80" s="13">
        <v>0</v>
      </c>
    </row>
    <row r="81" spans="1:7" ht="12.75" x14ac:dyDescent="0.2">
      <c r="A81" s="6"/>
      <c r="B81" s="7"/>
      <c r="C81" s="14"/>
      <c r="D81" s="4"/>
      <c r="E81" s="47"/>
      <c r="F81" s="53"/>
      <c r="G81" s="5"/>
    </row>
    <row r="82" spans="1:7" ht="12.75" x14ac:dyDescent="0.2">
      <c r="A82" s="1"/>
      <c r="B82" s="26"/>
      <c r="C82" s="8" t="s">
        <v>118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4"/>
      <c r="E84" s="47"/>
      <c r="F84" s="59"/>
      <c r="G84" s="28"/>
    </row>
    <row r="85" spans="1:7" ht="12.75" x14ac:dyDescent="0.2">
      <c r="A85" s="1"/>
      <c r="B85" s="2"/>
      <c r="C85" s="8" t="s">
        <v>119</v>
      </c>
      <c r="D85" s="9"/>
      <c r="E85" s="48"/>
      <c r="F85" s="54"/>
      <c r="G85" s="10"/>
    </row>
    <row r="86" spans="1:7" ht="12.75" x14ac:dyDescent="0.2">
      <c r="A86" s="6"/>
      <c r="B86" s="7"/>
      <c r="C86" s="8" t="s">
        <v>108</v>
      </c>
      <c r="D86" s="12"/>
      <c r="E86" s="49"/>
      <c r="F86" s="55">
        <v>0</v>
      </c>
      <c r="G86" s="13">
        <v>0</v>
      </c>
    </row>
    <row r="87" spans="1:7" ht="12.75" x14ac:dyDescent="0.2">
      <c r="A87" s="1"/>
      <c r="B87" s="2"/>
      <c r="C87" s="14"/>
      <c r="D87" s="4"/>
      <c r="E87" s="47"/>
      <c r="F87" s="53"/>
      <c r="G87" s="5"/>
    </row>
    <row r="88" spans="1:7" ht="25.5" x14ac:dyDescent="0.2">
      <c r="A88" s="1"/>
      <c r="B88" s="26"/>
      <c r="C88" s="8" t="s">
        <v>120</v>
      </c>
      <c r="D88" s="9"/>
      <c r="E88" s="48"/>
      <c r="F88" s="54"/>
      <c r="G88" s="10"/>
    </row>
    <row r="89" spans="1:7" ht="12.75" x14ac:dyDescent="0.2">
      <c r="A89" s="6"/>
      <c r="B89" s="7"/>
      <c r="C89" s="8" t="s">
        <v>108</v>
      </c>
      <c r="D89" s="12"/>
      <c r="E89" s="49"/>
      <c r="F89" s="55">
        <v>0</v>
      </c>
      <c r="G89" s="13">
        <v>0</v>
      </c>
    </row>
    <row r="90" spans="1:7" ht="12.75" x14ac:dyDescent="0.2">
      <c r="A90" s="6"/>
      <c r="B90" s="7"/>
      <c r="C90" s="14"/>
      <c r="D90" s="4"/>
      <c r="E90" s="47"/>
      <c r="F90" s="53"/>
      <c r="G90" s="5"/>
    </row>
    <row r="91" spans="1:7" ht="12.75" x14ac:dyDescent="0.2">
      <c r="A91" s="6"/>
      <c r="B91" s="7"/>
      <c r="C91" s="29" t="s">
        <v>121</v>
      </c>
      <c r="D91" s="25"/>
      <c r="E91" s="49"/>
      <c r="F91" s="55">
        <v>0</v>
      </c>
      <c r="G91" s="13">
        <v>0</v>
      </c>
    </row>
    <row r="92" spans="1:7" ht="12.75" x14ac:dyDescent="0.2">
      <c r="A92" s="6"/>
      <c r="B92" s="7"/>
      <c r="C92" s="11"/>
      <c r="D92" s="4"/>
      <c r="E92" s="47"/>
      <c r="F92" s="53"/>
      <c r="G92" s="5"/>
    </row>
    <row r="93" spans="1:7" ht="12.75" x14ac:dyDescent="0.2">
      <c r="A93" s="1"/>
      <c r="B93" s="2"/>
      <c r="C93" s="3" t="s">
        <v>122</v>
      </c>
      <c r="D93" s="4"/>
      <c r="E93" s="47"/>
      <c r="F93" s="53"/>
      <c r="G93" s="5"/>
    </row>
    <row r="94" spans="1:7" ht="12.75" x14ac:dyDescent="0.2">
      <c r="A94" s="6"/>
      <c r="B94" s="7"/>
      <c r="C94" s="8" t="s">
        <v>123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25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7"/>
      <c r="E96" s="47"/>
      <c r="F96" s="53"/>
      <c r="G96" s="5"/>
    </row>
    <row r="97" spans="1:7" ht="12.75" x14ac:dyDescent="0.2">
      <c r="A97" s="6"/>
      <c r="B97" s="7"/>
      <c r="C97" s="8" t="s">
        <v>124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25"/>
      <c r="E98" s="49"/>
      <c r="F98" s="55">
        <v>0</v>
      </c>
      <c r="G98" s="13">
        <v>0</v>
      </c>
    </row>
    <row r="99" spans="1:7" ht="12.75" x14ac:dyDescent="0.2">
      <c r="A99" s="6"/>
      <c r="B99" s="7"/>
      <c r="C99" s="14"/>
      <c r="D99" s="7"/>
      <c r="E99" s="47"/>
      <c r="F99" s="53"/>
      <c r="G99" s="5"/>
    </row>
    <row r="100" spans="1:7" ht="12.75" x14ac:dyDescent="0.2">
      <c r="A100" s="6"/>
      <c r="B100" s="7"/>
      <c r="C100" s="8" t="s">
        <v>125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25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4"/>
      <c r="D102" s="7"/>
      <c r="E102" s="47"/>
      <c r="F102" s="53"/>
      <c r="G102" s="5"/>
    </row>
    <row r="103" spans="1:7" ht="12.75" x14ac:dyDescent="0.2">
      <c r="A103" s="6"/>
      <c r="B103" s="7"/>
      <c r="C103" s="8" t="s">
        <v>126</v>
      </c>
      <c r="D103" s="9"/>
      <c r="E103" s="48"/>
      <c r="F103" s="54"/>
      <c r="G103" s="10"/>
    </row>
    <row r="104" spans="1:7" ht="12.75" x14ac:dyDescent="0.2">
      <c r="A104" s="6">
        <v>1</v>
      </c>
      <c r="B104" s="7"/>
      <c r="C104" s="11" t="s">
        <v>812</v>
      </c>
      <c r="D104" s="15"/>
      <c r="E104" s="47"/>
      <c r="F104" s="53">
        <v>774.89809530000002</v>
      </c>
      <c r="G104" s="5">
        <v>7.120576E-3</v>
      </c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774.89809530000002</v>
      </c>
      <c r="G105" s="13">
        <v>7.120576E-3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25.5" x14ac:dyDescent="0.2">
      <c r="A107" s="6"/>
      <c r="B107" s="7"/>
      <c r="C107" s="24" t="s">
        <v>127</v>
      </c>
      <c r="D107" s="25"/>
      <c r="E107" s="49"/>
      <c r="F107" s="55">
        <v>774.89809530000002</v>
      </c>
      <c r="G107" s="13">
        <v>7.120576E-3</v>
      </c>
    </row>
    <row r="108" spans="1:7" ht="12.75" x14ac:dyDescent="0.2">
      <c r="A108" s="6"/>
      <c r="B108" s="7"/>
      <c r="C108" s="30"/>
      <c r="D108" s="7"/>
      <c r="E108" s="47"/>
      <c r="F108" s="53"/>
      <c r="G108" s="5"/>
    </row>
    <row r="109" spans="1:7" ht="12.75" x14ac:dyDescent="0.2">
      <c r="A109" s="1"/>
      <c r="B109" s="2"/>
      <c r="C109" s="3" t="s">
        <v>128</v>
      </c>
      <c r="D109" s="4"/>
      <c r="E109" s="47"/>
      <c r="F109" s="53"/>
      <c r="G109" s="5"/>
    </row>
    <row r="110" spans="1:7" ht="25.5" x14ac:dyDescent="0.2">
      <c r="A110" s="6"/>
      <c r="B110" s="7"/>
      <c r="C110" s="8" t="s">
        <v>129</v>
      </c>
      <c r="D110" s="9"/>
      <c r="E110" s="48"/>
      <c r="F110" s="54"/>
      <c r="G110" s="10"/>
    </row>
    <row r="111" spans="1:7" ht="25.5" x14ac:dyDescent="0.2">
      <c r="A111" s="6">
        <v>1</v>
      </c>
      <c r="B111" s="7" t="s">
        <v>130</v>
      </c>
      <c r="C111" s="11" t="s">
        <v>839</v>
      </c>
      <c r="D111" s="15"/>
      <c r="E111" s="47">
        <v>288000.87599999999</v>
      </c>
      <c r="F111" s="53">
        <v>3000.3937021699999</v>
      </c>
      <c r="G111" s="5">
        <v>2.7570761999999999E-2</v>
      </c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3000.3937021699999</v>
      </c>
      <c r="G112" s="13">
        <v>2.7570761999999999E-2</v>
      </c>
    </row>
    <row r="113" spans="1:7" ht="12.75" x14ac:dyDescent="0.2">
      <c r="A113" s="6"/>
      <c r="B113" s="7"/>
      <c r="C113" s="14"/>
      <c r="D113" s="7"/>
      <c r="E113" s="47"/>
      <c r="F113" s="53"/>
      <c r="G113" s="5"/>
    </row>
    <row r="114" spans="1:7" ht="12.75" x14ac:dyDescent="0.2">
      <c r="A114" s="1"/>
      <c r="B114" s="2"/>
      <c r="C114" s="3" t="s">
        <v>131</v>
      </c>
      <c r="D114" s="4"/>
      <c r="E114" s="47"/>
      <c r="F114" s="53"/>
      <c r="G114" s="5"/>
    </row>
    <row r="115" spans="1:7" ht="25.5" x14ac:dyDescent="0.2">
      <c r="A115" s="6"/>
      <c r="B115" s="7"/>
      <c r="C115" s="8" t="s">
        <v>132</v>
      </c>
      <c r="D115" s="9"/>
      <c r="E115" s="48"/>
      <c r="F115" s="54"/>
      <c r="G115" s="10"/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0</v>
      </c>
      <c r="G116" s="13">
        <v>0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25.5" x14ac:dyDescent="0.2">
      <c r="A118" s="6"/>
      <c r="B118" s="7"/>
      <c r="C118" s="8" t="s">
        <v>133</v>
      </c>
      <c r="D118" s="9"/>
      <c r="E118" s="48"/>
      <c r="F118" s="54"/>
      <c r="G118" s="10"/>
    </row>
    <row r="119" spans="1:7" ht="12.75" x14ac:dyDescent="0.2">
      <c r="A119" s="6"/>
      <c r="B119" s="7"/>
      <c r="C119" s="8" t="s">
        <v>108</v>
      </c>
      <c r="D119" s="25"/>
      <c r="E119" s="49"/>
      <c r="F119" s="55">
        <v>0</v>
      </c>
      <c r="G119" s="13">
        <v>0</v>
      </c>
    </row>
    <row r="120" spans="1:7" ht="12.75" x14ac:dyDescent="0.2">
      <c r="A120" s="6"/>
      <c r="B120" s="7"/>
      <c r="C120" s="14"/>
      <c r="D120" s="7"/>
      <c r="E120" s="47"/>
      <c r="F120" s="59"/>
      <c r="G120" s="28"/>
    </row>
    <row r="121" spans="1:7" ht="25.5" x14ac:dyDescent="0.2">
      <c r="A121" s="6"/>
      <c r="B121" s="7"/>
      <c r="C121" s="30" t="s">
        <v>134</v>
      </c>
      <c r="D121" s="7"/>
      <c r="E121" s="47"/>
      <c r="F121" s="128">
        <v>-109.36325377999999</v>
      </c>
      <c r="G121" s="137">
        <v>-1.0049441960969391E-3</v>
      </c>
    </row>
    <row r="122" spans="1:7" ht="12.75" x14ac:dyDescent="0.2">
      <c r="A122" s="6"/>
      <c r="B122" s="7"/>
      <c r="C122" s="31" t="s">
        <v>135</v>
      </c>
      <c r="D122" s="12"/>
      <c r="E122" s="49"/>
      <c r="F122" s="55">
        <v>108825.20064770897</v>
      </c>
      <c r="G122" s="13">
        <v>1.0000000030000002</v>
      </c>
    </row>
    <row r="124" spans="1:7" ht="12.75" x14ac:dyDescent="0.2">
      <c r="B124" s="179"/>
      <c r="C124" s="179"/>
      <c r="D124" s="179"/>
      <c r="E124" s="179"/>
      <c r="F124" s="179"/>
    </row>
    <row r="125" spans="1:7" ht="12.75" x14ac:dyDescent="0.2">
      <c r="B125" s="179" t="s">
        <v>136</v>
      </c>
      <c r="C125" s="179"/>
      <c r="D125" s="179"/>
      <c r="E125" s="179"/>
      <c r="F125" s="179"/>
    </row>
    <row r="127" spans="1:7" ht="12.75" x14ac:dyDescent="0.2">
      <c r="B127" s="37" t="s">
        <v>137</v>
      </c>
      <c r="C127" s="38"/>
      <c r="D127" s="39"/>
    </row>
    <row r="128" spans="1:7" ht="12.75" x14ac:dyDescent="0.2">
      <c r="B128" s="40" t="s">
        <v>808</v>
      </c>
      <c r="C128" s="41"/>
      <c r="D128" s="119" t="s">
        <v>809</v>
      </c>
    </row>
    <row r="129" spans="2:4" ht="12.75" x14ac:dyDescent="0.2">
      <c r="B129" s="40" t="s">
        <v>139</v>
      </c>
      <c r="C129" s="41"/>
      <c r="D129" s="65" t="s">
        <v>138</v>
      </c>
    </row>
    <row r="130" spans="2:4" ht="12.75" x14ac:dyDescent="0.2">
      <c r="B130" s="42" t="s">
        <v>140</v>
      </c>
      <c r="C130" s="41"/>
      <c r="D130" s="43"/>
    </row>
    <row r="131" spans="2:4" ht="25.5" customHeight="1" x14ac:dyDescent="0.2">
      <c r="B131" s="43"/>
      <c r="C131" s="33" t="s">
        <v>141</v>
      </c>
      <c r="D131" s="34" t="s">
        <v>142</v>
      </c>
    </row>
    <row r="132" spans="2:4" ht="12.75" customHeight="1" x14ac:dyDescent="0.2">
      <c r="B132" s="60" t="s">
        <v>143</v>
      </c>
      <c r="C132" s="61" t="s">
        <v>144</v>
      </c>
      <c r="D132" s="61" t="s">
        <v>145</v>
      </c>
    </row>
    <row r="133" spans="2:4" ht="12.75" x14ac:dyDescent="0.2">
      <c r="B133" s="43" t="s">
        <v>146</v>
      </c>
      <c r="C133" s="44">
        <v>76.717699999999994</v>
      </c>
      <c r="D133" s="44">
        <v>79.760199999999998</v>
      </c>
    </row>
    <row r="134" spans="2:4" ht="12.75" x14ac:dyDescent="0.2">
      <c r="B134" s="43" t="s">
        <v>147</v>
      </c>
      <c r="C134" s="44">
        <v>15.4824</v>
      </c>
      <c r="D134" s="44">
        <v>16.096399999999999</v>
      </c>
    </row>
    <row r="135" spans="2:4" ht="12.75" x14ac:dyDescent="0.2">
      <c r="B135" s="43" t="s">
        <v>397</v>
      </c>
      <c r="C135" s="44">
        <v>78.321700000000007</v>
      </c>
      <c r="D135" s="44">
        <v>81.426599999999993</v>
      </c>
    </row>
    <row r="136" spans="2:4" ht="12.75" x14ac:dyDescent="0.2">
      <c r="B136" s="43" t="s">
        <v>398</v>
      </c>
      <c r="C136" s="44">
        <v>16.0123</v>
      </c>
      <c r="D136" s="44">
        <v>16.647400000000001</v>
      </c>
    </row>
    <row r="137" spans="2:4" ht="12.75" x14ac:dyDescent="0.2">
      <c r="B137" s="43" t="s">
        <v>148</v>
      </c>
      <c r="C137" s="44">
        <v>73.745999999999995</v>
      </c>
      <c r="D137" s="44">
        <v>76.609899999999996</v>
      </c>
    </row>
    <row r="138" spans="2:4" ht="12.75" x14ac:dyDescent="0.2">
      <c r="B138" s="43" t="s">
        <v>149</v>
      </c>
      <c r="C138" s="44">
        <v>14.6502</v>
      </c>
      <c r="D138" s="44">
        <v>15.219200000000001</v>
      </c>
    </row>
    <row r="140" spans="2:4" ht="12.75" x14ac:dyDescent="0.2">
      <c r="B140" s="62" t="s">
        <v>150</v>
      </c>
      <c r="C140" s="45"/>
      <c r="D140" s="63" t="s">
        <v>138</v>
      </c>
    </row>
    <row r="141" spans="2:4" ht="24.75" customHeight="1" x14ac:dyDescent="0.2">
      <c r="B141" s="64"/>
      <c r="C141" s="64"/>
    </row>
    <row r="142" spans="2:4" ht="15" x14ac:dyDescent="0.25">
      <c r="B142" s="66"/>
      <c r="C142" s="68"/>
      <c r="D142"/>
    </row>
    <row r="144" spans="2:4" ht="12.75" x14ac:dyDescent="0.2">
      <c r="B144" s="42" t="s">
        <v>151</v>
      </c>
      <c r="C144" s="41"/>
      <c r="D144" s="67" t="s">
        <v>138</v>
      </c>
    </row>
    <row r="145" spans="2:4" ht="12.75" x14ac:dyDescent="0.2">
      <c r="B145" s="42" t="s">
        <v>152</v>
      </c>
      <c r="C145" s="41"/>
      <c r="D145" s="67" t="s">
        <v>138</v>
      </c>
    </row>
    <row r="146" spans="2:4" ht="12.75" x14ac:dyDescent="0.2">
      <c r="B146" s="42" t="s">
        <v>153</v>
      </c>
      <c r="C146" s="41"/>
      <c r="D146" s="46">
        <v>0.34245441067969379</v>
      </c>
    </row>
    <row r="147" spans="2:4" ht="12.75" x14ac:dyDescent="0.2">
      <c r="B147" s="42" t="s">
        <v>154</v>
      </c>
      <c r="C147" s="41"/>
      <c r="D147" s="46" t="s">
        <v>138</v>
      </c>
    </row>
  </sheetData>
  <mergeCells count="5">
    <mergeCell ref="A1:G1"/>
    <mergeCell ref="A2:G2"/>
    <mergeCell ref="A3:G3"/>
    <mergeCell ref="B124:F124"/>
    <mergeCell ref="B125:F125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49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9" width="13.7109375" style="32" customWidth="1"/>
    <col min="10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557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424</v>
      </c>
      <c r="C7" s="11" t="s">
        <v>425</v>
      </c>
      <c r="D7" s="2" t="s">
        <v>30</v>
      </c>
      <c r="E7" s="47">
        <v>575000</v>
      </c>
      <c r="F7" s="53">
        <v>12508.262500000001</v>
      </c>
      <c r="G7" s="5">
        <v>5.8034596000000001E-2</v>
      </c>
    </row>
    <row r="8" spans="1:7" ht="25.5" x14ac:dyDescent="0.2">
      <c r="A8" s="6">
        <v>2</v>
      </c>
      <c r="B8" s="7" t="s">
        <v>314</v>
      </c>
      <c r="C8" s="11" t="s">
        <v>315</v>
      </c>
      <c r="D8" s="2" t="s">
        <v>30</v>
      </c>
      <c r="E8" s="47">
        <v>2400000</v>
      </c>
      <c r="F8" s="53">
        <v>7608</v>
      </c>
      <c r="G8" s="5">
        <v>3.5298844000000003E-2</v>
      </c>
    </row>
    <row r="9" spans="1:7" ht="12.75" x14ac:dyDescent="0.2">
      <c r="A9" s="6">
        <v>3</v>
      </c>
      <c r="B9" s="7" t="s">
        <v>436</v>
      </c>
      <c r="C9" s="11" t="s">
        <v>437</v>
      </c>
      <c r="D9" s="2" t="s">
        <v>237</v>
      </c>
      <c r="E9" s="47">
        <v>1200000</v>
      </c>
      <c r="F9" s="53">
        <v>7277.4</v>
      </c>
      <c r="G9" s="5">
        <v>3.3764958999999997E-2</v>
      </c>
    </row>
    <row r="10" spans="1:7" ht="25.5" x14ac:dyDescent="0.2">
      <c r="A10" s="6">
        <v>4</v>
      </c>
      <c r="B10" s="7" t="s">
        <v>434</v>
      </c>
      <c r="C10" s="11" t="s">
        <v>435</v>
      </c>
      <c r="D10" s="2" t="s">
        <v>30</v>
      </c>
      <c r="E10" s="47">
        <v>380000</v>
      </c>
      <c r="F10" s="53">
        <v>6876.48</v>
      </c>
      <c r="G10" s="5">
        <v>3.1904809999999999E-2</v>
      </c>
    </row>
    <row r="11" spans="1:7" ht="12.75" x14ac:dyDescent="0.2">
      <c r="A11" s="6">
        <v>5</v>
      </c>
      <c r="B11" s="7" t="s">
        <v>320</v>
      </c>
      <c r="C11" s="11" t="s">
        <v>321</v>
      </c>
      <c r="D11" s="2" t="s">
        <v>16</v>
      </c>
      <c r="E11" s="47">
        <v>3100000</v>
      </c>
      <c r="F11" s="53">
        <v>6568.9</v>
      </c>
      <c r="G11" s="5">
        <v>3.0477731000000001E-2</v>
      </c>
    </row>
    <row r="12" spans="1:7" ht="25.5" x14ac:dyDescent="0.2">
      <c r="A12" s="6">
        <v>6</v>
      </c>
      <c r="B12" s="7" t="s">
        <v>404</v>
      </c>
      <c r="C12" s="11" t="s">
        <v>405</v>
      </c>
      <c r="D12" s="2" t="s">
        <v>72</v>
      </c>
      <c r="E12" s="47">
        <v>650000</v>
      </c>
      <c r="F12" s="53">
        <v>6444.75</v>
      </c>
      <c r="G12" s="5">
        <v>2.9901712E-2</v>
      </c>
    </row>
    <row r="13" spans="1:7" ht="25.5" x14ac:dyDescent="0.2">
      <c r="A13" s="6">
        <v>7</v>
      </c>
      <c r="B13" s="7" t="s">
        <v>406</v>
      </c>
      <c r="C13" s="11" t="s">
        <v>407</v>
      </c>
      <c r="D13" s="2" t="s">
        <v>47</v>
      </c>
      <c r="E13" s="47">
        <v>2504000</v>
      </c>
      <c r="F13" s="53">
        <v>6232.4560000000001</v>
      </c>
      <c r="G13" s="5">
        <v>2.8916731000000001E-2</v>
      </c>
    </row>
    <row r="14" spans="1:7" ht="25.5" x14ac:dyDescent="0.2">
      <c r="A14" s="6">
        <v>8</v>
      </c>
      <c r="B14" s="7" t="s">
        <v>558</v>
      </c>
      <c r="C14" s="11" t="s">
        <v>559</v>
      </c>
      <c r="D14" s="2" t="s">
        <v>47</v>
      </c>
      <c r="E14" s="47">
        <v>340000</v>
      </c>
      <c r="F14" s="53">
        <v>6143.46</v>
      </c>
      <c r="G14" s="5">
        <v>2.8503817000000001E-2</v>
      </c>
    </row>
    <row r="15" spans="1:7" ht="25.5" x14ac:dyDescent="0.2">
      <c r="A15" s="6">
        <v>9</v>
      </c>
      <c r="B15" s="7" t="s">
        <v>418</v>
      </c>
      <c r="C15" s="11" t="s">
        <v>419</v>
      </c>
      <c r="D15" s="2" t="s">
        <v>30</v>
      </c>
      <c r="E15" s="47">
        <v>2250000</v>
      </c>
      <c r="F15" s="53">
        <v>5797.125</v>
      </c>
      <c r="G15" s="5">
        <v>2.6896926000000002E-2</v>
      </c>
    </row>
    <row r="16" spans="1:7" ht="25.5" x14ac:dyDescent="0.2">
      <c r="A16" s="6">
        <v>10</v>
      </c>
      <c r="B16" s="7" t="s">
        <v>318</v>
      </c>
      <c r="C16" s="11" t="s">
        <v>319</v>
      </c>
      <c r="D16" s="2" t="s">
        <v>30</v>
      </c>
      <c r="E16" s="47">
        <v>913529</v>
      </c>
      <c r="F16" s="53">
        <v>5665.2500934999998</v>
      </c>
      <c r="G16" s="5">
        <v>2.6285065999999999E-2</v>
      </c>
    </row>
    <row r="17" spans="1:7" ht="12.75" x14ac:dyDescent="0.2">
      <c r="A17" s="6">
        <v>11</v>
      </c>
      <c r="B17" s="7" t="s">
        <v>36</v>
      </c>
      <c r="C17" s="11" t="s">
        <v>37</v>
      </c>
      <c r="D17" s="2" t="s">
        <v>16</v>
      </c>
      <c r="E17" s="47">
        <v>455000</v>
      </c>
      <c r="F17" s="53">
        <v>5598.0924999999997</v>
      </c>
      <c r="G17" s="5">
        <v>2.5973474999999999E-2</v>
      </c>
    </row>
    <row r="18" spans="1:7" ht="12.75" x14ac:dyDescent="0.2">
      <c r="A18" s="6">
        <v>12</v>
      </c>
      <c r="B18" s="7" t="s">
        <v>17</v>
      </c>
      <c r="C18" s="11" t="s">
        <v>18</v>
      </c>
      <c r="D18" s="2" t="s">
        <v>19</v>
      </c>
      <c r="E18" s="47">
        <v>697000</v>
      </c>
      <c r="F18" s="53">
        <v>5470.0559999999996</v>
      </c>
      <c r="G18" s="5">
        <v>2.5379424000000001E-2</v>
      </c>
    </row>
    <row r="19" spans="1:7" ht="25.5" x14ac:dyDescent="0.2">
      <c r="A19" s="6">
        <v>13</v>
      </c>
      <c r="B19" s="7" t="s">
        <v>330</v>
      </c>
      <c r="C19" s="11" t="s">
        <v>331</v>
      </c>
      <c r="D19" s="2" t="s">
        <v>30</v>
      </c>
      <c r="E19" s="47">
        <v>44500</v>
      </c>
      <c r="F19" s="53">
        <v>5447.8235000000004</v>
      </c>
      <c r="G19" s="5">
        <v>2.5276270999999999E-2</v>
      </c>
    </row>
    <row r="20" spans="1:7" ht="12.75" x14ac:dyDescent="0.2">
      <c r="A20" s="6">
        <v>14</v>
      </c>
      <c r="B20" s="7" t="s">
        <v>14</v>
      </c>
      <c r="C20" s="11" t="s">
        <v>15</v>
      </c>
      <c r="D20" s="2" t="s">
        <v>16</v>
      </c>
      <c r="E20" s="47">
        <v>1150000</v>
      </c>
      <c r="F20" s="53">
        <v>5325.0749999999998</v>
      </c>
      <c r="G20" s="5">
        <v>2.4706755E-2</v>
      </c>
    </row>
    <row r="21" spans="1:7" ht="25.5" x14ac:dyDescent="0.2">
      <c r="A21" s="6">
        <v>15</v>
      </c>
      <c r="B21" s="7" t="s">
        <v>70</v>
      </c>
      <c r="C21" s="11" t="s">
        <v>71</v>
      </c>
      <c r="D21" s="2" t="s">
        <v>72</v>
      </c>
      <c r="E21" s="47">
        <v>360000</v>
      </c>
      <c r="F21" s="53">
        <v>4834.08</v>
      </c>
      <c r="G21" s="5">
        <v>2.2428685E-2</v>
      </c>
    </row>
    <row r="22" spans="1:7" ht="25.5" x14ac:dyDescent="0.2">
      <c r="A22" s="6">
        <v>16</v>
      </c>
      <c r="B22" s="7" t="s">
        <v>164</v>
      </c>
      <c r="C22" s="11" t="s">
        <v>165</v>
      </c>
      <c r="D22" s="2" t="s">
        <v>47</v>
      </c>
      <c r="E22" s="47">
        <v>1900000</v>
      </c>
      <c r="F22" s="53">
        <v>4746.2</v>
      </c>
      <c r="G22" s="5">
        <v>2.2020947999999999E-2</v>
      </c>
    </row>
    <row r="23" spans="1:7" ht="12.75" x14ac:dyDescent="0.2">
      <c r="A23" s="6">
        <v>17</v>
      </c>
      <c r="B23" s="7" t="s">
        <v>455</v>
      </c>
      <c r="C23" s="11" t="s">
        <v>456</v>
      </c>
      <c r="D23" s="2" t="s">
        <v>72</v>
      </c>
      <c r="E23" s="47">
        <v>740000</v>
      </c>
      <c r="F23" s="53">
        <v>4722.3100000000004</v>
      </c>
      <c r="G23" s="5">
        <v>2.1910105999999999E-2</v>
      </c>
    </row>
    <row r="24" spans="1:7" ht="12.75" x14ac:dyDescent="0.2">
      <c r="A24" s="6">
        <v>18</v>
      </c>
      <c r="B24" s="7" t="s">
        <v>332</v>
      </c>
      <c r="C24" s="11" t="s">
        <v>333</v>
      </c>
      <c r="D24" s="2" t="s">
        <v>158</v>
      </c>
      <c r="E24" s="47">
        <v>740000</v>
      </c>
      <c r="F24" s="53">
        <v>4638.32</v>
      </c>
      <c r="G24" s="5">
        <v>2.1520417E-2</v>
      </c>
    </row>
    <row r="25" spans="1:7" ht="25.5" x14ac:dyDescent="0.2">
      <c r="A25" s="6">
        <v>19</v>
      </c>
      <c r="B25" s="7" t="s">
        <v>560</v>
      </c>
      <c r="C25" s="11" t="s">
        <v>561</v>
      </c>
      <c r="D25" s="2" t="s">
        <v>30</v>
      </c>
      <c r="E25" s="47">
        <v>31000</v>
      </c>
      <c r="F25" s="53">
        <v>4633.57</v>
      </c>
      <c r="G25" s="5">
        <v>2.1498379000000001E-2</v>
      </c>
    </row>
    <row r="26" spans="1:7" ht="25.5" x14ac:dyDescent="0.2">
      <c r="A26" s="6">
        <v>20</v>
      </c>
      <c r="B26" s="7" t="s">
        <v>562</v>
      </c>
      <c r="C26" s="11" t="s">
        <v>563</v>
      </c>
      <c r="D26" s="2" t="s">
        <v>47</v>
      </c>
      <c r="E26" s="47">
        <v>73000</v>
      </c>
      <c r="F26" s="53">
        <v>4535.0155000000004</v>
      </c>
      <c r="G26" s="5">
        <v>2.1041114999999999E-2</v>
      </c>
    </row>
    <row r="27" spans="1:7" ht="12.75" x14ac:dyDescent="0.2">
      <c r="A27" s="6">
        <v>21</v>
      </c>
      <c r="B27" s="7" t="s">
        <v>564</v>
      </c>
      <c r="C27" s="11" t="s">
        <v>565</v>
      </c>
      <c r="D27" s="2" t="s">
        <v>19</v>
      </c>
      <c r="E27" s="47">
        <v>280000</v>
      </c>
      <c r="F27" s="53">
        <v>4390.54</v>
      </c>
      <c r="G27" s="5">
        <v>2.0370791999999999E-2</v>
      </c>
    </row>
    <row r="28" spans="1:7" ht="12.75" x14ac:dyDescent="0.2">
      <c r="A28" s="6">
        <v>22</v>
      </c>
      <c r="B28" s="7" t="s">
        <v>204</v>
      </c>
      <c r="C28" s="11" t="s">
        <v>205</v>
      </c>
      <c r="D28" s="2" t="s">
        <v>72</v>
      </c>
      <c r="E28" s="47">
        <v>1433346</v>
      </c>
      <c r="F28" s="53">
        <v>3910.8845609999998</v>
      </c>
      <c r="G28" s="5">
        <v>1.8145333999999999E-2</v>
      </c>
    </row>
    <row r="29" spans="1:7" ht="12.75" x14ac:dyDescent="0.2">
      <c r="A29" s="6">
        <v>23</v>
      </c>
      <c r="B29" s="7" t="s">
        <v>517</v>
      </c>
      <c r="C29" s="11" t="s">
        <v>518</v>
      </c>
      <c r="D29" s="2" t="s">
        <v>19</v>
      </c>
      <c r="E29" s="47">
        <v>490000</v>
      </c>
      <c r="F29" s="53">
        <v>3766.875</v>
      </c>
      <c r="G29" s="5">
        <v>1.7477172999999999E-2</v>
      </c>
    </row>
    <row r="30" spans="1:7" ht="25.5" x14ac:dyDescent="0.2">
      <c r="A30" s="6">
        <v>24</v>
      </c>
      <c r="B30" s="7" t="s">
        <v>310</v>
      </c>
      <c r="C30" s="11" t="s">
        <v>311</v>
      </c>
      <c r="D30" s="2" t="s">
        <v>223</v>
      </c>
      <c r="E30" s="47">
        <v>1693538</v>
      </c>
      <c r="F30" s="53">
        <v>3593.6876360000001</v>
      </c>
      <c r="G30" s="5">
        <v>1.6673635999999999E-2</v>
      </c>
    </row>
    <row r="31" spans="1:7" ht="25.5" x14ac:dyDescent="0.2">
      <c r="A31" s="6">
        <v>25</v>
      </c>
      <c r="B31" s="7" t="s">
        <v>566</v>
      </c>
      <c r="C31" s="11" t="s">
        <v>567</v>
      </c>
      <c r="D31" s="2" t="s">
        <v>30</v>
      </c>
      <c r="E31" s="47">
        <v>110000</v>
      </c>
      <c r="F31" s="53">
        <v>3593.26</v>
      </c>
      <c r="G31" s="5">
        <v>1.6671651999999999E-2</v>
      </c>
    </row>
    <row r="32" spans="1:7" ht="12.75" x14ac:dyDescent="0.2">
      <c r="A32" s="6">
        <v>26</v>
      </c>
      <c r="B32" s="7" t="s">
        <v>412</v>
      </c>
      <c r="C32" s="11" t="s">
        <v>413</v>
      </c>
      <c r="D32" s="2" t="s">
        <v>237</v>
      </c>
      <c r="E32" s="47">
        <v>130000</v>
      </c>
      <c r="F32" s="53">
        <v>3515.46</v>
      </c>
      <c r="G32" s="5">
        <v>1.6310682999999999E-2</v>
      </c>
    </row>
    <row r="33" spans="1:7" ht="25.5" x14ac:dyDescent="0.2">
      <c r="A33" s="6">
        <v>27</v>
      </c>
      <c r="B33" s="7" t="s">
        <v>568</v>
      </c>
      <c r="C33" s="11" t="s">
        <v>569</v>
      </c>
      <c r="D33" s="2" t="s">
        <v>30</v>
      </c>
      <c r="E33" s="47">
        <v>750000</v>
      </c>
      <c r="F33" s="53">
        <v>3464.625</v>
      </c>
      <c r="G33" s="5">
        <v>1.6074824000000001E-2</v>
      </c>
    </row>
    <row r="34" spans="1:7" ht="25.5" x14ac:dyDescent="0.2">
      <c r="A34" s="6">
        <v>28</v>
      </c>
      <c r="B34" s="7" t="s">
        <v>364</v>
      </c>
      <c r="C34" s="11" t="s">
        <v>365</v>
      </c>
      <c r="D34" s="2" t="s">
        <v>72</v>
      </c>
      <c r="E34" s="47">
        <v>963000</v>
      </c>
      <c r="F34" s="53">
        <v>3399.39</v>
      </c>
      <c r="G34" s="5">
        <v>1.5772153000000001E-2</v>
      </c>
    </row>
    <row r="35" spans="1:7" ht="25.5" x14ac:dyDescent="0.2">
      <c r="A35" s="6">
        <v>29</v>
      </c>
      <c r="B35" s="7" t="s">
        <v>475</v>
      </c>
      <c r="C35" s="11" t="s">
        <v>476</v>
      </c>
      <c r="D35" s="2" t="s">
        <v>47</v>
      </c>
      <c r="E35" s="47">
        <v>372514</v>
      </c>
      <c r="F35" s="53">
        <v>3390.9949419999998</v>
      </c>
      <c r="G35" s="5">
        <v>1.5733202000000002E-2</v>
      </c>
    </row>
    <row r="36" spans="1:7" ht="25.5" x14ac:dyDescent="0.2">
      <c r="A36" s="6">
        <v>30</v>
      </c>
      <c r="B36" s="7" t="s">
        <v>303</v>
      </c>
      <c r="C36" s="11" t="s">
        <v>304</v>
      </c>
      <c r="D36" s="2" t="s">
        <v>47</v>
      </c>
      <c r="E36" s="47">
        <v>152000</v>
      </c>
      <c r="F36" s="53">
        <v>3335.5639999999999</v>
      </c>
      <c r="G36" s="5">
        <v>1.5476019000000001E-2</v>
      </c>
    </row>
    <row r="37" spans="1:7" ht="25.5" x14ac:dyDescent="0.2">
      <c r="A37" s="6">
        <v>31</v>
      </c>
      <c r="B37" s="7" t="s">
        <v>422</v>
      </c>
      <c r="C37" s="11" t="s">
        <v>423</v>
      </c>
      <c r="D37" s="2" t="s">
        <v>30</v>
      </c>
      <c r="E37" s="47">
        <v>500000</v>
      </c>
      <c r="F37" s="53">
        <v>3124.75</v>
      </c>
      <c r="G37" s="5">
        <v>1.4497905E-2</v>
      </c>
    </row>
    <row r="38" spans="1:7" ht="12.75" x14ac:dyDescent="0.2">
      <c r="A38" s="6">
        <v>32</v>
      </c>
      <c r="B38" s="7" t="s">
        <v>570</v>
      </c>
      <c r="C38" s="11" t="s">
        <v>571</v>
      </c>
      <c r="D38" s="2" t="s">
        <v>376</v>
      </c>
      <c r="E38" s="47">
        <v>510000</v>
      </c>
      <c r="F38" s="53">
        <v>3041.895</v>
      </c>
      <c r="G38" s="5">
        <v>1.4113483E-2</v>
      </c>
    </row>
    <row r="39" spans="1:7" ht="25.5" x14ac:dyDescent="0.2">
      <c r="A39" s="6">
        <v>33</v>
      </c>
      <c r="B39" s="7" t="s">
        <v>45</v>
      </c>
      <c r="C39" s="11" t="s">
        <v>46</v>
      </c>
      <c r="D39" s="2" t="s">
        <v>47</v>
      </c>
      <c r="E39" s="47">
        <v>350000</v>
      </c>
      <c r="F39" s="53">
        <v>2946.4749999999999</v>
      </c>
      <c r="G39" s="5">
        <v>1.3670763000000001E-2</v>
      </c>
    </row>
    <row r="40" spans="1:7" ht="25.5" x14ac:dyDescent="0.2">
      <c r="A40" s="6">
        <v>34</v>
      </c>
      <c r="B40" s="7" t="s">
        <v>446</v>
      </c>
      <c r="C40" s="11" t="s">
        <v>447</v>
      </c>
      <c r="D40" s="2" t="s">
        <v>47</v>
      </c>
      <c r="E40" s="47">
        <v>400000</v>
      </c>
      <c r="F40" s="53">
        <v>2834</v>
      </c>
      <c r="G40" s="5">
        <v>1.3148912E-2</v>
      </c>
    </row>
    <row r="41" spans="1:7" ht="12.75" x14ac:dyDescent="0.2">
      <c r="A41" s="6">
        <v>35</v>
      </c>
      <c r="B41" s="7" t="s">
        <v>572</v>
      </c>
      <c r="C41" s="11" t="s">
        <v>573</v>
      </c>
      <c r="D41" s="2" t="s">
        <v>158</v>
      </c>
      <c r="E41" s="47">
        <v>200000</v>
      </c>
      <c r="F41" s="53">
        <v>2803.2</v>
      </c>
      <c r="G41" s="5">
        <v>1.3006009000000001E-2</v>
      </c>
    </row>
    <row r="42" spans="1:7" ht="12.75" x14ac:dyDescent="0.2">
      <c r="A42" s="6">
        <v>36</v>
      </c>
      <c r="B42" s="7" t="s">
        <v>438</v>
      </c>
      <c r="C42" s="11" t="s">
        <v>439</v>
      </c>
      <c r="D42" s="2" t="s">
        <v>237</v>
      </c>
      <c r="E42" s="47">
        <v>36000</v>
      </c>
      <c r="F42" s="53">
        <v>2721.384</v>
      </c>
      <c r="G42" s="5">
        <v>1.2626408E-2</v>
      </c>
    </row>
    <row r="43" spans="1:7" ht="25.5" x14ac:dyDescent="0.2">
      <c r="A43" s="6">
        <v>37</v>
      </c>
      <c r="B43" s="7" t="s">
        <v>156</v>
      </c>
      <c r="C43" s="11" t="s">
        <v>157</v>
      </c>
      <c r="D43" s="2" t="s">
        <v>158</v>
      </c>
      <c r="E43" s="47">
        <v>300000</v>
      </c>
      <c r="F43" s="53">
        <v>2692.5</v>
      </c>
      <c r="G43" s="5">
        <v>1.2492395E-2</v>
      </c>
    </row>
    <row r="44" spans="1:7" ht="12.75" x14ac:dyDescent="0.2">
      <c r="A44" s="6">
        <v>38</v>
      </c>
      <c r="B44" s="7" t="s">
        <v>359</v>
      </c>
      <c r="C44" s="11" t="s">
        <v>360</v>
      </c>
      <c r="D44" s="2" t="s">
        <v>361</v>
      </c>
      <c r="E44" s="47">
        <v>550000</v>
      </c>
      <c r="F44" s="53">
        <v>2614.6999999999998</v>
      </c>
      <c r="G44" s="5">
        <v>1.2131426000000001E-2</v>
      </c>
    </row>
    <row r="45" spans="1:7" ht="25.5" x14ac:dyDescent="0.2">
      <c r="A45" s="6">
        <v>39</v>
      </c>
      <c r="B45" s="7" t="s">
        <v>200</v>
      </c>
      <c r="C45" s="11" t="s">
        <v>201</v>
      </c>
      <c r="D45" s="2" t="s">
        <v>30</v>
      </c>
      <c r="E45" s="47">
        <v>840000</v>
      </c>
      <c r="F45" s="53">
        <v>2514.54</v>
      </c>
      <c r="G45" s="5">
        <v>1.1666713E-2</v>
      </c>
    </row>
    <row r="46" spans="1:7" ht="25.5" x14ac:dyDescent="0.2">
      <c r="A46" s="6">
        <v>40</v>
      </c>
      <c r="B46" s="7" t="s">
        <v>574</v>
      </c>
      <c r="C46" s="11" t="s">
        <v>575</v>
      </c>
      <c r="D46" s="2" t="s">
        <v>361</v>
      </c>
      <c r="E46" s="47">
        <v>1400000</v>
      </c>
      <c r="F46" s="53">
        <v>2384.9</v>
      </c>
      <c r="G46" s="5">
        <v>1.1065223000000001E-2</v>
      </c>
    </row>
    <row r="47" spans="1:7" ht="51" x14ac:dyDescent="0.2">
      <c r="A47" s="6">
        <v>41</v>
      </c>
      <c r="B47" s="7" t="s">
        <v>206</v>
      </c>
      <c r="C47" s="11" t="s">
        <v>207</v>
      </c>
      <c r="D47" s="2" t="s">
        <v>208</v>
      </c>
      <c r="E47" s="47">
        <v>3858700</v>
      </c>
      <c r="F47" s="53">
        <v>2357.6657</v>
      </c>
      <c r="G47" s="5">
        <v>1.0938864E-2</v>
      </c>
    </row>
    <row r="48" spans="1:7" ht="12.75" x14ac:dyDescent="0.2">
      <c r="A48" s="6">
        <v>42</v>
      </c>
      <c r="B48" s="7" t="s">
        <v>374</v>
      </c>
      <c r="C48" s="11" t="s">
        <v>375</v>
      </c>
      <c r="D48" s="2" t="s">
        <v>376</v>
      </c>
      <c r="E48" s="47">
        <v>62650</v>
      </c>
      <c r="F48" s="53">
        <v>2251.5783499999998</v>
      </c>
      <c r="G48" s="5">
        <v>1.044665E-2</v>
      </c>
    </row>
    <row r="49" spans="1:7" ht="25.5" x14ac:dyDescent="0.2">
      <c r="A49" s="6">
        <v>43</v>
      </c>
      <c r="B49" s="7" t="s">
        <v>576</v>
      </c>
      <c r="C49" s="11" t="s">
        <v>577</v>
      </c>
      <c r="D49" s="2" t="s">
        <v>30</v>
      </c>
      <c r="E49" s="47">
        <v>600000</v>
      </c>
      <c r="F49" s="53">
        <v>2195.1</v>
      </c>
      <c r="G49" s="5">
        <v>1.0184607E-2</v>
      </c>
    </row>
    <row r="50" spans="1:7" ht="25.5" x14ac:dyDescent="0.2">
      <c r="A50" s="6">
        <v>44</v>
      </c>
      <c r="B50" s="7" t="s">
        <v>521</v>
      </c>
      <c r="C50" s="11" t="s">
        <v>522</v>
      </c>
      <c r="D50" s="2" t="s">
        <v>30</v>
      </c>
      <c r="E50" s="47">
        <v>1300000</v>
      </c>
      <c r="F50" s="53">
        <v>2118.35</v>
      </c>
      <c r="G50" s="5">
        <v>9.8285100000000004E-3</v>
      </c>
    </row>
    <row r="51" spans="1:7" ht="25.5" x14ac:dyDescent="0.2">
      <c r="A51" s="6">
        <v>45</v>
      </c>
      <c r="B51" s="7" t="s">
        <v>173</v>
      </c>
      <c r="C51" s="11" t="s">
        <v>174</v>
      </c>
      <c r="D51" s="2" t="s">
        <v>163</v>
      </c>
      <c r="E51" s="47">
        <v>115000</v>
      </c>
      <c r="F51" s="53">
        <v>2043.55</v>
      </c>
      <c r="G51" s="5">
        <v>9.4814610000000001E-3</v>
      </c>
    </row>
    <row r="52" spans="1:7" ht="25.5" x14ac:dyDescent="0.2">
      <c r="A52" s="6">
        <v>46</v>
      </c>
      <c r="B52" s="7" t="s">
        <v>11</v>
      </c>
      <c r="C52" s="11" t="s">
        <v>12</v>
      </c>
      <c r="D52" s="2" t="s">
        <v>13</v>
      </c>
      <c r="E52" s="47">
        <v>131000</v>
      </c>
      <c r="F52" s="53">
        <v>1929.6955</v>
      </c>
      <c r="G52" s="5">
        <v>8.9532099999999996E-3</v>
      </c>
    </row>
    <row r="53" spans="1:7" ht="12.75" x14ac:dyDescent="0.2">
      <c r="A53" s="6">
        <v>47</v>
      </c>
      <c r="B53" s="7" t="s">
        <v>175</v>
      </c>
      <c r="C53" s="11" t="s">
        <v>176</v>
      </c>
      <c r="D53" s="2" t="s">
        <v>19</v>
      </c>
      <c r="E53" s="47">
        <v>2170099</v>
      </c>
      <c r="F53" s="53">
        <v>1819.6280115</v>
      </c>
      <c r="G53" s="5">
        <v>8.4425300000000002E-3</v>
      </c>
    </row>
    <row r="54" spans="1:7" ht="12.75" x14ac:dyDescent="0.2">
      <c r="A54" s="6">
        <v>48</v>
      </c>
      <c r="B54" s="7" t="s">
        <v>420</v>
      </c>
      <c r="C54" s="11" t="s">
        <v>421</v>
      </c>
      <c r="D54" s="2" t="s">
        <v>72</v>
      </c>
      <c r="E54" s="47">
        <v>40000</v>
      </c>
      <c r="F54" s="53">
        <v>1611.02</v>
      </c>
      <c r="G54" s="5">
        <v>7.4746509999999997E-3</v>
      </c>
    </row>
    <row r="55" spans="1:7" ht="12.75" x14ac:dyDescent="0.2">
      <c r="A55" s="6">
        <v>49</v>
      </c>
      <c r="B55" s="7" t="s">
        <v>61</v>
      </c>
      <c r="C55" s="11" t="s">
        <v>62</v>
      </c>
      <c r="D55" s="2" t="s">
        <v>19</v>
      </c>
      <c r="E55" s="47">
        <v>1620558</v>
      </c>
      <c r="F55" s="53">
        <v>1562.2179120000001</v>
      </c>
      <c r="G55" s="5">
        <v>7.2482240000000002E-3</v>
      </c>
    </row>
    <row r="56" spans="1:7" ht="12.75" x14ac:dyDescent="0.2">
      <c r="A56" s="6">
        <v>50</v>
      </c>
      <c r="B56" s="7" t="s">
        <v>578</v>
      </c>
      <c r="C56" s="11" t="s">
        <v>579</v>
      </c>
      <c r="D56" s="2" t="s">
        <v>376</v>
      </c>
      <c r="E56" s="47">
        <v>399922</v>
      </c>
      <c r="F56" s="53">
        <v>1475.3122579999999</v>
      </c>
      <c r="G56" s="5">
        <v>6.8450079999999996E-3</v>
      </c>
    </row>
    <row r="57" spans="1:7" ht="12.75" x14ac:dyDescent="0.2">
      <c r="A57" s="6">
        <v>51</v>
      </c>
      <c r="B57" s="7" t="s">
        <v>580</v>
      </c>
      <c r="C57" s="11" t="s">
        <v>581</v>
      </c>
      <c r="D57" s="2" t="s">
        <v>237</v>
      </c>
      <c r="E57" s="47">
        <v>105711</v>
      </c>
      <c r="F57" s="53">
        <v>1391.8438815</v>
      </c>
      <c r="G57" s="5">
        <v>6.4577389999999997E-3</v>
      </c>
    </row>
    <row r="58" spans="1:7" ht="25.5" x14ac:dyDescent="0.2">
      <c r="A58" s="6">
        <v>52</v>
      </c>
      <c r="B58" s="7" t="s">
        <v>385</v>
      </c>
      <c r="C58" s="11" t="s">
        <v>386</v>
      </c>
      <c r="D58" s="2" t="s">
        <v>197</v>
      </c>
      <c r="E58" s="47">
        <v>156030</v>
      </c>
      <c r="F58" s="53">
        <v>1375.71651</v>
      </c>
      <c r="G58" s="5">
        <v>6.3829129999999996E-3</v>
      </c>
    </row>
    <row r="59" spans="1:7" ht="12.75" x14ac:dyDescent="0.2">
      <c r="A59" s="6">
        <v>53</v>
      </c>
      <c r="B59" s="7" t="s">
        <v>381</v>
      </c>
      <c r="C59" s="11" t="s">
        <v>382</v>
      </c>
      <c r="D59" s="2" t="s">
        <v>72</v>
      </c>
      <c r="E59" s="47">
        <v>95448</v>
      </c>
      <c r="F59" s="53">
        <v>1260.4862880000001</v>
      </c>
      <c r="G59" s="5">
        <v>5.8482789999999996E-3</v>
      </c>
    </row>
    <row r="60" spans="1:7" ht="12.75" x14ac:dyDescent="0.2">
      <c r="A60" s="6">
        <v>54</v>
      </c>
      <c r="B60" s="7" t="s">
        <v>190</v>
      </c>
      <c r="C60" s="11" t="s">
        <v>191</v>
      </c>
      <c r="D60" s="2" t="s">
        <v>192</v>
      </c>
      <c r="E60" s="47">
        <v>718923</v>
      </c>
      <c r="F60" s="53">
        <v>1107.5008815000001</v>
      </c>
      <c r="G60" s="5">
        <v>5.1384730000000002E-3</v>
      </c>
    </row>
    <row r="61" spans="1:7" ht="25.5" x14ac:dyDescent="0.2">
      <c r="A61" s="6">
        <v>55</v>
      </c>
      <c r="B61" s="7" t="s">
        <v>245</v>
      </c>
      <c r="C61" s="11" t="s">
        <v>246</v>
      </c>
      <c r="D61" s="2" t="s">
        <v>30</v>
      </c>
      <c r="E61" s="47">
        <v>2260964</v>
      </c>
      <c r="F61" s="53">
        <v>158.26748000000001</v>
      </c>
      <c r="G61" s="5">
        <v>7.3431400000000002E-4</v>
      </c>
    </row>
    <row r="62" spans="1:7" ht="12.75" x14ac:dyDescent="0.2">
      <c r="A62" s="1"/>
      <c r="B62" s="2"/>
      <c r="C62" s="8" t="s">
        <v>108</v>
      </c>
      <c r="D62" s="12"/>
      <c r="E62" s="49"/>
      <c r="F62" s="55">
        <v>209770.18400499999</v>
      </c>
      <c r="G62" s="13">
        <v>0.97327090500000046</v>
      </c>
    </row>
    <row r="63" spans="1:7" ht="12.75" x14ac:dyDescent="0.2">
      <c r="A63" s="6"/>
      <c r="B63" s="7"/>
      <c r="C63" s="14"/>
      <c r="D63" s="15"/>
      <c r="E63" s="47"/>
      <c r="F63" s="53"/>
      <c r="G63" s="5"/>
    </row>
    <row r="64" spans="1:7" ht="12.75" x14ac:dyDescent="0.2">
      <c r="A64" s="1"/>
      <c r="B64" s="2"/>
      <c r="C64" s="8" t="s">
        <v>109</v>
      </c>
      <c r="D64" s="9"/>
      <c r="E64" s="48"/>
      <c r="F64" s="54"/>
      <c r="G64" s="10"/>
    </row>
    <row r="65" spans="1:7" ht="12.75" x14ac:dyDescent="0.2">
      <c r="A65" s="1"/>
      <c r="B65" s="2"/>
      <c r="C65" s="8" t="s">
        <v>108</v>
      </c>
      <c r="D65" s="12"/>
      <c r="E65" s="49"/>
      <c r="F65" s="55">
        <v>0</v>
      </c>
      <c r="G65" s="13">
        <v>0</v>
      </c>
    </row>
    <row r="66" spans="1:7" ht="12.75" x14ac:dyDescent="0.2">
      <c r="A66" s="6"/>
      <c r="B66" s="7"/>
      <c r="C66" s="14"/>
      <c r="D66" s="15"/>
      <c r="E66" s="47"/>
      <c r="F66" s="53"/>
      <c r="G66" s="5"/>
    </row>
    <row r="67" spans="1:7" ht="12.75" x14ac:dyDescent="0.2">
      <c r="A67" s="16"/>
      <c r="B67" s="17"/>
      <c r="C67" s="8" t="s">
        <v>110</v>
      </c>
      <c r="D67" s="9"/>
      <c r="E67" s="48"/>
      <c r="F67" s="54"/>
      <c r="G67" s="10"/>
    </row>
    <row r="68" spans="1:7" ht="12.75" x14ac:dyDescent="0.2">
      <c r="A68" s="18"/>
      <c r="B68" s="19"/>
      <c r="C68" s="8" t="s">
        <v>108</v>
      </c>
      <c r="D68" s="20"/>
      <c r="E68" s="50"/>
      <c r="F68" s="56">
        <v>0</v>
      </c>
      <c r="G68" s="21">
        <v>0</v>
      </c>
    </row>
    <row r="69" spans="1:7" ht="12.75" x14ac:dyDescent="0.2">
      <c r="A69" s="18"/>
      <c r="B69" s="19"/>
      <c r="C69" s="14"/>
      <c r="D69" s="22"/>
      <c r="E69" s="51"/>
      <c r="F69" s="57"/>
      <c r="G69" s="23"/>
    </row>
    <row r="70" spans="1:7" ht="12.75" x14ac:dyDescent="0.2">
      <c r="A70" s="1"/>
      <c r="B70" s="2"/>
      <c r="C70" s="8" t="s">
        <v>113</v>
      </c>
      <c r="D70" s="9"/>
      <c r="E70" s="48"/>
      <c r="F70" s="54"/>
      <c r="G70" s="10"/>
    </row>
    <row r="71" spans="1:7" ht="12.75" x14ac:dyDescent="0.2">
      <c r="A71" s="1"/>
      <c r="B71" s="2"/>
      <c r="C71" s="8" t="s">
        <v>108</v>
      </c>
      <c r="D71" s="12"/>
      <c r="E71" s="49"/>
      <c r="F71" s="55">
        <v>0</v>
      </c>
      <c r="G71" s="13">
        <v>0</v>
      </c>
    </row>
    <row r="72" spans="1:7" ht="12.75" x14ac:dyDescent="0.2">
      <c r="A72" s="1"/>
      <c r="B72" s="2"/>
      <c r="C72" s="14"/>
      <c r="D72" s="4"/>
      <c r="E72" s="47"/>
      <c r="F72" s="53"/>
      <c r="G72" s="5"/>
    </row>
    <row r="73" spans="1:7" ht="12.75" x14ac:dyDescent="0.2">
      <c r="A73" s="1"/>
      <c r="B73" s="2"/>
      <c r="C73" s="8" t="s">
        <v>114</v>
      </c>
      <c r="D73" s="9"/>
      <c r="E73" s="48"/>
      <c r="F73" s="54"/>
      <c r="G73" s="10"/>
    </row>
    <row r="74" spans="1:7" ht="12.75" x14ac:dyDescent="0.2">
      <c r="A74" s="1"/>
      <c r="B74" s="2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1"/>
      <c r="B75" s="2"/>
      <c r="C75" s="14"/>
      <c r="D75" s="4"/>
      <c r="E75" s="47"/>
      <c r="F75" s="53"/>
      <c r="G75" s="5"/>
    </row>
    <row r="76" spans="1:7" ht="12.75" x14ac:dyDescent="0.2">
      <c r="A76" s="1"/>
      <c r="B76" s="2"/>
      <c r="C76" s="8" t="s">
        <v>115</v>
      </c>
      <c r="D76" s="9"/>
      <c r="E76" s="48"/>
      <c r="F76" s="54"/>
      <c r="G76" s="10"/>
    </row>
    <row r="77" spans="1:7" ht="12.75" x14ac:dyDescent="0.2">
      <c r="A77" s="1"/>
      <c r="B77" s="2"/>
      <c r="C77" s="8" t="s">
        <v>108</v>
      </c>
      <c r="D77" s="12"/>
      <c r="E77" s="49"/>
      <c r="F77" s="55">
        <v>0</v>
      </c>
      <c r="G77" s="13">
        <v>0</v>
      </c>
    </row>
    <row r="78" spans="1:7" ht="12.75" x14ac:dyDescent="0.2">
      <c r="A78" s="1"/>
      <c r="B78" s="2"/>
      <c r="C78" s="14"/>
      <c r="D78" s="4"/>
      <c r="E78" s="47"/>
      <c r="F78" s="53"/>
      <c r="G78" s="5"/>
    </row>
    <row r="79" spans="1:7" ht="25.5" x14ac:dyDescent="0.2">
      <c r="A79" s="6"/>
      <c r="B79" s="7"/>
      <c r="C79" s="24" t="s">
        <v>116</v>
      </c>
      <c r="D79" s="25"/>
      <c r="E79" s="49"/>
      <c r="F79" s="55">
        <v>209770.18400499999</v>
      </c>
      <c r="G79" s="13">
        <v>0.97327090500000046</v>
      </c>
    </row>
    <row r="80" spans="1:7" ht="12.75" x14ac:dyDescent="0.2">
      <c r="A80" s="1"/>
      <c r="B80" s="2"/>
      <c r="C80" s="11"/>
      <c r="D80" s="4"/>
      <c r="E80" s="47"/>
      <c r="F80" s="53"/>
      <c r="G80" s="5"/>
    </row>
    <row r="81" spans="1:7" ht="12.75" x14ac:dyDescent="0.2">
      <c r="A81" s="1"/>
      <c r="B81" s="2"/>
      <c r="C81" s="3" t="s">
        <v>117</v>
      </c>
      <c r="D81" s="4"/>
      <c r="E81" s="47"/>
      <c r="F81" s="53"/>
      <c r="G81" s="5"/>
    </row>
    <row r="82" spans="1:7" ht="25.5" x14ac:dyDescent="0.2">
      <c r="A82" s="1"/>
      <c r="B82" s="2"/>
      <c r="C82" s="8" t="s">
        <v>10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12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4"/>
      <c r="E84" s="47"/>
      <c r="F84" s="53"/>
      <c r="G84" s="5"/>
    </row>
    <row r="85" spans="1:7" ht="12.75" x14ac:dyDescent="0.2">
      <c r="A85" s="1"/>
      <c r="B85" s="26"/>
      <c r="C85" s="8" t="s">
        <v>118</v>
      </c>
      <c r="D85" s="9"/>
      <c r="E85" s="48"/>
      <c r="F85" s="54"/>
      <c r="G85" s="10"/>
    </row>
    <row r="86" spans="1:7" ht="25.5" x14ac:dyDescent="0.2">
      <c r="A86" s="1">
        <v>1</v>
      </c>
      <c r="B86" s="26" t="s">
        <v>582</v>
      </c>
      <c r="C86" s="11" t="s">
        <v>583</v>
      </c>
      <c r="D86" s="26" t="s">
        <v>584</v>
      </c>
      <c r="E86" s="52">
        <v>130000</v>
      </c>
      <c r="F86" s="58">
        <v>39.984242999999999</v>
      </c>
      <c r="G86" s="27">
        <v>1.85515E-4</v>
      </c>
    </row>
    <row r="87" spans="1:7" ht="12.75" x14ac:dyDescent="0.2">
      <c r="A87" s="6"/>
      <c r="B87" s="7"/>
      <c r="C87" s="8" t="s">
        <v>108</v>
      </c>
      <c r="D87" s="12"/>
      <c r="E87" s="49"/>
      <c r="F87" s="55">
        <v>39.984242999999999</v>
      </c>
      <c r="G87" s="13">
        <v>1.85515E-4</v>
      </c>
    </row>
    <row r="88" spans="1:7" ht="12.75" x14ac:dyDescent="0.2">
      <c r="A88" s="6"/>
      <c r="B88" s="7"/>
      <c r="C88" s="14"/>
      <c r="D88" s="4"/>
      <c r="E88" s="47"/>
      <c r="F88" s="59"/>
      <c r="G88" s="28"/>
    </row>
    <row r="89" spans="1:7" ht="12.75" x14ac:dyDescent="0.2">
      <c r="A89" s="1"/>
      <c r="B89" s="2"/>
      <c r="C89" s="8" t="s">
        <v>119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12"/>
      <c r="E90" s="49"/>
      <c r="F90" s="55">
        <v>0</v>
      </c>
      <c r="G90" s="13">
        <v>0</v>
      </c>
    </row>
    <row r="91" spans="1:7" ht="12.75" x14ac:dyDescent="0.2">
      <c r="A91" s="1"/>
      <c r="B91" s="2"/>
      <c r="C91" s="14"/>
      <c r="D91" s="4"/>
      <c r="E91" s="47"/>
      <c r="F91" s="53"/>
      <c r="G91" s="5"/>
    </row>
    <row r="92" spans="1:7" ht="25.5" x14ac:dyDescent="0.2">
      <c r="A92" s="1"/>
      <c r="B92" s="26"/>
      <c r="C92" s="8" t="s">
        <v>120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12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4"/>
      <c r="E94" s="47"/>
      <c r="F94" s="53"/>
      <c r="G94" s="5"/>
    </row>
    <row r="95" spans="1:7" ht="12.75" x14ac:dyDescent="0.2">
      <c r="A95" s="6"/>
      <c r="B95" s="7"/>
      <c r="C95" s="29" t="s">
        <v>121</v>
      </c>
      <c r="D95" s="25"/>
      <c r="E95" s="49"/>
      <c r="F95" s="55">
        <v>39.984242999999999</v>
      </c>
      <c r="G95" s="13">
        <v>1.85515E-4</v>
      </c>
    </row>
    <row r="96" spans="1:7" ht="12.75" x14ac:dyDescent="0.2">
      <c r="A96" s="6"/>
      <c r="B96" s="7"/>
      <c r="C96" s="11"/>
      <c r="D96" s="4"/>
      <c r="E96" s="47"/>
      <c r="F96" s="53"/>
      <c r="G96" s="5"/>
    </row>
    <row r="97" spans="1:7" ht="12.75" x14ac:dyDescent="0.2">
      <c r="A97" s="1"/>
      <c r="B97" s="2"/>
      <c r="C97" s="3" t="s">
        <v>122</v>
      </c>
      <c r="D97" s="4"/>
      <c r="E97" s="47"/>
      <c r="F97" s="53"/>
      <c r="G97" s="5"/>
    </row>
    <row r="98" spans="1:7" ht="12.75" x14ac:dyDescent="0.2">
      <c r="A98" s="6"/>
      <c r="B98" s="7"/>
      <c r="C98" s="8" t="s">
        <v>123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25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7"/>
      <c r="E100" s="47"/>
      <c r="F100" s="53"/>
      <c r="G100" s="5"/>
    </row>
    <row r="101" spans="1:7" ht="12.75" x14ac:dyDescent="0.2">
      <c r="A101" s="6"/>
      <c r="B101" s="7"/>
      <c r="C101" s="8" t="s">
        <v>124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4"/>
      <c r="D103" s="7"/>
      <c r="E103" s="47"/>
      <c r="F103" s="53"/>
      <c r="G103" s="5"/>
    </row>
    <row r="104" spans="1:7" ht="12.75" x14ac:dyDescent="0.2">
      <c r="A104" s="6"/>
      <c r="B104" s="7"/>
      <c r="C104" s="8" t="s">
        <v>125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6"/>
      <c r="B107" s="7"/>
      <c r="C107" s="8" t="s">
        <v>126</v>
      </c>
      <c r="D107" s="9"/>
      <c r="E107" s="48"/>
      <c r="F107" s="54"/>
      <c r="G107" s="10"/>
    </row>
    <row r="108" spans="1:7" ht="12.75" x14ac:dyDescent="0.2">
      <c r="A108" s="6">
        <v>1</v>
      </c>
      <c r="B108" s="7"/>
      <c r="C108" s="11" t="s">
        <v>812</v>
      </c>
      <c r="D108" s="15"/>
      <c r="E108" s="47"/>
      <c r="F108" s="53">
        <v>767.89901569999995</v>
      </c>
      <c r="G108" s="5">
        <v>3.5628220000000002E-3</v>
      </c>
    </row>
    <row r="109" spans="1:7" ht="12.75" x14ac:dyDescent="0.2">
      <c r="A109" s="6"/>
      <c r="B109" s="7"/>
      <c r="C109" s="8" t="s">
        <v>108</v>
      </c>
      <c r="D109" s="25"/>
      <c r="E109" s="49"/>
      <c r="F109" s="55">
        <v>767.89901569999995</v>
      </c>
      <c r="G109" s="13">
        <v>3.5628220000000002E-3</v>
      </c>
    </row>
    <row r="110" spans="1:7" ht="12.75" x14ac:dyDescent="0.2">
      <c r="A110" s="6"/>
      <c r="B110" s="7"/>
      <c r="C110" s="14"/>
      <c r="D110" s="7"/>
      <c r="E110" s="47"/>
      <c r="F110" s="53"/>
      <c r="G110" s="5"/>
    </row>
    <row r="111" spans="1:7" ht="25.5" x14ac:dyDescent="0.2">
      <c r="A111" s="6"/>
      <c r="B111" s="7"/>
      <c r="C111" s="24" t="s">
        <v>127</v>
      </c>
      <c r="D111" s="25"/>
      <c r="E111" s="49"/>
      <c r="F111" s="55">
        <v>767.89901569999995</v>
      </c>
      <c r="G111" s="13">
        <v>3.5628220000000002E-3</v>
      </c>
    </row>
    <row r="112" spans="1:7" ht="12.75" x14ac:dyDescent="0.2">
      <c r="A112" s="6"/>
      <c r="B112" s="7"/>
      <c r="C112" s="30"/>
      <c r="D112" s="7"/>
      <c r="E112" s="47"/>
      <c r="F112" s="53"/>
      <c r="G112" s="5"/>
    </row>
    <row r="113" spans="1:7" ht="12.75" x14ac:dyDescent="0.2">
      <c r="A113" s="1"/>
      <c r="B113" s="2"/>
      <c r="C113" s="3" t="s">
        <v>128</v>
      </c>
      <c r="D113" s="4"/>
      <c r="E113" s="47"/>
      <c r="F113" s="53"/>
      <c r="G113" s="5"/>
    </row>
    <row r="114" spans="1:7" ht="25.5" x14ac:dyDescent="0.2">
      <c r="A114" s="6"/>
      <c r="B114" s="7"/>
      <c r="C114" s="8" t="s">
        <v>129</v>
      </c>
      <c r="D114" s="9"/>
      <c r="E114" s="48"/>
      <c r="F114" s="54"/>
      <c r="G114" s="10"/>
    </row>
    <row r="115" spans="1:7" ht="25.5" x14ac:dyDescent="0.2">
      <c r="A115" s="6">
        <v>1</v>
      </c>
      <c r="B115" s="7" t="s">
        <v>130</v>
      </c>
      <c r="C115" s="11" t="s">
        <v>839</v>
      </c>
      <c r="D115" s="15"/>
      <c r="E115" s="47">
        <v>384001.16700000002</v>
      </c>
      <c r="F115" s="53">
        <v>4000.5249258079998</v>
      </c>
      <c r="G115" s="5">
        <v>1.8561239E-2</v>
      </c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4000.5249258079998</v>
      </c>
      <c r="G116" s="13">
        <v>1.8561239E-2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12.75" x14ac:dyDescent="0.2">
      <c r="A118" s="1"/>
      <c r="B118" s="2"/>
      <c r="C118" s="3" t="s">
        <v>131</v>
      </c>
      <c r="D118" s="4"/>
      <c r="E118" s="47"/>
      <c r="F118" s="53"/>
      <c r="G118" s="5"/>
    </row>
    <row r="119" spans="1:7" ht="25.5" x14ac:dyDescent="0.2">
      <c r="A119" s="6"/>
      <c r="B119" s="7"/>
      <c r="C119" s="8" t="s">
        <v>132</v>
      </c>
      <c r="D119" s="9"/>
      <c r="E119" s="48"/>
      <c r="F119" s="54"/>
      <c r="G119" s="10"/>
    </row>
    <row r="120" spans="1:7" ht="12.75" x14ac:dyDescent="0.2">
      <c r="A120" s="6"/>
      <c r="B120" s="7"/>
      <c r="C120" s="8" t="s">
        <v>108</v>
      </c>
      <c r="D120" s="25"/>
      <c r="E120" s="49"/>
      <c r="F120" s="55">
        <v>0</v>
      </c>
      <c r="G120" s="13">
        <v>0</v>
      </c>
    </row>
    <row r="121" spans="1:7" ht="12.75" x14ac:dyDescent="0.2">
      <c r="A121" s="6"/>
      <c r="B121" s="7"/>
      <c r="C121" s="14"/>
      <c r="D121" s="7"/>
      <c r="E121" s="47"/>
      <c r="F121" s="53"/>
      <c r="G121" s="5"/>
    </row>
    <row r="122" spans="1:7" ht="25.5" x14ac:dyDescent="0.2">
      <c r="A122" s="6"/>
      <c r="B122" s="7"/>
      <c r="C122" s="8" t="s">
        <v>133</v>
      </c>
      <c r="D122" s="9"/>
      <c r="E122" s="48"/>
      <c r="F122" s="54"/>
      <c r="G122" s="10"/>
    </row>
    <row r="123" spans="1:7" ht="12.75" x14ac:dyDescent="0.2">
      <c r="A123" s="6"/>
      <c r="B123" s="7"/>
      <c r="C123" s="8" t="s">
        <v>108</v>
      </c>
      <c r="D123" s="25"/>
      <c r="E123" s="49"/>
      <c r="F123" s="55">
        <v>0</v>
      </c>
      <c r="G123" s="13">
        <v>0</v>
      </c>
    </row>
    <row r="124" spans="1:7" ht="12.75" x14ac:dyDescent="0.2">
      <c r="A124" s="6"/>
      <c r="B124" s="7"/>
      <c r="C124" s="14"/>
      <c r="D124" s="7"/>
      <c r="E124" s="47"/>
      <c r="F124" s="59"/>
      <c r="G124" s="28"/>
    </row>
    <row r="125" spans="1:7" ht="25.5" x14ac:dyDescent="0.2">
      <c r="A125" s="6"/>
      <c r="B125" s="7"/>
      <c r="C125" s="30" t="s">
        <v>134</v>
      </c>
      <c r="D125" s="7"/>
      <c r="E125" s="47"/>
      <c r="F125" s="128">
        <v>952.54447048201109</v>
      </c>
      <c r="G125" s="136">
        <v>4.4195213983615391E-3</v>
      </c>
    </row>
    <row r="126" spans="1:7" ht="12.75" x14ac:dyDescent="0.2">
      <c r="A126" s="6"/>
      <c r="B126" s="7"/>
      <c r="C126" s="31" t="s">
        <v>135</v>
      </c>
      <c r="D126" s="12"/>
      <c r="E126" s="49"/>
      <c r="F126" s="55">
        <v>215531.13665999001</v>
      </c>
      <c r="G126" s="13">
        <v>1</v>
      </c>
    </row>
    <row r="128" spans="1:7" ht="12.75" x14ac:dyDescent="0.2">
      <c r="B128" s="180" t="s">
        <v>813</v>
      </c>
      <c r="C128" s="180"/>
      <c r="D128" s="180"/>
      <c r="E128" s="180"/>
      <c r="F128" s="180"/>
    </row>
    <row r="129" spans="2:6" ht="12.75" x14ac:dyDescent="0.2">
      <c r="B129" s="179"/>
      <c r="C129" s="179"/>
      <c r="D129" s="179"/>
      <c r="E129" s="179"/>
      <c r="F129" s="179"/>
    </row>
    <row r="131" spans="2:6" ht="12.75" x14ac:dyDescent="0.2">
      <c r="B131" s="37" t="s">
        <v>137</v>
      </c>
      <c r="C131" s="38"/>
      <c r="D131" s="39"/>
    </row>
    <row r="132" spans="2:6" ht="12.75" x14ac:dyDescent="0.2">
      <c r="B132" s="40" t="s">
        <v>808</v>
      </c>
      <c r="C132" s="41"/>
      <c r="D132" s="65" t="s">
        <v>138</v>
      </c>
    </row>
    <row r="133" spans="2:6" ht="12.75" x14ac:dyDescent="0.2">
      <c r="B133" s="40" t="s">
        <v>139</v>
      </c>
      <c r="C133" s="41"/>
      <c r="D133" s="65" t="s">
        <v>138</v>
      </c>
    </row>
    <row r="134" spans="2:6" ht="12.75" x14ac:dyDescent="0.2">
      <c r="B134" s="42" t="s">
        <v>140</v>
      </c>
      <c r="C134" s="41"/>
      <c r="D134" s="43"/>
    </row>
    <row r="135" spans="2:6" ht="25.5" customHeight="1" x14ac:dyDescent="0.2">
      <c r="B135" s="43"/>
      <c r="C135" s="33" t="s">
        <v>141</v>
      </c>
      <c r="D135" s="34" t="s">
        <v>142</v>
      </c>
    </row>
    <row r="136" spans="2:6" ht="12.75" customHeight="1" x14ac:dyDescent="0.2">
      <c r="B136" s="60" t="s">
        <v>143</v>
      </c>
      <c r="C136" s="61" t="s">
        <v>144</v>
      </c>
      <c r="D136" s="61" t="s">
        <v>145</v>
      </c>
    </row>
    <row r="137" spans="2:6" ht="12.75" x14ac:dyDescent="0.2">
      <c r="B137" s="43" t="s">
        <v>146</v>
      </c>
      <c r="C137" s="44">
        <v>42.811500000000002</v>
      </c>
      <c r="D137" s="44">
        <v>44.391399999999997</v>
      </c>
    </row>
    <row r="138" spans="2:6" ht="12.75" x14ac:dyDescent="0.2">
      <c r="B138" s="43" t="s">
        <v>147</v>
      </c>
      <c r="C138" s="44">
        <v>18.364599999999999</v>
      </c>
      <c r="D138" s="44">
        <v>19.042400000000001</v>
      </c>
    </row>
    <row r="139" spans="2:6" ht="12.75" x14ac:dyDescent="0.2">
      <c r="B139" s="43" t="s">
        <v>148</v>
      </c>
      <c r="C139" s="44">
        <v>41.060200000000002</v>
      </c>
      <c r="D139" s="44">
        <v>42.548000000000002</v>
      </c>
    </row>
    <row r="140" spans="2:6" ht="12.75" x14ac:dyDescent="0.2">
      <c r="B140" s="43" t="s">
        <v>149</v>
      </c>
      <c r="C140" s="44">
        <v>17.363</v>
      </c>
      <c r="D140" s="44">
        <v>17.992100000000001</v>
      </c>
    </row>
    <row r="142" spans="2:6" ht="12.75" x14ac:dyDescent="0.2">
      <c r="B142" s="62" t="s">
        <v>150</v>
      </c>
      <c r="C142" s="45"/>
      <c r="D142" s="63" t="s">
        <v>138</v>
      </c>
    </row>
    <row r="143" spans="2:6" ht="24.75" customHeight="1" x14ac:dyDescent="0.2">
      <c r="B143" s="64"/>
      <c r="C143" s="64"/>
    </row>
    <row r="144" spans="2:6" ht="15" x14ac:dyDescent="0.25">
      <c r="B144" s="66"/>
      <c r="C144" s="68"/>
      <c r="D144"/>
    </row>
    <row r="146" spans="2:4" ht="12.75" x14ac:dyDescent="0.2">
      <c r="B146" s="42" t="s">
        <v>151</v>
      </c>
      <c r="C146" s="41"/>
      <c r="D146" s="67" t="s">
        <v>138</v>
      </c>
    </row>
    <row r="147" spans="2:4" ht="12.75" x14ac:dyDescent="0.2">
      <c r="B147" s="42" t="s">
        <v>152</v>
      </c>
      <c r="C147" s="41"/>
      <c r="D147" s="67" t="s">
        <v>138</v>
      </c>
    </row>
    <row r="148" spans="2:4" ht="12.75" x14ac:dyDescent="0.2">
      <c r="B148" s="42" t="s">
        <v>153</v>
      </c>
      <c r="C148" s="41"/>
      <c r="D148" s="46">
        <v>0.25313310020229962</v>
      </c>
    </row>
    <row r="149" spans="2:4" ht="12.75" x14ac:dyDescent="0.2">
      <c r="B149" s="42" t="s">
        <v>154</v>
      </c>
      <c r="C149" s="41"/>
      <c r="D149" s="46" t="s">
        <v>138</v>
      </c>
    </row>
  </sheetData>
  <mergeCells count="5">
    <mergeCell ref="A1:G1"/>
    <mergeCell ref="A2:G2"/>
    <mergeCell ref="A3:G3"/>
    <mergeCell ref="B128:F128"/>
    <mergeCell ref="B129:F129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3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585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36</v>
      </c>
      <c r="C7" s="11" t="s">
        <v>37</v>
      </c>
      <c r="D7" s="2" t="s">
        <v>16</v>
      </c>
      <c r="E7" s="47">
        <v>785316</v>
      </c>
      <c r="F7" s="53">
        <v>9662.1354059999994</v>
      </c>
      <c r="G7" s="5">
        <v>7.7299054000000006E-2</v>
      </c>
    </row>
    <row r="8" spans="1:7" ht="12.75" x14ac:dyDescent="0.2">
      <c r="A8" s="6">
        <v>2</v>
      </c>
      <c r="B8" s="7" t="s">
        <v>14</v>
      </c>
      <c r="C8" s="11" t="s">
        <v>15</v>
      </c>
      <c r="D8" s="2" t="s">
        <v>16</v>
      </c>
      <c r="E8" s="47">
        <v>1993358</v>
      </c>
      <c r="F8" s="53">
        <v>9230.2442190000002</v>
      </c>
      <c r="G8" s="5">
        <v>7.3843835999999996E-2</v>
      </c>
    </row>
    <row r="9" spans="1:7" ht="12.75" x14ac:dyDescent="0.2">
      <c r="A9" s="6">
        <v>3</v>
      </c>
      <c r="B9" s="7" t="s">
        <v>299</v>
      </c>
      <c r="C9" s="11" t="s">
        <v>300</v>
      </c>
      <c r="D9" s="2" t="s">
        <v>223</v>
      </c>
      <c r="E9" s="47">
        <v>1193685</v>
      </c>
      <c r="F9" s="53">
        <v>6465.5948024999998</v>
      </c>
      <c r="G9" s="5">
        <v>5.1726077000000002E-2</v>
      </c>
    </row>
    <row r="10" spans="1:7" ht="25.5" x14ac:dyDescent="0.2">
      <c r="A10" s="6">
        <v>4</v>
      </c>
      <c r="B10" s="7" t="s">
        <v>63</v>
      </c>
      <c r="C10" s="11" t="s">
        <v>64</v>
      </c>
      <c r="D10" s="2" t="s">
        <v>65</v>
      </c>
      <c r="E10" s="47">
        <v>1543199</v>
      </c>
      <c r="F10" s="53">
        <v>5775.4222575000003</v>
      </c>
      <c r="G10" s="5">
        <v>4.6204556000000001E-2</v>
      </c>
    </row>
    <row r="11" spans="1:7" ht="12.75" x14ac:dyDescent="0.2">
      <c r="A11" s="6">
        <v>5</v>
      </c>
      <c r="B11" s="7" t="s">
        <v>496</v>
      </c>
      <c r="C11" s="11" t="s">
        <v>497</v>
      </c>
      <c r="D11" s="2" t="s">
        <v>16</v>
      </c>
      <c r="E11" s="47">
        <v>350029</v>
      </c>
      <c r="F11" s="53">
        <v>5511.2066050000003</v>
      </c>
      <c r="G11" s="5">
        <v>4.4090776999999998E-2</v>
      </c>
    </row>
    <row r="12" spans="1:7" ht="25.5" x14ac:dyDescent="0.2">
      <c r="A12" s="6">
        <v>6</v>
      </c>
      <c r="B12" s="7" t="s">
        <v>70</v>
      </c>
      <c r="C12" s="11" t="s">
        <v>71</v>
      </c>
      <c r="D12" s="2" t="s">
        <v>72</v>
      </c>
      <c r="E12" s="47">
        <v>400423</v>
      </c>
      <c r="F12" s="53">
        <v>5376.8800440000005</v>
      </c>
      <c r="G12" s="5">
        <v>4.3016137000000003E-2</v>
      </c>
    </row>
    <row r="13" spans="1:7" ht="12.75" x14ac:dyDescent="0.2">
      <c r="A13" s="6">
        <v>7</v>
      </c>
      <c r="B13" s="7" t="s">
        <v>305</v>
      </c>
      <c r="C13" s="11" t="s">
        <v>306</v>
      </c>
      <c r="D13" s="2" t="s">
        <v>307</v>
      </c>
      <c r="E13" s="47">
        <v>1257319</v>
      </c>
      <c r="F13" s="53">
        <v>4923.0325444999999</v>
      </c>
      <c r="G13" s="5">
        <v>3.9385264000000003E-2</v>
      </c>
    </row>
    <row r="14" spans="1:7" ht="25.5" x14ac:dyDescent="0.2">
      <c r="A14" s="6">
        <v>8</v>
      </c>
      <c r="B14" s="7" t="s">
        <v>432</v>
      </c>
      <c r="C14" s="11" t="s">
        <v>433</v>
      </c>
      <c r="D14" s="2" t="s">
        <v>72</v>
      </c>
      <c r="E14" s="47">
        <v>215006</v>
      </c>
      <c r="F14" s="53">
        <v>4583.7129139999997</v>
      </c>
      <c r="G14" s="5">
        <v>3.6670637999999998E-2</v>
      </c>
    </row>
    <row r="15" spans="1:7" ht="25.5" x14ac:dyDescent="0.2">
      <c r="A15" s="6">
        <v>9</v>
      </c>
      <c r="B15" s="7" t="s">
        <v>450</v>
      </c>
      <c r="C15" s="11" t="s">
        <v>451</v>
      </c>
      <c r="D15" s="2" t="s">
        <v>47</v>
      </c>
      <c r="E15" s="47">
        <v>337366</v>
      </c>
      <c r="F15" s="53">
        <v>4491.016192</v>
      </c>
      <c r="G15" s="5">
        <v>3.5929045E-2</v>
      </c>
    </row>
    <row r="16" spans="1:7" ht="25.5" x14ac:dyDescent="0.2">
      <c r="A16" s="6">
        <v>10</v>
      </c>
      <c r="B16" s="7" t="s">
        <v>31</v>
      </c>
      <c r="C16" s="11" t="s">
        <v>32</v>
      </c>
      <c r="D16" s="2" t="s">
        <v>33</v>
      </c>
      <c r="E16" s="47">
        <v>303981</v>
      </c>
      <c r="F16" s="53">
        <v>4451.3457735000002</v>
      </c>
      <c r="G16" s="5">
        <v>3.5611674000000003E-2</v>
      </c>
    </row>
    <row r="17" spans="1:7" ht="25.5" x14ac:dyDescent="0.2">
      <c r="A17" s="6">
        <v>11</v>
      </c>
      <c r="B17" s="7" t="s">
        <v>404</v>
      </c>
      <c r="C17" s="11" t="s">
        <v>405</v>
      </c>
      <c r="D17" s="2" t="s">
        <v>72</v>
      </c>
      <c r="E17" s="47">
        <v>432549</v>
      </c>
      <c r="F17" s="53">
        <v>4288.7233349999997</v>
      </c>
      <c r="G17" s="5">
        <v>3.4310660999999999E-2</v>
      </c>
    </row>
    <row r="18" spans="1:7" ht="25.5" x14ac:dyDescent="0.2">
      <c r="A18" s="6">
        <v>12</v>
      </c>
      <c r="B18" s="7" t="s">
        <v>161</v>
      </c>
      <c r="C18" s="11" t="s">
        <v>162</v>
      </c>
      <c r="D18" s="2" t="s">
        <v>163</v>
      </c>
      <c r="E18" s="47">
        <v>1145663</v>
      </c>
      <c r="F18" s="53">
        <v>4178.2329609999997</v>
      </c>
      <c r="G18" s="5">
        <v>3.3426716000000002E-2</v>
      </c>
    </row>
    <row r="19" spans="1:7" ht="25.5" x14ac:dyDescent="0.2">
      <c r="A19" s="6">
        <v>13</v>
      </c>
      <c r="B19" s="7" t="s">
        <v>416</v>
      </c>
      <c r="C19" s="11" t="s">
        <v>417</v>
      </c>
      <c r="D19" s="2" t="s">
        <v>72</v>
      </c>
      <c r="E19" s="47">
        <v>596715</v>
      </c>
      <c r="F19" s="53">
        <v>3736.6293300000002</v>
      </c>
      <c r="G19" s="5">
        <v>2.9893797E-2</v>
      </c>
    </row>
    <row r="20" spans="1:7" ht="51" x14ac:dyDescent="0.2">
      <c r="A20" s="6">
        <v>14</v>
      </c>
      <c r="B20" s="7" t="s">
        <v>491</v>
      </c>
      <c r="C20" s="11" t="s">
        <v>492</v>
      </c>
      <c r="D20" s="2" t="s">
        <v>208</v>
      </c>
      <c r="E20" s="47">
        <v>813298</v>
      </c>
      <c r="F20" s="53">
        <v>2852.2360859999999</v>
      </c>
      <c r="G20" s="5">
        <v>2.281847E-2</v>
      </c>
    </row>
    <row r="21" spans="1:7" ht="25.5" x14ac:dyDescent="0.2">
      <c r="A21" s="6">
        <v>15</v>
      </c>
      <c r="B21" s="7" t="s">
        <v>310</v>
      </c>
      <c r="C21" s="11" t="s">
        <v>311</v>
      </c>
      <c r="D21" s="2" t="s">
        <v>223</v>
      </c>
      <c r="E21" s="47">
        <v>1335327</v>
      </c>
      <c r="F21" s="53">
        <v>2833.5638939999999</v>
      </c>
      <c r="G21" s="5">
        <v>2.2669089E-2</v>
      </c>
    </row>
    <row r="22" spans="1:7" ht="51" x14ac:dyDescent="0.2">
      <c r="A22" s="6">
        <v>16</v>
      </c>
      <c r="B22" s="7" t="s">
        <v>206</v>
      </c>
      <c r="C22" s="11" t="s">
        <v>207</v>
      </c>
      <c r="D22" s="2" t="s">
        <v>208</v>
      </c>
      <c r="E22" s="47">
        <v>4519237</v>
      </c>
      <c r="F22" s="53">
        <v>2761.2538070000001</v>
      </c>
      <c r="G22" s="5">
        <v>2.2090594000000002E-2</v>
      </c>
    </row>
    <row r="23" spans="1:7" ht="51" x14ac:dyDescent="0.2">
      <c r="A23" s="6">
        <v>17</v>
      </c>
      <c r="B23" s="7" t="s">
        <v>247</v>
      </c>
      <c r="C23" s="11" t="s">
        <v>248</v>
      </c>
      <c r="D23" s="2" t="s">
        <v>208</v>
      </c>
      <c r="E23" s="47">
        <v>1217918</v>
      </c>
      <c r="F23" s="53">
        <v>2634.9655929999999</v>
      </c>
      <c r="G23" s="5">
        <v>2.1080261999999999E-2</v>
      </c>
    </row>
    <row r="24" spans="1:7" ht="12.75" x14ac:dyDescent="0.2">
      <c r="A24" s="6">
        <v>18</v>
      </c>
      <c r="B24" s="7" t="s">
        <v>336</v>
      </c>
      <c r="C24" s="11" t="s">
        <v>337</v>
      </c>
      <c r="D24" s="2" t="s">
        <v>197</v>
      </c>
      <c r="E24" s="47">
        <v>483239</v>
      </c>
      <c r="F24" s="53">
        <v>2507.043932</v>
      </c>
      <c r="G24" s="5">
        <v>2.0056863000000001E-2</v>
      </c>
    </row>
    <row r="25" spans="1:7" ht="51" x14ac:dyDescent="0.2">
      <c r="A25" s="6">
        <v>19</v>
      </c>
      <c r="B25" s="7" t="s">
        <v>328</v>
      </c>
      <c r="C25" s="11" t="s">
        <v>329</v>
      </c>
      <c r="D25" s="2" t="s">
        <v>208</v>
      </c>
      <c r="E25" s="47">
        <v>1390405</v>
      </c>
      <c r="F25" s="53">
        <v>2329.6235775</v>
      </c>
      <c r="G25" s="5">
        <v>1.8637463999999999E-2</v>
      </c>
    </row>
    <row r="26" spans="1:7" ht="12.75" x14ac:dyDescent="0.2">
      <c r="A26" s="6">
        <v>20</v>
      </c>
      <c r="B26" s="7" t="s">
        <v>420</v>
      </c>
      <c r="C26" s="11" t="s">
        <v>421</v>
      </c>
      <c r="D26" s="2" t="s">
        <v>72</v>
      </c>
      <c r="E26" s="47">
        <v>48521</v>
      </c>
      <c r="F26" s="53">
        <v>1954.2075354999999</v>
      </c>
      <c r="G26" s="5">
        <v>1.5634058999999999E-2</v>
      </c>
    </row>
    <row r="27" spans="1:7" ht="25.5" x14ac:dyDescent="0.2">
      <c r="A27" s="6">
        <v>21</v>
      </c>
      <c r="B27" s="7" t="s">
        <v>370</v>
      </c>
      <c r="C27" s="11" t="s">
        <v>371</v>
      </c>
      <c r="D27" s="2" t="s">
        <v>80</v>
      </c>
      <c r="E27" s="47">
        <v>332062</v>
      </c>
      <c r="F27" s="53">
        <v>1953.6867769999999</v>
      </c>
      <c r="G27" s="5">
        <v>1.5629892999999999E-2</v>
      </c>
    </row>
    <row r="28" spans="1:7" ht="25.5" x14ac:dyDescent="0.2">
      <c r="A28" s="6">
        <v>22</v>
      </c>
      <c r="B28" s="7" t="s">
        <v>549</v>
      </c>
      <c r="C28" s="11" t="s">
        <v>550</v>
      </c>
      <c r="D28" s="2" t="s">
        <v>183</v>
      </c>
      <c r="E28" s="47">
        <v>126526</v>
      </c>
      <c r="F28" s="53">
        <v>1831.021009</v>
      </c>
      <c r="G28" s="5">
        <v>1.4648542000000001E-2</v>
      </c>
    </row>
    <row r="29" spans="1:7" ht="12.75" x14ac:dyDescent="0.2">
      <c r="A29" s="6">
        <v>23</v>
      </c>
      <c r="B29" s="7" t="s">
        <v>252</v>
      </c>
      <c r="C29" s="11" t="s">
        <v>253</v>
      </c>
      <c r="D29" s="2" t="s">
        <v>242</v>
      </c>
      <c r="E29" s="47">
        <v>130000</v>
      </c>
      <c r="F29" s="53">
        <v>1803.8150000000001</v>
      </c>
      <c r="G29" s="5">
        <v>1.4430887999999999E-2</v>
      </c>
    </row>
    <row r="30" spans="1:7" ht="25.5" x14ac:dyDescent="0.2">
      <c r="A30" s="6">
        <v>24</v>
      </c>
      <c r="B30" s="7" t="s">
        <v>186</v>
      </c>
      <c r="C30" s="11" t="s">
        <v>187</v>
      </c>
      <c r="D30" s="2" t="s">
        <v>183</v>
      </c>
      <c r="E30" s="47">
        <v>314908</v>
      </c>
      <c r="F30" s="53">
        <v>1788.047624</v>
      </c>
      <c r="G30" s="5">
        <v>1.4304746E-2</v>
      </c>
    </row>
    <row r="31" spans="1:7" ht="25.5" x14ac:dyDescent="0.2">
      <c r="A31" s="6">
        <v>25</v>
      </c>
      <c r="B31" s="7" t="s">
        <v>173</v>
      </c>
      <c r="C31" s="11" t="s">
        <v>174</v>
      </c>
      <c r="D31" s="2" t="s">
        <v>163</v>
      </c>
      <c r="E31" s="47">
        <v>100192</v>
      </c>
      <c r="F31" s="53">
        <v>1780.41184</v>
      </c>
      <c r="G31" s="5">
        <v>1.4243657999999999E-2</v>
      </c>
    </row>
    <row r="32" spans="1:7" ht="25.5" x14ac:dyDescent="0.2">
      <c r="A32" s="6">
        <v>26</v>
      </c>
      <c r="B32" s="7" t="s">
        <v>354</v>
      </c>
      <c r="C32" s="11" t="s">
        <v>355</v>
      </c>
      <c r="D32" s="2" t="s">
        <v>356</v>
      </c>
      <c r="E32" s="47">
        <v>193613</v>
      </c>
      <c r="F32" s="53">
        <v>1770.203659</v>
      </c>
      <c r="G32" s="5">
        <v>1.4161989999999999E-2</v>
      </c>
    </row>
    <row r="33" spans="1:7" ht="25.5" x14ac:dyDescent="0.2">
      <c r="A33" s="6">
        <v>27</v>
      </c>
      <c r="B33" s="7" t="s">
        <v>301</v>
      </c>
      <c r="C33" s="11" t="s">
        <v>302</v>
      </c>
      <c r="D33" s="2" t="s">
        <v>183</v>
      </c>
      <c r="E33" s="47">
        <v>116647</v>
      </c>
      <c r="F33" s="53">
        <v>1731.9746560000001</v>
      </c>
      <c r="G33" s="5">
        <v>1.3856149999999999E-2</v>
      </c>
    </row>
    <row r="34" spans="1:7" ht="12.75" x14ac:dyDescent="0.2">
      <c r="A34" s="6">
        <v>28</v>
      </c>
      <c r="B34" s="7" t="s">
        <v>586</v>
      </c>
      <c r="C34" s="11" t="s">
        <v>587</v>
      </c>
      <c r="D34" s="2" t="s">
        <v>242</v>
      </c>
      <c r="E34" s="47">
        <v>65000</v>
      </c>
      <c r="F34" s="53">
        <v>1669.85</v>
      </c>
      <c r="G34" s="5">
        <v>1.3359141E-2</v>
      </c>
    </row>
    <row r="35" spans="1:7" ht="25.5" x14ac:dyDescent="0.2">
      <c r="A35" s="6">
        <v>29</v>
      </c>
      <c r="B35" s="7" t="s">
        <v>385</v>
      </c>
      <c r="C35" s="11" t="s">
        <v>386</v>
      </c>
      <c r="D35" s="2" t="s">
        <v>197</v>
      </c>
      <c r="E35" s="47">
        <v>180000</v>
      </c>
      <c r="F35" s="53">
        <v>1587.06</v>
      </c>
      <c r="G35" s="5">
        <v>1.2696804000000001E-2</v>
      </c>
    </row>
    <row r="36" spans="1:7" ht="12.75" x14ac:dyDescent="0.2">
      <c r="A36" s="6">
        <v>30</v>
      </c>
      <c r="B36" s="7" t="s">
        <v>588</v>
      </c>
      <c r="C36" s="11" t="s">
        <v>589</v>
      </c>
      <c r="D36" s="2" t="s">
        <v>223</v>
      </c>
      <c r="E36" s="47">
        <v>76767</v>
      </c>
      <c r="F36" s="53">
        <v>1426.8298454999999</v>
      </c>
      <c r="G36" s="5">
        <v>1.141493E-2</v>
      </c>
    </row>
    <row r="37" spans="1:7" ht="12.75" x14ac:dyDescent="0.2">
      <c r="A37" s="6">
        <v>31</v>
      </c>
      <c r="B37" s="7" t="s">
        <v>221</v>
      </c>
      <c r="C37" s="11" t="s">
        <v>222</v>
      </c>
      <c r="D37" s="2" t="s">
        <v>223</v>
      </c>
      <c r="E37" s="47">
        <v>293801</v>
      </c>
      <c r="F37" s="53">
        <v>1332.9751369999999</v>
      </c>
      <c r="G37" s="5">
        <v>1.0664073E-2</v>
      </c>
    </row>
    <row r="38" spans="1:7" ht="12.75" x14ac:dyDescent="0.2">
      <c r="A38" s="6">
        <v>32</v>
      </c>
      <c r="B38" s="7" t="s">
        <v>535</v>
      </c>
      <c r="C38" s="11" t="s">
        <v>536</v>
      </c>
      <c r="D38" s="2" t="s">
        <v>72</v>
      </c>
      <c r="E38" s="47">
        <v>15500</v>
      </c>
      <c r="F38" s="53">
        <v>1260.8242499999999</v>
      </c>
      <c r="G38" s="5">
        <v>1.0086851000000001E-2</v>
      </c>
    </row>
    <row r="39" spans="1:7" ht="12.75" x14ac:dyDescent="0.2">
      <c r="A39" s="6">
        <v>33</v>
      </c>
      <c r="B39" s="7" t="s">
        <v>78</v>
      </c>
      <c r="C39" s="11" t="s">
        <v>79</v>
      </c>
      <c r="D39" s="2" t="s">
        <v>80</v>
      </c>
      <c r="E39" s="47">
        <v>298141</v>
      </c>
      <c r="F39" s="53">
        <v>1147.6937794999999</v>
      </c>
      <c r="G39" s="5">
        <v>9.1817840000000001E-3</v>
      </c>
    </row>
    <row r="40" spans="1:7" ht="25.5" x14ac:dyDescent="0.2">
      <c r="A40" s="6">
        <v>34</v>
      </c>
      <c r="B40" s="7" t="s">
        <v>461</v>
      </c>
      <c r="C40" s="11" t="s">
        <v>462</v>
      </c>
      <c r="D40" s="2" t="s">
        <v>80</v>
      </c>
      <c r="E40" s="47">
        <v>350000</v>
      </c>
      <c r="F40" s="53">
        <v>1013.775</v>
      </c>
      <c r="G40" s="5">
        <v>8.110407E-3</v>
      </c>
    </row>
    <row r="41" spans="1:7" ht="25.5" x14ac:dyDescent="0.2">
      <c r="A41" s="6">
        <v>35</v>
      </c>
      <c r="B41" s="7" t="s">
        <v>402</v>
      </c>
      <c r="C41" s="11" t="s">
        <v>403</v>
      </c>
      <c r="D41" s="2" t="s">
        <v>30</v>
      </c>
      <c r="E41" s="47">
        <v>53435</v>
      </c>
      <c r="F41" s="53">
        <v>855.44091500000002</v>
      </c>
      <c r="G41" s="5">
        <v>6.8437020000000001E-3</v>
      </c>
    </row>
    <row r="42" spans="1:7" ht="51" x14ac:dyDescent="0.2">
      <c r="A42" s="6">
        <v>36</v>
      </c>
      <c r="B42" s="7" t="s">
        <v>294</v>
      </c>
      <c r="C42" s="11" t="s">
        <v>295</v>
      </c>
      <c r="D42" s="2" t="s">
        <v>208</v>
      </c>
      <c r="E42" s="47">
        <v>2402077</v>
      </c>
      <c r="F42" s="53">
        <v>832.3196805</v>
      </c>
      <c r="G42" s="5">
        <v>6.6587269999999997E-3</v>
      </c>
    </row>
    <row r="43" spans="1:7" ht="12.75" x14ac:dyDescent="0.2">
      <c r="A43" s="6">
        <v>37</v>
      </c>
      <c r="B43" s="7" t="s">
        <v>240</v>
      </c>
      <c r="C43" s="11" t="s">
        <v>241</v>
      </c>
      <c r="D43" s="2" t="s">
        <v>242</v>
      </c>
      <c r="E43" s="47">
        <v>194031</v>
      </c>
      <c r="F43" s="53">
        <v>789.22109250000005</v>
      </c>
      <c r="G43" s="5">
        <v>6.3139299999999997E-3</v>
      </c>
    </row>
    <row r="44" spans="1:7" ht="25.5" x14ac:dyDescent="0.2">
      <c r="A44" s="6">
        <v>38</v>
      </c>
      <c r="B44" s="7" t="s">
        <v>181</v>
      </c>
      <c r="C44" s="11" t="s">
        <v>182</v>
      </c>
      <c r="D44" s="2" t="s">
        <v>183</v>
      </c>
      <c r="E44" s="47">
        <v>652856</v>
      </c>
      <c r="F44" s="53">
        <v>775.59292800000003</v>
      </c>
      <c r="G44" s="5">
        <v>6.204902E-3</v>
      </c>
    </row>
    <row r="45" spans="1:7" ht="12.75" x14ac:dyDescent="0.2">
      <c r="A45" s="6">
        <v>39</v>
      </c>
      <c r="B45" s="7" t="s">
        <v>590</v>
      </c>
      <c r="C45" s="11" t="s">
        <v>591</v>
      </c>
      <c r="D45" s="2" t="s">
        <v>192</v>
      </c>
      <c r="E45" s="47">
        <v>2768</v>
      </c>
      <c r="F45" s="53">
        <v>712.78491199999996</v>
      </c>
      <c r="G45" s="5">
        <v>5.7024249999999997E-3</v>
      </c>
    </row>
    <row r="46" spans="1:7" ht="12.75" x14ac:dyDescent="0.2">
      <c r="A46" s="6">
        <v>40</v>
      </c>
      <c r="B46" s="7" t="s">
        <v>592</v>
      </c>
      <c r="C46" s="11" t="s">
        <v>593</v>
      </c>
      <c r="D46" s="2" t="s">
        <v>223</v>
      </c>
      <c r="E46" s="47">
        <v>34899</v>
      </c>
      <c r="F46" s="53">
        <v>696.11290350000002</v>
      </c>
      <c r="G46" s="5">
        <v>5.5690449999999999E-3</v>
      </c>
    </row>
    <row r="47" spans="1:7" ht="12.75" x14ac:dyDescent="0.2">
      <c r="A47" s="6">
        <v>41</v>
      </c>
      <c r="B47" s="7" t="s">
        <v>594</v>
      </c>
      <c r="C47" s="11" t="s">
        <v>595</v>
      </c>
      <c r="D47" s="2" t="s">
        <v>16</v>
      </c>
      <c r="E47" s="47">
        <v>52975</v>
      </c>
      <c r="F47" s="53">
        <v>695.66769999999997</v>
      </c>
      <c r="G47" s="5">
        <v>5.5654830000000004E-3</v>
      </c>
    </row>
    <row r="48" spans="1:7" ht="12.75" x14ac:dyDescent="0.2">
      <c r="A48" s="6">
        <v>42</v>
      </c>
      <c r="B48" s="7" t="s">
        <v>362</v>
      </c>
      <c r="C48" s="11" t="s">
        <v>363</v>
      </c>
      <c r="D48" s="2" t="s">
        <v>223</v>
      </c>
      <c r="E48" s="47">
        <v>141507</v>
      </c>
      <c r="F48" s="53">
        <v>539.63694450000003</v>
      </c>
      <c r="G48" s="5">
        <v>4.3172059999999996E-3</v>
      </c>
    </row>
    <row r="49" spans="1:7" ht="12.75" x14ac:dyDescent="0.2">
      <c r="A49" s="6">
        <v>43</v>
      </c>
      <c r="B49" s="7" t="s">
        <v>224</v>
      </c>
      <c r="C49" s="11" t="s">
        <v>225</v>
      </c>
      <c r="D49" s="2" t="s">
        <v>226</v>
      </c>
      <c r="E49" s="47">
        <v>400000</v>
      </c>
      <c r="F49" s="53">
        <v>449</v>
      </c>
      <c r="G49" s="5">
        <v>3.5920919999999999E-3</v>
      </c>
    </row>
    <row r="50" spans="1:7" ht="12.75" x14ac:dyDescent="0.2">
      <c r="A50" s="6">
        <v>44</v>
      </c>
      <c r="B50" s="7" t="s">
        <v>262</v>
      </c>
      <c r="C50" s="11" t="s">
        <v>263</v>
      </c>
      <c r="D50" s="2" t="s">
        <v>242</v>
      </c>
      <c r="E50" s="47">
        <v>73470</v>
      </c>
      <c r="F50" s="53">
        <v>66.931169999999995</v>
      </c>
      <c r="G50" s="5">
        <v>5.3546300000000002E-4</v>
      </c>
    </row>
    <row r="51" spans="1:7" ht="12.75" x14ac:dyDescent="0.2">
      <c r="A51" s="1"/>
      <c r="B51" s="2"/>
      <c r="C51" s="8" t="s">
        <v>108</v>
      </c>
      <c r="D51" s="12"/>
      <c r="E51" s="49"/>
      <c r="F51" s="55">
        <v>119057.94763200002</v>
      </c>
      <c r="G51" s="13">
        <v>0.95248786499999993</v>
      </c>
    </row>
    <row r="52" spans="1:7" ht="12.75" x14ac:dyDescent="0.2">
      <c r="A52" s="6"/>
      <c r="B52" s="7"/>
      <c r="C52" s="14"/>
      <c r="D52" s="15"/>
      <c r="E52" s="47"/>
      <c r="F52" s="53"/>
      <c r="G52" s="5"/>
    </row>
    <row r="53" spans="1:7" ht="12.75" x14ac:dyDescent="0.2">
      <c r="A53" s="1"/>
      <c r="B53" s="2"/>
      <c r="C53" s="8" t="s">
        <v>109</v>
      </c>
      <c r="D53" s="9"/>
      <c r="E53" s="48"/>
      <c r="F53" s="54"/>
      <c r="G53" s="10"/>
    </row>
    <row r="54" spans="1:7" ht="12.75" x14ac:dyDescent="0.2">
      <c r="A54" s="1"/>
      <c r="B54" s="2"/>
      <c r="C54" s="8" t="s">
        <v>108</v>
      </c>
      <c r="D54" s="12"/>
      <c r="E54" s="49"/>
      <c r="F54" s="55">
        <v>0</v>
      </c>
      <c r="G54" s="13">
        <v>0</v>
      </c>
    </row>
    <row r="55" spans="1:7" ht="12.75" x14ac:dyDescent="0.2">
      <c r="A55" s="6"/>
      <c r="B55" s="7"/>
      <c r="C55" s="14"/>
      <c r="D55" s="15"/>
      <c r="E55" s="47"/>
      <c r="F55" s="53"/>
      <c r="G55" s="5"/>
    </row>
    <row r="56" spans="1:7" ht="12.75" x14ac:dyDescent="0.2">
      <c r="A56" s="16"/>
      <c r="B56" s="17"/>
      <c r="C56" s="8" t="s">
        <v>110</v>
      </c>
      <c r="D56" s="9"/>
      <c r="E56" s="48"/>
      <c r="F56" s="54"/>
      <c r="G56" s="10"/>
    </row>
    <row r="57" spans="1:7" ht="12.75" x14ac:dyDescent="0.2">
      <c r="A57" s="18"/>
      <c r="B57" s="19"/>
      <c r="C57" s="8" t="s">
        <v>108</v>
      </c>
      <c r="D57" s="20"/>
      <c r="E57" s="50"/>
      <c r="F57" s="56">
        <v>0</v>
      </c>
      <c r="G57" s="21">
        <v>0</v>
      </c>
    </row>
    <row r="58" spans="1:7" ht="12.75" x14ac:dyDescent="0.2">
      <c r="A58" s="18"/>
      <c r="B58" s="19"/>
      <c r="C58" s="14"/>
      <c r="D58" s="22"/>
      <c r="E58" s="51"/>
      <c r="F58" s="57"/>
      <c r="G58" s="23"/>
    </row>
    <row r="59" spans="1:7" ht="12.75" x14ac:dyDescent="0.2">
      <c r="A59" s="1"/>
      <c r="B59" s="2"/>
      <c r="C59" s="8" t="s">
        <v>113</v>
      </c>
      <c r="D59" s="9"/>
      <c r="E59" s="48"/>
      <c r="F59" s="54"/>
      <c r="G59" s="10"/>
    </row>
    <row r="60" spans="1:7" ht="12.75" x14ac:dyDescent="0.2">
      <c r="A60" s="1"/>
      <c r="B60" s="2"/>
      <c r="C60" s="8" t="s">
        <v>108</v>
      </c>
      <c r="D60" s="12"/>
      <c r="E60" s="49"/>
      <c r="F60" s="55">
        <v>0</v>
      </c>
      <c r="G60" s="13">
        <v>0</v>
      </c>
    </row>
    <row r="61" spans="1:7" ht="12.75" x14ac:dyDescent="0.2">
      <c r="A61" s="1"/>
      <c r="B61" s="2"/>
      <c r="C61" s="14"/>
      <c r="D61" s="4"/>
      <c r="E61" s="47"/>
      <c r="F61" s="53"/>
      <c r="G61" s="5"/>
    </row>
    <row r="62" spans="1:7" ht="12.75" x14ac:dyDescent="0.2">
      <c r="A62" s="1"/>
      <c r="B62" s="2"/>
      <c r="C62" s="8" t="s">
        <v>114</v>
      </c>
      <c r="D62" s="9"/>
      <c r="E62" s="48"/>
      <c r="F62" s="54"/>
      <c r="G62" s="10"/>
    </row>
    <row r="63" spans="1:7" ht="12.75" x14ac:dyDescent="0.2">
      <c r="A63" s="1"/>
      <c r="B63" s="2"/>
      <c r="C63" s="8" t="s">
        <v>108</v>
      </c>
      <c r="D63" s="12"/>
      <c r="E63" s="49"/>
      <c r="F63" s="55">
        <v>0</v>
      </c>
      <c r="G63" s="13">
        <v>0</v>
      </c>
    </row>
    <row r="64" spans="1:7" ht="12.75" x14ac:dyDescent="0.2">
      <c r="A64" s="1"/>
      <c r="B64" s="2"/>
      <c r="C64" s="14"/>
      <c r="D64" s="4"/>
      <c r="E64" s="47"/>
      <c r="F64" s="53"/>
      <c r="G64" s="5"/>
    </row>
    <row r="65" spans="1:7" ht="12.75" x14ac:dyDescent="0.2">
      <c r="A65" s="1"/>
      <c r="B65" s="2"/>
      <c r="C65" s="8" t="s">
        <v>115</v>
      </c>
      <c r="D65" s="9"/>
      <c r="E65" s="48"/>
      <c r="F65" s="54"/>
      <c r="G65" s="10"/>
    </row>
    <row r="66" spans="1:7" ht="12.75" x14ac:dyDescent="0.2">
      <c r="A66" s="1"/>
      <c r="B66" s="2"/>
      <c r="C66" s="8" t="s">
        <v>108</v>
      </c>
      <c r="D66" s="12"/>
      <c r="E66" s="49"/>
      <c r="F66" s="55">
        <v>0</v>
      </c>
      <c r="G66" s="13">
        <v>0</v>
      </c>
    </row>
    <row r="67" spans="1:7" ht="12.75" x14ac:dyDescent="0.2">
      <c r="A67" s="1"/>
      <c r="B67" s="2"/>
      <c r="C67" s="14"/>
      <c r="D67" s="4"/>
      <c r="E67" s="47"/>
      <c r="F67" s="53"/>
      <c r="G67" s="5"/>
    </row>
    <row r="68" spans="1:7" ht="25.5" x14ac:dyDescent="0.2">
      <c r="A68" s="6"/>
      <c r="B68" s="7"/>
      <c r="C68" s="24" t="s">
        <v>116</v>
      </c>
      <c r="D68" s="25"/>
      <c r="E68" s="49"/>
      <c r="F68" s="55">
        <v>119057.94763200002</v>
      </c>
      <c r="G68" s="13">
        <v>0.95248786499999993</v>
      </c>
    </row>
    <row r="69" spans="1:7" ht="12.75" x14ac:dyDescent="0.2">
      <c r="A69" s="1"/>
      <c r="B69" s="2"/>
      <c r="C69" s="11"/>
      <c r="D69" s="4"/>
      <c r="E69" s="47"/>
      <c r="F69" s="53"/>
      <c r="G69" s="5"/>
    </row>
    <row r="70" spans="1:7" ht="12.75" x14ac:dyDescent="0.2">
      <c r="A70" s="1"/>
      <c r="B70" s="2"/>
      <c r="C70" s="3" t="s">
        <v>117</v>
      </c>
      <c r="D70" s="4"/>
      <c r="E70" s="47"/>
      <c r="F70" s="53"/>
      <c r="G70" s="5"/>
    </row>
    <row r="71" spans="1:7" ht="25.5" x14ac:dyDescent="0.2">
      <c r="A71" s="1"/>
      <c r="B71" s="2"/>
      <c r="C71" s="8" t="s">
        <v>10</v>
      </c>
      <c r="D71" s="9"/>
      <c r="E71" s="48"/>
      <c r="F71" s="54"/>
      <c r="G71" s="10"/>
    </row>
    <row r="72" spans="1:7" ht="12.75" x14ac:dyDescent="0.2">
      <c r="A72" s="6"/>
      <c r="B72" s="7"/>
      <c r="C72" s="8" t="s">
        <v>108</v>
      </c>
      <c r="D72" s="12"/>
      <c r="E72" s="49"/>
      <c r="F72" s="55">
        <v>0</v>
      </c>
      <c r="G72" s="13">
        <v>0</v>
      </c>
    </row>
    <row r="73" spans="1:7" ht="12.75" x14ac:dyDescent="0.2">
      <c r="A73" s="6"/>
      <c r="B73" s="7"/>
      <c r="C73" s="14"/>
      <c r="D73" s="4"/>
      <c r="E73" s="47"/>
      <c r="F73" s="53"/>
      <c r="G73" s="5"/>
    </row>
    <row r="74" spans="1:7" ht="12.75" x14ac:dyDescent="0.2">
      <c r="A74" s="1"/>
      <c r="B74" s="26"/>
      <c r="C74" s="8" t="s">
        <v>118</v>
      </c>
      <c r="D74" s="9"/>
      <c r="E74" s="48"/>
      <c r="F74" s="54"/>
      <c r="G74" s="10"/>
    </row>
    <row r="75" spans="1:7" ht="12.75" x14ac:dyDescent="0.2">
      <c r="A75" s="6"/>
      <c r="B75" s="7"/>
      <c r="C75" s="8" t="s">
        <v>108</v>
      </c>
      <c r="D75" s="12"/>
      <c r="E75" s="49"/>
      <c r="F75" s="55">
        <v>0</v>
      </c>
      <c r="G75" s="13">
        <v>0</v>
      </c>
    </row>
    <row r="76" spans="1:7" ht="12.75" x14ac:dyDescent="0.2">
      <c r="A76" s="6"/>
      <c r="B76" s="7"/>
      <c r="C76" s="14"/>
      <c r="D76" s="4"/>
      <c r="E76" s="47"/>
      <c r="F76" s="59"/>
      <c r="G76" s="28"/>
    </row>
    <row r="77" spans="1:7" ht="12.75" x14ac:dyDescent="0.2">
      <c r="A77" s="1"/>
      <c r="B77" s="2"/>
      <c r="C77" s="8" t="s">
        <v>119</v>
      </c>
      <c r="D77" s="9"/>
      <c r="E77" s="48"/>
      <c r="F77" s="54"/>
      <c r="G77" s="10"/>
    </row>
    <row r="78" spans="1:7" ht="12.75" x14ac:dyDescent="0.2">
      <c r="A78" s="6"/>
      <c r="B78" s="7"/>
      <c r="C78" s="8" t="s">
        <v>108</v>
      </c>
      <c r="D78" s="12"/>
      <c r="E78" s="49"/>
      <c r="F78" s="55">
        <v>0</v>
      </c>
      <c r="G78" s="13">
        <v>0</v>
      </c>
    </row>
    <row r="79" spans="1:7" ht="12.75" x14ac:dyDescent="0.2">
      <c r="A79" s="1"/>
      <c r="B79" s="2"/>
      <c r="C79" s="14"/>
      <c r="D79" s="4"/>
      <c r="E79" s="47"/>
      <c r="F79" s="53"/>
      <c r="G79" s="5"/>
    </row>
    <row r="80" spans="1:7" ht="25.5" x14ac:dyDescent="0.2">
      <c r="A80" s="1"/>
      <c r="B80" s="26"/>
      <c r="C80" s="8" t="s">
        <v>120</v>
      </c>
      <c r="D80" s="9"/>
      <c r="E80" s="48"/>
      <c r="F80" s="54"/>
      <c r="G80" s="10"/>
    </row>
    <row r="81" spans="1:7" ht="12.75" x14ac:dyDescent="0.2">
      <c r="A81" s="6"/>
      <c r="B81" s="7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6"/>
      <c r="B82" s="7"/>
      <c r="C82" s="14"/>
      <c r="D82" s="4"/>
      <c r="E82" s="47"/>
      <c r="F82" s="53"/>
      <c r="G82" s="5"/>
    </row>
    <row r="83" spans="1:7" ht="12.75" x14ac:dyDescent="0.2">
      <c r="A83" s="6"/>
      <c r="B83" s="7"/>
      <c r="C83" s="29" t="s">
        <v>121</v>
      </c>
      <c r="D83" s="25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1"/>
      <c r="D84" s="4"/>
      <c r="E84" s="47"/>
      <c r="F84" s="53"/>
      <c r="G84" s="5"/>
    </row>
    <row r="85" spans="1:7" ht="12.75" x14ac:dyDescent="0.2">
      <c r="A85" s="1"/>
      <c r="B85" s="2"/>
      <c r="C85" s="3" t="s">
        <v>122</v>
      </c>
      <c r="D85" s="4"/>
      <c r="E85" s="47"/>
      <c r="F85" s="53"/>
      <c r="G85" s="5"/>
    </row>
    <row r="86" spans="1:7" ht="12.75" x14ac:dyDescent="0.2">
      <c r="A86" s="6"/>
      <c r="B86" s="7"/>
      <c r="C86" s="8" t="s">
        <v>123</v>
      </c>
      <c r="D86" s="9"/>
      <c r="E86" s="48"/>
      <c r="F86" s="54"/>
      <c r="G86" s="10"/>
    </row>
    <row r="87" spans="1:7" ht="12.75" x14ac:dyDescent="0.2">
      <c r="A87" s="6"/>
      <c r="B87" s="7"/>
      <c r="C87" s="8" t="s">
        <v>108</v>
      </c>
      <c r="D87" s="25"/>
      <c r="E87" s="49"/>
      <c r="F87" s="55">
        <v>0</v>
      </c>
      <c r="G87" s="13">
        <v>0</v>
      </c>
    </row>
    <row r="88" spans="1:7" ht="12.75" x14ac:dyDescent="0.2">
      <c r="A88" s="6"/>
      <c r="B88" s="7"/>
      <c r="C88" s="14"/>
      <c r="D88" s="7"/>
      <c r="E88" s="47"/>
      <c r="F88" s="53"/>
      <c r="G88" s="5"/>
    </row>
    <row r="89" spans="1:7" ht="12.75" x14ac:dyDescent="0.2">
      <c r="A89" s="6"/>
      <c r="B89" s="7"/>
      <c r="C89" s="8" t="s">
        <v>124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25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7"/>
      <c r="E91" s="47"/>
      <c r="F91" s="53"/>
      <c r="G91" s="5"/>
    </row>
    <row r="92" spans="1:7" ht="12.75" x14ac:dyDescent="0.2">
      <c r="A92" s="6"/>
      <c r="B92" s="7"/>
      <c r="C92" s="8" t="s">
        <v>125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25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7"/>
      <c r="E94" s="47"/>
      <c r="F94" s="53"/>
      <c r="G94" s="5"/>
    </row>
    <row r="95" spans="1:7" ht="12.75" x14ac:dyDescent="0.2">
      <c r="A95" s="6"/>
      <c r="B95" s="7"/>
      <c r="C95" s="8" t="s">
        <v>126</v>
      </c>
      <c r="D95" s="9"/>
      <c r="E95" s="48"/>
      <c r="F95" s="54"/>
      <c r="G95" s="10"/>
    </row>
    <row r="96" spans="1:7" ht="12.75" x14ac:dyDescent="0.2">
      <c r="A96" s="6">
        <v>1</v>
      </c>
      <c r="B96" s="7"/>
      <c r="C96" s="11" t="s">
        <v>812</v>
      </c>
      <c r="D96" s="15"/>
      <c r="E96" s="47"/>
      <c r="F96" s="53">
        <v>890.88284239999996</v>
      </c>
      <c r="G96" s="5">
        <v>7.1272439999999996E-3</v>
      </c>
    </row>
    <row r="97" spans="1:7" ht="12.75" x14ac:dyDescent="0.2">
      <c r="A97" s="6"/>
      <c r="B97" s="7"/>
      <c r="C97" s="8" t="s">
        <v>108</v>
      </c>
      <c r="D97" s="25"/>
      <c r="E97" s="49"/>
      <c r="F97" s="55">
        <v>890.88284239999996</v>
      </c>
      <c r="G97" s="13">
        <v>7.1272439999999996E-3</v>
      </c>
    </row>
    <row r="98" spans="1:7" ht="12.75" x14ac:dyDescent="0.2">
      <c r="A98" s="6"/>
      <c r="B98" s="7"/>
      <c r="C98" s="14"/>
      <c r="D98" s="7"/>
      <c r="E98" s="47"/>
      <c r="F98" s="53"/>
      <c r="G98" s="5"/>
    </row>
    <row r="99" spans="1:7" ht="25.5" x14ac:dyDescent="0.2">
      <c r="A99" s="6"/>
      <c r="B99" s="7"/>
      <c r="C99" s="24" t="s">
        <v>127</v>
      </c>
      <c r="D99" s="25"/>
      <c r="E99" s="49"/>
      <c r="F99" s="55">
        <v>890.88284239999996</v>
      </c>
      <c r="G99" s="13">
        <v>7.1272439999999996E-3</v>
      </c>
    </row>
    <row r="100" spans="1:7" ht="12.75" x14ac:dyDescent="0.2">
      <c r="A100" s="6"/>
      <c r="B100" s="7"/>
      <c r="C100" s="30"/>
      <c r="D100" s="7"/>
      <c r="E100" s="47"/>
      <c r="F100" s="53"/>
      <c r="G100" s="5"/>
    </row>
    <row r="101" spans="1:7" ht="12.75" x14ac:dyDescent="0.2">
      <c r="A101" s="1"/>
      <c r="B101" s="2"/>
      <c r="C101" s="3" t="s">
        <v>128</v>
      </c>
      <c r="D101" s="4"/>
      <c r="E101" s="47"/>
      <c r="F101" s="53"/>
      <c r="G101" s="5"/>
    </row>
    <row r="102" spans="1:7" ht="25.5" x14ac:dyDescent="0.2">
      <c r="A102" s="6"/>
      <c r="B102" s="7"/>
      <c r="C102" s="8" t="s">
        <v>129</v>
      </c>
      <c r="D102" s="9"/>
      <c r="E102" s="48"/>
      <c r="F102" s="54"/>
      <c r="G102" s="10"/>
    </row>
    <row r="103" spans="1:7" ht="25.5" x14ac:dyDescent="0.2">
      <c r="A103" s="6">
        <v>1</v>
      </c>
      <c r="B103" s="7" t="s">
        <v>130</v>
      </c>
      <c r="C103" s="11" t="s">
        <v>839</v>
      </c>
      <c r="D103" s="15"/>
      <c r="E103" s="47">
        <v>576001.75100000005</v>
      </c>
      <c r="F103" s="53">
        <v>6000.7873939219999</v>
      </c>
      <c r="G103" s="5">
        <v>4.8007523000000003E-2</v>
      </c>
    </row>
    <row r="104" spans="1:7" ht="12.75" x14ac:dyDescent="0.2">
      <c r="A104" s="6"/>
      <c r="B104" s="7"/>
      <c r="C104" s="8" t="s">
        <v>108</v>
      </c>
      <c r="D104" s="25"/>
      <c r="E104" s="49"/>
      <c r="F104" s="55">
        <v>6000.7873939219999</v>
      </c>
      <c r="G104" s="13">
        <v>4.8007523000000003E-2</v>
      </c>
    </row>
    <row r="105" spans="1:7" ht="12.75" x14ac:dyDescent="0.2">
      <c r="A105" s="6"/>
      <c r="B105" s="7"/>
      <c r="C105" s="14"/>
      <c r="D105" s="7"/>
      <c r="E105" s="47"/>
      <c r="F105" s="53"/>
      <c r="G105" s="5"/>
    </row>
    <row r="106" spans="1:7" ht="12.75" x14ac:dyDescent="0.2">
      <c r="A106" s="1"/>
      <c r="B106" s="2"/>
      <c r="C106" s="3" t="s">
        <v>131</v>
      </c>
      <c r="D106" s="4"/>
      <c r="E106" s="47"/>
      <c r="F106" s="53"/>
      <c r="G106" s="5"/>
    </row>
    <row r="107" spans="1:7" ht="25.5" x14ac:dyDescent="0.2">
      <c r="A107" s="6"/>
      <c r="B107" s="7"/>
      <c r="C107" s="8" t="s">
        <v>132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3"/>
      <c r="G109" s="5"/>
    </row>
    <row r="110" spans="1:7" ht="25.5" x14ac:dyDescent="0.2">
      <c r="A110" s="6"/>
      <c r="B110" s="7"/>
      <c r="C110" s="8" t="s">
        <v>133</v>
      </c>
      <c r="D110" s="9"/>
      <c r="E110" s="48"/>
      <c r="F110" s="54"/>
      <c r="G110" s="10"/>
    </row>
    <row r="111" spans="1:7" ht="12.75" x14ac:dyDescent="0.2">
      <c r="A111" s="6"/>
      <c r="B111" s="7"/>
      <c r="C111" s="8" t="s">
        <v>108</v>
      </c>
      <c r="D111" s="25"/>
      <c r="E111" s="49"/>
      <c r="F111" s="55">
        <v>0</v>
      </c>
      <c r="G111" s="13">
        <v>0</v>
      </c>
    </row>
    <row r="112" spans="1:7" ht="12.75" x14ac:dyDescent="0.2">
      <c r="A112" s="6"/>
      <c r="B112" s="7"/>
      <c r="C112" s="14"/>
      <c r="D112" s="7"/>
      <c r="E112" s="47"/>
      <c r="F112" s="59"/>
      <c r="G112" s="28"/>
    </row>
    <row r="113" spans="1:7" ht="25.5" x14ac:dyDescent="0.2">
      <c r="A113" s="6"/>
      <c r="B113" s="7"/>
      <c r="C113" s="30" t="s">
        <v>134</v>
      </c>
      <c r="D113" s="7"/>
      <c r="E113" s="47"/>
      <c r="F113" s="128">
        <v>-952.80445990999999</v>
      </c>
      <c r="G113" s="137">
        <v>-7.6226300009491149E-3</v>
      </c>
    </row>
    <row r="114" spans="1:7" ht="12.75" x14ac:dyDescent="0.2">
      <c r="A114" s="6"/>
      <c r="B114" s="7"/>
      <c r="C114" s="31" t="s">
        <v>135</v>
      </c>
      <c r="D114" s="12"/>
      <c r="E114" s="49"/>
      <c r="F114" s="55">
        <v>124996.81340841201</v>
      </c>
      <c r="G114" s="13">
        <v>1.0000000019999999</v>
      </c>
    </row>
    <row r="116" spans="1:7" ht="12.75" x14ac:dyDescent="0.2">
      <c r="B116" s="179"/>
      <c r="C116" s="179"/>
      <c r="D116" s="179"/>
      <c r="E116" s="179"/>
      <c r="F116" s="179"/>
    </row>
    <row r="117" spans="1:7" ht="12.75" x14ac:dyDescent="0.2">
      <c r="B117" s="179"/>
      <c r="C117" s="179"/>
      <c r="D117" s="179"/>
      <c r="E117" s="179"/>
      <c r="F117" s="179"/>
    </row>
    <row r="119" spans="1:7" ht="12.75" x14ac:dyDescent="0.2">
      <c r="B119" s="37" t="s">
        <v>137</v>
      </c>
      <c r="C119" s="38"/>
      <c r="D119" s="39"/>
    </row>
    <row r="120" spans="1:7" ht="12.75" x14ac:dyDescent="0.2">
      <c r="B120" s="40" t="s">
        <v>808</v>
      </c>
      <c r="C120" s="41"/>
      <c r="D120" s="65" t="s">
        <v>138</v>
      </c>
    </row>
    <row r="121" spans="1:7" ht="12.75" x14ac:dyDescent="0.2">
      <c r="B121" s="40" t="s">
        <v>139</v>
      </c>
      <c r="C121" s="41"/>
      <c r="D121" s="65" t="s">
        <v>138</v>
      </c>
    </row>
    <row r="122" spans="1:7" ht="12.75" x14ac:dyDescent="0.2">
      <c r="B122" s="42" t="s">
        <v>140</v>
      </c>
      <c r="C122" s="41"/>
      <c r="D122" s="43"/>
    </row>
    <row r="123" spans="1:7" ht="25.5" customHeight="1" x14ac:dyDescent="0.2">
      <c r="B123" s="43"/>
      <c r="C123" s="33" t="s">
        <v>141</v>
      </c>
      <c r="D123" s="34" t="s">
        <v>142</v>
      </c>
    </row>
    <row r="124" spans="1:7" ht="12.75" customHeight="1" x14ac:dyDescent="0.2">
      <c r="B124" s="60" t="s">
        <v>143</v>
      </c>
      <c r="C124" s="61" t="s">
        <v>144</v>
      </c>
      <c r="D124" s="61" t="s">
        <v>145</v>
      </c>
    </row>
    <row r="125" spans="1:7" ht="12.75" x14ac:dyDescent="0.2">
      <c r="B125" s="43" t="s">
        <v>146</v>
      </c>
      <c r="C125" s="44">
        <v>11.6861</v>
      </c>
      <c r="D125" s="44">
        <v>12.286099999999999</v>
      </c>
    </row>
    <row r="126" spans="1:7" ht="12.75" x14ac:dyDescent="0.2">
      <c r="B126" s="43" t="s">
        <v>147</v>
      </c>
      <c r="C126" s="44">
        <v>11.6858</v>
      </c>
      <c r="D126" s="44">
        <v>11.4472</v>
      </c>
    </row>
    <row r="127" spans="1:7" ht="12.75" x14ac:dyDescent="0.2">
      <c r="B127" s="43" t="s">
        <v>148</v>
      </c>
      <c r="C127" s="44">
        <v>11.5794</v>
      </c>
      <c r="D127" s="44">
        <v>12.166399999999999</v>
      </c>
    </row>
    <row r="128" spans="1:7" ht="12.75" x14ac:dyDescent="0.2">
      <c r="B128" s="43" t="s">
        <v>149</v>
      </c>
      <c r="C128" s="44">
        <v>11.5793</v>
      </c>
      <c r="D128" s="44">
        <v>11.328200000000001</v>
      </c>
    </row>
    <row r="130" spans="2:4" ht="12.75" x14ac:dyDescent="0.2">
      <c r="B130" s="165" t="s">
        <v>150</v>
      </c>
      <c r="C130" s="135"/>
      <c r="D130" s="133"/>
    </row>
    <row r="131" spans="2:4" ht="24.75" customHeight="1" x14ac:dyDescent="0.2">
      <c r="B131" s="131" t="s">
        <v>143</v>
      </c>
      <c r="C131" s="131" t="s">
        <v>399</v>
      </c>
    </row>
    <row r="132" spans="2:4" ht="12.75" x14ac:dyDescent="0.2">
      <c r="B132" s="43" t="s">
        <v>147</v>
      </c>
      <c r="C132" s="132">
        <v>0.70832700000000004</v>
      </c>
    </row>
    <row r="133" spans="2:4" ht="15" x14ac:dyDescent="0.25">
      <c r="B133" s="43" t="s">
        <v>149</v>
      </c>
      <c r="C133" s="132">
        <v>0.70832700000000004</v>
      </c>
      <c r="D133"/>
    </row>
    <row r="135" spans="2:4" ht="12.75" x14ac:dyDescent="0.2">
      <c r="B135" s="42" t="s">
        <v>151</v>
      </c>
      <c r="C135" s="41"/>
      <c r="D135" s="67" t="s">
        <v>138</v>
      </c>
    </row>
    <row r="136" spans="2:4" ht="12.75" x14ac:dyDescent="0.2">
      <c r="B136" s="42" t="s">
        <v>152</v>
      </c>
      <c r="C136" s="41"/>
      <c r="D136" s="67" t="s">
        <v>138</v>
      </c>
    </row>
    <row r="137" spans="2:4" ht="12.75" x14ac:dyDescent="0.2">
      <c r="B137" s="42" t="s">
        <v>153</v>
      </c>
      <c r="C137" s="41"/>
      <c r="D137" s="46">
        <v>0.72547729936569372</v>
      </c>
    </row>
    <row r="138" spans="2:4" ht="12.75" x14ac:dyDescent="0.2">
      <c r="B138" s="42" t="s">
        <v>154</v>
      </c>
      <c r="C138" s="41"/>
      <c r="D138" s="46" t="s">
        <v>138</v>
      </c>
    </row>
  </sheetData>
  <mergeCells count="5">
    <mergeCell ref="A1:G1"/>
    <mergeCell ref="A2:G2"/>
    <mergeCell ref="A3:G3"/>
    <mergeCell ref="B116:F116"/>
    <mergeCell ref="B117:F117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93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596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597</v>
      </c>
      <c r="C7" s="11" t="s">
        <v>598</v>
      </c>
      <c r="D7" s="2" t="s">
        <v>72</v>
      </c>
      <c r="E7" s="47">
        <v>10620</v>
      </c>
      <c r="F7" s="53">
        <v>33.044130000000003</v>
      </c>
      <c r="G7" s="5">
        <v>1.5129037E-2</v>
      </c>
    </row>
    <row r="8" spans="1:7" ht="25.5" x14ac:dyDescent="0.2">
      <c r="A8" s="6">
        <v>2</v>
      </c>
      <c r="B8" s="7" t="s">
        <v>599</v>
      </c>
      <c r="C8" s="11" t="s">
        <v>600</v>
      </c>
      <c r="D8" s="2" t="s">
        <v>72</v>
      </c>
      <c r="E8" s="47">
        <v>18744</v>
      </c>
      <c r="F8" s="53">
        <v>31.452432000000002</v>
      </c>
      <c r="G8" s="5">
        <v>1.4400288000000001E-2</v>
      </c>
    </row>
    <row r="9" spans="1:7" ht="25.5" x14ac:dyDescent="0.2">
      <c r="A9" s="6">
        <v>3</v>
      </c>
      <c r="B9" s="7" t="s">
        <v>426</v>
      </c>
      <c r="C9" s="11" t="s">
        <v>427</v>
      </c>
      <c r="D9" s="2" t="s">
        <v>30</v>
      </c>
      <c r="E9" s="47">
        <v>5129</v>
      </c>
      <c r="F9" s="53">
        <v>27.027265499999999</v>
      </c>
      <c r="G9" s="5">
        <v>1.2374255000000001E-2</v>
      </c>
    </row>
    <row r="10" spans="1:7" ht="25.5" x14ac:dyDescent="0.2">
      <c r="A10" s="6">
        <v>4</v>
      </c>
      <c r="B10" s="7" t="s">
        <v>104</v>
      </c>
      <c r="C10" s="11" t="s">
        <v>105</v>
      </c>
      <c r="D10" s="2" t="s">
        <v>33</v>
      </c>
      <c r="E10" s="47">
        <v>5041</v>
      </c>
      <c r="F10" s="53">
        <v>26.545905999999999</v>
      </c>
      <c r="G10" s="5">
        <v>1.2153868E-2</v>
      </c>
    </row>
    <row r="11" spans="1:7" ht="12.75" x14ac:dyDescent="0.2">
      <c r="A11" s="6">
        <v>5</v>
      </c>
      <c r="B11" s="7" t="s">
        <v>601</v>
      </c>
      <c r="C11" s="11" t="s">
        <v>602</v>
      </c>
      <c r="D11" s="2" t="s">
        <v>603</v>
      </c>
      <c r="E11" s="47">
        <v>23156</v>
      </c>
      <c r="F11" s="53">
        <v>26.073656</v>
      </c>
      <c r="G11" s="5">
        <v>1.1937651000000001E-2</v>
      </c>
    </row>
    <row r="12" spans="1:7" ht="12.75" x14ac:dyDescent="0.2">
      <c r="A12" s="6">
        <v>6</v>
      </c>
      <c r="B12" s="7" t="s">
        <v>604</v>
      </c>
      <c r="C12" s="11" t="s">
        <v>605</v>
      </c>
      <c r="D12" s="2" t="s">
        <v>16</v>
      </c>
      <c r="E12" s="47">
        <v>36831</v>
      </c>
      <c r="F12" s="53">
        <v>25.929023999999998</v>
      </c>
      <c r="G12" s="5">
        <v>1.1871431999999999E-2</v>
      </c>
    </row>
    <row r="13" spans="1:7" ht="12.75" x14ac:dyDescent="0.2">
      <c r="A13" s="6">
        <v>7</v>
      </c>
      <c r="B13" s="7" t="s">
        <v>606</v>
      </c>
      <c r="C13" s="11" t="s">
        <v>607</v>
      </c>
      <c r="D13" s="2" t="s">
        <v>237</v>
      </c>
      <c r="E13" s="47">
        <v>114</v>
      </c>
      <c r="F13" s="53">
        <v>25.693434</v>
      </c>
      <c r="G13" s="5">
        <v>1.1763569E-2</v>
      </c>
    </row>
    <row r="14" spans="1:7" ht="25.5" x14ac:dyDescent="0.2">
      <c r="A14" s="6">
        <v>8</v>
      </c>
      <c r="B14" s="7" t="s">
        <v>444</v>
      </c>
      <c r="C14" s="11" t="s">
        <v>445</v>
      </c>
      <c r="D14" s="2" t="s">
        <v>27</v>
      </c>
      <c r="E14" s="47">
        <v>1532</v>
      </c>
      <c r="F14" s="53">
        <v>25.371452000000001</v>
      </c>
      <c r="G14" s="5">
        <v>1.1616151999999999E-2</v>
      </c>
    </row>
    <row r="15" spans="1:7" ht="12.75" x14ac:dyDescent="0.2">
      <c r="A15" s="6">
        <v>9</v>
      </c>
      <c r="B15" s="7" t="s">
        <v>608</v>
      </c>
      <c r="C15" s="11" t="s">
        <v>609</v>
      </c>
      <c r="D15" s="2" t="s">
        <v>16</v>
      </c>
      <c r="E15" s="47">
        <v>4100</v>
      </c>
      <c r="F15" s="53">
        <v>25.104299999999999</v>
      </c>
      <c r="G15" s="5">
        <v>1.1493837999999999E-2</v>
      </c>
    </row>
    <row r="16" spans="1:7" ht="25.5" x14ac:dyDescent="0.2">
      <c r="A16" s="6">
        <v>10</v>
      </c>
      <c r="B16" s="7" t="s">
        <v>404</v>
      </c>
      <c r="C16" s="11" t="s">
        <v>405</v>
      </c>
      <c r="D16" s="2" t="s">
        <v>72</v>
      </c>
      <c r="E16" s="47">
        <v>2500</v>
      </c>
      <c r="F16" s="53">
        <v>24.787500000000001</v>
      </c>
      <c r="G16" s="5">
        <v>1.1348792999999999E-2</v>
      </c>
    </row>
    <row r="17" spans="1:7" ht="12.75" x14ac:dyDescent="0.2">
      <c r="A17" s="6">
        <v>11</v>
      </c>
      <c r="B17" s="7" t="s">
        <v>610</v>
      </c>
      <c r="C17" s="11" t="s">
        <v>611</v>
      </c>
      <c r="D17" s="2" t="s">
        <v>237</v>
      </c>
      <c r="E17" s="47">
        <v>13460</v>
      </c>
      <c r="F17" s="53">
        <v>23.918420000000001</v>
      </c>
      <c r="G17" s="5">
        <v>1.0950891000000001E-2</v>
      </c>
    </row>
    <row r="18" spans="1:7" ht="12.75" x14ac:dyDescent="0.2">
      <c r="A18" s="6">
        <v>12</v>
      </c>
      <c r="B18" s="7" t="s">
        <v>612</v>
      </c>
      <c r="C18" s="11" t="s">
        <v>613</v>
      </c>
      <c r="D18" s="2" t="s">
        <v>168</v>
      </c>
      <c r="E18" s="47">
        <v>156</v>
      </c>
      <c r="F18" s="53">
        <v>23.876346000000002</v>
      </c>
      <c r="G18" s="5">
        <v>1.0931626999999999E-2</v>
      </c>
    </row>
    <row r="19" spans="1:7" ht="25.5" x14ac:dyDescent="0.2">
      <c r="A19" s="6">
        <v>13</v>
      </c>
      <c r="B19" s="7" t="s">
        <v>614</v>
      </c>
      <c r="C19" s="11" t="s">
        <v>615</v>
      </c>
      <c r="D19" s="2" t="s">
        <v>72</v>
      </c>
      <c r="E19" s="47">
        <v>4675</v>
      </c>
      <c r="F19" s="53">
        <v>23.8635375</v>
      </c>
      <c r="G19" s="5">
        <v>1.0925763E-2</v>
      </c>
    </row>
    <row r="20" spans="1:7" ht="25.5" x14ac:dyDescent="0.2">
      <c r="A20" s="6">
        <v>14</v>
      </c>
      <c r="B20" s="7" t="s">
        <v>616</v>
      </c>
      <c r="C20" s="11" t="s">
        <v>617</v>
      </c>
      <c r="D20" s="2" t="s">
        <v>33</v>
      </c>
      <c r="E20" s="47">
        <v>7319</v>
      </c>
      <c r="F20" s="53">
        <v>23.805047500000001</v>
      </c>
      <c r="G20" s="5">
        <v>1.0898984E-2</v>
      </c>
    </row>
    <row r="21" spans="1:7" ht="25.5" x14ac:dyDescent="0.2">
      <c r="A21" s="6">
        <v>15</v>
      </c>
      <c r="B21" s="7" t="s">
        <v>31</v>
      </c>
      <c r="C21" s="11" t="s">
        <v>32</v>
      </c>
      <c r="D21" s="2" t="s">
        <v>33</v>
      </c>
      <c r="E21" s="47">
        <v>1619</v>
      </c>
      <c r="F21" s="53">
        <v>23.707826499999999</v>
      </c>
      <c r="G21" s="5">
        <v>1.0854472E-2</v>
      </c>
    </row>
    <row r="22" spans="1:7" ht="12.75" x14ac:dyDescent="0.2">
      <c r="A22" s="6">
        <v>16</v>
      </c>
      <c r="B22" s="7" t="s">
        <v>590</v>
      </c>
      <c r="C22" s="11" t="s">
        <v>591</v>
      </c>
      <c r="D22" s="2" t="s">
        <v>192</v>
      </c>
      <c r="E22" s="47">
        <v>92</v>
      </c>
      <c r="F22" s="53">
        <v>23.690828</v>
      </c>
      <c r="G22" s="5">
        <v>1.0846689E-2</v>
      </c>
    </row>
    <row r="23" spans="1:7" ht="12.75" x14ac:dyDescent="0.2">
      <c r="A23" s="6">
        <v>17</v>
      </c>
      <c r="B23" s="7" t="s">
        <v>438</v>
      </c>
      <c r="C23" s="11" t="s">
        <v>439</v>
      </c>
      <c r="D23" s="2" t="s">
        <v>237</v>
      </c>
      <c r="E23" s="47">
        <v>308</v>
      </c>
      <c r="F23" s="53">
        <v>23.282952000000002</v>
      </c>
      <c r="G23" s="5">
        <v>1.0659946E-2</v>
      </c>
    </row>
    <row r="24" spans="1:7" ht="25.5" x14ac:dyDescent="0.2">
      <c r="A24" s="6">
        <v>18</v>
      </c>
      <c r="B24" s="7" t="s">
        <v>566</v>
      </c>
      <c r="C24" s="11" t="s">
        <v>567</v>
      </c>
      <c r="D24" s="2" t="s">
        <v>30</v>
      </c>
      <c r="E24" s="47">
        <v>711</v>
      </c>
      <c r="F24" s="53">
        <v>23.225525999999999</v>
      </c>
      <c r="G24" s="5">
        <v>1.0633653999999999E-2</v>
      </c>
    </row>
    <row r="25" spans="1:7" ht="12.75" x14ac:dyDescent="0.2">
      <c r="A25" s="6">
        <v>19</v>
      </c>
      <c r="B25" s="7" t="s">
        <v>592</v>
      </c>
      <c r="C25" s="11" t="s">
        <v>593</v>
      </c>
      <c r="D25" s="2" t="s">
        <v>223</v>
      </c>
      <c r="E25" s="47">
        <v>1155</v>
      </c>
      <c r="F25" s="53">
        <v>23.038207499999999</v>
      </c>
      <c r="G25" s="5">
        <v>1.0547891E-2</v>
      </c>
    </row>
    <row r="26" spans="1:7" ht="25.5" x14ac:dyDescent="0.2">
      <c r="A26" s="6">
        <v>20</v>
      </c>
      <c r="B26" s="7" t="s">
        <v>618</v>
      </c>
      <c r="C26" s="11" t="s">
        <v>619</v>
      </c>
      <c r="D26" s="2" t="s">
        <v>72</v>
      </c>
      <c r="E26" s="47">
        <v>627</v>
      </c>
      <c r="F26" s="53">
        <v>23.009018999999999</v>
      </c>
      <c r="G26" s="5">
        <v>1.0534527E-2</v>
      </c>
    </row>
    <row r="27" spans="1:7" ht="25.5" x14ac:dyDescent="0.2">
      <c r="A27" s="6">
        <v>21</v>
      </c>
      <c r="B27" s="7" t="s">
        <v>560</v>
      </c>
      <c r="C27" s="11" t="s">
        <v>561</v>
      </c>
      <c r="D27" s="2" t="s">
        <v>30</v>
      </c>
      <c r="E27" s="47">
        <v>153</v>
      </c>
      <c r="F27" s="53">
        <v>22.86891</v>
      </c>
      <c r="G27" s="5">
        <v>1.0470379E-2</v>
      </c>
    </row>
    <row r="28" spans="1:7" ht="12.75" x14ac:dyDescent="0.2">
      <c r="A28" s="6">
        <v>22</v>
      </c>
      <c r="B28" s="7" t="s">
        <v>620</v>
      </c>
      <c r="C28" s="11" t="s">
        <v>621</v>
      </c>
      <c r="D28" s="2" t="s">
        <v>237</v>
      </c>
      <c r="E28" s="47">
        <v>29666</v>
      </c>
      <c r="F28" s="53">
        <v>22.768654999999999</v>
      </c>
      <c r="G28" s="5">
        <v>1.0424477999999999E-2</v>
      </c>
    </row>
    <row r="29" spans="1:7" ht="12.75" x14ac:dyDescent="0.2">
      <c r="A29" s="6">
        <v>23</v>
      </c>
      <c r="B29" s="7" t="s">
        <v>622</v>
      </c>
      <c r="C29" s="11" t="s">
        <v>623</v>
      </c>
      <c r="D29" s="2" t="s">
        <v>72</v>
      </c>
      <c r="E29" s="47">
        <v>20683</v>
      </c>
      <c r="F29" s="53">
        <v>22.575494500000001</v>
      </c>
      <c r="G29" s="5">
        <v>1.0336041000000001E-2</v>
      </c>
    </row>
    <row r="30" spans="1:7" ht="25.5" x14ac:dyDescent="0.2">
      <c r="A30" s="6">
        <v>24</v>
      </c>
      <c r="B30" s="7" t="s">
        <v>416</v>
      </c>
      <c r="C30" s="11" t="s">
        <v>417</v>
      </c>
      <c r="D30" s="2" t="s">
        <v>72</v>
      </c>
      <c r="E30" s="47">
        <v>3603</v>
      </c>
      <c r="F30" s="53">
        <v>22.561986000000001</v>
      </c>
      <c r="G30" s="5">
        <v>1.0329856E-2</v>
      </c>
    </row>
    <row r="31" spans="1:7" ht="12.75" x14ac:dyDescent="0.2">
      <c r="A31" s="6">
        <v>25</v>
      </c>
      <c r="B31" s="7" t="s">
        <v>14</v>
      </c>
      <c r="C31" s="11" t="s">
        <v>15</v>
      </c>
      <c r="D31" s="2" t="s">
        <v>16</v>
      </c>
      <c r="E31" s="47">
        <v>4871</v>
      </c>
      <c r="F31" s="53">
        <v>22.555165500000001</v>
      </c>
      <c r="G31" s="5">
        <v>1.0326734000000001E-2</v>
      </c>
    </row>
    <row r="32" spans="1:7" ht="12.75" x14ac:dyDescent="0.2">
      <c r="A32" s="6">
        <v>26</v>
      </c>
      <c r="B32" s="7" t="s">
        <v>624</v>
      </c>
      <c r="C32" s="11" t="s">
        <v>625</v>
      </c>
      <c r="D32" s="2" t="s">
        <v>237</v>
      </c>
      <c r="E32" s="47">
        <v>694</v>
      </c>
      <c r="F32" s="53">
        <v>22.536608999999999</v>
      </c>
      <c r="G32" s="5">
        <v>1.0318238E-2</v>
      </c>
    </row>
    <row r="33" spans="1:7" ht="25.5" x14ac:dyDescent="0.2">
      <c r="A33" s="6">
        <v>27</v>
      </c>
      <c r="B33" s="7" t="s">
        <v>525</v>
      </c>
      <c r="C33" s="11" t="s">
        <v>526</v>
      </c>
      <c r="D33" s="2" t="s">
        <v>33</v>
      </c>
      <c r="E33" s="47">
        <v>15339</v>
      </c>
      <c r="F33" s="53">
        <v>22.517651999999998</v>
      </c>
      <c r="G33" s="5">
        <v>1.0309558E-2</v>
      </c>
    </row>
    <row r="34" spans="1:7" ht="12.75" x14ac:dyDescent="0.2">
      <c r="A34" s="6">
        <v>28</v>
      </c>
      <c r="B34" s="7" t="s">
        <v>523</v>
      </c>
      <c r="C34" s="11" t="s">
        <v>524</v>
      </c>
      <c r="D34" s="2" t="s">
        <v>242</v>
      </c>
      <c r="E34" s="47">
        <v>1935</v>
      </c>
      <c r="F34" s="53">
        <v>22.499212499999999</v>
      </c>
      <c r="G34" s="5">
        <v>1.0301116000000001E-2</v>
      </c>
    </row>
    <row r="35" spans="1:7" ht="25.5" x14ac:dyDescent="0.2">
      <c r="A35" s="6">
        <v>29</v>
      </c>
      <c r="B35" s="7" t="s">
        <v>626</v>
      </c>
      <c r="C35" s="11" t="s">
        <v>627</v>
      </c>
      <c r="D35" s="2" t="s">
        <v>30</v>
      </c>
      <c r="E35" s="47">
        <v>1452</v>
      </c>
      <c r="F35" s="53">
        <v>22.494384</v>
      </c>
      <c r="G35" s="5">
        <v>1.0298905000000001E-2</v>
      </c>
    </row>
    <row r="36" spans="1:7" ht="25.5" x14ac:dyDescent="0.2">
      <c r="A36" s="6">
        <v>30</v>
      </c>
      <c r="B36" s="7" t="s">
        <v>424</v>
      </c>
      <c r="C36" s="11" t="s">
        <v>425</v>
      </c>
      <c r="D36" s="2" t="s">
        <v>30</v>
      </c>
      <c r="E36" s="47">
        <v>1034</v>
      </c>
      <c r="F36" s="53">
        <v>22.493119</v>
      </c>
      <c r="G36" s="5">
        <v>1.0298326E-2</v>
      </c>
    </row>
    <row r="37" spans="1:7" ht="25.5" x14ac:dyDescent="0.2">
      <c r="A37" s="6">
        <v>31</v>
      </c>
      <c r="B37" s="7" t="s">
        <v>70</v>
      </c>
      <c r="C37" s="11" t="s">
        <v>71</v>
      </c>
      <c r="D37" s="2" t="s">
        <v>72</v>
      </c>
      <c r="E37" s="47">
        <v>1655</v>
      </c>
      <c r="F37" s="53">
        <v>22.22334</v>
      </c>
      <c r="G37" s="5">
        <v>1.0174809999999999E-2</v>
      </c>
    </row>
    <row r="38" spans="1:7" ht="12.75" x14ac:dyDescent="0.2">
      <c r="A38" s="6">
        <v>32</v>
      </c>
      <c r="B38" s="7" t="s">
        <v>448</v>
      </c>
      <c r="C38" s="11" t="s">
        <v>449</v>
      </c>
      <c r="D38" s="2" t="s">
        <v>242</v>
      </c>
      <c r="E38" s="47">
        <v>978</v>
      </c>
      <c r="F38" s="53">
        <v>22.197177</v>
      </c>
      <c r="G38" s="5">
        <v>1.0162831000000001E-2</v>
      </c>
    </row>
    <row r="39" spans="1:7" ht="25.5" x14ac:dyDescent="0.2">
      <c r="A39" s="6">
        <v>33</v>
      </c>
      <c r="B39" s="7" t="s">
        <v>330</v>
      </c>
      <c r="C39" s="11" t="s">
        <v>331</v>
      </c>
      <c r="D39" s="2" t="s">
        <v>30</v>
      </c>
      <c r="E39" s="47">
        <v>181</v>
      </c>
      <c r="F39" s="53">
        <v>22.158563000000001</v>
      </c>
      <c r="G39" s="5">
        <v>1.0145151999999999E-2</v>
      </c>
    </row>
    <row r="40" spans="1:7" ht="12.75" x14ac:dyDescent="0.2">
      <c r="A40" s="6">
        <v>34</v>
      </c>
      <c r="B40" s="7" t="s">
        <v>508</v>
      </c>
      <c r="C40" s="11" t="s">
        <v>509</v>
      </c>
      <c r="D40" s="2" t="s">
        <v>168</v>
      </c>
      <c r="E40" s="47">
        <v>17958</v>
      </c>
      <c r="F40" s="53">
        <v>22.079360999999999</v>
      </c>
      <c r="G40" s="5">
        <v>1.0108890000000001E-2</v>
      </c>
    </row>
    <row r="41" spans="1:7" ht="25.5" x14ac:dyDescent="0.2">
      <c r="A41" s="6">
        <v>35</v>
      </c>
      <c r="B41" s="7" t="s">
        <v>628</v>
      </c>
      <c r="C41" s="11" t="s">
        <v>629</v>
      </c>
      <c r="D41" s="2" t="s">
        <v>30</v>
      </c>
      <c r="E41" s="47">
        <v>2982</v>
      </c>
      <c r="F41" s="53">
        <v>22.077237</v>
      </c>
      <c r="G41" s="5">
        <v>1.0107916999999999E-2</v>
      </c>
    </row>
    <row r="42" spans="1:7" ht="12.75" x14ac:dyDescent="0.2">
      <c r="A42" s="6">
        <v>36</v>
      </c>
      <c r="B42" s="7" t="s">
        <v>420</v>
      </c>
      <c r="C42" s="11" t="s">
        <v>421</v>
      </c>
      <c r="D42" s="2" t="s">
        <v>72</v>
      </c>
      <c r="E42" s="47">
        <v>548</v>
      </c>
      <c r="F42" s="53">
        <v>22.070974</v>
      </c>
      <c r="G42" s="5">
        <v>1.0105050000000001E-2</v>
      </c>
    </row>
    <row r="43" spans="1:7" ht="25.5" x14ac:dyDescent="0.2">
      <c r="A43" s="6">
        <v>37</v>
      </c>
      <c r="B43" s="7" t="s">
        <v>418</v>
      </c>
      <c r="C43" s="11" t="s">
        <v>419</v>
      </c>
      <c r="D43" s="2" t="s">
        <v>30</v>
      </c>
      <c r="E43" s="47">
        <v>8561</v>
      </c>
      <c r="F43" s="53">
        <v>22.057416499999999</v>
      </c>
      <c r="G43" s="5">
        <v>1.0098843E-2</v>
      </c>
    </row>
    <row r="44" spans="1:7" ht="25.5" x14ac:dyDescent="0.2">
      <c r="A44" s="6">
        <v>38</v>
      </c>
      <c r="B44" s="7" t="s">
        <v>434</v>
      </c>
      <c r="C44" s="11" t="s">
        <v>435</v>
      </c>
      <c r="D44" s="2" t="s">
        <v>30</v>
      </c>
      <c r="E44" s="47">
        <v>1218</v>
      </c>
      <c r="F44" s="53">
        <v>22.040928000000001</v>
      </c>
      <c r="G44" s="5">
        <v>1.0091292999999999E-2</v>
      </c>
    </row>
    <row r="45" spans="1:7" ht="12.75" x14ac:dyDescent="0.2">
      <c r="A45" s="6">
        <v>39</v>
      </c>
      <c r="B45" s="7" t="s">
        <v>391</v>
      </c>
      <c r="C45" s="11" t="s">
        <v>392</v>
      </c>
      <c r="D45" s="2" t="s">
        <v>226</v>
      </c>
      <c r="E45" s="47">
        <v>8945</v>
      </c>
      <c r="F45" s="53">
        <v>22.013645</v>
      </c>
      <c r="G45" s="5">
        <v>1.0078802E-2</v>
      </c>
    </row>
    <row r="46" spans="1:7" ht="12.75" x14ac:dyDescent="0.2">
      <c r="A46" s="6">
        <v>40</v>
      </c>
      <c r="B46" s="7" t="s">
        <v>630</v>
      </c>
      <c r="C46" s="11" t="s">
        <v>631</v>
      </c>
      <c r="D46" s="2" t="s">
        <v>226</v>
      </c>
      <c r="E46" s="47">
        <v>1241</v>
      </c>
      <c r="F46" s="53">
        <v>21.780170500000001</v>
      </c>
      <c r="G46" s="5">
        <v>9.9719070000000003E-3</v>
      </c>
    </row>
    <row r="47" spans="1:7" ht="12.75" x14ac:dyDescent="0.2">
      <c r="A47" s="6">
        <v>41</v>
      </c>
      <c r="B47" s="7" t="s">
        <v>632</v>
      </c>
      <c r="C47" s="11" t="s">
        <v>633</v>
      </c>
      <c r="D47" s="2" t="s">
        <v>50</v>
      </c>
      <c r="E47" s="47">
        <v>11846</v>
      </c>
      <c r="F47" s="53">
        <v>21.713718</v>
      </c>
      <c r="G47" s="5">
        <v>9.9414819999999997E-3</v>
      </c>
    </row>
    <row r="48" spans="1:7" ht="25.5" x14ac:dyDescent="0.2">
      <c r="A48" s="6">
        <v>42</v>
      </c>
      <c r="B48" s="7" t="s">
        <v>410</v>
      </c>
      <c r="C48" s="11" t="s">
        <v>411</v>
      </c>
      <c r="D48" s="2" t="s">
        <v>72</v>
      </c>
      <c r="E48" s="47">
        <v>725</v>
      </c>
      <c r="F48" s="53">
        <v>21.708674999999999</v>
      </c>
      <c r="G48" s="5">
        <v>9.9391740000000003E-3</v>
      </c>
    </row>
    <row r="49" spans="1:7" ht="25.5" x14ac:dyDescent="0.2">
      <c r="A49" s="6">
        <v>43</v>
      </c>
      <c r="B49" s="7" t="s">
        <v>370</v>
      </c>
      <c r="C49" s="11" t="s">
        <v>371</v>
      </c>
      <c r="D49" s="2" t="s">
        <v>80</v>
      </c>
      <c r="E49" s="47">
        <v>3687</v>
      </c>
      <c r="F49" s="53">
        <v>21.6924645</v>
      </c>
      <c r="G49" s="5">
        <v>9.9317520000000003E-3</v>
      </c>
    </row>
    <row r="50" spans="1:7" ht="12.75" x14ac:dyDescent="0.2">
      <c r="A50" s="6">
        <v>44</v>
      </c>
      <c r="B50" s="7" t="s">
        <v>634</v>
      </c>
      <c r="C50" s="11" t="s">
        <v>635</v>
      </c>
      <c r="D50" s="2" t="s">
        <v>307</v>
      </c>
      <c r="E50" s="47">
        <v>7567</v>
      </c>
      <c r="F50" s="53">
        <v>21.671887999999999</v>
      </c>
      <c r="G50" s="5">
        <v>9.9223309999999995E-3</v>
      </c>
    </row>
    <row r="51" spans="1:7" ht="12.75" x14ac:dyDescent="0.2">
      <c r="A51" s="6">
        <v>45</v>
      </c>
      <c r="B51" s="7" t="s">
        <v>408</v>
      </c>
      <c r="C51" s="11" t="s">
        <v>409</v>
      </c>
      <c r="D51" s="2" t="s">
        <v>16</v>
      </c>
      <c r="E51" s="47">
        <v>2934</v>
      </c>
      <c r="F51" s="53">
        <v>21.604509</v>
      </c>
      <c r="G51" s="5">
        <v>9.8914820000000001E-3</v>
      </c>
    </row>
    <row r="52" spans="1:7" ht="12.75" x14ac:dyDescent="0.2">
      <c r="A52" s="6">
        <v>46</v>
      </c>
      <c r="B52" s="7" t="s">
        <v>570</v>
      </c>
      <c r="C52" s="11" t="s">
        <v>571</v>
      </c>
      <c r="D52" s="2" t="s">
        <v>376</v>
      </c>
      <c r="E52" s="47">
        <v>3617</v>
      </c>
      <c r="F52" s="53">
        <v>21.573596500000001</v>
      </c>
      <c r="G52" s="5">
        <v>9.8773290000000007E-3</v>
      </c>
    </row>
    <row r="53" spans="1:7" ht="12.75" x14ac:dyDescent="0.2">
      <c r="A53" s="6">
        <v>47</v>
      </c>
      <c r="B53" s="7" t="s">
        <v>436</v>
      </c>
      <c r="C53" s="11" t="s">
        <v>437</v>
      </c>
      <c r="D53" s="2" t="s">
        <v>237</v>
      </c>
      <c r="E53" s="47">
        <v>3555</v>
      </c>
      <c r="F53" s="53">
        <v>21.5592975</v>
      </c>
      <c r="G53" s="5">
        <v>9.8707819999999998E-3</v>
      </c>
    </row>
    <row r="54" spans="1:7" ht="25.5" x14ac:dyDescent="0.2">
      <c r="A54" s="6">
        <v>48</v>
      </c>
      <c r="B54" s="7" t="s">
        <v>636</v>
      </c>
      <c r="C54" s="11" t="s">
        <v>637</v>
      </c>
      <c r="D54" s="2" t="s">
        <v>638</v>
      </c>
      <c r="E54" s="47">
        <v>15209</v>
      </c>
      <c r="F54" s="53">
        <v>21.551152999999999</v>
      </c>
      <c r="G54" s="5">
        <v>9.8670530000000006E-3</v>
      </c>
    </row>
    <row r="55" spans="1:7" ht="12.75" x14ac:dyDescent="0.2">
      <c r="A55" s="6">
        <v>49</v>
      </c>
      <c r="B55" s="7" t="s">
        <v>639</v>
      </c>
      <c r="C55" s="11" t="s">
        <v>640</v>
      </c>
      <c r="D55" s="2" t="s">
        <v>16</v>
      </c>
      <c r="E55" s="47">
        <v>32879</v>
      </c>
      <c r="F55" s="53">
        <v>21.4864265</v>
      </c>
      <c r="G55" s="5">
        <v>9.837419E-3</v>
      </c>
    </row>
    <row r="56" spans="1:7" ht="12.75" x14ac:dyDescent="0.2">
      <c r="A56" s="6">
        <v>50</v>
      </c>
      <c r="B56" s="7" t="s">
        <v>535</v>
      </c>
      <c r="C56" s="11" t="s">
        <v>536</v>
      </c>
      <c r="D56" s="2" t="s">
        <v>72</v>
      </c>
      <c r="E56" s="47">
        <v>264</v>
      </c>
      <c r="F56" s="53">
        <v>21.474684</v>
      </c>
      <c r="G56" s="5">
        <v>9.8320419999999992E-3</v>
      </c>
    </row>
    <row r="57" spans="1:7" ht="25.5" x14ac:dyDescent="0.2">
      <c r="A57" s="6">
        <v>51</v>
      </c>
      <c r="B57" s="7" t="s">
        <v>450</v>
      </c>
      <c r="C57" s="11" t="s">
        <v>451</v>
      </c>
      <c r="D57" s="2" t="s">
        <v>47</v>
      </c>
      <c r="E57" s="47">
        <v>1608</v>
      </c>
      <c r="F57" s="53">
        <v>21.405695999999999</v>
      </c>
      <c r="G57" s="5">
        <v>9.8004570000000003E-3</v>
      </c>
    </row>
    <row r="58" spans="1:7" ht="12.75" x14ac:dyDescent="0.2">
      <c r="A58" s="6">
        <v>52</v>
      </c>
      <c r="B58" s="7" t="s">
        <v>515</v>
      </c>
      <c r="C58" s="11" t="s">
        <v>516</v>
      </c>
      <c r="D58" s="2" t="s">
        <v>242</v>
      </c>
      <c r="E58" s="47">
        <v>2888</v>
      </c>
      <c r="F58" s="53">
        <v>21.342320000000001</v>
      </c>
      <c r="G58" s="5">
        <v>9.7714399999999993E-3</v>
      </c>
    </row>
    <row r="59" spans="1:7" ht="25.5" x14ac:dyDescent="0.2">
      <c r="A59" s="6">
        <v>53</v>
      </c>
      <c r="B59" s="7" t="s">
        <v>641</v>
      </c>
      <c r="C59" s="11" t="s">
        <v>642</v>
      </c>
      <c r="D59" s="2" t="s">
        <v>80</v>
      </c>
      <c r="E59" s="47">
        <v>5386</v>
      </c>
      <c r="F59" s="53">
        <v>21.317788</v>
      </c>
      <c r="G59" s="5">
        <v>9.7602090000000006E-3</v>
      </c>
    </row>
    <row r="60" spans="1:7" ht="12.75" x14ac:dyDescent="0.2">
      <c r="A60" s="6">
        <v>54</v>
      </c>
      <c r="B60" s="7" t="s">
        <v>643</v>
      </c>
      <c r="C60" s="11" t="s">
        <v>644</v>
      </c>
      <c r="D60" s="2" t="s">
        <v>242</v>
      </c>
      <c r="E60" s="47">
        <v>8214</v>
      </c>
      <c r="F60" s="53">
        <v>21.298901999999998</v>
      </c>
      <c r="G60" s="5">
        <v>9.7515620000000001E-3</v>
      </c>
    </row>
    <row r="61" spans="1:7" ht="25.5" x14ac:dyDescent="0.2">
      <c r="A61" s="6">
        <v>55</v>
      </c>
      <c r="B61" s="7" t="s">
        <v>645</v>
      </c>
      <c r="C61" s="11" t="s">
        <v>646</v>
      </c>
      <c r="D61" s="2" t="s">
        <v>226</v>
      </c>
      <c r="E61" s="47">
        <v>4909</v>
      </c>
      <c r="F61" s="53">
        <v>21.275606</v>
      </c>
      <c r="G61" s="5">
        <v>9.7408960000000006E-3</v>
      </c>
    </row>
    <row r="62" spans="1:7" ht="25.5" x14ac:dyDescent="0.2">
      <c r="A62" s="6">
        <v>56</v>
      </c>
      <c r="B62" s="7" t="s">
        <v>11</v>
      </c>
      <c r="C62" s="11" t="s">
        <v>12</v>
      </c>
      <c r="D62" s="2" t="s">
        <v>13</v>
      </c>
      <c r="E62" s="47">
        <v>1443</v>
      </c>
      <c r="F62" s="53">
        <v>21.256111499999999</v>
      </c>
      <c r="G62" s="5">
        <v>9.7319699999999995E-3</v>
      </c>
    </row>
    <row r="63" spans="1:7" ht="25.5" x14ac:dyDescent="0.2">
      <c r="A63" s="6">
        <v>57</v>
      </c>
      <c r="B63" s="7" t="s">
        <v>63</v>
      </c>
      <c r="C63" s="11" t="s">
        <v>64</v>
      </c>
      <c r="D63" s="2" t="s">
        <v>65</v>
      </c>
      <c r="E63" s="47">
        <v>5672</v>
      </c>
      <c r="F63" s="53">
        <v>21.227460000000001</v>
      </c>
      <c r="G63" s="5">
        <v>9.718852E-3</v>
      </c>
    </row>
    <row r="64" spans="1:7" ht="12.75" x14ac:dyDescent="0.2">
      <c r="A64" s="6">
        <v>58</v>
      </c>
      <c r="B64" s="7" t="s">
        <v>502</v>
      </c>
      <c r="C64" s="11" t="s">
        <v>503</v>
      </c>
      <c r="D64" s="2" t="s">
        <v>16</v>
      </c>
      <c r="E64" s="47">
        <v>6779</v>
      </c>
      <c r="F64" s="53">
        <v>21.177596000000001</v>
      </c>
      <c r="G64" s="5">
        <v>9.6960229999999998E-3</v>
      </c>
    </row>
    <row r="65" spans="1:7" ht="25.5" x14ac:dyDescent="0.2">
      <c r="A65" s="6">
        <v>59</v>
      </c>
      <c r="B65" s="7" t="s">
        <v>568</v>
      </c>
      <c r="C65" s="11" t="s">
        <v>569</v>
      </c>
      <c r="D65" s="2" t="s">
        <v>30</v>
      </c>
      <c r="E65" s="47">
        <v>4573</v>
      </c>
      <c r="F65" s="53">
        <v>21.124973499999999</v>
      </c>
      <c r="G65" s="5">
        <v>9.6719300000000005E-3</v>
      </c>
    </row>
    <row r="66" spans="1:7" ht="25.5" x14ac:dyDescent="0.2">
      <c r="A66" s="6">
        <v>60</v>
      </c>
      <c r="B66" s="7" t="s">
        <v>432</v>
      </c>
      <c r="C66" s="11" t="s">
        <v>433</v>
      </c>
      <c r="D66" s="2" t="s">
        <v>72</v>
      </c>
      <c r="E66" s="47">
        <v>987</v>
      </c>
      <c r="F66" s="53">
        <v>21.041853</v>
      </c>
      <c r="G66" s="5">
        <v>9.6338729999999994E-3</v>
      </c>
    </row>
    <row r="67" spans="1:7" ht="12.75" x14ac:dyDescent="0.2">
      <c r="A67" s="6">
        <v>61</v>
      </c>
      <c r="B67" s="7" t="s">
        <v>647</v>
      </c>
      <c r="C67" s="11" t="s">
        <v>648</v>
      </c>
      <c r="D67" s="2" t="s">
        <v>603</v>
      </c>
      <c r="E67" s="47">
        <v>10124</v>
      </c>
      <c r="F67" s="53">
        <v>21.012362</v>
      </c>
      <c r="G67" s="5">
        <v>9.6203710000000008E-3</v>
      </c>
    </row>
    <row r="68" spans="1:7" ht="12.75" x14ac:dyDescent="0.2">
      <c r="A68" s="6">
        <v>62</v>
      </c>
      <c r="B68" s="7" t="s">
        <v>649</v>
      </c>
      <c r="C68" s="11" t="s">
        <v>650</v>
      </c>
      <c r="D68" s="2" t="s">
        <v>290</v>
      </c>
      <c r="E68" s="47">
        <v>5493</v>
      </c>
      <c r="F68" s="53">
        <v>20.9036115</v>
      </c>
      <c r="G68" s="5">
        <v>9.5705809999999999E-3</v>
      </c>
    </row>
    <row r="69" spans="1:7" ht="12.75" x14ac:dyDescent="0.2">
      <c r="A69" s="6">
        <v>63</v>
      </c>
      <c r="B69" s="7" t="s">
        <v>510</v>
      </c>
      <c r="C69" s="11" t="s">
        <v>511</v>
      </c>
      <c r="D69" s="2" t="s">
        <v>19</v>
      </c>
      <c r="E69" s="47">
        <v>105</v>
      </c>
      <c r="F69" s="53">
        <v>20.8982025</v>
      </c>
      <c r="G69" s="5">
        <v>9.5681039999999992E-3</v>
      </c>
    </row>
    <row r="70" spans="1:7" ht="12.75" x14ac:dyDescent="0.2">
      <c r="A70" s="6">
        <v>64</v>
      </c>
      <c r="B70" s="7" t="s">
        <v>517</v>
      </c>
      <c r="C70" s="11" t="s">
        <v>518</v>
      </c>
      <c r="D70" s="2" t="s">
        <v>19</v>
      </c>
      <c r="E70" s="47">
        <v>2705</v>
      </c>
      <c r="F70" s="53">
        <v>20.794687499999998</v>
      </c>
      <c r="G70" s="5">
        <v>9.5207099999999999E-3</v>
      </c>
    </row>
    <row r="71" spans="1:7" ht="12.75" x14ac:dyDescent="0.2">
      <c r="A71" s="6">
        <v>65</v>
      </c>
      <c r="B71" s="7" t="s">
        <v>651</v>
      </c>
      <c r="C71" s="11" t="s">
        <v>652</v>
      </c>
      <c r="D71" s="2" t="s">
        <v>307</v>
      </c>
      <c r="E71" s="47">
        <v>15107</v>
      </c>
      <c r="F71" s="53">
        <v>20.749464499999998</v>
      </c>
      <c r="G71" s="5">
        <v>9.5000050000000006E-3</v>
      </c>
    </row>
    <row r="72" spans="1:7" ht="12.75" x14ac:dyDescent="0.2">
      <c r="A72" s="6">
        <v>66</v>
      </c>
      <c r="B72" s="7" t="s">
        <v>653</v>
      </c>
      <c r="C72" s="11" t="s">
        <v>654</v>
      </c>
      <c r="D72" s="2" t="s">
        <v>226</v>
      </c>
      <c r="E72" s="47">
        <v>8237</v>
      </c>
      <c r="F72" s="53">
        <v>20.7366475</v>
      </c>
      <c r="G72" s="5">
        <v>9.4941369999999997E-3</v>
      </c>
    </row>
    <row r="73" spans="1:7" ht="12.75" x14ac:dyDescent="0.2">
      <c r="A73" s="6">
        <v>67</v>
      </c>
      <c r="B73" s="7" t="s">
        <v>500</v>
      </c>
      <c r="C73" s="11" t="s">
        <v>501</v>
      </c>
      <c r="D73" s="2" t="s">
        <v>40</v>
      </c>
      <c r="E73" s="47">
        <v>16904</v>
      </c>
      <c r="F73" s="53">
        <v>20.690496</v>
      </c>
      <c r="G73" s="5">
        <v>9.4730070000000003E-3</v>
      </c>
    </row>
    <row r="74" spans="1:7" ht="12.75" x14ac:dyDescent="0.2">
      <c r="A74" s="6">
        <v>68</v>
      </c>
      <c r="B74" s="7" t="s">
        <v>655</v>
      </c>
      <c r="C74" s="11" t="s">
        <v>656</v>
      </c>
      <c r="D74" s="2" t="s">
        <v>40</v>
      </c>
      <c r="E74" s="47">
        <v>87926</v>
      </c>
      <c r="F74" s="53">
        <v>20.662610000000001</v>
      </c>
      <c r="G74" s="5">
        <v>9.46024E-3</v>
      </c>
    </row>
    <row r="75" spans="1:7" ht="12.75" x14ac:dyDescent="0.2">
      <c r="A75" s="6">
        <v>69</v>
      </c>
      <c r="B75" s="7" t="s">
        <v>36</v>
      </c>
      <c r="C75" s="11" t="s">
        <v>37</v>
      </c>
      <c r="D75" s="2" t="s">
        <v>16</v>
      </c>
      <c r="E75" s="47">
        <v>1679</v>
      </c>
      <c r="F75" s="53">
        <v>20.657576500000001</v>
      </c>
      <c r="G75" s="5">
        <v>9.4579350000000006E-3</v>
      </c>
    </row>
    <row r="76" spans="1:7" ht="12.75" x14ac:dyDescent="0.2">
      <c r="A76" s="6">
        <v>70</v>
      </c>
      <c r="B76" s="7" t="s">
        <v>496</v>
      </c>
      <c r="C76" s="11" t="s">
        <v>497</v>
      </c>
      <c r="D76" s="2" t="s">
        <v>16</v>
      </c>
      <c r="E76" s="47">
        <v>1309</v>
      </c>
      <c r="F76" s="53">
        <v>20.610205000000001</v>
      </c>
      <c r="G76" s="5">
        <v>9.4362460000000006E-3</v>
      </c>
    </row>
    <row r="77" spans="1:7" ht="25.5" x14ac:dyDescent="0.2">
      <c r="A77" s="6">
        <v>71</v>
      </c>
      <c r="B77" s="7" t="s">
        <v>657</v>
      </c>
      <c r="C77" s="11" t="s">
        <v>658</v>
      </c>
      <c r="D77" s="2" t="s">
        <v>40</v>
      </c>
      <c r="E77" s="47">
        <v>10364</v>
      </c>
      <c r="F77" s="53">
        <v>20.556994</v>
      </c>
      <c r="G77" s="5">
        <v>9.4118840000000006E-3</v>
      </c>
    </row>
    <row r="78" spans="1:7" ht="25.5" x14ac:dyDescent="0.2">
      <c r="A78" s="6">
        <v>72</v>
      </c>
      <c r="B78" s="7" t="s">
        <v>659</v>
      </c>
      <c r="C78" s="11" t="s">
        <v>660</v>
      </c>
      <c r="D78" s="2" t="s">
        <v>72</v>
      </c>
      <c r="E78" s="47">
        <v>1796</v>
      </c>
      <c r="F78" s="53">
        <v>20.450154000000001</v>
      </c>
      <c r="G78" s="5">
        <v>9.3629679999999993E-3</v>
      </c>
    </row>
    <row r="79" spans="1:7" ht="25.5" x14ac:dyDescent="0.2">
      <c r="A79" s="6">
        <v>73</v>
      </c>
      <c r="B79" s="7" t="s">
        <v>422</v>
      </c>
      <c r="C79" s="11" t="s">
        <v>423</v>
      </c>
      <c r="D79" s="2" t="s">
        <v>30</v>
      </c>
      <c r="E79" s="47">
        <v>3266</v>
      </c>
      <c r="F79" s="53">
        <v>20.410867</v>
      </c>
      <c r="G79" s="5">
        <v>9.3449810000000005E-3</v>
      </c>
    </row>
    <row r="80" spans="1:7" ht="12.75" x14ac:dyDescent="0.2">
      <c r="A80" s="6">
        <v>74</v>
      </c>
      <c r="B80" s="7" t="s">
        <v>661</v>
      </c>
      <c r="C80" s="11" t="s">
        <v>662</v>
      </c>
      <c r="D80" s="2" t="s">
        <v>226</v>
      </c>
      <c r="E80" s="47">
        <v>4364</v>
      </c>
      <c r="F80" s="53">
        <v>20.373334</v>
      </c>
      <c r="G80" s="5">
        <v>9.3277959999999993E-3</v>
      </c>
    </row>
    <row r="81" spans="1:7" ht="25.5" x14ac:dyDescent="0.2">
      <c r="A81" s="6">
        <v>75</v>
      </c>
      <c r="B81" s="7" t="s">
        <v>383</v>
      </c>
      <c r="C81" s="11" t="s">
        <v>384</v>
      </c>
      <c r="D81" s="2" t="s">
        <v>30</v>
      </c>
      <c r="E81" s="47">
        <v>1592</v>
      </c>
      <c r="F81" s="53">
        <v>20.316307999999999</v>
      </c>
      <c r="G81" s="5">
        <v>9.3016880000000007E-3</v>
      </c>
    </row>
    <row r="82" spans="1:7" ht="12.75" x14ac:dyDescent="0.2">
      <c r="A82" s="6">
        <v>76</v>
      </c>
      <c r="B82" s="7" t="s">
        <v>572</v>
      </c>
      <c r="C82" s="11" t="s">
        <v>573</v>
      </c>
      <c r="D82" s="2" t="s">
        <v>158</v>
      </c>
      <c r="E82" s="47">
        <v>1438</v>
      </c>
      <c r="F82" s="53">
        <v>20.155007999999999</v>
      </c>
      <c r="G82" s="5">
        <v>9.2278369999999992E-3</v>
      </c>
    </row>
    <row r="83" spans="1:7" ht="12.75" x14ac:dyDescent="0.2">
      <c r="A83" s="6">
        <v>77</v>
      </c>
      <c r="B83" s="7" t="s">
        <v>663</v>
      </c>
      <c r="C83" s="11" t="s">
        <v>664</v>
      </c>
      <c r="D83" s="2" t="s">
        <v>226</v>
      </c>
      <c r="E83" s="47">
        <v>2691</v>
      </c>
      <c r="F83" s="53">
        <v>20.050640999999999</v>
      </c>
      <c r="G83" s="5">
        <v>9.180054E-3</v>
      </c>
    </row>
    <row r="84" spans="1:7" ht="25.5" x14ac:dyDescent="0.2">
      <c r="A84" s="6">
        <v>78</v>
      </c>
      <c r="B84" s="7" t="s">
        <v>665</v>
      </c>
      <c r="C84" s="11" t="s">
        <v>666</v>
      </c>
      <c r="D84" s="2" t="s">
        <v>242</v>
      </c>
      <c r="E84" s="47">
        <v>638</v>
      </c>
      <c r="F84" s="53">
        <v>20.036390000000001</v>
      </c>
      <c r="G84" s="5">
        <v>9.1735289999999997E-3</v>
      </c>
    </row>
    <row r="85" spans="1:7" ht="12.75" x14ac:dyDescent="0.2">
      <c r="A85" s="6">
        <v>79</v>
      </c>
      <c r="B85" s="7" t="s">
        <v>667</v>
      </c>
      <c r="C85" s="11" t="s">
        <v>668</v>
      </c>
      <c r="D85" s="2" t="s">
        <v>226</v>
      </c>
      <c r="E85" s="47">
        <v>718</v>
      </c>
      <c r="F85" s="53">
        <v>19.983376</v>
      </c>
      <c r="G85" s="5">
        <v>9.1492569999999992E-3</v>
      </c>
    </row>
    <row r="86" spans="1:7" ht="25.5" x14ac:dyDescent="0.2">
      <c r="A86" s="6">
        <v>80</v>
      </c>
      <c r="B86" s="7" t="s">
        <v>669</v>
      </c>
      <c r="C86" s="11" t="s">
        <v>670</v>
      </c>
      <c r="D86" s="2" t="s">
        <v>671</v>
      </c>
      <c r="E86" s="47">
        <v>9347</v>
      </c>
      <c r="F86" s="53">
        <v>19.876395500000001</v>
      </c>
      <c r="G86" s="5">
        <v>9.1002759999999992E-3</v>
      </c>
    </row>
    <row r="87" spans="1:7" ht="12.75" x14ac:dyDescent="0.2">
      <c r="A87" s="6">
        <v>81</v>
      </c>
      <c r="B87" s="7" t="s">
        <v>91</v>
      </c>
      <c r="C87" s="11" t="s">
        <v>92</v>
      </c>
      <c r="D87" s="2" t="s">
        <v>19</v>
      </c>
      <c r="E87" s="47">
        <v>476</v>
      </c>
      <c r="F87" s="53">
        <v>19.721632</v>
      </c>
      <c r="G87" s="5">
        <v>9.0294190000000003E-3</v>
      </c>
    </row>
    <row r="88" spans="1:7" ht="12.75" x14ac:dyDescent="0.2">
      <c r="A88" s="6">
        <v>82</v>
      </c>
      <c r="B88" s="7" t="s">
        <v>672</v>
      </c>
      <c r="C88" s="11" t="s">
        <v>673</v>
      </c>
      <c r="D88" s="2" t="s">
        <v>290</v>
      </c>
      <c r="E88" s="47">
        <v>8627</v>
      </c>
      <c r="F88" s="53">
        <v>19.669560000000001</v>
      </c>
      <c r="G88" s="5">
        <v>9.0055780000000002E-3</v>
      </c>
    </row>
    <row r="89" spans="1:7" ht="12.75" x14ac:dyDescent="0.2">
      <c r="A89" s="6">
        <v>83</v>
      </c>
      <c r="B89" s="7" t="s">
        <v>539</v>
      </c>
      <c r="C89" s="11" t="s">
        <v>540</v>
      </c>
      <c r="D89" s="2" t="s">
        <v>72</v>
      </c>
      <c r="E89" s="47">
        <v>20433</v>
      </c>
      <c r="F89" s="53">
        <v>19.533947999999999</v>
      </c>
      <c r="G89" s="5">
        <v>8.9434890000000006E-3</v>
      </c>
    </row>
    <row r="90" spans="1:7" ht="12.75" x14ac:dyDescent="0.2">
      <c r="A90" s="6">
        <v>84</v>
      </c>
      <c r="B90" s="7" t="s">
        <v>564</v>
      </c>
      <c r="C90" s="11" t="s">
        <v>565</v>
      </c>
      <c r="D90" s="2" t="s">
        <v>19</v>
      </c>
      <c r="E90" s="47">
        <v>1243</v>
      </c>
      <c r="F90" s="53">
        <v>19.490861500000001</v>
      </c>
      <c r="G90" s="5">
        <v>8.923762E-3</v>
      </c>
    </row>
    <row r="91" spans="1:7" ht="25.5" x14ac:dyDescent="0.2">
      <c r="A91" s="6">
        <v>85</v>
      </c>
      <c r="B91" s="7" t="s">
        <v>576</v>
      </c>
      <c r="C91" s="11" t="s">
        <v>577</v>
      </c>
      <c r="D91" s="2" t="s">
        <v>30</v>
      </c>
      <c r="E91" s="47">
        <v>5320</v>
      </c>
      <c r="F91" s="53">
        <v>19.46322</v>
      </c>
      <c r="G91" s="5">
        <v>8.9111069999999997E-3</v>
      </c>
    </row>
    <row r="92" spans="1:7" ht="25.5" x14ac:dyDescent="0.2">
      <c r="A92" s="6">
        <v>86</v>
      </c>
      <c r="B92" s="7" t="s">
        <v>674</v>
      </c>
      <c r="C92" s="11" t="s">
        <v>675</v>
      </c>
      <c r="D92" s="2" t="s">
        <v>47</v>
      </c>
      <c r="E92" s="47">
        <v>2805</v>
      </c>
      <c r="F92" s="53">
        <v>19.406392499999999</v>
      </c>
      <c r="G92" s="5">
        <v>8.8850890000000005E-3</v>
      </c>
    </row>
    <row r="93" spans="1:7" ht="12.75" x14ac:dyDescent="0.2">
      <c r="A93" s="6">
        <v>87</v>
      </c>
      <c r="B93" s="7" t="s">
        <v>527</v>
      </c>
      <c r="C93" s="11" t="s">
        <v>528</v>
      </c>
      <c r="D93" s="2" t="s">
        <v>16</v>
      </c>
      <c r="E93" s="47">
        <v>19839</v>
      </c>
      <c r="F93" s="53">
        <v>19.283508000000001</v>
      </c>
      <c r="G93" s="5">
        <v>8.8288269999999992E-3</v>
      </c>
    </row>
    <row r="94" spans="1:7" ht="12.75" x14ac:dyDescent="0.2">
      <c r="A94" s="6">
        <v>88</v>
      </c>
      <c r="B94" s="7" t="s">
        <v>412</v>
      </c>
      <c r="C94" s="11" t="s">
        <v>413</v>
      </c>
      <c r="D94" s="2" t="s">
        <v>237</v>
      </c>
      <c r="E94" s="47">
        <v>709</v>
      </c>
      <c r="F94" s="53">
        <v>19.172778000000001</v>
      </c>
      <c r="G94" s="5">
        <v>8.7781300000000003E-3</v>
      </c>
    </row>
    <row r="95" spans="1:7" ht="12.75" x14ac:dyDescent="0.2">
      <c r="A95" s="6">
        <v>89</v>
      </c>
      <c r="B95" s="7" t="s">
        <v>594</v>
      </c>
      <c r="C95" s="11" t="s">
        <v>595</v>
      </c>
      <c r="D95" s="2" t="s">
        <v>16</v>
      </c>
      <c r="E95" s="47">
        <v>1451</v>
      </c>
      <c r="F95" s="53">
        <v>19.054531999999998</v>
      </c>
      <c r="G95" s="5">
        <v>8.7239919999999999E-3</v>
      </c>
    </row>
    <row r="96" spans="1:7" ht="25.5" x14ac:dyDescent="0.2">
      <c r="A96" s="6">
        <v>90</v>
      </c>
      <c r="B96" s="7" t="s">
        <v>676</v>
      </c>
      <c r="C96" s="11" t="s">
        <v>677</v>
      </c>
      <c r="D96" s="2" t="s">
        <v>671</v>
      </c>
      <c r="E96" s="47">
        <v>12808</v>
      </c>
      <c r="F96" s="53">
        <v>19.000668000000001</v>
      </c>
      <c r="G96" s="5">
        <v>8.6993299999999999E-3</v>
      </c>
    </row>
    <row r="97" spans="1:7" ht="12.75" x14ac:dyDescent="0.2">
      <c r="A97" s="6">
        <v>91</v>
      </c>
      <c r="B97" s="7" t="s">
        <v>678</v>
      </c>
      <c r="C97" s="11" t="s">
        <v>679</v>
      </c>
      <c r="D97" s="2" t="s">
        <v>19</v>
      </c>
      <c r="E97" s="47">
        <v>9380</v>
      </c>
      <c r="F97" s="53">
        <v>18.975739999999998</v>
      </c>
      <c r="G97" s="5">
        <v>8.6879169999999999E-3</v>
      </c>
    </row>
    <row r="98" spans="1:7" ht="25.5" x14ac:dyDescent="0.2">
      <c r="A98" s="6">
        <v>92</v>
      </c>
      <c r="B98" s="7" t="s">
        <v>680</v>
      </c>
      <c r="C98" s="11" t="s">
        <v>681</v>
      </c>
      <c r="D98" s="2" t="s">
        <v>671</v>
      </c>
      <c r="E98" s="47">
        <v>9979</v>
      </c>
      <c r="F98" s="53">
        <v>18.750540999999998</v>
      </c>
      <c r="G98" s="5">
        <v>8.5848109999999995E-3</v>
      </c>
    </row>
    <row r="99" spans="1:7" ht="12.75" x14ac:dyDescent="0.2">
      <c r="A99" s="6">
        <v>93</v>
      </c>
      <c r="B99" s="7" t="s">
        <v>682</v>
      </c>
      <c r="C99" s="11" t="s">
        <v>683</v>
      </c>
      <c r="D99" s="2" t="s">
        <v>226</v>
      </c>
      <c r="E99" s="47">
        <v>1094</v>
      </c>
      <c r="F99" s="53">
        <v>18.425148</v>
      </c>
      <c r="G99" s="5">
        <v>8.4358320000000007E-3</v>
      </c>
    </row>
    <row r="100" spans="1:7" ht="25.5" x14ac:dyDescent="0.2">
      <c r="A100" s="6">
        <v>94</v>
      </c>
      <c r="B100" s="7" t="s">
        <v>684</v>
      </c>
      <c r="C100" s="11" t="s">
        <v>685</v>
      </c>
      <c r="D100" s="2" t="s">
        <v>163</v>
      </c>
      <c r="E100" s="47">
        <v>6746</v>
      </c>
      <c r="F100" s="53">
        <v>17.580075999999998</v>
      </c>
      <c r="G100" s="5">
        <v>8.048922E-3</v>
      </c>
    </row>
    <row r="101" spans="1:7" ht="12.75" x14ac:dyDescent="0.2">
      <c r="A101" s="6">
        <v>95</v>
      </c>
      <c r="B101" s="7" t="s">
        <v>498</v>
      </c>
      <c r="C101" s="11" t="s">
        <v>499</v>
      </c>
      <c r="D101" s="2" t="s">
        <v>242</v>
      </c>
      <c r="E101" s="47">
        <v>2530</v>
      </c>
      <c r="F101" s="53">
        <v>17.345680000000002</v>
      </c>
      <c r="G101" s="5">
        <v>7.9416049999999992E-3</v>
      </c>
    </row>
    <row r="102" spans="1:7" ht="12.75" x14ac:dyDescent="0.2">
      <c r="A102" s="6">
        <v>96</v>
      </c>
      <c r="B102" s="7" t="s">
        <v>686</v>
      </c>
      <c r="C102" s="11" t="s">
        <v>687</v>
      </c>
      <c r="D102" s="2" t="s">
        <v>80</v>
      </c>
      <c r="E102" s="47">
        <v>1169</v>
      </c>
      <c r="F102" s="53">
        <v>17.030576499999999</v>
      </c>
      <c r="G102" s="5">
        <v>7.7973369999999997E-3</v>
      </c>
    </row>
    <row r="103" spans="1:7" ht="12.75" x14ac:dyDescent="0.2">
      <c r="A103" s="6">
        <v>97</v>
      </c>
      <c r="B103" s="7" t="s">
        <v>688</v>
      </c>
      <c r="C103" s="11" t="s">
        <v>689</v>
      </c>
      <c r="D103" s="2" t="s">
        <v>226</v>
      </c>
      <c r="E103" s="47">
        <v>3288</v>
      </c>
      <c r="F103" s="53">
        <v>15.448668</v>
      </c>
      <c r="G103" s="5">
        <v>7.0730710000000002E-3</v>
      </c>
    </row>
    <row r="104" spans="1:7" ht="38.25" x14ac:dyDescent="0.2">
      <c r="A104" s="6">
        <v>98</v>
      </c>
      <c r="B104" s="7" t="s">
        <v>690</v>
      </c>
      <c r="C104" s="11" t="s">
        <v>691</v>
      </c>
      <c r="D104" s="2" t="s">
        <v>77</v>
      </c>
      <c r="E104" s="47">
        <v>7765</v>
      </c>
      <c r="F104" s="53">
        <v>14.730205</v>
      </c>
      <c r="G104" s="5">
        <v>6.7441269999999999E-3</v>
      </c>
    </row>
    <row r="105" spans="1:7" ht="25.5" x14ac:dyDescent="0.2">
      <c r="A105" s="6">
        <v>99</v>
      </c>
      <c r="B105" s="7" t="s">
        <v>692</v>
      </c>
      <c r="C105" s="11" t="s">
        <v>693</v>
      </c>
      <c r="D105" s="2" t="s">
        <v>65</v>
      </c>
      <c r="E105" s="47">
        <v>343922</v>
      </c>
      <c r="F105" s="53">
        <v>13.412958</v>
      </c>
      <c r="G105" s="5">
        <v>6.1410340000000001E-3</v>
      </c>
    </row>
    <row r="106" spans="1:7" ht="25.5" x14ac:dyDescent="0.2">
      <c r="A106" s="6">
        <v>100</v>
      </c>
      <c r="B106" s="7" t="s">
        <v>694</v>
      </c>
      <c r="C106" s="11" t="s">
        <v>695</v>
      </c>
      <c r="D106" s="2" t="s">
        <v>72</v>
      </c>
      <c r="E106" s="47">
        <v>4333</v>
      </c>
      <c r="F106" s="53">
        <v>8.9541445</v>
      </c>
      <c r="G106" s="5">
        <v>4.0995959999999996E-3</v>
      </c>
    </row>
    <row r="107" spans="1:7" ht="12.75" x14ac:dyDescent="0.2">
      <c r="A107" s="6">
        <v>101</v>
      </c>
      <c r="B107" s="7" t="s">
        <v>696</v>
      </c>
      <c r="C107" s="11" t="s">
        <v>835</v>
      </c>
      <c r="D107" s="2" t="s">
        <v>237</v>
      </c>
      <c r="E107" s="47">
        <v>3831</v>
      </c>
      <c r="F107" s="53">
        <v>3.1318424999999999</v>
      </c>
      <c r="G107" s="5">
        <v>1.4338930000000001E-3</v>
      </c>
    </row>
    <row r="108" spans="1:7" ht="12.75" x14ac:dyDescent="0.2">
      <c r="A108" s="1"/>
      <c r="B108" s="2"/>
      <c r="C108" s="8" t="s">
        <v>108</v>
      </c>
      <c r="D108" s="12"/>
      <c r="E108" s="49"/>
      <c r="F108" s="55">
        <v>2149.0295369999994</v>
      </c>
      <c r="G108" s="13">
        <v>0.98391898499999997</v>
      </c>
    </row>
    <row r="109" spans="1:7" ht="12.75" x14ac:dyDescent="0.2">
      <c r="A109" s="6"/>
      <c r="B109" s="7"/>
      <c r="C109" s="14"/>
      <c r="D109" s="15"/>
      <c r="E109" s="47"/>
      <c r="F109" s="53"/>
      <c r="G109" s="5"/>
    </row>
    <row r="110" spans="1:7" ht="12.75" x14ac:dyDescent="0.2">
      <c r="A110" s="1"/>
      <c r="B110" s="2"/>
      <c r="C110" s="8" t="s">
        <v>109</v>
      </c>
      <c r="D110" s="9"/>
      <c r="E110" s="48"/>
      <c r="F110" s="54"/>
      <c r="G110" s="10"/>
    </row>
    <row r="111" spans="1:7" ht="12.75" x14ac:dyDescent="0.2">
      <c r="A111" s="1"/>
      <c r="B111" s="2"/>
      <c r="C111" s="8" t="s">
        <v>108</v>
      </c>
      <c r="D111" s="12"/>
      <c r="E111" s="49"/>
      <c r="F111" s="55">
        <v>0</v>
      </c>
      <c r="G111" s="13">
        <v>0</v>
      </c>
    </row>
    <row r="112" spans="1:7" ht="12.75" x14ac:dyDescent="0.2">
      <c r="A112" s="6"/>
      <c r="B112" s="7"/>
      <c r="C112" s="14"/>
      <c r="D112" s="15"/>
      <c r="E112" s="47"/>
      <c r="F112" s="53"/>
      <c r="G112" s="5"/>
    </row>
    <row r="113" spans="1:7" ht="12.75" x14ac:dyDescent="0.2">
      <c r="A113" s="16"/>
      <c r="B113" s="17"/>
      <c r="C113" s="8" t="s">
        <v>110</v>
      </c>
      <c r="D113" s="9"/>
      <c r="E113" s="48"/>
      <c r="F113" s="54"/>
      <c r="G113" s="10"/>
    </row>
    <row r="114" spans="1:7" ht="12.75" x14ac:dyDescent="0.2">
      <c r="A114" s="18"/>
      <c r="B114" s="19"/>
      <c r="C114" s="8" t="s">
        <v>108</v>
      </c>
      <c r="D114" s="20"/>
      <c r="E114" s="50"/>
      <c r="F114" s="56">
        <v>0</v>
      </c>
      <c r="G114" s="21">
        <v>0</v>
      </c>
    </row>
    <row r="115" spans="1:7" ht="12.75" x14ac:dyDescent="0.2">
      <c r="A115" s="18"/>
      <c r="B115" s="19"/>
      <c r="C115" s="14"/>
      <c r="D115" s="22"/>
      <c r="E115" s="51"/>
      <c r="F115" s="57"/>
      <c r="G115" s="23"/>
    </row>
    <row r="116" spans="1:7" ht="12.75" x14ac:dyDescent="0.2">
      <c r="A116" s="1"/>
      <c r="B116" s="2"/>
      <c r="C116" s="8" t="s">
        <v>113</v>
      </c>
      <c r="D116" s="9"/>
      <c r="E116" s="48"/>
      <c r="F116" s="54"/>
      <c r="G116" s="10"/>
    </row>
    <row r="117" spans="1:7" ht="12.75" x14ac:dyDescent="0.2">
      <c r="A117" s="1"/>
      <c r="B117" s="2"/>
      <c r="C117" s="8" t="s">
        <v>108</v>
      </c>
      <c r="D117" s="12"/>
      <c r="E117" s="49"/>
      <c r="F117" s="55">
        <v>0</v>
      </c>
      <c r="G117" s="13">
        <v>0</v>
      </c>
    </row>
    <row r="118" spans="1:7" ht="12.75" x14ac:dyDescent="0.2">
      <c r="A118" s="1"/>
      <c r="B118" s="2"/>
      <c r="C118" s="14"/>
      <c r="D118" s="4"/>
      <c r="E118" s="47"/>
      <c r="F118" s="53"/>
      <c r="G118" s="5"/>
    </row>
    <row r="119" spans="1:7" ht="12.75" x14ac:dyDescent="0.2">
      <c r="A119" s="1"/>
      <c r="B119" s="2"/>
      <c r="C119" s="8" t="s">
        <v>114</v>
      </c>
      <c r="D119" s="9"/>
      <c r="E119" s="48"/>
      <c r="F119" s="54"/>
      <c r="G119" s="10"/>
    </row>
    <row r="120" spans="1:7" ht="12.75" x14ac:dyDescent="0.2">
      <c r="A120" s="1"/>
      <c r="B120" s="2"/>
      <c r="C120" s="8" t="s">
        <v>108</v>
      </c>
      <c r="D120" s="12"/>
      <c r="E120" s="49"/>
      <c r="F120" s="55">
        <v>0</v>
      </c>
      <c r="G120" s="13">
        <v>0</v>
      </c>
    </row>
    <row r="121" spans="1:7" ht="12.75" x14ac:dyDescent="0.2">
      <c r="A121" s="1"/>
      <c r="B121" s="2"/>
      <c r="C121" s="14"/>
      <c r="D121" s="4"/>
      <c r="E121" s="47"/>
      <c r="F121" s="53"/>
      <c r="G121" s="5"/>
    </row>
    <row r="122" spans="1:7" ht="12.75" x14ac:dyDescent="0.2">
      <c r="A122" s="1"/>
      <c r="B122" s="2"/>
      <c r="C122" s="8" t="s">
        <v>115</v>
      </c>
      <c r="D122" s="9"/>
      <c r="E122" s="48"/>
      <c r="F122" s="54"/>
      <c r="G122" s="10"/>
    </row>
    <row r="123" spans="1:7" ht="12.75" x14ac:dyDescent="0.2">
      <c r="A123" s="1"/>
      <c r="B123" s="2"/>
      <c r="C123" s="8" t="s">
        <v>108</v>
      </c>
      <c r="D123" s="12"/>
      <c r="E123" s="49"/>
      <c r="F123" s="55">
        <v>0</v>
      </c>
      <c r="G123" s="13">
        <v>0</v>
      </c>
    </row>
    <row r="124" spans="1:7" ht="12.75" x14ac:dyDescent="0.2">
      <c r="A124" s="1"/>
      <c r="B124" s="2"/>
      <c r="C124" s="14"/>
      <c r="D124" s="4"/>
      <c r="E124" s="47"/>
      <c r="F124" s="53"/>
      <c r="G124" s="5"/>
    </row>
    <row r="125" spans="1:7" ht="25.5" x14ac:dyDescent="0.2">
      <c r="A125" s="6"/>
      <c r="B125" s="7"/>
      <c r="C125" s="24" t="s">
        <v>116</v>
      </c>
      <c r="D125" s="25"/>
      <c r="E125" s="49"/>
      <c r="F125" s="55">
        <v>2149.0295369999994</v>
      </c>
      <c r="G125" s="13">
        <v>0.98391898499999997</v>
      </c>
    </row>
    <row r="126" spans="1:7" ht="12.75" x14ac:dyDescent="0.2">
      <c r="A126" s="1"/>
      <c r="B126" s="2"/>
      <c r="C126" s="11"/>
      <c r="D126" s="4"/>
      <c r="E126" s="47"/>
      <c r="F126" s="53"/>
      <c r="G126" s="5"/>
    </row>
    <row r="127" spans="1:7" ht="12.75" x14ac:dyDescent="0.2">
      <c r="A127" s="1"/>
      <c r="B127" s="2"/>
      <c r="C127" s="3" t="s">
        <v>117</v>
      </c>
      <c r="D127" s="4"/>
      <c r="E127" s="47"/>
      <c r="F127" s="53"/>
      <c r="G127" s="5"/>
    </row>
    <row r="128" spans="1:7" ht="25.5" x14ac:dyDescent="0.2">
      <c r="A128" s="1"/>
      <c r="B128" s="2"/>
      <c r="C128" s="8" t="s">
        <v>10</v>
      </c>
      <c r="D128" s="9"/>
      <c r="E128" s="48"/>
      <c r="F128" s="54"/>
      <c r="G128" s="10"/>
    </row>
    <row r="129" spans="1:7" ht="12.75" x14ac:dyDescent="0.2">
      <c r="A129" s="6"/>
      <c r="B129" s="7"/>
      <c r="C129" s="8" t="s">
        <v>108</v>
      </c>
      <c r="D129" s="12"/>
      <c r="E129" s="49"/>
      <c r="F129" s="55">
        <v>0</v>
      </c>
      <c r="G129" s="13">
        <v>0</v>
      </c>
    </row>
    <row r="130" spans="1:7" ht="12.75" x14ac:dyDescent="0.2">
      <c r="A130" s="6"/>
      <c r="B130" s="7"/>
      <c r="C130" s="14"/>
      <c r="D130" s="4"/>
      <c r="E130" s="47"/>
      <c r="F130" s="53"/>
      <c r="G130" s="5"/>
    </row>
    <row r="131" spans="1:7" ht="12.75" x14ac:dyDescent="0.2">
      <c r="A131" s="1"/>
      <c r="B131" s="26"/>
      <c r="C131" s="8" t="s">
        <v>118</v>
      </c>
      <c r="D131" s="9"/>
      <c r="E131" s="48"/>
      <c r="F131" s="54"/>
      <c r="G131" s="10"/>
    </row>
    <row r="132" spans="1:7" ht="12.75" x14ac:dyDescent="0.2">
      <c r="A132" s="6"/>
      <c r="B132" s="7"/>
      <c r="C132" s="8" t="s">
        <v>108</v>
      </c>
      <c r="D132" s="12"/>
      <c r="E132" s="49"/>
      <c r="F132" s="55">
        <v>0</v>
      </c>
      <c r="G132" s="13">
        <v>0</v>
      </c>
    </row>
    <row r="133" spans="1:7" ht="12.75" x14ac:dyDescent="0.2">
      <c r="A133" s="6"/>
      <c r="B133" s="7"/>
      <c r="C133" s="14"/>
      <c r="D133" s="4"/>
      <c r="E133" s="47"/>
      <c r="F133" s="59"/>
      <c r="G133" s="28"/>
    </row>
    <row r="134" spans="1:7" ht="12.75" x14ac:dyDescent="0.2">
      <c r="A134" s="1"/>
      <c r="B134" s="2"/>
      <c r="C134" s="8" t="s">
        <v>119</v>
      </c>
      <c r="D134" s="9"/>
      <c r="E134" s="48"/>
      <c r="F134" s="54"/>
      <c r="G134" s="10"/>
    </row>
    <row r="135" spans="1:7" ht="12.75" x14ac:dyDescent="0.2">
      <c r="A135" s="6"/>
      <c r="B135" s="7"/>
      <c r="C135" s="8" t="s">
        <v>108</v>
      </c>
      <c r="D135" s="12"/>
      <c r="E135" s="49"/>
      <c r="F135" s="55">
        <v>0</v>
      </c>
      <c r="G135" s="13">
        <v>0</v>
      </c>
    </row>
    <row r="136" spans="1:7" ht="12.75" x14ac:dyDescent="0.2">
      <c r="A136" s="1"/>
      <c r="B136" s="2"/>
      <c r="C136" s="14"/>
      <c r="D136" s="4"/>
      <c r="E136" s="47"/>
      <c r="F136" s="53"/>
      <c r="G136" s="5"/>
    </row>
    <row r="137" spans="1:7" ht="25.5" x14ac:dyDescent="0.2">
      <c r="A137" s="1"/>
      <c r="B137" s="26"/>
      <c r="C137" s="8" t="s">
        <v>120</v>
      </c>
      <c r="D137" s="9"/>
      <c r="E137" s="48"/>
      <c r="F137" s="54"/>
      <c r="G137" s="10"/>
    </row>
    <row r="138" spans="1:7" ht="12.75" x14ac:dyDescent="0.2">
      <c r="A138" s="6"/>
      <c r="B138" s="7"/>
      <c r="C138" s="8" t="s">
        <v>108</v>
      </c>
      <c r="D138" s="12"/>
      <c r="E138" s="49"/>
      <c r="F138" s="55">
        <v>0</v>
      </c>
      <c r="G138" s="13">
        <v>0</v>
      </c>
    </row>
    <row r="139" spans="1:7" ht="12.75" x14ac:dyDescent="0.2">
      <c r="A139" s="6"/>
      <c r="B139" s="7"/>
      <c r="C139" s="14"/>
      <c r="D139" s="4"/>
      <c r="E139" s="47"/>
      <c r="F139" s="53"/>
      <c r="G139" s="5"/>
    </row>
    <row r="140" spans="1:7" ht="12.75" x14ac:dyDescent="0.2">
      <c r="A140" s="6"/>
      <c r="B140" s="7"/>
      <c r="C140" s="29" t="s">
        <v>121</v>
      </c>
      <c r="D140" s="25"/>
      <c r="E140" s="49"/>
      <c r="F140" s="55">
        <v>0</v>
      </c>
      <c r="G140" s="13">
        <v>0</v>
      </c>
    </row>
    <row r="141" spans="1:7" ht="12.75" x14ac:dyDescent="0.2">
      <c r="A141" s="6"/>
      <c r="B141" s="7"/>
      <c r="C141" s="11"/>
      <c r="D141" s="4"/>
      <c r="E141" s="47"/>
      <c r="F141" s="53"/>
      <c r="G141" s="5"/>
    </row>
    <row r="142" spans="1:7" ht="12.75" x14ac:dyDescent="0.2">
      <c r="A142" s="1"/>
      <c r="B142" s="2"/>
      <c r="C142" s="3" t="s">
        <v>122</v>
      </c>
      <c r="D142" s="4"/>
      <c r="E142" s="47"/>
      <c r="F142" s="53"/>
      <c r="G142" s="5"/>
    </row>
    <row r="143" spans="1:7" ht="12.75" x14ac:dyDescent="0.2">
      <c r="A143" s="6"/>
      <c r="B143" s="7"/>
      <c r="C143" s="8" t="s">
        <v>123</v>
      </c>
      <c r="D143" s="9"/>
      <c r="E143" s="48"/>
      <c r="F143" s="54"/>
      <c r="G143" s="10"/>
    </row>
    <row r="144" spans="1:7" ht="12.75" x14ac:dyDescent="0.2">
      <c r="A144" s="6"/>
      <c r="B144" s="7"/>
      <c r="C144" s="8" t="s">
        <v>108</v>
      </c>
      <c r="D144" s="25"/>
      <c r="E144" s="49"/>
      <c r="F144" s="55">
        <v>0</v>
      </c>
      <c r="G144" s="13">
        <v>0</v>
      </c>
    </row>
    <row r="145" spans="1:7" ht="12.75" x14ac:dyDescent="0.2">
      <c r="A145" s="6"/>
      <c r="B145" s="7"/>
      <c r="C145" s="14"/>
      <c r="D145" s="7"/>
      <c r="E145" s="47"/>
      <c r="F145" s="53"/>
      <c r="G145" s="5"/>
    </row>
    <row r="146" spans="1:7" ht="12.75" x14ac:dyDescent="0.2">
      <c r="A146" s="6"/>
      <c r="B146" s="7"/>
      <c r="C146" s="8" t="s">
        <v>124</v>
      </c>
      <c r="D146" s="9"/>
      <c r="E146" s="48"/>
      <c r="F146" s="54"/>
      <c r="G146" s="10"/>
    </row>
    <row r="147" spans="1:7" ht="12.75" x14ac:dyDescent="0.2">
      <c r="A147" s="6"/>
      <c r="B147" s="7"/>
      <c r="C147" s="8" t="s">
        <v>108</v>
      </c>
      <c r="D147" s="25"/>
      <c r="E147" s="49"/>
      <c r="F147" s="55">
        <v>0</v>
      </c>
      <c r="G147" s="13">
        <v>0</v>
      </c>
    </row>
    <row r="148" spans="1:7" ht="12.75" x14ac:dyDescent="0.2">
      <c r="A148" s="6"/>
      <c r="B148" s="7"/>
      <c r="C148" s="14"/>
      <c r="D148" s="7"/>
      <c r="E148" s="47"/>
      <c r="F148" s="53"/>
      <c r="G148" s="5"/>
    </row>
    <row r="149" spans="1:7" ht="12.75" x14ac:dyDescent="0.2">
      <c r="A149" s="6"/>
      <c r="B149" s="7"/>
      <c r="C149" s="8" t="s">
        <v>125</v>
      </c>
      <c r="D149" s="9"/>
      <c r="E149" s="48"/>
      <c r="F149" s="54"/>
      <c r="G149" s="10"/>
    </row>
    <row r="150" spans="1:7" ht="12.75" x14ac:dyDescent="0.2">
      <c r="A150" s="6"/>
      <c r="B150" s="7"/>
      <c r="C150" s="8" t="s">
        <v>108</v>
      </c>
      <c r="D150" s="25"/>
      <c r="E150" s="49"/>
      <c r="F150" s="55">
        <v>0</v>
      </c>
      <c r="G150" s="13">
        <v>0</v>
      </c>
    </row>
    <row r="151" spans="1:7" ht="12.75" x14ac:dyDescent="0.2">
      <c r="A151" s="6"/>
      <c r="B151" s="7"/>
      <c r="C151" s="14"/>
      <c r="D151" s="7"/>
      <c r="E151" s="47"/>
      <c r="F151" s="53"/>
      <c r="G151" s="5"/>
    </row>
    <row r="152" spans="1:7" ht="12.75" x14ac:dyDescent="0.2">
      <c r="A152" s="6"/>
      <c r="B152" s="7"/>
      <c r="C152" s="8" t="s">
        <v>126</v>
      </c>
      <c r="D152" s="9"/>
      <c r="E152" s="48"/>
      <c r="F152" s="54"/>
      <c r="G152" s="10"/>
    </row>
    <row r="153" spans="1:7" ht="12.75" x14ac:dyDescent="0.2">
      <c r="A153" s="6">
        <v>1</v>
      </c>
      <c r="B153" s="7"/>
      <c r="C153" s="11" t="s">
        <v>812</v>
      </c>
      <c r="D153" s="15"/>
      <c r="E153" s="47"/>
      <c r="F153" s="53">
        <v>31.995792300000002</v>
      </c>
      <c r="G153" s="5">
        <v>1.4649061999999999E-2</v>
      </c>
    </row>
    <row r="154" spans="1:7" ht="12.75" x14ac:dyDescent="0.2">
      <c r="A154" s="6"/>
      <c r="B154" s="7"/>
      <c r="C154" s="8" t="s">
        <v>108</v>
      </c>
      <c r="D154" s="25"/>
      <c r="E154" s="49"/>
      <c r="F154" s="55">
        <v>31.995792300000002</v>
      </c>
      <c r="G154" s="13">
        <v>1.4649061999999999E-2</v>
      </c>
    </row>
    <row r="155" spans="1:7" ht="12.75" x14ac:dyDescent="0.2">
      <c r="A155" s="6"/>
      <c r="B155" s="7"/>
      <c r="C155" s="14"/>
      <c r="D155" s="7"/>
      <c r="E155" s="47"/>
      <c r="F155" s="53"/>
      <c r="G155" s="5"/>
    </row>
    <row r="156" spans="1:7" ht="25.5" x14ac:dyDescent="0.2">
      <c r="A156" s="6"/>
      <c r="B156" s="7"/>
      <c r="C156" s="24" t="s">
        <v>127</v>
      </c>
      <c r="D156" s="25"/>
      <c r="E156" s="49"/>
      <c r="F156" s="55">
        <v>31.995792300000002</v>
      </c>
      <c r="G156" s="13">
        <v>1.4649061999999999E-2</v>
      </c>
    </row>
    <row r="157" spans="1:7" ht="12.75" x14ac:dyDescent="0.2">
      <c r="A157" s="6"/>
      <c r="B157" s="7"/>
      <c r="C157" s="30"/>
      <c r="D157" s="7"/>
      <c r="E157" s="47"/>
      <c r="F157" s="53"/>
      <c r="G157" s="5"/>
    </row>
    <row r="158" spans="1:7" ht="12.75" x14ac:dyDescent="0.2">
      <c r="A158" s="1"/>
      <c r="B158" s="2"/>
      <c r="C158" s="3" t="s">
        <v>128</v>
      </c>
      <c r="D158" s="4"/>
      <c r="E158" s="47"/>
      <c r="F158" s="53"/>
      <c r="G158" s="5"/>
    </row>
    <row r="159" spans="1:7" ht="25.5" x14ac:dyDescent="0.2">
      <c r="A159" s="6"/>
      <c r="B159" s="7"/>
      <c r="C159" s="8" t="s">
        <v>129</v>
      </c>
      <c r="D159" s="9"/>
      <c r="E159" s="48"/>
      <c r="F159" s="54"/>
      <c r="G159" s="10"/>
    </row>
    <row r="160" spans="1:7" ht="12.75" x14ac:dyDescent="0.2">
      <c r="A160" s="6"/>
      <c r="B160" s="7"/>
      <c r="C160" s="8" t="s">
        <v>108</v>
      </c>
      <c r="D160" s="25"/>
      <c r="E160" s="49"/>
      <c r="F160" s="55">
        <v>0</v>
      </c>
      <c r="G160" s="13">
        <v>0</v>
      </c>
    </row>
    <row r="161" spans="1:7" ht="12.75" x14ac:dyDescent="0.2">
      <c r="A161" s="6"/>
      <c r="B161" s="7"/>
      <c r="C161" s="14"/>
      <c r="D161" s="7"/>
      <c r="E161" s="47"/>
      <c r="F161" s="53"/>
      <c r="G161" s="5"/>
    </row>
    <row r="162" spans="1:7" ht="12.75" x14ac:dyDescent="0.2">
      <c r="A162" s="1"/>
      <c r="B162" s="2"/>
      <c r="C162" s="3" t="s">
        <v>131</v>
      </c>
      <c r="D162" s="4"/>
      <c r="E162" s="47"/>
      <c r="F162" s="53"/>
      <c r="G162" s="5"/>
    </row>
    <row r="163" spans="1:7" ht="25.5" x14ac:dyDescent="0.2">
      <c r="A163" s="6"/>
      <c r="B163" s="7"/>
      <c r="C163" s="8" t="s">
        <v>132</v>
      </c>
      <c r="D163" s="9"/>
      <c r="E163" s="48"/>
      <c r="F163" s="54"/>
      <c r="G163" s="10"/>
    </row>
    <row r="164" spans="1:7" ht="12.75" x14ac:dyDescent="0.2">
      <c r="A164" s="6"/>
      <c r="B164" s="7"/>
      <c r="C164" s="8" t="s">
        <v>108</v>
      </c>
      <c r="D164" s="25"/>
      <c r="E164" s="49"/>
      <c r="F164" s="55">
        <v>0</v>
      </c>
      <c r="G164" s="13">
        <v>0</v>
      </c>
    </row>
    <row r="165" spans="1:7" ht="12.75" x14ac:dyDescent="0.2">
      <c r="A165" s="6"/>
      <c r="B165" s="7"/>
      <c r="C165" s="14"/>
      <c r="D165" s="7"/>
      <c r="E165" s="47"/>
      <c r="F165" s="53"/>
      <c r="G165" s="5"/>
    </row>
    <row r="166" spans="1:7" ht="25.5" x14ac:dyDescent="0.2">
      <c r="A166" s="6"/>
      <c r="B166" s="7"/>
      <c r="C166" s="8" t="s">
        <v>133</v>
      </c>
      <c r="D166" s="9"/>
      <c r="E166" s="48"/>
      <c r="F166" s="54"/>
      <c r="G166" s="10"/>
    </row>
    <row r="167" spans="1:7" ht="12.75" x14ac:dyDescent="0.2">
      <c r="A167" s="6"/>
      <c r="B167" s="7"/>
      <c r="C167" s="8" t="s">
        <v>108</v>
      </c>
      <c r="D167" s="25"/>
      <c r="E167" s="49"/>
      <c r="F167" s="55">
        <v>0</v>
      </c>
      <c r="G167" s="13">
        <v>0</v>
      </c>
    </row>
    <row r="168" spans="1:7" ht="12.75" x14ac:dyDescent="0.2">
      <c r="A168" s="6"/>
      <c r="B168" s="7"/>
      <c r="C168" s="14"/>
      <c r="D168" s="7"/>
      <c r="E168" s="47"/>
      <c r="F168" s="59"/>
      <c r="G168" s="28"/>
    </row>
    <row r="169" spans="1:7" ht="25.5" x14ac:dyDescent="0.2">
      <c r="A169" s="6"/>
      <c r="B169" s="7"/>
      <c r="C169" s="30" t="s">
        <v>134</v>
      </c>
      <c r="D169" s="7"/>
      <c r="E169" s="47"/>
      <c r="F169" s="59">
        <v>3.1275981000000002</v>
      </c>
      <c r="G169" s="28">
        <v>1.43195E-3</v>
      </c>
    </row>
    <row r="170" spans="1:7" ht="12.75" x14ac:dyDescent="0.2">
      <c r="A170" s="6"/>
      <c r="B170" s="7"/>
      <c r="C170" s="31" t="s">
        <v>135</v>
      </c>
      <c r="D170" s="12"/>
      <c r="E170" s="49"/>
      <c r="F170" s="55">
        <v>2184.1529274</v>
      </c>
      <c r="G170" s="13">
        <v>0.99999999699999997</v>
      </c>
    </row>
    <row r="172" spans="1:7" ht="12.75" x14ac:dyDescent="0.2">
      <c r="B172" s="179"/>
      <c r="C172" s="179"/>
      <c r="D172" s="179"/>
      <c r="E172" s="179"/>
      <c r="F172" s="179"/>
    </row>
    <row r="173" spans="1:7" ht="12.75" x14ac:dyDescent="0.2">
      <c r="B173" s="179"/>
      <c r="C173" s="179"/>
      <c r="D173" s="179"/>
      <c r="E173" s="179"/>
      <c r="F173" s="179"/>
    </row>
    <row r="175" spans="1:7" ht="12.75" x14ac:dyDescent="0.2">
      <c r="B175" s="37" t="s">
        <v>137</v>
      </c>
      <c r="C175" s="38"/>
      <c r="D175" s="39"/>
    </row>
    <row r="176" spans="1:7" ht="12.75" x14ac:dyDescent="0.2">
      <c r="B176" s="40" t="s">
        <v>808</v>
      </c>
      <c r="C176" s="41"/>
      <c r="D176" s="65" t="s">
        <v>138</v>
      </c>
    </row>
    <row r="177" spans="2:4" ht="12.75" x14ac:dyDescent="0.2">
      <c r="B177" s="40" t="s">
        <v>139</v>
      </c>
      <c r="C177" s="41"/>
      <c r="D177" s="65" t="s">
        <v>138</v>
      </c>
    </row>
    <row r="178" spans="2:4" ht="12.75" x14ac:dyDescent="0.2">
      <c r="B178" s="42" t="s">
        <v>140</v>
      </c>
      <c r="C178" s="41"/>
      <c r="D178" s="43"/>
    </row>
    <row r="179" spans="2:4" ht="25.5" customHeight="1" x14ac:dyDescent="0.2">
      <c r="B179" s="43"/>
      <c r="C179" s="33" t="s">
        <v>141</v>
      </c>
      <c r="D179" s="34" t="s">
        <v>142</v>
      </c>
    </row>
    <row r="180" spans="2:4" ht="12.75" customHeight="1" x14ac:dyDescent="0.2">
      <c r="B180" s="60" t="s">
        <v>143</v>
      </c>
      <c r="C180" s="61" t="s">
        <v>144</v>
      </c>
      <c r="D180" s="61" t="s">
        <v>145</v>
      </c>
    </row>
    <row r="181" spans="2:4" ht="12.75" x14ac:dyDescent="0.2">
      <c r="B181" s="43" t="s">
        <v>146</v>
      </c>
      <c r="C181" s="44">
        <v>11.567500000000001</v>
      </c>
      <c r="D181" s="44">
        <v>12.2157</v>
      </c>
    </row>
    <row r="182" spans="2:4" ht="12.75" x14ac:dyDescent="0.2">
      <c r="B182" s="43" t="s">
        <v>147</v>
      </c>
      <c r="C182" s="44">
        <v>11.0724</v>
      </c>
      <c r="D182" s="44">
        <v>11.6929</v>
      </c>
    </row>
    <row r="183" spans="2:4" ht="12.75" x14ac:dyDescent="0.2">
      <c r="B183" s="43" t="s">
        <v>148</v>
      </c>
      <c r="C183" s="44">
        <v>11.319800000000001</v>
      </c>
      <c r="D183" s="44">
        <v>11.948600000000001</v>
      </c>
    </row>
    <row r="184" spans="2:4" ht="12.75" x14ac:dyDescent="0.2">
      <c r="B184" s="43" t="s">
        <v>149</v>
      </c>
      <c r="C184" s="44">
        <v>10.831099999999999</v>
      </c>
      <c r="D184" s="44">
        <v>11.4329</v>
      </c>
    </row>
    <row r="186" spans="2:4" ht="12.75" x14ac:dyDescent="0.2">
      <c r="B186" s="62" t="s">
        <v>150</v>
      </c>
      <c r="C186" s="45"/>
      <c r="D186" s="63" t="s">
        <v>138</v>
      </c>
    </row>
    <row r="187" spans="2:4" ht="24.75" customHeight="1" x14ac:dyDescent="0.2">
      <c r="B187" s="64"/>
      <c r="C187" s="64"/>
    </row>
    <row r="188" spans="2:4" ht="15" x14ac:dyDescent="0.25">
      <c r="B188" s="66"/>
      <c r="C188" s="68"/>
      <c r="D188"/>
    </row>
    <row r="190" spans="2:4" ht="12.75" x14ac:dyDescent="0.2">
      <c r="B190" s="42" t="s">
        <v>151</v>
      </c>
      <c r="C190" s="41"/>
      <c r="D190" s="67" t="s">
        <v>138</v>
      </c>
    </row>
    <row r="191" spans="2:4" ht="12.75" x14ac:dyDescent="0.2">
      <c r="B191" s="42" t="s">
        <v>152</v>
      </c>
      <c r="C191" s="41"/>
      <c r="D191" s="67" t="s">
        <v>138</v>
      </c>
    </row>
    <row r="192" spans="2:4" ht="12.75" x14ac:dyDescent="0.2">
      <c r="B192" s="42" t="s">
        <v>153</v>
      </c>
      <c r="C192" s="41"/>
      <c r="D192" s="46">
        <v>0.39782468514310865</v>
      </c>
    </row>
    <row r="193" spans="2:4" ht="12.75" x14ac:dyDescent="0.2">
      <c r="B193" s="42" t="s">
        <v>154</v>
      </c>
      <c r="C193" s="41"/>
      <c r="D193" s="46" t="s">
        <v>138</v>
      </c>
    </row>
  </sheetData>
  <mergeCells count="5">
    <mergeCell ref="A1:G1"/>
    <mergeCell ref="A2:G2"/>
    <mergeCell ref="A3:G3"/>
    <mergeCell ref="B172:F172"/>
    <mergeCell ref="B173:F173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45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697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3839029</v>
      </c>
      <c r="F7" s="53">
        <v>17776.6237845</v>
      </c>
      <c r="G7" s="5">
        <v>6.7546610000000007E-2</v>
      </c>
    </row>
    <row r="8" spans="1:7" ht="12.75" x14ac:dyDescent="0.2">
      <c r="A8" s="6">
        <v>2</v>
      </c>
      <c r="B8" s="7" t="s">
        <v>36</v>
      </c>
      <c r="C8" s="11" t="s">
        <v>37</v>
      </c>
      <c r="D8" s="2" t="s">
        <v>16</v>
      </c>
      <c r="E8" s="47">
        <v>1260000</v>
      </c>
      <c r="F8" s="53">
        <v>15502.41</v>
      </c>
      <c r="G8" s="5">
        <v>5.8905181000000001E-2</v>
      </c>
    </row>
    <row r="9" spans="1:7" ht="25.5" x14ac:dyDescent="0.2">
      <c r="A9" s="6">
        <v>3</v>
      </c>
      <c r="B9" s="7" t="s">
        <v>31</v>
      </c>
      <c r="C9" s="11" t="s">
        <v>32</v>
      </c>
      <c r="D9" s="2" t="s">
        <v>33</v>
      </c>
      <c r="E9" s="47">
        <v>975000</v>
      </c>
      <c r="F9" s="53">
        <v>14277.4125</v>
      </c>
      <c r="G9" s="5">
        <v>5.4250504999999997E-2</v>
      </c>
    </row>
    <row r="10" spans="1:7" ht="25.5" x14ac:dyDescent="0.2">
      <c r="A10" s="6">
        <v>4</v>
      </c>
      <c r="B10" s="7" t="s">
        <v>11</v>
      </c>
      <c r="C10" s="11" t="s">
        <v>12</v>
      </c>
      <c r="D10" s="2" t="s">
        <v>13</v>
      </c>
      <c r="E10" s="47">
        <v>792788</v>
      </c>
      <c r="F10" s="53">
        <v>11678.163634</v>
      </c>
      <c r="G10" s="5">
        <v>4.4374025999999997E-2</v>
      </c>
    </row>
    <row r="11" spans="1:7" ht="12.75" x14ac:dyDescent="0.2">
      <c r="A11" s="6">
        <v>5</v>
      </c>
      <c r="B11" s="7" t="s">
        <v>408</v>
      </c>
      <c r="C11" s="11" t="s">
        <v>409</v>
      </c>
      <c r="D11" s="2" t="s">
        <v>16</v>
      </c>
      <c r="E11" s="47">
        <v>1316415</v>
      </c>
      <c r="F11" s="53">
        <v>9693.4218524999997</v>
      </c>
      <c r="G11" s="5">
        <v>3.6832517000000002E-2</v>
      </c>
    </row>
    <row r="12" spans="1:7" ht="25.5" x14ac:dyDescent="0.2">
      <c r="A12" s="6">
        <v>6</v>
      </c>
      <c r="B12" s="7" t="s">
        <v>432</v>
      </c>
      <c r="C12" s="11" t="s">
        <v>433</v>
      </c>
      <c r="D12" s="2" t="s">
        <v>72</v>
      </c>
      <c r="E12" s="47">
        <v>406285</v>
      </c>
      <c r="F12" s="53">
        <v>8661.5899150000005</v>
      </c>
      <c r="G12" s="5">
        <v>3.2911820000000001E-2</v>
      </c>
    </row>
    <row r="13" spans="1:7" ht="12.75" x14ac:dyDescent="0.2">
      <c r="A13" s="6">
        <v>7</v>
      </c>
      <c r="B13" s="7" t="s">
        <v>420</v>
      </c>
      <c r="C13" s="11" t="s">
        <v>421</v>
      </c>
      <c r="D13" s="2" t="s">
        <v>72</v>
      </c>
      <c r="E13" s="47">
        <v>192520</v>
      </c>
      <c r="F13" s="53">
        <v>7753.8392599999997</v>
      </c>
      <c r="G13" s="5">
        <v>2.9462599999999999E-2</v>
      </c>
    </row>
    <row r="14" spans="1:7" ht="25.5" x14ac:dyDescent="0.2">
      <c r="A14" s="6">
        <v>8</v>
      </c>
      <c r="B14" s="7" t="s">
        <v>70</v>
      </c>
      <c r="C14" s="11" t="s">
        <v>71</v>
      </c>
      <c r="D14" s="2" t="s">
        <v>72</v>
      </c>
      <c r="E14" s="47">
        <v>562791</v>
      </c>
      <c r="F14" s="53">
        <v>7557.1575480000001</v>
      </c>
      <c r="G14" s="5">
        <v>2.8715259999999999E-2</v>
      </c>
    </row>
    <row r="15" spans="1:7" ht="25.5" x14ac:dyDescent="0.2">
      <c r="A15" s="6">
        <v>9</v>
      </c>
      <c r="B15" s="7" t="s">
        <v>444</v>
      </c>
      <c r="C15" s="11" t="s">
        <v>445</v>
      </c>
      <c r="D15" s="2" t="s">
        <v>27</v>
      </c>
      <c r="E15" s="47">
        <v>444762</v>
      </c>
      <c r="F15" s="53">
        <v>7365.7034819999999</v>
      </c>
      <c r="G15" s="5">
        <v>2.7987784000000002E-2</v>
      </c>
    </row>
    <row r="16" spans="1:7" ht="12.75" x14ac:dyDescent="0.2">
      <c r="A16" s="6">
        <v>10</v>
      </c>
      <c r="B16" s="7" t="s">
        <v>498</v>
      </c>
      <c r="C16" s="11" t="s">
        <v>499</v>
      </c>
      <c r="D16" s="2" t="s">
        <v>242</v>
      </c>
      <c r="E16" s="47">
        <v>1052861</v>
      </c>
      <c r="F16" s="53">
        <v>7218.4150159999999</v>
      </c>
      <c r="G16" s="5">
        <v>2.7428125000000001E-2</v>
      </c>
    </row>
    <row r="17" spans="1:7" ht="12.75" x14ac:dyDescent="0.2">
      <c r="A17" s="6">
        <v>11</v>
      </c>
      <c r="B17" s="7" t="s">
        <v>17</v>
      </c>
      <c r="C17" s="11" t="s">
        <v>18</v>
      </c>
      <c r="D17" s="2" t="s">
        <v>19</v>
      </c>
      <c r="E17" s="47">
        <v>823653</v>
      </c>
      <c r="F17" s="53">
        <v>6464.0287440000002</v>
      </c>
      <c r="G17" s="5">
        <v>2.4561651E-2</v>
      </c>
    </row>
    <row r="18" spans="1:7" ht="25.5" x14ac:dyDescent="0.2">
      <c r="A18" s="6">
        <v>12</v>
      </c>
      <c r="B18" s="7" t="s">
        <v>322</v>
      </c>
      <c r="C18" s="11" t="s">
        <v>323</v>
      </c>
      <c r="D18" s="2" t="s">
        <v>72</v>
      </c>
      <c r="E18" s="47">
        <v>2055125</v>
      </c>
      <c r="F18" s="53">
        <v>6268.1312500000004</v>
      </c>
      <c r="G18" s="5">
        <v>2.3817291000000001E-2</v>
      </c>
    </row>
    <row r="19" spans="1:7" ht="25.5" x14ac:dyDescent="0.2">
      <c r="A19" s="6">
        <v>13</v>
      </c>
      <c r="B19" s="7" t="s">
        <v>318</v>
      </c>
      <c r="C19" s="11" t="s">
        <v>319</v>
      </c>
      <c r="D19" s="2" t="s">
        <v>30</v>
      </c>
      <c r="E19" s="47">
        <v>911361</v>
      </c>
      <c r="F19" s="53">
        <v>5651.8052415000002</v>
      </c>
      <c r="G19" s="5">
        <v>2.147541E-2</v>
      </c>
    </row>
    <row r="20" spans="1:7" ht="25.5" x14ac:dyDescent="0.2">
      <c r="A20" s="6">
        <v>14</v>
      </c>
      <c r="B20" s="7" t="s">
        <v>404</v>
      </c>
      <c r="C20" s="11" t="s">
        <v>405</v>
      </c>
      <c r="D20" s="2" t="s">
        <v>72</v>
      </c>
      <c r="E20" s="47">
        <v>562778</v>
      </c>
      <c r="F20" s="53">
        <v>5579.9438700000001</v>
      </c>
      <c r="G20" s="5">
        <v>2.1202354999999999E-2</v>
      </c>
    </row>
    <row r="21" spans="1:7" ht="12.75" x14ac:dyDescent="0.2">
      <c r="A21" s="6">
        <v>15</v>
      </c>
      <c r="B21" s="7" t="s">
        <v>515</v>
      </c>
      <c r="C21" s="11" t="s">
        <v>516</v>
      </c>
      <c r="D21" s="2" t="s">
        <v>242</v>
      </c>
      <c r="E21" s="47">
        <v>702615</v>
      </c>
      <c r="F21" s="53">
        <v>5192.32485</v>
      </c>
      <c r="G21" s="5">
        <v>1.9729502999999999E-2</v>
      </c>
    </row>
    <row r="22" spans="1:7" ht="12.75" x14ac:dyDescent="0.2">
      <c r="A22" s="6">
        <v>16</v>
      </c>
      <c r="B22" s="7" t="s">
        <v>336</v>
      </c>
      <c r="C22" s="11" t="s">
        <v>337</v>
      </c>
      <c r="D22" s="2" t="s">
        <v>197</v>
      </c>
      <c r="E22" s="47">
        <v>938611</v>
      </c>
      <c r="F22" s="53">
        <v>4869.513868</v>
      </c>
      <c r="G22" s="5">
        <v>1.8502904000000001E-2</v>
      </c>
    </row>
    <row r="23" spans="1:7" ht="25.5" x14ac:dyDescent="0.2">
      <c r="A23" s="6">
        <v>17</v>
      </c>
      <c r="B23" s="7" t="s">
        <v>418</v>
      </c>
      <c r="C23" s="11" t="s">
        <v>419</v>
      </c>
      <c r="D23" s="2" t="s">
        <v>30</v>
      </c>
      <c r="E23" s="47">
        <v>1822999</v>
      </c>
      <c r="F23" s="53">
        <v>4696.9569234999999</v>
      </c>
      <c r="G23" s="5">
        <v>1.7847231000000002E-2</v>
      </c>
    </row>
    <row r="24" spans="1:7" ht="25.5" x14ac:dyDescent="0.2">
      <c r="A24" s="6">
        <v>18</v>
      </c>
      <c r="B24" s="7" t="s">
        <v>450</v>
      </c>
      <c r="C24" s="11" t="s">
        <v>451</v>
      </c>
      <c r="D24" s="2" t="s">
        <v>47</v>
      </c>
      <c r="E24" s="47">
        <v>336039</v>
      </c>
      <c r="F24" s="53">
        <v>4473.3511680000001</v>
      </c>
      <c r="G24" s="5">
        <v>1.6997587000000002E-2</v>
      </c>
    </row>
    <row r="25" spans="1:7" ht="25.5" x14ac:dyDescent="0.2">
      <c r="A25" s="6">
        <v>19</v>
      </c>
      <c r="B25" s="7" t="s">
        <v>28</v>
      </c>
      <c r="C25" s="11" t="s">
        <v>29</v>
      </c>
      <c r="D25" s="2" t="s">
        <v>30</v>
      </c>
      <c r="E25" s="47">
        <v>796564</v>
      </c>
      <c r="F25" s="53">
        <v>4424.1164559999997</v>
      </c>
      <c r="G25" s="5">
        <v>1.6810507999999998E-2</v>
      </c>
    </row>
    <row r="26" spans="1:7" ht="25.5" x14ac:dyDescent="0.2">
      <c r="A26" s="6">
        <v>20</v>
      </c>
      <c r="B26" s="7" t="s">
        <v>402</v>
      </c>
      <c r="C26" s="11" t="s">
        <v>403</v>
      </c>
      <c r="D26" s="2" t="s">
        <v>30</v>
      </c>
      <c r="E26" s="47">
        <v>271788</v>
      </c>
      <c r="F26" s="53">
        <v>4351.0540920000003</v>
      </c>
      <c r="G26" s="5">
        <v>1.6532888999999999E-2</v>
      </c>
    </row>
    <row r="27" spans="1:7" ht="25.5" x14ac:dyDescent="0.2">
      <c r="A27" s="6">
        <v>21</v>
      </c>
      <c r="B27" s="7" t="s">
        <v>173</v>
      </c>
      <c r="C27" s="11" t="s">
        <v>174</v>
      </c>
      <c r="D27" s="2" t="s">
        <v>163</v>
      </c>
      <c r="E27" s="47">
        <v>237420</v>
      </c>
      <c r="F27" s="53">
        <v>4218.9534000000003</v>
      </c>
      <c r="G27" s="5">
        <v>1.6030941E-2</v>
      </c>
    </row>
    <row r="28" spans="1:7" ht="25.5" x14ac:dyDescent="0.2">
      <c r="A28" s="6">
        <v>22</v>
      </c>
      <c r="B28" s="7" t="s">
        <v>25</v>
      </c>
      <c r="C28" s="11" t="s">
        <v>26</v>
      </c>
      <c r="D28" s="2" t="s">
        <v>27</v>
      </c>
      <c r="E28" s="47">
        <v>14663</v>
      </c>
      <c r="F28" s="53">
        <v>4117.7589694999997</v>
      </c>
      <c r="G28" s="5">
        <v>1.5646428E-2</v>
      </c>
    </row>
    <row r="29" spans="1:7" ht="25.5" x14ac:dyDescent="0.2">
      <c r="A29" s="6">
        <v>23</v>
      </c>
      <c r="B29" s="7" t="s">
        <v>424</v>
      </c>
      <c r="C29" s="11" t="s">
        <v>425</v>
      </c>
      <c r="D29" s="2" t="s">
        <v>30</v>
      </c>
      <c r="E29" s="47">
        <v>188533</v>
      </c>
      <c r="F29" s="53">
        <v>4101.2526154999996</v>
      </c>
      <c r="G29" s="5">
        <v>1.5583708E-2</v>
      </c>
    </row>
    <row r="30" spans="1:7" ht="25.5" x14ac:dyDescent="0.2">
      <c r="A30" s="6">
        <v>24</v>
      </c>
      <c r="B30" s="7" t="s">
        <v>406</v>
      </c>
      <c r="C30" s="11" t="s">
        <v>407</v>
      </c>
      <c r="D30" s="2" t="s">
        <v>47</v>
      </c>
      <c r="E30" s="47">
        <v>1635580</v>
      </c>
      <c r="F30" s="53">
        <v>4070.9586199999999</v>
      </c>
      <c r="G30" s="5">
        <v>1.5468598E-2</v>
      </c>
    </row>
    <row r="31" spans="1:7" ht="12.75" x14ac:dyDescent="0.2">
      <c r="A31" s="6">
        <v>25</v>
      </c>
      <c r="B31" s="7" t="s">
        <v>436</v>
      </c>
      <c r="C31" s="11" t="s">
        <v>437</v>
      </c>
      <c r="D31" s="2" t="s">
        <v>237</v>
      </c>
      <c r="E31" s="47">
        <v>640300</v>
      </c>
      <c r="F31" s="53">
        <v>3883.09935</v>
      </c>
      <c r="G31" s="5">
        <v>1.4754781E-2</v>
      </c>
    </row>
    <row r="32" spans="1:7" ht="12.75" x14ac:dyDescent="0.2">
      <c r="A32" s="6">
        <v>26</v>
      </c>
      <c r="B32" s="7" t="s">
        <v>91</v>
      </c>
      <c r="C32" s="11" t="s">
        <v>92</v>
      </c>
      <c r="D32" s="2" t="s">
        <v>19</v>
      </c>
      <c r="E32" s="47">
        <v>93256</v>
      </c>
      <c r="F32" s="53">
        <v>3863.782592</v>
      </c>
      <c r="G32" s="5">
        <v>1.4681382999999999E-2</v>
      </c>
    </row>
    <row r="33" spans="1:7" ht="25.5" x14ac:dyDescent="0.2">
      <c r="A33" s="6">
        <v>27</v>
      </c>
      <c r="B33" s="7" t="s">
        <v>23</v>
      </c>
      <c r="C33" s="11" t="s">
        <v>24</v>
      </c>
      <c r="D33" s="2" t="s">
        <v>22</v>
      </c>
      <c r="E33" s="47">
        <v>611247</v>
      </c>
      <c r="F33" s="53">
        <v>3675.7338344999998</v>
      </c>
      <c r="G33" s="5">
        <v>1.3966846E-2</v>
      </c>
    </row>
    <row r="34" spans="1:7" ht="25.5" x14ac:dyDescent="0.2">
      <c r="A34" s="6">
        <v>28</v>
      </c>
      <c r="B34" s="7" t="s">
        <v>334</v>
      </c>
      <c r="C34" s="11" t="s">
        <v>335</v>
      </c>
      <c r="D34" s="2" t="s">
        <v>30</v>
      </c>
      <c r="E34" s="47">
        <v>1078764</v>
      </c>
      <c r="F34" s="53">
        <v>3529.176426</v>
      </c>
      <c r="G34" s="5">
        <v>1.3409964999999999E-2</v>
      </c>
    </row>
    <row r="35" spans="1:7" ht="12.75" x14ac:dyDescent="0.2">
      <c r="A35" s="6">
        <v>29</v>
      </c>
      <c r="B35" s="7" t="s">
        <v>523</v>
      </c>
      <c r="C35" s="11" t="s">
        <v>524</v>
      </c>
      <c r="D35" s="2" t="s">
        <v>242</v>
      </c>
      <c r="E35" s="47">
        <v>295000</v>
      </c>
      <c r="F35" s="53">
        <v>3430.1125000000002</v>
      </c>
      <c r="G35" s="5">
        <v>1.3033548000000001E-2</v>
      </c>
    </row>
    <row r="36" spans="1:7" ht="12.75" x14ac:dyDescent="0.2">
      <c r="A36" s="6">
        <v>30</v>
      </c>
      <c r="B36" s="7" t="s">
        <v>316</v>
      </c>
      <c r="C36" s="11" t="s">
        <v>317</v>
      </c>
      <c r="D36" s="2" t="s">
        <v>16</v>
      </c>
      <c r="E36" s="47">
        <v>3945596</v>
      </c>
      <c r="F36" s="53">
        <v>3306.4094479999999</v>
      </c>
      <c r="G36" s="5">
        <v>1.2563507999999999E-2</v>
      </c>
    </row>
    <row r="37" spans="1:7" ht="25.5" x14ac:dyDescent="0.2">
      <c r="A37" s="6">
        <v>31</v>
      </c>
      <c r="B37" s="7" t="s">
        <v>63</v>
      </c>
      <c r="C37" s="11" t="s">
        <v>64</v>
      </c>
      <c r="D37" s="2" t="s">
        <v>65</v>
      </c>
      <c r="E37" s="47">
        <v>800663</v>
      </c>
      <c r="F37" s="53">
        <v>2996.4812775</v>
      </c>
      <c r="G37" s="5">
        <v>1.1385859999999999E-2</v>
      </c>
    </row>
    <row r="38" spans="1:7" ht="12.75" x14ac:dyDescent="0.2">
      <c r="A38" s="6">
        <v>32</v>
      </c>
      <c r="B38" s="7" t="s">
        <v>366</v>
      </c>
      <c r="C38" s="11" t="s">
        <v>367</v>
      </c>
      <c r="D38" s="2" t="s">
        <v>242</v>
      </c>
      <c r="E38" s="47">
        <v>314896</v>
      </c>
      <c r="F38" s="53">
        <v>2992.2992399999998</v>
      </c>
      <c r="G38" s="5">
        <v>1.136997E-2</v>
      </c>
    </row>
    <row r="39" spans="1:7" ht="25.5" x14ac:dyDescent="0.2">
      <c r="A39" s="6">
        <v>33</v>
      </c>
      <c r="B39" s="7" t="s">
        <v>330</v>
      </c>
      <c r="C39" s="11" t="s">
        <v>331</v>
      </c>
      <c r="D39" s="2" t="s">
        <v>30</v>
      </c>
      <c r="E39" s="47">
        <v>23992</v>
      </c>
      <c r="F39" s="53">
        <v>2937.1726159999998</v>
      </c>
      <c r="G39" s="5">
        <v>1.1160503E-2</v>
      </c>
    </row>
    <row r="40" spans="1:7" ht="51" x14ac:dyDescent="0.2">
      <c r="A40" s="6">
        <v>34</v>
      </c>
      <c r="B40" s="7" t="s">
        <v>206</v>
      </c>
      <c r="C40" s="11" t="s">
        <v>207</v>
      </c>
      <c r="D40" s="2" t="s">
        <v>208</v>
      </c>
      <c r="E40" s="47">
        <v>4627975</v>
      </c>
      <c r="F40" s="53">
        <v>2827.6927249999999</v>
      </c>
      <c r="G40" s="5">
        <v>1.0744507E-2</v>
      </c>
    </row>
    <row r="41" spans="1:7" ht="25.5" x14ac:dyDescent="0.2">
      <c r="A41" s="6">
        <v>35</v>
      </c>
      <c r="B41" s="7" t="s">
        <v>372</v>
      </c>
      <c r="C41" s="11" t="s">
        <v>373</v>
      </c>
      <c r="D41" s="2" t="s">
        <v>22</v>
      </c>
      <c r="E41" s="47">
        <v>869558</v>
      </c>
      <c r="F41" s="53">
        <v>2788.2377270000002</v>
      </c>
      <c r="G41" s="5">
        <v>1.0594588E-2</v>
      </c>
    </row>
    <row r="42" spans="1:7" ht="25.5" x14ac:dyDescent="0.2">
      <c r="A42" s="6">
        <v>36</v>
      </c>
      <c r="B42" s="7" t="s">
        <v>34</v>
      </c>
      <c r="C42" s="11" t="s">
        <v>35</v>
      </c>
      <c r="D42" s="2" t="s">
        <v>27</v>
      </c>
      <c r="E42" s="47">
        <v>241780</v>
      </c>
      <c r="F42" s="53">
        <v>2729.3335299999999</v>
      </c>
      <c r="G42" s="5">
        <v>1.0370766999999999E-2</v>
      </c>
    </row>
    <row r="43" spans="1:7" ht="25.5" x14ac:dyDescent="0.2">
      <c r="A43" s="6">
        <v>37</v>
      </c>
      <c r="B43" s="7" t="s">
        <v>312</v>
      </c>
      <c r="C43" s="11" t="s">
        <v>313</v>
      </c>
      <c r="D43" s="2" t="s">
        <v>22</v>
      </c>
      <c r="E43" s="47">
        <v>63078</v>
      </c>
      <c r="F43" s="53">
        <v>2711.5024469999998</v>
      </c>
      <c r="G43" s="5">
        <v>1.0303013999999999E-2</v>
      </c>
    </row>
    <row r="44" spans="1:7" ht="25.5" x14ac:dyDescent="0.2">
      <c r="A44" s="6">
        <v>38</v>
      </c>
      <c r="B44" s="7" t="s">
        <v>104</v>
      </c>
      <c r="C44" s="11" t="s">
        <v>105</v>
      </c>
      <c r="D44" s="2" t="s">
        <v>33</v>
      </c>
      <c r="E44" s="47">
        <v>512523</v>
      </c>
      <c r="F44" s="53">
        <v>2698.9461179999998</v>
      </c>
      <c r="G44" s="5">
        <v>1.0255303E-2</v>
      </c>
    </row>
    <row r="45" spans="1:7" ht="25.5" x14ac:dyDescent="0.2">
      <c r="A45" s="6">
        <v>39</v>
      </c>
      <c r="B45" s="7" t="s">
        <v>301</v>
      </c>
      <c r="C45" s="11" t="s">
        <v>302</v>
      </c>
      <c r="D45" s="2" t="s">
        <v>183</v>
      </c>
      <c r="E45" s="47">
        <v>177293</v>
      </c>
      <c r="F45" s="53">
        <v>2632.4464640000001</v>
      </c>
      <c r="G45" s="5">
        <v>1.0002621E-2</v>
      </c>
    </row>
    <row r="46" spans="1:7" ht="25.5" x14ac:dyDescent="0.2">
      <c r="A46" s="6">
        <v>40</v>
      </c>
      <c r="B46" s="7" t="s">
        <v>434</v>
      </c>
      <c r="C46" s="11" t="s">
        <v>435</v>
      </c>
      <c r="D46" s="2" t="s">
        <v>30</v>
      </c>
      <c r="E46" s="47">
        <v>144363</v>
      </c>
      <c r="F46" s="53">
        <v>2612.392848</v>
      </c>
      <c r="G46" s="5">
        <v>9.9264230000000002E-3</v>
      </c>
    </row>
    <row r="47" spans="1:7" ht="12.75" x14ac:dyDescent="0.2">
      <c r="A47" s="6">
        <v>41</v>
      </c>
      <c r="B47" s="7" t="s">
        <v>412</v>
      </c>
      <c r="C47" s="11" t="s">
        <v>413</v>
      </c>
      <c r="D47" s="2" t="s">
        <v>237</v>
      </c>
      <c r="E47" s="47">
        <v>90492</v>
      </c>
      <c r="F47" s="53">
        <v>2447.084664</v>
      </c>
      <c r="G47" s="5">
        <v>9.2982940000000004E-3</v>
      </c>
    </row>
    <row r="48" spans="1:7" ht="12.75" x14ac:dyDescent="0.2">
      <c r="A48" s="6">
        <v>42</v>
      </c>
      <c r="B48" s="7" t="s">
        <v>346</v>
      </c>
      <c r="C48" s="11" t="s">
        <v>347</v>
      </c>
      <c r="D48" s="2" t="s">
        <v>72</v>
      </c>
      <c r="E48" s="47">
        <v>563725</v>
      </c>
      <c r="F48" s="53">
        <v>2289.5690875</v>
      </c>
      <c r="G48" s="5">
        <v>8.6997749999999999E-3</v>
      </c>
    </row>
    <row r="49" spans="1:7" ht="12.75" x14ac:dyDescent="0.2">
      <c r="A49" s="6">
        <v>43</v>
      </c>
      <c r="B49" s="7" t="s">
        <v>61</v>
      </c>
      <c r="C49" s="11" t="s">
        <v>62</v>
      </c>
      <c r="D49" s="2" t="s">
        <v>19</v>
      </c>
      <c r="E49" s="47">
        <v>1828553</v>
      </c>
      <c r="F49" s="53">
        <v>1762.7250919999999</v>
      </c>
      <c r="G49" s="5">
        <v>6.6979029999999998E-3</v>
      </c>
    </row>
    <row r="50" spans="1:7" ht="25.5" x14ac:dyDescent="0.2">
      <c r="A50" s="6">
        <v>44</v>
      </c>
      <c r="B50" s="7" t="s">
        <v>177</v>
      </c>
      <c r="C50" s="11" t="s">
        <v>178</v>
      </c>
      <c r="D50" s="2" t="s">
        <v>47</v>
      </c>
      <c r="E50" s="47">
        <v>979560</v>
      </c>
      <c r="F50" s="53">
        <v>1598.64192</v>
      </c>
      <c r="G50" s="5">
        <v>6.0744290000000001E-3</v>
      </c>
    </row>
    <row r="51" spans="1:7" ht="25.5" x14ac:dyDescent="0.2">
      <c r="A51" s="6">
        <v>45</v>
      </c>
      <c r="B51" s="7" t="s">
        <v>181</v>
      </c>
      <c r="C51" s="11" t="s">
        <v>182</v>
      </c>
      <c r="D51" s="2" t="s">
        <v>183</v>
      </c>
      <c r="E51" s="47">
        <v>1337642</v>
      </c>
      <c r="F51" s="53">
        <v>1589.118696</v>
      </c>
      <c r="G51" s="5">
        <v>6.0382430000000004E-3</v>
      </c>
    </row>
    <row r="52" spans="1:7" ht="12.75" x14ac:dyDescent="0.2">
      <c r="A52" s="6">
        <v>46</v>
      </c>
      <c r="B52" s="7" t="s">
        <v>193</v>
      </c>
      <c r="C52" s="11" t="s">
        <v>194</v>
      </c>
      <c r="D52" s="2" t="s">
        <v>72</v>
      </c>
      <c r="E52" s="47">
        <v>177789</v>
      </c>
      <c r="F52" s="53">
        <v>1577.2551135000001</v>
      </c>
      <c r="G52" s="5">
        <v>5.993165E-3</v>
      </c>
    </row>
    <row r="53" spans="1:7" ht="25.5" x14ac:dyDescent="0.2">
      <c r="A53" s="6">
        <v>47</v>
      </c>
      <c r="B53" s="7" t="s">
        <v>370</v>
      </c>
      <c r="C53" s="11" t="s">
        <v>371</v>
      </c>
      <c r="D53" s="2" t="s">
        <v>80</v>
      </c>
      <c r="E53" s="47">
        <v>254391</v>
      </c>
      <c r="F53" s="53">
        <v>1496.7094485</v>
      </c>
      <c r="G53" s="5">
        <v>5.6871120000000002E-3</v>
      </c>
    </row>
    <row r="54" spans="1:7" ht="12.75" x14ac:dyDescent="0.2">
      <c r="A54" s="6">
        <v>48</v>
      </c>
      <c r="B54" s="7" t="s">
        <v>68</v>
      </c>
      <c r="C54" s="11" t="s">
        <v>69</v>
      </c>
      <c r="D54" s="2" t="s">
        <v>50</v>
      </c>
      <c r="E54" s="47">
        <v>696276</v>
      </c>
      <c r="F54" s="53">
        <v>1483.0678800000001</v>
      </c>
      <c r="G54" s="5">
        <v>5.6352779999999996E-3</v>
      </c>
    </row>
    <row r="55" spans="1:7" ht="12.75" x14ac:dyDescent="0.2">
      <c r="A55" s="6">
        <v>49</v>
      </c>
      <c r="B55" s="7" t="s">
        <v>502</v>
      </c>
      <c r="C55" s="11" t="s">
        <v>503</v>
      </c>
      <c r="D55" s="2" t="s">
        <v>16</v>
      </c>
      <c r="E55" s="47">
        <v>471432</v>
      </c>
      <c r="F55" s="53">
        <v>1472.7535680000001</v>
      </c>
      <c r="G55" s="5">
        <v>5.5960860000000001E-3</v>
      </c>
    </row>
    <row r="56" spans="1:7" ht="12.75" x14ac:dyDescent="0.2">
      <c r="A56" s="6">
        <v>50</v>
      </c>
      <c r="B56" s="7" t="s">
        <v>389</v>
      </c>
      <c r="C56" s="11" t="s">
        <v>390</v>
      </c>
      <c r="D56" s="2" t="s">
        <v>16</v>
      </c>
      <c r="E56" s="47">
        <v>2665322</v>
      </c>
      <c r="F56" s="53">
        <v>1461.9291169999999</v>
      </c>
      <c r="G56" s="5">
        <v>5.5549559999999998E-3</v>
      </c>
    </row>
    <row r="57" spans="1:7" ht="12.75" x14ac:dyDescent="0.2">
      <c r="A57" s="6">
        <v>51</v>
      </c>
      <c r="B57" s="7" t="s">
        <v>221</v>
      </c>
      <c r="C57" s="11" t="s">
        <v>222</v>
      </c>
      <c r="D57" s="2" t="s">
        <v>223</v>
      </c>
      <c r="E57" s="47">
        <v>279561</v>
      </c>
      <c r="F57" s="53">
        <v>1268.3682570000001</v>
      </c>
      <c r="G57" s="5">
        <v>4.8194739999999998E-3</v>
      </c>
    </row>
    <row r="58" spans="1:7" ht="12.75" x14ac:dyDescent="0.2">
      <c r="A58" s="6">
        <v>52</v>
      </c>
      <c r="B58" s="7" t="s">
        <v>235</v>
      </c>
      <c r="C58" s="11" t="s">
        <v>236</v>
      </c>
      <c r="D58" s="2" t="s">
        <v>237</v>
      </c>
      <c r="E58" s="47">
        <v>51329</v>
      </c>
      <c r="F58" s="53">
        <v>563.46409749999998</v>
      </c>
      <c r="G58" s="5">
        <v>2.1410190000000001E-3</v>
      </c>
    </row>
    <row r="59" spans="1:7" ht="38.25" x14ac:dyDescent="0.2">
      <c r="A59" s="6">
        <v>53</v>
      </c>
      <c r="B59" s="7" t="s">
        <v>272</v>
      </c>
      <c r="C59" s="11" t="s">
        <v>273</v>
      </c>
      <c r="D59" s="2" t="s">
        <v>274</v>
      </c>
      <c r="E59" s="47">
        <v>564124</v>
      </c>
      <c r="F59" s="53">
        <v>419.70825600000001</v>
      </c>
      <c r="G59" s="5">
        <v>1.5947839999999999E-3</v>
      </c>
    </row>
    <row r="60" spans="1:7" ht="12.75" x14ac:dyDescent="0.2">
      <c r="A60" s="1"/>
      <c r="B60" s="2"/>
      <c r="C60" s="8" t="s">
        <v>108</v>
      </c>
      <c r="D60" s="12"/>
      <c r="E60" s="49"/>
      <c r="F60" s="55">
        <v>245010.10139999993</v>
      </c>
      <c r="G60" s="13">
        <v>0.93097553699999991</v>
      </c>
    </row>
    <row r="61" spans="1:7" ht="12.75" x14ac:dyDescent="0.2">
      <c r="A61" s="6"/>
      <c r="B61" s="7"/>
      <c r="C61" s="14"/>
      <c r="D61" s="15"/>
      <c r="E61" s="47"/>
      <c r="F61" s="53"/>
      <c r="G61" s="5"/>
    </row>
    <row r="62" spans="1:7" ht="12.75" x14ac:dyDescent="0.2">
      <c r="A62" s="1"/>
      <c r="B62" s="2"/>
      <c r="C62" s="8" t="s">
        <v>109</v>
      </c>
      <c r="D62" s="9"/>
      <c r="E62" s="48"/>
      <c r="F62" s="54"/>
      <c r="G62" s="10"/>
    </row>
    <row r="63" spans="1:7" ht="12.75" x14ac:dyDescent="0.2">
      <c r="A63" s="1"/>
      <c r="B63" s="2"/>
      <c r="C63" s="8" t="s">
        <v>108</v>
      </c>
      <c r="D63" s="12"/>
      <c r="E63" s="49"/>
      <c r="F63" s="55">
        <v>0</v>
      </c>
      <c r="G63" s="13">
        <v>0</v>
      </c>
    </row>
    <row r="64" spans="1:7" ht="12.75" x14ac:dyDescent="0.2">
      <c r="A64" s="6"/>
      <c r="B64" s="7"/>
      <c r="C64" s="14"/>
      <c r="D64" s="15"/>
      <c r="E64" s="47"/>
      <c r="F64" s="53"/>
      <c r="G64" s="5"/>
    </row>
    <row r="65" spans="1:7" ht="12.75" x14ac:dyDescent="0.2">
      <c r="A65" s="16"/>
      <c r="B65" s="17"/>
      <c r="C65" s="8" t="s">
        <v>110</v>
      </c>
      <c r="D65" s="9"/>
      <c r="E65" s="48"/>
      <c r="F65" s="54"/>
      <c r="G65" s="10"/>
    </row>
    <row r="66" spans="1:7" ht="12.75" x14ac:dyDescent="0.2">
      <c r="A66" s="18"/>
      <c r="B66" s="19"/>
      <c r="C66" s="8" t="s">
        <v>108</v>
      </c>
      <c r="D66" s="20"/>
      <c r="E66" s="50"/>
      <c r="F66" s="56">
        <v>0</v>
      </c>
      <c r="G66" s="21">
        <v>0</v>
      </c>
    </row>
    <row r="67" spans="1:7" ht="12.75" x14ac:dyDescent="0.2">
      <c r="A67" s="18"/>
      <c r="B67" s="19"/>
      <c r="C67" s="14"/>
      <c r="D67" s="22"/>
      <c r="E67" s="51"/>
      <c r="F67" s="57"/>
      <c r="G67" s="23"/>
    </row>
    <row r="68" spans="1:7" ht="12.75" x14ac:dyDescent="0.2">
      <c r="A68" s="1"/>
      <c r="B68" s="2"/>
      <c r="C68" s="8" t="s">
        <v>113</v>
      </c>
      <c r="D68" s="9"/>
      <c r="E68" s="48"/>
      <c r="F68" s="54"/>
      <c r="G68" s="10"/>
    </row>
    <row r="69" spans="1:7" ht="12.75" x14ac:dyDescent="0.2">
      <c r="A69" s="1"/>
      <c r="B69" s="2"/>
      <c r="C69" s="8" t="s">
        <v>108</v>
      </c>
      <c r="D69" s="12"/>
      <c r="E69" s="49"/>
      <c r="F69" s="55">
        <v>0</v>
      </c>
      <c r="G69" s="13">
        <v>0</v>
      </c>
    </row>
    <row r="70" spans="1:7" ht="12.75" x14ac:dyDescent="0.2">
      <c r="A70" s="1"/>
      <c r="B70" s="2"/>
      <c r="C70" s="14"/>
      <c r="D70" s="4"/>
      <c r="E70" s="47"/>
      <c r="F70" s="53"/>
      <c r="G70" s="5"/>
    </row>
    <row r="71" spans="1:7" ht="12.75" x14ac:dyDescent="0.2">
      <c r="A71" s="1"/>
      <c r="B71" s="2"/>
      <c r="C71" s="8" t="s">
        <v>114</v>
      </c>
      <c r="D71" s="9"/>
      <c r="E71" s="48"/>
      <c r="F71" s="54"/>
      <c r="G71" s="10"/>
    </row>
    <row r="72" spans="1:7" ht="12.75" x14ac:dyDescent="0.2">
      <c r="A72" s="1"/>
      <c r="B72" s="2"/>
      <c r="C72" s="8" t="s">
        <v>108</v>
      </c>
      <c r="D72" s="12"/>
      <c r="E72" s="49"/>
      <c r="F72" s="55">
        <v>0</v>
      </c>
      <c r="G72" s="13">
        <v>0</v>
      </c>
    </row>
    <row r="73" spans="1:7" ht="12.75" x14ac:dyDescent="0.2">
      <c r="A73" s="1"/>
      <c r="B73" s="2"/>
      <c r="C73" s="14"/>
      <c r="D73" s="4"/>
      <c r="E73" s="47"/>
      <c r="F73" s="53"/>
      <c r="G73" s="5"/>
    </row>
    <row r="74" spans="1:7" ht="12.75" x14ac:dyDescent="0.2">
      <c r="A74" s="1"/>
      <c r="B74" s="2"/>
      <c r="C74" s="8" t="s">
        <v>115</v>
      </c>
      <c r="D74" s="9"/>
      <c r="E74" s="48"/>
      <c r="F74" s="54"/>
      <c r="G74" s="10"/>
    </row>
    <row r="75" spans="1:7" ht="12.75" x14ac:dyDescent="0.2">
      <c r="A75" s="1"/>
      <c r="B75" s="2"/>
      <c r="C75" s="8" t="s">
        <v>108</v>
      </c>
      <c r="D75" s="12"/>
      <c r="E75" s="49"/>
      <c r="F75" s="55">
        <v>0</v>
      </c>
      <c r="G75" s="13">
        <v>0</v>
      </c>
    </row>
    <row r="76" spans="1:7" ht="12.75" x14ac:dyDescent="0.2">
      <c r="A76" s="1"/>
      <c r="B76" s="2"/>
      <c r="C76" s="14"/>
      <c r="D76" s="4"/>
      <c r="E76" s="47"/>
      <c r="F76" s="53"/>
      <c r="G76" s="5"/>
    </row>
    <row r="77" spans="1:7" ht="25.5" x14ac:dyDescent="0.2">
      <c r="A77" s="6"/>
      <c r="B77" s="7"/>
      <c r="C77" s="24" t="s">
        <v>116</v>
      </c>
      <c r="D77" s="25"/>
      <c r="E77" s="49"/>
      <c r="F77" s="55">
        <v>245010.10139999993</v>
      </c>
      <c r="G77" s="13">
        <v>0.93097553699999991</v>
      </c>
    </row>
    <row r="78" spans="1:7" ht="12.75" x14ac:dyDescent="0.2">
      <c r="A78" s="1"/>
      <c r="B78" s="2"/>
      <c r="C78" s="11"/>
      <c r="D78" s="4"/>
      <c r="E78" s="47"/>
      <c r="F78" s="53"/>
      <c r="G78" s="5"/>
    </row>
    <row r="79" spans="1:7" ht="12.75" x14ac:dyDescent="0.2">
      <c r="A79" s="1"/>
      <c r="B79" s="2"/>
      <c r="C79" s="3" t="s">
        <v>117</v>
      </c>
      <c r="D79" s="4"/>
      <c r="E79" s="47"/>
      <c r="F79" s="53"/>
      <c r="G79" s="5"/>
    </row>
    <row r="80" spans="1:7" ht="25.5" x14ac:dyDescent="0.2">
      <c r="A80" s="1"/>
      <c r="B80" s="2"/>
      <c r="C80" s="8" t="s">
        <v>10</v>
      </c>
      <c r="D80" s="9"/>
      <c r="E80" s="48"/>
      <c r="F80" s="54"/>
      <c r="G80" s="10"/>
    </row>
    <row r="81" spans="1:7" ht="12.75" x14ac:dyDescent="0.2">
      <c r="A81" s="6"/>
      <c r="B81" s="7"/>
      <c r="C81" s="8" t="s">
        <v>108</v>
      </c>
      <c r="D81" s="12"/>
      <c r="E81" s="49"/>
      <c r="F81" s="55">
        <v>0</v>
      </c>
      <c r="G81" s="13">
        <v>0</v>
      </c>
    </row>
    <row r="82" spans="1:7" ht="12.75" x14ac:dyDescent="0.2">
      <c r="A82" s="6"/>
      <c r="B82" s="7"/>
      <c r="C82" s="14"/>
      <c r="D82" s="4"/>
      <c r="E82" s="47"/>
      <c r="F82" s="53"/>
      <c r="G82" s="5"/>
    </row>
    <row r="83" spans="1:7" ht="12.75" x14ac:dyDescent="0.2">
      <c r="A83" s="1"/>
      <c r="B83" s="26"/>
      <c r="C83" s="8" t="s">
        <v>118</v>
      </c>
      <c r="D83" s="9"/>
      <c r="E83" s="48"/>
      <c r="F83" s="54"/>
      <c r="G83" s="10"/>
    </row>
    <row r="84" spans="1:7" ht="12.75" x14ac:dyDescent="0.2">
      <c r="A84" s="6"/>
      <c r="B84" s="7"/>
      <c r="C84" s="8" t="s">
        <v>108</v>
      </c>
      <c r="D84" s="12"/>
      <c r="E84" s="49"/>
      <c r="F84" s="55">
        <v>0</v>
      </c>
      <c r="G84" s="13">
        <v>0</v>
      </c>
    </row>
    <row r="85" spans="1:7" ht="12.75" x14ac:dyDescent="0.2">
      <c r="A85" s="6"/>
      <c r="B85" s="7"/>
      <c r="C85" s="14"/>
      <c r="D85" s="4"/>
      <c r="E85" s="47"/>
      <c r="F85" s="59"/>
      <c r="G85" s="28"/>
    </row>
    <row r="86" spans="1:7" ht="12.75" x14ac:dyDescent="0.2">
      <c r="A86" s="1"/>
      <c r="B86" s="2"/>
      <c r="C86" s="8" t="s">
        <v>119</v>
      </c>
      <c r="D86" s="9"/>
      <c r="E86" s="48"/>
      <c r="F86" s="54"/>
      <c r="G86" s="10"/>
    </row>
    <row r="87" spans="1:7" ht="12.75" x14ac:dyDescent="0.2">
      <c r="A87" s="6"/>
      <c r="B87" s="7"/>
      <c r="C87" s="8" t="s">
        <v>108</v>
      </c>
      <c r="D87" s="12"/>
      <c r="E87" s="49"/>
      <c r="F87" s="55">
        <v>0</v>
      </c>
      <c r="G87" s="13">
        <v>0</v>
      </c>
    </row>
    <row r="88" spans="1:7" ht="12.75" x14ac:dyDescent="0.2">
      <c r="A88" s="1"/>
      <c r="B88" s="2"/>
      <c r="C88" s="14"/>
      <c r="D88" s="4"/>
      <c r="E88" s="47"/>
      <c r="F88" s="53"/>
      <c r="G88" s="5"/>
    </row>
    <row r="89" spans="1:7" ht="25.5" x14ac:dyDescent="0.2">
      <c r="A89" s="1"/>
      <c r="B89" s="26"/>
      <c r="C89" s="8" t="s">
        <v>120</v>
      </c>
      <c r="D89" s="9"/>
      <c r="E89" s="48"/>
      <c r="F89" s="54"/>
      <c r="G89" s="10"/>
    </row>
    <row r="90" spans="1:7" ht="12.75" x14ac:dyDescent="0.2">
      <c r="A90" s="6"/>
      <c r="B90" s="7"/>
      <c r="C90" s="8" t="s">
        <v>108</v>
      </c>
      <c r="D90" s="12"/>
      <c r="E90" s="49"/>
      <c r="F90" s="55">
        <v>0</v>
      </c>
      <c r="G90" s="13">
        <v>0</v>
      </c>
    </row>
    <row r="91" spans="1:7" ht="12.75" x14ac:dyDescent="0.2">
      <c r="A91" s="6"/>
      <c r="B91" s="7"/>
      <c r="C91" s="14"/>
      <c r="D91" s="4"/>
      <c r="E91" s="47"/>
      <c r="F91" s="53"/>
      <c r="G91" s="5"/>
    </row>
    <row r="92" spans="1:7" ht="12.75" x14ac:dyDescent="0.2">
      <c r="A92" s="6"/>
      <c r="B92" s="7"/>
      <c r="C92" s="29" t="s">
        <v>121</v>
      </c>
      <c r="D92" s="25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1"/>
      <c r="D93" s="4"/>
      <c r="E93" s="47"/>
      <c r="F93" s="53"/>
      <c r="G93" s="5"/>
    </row>
    <row r="94" spans="1:7" ht="12.75" x14ac:dyDescent="0.2">
      <c r="A94" s="1"/>
      <c r="B94" s="2"/>
      <c r="C94" s="3" t="s">
        <v>122</v>
      </c>
      <c r="D94" s="4"/>
      <c r="E94" s="47"/>
      <c r="F94" s="53"/>
      <c r="G94" s="5"/>
    </row>
    <row r="95" spans="1:7" ht="12.75" x14ac:dyDescent="0.2">
      <c r="A95" s="6"/>
      <c r="B95" s="7"/>
      <c r="C95" s="8" t="s">
        <v>123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25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4"/>
      <c r="D97" s="7"/>
      <c r="E97" s="47"/>
      <c r="F97" s="53"/>
      <c r="G97" s="5"/>
    </row>
    <row r="98" spans="1:7" ht="12.75" x14ac:dyDescent="0.2">
      <c r="A98" s="6"/>
      <c r="B98" s="7"/>
      <c r="C98" s="8" t="s">
        <v>124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25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7"/>
      <c r="E100" s="47"/>
      <c r="F100" s="53"/>
      <c r="G100" s="5"/>
    </row>
    <row r="101" spans="1:7" ht="12.75" x14ac:dyDescent="0.2">
      <c r="A101" s="6"/>
      <c r="B101" s="7"/>
      <c r="C101" s="8" t="s">
        <v>125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4"/>
      <c r="D103" s="7"/>
      <c r="E103" s="47"/>
      <c r="F103" s="53"/>
      <c r="G103" s="5"/>
    </row>
    <row r="104" spans="1:7" ht="12.75" x14ac:dyDescent="0.2">
      <c r="A104" s="6"/>
      <c r="B104" s="7"/>
      <c r="C104" s="8" t="s">
        <v>126</v>
      </c>
      <c r="D104" s="9"/>
      <c r="E104" s="48"/>
      <c r="F104" s="54"/>
      <c r="G104" s="10"/>
    </row>
    <row r="105" spans="1:7" ht="12.75" x14ac:dyDescent="0.2">
      <c r="A105" s="6">
        <v>1</v>
      </c>
      <c r="B105" s="7"/>
      <c r="C105" s="11" t="s">
        <v>812</v>
      </c>
      <c r="D105" s="15"/>
      <c r="E105" s="47"/>
      <c r="F105" s="53">
        <v>4101.4606279999998</v>
      </c>
      <c r="G105" s="5">
        <v>1.5584498E-2</v>
      </c>
    </row>
    <row r="106" spans="1:7" ht="12.75" x14ac:dyDescent="0.2">
      <c r="A106" s="6"/>
      <c r="B106" s="7"/>
      <c r="C106" s="8" t="s">
        <v>108</v>
      </c>
      <c r="D106" s="25"/>
      <c r="E106" s="49"/>
      <c r="F106" s="55">
        <v>4101.4606279999998</v>
      </c>
      <c r="G106" s="13">
        <v>1.5584498E-2</v>
      </c>
    </row>
    <row r="107" spans="1:7" ht="12.75" x14ac:dyDescent="0.2">
      <c r="A107" s="6"/>
      <c r="B107" s="7"/>
      <c r="C107" s="14"/>
      <c r="D107" s="7"/>
      <c r="E107" s="47"/>
      <c r="F107" s="53"/>
      <c r="G107" s="5"/>
    </row>
    <row r="108" spans="1:7" ht="25.5" x14ac:dyDescent="0.2">
      <c r="A108" s="6"/>
      <c r="B108" s="7"/>
      <c r="C108" s="24" t="s">
        <v>127</v>
      </c>
      <c r="D108" s="25"/>
      <c r="E108" s="49"/>
      <c r="F108" s="55">
        <v>4101.4606279999998</v>
      </c>
      <c r="G108" s="13">
        <v>1.5584498E-2</v>
      </c>
    </row>
    <row r="109" spans="1:7" ht="12.75" x14ac:dyDescent="0.2">
      <c r="A109" s="6"/>
      <c r="B109" s="7"/>
      <c r="C109" s="30"/>
      <c r="D109" s="7"/>
      <c r="E109" s="47"/>
      <c r="F109" s="53"/>
      <c r="G109" s="5"/>
    </row>
    <row r="110" spans="1:7" ht="12.75" x14ac:dyDescent="0.2">
      <c r="A110" s="1"/>
      <c r="B110" s="2"/>
      <c r="C110" s="3" t="s">
        <v>128</v>
      </c>
      <c r="D110" s="4"/>
      <c r="E110" s="47"/>
      <c r="F110" s="53"/>
      <c r="G110" s="5"/>
    </row>
    <row r="111" spans="1:7" ht="25.5" x14ac:dyDescent="0.2">
      <c r="A111" s="6"/>
      <c r="B111" s="7"/>
      <c r="C111" s="8" t="s">
        <v>129</v>
      </c>
      <c r="D111" s="9"/>
      <c r="E111" s="48"/>
      <c r="F111" s="54"/>
      <c r="G111" s="10"/>
    </row>
    <row r="112" spans="1:7" ht="12.75" x14ac:dyDescent="0.2">
      <c r="A112" s="6"/>
      <c r="B112" s="7"/>
      <c r="C112" s="8" t="s">
        <v>108</v>
      </c>
      <c r="D112" s="25"/>
      <c r="E112" s="49"/>
      <c r="F112" s="55">
        <v>0</v>
      </c>
      <c r="G112" s="13">
        <v>0</v>
      </c>
    </row>
    <row r="113" spans="1:7" ht="12.75" x14ac:dyDescent="0.2">
      <c r="A113" s="6"/>
      <c r="B113" s="7"/>
      <c r="C113" s="14"/>
      <c r="D113" s="7"/>
      <c r="E113" s="47"/>
      <c r="F113" s="53"/>
      <c r="G113" s="5"/>
    </row>
    <row r="114" spans="1:7" ht="12.75" x14ac:dyDescent="0.2">
      <c r="A114" s="1"/>
      <c r="B114" s="2"/>
      <c r="C114" s="3" t="s">
        <v>131</v>
      </c>
      <c r="D114" s="4"/>
      <c r="E114" s="47"/>
      <c r="F114" s="53"/>
      <c r="G114" s="5"/>
    </row>
    <row r="115" spans="1:7" ht="25.5" x14ac:dyDescent="0.2">
      <c r="A115" s="6"/>
      <c r="B115" s="7"/>
      <c r="C115" s="8" t="s">
        <v>132</v>
      </c>
      <c r="D115" s="9"/>
      <c r="E115" s="48"/>
      <c r="F115" s="54"/>
      <c r="G115" s="10"/>
    </row>
    <row r="116" spans="1:7" ht="12.75" x14ac:dyDescent="0.2">
      <c r="A116" s="6"/>
      <c r="B116" s="7"/>
      <c r="C116" s="8" t="s">
        <v>108</v>
      </c>
      <c r="D116" s="25"/>
      <c r="E116" s="49"/>
      <c r="F116" s="55">
        <v>0</v>
      </c>
      <c r="G116" s="13">
        <v>0</v>
      </c>
    </row>
    <row r="117" spans="1:7" ht="12.75" x14ac:dyDescent="0.2">
      <c r="A117" s="6"/>
      <c r="B117" s="7"/>
      <c r="C117" s="14"/>
      <c r="D117" s="7"/>
      <c r="E117" s="47"/>
      <c r="F117" s="53"/>
      <c r="G117" s="5"/>
    </row>
    <row r="118" spans="1:7" ht="25.5" x14ac:dyDescent="0.2">
      <c r="A118" s="6"/>
      <c r="B118" s="7"/>
      <c r="C118" s="8" t="s">
        <v>133</v>
      </c>
      <c r="D118" s="9"/>
      <c r="E118" s="48"/>
      <c r="F118" s="54"/>
      <c r="G118" s="10"/>
    </row>
    <row r="119" spans="1:7" ht="12.75" x14ac:dyDescent="0.2">
      <c r="A119" s="6"/>
      <c r="B119" s="7"/>
      <c r="C119" s="8" t="s">
        <v>108</v>
      </c>
      <c r="D119" s="25"/>
      <c r="E119" s="49"/>
      <c r="F119" s="55">
        <v>0</v>
      </c>
      <c r="G119" s="13">
        <v>0</v>
      </c>
    </row>
    <row r="120" spans="1:7" ht="12.75" x14ac:dyDescent="0.2">
      <c r="A120" s="6"/>
      <c r="B120" s="7"/>
      <c r="C120" s="14"/>
      <c r="D120" s="7"/>
      <c r="E120" s="47"/>
      <c r="F120" s="59"/>
      <c r="G120" s="28"/>
    </row>
    <row r="121" spans="1:7" ht="25.5" x14ac:dyDescent="0.2">
      <c r="A121" s="6"/>
      <c r="B121" s="7"/>
      <c r="C121" s="30" t="s">
        <v>134</v>
      </c>
      <c r="D121" s="7"/>
      <c r="E121" s="47"/>
      <c r="F121" s="59">
        <v>14064.09810057</v>
      </c>
      <c r="G121" s="28">
        <v>5.3439964999999999E-2</v>
      </c>
    </row>
    <row r="122" spans="1:7" ht="12.75" x14ac:dyDescent="0.2">
      <c r="A122" s="6"/>
      <c r="B122" s="7"/>
      <c r="C122" s="31" t="s">
        <v>135</v>
      </c>
      <c r="D122" s="12"/>
      <c r="E122" s="49"/>
      <c r="F122" s="55">
        <v>263175.66012856987</v>
      </c>
      <c r="G122" s="13">
        <v>1</v>
      </c>
    </row>
    <row r="124" spans="1:7" ht="12.75" x14ac:dyDescent="0.2">
      <c r="B124" s="179"/>
      <c r="C124" s="179"/>
      <c r="D124" s="179"/>
      <c r="E124" s="179"/>
      <c r="F124" s="179"/>
    </row>
    <row r="125" spans="1:7" ht="12.75" x14ac:dyDescent="0.2">
      <c r="B125" s="179"/>
      <c r="C125" s="179"/>
      <c r="D125" s="179"/>
      <c r="E125" s="179"/>
      <c r="F125" s="179"/>
    </row>
    <row r="127" spans="1:7" ht="12.75" x14ac:dyDescent="0.2">
      <c r="B127" s="37" t="s">
        <v>137</v>
      </c>
      <c r="C127" s="38"/>
      <c r="D127" s="39"/>
    </row>
    <row r="128" spans="1:7" ht="12.75" x14ac:dyDescent="0.2">
      <c r="B128" s="40" t="s">
        <v>808</v>
      </c>
      <c r="C128" s="41"/>
      <c r="D128" s="65" t="s">
        <v>138</v>
      </c>
    </row>
    <row r="129" spans="2:4" ht="12.75" x14ac:dyDescent="0.2">
      <c r="B129" s="40" t="s">
        <v>139</v>
      </c>
      <c r="C129" s="41"/>
      <c r="D129" s="65" t="s">
        <v>138</v>
      </c>
    </row>
    <row r="130" spans="2:4" ht="12.75" x14ac:dyDescent="0.2">
      <c r="B130" s="42" t="s">
        <v>140</v>
      </c>
      <c r="C130" s="41"/>
      <c r="D130" s="43"/>
    </row>
    <row r="131" spans="2:4" ht="25.5" customHeight="1" x14ac:dyDescent="0.2">
      <c r="B131" s="43"/>
      <c r="C131" s="33" t="s">
        <v>141</v>
      </c>
      <c r="D131" s="34" t="s">
        <v>142</v>
      </c>
    </row>
    <row r="132" spans="2:4" ht="12.75" customHeight="1" x14ac:dyDescent="0.2">
      <c r="B132" s="60" t="s">
        <v>143</v>
      </c>
      <c r="C132" s="61" t="s">
        <v>144</v>
      </c>
      <c r="D132" s="61" t="s">
        <v>145</v>
      </c>
    </row>
    <row r="133" spans="2:4" ht="12.75" x14ac:dyDescent="0.2">
      <c r="B133" s="43" t="s">
        <v>146</v>
      </c>
      <c r="C133" s="44">
        <v>101.7189</v>
      </c>
      <c r="D133" s="44">
        <v>104.6995</v>
      </c>
    </row>
    <row r="134" spans="2:4" ht="12.75" x14ac:dyDescent="0.2">
      <c r="B134" s="43" t="s">
        <v>147</v>
      </c>
      <c r="C134" s="44">
        <v>12.5602</v>
      </c>
      <c r="D134" s="44">
        <v>12.9282</v>
      </c>
    </row>
    <row r="135" spans="2:4" ht="12.75" x14ac:dyDescent="0.2">
      <c r="B135" s="43" t="s">
        <v>148</v>
      </c>
      <c r="C135" s="44">
        <v>98.978200000000001</v>
      </c>
      <c r="D135" s="44">
        <v>101.8479</v>
      </c>
    </row>
    <row r="136" spans="2:4" ht="12.75" x14ac:dyDescent="0.2">
      <c r="B136" s="43" t="s">
        <v>149</v>
      </c>
      <c r="C136" s="44">
        <v>10.9536</v>
      </c>
      <c r="D136" s="44">
        <v>11.2712</v>
      </c>
    </row>
    <row r="138" spans="2:4" ht="12.75" x14ac:dyDescent="0.2">
      <c r="B138" s="62" t="s">
        <v>150</v>
      </c>
      <c r="C138" s="45"/>
      <c r="D138" s="63" t="s">
        <v>138</v>
      </c>
    </row>
    <row r="139" spans="2:4" ht="24.75" customHeight="1" x14ac:dyDescent="0.2">
      <c r="B139" s="64"/>
      <c r="C139" s="64"/>
    </row>
    <row r="140" spans="2:4" ht="15" x14ac:dyDescent="0.25">
      <c r="B140" s="66"/>
      <c r="C140" s="68"/>
      <c r="D140"/>
    </row>
    <row r="142" spans="2:4" ht="12.75" x14ac:dyDescent="0.2">
      <c r="B142" s="42" t="s">
        <v>151</v>
      </c>
      <c r="C142" s="41"/>
      <c r="D142" s="67" t="s">
        <v>138</v>
      </c>
    </row>
    <row r="143" spans="2:4" ht="12.75" x14ac:dyDescent="0.2">
      <c r="B143" s="42" t="s">
        <v>152</v>
      </c>
      <c r="C143" s="41"/>
      <c r="D143" s="67" t="s">
        <v>138</v>
      </c>
    </row>
    <row r="144" spans="2:4" ht="12.75" x14ac:dyDescent="0.2">
      <c r="B144" s="42" t="s">
        <v>153</v>
      </c>
      <c r="C144" s="41"/>
      <c r="D144" s="46">
        <v>0.76146449316767406</v>
      </c>
    </row>
    <row r="145" spans="2:4" ht="12.75" x14ac:dyDescent="0.2">
      <c r="B145" s="42" t="s">
        <v>154</v>
      </c>
      <c r="C145" s="41"/>
      <c r="D145" s="46" t="s">
        <v>138</v>
      </c>
    </row>
  </sheetData>
  <mergeCells count="5">
    <mergeCell ref="A1:G1"/>
    <mergeCell ref="A2:G2"/>
    <mergeCell ref="A3:G3"/>
    <mergeCell ref="B124:F124"/>
    <mergeCell ref="B125:F125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26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698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31</v>
      </c>
      <c r="C7" s="11" t="s">
        <v>32</v>
      </c>
      <c r="D7" s="2" t="s">
        <v>33</v>
      </c>
      <c r="E7" s="47">
        <v>16391</v>
      </c>
      <c r="F7" s="53">
        <v>240.02160850000001</v>
      </c>
      <c r="G7" s="5">
        <v>8.0336328999999998E-2</v>
      </c>
    </row>
    <row r="8" spans="1:7" ht="12.75" x14ac:dyDescent="0.2">
      <c r="A8" s="6">
        <v>2</v>
      </c>
      <c r="B8" s="7" t="s">
        <v>36</v>
      </c>
      <c r="C8" s="11" t="s">
        <v>37</v>
      </c>
      <c r="D8" s="2" t="s">
        <v>16</v>
      </c>
      <c r="E8" s="47">
        <v>18406</v>
      </c>
      <c r="F8" s="53">
        <v>226.45822100000001</v>
      </c>
      <c r="G8" s="5">
        <v>7.5796601000000005E-2</v>
      </c>
    </row>
    <row r="9" spans="1:7" ht="25.5" x14ac:dyDescent="0.2">
      <c r="A9" s="6">
        <v>3</v>
      </c>
      <c r="B9" s="7" t="s">
        <v>560</v>
      </c>
      <c r="C9" s="11" t="s">
        <v>561</v>
      </c>
      <c r="D9" s="2" t="s">
        <v>30</v>
      </c>
      <c r="E9" s="47">
        <v>1510</v>
      </c>
      <c r="F9" s="53">
        <v>225.69970000000001</v>
      </c>
      <c r="G9" s="5">
        <v>7.5542720999999993E-2</v>
      </c>
    </row>
    <row r="10" spans="1:7" ht="12.75" x14ac:dyDescent="0.2">
      <c r="A10" s="6">
        <v>4</v>
      </c>
      <c r="B10" s="7" t="s">
        <v>496</v>
      </c>
      <c r="C10" s="11" t="s">
        <v>497</v>
      </c>
      <c r="D10" s="2" t="s">
        <v>16</v>
      </c>
      <c r="E10" s="47">
        <v>13121</v>
      </c>
      <c r="F10" s="53">
        <v>206.59014500000001</v>
      </c>
      <c r="G10" s="5">
        <v>6.9146664999999996E-2</v>
      </c>
    </row>
    <row r="11" spans="1:7" ht="12.75" x14ac:dyDescent="0.2">
      <c r="A11" s="6">
        <v>5</v>
      </c>
      <c r="B11" s="7" t="s">
        <v>498</v>
      </c>
      <c r="C11" s="11" t="s">
        <v>499</v>
      </c>
      <c r="D11" s="2" t="s">
        <v>242</v>
      </c>
      <c r="E11" s="47">
        <v>28203</v>
      </c>
      <c r="F11" s="53">
        <v>193.359768</v>
      </c>
      <c r="G11" s="5">
        <v>6.4718397999999996E-2</v>
      </c>
    </row>
    <row r="12" spans="1:7" ht="25.5" x14ac:dyDescent="0.2">
      <c r="A12" s="6">
        <v>6</v>
      </c>
      <c r="B12" s="7" t="s">
        <v>450</v>
      </c>
      <c r="C12" s="11" t="s">
        <v>451</v>
      </c>
      <c r="D12" s="2" t="s">
        <v>47</v>
      </c>
      <c r="E12" s="47">
        <v>13761</v>
      </c>
      <c r="F12" s="53">
        <v>183.186432</v>
      </c>
      <c r="G12" s="5">
        <v>6.1313336000000003E-2</v>
      </c>
    </row>
    <row r="13" spans="1:7" ht="25.5" x14ac:dyDescent="0.2">
      <c r="A13" s="6">
        <v>7</v>
      </c>
      <c r="B13" s="7" t="s">
        <v>432</v>
      </c>
      <c r="C13" s="11" t="s">
        <v>433</v>
      </c>
      <c r="D13" s="2" t="s">
        <v>72</v>
      </c>
      <c r="E13" s="47">
        <v>7853</v>
      </c>
      <c r="F13" s="53">
        <v>167.41810699999999</v>
      </c>
      <c r="G13" s="5">
        <v>5.6035605000000002E-2</v>
      </c>
    </row>
    <row r="14" spans="1:7" ht="12.75" x14ac:dyDescent="0.2">
      <c r="A14" s="6">
        <v>8</v>
      </c>
      <c r="B14" s="7" t="s">
        <v>515</v>
      </c>
      <c r="C14" s="11" t="s">
        <v>516</v>
      </c>
      <c r="D14" s="2" t="s">
        <v>242</v>
      </c>
      <c r="E14" s="47">
        <v>18452</v>
      </c>
      <c r="F14" s="53">
        <v>136.36027999999999</v>
      </c>
      <c r="G14" s="5">
        <v>4.5640409E-2</v>
      </c>
    </row>
    <row r="15" spans="1:7" ht="12.75" x14ac:dyDescent="0.2">
      <c r="A15" s="6">
        <v>9</v>
      </c>
      <c r="B15" s="7" t="s">
        <v>506</v>
      </c>
      <c r="C15" s="11" t="s">
        <v>507</v>
      </c>
      <c r="D15" s="2" t="s">
        <v>168</v>
      </c>
      <c r="E15" s="47">
        <v>65915</v>
      </c>
      <c r="F15" s="53">
        <v>127.281865</v>
      </c>
      <c r="G15" s="5">
        <v>4.2601821999999998E-2</v>
      </c>
    </row>
    <row r="16" spans="1:7" ht="25.5" x14ac:dyDescent="0.2">
      <c r="A16" s="6">
        <v>10</v>
      </c>
      <c r="B16" s="7" t="s">
        <v>424</v>
      </c>
      <c r="C16" s="11" t="s">
        <v>425</v>
      </c>
      <c r="D16" s="2" t="s">
        <v>30</v>
      </c>
      <c r="E16" s="47">
        <v>5828</v>
      </c>
      <c r="F16" s="53">
        <v>126.779398</v>
      </c>
      <c r="G16" s="5">
        <v>4.2433644E-2</v>
      </c>
    </row>
    <row r="17" spans="1:7" ht="12.75" x14ac:dyDescent="0.2">
      <c r="A17" s="6">
        <v>11</v>
      </c>
      <c r="B17" s="7" t="s">
        <v>661</v>
      </c>
      <c r="C17" s="11" t="s">
        <v>662</v>
      </c>
      <c r="D17" s="2" t="s">
        <v>226</v>
      </c>
      <c r="E17" s="47">
        <v>25615</v>
      </c>
      <c r="F17" s="53">
        <v>119.58362750000001</v>
      </c>
      <c r="G17" s="5">
        <v>4.0025186999999997E-2</v>
      </c>
    </row>
    <row r="18" spans="1:7" ht="12.75" x14ac:dyDescent="0.2">
      <c r="A18" s="6">
        <v>12</v>
      </c>
      <c r="B18" s="7" t="s">
        <v>510</v>
      </c>
      <c r="C18" s="11" t="s">
        <v>511</v>
      </c>
      <c r="D18" s="2" t="s">
        <v>19</v>
      </c>
      <c r="E18" s="47">
        <v>533</v>
      </c>
      <c r="F18" s="53">
        <v>106.0832565</v>
      </c>
      <c r="G18" s="5">
        <v>3.5506550999999997E-2</v>
      </c>
    </row>
    <row r="19" spans="1:7" ht="12.75" x14ac:dyDescent="0.2">
      <c r="A19" s="6">
        <v>13</v>
      </c>
      <c r="B19" s="7" t="s">
        <v>342</v>
      </c>
      <c r="C19" s="11" t="s">
        <v>343</v>
      </c>
      <c r="D19" s="2" t="s">
        <v>72</v>
      </c>
      <c r="E19" s="47">
        <v>20063</v>
      </c>
      <c r="F19" s="53">
        <v>82.739812000000001</v>
      </c>
      <c r="G19" s="5">
        <v>2.7693393E-2</v>
      </c>
    </row>
    <row r="20" spans="1:7" ht="12.75" x14ac:dyDescent="0.2">
      <c r="A20" s="6">
        <v>14</v>
      </c>
      <c r="B20" s="7" t="s">
        <v>420</v>
      </c>
      <c r="C20" s="11" t="s">
        <v>421</v>
      </c>
      <c r="D20" s="2" t="s">
        <v>72</v>
      </c>
      <c r="E20" s="47">
        <v>2010</v>
      </c>
      <c r="F20" s="53">
        <v>80.953755000000001</v>
      </c>
      <c r="G20" s="5">
        <v>2.7095592000000002E-2</v>
      </c>
    </row>
    <row r="21" spans="1:7" ht="12.75" x14ac:dyDescent="0.2">
      <c r="A21" s="6">
        <v>15</v>
      </c>
      <c r="B21" s="7" t="s">
        <v>594</v>
      </c>
      <c r="C21" s="11" t="s">
        <v>595</v>
      </c>
      <c r="D21" s="2" t="s">
        <v>16</v>
      </c>
      <c r="E21" s="47">
        <v>5187</v>
      </c>
      <c r="F21" s="53">
        <v>68.115684000000002</v>
      </c>
      <c r="G21" s="5">
        <v>2.2798631E-2</v>
      </c>
    </row>
    <row r="22" spans="1:7" ht="12.75" x14ac:dyDescent="0.2">
      <c r="A22" s="6">
        <v>16</v>
      </c>
      <c r="B22" s="7" t="s">
        <v>448</v>
      </c>
      <c r="C22" s="11" t="s">
        <v>449</v>
      </c>
      <c r="D22" s="2" t="s">
        <v>242</v>
      </c>
      <c r="E22" s="47">
        <v>2965</v>
      </c>
      <c r="F22" s="53">
        <v>67.295122500000005</v>
      </c>
      <c r="G22" s="5">
        <v>2.2523985E-2</v>
      </c>
    </row>
    <row r="23" spans="1:7" ht="12.75" x14ac:dyDescent="0.2">
      <c r="A23" s="6">
        <v>17</v>
      </c>
      <c r="B23" s="7" t="s">
        <v>590</v>
      </c>
      <c r="C23" s="11" t="s">
        <v>591</v>
      </c>
      <c r="D23" s="2" t="s">
        <v>192</v>
      </c>
      <c r="E23" s="47">
        <v>226</v>
      </c>
      <c r="F23" s="53">
        <v>58.197034000000002</v>
      </c>
      <c r="G23" s="5">
        <v>1.9478813000000001E-2</v>
      </c>
    </row>
    <row r="24" spans="1:7" ht="12.75" x14ac:dyDescent="0.2">
      <c r="A24" s="6">
        <v>18</v>
      </c>
      <c r="B24" s="7" t="s">
        <v>535</v>
      </c>
      <c r="C24" s="11" t="s">
        <v>536</v>
      </c>
      <c r="D24" s="2" t="s">
        <v>72</v>
      </c>
      <c r="E24" s="47">
        <v>704</v>
      </c>
      <c r="F24" s="53">
        <v>57.265824000000002</v>
      </c>
      <c r="G24" s="5">
        <v>1.9167132999999999E-2</v>
      </c>
    </row>
    <row r="25" spans="1:7" ht="12.75" x14ac:dyDescent="0.2">
      <c r="A25" s="6">
        <v>19</v>
      </c>
      <c r="B25" s="7" t="s">
        <v>592</v>
      </c>
      <c r="C25" s="11" t="s">
        <v>593</v>
      </c>
      <c r="D25" s="2" t="s">
        <v>223</v>
      </c>
      <c r="E25" s="47">
        <v>2656</v>
      </c>
      <c r="F25" s="53">
        <v>52.977904000000002</v>
      </c>
      <c r="G25" s="5">
        <v>1.7731947000000001E-2</v>
      </c>
    </row>
    <row r="26" spans="1:7" ht="25.5" x14ac:dyDescent="0.2">
      <c r="A26" s="6">
        <v>20</v>
      </c>
      <c r="B26" s="7" t="s">
        <v>659</v>
      </c>
      <c r="C26" s="11" t="s">
        <v>660</v>
      </c>
      <c r="D26" s="2" t="s">
        <v>72</v>
      </c>
      <c r="E26" s="47">
        <v>3765</v>
      </c>
      <c r="F26" s="53">
        <v>42.870172500000002</v>
      </c>
      <c r="G26" s="5">
        <v>1.4348843E-2</v>
      </c>
    </row>
    <row r="27" spans="1:7" ht="25.5" x14ac:dyDescent="0.2">
      <c r="A27" s="6">
        <v>21</v>
      </c>
      <c r="B27" s="7" t="s">
        <v>699</v>
      </c>
      <c r="C27" s="11" t="s">
        <v>700</v>
      </c>
      <c r="D27" s="2" t="s">
        <v>27</v>
      </c>
      <c r="E27" s="47">
        <v>34071</v>
      </c>
      <c r="F27" s="53">
        <v>40.254886499999998</v>
      </c>
      <c r="G27" s="5">
        <v>1.3473494000000001E-2</v>
      </c>
    </row>
    <row r="28" spans="1:7" ht="12.75" x14ac:dyDescent="0.2">
      <c r="A28" s="6">
        <v>22</v>
      </c>
      <c r="B28" s="7" t="s">
        <v>508</v>
      </c>
      <c r="C28" s="11" t="s">
        <v>509</v>
      </c>
      <c r="D28" s="2" t="s">
        <v>168</v>
      </c>
      <c r="E28" s="47">
        <v>32521</v>
      </c>
      <c r="F28" s="53">
        <v>39.984569499999999</v>
      </c>
      <c r="G28" s="5">
        <v>1.3383018E-2</v>
      </c>
    </row>
    <row r="29" spans="1:7" ht="25.5" x14ac:dyDescent="0.2">
      <c r="A29" s="6">
        <v>23</v>
      </c>
      <c r="B29" s="7" t="s">
        <v>404</v>
      </c>
      <c r="C29" s="11" t="s">
        <v>405</v>
      </c>
      <c r="D29" s="2" t="s">
        <v>72</v>
      </c>
      <c r="E29" s="47">
        <v>3507</v>
      </c>
      <c r="F29" s="53">
        <v>34.771904999999997</v>
      </c>
      <c r="G29" s="5">
        <v>1.1638315E-2</v>
      </c>
    </row>
    <row r="30" spans="1:7" ht="12.75" x14ac:dyDescent="0.2">
      <c r="A30" s="6">
        <v>24</v>
      </c>
      <c r="B30" s="7" t="s">
        <v>412</v>
      </c>
      <c r="C30" s="11" t="s">
        <v>413</v>
      </c>
      <c r="D30" s="2" t="s">
        <v>237</v>
      </c>
      <c r="E30" s="47">
        <v>1251</v>
      </c>
      <c r="F30" s="53">
        <v>33.829541999999996</v>
      </c>
      <c r="G30" s="5">
        <v>1.1322901999999999E-2</v>
      </c>
    </row>
    <row r="31" spans="1:7" ht="25.5" x14ac:dyDescent="0.2">
      <c r="A31" s="6">
        <v>25</v>
      </c>
      <c r="B31" s="7" t="s">
        <v>383</v>
      </c>
      <c r="C31" s="11" t="s">
        <v>384</v>
      </c>
      <c r="D31" s="2" t="s">
        <v>30</v>
      </c>
      <c r="E31" s="47">
        <v>2315</v>
      </c>
      <c r="F31" s="53">
        <v>29.542872500000001</v>
      </c>
      <c r="G31" s="5">
        <v>9.8881339999999998E-3</v>
      </c>
    </row>
    <row r="32" spans="1:7" ht="12.75" x14ac:dyDescent="0.2">
      <c r="A32" s="6">
        <v>26</v>
      </c>
      <c r="B32" s="7" t="s">
        <v>620</v>
      </c>
      <c r="C32" s="11" t="s">
        <v>621</v>
      </c>
      <c r="D32" s="2" t="s">
        <v>237</v>
      </c>
      <c r="E32" s="47">
        <v>31676</v>
      </c>
      <c r="F32" s="53">
        <v>24.311330000000002</v>
      </c>
      <c r="G32" s="5">
        <v>8.1371129999999996E-3</v>
      </c>
    </row>
    <row r="33" spans="1:7" ht="12.75" x14ac:dyDescent="0.2">
      <c r="A33" s="6">
        <v>27</v>
      </c>
      <c r="B33" s="7" t="s">
        <v>523</v>
      </c>
      <c r="C33" s="11" t="s">
        <v>524</v>
      </c>
      <c r="D33" s="2" t="s">
        <v>242</v>
      </c>
      <c r="E33" s="47">
        <v>1642</v>
      </c>
      <c r="F33" s="53">
        <v>19.092355000000001</v>
      </c>
      <c r="G33" s="5">
        <v>6.390298E-3</v>
      </c>
    </row>
    <row r="34" spans="1:7" ht="12.75" x14ac:dyDescent="0.2">
      <c r="A34" s="6">
        <v>28</v>
      </c>
      <c r="B34" s="7" t="s">
        <v>701</v>
      </c>
      <c r="C34" s="11" t="s">
        <v>702</v>
      </c>
      <c r="D34" s="2" t="s">
        <v>50</v>
      </c>
      <c r="E34" s="47">
        <v>50099</v>
      </c>
      <c r="F34" s="53">
        <v>18.787125</v>
      </c>
      <c r="G34" s="5">
        <v>6.2881370000000001E-3</v>
      </c>
    </row>
    <row r="35" spans="1:7" ht="12.75" x14ac:dyDescent="0.2">
      <c r="A35" s="6">
        <v>29</v>
      </c>
      <c r="B35" s="7" t="s">
        <v>438</v>
      </c>
      <c r="C35" s="11" t="s">
        <v>439</v>
      </c>
      <c r="D35" s="2" t="s">
        <v>237</v>
      </c>
      <c r="E35" s="47">
        <v>238</v>
      </c>
      <c r="F35" s="53">
        <v>17.991371999999998</v>
      </c>
      <c r="G35" s="5">
        <v>6.0217939999999996E-3</v>
      </c>
    </row>
    <row r="36" spans="1:7" ht="12.75" x14ac:dyDescent="0.2">
      <c r="A36" s="6">
        <v>30</v>
      </c>
      <c r="B36" s="7" t="s">
        <v>608</v>
      </c>
      <c r="C36" s="11" t="s">
        <v>609</v>
      </c>
      <c r="D36" s="2" t="s">
        <v>16</v>
      </c>
      <c r="E36" s="47">
        <v>2905</v>
      </c>
      <c r="F36" s="53">
        <v>17.787315</v>
      </c>
      <c r="G36" s="5">
        <v>5.953496E-3</v>
      </c>
    </row>
    <row r="37" spans="1:7" ht="12.75" x14ac:dyDescent="0.2">
      <c r="A37" s="6">
        <v>31</v>
      </c>
      <c r="B37" s="7" t="s">
        <v>686</v>
      </c>
      <c r="C37" s="11" t="s">
        <v>687</v>
      </c>
      <c r="D37" s="2" t="s">
        <v>80</v>
      </c>
      <c r="E37" s="47">
        <v>969</v>
      </c>
      <c r="F37" s="53">
        <v>14.1168765</v>
      </c>
      <c r="G37" s="5">
        <v>4.7249830000000003E-3</v>
      </c>
    </row>
    <row r="38" spans="1:7" ht="12.75" x14ac:dyDescent="0.2">
      <c r="A38" s="6">
        <v>32</v>
      </c>
      <c r="B38" s="7" t="s">
        <v>606</v>
      </c>
      <c r="C38" s="11" t="s">
        <v>607</v>
      </c>
      <c r="D38" s="2" t="s">
        <v>237</v>
      </c>
      <c r="E38" s="47">
        <v>62</v>
      </c>
      <c r="F38" s="53">
        <v>13.973622000000001</v>
      </c>
      <c r="G38" s="5">
        <v>4.6770350000000004E-3</v>
      </c>
    </row>
    <row r="39" spans="1:7" ht="12.75" x14ac:dyDescent="0.2">
      <c r="A39" s="6">
        <v>33</v>
      </c>
      <c r="B39" s="7" t="s">
        <v>663</v>
      </c>
      <c r="C39" s="11" t="s">
        <v>664</v>
      </c>
      <c r="D39" s="2" t="s">
        <v>226</v>
      </c>
      <c r="E39" s="47">
        <v>1751</v>
      </c>
      <c r="F39" s="53">
        <v>13.046701000000001</v>
      </c>
      <c r="G39" s="5">
        <v>4.3667899999999997E-3</v>
      </c>
    </row>
    <row r="40" spans="1:7" ht="12.75" x14ac:dyDescent="0.2">
      <c r="A40" s="6">
        <v>34</v>
      </c>
      <c r="B40" s="7" t="s">
        <v>688</v>
      </c>
      <c r="C40" s="11" t="s">
        <v>689</v>
      </c>
      <c r="D40" s="2" t="s">
        <v>226</v>
      </c>
      <c r="E40" s="47">
        <v>1609</v>
      </c>
      <c r="F40" s="53">
        <v>7.5598865000000002</v>
      </c>
      <c r="G40" s="5">
        <v>2.530329E-3</v>
      </c>
    </row>
    <row r="41" spans="1:7" ht="12.75" x14ac:dyDescent="0.2">
      <c r="A41" s="1"/>
      <c r="B41" s="2"/>
      <c r="C41" s="8" t="s">
        <v>108</v>
      </c>
      <c r="D41" s="12"/>
      <c r="E41" s="49"/>
      <c r="F41" s="55">
        <v>2894.2880749999999</v>
      </c>
      <c r="G41" s="13">
        <v>0.96873144299999991</v>
      </c>
    </row>
    <row r="42" spans="1:7" ht="12.75" x14ac:dyDescent="0.2">
      <c r="A42" s="6"/>
      <c r="B42" s="7"/>
      <c r="C42" s="14"/>
      <c r="D42" s="15"/>
      <c r="E42" s="47"/>
      <c r="F42" s="53"/>
      <c r="G42" s="5"/>
    </row>
    <row r="43" spans="1:7" ht="12.75" x14ac:dyDescent="0.2">
      <c r="A43" s="1"/>
      <c r="B43" s="2"/>
      <c r="C43" s="8" t="s">
        <v>109</v>
      </c>
      <c r="D43" s="9"/>
      <c r="E43" s="48"/>
      <c r="F43" s="54"/>
      <c r="G43" s="10"/>
    </row>
    <row r="44" spans="1:7" ht="12.75" x14ac:dyDescent="0.2">
      <c r="A44" s="1"/>
      <c r="B44" s="2"/>
      <c r="C44" s="8" t="s">
        <v>108</v>
      </c>
      <c r="D44" s="12"/>
      <c r="E44" s="49"/>
      <c r="F44" s="55">
        <v>0</v>
      </c>
      <c r="G44" s="13">
        <v>0</v>
      </c>
    </row>
    <row r="45" spans="1:7" ht="12.75" x14ac:dyDescent="0.2">
      <c r="A45" s="6"/>
      <c r="B45" s="7"/>
      <c r="C45" s="14"/>
      <c r="D45" s="15"/>
      <c r="E45" s="47"/>
      <c r="F45" s="53"/>
      <c r="G45" s="5"/>
    </row>
    <row r="46" spans="1:7" ht="12.75" x14ac:dyDescent="0.2">
      <c r="A46" s="16"/>
      <c r="B46" s="17"/>
      <c r="C46" s="8" t="s">
        <v>110</v>
      </c>
      <c r="D46" s="9"/>
      <c r="E46" s="48"/>
      <c r="F46" s="54"/>
      <c r="G46" s="10"/>
    </row>
    <row r="47" spans="1:7" ht="12.75" x14ac:dyDescent="0.2">
      <c r="A47" s="18"/>
      <c r="B47" s="19"/>
      <c r="C47" s="8" t="s">
        <v>108</v>
      </c>
      <c r="D47" s="20"/>
      <c r="E47" s="50"/>
      <c r="F47" s="56">
        <v>0</v>
      </c>
      <c r="G47" s="21">
        <v>0</v>
      </c>
    </row>
    <row r="48" spans="1:7" ht="12.75" x14ac:dyDescent="0.2">
      <c r="A48" s="18"/>
      <c r="B48" s="19"/>
      <c r="C48" s="14"/>
      <c r="D48" s="22"/>
      <c r="E48" s="51"/>
      <c r="F48" s="57"/>
      <c r="G48" s="23"/>
    </row>
    <row r="49" spans="1:7" ht="12.75" x14ac:dyDescent="0.2">
      <c r="A49" s="1"/>
      <c r="B49" s="2"/>
      <c r="C49" s="8" t="s">
        <v>113</v>
      </c>
      <c r="D49" s="9"/>
      <c r="E49" s="48"/>
      <c r="F49" s="54"/>
      <c r="G49" s="10"/>
    </row>
    <row r="50" spans="1:7" ht="12.75" x14ac:dyDescent="0.2">
      <c r="A50" s="1"/>
      <c r="B50" s="2"/>
      <c r="C50" s="8" t="s">
        <v>108</v>
      </c>
      <c r="D50" s="12"/>
      <c r="E50" s="49"/>
      <c r="F50" s="55">
        <v>0</v>
      </c>
      <c r="G50" s="13">
        <v>0</v>
      </c>
    </row>
    <row r="51" spans="1:7" ht="12.75" x14ac:dyDescent="0.2">
      <c r="A51" s="1"/>
      <c r="B51" s="2"/>
      <c r="C51" s="14"/>
      <c r="D51" s="4"/>
      <c r="E51" s="47"/>
      <c r="F51" s="53"/>
      <c r="G51" s="5"/>
    </row>
    <row r="52" spans="1:7" ht="12.75" x14ac:dyDescent="0.2">
      <c r="A52" s="1"/>
      <c r="B52" s="2"/>
      <c r="C52" s="8" t="s">
        <v>114</v>
      </c>
      <c r="D52" s="9"/>
      <c r="E52" s="48"/>
      <c r="F52" s="54"/>
      <c r="G52" s="10"/>
    </row>
    <row r="53" spans="1:7" ht="12.75" x14ac:dyDescent="0.2">
      <c r="A53" s="1"/>
      <c r="B53" s="2"/>
      <c r="C53" s="8" t="s">
        <v>108</v>
      </c>
      <c r="D53" s="12"/>
      <c r="E53" s="49"/>
      <c r="F53" s="55">
        <v>0</v>
      </c>
      <c r="G53" s="13">
        <v>0</v>
      </c>
    </row>
    <row r="54" spans="1:7" ht="12.75" x14ac:dyDescent="0.2">
      <c r="A54" s="1"/>
      <c r="B54" s="2"/>
      <c r="C54" s="14"/>
      <c r="D54" s="4"/>
      <c r="E54" s="47"/>
      <c r="F54" s="53"/>
      <c r="G54" s="5"/>
    </row>
    <row r="55" spans="1:7" ht="12.75" x14ac:dyDescent="0.2">
      <c r="A55" s="1"/>
      <c r="B55" s="2"/>
      <c r="C55" s="8" t="s">
        <v>115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1"/>
      <c r="B57" s="2"/>
      <c r="C57" s="14"/>
      <c r="D57" s="4"/>
      <c r="E57" s="47"/>
      <c r="F57" s="53"/>
      <c r="G57" s="5"/>
    </row>
    <row r="58" spans="1:7" ht="25.5" x14ac:dyDescent="0.2">
      <c r="A58" s="6"/>
      <c r="B58" s="7"/>
      <c r="C58" s="24" t="s">
        <v>116</v>
      </c>
      <c r="D58" s="25"/>
      <c r="E58" s="49"/>
      <c r="F58" s="55">
        <v>2894.2880749999999</v>
      </c>
      <c r="G58" s="13">
        <v>0.96873144299999991</v>
      </c>
    </row>
    <row r="59" spans="1:7" ht="12.75" x14ac:dyDescent="0.2">
      <c r="A59" s="1"/>
      <c r="B59" s="2"/>
      <c r="C59" s="11"/>
      <c r="D59" s="4"/>
      <c r="E59" s="47"/>
      <c r="F59" s="53"/>
      <c r="G59" s="5"/>
    </row>
    <row r="60" spans="1:7" ht="12.75" x14ac:dyDescent="0.2">
      <c r="A60" s="1"/>
      <c r="B60" s="2"/>
      <c r="C60" s="3" t="s">
        <v>117</v>
      </c>
      <c r="D60" s="4"/>
      <c r="E60" s="47"/>
      <c r="F60" s="53"/>
      <c r="G60" s="5"/>
    </row>
    <row r="61" spans="1:7" ht="25.5" x14ac:dyDescent="0.2">
      <c r="A61" s="1"/>
      <c r="B61" s="2"/>
      <c r="C61" s="8" t="s">
        <v>10</v>
      </c>
      <c r="D61" s="9"/>
      <c r="E61" s="48"/>
      <c r="F61" s="54"/>
      <c r="G61" s="10"/>
    </row>
    <row r="62" spans="1:7" ht="12.75" x14ac:dyDescent="0.2">
      <c r="A62" s="6"/>
      <c r="B62" s="7"/>
      <c r="C62" s="8" t="s">
        <v>108</v>
      </c>
      <c r="D62" s="12"/>
      <c r="E62" s="49"/>
      <c r="F62" s="55">
        <v>0</v>
      </c>
      <c r="G62" s="13">
        <v>0</v>
      </c>
    </row>
    <row r="63" spans="1:7" ht="12.75" x14ac:dyDescent="0.2">
      <c r="A63" s="6"/>
      <c r="B63" s="7"/>
      <c r="C63" s="14"/>
      <c r="D63" s="4"/>
      <c r="E63" s="47"/>
      <c r="F63" s="53"/>
      <c r="G63" s="5"/>
    </row>
    <row r="64" spans="1:7" ht="12.75" x14ac:dyDescent="0.2">
      <c r="A64" s="1"/>
      <c r="B64" s="26"/>
      <c r="C64" s="8" t="s">
        <v>118</v>
      </c>
      <c r="D64" s="9"/>
      <c r="E64" s="48"/>
      <c r="F64" s="54"/>
      <c r="G64" s="10"/>
    </row>
    <row r="65" spans="1:7" ht="12.75" x14ac:dyDescent="0.2">
      <c r="A65" s="6"/>
      <c r="B65" s="7"/>
      <c r="C65" s="8" t="s">
        <v>108</v>
      </c>
      <c r="D65" s="12"/>
      <c r="E65" s="49"/>
      <c r="F65" s="55">
        <v>0</v>
      </c>
      <c r="G65" s="13">
        <v>0</v>
      </c>
    </row>
    <row r="66" spans="1:7" ht="12.75" x14ac:dyDescent="0.2">
      <c r="A66" s="6"/>
      <c r="B66" s="7"/>
      <c r="C66" s="14"/>
      <c r="D66" s="4"/>
      <c r="E66" s="47"/>
      <c r="F66" s="59"/>
      <c r="G66" s="28"/>
    </row>
    <row r="67" spans="1:7" ht="12.75" x14ac:dyDescent="0.2">
      <c r="A67" s="1"/>
      <c r="B67" s="2"/>
      <c r="C67" s="8" t="s">
        <v>119</v>
      </c>
      <c r="D67" s="9"/>
      <c r="E67" s="48"/>
      <c r="F67" s="54"/>
      <c r="G67" s="10"/>
    </row>
    <row r="68" spans="1:7" ht="12.75" x14ac:dyDescent="0.2">
      <c r="A68" s="6"/>
      <c r="B68" s="7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1"/>
      <c r="B69" s="2"/>
      <c r="C69" s="14"/>
      <c r="D69" s="4"/>
      <c r="E69" s="47"/>
      <c r="F69" s="53"/>
      <c r="G69" s="5"/>
    </row>
    <row r="70" spans="1:7" ht="25.5" x14ac:dyDescent="0.2">
      <c r="A70" s="1"/>
      <c r="B70" s="26"/>
      <c r="C70" s="8" t="s">
        <v>120</v>
      </c>
      <c r="D70" s="9"/>
      <c r="E70" s="48"/>
      <c r="F70" s="54"/>
      <c r="G70" s="10"/>
    </row>
    <row r="71" spans="1:7" ht="12.75" x14ac:dyDescent="0.2">
      <c r="A71" s="6"/>
      <c r="B71" s="7"/>
      <c r="C71" s="8" t="s">
        <v>108</v>
      </c>
      <c r="D71" s="12"/>
      <c r="E71" s="49"/>
      <c r="F71" s="55">
        <v>0</v>
      </c>
      <c r="G71" s="13">
        <v>0</v>
      </c>
    </row>
    <row r="72" spans="1:7" ht="12.75" x14ac:dyDescent="0.2">
      <c r="A72" s="6"/>
      <c r="B72" s="7"/>
      <c r="C72" s="14"/>
      <c r="D72" s="4"/>
      <c r="E72" s="47"/>
      <c r="F72" s="53"/>
      <c r="G72" s="5"/>
    </row>
    <row r="73" spans="1:7" ht="12.75" x14ac:dyDescent="0.2">
      <c r="A73" s="6"/>
      <c r="B73" s="7"/>
      <c r="C73" s="29" t="s">
        <v>121</v>
      </c>
      <c r="D73" s="25"/>
      <c r="E73" s="49"/>
      <c r="F73" s="55">
        <v>0</v>
      </c>
      <c r="G73" s="13">
        <v>0</v>
      </c>
    </row>
    <row r="74" spans="1:7" ht="12.75" x14ac:dyDescent="0.2">
      <c r="A74" s="6"/>
      <c r="B74" s="7"/>
      <c r="C74" s="11"/>
      <c r="D74" s="4"/>
      <c r="E74" s="47"/>
      <c r="F74" s="53"/>
      <c r="G74" s="5"/>
    </row>
    <row r="75" spans="1:7" ht="12.75" x14ac:dyDescent="0.2">
      <c r="A75" s="1"/>
      <c r="B75" s="2"/>
      <c r="C75" s="3" t="s">
        <v>122</v>
      </c>
      <c r="D75" s="4"/>
      <c r="E75" s="47"/>
      <c r="F75" s="53"/>
      <c r="G75" s="5"/>
    </row>
    <row r="76" spans="1:7" ht="12.75" x14ac:dyDescent="0.2">
      <c r="A76" s="6"/>
      <c r="B76" s="7"/>
      <c r="C76" s="8" t="s">
        <v>123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25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7"/>
      <c r="E78" s="47"/>
      <c r="F78" s="53"/>
      <c r="G78" s="5"/>
    </row>
    <row r="79" spans="1:7" ht="12.75" x14ac:dyDescent="0.2">
      <c r="A79" s="6"/>
      <c r="B79" s="7"/>
      <c r="C79" s="8" t="s">
        <v>124</v>
      </c>
      <c r="D79" s="9"/>
      <c r="E79" s="48"/>
      <c r="F79" s="54"/>
      <c r="G79" s="10"/>
    </row>
    <row r="80" spans="1:7" ht="12.75" x14ac:dyDescent="0.2">
      <c r="A80" s="6"/>
      <c r="B80" s="7"/>
      <c r="C80" s="8" t="s">
        <v>108</v>
      </c>
      <c r="D80" s="25"/>
      <c r="E80" s="49"/>
      <c r="F80" s="55">
        <v>0</v>
      </c>
      <c r="G80" s="13">
        <v>0</v>
      </c>
    </row>
    <row r="81" spans="1:7" ht="12.75" x14ac:dyDescent="0.2">
      <c r="A81" s="6"/>
      <c r="B81" s="7"/>
      <c r="C81" s="14"/>
      <c r="D81" s="7"/>
      <c r="E81" s="47"/>
      <c r="F81" s="53"/>
      <c r="G81" s="5"/>
    </row>
    <row r="82" spans="1:7" ht="12.75" x14ac:dyDescent="0.2">
      <c r="A82" s="6"/>
      <c r="B82" s="7"/>
      <c r="C82" s="8" t="s">
        <v>125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25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7"/>
      <c r="E84" s="47"/>
      <c r="F84" s="53"/>
      <c r="G84" s="5"/>
    </row>
    <row r="85" spans="1:7" ht="12.75" x14ac:dyDescent="0.2">
      <c r="A85" s="6"/>
      <c r="B85" s="7"/>
      <c r="C85" s="8" t="s">
        <v>126</v>
      </c>
      <c r="D85" s="9"/>
      <c r="E85" s="48"/>
      <c r="F85" s="54"/>
      <c r="G85" s="10"/>
    </row>
    <row r="86" spans="1:7" ht="12.75" x14ac:dyDescent="0.2">
      <c r="A86" s="6">
        <v>1</v>
      </c>
      <c r="B86" s="7"/>
      <c r="C86" s="11" t="s">
        <v>812</v>
      </c>
      <c r="D86" s="15"/>
      <c r="E86" s="47"/>
      <c r="F86" s="53">
        <v>94.987508500000004</v>
      </c>
      <c r="G86" s="5">
        <v>3.1792753E-2</v>
      </c>
    </row>
    <row r="87" spans="1:7" ht="12.75" x14ac:dyDescent="0.2">
      <c r="A87" s="6"/>
      <c r="B87" s="7"/>
      <c r="C87" s="8" t="s">
        <v>108</v>
      </c>
      <c r="D87" s="25"/>
      <c r="E87" s="49"/>
      <c r="F87" s="55">
        <v>94.987508500000004</v>
      </c>
      <c r="G87" s="13">
        <v>3.1792753E-2</v>
      </c>
    </row>
    <row r="88" spans="1:7" ht="12.75" x14ac:dyDescent="0.2">
      <c r="A88" s="6"/>
      <c r="B88" s="7"/>
      <c r="C88" s="14"/>
      <c r="D88" s="7"/>
      <c r="E88" s="47"/>
      <c r="F88" s="53"/>
      <c r="G88" s="5"/>
    </row>
    <row r="89" spans="1:7" ht="25.5" x14ac:dyDescent="0.2">
      <c r="A89" s="6"/>
      <c r="B89" s="7"/>
      <c r="C89" s="24" t="s">
        <v>127</v>
      </c>
      <c r="D89" s="25"/>
      <c r="E89" s="49"/>
      <c r="F89" s="55">
        <v>94.987508500000004</v>
      </c>
      <c r="G89" s="13">
        <v>3.1792753E-2</v>
      </c>
    </row>
    <row r="90" spans="1:7" ht="12.75" x14ac:dyDescent="0.2">
      <c r="A90" s="6"/>
      <c r="B90" s="7"/>
      <c r="C90" s="30"/>
      <c r="D90" s="7"/>
      <c r="E90" s="47"/>
      <c r="F90" s="53"/>
      <c r="G90" s="5"/>
    </row>
    <row r="91" spans="1:7" ht="12.75" x14ac:dyDescent="0.2">
      <c r="A91" s="1"/>
      <c r="B91" s="2"/>
      <c r="C91" s="3" t="s">
        <v>128</v>
      </c>
      <c r="D91" s="4"/>
      <c r="E91" s="47"/>
      <c r="F91" s="53"/>
      <c r="G91" s="5"/>
    </row>
    <row r="92" spans="1:7" ht="25.5" x14ac:dyDescent="0.2">
      <c r="A92" s="6"/>
      <c r="B92" s="7"/>
      <c r="C92" s="8" t="s">
        <v>129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25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7"/>
      <c r="E94" s="47"/>
      <c r="F94" s="53"/>
      <c r="G94" s="5"/>
    </row>
    <row r="95" spans="1:7" ht="12.75" x14ac:dyDescent="0.2">
      <c r="A95" s="1"/>
      <c r="B95" s="2"/>
      <c r="C95" s="3" t="s">
        <v>131</v>
      </c>
      <c r="D95" s="4"/>
      <c r="E95" s="47"/>
      <c r="F95" s="53"/>
      <c r="G95" s="5"/>
    </row>
    <row r="96" spans="1:7" ht="25.5" x14ac:dyDescent="0.2">
      <c r="A96" s="6"/>
      <c r="B96" s="7"/>
      <c r="C96" s="8" t="s">
        <v>132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25"/>
      <c r="E97" s="49"/>
      <c r="F97" s="55">
        <v>0</v>
      </c>
      <c r="G97" s="13">
        <v>0</v>
      </c>
    </row>
    <row r="98" spans="1:7" ht="12.75" x14ac:dyDescent="0.2">
      <c r="A98" s="6"/>
      <c r="B98" s="7"/>
      <c r="C98" s="14"/>
      <c r="D98" s="7"/>
      <c r="E98" s="47"/>
      <c r="F98" s="53"/>
      <c r="G98" s="5"/>
    </row>
    <row r="99" spans="1:7" ht="25.5" x14ac:dyDescent="0.2">
      <c r="A99" s="6"/>
      <c r="B99" s="7"/>
      <c r="C99" s="8" t="s">
        <v>133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25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4"/>
      <c r="D101" s="7"/>
      <c r="E101" s="47"/>
      <c r="F101" s="59"/>
      <c r="G101" s="28"/>
    </row>
    <row r="102" spans="1:7" ht="25.5" x14ac:dyDescent="0.2">
      <c r="A102" s="6"/>
      <c r="B102" s="7"/>
      <c r="C102" s="30" t="s">
        <v>134</v>
      </c>
      <c r="D102" s="7"/>
      <c r="E102" s="47"/>
      <c r="F102" s="128">
        <v>-1.5661470900000001</v>
      </c>
      <c r="G102" s="137">
        <v>-5.2419658716272826E-4</v>
      </c>
    </row>
    <row r="103" spans="1:7" ht="12.75" x14ac:dyDescent="0.2">
      <c r="A103" s="6"/>
      <c r="B103" s="7"/>
      <c r="C103" s="31" t="s">
        <v>135</v>
      </c>
      <c r="D103" s="12"/>
      <c r="E103" s="49"/>
      <c r="F103" s="55">
        <v>2987.7094364099999</v>
      </c>
      <c r="G103" s="13">
        <v>0.99999999899999981</v>
      </c>
    </row>
    <row r="105" spans="1:7" ht="12.75" x14ac:dyDescent="0.2">
      <c r="B105" s="179"/>
      <c r="C105" s="179"/>
      <c r="D105" s="179"/>
      <c r="E105" s="179"/>
      <c r="F105" s="179"/>
    </row>
    <row r="106" spans="1:7" ht="12.75" x14ac:dyDescent="0.2">
      <c r="B106" s="179"/>
      <c r="C106" s="179"/>
      <c r="D106" s="179"/>
      <c r="E106" s="179"/>
      <c r="F106" s="179"/>
    </row>
    <row r="108" spans="1:7" ht="12.75" x14ac:dyDescent="0.2">
      <c r="B108" s="37" t="s">
        <v>137</v>
      </c>
      <c r="C108" s="38"/>
      <c r="D108" s="39"/>
    </row>
    <row r="109" spans="1:7" ht="12.75" x14ac:dyDescent="0.2">
      <c r="B109" s="40" t="s">
        <v>808</v>
      </c>
      <c r="C109" s="41"/>
      <c r="D109" s="65" t="s">
        <v>138</v>
      </c>
    </row>
    <row r="110" spans="1:7" ht="12.75" x14ac:dyDescent="0.2">
      <c r="B110" s="40" t="s">
        <v>139</v>
      </c>
      <c r="C110" s="41"/>
      <c r="D110" s="65" t="s">
        <v>138</v>
      </c>
    </row>
    <row r="111" spans="1:7" ht="12.75" x14ac:dyDescent="0.2">
      <c r="B111" s="42" t="s">
        <v>140</v>
      </c>
      <c r="C111" s="41"/>
      <c r="D111" s="43"/>
    </row>
    <row r="112" spans="1:7" ht="25.5" customHeight="1" x14ac:dyDescent="0.2">
      <c r="B112" s="43"/>
      <c r="C112" s="33" t="s">
        <v>141</v>
      </c>
      <c r="D112" s="34" t="s">
        <v>142</v>
      </c>
    </row>
    <row r="113" spans="2:4" ht="12.75" customHeight="1" x14ac:dyDescent="0.2">
      <c r="B113" s="60" t="s">
        <v>143</v>
      </c>
      <c r="C113" s="61" t="s">
        <v>144</v>
      </c>
      <c r="D113" s="61" t="s">
        <v>145</v>
      </c>
    </row>
    <row r="114" spans="2:4" ht="12.75" x14ac:dyDescent="0.2">
      <c r="B114" s="43" t="s">
        <v>146</v>
      </c>
      <c r="C114" s="44">
        <v>12.758699999999999</v>
      </c>
      <c r="D114" s="44">
        <v>13.142899999999999</v>
      </c>
    </row>
    <row r="115" spans="2:4" ht="12.75" x14ac:dyDescent="0.2">
      <c r="B115" s="43" t="s">
        <v>147</v>
      </c>
      <c r="C115" s="44">
        <v>12.758699999999999</v>
      </c>
      <c r="D115" s="44">
        <v>13.142899999999999</v>
      </c>
    </row>
    <row r="116" spans="2:4" ht="12.75" x14ac:dyDescent="0.2">
      <c r="B116" s="43" t="s">
        <v>148</v>
      </c>
      <c r="C116" s="44">
        <v>12.384499999999999</v>
      </c>
      <c r="D116" s="44">
        <v>12.752599999999999</v>
      </c>
    </row>
    <row r="117" spans="2:4" ht="12.75" x14ac:dyDescent="0.2">
      <c r="B117" s="43" t="s">
        <v>149</v>
      </c>
      <c r="C117" s="44">
        <v>12.384499999999999</v>
      </c>
      <c r="D117" s="44">
        <v>12.752599999999999</v>
      </c>
    </row>
    <row r="119" spans="2:4" ht="12.75" x14ac:dyDescent="0.2">
      <c r="B119" s="62" t="s">
        <v>150</v>
      </c>
      <c r="C119" s="45"/>
      <c r="D119" s="63" t="s">
        <v>138</v>
      </c>
    </row>
    <row r="120" spans="2:4" ht="24.75" customHeight="1" x14ac:dyDescent="0.2">
      <c r="B120" s="64"/>
      <c r="C120" s="64"/>
    </row>
    <row r="121" spans="2:4" ht="15" x14ac:dyDescent="0.25">
      <c r="B121" s="66"/>
      <c r="C121" s="68"/>
      <c r="D121"/>
    </row>
    <row r="123" spans="2:4" ht="12.75" x14ac:dyDescent="0.2">
      <c r="B123" s="42" t="s">
        <v>151</v>
      </c>
      <c r="C123" s="41"/>
      <c r="D123" s="67" t="s">
        <v>138</v>
      </c>
    </row>
    <row r="124" spans="2:4" ht="12.75" x14ac:dyDescent="0.2">
      <c r="B124" s="42" t="s">
        <v>152</v>
      </c>
      <c r="C124" s="41"/>
      <c r="D124" s="67" t="s">
        <v>138</v>
      </c>
    </row>
    <row r="125" spans="2:4" ht="12.75" x14ac:dyDescent="0.2">
      <c r="B125" s="42" t="s">
        <v>153</v>
      </c>
      <c r="C125" s="41"/>
      <c r="D125" s="46">
        <v>0.36771410413897343</v>
      </c>
    </row>
    <row r="126" spans="2:4" ht="12.75" x14ac:dyDescent="0.2">
      <c r="B126" s="42" t="s">
        <v>154</v>
      </c>
      <c r="C126" s="41"/>
      <c r="D126" s="46" t="s">
        <v>138</v>
      </c>
    </row>
  </sheetData>
  <mergeCells count="5">
    <mergeCell ref="A1:G1"/>
    <mergeCell ref="A2:G2"/>
    <mergeCell ref="A3:G3"/>
    <mergeCell ref="B105:F105"/>
    <mergeCell ref="B106:F10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26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703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31</v>
      </c>
      <c r="C7" s="11" t="s">
        <v>32</v>
      </c>
      <c r="D7" s="2" t="s">
        <v>33</v>
      </c>
      <c r="E7" s="47">
        <v>11125</v>
      </c>
      <c r="F7" s="53">
        <v>162.90893750000001</v>
      </c>
      <c r="G7" s="5">
        <v>7.9187699E-2</v>
      </c>
    </row>
    <row r="8" spans="1:7" ht="25.5" x14ac:dyDescent="0.2">
      <c r="A8" s="6">
        <v>2</v>
      </c>
      <c r="B8" s="7" t="s">
        <v>560</v>
      </c>
      <c r="C8" s="11" t="s">
        <v>561</v>
      </c>
      <c r="D8" s="2" t="s">
        <v>30</v>
      </c>
      <c r="E8" s="47">
        <v>1048</v>
      </c>
      <c r="F8" s="53">
        <v>156.64456000000001</v>
      </c>
      <c r="G8" s="5">
        <v>7.6142675000000007E-2</v>
      </c>
    </row>
    <row r="9" spans="1:7" ht="12.75" x14ac:dyDescent="0.2">
      <c r="A9" s="6">
        <v>3</v>
      </c>
      <c r="B9" s="7" t="s">
        <v>36</v>
      </c>
      <c r="C9" s="11" t="s">
        <v>37</v>
      </c>
      <c r="D9" s="2" t="s">
        <v>16</v>
      </c>
      <c r="E9" s="47">
        <v>12706</v>
      </c>
      <c r="F9" s="53">
        <v>156.328271</v>
      </c>
      <c r="G9" s="5">
        <v>7.5988930999999996E-2</v>
      </c>
    </row>
    <row r="10" spans="1:7" ht="12.75" x14ac:dyDescent="0.2">
      <c r="A10" s="6">
        <v>4</v>
      </c>
      <c r="B10" s="7" t="s">
        <v>496</v>
      </c>
      <c r="C10" s="11" t="s">
        <v>497</v>
      </c>
      <c r="D10" s="2" t="s">
        <v>16</v>
      </c>
      <c r="E10" s="47">
        <v>8920</v>
      </c>
      <c r="F10" s="53">
        <v>140.44540000000001</v>
      </c>
      <c r="G10" s="5">
        <v>6.8268494999999998E-2</v>
      </c>
    </row>
    <row r="11" spans="1:7" ht="12.75" x14ac:dyDescent="0.2">
      <c r="A11" s="6">
        <v>5</v>
      </c>
      <c r="B11" s="7" t="s">
        <v>498</v>
      </c>
      <c r="C11" s="11" t="s">
        <v>499</v>
      </c>
      <c r="D11" s="2" t="s">
        <v>242</v>
      </c>
      <c r="E11" s="47">
        <v>19490</v>
      </c>
      <c r="F11" s="53">
        <v>133.62343999999999</v>
      </c>
      <c r="G11" s="5">
        <v>6.4952438000000001E-2</v>
      </c>
    </row>
    <row r="12" spans="1:7" ht="25.5" x14ac:dyDescent="0.2">
      <c r="A12" s="6">
        <v>6</v>
      </c>
      <c r="B12" s="7" t="s">
        <v>450</v>
      </c>
      <c r="C12" s="11" t="s">
        <v>451</v>
      </c>
      <c r="D12" s="2" t="s">
        <v>47</v>
      </c>
      <c r="E12" s="47">
        <v>9034</v>
      </c>
      <c r="F12" s="53">
        <v>120.260608</v>
      </c>
      <c r="G12" s="5">
        <v>5.8456956999999997E-2</v>
      </c>
    </row>
    <row r="13" spans="1:7" ht="25.5" x14ac:dyDescent="0.2">
      <c r="A13" s="6">
        <v>7</v>
      </c>
      <c r="B13" s="7" t="s">
        <v>432</v>
      </c>
      <c r="C13" s="11" t="s">
        <v>433</v>
      </c>
      <c r="D13" s="2" t="s">
        <v>72</v>
      </c>
      <c r="E13" s="47">
        <v>5465</v>
      </c>
      <c r="F13" s="53">
        <v>116.508335</v>
      </c>
      <c r="G13" s="5">
        <v>5.6633031E-2</v>
      </c>
    </row>
    <row r="14" spans="1:7" ht="12.75" x14ac:dyDescent="0.2">
      <c r="A14" s="6">
        <v>8</v>
      </c>
      <c r="B14" s="7" t="s">
        <v>515</v>
      </c>
      <c r="C14" s="11" t="s">
        <v>516</v>
      </c>
      <c r="D14" s="2" t="s">
        <v>242</v>
      </c>
      <c r="E14" s="47">
        <v>12747</v>
      </c>
      <c r="F14" s="53">
        <v>94.200329999999994</v>
      </c>
      <c r="G14" s="5">
        <v>4.5789429999999999E-2</v>
      </c>
    </row>
    <row r="15" spans="1:7" ht="12.75" x14ac:dyDescent="0.2">
      <c r="A15" s="6">
        <v>9</v>
      </c>
      <c r="B15" s="7" t="s">
        <v>506</v>
      </c>
      <c r="C15" s="11" t="s">
        <v>507</v>
      </c>
      <c r="D15" s="2" t="s">
        <v>168</v>
      </c>
      <c r="E15" s="47">
        <v>45471</v>
      </c>
      <c r="F15" s="53">
        <v>87.804501000000002</v>
      </c>
      <c r="G15" s="5">
        <v>4.2680508999999998E-2</v>
      </c>
    </row>
    <row r="16" spans="1:7" ht="25.5" x14ac:dyDescent="0.2">
      <c r="A16" s="6">
        <v>10</v>
      </c>
      <c r="B16" s="7" t="s">
        <v>424</v>
      </c>
      <c r="C16" s="11" t="s">
        <v>425</v>
      </c>
      <c r="D16" s="2" t="s">
        <v>30</v>
      </c>
      <c r="E16" s="47">
        <v>4012</v>
      </c>
      <c r="F16" s="53">
        <v>87.275041999999999</v>
      </c>
      <c r="G16" s="5">
        <v>4.2423147000000001E-2</v>
      </c>
    </row>
    <row r="17" spans="1:7" ht="12.75" x14ac:dyDescent="0.2">
      <c r="A17" s="6">
        <v>11</v>
      </c>
      <c r="B17" s="7" t="s">
        <v>510</v>
      </c>
      <c r="C17" s="11" t="s">
        <v>511</v>
      </c>
      <c r="D17" s="2" t="s">
        <v>19</v>
      </c>
      <c r="E17" s="47">
        <v>434</v>
      </c>
      <c r="F17" s="53">
        <v>86.379237000000003</v>
      </c>
      <c r="G17" s="5">
        <v>4.1987708999999998E-2</v>
      </c>
    </row>
    <row r="18" spans="1:7" ht="12.75" x14ac:dyDescent="0.2">
      <c r="A18" s="6">
        <v>12</v>
      </c>
      <c r="B18" s="7" t="s">
        <v>661</v>
      </c>
      <c r="C18" s="11" t="s">
        <v>662</v>
      </c>
      <c r="D18" s="2" t="s">
        <v>226</v>
      </c>
      <c r="E18" s="47">
        <v>17633</v>
      </c>
      <c r="F18" s="53">
        <v>82.319660499999998</v>
      </c>
      <c r="G18" s="5">
        <v>4.0014407000000002E-2</v>
      </c>
    </row>
    <row r="19" spans="1:7" ht="12.75" x14ac:dyDescent="0.2">
      <c r="A19" s="6">
        <v>13</v>
      </c>
      <c r="B19" s="7" t="s">
        <v>342</v>
      </c>
      <c r="C19" s="11" t="s">
        <v>343</v>
      </c>
      <c r="D19" s="2" t="s">
        <v>72</v>
      </c>
      <c r="E19" s="47">
        <v>13860</v>
      </c>
      <c r="F19" s="53">
        <v>57.158639999999998</v>
      </c>
      <c r="G19" s="5">
        <v>2.7783994999999999E-2</v>
      </c>
    </row>
    <row r="20" spans="1:7" ht="12.75" x14ac:dyDescent="0.2">
      <c r="A20" s="6">
        <v>14</v>
      </c>
      <c r="B20" s="7" t="s">
        <v>420</v>
      </c>
      <c r="C20" s="11" t="s">
        <v>421</v>
      </c>
      <c r="D20" s="2" t="s">
        <v>72</v>
      </c>
      <c r="E20" s="47">
        <v>1397</v>
      </c>
      <c r="F20" s="53">
        <v>56.2648735</v>
      </c>
      <c r="G20" s="5">
        <v>2.7349548000000001E-2</v>
      </c>
    </row>
    <row r="21" spans="1:7" ht="12.75" x14ac:dyDescent="0.2">
      <c r="A21" s="6">
        <v>15</v>
      </c>
      <c r="B21" s="7" t="s">
        <v>594</v>
      </c>
      <c r="C21" s="11" t="s">
        <v>595</v>
      </c>
      <c r="D21" s="2" t="s">
        <v>16</v>
      </c>
      <c r="E21" s="47">
        <v>3581</v>
      </c>
      <c r="F21" s="53">
        <v>47.025691999999999</v>
      </c>
      <c r="G21" s="5">
        <v>2.2858514999999999E-2</v>
      </c>
    </row>
    <row r="22" spans="1:7" ht="12.75" x14ac:dyDescent="0.2">
      <c r="A22" s="6">
        <v>16</v>
      </c>
      <c r="B22" s="7" t="s">
        <v>448</v>
      </c>
      <c r="C22" s="11" t="s">
        <v>449</v>
      </c>
      <c r="D22" s="2" t="s">
        <v>242</v>
      </c>
      <c r="E22" s="47">
        <v>2027</v>
      </c>
      <c r="F22" s="53">
        <v>46.005805500000001</v>
      </c>
      <c r="G22" s="5">
        <v>2.2362762000000001E-2</v>
      </c>
    </row>
    <row r="23" spans="1:7" ht="12.75" x14ac:dyDescent="0.2">
      <c r="A23" s="6">
        <v>17</v>
      </c>
      <c r="B23" s="7" t="s">
        <v>590</v>
      </c>
      <c r="C23" s="11" t="s">
        <v>591</v>
      </c>
      <c r="D23" s="2" t="s">
        <v>192</v>
      </c>
      <c r="E23" s="47">
        <v>156</v>
      </c>
      <c r="F23" s="53">
        <v>40.171404000000003</v>
      </c>
      <c r="G23" s="5">
        <v>1.9526743999999999E-2</v>
      </c>
    </row>
    <row r="24" spans="1:7" ht="12.75" x14ac:dyDescent="0.2">
      <c r="A24" s="6">
        <v>18</v>
      </c>
      <c r="B24" s="7" t="s">
        <v>535</v>
      </c>
      <c r="C24" s="11" t="s">
        <v>536</v>
      </c>
      <c r="D24" s="2" t="s">
        <v>72</v>
      </c>
      <c r="E24" s="47">
        <v>484</v>
      </c>
      <c r="F24" s="53">
        <v>39.370254000000003</v>
      </c>
      <c r="G24" s="5">
        <v>1.9137316000000001E-2</v>
      </c>
    </row>
    <row r="25" spans="1:7" ht="12.75" x14ac:dyDescent="0.2">
      <c r="A25" s="6">
        <v>19</v>
      </c>
      <c r="B25" s="7" t="s">
        <v>592</v>
      </c>
      <c r="C25" s="11" t="s">
        <v>593</v>
      </c>
      <c r="D25" s="2" t="s">
        <v>223</v>
      </c>
      <c r="E25" s="47">
        <v>1828</v>
      </c>
      <c r="F25" s="53">
        <v>36.462201999999998</v>
      </c>
      <c r="G25" s="5">
        <v>1.7723754000000001E-2</v>
      </c>
    </row>
    <row r="26" spans="1:7" ht="25.5" x14ac:dyDescent="0.2">
      <c r="A26" s="6">
        <v>20</v>
      </c>
      <c r="B26" s="7" t="s">
        <v>659</v>
      </c>
      <c r="C26" s="11" t="s">
        <v>660</v>
      </c>
      <c r="D26" s="2" t="s">
        <v>72</v>
      </c>
      <c r="E26" s="47">
        <v>2560</v>
      </c>
      <c r="F26" s="53">
        <v>29.149439999999998</v>
      </c>
      <c r="G26" s="5">
        <v>1.4169124999999999E-2</v>
      </c>
    </row>
    <row r="27" spans="1:7" ht="12.75" x14ac:dyDescent="0.2">
      <c r="A27" s="6">
        <v>21</v>
      </c>
      <c r="B27" s="7" t="s">
        <v>508</v>
      </c>
      <c r="C27" s="11" t="s">
        <v>509</v>
      </c>
      <c r="D27" s="2" t="s">
        <v>168</v>
      </c>
      <c r="E27" s="47">
        <v>22429</v>
      </c>
      <c r="F27" s="53">
        <v>27.576455500000002</v>
      </c>
      <c r="G27" s="5">
        <v>1.340452E-2</v>
      </c>
    </row>
    <row r="28" spans="1:7" ht="25.5" x14ac:dyDescent="0.2">
      <c r="A28" s="6">
        <v>22</v>
      </c>
      <c r="B28" s="7" t="s">
        <v>699</v>
      </c>
      <c r="C28" s="11" t="s">
        <v>700</v>
      </c>
      <c r="D28" s="2" t="s">
        <v>27</v>
      </c>
      <c r="E28" s="47">
        <v>22933</v>
      </c>
      <c r="F28" s="53">
        <v>27.095339500000001</v>
      </c>
      <c r="G28" s="5">
        <v>1.3170655999999999E-2</v>
      </c>
    </row>
    <row r="29" spans="1:7" ht="25.5" x14ac:dyDescent="0.2">
      <c r="A29" s="6">
        <v>23</v>
      </c>
      <c r="B29" s="7" t="s">
        <v>404</v>
      </c>
      <c r="C29" s="11" t="s">
        <v>405</v>
      </c>
      <c r="D29" s="2" t="s">
        <v>72</v>
      </c>
      <c r="E29" s="47">
        <v>2414</v>
      </c>
      <c r="F29" s="53">
        <v>23.934809999999999</v>
      </c>
      <c r="G29" s="5">
        <v>1.1634368000000001E-2</v>
      </c>
    </row>
    <row r="30" spans="1:7" ht="12.75" x14ac:dyDescent="0.2">
      <c r="A30" s="6">
        <v>24</v>
      </c>
      <c r="B30" s="7" t="s">
        <v>412</v>
      </c>
      <c r="C30" s="11" t="s">
        <v>413</v>
      </c>
      <c r="D30" s="2" t="s">
        <v>237</v>
      </c>
      <c r="E30" s="47">
        <v>874</v>
      </c>
      <c r="F30" s="53">
        <v>23.634708</v>
      </c>
      <c r="G30" s="5">
        <v>1.1488493000000001E-2</v>
      </c>
    </row>
    <row r="31" spans="1:7" ht="25.5" x14ac:dyDescent="0.2">
      <c r="A31" s="6">
        <v>25</v>
      </c>
      <c r="B31" s="7" t="s">
        <v>383</v>
      </c>
      <c r="C31" s="11" t="s">
        <v>384</v>
      </c>
      <c r="D31" s="2" t="s">
        <v>30</v>
      </c>
      <c r="E31" s="47">
        <v>1593</v>
      </c>
      <c r="F31" s="53">
        <v>20.329069499999999</v>
      </c>
      <c r="G31" s="5">
        <v>9.8816689999999992E-3</v>
      </c>
    </row>
    <row r="32" spans="1:7" ht="12.75" x14ac:dyDescent="0.2">
      <c r="A32" s="6">
        <v>26</v>
      </c>
      <c r="B32" s="7" t="s">
        <v>620</v>
      </c>
      <c r="C32" s="11" t="s">
        <v>621</v>
      </c>
      <c r="D32" s="2" t="s">
        <v>237</v>
      </c>
      <c r="E32" s="47">
        <v>22247</v>
      </c>
      <c r="F32" s="53">
        <v>17.074572499999999</v>
      </c>
      <c r="G32" s="5">
        <v>8.2997049999999992E-3</v>
      </c>
    </row>
    <row r="33" spans="1:7" ht="12.75" x14ac:dyDescent="0.2">
      <c r="A33" s="6">
        <v>27</v>
      </c>
      <c r="B33" s="7" t="s">
        <v>523</v>
      </c>
      <c r="C33" s="11" t="s">
        <v>524</v>
      </c>
      <c r="D33" s="2" t="s">
        <v>242</v>
      </c>
      <c r="E33" s="47">
        <v>1200</v>
      </c>
      <c r="F33" s="53">
        <v>13.952999999999999</v>
      </c>
      <c r="G33" s="5">
        <v>6.7823529999999996E-3</v>
      </c>
    </row>
    <row r="34" spans="1:7" ht="12.75" x14ac:dyDescent="0.2">
      <c r="A34" s="6">
        <v>28</v>
      </c>
      <c r="B34" s="7" t="s">
        <v>438</v>
      </c>
      <c r="C34" s="11" t="s">
        <v>439</v>
      </c>
      <c r="D34" s="2" t="s">
        <v>237</v>
      </c>
      <c r="E34" s="47">
        <v>168</v>
      </c>
      <c r="F34" s="53">
        <v>12.699792</v>
      </c>
      <c r="G34" s="5">
        <v>6.1731870000000001E-3</v>
      </c>
    </row>
    <row r="35" spans="1:7" ht="12.75" x14ac:dyDescent="0.2">
      <c r="A35" s="6">
        <v>29</v>
      </c>
      <c r="B35" s="7" t="s">
        <v>701</v>
      </c>
      <c r="C35" s="11" t="s">
        <v>702</v>
      </c>
      <c r="D35" s="2" t="s">
        <v>50</v>
      </c>
      <c r="E35" s="47">
        <v>32676</v>
      </c>
      <c r="F35" s="53">
        <v>12.253500000000001</v>
      </c>
      <c r="G35" s="5">
        <v>5.9562510000000001E-3</v>
      </c>
    </row>
    <row r="36" spans="1:7" ht="12.75" x14ac:dyDescent="0.2">
      <c r="A36" s="6">
        <v>30</v>
      </c>
      <c r="B36" s="7" t="s">
        <v>608</v>
      </c>
      <c r="C36" s="11" t="s">
        <v>609</v>
      </c>
      <c r="D36" s="2" t="s">
        <v>16</v>
      </c>
      <c r="E36" s="47">
        <v>2000</v>
      </c>
      <c r="F36" s="53">
        <v>12.246</v>
      </c>
      <c r="G36" s="5">
        <v>5.9526049999999997E-3</v>
      </c>
    </row>
    <row r="37" spans="1:7" ht="12.75" x14ac:dyDescent="0.2">
      <c r="A37" s="6">
        <v>31</v>
      </c>
      <c r="B37" s="7" t="s">
        <v>686</v>
      </c>
      <c r="C37" s="11" t="s">
        <v>687</v>
      </c>
      <c r="D37" s="2" t="s">
        <v>80</v>
      </c>
      <c r="E37" s="47">
        <v>660</v>
      </c>
      <c r="F37" s="53">
        <v>9.6152099999999994</v>
      </c>
      <c r="G37" s="5">
        <v>4.6738159999999999E-3</v>
      </c>
    </row>
    <row r="38" spans="1:7" ht="12.75" x14ac:dyDescent="0.2">
      <c r="A38" s="6">
        <v>32</v>
      </c>
      <c r="B38" s="7" t="s">
        <v>663</v>
      </c>
      <c r="C38" s="11" t="s">
        <v>664</v>
      </c>
      <c r="D38" s="2" t="s">
        <v>226</v>
      </c>
      <c r="E38" s="47">
        <v>1251</v>
      </c>
      <c r="F38" s="53">
        <v>9.3212010000000003</v>
      </c>
      <c r="G38" s="5">
        <v>4.5309019999999998E-3</v>
      </c>
    </row>
    <row r="39" spans="1:7" ht="12.75" x14ac:dyDescent="0.2">
      <c r="A39" s="6">
        <v>33</v>
      </c>
      <c r="B39" s="7" t="s">
        <v>606</v>
      </c>
      <c r="C39" s="11" t="s">
        <v>607</v>
      </c>
      <c r="D39" s="2" t="s">
        <v>237</v>
      </c>
      <c r="E39" s="47">
        <v>41</v>
      </c>
      <c r="F39" s="53">
        <v>9.2406210000000009</v>
      </c>
      <c r="G39" s="5">
        <v>4.4917330000000004E-3</v>
      </c>
    </row>
    <row r="40" spans="1:7" ht="12.75" x14ac:dyDescent="0.2">
      <c r="A40" s="6">
        <v>34</v>
      </c>
      <c r="B40" s="7" t="s">
        <v>688</v>
      </c>
      <c r="C40" s="11" t="s">
        <v>689</v>
      </c>
      <c r="D40" s="2" t="s">
        <v>226</v>
      </c>
      <c r="E40" s="47">
        <v>1151</v>
      </c>
      <c r="F40" s="53">
        <v>5.4079734999999998</v>
      </c>
      <c r="G40" s="5">
        <v>2.6287379999999998E-3</v>
      </c>
    </row>
    <row r="41" spans="1:7" ht="12.75" x14ac:dyDescent="0.2">
      <c r="A41" s="1"/>
      <c r="B41" s="2"/>
      <c r="C41" s="8" t="s">
        <v>108</v>
      </c>
      <c r="D41" s="12"/>
      <c r="E41" s="49"/>
      <c r="F41" s="55">
        <v>2000.6888854999997</v>
      </c>
      <c r="G41" s="13">
        <v>0.97250618299999991</v>
      </c>
    </row>
    <row r="42" spans="1:7" ht="12.75" x14ac:dyDescent="0.2">
      <c r="A42" s="6"/>
      <c r="B42" s="7"/>
      <c r="C42" s="14"/>
      <c r="D42" s="15"/>
      <c r="E42" s="47"/>
      <c r="F42" s="53"/>
      <c r="G42" s="5"/>
    </row>
    <row r="43" spans="1:7" ht="12.75" x14ac:dyDescent="0.2">
      <c r="A43" s="1"/>
      <c r="B43" s="2"/>
      <c r="C43" s="8" t="s">
        <v>109</v>
      </c>
      <c r="D43" s="9"/>
      <c r="E43" s="48"/>
      <c r="F43" s="54"/>
      <c r="G43" s="10"/>
    </row>
    <row r="44" spans="1:7" ht="12.75" x14ac:dyDescent="0.2">
      <c r="A44" s="1"/>
      <c r="B44" s="2"/>
      <c r="C44" s="8" t="s">
        <v>108</v>
      </c>
      <c r="D44" s="12"/>
      <c r="E44" s="49"/>
      <c r="F44" s="55">
        <v>0</v>
      </c>
      <c r="G44" s="13">
        <v>0</v>
      </c>
    </row>
    <row r="45" spans="1:7" ht="12.75" x14ac:dyDescent="0.2">
      <c r="A45" s="6"/>
      <c r="B45" s="7"/>
      <c r="C45" s="14"/>
      <c r="D45" s="15"/>
      <c r="E45" s="47"/>
      <c r="F45" s="53"/>
      <c r="G45" s="5"/>
    </row>
    <row r="46" spans="1:7" ht="12.75" x14ac:dyDescent="0.2">
      <c r="A46" s="16"/>
      <c r="B46" s="17"/>
      <c r="C46" s="8" t="s">
        <v>110</v>
      </c>
      <c r="D46" s="9"/>
      <c r="E46" s="48"/>
      <c r="F46" s="54"/>
      <c r="G46" s="10"/>
    </row>
    <row r="47" spans="1:7" ht="12.75" x14ac:dyDescent="0.2">
      <c r="A47" s="18"/>
      <c r="B47" s="19"/>
      <c r="C47" s="8" t="s">
        <v>108</v>
      </c>
      <c r="D47" s="20"/>
      <c r="E47" s="50"/>
      <c r="F47" s="56">
        <v>0</v>
      </c>
      <c r="G47" s="21">
        <v>0</v>
      </c>
    </row>
    <row r="48" spans="1:7" ht="12.75" x14ac:dyDescent="0.2">
      <c r="A48" s="18"/>
      <c r="B48" s="19"/>
      <c r="C48" s="14"/>
      <c r="D48" s="22"/>
      <c r="E48" s="51"/>
      <c r="F48" s="57"/>
      <c r="G48" s="23"/>
    </row>
    <row r="49" spans="1:7" ht="12.75" x14ac:dyDescent="0.2">
      <c r="A49" s="1"/>
      <c r="B49" s="2"/>
      <c r="C49" s="8" t="s">
        <v>113</v>
      </c>
      <c r="D49" s="9"/>
      <c r="E49" s="48"/>
      <c r="F49" s="54"/>
      <c r="G49" s="10"/>
    </row>
    <row r="50" spans="1:7" ht="12.75" x14ac:dyDescent="0.2">
      <c r="A50" s="1"/>
      <c r="B50" s="2"/>
      <c r="C50" s="8" t="s">
        <v>108</v>
      </c>
      <c r="D50" s="12"/>
      <c r="E50" s="49"/>
      <c r="F50" s="55">
        <v>0</v>
      </c>
      <c r="G50" s="13">
        <v>0</v>
      </c>
    </row>
    <row r="51" spans="1:7" ht="12.75" x14ac:dyDescent="0.2">
      <c r="A51" s="1"/>
      <c r="B51" s="2"/>
      <c r="C51" s="14"/>
      <c r="D51" s="4"/>
      <c r="E51" s="47"/>
      <c r="F51" s="53"/>
      <c r="G51" s="5"/>
    </row>
    <row r="52" spans="1:7" ht="12.75" x14ac:dyDescent="0.2">
      <c r="A52" s="1"/>
      <c r="B52" s="2"/>
      <c r="C52" s="8" t="s">
        <v>114</v>
      </c>
      <c r="D52" s="9"/>
      <c r="E52" s="48"/>
      <c r="F52" s="54"/>
      <c r="G52" s="10"/>
    </row>
    <row r="53" spans="1:7" ht="12.75" x14ac:dyDescent="0.2">
      <c r="A53" s="1"/>
      <c r="B53" s="2"/>
      <c r="C53" s="8" t="s">
        <v>108</v>
      </c>
      <c r="D53" s="12"/>
      <c r="E53" s="49"/>
      <c r="F53" s="55">
        <v>0</v>
      </c>
      <c r="G53" s="13">
        <v>0</v>
      </c>
    </row>
    <row r="54" spans="1:7" ht="12.75" x14ac:dyDescent="0.2">
      <c r="A54" s="1"/>
      <c r="B54" s="2"/>
      <c r="C54" s="14"/>
      <c r="D54" s="4"/>
      <c r="E54" s="47"/>
      <c r="F54" s="53"/>
      <c r="G54" s="5"/>
    </row>
    <row r="55" spans="1:7" ht="12.75" x14ac:dyDescent="0.2">
      <c r="A55" s="1"/>
      <c r="B55" s="2"/>
      <c r="C55" s="8" t="s">
        <v>115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1"/>
      <c r="B57" s="2"/>
      <c r="C57" s="14"/>
      <c r="D57" s="4"/>
      <c r="E57" s="47"/>
      <c r="F57" s="53"/>
      <c r="G57" s="5"/>
    </row>
    <row r="58" spans="1:7" ht="25.5" x14ac:dyDescent="0.2">
      <c r="A58" s="6"/>
      <c r="B58" s="7"/>
      <c r="C58" s="24" t="s">
        <v>116</v>
      </c>
      <c r="D58" s="25"/>
      <c r="E58" s="49"/>
      <c r="F58" s="55">
        <v>2000.6888854999997</v>
      </c>
      <c r="G58" s="13">
        <v>0.97250618299999991</v>
      </c>
    </row>
    <row r="59" spans="1:7" ht="12.75" x14ac:dyDescent="0.2">
      <c r="A59" s="1"/>
      <c r="B59" s="2"/>
      <c r="C59" s="11"/>
      <c r="D59" s="4"/>
      <c r="E59" s="47"/>
      <c r="F59" s="53"/>
      <c r="G59" s="5"/>
    </row>
    <row r="60" spans="1:7" ht="12.75" x14ac:dyDescent="0.2">
      <c r="A60" s="1"/>
      <c r="B60" s="2"/>
      <c r="C60" s="3" t="s">
        <v>117</v>
      </c>
      <c r="D60" s="4"/>
      <c r="E60" s="47"/>
      <c r="F60" s="53"/>
      <c r="G60" s="5"/>
    </row>
    <row r="61" spans="1:7" ht="25.5" x14ac:dyDescent="0.2">
      <c r="A61" s="1"/>
      <c r="B61" s="2"/>
      <c r="C61" s="8" t="s">
        <v>10</v>
      </c>
      <c r="D61" s="9"/>
      <c r="E61" s="48"/>
      <c r="F61" s="54"/>
      <c r="G61" s="10"/>
    </row>
    <row r="62" spans="1:7" ht="12.75" x14ac:dyDescent="0.2">
      <c r="A62" s="6"/>
      <c r="B62" s="7"/>
      <c r="C62" s="8" t="s">
        <v>108</v>
      </c>
      <c r="D62" s="12"/>
      <c r="E62" s="49"/>
      <c r="F62" s="55">
        <v>0</v>
      </c>
      <c r="G62" s="13">
        <v>0</v>
      </c>
    </row>
    <row r="63" spans="1:7" ht="12.75" x14ac:dyDescent="0.2">
      <c r="A63" s="6"/>
      <c r="B63" s="7"/>
      <c r="C63" s="14"/>
      <c r="D63" s="4"/>
      <c r="E63" s="47"/>
      <c r="F63" s="53"/>
      <c r="G63" s="5"/>
    </row>
    <row r="64" spans="1:7" ht="12.75" x14ac:dyDescent="0.2">
      <c r="A64" s="1"/>
      <c r="B64" s="26"/>
      <c r="C64" s="8" t="s">
        <v>118</v>
      </c>
      <c r="D64" s="9"/>
      <c r="E64" s="48"/>
      <c r="F64" s="54"/>
      <c r="G64" s="10"/>
    </row>
    <row r="65" spans="1:7" ht="12.75" x14ac:dyDescent="0.2">
      <c r="A65" s="6"/>
      <c r="B65" s="7"/>
      <c r="C65" s="8" t="s">
        <v>108</v>
      </c>
      <c r="D65" s="12"/>
      <c r="E65" s="49"/>
      <c r="F65" s="55">
        <v>0</v>
      </c>
      <c r="G65" s="13">
        <v>0</v>
      </c>
    </row>
    <row r="66" spans="1:7" ht="12.75" x14ac:dyDescent="0.2">
      <c r="A66" s="6"/>
      <c r="B66" s="7"/>
      <c r="C66" s="14"/>
      <c r="D66" s="4"/>
      <c r="E66" s="47"/>
      <c r="F66" s="59"/>
      <c r="G66" s="28"/>
    </row>
    <row r="67" spans="1:7" ht="12.75" x14ac:dyDescent="0.2">
      <c r="A67" s="1"/>
      <c r="B67" s="2"/>
      <c r="C67" s="8" t="s">
        <v>119</v>
      </c>
      <c r="D67" s="9"/>
      <c r="E67" s="48"/>
      <c r="F67" s="54"/>
      <c r="G67" s="10"/>
    </row>
    <row r="68" spans="1:7" ht="12.75" x14ac:dyDescent="0.2">
      <c r="A68" s="6"/>
      <c r="B68" s="7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1"/>
      <c r="B69" s="2"/>
      <c r="C69" s="14"/>
      <c r="D69" s="4"/>
      <c r="E69" s="47"/>
      <c r="F69" s="53"/>
      <c r="G69" s="5"/>
    </row>
    <row r="70" spans="1:7" ht="25.5" x14ac:dyDescent="0.2">
      <c r="A70" s="1"/>
      <c r="B70" s="26"/>
      <c r="C70" s="8" t="s">
        <v>120</v>
      </c>
      <c r="D70" s="9"/>
      <c r="E70" s="48"/>
      <c r="F70" s="54"/>
      <c r="G70" s="10"/>
    </row>
    <row r="71" spans="1:7" ht="12.75" x14ac:dyDescent="0.2">
      <c r="A71" s="6"/>
      <c r="B71" s="7"/>
      <c r="C71" s="8" t="s">
        <v>108</v>
      </c>
      <c r="D71" s="12"/>
      <c r="E71" s="49"/>
      <c r="F71" s="55">
        <v>0</v>
      </c>
      <c r="G71" s="13">
        <v>0</v>
      </c>
    </row>
    <row r="72" spans="1:7" ht="12.75" x14ac:dyDescent="0.2">
      <c r="A72" s="6"/>
      <c r="B72" s="7"/>
      <c r="C72" s="14"/>
      <c r="D72" s="4"/>
      <c r="E72" s="47"/>
      <c r="F72" s="53"/>
      <c r="G72" s="5"/>
    </row>
    <row r="73" spans="1:7" ht="12.75" x14ac:dyDescent="0.2">
      <c r="A73" s="6"/>
      <c r="B73" s="7"/>
      <c r="C73" s="29" t="s">
        <v>121</v>
      </c>
      <c r="D73" s="25"/>
      <c r="E73" s="49"/>
      <c r="F73" s="55">
        <v>0</v>
      </c>
      <c r="G73" s="13">
        <v>0</v>
      </c>
    </row>
    <row r="74" spans="1:7" ht="12.75" x14ac:dyDescent="0.2">
      <c r="A74" s="6"/>
      <c r="B74" s="7"/>
      <c r="C74" s="11"/>
      <c r="D74" s="4"/>
      <c r="E74" s="47"/>
      <c r="F74" s="53"/>
      <c r="G74" s="5"/>
    </row>
    <row r="75" spans="1:7" ht="12.75" x14ac:dyDescent="0.2">
      <c r="A75" s="1"/>
      <c r="B75" s="2"/>
      <c r="C75" s="3" t="s">
        <v>122</v>
      </c>
      <c r="D75" s="4"/>
      <c r="E75" s="47"/>
      <c r="F75" s="53"/>
      <c r="G75" s="5"/>
    </row>
    <row r="76" spans="1:7" ht="12.75" x14ac:dyDescent="0.2">
      <c r="A76" s="6"/>
      <c r="B76" s="7"/>
      <c r="C76" s="8" t="s">
        <v>123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25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7"/>
      <c r="E78" s="47"/>
      <c r="F78" s="53"/>
      <c r="G78" s="5"/>
    </row>
    <row r="79" spans="1:7" ht="12.75" x14ac:dyDescent="0.2">
      <c r="A79" s="6"/>
      <c r="B79" s="7"/>
      <c r="C79" s="8" t="s">
        <v>124</v>
      </c>
      <c r="D79" s="9"/>
      <c r="E79" s="48"/>
      <c r="F79" s="54"/>
      <c r="G79" s="10"/>
    </row>
    <row r="80" spans="1:7" ht="12.75" x14ac:dyDescent="0.2">
      <c r="A80" s="6"/>
      <c r="B80" s="7"/>
      <c r="C80" s="8" t="s">
        <v>108</v>
      </c>
      <c r="D80" s="25"/>
      <c r="E80" s="49"/>
      <c r="F80" s="55">
        <v>0</v>
      </c>
      <c r="G80" s="13">
        <v>0</v>
      </c>
    </row>
    <row r="81" spans="1:7" ht="12.75" x14ac:dyDescent="0.2">
      <c r="A81" s="6"/>
      <c r="B81" s="7"/>
      <c r="C81" s="14"/>
      <c r="D81" s="7"/>
      <c r="E81" s="47"/>
      <c r="F81" s="53"/>
      <c r="G81" s="5"/>
    </row>
    <row r="82" spans="1:7" ht="12.75" x14ac:dyDescent="0.2">
      <c r="A82" s="6"/>
      <c r="B82" s="7"/>
      <c r="C82" s="8" t="s">
        <v>125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25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7"/>
      <c r="E84" s="47"/>
      <c r="F84" s="53"/>
      <c r="G84" s="5"/>
    </row>
    <row r="85" spans="1:7" ht="12.75" x14ac:dyDescent="0.2">
      <c r="A85" s="6"/>
      <c r="B85" s="7"/>
      <c r="C85" s="8" t="s">
        <v>126</v>
      </c>
      <c r="D85" s="9"/>
      <c r="E85" s="48"/>
      <c r="F85" s="54"/>
      <c r="G85" s="10"/>
    </row>
    <row r="86" spans="1:7" ht="12.75" x14ac:dyDescent="0.2">
      <c r="A86" s="6">
        <v>1</v>
      </c>
      <c r="B86" s="7"/>
      <c r="C86" s="11" t="s">
        <v>812</v>
      </c>
      <c r="D86" s="15"/>
      <c r="E86" s="47"/>
      <c r="F86" s="53">
        <v>55.992636599999997</v>
      </c>
      <c r="G86" s="5">
        <v>2.7217218000000001E-2</v>
      </c>
    </row>
    <row r="87" spans="1:7" ht="12.75" x14ac:dyDescent="0.2">
      <c r="A87" s="6"/>
      <c r="B87" s="7"/>
      <c r="C87" s="8" t="s">
        <v>108</v>
      </c>
      <c r="D87" s="25"/>
      <c r="E87" s="49"/>
      <c r="F87" s="55">
        <v>55.992636599999997</v>
      </c>
      <c r="G87" s="13">
        <v>2.7217218000000001E-2</v>
      </c>
    </row>
    <row r="88" spans="1:7" ht="12.75" x14ac:dyDescent="0.2">
      <c r="A88" s="6"/>
      <c r="B88" s="7"/>
      <c r="C88" s="14"/>
      <c r="D88" s="7"/>
      <c r="E88" s="47"/>
      <c r="F88" s="53"/>
      <c r="G88" s="5"/>
    </row>
    <row r="89" spans="1:7" ht="25.5" x14ac:dyDescent="0.2">
      <c r="A89" s="6"/>
      <c r="B89" s="7"/>
      <c r="C89" s="24" t="s">
        <v>127</v>
      </c>
      <c r="D89" s="25"/>
      <c r="E89" s="49"/>
      <c r="F89" s="55">
        <v>55.992636599999997</v>
      </c>
      <c r="G89" s="13">
        <v>2.7217218000000001E-2</v>
      </c>
    </row>
    <row r="90" spans="1:7" ht="12.75" x14ac:dyDescent="0.2">
      <c r="A90" s="6"/>
      <c r="B90" s="7"/>
      <c r="C90" s="30"/>
      <c r="D90" s="7"/>
      <c r="E90" s="47"/>
      <c r="F90" s="53"/>
      <c r="G90" s="5"/>
    </row>
    <row r="91" spans="1:7" ht="12.75" x14ac:dyDescent="0.2">
      <c r="A91" s="1"/>
      <c r="B91" s="2"/>
      <c r="C91" s="3" t="s">
        <v>128</v>
      </c>
      <c r="D91" s="4"/>
      <c r="E91" s="47"/>
      <c r="F91" s="53"/>
      <c r="G91" s="5"/>
    </row>
    <row r="92" spans="1:7" ht="25.5" x14ac:dyDescent="0.2">
      <c r="A92" s="6"/>
      <c r="B92" s="7"/>
      <c r="C92" s="8" t="s">
        <v>129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25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7"/>
      <c r="E94" s="47"/>
      <c r="F94" s="53"/>
      <c r="G94" s="5"/>
    </row>
    <row r="95" spans="1:7" ht="12.75" x14ac:dyDescent="0.2">
      <c r="A95" s="1"/>
      <c r="B95" s="2"/>
      <c r="C95" s="3" t="s">
        <v>131</v>
      </c>
      <c r="D95" s="4"/>
      <c r="E95" s="47"/>
      <c r="F95" s="53"/>
      <c r="G95" s="5"/>
    </row>
    <row r="96" spans="1:7" ht="25.5" x14ac:dyDescent="0.2">
      <c r="A96" s="6"/>
      <c r="B96" s="7"/>
      <c r="C96" s="8" t="s">
        <v>132</v>
      </c>
      <c r="D96" s="9"/>
      <c r="E96" s="48"/>
      <c r="F96" s="54"/>
      <c r="G96" s="10"/>
    </row>
    <row r="97" spans="1:7" ht="12.75" x14ac:dyDescent="0.2">
      <c r="A97" s="6"/>
      <c r="B97" s="7"/>
      <c r="C97" s="8" t="s">
        <v>108</v>
      </c>
      <c r="D97" s="25"/>
      <c r="E97" s="49"/>
      <c r="F97" s="55">
        <v>0</v>
      </c>
      <c r="G97" s="13">
        <v>0</v>
      </c>
    </row>
    <row r="98" spans="1:7" ht="12.75" x14ac:dyDescent="0.2">
      <c r="A98" s="6"/>
      <c r="B98" s="7"/>
      <c r="C98" s="14"/>
      <c r="D98" s="7"/>
      <c r="E98" s="47"/>
      <c r="F98" s="53"/>
      <c r="G98" s="5"/>
    </row>
    <row r="99" spans="1:7" ht="25.5" x14ac:dyDescent="0.2">
      <c r="A99" s="6"/>
      <c r="B99" s="7"/>
      <c r="C99" s="8" t="s">
        <v>133</v>
      </c>
      <c r="D99" s="9"/>
      <c r="E99" s="48"/>
      <c r="F99" s="54"/>
      <c r="G99" s="10"/>
    </row>
    <row r="100" spans="1:7" ht="12.75" x14ac:dyDescent="0.2">
      <c r="A100" s="6"/>
      <c r="B100" s="7"/>
      <c r="C100" s="8" t="s">
        <v>108</v>
      </c>
      <c r="D100" s="25"/>
      <c r="E100" s="49"/>
      <c r="F100" s="55">
        <v>0</v>
      </c>
      <c r="G100" s="13">
        <v>0</v>
      </c>
    </row>
    <row r="101" spans="1:7" ht="12.75" x14ac:dyDescent="0.2">
      <c r="A101" s="6"/>
      <c r="B101" s="7"/>
      <c r="C101" s="14"/>
      <c r="D101" s="7"/>
      <c r="E101" s="47"/>
      <c r="F101" s="59"/>
      <c r="G101" s="28"/>
    </row>
    <row r="102" spans="1:7" ht="25.5" x14ac:dyDescent="0.2">
      <c r="A102" s="6"/>
      <c r="B102" s="7"/>
      <c r="C102" s="30" t="s">
        <v>134</v>
      </c>
      <c r="D102" s="7"/>
      <c r="E102" s="47"/>
      <c r="F102" s="59">
        <v>0.56903778999999999</v>
      </c>
      <c r="G102" s="28">
        <v>2.7660100000000002E-4</v>
      </c>
    </row>
    <row r="103" spans="1:7" ht="12.75" x14ac:dyDescent="0.2">
      <c r="A103" s="6"/>
      <c r="B103" s="7"/>
      <c r="C103" s="31" t="s">
        <v>135</v>
      </c>
      <c r="D103" s="12"/>
      <c r="E103" s="49"/>
      <c r="F103" s="55">
        <v>2057.2505598899997</v>
      </c>
      <c r="G103" s="13">
        <v>1.0000000020000002</v>
      </c>
    </row>
    <row r="105" spans="1:7" ht="12.75" x14ac:dyDescent="0.2">
      <c r="B105" s="179"/>
      <c r="C105" s="179"/>
      <c r="D105" s="179"/>
      <c r="E105" s="179"/>
      <c r="F105" s="179"/>
    </row>
    <row r="106" spans="1:7" ht="12.75" x14ac:dyDescent="0.2">
      <c r="B106" s="179"/>
      <c r="C106" s="179"/>
      <c r="D106" s="179"/>
      <c r="E106" s="179"/>
      <c r="F106" s="179"/>
    </row>
    <row r="108" spans="1:7" ht="12.75" x14ac:dyDescent="0.2">
      <c r="B108" s="37" t="s">
        <v>137</v>
      </c>
      <c r="C108" s="38"/>
      <c r="D108" s="39"/>
    </row>
    <row r="109" spans="1:7" ht="12.75" x14ac:dyDescent="0.2">
      <c r="B109" s="40" t="s">
        <v>808</v>
      </c>
      <c r="C109" s="41"/>
      <c r="D109" s="65" t="s">
        <v>138</v>
      </c>
    </row>
    <row r="110" spans="1:7" ht="12.75" x14ac:dyDescent="0.2">
      <c r="B110" s="40" t="s">
        <v>139</v>
      </c>
      <c r="C110" s="41"/>
      <c r="D110" s="65" t="s">
        <v>138</v>
      </c>
    </row>
    <row r="111" spans="1:7" ht="12.75" x14ac:dyDescent="0.2">
      <c r="B111" s="42" t="s">
        <v>140</v>
      </c>
      <c r="C111" s="41"/>
      <c r="D111" s="43"/>
    </row>
    <row r="112" spans="1:7" ht="25.5" customHeight="1" x14ac:dyDescent="0.2">
      <c r="B112" s="43"/>
      <c r="C112" s="33" t="s">
        <v>141</v>
      </c>
      <c r="D112" s="34" t="s">
        <v>142</v>
      </c>
    </row>
    <row r="113" spans="2:4" ht="12.75" customHeight="1" x14ac:dyDescent="0.2">
      <c r="B113" s="60" t="s">
        <v>143</v>
      </c>
      <c r="C113" s="61" t="s">
        <v>144</v>
      </c>
      <c r="D113" s="61" t="s">
        <v>145</v>
      </c>
    </row>
    <row r="114" spans="2:4" ht="12.75" x14ac:dyDescent="0.2">
      <c r="B114" s="43" t="s">
        <v>146</v>
      </c>
      <c r="C114" s="44">
        <v>12.4658</v>
      </c>
      <c r="D114" s="44">
        <v>12.8469</v>
      </c>
    </row>
    <row r="115" spans="2:4" ht="12.75" x14ac:dyDescent="0.2">
      <c r="B115" s="43" t="s">
        <v>147</v>
      </c>
      <c r="C115" s="44">
        <v>12.4657</v>
      </c>
      <c r="D115" s="44">
        <v>12.8468</v>
      </c>
    </row>
    <row r="116" spans="2:4" ht="12.75" x14ac:dyDescent="0.2">
      <c r="B116" s="43" t="s">
        <v>148</v>
      </c>
      <c r="C116" s="44">
        <v>12.1562</v>
      </c>
      <c r="D116" s="44">
        <v>12.5223</v>
      </c>
    </row>
    <row r="117" spans="2:4" ht="12.75" x14ac:dyDescent="0.2">
      <c r="B117" s="43" t="s">
        <v>149</v>
      </c>
      <c r="C117" s="44">
        <v>12.1562</v>
      </c>
      <c r="D117" s="44">
        <v>12.5223</v>
      </c>
    </row>
    <row r="119" spans="2:4" ht="12.75" x14ac:dyDescent="0.2">
      <c r="B119" s="62" t="s">
        <v>150</v>
      </c>
      <c r="C119" s="45"/>
      <c r="D119" s="63" t="s">
        <v>138</v>
      </c>
    </row>
    <row r="120" spans="2:4" ht="24.75" customHeight="1" x14ac:dyDescent="0.2">
      <c r="B120" s="64"/>
      <c r="C120" s="64"/>
    </row>
    <row r="121" spans="2:4" ht="15" x14ac:dyDescent="0.25">
      <c r="B121" s="66"/>
      <c r="C121" s="68"/>
      <c r="D121"/>
    </row>
    <row r="123" spans="2:4" ht="12.75" x14ac:dyDescent="0.2">
      <c r="B123" s="42" t="s">
        <v>151</v>
      </c>
      <c r="C123" s="41"/>
      <c r="D123" s="67" t="s">
        <v>138</v>
      </c>
    </row>
    <row r="124" spans="2:4" ht="12.75" x14ac:dyDescent="0.2">
      <c r="B124" s="42" t="s">
        <v>152</v>
      </c>
      <c r="C124" s="41"/>
      <c r="D124" s="67" t="s">
        <v>138</v>
      </c>
    </row>
    <row r="125" spans="2:4" ht="12.75" x14ac:dyDescent="0.2">
      <c r="B125" s="42" t="s">
        <v>153</v>
      </c>
      <c r="C125" s="41"/>
      <c r="D125" s="46">
        <v>0.36807358538496748</v>
      </c>
    </row>
    <row r="126" spans="2:4" ht="12.75" x14ac:dyDescent="0.2">
      <c r="B126" s="42" t="s">
        <v>154</v>
      </c>
      <c r="C126" s="41"/>
      <c r="D126" s="46" t="s">
        <v>138</v>
      </c>
    </row>
  </sheetData>
  <mergeCells count="5">
    <mergeCell ref="A1:G1"/>
    <mergeCell ref="A2:G2"/>
    <mergeCell ref="A3:G3"/>
    <mergeCell ref="B105:F105"/>
    <mergeCell ref="B106:F10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71"/>
  <sheetViews>
    <sheetView workbookViewId="0">
      <selection sqref="A1:G1"/>
    </sheetView>
  </sheetViews>
  <sheetFormatPr defaultRowHeight="15.95" customHeight="1" x14ac:dyDescent="0.2"/>
  <cols>
    <col min="1" max="1" width="5.7109375" style="70" customWidth="1"/>
    <col min="2" max="2" width="44.85546875" style="70" customWidth="1"/>
    <col min="3" max="3" width="25.7109375" style="70" customWidth="1"/>
    <col min="4" max="4" width="14.7109375" style="70" customWidth="1"/>
    <col min="5" max="10" width="13.7109375" style="70" customWidth="1"/>
    <col min="11" max="16384" width="9.140625" style="70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739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71"/>
      <c r="B5" s="72"/>
      <c r="C5" s="73" t="s">
        <v>9</v>
      </c>
      <c r="D5" s="74"/>
      <c r="E5" s="75"/>
      <c r="F5" s="76"/>
      <c r="G5" s="77"/>
    </row>
    <row r="6" spans="1:7" ht="28.5" customHeight="1" x14ac:dyDescent="0.2">
      <c r="A6" s="78"/>
      <c r="B6" s="79"/>
      <c r="C6" s="80" t="s">
        <v>10</v>
      </c>
      <c r="D6" s="81"/>
      <c r="E6" s="82"/>
      <c r="F6" s="83"/>
      <c r="G6" s="84"/>
    </row>
    <row r="7" spans="1:7" ht="12.75" x14ac:dyDescent="0.2">
      <c r="A7" s="78">
        <v>1</v>
      </c>
      <c r="B7" s="79" t="s">
        <v>36</v>
      </c>
      <c r="C7" s="85" t="s">
        <v>37</v>
      </c>
      <c r="D7" s="72" t="s">
        <v>16</v>
      </c>
      <c r="E7" s="75">
        <v>998121</v>
      </c>
      <c r="F7" s="76">
        <v>12280.381723500001</v>
      </c>
      <c r="G7" s="77">
        <v>6.7335534000000002E-2</v>
      </c>
    </row>
    <row r="8" spans="1:7" ht="25.5" x14ac:dyDescent="0.2">
      <c r="A8" s="78">
        <v>2</v>
      </c>
      <c r="B8" s="79" t="s">
        <v>31</v>
      </c>
      <c r="C8" s="85" t="s">
        <v>32</v>
      </c>
      <c r="D8" s="72" t="s">
        <v>33</v>
      </c>
      <c r="E8" s="75">
        <v>728153</v>
      </c>
      <c r="F8" s="76">
        <v>10662.7084555</v>
      </c>
      <c r="G8" s="77">
        <v>5.8465542000000002E-2</v>
      </c>
    </row>
    <row r="9" spans="1:7" ht="12.75" x14ac:dyDescent="0.2">
      <c r="A9" s="78">
        <v>3</v>
      </c>
      <c r="B9" s="79" t="s">
        <v>14</v>
      </c>
      <c r="C9" s="85" t="s">
        <v>15</v>
      </c>
      <c r="D9" s="72" t="s">
        <v>16</v>
      </c>
      <c r="E9" s="75">
        <v>2300000</v>
      </c>
      <c r="F9" s="76">
        <v>10650.15</v>
      </c>
      <c r="G9" s="77">
        <v>5.8396680999999999E-2</v>
      </c>
    </row>
    <row r="10" spans="1:7" ht="25.5" x14ac:dyDescent="0.2">
      <c r="A10" s="78">
        <v>4</v>
      </c>
      <c r="B10" s="79" t="s">
        <v>11</v>
      </c>
      <c r="C10" s="85" t="s">
        <v>12</v>
      </c>
      <c r="D10" s="72" t="s">
        <v>13</v>
      </c>
      <c r="E10" s="75">
        <v>501577</v>
      </c>
      <c r="F10" s="76">
        <v>7388.4799985</v>
      </c>
      <c r="G10" s="77">
        <v>4.0512359999999997E-2</v>
      </c>
    </row>
    <row r="11" spans="1:7" ht="12.75" x14ac:dyDescent="0.2">
      <c r="A11" s="78">
        <v>5</v>
      </c>
      <c r="B11" s="79" t="s">
        <v>408</v>
      </c>
      <c r="C11" s="85" t="s">
        <v>409</v>
      </c>
      <c r="D11" s="72" t="s">
        <v>16</v>
      </c>
      <c r="E11" s="75">
        <v>924047</v>
      </c>
      <c r="F11" s="76">
        <v>6804.2200844999998</v>
      </c>
      <c r="G11" s="77">
        <v>3.7308757999999997E-2</v>
      </c>
    </row>
    <row r="12" spans="1:7" ht="25.5" x14ac:dyDescent="0.2">
      <c r="A12" s="78">
        <v>6</v>
      </c>
      <c r="B12" s="79" t="s">
        <v>318</v>
      </c>
      <c r="C12" s="85" t="s">
        <v>319</v>
      </c>
      <c r="D12" s="72" t="s">
        <v>30</v>
      </c>
      <c r="E12" s="75">
        <v>809612</v>
      </c>
      <c r="F12" s="76">
        <v>5020.8088180000004</v>
      </c>
      <c r="G12" s="77">
        <v>2.7529995000000002E-2</v>
      </c>
    </row>
    <row r="13" spans="1:7" ht="25.5" x14ac:dyDescent="0.2">
      <c r="A13" s="78">
        <v>7</v>
      </c>
      <c r="B13" s="79" t="s">
        <v>432</v>
      </c>
      <c r="C13" s="85" t="s">
        <v>433</v>
      </c>
      <c r="D13" s="72" t="s">
        <v>72</v>
      </c>
      <c r="E13" s="75">
        <v>232995</v>
      </c>
      <c r="F13" s="76">
        <v>4967.220405</v>
      </c>
      <c r="G13" s="77">
        <v>2.7236159999999999E-2</v>
      </c>
    </row>
    <row r="14" spans="1:7" ht="25.5" x14ac:dyDescent="0.2">
      <c r="A14" s="78">
        <v>8</v>
      </c>
      <c r="B14" s="79" t="s">
        <v>424</v>
      </c>
      <c r="C14" s="85" t="s">
        <v>425</v>
      </c>
      <c r="D14" s="72" t="s">
        <v>30</v>
      </c>
      <c r="E14" s="75">
        <v>213914</v>
      </c>
      <c r="F14" s="76">
        <v>4653.3781989999998</v>
      </c>
      <c r="G14" s="77">
        <v>2.5515307000000001E-2</v>
      </c>
    </row>
    <row r="15" spans="1:7" ht="12.75" x14ac:dyDescent="0.2">
      <c r="A15" s="78">
        <v>9</v>
      </c>
      <c r="B15" s="79" t="s">
        <v>350</v>
      </c>
      <c r="C15" s="85" t="s">
        <v>351</v>
      </c>
      <c r="D15" s="72" t="s">
        <v>158</v>
      </c>
      <c r="E15" s="75">
        <v>527956</v>
      </c>
      <c r="F15" s="76">
        <v>4627.5343400000002</v>
      </c>
      <c r="G15" s="77">
        <v>2.53736E-2</v>
      </c>
    </row>
    <row r="16" spans="1:7" ht="12.75" x14ac:dyDescent="0.2">
      <c r="A16" s="78">
        <v>10</v>
      </c>
      <c r="B16" s="79" t="s">
        <v>496</v>
      </c>
      <c r="C16" s="85" t="s">
        <v>497</v>
      </c>
      <c r="D16" s="72" t="s">
        <v>16</v>
      </c>
      <c r="E16" s="75">
        <v>259378</v>
      </c>
      <c r="F16" s="76">
        <v>4083.90661</v>
      </c>
      <c r="G16" s="77">
        <v>2.2392792000000002E-2</v>
      </c>
    </row>
    <row r="17" spans="1:7" ht="25.5" x14ac:dyDescent="0.2">
      <c r="A17" s="78">
        <v>11</v>
      </c>
      <c r="B17" s="79" t="s">
        <v>404</v>
      </c>
      <c r="C17" s="85" t="s">
        <v>405</v>
      </c>
      <c r="D17" s="72" t="s">
        <v>72</v>
      </c>
      <c r="E17" s="75">
        <v>407607</v>
      </c>
      <c r="F17" s="76">
        <v>4041.423405</v>
      </c>
      <c r="G17" s="77">
        <v>2.2159848999999999E-2</v>
      </c>
    </row>
    <row r="18" spans="1:7" ht="25.5" x14ac:dyDescent="0.2">
      <c r="A18" s="78">
        <v>12</v>
      </c>
      <c r="B18" s="79" t="s">
        <v>70</v>
      </c>
      <c r="C18" s="85" t="s">
        <v>71</v>
      </c>
      <c r="D18" s="72" t="s">
        <v>72</v>
      </c>
      <c r="E18" s="75">
        <v>265781</v>
      </c>
      <c r="F18" s="76">
        <v>3568.9072679999999</v>
      </c>
      <c r="G18" s="77">
        <v>1.9568958000000001E-2</v>
      </c>
    </row>
    <row r="19" spans="1:7" ht="25.5" x14ac:dyDescent="0.2">
      <c r="A19" s="78">
        <v>13</v>
      </c>
      <c r="B19" s="79" t="s">
        <v>63</v>
      </c>
      <c r="C19" s="85" t="s">
        <v>64</v>
      </c>
      <c r="D19" s="72" t="s">
        <v>65</v>
      </c>
      <c r="E19" s="75">
        <v>895011</v>
      </c>
      <c r="F19" s="76">
        <v>3349.5786674999999</v>
      </c>
      <c r="G19" s="77">
        <v>1.8366339999999998E-2</v>
      </c>
    </row>
    <row r="20" spans="1:7" ht="12.75" x14ac:dyDescent="0.2">
      <c r="A20" s="78">
        <v>14</v>
      </c>
      <c r="B20" s="79" t="s">
        <v>299</v>
      </c>
      <c r="C20" s="85" t="s">
        <v>300</v>
      </c>
      <c r="D20" s="72" t="s">
        <v>223</v>
      </c>
      <c r="E20" s="75">
        <v>590455</v>
      </c>
      <c r="F20" s="76">
        <v>3198.1995075</v>
      </c>
      <c r="G20" s="77">
        <v>1.7536301000000001E-2</v>
      </c>
    </row>
    <row r="21" spans="1:7" ht="25.5" x14ac:dyDescent="0.2">
      <c r="A21" s="78">
        <v>15</v>
      </c>
      <c r="B21" s="79" t="s">
        <v>446</v>
      </c>
      <c r="C21" s="85" t="s">
        <v>447</v>
      </c>
      <c r="D21" s="72" t="s">
        <v>47</v>
      </c>
      <c r="E21" s="75">
        <v>410156</v>
      </c>
      <c r="F21" s="76">
        <v>2905.9552600000002</v>
      </c>
      <c r="G21" s="77">
        <v>1.5933874000000001E-2</v>
      </c>
    </row>
    <row r="22" spans="1:7" ht="12.75" x14ac:dyDescent="0.2">
      <c r="A22" s="78">
        <v>16</v>
      </c>
      <c r="B22" s="79" t="s">
        <v>336</v>
      </c>
      <c r="C22" s="85" t="s">
        <v>337</v>
      </c>
      <c r="D22" s="72" t="s">
        <v>197</v>
      </c>
      <c r="E22" s="75">
        <v>518825</v>
      </c>
      <c r="F22" s="76">
        <v>2691.6641</v>
      </c>
      <c r="G22" s="77">
        <v>1.4758877E-2</v>
      </c>
    </row>
    <row r="23" spans="1:7" ht="12.75" x14ac:dyDescent="0.2">
      <c r="A23" s="78">
        <v>17</v>
      </c>
      <c r="B23" s="79" t="s">
        <v>379</v>
      </c>
      <c r="C23" s="85" t="s">
        <v>380</v>
      </c>
      <c r="D23" s="72" t="s">
        <v>226</v>
      </c>
      <c r="E23" s="75">
        <v>142805</v>
      </c>
      <c r="F23" s="76">
        <v>2536.645215</v>
      </c>
      <c r="G23" s="77">
        <v>1.390888E-2</v>
      </c>
    </row>
    <row r="24" spans="1:7" ht="25.5" x14ac:dyDescent="0.2">
      <c r="A24" s="78">
        <v>18</v>
      </c>
      <c r="B24" s="79" t="s">
        <v>161</v>
      </c>
      <c r="C24" s="85" t="s">
        <v>162</v>
      </c>
      <c r="D24" s="72" t="s">
        <v>163</v>
      </c>
      <c r="E24" s="75">
        <v>669055</v>
      </c>
      <c r="F24" s="76">
        <v>2440.0435849999999</v>
      </c>
      <c r="G24" s="77">
        <v>1.3379195999999999E-2</v>
      </c>
    </row>
    <row r="25" spans="1:7" ht="25.5" x14ac:dyDescent="0.2">
      <c r="A25" s="78">
        <v>19</v>
      </c>
      <c r="B25" s="79" t="s">
        <v>422</v>
      </c>
      <c r="C25" s="85" t="s">
        <v>423</v>
      </c>
      <c r="D25" s="72" t="s">
        <v>30</v>
      </c>
      <c r="E25" s="75">
        <v>384758</v>
      </c>
      <c r="F25" s="76">
        <v>2404.5451210000001</v>
      </c>
      <c r="G25" s="77">
        <v>1.3184552E-2</v>
      </c>
    </row>
    <row r="26" spans="1:7" ht="25.5" x14ac:dyDescent="0.2">
      <c r="A26" s="78">
        <v>20</v>
      </c>
      <c r="B26" s="79" t="s">
        <v>418</v>
      </c>
      <c r="C26" s="85" t="s">
        <v>419</v>
      </c>
      <c r="D26" s="72" t="s">
        <v>30</v>
      </c>
      <c r="E26" s="75">
        <v>886593</v>
      </c>
      <c r="F26" s="76">
        <v>2284.3068644999998</v>
      </c>
      <c r="G26" s="77">
        <v>1.2525263999999999E-2</v>
      </c>
    </row>
    <row r="27" spans="1:7" ht="12.75" x14ac:dyDescent="0.2">
      <c r="A27" s="78">
        <v>21</v>
      </c>
      <c r="B27" s="79" t="s">
        <v>498</v>
      </c>
      <c r="C27" s="85" t="s">
        <v>499</v>
      </c>
      <c r="D27" s="72" t="s">
        <v>242</v>
      </c>
      <c r="E27" s="75">
        <v>332129</v>
      </c>
      <c r="F27" s="76">
        <v>2277.0764239999999</v>
      </c>
      <c r="G27" s="77">
        <v>1.2485618E-2</v>
      </c>
    </row>
    <row r="28" spans="1:7" ht="12.75" x14ac:dyDescent="0.2">
      <c r="A28" s="78">
        <v>22</v>
      </c>
      <c r="B28" s="79" t="s">
        <v>506</v>
      </c>
      <c r="C28" s="85" t="s">
        <v>507</v>
      </c>
      <c r="D28" s="72" t="s">
        <v>168</v>
      </c>
      <c r="E28" s="75">
        <v>1148365</v>
      </c>
      <c r="F28" s="76">
        <v>2217.4928150000001</v>
      </c>
      <c r="G28" s="77">
        <v>1.2158911E-2</v>
      </c>
    </row>
    <row r="29" spans="1:7" ht="25.5" x14ac:dyDescent="0.2">
      <c r="A29" s="78">
        <v>23</v>
      </c>
      <c r="B29" s="79" t="s">
        <v>310</v>
      </c>
      <c r="C29" s="85" t="s">
        <v>311</v>
      </c>
      <c r="D29" s="72" t="s">
        <v>223</v>
      </c>
      <c r="E29" s="75">
        <v>1028777</v>
      </c>
      <c r="F29" s="76">
        <v>2183.0647939999999</v>
      </c>
      <c r="G29" s="77">
        <v>1.1970135999999999E-2</v>
      </c>
    </row>
    <row r="30" spans="1:7" ht="12.75" x14ac:dyDescent="0.2">
      <c r="A30" s="78">
        <v>24</v>
      </c>
      <c r="B30" s="79" t="s">
        <v>420</v>
      </c>
      <c r="C30" s="85" t="s">
        <v>421</v>
      </c>
      <c r="D30" s="72" t="s">
        <v>72</v>
      </c>
      <c r="E30" s="75">
        <v>54110</v>
      </c>
      <c r="F30" s="76">
        <v>2179.3073049999998</v>
      </c>
      <c r="G30" s="77">
        <v>1.1949533E-2</v>
      </c>
    </row>
    <row r="31" spans="1:7" ht="25.5" x14ac:dyDescent="0.2">
      <c r="A31" s="78">
        <v>25</v>
      </c>
      <c r="B31" s="79" t="s">
        <v>450</v>
      </c>
      <c r="C31" s="85" t="s">
        <v>451</v>
      </c>
      <c r="D31" s="72" t="s">
        <v>47</v>
      </c>
      <c r="E31" s="75">
        <v>158449</v>
      </c>
      <c r="F31" s="76">
        <v>2109.2730879999999</v>
      </c>
      <c r="G31" s="77">
        <v>1.1565522E-2</v>
      </c>
    </row>
    <row r="32" spans="1:7" ht="25.5" x14ac:dyDescent="0.2">
      <c r="A32" s="78">
        <v>26</v>
      </c>
      <c r="B32" s="79" t="s">
        <v>406</v>
      </c>
      <c r="C32" s="85" t="s">
        <v>407</v>
      </c>
      <c r="D32" s="72" t="s">
        <v>47</v>
      </c>
      <c r="E32" s="75">
        <v>810391</v>
      </c>
      <c r="F32" s="76">
        <v>2017.0631989999999</v>
      </c>
      <c r="G32" s="77">
        <v>1.1059919E-2</v>
      </c>
    </row>
    <row r="33" spans="1:7" ht="25.5" x14ac:dyDescent="0.2">
      <c r="A33" s="78">
        <v>27</v>
      </c>
      <c r="B33" s="79" t="s">
        <v>740</v>
      </c>
      <c r="C33" s="85" t="s">
        <v>741</v>
      </c>
      <c r="D33" s="72" t="s">
        <v>22</v>
      </c>
      <c r="E33" s="75">
        <v>178588</v>
      </c>
      <c r="F33" s="76">
        <v>1994.738666</v>
      </c>
      <c r="G33" s="77">
        <v>1.0937509999999999E-2</v>
      </c>
    </row>
    <row r="34" spans="1:7" ht="12.75" x14ac:dyDescent="0.2">
      <c r="A34" s="78">
        <v>28</v>
      </c>
      <c r="B34" s="79" t="s">
        <v>500</v>
      </c>
      <c r="C34" s="85" t="s">
        <v>501</v>
      </c>
      <c r="D34" s="72" t="s">
        <v>40</v>
      </c>
      <c r="E34" s="75">
        <v>1492120</v>
      </c>
      <c r="F34" s="76">
        <v>1826.3548800000001</v>
      </c>
      <c r="G34" s="77">
        <v>1.0014231E-2</v>
      </c>
    </row>
    <row r="35" spans="1:7" ht="25.5" x14ac:dyDescent="0.2">
      <c r="A35" s="78">
        <v>29</v>
      </c>
      <c r="B35" s="79" t="s">
        <v>330</v>
      </c>
      <c r="C35" s="85" t="s">
        <v>331</v>
      </c>
      <c r="D35" s="72" t="s">
        <v>30</v>
      </c>
      <c r="E35" s="75">
        <v>14024</v>
      </c>
      <c r="F35" s="76">
        <v>1716.860152</v>
      </c>
      <c r="G35" s="77">
        <v>9.4138520000000003E-3</v>
      </c>
    </row>
    <row r="36" spans="1:7" ht="25.5" x14ac:dyDescent="0.2">
      <c r="A36" s="78">
        <v>30</v>
      </c>
      <c r="B36" s="79" t="s">
        <v>104</v>
      </c>
      <c r="C36" s="85" t="s">
        <v>105</v>
      </c>
      <c r="D36" s="72" t="s">
        <v>33</v>
      </c>
      <c r="E36" s="75">
        <v>295728</v>
      </c>
      <c r="F36" s="76">
        <v>1557.3036480000001</v>
      </c>
      <c r="G36" s="77">
        <v>8.5389750000000007E-3</v>
      </c>
    </row>
    <row r="37" spans="1:7" ht="12.75" x14ac:dyDescent="0.2">
      <c r="A37" s="78">
        <v>31</v>
      </c>
      <c r="B37" s="79" t="s">
        <v>91</v>
      </c>
      <c r="C37" s="85" t="s">
        <v>92</v>
      </c>
      <c r="D37" s="72" t="s">
        <v>19</v>
      </c>
      <c r="E37" s="75">
        <v>37258</v>
      </c>
      <c r="F37" s="76">
        <v>1543.673456</v>
      </c>
      <c r="G37" s="77">
        <v>8.4642380000000007E-3</v>
      </c>
    </row>
    <row r="38" spans="1:7" ht="51" x14ac:dyDescent="0.2">
      <c r="A38" s="78">
        <v>32</v>
      </c>
      <c r="B38" s="79" t="s">
        <v>328</v>
      </c>
      <c r="C38" s="85" t="s">
        <v>329</v>
      </c>
      <c r="D38" s="72" t="s">
        <v>208</v>
      </c>
      <c r="E38" s="75">
        <v>908886</v>
      </c>
      <c r="F38" s="76">
        <v>1522.838493</v>
      </c>
      <c r="G38" s="77">
        <v>8.3499960000000002E-3</v>
      </c>
    </row>
    <row r="39" spans="1:7" ht="25.5" x14ac:dyDescent="0.2">
      <c r="A39" s="78">
        <v>33</v>
      </c>
      <c r="B39" s="79" t="s">
        <v>324</v>
      </c>
      <c r="C39" s="85" t="s">
        <v>325</v>
      </c>
      <c r="D39" s="72" t="s">
        <v>22</v>
      </c>
      <c r="E39" s="75">
        <v>250921</v>
      </c>
      <c r="F39" s="76">
        <v>1364.8847794999999</v>
      </c>
      <c r="G39" s="77">
        <v>7.4839080000000001E-3</v>
      </c>
    </row>
    <row r="40" spans="1:7" ht="12.75" x14ac:dyDescent="0.2">
      <c r="A40" s="78">
        <v>34</v>
      </c>
      <c r="B40" s="79" t="s">
        <v>448</v>
      </c>
      <c r="C40" s="85" t="s">
        <v>449</v>
      </c>
      <c r="D40" s="72" t="s">
        <v>242</v>
      </c>
      <c r="E40" s="75">
        <v>56342</v>
      </c>
      <c r="F40" s="76">
        <v>1278.7662029999999</v>
      </c>
      <c r="G40" s="77">
        <v>7.0117039999999997E-3</v>
      </c>
    </row>
    <row r="41" spans="1:7" ht="51" x14ac:dyDescent="0.2">
      <c r="A41" s="78">
        <v>35</v>
      </c>
      <c r="B41" s="79" t="s">
        <v>206</v>
      </c>
      <c r="C41" s="85" t="s">
        <v>207</v>
      </c>
      <c r="D41" s="72" t="s">
        <v>208</v>
      </c>
      <c r="E41" s="75">
        <v>2024692</v>
      </c>
      <c r="F41" s="76">
        <v>1237.086812</v>
      </c>
      <c r="G41" s="77">
        <v>6.7831690000000004E-3</v>
      </c>
    </row>
    <row r="42" spans="1:7" ht="12.75" x14ac:dyDescent="0.2">
      <c r="A42" s="78">
        <v>36</v>
      </c>
      <c r="B42" s="79" t="s">
        <v>592</v>
      </c>
      <c r="C42" s="85" t="s">
        <v>593</v>
      </c>
      <c r="D42" s="72" t="s">
        <v>223</v>
      </c>
      <c r="E42" s="75">
        <v>58972</v>
      </c>
      <c r="F42" s="76">
        <v>1176.2849980000001</v>
      </c>
      <c r="G42" s="77">
        <v>6.4497809999999999E-3</v>
      </c>
    </row>
    <row r="43" spans="1:7" ht="12.75" x14ac:dyDescent="0.2">
      <c r="A43" s="78">
        <v>37</v>
      </c>
      <c r="B43" s="79" t="s">
        <v>508</v>
      </c>
      <c r="C43" s="85" t="s">
        <v>509</v>
      </c>
      <c r="D43" s="72" t="s">
        <v>168</v>
      </c>
      <c r="E43" s="75">
        <v>930000</v>
      </c>
      <c r="F43" s="76">
        <v>1143.4349999999999</v>
      </c>
      <c r="G43" s="77">
        <v>6.2696590000000003E-3</v>
      </c>
    </row>
    <row r="44" spans="1:7" ht="12.75" x14ac:dyDescent="0.2">
      <c r="A44" s="78">
        <v>38</v>
      </c>
      <c r="B44" s="79" t="s">
        <v>17</v>
      </c>
      <c r="C44" s="85" t="s">
        <v>18</v>
      </c>
      <c r="D44" s="72" t="s">
        <v>19</v>
      </c>
      <c r="E44" s="75">
        <v>142905</v>
      </c>
      <c r="F44" s="76">
        <v>1121.5184400000001</v>
      </c>
      <c r="G44" s="77">
        <v>6.1494870000000004E-3</v>
      </c>
    </row>
    <row r="45" spans="1:7" ht="25.5" x14ac:dyDescent="0.2">
      <c r="A45" s="78">
        <v>39</v>
      </c>
      <c r="B45" s="79" t="s">
        <v>742</v>
      </c>
      <c r="C45" s="85" t="s">
        <v>743</v>
      </c>
      <c r="D45" s="72" t="s">
        <v>22</v>
      </c>
      <c r="E45" s="75">
        <v>46829</v>
      </c>
      <c r="F45" s="76">
        <v>1023.3307225</v>
      </c>
      <c r="G45" s="77">
        <v>5.6111060000000003E-3</v>
      </c>
    </row>
    <row r="46" spans="1:7" ht="25.5" x14ac:dyDescent="0.2">
      <c r="A46" s="78">
        <v>40</v>
      </c>
      <c r="B46" s="79" t="s">
        <v>504</v>
      </c>
      <c r="C46" s="85" t="s">
        <v>505</v>
      </c>
      <c r="D46" s="72" t="s">
        <v>27</v>
      </c>
      <c r="E46" s="75">
        <v>61758</v>
      </c>
      <c r="F46" s="76">
        <v>900.802188</v>
      </c>
      <c r="G46" s="77">
        <v>4.93926E-3</v>
      </c>
    </row>
    <row r="47" spans="1:7" ht="12.75" x14ac:dyDescent="0.2">
      <c r="A47" s="78">
        <v>41</v>
      </c>
      <c r="B47" s="79" t="s">
        <v>744</v>
      </c>
      <c r="C47" s="85" t="s">
        <v>745</v>
      </c>
      <c r="D47" s="72" t="s">
        <v>307</v>
      </c>
      <c r="E47" s="75">
        <v>80000</v>
      </c>
      <c r="F47" s="76">
        <v>815.8</v>
      </c>
      <c r="G47" s="77">
        <v>4.4731780000000004E-3</v>
      </c>
    </row>
    <row r="48" spans="1:7" ht="25.5" x14ac:dyDescent="0.2">
      <c r="A48" s="78">
        <v>42</v>
      </c>
      <c r="B48" s="79" t="s">
        <v>354</v>
      </c>
      <c r="C48" s="85" t="s">
        <v>355</v>
      </c>
      <c r="D48" s="72" t="s">
        <v>356</v>
      </c>
      <c r="E48" s="75">
        <v>64800</v>
      </c>
      <c r="F48" s="76">
        <v>592.46640000000002</v>
      </c>
      <c r="G48" s="77">
        <v>3.248599E-3</v>
      </c>
    </row>
    <row r="49" spans="1:7" ht="25.5" x14ac:dyDescent="0.2">
      <c r="A49" s="78">
        <v>43</v>
      </c>
      <c r="B49" s="79" t="s">
        <v>312</v>
      </c>
      <c r="C49" s="85" t="s">
        <v>313</v>
      </c>
      <c r="D49" s="72" t="s">
        <v>22</v>
      </c>
      <c r="E49" s="75">
        <v>13262</v>
      </c>
      <c r="F49" s="76">
        <v>570.08696299999997</v>
      </c>
      <c r="G49" s="77">
        <v>3.1258890000000002E-3</v>
      </c>
    </row>
    <row r="50" spans="1:7" ht="25.5" x14ac:dyDescent="0.2">
      <c r="A50" s="78">
        <v>44</v>
      </c>
      <c r="B50" s="79" t="s">
        <v>53</v>
      </c>
      <c r="C50" s="85" t="s">
        <v>54</v>
      </c>
      <c r="D50" s="72" t="s">
        <v>22</v>
      </c>
      <c r="E50" s="75">
        <v>63214</v>
      </c>
      <c r="F50" s="76">
        <v>540.79576999999995</v>
      </c>
      <c r="G50" s="77">
        <v>2.9652799999999998E-3</v>
      </c>
    </row>
    <row r="51" spans="1:7" ht="12.75" x14ac:dyDescent="0.2">
      <c r="A51" s="78">
        <v>45</v>
      </c>
      <c r="B51" s="79" t="s">
        <v>594</v>
      </c>
      <c r="C51" s="85" t="s">
        <v>595</v>
      </c>
      <c r="D51" s="72" t="s">
        <v>16</v>
      </c>
      <c r="E51" s="75">
        <v>22244</v>
      </c>
      <c r="F51" s="76">
        <v>292.10820799999999</v>
      </c>
      <c r="G51" s="77">
        <v>1.6016820000000001E-3</v>
      </c>
    </row>
    <row r="52" spans="1:7" ht="51" x14ac:dyDescent="0.2">
      <c r="A52" s="78">
        <v>46</v>
      </c>
      <c r="B52" s="79" t="s">
        <v>491</v>
      </c>
      <c r="C52" s="85" t="s">
        <v>492</v>
      </c>
      <c r="D52" s="72" t="s">
        <v>208</v>
      </c>
      <c r="E52" s="75">
        <v>60579</v>
      </c>
      <c r="F52" s="76">
        <v>212.45055300000001</v>
      </c>
      <c r="G52" s="77">
        <v>1.164904E-3</v>
      </c>
    </row>
    <row r="53" spans="1:7" ht="25.5" x14ac:dyDescent="0.2">
      <c r="A53" s="78">
        <v>47</v>
      </c>
      <c r="B53" s="79" t="s">
        <v>444</v>
      </c>
      <c r="C53" s="85" t="s">
        <v>445</v>
      </c>
      <c r="D53" s="72" t="s">
        <v>27</v>
      </c>
      <c r="E53" s="75">
        <v>12507</v>
      </c>
      <c r="F53" s="76">
        <v>207.12842699999999</v>
      </c>
      <c r="G53" s="77">
        <v>1.135722E-3</v>
      </c>
    </row>
    <row r="54" spans="1:7" ht="12.75" x14ac:dyDescent="0.2">
      <c r="A54" s="78">
        <v>48</v>
      </c>
      <c r="B54" s="79" t="s">
        <v>393</v>
      </c>
      <c r="C54" s="85" t="s">
        <v>394</v>
      </c>
      <c r="D54" s="72" t="s">
        <v>158</v>
      </c>
      <c r="E54" s="75">
        <v>21526</v>
      </c>
      <c r="F54" s="76">
        <v>51.178064999999997</v>
      </c>
      <c r="G54" s="77">
        <v>2.8061900000000002E-4</v>
      </c>
    </row>
    <row r="55" spans="1:7" ht="12.75" x14ac:dyDescent="0.2">
      <c r="A55" s="71"/>
      <c r="B55" s="72"/>
      <c r="C55" s="80" t="s">
        <v>108</v>
      </c>
      <c r="D55" s="86"/>
      <c r="E55" s="87"/>
      <c r="F55" s="88">
        <v>136233.22807649997</v>
      </c>
      <c r="G55" s="89">
        <v>0.74699120799999985</v>
      </c>
    </row>
    <row r="56" spans="1:7" ht="12.75" x14ac:dyDescent="0.2">
      <c r="A56" s="78"/>
      <c r="B56" s="79"/>
      <c r="C56" s="90"/>
      <c r="D56" s="91"/>
      <c r="E56" s="75"/>
      <c r="F56" s="76"/>
      <c r="G56" s="77"/>
    </row>
    <row r="57" spans="1:7" ht="12.75" x14ac:dyDescent="0.2">
      <c r="A57" s="71"/>
      <c r="B57" s="72"/>
      <c r="C57" s="80" t="s">
        <v>109</v>
      </c>
      <c r="D57" s="81"/>
      <c r="E57" s="82"/>
      <c r="F57" s="83"/>
      <c r="G57" s="84"/>
    </row>
    <row r="58" spans="1:7" ht="12.75" x14ac:dyDescent="0.2">
      <c r="A58" s="71"/>
      <c r="B58" s="72"/>
      <c r="C58" s="80" t="s">
        <v>108</v>
      </c>
      <c r="D58" s="86"/>
      <c r="E58" s="87"/>
      <c r="F58" s="88">
        <v>0</v>
      </c>
      <c r="G58" s="89">
        <v>0</v>
      </c>
    </row>
    <row r="59" spans="1:7" ht="12.75" x14ac:dyDescent="0.2">
      <c r="A59" s="78"/>
      <c r="B59" s="79"/>
      <c r="C59" s="90"/>
      <c r="D59" s="91"/>
      <c r="E59" s="75"/>
      <c r="F59" s="76"/>
      <c r="G59" s="77"/>
    </row>
    <row r="60" spans="1:7" ht="12.75" x14ac:dyDescent="0.2">
      <c r="A60" s="92"/>
      <c r="B60" s="93"/>
      <c r="C60" s="80" t="s">
        <v>110</v>
      </c>
      <c r="D60" s="81"/>
      <c r="E60" s="82"/>
      <c r="F60" s="83"/>
      <c r="G60" s="84"/>
    </row>
    <row r="61" spans="1:7" ht="12.75" x14ac:dyDescent="0.2">
      <c r="A61" s="94"/>
      <c r="B61" s="95"/>
      <c r="C61" s="80" t="s">
        <v>108</v>
      </c>
      <c r="D61" s="96"/>
      <c r="E61" s="97"/>
      <c r="F61" s="98">
        <v>0</v>
      </c>
      <c r="G61" s="99">
        <v>0</v>
      </c>
    </row>
    <row r="62" spans="1:7" ht="12.75" x14ac:dyDescent="0.2">
      <c r="A62" s="94"/>
      <c r="B62" s="95"/>
      <c r="C62" s="90"/>
      <c r="D62" s="100"/>
      <c r="E62" s="101"/>
      <c r="F62" s="102"/>
      <c r="G62" s="103"/>
    </row>
    <row r="63" spans="1:7" ht="12.75" x14ac:dyDescent="0.2">
      <c r="A63" s="71"/>
      <c r="B63" s="72"/>
      <c r="C63" s="80" t="s">
        <v>113</v>
      </c>
      <c r="D63" s="81"/>
      <c r="E63" s="82"/>
      <c r="F63" s="83"/>
      <c r="G63" s="84"/>
    </row>
    <row r="64" spans="1:7" ht="12.75" x14ac:dyDescent="0.2">
      <c r="A64" s="71"/>
      <c r="B64" s="72"/>
      <c r="C64" s="80" t="s">
        <v>108</v>
      </c>
      <c r="D64" s="86"/>
      <c r="E64" s="87"/>
      <c r="F64" s="88">
        <v>0</v>
      </c>
      <c r="G64" s="89">
        <v>0</v>
      </c>
    </row>
    <row r="65" spans="1:7" ht="12.75" x14ac:dyDescent="0.2">
      <c r="A65" s="71"/>
      <c r="B65" s="72"/>
      <c r="C65" s="90"/>
      <c r="D65" s="74"/>
      <c r="E65" s="75"/>
      <c r="F65" s="76"/>
      <c r="G65" s="77"/>
    </row>
    <row r="66" spans="1:7" ht="12.75" x14ac:dyDescent="0.2">
      <c r="A66" s="71"/>
      <c r="B66" s="72"/>
      <c r="C66" s="80" t="s">
        <v>114</v>
      </c>
      <c r="D66" s="81"/>
      <c r="E66" s="82"/>
      <c r="F66" s="83"/>
      <c r="G66" s="84"/>
    </row>
    <row r="67" spans="1:7" ht="12.75" x14ac:dyDescent="0.2">
      <c r="A67" s="71"/>
      <c r="B67" s="72"/>
      <c r="C67" s="80" t="s">
        <v>108</v>
      </c>
      <c r="D67" s="86"/>
      <c r="E67" s="87"/>
      <c r="F67" s="88">
        <v>0</v>
      </c>
      <c r="G67" s="89">
        <v>0</v>
      </c>
    </row>
    <row r="68" spans="1:7" ht="12.75" x14ac:dyDescent="0.2">
      <c r="A68" s="71"/>
      <c r="B68" s="72"/>
      <c r="C68" s="90"/>
      <c r="D68" s="74"/>
      <c r="E68" s="75"/>
      <c r="F68" s="76"/>
      <c r="G68" s="77"/>
    </row>
    <row r="69" spans="1:7" ht="12.75" x14ac:dyDescent="0.2">
      <c r="A69" s="71"/>
      <c r="B69" s="72"/>
      <c r="C69" s="8" t="s">
        <v>746</v>
      </c>
      <c r="D69" s="81"/>
      <c r="E69" s="82"/>
      <c r="F69" s="83"/>
      <c r="G69" s="84"/>
    </row>
    <row r="70" spans="1:7" ht="12.75" x14ac:dyDescent="0.2">
      <c r="A70" s="71"/>
      <c r="B70" s="72"/>
      <c r="C70" s="80" t="s">
        <v>108</v>
      </c>
      <c r="D70" s="86"/>
      <c r="E70" s="87"/>
      <c r="F70" s="88">
        <v>0</v>
      </c>
      <c r="G70" s="89">
        <v>0</v>
      </c>
    </row>
    <row r="71" spans="1:7" ht="12.75" x14ac:dyDescent="0.2">
      <c r="A71" s="71"/>
      <c r="B71" s="72"/>
      <c r="C71" s="90"/>
      <c r="D71" s="74"/>
      <c r="E71" s="75"/>
      <c r="F71" s="76"/>
      <c r="G71" s="77"/>
    </row>
    <row r="72" spans="1:7" ht="25.5" x14ac:dyDescent="0.2">
      <c r="A72" s="78"/>
      <c r="B72" s="79"/>
      <c r="C72" s="104" t="s">
        <v>116</v>
      </c>
      <c r="D72" s="105"/>
      <c r="E72" s="87"/>
      <c r="F72" s="88">
        <v>136233.22807649997</v>
      </c>
      <c r="G72" s="89">
        <v>0.74699120799999985</v>
      </c>
    </row>
    <row r="73" spans="1:7" ht="12.75" x14ac:dyDescent="0.2">
      <c r="A73" s="71"/>
      <c r="B73" s="72"/>
      <c r="C73" s="85"/>
      <c r="D73" s="74"/>
      <c r="E73" s="75"/>
      <c r="F73" s="76"/>
      <c r="G73" s="77"/>
    </row>
    <row r="74" spans="1:7" ht="12.75" x14ac:dyDescent="0.2">
      <c r="A74" s="71"/>
      <c r="B74" s="72"/>
      <c r="C74" s="73" t="s">
        <v>117</v>
      </c>
      <c r="D74" s="74"/>
      <c r="E74" s="75"/>
      <c r="F74" s="76"/>
      <c r="G74" s="77"/>
    </row>
    <row r="75" spans="1:7" ht="25.5" x14ac:dyDescent="0.2">
      <c r="A75" s="71"/>
      <c r="B75" s="72"/>
      <c r="C75" s="80" t="s">
        <v>10</v>
      </c>
      <c r="D75" s="81"/>
      <c r="E75" s="82"/>
      <c r="F75" s="83"/>
      <c r="G75" s="84"/>
    </row>
    <row r="76" spans="1:7" ht="38.25" x14ac:dyDescent="0.2">
      <c r="A76" s="71">
        <v>1</v>
      </c>
      <c r="B76" s="72" t="s">
        <v>747</v>
      </c>
      <c r="C76" s="85" t="s">
        <v>748</v>
      </c>
      <c r="D76" s="74" t="s">
        <v>714</v>
      </c>
      <c r="E76" s="75">
        <v>250</v>
      </c>
      <c r="F76" s="76">
        <v>2582.0500000000002</v>
      </c>
      <c r="G76" s="77">
        <v>1.4157843E-2</v>
      </c>
    </row>
    <row r="77" spans="1:7" ht="25.5" x14ac:dyDescent="0.2">
      <c r="A77" s="71">
        <v>2</v>
      </c>
      <c r="B77" s="72" t="s">
        <v>749</v>
      </c>
      <c r="C77" s="85" t="s">
        <v>750</v>
      </c>
      <c r="D77" s="74" t="s">
        <v>751</v>
      </c>
      <c r="E77" s="75">
        <v>250</v>
      </c>
      <c r="F77" s="76">
        <v>2486.6325000000002</v>
      </c>
      <c r="G77" s="77">
        <v>1.3634652000000001E-2</v>
      </c>
    </row>
    <row r="78" spans="1:7" ht="25.5" x14ac:dyDescent="0.2">
      <c r="A78" s="71">
        <v>3</v>
      </c>
      <c r="B78" s="72" t="s">
        <v>752</v>
      </c>
      <c r="C78" s="85" t="s">
        <v>753</v>
      </c>
      <c r="D78" s="74" t="s">
        <v>751</v>
      </c>
      <c r="E78" s="75">
        <v>230</v>
      </c>
      <c r="F78" s="76">
        <v>2334.0169999999998</v>
      </c>
      <c r="G78" s="77">
        <v>1.2797833999999999E-2</v>
      </c>
    </row>
    <row r="79" spans="1:7" ht="38.25" x14ac:dyDescent="0.2">
      <c r="A79" s="71">
        <v>4</v>
      </c>
      <c r="B79" s="72" t="s">
        <v>712</v>
      </c>
      <c r="C79" s="85" t="s">
        <v>713</v>
      </c>
      <c r="D79" s="74" t="s">
        <v>714</v>
      </c>
      <c r="E79" s="75">
        <v>200</v>
      </c>
      <c r="F79" s="76">
        <v>2070.8780000000002</v>
      </c>
      <c r="G79" s="77">
        <v>1.1354995E-2</v>
      </c>
    </row>
    <row r="80" spans="1:7" ht="25.5" x14ac:dyDescent="0.2">
      <c r="A80" s="71">
        <v>5</v>
      </c>
      <c r="B80" s="72" t="s">
        <v>754</v>
      </c>
      <c r="C80" s="85" t="s">
        <v>755</v>
      </c>
      <c r="D80" s="74" t="s">
        <v>751</v>
      </c>
      <c r="E80" s="75">
        <v>200</v>
      </c>
      <c r="F80" s="76">
        <v>2007.164</v>
      </c>
      <c r="G80" s="77">
        <v>1.1005640000000001E-2</v>
      </c>
    </row>
    <row r="81" spans="1:7" ht="25.5" x14ac:dyDescent="0.2">
      <c r="A81" s="71">
        <v>6</v>
      </c>
      <c r="B81" s="72" t="s">
        <v>756</v>
      </c>
      <c r="C81" s="85" t="s">
        <v>757</v>
      </c>
      <c r="D81" s="74" t="s">
        <v>751</v>
      </c>
      <c r="E81" s="75">
        <v>200</v>
      </c>
      <c r="F81" s="76">
        <v>2003.048</v>
      </c>
      <c r="G81" s="77">
        <v>1.0983071E-2</v>
      </c>
    </row>
    <row r="82" spans="1:7" ht="25.5" x14ac:dyDescent="0.2">
      <c r="A82" s="71">
        <v>7</v>
      </c>
      <c r="B82" s="72" t="s">
        <v>758</v>
      </c>
      <c r="C82" s="85" t="s">
        <v>759</v>
      </c>
      <c r="D82" s="74" t="s">
        <v>751</v>
      </c>
      <c r="E82" s="75">
        <v>150</v>
      </c>
      <c r="F82" s="76">
        <v>1557.99</v>
      </c>
      <c r="G82" s="77">
        <v>8.5427379999999994E-3</v>
      </c>
    </row>
    <row r="83" spans="1:7" ht="25.5" x14ac:dyDescent="0.2">
      <c r="A83" s="71">
        <v>8</v>
      </c>
      <c r="B83" s="72" t="s">
        <v>760</v>
      </c>
      <c r="C83" s="85" t="s">
        <v>761</v>
      </c>
      <c r="D83" s="74" t="s">
        <v>762</v>
      </c>
      <c r="E83" s="75">
        <v>150</v>
      </c>
      <c r="F83" s="76">
        <v>1553.175</v>
      </c>
      <c r="G83" s="77">
        <v>8.5163370000000006E-3</v>
      </c>
    </row>
    <row r="84" spans="1:7" ht="25.5" x14ac:dyDescent="0.2">
      <c r="A84" s="71">
        <v>9</v>
      </c>
      <c r="B84" s="72" t="s">
        <v>763</v>
      </c>
      <c r="C84" s="85" t="s">
        <v>764</v>
      </c>
      <c r="D84" s="74" t="s">
        <v>751</v>
      </c>
      <c r="E84" s="75">
        <v>130</v>
      </c>
      <c r="F84" s="76">
        <v>1295.3304000000001</v>
      </c>
      <c r="G84" s="77">
        <v>7.1025289999999998E-3</v>
      </c>
    </row>
    <row r="85" spans="1:7" ht="38.25" x14ac:dyDescent="0.2">
      <c r="A85" s="71">
        <v>10</v>
      </c>
      <c r="B85" s="72" t="s">
        <v>765</v>
      </c>
      <c r="C85" s="85" t="s">
        <v>766</v>
      </c>
      <c r="D85" s="74" t="s">
        <v>584</v>
      </c>
      <c r="E85" s="75">
        <v>100</v>
      </c>
      <c r="F85" s="76">
        <v>1029.3579999999999</v>
      </c>
      <c r="G85" s="77">
        <v>5.6441540000000002E-3</v>
      </c>
    </row>
    <row r="86" spans="1:7" ht="25.5" x14ac:dyDescent="0.2">
      <c r="A86" s="71">
        <v>11</v>
      </c>
      <c r="B86" s="72" t="s">
        <v>767</v>
      </c>
      <c r="C86" s="85" t="s">
        <v>768</v>
      </c>
      <c r="D86" s="74" t="s">
        <v>584</v>
      </c>
      <c r="E86" s="75">
        <v>100</v>
      </c>
      <c r="F86" s="76">
        <v>1018.476</v>
      </c>
      <c r="G86" s="77">
        <v>5.5844859999999996E-3</v>
      </c>
    </row>
    <row r="87" spans="1:7" ht="38.25" x14ac:dyDescent="0.2">
      <c r="A87" s="71">
        <v>12</v>
      </c>
      <c r="B87" s="72" t="s">
        <v>769</v>
      </c>
      <c r="C87" s="85" t="s">
        <v>770</v>
      </c>
      <c r="D87" s="74" t="s">
        <v>584</v>
      </c>
      <c r="E87" s="75">
        <v>100</v>
      </c>
      <c r="F87" s="76">
        <v>1017.407</v>
      </c>
      <c r="G87" s="77">
        <v>5.5786250000000003E-3</v>
      </c>
    </row>
    <row r="88" spans="1:7" ht="25.5" x14ac:dyDescent="0.2">
      <c r="A88" s="71">
        <v>13</v>
      </c>
      <c r="B88" s="72" t="s">
        <v>771</v>
      </c>
      <c r="C88" s="85" t="s">
        <v>772</v>
      </c>
      <c r="D88" s="74" t="s">
        <v>584</v>
      </c>
      <c r="E88" s="75">
        <v>100</v>
      </c>
      <c r="F88" s="76">
        <v>1012.715</v>
      </c>
      <c r="G88" s="77">
        <v>5.5528979999999997E-3</v>
      </c>
    </row>
    <row r="89" spans="1:7" ht="25.5" x14ac:dyDescent="0.2">
      <c r="A89" s="71">
        <v>14</v>
      </c>
      <c r="B89" s="72" t="s">
        <v>773</v>
      </c>
      <c r="C89" s="85" t="s">
        <v>774</v>
      </c>
      <c r="D89" s="74" t="s">
        <v>775</v>
      </c>
      <c r="E89" s="75">
        <v>100</v>
      </c>
      <c r="F89" s="76">
        <v>1011.625</v>
      </c>
      <c r="G89" s="77">
        <v>5.5469209999999998E-3</v>
      </c>
    </row>
    <row r="90" spans="1:7" ht="38.25" x14ac:dyDescent="0.2">
      <c r="A90" s="71">
        <v>15</v>
      </c>
      <c r="B90" s="72" t="s">
        <v>776</v>
      </c>
      <c r="C90" s="85" t="s">
        <v>777</v>
      </c>
      <c r="D90" s="74" t="s">
        <v>584</v>
      </c>
      <c r="E90" s="75">
        <v>1000</v>
      </c>
      <c r="F90" s="76">
        <v>1002.249</v>
      </c>
      <c r="G90" s="77">
        <v>5.4955109999999998E-3</v>
      </c>
    </row>
    <row r="91" spans="1:7" ht="25.5" x14ac:dyDescent="0.2">
      <c r="A91" s="71">
        <v>16</v>
      </c>
      <c r="B91" s="72" t="s">
        <v>778</v>
      </c>
      <c r="C91" s="85" t="s">
        <v>779</v>
      </c>
      <c r="D91" s="74" t="s">
        <v>751</v>
      </c>
      <c r="E91" s="75">
        <v>100</v>
      </c>
      <c r="F91" s="76">
        <v>995.51900000000001</v>
      </c>
      <c r="G91" s="77">
        <v>5.4586089999999997E-3</v>
      </c>
    </row>
    <row r="92" spans="1:7" ht="25.5" x14ac:dyDescent="0.2">
      <c r="A92" s="71">
        <v>17</v>
      </c>
      <c r="B92" s="72" t="s">
        <v>780</v>
      </c>
      <c r="C92" s="85" t="s">
        <v>781</v>
      </c>
      <c r="D92" s="74" t="s">
        <v>782</v>
      </c>
      <c r="E92" s="75">
        <v>83</v>
      </c>
      <c r="F92" s="76">
        <v>687.32383000000004</v>
      </c>
      <c r="G92" s="77">
        <v>3.7687200000000001E-3</v>
      </c>
    </row>
    <row r="93" spans="1:7" ht="25.5" x14ac:dyDescent="0.2">
      <c r="A93" s="71">
        <v>18</v>
      </c>
      <c r="B93" s="72" t="s">
        <v>783</v>
      </c>
      <c r="C93" s="85" t="s">
        <v>784</v>
      </c>
      <c r="D93" s="74" t="s">
        <v>584</v>
      </c>
      <c r="E93" s="75">
        <v>50</v>
      </c>
      <c r="F93" s="76">
        <v>526.86149999999998</v>
      </c>
      <c r="G93" s="77">
        <v>2.8888759999999999E-3</v>
      </c>
    </row>
    <row r="94" spans="1:7" ht="25.5" x14ac:dyDescent="0.2">
      <c r="A94" s="71">
        <v>19</v>
      </c>
      <c r="B94" s="72" t="s">
        <v>785</v>
      </c>
      <c r="C94" s="85" t="s">
        <v>786</v>
      </c>
      <c r="D94" s="74" t="s">
        <v>584</v>
      </c>
      <c r="E94" s="75">
        <v>20</v>
      </c>
      <c r="F94" s="76">
        <v>202.5814</v>
      </c>
      <c r="G94" s="77">
        <v>1.11079E-3</v>
      </c>
    </row>
    <row r="95" spans="1:7" ht="25.5" x14ac:dyDescent="0.2">
      <c r="A95" s="71">
        <v>20</v>
      </c>
      <c r="B95" s="72" t="s">
        <v>787</v>
      </c>
      <c r="C95" s="85" t="s">
        <v>788</v>
      </c>
      <c r="D95" s="74" t="s">
        <v>789</v>
      </c>
      <c r="E95" s="75">
        <v>20</v>
      </c>
      <c r="F95" s="76">
        <v>189.29499999999999</v>
      </c>
      <c r="G95" s="77">
        <v>1.037938E-3</v>
      </c>
    </row>
    <row r="96" spans="1:7" ht="12.75" x14ac:dyDescent="0.2">
      <c r="A96" s="78"/>
      <c r="B96" s="79"/>
      <c r="C96" s="80" t="s">
        <v>108</v>
      </c>
      <c r="D96" s="86"/>
      <c r="E96" s="87"/>
      <c r="F96" s="88">
        <v>26583.695629999998</v>
      </c>
      <c r="G96" s="89">
        <v>0.145763167</v>
      </c>
    </row>
    <row r="97" spans="1:7" ht="12.75" x14ac:dyDescent="0.2">
      <c r="A97" s="78"/>
      <c r="B97" s="79"/>
      <c r="C97" s="90"/>
      <c r="D97" s="74"/>
      <c r="E97" s="75"/>
      <c r="F97" s="76"/>
      <c r="G97" s="77"/>
    </row>
    <row r="98" spans="1:7" ht="12.75" x14ac:dyDescent="0.2">
      <c r="A98" s="71"/>
      <c r="B98" s="106"/>
      <c r="C98" s="80" t="s">
        <v>118</v>
      </c>
      <c r="D98" s="81"/>
      <c r="E98" s="82"/>
      <c r="F98" s="83"/>
      <c r="G98" s="84"/>
    </row>
    <row r="99" spans="1:7" ht="25.5" x14ac:dyDescent="0.2">
      <c r="A99" s="71">
        <v>1</v>
      </c>
      <c r="B99" s="106" t="s">
        <v>790</v>
      </c>
      <c r="C99" s="85" t="s">
        <v>791</v>
      </c>
      <c r="D99" s="106" t="s">
        <v>792</v>
      </c>
      <c r="E99" s="107">
        <v>250</v>
      </c>
      <c r="F99" s="108">
        <v>3144</v>
      </c>
      <c r="G99" s="109">
        <v>1.7239115999999999E-2</v>
      </c>
    </row>
    <row r="100" spans="1:7" ht="25.5" x14ac:dyDescent="0.2">
      <c r="A100" s="71">
        <v>2</v>
      </c>
      <c r="B100" s="106" t="s">
        <v>793</v>
      </c>
      <c r="C100" s="85" t="s">
        <v>794</v>
      </c>
      <c r="D100" s="106" t="s">
        <v>584</v>
      </c>
      <c r="E100" s="107">
        <v>50</v>
      </c>
      <c r="F100" s="108">
        <v>511.00400000000002</v>
      </c>
      <c r="G100" s="109">
        <v>2.8019270000000001E-3</v>
      </c>
    </row>
    <row r="101" spans="1:7" ht="12.75" x14ac:dyDescent="0.2">
      <c r="A101" s="78"/>
      <c r="B101" s="79"/>
      <c r="C101" s="80" t="s">
        <v>108</v>
      </c>
      <c r="D101" s="86"/>
      <c r="E101" s="87"/>
      <c r="F101" s="88">
        <v>3655.0039999999999</v>
      </c>
      <c r="G101" s="89">
        <v>2.0041042999999998E-2</v>
      </c>
    </row>
    <row r="102" spans="1:7" ht="12.75" x14ac:dyDescent="0.2">
      <c r="A102" s="78"/>
      <c r="B102" s="79"/>
      <c r="C102" s="90"/>
      <c r="D102" s="74"/>
      <c r="E102" s="75"/>
      <c r="F102" s="110"/>
      <c r="G102" s="111"/>
    </row>
    <row r="103" spans="1:7" ht="12.75" x14ac:dyDescent="0.2">
      <c r="A103" s="71"/>
      <c r="B103" s="72"/>
      <c r="C103" s="80" t="s">
        <v>119</v>
      </c>
      <c r="D103" s="81"/>
      <c r="E103" s="82"/>
      <c r="F103" s="83"/>
      <c r="G103" s="84"/>
    </row>
    <row r="104" spans="1:7" ht="25.5" x14ac:dyDescent="0.2">
      <c r="A104" s="71">
        <v>1</v>
      </c>
      <c r="B104" s="72" t="s">
        <v>795</v>
      </c>
      <c r="C104" s="85" t="s">
        <v>796</v>
      </c>
      <c r="D104" s="72" t="s">
        <v>797</v>
      </c>
      <c r="E104" s="75">
        <v>6500000</v>
      </c>
      <c r="F104" s="110">
        <v>6769.75</v>
      </c>
      <c r="G104" s="111">
        <v>3.7119752999999998E-2</v>
      </c>
    </row>
    <row r="105" spans="1:7" ht="25.5" x14ac:dyDescent="0.2">
      <c r="A105" s="71">
        <v>2</v>
      </c>
      <c r="B105" s="72" t="s">
        <v>798</v>
      </c>
      <c r="C105" s="85" t="s">
        <v>799</v>
      </c>
      <c r="D105" s="72" t="s">
        <v>797</v>
      </c>
      <c r="E105" s="75">
        <v>4000000</v>
      </c>
      <c r="F105" s="110">
        <v>4201.2</v>
      </c>
      <c r="G105" s="111">
        <v>2.3035933000000001E-2</v>
      </c>
    </row>
    <row r="106" spans="1:7" ht="25.5" x14ac:dyDescent="0.2">
      <c r="A106" s="71">
        <v>3</v>
      </c>
      <c r="B106" s="72" t="s">
        <v>800</v>
      </c>
      <c r="C106" s="85" t="s">
        <v>801</v>
      </c>
      <c r="D106" s="72" t="s">
        <v>797</v>
      </c>
      <c r="E106" s="75">
        <v>500000</v>
      </c>
      <c r="F106" s="110">
        <v>499.91250000000002</v>
      </c>
      <c r="G106" s="111">
        <v>2.7411100000000002E-3</v>
      </c>
    </row>
    <row r="107" spans="1:7" ht="25.5" x14ac:dyDescent="0.2">
      <c r="A107" s="71">
        <v>4</v>
      </c>
      <c r="B107" s="72" t="s">
        <v>802</v>
      </c>
      <c r="C107" s="85" t="s">
        <v>803</v>
      </c>
      <c r="D107" s="72" t="s">
        <v>797</v>
      </c>
      <c r="E107" s="75">
        <v>26100</v>
      </c>
      <c r="F107" s="110">
        <v>26.148285000000001</v>
      </c>
      <c r="G107" s="111">
        <v>1.4337599999999999E-4</v>
      </c>
    </row>
    <row r="108" spans="1:7" ht="12.75" x14ac:dyDescent="0.2">
      <c r="A108" s="78"/>
      <c r="B108" s="79"/>
      <c r="C108" s="80" t="s">
        <v>108</v>
      </c>
      <c r="D108" s="86"/>
      <c r="E108" s="87"/>
      <c r="F108" s="88">
        <v>11497.010785</v>
      </c>
      <c r="G108" s="89">
        <v>6.3040172000000005E-2</v>
      </c>
    </row>
    <row r="109" spans="1:7" ht="12.75" x14ac:dyDescent="0.2">
      <c r="A109" s="71"/>
      <c r="B109" s="72"/>
      <c r="C109" s="90"/>
      <c r="D109" s="74"/>
      <c r="E109" s="75"/>
      <c r="F109" s="76"/>
      <c r="G109" s="77"/>
    </row>
    <row r="110" spans="1:7" ht="25.5" x14ac:dyDescent="0.2">
      <c r="A110" s="71"/>
      <c r="B110" s="106"/>
      <c r="C110" s="80" t="s">
        <v>120</v>
      </c>
      <c r="D110" s="81"/>
      <c r="E110" s="82"/>
      <c r="F110" s="83"/>
      <c r="G110" s="84"/>
    </row>
    <row r="111" spans="1:7" ht="12.75" x14ac:dyDescent="0.2">
      <c r="A111" s="78"/>
      <c r="B111" s="79"/>
      <c r="C111" s="80" t="s">
        <v>108</v>
      </c>
      <c r="D111" s="86"/>
      <c r="E111" s="87"/>
      <c r="F111" s="88">
        <v>0</v>
      </c>
      <c r="G111" s="89">
        <v>0</v>
      </c>
    </row>
    <row r="112" spans="1:7" ht="12.75" x14ac:dyDescent="0.2">
      <c r="A112" s="78"/>
      <c r="B112" s="79"/>
      <c r="C112" s="90"/>
      <c r="D112" s="74"/>
      <c r="E112" s="75"/>
      <c r="F112" s="76"/>
      <c r="G112" s="77"/>
    </row>
    <row r="113" spans="1:7" ht="12.75" x14ac:dyDescent="0.2">
      <c r="A113" s="78"/>
      <c r="B113" s="79"/>
      <c r="C113" s="112" t="s">
        <v>121</v>
      </c>
      <c r="D113" s="105"/>
      <c r="E113" s="87"/>
      <c r="F113" s="88">
        <v>41735.710415000001</v>
      </c>
      <c r="G113" s="89">
        <v>0.22884438200000001</v>
      </c>
    </row>
    <row r="114" spans="1:7" ht="12.75" x14ac:dyDescent="0.2">
      <c r="A114" s="78"/>
      <c r="B114" s="79"/>
      <c r="C114" s="85"/>
      <c r="D114" s="74"/>
      <c r="E114" s="75"/>
      <c r="F114" s="76"/>
      <c r="G114" s="77"/>
    </row>
    <row r="115" spans="1:7" ht="12.75" x14ac:dyDescent="0.2">
      <c r="A115" s="71"/>
      <c r="B115" s="72"/>
      <c r="C115" s="73" t="s">
        <v>122</v>
      </c>
      <c r="D115" s="74"/>
      <c r="E115" s="75"/>
      <c r="F115" s="76"/>
      <c r="G115" s="77"/>
    </row>
    <row r="116" spans="1:7" ht="12.75" x14ac:dyDescent="0.2">
      <c r="A116" s="78"/>
      <c r="B116" s="79"/>
      <c r="C116" s="80" t="s">
        <v>123</v>
      </c>
      <c r="D116" s="81"/>
      <c r="E116" s="82"/>
      <c r="F116" s="83"/>
      <c r="G116" s="84"/>
    </row>
    <row r="117" spans="1:7" ht="12.75" x14ac:dyDescent="0.2">
      <c r="A117" s="78"/>
      <c r="B117" s="79"/>
      <c r="C117" s="80" t="s">
        <v>108</v>
      </c>
      <c r="D117" s="105"/>
      <c r="E117" s="87"/>
      <c r="F117" s="88">
        <v>0</v>
      </c>
      <c r="G117" s="89">
        <v>0</v>
      </c>
    </row>
    <row r="118" spans="1:7" ht="12.75" x14ac:dyDescent="0.2">
      <c r="A118" s="78"/>
      <c r="B118" s="79"/>
      <c r="C118" s="90"/>
      <c r="D118" s="79"/>
      <c r="E118" s="75"/>
      <c r="F118" s="76"/>
      <c r="G118" s="77"/>
    </row>
    <row r="119" spans="1:7" ht="12.75" x14ac:dyDescent="0.2">
      <c r="A119" s="78"/>
      <c r="B119" s="79"/>
      <c r="C119" s="80" t="s">
        <v>124</v>
      </c>
      <c r="D119" s="81"/>
      <c r="E119" s="82"/>
      <c r="F119" s="83"/>
      <c r="G119" s="84"/>
    </row>
    <row r="120" spans="1:7" ht="12.75" x14ac:dyDescent="0.2">
      <c r="A120" s="78"/>
      <c r="B120" s="79"/>
      <c r="C120" s="80" t="s">
        <v>108</v>
      </c>
      <c r="D120" s="105"/>
      <c r="E120" s="87"/>
      <c r="F120" s="88">
        <v>0</v>
      </c>
      <c r="G120" s="89">
        <v>0</v>
      </c>
    </row>
    <row r="121" spans="1:7" ht="12.75" x14ac:dyDescent="0.2">
      <c r="A121" s="78"/>
      <c r="B121" s="79"/>
      <c r="C121" s="90"/>
      <c r="D121" s="79"/>
      <c r="E121" s="75"/>
      <c r="F121" s="76"/>
      <c r="G121" s="77"/>
    </row>
    <row r="122" spans="1:7" ht="12.75" x14ac:dyDescent="0.2">
      <c r="A122" s="78"/>
      <c r="B122" s="79"/>
      <c r="C122" s="80" t="s">
        <v>125</v>
      </c>
      <c r="D122" s="81"/>
      <c r="E122" s="82"/>
      <c r="F122" s="83"/>
      <c r="G122" s="84"/>
    </row>
    <row r="123" spans="1:7" ht="12.75" x14ac:dyDescent="0.2">
      <c r="A123" s="78"/>
      <c r="B123" s="79"/>
      <c r="C123" s="80" t="s">
        <v>108</v>
      </c>
      <c r="D123" s="105"/>
      <c r="E123" s="87"/>
      <c r="F123" s="88">
        <v>0</v>
      </c>
      <c r="G123" s="89">
        <v>0</v>
      </c>
    </row>
    <row r="124" spans="1:7" ht="12.75" x14ac:dyDescent="0.2">
      <c r="A124" s="78"/>
      <c r="B124" s="79"/>
      <c r="C124" s="90"/>
      <c r="D124" s="79"/>
      <c r="E124" s="75"/>
      <c r="F124" s="76"/>
      <c r="G124" s="77"/>
    </row>
    <row r="125" spans="1:7" ht="12.75" x14ac:dyDescent="0.2">
      <c r="A125" s="78"/>
      <c r="B125" s="79"/>
      <c r="C125" s="80" t="s">
        <v>126</v>
      </c>
      <c r="D125" s="81"/>
      <c r="E125" s="82"/>
      <c r="F125" s="83"/>
      <c r="G125" s="84"/>
    </row>
    <row r="126" spans="1:7" ht="12.75" x14ac:dyDescent="0.2">
      <c r="A126" s="78">
        <v>1</v>
      </c>
      <c r="B126" s="79"/>
      <c r="C126" s="85" t="s">
        <v>812</v>
      </c>
      <c r="D126" s="91"/>
      <c r="E126" s="75"/>
      <c r="F126" s="76">
        <v>925.87824030000002</v>
      </c>
      <c r="G126" s="77">
        <v>5.076756E-3</v>
      </c>
    </row>
    <row r="127" spans="1:7" ht="12.75" x14ac:dyDescent="0.2">
      <c r="A127" s="78"/>
      <c r="B127" s="79"/>
      <c r="C127" s="80" t="s">
        <v>108</v>
      </c>
      <c r="D127" s="105"/>
      <c r="E127" s="87"/>
      <c r="F127" s="88">
        <v>925.87824030000002</v>
      </c>
      <c r="G127" s="89">
        <v>5.076756E-3</v>
      </c>
    </row>
    <row r="128" spans="1:7" ht="12.75" x14ac:dyDescent="0.2">
      <c r="A128" s="78"/>
      <c r="B128" s="79"/>
      <c r="C128" s="90"/>
      <c r="D128" s="79"/>
      <c r="E128" s="75"/>
      <c r="F128" s="76"/>
      <c r="G128" s="77"/>
    </row>
    <row r="129" spans="1:8" ht="25.5" x14ac:dyDescent="0.2">
      <c r="A129" s="78"/>
      <c r="B129" s="79"/>
      <c r="C129" s="104" t="s">
        <v>127</v>
      </c>
      <c r="D129" s="105"/>
      <c r="E129" s="87"/>
      <c r="F129" s="88">
        <v>925.87824030000002</v>
      </c>
      <c r="G129" s="89">
        <v>5.076756E-3</v>
      </c>
    </row>
    <row r="130" spans="1:8" ht="12.75" x14ac:dyDescent="0.2">
      <c r="A130" s="78"/>
      <c r="B130" s="79"/>
      <c r="C130" s="113"/>
      <c r="D130" s="79"/>
      <c r="E130" s="75"/>
      <c r="F130" s="76"/>
      <c r="G130" s="77"/>
    </row>
    <row r="131" spans="1:8" ht="12.75" x14ac:dyDescent="0.2">
      <c r="A131" s="71"/>
      <c r="B131" s="72"/>
      <c r="C131" s="73" t="s">
        <v>128</v>
      </c>
      <c r="D131" s="74"/>
      <c r="E131" s="75"/>
      <c r="F131" s="76"/>
      <c r="G131" s="77"/>
    </row>
    <row r="132" spans="1:8" ht="25.5" x14ac:dyDescent="0.2">
      <c r="A132" s="78"/>
      <c r="B132" s="79"/>
      <c r="C132" s="80" t="s">
        <v>129</v>
      </c>
      <c r="D132" s="81"/>
      <c r="E132" s="82"/>
      <c r="F132" s="83"/>
      <c r="G132" s="84"/>
    </row>
    <row r="133" spans="1:8" ht="25.5" x14ac:dyDescent="0.2">
      <c r="A133" s="78">
        <v>1</v>
      </c>
      <c r="B133" s="79" t="s">
        <v>130</v>
      </c>
      <c r="C133" s="85" t="s">
        <v>839</v>
      </c>
      <c r="D133" s="91"/>
      <c r="E133" s="75">
        <v>240000.73</v>
      </c>
      <c r="F133" s="76">
        <v>2500.328085141</v>
      </c>
      <c r="G133" s="77">
        <v>1.3709747E-2</v>
      </c>
    </row>
    <row r="134" spans="1:8" ht="12.75" x14ac:dyDescent="0.2">
      <c r="A134" s="78"/>
      <c r="B134" s="79"/>
      <c r="C134" s="80" t="s">
        <v>108</v>
      </c>
      <c r="D134" s="105"/>
      <c r="E134" s="87"/>
      <c r="F134" s="88">
        <v>2500.328085141</v>
      </c>
      <c r="G134" s="89">
        <v>1.3709747E-2</v>
      </c>
    </row>
    <row r="135" spans="1:8" ht="12.75" x14ac:dyDescent="0.2">
      <c r="A135" s="78"/>
      <c r="B135" s="79"/>
      <c r="C135" s="90"/>
      <c r="D135" s="79"/>
      <c r="E135" s="75"/>
      <c r="F135" s="76"/>
      <c r="G135" s="77"/>
    </row>
    <row r="136" spans="1:8" ht="12.75" x14ac:dyDescent="0.2">
      <c r="A136" s="71"/>
      <c r="B136" s="72"/>
      <c r="C136" s="73" t="s">
        <v>131</v>
      </c>
      <c r="D136" s="74"/>
      <c r="E136" s="75"/>
      <c r="F136" s="76"/>
      <c r="G136" s="77"/>
    </row>
    <row r="137" spans="1:8" ht="25.5" x14ac:dyDescent="0.2">
      <c r="A137" s="78"/>
      <c r="B137" s="79"/>
      <c r="C137" s="80" t="s">
        <v>132</v>
      </c>
      <c r="D137" s="81"/>
      <c r="E137" s="82"/>
      <c r="F137" s="83"/>
      <c r="G137" s="84"/>
    </row>
    <row r="138" spans="1:8" ht="12.75" x14ac:dyDescent="0.2">
      <c r="A138" s="78"/>
      <c r="B138" s="79"/>
      <c r="C138" s="80" t="s">
        <v>108</v>
      </c>
      <c r="D138" s="105"/>
      <c r="E138" s="87"/>
      <c r="F138" s="88">
        <v>0</v>
      </c>
      <c r="G138" s="89">
        <v>0</v>
      </c>
    </row>
    <row r="139" spans="1:8" ht="12.75" x14ac:dyDescent="0.2">
      <c r="A139" s="78"/>
      <c r="B139" s="79"/>
      <c r="C139" s="90"/>
      <c r="D139" s="79"/>
      <c r="E139" s="75"/>
      <c r="F139" s="76"/>
      <c r="G139" s="77"/>
    </row>
    <row r="140" spans="1:8" ht="25.5" x14ac:dyDescent="0.2">
      <c r="A140" s="78"/>
      <c r="B140" s="79"/>
      <c r="C140" s="80" t="s">
        <v>133</v>
      </c>
      <c r="D140" s="81"/>
      <c r="E140" s="82"/>
      <c r="F140" s="83"/>
      <c r="G140" s="84"/>
    </row>
    <row r="141" spans="1:8" ht="12.75" x14ac:dyDescent="0.2">
      <c r="A141" s="78"/>
      <c r="B141" s="79"/>
      <c r="C141" s="80" t="s">
        <v>108</v>
      </c>
      <c r="D141" s="105"/>
      <c r="E141" s="87"/>
      <c r="F141" s="88">
        <v>0</v>
      </c>
      <c r="G141" s="89">
        <v>0</v>
      </c>
    </row>
    <row r="142" spans="1:8" ht="12.75" x14ac:dyDescent="0.2">
      <c r="A142" s="78"/>
      <c r="B142" s="79"/>
      <c r="C142" s="90"/>
      <c r="D142" s="79"/>
      <c r="E142" s="75"/>
      <c r="F142" s="110"/>
      <c r="G142" s="111"/>
      <c r="H142" s="175"/>
    </row>
    <row r="143" spans="1:8" ht="25.5" x14ac:dyDescent="0.2">
      <c r="A143" s="78"/>
      <c r="B143" s="79"/>
      <c r="C143" s="113" t="s">
        <v>815</v>
      </c>
      <c r="D143" s="79"/>
      <c r="E143" s="75"/>
      <c r="F143" s="110">
        <v>980.80120093999994</v>
      </c>
      <c r="G143" s="111">
        <v>5.3779090000000002E-3</v>
      </c>
      <c r="H143" s="166"/>
    </row>
    <row r="144" spans="1:8" ht="12.75" x14ac:dyDescent="0.2">
      <c r="A144" s="78"/>
      <c r="B144" s="79"/>
      <c r="C144" s="114" t="s">
        <v>135</v>
      </c>
      <c r="D144" s="86"/>
      <c r="E144" s="87"/>
      <c r="F144" s="88">
        <v>182375.94601788089</v>
      </c>
      <c r="G144" s="89">
        <v>1.0000000019999999</v>
      </c>
    </row>
    <row r="146" spans="2:6" ht="12.75" x14ac:dyDescent="0.2">
      <c r="B146" s="180" t="s">
        <v>813</v>
      </c>
      <c r="C146" s="180"/>
      <c r="D146" s="180"/>
      <c r="E146" s="180"/>
      <c r="F146" s="180"/>
    </row>
    <row r="147" spans="2:6" ht="12.75" x14ac:dyDescent="0.2">
      <c r="B147" s="180" t="s">
        <v>814</v>
      </c>
      <c r="C147" s="180"/>
      <c r="D147" s="180"/>
      <c r="E147" s="180"/>
      <c r="F147" s="180"/>
    </row>
    <row r="149" spans="2:6" ht="12.75" x14ac:dyDescent="0.2">
      <c r="B149" s="115" t="s">
        <v>137</v>
      </c>
      <c r="C149" s="116"/>
      <c r="D149" s="117"/>
    </row>
    <row r="150" spans="2:6" ht="12.75" x14ac:dyDescent="0.2">
      <c r="B150" s="40" t="s">
        <v>808</v>
      </c>
      <c r="C150" s="118"/>
      <c r="D150" s="119" t="s">
        <v>138</v>
      </c>
    </row>
    <row r="151" spans="2:6" ht="12.75" x14ac:dyDescent="0.2">
      <c r="B151" s="40" t="s">
        <v>139</v>
      </c>
      <c r="C151" s="118"/>
      <c r="D151" s="119" t="s">
        <v>138</v>
      </c>
    </row>
    <row r="152" spans="2:6" ht="12.75" x14ac:dyDescent="0.2">
      <c r="B152" s="40" t="s">
        <v>140</v>
      </c>
      <c r="C152" s="118"/>
      <c r="D152" s="120"/>
    </row>
    <row r="153" spans="2:6" ht="25.5" customHeight="1" x14ac:dyDescent="0.2">
      <c r="B153" s="120"/>
      <c r="C153" s="121" t="s">
        <v>141</v>
      </c>
      <c r="D153" s="122" t="s">
        <v>142</v>
      </c>
    </row>
    <row r="154" spans="2:6" ht="12.75" customHeight="1" x14ac:dyDescent="0.2">
      <c r="B154" s="60" t="s">
        <v>143</v>
      </c>
      <c r="C154" s="61" t="s">
        <v>144</v>
      </c>
      <c r="D154" s="61" t="s">
        <v>145</v>
      </c>
    </row>
    <row r="155" spans="2:6" ht="12.75" x14ac:dyDescent="0.2">
      <c r="B155" s="120" t="s">
        <v>146</v>
      </c>
      <c r="C155" s="123">
        <v>97.153599999999997</v>
      </c>
      <c r="D155" s="123">
        <v>100.19970000000001</v>
      </c>
    </row>
    <row r="156" spans="2:6" ht="12.75" x14ac:dyDescent="0.2">
      <c r="B156" s="120" t="s">
        <v>147</v>
      </c>
      <c r="C156" s="123">
        <v>14.771800000000001</v>
      </c>
      <c r="D156" s="123">
        <v>15.107699999999999</v>
      </c>
    </row>
    <row r="157" spans="2:6" ht="12.75" x14ac:dyDescent="0.2">
      <c r="B157" s="120" t="s">
        <v>148</v>
      </c>
      <c r="C157" s="123">
        <v>92.042400000000001</v>
      </c>
      <c r="D157" s="123">
        <v>94.855599999999995</v>
      </c>
    </row>
    <row r="158" spans="2:6" ht="12.75" x14ac:dyDescent="0.2">
      <c r="B158" s="120" t="s">
        <v>149</v>
      </c>
      <c r="C158" s="123">
        <v>13.7361</v>
      </c>
      <c r="D158" s="123">
        <v>14.028700000000001</v>
      </c>
    </row>
    <row r="160" spans="2:6" ht="12.75" x14ac:dyDescent="0.2">
      <c r="B160" s="62" t="s">
        <v>150</v>
      </c>
      <c r="C160" s="165"/>
      <c r="D160" s="169"/>
    </row>
    <row r="161" spans="2:5" ht="24.75" customHeight="1" x14ac:dyDescent="0.2">
      <c r="B161" s="172" t="s">
        <v>143</v>
      </c>
      <c r="C161" s="146" t="s">
        <v>399</v>
      </c>
      <c r="D161" s="170"/>
    </row>
    <row r="162" spans="2:5" ht="12.75" x14ac:dyDescent="0.2">
      <c r="B162" s="173" t="s">
        <v>147</v>
      </c>
      <c r="C162" s="147">
        <v>0.110676</v>
      </c>
      <c r="D162" s="171"/>
    </row>
    <row r="163" spans="2:5" ht="12.75" x14ac:dyDescent="0.2">
      <c r="B163" s="173" t="s">
        <v>149</v>
      </c>
      <c r="C163" s="147">
        <v>0.110676</v>
      </c>
      <c r="D163" s="171"/>
    </row>
    <row r="165" spans="2:5" ht="12.75" x14ac:dyDescent="0.2">
      <c r="B165" s="40" t="s">
        <v>804</v>
      </c>
      <c r="C165" s="118"/>
      <c r="D165" s="125" t="s">
        <v>138</v>
      </c>
    </row>
    <row r="166" spans="2:5" ht="12.75" x14ac:dyDescent="0.2">
      <c r="B166" s="40" t="s">
        <v>805</v>
      </c>
      <c r="C166" s="118"/>
      <c r="D166" s="125" t="s">
        <v>138</v>
      </c>
    </row>
    <row r="167" spans="2:5" ht="12.75" x14ac:dyDescent="0.2">
      <c r="B167" s="162" t="s">
        <v>831</v>
      </c>
      <c r="C167" s="118"/>
      <c r="D167" s="164">
        <v>1.2</v>
      </c>
    </row>
    <row r="168" spans="2:5" ht="12.75" x14ac:dyDescent="0.2">
      <c r="B168" s="162" t="s">
        <v>832</v>
      </c>
      <c r="C168" s="118"/>
      <c r="D168" s="164">
        <v>0.85</v>
      </c>
    </row>
    <row r="169" spans="2:5" ht="12.75" x14ac:dyDescent="0.2">
      <c r="B169" s="40" t="s">
        <v>806</v>
      </c>
      <c r="C169" s="118"/>
      <c r="D169" s="126" t="s">
        <v>138</v>
      </c>
    </row>
    <row r="170" spans="2:5" ht="12.75" x14ac:dyDescent="0.2">
      <c r="B170" s="40" t="s">
        <v>836</v>
      </c>
      <c r="C170" s="118"/>
      <c r="D170" s="126">
        <v>1.1281245033673721</v>
      </c>
    </row>
    <row r="171" spans="2:5" ht="12.75" x14ac:dyDescent="0.2">
      <c r="B171" s="124"/>
      <c r="C171" s="124"/>
      <c r="D171" s="124"/>
      <c r="E171" s="124"/>
    </row>
  </sheetData>
  <mergeCells count="5">
    <mergeCell ref="B147:F147"/>
    <mergeCell ref="A1:G1"/>
    <mergeCell ref="A2:G2"/>
    <mergeCell ref="A3:G3"/>
    <mergeCell ref="B146:F146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21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704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31</v>
      </c>
      <c r="C7" s="11" t="s">
        <v>32</v>
      </c>
      <c r="D7" s="2" t="s">
        <v>33</v>
      </c>
      <c r="E7" s="47">
        <v>209496</v>
      </c>
      <c r="F7" s="53">
        <v>3067.754676</v>
      </c>
      <c r="G7" s="5">
        <v>6.8048607999999997E-2</v>
      </c>
    </row>
    <row r="8" spans="1:7" ht="12.75" x14ac:dyDescent="0.2">
      <c r="A8" s="6">
        <v>2</v>
      </c>
      <c r="B8" s="7" t="s">
        <v>14</v>
      </c>
      <c r="C8" s="11" t="s">
        <v>15</v>
      </c>
      <c r="D8" s="2" t="s">
        <v>16</v>
      </c>
      <c r="E8" s="47">
        <v>541775</v>
      </c>
      <c r="F8" s="53">
        <v>2508.6891375</v>
      </c>
      <c r="G8" s="5">
        <v>5.5647476000000001E-2</v>
      </c>
    </row>
    <row r="9" spans="1:7" ht="25.5" x14ac:dyDescent="0.2">
      <c r="A9" s="6">
        <v>3</v>
      </c>
      <c r="B9" s="7" t="s">
        <v>432</v>
      </c>
      <c r="C9" s="11" t="s">
        <v>433</v>
      </c>
      <c r="D9" s="2" t="s">
        <v>72</v>
      </c>
      <c r="E9" s="47">
        <v>112351</v>
      </c>
      <c r="F9" s="53">
        <v>2395.2109690000002</v>
      </c>
      <c r="G9" s="5">
        <v>5.3130314999999997E-2</v>
      </c>
    </row>
    <row r="10" spans="1:7" ht="25.5" x14ac:dyDescent="0.2">
      <c r="A10" s="6">
        <v>4</v>
      </c>
      <c r="B10" s="7" t="s">
        <v>11</v>
      </c>
      <c r="C10" s="11" t="s">
        <v>12</v>
      </c>
      <c r="D10" s="2" t="s">
        <v>13</v>
      </c>
      <c r="E10" s="47">
        <v>135338</v>
      </c>
      <c r="F10" s="53">
        <v>1993.596409</v>
      </c>
      <c r="G10" s="5">
        <v>4.4221744E-2</v>
      </c>
    </row>
    <row r="11" spans="1:7" ht="12.75" x14ac:dyDescent="0.2">
      <c r="A11" s="6">
        <v>5</v>
      </c>
      <c r="B11" s="7" t="s">
        <v>36</v>
      </c>
      <c r="C11" s="11" t="s">
        <v>37</v>
      </c>
      <c r="D11" s="2" t="s">
        <v>16</v>
      </c>
      <c r="E11" s="47">
        <v>150000</v>
      </c>
      <c r="F11" s="53">
        <v>1845.5250000000001</v>
      </c>
      <c r="G11" s="5">
        <v>4.0937239E-2</v>
      </c>
    </row>
    <row r="12" spans="1:7" ht="25.5" x14ac:dyDescent="0.2">
      <c r="A12" s="6">
        <v>6</v>
      </c>
      <c r="B12" s="7" t="s">
        <v>424</v>
      </c>
      <c r="C12" s="11" t="s">
        <v>425</v>
      </c>
      <c r="D12" s="2" t="s">
        <v>30</v>
      </c>
      <c r="E12" s="47">
        <v>79074</v>
      </c>
      <c r="F12" s="53">
        <v>1720.1362590000001</v>
      </c>
      <c r="G12" s="5">
        <v>3.8155880000000003E-2</v>
      </c>
    </row>
    <row r="13" spans="1:7" ht="12.75" x14ac:dyDescent="0.2">
      <c r="A13" s="6">
        <v>7</v>
      </c>
      <c r="B13" s="7" t="s">
        <v>408</v>
      </c>
      <c r="C13" s="11" t="s">
        <v>409</v>
      </c>
      <c r="D13" s="2" t="s">
        <v>16</v>
      </c>
      <c r="E13" s="47">
        <v>200000</v>
      </c>
      <c r="F13" s="53">
        <v>1472.7</v>
      </c>
      <c r="G13" s="5">
        <v>3.2667275000000003E-2</v>
      </c>
    </row>
    <row r="14" spans="1:7" ht="25.5" x14ac:dyDescent="0.2">
      <c r="A14" s="6">
        <v>8</v>
      </c>
      <c r="B14" s="7" t="s">
        <v>70</v>
      </c>
      <c r="C14" s="11" t="s">
        <v>71</v>
      </c>
      <c r="D14" s="2" t="s">
        <v>72</v>
      </c>
      <c r="E14" s="47">
        <v>108187</v>
      </c>
      <c r="F14" s="53">
        <v>1452.735036</v>
      </c>
      <c r="G14" s="5">
        <v>3.2224414E-2</v>
      </c>
    </row>
    <row r="15" spans="1:7" ht="12.75" x14ac:dyDescent="0.2">
      <c r="A15" s="6">
        <v>9</v>
      </c>
      <c r="B15" s="7" t="s">
        <v>535</v>
      </c>
      <c r="C15" s="11" t="s">
        <v>536</v>
      </c>
      <c r="D15" s="2" t="s">
        <v>72</v>
      </c>
      <c r="E15" s="47">
        <v>17000</v>
      </c>
      <c r="F15" s="53">
        <v>1382.8395</v>
      </c>
      <c r="G15" s="5">
        <v>3.0673999E-2</v>
      </c>
    </row>
    <row r="16" spans="1:7" ht="12.75" x14ac:dyDescent="0.2">
      <c r="A16" s="6">
        <v>10</v>
      </c>
      <c r="B16" s="7" t="s">
        <v>436</v>
      </c>
      <c r="C16" s="11" t="s">
        <v>437</v>
      </c>
      <c r="D16" s="2" t="s">
        <v>237</v>
      </c>
      <c r="E16" s="47">
        <v>218243</v>
      </c>
      <c r="F16" s="53">
        <v>1323.5346735000001</v>
      </c>
      <c r="G16" s="5">
        <v>2.9358505E-2</v>
      </c>
    </row>
    <row r="17" spans="1:7" ht="25.5" x14ac:dyDescent="0.2">
      <c r="A17" s="6">
        <v>11</v>
      </c>
      <c r="B17" s="7" t="s">
        <v>444</v>
      </c>
      <c r="C17" s="11" t="s">
        <v>445</v>
      </c>
      <c r="D17" s="2" t="s">
        <v>27</v>
      </c>
      <c r="E17" s="47">
        <v>77943</v>
      </c>
      <c r="F17" s="53">
        <v>1290.8140229999999</v>
      </c>
      <c r="G17" s="5">
        <v>2.8632699000000001E-2</v>
      </c>
    </row>
    <row r="18" spans="1:7" ht="12.75" x14ac:dyDescent="0.2">
      <c r="A18" s="6">
        <v>12</v>
      </c>
      <c r="B18" s="7" t="s">
        <v>496</v>
      </c>
      <c r="C18" s="11" t="s">
        <v>497</v>
      </c>
      <c r="D18" s="2" t="s">
        <v>16</v>
      </c>
      <c r="E18" s="47">
        <v>72426</v>
      </c>
      <c r="F18" s="53">
        <v>1140.34737</v>
      </c>
      <c r="G18" s="5">
        <v>2.5295063999999999E-2</v>
      </c>
    </row>
    <row r="19" spans="1:7" ht="12.75" x14ac:dyDescent="0.2">
      <c r="A19" s="6">
        <v>13</v>
      </c>
      <c r="B19" s="7" t="s">
        <v>91</v>
      </c>
      <c r="C19" s="11" t="s">
        <v>92</v>
      </c>
      <c r="D19" s="2" t="s">
        <v>19</v>
      </c>
      <c r="E19" s="47">
        <v>27274</v>
      </c>
      <c r="F19" s="53">
        <v>1130.0163680000001</v>
      </c>
      <c r="G19" s="5">
        <v>2.5065903E-2</v>
      </c>
    </row>
    <row r="20" spans="1:7" ht="25.5" x14ac:dyDescent="0.2">
      <c r="A20" s="6">
        <v>14</v>
      </c>
      <c r="B20" s="7" t="s">
        <v>418</v>
      </c>
      <c r="C20" s="11" t="s">
        <v>419</v>
      </c>
      <c r="D20" s="2" t="s">
        <v>30</v>
      </c>
      <c r="E20" s="47">
        <v>365000</v>
      </c>
      <c r="F20" s="53">
        <v>940.42250000000001</v>
      </c>
      <c r="G20" s="5">
        <v>2.0860351999999999E-2</v>
      </c>
    </row>
    <row r="21" spans="1:7" ht="25.5" x14ac:dyDescent="0.2">
      <c r="A21" s="6">
        <v>15</v>
      </c>
      <c r="B21" s="7" t="s">
        <v>404</v>
      </c>
      <c r="C21" s="11" t="s">
        <v>405</v>
      </c>
      <c r="D21" s="2" t="s">
        <v>72</v>
      </c>
      <c r="E21" s="47">
        <v>94427</v>
      </c>
      <c r="F21" s="53">
        <v>936.24370499999998</v>
      </c>
      <c r="G21" s="5">
        <v>2.0767658000000001E-2</v>
      </c>
    </row>
    <row r="22" spans="1:7" ht="12.75" x14ac:dyDescent="0.2">
      <c r="A22" s="6">
        <v>16</v>
      </c>
      <c r="B22" s="7" t="s">
        <v>448</v>
      </c>
      <c r="C22" s="11" t="s">
        <v>449</v>
      </c>
      <c r="D22" s="2" t="s">
        <v>242</v>
      </c>
      <c r="E22" s="47">
        <v>37967</v>
      </c>
      <c r="F22" s="53">
        <v>861.71801549999998</v>
      </c>
      <c r="G22" s="5">
        <v>1.9114537000000001E-2</v>
      </c>
    </row>
    <row r="23" spans="1:7" ht="25.5" x14ac:dyDescent="0.2">
      <c r="A23" s="6">
        <v>17</v>
      </c>
      <c r="B23" s="7" t="s">
        <v>434</v>
      </c>
      <c r="C23" s="11" t="s">
        <v>435</v>
      </c>
      <c r="D23" s="2" t="s">
        <v>30</v>
      </c>
      <c r="E23" s="47">
        <v>45074</v>
      </c>
      <c r="F23" s="53">
        <v>815.65910399999996</v>
      </c>
      <c r="G23" s="5">
        <v>1.8092864E-2</v>
      </c>
    </row>
    <row r="24" spans="1:7" ht="25.5" x14ac:dyDescent="0.2">
      <c r="A24" s="6">
        <v>18</v>
      </c>
      <c r="B24" s="7" t="s">
        <v>303</v>
      </c>
      <c r="C24" s="11" t="s">
        <v>304</v>
      </c>
      <c r="D24" s="2" t="s">
        <v>47</v>
      </c>
      <c r="E24" s="47">
        <v>36879</v>
      </c>
      <c r="F24" s="53">
        <v>809.29121550000002</v>
      </c>
      <c r="G24" s="5">
        <v>1.7951611999999999E-2</v>
      </c>
    </row>
    <row r="25" spans="1:7" ht="25.5" x14ac:dyDescent="0.2">
      <c r="A25" s="6">
        <v>19</v>
      </c>
      <c r="B25" s="7" t="s">
        <v>368</v>
      </c>
      <c r="C25" s="11" t="s">
        <v>369</v>
      </c>
      <c r="D25" s="2" t="s">
        <v>356</v>
      </c>
      <c r="E25" s="47">
        <v>3517</v>
      </c>
      <c r="F25" s="53">
        <v>790.90999399999998</v>
      </c>
      <c r="G25" s="5">
        <v>1.7543881000000001E-2</v>
      </c>
    </row>
    <row r="26" spans="1:7" ht="12.75" x14ac:dyDescent="0.2">
      <c r="A26" s="6">
        <v>20</v>
      </c>
      <c r="B26" s="7" t="s">
        <v>498</v>
      </c>
      <c r="C26" s="11" t="s">
        <v>499</v>
      </c>
      <c r="D26" s="2" t="s">
        <v>242</v>
      </c>
      <c r="E26" s="47">
        <v>97000</v>
      </c>
      <c r="F26" s="53">
        <v>665.03200000000004</v>
      </c>
      <c r="G26" s="5">
        <v>1.4751669E-2</v>
      </c>
    </row>
    <row r="27" spans="1:7" ht="12.75" x14ac:dyDescent="0.2">
      <c r="A27" s="6">
        <v>21</v>
      </c>
      <c r="B27" s="7" t="s">
        <v>344</v>
      </c>
      <c r="C27" s="11" t="s">
        <v>345</v>
      </c>
      <c r="D27" s="2" t="s">
        <v>16</v>
      </c>
      <c r="E27" s="47">
        <v>152383</v>
      </c>
      <c r="F27" s="53">
        <v>472.53968300000003</v>
      </c>
      <c r="G27" s="5">
        <v>1.0481825E-2</v>
      </c>
    </row>
    <row r="28" spans="1:7" ht="25.5" x14ac:dyDescent="0.2">
      <c r="A28" s="6">
        <v>22</v>
      </c>
      <c r="B28" s="7" t="s">
        <v>416</v>
      </c>
      <c r="C28" s="11" t="s">
        <v>417</v>
      </c>
      <c r="D28" s="2" t="s">
        <v>72</v>
      </c>
      <c r="E28" s="47">
        <v>75000</v>
      </c>
      <c r="F28" s="53">
        <v>469.65</v>
      </c>
      <c r="G28" s="5">
        <v>1.0417726E-2</v>
      </c>
    </row>
    <row r="29" spans="1:7" ht="25.5" x14ac:dyDescent="0.2">
      <c r="A29" s="6">
        <v>23</v>
      </c>
      <c r="B29" s="7" t="s">
        <v>20</v>
      </c>
      <c r="C29" s="11" t="s">
        <v>21</v>
      </c>
      <c r="D29" s="2" t="s">
        <v>22</v>
      </c>
      <c r="E29" s="47">
        <v>51824</v>
      </c>
      <c r="F29" s="53">
        <v>461.75184000000002</v>
      </c>
      <c r="G29" s="5">
        <v>1.024253E-2</v>
      </c>
    </row>
    <row r="30" spans="1:7" ht="25.5" x14ac:dyDescent="0.2">
      <c r="A30" s="6">
        <v>24</v>
      </c>
      <c r="B30" s="7" t="s">
        <v>173</v>
      </c>
      <c r="C30" s="11" t="s">
        <v>174</v>
      </c>
      <c r="D30" s="2" t="s">
        <v>163</v>
      </c>
      <c r="E30" s="47">
        <v>25000</v>
      </c>
      <c r="F30" s="53">
        <v>444.25</v>
      </c>
      <c r="G30" s="5">
        <v>9.8543060000000002E-3</v>
      </c>
    </row>
    <row r="31" spans="1:7" ht="51" x14ac:dyDescent="0.2">
      <c r="A31" s="6">
        <v>25</v>
      </c>
      <c r="B31" s="7" t="s">
        <v>705</v>
      </c>
      <c r="C31" s="11" t="s">
        <v>706</v>
      </c>
      <c r="D31" s="2" t="s">
        <v>208</v>
      </c>
      <c r="E31" s="47">
        <v>264559</v>
      </c>
      <c r="F31" s="53">
        <v>402.12968000000001</v>
      </c>
      <c r="G31" s="5">
        <v>8.9199980000000002E-3</v>
      </c>
    </row>
    <row r="32" spans="1:7" ht="25.5" x14ac:dyDescent="0.2">
      <c r="A32" s="6">
        <v>26</v>
      </c>
      <c r="B32" s="7" t="s">
        <v>334</v>
      </c>
      <c r="C32" s="11" t="s">
        <v>335</v>
      </c>
      <c r="D32" s="2" t="s">
        <v>30</v>
      </c>
      <c r="E32" s="47">
        <v>122749</v>
      </c>
      <c r="F32" s="53">
        <v>401.5733535</v>
      </c>
      <c r="G32" s="5">
        <v>8.9076569999999994E-3</v>
      </c>
    </row>
    <row r="33" spans="1:7" ht="25.5" x14ac:dyDescent="0.2">
      <c r="A33" s="6">
        <v>27</v>
      </c>
      <c r="B33" s="7" t="s">
        <v>34</v>
      </c>
      <c r="C33" s="11" t="s">
        <v>35</v>
      </c>
      <c r="D33" s="2" t="s">
        <v>27</v>
      </c>
      <c r="E33" s="47">
        <v>35415</v>
      </c>
      <c r="F33" s="53">
        <v>399.78222749999998</v>
      </c>
      <c r="G33" s="5">
        <v>8.8679269999999994E-3</v>
      </c>
    </row>
    <row r="34" spans="1:7" ht="25.5" x14ac:dyDescent="0.2">
      <c r="A34" s="6">
        <v>28</v>
      </c>
      <c r="B34" s="7" t="s">
        <v>385</v>
      </c>
      <c r="C34" s="11" t="s">
        <v>386</v>
      </c>
      <c r="D34" s="2" t="s">
        <v>197</v>
      </c>
      <c r="E34" s="47">
        <v>15022</v>
      </c>
      <c r="F34" s="53">
        <v>132.44897399999999</v>
      </c>
      <c r="G34" s="5">
        <v>2.9379689999999999E-3</v>
      </c>
    </row>
    <row r="35" spans="1:7" ht="12.75" x14ac:dyDescent="0.2">
      <c r="A35" s="1"/>
      <c r="B35" s="2"/>
      <c r="C35" s="8" t="s">
        <v>108</v>
      </c>
      <c r="D35" s="12"/>
      <c r="E35" s="49"/>
      <c r="F35" s="55">
        <v>31727.301713000004</v>
      </c>
      <c r="G35" s="13">
        <v>0.70377163199999992</v>
      </c>
    </row>
    <row r="36" spans="1:7" ht="12.75" x14ac:dyDescent="0.2">
      <c r="A36" s="6"/>
      <c r="B36" s="7"/>
      <c r="C36" s="14"/>
      <c r="D36" s="15"/>
      <c r="E36" s="47"/>
      <c r="F36" s="53"/>
      <c r="G36" s="5"/>
    </row>
    <row r="37" spans="1:7" ht="12.75" x14ac:dyDescent="0.2">
      <c r="A37" s="1"/>
      <c r="B37" s="2"/>
      <c r="C37" s="8" t="s">
        <v>109</v>
      </c>
      <c r="D37" s="9"/>
      <c r="E37" s="48"/>
      <c r="F37" s="54"/>
      <c r="G37" s="10"/>
    </row>
    <row r="38" spans="1:7" ht="12.75" x14ac:dyDescent="0.2">
      <c r="A38" s="1"/>
      <c r="B38" s="2"/>
      <c r="C38" s="8" t="s">
        <v>108</v>
      </c>
      <c r="D38" s="12"/>
      <c r="E38" s="49"/>
      <c r="F38" s="55">
        <v>0</v>
      </c>
      <c r="G38" s="13">
        <v>0</v>
      </c>
    </row>
    <row r="39" spans="1:7" ht="12.75" x14ac:dyDescent="0.2">
      <c r="A39" s="6"/>
      <c r="B39" s="7"/>
      <c r="C39" s="14"/>
      <c r="D39" s="15"/>
      <c r="E39" s="47"/>
      <c r="F39" s="53"/>
      <c r="G39" s="5"/>
    </row>
    <row r="40" spans="1:7" ht="12.75" x14ac:dyDescent="0.2">
      <c r="A40" s="16"/>
      <c r="B40" s="17"/>
      <c r="C40" s="8" t="s">
        <v>110</v>
      </c>
      <c r="D40" s="9"/>
      <c r="E40" s="48"/>
      <c r="F40" s="54"/>
      <c r="G40" s="10"/>
    </row>
    <row r="41" spans="1:7" ht="12.75" x14ac:dyDescent="0.2">
      <c r="A41" s="18"/>
      <c r="B41" s="19"/>
      <c r="C41" s="8" t="s">
        <v>108</v>
      </c>
      <c r="D41" s="20"/>
      <c r="E41" s="50"/>
      <c r="F41" s="56">
        <v>0</v>
      </c>
      <c r="G41" s="21">
        <v>0</v>
      </c>
    </row>
    <row r="42" spans="1:7" ht="12.75" x14ac:dyDescent="0.2">
      <c r="A42" s="18"/>
      <c r="B42" s="19"/>
      <c r="C42" s="14"/>
      <c r="D42" s="22"/>
      <c r="E42" s="51"/>
      <c r="F42" s="57"/>
      <c r="G42" s="23"/>
    </row>
    <row r="43" spans="1:7" ht="12.75" x14ac:dyDescent="0.2">
      <c r="A43" s="1"/>
      <c r="B43" s="2"/>
      <c r="C43" s="8" t="s">
        <v>113</v>
      </c>
      <c r="D43" s="9"/>
      <c r="E43" s="48"/>
      <c r="F43" s="54"/>
      <c r="G43" s="10"/>
    </row>
    <row r="44" spans="1:7" ht="12.75" x14ac:dyDescent="0.2">
      <c r="A44" s="1"/>
      <c r="B44" s="2"/>
      <c r="C44" s="8" t="s">
        <v>108</v>
      </c>
      <c r="D44" s="12"/>
      <c r="E44" s="49"/>
      <c r="F44" s="55">
        <v>0</v>
      </c>
      <c r="G44" s="13">
        <v>0</v>
      </c>
    </row>
    <row r="45" spans="1:7" ht="12.75" x14ac:dyDescent="0.2">
      <c r="A45" s="1"/>
      <c r="B45" s="2"/>
      <c r="C45" s="14"/>
      <c r="D45" s="4"/>
      <c r="E45" s="47"/>
      <c r="F45" s="53"/>
      <c r="G45" s="5"/>
    </row>
    <row r="46" spans="1:7" ht="12.75" x14ac:dyDescent="0.2">
      <c r="A46" s="1"/>
      <c r="B46" s="2"/>
      <c r="C46" s="8" t="s">
        <v>114</v>
      </c>
      <c r="D46" s="9"/>
      <c r="E46" s="48"/>
      <c r="F46" s="54"/>
      <c r="G46" s="10"/>
    </row>
    <row r="47" spans="1:7" ht="12.75" x14ac:dyDescent="0.2">
      <c r="A47" s="1"/>
      <c r="B47" s="2"/>
      <c r="C47" s="8" t="s">
        <v>108</v>
      </c>
      <c r="D47" s="12"/>
      <c r="E47" s="49"/>
      <c r="F47" s="55">
        <v>0</v>
      </c>
      <c r="G47" s="13">
        <v>0</v>
      </c>
    </row>
    <row r="48" spans="1:7" ht="12.75" x14ac:dyDescent="0.2">
      <c r="A48" s="1"/>
      <c r="B48" s="2"/>
      <c r="C48" s="14"/>
      <c r="D48" s="4"/>
      <c r="E48" s="47"/>
      <c r="F48" s="53"/>
      <c r="G48" s="5"/>
    </row>
    <row r="49" spans="1:7" ht="12.75" x14ac:dyDescent="0.2">
      <c r="A49" s="1"/>
      <c r="B49" s="2"/>
      <c r="C49" s="8" t="s">
        <v>115</v>
      </c>
      <c r="D49" s="9"/>
      <c r="E49" s="48"/>
      <c r="F49" s="54"/>
      <c r="G49" s="10"/>
    </row>
    <row r="50" spans="1:7" ht="12.75" x14ac:dyDescent="0.2">
      <c r="A50" s="1"/>
      <c r="B50" s="2"/>
      <c r="C50" s="8" t="s">
        <v>108</v>
      </c>
      <c r="D50" s="12"/>
      <c r="E50" s="49"/>
      <c r="F50" s="55">
        <v>0</v>
      </c>
      <c r="G50" s="13">
        <v>0</v>
      </c>
    </row>
    <row r="51" spans="1:7" ht="12.75" x14ac:dyDescent="0.2">
      <c r="A51" s="1"/>
      <c r="B51" s="2"/>
      <c r="C51" s="14"/>
      <c r="D51" s="4"/>
      <c r="E51" s="47"/>
      <c r="F51" s="53"/>
      <c r="G51" s="5"/>
    </row>
    <row r="52" spans="1:7" ht="25.5" x14ac:dyDescent="0.2">
      <c r="A52" s="6"/>
      <c r="B52" s="7"/>
      <c r="C52" s="24" t="s">
        <v>116</v>
      </c>
      <c r="D52" s="25"/>
      <c r="E52" s="49"/>
      <c r="F52" s="55">
        <v>31727.301713000004</v>
      </c>
      <c r="G52" s="13">
        <v>0.70377163199999992</v>
      </c>
    </row>
    <row r="53" spans="1:7" ht="12.75" x14ac:dyDescent="0.2">
      <c r="A53" s="1"/>
      <c r="B53" s="2"/>
      <c r="C53" s="11"/>
      <c r="D53" s="4"/>
      <c r="E53" s="47"/>
      <c r="F53" s="53"/>
      <c r="G53" s="5"/>
    </row>
    <row r="54" spans="1:7" ht="12.75" x14ac:dyDescent="0.2">
      <c r="A54" s="1"/>
      <c r="B54" s="2"/>
      <c r="C54" s="3" t="s">
        <v>117</v>
      </c>
      <c r="D54" s="4"/>
      <c r="E54" s="47"/>
      <c r="F54" s="53"/>
      <c r="G54" s="5"/>
    </row>
    <row r="55" spans="1:7" ht="25.5" x14ac:dyDescent="0.2">
      <c r="A55" s="1"/>
      <c r="B55" s="2"/>
      <c r="C55" s="8" t="s">
        <v>10</v>
      </c>
      <c r="D55" s="9"/>
      <c r="E55" s="48"/>
      <c r="F55" s="54"/>
      <c r="G55" s="10"/>
    </row>
    <row r="56" spans="1:7" ht="12.75" x14ac:dyDescent="0.2">
      <c r="A56" s="6"/>
      <c r="B56" s="7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6"/>
      <c r="B57" s="7"/>
      <c r="C57" s="14"/>
      <c r="D57" s="4"/>
      <c r="E57" s="47"/>
      <c r="F57" s="53"/>
      <c r="G57" s="5"/>
    </row>
    <row r="58" spans="1:7" ht="12.75" x14ac:dyDescent="0.2">
      <c r="A58" s="1"/>
      <c r="B58" s="26"/>
      <c r="C58" s="8" t="s">
        <v>118</v>
      </c>
      <c r="D58" s="9"/>
      <c r="E58" s="48"/>
      <c r="F58" s="54"/>
      <c r="G58" s="10"/>
    </row>
    <row r="59" spans="1:7" ht="12.75" x14ac:dyDescent="0.2">
      <c r="A59" s="6"/>
      <c r="B59" s="7"/>
      <c r="C59" s="8" t="s">
        <v>108</v>
      </c>
      <c r="D59" s="12"/>
      <c r="E59" s="49"/>
      <c r="F59" s="55">
        <v>0</v>
      </c>
      <c r="G59" s="13">
        <v>0</v>
      </c>
    </row>
    <row r="60" spans="1:7" ht="12.75" x14ac:dyDescent="0.2">
      <c r="A60" s="6"/>
      <c r="B60" s="7"/>
      <c r="C60" s="14"/>
      <c r="D60" s="4"/>
      <c r="E60" s="47"/>
      <c r="F60" s="59"/>
      <c r="G60" s="28"/>
    </row>
    <row r="61" spans="1:7" ht="12.75" x14ac:dyDescent="0.2">
      <c r="A61" s="1"/>
      <c r="B61" s="2"/>
      <c r="C61" s="8" t="s">
        <v>119</v>
      </c>
      <c r="D61" s="9"/>
      <c r="E61" s="48"/>
      <c r="F61" s="54"/>
      <c r="G61" s="10"/>
    </row>
    <row r="62" spans="1:7" ht="12.75" x14ac:dyDescent="0.2">
      <c r="A62" s="6"/>
      <c r="B62" s="7"/>
      <c r="C62" s="8" t="s">
        <v>108</v>
      </c>
      <c r="D62" s="12"/>
      <c r="E62" s="49"/>
      <c r="F62" s="55">
        <v>0</v>
      </c>
      <c r="G62" s="13">
        <v>0</v>
      </c>
    </row>
    <row r="63" spans="1:7" ht="12.75" x14ac:dyDescent="0.2">
      <c r="A63" s="1"/>
      <c r="B63" s="2"/>
      <c r="C63" s="14"/>
      <c r="D63" s="4"/>
      <c r="E63" s="47"/>
      <c r="F63" s="53"/>
      <c r="G63" s="5"/>
    </row>
    <row r="64" spans="1:7" ht="25.5" x14ac:dyDescent="0.2">
      <c r="A64" s="1"/>
      <c r="B64" s="26"/>
      <c r="C64" s="8" t="s">
        <v>120</v>
      </c>
      <c r="D64" s="9"/>
      <c r="E64" s="48"/>
      <c r="F64" s="54"/>
      <c r="G64" s="10"/>
    </row>
    <row r="65" spans="1:7" ht="12.75" x14ac:dyDescent="0.2">
      <c r="A65" s="6"/>
      <c r="B65" s="7"/>
      <c r="C65" s="8" t="s">
        <v>108</v>
      </c>
      <c r="D65" s="12"/>
      <c r="E65" s="49"/>
      <c r="F65" s="55">
        <v>0</v>
      </c>
      <c r="G65" s="13">
        <v>0</v>
      </c>
    </row>
    <row r="66" spans="1:7" ht="12.75" x14ac:dyDescent="0.2">
      <c r="A66" s="6"/>
      <c r="B66" s="7"/>
      <c r="C66" s="14"/>
      <c r="D66" s="4"/>
      <c r="E66" s="47"/>
      <c r="F66" s="53"/>
      <c r="G66" s="5"/>
    </row>
    <row r="67" spans="1:7" ht="12.75" x14ac:dyDescent="0.2">
      <c r="A67" s="6"/>
      <c r="B67" s="7"/>
      <c r="C67" s="29" t="s">
        <v>121</v>
      </c>
      <c r="D67" s="25"/>
      <c r="E67" s="49"/>
      <c r="F67" s="55">
        <v>0</v>
      </c>
      <c r="G67" s="13">
        <v>0</v>
      </c>
    </row>
    <row r="68" spans="1:7" ht="12.75" x14ac:dyDescent="0.2">
      <c r="A68" s="6"/>
      <c r="B68" s="7"/>
      <c r="C68" s="11"/>
      <c r="D68" s="4"/>
      <c r="E68" s="47"/>
      <c r="F68" s="53"/>
      <c r="G68" s="5"/>
    </row>
    <row r="69" spans="1:7" ht="12.75" x14ac:dyDescent="0.2">
      <c r="A69" s="1"/>
      <c r="B69" s="2"/>
      <c r="C69" s="3" t="s">
        <v>122</v>
      </c>
      <c r="D69" s="4"/>
      <c r="E69" s="47"/>
      <c r="F69" s="53"/>
      <c r="G69" s="5"/>
    </row>
    <row r="70" spans="1:7" ht="12.75" x14ac:dyDescent="0.2">
      <c r="A70" s="6"/>
      <c r="B70" s="7"/>
      <c r="C70" s="8" t="s">
        <v>123</v>
      </c>
      <c r="D70" s="9"/>
      <c r="E70" s="48"/>
      <c r="F70" s="54"/>
      <c r="G70" s="10"/>
    </row>
    <row r="71" spans="1:7" ht="12.75" x14ac:dyDescent="0.2">
      <c r="A71" s="6"/>
      <c r="B71" s="7"/>
      <c r="C71" s="8" t="s">
        <v>108</v>
      </c>
      <c r="D71" s="25"/>
      <c r="E71" s="49"/>
      <c r="F71" s="55">
        <v>0</v>
      </c>
      <c r="G71" s="13">
        <v>0</v>
      </c>
    </row>
    <row r="72" spans="1:7" ht="12.75" x14ac:dyDescent="0.2">
      <c r="A72" s="6"/>
      <c r="B72" s="7"/>
      <c r="C72" s="14"/>
      <c r="D72" s="7"/>
      <c r="E72" s="47"/>
      <c r="F72" s="53"/>
      <c r="G72" s="5"/>
    </row>
    <row r="73" spans="1:7" ht="12.75" x14ac:dyDescent="0.2">
      <c r="A73" s="6"/>
      <c r="B73" s="7"/>
      <c r="C73" s="8" t="s">
        <v>124</v>
      </c>
      <c r="D73" s="9"/>
      <c r="E73" s="48"/>
      <c r="F73" s="54"/>
      <c r="G73" s="10"/>
    </row>
    <row r="74" spans="1:7" ht="12.75" x14ac:dyDescent="0.2">
      <c r="A74" s="6"/>
      <c r="B74" s="7"/>
      <c r="C74" s="8" t="s">
        <v>108</v>
      </c>
      <c r="D74" s="25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4"/>
      <c r="D75" s="7"/>
      <c r="E75" s="47"/>
      <c r="F75" s="53"/>
      <c r="G75" s="5"/>
    </row>
    <row r="76" spans="1:7" ht="12.75" x14ac:dyDescent="0.2">
      <c r="A76" s="6"/>
      <c r="B76" s="7"/>
      <c r="C76" s="8" t="s">
        <v>125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25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7"/>
      <c r="E78" s="47"/>
      <c r="F78" s="53"/>
      <c r="G78" s="5"/>
    </row>
    <row r="79" spans="1:7" ht="12.75" x14ac:dyDescent="0.2">
      <c r="A79" s="6"/>
      <c r="B79" s="7"/>
      <c r="C79" s="8" t="s">
        <v>126</v>
      </c>
      <c r="D79" s="9"/>
      <c r="E79" s="48"/>
      <c r="F79" s="54"/>
      <c r="G79" s="10"/>
    </row>
    <row r="80" spans="1:7" ht="12.75" x14ac:dyDescent="0.2">
      <c r="A80" s="6">
        <v>1</v>
      </c>
      <c r="B80" s="7"/>
      <c r="C80" s="11" t="s">
        <v>812</v>
      </c>
      <c r="D80" s="15"/>
      <c r="E80" s="47"/>
      <c r="F80" s="53">
        <v>1022.8654857</v>
      </c>
      <c r="G80" s="5">
        <v>2.2689093E-2</v>
      </c>
    </row>
    <row r="81" spans="1:7" ht="12.75" x14ac:dyDescent="0.2">
      <c r="A81" s="6"/>
      <c r="B81" s="7"/>
      <c r="C81" s="8" t="s">
        <v>108</v>
      </c>
      <c r="D81" s="25"/>
      <c r="E81" s="49"/>
      <c r="F81" s="55">
        <v>1022.8654857</v>
      </c>
      <c r="G81" s="13">
        <v>2.2689093E-2</v>
      </c>
    </row>
    <row r="82" spans="1:7" ht="12.75" x14ac:dyDescent="0.2">
      <c r="A82" s="6"/>
      <c r="B82" s="7"/>
      <c r="C82" s="14"/>
      <c r="D82" s="7"/>
      <c r="E82" s="47"/>
      <c r="F82" s="53"/>
      <c r="G82" s="5"/>
    </row>
    <row r="83" spans="1:7" ht="25.5" x14ac:dyDescent="0.2">
      <c r="A83" s="6"/>
      <c r="B83" s="7"/>
      <c r="C83" s="24" t="s">
        <v>127</v>
      </c>
      <c r="D83" s="25"/>
      <c r="E83" s="49"/>
      <c r="F83" s="55">
        <v>1022.8654857</v>
      </c>
      <c r="G83" s="13">
        <v>2.2689093E-2</v>
      </c>
    </row>
    <row r="84" spans="1:7" ht="12.75" x14ac:dyDescent="0.2">
      <c r="A84" s="6"/>
      <c r="B84" s="7"/>
      <c r="C84" s="30"/>
      <c r="D84" s="7"/>
      <c r="E84" s="47"/>
      <c r="F84" s="53"/>
      <c r="G84" s="5"/>
    </row>
    <row r="85" spans="1:7" ht="12.75" x14ac:dyDescent="0.2">
      <c r="A85" s="1"/>
      <c r="B85" s="2"/>
      <c r="C85" s="3" t="s">
        <v>128</v>
      </c>
      <c r="D85" s="4"/>
      <c r="E85" s="47"/>
      <c r="F85" s="53"/>
      <c r="G85" s="5"/>
    </row>
    <row r="86" spans="1:7" ht="25.5" x14ac:dyDescent="0.2">
      <c r="A86" s="6"/>
      <c r="B86" s="7"/>
      <c r="C86" s="8" t="s">
        <v>129</v>
      </c>
      <c r="D86" s="9"/>
      <c r="E86" s="48"/>
      <c r="F86" s="54"/>
      <c r="G86" s="10"/>
    </row>
    <row r="87" spans="1:7" ht="25.5" x14ac:dyDescent="0.2">
      <c r="A87" s="6">
        <v>1</v>
      </c>
      <c r="B87" s="7" t="s">
        <v>130</v>
      </c>
      <c r="C87" s="11" t="s">
        <v>839</v>
      </c>
      <c r="D87" s="15"/>
      <c r="E87" s="47">
        <v>844802.56799999997</v>
      </c>
      <c r="F87" s="53">
        <v>8801.1548430290004</v>
      </c>
      <c r="G87" s="5">
        <v>0.195226281</v>
      </c>
    </row>
    <row r="88" spans="1:7" ht="12.75" x14ac:dyDescent="0.2">
      <c r="A88" s="6"/>
      <c r="B88" s="7"/>
      <c r="C88" s="8" t="s">
        <v>108</v>
      </c>
      <c r="D88" s="25"/>
      <c r="E88" s="49"/>
      <c r="F88" s="55">
        <v>8801.1548430290004</v>
      </c>
      <c r="G88" s="13">
        <v>0.195226281</v>
      </c>
    </row>
    <row r="89" spans="1:7" ht="12.75" x14ac:dyDescent="0.2">
      <c r="A89" s="6"/>
      <c r="B89" s="7"/>
      <c r="C89" s="14"/>
      <c r="D89" s="7"/>
      <c r="E89" s="47"/>
      <c r="F89" s="53"/>
      <c r="G89" s="5"/>
    </row>
    <row r="90" spans="1:7" ht="12.75" x14ac:dyDescent="0.2">
      <c r="A90" s="1"/>
      <c r="B90" s="2"/>
      <c r="C90" s="3" t="s">
        <v>131</v>
      </c>
      <c r="D90" s="4"/>
      <c r="E90" s="47"/>
      <c r="F90" s="53"/>
      <c r="G90" s="5"/>
    </row>
    <row r="91" spans="1:7" ht="25.5" x14ac:dyDescent="0.2">
      <c r="A91" s="6"/>
      <c r="B91" s="7"/>
      <c r="C91" s="8" t="s">
        <v>132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25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7"/>
      <c r="E93" s="47"/>
      <c r="F93" s="53"/>
      <c r="G93" s="5"/>
    </row>
    <row r="94" spans="1:7" ht="25.5" x14ac:dyDescent="0.2">
      <c r="A94" s="6"/>
      <c r="B94" s="7"/>
      <c r="C94" s="8" t="s">
        <v>133</v>
      </c>
      <c r="D94" s="9"/>
      <c r="E94" s="48"/>
      <c r="F94" s="54"/>
      <c r="G94" s="10"/>
    </row>
    <row r="95" spans="1:7" ht="12.75" x14ac:dyDescent="0.2">
      <c r="A95" s="6"/>
      <c r="B95" s="7"/>
      <c r="C95" s="8" t="s">
        <v>108</v>
      </c>
      <c r="D95" s="25"/>
      <c r="E95" s="49"/>
      <c r="F95" s="55">
        <v>0</v>
      </c>
      <c r="G95" s="13">
        <v>0</v>
      </c>
    </row>
    <row r="96" spans="1:7" ht="12.75" x14ac:dyDescent="0.2">
      <c r="A96" s="6"/>
      <c r="B96" s="7"/>
      <c r="C96" s="14"/>
      <c r="D96" s="7"/>
      <c r="E96" s="47"/>
      <c r="F96" s="59"/>
      <c r="G96" s="28"/>
    </row>
    <row r="97" spans="1:7" ht="25.5" x14ac:dyDescent="0.2">
      <c r="A97" s="6"/>
      <c r="B97" s="7"/>
      <c r="C97" s="30" t="s">
        <v>134</v>
      </c>
      <c r="D97" s="7"/>
      <c r="E97" s="47"/>
      <c r="F97" s="127">
        <v>3530.4916707709963</v>
      </c>
      <c r="G97" s="136">
        <v>7.8312990983148575E-2</v>
      </c>
    </row>
    <row r="98" spans="1:7" ht="12.75" x14ac:dyDescent="0.2">
      <c r="A98" s="6"/>
      <c r="B98" s="7"/>
      <c r="C98" s="31" t="s">
        <v>135</v>
      </c>
      <c r="D98" s="12"/>
      <c r="E98" s="49"/>
      <c r="F98" s="55">
        <v>45081.813712499999</v>
      </c>
      <c r="G98" s="13">
        <v>1</v>
      </c>
    </row>
    <row r="100" spans="1:7" ht="12.75" x14ac:dyDescent="0.2">
      <c r="B100" s="179"/>
      <c r="C100" s="179"/>
      <c r="D100" s="179"/>
      <c r="E100" s="179"/>
      <c r="F100" s="179"/>
    </row>
    <row r="101" spans="1:7" ht="12.75" x14ac:dyDescent="0.2">
      <c r="B101" s="179"/>
      <c r="C101" s="179"/>
      <c r="D101" s="179"/>
      <c r="E101" s="179"/>
      <c r="F101" s="179"/>
    </row>
    <row r="103" spans="1:7" ht="12.75" x14ac:dyDescent="0.2">
      <c r="B103" s="37" t="s">
        <v>137</v>
      </c>
      <c r="C103" s="38"/>
      <c r="D103" s="39"/>
    </row>
    <row r="104" spans="1:7" ht="12.75" x14ac:dyDescent="0.2">
      <c r="B104" s="40" t="s">
        <v>808</v>
      </c>
      <c r="C104" s="41"/>
      <c r="D104" s="65" t="s">
        <v>138</v>
      </c>
    </row>
    <row r="105" spans="1:7" ht="12.75" x14ac:dyDescent="0.2">
      <c r="B105" s="40" t="s">
        <v>139</v>
      </c>
      <c r="C105" s="41"/>
      <c r="D105" s="65" t="s">
        <v>138</v>
      </c>
    </row>
    <row r="106" spans="1:7" ht="12.75" x14ac:dyDescent="0.2">
      <c r="B106" s="42" t="s">
        <v>140</v>
      </c>
      <c r="C106" s="41"/>
      <c r="D106" s="43"/>
    </row>
    <row r="107" spans="1:7" ht="25.5" customHeight="1" x14ac:dyDescent="0.2">
      <c r="B107" s="43"/>
      <c r="C107" s="33" t="s">
        <v>141</v>
      </c>
      <c r="D107" s="34" t="s">
        <v>142</v>
      </c>
    </row>
    <row r="108" spans="1:7" ht="12.75" customHeight="1" x14ac:dyDescent="0.2">
      <c r="B108" s="60" t="s">
        <v>143</v>
      </c>
      <c r="C108" s="61" t="s">
        <v>144</v>
      </c>
      <c r="D108" s="61" t="s">
        <v>145</v>
      </c>
    </row>
    <row r="109" spans="1:7" ht="12.75" x14ac:dyDescent="0.2">
      <c r="B109" s="43" t="s">
        <v>146</v>
      </c>
      <c r="C109" s="44">
        <v>10.3193</v>
      </c>
      <c r="D109" s="44">
        <v>10.6662</v>
      </c>
    </row>
    <row r="110" spans="1:7" ht="12.75" x14ac:dyDescent="0.2">
      <c r="B110" s="43" t="s">
        <v>147</v>
      </c>
      <c r="C110" s="44">
        <v>10.3192</v>
      </c>
      <c r="D110" s="44">
        <v>10.6561</v>
      </c>
    </row>
    <row r="111" spans="1:7" ht="12.75" x14ac:dyDescent="0.2">
      <c r="B111" s="43" t="s">
        <v>148</v>
      </c>
      <c r="C111" s="44">
        <v>10.3062</v>
      </c>
      <c r="D111" s="44">
        <v>10.6251</v>
      </c>
    </row>
    <row r="112" spans="1:7" ht="12.75" x14ac:dyDescent="0.2">
      <c r="B112" s="43" t="s">
        <v>149</v>
      </c>
      <c r="C112" s="44">
        <v>10.306100000000001</v>
      </c>
      <c r="D112" s="44">
        <v>10.625400000000001</v>
      </c>
    </row>
    <row r="114" spans="2:4" ht="12.75" x14ac:dyDescent="0.2">
      <c r="B114" s="62" t="s">
        <v>150</v>
      </c>
      <c r="C114" s="45"/>
      <c r="D114" s="63" t="s">
        <v>138</v>
      </c>
    </row>
    <row r="115" spans="2:4" ht="24.75" customHeight="1" x14ac:dyDescent="0.2">
      <c r="B115" s="64"/>
      <c r="C115" s="64"/>
    </row>
    <row r="116" spans="2:4" ht="15" x14ac:dyDescent="0.25">
      <c r="B116" s="66"/>
      <c r="C116" s="68"/>
      <c r="D116"/>
    </row>
    <row r="118" spans="2:4" ht="12.75" x14ac:dyDescent="0.2">
      <c r="B118" s="42" t="s">
        <v>151</v>
      </c>
      <c r="C118" s="41"/>
      <c r="D118" s="67" t="s">
        <v>138</v>
      </c>
    </row>
    <row r="119" spans="2:4" ht="12.75" x14ac:dyDescent="0.2">
      <c r="B119" s="42" t="s">
        <v>152</v>
      </c>
      <c r="C119" s="41"/>
      <c r="D119" s="67" t="s">
        <v>138</v>
      </c>
    </row>
    <row r="120" spans="2:4" ht="12.75" x14ac:dyDescent="0.2">
      <c r="B120" s="42" t="s">
        <v>153</v>
      </c>
      <c r="C120" s="41"/>
      <c r="D120" s="46">
        <v>0.49986211244704359</v>
      </c>
    </row>
    <row r="121" spans="2:4" ht="12.75" x14ac:dyDescent="0.2">
      <c r="B121" s="42" t="s">
        <v>154</v>
      </c>
      <c r="C121" s="41"/>
      <c r="D121" s="46" t="s">
        <v>138</v>
      </c>
    </row>
  </sheetData>
  <mergeCells count="5">
    <mergeCell ref="A1:G1"/>
    <mergeCell ref="A2:G2"/>
    <mergeCell ref="A3:G3"/>
    <mergeCell ref="B100:F100"/>
    <mergeCell ref="B101:F10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57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40.140625" style="32" customWidth="1"/>
    <col min="3" max="3" width="25.7109375" style="32" customWidth="1"/>
    <col min="4" max="4" width="16" style="32" bestFit="1" customWidth="1"/>
    <col min="5" max="9" width="13.7109375" style="32" customWidth="1"/>
    <col min="10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707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25.5" x14ac:dyDescent="0.2">
      <c r="A7" s="6">
        <v>1</v>
      </c>
      <c r="B7" s="7" t="s">
        <v>31</v>
      </c>
      <c r="C7" s="11" t="s">
        <v>32</v>
      </c>
      <c r="D7" s="2" t="s">
        <v>33</v>
      </c>
      <c r="E7" s="47">
        <v>87000</v>
      </c>
      <c r="F7" s="53">
        <v>1273.9845</v>
      </c>
      <c r="G7" s="5">
        <v>8.7321987741514159E-2</v>
      </c>
    </row>
    <row r="8" spans="1:7" ht="25.5" x14ac:dyDescent="0.2">
      <c r="A8" s="6">
        <v>2</v>
      </c>
      <c r="B8" s="7" t="s">
        <v>432</v>
      </c>
      <c r="C8" s="11" t="s">
        <v>433</v>
      </c>
      <c r="D8" s="2" t="s">
        <v>72</v>
      </c>
      <c r="E8" s="47">
        <v>55500</v>
      </c>
      <c r="F8" s="53">
        <v>1183.2045000000001</v>
      </c>
      <c r="G8" s="5">
        <v>8.1099706350198447E-2</v>
      </c>
    </row>
    <row r="9" spans="1:7" ht="12.75" x14ac:dyDescent="0.2">
      <c r="A9" s="6">
        <v>3</v>
      </c>
      <c r="B9" s="7" t="s">
        <v>36</v>
      </c>
      <c r="C9" s="11" t="s">
        <v>37</v>
      </c>
      <c r="D9" s="2" t="s">
        <v>16</v>
      </c>
      <c r="E9" s="47">
        <v>71660</v>
      </c>
      <c r="F9" s="53">
        <v>881.66881000000001</v>
      </c>
      <c r="G9" s="5">
        <v>6.043171876808185E-2</v>
      </c>
    </row>
    <row r="10" spans="1:7" ht="12.75" x14ac:dyDescent="0.2">
      <c r="A10" s="6">
        <v>4</v>
      </c>
      <c r="B10" s="7" t="s">
        <v>498</v>
      </c>
      <c r="C10" s="11" t="s">
        <v>499</v>
      </c>
      <c r="D10" s="2" t="s">
        <v>242</v>
      </c>
      <c r="E10" s="47">
        <v>81780</v>
      </c>
      <c r="F10" s="53">
        <v>560.68367999999998</v>
      </c>
      <c r="G10" s="5">
        <v>3.843061939280034E-2</v>
      </c>
    </row>
    <row r="11" spans="1:7" ht="25.5" x14ac:dyDescent="0.2">
      <c r="A11" s="6">
        <v>5</v>
      </c>
      <c r="B11" s="7" t="s">
        <v>424</v>
      </c>
      <c r="C11" s="11" t="s">
        <v>425</v>
      </c>
      <c r="D11" s="2" t="s">
        <v>30</v>
      </c>
      <c r="E11" s="47">
        <v>22200</v>
      </c>
      <c r="F11" s="53">
        <v>482.92770000000002</v>
      </c>
      <c r="G11" s="5">
        <v>3.3101035922680086E-2</v>
      </c>
    </row>
    <row r="12" spans="1:7" ht="12.75" x14ac:dyDescent="0.2">
      <c r="A12" s="6">
        <v>6</v>
      </c>
      <c r="B12" s="7" t="s">
        <v>436</v>
      </c>
      <c r="C12" s="11" t="s">
        <v>437</v>
      </c>
      <c r="D12" s="2" t="s">
        <v>237</v>
      </c>
      <c r="E12" s="47">
        <v>73900</v>
      </c>
      <c r="F12" s="53">
        <v>448.16654999999997</v>
      </c>
      <c r="G12" s="5">
        <v>3.0718422386816078E-2</v>
      </c>
    </row>
    <row r="13" spans="1:7" ht="25.5" x14ac:dyDescent="0.2">
      <c r="A13" s="6">
        <v>7</v>
      </c>
      <c r="B13" s="7" t="s">
        <v>418</v>
      </c>
      <c r="C13" s="11" t="s">
        <v>419</v>
      </c>
      <c r="D13" s="2" t="s">
        <v>30</v>
      </c>
      <c r="E13" s="47">
        <v>156250</v>
      </c>
      <c r="F13" s="53">
        <v>402.578125</v>
      </c>
      <c r="G13" s="5">
        <v>2.7593681160368713E-2</v>
      </c>
    </row>
    <row r="14" spans="1:7" ht="12.75" x14ac:dyDescent="0.2">
      <c r="A14" s="6">
        <v>8</v>
      </c>
      <c r="B14" s="7" t="s">
        <v>14</v>
      </c>
      <c r="C14" s="11" t="s">
        <v>15</v>
      </c>
      <c r="D14" s="2" t="s">
        <v>16</v>
      </c>
      <c r="E14" s="47">
        <v>84850</v>
      </c>
      <c r="F14" s="53">
        <v>392.89792499999999</v>
      </c>
      <c r="G14" s="5">
        <v>2.693017677257168E-2</v>
      </c>
    </row>
    <row r="15" spans="1:7" ht="12.75" x14ac:dyDescent="0.2">
      <c r="A15" s="6">
        <v>9</v>
      </c>
      <c r="B15" s="7" t="s">
        <v>515</v>
      </c>
      <c r="C15" s="11" t="s">
        <v>516</v>
      </c>
      <c r="D15" s="2" t="s">
        <v>242</v>
      </c>
      <c r="E15" s="47">
        <v>52745</v>
      </c>
      <c r="F15" s="53">
        <v>389.78555</v>
      </c>
      <c r="G15" s="5">
        <v>2.6716847040854384E-2</v>
      </c>
    </row>
    <row r="16" spans="1:7" ht="25.5" x14ac:dyDescent="0.2">
      <c r="A16" s="6">
        <v>10</v>
      </c>
      <c r="B16" s="7" t="s">
        <v>568</v>
      </c>
      <c r="C16" s="11" t="s">
        <v>569</v>
      </c>
      <c r="D16" s="2" t="s">
        <v>30</v>
      </c>
      <c r="E16" s="47">
        <v>75250</v>
      </c>
      <c r="F16" s="53">
        <v>347.61737499999998</v>
      </c>
      <c r="G16" s="5">
        <v>2.3826538045390134E-2</v>
      </c>
    </row>
    <row r="17" spans="1:7" ht="12.75" x14ac:dyDescent="0.2">
      <c r="A17" s="6">
        <v>11</v>
      </c>
      <c r="B17" s="7" t="s">
        <v>517</v>
      </c>
      <c r="C17" s="11" t="s">
        <v>518</v>
      </c>
      <c r="D17" s="2" t="s">
        <v>19</v>
      </c>
      <c r="E17" s="47">
        <v>38750</v>
      </c>
      <c r="F17" s="53">
        <v>297.890625</v>
      </c>
      <c r="G17" s="5">
        <v>2.0418145985733729E-2</v>
      </c>
    </row>
    <row r="18" spans="1:7" ht="12.75" x14ac:dyDescent="0.2">
      <c r="A18" s="6">
        <v>12</v>
      </c>
      <c r="B18" s="7" t="s">
        <v>708</v>
      </c>
      <c r="C18" s="11" t="s">
        <v>709</v>
      </c>
      <c r="D18" s="2" t="s">
        <v>290</v>
      </c>
      <c r="E18" s="47">
        <v>220800</v>
      </c>
      <c r="F18" s="53">
        <v>256.68</v>
      </c>
      <c r="G18" s="5">
        <v>1.7593469789853686E-2</v>
      </c>
    </row>
    <row r="19" spans="1:7" ht="25.5" x14ac:dyDescent="0.2">
      <c r="A19" s="6">
        <v>13</v>
      </c>
      <c r="B19" s="7" t="s">
        <v>11</v>
      </c>
      <c r="C19" s="11" t="s">
        <v>12</v>
      </c>
      <c r="D19" s="2" t="s">
        <v>13</v>
      </c>
      <c r="E19" s="47">
        <v>16000</v>
      </c>
      <c r="F19" s="53">
        <v>235.68799999999999</v>
      </c>
      <c r="G19" s="5">
        <v>1.6154627192734281E-2</v>
      </c>
    </row>
    <row r="20" spans="1:7" ht="12.75" x14ac:dyDescent="0.2">
      <c r="A20" s="6">
        <v>14</v>
      </c>
      <c r="B20" s="7" t="s">
        <v>496</v>
      </c>
      <c r="C20" s="11" t="s">
        <v>497</v>
      </c>
      <c r="D20" s="2" t="s">
        <v>16</v>
      </c>
      <c r="E20" s="47">
        <v>14950</v>
      </c>
      <c r="F20" s="53">
        <v>235.38775000000001</v>
      </c>
      <c r="G20" s="5">
        <v>1.6134047329463271E-2</v>
      </c>
    </row>
    <row r="21" spans="1:7" ht="12.75" x14ac:dyDescent="0.2">
      <c r="A21" s="6">
        <v>15</v>
      </c>
      <c r="B21" s="7" t="s">
        <v>502</v>
      </c>
      <c r="C21" s="11" t="s">
        <v>503</v>
      </c>
      <c r="D21" s="2" t="s">
        <v>16</v>
      </c>
      <c r="E21" s="47">
        <v>64000</v>
      </c>
      <c r="F21" s="53">
        <v>199.93600000000001</v>
      </c>
      <c r="G21" s="5">
        <v>1.3704098394515299E-2</v>
      </c>
    </row>
    <row r="22" spans="1:7" ht="25.5" x14ac:dyDescent="0.2">
      <c r="A22" s="6">
        <v>16</v>
      </c>
      <c r="B22" s="7" t="s">
        <v>404</v>
      </c>
      <c r="C22" s="11" t="s">
        <v>405</v>
      </c>
      <c r="D22" s="2" t="s">
        <v>72</v>
      </c>
      <c r="E22" s="47">
        <v>20100</v>
      </c>
      <c r="F22" s="53">
        <v>199.29150000000001</v>
      </c>
      <c r="G22" s="5">
        <v>1.3659922801249127E-2</v>
      </c>
    </row>
    <row r="23" spans="1:7" ht="25.5" x14ac:dyDescent="0.2">
      <c r="A23" s="6">
        <v>17</v>
      </c>
      <c r="B23" s="7" t="s">
        <v>710</v>
      </c>
      <c r="C23" s="11" t="s">
        <v>711</v>
      </c>
      <c r="D23" s="2" t="s">
        <v>30</v>
      </c>
      <c r="E23" s="47">
        <v>1655</v>
      </c>
      <c r="F23" s="53">
        <v>152.54962499999999</v>
      </c>
      <c r="G23" s="5">
        <v>1.045612131405255E-2</v>
      </c>
    </row>
    <row r="24" spans="1:7" ht="12.75" x14ac:dyDescent="0.2">
      <c r="A24" s="6">
        <v>18</v>
      </c>
      <c r="B24" s="7" t="s">
        <v>535</v>
      </c>
      <c r="C24" s="11" t="s">
        <v>536</v>
      </c>
      <c r="D24" s="2" t="s">
        <v>72</v>
      </c>
      <c r="E24" s="47">
        <v>1800</v>
      </c>
      <c r="F24" s="53">
        <v>146.41829999999999</v>
      </c>
      <c r="G24" s="5">
        <v>1.0035865426724848E-2</v>
      </c>
    </row>
    <row r="25" spans="1:7" ht="12.75" x14ac:dyDescent="0.2">
      <c r="A25" s="6">
        <v>19</v>
      </c>
      <c r="B25" s="7" t="s">
        <v>408</v>
      </c>
      <c r="C25" s="11" t="s">
        <v>409</v>
      </c>
      <c r="D25" s="2" t="s">
        <v>16</v>
      </c>
      <c r="E25" s="47">
        <v>19850</v>
      </c>
      <c r="F25" s="53">
        <v>146.16547499999999</v>
      </c>
      <c r="G25" s="5">
        <v>1.0018536187985485E-2</v>
      </c>
    </row>
    <row r="26" spans="1:7" ht="12.75" x14ac:dyDescent="0.2">
      <c r="A26" s="6">
        <v>20</v>
      </c>
      <c r="B26" s="7" t="s">
        <v>661</v>
      </c>
      <c r="C26" s="11" t="s">
        <v>662</v>
      </c>
      <c r="D26" s="2" t="s">
        <v>226</v>
      </c>
      <c r="E26" s="47">
        <v>31000</v>
      </c>
      <c r="F26" s="53">
        <v>144.7235</v>
      </c>
      <c r="G26" s="5">
        <v>9.9196997239048238E-3</v>
      </c>
    </row>
    <row r="27" spans="1:7" ht="25.5" x14ac:dyDescent="0.2">
      <c r="A27" s="6">
        <v>21</v>
      </c>
      <c r="B27" s="7" t="s">
        <v>416</v>
      </c>
      <c r="C27" s="11" t="s">
        <v>417</v>
      </c>
      <c r="D27" s="2" t="s">
        <v>72</v>
      </c>
      <c r="E27" s="47">
        <v>20300</v>
      </c>
      <c r="F27" s="53">
        <v>127.1186</v>
      </c>
      <c r="G27" s="5">
        <v>8.7130171763615972E-3</v>
      </c>
    </row>
    <row r="28" spans="1:7" ht="12.75" x14ac:dyDescent="0.2">
      <c r="A28" s="6">
        <v>22</v>
      </c>
      <c r="B28" s="7" t="s">
        <v>523</v>
      </c>
      <c r="C28" s="11" t="s">
        <v>524</v>
      </c>
      <c r="D28" s="2" t="s">
        <v>242</v>
      </c>
      <c r="E28" s="47">
        <v>10300</v>
      </c>
      <c r="F28" s="53">
        <v>119.76325</v>
      </c>
      <c r="G28" s="5">
        <v>8.2088636466015833E-3</v>
      </c>
    </row>
    <row r="29" spans="1:7" ht="12.75" x14ac:dyDescent="0.2">
      <c r="A29" s="6">
        <v>23</v>
      </c>
      <c r="B29" s="7" t="s">
        <v>379</v>
      </c>
      <c r="C29" s="11" t="s">
        <v>380</v>
      </c>
      <c r="D29" s="2" t="s">
        <v>226</v>
      </c>
      <c r="E29" s="47">
        <v>6500</v>
      </c>
      <c r="F29" s="53">
        <v>115.45950000000001</v>
      </c>
      <c r="G29" s="5">
        <v>7.9138741826461426E-3</v>
      </c>
    </row>
    <row r="30" spans="1:7" ht="25.5" x14ac:dyDescent="0.2">
      <c r="A30" s="6">
        <v>24</v>
      </c>
      <c r="B30" s="7" t="s">
        <v>659</v>
      </c>
      <c r="C30" s="11" t="s">
        <v>660</v>
      </c>
      <c r="D30" s="2" t="s">
        <v>72</v>
      </c>
      <c r="E30" s="47">
        <v>9600</v>
      </c>
      <c r="F30" s="53">
        <v>109.3104</v>
      </c>
      <c r="G30" s="5">
        <v>7.4923999537043103E-3</v>
      </c>
    </row>
    <row r="31" spans="1:7" ht="25.5" x14ac:dyDescent="0.2">
      <c r="A31" s="6">
        <v>25</v>
      </c>
      <c r="B31" s="7" t="s">
        <v>645</v>
      </c>
      <c r="C31" s="11" t="s">
        <v>646</v>
      </c>
      <c r="D31" s="2" t="s">
        <v>226</v>
      </c>
      <c r="E31" s="47">
        <v>23100</v>
      </c>
      <c r="F31" s="53">
        <v>100.11539999999999</v>
      </c>
      <c r="G31" s="5">
        <v>6.8621523507835349E-3</v>
      </c>
    </row>
    <row r="32" spans="1:7" ht="25.5" x14ac:dyDescent="0.2">
      <c r="A32" s="6">
        <v>26</v>
      </c>
      <c r="B32" s="7" t="s">
        <v>560</v>
      </c>
      <c r="C32" s="11" t="s">
        <v>561</v>
      </c>
      <c r="D32" s="2" t="s">
        <v>30</v>
      </c>
      <c r="E32" s="47">
        <v>650</v>
      </c>
      <c r="F32" s="53">
        <v>97.155500000000004</v>
      </c>
      <c r="G32" s="5">
        <v>6.6592736254017836E-3</v>
      </c>
    </row>
    <row r="33" spans="1:7" ht="25.5" x14ac:dyDescent="0.2">
      <c r="A33" s="6">
        <v>27</v>
      </c>
      <c r="B33" s="7" t="s">
        <v>422</v>
      </c>
      <c r="C33" s="11" t="s">
        <v>423</v>
      </c>
      <c r="D33" s="2" t="s">
        <v>30</v>
      </c>
      <c r="E33" s="47">
        <v>14680</v>
      </c>
      <c r="F33" s="53">
        <v>91.742660000000001</v>
      </c>
      <c r="G33" s="5">
        <v>6.2882644426944766E-3</v>
      </c>
    </row>
    <row r="34" spans="1:7" ht="12.75" x14ac:dyDescent="0.2">
      <c r="A34" s="6">
        <v>28</v>
      </c>
      <c r="B34" s="7" t="s">
        <v>448</v>
      </c>
      <c r="C34" s="11" t="s">
        <v>449</v>
      </c>
      <c r="D34" s="2" t="s">
        <v>242</v>
      </c>
      <c r="E34" s="47">
        <v>3740</v>
      </c>
      <c r="F34" s="53">
        <v>84.884910000000005</v>
      </c>
      <c r="G34" s="5">
        <v>5.818217623887522E-3</v>
      </c>
    </row>
    <row r="35" spans="1:7" ht="12.75" x14ac:dyDescent="0.2">
      <c r="A35" s="6">
        <v>29</v>
      </c>
      <c r="B35" s="7" t="s">
        <v>91</v>
      </c>
      <c r="C35" s="11" t="s">
        <v>92</v>
      </c>
      <c r="D35" s="2" t="s">
        <v>19</v>
      </c>
      <c r="E35" s="47">
        <v>2000</v>
      </c>
      <c r="F35" s="53">
        <v>82.864000000000004</v>
      </c>
      <c r="G35" s="5">
        <v>5.6796995506717936E-3</v>
      </c>
    </row>
    <row r="36" spans="1:7" ht="12.75" x14ac:dyDescent="0.2">
      <c r="A36" s="6">
        <v>30</v>
      </c>
      <c r="B36" s="7" t="s">
        <v>316</v>
      </c>
      <c r="C36" s="11" t="s">
        <v>317</v>
      </c>
      <c r="D36" s="2" t="s">
        <v>16</v>
      </c>
      <c r="E36" s="47">
        <v>95000</v>
      </c>
      <c r="F36" s="53">
        <v>79.61</v>
      </c>
      <c r="G36" s="5">
        <v>5.4566624979361534E-3</v>
      </c>
    </row>
    <row r="37" spans="1:7" ht="12.75" x14ac:dyDescent="0.2">
      <c r="A37" s="6">
        <v>31</v>
      </c>
      <c r="B37" s="7" t="s">
        <v>17</v>
      </c>
      <c r="C37" s="11" t="s">
        <v>18</v>
      </c>
      <c r="D37" s="2" t="s">
        <v>19</v>
      </c>
      <c r="E37" s="47">
        <v>9800</v>
      </c>
      <c r="F37" s="53">
        <v>76.910399999999996</v>
      </c>
      <c r="G37" s="5">
        <v>5.2716253659247422E-3</v>
      </c>
    </row>
    <row r="38" spans="1:7" ht="12.75" x14ac:dyDescent="0.2">
      <c r="A38" s="6">
        <v>32</v>
      </c>
      <c r="B38" s="7" t="s">
        <v>332</v>
      </c>
      <c r="C38" s="11" t="s">
        <v>333</v>
      </c>
      <c r="D38" s="2" t="s">
        <v>158</v>
      </c>
      <c r="E38" s="47">
        <v>12000</v>
      </c>
      <c r="F38" s="53">
        <v>75.215999999999994</v>
      </c>
      <c r="G38" s="5">
        <v>5.1554870800749365E-3</v>
      </c>
    </row>
    <row r="39" spans="1:7" ht="25.5" x14ac:dyDescent="0.2">
      <c r="A39" s="6">
        <v>33</v>
      </c>
      <c r="B39" s="7" t="s">
        <v>406</v>
      </c>
      <c r="C39" s="11" t="s">
        <v>407</v>
      </c>
      <c r="D39" s="2" t="s">
        <v>47</v>
      </c>
      <c r="E39" s="47">
        <v>29500</v>
      </c>
      <c r="F39" s="53">
        <v>73.4255</v>
      </c>
      <c r="G39" s="5">
        <v>5.0327618671298967E-3</v>
      </c>
    </row>
    <row r="40" spans="1:7" ht="25.5" x14ac:dyDescent="0.2">
      <c r="A40" s="6">
        <v>34</v>
      </c>
      <c r="B40" s="7" t="s">
        <v>444</v>
      </c>
      <c r="C40" s="11" t="s">
        <v>445</v>
      </c>
      <c r="D40" s="2" t="s">
        <v>27</v>
      </c>
      <c r="E40" s="47">
        <v>4300</v>
      </c>
      <c r="F40" s="53">
        <v>71.212299999999999</v>
      </c>
      <c r="G40" s="5">
        <v>4.8810637709053983E-3</v>
      </c>
    </row>
    <row r="41" spans="1:7" ht="12.75" x14ac:dyDescent="0.2">
      <c r="A41" s="6">
        <v>35</v>
      </c>
      <c r="B41" s="7" t="s">
        <v>500</v>
      </c>
      <c r="C41" s="11" t="s">
        <v>501</v>
      </c>
      <c r="D41" s="2" t="s">
        <v>40</v>
      </c>
      <c r="E41" s="47">
        <v>50000</v>
      </c>
      <c r="F41" s="53">
        <v>61.2</v>
      </c>
      <c r="G41" s="5">
        <v>4.1947964435836279E-3</v>
      </c>
    </row>
    <row r="42" spans="1:7" ht="25.5" x14ac:dyDescent="0.2">
      <c r="A42" s="6">
        <v>36</v>
      </c>
      <c r="B42" s="7" t="s">
        <v>434</v>
      </c>
      <c r="C42" s="11" t="s">
        <v>435</v>
      </c>
      <c r="D42" s="2" t="s">
        <v>30</v>
      </c>
      <c r="E42" s="47">
        <v>3000</v>
      </c>
      <c r="F42" s="53">
        <v>54.287999999999997</v>
      </c>
      <c r="G42" s="5">
        <v>3.7210311981906532E-3</v>
      </c>
    </row>
    <row r="43" spans="1:7" ht="25.5" x14ac:dyDescent="0.2">
      <c r="A43" s="6">
        <v>37</v>
      </c>
      <c r="B43" s="7" t="s">
        <v>525</v>
      </c>
      <c r="C43" s="11" t="s">
        <v>526</v>
      </c>
      <c r="D43" s="2" t="s">
        <v>33</v>
      </c>
      <c r="E43" s="47">
        <v>36600</v>
      </c>
      <c r="F43" s="53">
        <v>53.7288</v>
      </c>
      <c r="G43" s="5">
        <v>3.6827022738237913E-3</v>
      </c>
    </row>
    <row r="44" spans="1:7" ht="25.5" x14ac:dyDescent="0.2">
      <c r="A44" s="6">
        <v>38</v>
      </c>
      <c r="B44" s="7" t="s">
        <v>28</v>
      </c>
      <c r="C44" s="11" t="s">
        <v>29</v>
      </c>
      <c r="D44" s="2" t="s">
        <v>30</v>
      </c>
      <c r="E44" s="47">
        <v>7000</v>
      </c>
      <c r="F44" s="53">
        <v>38.878</v>
      </c>
      <c r="G44" s="5">
        <v>2.6647924204843839E-3</v>
      </c>
    </row>
    <row r="45" spans="1:7" ht="12.75" x14ac:dyDescent="0.2">
      <c r="A45" s="6">
        <v>39</v>
      </c>
      <c r="B45" s="7" t="s">
        <v>63</v>
      </c>
      <c r="C45" s="11" t="s">
        <v>64</v>
      </c>
      <c r="D45" s="2" t="s">
        <v>65</v>
      </c>
      <c r="E45" s="47">
        <v>10000</v>
      </c>
      <c r="F45" s="53">
        <v>37.424999999999997</v>
      </c>
      <c r="G45" s="5">
        <v>2.5652002761620469E-3</v>
      </c>
    </row>
    <row r="46" spans="1:7" ht="12.75" x14ac:dyDescent="0.2">
      <c r="A46" s="1"/>
      <c r="B46" s="2"/>
      <c r="C46" s="8" t="s">
        <v>108</v>
      </c>
      <c r="D46" s="12"/>
      <c r="E46" s="49"/>
      <c r="F46" s="55">
        <v>9928.5537100000056</v>
      </c>
      <c r="G46" s="13">
        <v>0.68052715347446158</v>
      </c>
    </row>
    <row r="47" spans="1:7" ht="12.75" x14ac:dyDescent="0.2">
      <c r="A47" s="6"/>
      <c r="B47" s="7"/>
      <c r="C47" s="14"/>
      <c r="D47" s="15"/>
      <c r="E47" s="47"/>
      <c r="F47" s="53"/>
      <c r="G47" s="5"/>
    </row>
    <row r="48" spans="1:7" ht="12.75" x14ac:dyDescent="0.2">
      <c r="A48" s="1"/>
      <c r="B48" s="2"/>
      <c r="C48" s="8" t="s">
        <v>109</v>
      </c>
      <c r="D48" s="9"/>
      <c r="E48" s="48"/>
      <c r="F48" s="54"/>
      <c r="G48" s="10"/>
    </row>
    <row r="49" spans="1:7" ht="12.75" x14ac:dyDescent="0.2">
      <c r="A49" s="1"/>
      <c r="B49" s="2"/>
      <c r="C49" s="8" t="s">
        <v>108</v>
      </c>
      <c r="D49" s="12"/>
      <c r="E49" s="49"/>
      <c r="F49" s="55">
        <v>0</v>
      </c>
      <c r="G49" s="13">
        <v>0</v>
      </c>
    </row>
    <row r="50" spans="1:7" ht="12.75" x14ac:dyDescent="0.2">
      <c r="A50" s="6"/>
      <c r="B50" s="7"/>
      <c r="C50" s="14"/>
      <c r="D50" s="15"/>
      <c r="E50" s="47"/>
      <c r="F50" s="53"/>
      <c r="G50" s="5"/>
    </row>
    <row r="51" spans="1:7" ht="12.75" x14ac:dyDescent="0.2">
      <c r="A51" s="16"/>
      <c r="B51" s="17"/>
      <c r="C51" s="8" t="s">
        <v>110</v>
      </c>
      <c r="D51" s="9"/>
      <c r="E51" s="48"/>
      <c r="F51" s="54"/>
      <c r="G51" s="10"/>
    </row>
    <row r="52" spans="1:7" ht="12.75" x14ac:dyDescent="0.2">
      <c r="A52" s="18"/>
      <c r="B52" s="19"/>
      <c r="C52" s="8" t="s">
        <v>108</v>
      </c>
      <c r="D52" s="20"/>
      <c r="E52" s="50"/>
      <c r="F52" s="56">
        <v>0</v>
      </c>
      <c r="G52" s="21">
        <v>0</v>
      </c>
    </row>
    <row r="53" spans="1:7" ht="12.75" x14ac:dyDescent="0.2">
      <c r="A53" s="18"/>
      <c r="B53" s="19"/>
      <c r="C53" s="14"/>
      <c r="D53" s="22"/>
      <c r="E53" s="51"/>
      <c r="F53" s="57"/>
      <c r="G53" s="23"/>
    </row>
    <row r="54" spans="1:7" ht="12.75" x14ac:dyDescent="0.2">
      <c r="A54" s="1"/>
      <c r="B54" s="2"/>
      <c r="C54" s="8" t="s">
        <v>113</v>
      </c>
      <c r="D54" s="9"/>
      <c r="E54" s="48"/>
      <c r="F54" s="54"/>
      <c r="G54" s="10"/>
    </row>
    <row r="55" spans="1:7" ht="12.75" x14ac:dyDescent="0.2">
      <c r="A55" s="1"/>
      <c r="B55" s="2"/>
      <c r="C55" s="8" t="s">
        <v>108</v>
      </c>
      <c r="D55" s="12"/>
      <c r="E55" s="49"/>
      <c r="F55" s="55">
        <v>0</v>
      </c>
      <c r="G55" s="13">
        <v>0</v>
      </c>
    </row>
    <row r="56" spans="1:7" ht="12.75" x14ac:dyDescent="0.2">
      <c r="A56" s="1"/>
      <c r="B56" s="2"/>
      <c r="C56" s="14"/>
      <c r="D56" s="4"/>
      <c r="E56" s="47"/>
      <c r="F56" s="53"/>
      <c r="G56" s="5"/>
    </row>
    <row r="57" spans="1:7" ht="12.75" x14ac:dyDescent="0.2">
      <c r="A57" s="1"/>
      <c r="B57" s="2"/>
      <c r="C57" s="8" t="s">
        <v>114</v>
      </c>
      <c r="D57" s="9"/>
      <c r="E57" s="48"/>
      <c r="F57" s="54"/>
      <c r="G57" s="10"/>
    </row>
    <row r="58" spans="1:7" ht="12.75" x14ac:dyDescent="0.2">
      <c r="A58" s="1"/>
      <c r="B58" s="2"/>
      <c r="C58" s="8" t="s">
        <v>108</v>
      </c>
      <c r="D58" s="12"/>
      <c r="E58" s="49"/>
      <c r="F58" s="55">
        <v>0</v>
      </c>
      <c r="G58" s="13">
        <v>0</v>
      </c>
    </row>
    <row r="59" spans="1:7" ht="12.75" x14ac:dyDescent="0.2">
      <c r="A59" s="1"/>
      <c r="B59" s="2"/>
      <c r="C59" s="14"/>
      <c r="D59" s="4"/>
      <c r="E59" s="47"/>
      <c r="F59" s="53"/>
      <c r="G59" s="5"/>
    </row>
    <row r="60" spans="1:7" ht="12.75" x14ac:dyDescent="0.2">
      <c r="A60" s="1"/>
      <c r="B60" s="2"/>
      <c r="C60" s="8" t="s">
        <v>115</v>
      </c>
      <c r="D60" s="9"/>
      <c r="E60" s="48"/>
      <c r="F60" s="54"/>
      <c r="G60" s="10"/>
    </row>
    <row r="61" spans="1:7" ht="12.75" x14ac:dyDescent="0.2">
      <c r="A61" s="6">
        <v>1</v>
      </c>
      <c r="B61" s="152"/>
      <c r="C61" s="160" t="s">
        <v>816</v>
      </c>
      <c r="D61" s="15" t="s">
        <v>395</v>
      </c>
      <c r="E61" s="127">
        <v>-42000</v>
      </c>
      <c r="F61" s="144">
        <v>-35.343000000000004</v>
      </c>
      <c r="G61" s="149">
        <v>-2.4224949461695454E-3</v>
      </c>
    </row>
    <row r="62" spans="1:7" ht="12.75" x14ac:dyDescent="0.2">
      <c r="A62" s="6">
        <v>2</v>
      </c>
      <c r="B62" s="151"/>
      <c r="C62" s="159" t="s">
        <v>840</v>
      </c>
      <c r="D62" s="15" t="s">
        <v>395</v>
      </c>
      <c r="E62" s="127">
        <v>-2000</v>
      </c>
      <c r="F62" s="144">
        <v>-83.241</v>
      </c>
      <c r="G62" s="149">
        <v>-5.7055400451036728E-3</v>
      </c>
    </row>
    <row r="63" spans="1:7" ht="12.75" x14ac:dyDescent="0.2">
      <c r="A63" s="6">
        <v>3</v>
      </c>
      <c r="B63" s="151"/>
      <c r="C63" s="159" t="s">
        <v>818</v>
      </c>
      <c r="D63" s="15" t="s">
        <v>395</v>
      </c>
      <c r="E63" s="127">
        <v>-23100</v>
      </c>
      <c r="F63" s="144">
        <v>-100.20780000000001</v>
      </c>
      <c r="G63" s="149">
        <v>-6.8684856709042398E-3</v>
      </c>
    </row>
    <row r="64" spans="1:7" ht="25.5" x14ac:dyDescent="0.2">
      <c r="A64" s="6">
        <v>4</v>
      </c>
      <c r="B64" s="151"/>
      <c r="C64" s="159" t="s">
        <v>817</v>
      </c>
      <c r="D64" s="15" t="s">
        <v>395</v>
      </c>
      <c r="E64" s="127">
        <v>-9600</v>
      </c>
      <c r="F64" s="144">
        <v>-109.3728</v>
      </c>
      <c r="G64" s="149">
        <v>-7.4966770010585528E-3</v>
      </c>
    </row>
    <row r="65" spans="1:7" ht="12.75" x14ac:dyDescent="0.2">
      <c r="A65" s="6">
        <v>5</v>
      </c>
      <c r="B65" s="151"/>
      <c r="C65" s="159" t="s">
        <v>819</v>
      </c>
      <c r="D65" s="15" t="s">
        <v>395</v>
      </c>
      <c r="E65" s="127">
        <v>-55200</v>
      </c>
      <c r="F65" s="144">
        <v>-142.74719999999999</v>
      </c>
      <c r="G65" s="149">
        <v>-9.7842393282928236E-3</v>
      </c>
    </row>
    <row r="66" spans="1:7" ht="12.75" x14ac:dyDescent="0.2">
      <c r="A66" s="6">
        <v>6</v>
      </c>
      <c r="B66" s="151"/>
      <c r="C66" s="159" t="s">
        <v>820</v>
      </c>
      <c r="D66" s="15" t="s">
        <v>395</v>
      </c>
      <c r="E66" s="127">
        <v>-31000</v>
      </c>
      <c r="F66" s="144">
        <v>-145.607</v>
      </c>
      <c r="G66" s="149">
        <v>-9.9802569568771451E-3</v>
      </c>
    </row>
    <row r="67" spans="1:7" ht="12.75" x14ac:dyDescent="0.2">
      <c r="A67" s="6">
        <v>7</v>
      </c>
      <c r="B67" s="151"/>
      <c r="C67" s="159" t="s">
        <v>822</v>
      </c>
      <c r="D67" s="15" t="s">
        <v>395</v>
      </c>
      <c r="E67" s="127">
        <v>-21750</v>
      </c>
      <c r="F67" s="144">
        <v>-167.93174999999999</v>
      </c>
      <c r="G67" s="149">
        <v>-1.1510449471646648E-2</v>
      </c>
    </row>
    <row r="68" spans="1:7" ht="25.5" x14ac:dyDescent="0.2">
      <c r="A68" s="6">
        <v>8</v>
      </c>
      <c r="B68" s="151"/>
      <c r="C68" s="159" t="s">
        <v>821</v>
      </c>
      <c r="D68" s="15" t="s">
        <v>395</v>
      </c>
      <c r="E68" s="127">
        <v>-220800</v>
      </c>
      <c r="F68" s="144">
        <v>-257.56319999999999</v>
      </c>
      <c r="G68" s="149">
        <v>-1.7654006460098345E-2</v>
      </c>
    </row>
    <row r="69" spans="1:7" ht="12.75" x14ac:dyDescent="0.2">
      <c r="A69" s="6">
        <v>9</v>
      </c>
      <c r="B69" s="151"/>
      <c r="C69" s="159" t="s">
        <v>516</v>
      </c>
      <c r="D69" s="15" t="s">
        <v>395</v>
      </c>
      <c r="E69" s="127">
        <v>-36000</v>
      </c>
      <c r="F69" s="144">
        <v>-267.20999999999998</v>
      </c>
      <c r="G69" s="149">
        <v>-1.8315221530882043E-2</v>
      </c>
    </row>
    <row r="70" spans="1:7" ht="12.75" x14ac:dyDescent="0.2">
      <c r="A70" s="6">
        <v>10</v>
      </c>
      <c r="B70" s="153"/>
      <c r="C70" s="160" t="s">
        <v>823</v>
      </c>
      <c r="D70" s="15" t="s">
        <v>395</v>
      </c>
      <c r="E70" s="127">
        <v>-40800</v>
      </c>
      <c r="F70" s="144">
        <v>-280.7244</v>
      </c>
      <c r="G70" s="149">
        <v>-1.92415312867181E-2</v>
      </c>
    </row>
    <row r="71" spans="1:7" ht="12.75" x14ac:dyDescent="0.2">
      <c r="A71" s="6">
        <v>11</v>
      </c>
      <c r="B71" s="154"/>
      <c r="C71" s="160" t="s">
        <v>824</v>
      </c>
      <c r="D71" s="15" t="s">
        <v>395</v>
      </c>
      <c r="E71" s="127">
        <v>-68750</v>
      </c>
      <c r="F71" s="144">
        <v>-317.96875</v>
      </c>
      <c r="G71" s="149">
        <v>-2.1794349373704766E-2</v>
      </c>
    </row>
    <row r="72" spans="1:7" ht="12.75" x14ac:dyDescent="0.2">
      <c r="A72" s="6">
        <v>12</v>
      </c>
      <c r="B72" s="155"/>
      <c r="C72" s="160" t="s">
        <v>826</v>
      </c>
      <c r="D72" s="15" t="s">
        <v>395</v>
      </c>
      <c r="E72" s="127">
        <v>-27500</v>
      </c>
      <c r="F72" s="144">
        <v>-338.84125</v>
      </c>
      <c r="G72" s="149">
        <v>-2.3225001150971095E-2</v>
      </c>
    </row>
    <row r="73" spans="1:7" ht="25.5" x14ac:dyDescent="0.2">
      <c r="A73" s="6">
        <v>13</v>
      </c>
      <c r="B73" s="156"/>
      <c r="C73" s="160" t="s">
        <v>825</v>
      </c>
      <c r="D73" s="15" t="s">
        <v>395</v>
      </c>
      <c r="E73" s="127">
        <v>-61000</v>
      </c>
      <c r="F73" s="144">
        <v>-371.64249999999998</v>
      </c>
      <c r="G73" s="149">
        <v>-2.5473278387002099E-2</v>
      </c>
    </row>
    <row r="74" spans="1:7" ht="25.5" x14ac:dyDescent="0.2">
      <c r="A74" s="6">
        <v>14</v>
      </c>
      <c r="B74" s="157"/>
      <c r="C74" s="160" t="s">
        <v>827</v>
      </c>
      <c r="D74" s="15" t="s">
        <v>395</v>
      </c>
      <c r="E74" s="127">
        <v>-22200</v>
      </c>
      <c r="F74" s="144">
        <v>-484.64819999999997</v>
      </c>
      <c r="G74" s="149">
        <v>-3.321896316583671E-2</v>
      </c>
    </row>
    <row r="75" spans="1:7" ht="25.5" x14ac:dyDescent="0.2">
      <c r="A75" s="6">
        <v>15</v>
      </c>
      <c r="B75" s="158"/>
      <c r="C75" s="160" t="s">
        <v>828</v>
      </c>
      <c r="D75" s="15" t="s">
        <v>395</v>
      </c>
      <c r="E75" s="127">
        <v>-35000</v>
      </c>
      <c r="F75" s="144">
        <v>-748.3</v>
      </c>
      <c r="G75" s="149">
        <v>-5.1290297038131184E-2</v>
      </c>
    </row>
    <row r="76" spans="1:7" ht="25.5" x14ac:dyDescent="0.2">
      <c r="A76" s="6">
        <v>16</v>
      </c>
      <c r="B76" s="160"/>
      <c r="C76" s="160" t="s">
        <v>829</v>
      </c>
      <c r="D76" s="15" t="s">
        <v>395</v>
      </c>
      <c r="E76" s="127">
        <v>-52500</v>
      </c>
      <c r="F76" s="144">
        <v>-772.09124999999995</v>
      </c>
      <c r="G76" s="149">
        <v>-5.2921007019967936E-2</v>
      </c>
    </row>
    <row r="77" spans="1:7" ht="12.75" x14ac:dyDescent="0.2">
      <c r="A77" s="1"/>
      <c r="B77" s="2"/>
      <c r="C77" s="8" t="s">
        <v>108</v>
      </c>
      <c r="D77" s="12"/>
      <c r="E77" s="49"/>
      <c r="F77" s="148">
        <v>-4623.4400999999998</v>
      </c>
      <c r="G77" s="150">
        <v>-0.31690179883336489</v>
      </c>
    </row>
    <row r="78" spans="1:7" ht="12.75" x14ac:dyDescent="0.2">
      <c r="A78" s="1"/>
      <c r="B78" s="2"/>
      <c r="C78" s="14"/>
      <c r="D78" s="4"/>
      <c r="E78" s="47"/>
      <c r="F78" s="53"/>
      <c r="G78" s="5"/>
    </row>
    <row r="79" spans="1:7" ht="25.5" x14ac:dyDescent="0.2">
      <c r="A79" s="6"/>
      <c r="B79" s="7"/>
      <c r="C79" s="24" t="s">
        <v>116</v>
      </c>
      <c r="D79" s="25"/>
      <c r="E79" s="49"/>
      <c r="F79" s="55">
        <v>9928.5537100000056</v>
      </c>
      <c r="G79" s="143">
        <v>0.68052715347446158</v>
      </c>
    </row>
    <row r="80" spans="1:7" ht="12.75" x14ac:dyDescent="0.2">
      <c r="A80" s="1"/>
      <c r="B80" s="2"/>
      <c r="C80" s="11"/>
      <c r="D80" s="4"/>
      <c r="E80" s="47"/>
      <c r="F80" s="53"/>
      <c r="G80" s="5"/>
    </row>
    <row r="81" spans="1:7" ht="12.75" x14ac:dyDescent="0.2">
      <c r="A81" s="1"/>
      <c r="B81" s="2"/>
      <c r="C81" s="3" t="s">
        <v>117</v>
      </c>
      <c r="D81" s="4"/>
      <c r="E81" s="47"/>
      <c r="F81" s="53"/>
      <c r="G81" s="5"/>
    </row>
    <row r="82" spans="1:7" ht="25.5" x14ac:dyDescent="0.2">
      <c r="A82" s="1"/>
      <c r="B82" s="2"/>
      <c r="C82" s="8" t="s">
        <v>10</v>
      </c>
      <c r="D82" s="9"/>
      <c r="E82" s="48"/>
      <c r="F82" s="54"/>
      <c r="G82" s="10"/>
    </row>
    <row r="83" spans="1:7" ht="38.25" x14ac:dyDescent="0.2">
      <c r="A83" s="1">
        <v>1</v>
      </c>
      <c r="B83" s="2" t="s">
        <v>712</v>
      </c>
      <c r="C83" s="11" t="s">
        <v>713</v>
      </c>
      <c r="D83" s="4" t="s">
        <v>714</v>
      </c>
      <c r="E83" s="47">
        <v>50</v>
      </c>
      <c r="F83" s="53">
        <v>517.71950000000004</v>
      </c>
      <c r="G83" s="5">
        <v>3.548575028388716E-2</v>
      </c>
    </row>
    <row r="84" spans="1:7" ht="25.5" x14ac:dyDescent="0.2">
      <c r="A84" s="1">
        <v>2</v>
      </c>
      <c r="B84" s="2" t="s">
        <v>715</v>
      </c>
      <c r="C84" s="11" t="s">
        <v>716</v>
      </c>
      <c r="D84" s="4" t="s">
        <v>584</v>
      </c>
      <c r="E84" s="47">
        <v>50</v>
      </c>
      <c r="F84" s="53">
        <v>517.12599999999998</v>
      </c>
      <c r="G84" s="5">
        <v>3.5445070354323968E-2</v>
      </c>
    </row>
    <row r="85" spans="1:7" ht="38.25" x14ac:dyDescent="0.2">
      <c r="A85" s="1">
        <v>3</v>
      </c>
      <c r="B85" s="2" t="s">
        <v>717</v>
      </c>
      <c r="C85" s="11" t="s">
        <v>718</v>
      </c>
      <c r="D85" s="4" t="s">
        <v>584</v>
      </c>
      <c r="E85" s="47">
        <v>50</v>
      </c>
      <c r="F85" s="53">
        <v>514.39700000000005</v>
      </c>
      <c r="G85" s="5">
        <v>3.5258018075001431E-2</v>
      </c>
    </row>
    <row r="86" spans="1:7" ht="38.25" x14ac:dyDescent="0.2">
      <c r="A86" s="1">
        <v>4</v>
      </c>
      <c r="B86" s="2" t="s">
        <v>719</v>
      </c>
      <c r="C86" s="11" t="s">
        <v>720</v>
      </c>
      <c r="D86" s="4" t="s">
        <v>584</v>
      </c>
      <c r="E86" s="47">
        <v>50</v>
      </c>
      <c r="F86" s="53">
        <v>509.57249999999999</v>
      </c>
      <c r="G86" s="5">
        <v>3.4927335142941475E-2</v>
      </c>
    </row>
    <row r="87" spans="1:7" ht="25.5" x14ac:dyDescent="0.2">
      <c r="A87" s="1">
        <v>5</v>
      </c>
      <c r="B87" s="2" t="s">
        <v>721</v>
      </c>
      <c r="C87" s="11" t="s">
        <v>722</v>
      </c>
      <c r="D87" s="4" t="s">
        <v>584</v>
      </c>
      <c r="E87" s="47">
        <v>40</v>
      </c>
      <c r="F87" s="53">
        <v>402.76479999999998</v>
      </c>
      <c r="G87" s="5">
        <v>2.7606476317658023E-2</v>
      </c>
    </row>
    <row r="88" spans="1:7" ht="25.5" x14ac:dyDescent="0.2">
      <c r="A88" s="1">
        <v>6</v>
      </c>
      <c r="B88" s="2" t="s">
        <v>723</v>
      </c>
      <c r="C88" s="11" t="s">
        <v>724</v>
      </c>
      <c r="D88" s="4" t="s">
        <v>584</v>
      </c>
      <c r="E88" s="47">
        <v>37</v>
      </c>
      <c r="F88" s="53">
        <v>374.90582999999998</v>
      </c>
      <c r="G88" s="5">
        <v>2.5696954940568107E-2</v>
      </c>
    </row>
    <row r="89" spans="1:7" ht="38.25" x14ac:dyDescent="0.2">
      <c r="A89" s="1">
        <v>7</v>
      </c>
      <c r="B89" s="2" t="s">
        <v>725</v>
      </c>
      <c r="C89" s="11" t="s">
        <v>726</v>
      </c>
      <c r="D89" s="4" t="s">
        <v>584</v>
      </c>
      <c r="E89" s="47">
        <v>20</v>
      </c>
      <c r="F89" s="53">
        <v>252.51974999999999</v>
      </c>
      <c r="G89" s="5">
        <v>1.7308316163964488E-2</v>
      </c>
    </row>
    <row r="90" spans="1:7" ht="12.75" x14ac:dyDescent="0.2">
      <c r="A90" s="6"/>
      <c r="B90" s="7"/>
      <c r="C90" s="8" t="s">
        <v>108</v>
      </c>
      <c r="D90" s="12"/>
      <c r="E90" s="49"/>
      <c r="F90" s="55">
        <v>3089.0053799999996</v>
      </c>
      <c r="G90" s="143">
        <v>0.21172792127834464</v>
      </c>
    </row>
    <row r="91" spans="1:7" ht="12.75" x14ac:dyDescent="0.2">
      <c r="A91" s="6"/>
      <c r="B91" s="7"/>
      <c r="C91" s="14"/>
      <c r="D91" s="4"/>
      <c r="E91" s="47"/>
      <c r="F91" s="53"/>
      <c r="G91" s="5"/>
    </row>
    <row r="92" spans="1:7" ht="12.75" x14ac:dyDescent="0.2">
      <c r="A92" s="1"/>
      <c r="B92" s="26"/>
      <c r="C92" s="8" t="s">
        <v>118</v>
      </c>
      <c r="D92" s="9"/>
      <c r="E92" s="48"/>
      <c r="F92" s="54"/>
      <c r="G92" s="10"/>
    </row>
    <row r="93" spans="1:7" ht="12.75" x14ac:dyDescent="0.2">
      <c r="A93" s="6"/>
      <c r="B93" s="7"/>
      <c r="C93" s="8" t="s">
        <v>108</v>
      </c>
      <c r="D93" s="12"/>
      <c r="E93" s="49"/>
      <c r="F93" s="55">
        <v>0</v>
      </c>
      <c r="G93" s="13">
        <v>0</v>
      </c>
    </row>
    <row r="94" spans="1:7" ht="12.75" x14ac:dyDescent="0.2">
      <c r="A94" s="6"/>
      <c r="B94" s="7"/>
      <c r="C94" s="14"/>
      <c r="D94" s="4"/>
      <c r="E94" s="47"/>
      <c r="F94" s="59"/>
      <c r="G94" s="28"/>
    </row>
    <row r="95" spans="1:7" ht="12.75" x14ac:dyDescent="0.2">
      <c r="A95" s="1"/>
      <c r="B95" s="2"/>
      <c r="C95" s="8" t="s">
        <v>119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12"/>
      <c r="E96" s="49"/>
      <c r="F96" s="55">
        <v>0</v>
      </c>
      <c r="G96" s="13">
        <v>0</v>
      </c>
    </row>
    <row r="97" spans="1:7" ht="12.75" x14ac:dyDescent="0.2">
      <c r="A97" s="1"/>
      <c r="B97" s="2"/>
      <c r="C97" s="14"/>
      <c r="D97" s="4"/>
      <c r="E97" s="47"/>
      <c r="F97" s="53"/>
      <c r="G97" s="5"/>
    </row>
    <row r="98" spans="1:7" ht="25.5" x14ac:dyDescent="0.2">
      <c r="A98" s="1"/>
      <c r="B98" s="26"/>
      <c r="C98" s="8" t="s">
        <v>120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12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4"/>
      <c r="E100" s="47"/>
      <c r="F100" s="53"/>
      <c r="G100" s="5"/>
    </row>
    <row r="101" spans="1:7" ht="12.75" x14ac:dyDescent="0.2">
      <c r="A101" s="6"/>
      <c r="B101" s="7"/>
      <c r="C101" s="29" t="s">
        <v>121</v>
      </c>
      <c r="D101" s="25"/>
      <c r="E101" s="49"/>
      <c r="F101" s="55">
        <v>3089.0053799999996</v>
      </c>
      <c r="G101" s="13">
        <v>0.21172791999999999</v>
      </c>
    </row>
    <row r="102" spans="1:7" ht="12.75" x14ac:dyDescent="0.2">
      <c r="A102" s="6"/>
      <c r="B102" s="7"/>
      <c r="C102" s="11"/>
      <c r="D102" s="4"/>
      <c r="E102" s="47"/>
      <c r="F102" s="53"/>
      <c r="G102" s="5"/>
    </row>
    <row r="103" spans="1:7" ht="12.75" x14ac:dyDescent="0.2">
      <c r="A103" s="1"/>
      <c r="B103" s="2"/>
      <c r="C103" s="3" t="s">
        <v>122</v>
      </c>
      <c r="D103" s="4"/>
      <c r="E103" s="47"/>
      <c r="F103" s="53"/>
      <c r="G103" s="5"/>
    </row>
    <row r="104" spans="1:7" ht="12.75" x14ac:dyDescent="0.2">
      <c r="A104" s="6"/>
      <c r="B104" s="7"/>
      <c r="C104" s="8" t="s">
        <v>123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12.75" x14ac:dyDescent="0.2">
      <c r="A107" s="6"/>
      <c r="B107" s="7"/>
      <c r="C107" s="8" t="s">
        <v>124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3"/>
      <c r="G109" s="5"/>
    </row>
    <row r="110" spans="1:7" ht="12.75" x14ac:dyDescent="0.2">
      <c r="A110" s="6"/>
      <c r="B110" s="7"/>
      <c r="C110" s="8" t="s">
        <v>125</v>
      </c>
      <c r="D110" s="9"/>
      <c r="E110" s="48"/>
      <c r="F110" s="54"/>
      <c r="G110" s="10"/>
    </row>
    <row r="111" spans="1:7" ht="12.75" x14ac:dyDescent="0.2">
      <c r="A111" s="6"/>
      <c r="B111" s="7"/>
      <c r="C111" s="8" t="s">
        <v>108</v>
      </c>
      <c r="D111" s="25"/>
      <c r="E111" s="49"/>
      <c r="F111" s="55">
        <v>0</v>
      </c>
      <c r="G111" s="13">
        <v>0</v>
      </c>
    </row>
    <row r="112" spans="1:7" ht="12.75" x14ac:dyDescent="0.2">
      <c r="A112" s="6"/>
      <c r="B112" s="7"/>
      <c r="C112" s="14"/>
      <c r="D112" s="7"/>
      <c r="E112" s="47"/>
      <c r="F112" s="53"/>
      <c r="G112" s="5"/>
    </row>
    <row r="113" spans="1:7" ht="12.75" x14ac:dyDescent="0.2">
      <c r="A113" s="6"/>
      <c r="B113" s="7"/>
      <c r="C113" s="8" t="s">
        <v>126</v>
      </c>
      <c r="D113" s="9"/>
      <c r="E113" s="48"/>
      <c r="F113" s="54"/>
      <c r="G113" s="10"/>
    </row>
    <row r="114" spans="1:7" ht="12.75" x14ac:dyDescent="0.2">
      <c r="A114" s="6">
        <v>1</v>
      </c>
      <c r="B114" s="7"/>
      <c r="C114" s="11" t="s">
        <v>812</v>
      </c>
      <c r="D114" s="15"/>
      <c r="E114" s="47"/>
      <c r="F114" s="53">
        <v>29.996055299999998</v>
      </c>
      <c r="G114" s="142">
        <v>2.0560019999999999E-3</v>
      </c>
    </row>
    <row r="115" spans="1:7" ht="12.75" x14ac:dyDescent="0.2">
      <c r="A115" s="6"/>
      <c r="B115" s="7"/>
      <c r="C115" s="8" t="s">
        <v>108</v>
      </c>
      <c r="D115" s="25"/>
      <c r="E115" s="49"/>
      <c r="F115" s="55">
        <v>29.996055299999998</v>
      </c>
      <c r="G115" s="13">
        <v>2.0560019999999999E-3</v>
      </c>
    </row>
    <row r="116" spans="1:7" ht="12.75" x14ac:dyDescent="0.2">
      <c r="A116" s="6"/>
      <c r="B116" s="7"/>
      <c r="C116" s="14"/>
      <c r="D116" s="7"/>
      <c r="E116" s="47"/>
      <c r="F116" s="53"/>
      <c r="G116" s="5"/>
    </row>
    <row r="117" spans="1:7" ht="25.5" x14ac:dyDescent="0.2">
      <c r="A117" s="6"/>
      <c r="B117" s="7"/>
      <c r="C117" s="24" t="s">
        <v>127</v>
      </c>
      <c r="D117" s="25"/>
      <c r="E117" s="49"/>
      <c r="F117" s="55">
        <v>29.996055299999998</v>
      </c>
      <c r="G117" s="13">
        <v>2.0560019999999999E-3</v>
      </c>
    </row>
    <row r="118" spans="1:7" ht="12.75" x14ac:dyDescent="0.2">
      <c r="A118" s="6"/>
      <c r="B118" s="7"/>
      <c r="C118" s="30"/>
      <c r="D118" s="7"/>
      <c r="E118" s="47"/>
      <c r="F118" s="53"/>
      <c r="G118" s="5"/>
    </row>
    <row r="119" spans="1:7" ht="12.75" x14ac:dyDescent="0.2">
      <c r="A119" s="1"/>
      <c r="B119" s="2"/>
      <c r="C119" s="3" t="s">
        <v>128</v>
      </c>
      <c r="D119" s="4"/>
      <c r="E119" s="47"/>
      <c r="F119" s="53"/>
      <c r="G119" s="5"/>
    </row>
    <row r="120" spans="1:7" ht="25.5" x14ac:dyDescent="0.2">
      <c r="A120" s="6"/>
      <c r="B120" s="7"/>
      <c r="C120" s="8" t="s">
        <v>129</v>
      </c>
      <c r="D120" s="9"/>
      <c r="E120" s="48"/>
      <c r="F120" s="54"/>
      <c r="G120" s="10"/>
    </row>
    <row r="121" spans="1:7" ht="12.75" x14ac:dyDescent="0.2">
      <c r="A121" s="6"/>
      <c r="B121" s="7"/>
      <c r="C121" s="8" t="s">
        <v>108</v>
      </c>
      <c r="D121" s="25"/>
      <c r="E121" s="49"/>
      <c r="F121" s="55">
        <v>0</v>
      </c>
      <c r="G121" s="13">
        <v>0</v>
      </c>
    </row>
    <row r="122" spans="1:7" ht="12.75" x14ac:dyDescent="0.2">
      <c r="A122" s="6"/>
      <c r="B122" s="7"/>
      <c r="C122" s="14"/>
      <c r="D122" s="7"/>
      <c r="E122" s="47"/>
      <c r="F122" s="53"/>
      <c r="G122" s="5"/>
    </row>
    <row r="123" spans="1:7" ht="12.75" x14ac:dyDescent="0.2">
      <c r="A123" s="1"/>
      <c r="B123" s="2"/>
      <c r="C123" s="3" t="s">
        <v>131</v>
      </c>
      <c r="D123" s="4"/>
      <c r="E123" s="47"/>
      <c r="F123" s="53"/>
      <c r="G123" s="5"/>
    </row>
    <row r="124" spans="1:7" ht="25.5" x14ac:dyDescent="0.2">
      <c r="A124" s="6"/>
      <c r="B124" s="7"/>
      <c r="C124" s="8" t="s">
        <v>132</v>
      </c>
      <c r="D124" s="9"/>
      <c r="E124" s="48"/>
      <c r="F124" s="54"/>
      <c r="G124" s="10"/>
    </row>
    <row r="125" spans="1:7" ht="12.75" x14ac:dyDescent="0.2">
      <c r="A125" s="6"/>
      <c r="B125" s="7"/>
      <c r="C125" s="8" t="s">
        <v>108</v>
      </c>
      <c r="D125" s="25"/>
      <c r="E125" s="49"/>
      <c r="F125" s="55">
        <v>0</v>
      </c>
      <c r="G125" s="13">
        <v>0</v>
      </c>
    </row>
    <row r="126" spans="1:7" ht="12.75" x14ac:dyDescent="0.2">
      <c r="A126" s="6"/>
      <c r="B126" s="7"/>
      <c r="C126" s="14"/>
      <c r="D126" s="7"/>
      <c r="E126" s="47"/>
      <c r="F126" s="53"/>
      <c r="G126" s="5"/>
    </row>
    <row r="127" spans="1:7" ht="25.5" x14ac:dyDescent="0.2">
      <c r="A127" s="6"/>
      <c r="B127" s="7"/>
      <c r="C127" s="8" t="s">
        <v>133</v>
      </c>
      <c r="D127" s="9"/>
      <c r="E127" s="48"/>
      <c r="F127" s="54"/>
      <c r="G127" s="10"/>
    </row>
    <row r="128" spans="1:7" ht="12.75" x14ac:dyDescent="0.2">
      <c r="A128" s="6"/>
      <c r="B128" s="7"/>
      <c r="C128" s="8" t="s">
        <v>108</v>
      </c>
      <c r="D128" s="25"/>
      <c r="E128" s="49"/>
      <c r="F128" s="55">
        <v>0</v>
      </c>
      <c r="G128" s="13">
        <v>0</v>
      </c>
    </row>
    <row r="129" spans="1:7" ht="12.75" x14ac:dyDescent="0.2">
      <c r="A129" s="6"/>
      <c r="B129" s="7"/>
      <c r="C129" s="14"/>
      <c r="D129" s="7"/>
      <c r="E129" s="47"/>
      <c r="F129" s="59"/>
      <c r="G129" s="28"/>
    </row>
    <row r="130" spans="1:7" ht="12.75" x14ac:dyDescent="0.2">
      <c r="A130" s="6"/>
      <c r="B130" s="7"/>
      <c r="C130" s="14" t="s">
        <v>396</v>
      </c>
      <c r="D130" s="7"/>
      <c r="E130" s="47"/>
      <c r="F130" s="59">
        <v>1100.7737725</v>
      </c>
      <c r="G130" s="145">
        <v>7.5449704000000006E-2</v>
      </c>
    </row>
    <row r="131" spans="1:7" ht="25.5" x14ac:dyDescent="0.2">
      <c r="A131" s="6"/>
      <c r="B131" s="7"/>
      <c r="C131" s="161" t="s">
        <v>815</v>
      </c>
      <c r="D131" s="7"/>
      <c r="E131" s="47"/>
      <c r="F131" s="59">
        <f>F132-F130-F114-F90-F79</f>
        <v>441.17520309999418</v>
      </c>
      <c r="G131" s="145">
        <v>3.0239218512436931E-2</v>
      </c>
    </row>
    <row r="132" spans="1:7" ht="12.75" x14ac:dyDescent="0.2">
      <c r="A132" s="6"/>
      <c r="B132" s="7"/>
      <c r="C132" s="31" t="s">
        <v>135</v>
      </c>
      <c r="D132" s="12"/>
      <c r="E132" s="49"/>
      <c r="F132" s="55">
        <v>14589.504120899999</v>
      </c>
      <c r="G132" s="13">
        <v>0.99999999600000034</v>
      </c>
    </row>
    <row r="134" spans="1:7" ht="12.75" x14ac:dyDescent="0.2">
      <c r="B134" s="141" t="s">
        <v>813</v>
      </c>
      <c r="C134" s="141"/>
      <c r="D134" s="141"/>
      <c r="E134" s="141"/>
      <c r="F134" s="141"/>
    </row>
    <row r="135" spans="1:7" ht="12.75" x14ac:dyDescent="0.2">
      <c r="B135" s="141" t="s">
        <v>814</v>
      </c>
      <c r="C135" s="141"/>
      <c r="D135" s="141"/>
      <c r="E135" s="141"/>
      <c r="F135" s="141"/>
    </row>
    <row r="137" spans="1:7" ht="12.75" x14ac:dyDescent="0.2">
      <c r="B137" s="37" t="s">
        <v>137</v>
      </c>
      <c r="C137" s="38"/>
      <c r="D137" s="39"/>
    </row>
    <row r="138" spans="1:7" ht="12.75" x14ac:dyDescent="0.2">
      <c r="B138" s="40" t="s">
        <v>808</v>
      </c>
      <c r="C138" s="41"/>
      <c r="D138" s="65" t="s">
        <v>138</v>
      </c>
    </row>
    <row r="139" spans="1:7" ht="12.75" x14ac:dyDescent="0.2">
      <c r="B139" s="40" t="s">
        <v>139</v>
      </c>
      <c r="C139" s="41"/>
      <c r="D139" s="65" t="s">
        <v>138</v>
      </c>
    </row>
    <row r="140" spans="1:7" ht="12.75" x14ac:dyDescent="0.2">
      <c r="B140" s="42" t="s">
        <v>140</v>
      </c>
      <c r="C140" s="41"/>
      <c r="D140" s="43"/>
    </row>
    <row r="141" spans="1:7" ht="25.5" customHeight="1" x14ac:dyDescent="0.2">
      <c r="B141" s="43"/>
      <c r="C141" s="33" t="s">
        <v>141</v>
      </c>
      <c r="D141" s="34" t="s">
        <v>142</v>
      </c>
    </row>
    <row r="142" spans="1:7" ht="12.75" customHeight="1" x14ac:dyDescent="0.2">
      <c r="B142" s="60" t="s">
        <v>143</v>
      </c>
      <c r="C142" s="61" t="s">
        <v>144</v>
      </c>
      <c r="D142" s="61" t="s">
        <v>145</v>
      </c>
    </row>
    <row r="143" spans="1:7" ht="12.75" x14ac:dyDescent="0.2">
      <c r="B143" s="43" t="s">
        <v>146</v>
      </c>
      <c r="C143" s="44">
        <v>10.6836</v>
      </c>
      <c r="D143" s="44">
        <v>10.845599999999999</v>
      </c>
    </row>
    <row r="144" spans="1:7" ht="12.75" x14ac:dyDescent="0.2">
      <c r="B144" s="43" t="s">
        <v>147</v>
      </c>
      <c r="C144" s="44">
        <v>10.6836</v>
      </c>
      <c r="D144" s="44">
        <v>10.845599999999999</v>
      </c>
    </row>
    <row r="145" spans="2:4" ht="12.75" x14ac:dyDescent="0.2">
      <c r="B145" s="43" t="s">
        <v>148</v>
      </c>
      <c r="C145" s="44">
        <v>10.5276</v>
      </c>
      <c r="D145" s="44">
        <v>10.6693</v>
      </c>
    </row>
    <row r="146" spans="2:4" ht="12.75" x14ac:dyDescent="0.2">
      <c r="B146" s="43" t="s">
        <v>149</v>
      </c>
      <c r="C146" s="44">
        <v>10.5274</v>
      </c>
      <c r="D146" s="44">
        <v>10.6691</v>
      </c>
    </row>
    <row r="148" spans="2:4" ht="12.75" x14ac:dyDescent="0.2">
      <c r="B148" s="62" t="s">
        <v>150</v>
      </c>
      <c r="C148" s="45"/>
      <c r="D148" s="63" t="s">
        <v>138</v>
      </c>
    </row>
    <row r="149" spans="2:4" ht="24.75" customHeight="1" x14ac:dyDescent="0.2">
      <c r="B149" s="64"/>
      <c r="C149" s="64"/>
    </row>
    <row r="150" spans="2:4" ht="15" x14ac:dyDescent="0.25">
      <c r="B150" s="66"/>
      <c r="C150" s="68"/>
      <c r="D150"/>
    </row>
    <row r="152" spans="2:4" ht="12.75" x14ac:dyDescent="0.2">
      <c r="B152" s="42" t="s">
        <v>151</v>
      </c>
      <c r="C152" s="41"/>
      <c r="D152" s="67" t="s">
        <v>400</v>
      </c>
    </row>
    <row r="153" spans="2:4" ht="12.75" x14ac:dyDescent="0.2">
      <c r="B153" s="42" t="s">
        <v>152</v>
      </c>
      <c r="C153" s="41"/>
      <c r="D153" s="67" t="s">
        <v>138</v>
      </c>
    </row>
    <row r="154" spans="2:4" ht="12.75" x14ac:dyDescent="0.2">
      <c r="B154" s="42" t="s">
        <v>831</v>
      </c>
      <c r="C154" s="41"/>
      <c r="D154" s="168">
        <v>0.34</v>
      </c>
    </row>
    <row r="155" spans="2:4" ht="12.75" x14ac:dyDescent="0.2">
      <c r="B155" s="42" t="s">
        <v>832</v>
      </c>
      <c r="C155" s="41"/>
      <c r="D155" s="168">
        <v>0.32</v>
      </c>
    </row>
    <row r="156" spans="2:4" ht="12.75" x14ac:dyDescent="0.2">
      <c r="B156" s="162" t="s">
        <v>833</v>
      </c>
      <c r="C156" s="41"/>
      <c r="D156" s="46">
        <v>4.7527783441643043</v>
      </c>
    </row>
    <row r="157" spans="2:4" ht="12.75" x14ac:dyDescent="0.2">
      <c r="B157" s="162" t="s">
        <v>834</v>
      </c>
      <c r="C157" s="41"/>
      <c r="D157" s="46" t="s">
        <v>138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16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727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36</v>
      </c>
      <c r="C7" s="11" t="s">
        <v>37</v>
      </c>
      <c r="D7" s="2" t="s">
        <v>16</v>
      </c>
      <c r="E7" s="47">
        <v>385280</v>
      </c>
      <c r="F7" s="53">
        <v>4740.2924800000001</v>
      </c>
      <c r="G7" s="5">
        <v>0.232443132</v>
      </c>
    </row>
    <row r="8" spans="1:7" ht="12.75" x14ac:dyDescent="0.2">
      <c r="A8" s="6">
        <v>2</v>
      </c>
      <c r="B8" s="7" t="s">
        <v>14</v>
      </c>
      <c r="C8" s="11" t="s">
        <v>15</v>
      </c>
      <c r="D8" s="2" t="s">
        <v>16</v>
      </c>
      <c r="E8" s="47">
        <v>700154</v>
      </c>
      <c r="F8" s="53">
        <v>3242.0630970000002</v>
      </c>
      <c r="G8" s="5">
        <v>0.15897654</v>
      </c>
    </row>
    <row r="9" spans="1:7" ht="25.5" x14ac:dyDescent="0.2">
      <c r="A9" s="6">
        <v>3</v>
      </c>
      <c r="B9" s="7" t="s">
        <v>432</v>
      </c>
      <c r="C9" s="11" t="s">
        <v>433</v>
      </c>
      <c r="D9" s="2" t="s">
        <v>72</v>
      </c>
      <c r="E9" s="47">
        <v>132428</v>
      </c>
      <c r="F9" s="53">
        <v>2823.232532</v>
      </c>
      <c r="G9" s="5">
        <v>0.13843892799999999</v>
      </c>
    </row>
    <row r="10" spans="1:7" ht="12.75" x14ac:dyDescent="0.2">
      <c r="A10" s="6">
        <v>4</v>
      </c>
      <c r="B10" s="7" t="s">
        <v>496</v>
      </c>
      <c r="C10" s="11" t="s">
        <v>497</v>
      </c>
      <c r="D10" s="2" t="s">
        <v>16</v>
      </c>
      <c r="E10" s="47">
        <v>120794</v>
      </c>
      <c r="F10" s="53">
        <v>1901.9015300000001</v>
      </c>
      <c r="G10" s="5">
        <v>9.3260900999999993E-2</v>
      </c>
    </row>
    <row r="11" spans="1:7" ht="12.75" x14ac:dyDescent="0.2">
      <c r="A11" s="6">
        <v>5</v>
      </c>
      <c r="B11" s="7" t="s">
        <v>408</v>
      </c>
      <c r="C11" s="11" t="s">
        <v>409</v>
      </c>
      <c r="D11" s="2" t="s">
        <v>16</v>
      </c>
      <c r="E11" s="47">
        <v>202926</v>
      </c>
      <c r="F11" s="53">
        <v>1494.2456010000001</v>
      </c>
      <c r="G11" s="5">
        <v>7.3271243999999999E-2</v>
      </c>
    </row>
    <row r="12" spans="1:7" ht="12.75" x14ac:dyDescent="0.2">
      <c r="A12" s="6">
        <v>6</v>
      </c>
      <c r="B12" s="7" t="s">
        <v>420</v>
      </c>
      <c r="C12" s="11" t="s">
        <v>421</v>
      </c>
      <c r="D12" s="2" t="s">
        <v>72</v>
      </c>
      <c r="E12" s="47">
        <v>22130</v>
      </c>
      <c r="F12" s="53">
        <v>891.29681500000004</v>
      </c>
      <c r="G12" s="5">
        <v>4.3705282999999998E-2</v>
      </c>
    </row>
    <row r="13" spans="1:7" ht="12.75" x14ac:dyDescent="0.2">
      <c r="A13" s="6">
        <v>7</v>
      </c>
      <c r="B13" s="7" t="s">
        <v>502</v>
      </c>
      <c r="C13" s="11" t="s">
        <v>503</v>
      </c>
      <c r="D13" s="2" t="s">
        <v>16</v>
      </c>
      <c r="E13" s="47">
        <v>276328</v>
      </c>
      <c r="F13" s="53">
        <v>863.24867200000006</v>
      </c>
      <c r="G13" s="5">
        <v>4.2329924999999997E-2</v>
      </c>
    </row>
    <row r="14" spans="1:7" ht="25.5" x14ac:dyDescent="0.2">
      <c r="A14" s="6">
        <v>8</v>
      </c>
      <c r="B14" s="7" t="s">
        <v>70</v>
      </c>
      <c r="C14" s="11" t="s">
        <v>71</v>
      </c>
      <c r="D14" s="2" t="s">
        <v>72</v>
      </c>
      <c r="E14" s="47">
        <v>45268</v>
      </c>
      <c r="F14" s="53">
        <v>607.85870399999999</v>
      </c>
      <c r="G14" s="5">
        <v>2.9806722000000001E-2</v>
      </c>
    </row>
    <row r="15" spans="1:7" ht="12.75" x14ac:dyDescent="0.2">
      <c r="A15" s="6">
        <v>9</v>
      </c>
      <c r="B15" s="7" t="s">
        <v>535</v>
      </c>
      <c r="C15" s="11" t="s">
        <v>536</v>
      </c>
      <c r="D15" s="2" t="s">
        <v>72</v>
      </c>
      <c r="E15" s="47">
        <v>6711</v>
      </c>
      <c r="F15" s="53">
        <v>545.89622850000001</v>
      </c>
      <c r="G15" s="5">
        <v>2.6768354000000001E-2</v>
      </c>
    </row>
    <row r="16" spans="1:7" ht="25.5" x14ac:dyDescent="0.2">
      <c r="A16" s="6">
        <v>10</v>
      </c>
      <c r="B16" s="7" t="s">
        <v>404</v>
      </c>
      <c r="C16" s="11" t="s">
        <v>405</v>
      </c>
      <c r="D16" s="2" t="s">
        <v>72</v>
      </c>
      <c r="E16" s="47">
        <v>46983</v>
      </c>
      <c r="F16" s="53">
        <v>465.83644500000003</v>
      </c>
      <c r="G16" s="5">
        <v>2.2842574000000001E-2</v>
      </c>
    </row>
    <row r="17" spans="1:7" ht="25.5" x14ac:dyDescent="0.2">
      <c r="A17" s="6">
        <v>11</v>
      </c>
      <c r="B17" s="7" t="s">
        <v>410</v>
      </c>
      <c r="C17" s="11" t="s">
        <v>411</v>
      </c>
      <c r="D17" s="2" t="s">
        <v>72</v>
      </c>
      <c r="E17" s="47">
        <v>13426</v>
      </c>
      <c r="F17" s="53">
        <v>402.01471800000002</v>
      </c>
      <c r="G17" s="5">
        <v>1.9713036999999999E-2</v>
      </c>
    </row>
    <row r="18" spans="1:7" ht="12.75" x14ac:dyDescent="0.2">
      <c r="A18" s="6">
        <v>12</v>
      </c>
      <c r="B18" s="7" t="s">
        <v>338</v>
      </c>
      <c r="C18" s="11" t="s">
        <v>339</v>
      </c>
      <c r="D18" s="2" t="s">
        <v>72</v>
      </c>
      <c r="E18" s="47">
        <v>102993</v>
      </c>
      <c r="F18" s="53">
        <v>333.8518095</v>
      </c>
      <c r="G18" s="5">
        <v>1.6370626999999999E-2</v>
      </c>
    </row>
    <row r="19" spans="1:7" ht="25.5" x14ac:dyDescent="0.2">
      <c r="A19" s="6">
        <v>13</v>
      </c>
      <c r="B19" s="7" t="s">
        <v>416</v>
      </c>
      <c r="C19" s="11" t="s">
        <v>417</v>
      </c>
      <c r="D19" s="2" t="s">
        <v>72</v>
      </c>
      <c r="E19" s="47">
        <v>39000</v>
      </c>
      <c r="F19" s="53">
        <v>244.21799999999999</v>
      </c>
      <c r="G19" s="5">
        <v>1.1975379E-2</v>
      </c>
    </row>
    <row r="20" spans="1:7" ht="12.75" x14ac:dyDescent="0.2">
      <c r="A20" s="6">
        <v>14</v>
      </c>
      <c r="B20" s="7" t="s">
        <v>346</v>
      </c>
      <c r="C20" s="11" t="s">
        <v>347</v>
      </c>
      <c r="D20" s="2" t="s">
        <v>72</v>
      </c>
      <c r="E20" s="47">
        <v>50000</v>
      </c>
      <c r="F20" s="53">
        <v>203.07499999999999</v>
      </c>
      <c r="G20" s="5">
        <v>9.9579060000000007E-3</v>
      </c>
    </row>
    <row r="21" spans="1:7" ht="12.75" x14ac:dyDescent="0.2">
      <c r="A21" s="6">
        <v>15</v>
      </c>
      <c r="B21" s="7" t="s">
        <v>276</v>
      </c>
      <c r="C21" s="11" t="s">
        <v>277</v>
      </c>
      <c r="D21" s="2" t="s">
        <v>72</v>
      </c>
      <c r="E21" s="47">
        <v>184713</v>
      </c>
      <c r="F21" s="53">
        <v>144.07614000000001</v>
      </c>
      <c r="G21" s="5">
        <v>7.0648610000000004E-3</v>
      </c>
    </row>
    <row r="22" spans="1:7" ht="12.75" x14ac:dyDescent="0.2">
      <c r="A22" s="6">
        <v>16</v>
      </c>
      <c r="B22" s="7" t="s">
        <v>184</v>
      </c>
      <c r="C22" s="11" t="s">
        <v>185</v>
      </c>
      <c r="D22" s="2" t="s">
        <v>16</v>
      </c>
      <c r="E22" s="47">
        <v>73395</v>
      </c>
      <c r="F22" s="53">
        <v>132.2210925</v>
      </c>
      <c r="G22" s="5">
        <v>6.4835420000000001E-3</v>
      </c>
    </row>
    <row r="23" spans="1:7" ht="12.75" x14ac:dyDescent="0.2">
      <c r="A23" s="6">
        <v>17</v>
      </c>
      <c r="B23" s="7" t="s">
        <v>455</v>
      </c>
      <c r="C23" s="11" t="s">
        <v>456</v>
      </c>
      <c r="D23" s="2" t="s">
        <v>72</v>
      </c>
      <c r="E23" s="47">
        <v>13887</v>
      </c>
      <c r="F23" s="53">
        <v>88.619890499999997</v>
      </c>
      <c r="G23" s="5">
        <v>4.3455300000000002E-3</v>
      </c>
    </row>
    <row r="24" spans="1:7" ht="12.75" x14ac:dyDescent="0.2">
      <c r="A24" s="6">
        <v>18</v>
      </c>
      <c r="B24" s="7" t="s">
        <v>316</v>
      </c>
      <c r="C24" s="11" t="s">
        <v>317</v>
      </c>
      <c r="D24" s="2" t="s">
        <v>16</v>
      </c>
      <c r="E24" s="47">
        <v>98204</v>
      </c>
      <c r="F24" s="53">
        <v>82.294951999999995</v>
      </c>
      <c r="G24" s="5">
        <v>4.035383E-3</v>
      </c>
    </row>
    <row r="25" spans="1:7" ht="12.75" x14ac:dyDescent="0.2">
      <c r="A25" s="6">
        <v>19</v>
      </c>
      <c r="B25" s="7" t="s">
        <v>594</v>
      </c>
      <c r="C25" s="11" t="s">
        <v>595</v>
      </c>
      <c r="D25" s="2" t="s">
        <v>16</v>
      </c>
      <c r="E25" s="47">
        <v>6234</v>
      </c>
      <c r="F25" s="53">
        <v>81.864887999999993</v>
      </c>
      <c r="G25" s="5">
        <v>4.0142950000000002E-3</v>
      </c>
    </row>
    <row r="26" spans="1:7" ht="12.75" x14ac:dyDescent="0.2">
      <c r="A26" s="6">
        <v>20</v>
      </c>
      <c r="B26" s="7" t="s">
        <v>344</v>
      </c>
      <c r="C26" s="11" t="s">
        <v>345</v>
      </c>
      <c r="D26" s="2" t="s">
        <v>16</v>
      </c>
      <c r="E26" s="47">
        <v>23859</v>
      </c>
      <c r="F26" s="53">
        <v>73.986759000000006</v>
      </c>
      <c r="G26" s="5">
        <v>3.6279860000000001E-3</v>
      </c>
    </row>
    <row r="27" spans="1:7" ht="25.5" x14ac:dyDescent="0.2">
      <c r="A27" s="6">
        <v>21</v>
      </c>
      <c r="B27" s="7" t="s">
        <v>364</v>
      </c>
      <c r="C27" s="11" t="s">
        <v>365</v>
      </c>
      <c r="D27" s="2" t="s">
        <v>72</v>
      </c>
      <c r="E27" s="47">
        <v>20582</v>
      </c>
      <c r="F27" s="53">
        <v>72.65446</v>
      </c>
      <c r="G27" s="5">
        <v>3.562656E-3</v>
      </c>
    </row>
    <row r="28" spans="1:7" ht="12.75" x14ac:dyDescent="0.2">
      <c r="A28" s="1"/>
      <c r="B28" s="2"/>
      <c r="C28" s="8" t="s">
        <v>108</v>
      </c>
      <c r="D28" s="12"/>
      <c r="E28" s="49"/>
      <c r="F28" s="55">
        <v>19434.749814000003</v>
      </c>
      <c r="G28" s="13">
        <v>0.952994805</v>
      </c>
    </row>
    <row r="29" spans="1:7" ht="12.75" x14ac:dyDescent="0.2">
      <c r="A29" s="6"/>
      <c r="B29" s="7"/>
      <c r="C29" s="14"/>
      <c r="D29" s="15"/>
      <c r="E29" s="47"/>
      <c r="F29" s="53"/>
      <c r="G29" s="5"/>
    </row>
    <row r="30" spans="1:7" ht="12.75" x14ac:dyDescent="0.2">
      <c r="A30" s="1"/>
      <c r="B30" s="2"/>
      <c r="C30" s="8" t="s">
        <v>109</v>
      </c>
      <c r="D30" s="9"/>
      <c r="E30" s="48"/>
      <c r="F30" s="54"/>
      <c r="G30" s="10"/>
    </row>
    <row r="31" spans="1:7" ht="12.75" x14ac:dyDescent="0.2">
      <c r="A31" s="1"/>
      <c r="B31" s="2"/>
      <c r="C31" s="8" t="s">
        <v>108</v>
      </c>
      <c r="D31" s="12"/>
      <c r="E31" s="49"/>
      <c r="F31" s="55">
        <v>0</v>
      </c>
      <c r="G31" s="13">
        <v>0</v>
      </c>
    </row>
    <row r="32" spans="1:7" ht="12.75" x14ac:dyDescent="0.2">
      <c r="A32" s="6"/>
      <c r="B32" s="7"/>
      <c r="C32" s="14"/>
      <c r="D32" s="15"/>
      <c r="E32" s="47"/>
      <c r="F32" s="53"/>
      <c r="G32" s="5"/>
    </row>
    <row r="33" spans="1:7" ht="12.75" x14ac:dyDescent="0.2">
      <c r="A33" s="16"/>
      <c r="B33" s="17"/>
      <c r="C33" s="8" t="s">
        <v>110</v>
      </c>
      <c r="D33" s="9"/>
      <c r="E33" s="48"/>
      <c r="F33" s="54"/>
      <c r="G33" s="10"/>
    </row>
    <row r="34" spans="1:7" ht="12.75" x14ac:dyDescent="0.2">
      <c r="A34" s="18"/>
      <c r="B34" s="19"/>
      <c r="C34" s="8" t="s">
        <v>108</v>
      </c>
      <c r="D34" s="20"/>
      <c r="E34" s="50"/>
      <c r="F34" s="56">
        <v>0</v>
      </c>
      <c r="G34" s="21">
        <v>0</v>
      </c>
    </row>
    <row r="35" spans="1:7" ht="12.75" x14ac:dyDescent="0.2">
      <c r="A35" s="18"/>
      <c r="B35" s="19"/>
      <c r="C35" s="14"/>
      <c r="D35" s="22"/>
      <c r="E35" s="51"/>
      <c r="F35" s="57"/>
      <c r="G35" s="23"/>
    </row>
    <row r="36" spans="1:7" ht="12.75" x14ac:dyDescent="0.2">
      <c r="A36" s="1"/>
      <c r="B36" s="2"/>
      <c r="C36" s="8" t="s">
        <v>113</v>
      </c>
      <c r="D36" s="9"/>
      <c r="E36" s="48"/>
      <c r="F36" s="54"/>
      <c r="G36" s="10"/>
    </row>
    <row r="37" spans="1:7" ht="12.75" x14ac:dyDescent="0.2">
      <c r="A37" s="1"/>
      <c r="B37" s="2"/>
      <c r="C37" s="8" t="s">
        <v>108</v>
      </c>
      <c r="D37" s="12"/>
      <c r="E37" s="49"/>
      <c r="F37" s="55">
        <v>0</v>
      </c>
      <c r="G37" s="13">
        <v>0</v>
      </c>
    </row>
    <row r="38" spans="1:7" ht="12.75" x14ac:dyDescent="0.2">
      <c r="A38" s="1"/>
      <c r="B38" s="2"/>
      <c r="C38" s="14"/>
      <c r="D38" s="4"/>
      <c r="E38" s="47"/>
      <c r="F38" s="53"/>
      <c r="G38" s="5"/>
    </row>
    <row r="39" spans="1:7" ht="12.75" x14ac:dyDescent="0.2">
      <c r="A39" s="1"/>
      <c r="B39" s="2"/>
      <c r="C39" s="8" t="s">
        <v>114</v>
      </c>
      <c r="D39" s="9"/>
      <c r="E39" s="48"/>
      <c r="F39" s="54"/>
      <c r="G39" s="10"/>
    </row>
    <row r="40" spans="1:7" ht="12.75" x14ac:dyDescent="0.2">
      <c r="A40" s="1"/>
      <c r="B40" s="2"/>
      <c r="C40" s="8" t="s">
        <v>108</v>
      </c>
      <c r="D40" s="12"/>
      <c r="E40" s="49"/>
      <c r="F40" s="55">
        <v>0</v>
      </c>
      <c r="G40" s="13">
        <v>0</v>
      </c>
    </row>
    <row r="41" spans="1:7" ht="12.75" x14ac:dyDescent="0.2">
      <c r="A41" s="1"/>
      <c r="B41" s="2"/>
      <c r="C41" s="14"/>
      <c r="D41" s="4"/>
      <c r="E41" s="47"/>
      <c r="F41" s="53"/>
      <c r="G41" s="5"/>
    </row>
    <row r="42" spans="1:7" ht="12.75" x14ac:dyDescent="0.2">
      <c r="A42" s="1"/>
      <c r="B42" s="2"/>
      <c r="C42" s="8" t="s">
        <v>115</v>
      </c>
      <c r="D42" s="9"/>
      <c r="E42" s="48"/>
      <c r="F42" s="54"/>
      <c r="G42" s="10"/>
    </row>
    <row r="43" spans="1:7" ht="12.75" x14ac:dyDescent="0.2">
      <c r="A43" s="1"/>
      <c r="B43" s="2"/>
      <c r="C43" s="8" t="s">
        <v>108</v>
      </c>
      <c r="D43" s="12"/>
      <c r="E43" s="49"/>
      <c r="F43" s="55">
        <v>0</v>
      </c>
      <c r="G43" s="13">
        <v>0</v>
      </c>
    </row>
    <row r="44" spans="1:7" ht="12.75" x14ac:dyDescent="0.2">
      <c r="A44" s="1"/>
      <c r="B44" s="2"/>
      <c r="C44" s="14"/>
      <c r="D44" s="4"/>
      <c r="E44" s="47"/>
      <c r="F44" s="53"/>
      <c r="G44" s="5"/>
    </row>
    <row r="45" spans="1:7" ht="25.5" x14ac:dyDescent="0.2">
      <c r="A45" s="6"/>
      <c r="B45" s="7"/>
      <c r="C45" s="24" t="s">
        <v>116</v>
      </c>
      <c r="D45" s="25"/>
      <c r="E45" s="49"/>
      <c r="F45" s="55">
        <v>19434.749814000003</v>
      </c>
      <c r="G45" s="13">
        <v>0.952994805</v>
      </c>
    </row>
    <row r="46" spans="1:7" ht="12.75" x14ac:dyDescent="0.2">
      <c r="A46" s="1"/>
      <c r="B46" s="2"/>
      <c r="C46" s="11"/>
      <c r="D46" s="4"/>
      <c r="E46" s="47"/>
      <c r="F46" s="53"/>
      <c r="G46" s="5"/>
    </row>
    <row r="47" spans="1:7" ht="12.75" x14ac:dyDescent="0.2">
      <c r="A47" s="1"/>
      <c r="B47" s="2"/>
      <c r="C47" s="3" t="s">
        <v>117</v>
      </c>
      <c r="D47" s="4"/>
      <c r="E47" s="47"/>
      <c r="F47" s="53"/>
      <c r="G47" s="5"/>
    </row>
    <row r="48" spans="1:7" ht="25.5" x14ac:dyDescent="0.2">
      <c r="A48" s="1"/>
      <c r="B48" s="2"/>
      <c r="C48" s="8" t="s">
        <v>10</v>
      </c>
      <c r="D48" s="9"/>
      <c r="E48" s="48"/>
      <c r="F48" s="54"/>
      <c r="G48" s="10"/>
    </row>
    <row r="49" spans="1:7" ht="12.75" x14ac:dyDescent="0.2">
      <c r="A49" s="6"/>
      <c r="B49" s="7"/>
      <c r="C49" s="8" t="s">
        <v>108</v>
      </c>
      <c r="D49" s="12"/>
      <c r="E49" s="49"/>
      <c r="F49" s="55">
        <v>0</v>
      </c>
      <c r="G49" s="13">
        <v>0</v>
      </c>
    </row>
    <row r="50" spans="1:7" ht="12.75" x14ac:dyDescent="0.2">
      <c r="A50" s="6"/>
      <c r="B50" s="7"/>
      <c r="C50" s="14"/>
      <c r="D50" s="4"/>
      <c r="E50" s="47"/>
      <c r="F50" s="53"/>
      <c r="G50" s="5"/>
    </row>
    <row r="51" spans="1:7" ht="12.75" x14ac:dyDescent="0.2">
      <c r="A51" s="1"/>
      <c r="B51" s="26"/>
      <c r="C51" s="8" t="s">
        <v>118</v>
      </c>
      <c r="D51" s="9"/>
      <c r="E51" s="48"/>
      <c r="F51" s="54"/>
      <c r="G51" s="10"/>
    </row>
    <row r="52" spans="1:7" ht="12.75" x14ac:dyDescent="0.2">
      <c r="A52" s="6"/>
      <c r="B52" s="7"/>
      <c r="C52" s="8" t="s">
        <v>108</v>
      </c>
      <c r="D52" s="12"/>
      <c r="E52" s="49"/>
      <c r="F52" s="55">
        <v>0</v>
      </c>
      <c r="G52" s="13">
        <v>0</v>
      </c>
    </row>
    <row r="53" spans="1:7" ht="12.75" x14ac:dyDescent="0.2">
      <c r="A53" s="6"/>
      <c r="B53" s="7"/>
      <c r="C53" s="14"/>
      <c r="D53" s="4"/>
      <c r="E53" s="47"/>
      <c r="F53" s="59"/>
      <c r="G53" s="28"/>
    </row>
    <row r="54" spans="1:7" ht="12.75" x14ac:dyDescent="0.2">
      <c r="A54" s="1"/>
      <c r="B54" s="2"/>
      <c r="C54" s="8" t="s">
        <v>119</v>
      </c>
      <c r="D54" s="9"/>
      <c r="E54" s="48"/>
      <c r="F54" s="54"/>
      <c r="G54" s="10"/>
    </row>
    <row r="55" spans="1:7" ht="12.75" x14ac:dyDescent="0.2">
      <c r="A55" s="6"/>
      <c r="B55" s="7"/>
      <c r="C55" s="8" t="s">
        <v>108</v>
      </c>
      <c r="D55" s="12"/>
      <c r="E55" s="49"/>
      <c r="F55" s="55">
        <v>0</v>
      </c>
      <c r="G55" s="13">
        <v>0</v>
      </c>
    </row>
    <row r="56" spans="1:7" ht="12.75" x14ac:dyDescent="0.2">
      <c r="A56" s="1"/>
      <c r="B56" s="2"/>
      <c r="C56" s="14"/>
      <c r="D56" s="4"/>
      <c r="E56" s="47"/>
      <c r="F56" s="53"/>
      <c r="G56" s="5"/>
    </row>
    <row r="57" spans="1:7" ht="25.5" x14ac:dyDescent="0.2">
      <c r="A57" s="1"/>
      <c r="B57" s="26"/>
      <c r="C57" s="8" t="s">
        <v>120</v>
      </c>
      <c r="D57" s="9"/>
      <c r="E57" s="48"/>
      <c r="F57" s="54"/>
      <c r="G57" s="10"/>
    </row>
    <row r="58" spans="1:7" ht="12.75" x14ac:dyDescent="0.2">
      <c r="A58" s="6"/>
      <c r="B58" s="7"/>
      <c r="C58" s="8" t="s">
        <v>108</v>
      </c>
      <c r="D58" s="12"/>
      <c r="E58" s="49"/>
      <c r="F58" s="55">
        <v>0</v>
      </c>
      <c r="G58" s="13">
        <v>0</v>
      </c>
    </row>
    <row r="59" spans="1:7" ht="12.75" x14ac:dyDescent="0.2">
      <c r="A59" s="6"/>
      <c r="B59" s="7"/>
      <c r="C59" s="14"/>
      <c r="D59" s="4"/>
      <c r="E59" s="47"/>
      <c r="F59" s="53"/>
      <c r="G59" s="5"/>
    </row>
    <row r="60" spans="1:7" ht="12.75" x14ac:dyDescent="0.2">
      <c r="A60" s="6"/>
      <c r="B60" s="7"/>
      <c r="C60" s="29" t="s">
        <v>121</v>
      </c>
      <c r="D60" s="25"/>
      <c r="E60" s="49"/>
      <c r="F60" s="55">
        <v>0</v>
      </c>
      <c r="G60" s="13">
        <v>0</v>
      </c>
    </row>
    <row r="61" spans="1:7" ht="12.75" x14ac:dyDescent="0.2">
      <c r="A61" s="6"/>
      <c r="B61" s="7"/>
      <c r="C61" s="11"/>
      <c r="D61" s="4"/>
      <c r="E61" s="47"/>
      <c r="F61" s="53"/>
      <c r="G61" s="5"/>
    </row>
    <row r="62" spans="1:7" ht="12.75" x14ac:dyDescent="0.2">
      <c r="A62" s="1"/>
      <c r="B62" s="2"/>
      <c r="C62" s="3" t="s">
        <v>122</v>
      </c>
      <c r="D62" s="4"/>
      <c r="E62" s="47"/>
      <c r="F62" s="53"/>
      <c r="G62" s="5"/>
    </row>
    <row r="63" spans="1:7" ht="12.75" x14ac:dyDescent="0.2">
      <c r="A63" s="6"/>
      <c r="B63" s="7"/>
      <c r="C63" s="8" t="s">
        <v>123</v>
      </c>
      <c r="D63" s="9"/>
      <c r="E63" s="48"/>
      <c r="F63" s="54"/>
      <c r="G63" s="10"/>
    </row>
    <row r="64" spans="1:7" ht="12.75" x14ac:dyDescent="0.2">
      <c r="A64" s="6"/>
      <c r="B64" s="7"/>
      <c r="C64" s="8" t="s">
        <v>108</v>
      </c>
      <c r="D64" s="25"/>
      <c r="E64" s="49"/>
      <c r="F64" s="55">
        <v>0</v>
      </c>
      <c r="G64" s="13">
        <v>0</v>
      </c>
    </row>
    <row r="65" spans="1:7" ht="12.75" x14ac:dyDescent="0.2">
      <c r="A65" s="6"/>
      <c r="B65" s="7"/>
      <c r="C65" s="14"/>
      <c r="D65" s="7"/>
      <c r="E65" s="47"/>
      <c r="F65" s="53"/>
      <c r="G65" s="5"/>
    </row>
    <row r="66" spans="1:7" ht="12.75" x14ac:dyDescent="0.2">
      <c r="A66" s="6"/>
      <c r="B66" s="7"/>
      <c r="C66" s="8" t="s">
        <v>124</v>
      </c>
      <c r="D66" s="9"/>
      <c r="E66" s="48"/>
      <c r="F66" s="54"/>
      <c r="G66" s="10"/>
    </row>
    <row r="67" spans="1:7" ht="12.75" x14ac:dyDescent="0.2">
      <c r="A67" s="6"/>
      <c r="B67" s="7"/>
      <c r="C67" s="8" t="s">
        <v>108</v>
      </c>
      <c r="D67" s="25"/>
      <c r="E67" s="49"/>
      <c r="F67" s="55">
        <v>0</v>
      </c>
      <c r="G67" s="13">
        <v>0</v>
      </c>
    </row>
    <row r="68" spans="1:7" ht="12.75" x14ac:dyDescent="0.2">
      <c r="A68" s="6"/>
      <c r="B68" s="7"/>
      <c r="C68" s="14"/>
      <c r="D68" s="7"/>
      <c r="E68" s="47"/>
      <c r="F68" s="53"/>
      <c r="G68" s="5"/>
    </row>
    <row r="69" spans="1:7" ht="12.75" x14ac:dyDescent="0.2">
      <c r="A69" s="6"/>
      <c r="B69" s="7"/>
      <c r="C69" s="8" t="s">
        <v>125</v>
      </c>
      <c r="D69" s="9"/>
      <c r="E69" s="48"/>
      <c r="F69" s="54"/>
      <c r="G69" s="10"/>
    </row>
    <row r="70" spans="1:7" ht="12.75" x14ac:dyDescent="0.2">
      <c r="A70" s="6"/>
      <c r="B70" s="7"/>
      <c r="C70" s="8" t="s">
        <v>108</v>
      </c>
      <c r="D70" s="25"/>
      <c r="E70" s="49"/>
      <c r="F70" s="55">
        <v>0</v>
      </c>
      <c r="G70" s="13">
        <v>0</v>
      </c>
    </row>
    <row r="71" spans="1:7" ht="12.75" x14ac:dyDescent="0.2">
      <c r="A71" s="6"/>
      <c r="B71" s="7"/>
      <c r="C71" s="14"/>
      <c r="D71" s="7"/>
      <c r="E71" s="47"/>
      <c r="F71" s="53"/>
      <c r="G71" s="5"/>
    </row>
    <row r="72" spans="1:7" ht="12.75" x14ac:dyDescent="0.2">
      <c r="A72" s="6"/>
      <c r="B72" s="7"/>
      <c r="C72" s="8" t="s">
        <v>126</v>
      </c>
      <c r="D72" s="9"/>
      <c r="E72" s="48"/>
      <c r="F72" s="54"/>
      <c r="G72" s="10"/>
    </row>
    <row r="73" spans="1:7" ht="12.75" x14ac:dyDescent="0.2">
      <c r="A73" s="6">
        <v>1</v>
      </c>
      <c r="B73" s="7"/>
      <c r="C73" s="11" t="s">
        <v>812</v>
      </c>
      <c r="D73" s="15"/>
      <c r="E73" s="47"/>
      <c r="F73" s="53">
        <v>201.97343900000001</v>
      </c>
      <c r="G73" s="5">
        <v>9.9038909999999997E-3</v>
      </c>
    </row>
    <row r="74" spans="1:7" ht="12.75" x14ac:dyDescent="0.2">
      <c r="A74" s="6"/>
      <c r="B74" s="7"/>
      <c r="C74" s="8" t="s">
        <v>108</v>
      </c>
      <c r="D74" s="25"/>
      <c r="E74" s="49"/>
      <c r="F74" s="55">
        <v>201.97343900000001</v>
      </c>
      <c r="G74" s="13">
        <v>9.9038909999999997E-3</v>
      </c>
    </row>
    <row r="75" spans="1:7" ht="12.75" x14ac:dyDescent="0.2">
      <c r="A75" s="6"/>
      <c r="B75" s="7"/>
      <c r="C75" s="14"/>
      <c r="D75" s="7"/>
      <c r="E75" s="47"/>
      <c r="F75" s="53"/>
      <c r="G75" s="5"/>
    </row>
    <row r="76" spans="1:7" ht="25.5" x14ac:dyDescent="0.2">
      <c r="A76" s="6"/>
      <c r="B76" s="7"/>
      <c r="C76" s="24" t="s">
        <v>127</v>
      </c>
      <c r="D76" s="25"/>
      <c r="E76" s="49"/>
      <c r="F76" s="55">
        <v>201.97343900000001</v>
      </c>
      <c r="G76" s="13">
        <v>9.9038909999999997E-3</v>
      </c>
    </row>
    <row r="77" spans="1:7" ht="12.75" x14ac:dyDescent="0.2">
      <c r="A77" s="6"/>
      <c r="B77" s="7"/>
      <c r="C77" s="30"/>
      <c r="D77" s="7"/>
      <c r="E77" s="47"/>
      <c r="F77" s="53"/>
      <c r="G77" s="5"/>
    </row>
    <row r="78" spans="1:7" ht="12.75" x14ac:dyDescent="0.2">
      <c r="A78" s="1"/>
      <c r="B78" s="2"/>
      <c r="C78" s="3" t="s">
        <v>128</v>
      </c>
      <c r="D78" s="4"/>
      <c r="E78" s="47"/>
      <c r="F78" s="53"/>
      <c r="G78" s="5"/>
    </row>
    <row r="79" spans="1:7" ht="25.5" x14ac:dyDescent="0.2">
      <c r="A79" s="6"/>
      <c r="B79" s="7"/>
      <c r="C79" s="8" t="s">
        <v>129</v>
      </c>
      <c r="D79" s="9"/>
      <c r="E79" s="48"/>
      <c r="F79" s="54"/>
      <c r="G79" s="10"/>
    </row>
    <row r="80" spans="1:7" ht="25.5" x14ac:dyDescent="0.2">
      <c r="A80" s="6">
        <v>1</v>
      </c>
      <c r="B80" s="7" t="s">
        <v>130</v>
      </c>
      <c r="C80" s="11" t="s">
        <v>839</v>
      </c>
      <c r="D80" s="15"/>
      <c r="E80" s="47">
        <v>76800.232999999993</v>
      </c>
      <c r="F80" s="53">
        <v>800.10498099400002</v>
      </c>
      <c r="G80" s="5">
        <v>3.9233636000000002E-2</v>
      </c>
    </row>
    <row r="81" spans="1:7" ht="12.75" x14ac:dyDescent="0.2">
      <c r="A81" s="6"/>
      <c r="B81" s="7"/>
      <c r="C81" s="8" t="s">
        <v>108</v>
      </c>
      <c r="D81" s="25"/>
      <c r="E81" s="49"/>
      <c r="F81" s="55">
        <v>800.10498099400002</v>
      </c>
      <c r="G81" s="13">
        <v>3.9233636000000002E-2</v>
      </c>
    </row>
    <row r="82" spans="1:7" ht="12.75" x14ac:dyDescent="0.2">
      <c r="A82" s="6"/>
      <c r="B82" s="7"/>
      <c r="C82" s="14"/>
      <c r="D82" s="7"/>
      <c r="E82" s="47"/>
      <c r="F82" s="53"/>
      <c r="G82" s="5"/>
    </row>
    <row r="83" spans="1:7" ht="12.75" x14ac:dyDescent="0.2">
      <c r="A83" s="1"/>
      <c r="B83" s="2"/>
      <c r="C83" s="3" t="s">
        <v>131</v>
      </c>
      <c r="D83" s="4"/>
      <c r="E83" s="47"/>
      <c r="F83" s="53"/>
      <c r="G83" s="5"/>
    </row>
    <row r="84" spans="1:7" ht="25.5" x14ac:dyDescent="0.2">
      <c r="A84" s="6"/>
      <c r="B84" s="7"/>
      <c r="C84" s="8" t="s">
        <v>132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7"/>
      <c r="E86" s="47"/>
      <c r="F86" s="53"/>
      <c r="G86" s="5"/>
    </row>
    <row r="87" spans="1:7" ht="25.5" x14ac:dyDescent="0.2">
      <c r="A87" s="6"/>
      <c r="B87" s="7"/>
      <c r="C87" s="8" t="s">
        <v>133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25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7"/>
      <c r="E89" s="47"/>
      <c r="F89" s="59"/>
      <c r="G89" s="28"/>
    </row>
    <row r="90" spans="1:7" ht="25.5" x14ac:dyDescent="0.2">
      <c r="A90" s="6"/>
      <c r="B90" s="7"/>
      <c r="C90" s="30" t="s">
        <v>134</v>
      </c>
      <c r="D90" s="7"/>
      <c r="E90" s="47"/>
      <c r="F90" s="128">
        <v>-43.485368190000003</v>
      </c>
      <c r="G90" s="137">
        <v>-2.1323315395690816E-3</v>
      </c>
    </row>
    <row r="91" spans="1:7" ht="12.75" x14ac:dyDescent="0.2">
      <c r="A91" s="6"/>
      <c r="B91" s="7"/>
      <c r="C91" s="31" t="s">
        <v>135</v>
      </c>
      <c r="D91" s="12"/>
      <c r="E91" s="49"/>
      <c r="F91" s="55">
        <v>20393.342865804007</v>
      </c>
      <c r="G91" s="13">
        <v>1</v>
      </c>
    </row>
    <row r="93" spans="1:7" ht="12.75" x14ac:dyDescent="0.2">
      <c r="B93" s="179"/>
      <c r="C93" s="179"/>
      <c r="D93" s="179"/>
      <c r="E93" s="179"/>
      <c r="F93" s="179"/>
    </row>
    <row r="94" spans="1:7" ht="12.75" x14ac:dyDescent="0.2">
      <c r="B94" s="179"/>
      <c r="C94" s="179"/>
      <c r="D94" s="179"/>
      <c r="E94" s="179"/>
      <c r="F94" s="179"/>
    </row>
    <row r="96" spans="1:7" ht="12.75" x14ac:dyDescent="0.2">
      <c r="B96" s="37" t="s">
        <v>137</v>
      </c>
      <c r="C96" s="38"/>
      <c r="D96" s="39"/>
    </row>
    <row r="97" spans="2:4" ht="12.75" x14ac:dyDescent="0.2">
      <c r="B97" s="40" t="s">
        <v>808</v>
      </c>
      <c r="C97" s="41"/>
      <c r="D97" s="65" t="s">
        <v>138</v>
      </c>
    </row>
    <row r="98" spans="2:4" ht="12.75" x14ac:dyDescent="0.2">
      <c r="B98" s="40" t="s">
        <v>139</v>
      </c>
      <c r="C98" s="41"/>
      <c r="D98" s="65" t="s">
        <v>138</v>
      </c>
    </row>
    <row r="99" spans="2:4" ht="12.75" x14ac:dyDescent="0.2">
      <c r="B99" s="42" t="s">
        <v>140</v>
      </c>
      <c r="C99" s="41"/>
      <c r="D99" s="43"/>
    </row>
    <row r="100" spans="2:4" ht="25.5" customHeight="1" x14ac:dyDescent="0.2">
      <c r="B100" s="43"/>
      <c r="C100" s="33" t="s">
        <v>141</v>
      </c>
      <c r="D100" s="34" t="s">
        <v>142</v>
      </c>
    </row>
    <row r="101" spans="2:4" ht="12.75" customHeight="1" x14ac:dyDescent="0.2">
      <c r="B101" s="60" t="s">
        <v>143</v>
      </c>
      <c r="C101" s="61" t="s">
        <v>144</v>
      </c>
      <c r="D101" s="61" t="s">
        <v>145</v>
      </c>
    </row>
    <row r="102" spans="2:4" ht="12.75" x14ac:dyDescent="0.2">
      <c r="B102" s="43" t="s">
        <v>146</v>
      </c>
      <c r="C102" s="44">
        <v>45.584099999999999</v>
      </c>
      <c r="D102" s="44">
        <v>47.108699999999999</v>
      </c>
    </row>
    <row r="103" spans="2:4" ht="12.75" x14ac:dyDescent="0.2">
      <c r="B103" s="43" t="s">
        <v>147</v>
      </c>
      <c r="C103" s="44">
        <v>19.966999999999999</v>
      </c>
      <c r="D103" s="44">
        <v>20.634799999999998</v>
      </c>
    </row>
    <row r="104" spans="2:4" ht="12.75" x14ac:dyDescent="0.2">
      <c r="B104" s="43" t="s">
        <v>397</v>
      </c>
      <c r="C104" s="44">
        <v>46.87</v>
      </c>
      <c r="D104" s="44">
        <v>48.4375</v>
      </c>
    </row>
    <row r="105" spans="2:4" ht="12.75" x14ac:dyDescent="0.2">
      <c r="B105" s="43" t="s">
        <v>398</v>
      </c>
      <c r="C105" s="44">
        <v>20.309000000000001</v>
      </c>
      <c r="D105" s="44">
        <v>20.9879</v>
      </c>
    </row>
    <row r="106" spans="2:4" ht="12.75" x14ac:dyDescent="0.2">
      <c r="B106" s="43" t="s">
        <v>148</v>
      </c>
      <c r="C106" s="44">
        <v>43.647399999999998</v>
      </c>
      <c r="D106" s="44">
        <v>45.083399999999997</v>
      </c>
    </row>
    <row r="107" spans="2:4" ht="12.75" x14ac:dyDescent="0.2">
      <c r="B107" s="43" t="s">
        <v>149</v>
      </c>
      <c r="C107" s="44">
        <v>18.8523</v>
      </c>
      <c r="D107" s="44">
        <v>19.4726</v>
      </c>
    </row>
    <row r="109" spans="2:4" ht="12.75" x14ac:dyDescent="0.2">
      <c r="B109" s="62" t="s">
        <v>150</v>
      </c>
      <c r="C109" s="45"/>
      <c r="D109" s="63" t="s">
        <v>138</v>
      </c>
    </row>
    <row r="110" spans="2:4" ht="24.75" customHeight="1" x14ac:dyDescent="0.2">
      <c r="B110" s="64"/>
      <c r="C110" s="64"/>
    </row>
    <row r="111" spans="2:4" ht="15" x14ac:dyDescent="0.25">
      <c r="B111" s="66"/>
      <c r="C111" s="68"/>
      <c r="D111"/>
    </row>
    <row r="113" spans="2:4" ht="12.75" x14ac:dyDescent="0.2">
      <c r="B113" s="42" t="s">
        <v>151</v>
      </c>
      <c r="C113" s="41"/>
      <c r="D113" s="67" t="s">
        <v>138</v>
      </c>
    </row>
    <row r="114" spans="2:4" ht="12.75" x14ac:dyDescent="0.2">
      <c r="B114" s="42" t="s">
        <v>152</v>
      </c>
      <c r="C114" s="41"/>
      <c r="D114" s="67" t="s">
        <v>138</v>
      </c>
    </row>
    <row r="115" spans="2:4" ht="12.75" x14ac:dyDescent="0.2">
      <c r="B115" s="42" t="s">
        <v>153</v>
      </c>
      <c r="C115" s="41"/>
      <c r="D115" s="46">
        <v>0.20107875285066246</v>
      </c>
    </row>
    <row r="116" spans="2:4" ht="12.75" x14ac:dyDescent="0.2">
      <c r="B116" s="42" t="s">
        <v>154</v>
      </c>
      <c r="C116" s="41"/>
      <c r="D116" s="46" t="s">
        <v>138</v>
      </c>
    </row>
  </sheetData>
  <mergeCells count="5">
    <mergeCell ref="A1:G1"/>
    <mergeCell ref="A2:G2"/>
    <mergeCell ref="A3:G3"/>
    <mergeCell ref="B93:F93"/>
    <mergeCell ref="B94:F94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34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32.7109375" style="32" bestFit="1" customWidth="1"/>
    <col min="4" max="4" width="16" style="32" bestFit="1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728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87853</v>
      </c>
      <c r="F7" s="53">
        <v>406.80331649999999</v>
      </c>
      <c r="G7" s="5">
        <v>7.6682393000000001E-2</v>
      </c>
    </row>
    <row r="8" spans="1:7" ht="25.5" x14ac:dyDescent="0.2">
      <c r="A8" s="6">
        <v>2</v>
      </c>
      <c r="B8" s="7" t="s">
        <v>11</v>
      </c>
      <c r="C8" s="11" t="s">
        <v>12</v>
      </c>
      <c r="D8" s="2" t="s">
        <v>13</v>
      </c>
      <c r="E8" s="47">
        <v>21396</v>
      </c>
      <c r="F8" s="53">
        <v>315.17377800000003</v>
      </c>
      <c r="G8" s="5">
        <v>5.9410232E-2</v>
      </c>
    </row>
    <row r="9" spans="1:7" ht="12.75" x14ac:dyDescent="0.2">
      <c r="A9" s="6">
        <v>3</v>
      </c>
      <c r="B9" s="7" t="s">
        <v>502</v>
      </c>
      <c r="C9" s="11" t="s">
        <v>503</v>
      </c>
      <c r="D9" s="2" t="s">
        <v>16</v>
      </c>
      <c r="E9" s="47">
        <v>99397</v>
      </c>
      <c r="F9" s="53">
        <v>310.51622800000001</v>
      </c>
      <c r="G9" s="5">
        <v>5.8532283999999997E-2</v>
      </c>
    </row>
    <row r="10" spans="1:7" ht="12.75" x14ac:dyDescent="0.2">
      <c r="A10" s="6">
        <v>4</v>
      </c>
      <c r="B10" s="7" t="s">
        <v>527</v>
      </c>
      <c r="C10" s="11" t="s">
        <v>528</v>
      </c>
      <c r="D10" s="2" t="s">
        <v>16</v>
      </c>
      <c r="E10" s="47">
        <v>225242</v>
      </c>
      <c r="F10" s="53">
        <v>218.93522400000001</v>
      </c>
      <c r="G10" s="5">
        <v>4.1269272000000003E-2</v>
      </c>
    </row>
    <row r="11" spans="1:7" ht="12.75" x14ac:dyDescent="0.2">
      <c r="A11" s="6">
        <v>5</v>
      </c>
      <c r="B11" s="7" t="s">
        <v>63</v>
      </c>
      <c r="C11" s="11" t="s">
        <v>64</v>
      </c>
      <c r="D11" s="2" t="s">
        <v>65</v>
      </c>
      <c r="E11" s="47">
        <v>55922</v>
      </c>
      <c r="F11" s="53">
        <v>209.288085</v>
      </c>
      <c r="G11" s="5">
        <v>3.9450787000000001E-2</v>
      </c>
    </row>
    <row r="12" spans="1:7" ht="12.75" x14ac:dyDescent="0.2">
      <c r="A12" s="6">
        <v>6</v>
      </c>
      <c r="B12" s="7" t="s">
        <v>667</v>
      </c>
      <c r="C12" s="11" t="s">
        <v>668</v>
      </c>
      <c r="D12" s="2" t="s">
        <v>226</v>
      </c>
      <c r="E12" s="47">
        <v>6378</v>
      </c>
      <c r="F12" s="53">
        <v>177.512496</v>
      </c>
      <c r="G12" s="5">
        <v>3.3461090999999998E-2</v>
      </c>
    </row>
    <row r="13" spans="1:7" ht="12.75" x14ac:dyDescent="0.2">
      <c r="A13" s="6">
        <v>7</v>
      </c>
      <c r="B13" s="7" t="s">
        <v>408</v>
      </c>
      <c r="C13" s="11" t="s">
        <v>409</v>
      </c>
      <c r="D13" s="2" t="s">
        <v>16</v>
      </c>
      <c r="E13" s="47">
        <v>22592</v>
      </c>
      <c r="F13" s="53">
        <v>166.35619199999999</v>
      </c>
      <c r="G13" s="5">
        <v>3.1358128999999998E-2</v>
      </c>
    </row>
    <row r="14" spans="1:7" ht="12.75" x14ac:dyDescent="0.2">
      <c r="A14" s="6">
        <v>8</v>
      </c>
      <c r="B14" s="7" t="s">
        <v>500</v>
      </c>
      <c r="C14" s="11" t="s">
        <v>501</v>
      </c>
      <c r="D14" s="2" t="s">
        <v>40</v>
      </c>
      <c r="E14" s="47">
        <v>130840</v>
      </c>
      <c r="F14" s="53">
        <v>160.14815999999999</v>
      </c>
      <c r="G14" s="5">
        <v>3.0187914999999999E-2</v>
      </c>
    </row>
    <row r="15" spans="1:7" ht="12.75" x14ac:dyDescent="0.2">
      <c r="A15" s="6">
        <v>9</v>
      </c>
      <c r="B15" s="7" t="s">
        <v>634</v>
      </c>
      <c r="C15" s="11" t="s">
        <v>635</v>
      </c>
      <c r="D15" s="2" t="s">
        <v>307</v>
      </c>
      <c r="E15" s="47">
        <v>55815</v>
      </c>
      <c r="F15" s="53">
        <v>159.85416000000001</v>
      </c>
      <c r="G15" s="5">
        <v>3.0132496000000002E-2</v>
      </c>
    </row>
    <row r="16" spans="1:7" ht="12.75" x14ac:dyDescent="0.2">
      <c r="A16" s="6">
        <v>10</v>
      </c>
      <c r="B16" s="7" t="s">
        <v>316</v>
      </c>
      <c r="C16" s="11" t="s">
        <v>317</v>
      </c>
      <c r="D16" s="2" t="s">
        <v>16</v>
      </c>
      <c r="E16" s="47">
        <v>173104</v>
      </c>
      <c r="F16" s="53">
        <v>145.06115199999999</v>
      </c>
      <c r="G16" s="5">
        <v>2.7344015999999999E-2</v>
      </c>
    </row>
    <row r="17" spans="1:7" ht="25.5" x14ac:dyDescent="0.2">
      <c r="A17" s="6">
        <v>11</v>
      </c>
      <c r="B17" s="7" t="s">
        <v>41</v>
      </c>
      <c r="C17" s="11" t="s">
        <v>42</v>
      </c>
      <c r="D17" s="2" t="s">
        <v>27</v>
      </c>
      <c r="E17" s="47">
        <v>123708</v>
      </c>
      <c r="F17" s="53">
        <v>142.07863800000001</v>
      </c>
      <c r="G17" s="5">
        <v>2.6781811999999999E-2</v>
      </c>
    </row>
    <row r="18" spans="1:7" ht="12.75" x14ac:dyDescent="0.2">
      <c r="A18" s="6">
        <v>12</v>
      </c>
      <c r="B18" s="7" t="s">
        <v>387</v>
      </c>
      <c r="C18" s="11" t="s">
        <v>388</v>
      </c>
      <c r="D18" s="2" t="s">
        <v>226</v>
      </c>
      <c r="E18" s="47">
        <v>14025</v>
      </c>
      <c r="F18" s="53">
        <v>137.55018749999999</v>
      </c>
      <c r="G18" s="5">
        <v>2.5928198999999999E-2</v>
      </c>
    </row>
    <row r="19" spans="1:7" ht="25.5" x14ac:dyDescent="0.2">
      <c r="A19" s="6">
        <v>13</v>
      </c>
      <c r="B19" s="7" t="s">
        <v>43</v>
      </c>
      <c r="C19" s="11" t="s">
        <v>44</v>
      </c>
      <c r="D19" s="2" t="s">
        <v>22</v>
      </c>
      <c r="E19" s="47">
        <v>18471</v>
      </c>
      <c r="F19" s="53">
        <v>128.595102</v>
      </c>
      <c r="G19" s="5">
        <v>2.4240166E-2</v>
      </c>
    </row>
    <row r="20" spans="1:7" ht="12.75" x14ac:dyDescent="0.2">
      <c r="A20" s="6">
        <v>14</v>
      </c>
      <c r="B20" s="7" t="s">
        <v>688</v>
      </c>
      <c r="C20" s="11" t="s">
        <v>689</v>
      </c>
      <c r="D20" s="2" t="s">
        <v>226</v>
      </c>
      <c r="E20" s="47">
        <v>26311</v>
      </c>
      <c r="F20" s="53">
        <v>123.62223349999999</v>
      </c>
      <c r="G20" s="5">
        <v>2.3302781000000002E-2</v>
      </c>
    </row>
    <row r="21" spans="1:7" ht="25.5" x14ac:dyDescent="0.2">
      <c r="A21" s="6">
        <v>15</v>
      </c>
      <c r="B21" s="7" t="s">
        <v>57</v>
      </c>
      <c r="C21" s="11" t="s">
        <v>58</v>
      </c>
      <c r="D21" s="2" t="s">
        <v>27</v>
      </c>
      <c r="E21" s="47">
        <v>32080</v>
      </c>
      <c r="F21" s="53">
        <v>119.61028</v>
      </c>
      <c r="G21" s="5">
        <v>2.2546528E-2</v>
      </c>
    </row>
    <row r="22" spans="1:7" ht="12.75" x14ac:dyDescent="0.2">
      <c r="A22" s="6">
        <v>16</v>
      </c>
      <c r="B22" s="7" t="s">
        <v>661</v>
      </c>
      <c r="C22" s="11" t="s">
        <v>662</v>
      </c>
      <c r="D22" s="2" t="s">
        <v>226</v>
      </c>
      <c r="E22" s="47">
        <v>25186</v>
      </c>
      <c r="F22" s="53">
        <v>117.58084100000001</v>
      </c>
      <c r="G22" s="5">
        <v>2.2163979E-2</v>
      </c>
    </row>
    <row r="23" spans="1:7" ht="25.5" x14ac:dyDescent="0.2">
      <c r="A23" s="6">
        <v>17</v>
      </c>
      <c r="B23" s="7" t="s">
        <v>521</v>
      </c>
      <c r="C23" s="11" t="s">
        <v>522</v>
      </c>
      <c r="D23" s="2" t="s">
        <v>30</v>
      </c>
      <c r="E23" s="47">
        <v>69375</v>
      </c>
      <c r="F23" s="53">
        <v>113.04656249999999</v>
      </c>
      <c r="G23" s="5">
        <v>2.1309267999999999E-2</v>
      </c>
    </row>
    <row r="24" spans="1:7" ht="25.5" x14ac:dyDescent="0.2">
      <c r="A24" s="6">
        <v>18</v>
      </c>
      <c r="B24" s="7" t="s">
        <v>525</v>
      </c>
      <c r="C24" s="11" t="s">
        <v>526</v>
      </c>
      <c r="D24" s="2" t="s">
        <v>33</v>
      </c>
      <c r="E24" s="47">
        <v>74925</v>
      </c>
      <c r="F24" s="53">
        <v>109.98990000000001</v>
      </c>
      <c r="G24" s="5">
        <v>2.0733087000000001E-2</v>
      </c>
    </row>
    <row r="25" spans="1:7" ht="25.5" x14ac:dyDescent="0.2">
      <c r="A25" s="6">
        <v>19</v>
      </c>
      <c r="B25" s="7" t="s">
        <v>104</v>
      </c>
      <c r="C25" s="11" t="s">
        <v>105</v>
      </c>
      <c r="D25" s="2" t="s">
        <v>33</v>
      </c>
      <c r="E25" s="47">
        <v>19850</v>
      </c>
      <c r="F25" s="53">
        <v>104.5301</v>
      </c>
      <c r="G25" s="5">
        <v>1.9703914999999999E-2</v>
      </c>
    </row>
    <row r="26" spans="1:7" ht="25.5" x14ac:dyDescent="0.2">
      <c r="A26" s="6">
        <v>20</v>
      </c>
      <c r="B26" s="7" t="s">
        <v>537</v>
      </c>
      <c r="C26" s="11" t="s">
        <v>538</v>
      </c>
      <c r="D26" s="2" t="s">
        <v>13</v>
      </c>
      <c r="E26" s="47">
        <v>502820</v>
      </c>
      <c r="F26" s="53">
        <v>104.33515</v>
      </c>
      <c r="G26" s="5">
        <v>1.9667166999999999E-2</v>
      </c>
    </row>
    <row r="27" spans="1:7" ht="25.5" x14ac:dyDescent="0.2">
      <c r="A27" s="6">
        <v>21</v>
      </c>
      <c r="B27" s="7" t="s">
        <v>444</v>
      </c>
      <c r="C27" s="11" t="s">
        <v>445</v>
      </c>
      <c r="D27" s="2" t="s">
        <v>27</v>
      </c>
      <c r="E27" s="47">
        <v>6287</v>
      </c>
      <c r="F27" s="53">
        <v>104.119007</v>
      </c>
      <c r="G27" s="5">
        <v>1.9626424E-2</v>
      </c>
    </row>
    <row r="28" spans="1:7" ht="12.75" x14ac:dyDescent="0.2">
      <c r="A28" s="6">
        <v>22</v>
      </c>
      <c r="B28" s="7" t="s">
        <v>653</v>
      </c>
      <c r="C28" s="11" t="s">
        <v>654</v>
      </c>
      <c r="D28" s="2" t="s">
        <v>226</v>
      </c>
      <c r="E28" s="47">
        <v>40660</v>
      </c>
      <c r="F28" s="53">
        <v>102.36154999999999</v>
      </c>
      <c r="G28" s="5">
        <v>1.9295144E-2</v>
      </c>
    </row>
    <row r="29" spans="1:7" ht="25.5" x14ac:dyDescent="0.2">
      <c r="A29" s="6">
        <v>23</v>
      </c>
      <c r="B29" s="7" t="s">
        <v>89</v>
      </c>
      <c r="C29" s="11" t="s">
        <v>90</v>
      </c>
      <c r="D29" s="2" t="s">
        <v>27</v>
      </c>
      <c r="E29" s="47">
        <v>165909</v>
      </c>
      <c r="F29" s="53">
        <v>93.8215395</v>
      </c>
      <c r="G29" s="5">
        <v>1.7685353000000001E-2</v>
      </c>
    </row>
    <row r="30" spans="1:7" ht="12.75" x14ac:dyDescent="0.2">
      <c r="A30" s="6">
        <v>24</v>
      </c>
      <c r="B30" s="7" t="s">
        <v>175</v>
      </c>
      <c r="C30" s="11" t="s">
        <v>176</v>
      </c>
      <c r="D30" s="2" t="s">
        <v>19</v>
      </c>
      <c r="E30" s="47">
        <v>108332</v>
      </c>
      <c r="F30" s="53">
        <v>90.836382</v>
      </c>
      <c r="G30" s="5">
        <v>1.7122650999999999E-2</v>
      </c>
    </row>
    <row r="31" spans="1:7" ht="25.5" x14ac:dyDescent="0.2">
      <c r="A31" s="6">
        <v>25</v>
      </c>
      <c r="B31" s="7" t="s">
        <v>202</v>
      </c>
      <c r="C31" s="11" t="s">
        <v>203</v>
      </c>
      <c r="D31" s="2" t="s">
        <v>22</v>
      </c>
      <c r="E31" s="47">
        <v>13400</v>
      </c>
      <c r="F31" s="53">
        <v>88.895600000000002</v>
      </c>
      <c r="G31" s="5">
        <v>1.6756812999999999E-2</v>
      </c>
    </row>
    <row r="32" spans="1:7" ht="12.75" x14ac:dyDescent="0.2">
      <c r="A32" s="6">
        <v>26</v>
      </c>
      <c r="B32" s="7" t="s">
        <v>523</v>
      </c>
      <c r="C32" s="11" t="s">
        <v>524</v>
      </c>
      <c r="D32" s="2" t="s">
        <v>242</v>
      </c>
      <c r="E32" s="47">
        <v>7641</v>
      </c>
      <c r="F32" s="53">
        <v>88.845727499999995</v>
      </c>
      <c r="G32" s="5">
        <v>1.6747412999999999E-2</v>
      </c>
    </row>
    <row r="33" spans="1:7" ht="12.75" x14ac:dyDescent="0.2">
      <c r="A33" s="6">
        <v>27</v>
      </c>
      <c r="B33" s="7" t="s">
        <v>519</v>
      </c>
      <c r="C33" s="11" t="s">
        <v>520</v>
      </c>
      <c r="D33" s="2" t="s">
        <v>281</v>
      </c>
      <c r="E33" s="47">
        <v>9286</v>
      </c>
      <c r="F33" s="53">
        <v>83.922224999999997</v>
      </c>
      <c r="G33" s="5">
        <v>1.5819333000000001E-2</v>
      </c>
    </row>
    <row r="34" spans="1:7" ht="25.5" x14ac:dyDescent="0.2">
      <c r="A34" s="6">
        <v>28</v>
      </c>
      <c r="B34" s="7" t="s">
        <v>34</v>
      </c>
      <c r="C34" s="11" t="s">
        <v>35</v>
      </c>
      <c r="D34" s="2" t="s">
        <v>27</v>
      </c>
      <c r="E34" s="47">
        <v>7093</v>
      </c>
      <c r="F34" s="53">
        <v>80.069330500000007</v>
      </c>
      <c r="G34" s="5">
        <v>1.5093062000000001E-2</v>
      </c>
    </row>
    <row r="35" spans="1:7" ht="51" x14ac:dyDescent="0.2">
      <c r="A35" s="6">
        <v>29</v>
      </c>
      <c r="B35" s="7" t="s">
        <v>294</v>
      </c>
      <c r="C35" s="11" t="s">
        <v>295</v>
      </c>
      <c r="D35" s="2" t="s">
        <v>208</v>
      </c>
      <c r="E35" s="47">
        <v>230444</v>
      </c>
      <c r="F35" s="53">
        <v>79.848845999999995</v>
      </c>
      <c r="G35" s="5">
        <v>1.5051501E-2</v>
      </c>
    </row>
    <row r="36" spans="1:7" ht="25.5" x14ac:dyDescent="0.2">
      <c r="A36" s="6">
        <v>30</v>
      </c>
      <c r="B36" s="7" t="s">
        <v>485</v>
      </c>
      <c r="C36" s="11" t="s">
        <v>486</v>
      </c>
      <c r="D36" s="2" t="s">
        <v>33</v>
      </c>
      <c r="E36" s="47">
        <v>52228</v>
      </c>
      <c r="F36" s="53">
        <v>79.464901999999995</v>
      </c>
      <c r="G36" s="5">
        <v>1.4979128E-2</v>
      </c>
    </row>
    <row r="37" spans="1:7" ht="12.75" x14ac:dyDescent="0.2">
      <c r="A37" s="6">
        <v>31</v>
      </c>
      <c r="B37" s="7" t="s">
        <v>240</v>
      </c>
      <c r="C37" s="11" t="s">
        <v>241</v>
      </c>
      <c r="D37" s="2" t="s">
        <v>242</v>
      </c>
      <c r="E37" s="47">
        <v>19365</v>
      </c>
      <c r="F37" s="53">
        <v>78.767137500000004</v>
      </c>
      <c r="G37" s="5">
        <v>1.4847599E-2</v>
      </c>
    </row>
    <row r="38" spans="1:7" ht="12.75" x14ac:dyDescent="0.2">
      <c r="A38" s="6">
        <v>32</v>
      </c>
      <c r="B38" s="7" t="s">
        <v>708</v>
      </c>
      <c r="C38" s="11" t="s">
        <v>709</v>
      </c>
      <c r="D38" s="2" t="s">
        <v>290</v>
      </c>
      <c r="E38" s="47">
        <v>67262</v>
      </c>
      <c r="F38" s="53">
        <v>78.192075000000003</v>
      </c>
      <c r="G38" s="5">
        <v>1.4739199999999999E-2</v>
      </c>
    </row>
    <row r="39" spans="1:7" ht="12.75" x14ac:dyDescent="0.2">
      <c r="A39" s="6">
        <v>33</v>
      </c>
      <c r="B39" s="7" t="s">
        <v>377</v>
      </c>
      <c r="C39" s="11" t="s">
        <v>378</v>
      </c>
      <c r="D39" s="2" t="s">
        <v>40</v>
      </c>
      <c r="E39" s="47">
        <v>127945</v>
      </c>
      <c r="F39" s="53">
        <v>75.871385000000004</v>
      </c>
      <c r="G39" s="5">
        <v>1.430175E-2</v>
      </c>
    </row>
    <row r="40" spans="1:7" ht="12.75" x14ac:dyDescent="0.2">
      <c r="A40" s="6">
        <v>34</v>
      </c>
      <c r="B40" s="7" t="s">
        <v>352</v>
      </c>
      <c r="C40" s="11" t="s">
        <v>353</v>
      </c>
      <c r="D40" s="2" t="s">
        <v>226</v>
      </c>
      <c r="E40" s="47">
        <v>12393</v>
      </c>
      <c r="F40" s="53">
        <v>73.019555999999994</v>
      </c>
      <c r="G40" s="5">
        <v>1.3764180000000001E-2</v>
      </c>
    </row>
    <row r="41" spans="1:7" ht="25.5" x14ac:dyDescent="0.2">
      <c r="A41" s="6">
        <v>35</v>
      </c>
      <c r="B41" s="7" t="s">
        <v>215</v>
      </c>
      <c r="C41" s="11" t="s">
        <v>216</v>
      </c>
      <c r="D41" s="2" t="s">
        <v>13</v>
      </c>
      <c r="E41" s="47">
        <v>119206</v>
      </c>
      <c r="F41" s="53">
        <v>68.901067999999995</v>
      </c>
      <c r="G41" s="5">
        <v>1.2987846000000001E-2</v>
      </c>
    </row>
    <row r="42" spans="1:7" ht="12.75" x14ac:dyDescent="0.2">
      <c r="A42" s="6">
        <v>36</v>
      </c>
      <c r="B42" s="7" t="s">
        <v>282</v>
      </c>
      <c r="C42" s="11" t="s">
        <v>283</v>
      </c>
      <c r="D42" s="2" t="s">
        <v>19</v>
      </c>
      <c r="E42" s="47">
        <v>35630</v>
      </c>
      <c r="F42" s="53">
        <v>65.238529999999997</v>
      </c>
      <c r="G42" s="5">
        <v>1.2297458000000001E-2</v>
      </c>
    </row>
    <row r="43" spans="1:7" ht="25.5" x14ac:dyDescent="0.2">
      <c r="A43" s="6">
        <v>37</v>
      </c>
      <c r="B43" s="7" t="s">
        <v>680</v>
      </c>
      <c r="C43" s="11" t="s">
        <v>681</v>
      </c>
      <c r="D43" s="2" t="s">
        <v>671</v>
      </c>
      <c r="E43" s="47">
        <v>31693</v>
      </c>
      <c r="F43" s="53">
        <v>59.551147</v>
      </c>
      <c r="G43" s="5">
        <v>1.1225386E-2</v>
      </c>
    </row>
    <row r="44" spans="1:7" ht="12.75" x14ac:dyDescent="0.2">
      <c r="A44" s="6">
        <v>38</v>
      </c>
      <c r="B44" s="7" t="s">
        <v>515</v>
      </c>
      <c r="C44" s="11" t="s">
        <v>516</v>
      </c>
      <c r="D44" s="2" t="s">
        <v>242</v>
      </c>
      <c r="E44" s="47">
        <v>7515</v>
      </c>
      <c r="F44" s="53">
        <v>55.535850000000003</v>
      </c>
      <c r="G44" s="5">
        <v>1.0468503000000001E-2</v>
      </c>
    </row>
    <row r="45" spans="1:7" ht="12.75" x14ac:dyDescent="0.2">
      <c r="A45" s="6">
        <v>39</v>
      </c>
      <c r="B45" s="7" t="s">
        <v>663</v>
      </c>
      <c r="C45" s="11" t="s">
        <v>664</v>
      </c>
      <c r="D45" s="2" t="s">
        <v>226</v>
      </c>
      <c r="E45" s="47">
        <v>6839</v>
      </c>
      <c r="F45" s="53">
        <v>50.957388999999999</v>
      </c>
      <c r="G45" s="5">
        <v>9.6054639999999993E-3</v>
      </c>
    </row>
    <row r="46" spans="1:7" ht="25.5" x14ac:dyDescent="0.2">
      <c r="A46" s="6">
        <v>40</v>
      </c>
      <c r="B46" s="7" t="s">
        <v>245</v>
      </c>
      <c r="C46" s="11" t="s">
        <v>246</v>
      </c>
      <c r="D46" s="2" t="s">
        <v>30</v>
      </c>
      <c r="E46" s="47">
        <v>70432</v>
      </c>
      <c r="F46" s="53">
        <v>4.9302400000000004</v>
      </c>
      <c r="G46" s="5">
        <v>9.2935000000000001E-4</v>
      </c>
    </row>
    <row r="47" spans="1:7" ht="12.75" x14ac:dyDescent="0.2">
      <c r="A47" s="1"/>
      <c r="B47" s="2"/>
      <c r="C47" s="8" t="s">
        <v>108</v>
      </c>
      <c r="D47" s="12"/>
      <c r="E47" s="49"/>
      <c r="F47" s="55">
        <v>4973.7372730000006</v>
      </c>
      <c r="G47" s="13">
        <v>0.93754907500000018</v>
      </c>
    </row>
    <row r="48" spans="1:7" ht="12.75" x14ac:dyDescent="0.2">
      <c r="A48" s="6"/>
      <c r="B48" s="7"/>
      <c r="C48" s="14"/>
      <c r="D48" s="15"/>
      <c r="E48" s="47"/>
      <c r="F48" s="53"/>
      <c r="G48" s="5"/>
    </row>
    <row r="49" spans="1:7" ht="12.75" x14ac:dyDescent="0.2">
      <c r="A49" s="1"/>
      <c r="B49" s="2"/>
      <c r="C49" s="8" t="s">
        <v>109</v>
      </c>
      <c r="D49" s="9"/>
      <c r="E49" s="48"/>
      <c r="F49" s="54"/>
      <c r="G49" s="10"/>
    </row>
    <row r="50" spans="1:7" ht="12.75" x14ac:dyDescent="0.2">
      <c r="A50" s="1"/>
      <c r="B50" s="2"/>
      <c r="C50" s="8" t="s">
        <v>108</v>
      </c>
      <c r="D50" s="12"/>
      <c r="E50" s="49"/>
      <c r="F50" s="55">
        <v>0</v>
      </c>
      <c r="G50" s="13">
        <v>0</v>
      </c>
    </row>
    <row r="51" spans="1:7" ht="12.75" x14ac:dyDescent="0.2">
      <c r="A51" s="6"/>
      <c r="B51" s="7"/>
      <c r="C51" s="14"/>
      <c r="D51" s="15"/>
      <c r="E51" s="47"/>
      <c r="F51" s="53"/>
      <c r="G51" s="5"/>
    </row>
    <row r="52" spans="1:7" ht="12.75" x14ac:dyDescent="0.2">
      <c r="A52" s="16"/>
      <c r="B52" s="17"/>
      <c r="C52" s="8" t="s">
        <v>110</v>
      </c>
      <c r="D52" s="9"/>
      <c r="E52" s="48"/>
      <c r="F52" s="54"/>
      <c r="G52" s="10"/>
    </row>
    <row r="53" spans="1:7" ht="12.75" x14ac:dyDescent="0.2">
      <c r="A53" s="18"/>
      <c r="B53" s="19"/>
      <c r="C53" s="8" t="s">
        <v>108</v>
      </c>
      <c r="D53" s="20"/>
      <c r="E53" s="50"/>
      <c r="F53" s="56">
        <v>0</v>
      </c>
      <c r="G53" s="21">
        <v>0</v>
      </c>
    </row>
    <row r="54" spans="1:7" ht="12.75" x14ac:dyDescent="0.2">
      <c r="A54" s="18"/>
      <c r="B54" s="19"/>
      <c r="C54" s="14"/>
      <c r="D54" s="22"/>
      <c r="E54" s="51"/>
      <c r="F54" s="57"/>
      <c r="G54" s="23"/>
    </row>
    <row r="55" spans="1:7" ht="12.75" x14ac:dyDescent="0.2">
      <c r="A55" s="1"/>
      <c r="B55" s="2"/>
      <c r="C55" s="8" t="s">
        <v>113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1"/>
      <c r="B57" s="2"/>
      <c r="C57" s="14"/>
      <c r="D57" s="4"/>
      <c r="E57" s="47"/>
      <c r="F57" s="53"/>
      <c r="G57" s="5"/>
    </row>
    <row r="58" spans="1:7" ht="12.75" x14ac:dyDescent="0.2">
      <c r="A58" s="1"/>
      <c r="B58" s="2"/>
      <c r="C58" s="8" t="s">
        <v>114</v>
      </c>
      <c r="D58" s="9"/>
      <c r="E58" s="48"/>
      <c r="F58" s="54"/>
      <c r="G58" s="10"/>
    </row>
    <row r="59" spans="1:7" ht="12.75" x14ac:dyDescent="0.2">
      <c r="A59" s="1"/>
      <c r="B59" s="2"/>
      <c r="C59" s="8" t="s">
        <v>108</v>
      </c>
      <c r="D59" s="12"/>
      <c r="E59" s="49"/>
      <c r="F59" s="55">
        <v>0</v>
      </c>
      <c r="G59" s="13">
        <v>0</v>
      </c>
    </row>
    <row r="60" spans="1:7" ht="12.75" x14ac:dyDescent="0.2">
      <c r="A60" s="1"/>
      <c r="B60" s="2"/>
      <c r="C60" s="14"/>
      <c r="D60" s="4"/>
      <c r="E60" s="47"/>
      <c r="F60" s="53"/>
      <c r="G60" s="5"/>
    </row>
    <row r="61" spans="1:7" ht="12.75" x14ac:dyDescent="0.2">
      <c r="A61" s="1"/>
      <c r="B61" s="2"/>
      <c r="C61" s="8" t="s">
        <v>115</v>
      </c>
      <c r="D61" s="9"/>
      <c r="E61" s="48"/>
      <c r="F61" s="54"/>
      <c r="G61" s="10"/>
    </row>
    <row r="62" spans="1:7" ht="12.75" x14ac:dyDescent="0.2">
      <c r="A62" s="6">
        <v>1</v>
      </c>
      <c r="B62" s="7"/>
      <c r="C62" s="11" t="s">
        <v>837</v>
      </c>
      <c r="D62" s="15" t="s">
        <v>729</v>
      </c>
      <c r="E62" s="47">
        <v>38625</v>
      </c>
      <c r="F62" s="53">
        <v>78.908789249999998</v>
      </c>
      <c r="G62" s="5">
        <v>1.48743E-2</v>
      </c>
    </row>
    <row r="63" spans="1:7" ht="12.75" x14ac:dyDescent="0.2">
      <c r="A63" s="6">
        <v>2</v>
      </c>
      <c r="B63" s="7"/>
      <c r="C63" s="11" t="s">
        <v>838</v>
      </c>
      <c r="D63" s="15" t="s">
        <v>729</v>
      </c>
      <c r="E63" s="47">
        <v>10500</v>
      </c>
      <c r="F63" s="53">
        <v>33.494999999999997</v>
      </c>
      <c r="G63" s="5">
        <v>6.3138049999999996E-3</v>
      </c>
    </row>
    <row r="64" spans="1:7" ht="12.75" x14ac:dyDescent="0.2">
      <c r="A64" s="1"/>
      <c r="B64" s="2"/>
      <c r="C64" s="8" t="s">
        <v>108</v>
      </c>
      <c r="D64" s="12"/>
      <c r="E64" s="49"/>
      <c r="F64" s="55">
        <v>112.40378924999999</v>
      </c>
      <c r="G64" s="13">
        <v>2.1188104999999999E-2</v>
      </c>
    </row>
    <row r="65" spans="1:7" ht="12.75" x14ac:dyDescent="0.2">
      <c r="A65" s="1"/>
      <c r="B65" s="2"/>
      <c r="C65" s="14"/>
      <c r="D65" s="4"/>
      <c r="E65" s="47"/>
      <c r="F65" s="53"/>
      <c r="G65" s="5"/>
    </row>
    <row r="66" spans="1:7" ht="12.75" x14ac:dyDescent="0.2">
      <c r="A66" s="6"/>
      <c r="B66" s="7"/>
      <c r="C66" s="24" t="s">
        <v>116</v>
      </c>
      <c r="D66" s="25"/>
      <c r="E66" s="49"/>
      <c r="F66" s="55">
        <v>5086.1410622500007</v>
      </c>
      <c r="G66" s="13">
        <v>0.95873718000000019</v>
      </c>
    </row>
    <row r="67" spans="1:7" ht="12.75" x14ac:dyDescent="0.2">
      <c r="A67" s="1"/>
      <c r="B67" s="2"/>
      <c r="C67" s="11"/>
      <c r="D67" s="4"/>
      <c r="E67" s="47"/>
      <c r="F67" s="53"/>
      <c r="G67" s="5"/>
    </row>
    <row r="68" spans="1:7" ht="12.75" x14ac:dyDescent="0.2">
      <c r="A68" s="1"/>
      <c r="B68" s="2"/>
      <c r="C68" s="3" t="s">
        <v>117</v>
      </c>
      <c r="D68" s="4"/>
      <c r="E68" s="47"/>
      <c r="F68" s="53"/>
      <c r="G68" s="5"/>
    </row>
    <row r="69" spans="1:7" ht="25.5" x14ac:dyDescent="0.2">
      <c r="A69" s="1"/>
      <c r="B69" s="2"/>
      <c r="C69" s="8" t="s">
        <v>10</v>
      </c>
      <c r="D69" s="9"/>
      <c r="E69" s="48"/>
      <c r="F69" s="54"/>
      <c r="G69" s="10"/>
    </row>
    <row r="70" spans="1:7" ht="12.75" x14ac:dyDescent="0.2">
      <c r="A70" s="6"/>
      <c r="B70" s="7"/>
      <c r="C70" s="8" t="s">
        <v>108</v>
      </c>
      <c r="D70" s="12"/>
      <c r="E70" s="49"/>
      <c r="F70" s="55">
        <v>0</v>
      </c>
      <c r="G70" s="13">
        <v>0</v>
      </c>
    </row>
    <row r="71" spans="1:7" ht="12.75" x14ac:dyDescent="0.2">
      <c r="A71" s="6"/>
      <c r="B71" s="7"/>
      <c r="C71" s="14"/>
      <c r="D71" s="4"/>
      <c r="E71" s="47"/>
      <c r="F71" s="53"/>
      <c r="G71" s="5"/>
    </row>
    <row r="72" spans="1:7" ht="12.75" x14ac:dyDescent="0.2">
      <c r="A72" s="1"/>
      <c r="B72" s="26"/>
      <c r="C72" s="8" t="s">
        <v>118</v>
      </c>
      <c r="D72" s="9"/>
      <c r="E72" s="48"/>
      <c r="F72" s="54"/>
      <c r="G72" s="10"/>
    </row>
    <row r="73" spans="1:7" ht="12.75" x14ac:dyDescent="0.2">
      <c r="A73" s="6"/>
      <c r="B73" s="7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6"/>
      <c r="B74" s="7"/>
      <c r="C74" s="14"/>
      <c r="D74" s="4"/>
      <c r="E74" s="47"/>
      <c r="F74" s="59"/>
      <c r="G74" s="28"/>
    </row>
    <row r="75" spans="1:7" ht="12.75" x14ac:dyDescent="0.2">
      <c r="A75" s="1"/>
      <c r="B75" s="2"/>
      <c r="C75" s="8" t="s">
        <v>119</v>
      </c>
      <c r="D75" s="9"/>
      <c r="E75" s="48"/>
      <c r="F75" s="54"/>
      <c r="G75" s="10"/>
    </row>
    <row r="76" spans="1:7" ht="12.75" x14ac:dyDescent="0.2">
      <c r="A76" s="6"/>
      <c r="B76" s="7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1"/>
      <c r="B77" s="2"/>
      <c r="C77" s="14"/>
      <c r="D77" s="4"/>
      <c r="E77" s="47"/>
      <c r="F77" s="53"/>
      <c r="G77" s="5"/>
    </row>
    <row r="78" spans="1:7" ht="12.75" x14ac:dyDescent="0.2">
      <c r="A78" s="1"/>
      <c r="B78" s="26"/>
      <c r="C78" s="8" t="s">
        <v>120</v>
      </c>
      <c r="D78" s="9"/>
      <c r="E78" s="48"/>
      <c r="F78" s="54"/>
      <c r="G78" s="10"/>
    </row>
    <row r="79" spans="1:7" ht="12.75" x14ac:dyDescent="0.2">
      <c r="A79" s="6"/>
      <c r="B79" s="7"/>
      <c r="C79" s="8" t="s">
        <v>108</v>
      </c>
      <c r="D79" s="12"/>
      <c r="E79" s="49"/>
      <c r="F79" s="55">
        <v>0</v>
      </c>
      <c r="G79" s="13">
        <v>0</v>
      </c>
    </row>
    <row r="80" spans="1:7" ht="12.75" x14ac:dyDescent="0.2">
      <c r="A80" s="6"/>
      <c r="B80" s="7"/>
      <c r="C80" s="14"/>
      <c r="D80" s="4"/>
      <c r="E80" s="47"/>
      <c r="F80" s="53"/>
      <c r="G80" s="5"/>
    </row>
    <row r="81" spans="1:7" ht="12.75" x14ac:dyDescent="0.2">
      <c r="A81" s="6"/>
      <c r="B81" s="7"/>
      <c r="C81" s="29" t="s">
        <v>121</v>
      </c>
      <c r="D81" s="25"/>
      <c r="E81" s="49"/>
      <c r="F81" s="55">
        <v>0</v>
      </c>
      <c r="G81" s="13">
        <v>0</v>
      </c>
    </row>
    <row r="82" spans="1:7" ht="12.75" x14ac:dyDescent="0.2">
      <c r="A82" s="6"/>
      <c r="B82" s="7"/>
      <c r="C82" s="11"/>
      <c r="D82" s="4"/>
      <c r="E82" s="47"/>
      <c r="F82" s="53"/>
      <c r="G82" s="5"/>
    </row>
    <row r="83" spans="1:7" ht="12.75" x14ac:dyDescent="0.2">
      <c r="A83" s="1"/>
      <c r="B83" s="2"/>
      <c r="C83" s="3" t="s">
        <v>122</v>
      </c>
      <c r="D83" s="4"/>
      <c r="E83" s="47"/>
      <c r="F83" s="53"/>
      <c r="G83" s="5"/>
    </row>
    <row r="84" spans="1:7" ht="12.75" x14ac:dyDescent="0.2">
      <c r="A84" s="6"/>
      <c r="B84" s="7"/>
      <c r="C84" s="8" t="s">
        <v>123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7"/>
      <c r="E86" s="47"/>
      <c r="F86" s="53"/>
      <c r="G86" s="5"/>
    </row>
    <row r="87" spans="1:7" ht="12.75" x14ac:dyDescent="0.2">
      <c r="A87" s="6"/>
      <c r="B87" s="7"/>
      <c r="C87" s="8" t="s">
        <v>124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25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7"/>
      <c r="E89" s="47"/>
      <c r="F89" s="53"/>
      <c r="G89" s="5"/>
    </row>
    <row r="90" spans="1:7" ht="12.75" x14ac:dyDescent="0.2">
      <c r="A90" s="6"/>
      <c r="B90" s="7"/>
      <c r="C90" s="8" t="s">
        <v>125</v>
      </c>
      <c r="D90" s="9"/>
      <c r="E90" s="48"/>
      <c r="F90" s="54"/>
      <c r="G90" s="10"/>
    </row>
    <row r="91" spans="1:7" ht="12.75" x14ac:dyDescent="0.2">
      <c r="A91" s="6"/>
      <c r="B91" s="7"/>
      <c r="C91" s="8" t="s">
        <v>108</v>
      </c>
      <c r="D91" s="25"/>
      <c r="E91" s="49"/>
      <c r="F91" s="55">
        <v>0</v>
      </c>
      <c r="G91" s="13">
        <v>0</v>
      </c>
    </row>
    <row r="92" spans="1:7" ht="12.75" x14ac:dyDescent="0.2">
      <c r="A92" s="6"/>
      <c r="B92" s="7"/>
      <c r="C92" s="14"/>
      <c r="D92" s="7"/>
      <c r="E92" s="47"/>
      <c r="F92" s="53"/>
      <c r="G92" s="5"/>
    </row>
    <row r="93" spans="1:7" ht="12.75" x14ac:dyDescent="0.2">
      <c r="A93" s="6"/>
      <c r="B93" s="7"/>
      <c r="C93" s="8" t="s">
        <v>126</v>
      </c>
      <c r="D93" s="9"/>
      <c r="E93" s="48"/>
      <c r="F93" s="54"/>
      <c r="G93" s="10"/>
    </row>
    <row r="94" spans="1:7" ht="12.75" x14ac:dyDescent="0.2">
      <c r="A94" s="6">
        <v>1</v>
      </c>
      <c r="B94" s="7"/>
      <c r="C94" s="11" t="s">
        <v>812</v>
      </c>
      <c r="D94" s="15"/>
      <c r="E94" s="47"/>
      <c r="F94" s="53">
        <v>221.97080919999999</v>
      </c>
      <c r="G94" s="5">
        <v>4.184148E-2</v>
      </c>
    </row>
    <row r="95" spans="1:7" ht="12.75" x14ac:dyDescent="0.2">
      <c r="A95" s="6"/>
      <c r="B95" s="7"/>
      <c r="C95" s="8" t="s">
        <v>108</v>
      </c>
      <c r="D95" s="25"/>
      <c r="E95" s="49"/>
      <c r="F95" s="55">
        <v>221.97080919999999</v>
      </c>
      <c r="G95" s="13">
        <v>4.184148E-2</v>
      </c>
    </row>
    <row r="96" spans="1:7" ht="12.75" x14ac:dyDescent="0.2">
      <c r="A96" s="6"/>
      <c r="B96" s="7"/>
      <c r="C96" s="14"/>
      <c r="D96" s="7"/>
      <c r="E96" s="47"/>
      <c r="F96" s="53"/>
      <c r="G96" s="5"/>
    </row>
    <row r="97" spans="1:7" ht="12.75" x14ac:dyDescent="0.2">
      <c r="A97" s="6"/>
      <c r="B97" s="7"/>
      <c r="C97" s="24" t="s">
        <v>127</v>
      </c>
      <c r="D97" s="25"/>
      <c r="E97" s="49"/>
      <c r="F97" s="55">
        <v>221.97080919999999</v>
      </c>
      <c r="G97" s="13">
        <v>4.184148E-2</v>
      </c>
    </row>
    <row r="98" spans="1:7" ht="12.75" x14ac:dyDescent="0.2">
      <c r="A98" s="6"/>
      <c r="B98" s="7"/>
      <c r="C98" s="30"/>
      <c r="D98" s="7"/>
      <c r="E98" s="47"/>
      <c r="F98" s="53"/>
      <c r="G98" s="5"/>
    </row>
    <row r="99" spans="1:7" ht="12.75" x14ac:dyDescent="0.2">
      <c r="A99" s="1"/>
      <c r="B99" s="2"/>
      <c r="C99" s="3" t="s">
        <v>128</v>
      </c>
      <c r="D99" s="4"/>
      <c r="E99" s="47"/>
      <c r="F99" s="53"/>
      <c r="G99" s="5"/>
    </row>
    <row r="100" spans="1:7" ht="12.75" x14ac:dyDescent="0.2">
      <c r="A100" s="6"/>
      <c r="B100" s="7"/>
      <c r="C100" s="8" t="s">
        <v>129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25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4"/>
      <c r="D102" s="7"/>
      <c r="E102" s="47"/>
      <c r="F102" s="53"/>
      <c r="G102" s="5"/>
    </row>
    <row r="103" spans="1:7" ht="12.75" x14ac:dyDescent="0.2">
      <c r="A103" s="1"/>
      <c r="B103" s="2"/>
      <c r="C103" s="3" t="s">
        <v>131</v>
      </c>
      <c r="D103" s="4"/>
      <c r="E103" s="47"/>
      <c r="F103" s="53"/>
      <c r="G103" s="5"/>
    </row>
    <row r="104" spans="1:7" ht="12.75" x14ac:dyDescent="0.2">
      <c r="A104" s="6"/>
      <c r="B104" s="7"/>
      <c r="C104" s="8" t="s">
        <v>132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25.5" x14ac:dyDescent="0.2">
      <c r="A107" s="6"/>
      <c r="B107" s="7"/>
      <c r="C107" s="8" t="s">
        <v>133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9"/>
      <c r="G109" s="28"/>
    </row>
    <row r="110" spans="1:7" ht="12.75" x14ac:dyDescent="0.2">
      <c r="A110" s="6"/>
      <c r="B110" s="7"/>
      <c r="C110" s="30" t="s">
        <v>134</v>
      </c>
      <c r="D110" s="7"/>
      <c r="E110" s="47"/>
      <c r="F110" s="128">
        <v>-3.0698257999999998</v>
      </c>
      <c r="G110" s="137">
        <v>-5.6665555938256371E-4</v>
      </c>
    </row>
    <row r="111" spans="1:7" ht="12.75" x14ac:dyDescent="0.2">
      <c r="A111" s="6"/>
      <c r="B111" s="7"/>
      <c r="C111" s="31" t="s">
        <v>135</v>
      </c>
      <c r="D111" s="12"/>
      <c r="E111" s="49"/>
      <c r="F111" s="55">
        <v>5305.0420456500005</v>
      </c>
      <c r="G111" s="13">
        <v>0.99999999800000017</v>
      </c>
    </row>
    <row r="112" spans="1:7" ht="15.95" customHeight="1" x14ac:dyDescent="0.2">
      <c r="F112" s="139"/>
    </row>
    <row r="113" spans="2:6" ht="12.75" x14ac:dyDescent="0.2">
      <c r="B113" s="179"/>
      <c r="C113" s="179"/>
      <c r="D113" s="179"/>
      <c r="E113" s="179"/>
      <c r="F113" s="179"/>
    </row>
    <row r="114" spans="2:6" ht="12.75" x14ac:dyDescent="0.2">
      <c r="B114" s="179"/>
      <c r="C114" s="179"/>
      <c r="D114" s="179"/>
      <c r="E114" s="179"/>
      <c r="F114" s="179"/>
    </row>
    <row r="116" spans="2:6" ht="12.75" x14ac:dyDescent="0.2">
      <c r="B116" s="37" t="s">
        <v>137</v>
      </c>
      <c r="C116" s="38"/>
      <c r="D116" s="39"/>
    </row>
    <row r="117" spans="2:6" ht="12.75" x14ac:dyDescent="0.2">
      <c r="B117" s="40" t="s">
        <v>808</v>
      </c>
      <c r="C117" s="41"/>
      <c r="D117" s="65" t="s">
        <v>138</v>
      </c>
    </row>
    <row r="118" spans="2:6" ht="12.75" x14ac:dyDescent="0.2">
      <c r="B118" s="40" t="s">
        <v>139</v>
      </c>
      <c r="C118" s="41"/>
      <c r="D118" s="65" t="s">
        <v>138</v>
      </c>
    </row>
    <row r="119" spans="2:6" ht="12.75" x14ac:dyDescent="0.2">
      <c r="B119" s="42" t="s">
        <v>140</v>
      </c>
      <c r="C119" s="41"/>
      <c r="D119" s="43"/>
    </row>
    <row r="120" spans="2:6" ht="25.5" customHeight="1" x14ac:dyDescent="0.2">
      <c r="B120" s="43"/>
      <c r="C120" s="33" t="s">
        <v>141</v>
      </c>
      <c r="D120" s="34" t="s">
        <v>142</v>
      </c>
    </row>
    <row r="121" spans="2:6" ht="12.75" customHeight="1" x14ac:dyDescent="0.2">
      <c r="B121" s="60" t="s">
        <v>143</v>
      </c>
      <c r="C121" s="61" t="s">
        <v>144</v>
      </c>
      <c r="D121" s="61" t="s">
        <v>145</v>
      </c>
    </row>
    <row r="122" spans="2:6" ht="12.75" x14ac:dyDescent="0.2">
      <c r="B122" s="43" t="s">
        <v>146</v>
      </c>
      <c r="C122" s="44">
        <v>8.9725000000000001</v>
      </c>
      <c r="D122" s="44">
        <v>8.8978000000000002</v>
      </c>
    </row>
    <row r="123" spans="2:6" ht="12.75" x14ac:dyDescent="0.2">
      <c r="B123" s="43" t="s">
        <v>147</v>
      </c>
      <c r="C123" s="44">
        <v>8.9724000000000004</v>
      </c>
      <c r="D123" s="44">
        <v>8.8978000000000002</v>
      </c>
    </row>
    <row r="124" spans="2:6" ht="12.75" x14ac:dyDescent="0.2">
      <c r="B124" s="43" t="s">
        <v>148</v>
      </c>
      <c r="C124" s="44">
        <v>8.7438000000000002</v>
      </c>
      <c r="D124" s="44">
        <v>8.6664999999999992</v>
      </c>
    </row>
    <row r="125" spans="2:6" ht="12.75" x14ac:dyDescent="0.2">
      <c r="B125" s="43" t="s">
        <v>149</v>
      </c>
      <c r="C125" s="44">
        <v>8.7438000000000002</v>
      </c>
      <c r="D125" s="44">
        <v>8.6664999999999992</v>
      </c>
    </row>
    <row r="127" spans="2:6" ht="12.75" x14ac:dyDescent="0.2">
      <c r="B127" s="62" t="s">
        <v>150</v>
      </c>
      <c r="C127" s="45"/>
      <c r="D127" s="63" t="s">
        <v>138</v>
      </c>
    </row>
    <row r="128" spans="2:6" ht="24.75" customHeight="1" x14ac:dyDescent="0.2">
      <c r="B128" s="64"/>
      <c r="C128" s="64"/>
    </row>
    <row r="129" spans="2:4" ht="15" x14ac:dyDescent="0.25">
      <c r="B129" s="66"/>
      <c r="C129" s="68"/>
      <c r="D129"/>
    </row>
    <row r="131" spans="2:4" ht="12.75" x14ac:dyDescent="0.2">
      <c r="B131" s="42" t="s">
        <v>151</v>
      </c>
      <c r="C131" s="41"/>
      <c r="D131" s="67" t="s">
        <v>400</v>
      </c>
    </row>
    <row r="132" spans="2:4" ht="12.75" x14ac:dyDescent="0.2">
      <c r="B132" s="42" t="s">
        <v>152</v>
      </c>
      <c r="C132" s="41"/>
      <c r="D132" s="67" t="s">
        <v>138</v>
      </c>
    </row>
    <row r="133" spans="2:4" ht="12.75" x14ac:dyDescent="0.2">
      <c r="B133" s="42" t="s">
        <v>153</v>
      </c>
      <c r="C133" s="41"/>
      <c r="D133" s="46">
        <v>0.36510029124391441</v>
      </c>
    </row>
    <row r="134" spans="2:4" ht="12.75" x14ac:dyDescent="0.2">
      <c r="B134" s="42" t="s">
        <v>154</v>
      </c>
      <c r="C134" s="41"/>
      <c r="D134" s="46" t="s">
        <v>138</v>
      </c>
    </row>
  </sheetData>
  <mergeCells count="5">
    <mergeCell ref="A1:G1"/>
    <mergeCell ref="A2:G2"/>
    <mergeCell ref="A3:G3"/>
    <mergeCell ref="B113:F113"/>
    <mergeCell ref="B114:F114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133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6" style="32" bestFit="1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730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51688</v>
      </c>
      <c r="F7" s="53">
        <v>239.341284</v>
      </c>
      <c r="G7" s="5">
        <v>7.0392494E-2</v>
      </c>
    </row>
    <row r="8" spans="1:7" ht="12.75" x14ac:dyDescent="0.2">
      <c r="A8" s="6">
        <v>2</v>
      </c>
      <c r="B8" s="7" t="s">
        <v>36</v>
      </c>
      <c r="C8" s="11" t="s">
        <v>37</v>
      </c>
      <c r="D8" s="2" t="s">
        <v>16</v>
      </c>
      <c r="E8" s="47">
        <v>14824</v>
      </c>
      <c r="F8" s="53">
        <v>182.38708399999999</v>
      </c>
      <c r="G8" s="5">
        <v>5.3641735000000003E-2</v>
      </c>
    </row>
    <row r="9" spans="1:7" ht="25.5" x14ac:dyDescent="0.2">
      <c r="A9" s="6">
        <v>3</v>
      </c>
      <c r="B9" s="7" t="s">
        <v>31</v>
      </c>
      <c r="C9" s="11" t="s">
        <v>32</v>
      </c>
      <c r="D9" s="2" t="s">
        <v>33</v>
      </c>
      <c r="E9" s="47">
        <v>10856</v>
      </c>
      <c r="F9" s="53">
        <v>158.96983599999999</v>
      </c>
      <c r="G9" s="5">
        <v>4.6754505000000002E-2</v>
      </c>
    </row>
    <row r="10" spans="1:7" ht="25.5" x14ac:dyDescent="0.2">
      <c r="A10" s="6">
        <v>4</v>
      </c>
      <c r="B10" s="7" t="s">
        <v>11</v>
      </c>
      <c r="C10" s="11" t="s">
        <v>12</v>
      </c>
      <c r="D10" s="2" t="s">
        <v>13</v>
      </c>
      <c r="E10" s="47">
        <v>10582</v>
      </c>
      <c r="F10" s="53">
        <v>155.878151</v>
      </c>
      <c r="G10" s="5">
        <v>4.5845212000000003E-2</v>
      </c>
    </row>
    <row r="11" spans="1:7" ht="25.5" x14ac:dyDescent="0.2">
      <c r="A11" s="6">
        <v>5</v>
      </c>
      <c r="B11" s="7" t="s">
        <v>432</v>
      </c>
      <c r="C11" s="11" t="s">
        <v>433</v>
      </c>
      <c r="D11" s="2" t="s">
        <v>72</v>
      </c>
      <c r="E11" s="47">
        <v>7121</v>
      </c>
      <c r="F11" s="53">
        <v>151.81259900000001</v>
      </c>
      <c r="G11" s="5">
        <v>4.4649494999999997E-2</v>
      </c>
    </row>
    <row r="12" spans="1:7" ht="12.75" x14ac:dyDescent="0.2">
      <c r="A12" s="6">
        <v>6</v>
      </c>
      <c r="B12" s="7" t="s">
        <v>502</v>
      </c>
      <c r="C12" s="11" t="s">
        <v>503</v>
      </c>
      <c r="D12" s="2" t="s">
        <v>16</v>
      </c>
      <c r="E12" s="47">
        <v>43981</v>
      </c>
      <c r="F12" s="53">
        <v>137.39664400000001</v>
      </c>
      <c r="G12" s="5">
        <v>4.0409629000000002E-2</v>
      </c>
    </row>
    <row r="13" spans="1:7" ht="12.75" x14ac:dyDescent="0.2">
      <c r="A13" s="6">
        <v>7</v>
      </c>
      <c r="B13" s="7" t="s">
        <v>498</v>
      </c>
      <c r="C13" s="11" t="s">
        <v>499</v>
      </c>
      <c r="D13" s="2" t="s">
        <v>242</v>
      </c>
      <c r="E13" s="47">
        <v>18679</v>
      </c>
      <c r="F13" s="53">
        <v>128.06322399999999</v>
      </c>
      <c r="G13" s="5">
        <v>3.7664583000000001E-2</v>
      </c>
    </row>
    <row r="14" spans="1:7" ht="25.5" x14ac:dyDescent="0.2">
      <c r="A14" s="6">
        <v>8</v>
      </c>
      <c r="B14" s="7" t="s">
        <v>404</v>
      </c>
      <c r="C14" s="11" t="s">
        <v>405</v>
      </c>
      <c r="D14" s="2" t="s">
        <v>72</v>
      </c>
      <c r="E14" s="47">
        <v>11958</v>
      </c>
      <c r="F14" s="53">
        <v>118.56357</v>
      </c>
      <c r="G14" s="5">
        <v>3.4870646999999998E-2</v>
      </c>
    </row>
    <row r="15" spans="1:7" ht="25.5" x14ac:dyDescent="0.2">
      <c r="A15" s="6">
        <v>9</v>
      </c>
      <c r="B15" s="7" t="s">
        <v>418</v>
      </c>
      <c r="C15" s="11" t="s">
        <v>419</v>
      </c>
      <c r="D15" s="2" t="s">
        <v>30</v>
      </c>
      <c r="E15" s="47">
        <v>43543</v>
      </c>
      <c r="F15" s="53">
        <v>112.1885395</v>
      </c>
      <c r="G15" s="5">
        <v>3.2995691000000001E-2</v>
      </c>
    </row>
    <row r="16" spans="1:7" ht="12.75" x14ac:dyDescent="0.2">
      <c r="A16" s="6">
        <v>10</v>
      </c>
      <c r="B16" s="7" t="s">
        <v>515</v>
      </c>
      <c r="C16" s="11" t="s">
        <v>516</v>
      </c>
      <c r="D16" s="2" t="s">
        <v>242</v>
      </c>
      <c r="E16" s="47">
        <v>14474</v>
      </c>
      <c r="F16" s="53">
        <v>106.96286000000001</v>
      </c>
      <c r="G16" s="5">
        <v>3.1458769999999997E-2</v>
      </c>
    </row>
    <row r="17" spans="1:7" ht="12.75" x14ac:dyDescent="0.2">
      <c r="A17" s="6">
        <v>11</v>
      </c>
      <c r="B17" s="7" t="s">
        <v>332</v>
      </c>
      <c r="C17" s="11" t="s">
        <v>333</v>
      </c>
      <c r="D17" s="2" t="s">
        <v>158</v>
      </c>
      <c r="E17" s="47">
        <v>16975</v>
      </c>
      <c r="F17" s="53">
        <v>106.3993</v>
      </c>
      <c r="G17" s="5">
        <v>3.1293021999999997E-2</v>
      </c>
    </row>
    <row r="18" spans="1:7" ht="12.75" x14ac:dyDescent="0.2">
      <c r="A18" s="6">
        <v>12</v>
      </c>
      <c r="B18" s="7" t="s">
        <v>517</v>
      </c>
      <c r="C18" s="11" t="s">
        <v>518</v>
      </c>
      <c r="D18" s="2" t="s">
        <v>19</v>
      </c>
      <c r="E18" s="47">
        <v>12493</v>
      </c>
      <c r="F18" s="53">
        <v>96.039937499999994</v>
      </c>
      <c r="G18" s="5">
        <v>2.8246237E-2</v>
      </c>
    </row>
    <row r="19" spans="1:7" ht="25.5" x14ac:dyDescent="0.2">
      <c r="A19" s="6">
        <v>13</v>
      </c>
      <c r="B19" s="7" t="s">
        <v>156</v>
      </c>
      <c r="C19" s="11" t="s">
        <v>157</v>
      </c>
      <c r="D19" s="2" t="s">
        <v>158</v>
      </c>
      <c r="E19" s="47">
        <v>9588</v>
      </c>
      <c r="F19" s="53">
        <v>86.052300000000002</v>
      </c>
      <c r="G19" s="5">
        <v>2.5308780999999999E-2</v>
      </c>
    </row>
    <row r="20" spans="1:7" ht="12.75" x14ac:dyDescent="0.2">
      <c r="A20" s="6">
        <v>14</v>
      </c>
      <c r="B20" s="7" t="s">
        <v>408</v>
      </c>
      <c r="C20" s="11" t="s">
        <v>409</v>
      </c>
      <c r="D20" s="2" t="s">
        <v>16</v>
      </c>
      <c r="E20" s="47">
        <v>11538</v>
      </c>
      <c r="F20" s="53">
        <v>84.960063000000005</v>
      </c>
      <c r="G20" s="5">
        <v>2.4987544E-2</v>
      </c>
    </row>
    <row r="21" spans="1:7" ht="25.5" x14ac:dyDescent="0.2">
      <c r="A21" s="6">
        <v>15</v>
      </c>
      <c r="B21" s="7" t="s">
        <v>318</v>
      </c>
      <c r="C21" s="11" t="s">
        <v>319</v>
      </c>
      <c r="D21" s="2" t="s">
        <v>30</v>
      </c>
      <c r="E21" s="47">
        <v>12742</v>
      </c>
      <c r="F21" s="53">
        <v>79.019513000000003</v>
      </c>
      <c r="G21" s="5">
        <v>2.3240373000000002E-2</v>
      </c>
    </row>
    <row r="22" spans="1:7" ht="25.5" x14ac:dyDescent="0.2">
      <c r="A22" s="6">
        <v>16</v>
      </c>
      <c r="B22" s="7" t="s">
        <v>426</v>
      </c>
      <c r="C22" s="11" t="s">
        <v>427</v>
      </c>
      <c r="D22" s="2" t="s">
        <v>30</v>
      </c>
      <c r="E22" s="47">
        <v>13455</v>
      </c>
      <c r="F22" s="53">
        <v>70.9011225</v>
      </c>
      <c r="G22" s="5">
        <v>2.0852678999999999E-2</v>
      </c>
    </row>
    <row r="23" spans="1:7" ht="25.5" x14ac:dyDescent="0.2">
      <c r="A23" s="6">
        <v>17</v>
      </c>
      <c r="B23" s="7" t="s">
        <v>314</v>
      </c>
      <c r="C23" s="11" t="s">
        <v>315</v>
      </c>
      <c r="D23" s="2" t="s">
        <v>30</v>
      </c>
      <c r="E23" s="47">
        <v>21331</v>
      </c>
      <c r="F23" s="53">
        <v>67.61927</v>
      </c>
      <c r="G23" s="5">
        <v>1.9887454999999998E-2</v>
      </c>
    </row>
    <row r="24" spans="1:7" ht="12.75" x14ac:dyDescent="0.2">
      <c r="A24" s="6">
        <v>18</v>
      </c>
      <c r="B24" s="7" t="s">
        <v>436</v>
      </c>
      <c r="C24" s="11" t="s">
        <v>437</v>
      </c>
      <c r="D24" s="2" t="s">
        <v>237</v>
      </c>
      <c r="E24" s="47">
        <v>10895</v>
      </c>
      <c r="F24" s="53">
        <v>66.072727499999999</v>
      </c>
      <c r="G24" s="5">
        <v>1.9432603E-2</v>
      </c>
    </row>
    <row r="25" spans="1:7" ht="25.5" x14ac:dyDescent="0.2">
      <c r="A25" s="6">
        <v>19</v>
      </c>
      <c r="B25" s="7" t="s">
        <v>104</v>
      </c>
      <c r="C25" s="11" t="s">
        <v>105</v>
      </c>
      <c r="D25" s="2" t="s">
        <v>33</v>
      </c>
      <c r="E25" s="47">
        <v>12438</v>
      </c>
      <c r="F25" s="53">
        <v>65.498508000000001</v>
      </c>
      <c r="G25" s="5">
        <v>1.9263718999999999E-2</v>
      </c>
    </row>
    <row r="26" spans="1:7" ht="25.5" x14ac:dyDescent="0.2">
      <c r="A26" s="6">
        <v>20</v>
      </c>
      <c r="B26" s="7" t="s">
        <v>525</v>
      </c>
      <c r="C26" s="11" t="s">
        <v>526</v>
      </c>
      <c r="D26" s="2" t="s">
        <v>33</v>
      </c>
      <c r="E26" s="47">
        <v>42519</v>
      </c>
      <c r="F26" s="53">
        <v>62.417892000000002</v>
      </c>
      <c r="G26" s="5">
        <v>1.8357682E-2</v>
      </c>
    </row>
    <row r="27" spans="1:7" ht="12.75" x14ac:dyDescent="0.2">
      <c r="A27" s="6">
        <v>21</v>
      </c>
      <c r="B27" s="7" t="s">
        <v>359</v>
      </c>
      <c r="C27" s="11" t="s">
        <v>360</v>
      </c>
      <c r="D27" s="2" t="s">
        <v>361</v>
      </c>
      <c r="E27" s="47">
        <v>12800</v>
      </c>
      <c r="F27" s="53">
        <v>60.851199999999999</v>
      </c>
      <c r="G27" s="5">
        <v>1.7896902999999999E-2</v>
      </c>
    </row>
    <row r="28" spans="1:7" ht="25.5" x14ac:dyDescent="0.2">
      <c r="A28" s="6">
        <v>22</v>
      </c>
      <c r="B28" s="7" t="s">
        <v>310</v>
      </c>
      <c r="C28" s="11" t="s">
        <v>311</v>
      </c>
      <c r="D28" s="2" t="s">
        <v>223</v>
      </c>
      <c r="E28" s="47">
        <v>27732</v>
      </c>
      <c r="F28" s="53">
        <v>58.847304000000001</v>
      </c>
      <c r="G28" s="5">
        <v>1.7307539E-2</v>
      </c>
    </row>
    <row r="29" spans="1:7" ht="12.75" x14ac:dyDescent="0.2">
      <c r="A29" s="6">
        <v>23</v>
      </c>
      <c r="B29" s="7" t="s">
        <v>496</v>
      </c>
      <c r="C29" s="11" t="s">
        <v>497</v>
      </c>
      <c r="D29" s="2" t="s">
        <v>16</v>
      </c>
      <c r="E29" s="47">
        <v>3500</v>
      </c>
      <c r="F29" s="53">
        <v>55.107500000000002</v>
      </c>
      <c r="G29" s="5">
        <v>1.6207628000000002E-2</v>
      </c>
    </row>
    <row r="30" spans="1:7" ht="25.5" x14ac:dyDescent="0.2">
      <c r="A30" s="6">
        <v>24</v>
      </c>
      <c r="B30" s="7" t="s">
        <v>521</v>
      </c>
      <c r="C30" s="11" t="s">
        <v>522</v>
      </c>
      <c r="D30" s="2" t="s">
        <v>30</v>
      </c>
      <c r="E30" s="47">
        <v>31195</v>
      </c>
      <c r="F30" s="53">
        <v>50.832252500000003</v>
      </c>
      <c r="G30" s="5">
        <v>1.4950237999999999E-2</v>
      </c>
    </row>
    <row r="31" spans="1:7" ht="12.75" x14ac:dyDescent="0.2">
      <c r="A31" s="6">
        <v>25</v>
      </c>
      <c r="B31" s="7" t="s">
        <v>519</v>
      </c>
      <c r="C31" s="11" t="s">
        <v>520</v>
      </c>
      <c r="D31" s="2" t="s">
        <v>281</v>
      </c>
      <c r="E31" s="47">
        <v>5441</v>
      </c>
      <c r="F31" s="53">
        <v>49.1730375</v>
      </c>
      <c r="G31" s="5">
        <v>1.4462246999999999E-2</v>
      </c>
    </row>
    <row r="32" spans="1:7" ht="12.75" x14ac:dyDescent="0.2">
      <c r="A32" s="6">
        <v>26</v>
      </c>
      <c r="B32" s="7" t="s">
        <v>316</v>
      </c>
      <c r="C32" s="11" t="s">
        <v>317</v>
      </c>
      <c r="D32" s="2" t="s">
        <v>16</v>
      </c>
      <c r="E32" s="47">
        <v>51664</v>
      </c>
      <c r="F32" s="53">
        <v>43.294432</v>
      </c>
      <c r="G32" s="5">
        <v>1.2733295E-2</v>
      </c>
    </row>
    <row r="33" spans="1:7" ht="25.5" x14ac:dyDescent="0.2">
      <c r="A33" s="6">
        <v>27</v>
      </c>
      <c r="B33" s="7" t="s">
        <v>424</v>
      </c>
      <c r="C33" s="11" t="s">
        <v>425</v>
      </c>
      <c r="D33" s="2" t="s">
        <v>30</v>
      </c>
      <c r="E33" s="47">
        <v>1904</v>
      </c>
      <c r="F33" s="53">
        <v>41.418664</v>
      </c>
      <c r="G33" s="5">
        <v>1.2181614E-2</v>
      </c>
    </row>
    <row r="34" spans="1:7" ht="12.75" x14ac:dyDescent="0.2">
      <c r="A34" s="6">
        <v>28</v>
      </c>
      <c r="B34" s="7" t="s">
        <v>523</v>
      </c>
      <c r="C34" s="11" t="s">
        <v>524</v>
      </c>
      <c r="D34" s="2" t="s">
        <v>242</v>
      </c>
      <c r="E34" s="47">
        <v>3520</v>
      </c>
      <c r="F34" s="53">
        <v>40.928800000000003</v>
      </c>
      <c r="G34" s="5">
        <v>1.2037539999999999E-2</v>
      </c>
    </row>
    <row r="35" spans="1:7" ht="12.75" x14ac:dyDescent="0.2">
      <c r="A35" s="6">
        <v>29</v>
      </c>
      <c r="B35" s="7" t="s">
        <v>336</v>
      </c>
      <c r="C35" s="11" t="s">
        <v>337</v>
      </c>
      <c r="D35" s="2" t="s">
        <v>197</v>
      </c>
      <c r="E35" s="47">
        <v>7000</v>
      </c>
      <c r="F35" s="53">
        <v>36.316000000000003</v>
      </c>
      <c r="G35" s="5">
        <v>1.0680873E-2</v>
      </c>
    </row>
    <row r="36" spans="1:7" ht="12.75" x14ac:dyDescent="0.2">
      <c r="A36" s="6">
        <v>30</v>
      </c>
      <c r="B36" s="7" t="s">
        <v>527</v>
      </c>
      <c r="C36" s="11" t="s">
        <v>528</v>
      </c>
      <c r="D36" s="2" t="s">
        <v>16</v>
      </c>
      <c r="E36" s="47">
        <v>36831</v>
      </c>
      <c r="F36" s="53">
        <v>35.799731999999999</v>
      </c>
      <c r="G36" s="5">
        <v>1.0529034E-2</v>
      </c>
    </row>
    <row r="37" spans="1:7" ht="12.75" x14ac:dyDescent="0.2">
      <c r="A37" s="6">
        <v>31</v>
      </c>
      <c r="B37" s="7" t="s">
        <v>479</v>
      </c>
      <c r="C37" s="11" t="s">
        <v>480</v>
      </c>
      <c r="D37" s="2" t="s">
        <v>226</v>
      </c>
      <c r="E37" s="47">
        <v>29481</v>
      </c>
      <c r="F37" s="53">
        <v>35.097130499999999</v>
      </c>
      <c r="G37" s="5">
        <v>1.0322392E-2</v>
      </c>
    </row>
    <row r="38" spans="1:7" ht="25.5" x14ac:dyDescent="0.2">
      <c r="A38" s="6">
        <v>32</v>
      </c>
      <c r="B38" s="7" t="s">
        <v>83</v>
      </c>
      <c r="C38" s="11" t="s">
        <v>84</v>
      </c>
      <c r="D38" s="2" t="s">
        <v>22</v>
      </c>
      <c r="E38" s="47">
        <v>32000</v>
      </c>
      <c r="F38" s="53">
        <v>34.896000000000001</v>
      </c>
      <c r="G38" s="5">
        <v>1.0263237999999999E-2</v>
      </c>
    </row>
    <row r="39" spans="1:7" ht="12.75" x14ac:dyDescent="0.2">
      <c r="A39" s="6">
        <v>33</v>
      </c>
      <c r="B39" s="7" t="s">
        <v>63</v>
      </c>
      <c r="C39" s="11" t="s">
        <v>64</v>
      </c>
      <c r="D39" s="2" t="s">
        <v>65</v>
      </c>
      <c r="E39" s="47">
        <v>8800</v>
      </c>
      <c r="F39" s="53">
        <v>32.933999999999997</v>
      </c>
      <c r="G39" s="5">
        <v>9.6861949999999999E-3</v>
      </c>
    </row>
    <row r="40" spans="1:7" ht="25.5" x14ac:dyDescent="0.2">
      <c r="A40" s="6">
        <v>34</v>
      </c>
      <c r="B40" s="7" t="s">
        <v>461</v>
      </c>
      <c r="C40" s="11" t="s">
        <v>462</v>
      </c>
      <c r="D40" s="2" t="s">
        <v>80</v>
      </c>
      <c r="E40" s="47">
        <v>10872</v>
      </c>
      <c r="F40" s="53">
        <v>31.490748</v>
      </c>
      <c r="G40" s="5">
        <v>9.2617210000000005E-3</v>
      </c>
    </row>
    <row r="41" spans="1:7" ht="25.5" x14ac:dyDescent="0.2">
      <c r="A41" s="6">
        <v>35</v>
      </c>
      <c r="B41" s="7" t="s">
        <v>209</v>
      </c>
      <c r="C41" s="11" t="s">
        <v>210</v>
      </c>
      <c r="D41" s="2" t="s">
        <v>22</v>
      </c>
      <c r="E41" s="47">
        <v>3850</v>
      </c>
      <c r="F41" s="53">
        <v>25.898949999999999</v>
      </c>
      <c r="G41" s="5">
        <v>7.6171219999999996E-3</v>
      </c>
    </row>
    <row r="42" spans="1:7" ht="25.5" x14ac:dyDescent="0.2">
      <c r="A42" s="6">
        <v>36</v>
      </c>
      <c r="B42" s="7" t="s">
        <v>181</v>
      </c>
      <c r="C42" s="11" t="s">
        <v>182</v>
      </c>
      <c r="D42" s="2" t="s">
        <v>183</v>
      </c>
      <c r="E42" s="47">
        <v>21153</v>
      </c>
      <c r="F42" s="53">
        <v>25.129764000000002</v>
      </c>
      <c r="G42" s="5">
        <v>7.3908969999999996E-3</v>
      </c>
    </row>
    <row r="43" spans="1:7" ht="25.5" x14ac:dyDescent="0.2">
      <c r="A43" s="6">
        <v>37</v>
      </c>
      <c r="B43" s="7" t="s">
        <v>324</v>
      </c>
      <c r="C43" s="11" t="s">
        <v>325</v>
      </c>
      <c r="D43" s="2" t="s">
        <v>22</v>
      </c>
      <c r="E43" s="47">
        <v>4608</v>
      </c>
      <c r="F43" s="53">
        <v>25.065215999999999</v>
      </c>
      <c r="G43" s="5">
        <v>7.3719129999999999E-3</v>
      </c>
    </row>
    <row r="44" spans="1:7" ht="25.5" x14ac:dyDescent="0.2">
      <c r="A44" s="6">
        <v>38</v>
      </c>
      <c r="B44" s="7" t="s">
        <v>89</v>
      </c>
      <c r="C44" s="11" t="s">
        <v>90</v>
      </c>
      <c r="D44" s="2" t="s">
        <v>27</v>
      </c>
      <c r="E44" s="47">
        <v>42165</v>
      </c>
      <c r="F44" s="53">
        <v>23.844307499999999</v>
      </c>
      <c r="G44" s="5">
        <v>7.0128320000000001E-3</v>
      </c>
    </row>
    <row r="45" spans="1:7" ht="25.5" x14ac:dyDescent="0.2">
      <c r="A45" s="6">
        <v>39</v>
      </c>
      <c r="B45" s="7" t="s">
        <v>385</v>
      </c>
      <c r="C45" s="11" t="s">
        <v>386</v>
      </c>
      <c r="D45" s="2" t="s">
        <v>197</v>
      </c>
      <c r="E45" s="47">
        <v>983</v>
      </c>
      <c r="F45" s="53">
        <v>8.6671110000000002</v>
      </c>
      <c r="G45" s="5">
        <v>2.5490780000000002E-3</v>
      </c>
    </row>
    <row r="46" spans="1:7" ht="12.75" x14ac:dyDescent="0.2">
      <c r="A46" s="1"/>
      <c r="B46" s="2"/>
      <c r="C46" s="8" t="s">
        <v>108</v>
      </c>
      <c r="D46" s="12"/>
      <c r="E46" s="49"/>
      <c r="F46" s="55">
        <v>2992.1365740000001</v>
      </c>
      <c r="G46" s="13">
        <v>0.88001515499999983</v>
      </c>
    </row>
    <row r="47" spans="1:7" ht="12.75" x14ac:dyDescent="0.2">
      <c r="A47" s="6"/>
      <c r="B47" s="7"/>
      <c r="C47" s="14"/>
      <c r="D47" s="15"/>
      <c r="E47" s="47"/>
      <c r="F47" s="53"/>
      <c r="G47" s="5"/>
    </row>
    <row r="48" spans="1:7" ht="12.75" x14ac:dyDescent="0.2">
      <c r="A48" s="1"/>
      <c r="B48" s="2"/>
      <c r="C48" s="8" t="s">
        <v>109</v>
      </c>
      <c r="D48" s="9"/>
      <c r="E48" s="48"/>
      <c r="F48" s="54"/>
      <c r="G48" s="10"/>
    </row>
    <row r="49" spans="1:7" ht="12.75" x14ac:dyDescent="0.2">
      <c r="A49" s="1"/>
      <c r="B49" s="2"/>
      <c r="C49" s="8" t="s">
        <v>108</v>
      </c>
      <c r="D49" s="12"/>
      <c r="E49" s="49"/>
      <c r="F49" s="55">
        <v>0</v>
      </c>
      <c r="G49" s="13">
        <v>0</v>
      </c>
    </row>
    <row r="50" spans="1:7" ht="12.75" x14ac:dyDescent="0.2">
      <c r="A50" s="6"/>
      <c r="B50" s="7"/>
      <c r="C50" s="14"/>
      <c r="D50" s="15"/>
      <c r="E50" s="47"/>
      <c r="F50" s="53"/>
      <c r="G50" s="5"/>
    </row>
    <row r="51" spans="1:7" ht="12.75" x14ac:dyDescent="0.2">
      <c r="A51" s="16"/>
      <c r="B51" s="17"/>
      <c r="C51" s="8" t="s">
        <v>110</v>
      </c>
      <c r="D51" s="9"/>
      <c r="E51" s="48"/>
      <c r="F51" s="54"/>
      <c r="G51" s="10"/>
    </row>
    <row r="52" spans="1:7" ht="12.75" x14ac:dyDescent="0.2">
      <c r="A52" s="18"/>
      <c r="B52" s="19"/>
      <c r="C52" s="8" t="s">
        <v>108</v>
      </c>
      <c r="D52" s="20"/>
      <c r="E52" s="50"/>
      <c r="F52" s="56">
        <v>0</v>
      </c>
      <c r="G52" s="21">
        <v>0</v>
      </c>
    </row>
    <row r="53" spans="1:7" ht="12.75" x14ac:dyDescent="0.2">
      <c r="A53" s="18"/>
      <c r="B53" s="19"/>
      <c r="C53" s="14"/>
      <c r="D53" s="22"/>
      <c r="E53" s="51"/>
      <c r="F53" s="57"/>
      <c r="G53" s="23"/>
    </row>
    <row r="54" spans="1:7" ht="12.75" x14ac:dyDescent="0.2">
      <c r="A54" s="1"/>
      <c r="B54" s="2"/>
      <c r="C54" s="8" t="s">
        <v>113</v>
      </c>
      <c r="D54" s="9"/>
      <c r="E54" s="48"/>
      <c r="F54" s="54"/>
      <c r="G54" s="10"/>
    </row>
    <row r="55" spans="1:7" ht="12.75" x14ac:dyDescent="0.2">
      <c r="A55" s="1"/>
      <c r="B55" s="2"/>
      <c r="C55" s="8" t="s">
        <v>108</v>
      </c>
      <c r="D55" s="12"/>
      <c r="E55" s="49"/>
      <c r="F55" s="55">
        <v>0</v>
      </c>
      <c r="G55" s="13">
        <v>0</v>
      </c>
    </row>
    <row r="56" spans="1:7" ht="12.75" x14ac:dyDescent="0.2">
      <c r="A56" s="1"/>
      <c r="B56" s="2"/>
      <c r="C56" s="14"/>
      <c r="D56" s="4"/>
      <c r="E56" s="47"/>
      <c r="F56" s="53"/>
      <c r="G56" s="5"/>
    </row>
    <row r="57" spans="1:7" ht="12.75" x14ac:dyDescent="0.2">
      <c r="A57" s="1"/>
      <c r="B57" s="2"/>
      <c r="C57" s="8" t="s">
        <v>114</v>
      </c>
      <c r="D57" s="9"/>
      <c r="E57" s="48"/>
      <c r="F57" s="54"/>
      <c r="G57" s="10"/>
    </row>
    <row r="58" spans="1:7" ht="12.75" x14ac:dyDescent="0.2">
      <c r="A58" s="1"/>
      <c r="B58" s="2"/>
      <c r="C58" s="8" t="s">
        <v>108</v>
      </c>
      <c r="D58" s="12"/>
      <c r="E58" s="49"/>
      <c r="F58" s="55">
        <v>0</v>
      </c>
      <c r="G58" s="13">
        <v>0</v>
      </c>
    </row>
    <row r="59" spans="1:7" ht="12.75" x14ac:dyDescent="0.2">
      <c r="A59" s="1"/>
      <c r="B59" s="2"/>
      <c r="C59" s="14"/>
      <c r="D59" s="4"/>
      <c r="E59" s="47"/>
      <c r="F59" s="53"/>
      <c r="G59" s="5"/>
    </row>
    <row r="60" spans="1:7" ht="12.75" x14ac:dyDescent="0.2">
      <c r="A60" s="1"/>
      <c r="B60" s="2"/>
      <c r="C60" s="8" t="s">
        <v>115</v>
      </c>
      <c r="D60" s="9"/>
      <c r="E60" s="48"/>
      <c r="F60" s="54"/>
      <c r="G60" s="10"/>
    </row>
    <row r="61" spans="1:7" ht="12.75" x14ac:dyDescent="0.2">
      <c r="A61" s="6">
        <v>1</v>
      </c>
      <c r="B61" s="7"/>
      <c r="C61" s="160" t="s">
        <v>830</v>
      </c>
      <c r="D61" s="15" t="s">
        <v>395</v>
      </c>
      <c r="E61" s="47">
        <v>15400</v>
      </c>
      <c r="F61" s="53">
        <v>77.361900000000006</v>
      </c>
      <c r="G61" s="5">
        <v>2.2752853E-2</v>
      </c>
    </row>
    <row r="62" spans="1:7" ht="12.75" x14ac:dyDescent="0.2">
      <c r="A62" s="1"/>
      <c r="B62" s="2"/>
      <c r="C62" s="8" t="s">
        <v>108</v>
      </c>
      <c r="D62" s="12"/>
      <c r="E62" s="49"/>
      <c r="F62" s="55">
        <v>77.361900000000006</v>
      </c>
      <c r="G62" s="13">
        <v>2.2752853E-2</v>
      </c>
    </row>
    <row r="63" spans="1:7" ht="12.75" x14ac:dyDescent="0.2">
      <c r="A63" s="1"/>
      <c r="B63" s="2"/>
      <c r="C63" s="14"/>
      <c r="D63" s="4"/>
      <c r="E63" s="47"/>
      <c r="F63" s="53"/>
      <c r="G63" s="5"/>
    </row>
    <row r="64" spans="1:7" ht="25.5" x14ac:dyDescent="0.2">
      <c r="A64" s="6"/>
      <c r="B64" s="7"/>
      <c r="C64" s="24" t="s">
        <v>116</v>
      </c>
      <c r="D64" s="25"/>
      <c r="E64" s="49"/>
      <c r="F64" s="55">
        <v>3069.498474</v>
      </c>
      <c r="G64" s="13">
        <v>0.90276800799999979</v>
      </c>
    </row>
    <row r="65" spans="1:7" ht="12.75" x14ac:dyDescent="0.2">
      <c r="A65" s="1"/>
      <c r="B65" s="2"/>
      <c r="C65" s="11"/>
      <c r="D65" s="4"/>
      <c r="E65" s="47"/>
      <c r="F65" s="53"/>
      <c r="G65" s="5"/>
    </row>
    <row r="66" spans="1:7" ht="12.75" x14ac:dyDescent="0.2">
      <c r="A66" s="1"/>
      <c r="B66" s="2"/>
      <c r="C66" s="3" t="s">
        <v>117</v>
      </c>
      <c r="D66" s="4"/>
      <c r="E66" s="47"/>
      <c r="F66" s="53"/>
      <c r="G66" s="5"/>
    </row>
    <row r="67" spans="1:7" ht="25.5" x14ac:dyDescent="0.2">
      <c r="A67" s="1"/>
      <c r="B67" s="2"/>
      <c r="C67" s="8" t="s">
        <v>10</v>
      </c>
      <c r="D67" s="9"/>
      <c r="E67" s="48"/>
      <c r="F67" s="54"/>
      <c r="G67" s="10"/>
    </row>
    <row r="68" spans="1:7" ht="12.75" x14ac:dyDescent="0.2">
      <c r="A68" s="6"/>
      <c r="B68" s="7"/>
      <c r="C68" s="8" t="s">
        <v>108</v>
      </c>
      <c r="D68" s="12"/>
      <c r="E68" s="49"/>
      <c r="F68" s="55">
        <v>0</v>
      </c>
      <c r="G68" s="13">
        <v>0</v>
      </c>
    </row>
    <row r="69" spans="1:7" ht="12.75" x14ac:dyDescent="0.2">
      <c r="A69" s="6"/>
      <c r="B69" s="7"/>
      <c r="C69" s="14"/>
      <c r="D69" s="4"/>
      <c r="E69" s="47"/>
      <c r="F69" s="53"/>
      <c r="G69" s="5"/>
    </row>
    <row r="70" spans="1:7" ht="12.75" x14ac:dyDescent="0.2">
      <c r="A70" s="1"/>
      <c r="B70" s="26"/>
      <c r="C70" s="8" t="s">
        <v>118</v>
      </c>
      <c r="D70" s="9"/>
      <c r="E70" s="48"/>
      <c r="F70" s="54"/>
      <c r="G70" s="10"/>
    </row>
    <row r="71" spans="1:7" ht="12.75" x14ac:dyDescent="0.2">
      <c r="A71" s="6"/>
      <c r="B71" s="7"/>
      <c r="C71" s="8" t="s">
        <v>108</v>
      </c>
      <c r="D71" s="12"/>
      <c r="E71" s="49"/>
      <c r="F71" s="55">
        <v>0</v>
      </c>
      <c r="G71" s="13">
        <v>0</v>
      </c>
    </row>
    <row r="72" spans="1:7" ht="12.75" x14ac:dyDescent="0.2">
      <c r="A72" s="6"/>
      <c r="B72" s="7"/>
      <c r="C72" s="14"/>
      <c r="D72" s="4"/>
      <c r="E72" s="47"/>
      <c r="F72" s="59"/>
      <c r="G72" s="28"/>
    </row>
    <row r="73" spans="1:7" ht="12.75" x14ac:dyDescent="0.2">
      <c r="A73" s="1"/>
      <c r="B73" s="2"/>
      <c r="C73" s="8" t="s">
        <v>119</v>
      </c>
      <c r="D73" s="9"/>
      <c r="E73" s="48"/>
      <c r="F73" s="54"/>
      <c r="G73" s="10"/>
    </row>
    <row r="74" spans="1:7" ht="12.75" x14ac:dyDescent="0.2">
      <c r="A74" s="6"/>
      <c r="B74" s="7"/>
      <c r="C74" s="8" t="s">
        <v>108</v>
      </c>
      <c r="D74" s="12"/>
      <c r="E74" s="49"/>
      <c r="F74" s="55">
        <v>0</v>
      </c>
      <c r="G74" s="13">
        <v>0</v>
      </c>
    </row>
    <row r="75" spans="1:7" ht="12.75" x14ac:dyDescent="0.2">
      <c r="A75" s="1"/>
      <c r="B75" s="2"/>
      <c r="C75" s="14"/>
      <c r="D75" s="4"/>
      <c r="E75" s="47"/>
      <c r="F75" s="53"/>
      <c r="G75" s="5"/>
    </row>
    <row r="76" spans="1:7" ht="25.5" x14ac:dyDescent="0.2">
      <c r="A76" s="1"/>
      <c r="B76" s="26"/>
      <c r="C76" s="8" t="s">
        <v>120</v>
      </c>
      <c r="D76" s="9"/>
      <c r="E76" s="48"/>
      <c r="F76" s="54"/>
      <c r="G76" s="10"/>
    </row>
    <row r="77" spans="1:7" ht="12.75" x14ac:dyDescent="0.2">
      <c r="A77" s="6"/>
      <c r="B77" s="7"/>
      <c r="C77" s="8" t="s">
        <v>108</v>
      </c>
      <c r="D77" s="12"/>
      <c r="E77" s="49"/>
      <c r="F77" s="55">
        <v>0</v>
      </c>
      <c r="G77" s="13">
        <v>0</v>
      </c>
    </row>
    <row r="78" spans="1:7" ht="12.75" x14ac:dyDescent="0.2">
      <c r="A78" s="6"/>
      <c r="B78" s="7"/>
      <c r="C78" s="14"/>
      <c r="D78" s="4"/>
      <c r="E78" s="47"/>
      <c r="F78" s="53"/>
      <c r="G78" s="5"/>
    </row>
    <row r="79" spans="1:7" ht="12.75" x14ac:dyDescent="0.2">
      <c r="A79" s="6"/>
      <c r="B79" s="7"/>
      <c r="C79" s="29" t="s">
        <v>121</v>
      </c>
      <c r="D79" s="25"/>
      <c r="E79" s="49"/>
      <c r="F79" s="55">
        <v>0</v>
      </c>
      <c r="G79" s="13">
        <v>0</v>
      </c>
    </row>
    <row r="80" spans="1:7" ht="12.75" x14ac:dyDescent="0.2">
      <c r="A80" s="6"/>
      <c r="B80" s="7"/>
      <c r="C80" s="11"/>
      <c r="D80" s="4"/>
      <c r="E80" s="47"/>
      <c r="F80" s="53"/>
      <c r="G80" s="5"/>
    </row>
    <row r="81" spans="1:7" ht="12.75" x14ac:dyDescent="0.2">
      <c r="A81" s="1"/>
      <c r="B81" s="2"/>
      <c r="C81" s="3" t="s">
        <v>122</v>
      </c>
      <c r="D81" s="4"/>
      <c r="E81" s="47"/>
      <c r="F81" s="53"/>
      <c r="G81" s="5"/>
    </row>
    <row r="82" spans="1:7" ht="12.75" x14ac:dyDescent="0.2">
      <c r="A82" s="6"/>
      <c r="B82" s="7"/>
      <c r="C82" s="8" t="s">
        <v>123</v>
      </c>
      <c r="D82" s="9"/>
      <c r="E82" s="48"/>
      <c r="F82" s="54"/>
      <c r="G82" s="10"/>
    </row>
    <row r="83" spans="1:7" ht="12.75" x14ac:dyDescent="0.2">
      <c r="A83" s="6"/>
      <c r="B83" s="7"/>
      <c r="C83" s="8" t="s">
        <v>108</v>
      </c>
      <c r="D83" s="25"/>
      <c r="E83" s="49"/>
      <c r="F83" s="55">
        <v>0</v>
      </c>
      <c r="G83" s="13">
        <v>0</v>
      </c>
    </row>
    <row r="84" spans="1:7" ht="12.75" x14ac:dyDescent="0.2">
      <c r="A84" s="6"/>
      <c r="B84" s="7"/>
      <c r="C84" s="14"/>
      <c r="D84" s="7"/>
      <c r="E84" s="47"/>
      <c r="F84" s="53"/>
      <c r="G84" s="5"/>
    </row>
    <row r="85" spans="1:7" ht="12.75" x14ac:dyDescent="0.2">
      <c r="A85" s="6"/>
      <c r="B85" s="7"/>
      <c r="C85" s="8" t="s">
        <v>124</v>
      </c>
      <c r="D85" s="9"/>
      <c r="E85" s="48"/>
      <c r="F85" s="54"/>
      <c r="G85" s="10"/>
    </row>
    <row r="86" spans="1:7" ht="12.75" x14ac:dyDescent="0.2">
      <c r="A86" s="6"/>
      <c r="B86" s="7"/>
      <c r="C86" s="8" t="s">
        <v>108</v>
      </c>
      <c r="D86" s="25"/>
      <c r="E86" s="49"/>
      <c r="F86" s="55">
        <v>0</v>
      </c>
      <c r="G86" s="13">
        <v>0</v>
      </c>
    </row>
    <row r="87" spans="1:7" ht="12.75" x14ac:dyDescent="0.2">
      <c r="A87" s="6"/>
      <c r="B87" s="7"/>
      <c r="C87" s="14"/>
      <c r="D87" s="7"/>
      <c r="E87" s="47"/>
      <c r="F87" s="53"/>
      <c r="G87" s="5"/>
    </row>
    <row r="88" spans="1:7" ht="12.75" x14ac:dyDescent="0.2">
      <c r="A88" s="6"/>
      <c r="B88" s="7"/>
      <c r="C88" s="8" t="s">
        <v>125</v>
      </c>
      <c r="D88" s="9"/>
      <c r="E88" s="48"/>
      <c r="F88" s="54"/>
      <c r="G88" s="10"/>
    </row>
    <row r="89" spans="1:7" ht="12.75" x14ac:dyDescent="0.2">
      <c r="A89" s="6"/>
      <c r="B89" s="7"/>
      <c r="C89" s="8" t="s">
        <v>108</v>
      </c>
      <c r="D89" s="25"/>
      <c r="E89" s="49"/>
      <c r="F89" s="55">
        <v>0</v>
      </c>
      <c r="G89" s="13">
        <v>0</v>
      </c>
    </row>
    <row r="90" spans="1:7" ht="12.75" x14ac:dyDescent="0.2">
      <c r="A90" s="6"/>
      <c r="B90" s="7"/>
      <c r="C90" s="14"/>
      <c r="D90" s="7"/>
      <c r="E90" s="47"/>
      <c r="F90" s="53"/>
      <c r="G90" s="5"/>
    </row>
    <row r="91" spans="1:7" ht="12.75" x14ac:dyDescent="0.2">
      <c r="A91" s="6"/>
      <c r="B91" s="7"/>
      <c r="C91" s="8" t="s">
        <v>126</v>
      </c>
      <c r="D91" s="9"/>
      <c r="E91" s="48"/>
      <c r="F91" s="54"/>
      <c r="G91" s="10"/>
    </row>
    <row r="92" spans="1:7" ht="12.75" x14ac:dyDescent="0.2">
      <c r="A92" s="6">
        <v>1</v>
      </c>
      <c r="B92" s="7"/>
      <c r="C92" s="11" t="s">
        <v>812</v>
      </c>
      <c r="D92" s="15"/>
      <c r="E92" s="47"/>
      <c r="F92" s="53">
        <v>379.95003380000003</v>
      </c>
      <c r="G92" s="5">
        <v>0.111746833</v>
      </c>
    </row>
    <row r="93" spans="1:7" ht="12.75" x14ac:dyDescent="0.2">
      <c r="A93" s="6"/>
      <c r="B93" s="7"/>
      <c r="C93" s="8" t="s">
        <v>108</v>
      </c>
      <c r="D93" s="25"/>
      <c r="E93" s="49"/>
      <c r="F93" s="55">
        <v>379.95003380000003</v>
      </c>
      <c r="G93" s="13">
        <v>0.111746833</v>
      </c>
    </row>
    <row r="94" spans="1:7" ht="12.75" x14ac:dyDescent="0.2">
      <c r="A94" s="6"/>
      <c r="B94" s="7"/>
      <c r="C94" s="14"/>
      <c r="D94" s="7"/>
      <c r="E94" s="47"/>
      <c r="F94" s="53"/>
      <c r="G94" s="5"/>
    </row>
    <row r="95" spans="1:7" ht="25.5" x14ac:dyDescent="0.2">
      <c r="A95" s="6"/>
      <c r="B95" s="7"/>
      <c r="C95" s="24" t="s">
        <v>127</v>
      </c>
      <c r="D95" s="25"/>
      <c r="E95" s="49"/>
      <c r="F95" s="55">
        <v>379.95003380000003</v>
      </c>
      <c r="G95" s="13">
        <v>0.111746833</v>
      </c>
    </row>
    <row r="96" spans="1:7" ht="12.75" x14ac:dyDescent="0.2">
      <c r="A96" s="6"/>
      <c r="B96" s="7"/>
      <c r="C96" s="30"/>
      <c r="D96" s="7"/>
      <c r="E96" s="47"/>
      <c r="F96" s="53"/>
      <c r="G96" s="5"/>
    </row>
    <row r="97" spans="1:8" ht="12.75" x14ac:dyDescent="0.2">
      <c r="A97" s="1"/>
      <c r="B97" s="2"/>
      <c r="C97" s="3" t="s">
        <v>128</v>
      </c>
      <c r="D97" s="4"/>
      <c r="E97" s="47"/>
      <c r="F97" s="53"/>
      <c r="G97" s="5"/>
    </row>
    <row r="98" spans="1:8" ht="25.5" x14ac:dyDescent="0.2">
      <c r="A98" s="6"/>
      <c r="B98" s="7"/>
      <c r="C98" s="8" t="s">
        <v>129</v>
      </c>
      <c r="D98" s="9"/>
      <c r="E98" s="48"/>
      <c r="F98" s="54"/>
      <c r="G98" s="10"/>
    </row>
    <row r="99" spans="1:8" ht="12.75" x14ac:dyDescent="0.2">
      <c r="A99" s="6"/>
      <c r="B99" s="7"/>
      <c r="C99" s="8" t="s">
        <v>108</v>
      </c>
      <c r="D99" s="25"/>
      <c r="E99" s="49"/>
      <c r="F99" s="55">
        <v>0</v>
      </c>
      <c r="G99" s="13">
        <v>0</v>
      </c>
    </row>
    <row r="100" spans="1:8" ht="12.75" x14ac:dyDescent="0.2">
      <c r="A100" s="6"/>
      <c r="B100" s="7"/>
      <c r="C100" s="14"/>
      <c r="D100" s="7"/>
      <c r="E100" s="47"/>
      <c r="F100" s="53"/>
      <c r="G100" s="5"/>
    </row>
    <row r="101" spans="1:8" ht="12.75" x14ac:dyDescent="0.2">
      <c r="A101" s="1"/>
      <c r="B101" s="2"/>
      <c r="C101" s="3" t="s">
        <v>131</v>
      </c>
      <c r="D101" s="4"/>
      <c r="E101" s="47"/>
      <c r="F101" s="53"/>
      <c r="G101" s="5"/>
    </row>
    <row r="102" spans="1:8" ht="25.5" x14ac:dyDescent="0.2">
      <c r="A102" s="6"/>
      <c r="B102" s="7"/>
      <c r="C102" s="8" t="s">
        <v>132</v>
      </c>
      <c r="D102" s="9"/>
      <c r="E102" s="48"/>
      <c r="F102" s="54"/>
      <c r="G102" s="10"/>
    </row>
    <row r="103" spans="1:8" ht="12.75" x14ac:dyDescent="0.2">
      <c r="A103" s="6"/>
      <c r="B103" s="7"/>
      <c r="C103" s="8" t="s">
        <v>108</v>
      </c>
      <c r="D103" s="25"/>
      <c r="E103" s="49"/>
      <c r="F103" s="55">
        <v>0</v>
      </c>
      <c r="G103" s="13">
        <v>0</v>
      </c>
    </row>
    <row r="104" spans="1:8" ht="12.75" x14ac:dyDescent="0.2">
      <c r="A104" s="6"/>
      <c r="B104" s="7"/>
      <c r="C104" s="14"/>
      <c r="D104" s="7"/>
      <c r="E104" s="47"/>
      <c r="F104" s="53"/>
      <c r="G104" s="5"/>
    </row>
    <row r="105" spans="1:8" ht="25.5" x14ac:dyDescent="0.2">
      <c r="A105" s="6"/>
      <c r="B105" s="7"/>
      <c r="C105" s="8" t="s">
        <v>133</v>
      </c>
      <c r="D105" s="9"/>
      <c r="E105" s="48"/>
      <c r="F105" s="54"/>
      <c r="G105" s="10"/>
    </row>
    <row r="106" spans="1:8" ht="12.75" x14ac:dyDescent="0.2">
      <c r="A106" s="6"/>
      <c r="B106" s="7"/>
      <c r="C106" s="8" t="s">
        <v>108</v>
      </c>
      <c r="D106" s="25"/>
      <c r="E106" s="49"/>
      <c r="F106" s="55">
        <v>0</v>
      </c>
      <c r="G106" s="13">
        <v>0</v>
      </c>
    </row>
    <row r="107" spans="1:8" ht="12.75" x14ac:dyDescent="0.2">
      <c r="A107" s="6"/>
      <c r="B107" s="7"/>
      <c r="C107" s="14"/>
      <c r="D107" s="7"/>
      <c r="E107" s="47"/>
      <c r="F107" s="59"/>
      <c r="G107" s="28"/>
    </row>
    <row r="108" spans="1:8" ht="12.75" x14ac:dyDescent="0.2">
      <c r="A108" s="6"/>
      <c r="B108" s="7"/>
      <c r="C108" s="14" t="s">
        <v>396</v>
      </c>
      <c r="D108" s="7"/>
      <c r="E108" s="47"/>
      <c r="F108" s="59">
        <v>105.57150439999999</v>
      </c>
      <c r="G108" s="28">
        <v>3.104956E-2</v>
      </c>
    </row>
    <row r="109" spans="1:8" ht="25.5" x14ac:dyDescent="0.2">
      <c r="A109" s="6"/>
      <c r="B109" s="7"/>
      <c r="C109" s="30" t="s">
        <v>134</v>
      </c>
      <c r="D109" s="7"/>
      <c r="E109" s="47"/>
      <c r="F109" s="128">
        <v>-154.92336069999965</v>
      </c>
      <c r="G109" s="137">
        <v>-4.5564399068377379E-2</v>
      </c>
      <c r="H109" s="139"/>
    </row>
    <row r="110" spans="1:8" ht="12.75" x14ac:dyDescent="0.2">
      <c r="A110" s="6"/>
      <c r="B110" s="7"/>
      <c r="C110" s="31" t="s">
        <v>135</v>
      </c>
      <c r="D110" s="12"/>
      <c r="E110" s="49"/>
      <c r="F110" s="55">
        <v>3400.0966515</v>
      </c>
      <c r="G110" s="13">
        <v>1.0000000019999999</v>
      </c>
    </row>
    <row r="111" spans="1:8" ht="15.95" customHeight="1" x14ac:dyDescent="0.2">
      <c r="F111" s="139"/>
    </row>
    <row r="112" spans="1:8" ht="12.75" x14ac:dyDescent="0.2">
      <c r="B112" s="179"/>
      <c r="C112" s="179"/>
      <c r="D112" s="179"/>
      <c r="E112" s="179"/>
      <c r="F112" s="179"/>
    </row>
    <row r="113" spans="2:6" ht="12.75" x14ac:dyDescent="0.2">
      <c r="B113" s="179"/>
      <c r="C113" s="179"/>
      <c r="D113" s="179"/>
      <c r="E113" s="179"/>
      <c r="F113" s="179"/>
    </row>
    <row r="115" spans="2:6" ht="12.75" x14ac:dyDescent="0.2">
      <c r="B115" s="37" t="s">
        <v>137</v>
      </c>
      <c r="C115" s="38"/>
      <c r="D115" s="39"/>
    </row>
    <row r="116" spans="2:6" ht="12.75" x14ac:dyDescent="0.2">
      <c r="B116" s="40" t="s">
        <v>808</v>
      </c>
      <c r="C116" s="41"/>
      <c r="D116" s="65" t="s">
        <v>138</v>
      </c>
    </row>
    <row r="117" spans="2:6" ht="12.75" x14ac:dyDescent="0.2">
      <c r="B117" s="40" t="s">
        <v>139</v>
      </c>
      <c r="C117" s="41"/>
      <c r="D117" s="65" t="s">
        <v>138</v>
      </c>
    </row>
    <row r="118" spans="2:6" ht="12.75" x14ac:dyDescent="0.2">
      <c r="B118" s="42" t="s">
        <v>140</v>
      </c>
      <c r="C118" s="41"/>
      <c r="D118" s="43"/>
    </row>
    <row r="119" spans="2:6" ht="25.5" customHeight="1" x14ac:dyDescent="0.2">
      <c r="B119" s="43"/>
      <c r="C119" s="33" t="s">
        <v>141</v>
      </c>
      <c r="D119" s="34" t="s">
        <v>142</v>
      </c>
    </row>
    <row r="120" spans="2:6" ht="12.75" customHeight="1" x14ac:dyDescent="0.2">
      <c r="B120" s="60" t="s">
        <v>143</v>
      </c>
      <c r="C120" s="61" t="s">
        <v>144</v>
      </c>
      <c r="D120" s="61" t="s">
        <v>145</v>
      </c>
    </row>
    <row r="121" spans="2:6" ht="12.75" x14ac:dyDescent="0.2">
      <c r="B121" s="43" t="s">
        <v>146</v>
      </c>
      <c r="C121" s="44">
        <v>15.833</v>
      </c>
      <c r="D121" s="44">
        <v>16.559200000000001</v>
      </c>
    </row>
    <row r="122" spans="2:6" ht="12.75" x14ac:dyDescent="0.2">
      <c r="B122" s="43" t="s">
        <v>147</v>
      </c>
      <c r="C122" s="44">
        <v>12.576000000000001</v>
      </c>
      <c r="D122" s="44">
        <v>13.152900000000001</v>
      </c>
    </row>
    <row r="123" spans="2:6" ht="12.75" x14ac:dyDescent="0.2">
      <c r="B123" s="43" t="s">
        <v>148</v>
      </c>
      <c r="C123" s="44">
        <v>15.507999999999999</v>
      </c>
      <c r="D123" s="44">
        <v>16.212399999999999</v>
      </c>
    </row>
    <row r="124" spans="2:6" ht="12.75" x14ac:dyDescent="0.2">
      <c r="B124" s="43" t="s">
        <v>149</v>
      </c>
      <c r="C124" s="44">
        <v>12.276300000000001</v>
      </c>
      <c r="D124" s="44">
        <v>12.8339</v>
      </c>
    </row>
    <row r="126" spans="2:6" ht="12.75" x14ac:dyDescent="0.2">
      <c r="B126" s="62" t="s">
        <v>150</v>
      </c>
      <c r="C126" s="45"/>
      <c r="D126" s="63" t="s">
        <v>138</v>
      </c>
    </row>
    <row r="127" spans="2:6" ht="24.75" customHeight="1" x14ac:dyDescent="0.2">
      <c r="B127" s="64"/>
      <c r="C127" s="64"/>
    </row>
    <row r="128" spans="2:6" ht="15" x14ac:dyDescent="0.25">
      <c r="B128" s="66"/>
      <c r="C128" s="68"/>
      <c r="D128"/>
    </row>
    <row r="130" spans="2:4" ht="12.75" x14ac:dyDescent="0.2">
      <c r="B130" s="42" t="s">
        <v>151</v>
      </c>
      <c r="C130" s="41"/>
      <c r="D130" s="67" t="s">
        <v>400</v>
      </c>
    </row>
    <row r="131" spans="2:4" ht="12.75" x14ac:dyDescent="0.2">
      <c r="B131" s="42" t="s">
        <v>152</v>
      </c>
      <c r="C131" s="41"/>
      <c r="D131" s="67" t="s">
        <v>138</v>
      </c>
    </row>
    <row r="132" spans="2:4" ht="12.75" x14ac:dyDescent="0.2">
      <c r="B132" s="42" t="s">
        <v>153</v>
      </c>
      <c r="C132" s="41"/>
      <c r="D132" s="46">
        <v>0.33309477062316062</v>
      </c>
    </row>
    <row r="133" spans="2:4" ht="12.75" x14ac:dyDescent="0.2">
      <c r="B133" s="42" t="s">
        <v>154</v>
      </c>
      <c r="C133" s="41"/>
      <c r="D133" s="46" t="s">
        <v>138</v>
      </c>
    </row>
  </sheetData>
  <mergeCells count="5">
    <mergeCell ref="A1:G1"/>
    <mergeCell ref="A2:G2"/>
    <mergeCell ref="A3:G3"/>
    <mergeCell ref="B112:F112"/>
    <mergeCell ref="B113:F113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31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6" style="32" bestFit="1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731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55341</v>
      </c>
      <c r="F7" s="53">
        <v>256.25650050000002</v>
      </c>
      <c r="G7" s="5">
        <v>7.0257991000000006E-2</v>
      </c>
    </row>
    <row r="8" spans="1:7" ht="12.75" x14ac:dyDescent="0.2">
      <c r="A8" s="6">
        <v>2</v>
      </c>
      <c r="B8" s="7" t="s">
        <v>36</v>
      </c>
      <c r="C8" s="11" t="s">
        <v>37</v>
      </c>
      <c r="D8" s="2" t="s">
        <v>16</v>
      </c>
      <c r="E8" s="47">
        <v>15920</v>
      </c>
      <c r="F8" s="53">
        <v>195.87172000000001</v>
      </c>
      <c r="G8" s="5">
        <v>5.3702261000000001E-2</v>
      </c>
    </row>
    <row r="9" spans="1:7" ht="25.5" x14ac:dyDescent="0.2">
      <c r="A9" s="6">
        <v>3</v>
      </c>
      <c r="B9" s="7" t="s">
        <v>31</v>
      </c>
      <c r="C9" s="11" t="s">
        <v>32</v>
      </c>
      <c r="D9" s="2" t="s">
        <v>33</v>
      </c>
      <c r="E9" s="47">
        <v>11650</v>
      </c>
      <c r="F9" s="53">
        <v>170.59677500000001</v>
      </c>
      <c r="G9" s="5">
        <v>4.6772614999999997E-2</v>
      </c>
    </row>
    <row r="10" spans="1:7" ht="25.5" x14ac:dyDescent="0.2">
      <c r="A10" s="6">
        <v>4</v>
      </c>
      <c r="B10" s="7" t="s">
        <v>11</v>
      </c>
      <c r="C10" s="11" t="s">
        <v>12</v>
      </c>
      <c r="D10" s="2" t="s">
        <v>13</v>
      </c>
      <c r="E10" s="47">
        <v>11357</v>
      </c>
      <c r="F10" s="53">
        <v>167.29428849999999</v>
      </c>
      <c r="G10" s="5">
        <v>4.5867169999999999E-2</v>
      </c>
    </row>
    <row r="11" spans="1:7" ht="25.5" x14ac:dyDescent="0.2">
      <c r="A11" s="6">
        <v>5</v>
      </c>
      <c r="B11" s="7" t="s">
        <v>432</v>
      </c>
      <c r="C11" s="11" t="s">
        <v>433</v>
      </c>
      <c r="D11" s="2" t="s">
        <v>72</v>
      </c>
      <c r="E11" s="47">
        <v>7636</v>
      </c>
      <c r="F11" s="53">
        <v>162.79188400000001</v>
      </c>
      <c r="G11" s="5">
        <v>4.4632743000000002E-2</v>
      </c>
    </row>
    <row r="12" spans="1:7" ht="25.5" x14ac:dyDescent="0.2">
      <c r="A12" s="6">
        <v>6</v>
      </c>
      <c r="B12" s="7" t="s">
        <v>426</v>
      </c>
      <c r="C12" s="11" t="s">
        <v>427</v>
      </c>
      <c r="D12" s="2" t="s">
        <v>30</v>
      </c>
      <c r="E12" s="47">
        <v>30868</v>
      </c>
      <c r="F12" s="53">
        <v>162.65892600000001</v>
      </c>
      <c r="G12" s="5">
        <v>4.4596289999999997E-2</v>
      </c>
    </row>
    <row r="13" spans="1:7" ht="12.75" x14ac:dyDescent="0.2">
      <c r="A13" s="6">
        <v>7</v>
      </c>
      <c r="B13" s="7" t="s">
        <v>502</v>
      </c>
      <c r="C13" s="11" t="s">
        <v>503</v>
      </c>
      <c r="D13" s="2" t="s">
        <v>16</v>
      </c>
      <c r="E13" s="47">
        <v>47254</v>
      </c>
      <c r="F13" s="53">
        <v>147.62149600000001</v>
      </c>
      <c r="G13" s="5">
        <v>4.0473469999999998E-2</v>
      </c>
    </row>
    <row r="14" spans="1:7" ht="12.75" x14ac:dyDescent="0.2">
      <c r="A14" s="6">
        <v>8</v>
      </c>
      <c r="B14" s="7" t="s">
        <v>498</v>
      </c>
      <c r="C14" s="11" t="s">
        <v>499</v>
      </c>
      <c r="D14" s="2" t="s">
        <v>242</v>
      </c>
      <c r="E14" s="47">
        <v>20022</v>
      </c>
      <c r="F14" s="53">
        <v>137.27083200000001</v>
      </c>
      <c r="G14" s="5">
        <v>3.7635622000000001E-2</v>
      </c>
    </row>
    <row r="15" spans="1:7" ht="25.5" x14ac:dyDescent="0.2">
      <c r="A15" s="6">
        <v>9</v>
      </c>
      <c r="B15" s="7" t="s">
        <v>404</v>
      </c>
      <c r="C15" s="11" t="s">
        <v>405</v>
      </c>
      <c r="D15" s="2" t="s">
        <v>72</v>
      </c>
      <c r="E15" s="47">
        <v>13054</v>
      </c>
      <c r="F15" s="53">
        <v>129.43040999999999</v>
      </c>
      <c r="G15" s="5">
        <v>3.5486008999999999E-2</v>
      </c>
    </row>
    <row r="16" spans="1:7" ht="25.5" x14ac:dyDescent="0.2">
      <c r="A16" s="6">
        <v>10</v>
      </c>
      <c r="B16" s="7" t="s">
        <v>418</v>
      </c>
      <c r="C16" s="11" t="s">
        <v>419</v>
      </c>
      <c r="D16" s="2" t="s">
        <v>30</v>
      </c>
      <c r="E16" s="47">
        <v>46735</v>
      </c>
      <c r="F16" s="53">
        <v>120.4127275</v>
      </c>
      <c r="G16" s="5">
        <v>3.3013625999999997E-2</v>
      </c>
    </row>
    <row r="17" spans="1:7" ht="12.75" x14ac:dyDescent="0.2">
      <c r="A17" s="6">
        <v>11</v>
      </c>
      <c r="B17" s="7" t="s">
        <v>515</v>
      </c>
      <c r="C17" s="11" t="s">
        <v>516</v>
      </c>
      <c r="D17" s="2" t="s">
        <v>242</v>
      </c>
      <c r="E17" s="47">
        <v>15558</v>
      </c>
      <c r="F17" s="53">
        <v>114.97362</v>
      </c>
      <c r="G17" s="5">
        <v>3.1522383000000001E-2</v>
      </c>
    </row>
    <row r="18" spans="1:7" ht="12.75" x14ac:dyDescent="0.2">
      <c r="A18" s="6">
        <v>12</v>
      </c>
      <c r="B18" s="7" t="s">
        <v>332</v>
      </c>
      <c r="C18" s="11" t="s">
        <v>333</v>
      </c>
      <c r="D18" s="2" t="s">
        <v>158</v>
      </c>
      <c r="E18" s="47">
        <v>18208</v>
      </c>
      <c r="F18" s="53">
        <v>114.12774400000001</v>
      </c>
      <c r="G18" s="5">
        <v>3.1290468000000002E-2</v>
      </c>
    </row>
    <row r="19" spans="1:7" ht="12.75" x14ac:dyDescent="0.2">
      <c r="A19" s="6">
        <v>13</v>
      </c>
      <c r="B19" s="7" t="s">
        <v>517</v>
      </c>
      <c r="C19" s="11" t="s">
        <v>518</v>
      </c>
      <c r="D19" s="2" t="s">
        <v>19</v>
      </c>
      <c r="E19" s="47">
        <v>13436</v>
      </c>
      <c r="F19" s="53">
        <v>103.28925</v>
      </c>
      <c r="G19" s="5">
        <v>2.8318871999999998E-2</v>
      </c>
    </row>
    <row r="20" spans="1:7" ht="25.5" x14ac:dyDescent="0.2">
      <c r="A20" s="6">
        <v>14</v>
      </c>
      <c r="B20" s="7" t="s">
        <v>156</v>
      </c>
      <c r="C20" s="11" t="s">
        <v>157</v>
      </c>
      <c r="D20" s="2" t="s">
        <v>158</v>
      </c>
      <c r="E20" s="47">
        <v>10232</v>
      </c>
      <c r="F20" s="53">
        <v>91.8322</v>
      </c>
      <c r="G20" s="5">
        <v>2.5177687000000001E-2</v>
      </c>
    </row>
    <row r="21" spans="1:7" ht="12.75" x14ac:dyDescent="0.2">
      <c r="A21" s="6">
        <v>15</v>
      </c>
      <c r="B21" s="7" t="s">
        <v>408</v>
      </c>
      <c r="C21" s="11" t="s">
        <v>409</v>
      </c>
      <c r="D21" s="2" t="s">
        <v>16</v>
      </c>
      <c r="E21" s="47">
        <v>12324</v>
      </c>
      <c r="F21" s="53">
        <v>90.747774000000007</v>
      </c>
      <c r="G21" s="5">
        <v>2.4880368999999999E-2</v>
      </c>
    </row>
    <row r="22" spans="1:7" ht="25.5" x14ac:dyDescent="0.2">
      <c r="A22" s="6">
        <v>16</v>
      </c>
      <c r="B22" s="7" t="s">
        <v>318</v>
      </c>
      <c r="C22" s="11" t="s">
        <v>319</v>
      </c>
      <c r="D22" s="2" t="s">
        <v>30</v>
      </c>
      <c r="E22" s="47">
        <v>14536</v>
      </c>
      <c r="F22" s="53">
        <v>90.145004</v>
      </c>
      <c r="G22" s="5">
        <v>2.4715107E-2</v>
      </c>
    </row>
    <row r="23" spans="1:7" ht="25.5" x14ac:dyDescent="0.2">
      <c r="A23" s="6">
        <v>17</v>
      </c>
      <c r="B23" s="7" t="s">
        <v>314</v>
      </c>
      <c r="C23" s="11" t="s">
        <v>315</v>
      </c>
      <c r="D23" s="2" t="s">
        <v>30</v>
      </c>
      <c r="E23" s="47">
        <v>22795</v>
      </c>
      <c r="F23" s="53">
        <v>72.260149999999996</v>
      </c>
      <c r="G23" s="5">
        <v>1.9811605999999999E-2</v>
      </c>
    </row>
    <row r="24" spans="1:7" ht="12.75" x14ac:dyDescent="0.2">
      <c r="A24" s="6">
        <v>18</v>
      </c>
      <c r="B24" s="7" t="s">
        <v>436</v>
      </c>
      <c r="C24" s="11" t="s">
        <v>437</v>
      </c>
      <c r="D24" s="2" t="s">
        <v>237</v>
      </c>
      <c r="E24" s="47">
        <v>11695</v>
      </c>
      <c r="F24" s="53">
        <v>70.924327500000004</v>
      </c>
      <c r="G24" s="5">
        <v>1.9445363E-2</v>
      </c>
    </row>
    <row r="25" spans="1:7" ht="25.5" x14ac:dyDescent="0.2">
      <c r="A25" s="6">
        <v>19</v>
      </c>
      <c r="B25" s="7" t="s">
        <v>104</v>
      </c>
      <c r="C25" s="11" t="s">
        <v>105</v>
      </c>
      <c r="D25" s="2" t="s">
        <v>33</v>
      </c>
      <c r="E25" s="47">
        <v>13405</v>
      </c>
      <c r="F25" s="53">
        <v>70.590729999999994</v>
      </c>
      <c r="G25" s="5">
        <v>1.9353901E-2</v>
      </c>
    </row>
    <row r="26" spans="1:7" ht="12.75" x14ac:dyDescent="0.2">
      <c r="A26" s="6">
        <v>20</v>
      </c>
      <c r="B26" s="7" t="s">
        <v>496</v>
      </c>
      <c r="C26" s="11" t="s">
        <v>497</v>
      </c>
      <c r="D26" s="2" t="s">
        <v>16</v>
      </c>
      <c r="E26" s="47">
        <v>4300</v>
      </c>
      <c r="F26" s="53">
        <v>67.703500000000005</v>
      </c>
      <c r="G26" s="5">
        <v>1.8562307E-2</v>
      </c>
    </row>
    <row r="27" spans="1:7" ht="25.5" x14ac:dyDescent="0.2">
      <c r="A27" s="6">
        <v>21</v>
      </c>
      <c r="B27" s="7" t="s">
        <v>525</v>
      </c>
      <c r="C27" s="11" t="s">
        <v>526</v>
      </c>
      <c r="D27" s="2" t="s">
        <v>33</v>
      </c>
      <c r="E27" s="47">
        <v>45240</v>
      </c>
      <c r="F27" s="53">
        <v>66.412319999999994</v>
      </c>
      <c r="G27" s="5">
        <v>1.8208304000000002E-2</v>
      </c>
    </row>
    <row r="28" spans="1:7" ht="25.5" x14ac:dyDescent="0.2">
      <c r="A28" s="6">
        <v>22</v>
      </c>
      <c r="B28" s="7" t="s">
        <v>310</v>
      </c>
      <c r="C28" s="11" t="s">
        <v>311</v>
      </c>
      <c r="D28" s="2" t="s">
        <v>223</v>
      </c>
      <c r="E28" s="47">
        <v>29761</v>
      </c>
      <c r="F28" s="53">
        <v>63.152842</v>
      </c>
      <c r="G28" s="5">
        <v>1.7314651E-2</v>
      </c>
    </row>
    <row r="29" spans="1:7" ht="12.75" x14ac:dyDescent="0.2">
      <c r="A29" s="6">
        <v>23</v>
      </c>
      <c r="B29" s="7" t="s">
        <v>359</v>
      </c>
      <c r="C29" s="11" t="s">
        <v>360</v>
      </c>
      <c r="D29" s="2" t="s">
        <v>361</v>
      </c>
      <c r="E29" s="47">
        <v>13200</v>
      </c>
      <c r="F29" s="53">
        <v>62.752800000000001</v>
      </c>
      <c r="G29" s="5">
        <v>1.7204970999999999E-2</v>
      </c>
    </row>
    <row r="30" spans="1:7" ht="25.5" x14ac:dyDescent="0.2">
      <c r="A30" s="6">
        <v>24</v>
      </c>
      <c r="B30" s="7" t="s">
        <v>521</v>
      </c>
      <c r="C30" s="11" t="s">
        <v>522</v>
      </c>
      <c r="D30" s="2" t="s">
        <v>30</v>
      </c>
      <c r="E30" s="47">
        <v>33421</v>
      </c>
      <c r="F30" s="53">
        <v>54.459519499999999</v>
      </c>
      <c r="G30" s="5">
        <v>1.4931197E-2</v>
      </c>
    </row>
    <row r="31" spans="1:7" ht="12.75" x14ac:dyDescent="0.2">
      <c r="A31" s="6">
        <v>25</v>
      </c>
      <c r="B31" s="7" t="s">
        <v>519</v>
      </c>
      <c r="C31" s="11" t="s">
        <v>520</v>
      </c>
      <c r="D31" s="2" t="s">
        <v>281</v>
      </c>
      <c r="E31" s="47">
        <v>5821</v>
      </c>
      <c r="F31" s="53">
        <v>52.607287499999998</v>
      </c>
      <c r="G31" s="5">
        <v>1.442337E-2</v>
      </c>
    </row>
    <row r="32" spans="1:7" ht="12.75" x14ac:dyDescent="0.2">
      <c r="A32" s="6">
        <v>26</v>
      </c>
      <c r="B32" s="7" t="s">
        <v>316</v>
      </c>
      <c r="C32" s="11" t="s">
        <v>317</v>
      </c>
      <c r="D32" s="2" t="s">
        <v>16</v>
      </c>
      <c r="E32" s="47">
        <v>55415</v>
      </c>
      <c r="F32" s="53">
        <v>46.43777</v>
      </c>
      <c r="G32" s="5">
        <v>1.2731869999999999E-2</v>
      </c>
    </row>
    <row r="33" spans="1:7" ht="25.5" x14ac:dyDescent="0.2">
      <c r="A33" s="6">
        <v>27</v>
      </c>
      <c r="B33" s="7" t="s">
        <v>424</v>
      </c>
      <c r="C33" s="11" t="s">
        <v>425</v>
      </c>
      <c r="D33" s="2" t="s">
        <v>30</v>
      </c>
      <c r="E33" s="47">
        <v>2038</v>
      </c>
      <c r="F33" s="53">
        <v>44.333632999999999</v>
      </c>
      <c r="G33" s="5">
        <v>1.2154977000000001E-2</v>
      </c>
    </row>
    <row r="34" spans="1:7" ht="12.75" x14ac:dyDescent="0.2">
      <c r="A34" s="6">
        <v>28</v>
      </c>
      <c r="B34" s="7" t="s">
        <v>523</v>
      </c>
      <c r="C34" s="11" t="s">
        <v>524</v>
      </c>
      <c r="D34" s="2" t="s">
        <v>242</v>
      </c>
      <c r="E34" s="47">
        <v>3808</v>
      </c>
      <c r="F34" s="53">
        <v>44.277520000000003</v>
      </c>
      <c r="G34" s="5">
        <v>1.2139593000000001E-2</v>
      </c>
    </row>
    <row r="35" spans="1:7" ht="12.75" x14ac:dyDescent="0.2">
      <c r="A35" s="6">
        <v>29</v>
      </c>
      <c r="B35" s="7" t="s">
        <v>336</v>
      </c>
      <c r="C35" s="11" t="s">
        <v>337</v>
      </c>
      <c r="D35" s="2" t="s">
        <v>197</v>
      </c>
      <c r="E35" s="47">
        <v>7500</v>
      </c>
      <c r="F35" s="53">
        <v>38.909999999999997</v>
      </c>
      <c r="G35" s="5">
        <v>1.0667977E-2</v>
      </c>
    </row>
    <row r="36" spans="1:7" ht="12.75" x14ac:dyDescent="0.2">
      <c r="A36" s="6">
        <v>30</v>
      </c>
      <c r="B36" s="7" t="s">
        <v>527</v>
      </c>
      <c r="C36" s="11" t="s">
        <v>528</v>
      </c>
      <c r="D36" s="2" t="s">
        <v>16</v>
      </c>
      <c r="E36" s="47">
        <v>39445</v>
      </c>
      <c r="F36" s="53">
        <v>38.340539999999997</v>
      </c>
      <c r="G36" s="5">
        <v>1.0511848000000001E-2</v>
      </c>
    </row>
    <row r="37" spans="1:7" ht="25.5" x14ac:dyDescent="0.2">
      <c r="A37" s="6">
        <v>31</v>
      </c>
      <c r="B37" s="7" t="s">
        <v>83</v>
      </c>
      <c r="C37" s="11" t="s">
        <v>84</v>
      </c>
      <c r="D37" s="2" t="s">
        <v>22</v>
      </c>
      <c r="E37" s="47">
        <v>34500</v>
      </c>
      <c r="F37" s="53">
        <v>37.622250000000001</v>
      </c>
      <c r="G37" s="5">
        <v>1.0314914E-2</v>
      </c>
    </row>
    <row r="38" spans="1:7" ht="12.75" x14ac:dyDescent="0.2">
      <c r="A38" s="6">
        <v>32</v>
      </c>
      <c r="B38" s="7" t="s">
        <v>479</v>
      </c>
      <c r="C38" s="11" t="s">
        <v>480</v>
      </c>
      <c r="D38" s="2" t="s">
        <v>226</v>
      </c>
      <c r="E38" s="47">
        <v>31526</v>
      </c>
      <c r="F38" s="53">
        <v>37.531703</v>
      </c>
      <c r="G38" s="5">
        <v>1.0290087999999999E-2</v>
      </c>
    </row>
    <row r="39" spans="1:7" ht="12.75" x14ac:dyDescent="0.2">
      <c r="A39" s="6">
        <v>33</v>
      </c>
      <c r="B39" s="7" t="s">
        <v>63</v>
      </c>
      <c r="C39" s="11" t="s">
        <v>64</v>
      </c>
      <c r="D39" s="2" t="s">
        <v>65</v>
      </c>
      <c r="E39" s="47">
        <v>9400</v>
      </c>
      <c r="F39" s="53">
        <v>35.179499999999997</v>
      </c>
      <c r="G39" s="5">
        <v>9.6451839999999994E-3</v>
      </c>
    </row>
    <row r="40" spans="1:7" ht="25.5" x14ac:dyDescent="0.2">
      <c r="A40" s="6">
        <v>34</v>
      </c>
      <c r="B40" s="7" t="s">
        <v>461</v>
      </c>
      <c r="C40" s="11" t="s">
        <v>462</v>
      </c>
      <c r="D40" s="2" t="s">
        <v>80</v>
      </c>
      <c r="E40" s="47">
        <v>11658</v>
      </c>
      <c r="F40" s="53">
        <v>33.767397000000003</v>
      </c>
      <c r="G40" s="5">
        <v>9.2580260000000008E-3</v>
      </c>
    </row>
    <row r="41" spans="1:7" ht="25.5" x14ac:dyDescent="0.2">
      <c r="A41" s="6">
        <v>35</v>
      </c>
      <c r="B41" s="7" t="s">
        <v>209</v>
      </c>
      <c r="C41" s="11" t="s">
        <v>210</v>
      </c>
      <c r="D41" s="2" t="s">
        <v>22</v>
      </c>
      <c r="E41" s="47">
        <v>4100</v>
      </c>
      <c r="F41" s="53">
        <v>27.5807</v>
      </c>
      <c r="G41" s="5">
        <v>7.5618159999999999E-3</v>
      </c>
    </row>
    <row r="42" spans="1:7" ht="25.5" x14ac:dyDescent="0.2">
      <c r="A42" s="6">
        <v>36</v>
      </c>
      <c r="B42" s="7" t="s">
        <v>324</v>
      </c>
      <c r="C42" s="11" t="s">
        <v>325</v>
      </c>
      <c r="D42" s="2" t="s">
        <v>22</v>
      </c>
      <c r="E42" s="47">
        <v>4931</v>
      </c>
      <c r="F42" s="53">
        <v>26.822174499999999</v>
      </c>
      <c r="G42" s="5">
        <v>7.3538509999999998E-3</v>
      </c>
    </row>
    <row r="43" spans="1:7" ht="25.5" x14ac:dyDescent="0.2">
      <c r="A43" s="6">
        <v>37</v>
      </c>
      <c r="B43" s="7" t="s">
        <v>181</v>
      </c>
      <c r="C43" s="11" t="s">
        <v>182</v>
      </c>
      <c r="D43" s="2" t="s">
        <v>183</v>
      </c>
      <c r="E43" s="47">
        <v>22000</v>
      </c>
      <c r="F43" s="53">
        <v>26.135999999999999</v>
      </c>
      <c r="G43" s="5">
        <v>7.1657220000000002E-3</v>
      </c>
    </row>
    <row r="44" spans="1:7" ht="25.5" x14ac:dyDescent="0.2">
      <c r="A44" s="6">
        <v>38</v>
      </c>
      <c r="B44" s="7" t="s">
        <v>89</v>
      </c>
      <c r="C44" s="11" t="s">
        <v>90</v>
      </c>
      <c r="D44" s="2" t="s">
        <v>27</v>
      </c>
      <c r="E44" s="47">
        <v>45279</v>
      </c>
      <c r="F44" s="53">
        <v>25.6052745</v>
      </c>
      <c r="G44" s="5">
        <v>7.020213E-3</v>
      </c>
    </row>
    <row r="45" spans="1:7" ht="25.5" x14ac:dyDescent="0.2">
      <c r="A45" s="6">
        <v>39</v>
      </c>
      <c r="B45" s="7" t="s">
        <v>385</v>
      </c>
      <c r="C45" s="11" t="s">
        <v>386</v>
      </c>
      <c r="D45" s="2" t="s">
        <v>197</v>
      </c>
      <c r="E45" s="47">
        <v>1055</v>
      </c>
      <c r="F45" s="53">
        <v>9.3019350000000003</v>
      </c>
      <c r="G45" s="5">
        <v>2.5503169999999999E-3</v>
      </c>
    </row>
    <row r="46" spans="1:7" ht="12.75" x14ac:dyDescent="0.2">
      <c r="A46" s="1"/>
      <c r="B46" s="2"/>
      <c r="C46" s="8" t="s">
        <v>108</v>
      </c>
      <c r="D46" s="12"/>
      <c r="E46" s="49"/>
      <c r="F46" s="55">
        <v>3308.0310250000007</v>
      </c>
      <c r="G46" s="13">
        <v>0.9069647489999999</v>
      </c>
    </row>
    <row r="47" spans="1:7" ht="12.75" x14ac:dyDescent="0.2">
      <c r="A47" s="6"/>
      <c r="B47" s="7"/>
      <c r="C47" s="14"/>
      <c r="D47" s="15"/>
      <c r="E47" s="47"/>
      <c r="F47" s="53"/>
      <c r="G47" s="5"/>
    </row>
    <row r="48" spans="1:7" ht="12.75" x14ac:dyDescent="0.2">
      <c r="A48" s="1"/>
      <c r="B48" s="2"/>
      <c r="C48" s="8" t="s">
        <v>109</v>
      </c>
      <c r="D48" s="9"/>
      <c r="E48" s="48"/>
      <c r="F48" s="54"/>
      <c r="G48" s="10"/>
    </row>
    <row r="49" spans="1:7" ht="12.75" x14ac:dyDescent="0.2">
      <c r="A49" s="1"/>
      <c r="B49" s="2"/>
      <c r="C49" s="8" t="s">
        <v>108</v>
      </c>
      <c r="D49" s="12"/>
      <c r="E49" s="49"/>
      <c r="F49" s="55">
        <v>0</v>
      </c>
      <c r="G49" s="13">
        <v>0</v>
      </c>
    </row>
    <row r="50" spans="1:7" ht="12.75" x14ac:dyDescent="0.2">
      <c r="A50" s="6"/>
      <c r="B50" s="7"/>
      <c r="C50" s="14"/>
      <c r="D50" s="15"/>
      <c r="E50" s="47"/>
      <c r="F50" s="53"/>
      <c r="G50" s="5"/>
    </row>
    <row r="51" spans="1:7" ht="12.75" x14ac:dyDescent="0.2">
      <c r="A51" s="16"/>
      <c r="B51" s="17"/>
      <c r="C51" s="8" t="s">
        <v>110</v>
      </c>
      <c r="D51" s="9"/>
      <c r="E51" s="48"/>
      <c r="F51" s="54"/>
      <c r="G51" s="10"/>
    </row>
    <row r="52" spans="1:7" ht="12.75" x14ac:dyDescent="0.2">
      <c r="A52" s="18"/>
      <c r="B52" s="19"/>
      <c r="C52" s="8" t="s">
        <v>108</v>
      </c>
      <c r="D52" s="20"/>
      <c r="E52" s="50"/>
      <c r="F52" s="56">
        <v>0</v>
      </c>
      <c r="G52" s="21">
        <v>0</v>
      </c>
    </row>
    <row r="53" spans="1:7" ht="12.75" x14ac:dyDescent="0.2">
      <c r="A53" s="18"/>
      <c r="B53" s="19"/>
      <c r="C53" s="14"/>
      <c r="D53" s="22"/>
      <c r="E53" s="51"/>
      <c r="F53" s="57"/>
      <c r="G53" s="23"/>
    </row>
    <row r="54" spans="1:7" ht="12.75" x14ac:dyDescent="0.2">
      <c r="A54" s="1"/>
      <c r="B54" s="2"/>
      <c r="C54" s="8" t="s">
        <v>113</v>
      </c>
      <c r="D54" s="9"/>
      <c r="E54" s="48"/>
      <c r="F54" s="54"/>
      <c r="G54" s="10"/>
    </row>
    <row r="55" spans="1:7" ht="12.75" x14ac:dyDescent="0.2">
      <c r="A55" s="1"/>
      <c r="B55" s="2"/>
      <c r="C55" s="8" t="s">
        <v>108</v>
      </c>
      <c r="D55" s="12"/>
      <c r="E55" s="49"/>
      <c r="F55" s="55">
        <v>0</v>
      </c>
      <c r="G55" s="13">
        <v>0</v>
      </c>
    </row>
    <row r="56" spans="1:7" ht="12.75" x14ac:dyDescent="0.2">
      <c r="A56" s="1"/>
      <c r="B56" s="2"/>
      <c r="C56" s="14"/>
      <c r="D56" s="4"/>
      <c r="E56" s="47"/>
      <c r="F56" s="53"/>
      <c r="G56" s="5"/>
    </row>
    <row r="57" spans="1:7" ht="12.75" x14ac:dyDescent="0.2">
      <c r="A57" s="1"/>
      <c r="B57" s="2"/>
      <c r="C57" s="8" t="s">
        <v>114</v>
      </c>
      <c r="D57" s="9"/>
      <c r="E57" s="48"/>
      <c r="F57" s="54"/>
      <c r="G57" s="10"/>
    </row>
    <row r="58" spans="1:7" ht="12.75" x14ac:dyDescent="0.2">
      <c r="A58" s="1"/>
      <c r="B58" s="2"/>
      <c r="C58" s="8" t="s">
        <v>108</v>
      </c>
      <c r="D58" s="12"/>
      <c r="E58" s="49"/>
      <c r="F58" s="55">
        <v>0</v>
      </c>
      <c r="G58" s="13">
        <v>0</v>
      </c>
    </row>
    <row r="59" spans="1:7" ht="12.75" x14ac:dyDescent="0.2">
      <c r="A59" s="1"/>
      <c r="B59" s="2"/>
      <c r="C59" s="14"/>
      <c r="D59" s="4"/>
      <c r="E59" s="47"/>
      <c r="F59" s="53"/>
      <c r="G59" s="5"/>
    </row>
    <row r="60" spans="1:7" ht="12.75" x14ac:dyDescent="0.2">
      <c r="A60" s="1"/>
      <c r="B60" s="2"/>
      <c r="C60" s="8" t="s">
        <v>115</v>
      </c>
      <c r="D60" s="9"/>
      <c r="E60" s="48"/>
      <c r="F60" s="54"/>
      <c r="G60" s="10"/>
    </row>
    <row r="61" spans="1:7" ht="12.75" x14ac:dyDescent="0.2">
      <c r="A61" s="1"/>
      <c r="B61" s="2"/>
      <c r="C61" s="8" t="s">
        <v>108</v>
      </c>
      <c r="D61" s="12"/>
      <c r="E61" s="49"/>
      <c r="F61" s="55">
        <v>0</v>
      </c>
      <c r="G61" s="13">
        <v>0</v>
      </c>
    </row>
    <row r="62" spans="1:7" ht="12.75" x14ac:dyDescent="0.2">
      <c r="A62" s="1"/>
      <c r="B62" s="2"/>
      <c r="C62" s="14"/>
      <c r="D62" s="4"/>
      <c r="E62" s="47"/>
      <c r="F62" s="53"/>
      <c r="G62" s="5"/>
    </row>
    <row r="63" spans="1:7" ht="25.5" x14ac:dyDescent="0.2">
      <c r="A63" s="6"/>
      <c r="B63" s="7"/>
      <c r="C63" s="24" t="s">
        <v>116</v>
      </c>
      <c r="D63" s="25"/>
      <c r="E63" s="49"/>
      <c r="F63" s="55">
        <v>3308.0310250000007</v>
      </c>
      <c r="G63" s="13">
        <v>0.9069647489999999</v>
      </c>
    </row>
    <row r="64" spans="1:7" ht="12.75" x14ac:dyDescent="0.2">
      <c r="A64" s="1"/>
      <c r="B64" s="2"/>
      <c r="C64" s="11"/>
      <c r="D64" s="4"/>
      <c r="E64" s="47"/>
      <c r="F64" s="53"/>
      <c r="G64" s="5"/>
    </row>
    <row r="65" spans="1:7" ht="12.75" x14ac:dyDescent="0.2">
      <c r="A65" s="1"/>
      <c r="B65" s="2"/>
      <c r="C65" s="3" t="s">
        <v>117</v>
      </c>
      <c r="D65" s="4"/>
      <c r="E65" s="47"/>
      <c r="F65" s="53"/>
      <c r="G65" s="5"/>
    </row>
    <row r="66" spans="1:7" ht="25.5" x14ac:dyDescent="0.2">
      <c r="A66" s="1"/>
      <c r="B66" s="2"/>
      <c r="C66" s="8" t="s">
        <v>10</v>
      </c>
      <c r="D66" s="9"/>
      <c r="E66" s="48"/>
      <c r="F66" s="54"/>
      <c r="G66" s="10"/>
    </row>
    <row r="67" spans="1:7" ht="12.75" x14ac:dyDescent="0.2">
      <c r="A67" s="6"/>
      <c r="B67" s="7"/>
      <c r="C67" s="8" t="s">
        <v>108</v>
      </c>
      <c r="D67" s="12"/>
      <c r="E67" s="49"/>
      <c r="F67" s="55">
        <v>0</v>
      </c>
      <c r="G67" s="13">
        <v>0</v>
      </c>
    </row>
    <row r="68" spans="1:7" ht="12.75" x14ac:dyDescent="0.2">
      <c r="A68" s="6"/>
      <c r="B68" s="7"/>
      <c r="C68" s="14"/>
      <c r="D68" s="4"/>
      <c r="E68" s="47"/>
      <c r="F68" s="53"/>
      <c r="G68" s="5"/>
    </row>
    <row r="69" spans="1:7" ht="12.75" x14ac:dyDescent="0.2">
      <c r="A69" s="1"/>
      <c r="B69" s="26"/>
      <c r="C69" s="8" t="s">
        <v>118</v>
      </c>
      <c r="D69" s="9"/>
      <c r="E69" s="48"/>
      <c r="F69" s="54"/>
      <c r="G69" s="10"/>
    </row>
    <row r="70" spans="1:7" ht="12.75" x14ac:dyDescent="0.2">
      <c r="A70" s="6"/>
      <c r="B70" s="7"/>
      <c r="C70" s="8" t="s">
        <v>108</v>
      </c>
      <c r="D70" s="12"/>
      <c r="E70" s="49"/>
      <c r="F70" s="55">
        <v>0</v>
      </c>
      <c r="G70" s="13">
        <v>0</v>
      </c>
    </row>
    <row r="71" spans="1:7" ht="12.75" x14ac:dyDescent="0.2">
      <c r="A71" s="6"/>
      <c r="B71" s="7"/>
      <c r="C71" s="14"/>
      <c r="D71" s="4"/>
      <c r="E71" s="47"/>
      <c r="F71" s="59"/>
      <c r="G71" s="28"/>
    </row>
    <row r="72" spans="1:7" ht="12.75" x14ac:dyDescent="0.2">
      <c r="A72" s="1"/>
      <c r="B72" s="2"/>
      <c r="C72" s="8" t="s">
        <v>119</v>
      </c>
      <c r="D72" s="9"/>
      <c r="E72" s="48"/>
      <c r="F72" s="54"/>
      <c r="G72" s="10"/>
    </row>
    <row r="73" spans="1:7" ht="12.75" x14ac:dyDescent="0.2">
      <c r="A73" s="6"/>
      <c r="B73" s="7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1"/>
      <c r="B74" s="2"/>
      <c r="C74" s="14"/>
      <c r="D74" s="4"/>
      <c r="E74" s="47"/>
      <c r="F74" s="53"/>
      <c r="G74" s="5"/>
    </row>
    <row r="75" spans="1:7" ht="25.5" x14ac:dyDescent="0.2">
      <c r="A75" s="1"/>
      <c r="B75" s="26"/>
      <c r="C75" s="8" t="s">
        <v>120</v>
      </c>
      <c r="D75" s="9"/>
      <c r="E75" s="48"/>
      <c r="F75" s="54"/>
      <c r="G75" s="10"/>
    </row>
    <row r="76" spans="1:7" ht="12.75" x14ac:dyDescent="0.2">
      <c r="A76" s="6"/>
      <c r="B76" s="7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6"/>
      <c r="B77" s="7"/>
      <c r="C77" s="14"/>
      <c r="D77" s="4"/>
      <c r="E77" s="47"/>
      <c r="F77" s="53"/>
      <c r="G77" s="5"/>
    </row>
    <row r="78" spans="1:7" ht="12.75" x14ac:dyDescent="0.2">
      <c r="A78" s="6"/>
      <c r="B78" s="7"/>
      <c r="C78" s="29" t="s">
        <v>121</v>
      </c>
      <c r="D78" s="25"/>
      <c r="E78" s="49"/>
      <c r="F78" s="55">
        <v>0</v>
      </c>
      <c r="G78" s="13">
        <v>0</v>
      </c>
    </row>
    <row r="79" spans="1:7" ht="12.75" x14ac:dyDescent="0.2">
      <c r="A79" s="6"/>
      <c r="B79" s="7"/>
      <c r="C79" s="11"/>
      <c r="D79" s="4"/>
      <c r="E79" s="47"/>
      <c r="F79" s="53"/>
      <c r="G79" s="5"/>
    </row>
    <row r="80" spans="1:7" ht="12.75" x14ac:dyDescent="0.2">
      <c r="A80" s="1"/>
      <c r="B80" s="2"/>
      <c r="C80" s="3" t="s">
        <v>122</v>
      </c>
      <c r="D80" s="4"/>
      <c r="E80" s="47"/>
      <c r="F80" s="53"/>
      <c r="G80" s="5"/>
    </row>
    <row r="81" spans="1:7" ht="12.75" x14ac:dyDescent="0.2">
      <c r="A81" s="6"/>
      <c r="B81" s="7"/>
      <c r="C81" s="8" t="s">
        <v>123</v>
      </c>
      <c r="D81" s="9"/>
      <c r="E81" s="48"/>
      <c r="F81" s="54"/>
      <c r="G81" s="10"/>
    </row>
    <row r="82" spans="1:7" ht="12.75" x14ac:dyDescent="0.2">
      <c r="A82" s="6"/>
      <c r="B82" s="7"/>
      <c r="C82" s="8" t="s">
        <v>108</v>
      </c>
      <c r="D82" s="25"/>
      <c r="E82" s="49"/>
      <c r="F82" s="55">
        <v>0</v>
      </c>
      <c r="G82" s="13">
        <v>0</v>
      </c>
    </row>
    <row r="83" spans="1:7" ht="12.75" x14ac:dyDescent="0.2">
      <c r="A83" s="6"/>
      <c r="B83" s="7"/>
      <c r="C83" s="14"/>
      <c r="D83" s="7"/>
      <c r="E83" s="47"/>
      <c r="F83" s="53"/>
      <c r="G83" s="5"/>
    </row>
    <row r="84" spans="1:7" ht="12.75" x14ac:dyDescent="0.2">
      <c r="A84" s="6"/>
      <c r="B84" s="7"/>
      <c r="C84" s="8" t="s">
        <v>124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7"/>
      <c r="E86" s="47"/>
      <c r="F86" s="53"/>
      <c r="G86" s="5"/>
    </row>
    <row r="87" spans="1:7" ht="12.75" x14ac:dyDescent="0.2">
      <c r="A87" s="6"/>
      <c r="B87" s="7"/>
      <c r="C87" s="8" t="s">
        <v>125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25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7"/>
      <c r="E89" s="47"/>
      <c r="F89" s="53"/>
      <c r="G89" s="5"/>
    </row>
    <row r="90" spans="1:7" ht="12.75" x14ac:dyDescent="0.2">
      <c r="A90" s="6"/>
      <c r="B90" s="7"/>
      <c r="C90" s="8" t="s">
        <v>126</v>
      </c>
      <c r="D90" s="9"/>
      <c r="E90" s="48"/>
      <c r="F90" s="54"/>
      <c r="G90" s="10"/>
    </row>
    <row r="91" spans="1:7" ht="12.75" x14ac:dyDescent="0.2">
      <c r="A91" s="6">
        <v>1</v>
      </c>
      <c r="B91" s="7"/>
      <c r="C91" s="11" t="s">
        <v>812</v>
      </c>
      <c r="D91" s="15"/>
      <c r="E91" s="47"/>
      <c r="F91" s="53">
        <v>400.9472725</v>
      </c>
      <c r="G91" s="5">
        <v>0.109927942</v>
      </c>
    </row>
    <row r="92" spans="1:7" ht="12.75" x14ac:dyDescent="0.2">
      <c r="A92" s="6"/>
      <c r="B92" s="7"/>
      <c r="C92" s="8" t="s">
        <v>108</v>
      </c>
      <c r="D92" s="25"/>
      <c r="E92" s="49"/>
      <c r="F92" s="55">
        <v>400.9472725</v>
      </c>
      <c r="G92" s="13">
        <v>0.109927942</v>
      </c>
    </row>
    <row r="93" spans="1:7" ht="12.75" x14ac:dyDescent="0.2">
      <c r="A93" s="6"/>
      <c r="B93" s="7"/>
      <c r="C93" s="14"/>
      <c r="D93" s="7"/>
      <c r="E93" s="47"/>
      <c r="F93" s="53"/>
      <c r="G93" s="5"/>
    </row>
    <row r="94" spans="1:7" ht="25.5" x14ac:dyDescent="0.2">
      <c r="A94" s="6"/>
      <c r="B94" s="7"/>
      <c r="C94" s="24" t="s">
        <v>127</v>
      </c>
      <c r="D94" s="25"/>
      <c r="E94" s="49"/>
      <c r="F94" s="55">
        <v>400.9472725</v>
      </c>
      <c r="G94" s="13">
        <v>0.109927942</v>
      </c>
    </row>
    <row r="95" spans="1:7" ht="12.75" x14ac:dyDescent="0.2">
      <c r="A95" s="6"/>
      <c r="B95" s="7"/>
      <c r="C95" s="30"/>
      <c r="D95" s="7"/>
      <c r="E95" s="47"/>
      <c r="F95" s="53"/>
      <c r="G95" s="5"/>
    </row>
    <row r="96" spans="1:7" ht="12.75" x14ac:dyDescent="0.2">
      <c r="A96" s="1"/>
      <c r="B96" s="2"/>
      <c r="C96" s="3" t="s">
        <v>128</v>
      </c>
      <c r="D96" s="4"/>
      <c r="E96" s="47"/>
      <c r="F96" s="53"/>
      <c r="G96" s="5"/>
    </row>
    <row r="97" spans="1:7" ht="25.5" x14ac:dyDescent="0.2">
      <c r="A97" s="6"/>
      <c r="B97" s="7"/>
      <c r="C97" s="8" t="s">
        <v>129</v>
      </c>
      <c r="D97" s="9"/>
      <c r="E97" s="48"/>
      <c r="F97" s="54"/>
      <c r="G97" s="10"/>
    </row>
    <row r="98" spans="1:7" ht="12.75" x14ac:dyDescent="0.2">
      <c r="A98" s="6"/>
      <c r="B98" s="7"/>
      <c r="C98" s="8" t="s">
        <v>108</v>
      </c>
      <c r="D98" s="25"/>
      <c r="E98" s="49"/>
      <c r="F98" s="55">
        <v>0</v>
      </c>
      <c r="G98" s="13">
        <v>0</v>
      </c>
    </row>
    <row r="99" spans="1:7" ht="12.75" x14ac:dyDescent="0.2">
      <c r="A99" s="6"/>
      <c r="B99" s="7"/>
      <c r="C99" s="14"/>
      <c r="D99" s="7"/>
      <c r="E99" s="47"/>
      <c r="F99" s="53"/>
      <c r="G99" s="5"/>
    </row>
    <row r="100" spans="1:7" ht="12.75" x14ac:dyDescent="0.2">
      <c r="A100" s="1"/>
      <c r="B100" s="2"/>
      <c r="C100" s="3" t="s">
        <v>131</v>
      </c>
      <c r="D100" s="4"/>
      <c r="E100" s="47"/>
      <c r="F100" s="53"/>
      <c r="G100" s="5"/>
    </row>
    <row r="101" spans="1:7" ht="25.5" x14ac:dyDescent="0.2">
      <c r="A101" s="6"/>
      <c r="B101" s="7"/>
      <c r="C101" s="8" t="s">
        <v>132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4"/>
      <c r="D103" s="7"/>
      <c r="E103" s="47"/>
      <c r="F103" s="53"/>
      <c r="G103" s="5"/>
    </row>
    <row r="104" spans="1:7" ht="25.5" x14ac:dyDescent="0.2">
      <c r="A104" s="6"/>
      <c r="B104" s="7"/>
      <c r="C104" s="8" t="s">
        <v>133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9"/>
      <c r="G106" s="28"/>
    </row>
    <row r="107" spans="1:7" ht="25.5" x14ac:dyDescent="0.2">
      <c r="A107" s="6"/>
      <c r="B107" s="7"/>
      <c r="C107" s="30" t="s">
        <v>134</v>
      </c>
      <c r="D107" s="7"/>
      <c r="E107" s="47"/>
      <c r="F107" s="128">
        <v>-61.613796100000854</v>
      </c>
      <c r="G107" s="137">
        <v>-1.6892689523175183E-2</v>
      </c>
    </row>
    <row r="108" spans="1:7" ht="12.75" x14ac:dyDescent="0.2">
      <c r="A108" s="6"/>
      <c r="B108" s="7"/>
      <c r="C108" s="31" t="s">
        <v>135</v>
      </c>
      <c r="D108" s="12"/>
      <c r="E108" s="49"/>
      <c r="F108" s="55">
        <v>3647.3645013999999</v>
      </c>
      <c r="G108" s="167">
        <v>1.0000000014768247</v>
      </c>
    </row>
    <row r="110" spans="1:7" ht="12.75" x14ac:dyDescent="0.2">
      <c r="B110" s="179"/>
      <c r="C110" s="179"/>
      <c r="D110" s="179"/>
      <c r="E110" s="179"/>
      <c r="F110" s="179"/>
    </row>
    <row r="111" spans="1:7" ht="12.75" x14ac:dyDescent="0.2">
      <c r="B111" s="179"/>
      <c r="C111" s="179"/>
      <c r="D111" s="179"/>
      <c r="E111" s="179"/>
      <c r="F111" s="179"/>
    </row>
    <row r="113" spans="2:4" ht="12.75" x14ac:dyDescent="0.2">
      <c r="B113" s="37" t="s">
        <v>137</v>
      </c>
      <c r="C113" s="38"/>
      <c r="D113" s="39"/>
    </row>
    <row r="114" spans="2:4" ht="12.75" x14ac:dyDescent="0.2">
      <c r="B114" s="40" t="s">
        <v>808</v>
      </c>
      <c r="C114" s="41"/>
      <c r="D114" s="65" t="s">
        <v>138</v>
      </c>
    </row>
    <row r="115" spans="2:4" ht="12.75" x14ac:dyDescent="0.2">
      <c r="B115" s="40" t="s">
        <v>139</v>
      </c>
      <c r="C115" s="41"/>
      <c r="D115" s="65" t="s">
        <v>138</v>
      </c>
    </row>
    <row r="116" spans="2:4" ht="12.75" x14ac:dyDescent="0.2">
      <c r="B116" s="42" t="s">
        <v>140</v>
      </c>
      <c r="C116" s="41"/>
      <c r="D116" s="43"/>
    </row>
    <row r="117" spans="2:4" ht="25.5" customHeight="1" x14ac:dyDescent="0.2">
      <c r="B117" s="43"/>
      <c r="C117" s="33" t="s">
        <v>141</v>
      </c>
      <c r="D117" s="34" t="s">
        <v>142</v>
      </c>
    </row>
    <row r="118" spans="2:4" ht="12.75" customHeight="1" x14ac:dyDescent="0.2">
      <c r="B118" s="60" t="s">
        <v>143</v>
      </c>
      <c r="C118" s="61" t="s">
        <v>144</v>
      </c>
      <c r="D118" s="61" t="s">
        <v>145</v>
      </c>
    </row>
    <row r="119" spans="2:4" ht="12.75" x14ac:dyDescent="0.2">
      <c r="B119" s="43" t="s">
        <v>146</v>
      </c>
      <c r="C119" s="44">
        <v>16.508900000000001</v>
      </c>
      <c r="D119" s="44">
        <v>17.271699999999999</v>
      </c>
    </row>
    <row r="120" spans="2:4" ht="12.75" x14ac:dyDescent="0.2">
      <c r="B120" s="43" t="s">
        <v>147</v>
      </c>
      <c r="C120" s="44">
        <v>13.2044</v>
      </c>
      <c r="D120" s="44">
        <v>13.814500000000001</v>
      </c>
    </row>
    <row r="121" spans="2:4" ht="12.75" x14ac:dyDescent="0.2">
      <c r="B121" s="43" t="s">
        <v>148</v>
      </c>
      <c r="C121" s="44">
        <v>16.144300000000001</v>
      </c>
      <c r="D121" s="44">
        <v>16.8888</v>
      </c>
    </row>
    <row r="122" spans="2:4" ht="12.75" x14ac:dyDescent="0.2">
      <c r="B122" s="43" t="s">
        <v>149</v>
      </c>
      <c r="C122" s="44">
        <v>12.8848</v>
      </c>
      <c r="D122" s="44">
        <v>13.478899999999999</v>
      </c>
    </row>
    <row r="124" spans="2:4" ht="12.75" x14ac:dyDescent="0.2">
      <c r="B124" s="62" t="s">
        <v>150</v>
      </c>
      <c r="C124" s="45"/>
      <c r="D124" s="63" t="s">
        <v>138</v>
      </c>
    </row>
    <row r="125" spans="2:4" ht="24.75" customHeight="1" x14ac:dyDescent="0.2">
      <c r="B125" s="64"/>
      <c r="C125" s="64"/>
    </row>
    <row r="126" spans="2:4" ht="15" x14ac:dyDescent="0.25">
      <c r="B126" s="66"/>
      <c r="C126" s="68"/>
      <c r="D126"/>
    </row>
    <row r="128" spans="2:4" ht="12.75" x14ac:dyDescent="0.2">
      <c r="B128" s="42" t="s">
        <v>151</v>
      </c>
      <c r="C128" s="41"/>
      <c r="D128" s="163" t="s">
        <v>138</v>
      </c>
    </row>
    <row r="129" spans="2:4" ht="12.75" x14ac:dyDescent="0.2">
      <c r="B129" s="42" t="s">
        <v>152</v>
      </c>
      <c r="C129" s="41"/>
      <c r="D129" s="67" t="s">
        <v>138</v>
      </c>
    </row>
    <row r="130" spans="2:4" ht="12.75" x14ac:dyDescent="0.2">
      <c r="B130" s="42" t="s">
        <v>153</v>
      </c>
      <c r="C130" s="41"/>
      <c r="D130" s="46">
        <v>0.36975353282434154</v>
      </c>
    </row>
    <row r="131" spans="2:4" ht="12.75" x14ac:dyDescent="0.2">
      <c r="B131" s="42" t="s">
        <v>154</v>
      </c>
      <c r="C131" s="41"/>
      <c r="D131" s="46" t="s">
        <v>138</v>
      </c>
    </row>
  </sheetData>
  <mergeCells count="5">
    <mergeCell ref="A1:G1"/>
    <mergeCell ref="A2:G2"/>
    <mergeCell ref="A3:G3"/>
    <mergeCell ref="B110:F110"/>
    <mergeCell ref="B111:F111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25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732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502</v>
      </c>
      <c r="C7" s="11" t="s">
        <v>503</v>
      </c>
      <c r="D7" s="2" t="s">
        <v>16</v>
      </c>
      <c r="E7" s="47">
        <v>46000</v>
      </c>
      <c r="F7" s="53">
        <v>143.70400000000001</v>
      </c>
      <c r="G7" s="5">
        <v>5.8135836000000003E-2</v>
      </c>
    </row>
    <row r="8" spans="1:7" ht="12.75" x14ac:dyDescent="0.2">
      <c r="A8" s="6">
        <v>2</v>
      </c>
      <c r="B8" s="7" t="s">
        <v>48</v>
      </c>
      <c r="C8" s="11" t="s">
        <v>49</v>
      </c>
      <c r="D8" s="2" t="s">
        <v>50</v>
      </c>
      <c r="E8" s="47">
        <v>67500</v>
      </c>
      <c r="F8" s="53">
        <v>139.21875</v>
      </c>
      <c r="G8" s="5">
        <v>5.6321316000000003E-2</v>
      </c>
    </row>
    <row r="9" spans="1:7" ht="25.5" x14ac:dyDescent="0.2">
      <c r="A9" s="6">
        <v>3</v>
      </c>
      <c r="B9" s="7" t="s">
        <v>63</v>
      </c>
      <c r="C9" s="11" t="s">
        <v>64</v>
      </c>
      <c r="D9" s="2" t="s">
        <v>65</v>
      </c>
      <c r="E9" s="47">
        <v>33700</v>
      </c>
      <c r="F9" s="53">
        <v>126.12224999999999</v>
      </c>
      <c r="G9" s="5">
        <v>5.1023091999999999E-2</v>
      </c>
    </row>
    <row r="10" spans="1:7" ht="12.75" x14ac:dyDescent="0.2">
      <c r="A10" s="6">
        <v>4</v>
      </c>
      <c r="B10" s="7" t="s">
        <v>14</v>
      </c>
      <c r="C10" s="11" t="s">
        <v>15</v>
      </c>
      <c r="D10" s="2" t="s">
        <v>16</v>
      </c>
      <c r="E10" s="47">
        <v>24770</v>
      </c>
      <c r="F10" s="53">
        <v>114.697485</v>
      </c>
      <c r="G10" s="5">
        <v>4.6401172999999997E-2</v>
      </c>
    </row>
    <row r="11" spans="1:7" ht="25.5" x14ac:dyDescent="0.2">
      <c r="A11" s="6">
        <v>5</v>
      </c>
      <c r="B11" s="7" t="s">
        <v>453</v>
      </c>
      <c r="C11" s="11" t="s">
        <v>454</v>
      </c>
      <c r="D11" s="2" t="s">
        <v>47</v>
      </c>
      <c r="E11" s="47">
        <v>58000</v>
      </c>
      <c r="F11" s="53">
        <v>114.173</v>
      </c>
      <c r="G11" s="5">
        <v>4.6188990999999999E-2</v>
      </c>
    </row>
    <row r="12" spans="1:7" ht="25.5" x14ac:dyDescent="0.2">
      <c r="A12" s="6">
        <v>6</v>
      </c>
      <c r="B12" s="7" t="s">
        <v>41</v>
      </c>
      <c r="C12" s="11" t="s">
        <v>42</v>
      </c>
      <c r="D12" s="2" t="s">
        <v>27</v>
      </c>
      <c r="E12" s="47">
        <v>95000</v>
      </c>
      <c r="F12" s="53">
        <v>109.1075</v>
      </c>
      <c r="G12" s="5">
        <v>4.4139730000000002E-2</v>
      </c>
    </row>
    <row r="13" spans="1:7" ht="25.5" x14ac:dyDescent="0.2">
      <c r="A13" s="6">
        <v>7</v>
      </c>
      <c r="B13" s="7" t="s">
        <v>20</v>
      </c>
      <c r="C13" s="11" t="s">
        <v>21</v>
      </c>
      <c r="D13" s="2" t="s">
        <v>22</v>
      </c>
      <c r="E13" s="47">
        <v>12000</v>
      </c>
      <c r="F13" s="53">
        <v>106.92</v>
      </c>
      <c r="G13" s="5">
        <v>4.3254770999999997E-2</v>
      </c>
    </row>
    <row r="14" spans="1:7" ht="25.5" x14ac:dyDescent="0.2">
      <c r="A14" s="6">
        <v>8</v>
      </c>
      <c r="B14" s="7" t="s">
        <v>66</v>
      </c>
      <c r="C14" s="11" t="s">
        <v>67</v>
      </c>
      <c r="D14" s="2" t="s">
        <v>27</v>
      </c>
      <c r="E14" s="47">
        <v>70468</v>
      </c>
      <c r="F14" s="53">
        <v>102.24906799999999</v>
      </c>
      <c r="G14" s="5">
        <v>4.1365132999999998E-2</v>
      </c>
    </row>
    <row r="15" spans="1:7" ht="12.75" x14ac:dyDescent="0.2">
      <c r="A15" s="6">
        <v>9</v>
      </c>
      <c r="B15" s="7" t="s">
        <v>408</v>
      </c>
      <c r="C15" s="11" t="s">
        <v>409</v>
      </c>
      <c r="D15" s="2" t="s">
        <v>16</v>
      </c>
      <c r="E15" s="47">
        <v>13800</v>
      </c>
      <c r="F15" s="53">
        <v>101.6163</v>
      </c>
      <c r="G15" s="5">
        <v>4.1109145E-2</v>
      </c>
    </row>
    <row r="16" spans="1:7" ht="12.75" x14ac:dyDescent="0.2">
      <c r="A16" s="6">
        <v>10</v>
      </c>
      <c r="B16" s="7" t="s">
        <v>332</v>
      </c>
      <c r="C16" s="11" t="s">
        <v>333</v>
      </c>
      <c r="D16" s="2" t="s">
        <v>158</v>
      </c>
      <c r="E16" s="47">
        <v>15522</v>
      </c>
      <c r="F16" s="53">
        <v>97.291895999999994</v>
      </c>
      <c r="G16" s="5">
        <v>3.9359696E-2</v>
      </c>
    </row>
    <row r="17" spans="1:7" ht="12.75" x14ac:dyDescent="0.2">
      <c r="A17" s="6">
        <v>11</v>
      </c>
      <c r="B17" s="7" t="s">
        <v>489</v>
      </c>
      <c r="C17" s="11" t="s">
        <v>490</v>
      </c>
      <c r="D17" s="2" t="s">
        <v>80</v>
      </c>
      <c r="E17" s="47">
        <v>100998</v>
      </c>
      <c r="F17" s="53">
        <v>87.36327</v>
      </c>
      <c r="G17" s="5">
        <v>3.5343043999999997E-2</v>
      </c>
    </row>
    <row r="18" spans="1:7" ht="12.75" x14ac:dyDescent="0.2">
      <c r="A18" s="6">
        <v>12</v>
      </c>
      <c r="B18" s="7" t="s">
        <v>279</v>
      </c>
      <c r="C18" s="11" t="s">
        <v>280</v>
      </c>
      <c r="D18" s="2" t="s">
        <v>281</v>
      </c>
      <c r="E18" s="47">
        <v>10705</v>
      </c>
      <c r="F18" s="53">
        <v>86.6409175</v>
      </c>
      <c r="G18" s="5">
        <v>3.5050814E-2</v>
      </c>
    </row>
    <row r="19" spans="1:7" ht="25.5" x14ac:dyDescent="0.2">
      <c r="A19" s="6">
        <v>13</v>
      </c>
      <c r="B19" s="7" t="s">
        <v>202</v>
      </c>
      <c r="C19" s="11" t="s">
        <v>203</v>
      </c>
      <c r="D19" s="2" t="s">
        <v>22</v>
      </c>
      <c r="E19" s="47">
        <v>12000</v>
      </c>
      <c r="F19" s="53">
        <v>79.608000000000004</v>
      </c>
      <c r="G19" s="5">
        <v>3.2205629E-2</v>
      </c>
    </row>
    <row r="20" spans="1:7" ht="12.75" x14ac:dyDescent="0.2">
      <c r="A20" s="6">
        <v>14</v>
      </c>
      <c r="B20" s="7" t="s">
        <v>61</v>
      </c>
      <c r="C20" s="11" t="s">
        <v>62</v>
      </c>
      <c r="D20" s="2" t="s">
        <v>19</v>
      </c>
      <c r="E20" s="47">
        <v>80317</v>
      </c>
      <c r="F20" s="53">
        <v>77.425588000000005</v>
      </c>
      <c r="G20" s="5">
        <v>3.1322728000000001E-2</v>
      </c>
    </row>
    <row r="21" spans="1:7" ht="12.75" x14ac:dyDescent="0.2">
      <c r="A21" s="6">
        <v>15</v>
      </c>
      <c r="B21" s="7" t="s">
        <v>733</v>
      </c>
      <c r="C21" s="11" t="s">
        <v>734</v>
      </c>
      <c r="D21" s="2" t="s">
        <v>19</v>
      </c>
      <c r="E21" s="47">
        <v>108409</v>
      </c>
      <c r="F21" s="53">
        <v>73.555506500000007</v>
      </c>
      <c r="G21" s="5">
        <v>2.9757076E-2</v>
      </c>
    </row>
    <row r="22" spans="1:7" ht="12.75" x14ac:dyDescent="0.2">
      <c r="A22" s="6">
        <v>16</v>
      </c>
      <c r="B22" s="7" t="s">
        <v>381</v>
      </c>
      <c r="C22" s="11" t="s">
        <v>382</v>
      </c>
      <c r="D22" s="2" t="s">
        <v>72</v>
      </c>
      <c r="E22" s="47">
        <v>5242</v>
      </c>
      <c r="F22" s="53">
        <v>69.225852000000003</v>
      </c>
      <c r="G22" s="5">
        <v>2.8005503000000001E-2</v>
      </c>
    </row>
    <row r="23" spans="1:7" ht="25.5" x14ac:dyDescent="0.2">
      <c r="A23" s="6">
        <v>17</v>
      </c>
      <c r="B23" s="7" t="s">
        <v>537</v>
      </c>
      <c r="C23" s="11" t="s">
        <v>538</v>
      </c>
      <c r="D23" s="2" t="s">
        <v>13</v>
      </c>
      <c r="E23" s="47">
        <v>300000</v>
      </c>
      <c r="F23" s="53">
        <v>62.25</v>
      </c>
      <c r="G23" s="5">
        <v>2.5183403E-2</v>
      </c>
    </row>
    <row r="24" spans="1:7" ht="12.75" x14ac:dyDescent="0.2">
      <c r="A24" s="6">
        <v>18</v>
      </c>
      <c r="B24" s="7" t="s">
        <v>190</v>
      </c>
      <c r="C24" s="11" t="s">
        <v>191</v>
      </c>
      <c r="D24" s="2" t="s">
        <v>192</v>
      </c>
      <c r="E24" s="47">
        <v>40000</v>
      </c>
      <c r="F24" s="53">
        <v>61.62</v>
      </c>
      <c r="G24" s="5">
        <v>2.4928535000000002E-2</v>
      </c>
    </row>
    <row r="25" spans="1:7" ht="12.75" x14ac:dyDescent="0.2">
      <c r="A25" s="6">
        <v>19</v>
      </c>
      <c r="B25" s="7" t="s">
        <v>175</v>
      </c>
      <c r="C25" s="11" t="s">
        <v>176</v>
      </c>
      <c r="D25" s="2" t="s">
        <v>19</v>
      </c>
      <c r="E25" s="47">
        <v>66333</v>
      </c>
      <c r="F25" s="53">
        <v>55.620220500000002</v>
      </c>
      <c r="G25" s="5">
        <v>2.2501308000000001E-2</v>
      </c>
    </row>
    <row r="26" spans="1:7" ht="25.5" x14ac:dyDescent="0.2">
      <c r="A26" s="6">
        <v>20</v>
      </c>
      <c r="B26" s="7" t="s">
        <v>57</v>
      </c>
      <c r="C26" s="11" t="s">
        <v>58</v>
      </c>
      <c r="D26" s="2" t="s">
        <v>27</v>
      </c>
      <c r="E26" s="47">
        <v>14750</v>
      </c>
      <c r="F26" s="53">
        <v>54.995375000000003</v>
      </c>
      <c r="G26" s="5">
        <v>2.2248526000000001E-2</v>
      </c>
    </row>
    <row r="27" spans="1:7" ht="25.5" x14ac:dyDescent="0.2">
      <c r="A27" s="6">
        <v>21</v>
      </c>
      <c r="B27" s="7" t="s">
        <v>89</v>
      </c>
      <c r="C27" s="11" t="s">
        <v>90</v>
      </c>
      <c r="D27" s="2" t="s">
        <v>27</v>
      </c>
      <c r="E27" s="47">
        <v>97041</v>
      </c>
      <c r="F27" s="53">
        <v>54.876685500000001</v>
      </c>
      <c r="G27" s="5">
        <v>2.2200509E-2</v>
      </c>
    </row>
    <row r="28" spans="1:7" ht="25.5" x14ac:dyDescent="0.2">
      <c r="A28" s="6">
        <v>22</v>
      </c>
      <c r="B28" s="7" t="s">
        <v>334</v>
      </c>
      <c r="C28" s="11" t="s">
        <v>335</v>
      </c>
      <c r="D28" s="2" t="s">
        <v>30</v>
      </c>
      <c r="E28" s="47">
        <v>16000</v>
      </c>
      <c r="F28" s="53">
        <v>52.344000000000001</v>
      </c>
      <c r="G28" s="5">
        <v>2.1175904999999998E-2</v>
      </c>
    </row>
    <row r="29" spans="1:7" ht="12.75" x14ac:dyDescent="0.2">
      <c r="A29" s="6">
        <v>23</v>
      </c>
      <c r="B29" s="7" t="s">
        <v>708</v>
      </c>
      <c r="C29" s="11" t="s">
        <v>709</v>
      </c>
      <c r="D29" s="2" t="s">
        <v>290</v>
      </c>
      <c r="E29" s="47">
        <v>43511</v>
      </c>
      <c r="F29" s="53">
        <v>50.581537500000003</v>
      </c>
      <c r="G29" s="5">
        <v>2.0462896000000001E-2</v>
      </c>
    </row>
    <row r="30" spans="1:7" ht="12.75" x14ac:dyDescent="0.2">
      <c r="A30" s="6">
        <v>24</v>
      </c>
      <c r="B30" s="7" t="s">
        <v>389</v>
      </c>
      <c r="C30" s="11" t="s">
        <v>390</v>
      </c>
      <c r="D30" s="2" t="s">
        <v>16</v>
      </c>
      <c r="E30" s="47">
        <v>87562</v>
      </c>
      <c r="F30" s="53">
        <v>48.027757000000001</v>
      </c>
      <c r="G30" s="5">
        <v>1.9429756999999999E-2</v>
      </c>
    </row>
    <row r="31" spans="1:7" ht="12.75" x14ac:dyDescent="0.2">
      <c r="A31" s="6">
        <v>25</v>
      </c>
      <c r="B31" s="7" t="s">
        <v>377</v>
      </c>
      <c r="C31" s="11" t="s">
        <v>378</v>
      </c>
      <c r="D31" s="2" t="s">
        <v>40</v>
      </c>
      <c r="E31" s="47">
        <v>74000</v>
      </c>
      <c r="F31" s="53">
        <v>43.881999999999998</v>
      </c>
      <c r="G31" s="5">
        <v>1.775258E-2</v>
      </c>
    </row>
    <row r="32" spans="1:7" ht="25.5" x14ac:dyDescent="0.2">
      <c r="A32" s="6">
        <v>26</v>
      </c>
      <c r="B32" s="7" t="s">
        <v>555</v>
      </c>
      <c r="C32" s="11" t="s">
        <v>556</v>
      </c>
      <c r="D32" s="2" t="s">
        <v>47</v>
      </c>
      <c r="E32" s="47">
        <v>25420</v>
      </c>
      <c r="F32" s="53">
        <v>42.883540000000004</v>
      </c>
      <c r="G32" s="5">
        <v>1.734865E-2</v>
      </c>
    </row>
    <row r="33" spans="1:7" ht="12.75" x14ac:dyDescent="0.2">
      <c r="A33" s="6">
        <v>27</v>
      </c>
      <c r="B33" s="7" t="s">
        <v>479</v>
      </c>
      <c r="C33" s="11" t="s">
        <v>480</v>
      </c>
      <c r="D33" s="2" t="s">
        <v>226</v>
      </c>
      <c r="E33" s="47">
        <v>36000</v>
      </c>
      <c r="F33" s="53">
        <v>42.857999999999997</v>
      </c>
      <c r="G33" s="5">
        <v>1.7338317999999998E-2</v>
      </c>
    </row>
    <row r="34" spans="1:7" ht="12.75" x14ac:dyDescent="0.2">
      <c r="A34" s="6">
        <v>28</v>
      </c>
      <c r="B34" s="7" t="s">
        <v>527</v>
      </c>
      <c r="C34" s="11" t="s">
        <v>528</v>
      </c>
      <c r="D34" s="2" t="s">
        <v>16</v>
      </c>
      <c r="E34" s="47">
        <v>43952</v>
      </c>
      <c r="F34" s="53">
        <v>42.721344000000002</v>
      </c>
      <c r="G34" s="5">
        <v>1.7283033999999999E-2</v>
      </c>
    </row>
    <row r="35" spans="1:7" ht="12.75" x14ac:dyDescent="0.2">
      <c r="A35" s="6">
        <v>29</v>
      </c>
      <c r="B35" s="7" t="s">
        <v>519</v>
      </c>
      <c r="C35" s="11" t="s">
        <v>520</v>
      </c>
      <c r="D35" s="2" t="s">
        <v>281</v>
      </c>
      <c r="E35" s="47">
        <v>4712</v>
      </c>
      <c r="F35" s="53">
        <v>42.584699999999998</v>
      </c>
      <c r="G35" s="5">
        <v>1.7227754000000001E-2</v>
      </c>
    </row>
    <row r="36" spans="1:7" ht="12.75" x14ac:dyDescent="0.2">
      <c r="A36" s="6">
        <v>30</v>
      </c>
      <c r="B36" s="7" t="s">
        <v>735</v>
      </c>
      <c r="C36" s="11" t="s">
        <v>736</v>
      </c>
      <c r="D36" s="2" t="s">
        <v>19</v>
      </c>
      <c r="E36" s="47">
        <v>42109</v>
      </c>
      <c r="F36" s="53">
        <v>38.445517000000002</v>
      </c>
      <c r="G36" s="5">
        <v>1.5553236E-2</v>
      </c>
    </row>
    <row r="37" spans="1:7" ht="12.75" x14ac:dyDescent="0.2">
      <c r="A37" s="6">
        <v>31</v>
      </c>
      <c r="B37" s="7" t="s">
        <v>87</v>
      </c>
      <c r="C37" s="11" t="s">
        <v>88</v>
      </c>
      <c r="D37" s="2"/>
      <c r="E37" s="47">
        <v>15000</v>
      </c>
      <c r="F37" s="53">
        <v>25.515000000000001</v>
      </c>
      <c r="G37" s="5">
        <v>1.0322161E-2</v>
      </c>
    </row>
    <row r="38" spans="1:7" ht="12.75" x14ac:dyDescent="0.2">
      <c r="A38" s="6">
        <v>32</v>
      </c>
      <c r="B38" s="7" t="s">
        <v>106</v>
      </c>
      <c r="C38" s="11" t="s">
        <v>107</v>
      </c>
      <c r="D38" s="2" t="s">
        <v>50</v>
      </c>
      <c r="E38" s="47">
        <v>15000</v>
      </c>
      <c r="F38" s="53">
        <v>7.2</v>
      </c>
      <c r="G38" s="5">
        <v>2.9127789999999999E-3</v>
      </c>
    </row>
    <row r="39" spans="1:7" ht="25.5" x14ac:dyDescent="0.2">
      <c r="A39" s="6">
        <v>33</v>
      </c>
      <c r="B39" s="7" t="s">
        <v>245</v>
      </c>
      <c r="C39" s="11" t="s">
        <v>246</v>
      </c>
      <c r="D39" s="2" t="s">
        <v>30</v>
      </c>
      <c r="E39" s="47">
        <v>62135</v>
      </c>
      <c r="F39" s="53">
        <v>4.34945</v>
      </c>
      <c r="G39" s="5">
        <v>1.759582E-3</v>
      </c>
    </row>
    <row r="40" spans="1:7" ht="12.75" x14ac:dyDescent="0.2">
      <c r="A40" s="1"/>
      <c r="B40" s="2"/>
      <c r="C40" s="8" t="s">
        <v>108</v>
      </c>
      <c r="D40" s="12"/>
      <c r="E40" s="49"/>
      <c r="F40" s="55">
        <v>2359.6745094999997</v>
      </c>
      <c r="G40" s="13">
        <v>0.95461261000000019</v>
      </c>
    </row>
    <row r="41" spans="1:7" ht="12.75" x14ac:dyDescent="0.2">
      <c r="A41" s="6"/>
      <c r="B41" s="7"/>
      <c r="C41" s="14"/>
      <c r="D41" s="15"/>
      <c r="E41" s="47"/>
      <c r="F41" s="53"/>
      <c r="G41" s="5"/>
    </row>
    <row r="42" spans="1:7" ht="12.75" x14ac:dyDescent="0.2">
      <c r="A42" s="1"/>
      <c r="B42" s="2"/>
      <c r="C42" s="8" t="s">
        <v>109</v>
      </c>
      <c r="D42" s="9"/>
      <c r="E42" s="48"/>
      <c r="F42" s="54"/>
      <c r="G42" s="10"/>
    </row>
    <row r="43" spans="1:7" ht="12.75" x14ac:dyDescent="0.2">
      <c r="A43" s="1"/>
      <c r="B43" s="2"/>
      <c r="C43" s="8" t="s">
        <v>108</v>
      </c>
      <c r="D43" s="12"/>
      <c r="E43" s="49"/>
      <c r="F43" s="55">
        <v>0</v>
      </c>
      <c r="G43" s="13">
        <v>0</v>
      </c>
    </row>
    <row r="44" spans="1:7" ht="12.75" x14ac:dyDescent="0.2">
      <c r="A44" s="6"/>
      <c r="B44" s="7"/>
      <c r="C44" s="14"/>
      <c r="D44" s="15"/>
      <c r="E44" s="47"/>
      <c r="F44" s="53"/>
      <c r="G44" s="5"/>
    </row>
    <row r="45" spans="1:7" ht="12.75" x14ac:dyDescent="0.2">
      <c r="A45" s="16"/>
      <c r="B45" s="17"/>
      <c r="C45" s="8" t="s">
        <v>110</v>
      </c>
      <c r="D45" s="9"/>
      <c r="E45" s="48"/>
      <c r="F45" s="54"/>
      <c r="G45" s="10"/>
    </row>
    <row r="46" spans="1:7" ht="12.75" x14ac:dyDescent="0.2">
      <c r="A46" s="18"/>
      <c r="B46" s="19"/>
      <c r="C46" s="8" t="s">
        <v>108</v>
      </c>
      <c r="D46" s="20"/>
      <c r="E46" s="50"/>
      <c r="F46" s="56">
        <v>0</v>
      </c>
      <c r="G46" s="21">
        <v>0</v>
      </c>
    </row>
    <row r="47" spans="1:7" ht="12.75" x14ac:dyDescent="0.2">
      <c r="A47" s="18"/>
      <c r="B47" s="19"/>
      <c r="C47" s="14"/>
      <c r="D47" s="22"/>
      <c r="E47" s="51"/>
      <c r="F47" s="57"/>
      <c r="G47" s="23"/>
    </row>
    <row r="48" spans="1:7" ht="12.75" x14ac:dyDescent="0.2">
      <c r="A48" s="1"/>
      <c r="B48" s="2"/>
      <c r="C48" s="8" t="s">
        <v>113</v>
      </c>
      <c r="D48" s="9"/>
      <c r="E48" s="48"/>
      <c r="F48" s="54"/>
      <c r="G48" s="10"/>
    </row>
    <row r="49" spans="1:7" ht="12.75" x14ac:dyDescent="0.2">
      <c r="A49" s="1"/>
      <c r="B49" s="2"/>
      <c r="C49" s="8" t="s">
        <v>108</v>
      </c>
      <c r="D49" s="12"/>
      <c r="E49" s="49"/>
      <c r="F49" s="55">
        <v>0</v>
      </c>
      <c r="G49" s="13">
        <v>0</v>
      </c>
    </row>
    <row r="50" spans="1:7" ht="12.75" x14ac:dyDescent="0.2">
      <c r="A50" s="1"/>
      <c r="B50" s="2"/>
      <c r="C50" s="14"/>
      <c r="D50" s="4"/>
      <c r="E50" s="47"/>
      <c r="F50" s="53"/>
      <c r="G50" s="5"/>
    </row>
    <row r="51" spans="1:7" ht="12.75" x14ac:dyDescent="0.2">
      <c r="A51" s="1"/>
      <c r="B51" s="2"/>
      <c r="C51" s="8" t="s">
        <v>114</v>
      </c>
      <c r="D51" s="9"/>
      <c r="E51" s="48"/>
      <c r="F51" s="54"/>
      <c r="G51" s="10"/>
    </row>
    <row r="52" spans="1:7" ht="12.75" x14ac:dyDescent="0.2">
      <c r="A52" s="1"/>
      <c r="B52" s="2"/>
      <c r="C52" s="8" t="s">
        <v>108</v>
      </c>
      <c r="D52" s="12"/>
      <c r="E52" s="49"/>
      <c r="F52" s="55">
        <v>0</v>
      </c>
      <c r="G52" s="13">
        <v>0</v>
      </c>
    </row>
    <row r="53" spans="1:7" ht="12.75" x14ac:dyDescent="0.2">
      <c r="A53" s="1"/>
      <c r="B53" s="2"/>
      <c r="C53" s="14"/>
      <c r="D53" s="4"/>
      <c r="E53" s="47"/>
      <c r="F53" s="53"/>
      <c r="G53" s="5"/>
    </row>
    <row r="54" spans="1:7" ht="12.75" x14ac:dyDescent="0.2">
      <c r="A54" s="1"/>
      <c r="B54" s="2"/>
      <c r="C54" s="8" t="s">
        <v>115</v>
      </c>
      <c r="D54" s="9"/>
      <c r="E54" s="48"/>
      <c r="F54" s="54"/>
      <c r="G54" s="10"/>
    </row>
    <row r="55" spans="1:7" ht="12.75" x14ac:dyDescent="0.2">
      <c r="A55" s="1"/>
      <c r="B55" s="2"/>
      <c r="C55" s="8" t="s">
        <v>108</v>
      </c>
      <c r="D55" s="12"/>
      <c r="E55" s="49"/>
      <c r="F55" s="55">
        <v>0</v>
      </c>
      <c r="G55" s="13">
        <v>0</v>
      </c>
    </row>
    <row r="56" spans="1:7" ht="12.75" x14ac:dyDescent="0.2">
      <c r="A56" s="1"/>
      <c r="B56" s="2"/>
      <c r="C56" s="14"/>
      <c r="D56" s="4"/>
      <c r="E56" s="47"/>
      <c r="F56" s="53"/>
      <c r="G56" s="5"/>
    </row>
    <row r="57" spans="1:7" ht="25.5" x14ac:dyDescent="0.2">
      <c r="A57" s="6"/>
      <c r="B57" s="7"/>
      <c r="C57" s="24" t="s">
        <v>116</v>
      </c>
      <c r="D57" s="25"/>
      <c r="E57" s="49"/>
      <c r="F57" s="55">
        <v>2359.6745094999997</v>
      </c>
      <c r="G57" s="13">
        <v>0.95461261000000019</v>
      </c>
    </row>
    <row r="58" spans="1:7" ht="12.75" x14ac:dyDescent="0.2">
      <c r="A58" s="1"/>
      <c r="B58" s="2"/>
      <c r="C58" s="11"/>
      <c r="D58" s="4"/>
      <c r="E58" s="47"/>
      <c r="F58" s="53"/>
      <c r="G58" s="5"/>
    </row>
    <row r="59" spans="1:7" ht="12.75" x14ac:dyDescent="0.2">
      <c r="A59" s="1"/>
      <c r="B59" s="2"/>
      <c r="C59" s="3" t="s">
        <v>117</v>
      </c>
      <c r="D59" s="4"/>
      <c r="E59" s="47"/>
      <c r="F59" s="53"/>
      <c r="G59" s="5"/>
    </row>
    <row r="60" spans="1:7" ht="25.5" x14ac:dyDescent="0.2">
      <c r="A60" s="1"/>
      <c r="B60" s="2"/>
      <c r="C60" s="8" t="s">
        <v>10</v>
      </c>
      <c r="D60" s="9"/>
      <c r="E60" s="48"/>
      <c r="F60" s="54"/>
      <c r="G60" s="10"/>
    </row>
    <row r="61" spans="1:7" ht="12.75" x14ac:dyDescent="0.2">
      <c r="A61" s="6"/>
      <c r="B61" s="7"/>
      <c r="C61" s="8" t="s">
        <v>108</v>
      </c>
      <c r="D61" s="12"/>
      <c r="E61" s="49"/>
      <c r="F61" s="55">
        <v>0</v>
      </c>
      <c r="G61" s="13">
        <v>0</v>
      </c>
    </row>
    <row r="62" spans="1:7" ht="12.75" x14ac:dyDescent="0.2">
      <c r="A62" s="6"/>
      <c r="B62" s="7"/>
      <c r="C62" s="14"/>
      <c r="D62" s="4"/>
      <c r="E62" s="47"/>
      <c r="F62" s="53"/>
      <c r="G62" s="5"/>
    </row>
    <row r="63" spans="1:7" ht="12.75" x14ac:dyDescent="0.2">
      <c r="A63" s="1"/>
      <c r="B63" s="26"/>
      <c r="C63" s="8" t="s">
        <v>118</v>
      </c>
      <c r="D63" s="9"/>
      <c r="E63" s="48"/>
      <c r="F63" s="54"/>
      <c r="G63" s="10"/>
    </row>
    <row r="64" spans="1:7" ht="12.75" x14ac:dyDescent="0.2">
      <c r="A64" s="6"/>
      <c r="B64" s="7"/>
      <c r="C64" s="8" t="s">
        <v>108</v>
      </c>
      <c r="D64" s="12"/>
      <c r="E64" s="49"/>
      <c r="F64" s="55">
        <v>0</v>
      </c>
      <c r="G64" s="13">
        <v>0</v>
      </c>
    </row>
    <row r="65" spans="1:7" ht="12.75" x14ac:dyDescent="0.2">
      <c r="A65" s="6"/>
      <c r="B65" s="7"/>
      <c r="C65" s="14"/>
      <c r="D65" s="4"/>
      <c r="E65" s="47"/>
      <c r="F65" s="59"/>
      <c r="G65" s="28"/>
    </row>
    <row r="66" spans="1:7" ht="12.75" x14ac:dyDescent="0.2">
      <c r="A66" s="1"/>
      <c r="B66" s="2"/>
      <c r="C66" s="8" t="s">
        <v>119</v>
      </c>
      <c r="D66" s="9"/>
      <c r="E66" s="48"/>
      <c r="F66" s="54"/>
      <c r="G66" s="10"/>
    </row>
    <row r="67" spans="1:7" ht="12.75" x14ac:dyDescent="0.2">
      <c r="A67" s="6"/>
      <c r="B67" s="7"/>
      <c r="C67" s="8" t="s">
        <v>108</v>
      </c>
      <c r="D67" s="12"/>
      <c r="E67" s="49"/>
      <c r="F67" s="55">
        <v>0</v>
      </c>
      <c r="G67" s="13">
        <v>0</v>
      </c>
    </row>
    <row r="68" spans="1:7" ht="12.75" x14ac:dyDescent="0.2">
      <c r="A68" s="1"/>
      <c r="B68" s="2"/>
      <c r="C68" s="14"/>
      <c r="D68" s="4"/>
      <c r="E68" s="47"/>
      <c r="F68" s="53"/>
      <c r="G68" s="5"/>
    </row>
    <row r="69" spans="1:7" ht="25.5" x14ac:dyDescent="0.2">
      <c r="A69" s="1"/>
      <c r="B69" s="26"/>
      <c r="C69" s="8" t="s">
        <v>120</v>
      </c>
      <c r="D69" s="9"/>
      <c r="E69" s="48"/>
      <c r="F69" s="54"/>
      <c r="G69" s="10"/>
    </row>
    <row r="70" spans="1:7" ht="12.75" x14ac:dyDescent="0.2">
      <c r="A70" s="6"/>
      <c r="B70" s="7"/>
      <c r="C70" s="8" t="s">
        <v>108</v>
      </c>
      <c r="D70" s="12"/>
      <c r="E70" s="49"/>
      <c r="F70" s="55">
        <v>0</v>
      </c>
      <c r="G70" s="13">
        <v>0</v>
      </c>
    </row>
    <row r="71" spans="1:7" ht="12.75" x14ac:dyDescent="0.2">
      <c r="A71" s="6"/>
      <c r="B71" s="7"/>
      <c r="C71" s="14"/>
      <c r="D71" s="4"/>
      <c r="E71" s="47"/>
      <c r="F71" s="53"/>
      <c r="G71" s="5"/>
    </row>
    <row r="72" spans="1:7" ht="12.75" x14ac:dyDescent="0.2">
      <c r="A72" s="6"/>
      <c r="B72" s="7"/>
      <c r="C72" s="29" t="s">
        <v>121</v>
      </c>
      <c r="D72" s="25"/>
      <c r="E72" s="49"/>
      <c r="F72" s="55">
        <v>0</v>
      </c>
      <c r="G72" s="13">
        <v>0</v>
      </c>
    </row>
    <row r="73" spans="1:7" ht="12.75" x14ac:dyDescent="0.2">
      <c r="A73" s="6"/>
      <c r="B73" s="7"/>
      <c r="C73" s="11"/>
      <c r="D73" s="4"/>
      <c r="E73" s="47"/>
      <c r="F73" s="53"/>
      <c r="G73" s="5"/>
    </row>
    <row r="74" spans="1:7" ht="12.75" x14ac:dyDescent="0.2">
      <c r="A74" s="1"/>
      <c r="B74" s="2"/>
      <c r="C74" s="3" t="s">
        <v>122</v>
      </c>
      <c r="D74" s="4"/>
      <c r="E74" s="47"/>
      <c r="F74" s="53"/>
      <c r="G74" s="5"/>
    </row>
    <row r="75" spans="1:7" ht="12.75" x14ac:dyDescent="0.2">
      <c r="A75" s="6"/>
      <c r="B75" s="7"/>
      <c r="C75" s="8" t="s">
        <v>123</v>
      </c>
      <c r="D75" s="9"/>
      <c r="E75" s="48"/>
      <c r="F75" s="54"/>
      <c r="G75" s="10"/>
    </row>
    <row r="76" spans="1:7" ht="12.75" x14ac:dyDescent="0.2">
      <c r="A76" s="6"/>
      <c r="B76" s="7"/>
      <c r="C76" s="8" t="s">
        <v>108</v>
      </c>
      <c r="D76" s="25"/>
      <c r="E76" s="49"/>
      <c r="F76" s="55">
        <v>0</v>
      </c>
      <c r="G76" s="13">
        <v>0</v>
      </c>
    </row>
    <row r="77" spans="1:7" ht="12.75" x14ac:dyDescent="0.2">
      <c r="A77" s="6"/>
      <c r="B77" s="7"/>
      <c r="C77" s="14"/>
      <c r="D77" s="7"/>
      <c r="E77" s="47"/>
      <c r="F77" s="53"/>
      <c r="G77" s="5"/>
    </row>
    <row r="78" spans="1:7" ht="12.75" x14ac:dyDescent="0.2">
      <c r="A78" s="6"/>
      <c r="B78" s="7"/>
      <c r="C78" s="8" t="s">
        <v>124</v>
      </c>
      <c r="D78" s="9"/>
      <c r="E78" s="48"/>
      <c r="F78" s="54"/>
      <c r="G78" s="10"/>
    </row>
    <row r="79" spans="1:7" ht="12.75" x14ac:dyDescent="0.2">
      <c r="A79" s="6"/>
      <c r="B79" s="7"/>
      <c r="C79" s="8" t="s">
        <v>108</v>
      </c>
      <c r="D79" s="25"/>
      <c r="E79" s="49"/>
      <c r="F79" s="55">
        <v>0</v>
      </c>
      <c r="G79" s="13">
        <v>0</v>
      </c>
    </row>
    <row r="80" spans="1:7" ht="12.75" x14ac:dyDescent="0.2">
      <c r="A80" s="6"/>
      <c r="B80" s="7"/>
      <c r="C80" s="14"/>
      <c r="D80" s="7"/>
      <c r="E80" s="47"/>
      <c r="F80" s="53"/>
      <c r="G80" s="5"/>
    </row>
    <row r="81" spans="1:7" ht="12.75" x14ac:dyDescent="0.2">
      <c r="A81" s="6"/>
      <c r="B81" s="7"/>
      <c r="C81" s="8" t="s">
        <v>125</v>
      </c>
      <c r="D81" s="9"/>
      <c r="E81" s="48"/>
      <c r="F81" s="54"/>
      <c r="G81" s="10"/>
    </row>
    <row r="82" spans="1:7" ht="12.75" x14ac:dyDescent="0.2">
      <c r="A82" s="6"/>
      <c r="B82" s="7"/>
      <c r="C82" s="8" t="s">
        <v>108</v>
      </c>
      <c r="D82" s="25"/>
      <c r="E82" s="49"/>
      <c r="F82" s="55">
        <v>0</v>
      </c>
      <c r="G82" s="13">
        <v>0</v>
      </c>
    </row>
    <row r="83" spans="1:7" ht="12.75" x14ac:dyDescent="0.2">
      <c r="A83" s="6"/>
      <c r="B83" s="7"/>
      <c r="C83" s="14"/>
      <c r="D83" s="7"/>
      <c r="E83" s="47"/>
      <c r="F83" s="53"/>
      <c r="G83" s="5"/>
    </row>
    <row r="84" spans="1:7" ht="12.75" x14ac:dyDescent="0.2">
      <c r="A84" s="6"/>
      <c r="B84" s="7"/>
      <c r="C84" s="8" t="s">
        <v>126</v>
      </c>
      <c r="D84" s="9"/>
      <c r="E84" s="48"/>
      <c r="F84" s="54"/>
      <c r="G84" s="10"/>
    </row>
    <row r="85" spans="1:7" ht="12.75" x14ac:dyDescent="0.2">
      <c r="A85" s="6">
        <v>1</v>
      </c>
      <c r="B85" s="7"/>
      <c r="C85" s="11" t="s">
        <v>812</v>
      </c>
      <c r="D85" s="15"/>
      <c r="E85" s="47"/>
      <c r="F85" s="53">
        <v>120.9840897</v>
      </c>
      <c r="G85" s="5">
        <v>4.8944436000000001E-2</v>
      </c>
    </row>
    <row r="86" spans="1:7" ht="12.75" x14ac:dyDescent="0.2">
      <c r="A86" s="6"/>
      <c r="B86" s="7"/>
      <c r="C86" s="8" t="s">
        <v>108</v>
      </c>
      <c r="D86" s="25"/>
      <c r="E86" s="49"/>
      <c r="F86" s="55">
        <v>120.9840897</v>
      </c>
      <c r="G86" s="13">
        <v>4.8944436000000001E-2</v>
      </c>
    </row>
    <row r="87" spans="1:7" ht="12.75" x14ac:dyDescent="0.2">
      <c r="A87" s="6"/>
      <c r="B87" s="7"/>
      <c r="C87" s="14"/>
      <c r="D87" s="7"/>
      <c r="E87" s="47"/>
      <c r="F87" s="53"/>
      <c r="G87" s="5"/>
    </row>
    <row r="88" spans="1:7" ht="25.5" x14ac:dyDescent="0.2">
      <c r="A88" s="6"/>
      <c r="B88" s="7"/>
      <c r="C88" s="24" t="s">
        <v>127</v>
      </c>
      <c r="D88" s="25"/>
      <c r="E88" s="49"/>
      <c r="F88" s="55">
        <v>120.9840897</v>
      </c>
      <c r="G88" s="13">
        <v>4.8944436000000001E-2</v>
      </c>
    </row>
    <row r="89" spans="1:7" ht="12.75" x14ac:dyDescent="0.2">
      <c r="A89" s="6"/>
      <c r="B89" s="7"/>
      <c r="C89" s="30"/>
      <c r="D89" s="7"/>
      <c r="E89" s="47"/>
      <c r="F89" s="53"/>
      <c r="G89" s="5"/>
    </row>
    <row r="90" spans="1:7" ht="12.75" x14ac:dyDescent="0.2">
      <c r="A90" s="1"/>
      <c r="B90" s="2"/>
      <c r="C90" s="3" t="s">
        <v>128</v>
      </c>
      <c r="D90" s="4"/>
      <c r="E90" s="47"/>
      <c r="F90" s="53"/>
      <c r="G90" s="5"/>
    </row>
    <row r="91" spans="1:7" ht="25.5" x14ac:dyDescent="0.2">
      <c r="A91" s="6"/>
      <c r="B91" s="7"/>
      <c r="C91" s="8" t="s">
        <v>129</v>
      </c>
      <c r="D91" s="9"/>
      <c r="E91" s="48"/>
      <c r="F91" s="54"/>
      <c r="G91" s="10"/>
    </row>
    <row r="92" spans="1:7" ht="12.75" x14ac:dyDescent="0.2">
      <c r="A92" s="6"/>
      <c r="B92" s="7"/>
      <c r="C92" s="8" t="s">
        <v>108</v>
      </c>
      <c r="D92" s="25"/>
      <c r="E92" s="49"/>
      <c r="F92" s="55">
        <v>0</v>
      </c>
      <c r="G92" s="13">
        <v>0</v>
      </c>
    </row>
    <row r="93" spans="1:7" ht="12.75" x14ac:dyDescent="0.2">
      <c r="A93" s="6"/>
      <c r="B93" s="7"/>
      <c r="C93" s="14"/>
      <c r="D93" s="7"/>
      <c r="E93" s="47"/>
      <c r="F93" s="53"/>
      <c r="G93" s="5"/>
    </row>
    <row r="94" spans="1:7" ht="12.75" x14ac:dyDescent="0.2">
      <c r="A94" s="1"/>
      <c r="B94" s="2"/>
      <c r="C94" s="3" t="s">
        <v>131</v>
      </c>
      <c r="D94" s="4"/>
      <c r="E94" s="47"/>
      <c r="F94" s="53"/>
      <c r="G94" s="5"/>
    </row>
    <row r="95" spans="1:7" ht="25.5" x14ac:dyDescent="0.2">
      <c r="A95" s="6"/>
      <c r="B95" s="7"/>
      <c r="C95" s="8" t="s">
        <v>132</v>
      </c>
      <c r="D95" s="9"/>
      <c r="E95" s="48"/>
      <c r="F95" s="54"/>
      <c r="G95" s="10"/>
    </row>
    <row r="96" spans="1:7" ht="12.75" x14ac:dyDescent="0.2">
      <c r="A96" s="6"/>
      <c r="B96" s="7"/>
      <c r="C96" s="8" t="s">
        <v>108</v>
      </c>
      <c r="D96" s="25"/>
      <c r="E96" s="49"/>
      <c r="F96" s="55">
        <v>0</v>
      </c>
      <c r="G96" s="13">
        <v>0</v>
      </c>
    </row>
    <row r="97" spans="1:7" ht="12.75" x14ac:dyDescent="0.2">
      <c r="A97" s="6"/>
      <c r="B97" s="7"/>
      <c r="C97" s="14"/>
      <c r="D97" s="7"/>
      <c r="E97" s="47"/>
      <c r="F97" s="53"/>
      <c r="G97" s="5"/>
    </row>
    <row r="98" spans="1:7" ht="25.5" x14ac:dyDescent="0.2">
      <c r="A98" s="6"/>
      <c r="B98" s="7"/>
      <c r="C98" s="8" t="s">
        <v>133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25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7"/>
      <c r="E100" s="47"/>
      <c r="F100" s="59"/>
      <c r="G100" s="28"/>
    </row>
    <row r="101" spans="1:7" ht="25.5" x14ac:dyDescent="0.2">
      <c r="A101" s="6"/>
      <c r="B101" s="7"/>
      <c r="C101" s="30" t="s">
        <v>134</v>
      </c>
      <c r="D101" s="7"/>
      <c r="E101" s="47"/>
      <c r="F101" s="128">
        <v>-8.7925431700000001</v>
      </c>
      <c r="G101" s="137">
        <v>-3.5570467698081819E-3</v>
      </c>
    </row>
    <row r="102" spans="1:7" ht="12.75" x14ac:dyDescent="0.2">
      <c r="A102" s="6"/>
      <c r="B102" s="7"/>
      <c r="C102" s="31" t="s">
        <v>135</v>
      </c>
      <c r="D102" s="12"/>
      <c r="E102" s="49"/>
      <c r="F102" s="55">
        <v>2471.8660560299995</v>
      </c>
      <c r="G102" s="13">
        <v>0.99999999900000025</v>
      </c>
    </row>
    <row r="104" spans="1:7" ht="12.75" x14ac:dyDescent="0.2">
      <c r="B104" s="179"/>
      <c r="C104" s="179"/>
      <c r="D104" s="179"/>
      <c r="E104" s="179"/>
      <c r="F104" s="179"/>
    </row>
    <row r="105" spans="1:7" ht="12.75" x14ac:dyDescent="0.2">
      <c r="B105" s="179"/>
      <c r="C105" s="179"/>
      <c r="D105" s="179"/>
      <c r="E105" s="179"/>
      <c r="F105" s="179"/>
    </row>
    <row r="107" spans="1:7" ht="12.75" x14ac:dyDescent="0.2">
      <c r="B107" s="37" t="s">
        <v>137</v>
      </c>
      <c r="C107" s="38"/>
      <c r="D107" s="39"/>
    </row>
    <row r="108" spans="1:7" ht="12.75" x14ac:dyDescent="0.2">
      <c r="B108" s="40" t="s">
        <v>808</v>
      </c>
      <c r="C108" s="41"/>
      <c r="D108" s="65" t="s">
        <v>138</v>
      </c>
    </row>
    <row r="109" spans="1:7" ht="12.75" x14ac:dyDescent="0.2">
      <c r="B109" s="40" t="s">
        <v>139</v>
      </c>
      <c r="C109" s="41"/>
      <c r="D109" s="65" t="s">
        <v>138</v>
      </c>
    </row>
    <row r="110" spans="1:7" ht="12.75" x14ac:dyDescent="0.2">
      <c r="B110" s="42" t="s">
        <v>140</v>
      </c>
      <c r="C110" s="41"/>
      <c r="D110" s="43"/>
    </row>
    <row r="111" spans="1:7" ht="25.5" customHeight="1" x14ac:dyDescent="0.2">
      <c r="B111" s="43"/>
      <c r="C111" s="33" t="s">
        <v>141</v>
      </c>
      <c r="D111" s="34" t="s">
        <v>142</v>
      </c>
    </row>
    <row r="112" spans="1:7" ht="12.75" customHeight="1" x14ac:dyDescent="0.2">
      <c r="B112" s="60" t="s">
        <v>143</v>
      </c>
      <c r="C112" s="61" t="s">
        <v>144</v>
      </c>
      <c r="D112" s="61" t="s">
        <v>145</v>
      </c>
    </row>
    <row r="113" spans="2:4" ht="12.75" x14ac:dyDescent="0.2">
      <c r="B113" s="43" t="s">
        <v>146</v>
      </c>
      <c r="C113" s="44">
        <v>8.2894000000000005</v>
      </c>
      <c r="D113" s="44">
        <v>8.5425000000000004</v>
      </c>
    </row>
    <row r="114" spans="2:4" ht="12.75" x14ac:dyDescent="0.2">
      <c r="B114" s="43" t="s">
        <v>147</v>
      </c>
      <c r="C114" s="44">
        <v>8.2890999999999995</v>
      </c>
      <c r="D114" s="44">
        <v>8.5421999999999993</v>
      </c>
    </row>
    <row r="115" spans="2:4" ht="12.75" x14ac:dyDescent="0.2">
      <c r="B115" s="43" t="s">
        <v>148</v>
      </c>
      <c r="C115" s="44">
        <v>8.1366999999999994</v>
      </c>
      <c r="D115" s="44">
        <v>8.3813999999999993</v>
      </c>
    </row>
    <row r="116" spans="2:4" ht="12.75" x14ac:dyDescent="0.2">
      <c r="B116" s="43" t="s">
        <v>149</v>
      </c>
      <c r="C116" s="44">
        <v>8.1366999999999994</v>
      </c>
      <c r="D116" s="44">
        <v>8.3813999999999993</v>
      </c>
    </row>
    <row r="118" spans="2:4" ht="12.75" x14ac:dyDescent="0.2">
      <c r="B118" s="62" t="s">
        <v>150</v>
      </c>
      <c r="C118" s="45"/>
      <c r="D118" s="63" t="s">
        <v>138</v>
      </c>
    </row>
    <row r="119" spans="2:4" ht="24.75" customHeight="1" x14ac:dyDescent="0.2">
      <c r="B119" s="64"/>
      <c r="C119" s="64"/>
    </row>
    <row r="120" spans="2:4" ht="15" x14ac:dyDescent="0.25">
      <c r="B120" s="66"/>
      <c r="C120" s="68"/>
      <c r="D120"/>
    </row>
    <row r="122" spans="2:4" ht="12.75" x14ac:dyDescent="0.2">
      <c r="B122" s="42" t="s">
        <v>151</v>
      </c>
      <c r="C122" s="41"/>
      <c r="D122" s="67" t="s">
        <v>138</v>
      </c>
    </row>
    <row r="123" spans="2:4" ht="12.75" x14ac:dyDescent="0.2">
      <c r="B123" s="42" t="s">
        <v>152</v>
      </c>
      <c r="C123" s="41"/>
      <c r="D123" s="67" t="s">
        <v>138</v>
      </c>
    </row>
    <row r="124" spans="2:4" ht="12.75" x14ac:dyDescent="0.2">
      <c r="B124" s="42" t="s">
        <v>153</v>
      </c>
      <c r="C124" s="41"/>
      <c r="D124" s="46">
        <v>0.32801315056593561</v>
      </c>
    </row>
    <row r="125" spans="2:4" ht="12.75" x14ac:dyDescent="0.2">
      <c r="B125" s="42" t="s">
        <v>154</v>
      </c>
      <c r="C125" s="41"/>
      <c r="D125" s="46" t="s">
        <v>138</v>
      </c>
    </row>
  </sheetData>
  <mergeCells count="5">
    <mergeCell ref="A1:G1"/>
    <mergeCell ref="A2:G2"/>
    <mergeCell ref="A3:G3"/>
    <mergeCell ref="B104:F104"/>
    <mergeCell ref="B105:F105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28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25.7109375" style="32" customWidth="1"/>
    <col min="4" max="4" width="14.7109375" style="32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737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127122</v>
      </c>
      <c r="F7" s="53">
        <v>588.63842099999999</v>
      </c>
      <c r="G7" s="5">
        <v>7.3689239000000004E-2</v>
      </c>
    </row>
    <row r="8" spans="1:7" ht="25.5" x14ac:dyDescent="0.2">
      <c r="A8" s="6">
        <v>2</v>
      </c>
      <c r="B8" s="7" t="s">
        <v>11</v>
      </c>
      <c r="C8" s="11" t="s">
        <v>12</v>
      </c>
      <c r="D8" s="2" t="s">
        <v>13</v>
      </c>
      <c r="E8" s="47">
        <v>31630</v>
      </c>
      <c r="F8" s="53">
        <v>465.92571500000003</v>
      </c>
      <c r="G8" s="5">
        <v>5.8327337E-2</v>
      </c>
    </row>
    <row r="9" spans="1:7" ht="12.75" x14ac:dyDescent="0.2">
      <c r="A9" s="6">
        <v>3</v>
      </c>
      <c r="B9" s="7" t="s">
        <v>502</v>
      </c>
      <c r="C9" s="11" t="s">
        <v>503</v>
      </c>
      <c r="D9" s="2" t="s">
        <v>16</v>
      </c>
      <c r="E9" s="47">
        <v>143411</v>
      </c>
      <c r="F9" s="53">
        <v>448.015964</v>
      </c>
      <c r="G9" s="5">
        <v>5.6085287999999997E-2</v>
      </c>
    </row>
    <row r="10" spans="1:7" ht="25.5" x14ac:dyDescent="0.2">
      <c r="A10" s="6">
        <v>4</v>
      </c>
      <c r="B10" s="7" t="s">
        <v>444</v>
      </c>
      <c r="C10" s="11" t="s">
        <v>445</v>
      </c>
      <c r="D10" s="2" t="s">
        <v>27</v>
      </c>
      <c r="E10" s="47">
        <v>21835</v>
      </c>
      <c r="F10" s="53">
        <v>361.60943500000002</v>
      </c>
      <c r="G10" s="5">
        <v>4.5268408000000003E-2</v>
      </c>
    </row>
    <row r="11" spans="1:7" ht="12.75" x14ac:dyDescent="0.2">
      <c r="A11" s="6">
        <v>5</v>
      </c>
      <c r="B11" s="7" t="s">
        <v>408</v>
      </c>
      <c r="C11" s="11" t="s">
        <v>409</v>
      </c>
      <c r="D11" s="2" t="s">
        <v>16</v>
      </c>
      <c r="E11" s="47">
        <v>45034</v>
      </c>
      <c r="F11" s="53">
        <v>331.60785900000002</v>
      </c>
      <c r="G11" s="5">
        <v>4.1512633E-2</v>
      </c>
    </row>
    <row r="12" spans="1:7" ht="25.5" x14ac:dyDescent="0.2">
      <c r="A12" s="6">
        <v>6</v>
      </c>
      <c r="B12" s="7" t="s">
        <v>63</v>
      </c>
      <c r="C12" s="11" t="s">
        <v>64</v>
      </c>
      <c r="D12" s="2" t="s">
        <v>65</v>
      </c>
      <c r="E12" s="47">
        <v>83172</v>
      </c>
      <c r="F12" s="53">
        <v>311.27121</v>
      </c>
      <c r="G12" s="5">
        <v>3.8966770999999997E-2</v>
      </c>
    </row>
    <row r="13" spans="1:7" ht="12.75" x14ac:dyDescent="0.2">
      <c r="A13" s="6">
        <v>7</v>
      </c>
      <c r="B13" s="7" t="s">
        <v>500</v>
      </c>
      <c r="C13" s="11" t="s">
        <v>501</v>
      </c>
      <c r="D13" s="2" t="s">
        <v>40</v>
      </c>
      <c r="E13" s="47">
        <v>220413</v>
      </c>
      <c r="F13" s="53">
        <v>269.78551199999998</v>
      </c>
      <c r="G13" s="5">
        <v>3.3773346000000003E-2</v>
      </c>
    </row>
    <row r="14" spans="1:7" ht="12.75" x14ac:dyDescent="0.2">
      <c r="A14" s="6">
        <v>8</v>
      </c>
      <c r="B14" s="7" t="s">
        <v>527</v>
      </c>
      <c r="C14" s="11" t="s">
        <v>528</v>
      </c>
      <c r="D14" s="2" t="s">
        <v>16</v>
      </c>
      <c r="E14" s="47">
        <v>273155</v>
      </c>
      <c r="F14" s="53">
        <v>265.50666000000001</v>
      </c>
      <c r="G14" s="5">
        <v>3.3237693999999998E-2</v>
      </c>
    </row>
    <row r="15" spans="1:7" ht="12.75" x14ac:dyDescent="0.2">
      <c r="A15" s="6">
        <v>9</v>
      </c>
      <c r="B15" s="7" t="s">
        <v>667</v>
      </c>
      <c r="C15" s="11" t="s">
        <v>668</v>
      </c>
      <c r="D15" s="2" t="s">
        <v>226</v>
      </c>
      <c r="E15" s="47">
        <v>9417</v>
      </c>
      <c r="F15" s="53">
        <v>262.09394400000002</v>
      </c>
      <c r="G15" s="5">
        <v>3.2810470000000001E-2</v>
      </c>
    </row>
    <row r="16" spans="1:7" ht="12.75" x14ac:dyDescent="0.2">
      <c r="A16" s="6">
        <v>10</v>
      </c>
      <c r="B16" s="7" t="s">
        <v>634</v>
      </c>
      <c r="C16" s="11" t="s">
        <v>635</v>
      </c>
      <c r="D16" s="2" t="s">
        <v>307</v>
      </c>
      <c r="E16" s="47">
        <v>86700</v>
      </c>
      <c r="F16" s="53">
        <v>248.30879999999999</v>
      </c>
      <c r="G16" s="5">
        <v>3.1084764000000001E-2</v>
      </c>
    </row>
    <row r="17" spans="1:7" ht="12.75" x14ac:dyDescent="0.2">
      <c r="A17" s="6">
        <v>11</v>
      </c>
      <c r="B17" s="7" t="s">
        <v>515</v>
      </c>
      <c r="C17" s="11" t="s">
        <v>516</v>
      </c>
      <c r="D17" s="2" t="s">
        <v>242</v>
      </c>
      <c r="E17" s="47">
        <v>30379</v>
      </c>
      <c r="F17" s="53">
        <v>224.50081</v>
      </c>
      <c r="G17" s="5">
        <v>2.8104338999999999E-2</v>
      </c>
    </row>
    <row r="18" spans="1:7" ht="25.5" x14ac:dyDescent="0.2">
      <c r="A18" s="6">
        <v>12</v>
      </c>
      <c r="B18" s="7" t="s">
        <v>537</v>
      </c>
      <c r="C18" s="11" t="s">
        <v>538</v>
      </c>
      <c r="D18" s="2" t="s">
        <v>13</v>
      </c>
      <c r="E18" s="47">
        <v>996991</v>
      </c>
      <c r="F18" s="53">
        <v>206.87563249999999</v>
      </c>
      <c r="G18" s="5">
        <v>2.5897915000000001E-2</v>
      </c>
    </row>
    <row r="19" spans="1:7" ht="12.75" x14ac:dyDescent="0.2">
      <c r="A19" s="6">
        <v>13</v>
      </c>
      <c r="B19" s="7" t="s">
        <v>316</v>
      </c>
      <c r="C19" s="11" t="s">
        <v>317</v>
      </c>
      <c r="D19" s="2" t="s">
        <v>16</v>
      </c>
      <c r="E19" s="47">
        <v>243912</v>
      </c>
      <c r="F19" s="53">
        <v>204.398256</v>
      </c>
      <c r="G19" s="5">
        <v>2.5587782999999999E-2</v>
      </c>
    </row>
    <row r="20" spans="1:7" ht="12.75" x14ac:dyDescent="0.2">
      <c r="A20" s="6">
        <v>14</v>
      </c>
      <c r="B20" s="7" t="s">
        <v>387</v>
      </c>
      <c r="C20" s="11" t="s">
        <v>388</v>
      </c>
      <c r="D20" s="2" t="s">
        <v>226</v>
      </c>
      <c r="E20" s="47">
        <v>20731</v>
      </c>
      <c r="F20" s="53">
        <v>203.31928250000001</v>
      </c>
      <c r="G20" s="5">
        <v>2.545271E-2</v>
      </c>
    </row>
    <row r="21" spans="1:7" ht="25.5" x14ac:dyDescent="0.2">
      <c r="A21" s="6">
        <v>15</v>
      </c>
      <c r="B21" s="7" t="s">
        <v>34</v>
      </c>
      <c r="C21" s="11" t="s">
        <v>35</v>
      </c>
      <c r="D21" s="2" t="s">
        <v>27</v>
      </c>
      <c r="E21" s="47">
        <v>16687</v>
      </c>
      <c r="F21" s="53">
        <v>188.37119949999999</v>
      </c>
      <c r="G21" s="5">
        <v>2.3581421000000002E-2</v>
      </c>
    </row>
    <row r="22" spans="1:7" ht="12.75" x14ac:dyDescent="0.2">
      <c r="A22" s="6">
        <v>16</v>
      </c>
      <c r="B22" s="7" t="s">
        <v>688</v>
      </c>
      <c r="C22" s="11" t="s">
        <v>689</v>
      </c>
      <c r="D22" s="2" t="s">
        <v>226</v>
      </c>
      <c r="E22" s="47">
        <v>38780</v>
      </c>
      <c r="F22" s="53">
        <v>182.20783</v>
      </c>
      <c r="G22" s="5">
        <v>2.2809854000000001E-2</v>
      </c>
    </row>
    <row r="23" spans="1:7" ht="25.5" x14ac:dyDescent="0.2">
      <c r="A23" s="6">
        <v>17</v>
      </c>
      <c r="B23" s="7" t="s">
        <v>43</v>
      </c>
      <c r="C23" s="11" t="s">
        <v>44</v>
      </c>
      <c r="D23" s="2" t="s">
        <v>22</v>
      </c>
      <c r="E23" s="47">
        <v>25870</v>
      </c>
      <c r="F23" s="53">
        <v>180.10694000000001</v>
      </c>
      <c r="G23" s="5">
        <v>2.2546851999999999E-2</v>
      </c>
    </row>
    <row r="24" spans="1:7" ht="12.75" x14ac:dyDescent="0.2">
      <c r="A24" s="6">
        <v>18</v>
      </c>
      <c r="B24" s="7" t="s">
        <v>661</v>
      </c>
      <c r="C24" s="11" t="s">
        <v>662</v>
      </c>
      <c r="D24" s="2" t="s">
        <v>226</v>
      </c>
      <c r="E24" s="47">
        <v>37177</v>
      </c>
      <c r="F24" s="53">
        <v>173.5608245</v>
      </c>
      <c r="G24" s="5">
        <v>2.1727370999999999E-2</v>
      </c>
    </row>
    <row r="25" spans="1:7" ht="25.5" x14ac:dyDescent="0.2">
      <c r="A25" s="6">
        <v>19</v>
      </c>
      <c r="B25" s="7" t="s">
        <v>57</v>
      </c>
      <c r="C25" s="11" t="s">
        <v>58</v>
      </c>
      <c r="D25" s="2" t="s">
        <v>27</v>
      </c>
      <c r="E25" s="47">
        <v>45730</v>
      </c>
      <c r="F25" s="53">
        <v>170.50430499999999</v>
      </c>
      <c r="G25" s="5">
        <v>2.1344736999999999E-2</v>
      </c>
    </row>
    <row r="26" spans="1:7" ht="25.5" x14ac:dyDescent="0.2">
      <c r="A26" s="6">
        <v>20</v>
      </c>
      <c r="B26" s="7" t="s">
        <v>521</v>
      </c>
      <c r="C26" s="11" t="s">
        <v>522</v>
      </c>
      <c r="D26" s="2" t="s">
        <v>30</v>
      </c>
      <c r="E26" s="47">
        <v>102477</v>
      </c>
      <c r="F26" s="53">
        <v>166.98627149999999</v>
      </c>
      <c r="G26" s="5">
        <v>2.0904328999999999E-2</v>
      </c>
    </row>
    <row r="27" spans="1:7" ht="25.5" x14ac:dyDescent="0.2">
      <c r="A27" s="6">
        <v>21</v>
      </c>
      <c r="B27" s="7" t="s">
        <v>525</v>
      </c>
      <c r="C27" s="11" t="s">
        <v>526</v>
      </c>
      <c r="D27" s="2" t="s">
        <v>33</v>
      </c>
      <c r="E27" s="47">
        <v>111600</v>
      </c>
      <c r="F27" s="53">
        <v>163.8288</v>
      </c>
      <c r="G27" s="5">
        <v>2.0509058E-2</v>
      </c>
    </row>
    <row r="28" spans="1:7" ht="12.75" x14ac:dyDescent="0.2">
      <c r="A28" s="6">
        <v>22</v>
      </c>
      <c r="B28" s="7" t="s">
        <v>653</v>
      </c>
      <c r="C28" s="11" t="s">
        <v>654</v>
      </c>
      <c r="D28" s="2" t="s">
        <v>226</v>
      </c>
      <c r="E28" s="47">
        <v>59803</v>
      </c>
      <c r="F28" s="53">
        <v>150.55405250000001</v>
      </c>
      <c r="G28" s="5">
        <v>1.8847247000000001E-2</v>
      </c>
    </row>
    <row r="29" spans="1:7" ht="25.5" x14ac:dyDescent="0.2">
      <c r="A29" s="6">
        <v>23</v>
      </c>
      <c r="B29" s="7" t="s">
        <v>104</v>
      </c>
      <c r="C29" s="11" t="s">
        <v>105</v>
      </c>
      <c r="D29" s="2" t="s">
        <v>33</v>
      </c>
      <c r="E29" s="47">
        <v>27700</v>
      </c>
      <c r="F29" s="53">
        <v>145.8682</v>
      </c>
      <c r="G29" s="5">
        <v>1.8260643999999999E-2</v>
      </c>
    </row>
    <row r="30" spans="1:7" ht="25.5" x14ac:dyDescent="0.2">
      <c r="A30" s="6">
        <v>24</v>
      </c>
      <c r="B30" s="7" t="s">
        <v>89</v>
      </c>
      <c r="C30" s="11" t="s">
        <v>90</v>
      </c>
      <c r="D30" s="2" t="s">
        <v>27</v>
      </c>
      <c r="E30" s="47">
        <v>242714</v>
      </c>
      <c r="F30" s="53">
        <v>137.25476699999999</v>
      </c>
      <c r="G30" s="5">
        <v>1.7182363999999999E-2</v>
      </c>
    </row>
    <row r="31" spans="1:7" ht="12.75" x14ac:dyDescent="0.2">
      <c r="A31" s="6">
        <v>25</v>
      </c>
      <c r="B31" s="7" t="s">
        <v>523</v>
      </c>
      <c r="C31" s="11" t="s">
        <v>524</v>
      </c>
      <c r="D31" s="2" t="s">
        <v>242</v>
      </c>
      <c r="E31" s="47">
        <v>11188</v>
      </c>
      <c r="F31" s="53">
        <v>130.08847</v>
      </c>
      <c r="G31" s="5">
        <v>1.6285244000000001E-2</v>
      </c>
    </row>
    <row r="32" spans="1:7" ht="25.5" x14ac:dyDescent="0.2">
      <c r="A32" s="6">
        <v>26</v>
      </c>
      <c r="B32" s="7" t="s">
        <v>485</v>
      </c>
      <c r="C32" s="11" t="s">
        <v>486</v>
      </c>
      <c r="D32" s="2" t="s">
        <v>33</v>
      </c>
      <c r="E32" s="47">
        <v>79320</v>
      </c>
      <c r="F32" s="53">
        <v>120.68537999999999</v>
      </c>
      <c r="G32" s="5">
        <v>1.5108109999999999E-2</v>
      </c>
    </row>
    <row r="33" spans="1:7" ht="12.75" x14ac:dyDescent="0.2">
      <c r="A33" s="6">
        <v>27</v>
      </c>
      <c r="B33" s="7" t="s">
        <v>240</v>
      </c>
      <c r="C33" s="11" t="s">
        <v>241</v>
      </c>
      <c r="D33" s="2" t="s">
        <v>242</v>
      </c>
      <c r="E33" s="47">
        <v>28282</v>
      </c>
      <c r="F33" s="53">
        <v>115.037035</v>
      </c>
      <c r="G33" s="5">
        <v>1.4401016000000001E-2</v>
      </c>
    </row>
    <row r="34" spans="1:7" ht="12.75" x14ac:dyDescent="0.2">
      <c r="A34" s="6">
        <v>28</v>
      </c>
      <c r="B34" s="7" t="s">
        <v>708</v>
      </c>
      <c r="C34" s="11" t="s">
        <v>709</v>
      </c>
      <c r="D34" s="2" t="s">
        <v>290</v>
      </c>
      <c r="E34" s="47">
        <v>97450</v>
      </c>
      <c r="F34" s="53">
        <v>113.285625</v>
      </c>
      <c r="G34" s="5">
        <v>1.4181765000000001E-2</v>
      </c>
    </row>
    <row r="35" spans="1:7" ht="25.5" x14ac:dyDescent="0.2">
      <c r="A35" s="6">
        <v>29</v>
      </c>
      <c r="B35" s="7" t="s">
        <v>215</v>
      </c>
      <c r="C35" s="11" t="s">
        <v>216</v>
      </c>
      <c r="D35" s="2" t="s">
        <v>13</v>
      </c>
      <c r="E35" s="47">
        <v>193219</v>
      </c>
      <c r="F35" s="53">
        <v>111.680582</v>
      </c>
      <c r="G35" s="5">
        <v>1.3980836E-2</v>
      </c>
    </row>
    <row r="36" spans="1:7" ht="12.75" x14ac:dyDescent="0.2">
      <c r="A36" s="6">
        <v>30</v>
      </c>
      <c r="B36" s="7" t="s">
        <v>377</v>
      </c>
      <c r="C36" s="11" t="s">
        <v>378</v>
      </c>
      <c r="D36" s="2" t="s">
        <v>40</v>
      </c>
      <c r="E36" s="47">
        <v>184791</v>
      </c>
      <c r="F36" s="53">
        <v>109.581063</v>
      </c>
      <c r="G36" s="5">
        <v>1.3718006E-2</v>
      </c>
    </row>
    <row r="37" spans="1:7" ht="12.75" x14ac:dyDescent="0.2">
      <c r="A37" s="6">
        <v>31</v>
      </c>
      <c r="B37" s="7" t="s">
        <v>352</v>
      </c>
      <c r="C37" s="11" t="s">
        <v>353</v>
      </c>
      <c r="D37" s="2" t="s">
        <v>226</v>
      </c>
      <c r="E37" s="47">
        <v>18233</v>
      </c>
      <c r="F37" s="53">
        <v>107.428836</v>
      </c>
      <c r="G37" s="5">
        <v>1.3448577E-2</v>
      </c>
    </row>
    <row r="38" spans="1:7" ht="25.5" x14ac:dyDescent="0.2">
      <c r="A38" s="6">
        <v>32</v>
      </c>
      <c r="B38" s="7" t="s">
        <v>657</v>
      </c>
      <c r="C38" s="11" t="s">
        <v>658</v>
      </c>
      <c r="D38" s="2" t="s">
        <v>40</v>
      </c>
      <c r="E38" s="47">
        <v>52309</v>
      </c>
      <c r="F38" s="53">
        <v>103.7549015</v>
      </c>
      <c r="G38" s="5">
        <v>1.2988652E-2</v>
      </c>
    </row>
    <row r="39" spans="1:7" ht="25.5" x14ac:dyDescent="0.2">
      <c r="A39" s="6">
        <v>33</v>
      </c>
      <c r="B39" s="7" t="s">
        <v>680</v>
      </c>
      <c r="C39" s="11" t="s">
        <v>681</v>
      </c>
      <c r="D39" s="2" t="s">
        <v>671</v>
      </c>
      <c r="E39" s="47">
        <v>46165</v>
      </c>
      <c r="F39" s="53">
        <v>86.744034999999997</v>
      </c>
      <c r="G39" s="5">
        <v>1.0859130999999999E-2</v>
      </c>
    </row>
    <row r="40" spans="1:7" ht="12.75" x14ac:dyDescent="0.2">
      <c r="A40" s="6">
        <v>34</v>
      </c>
      <c r="B40" s="7" t="s">
        <v>663</v>
      </c>
      <c r="C40" s="11" t="s">
        <v>664</v>
      </c>
      <c r="D40" s="2" t="s">
        <v>226</v>
      </c>
      <c r="E40" s="47">
        <v>10002</v>
      </c>
      <c r="F40" s="53">
        <v>74.524901999999997</v>
      </c>
      <c r="G40" s="5">
        <v>9.3294680000000005E-3</v>
      </c>
    </row>
    <row r="41" spans="1:7" ht="12.75" x14ac:dyDescent="0.2">
      <c r="A41" s="6">
        <v>35</v>
      </c>
      <c r="B41" s="7" t="s">
        <v>68</v>
      </c>
      <c r="C41" s="11" t="s">
        <v>69</v>
      </c>
      <c r="D41" s="2" t="s">
        <v>50</v>
      </c>
      <c r="E41" s="47">
        <v>23447</v>
      </c>
      <c r="F41" s="53">
        <v>49.94211</v>
      </c>
      <c r="G41" s="5">
        <v>6.252049E-3</v>
      </c>
    </row>
    <row r="42" spans="1:7" ht="12.75" x14ac:dyDescent="0.2">
      <c r="A42" s="1"/>
      <c r="B42" s="2"/>
      <c r="C42" s="8" t="s">
        <v>108</v>
      </c>
      <c r="D42" s="12"/>
      <c r="E42" s="49"/>
      <c r="F42" s="55">
        <v>7173.8536305000007</v>
      </c>
      <c r="G42" s="13">
        <v>0.89806542799999989</v>
      </c>
    </row>
    <row r="43" spans="1:7" ht="12.75" x14ac:dyDescent="0.2">
      <c r="A43" s="6"/>
      <c r="B43" s="7"/>
      <c r="C43" s="14"/>
      <c r="D43" s="15"/>
      <c r="E43" s="47"/>
      <c r="F43" s="53"/>
      <c r="G43" s="5"/>
    </row>
    <row r="44" spans="1:7" ht="12.75" x14ac:dyDescent="0.2">
      <c r="A44" s="1"/>
      <c r="B44" s="2"/>
      <c r="C44" s="8" t="s">
        <v>109</v>
      </c>
      <c r="D44" s="9"/>
      <c r="E44" s="48"/>
      <c r="F44" s="54"/>
      <c r="G44" s="10"/>
    </row>
    <row r="45" spans="1:7" ht="12.75" x14ac:dyDescent="0.2">
      <c r="A45" s="1"/>
      <c r="B45" s="2"/>
      <c r="C45" s="8" t="s">
        <v>108</v>
      </c>
      <c r="D45" s="12"/>
      <c r="E45" s="49"/>
      <c r="F45" s="55">
        <v>0</v>
      </c>
      <c r="G45" s="13">
        <v>0</v>
      </c>
    </row>
    <row r="46" spans="1:7" ht="12.75" x14ac:dyDescent="0.2">
      <c r="A46" s="6"/>
      <c r="B46" s="7"/>
      <c r="C46" s="14"/>
      <c r="D46" s="15"/>
      <c r="E46" s="47"/>
      <c r="F46" s="53"/>
      <c r="G46" s="5"/>
    </row>
    <row r="47" spans="1:7" ht="12.75" x14ac:dyDescent="0.2">
      <c r="A47" s="16"/>
      <c r="B47" s="17"/>
      <c r="C47" s="8" t="s">
        <v>110</v>
      </c>
      <c r="D47" s="9"/>
      <c r="E47" s="48"/>
      <c r="F47" s="54"/>
      <c r="G47" s="10"/>
    </row>
    <row r="48" spans="1:7" ht="12.75" x14ac:dyDescent="0.2">
      <c r="A48" s="18"/>
      <c r="B48" s="19"/>
      <c r="C48" s="8" t="s">
        <v>108</v>
      </c>
      <c r="D48" s="20"/>
      <c r="E48" s="50"/>
      <c r="F48" s="56">
        <v>0</v>
      </c>
      <c r="G48" s="21">
        <v>0</v>
      </c>
    </row>
    <row r="49" spans="1:7" ht="12.75" x14ac:dyDescent="0.2">
      <c r="A49" s="18"/>
      <c r="B49" s="19"/>
      <c r="C49" s="14"/>
      <c r="D49" s="22"/>
      <c r="E49" s="51"/>
      <c r="F49" s="57"/>
      <c r="G49" s="23"/>
    </row>
    <row r="50" spans="1:7" ht="12.75" x14ac:dyDescent="0.2">
      <c r="A50" s="1"/>
      <c r="B50" s="2"/>
      <c r="C50" s="8" t="s">
        <v>113</v>
      </c>
      <c r="D50" s="9"/>
      <c r="E50" s="48"/>
      <c r="F50" s="54"/>
      <c r="G50" s="10"/>
    </row>
    <row r="51" spans="1:7" ht="12.75" x14ac:dyDescent="0.2">
      <c r="A51" s="1"/>
      <c r="B51" s="2"/>
      <c r="C51" s="8" t="s">
        <v>108</v>
      </c>
      <c r="D51" s="12"/>
      <c r="E51" s="49"/>
      <c r="F51" s="55">
        <v>0</v>
      </c>
      <c r="G51" s="13">
        <v>0</v>
      </c>
    </row>
    <row r="52" spans="1:7" ht="12.75" x14ac:dyDescent="0.2">
      <c r="A52" s="1"/>
      <c r="B52" s="2"/>
      <c r="C52" s="14"/>
      <c r="D52" s="4"/>
      <c r="E52" s="47"/>
      <c r="F52" s="53"/>
      <c r="G52" s="5"/>
    </row>
    <row r="53" spans="1:7" ht="12.75" x14ac:dyDescent="0.2">
      <c r="A53" s="1"/>
      <c r="B53" s="2"/>
      <c r="C53" s="8" t="s">
        <v>114</v>
      </c>
      <c r="D53" s="9"/>
      <c r="E53" s="48"/>
      <c r="F53" s="54"/>
      <c r="G53" s="10"/>
    </row>
    <row r="54" spans="1:7" ht="12.75" x14ac:dyDescent="0.2">
      <c r="A54" s="1"/>
      <c r="B54" s="2"/>
      <c r="C54" s="8" t="s">
        <v>108</v>
      </c>
      <c r="D54" s="12"/>
      <c r="E54" s="49"/>
      <c r="F54" s="55">
        <v>0</v>
      </c>
      <c r="G54" s="13">
        <v>0</v>
      </c>
    </row>
    <row r="55" spans="1:7" ht="12.75" x14ac:dyDescent="0.2">
      <c r="A55" s="1"/>
      <c r="B55" s="2"/>
      <c r="C55" s="14"/>
      <c r="D55" s="4"/>
      <c r="E55" s="47"/>
      <c r="F55" s="53"/>
      <c r="G55" s="5"/>
    </row>
    <row r="56" spans="1:7" ht="12.75" x14ac:dyDescent="0.2">
      <c r="A56" s="1"/>
      <c r="B56" s="2"/>
      <c r="C56" s="8" t="s">
        <v>115</v>
      </c>
      <c r="D56" s="9"/>
      <c r="E56" s="48"/>
      <c r="F56" s="54"/>
      <c r="G56" s="10"/>
    </row>
    <row r="57" spans="1:7" ht="12.75" x14ac:dyDescent="0.2">
      <c r="A57" s="1"/>
      <c r="B57" s="2"/>
      <c r="C57" s="8" t="s">
        <v>108</v>
      </c>
      <c r="D57" s="12"/>
      <c r="E57" s="49"/>
      <c r="F57" s="55">
        <v>0</v>
      </c>
      <c r="G57" s="13">
        <v>0</v>
      </c>
    </row>
    <row r="58" spans="1:7" ht="12.75" x14ac:dyDescent="0.2">
      <c r="A58" s="1"/>
      <c r="B58" s="2"/>
      <c r="C58" s="14"/>
      <c r="D58" s="4"/>
      <c r="E58" s="47"/>
      <c r="F58" s="53"/>
      <c r="G58" s="5"/>
    </row>
    <row r="59" spans="1:7" ht="25.5" x14ac:dyDescent="0.2">
      <c r="A59" s="6"/>
      <c r="B59" s="7"/>
      <c r="C59" s="24" t="s">
        <v>116</v>
      </c>
      <c r="D59" s="25"/>
      <c r="E59" s="49"/>
      <c r="F59" s="55">
        <v>7173.8536305000007</v>
      </c>
      <c r="G59" s="13">
        <v>0.89806542799999989</v>
      </c>
    </row>
    <row r="60" spans="1:7" ht="12.75" x14ac:dyDescent="0.2">
      <c r="A60" s="1"/>
      <c r="B60" s="2"/>
      <c r="C60" s="11"/>
      <c r="D60" s="4"/>
      <c r="E60" s="47"/>
      <c r="F60" s="53"/>
      <c r="G60" s="5"/>
    </row>
    <row r="61" spans="1:7" ht="12.75" x14ac:dyDescent="0.2">
      <c r="A61" s="1"/>
      <c r="B61" s="2"/>
      <c r="C61" s="3" t="s">
        <v>117</v>
      </c>
      <c r="D61" s="4"/>
      <c r="E61" s="47"/>
      <c r="F61" s="53"/>
      <c r="G61" s="5"/>
    </row>
    <row r="62" spans="1:7" ht="25.5" x14ac:dyDescent="0.2">
      <c r="A62" s="1"/>
      <c r="B62" s="2"/>
      <c r="C62" s="8" t="s">
        <v>10</v>
      </c>
      <c r="D62" s="9"/>
      <c r="E62" s="48"/>
      <c r="F62" s="54"/>
      <c r="G62" s="10"/>
    </row>
    <row r="63" spans="1:7" ht="12.75" x14ac:dyDescent="0.2">
      <c r="A63" s="6"/>
      <c r="B63" s="7"/>
      <c r="C63" s="8" t="s">
        <v>108</v>
      </c>
      <c r="D63" s="12"/>
      <c r="E63" s="49"/>
      <c r="F63" s="55">
        <v>0</v>
      </c>
      <c r="G63" s="13">
        <v>0</v>
      </c>
    </row>
    <row r="64" spans="1:7" ht="12.75" x14ac:dyDescent="0.2">
      <c r="A64" s="6"/>
      <c r="B64" s="7"/>
      <c r="C64" s="14"/>
      <c r="D64" s="4"/>
      <c r="E64" s="47"/>
      <c r="F64" s="53"/>
      <c r="G64" s="5"/>
    </row>
    <row r="65" spans="1:7" ht="12.75" x14ac:dyDescent="0.2">
      <c r="A65" s="1"/>
      <c r="B65" s="26"/>
      <c r="C65" s="8" t="s">
        <v>118</v>
      </c>
      <c r="D65" s="9"/>
      <c r="E65" s="48"/>
      <c r="F65" s="54"/>
      <c r="G65" s="10"/>
    </row>
    <row r="66" spans="1:7" ht="12.75" x14ac:dyDescent="0.2">
      <c r="A66" s="6"/>
      <c r="B66" s="7"/>
      <c r="C66" s="8" t="s">
        <v>108</v>
      </c>
      <c r="D66" s="12"/>
      <c r="E66" s="49"/>
      <c r="F66" s="55">
        <v>0</v>
      </c>
      <c r="G66" s="13">
        <v>0</v>
      </c>
    </row>
    <row r="67" spans="1:7" ht="12.75" x14ac:dyDescent="0.2">
      <c r="A67" s="6"/>
      <c r="B67" s="7"/>
      <c r="C67" s="14"/>
      <c r="D67" s="4"/>
      <c r="E67" s="47"/>
      <c r="F67" s="59"/>
      <c r="G67" s="28"/>
    </row>
    <row r="68" spans="1:7" ht="12.75" x14ac:dyDescent="0.2">
      <c r="A68" s="1"/>
      <c r="B68" s="2"/>
      <c r="C68" s="8" t="s">
        <v>119</v>
      </c>
      <c r="D68" s="9"/>
      <c r="E68" s="48"/>
      <c r="F68" s="54"/>
      <c r="G68" s="10"/>
    </row>
    <row r="69" spans="1:7" ht="12.75" x14ac:dyDescent="0.2">
      <c r="A69" s="6"/>
      <c r="B69" s="7"/>
      <c r="C69" s="8" t="s">
        <v>108</v>
      </c>
      <c r="D69" s="12"/>
      <c r="E69" s="49"/>
      <c r="F69" s="55">
        <v>0</v>
      </c>
      <c r="G69" s="13">
        <v>0</v>
      </c>
    </row>
    <row r="70" spans="1:7" ht="12.75" x14ac:dyDescent="0.2">
      <c r="A70" s="1"/>
      <c r="B70" s="2"/>
      <c r="C70" s="14"/>
      <c r="D70" s="4"/>
      <c r="E70" s="47"/>
      <c r="F70" s="53"/>
      <c r="G70" s="5"/>
    </row>
    <row r="71" spans="1:7" ht="25.5" x14ac:dyDescent="0.2">
      <c r="A71" s="1"/>
      <c r="B71" s="26"/>
      <c r="C71" s="8" t="s">
        <v>120</v>
      </c>
      <c r="D71" s="9"/>
      <c r="E71" s="48"/>
      <c r="F71" s="54"/>
      <c r="G71" s="10"/>
    </row>
    <row r="72" spans="1:7" ht="12.75" x14ac:dyDescent="0.2">
      <c r="A72" s="6"/>
      <c r="B72" s="7"/>
      <c r="C72" s="8" t="s">
        <v>108</v>
      </c>
      <c r="D72" s="12"/>
      <c r="E72" s="49"/>
      <c r="F72" s="55">
        <v>0</v>
      </c>
      <c r="G72" s="13">
        <v>0</v>
      </c>
    </row>
    <row r="73" spans="1:7" ht="12.75" x14ac:dyDescent="0.2">
      <c r="A73" s="6"/>
      <c r="B73" s="7"/>
      <c r="C73" s="14"/>
      <c r="D73" s="4"/>
      <c r="E73" s="47"/>
      <c r="F73" s="53"/>
      <c r="G73" s="5"/>
    </row>
    <row r="74" spans="1:7" ht="12.75" x14ac:dyDescent="0.2">
      <c r="A74" s="6"/>
      <c r="B74" s="7"/>
      <c r="C74" s="29" t="s">
        <v>121</v>
      </c>
      <c r="D74" s="25"/>
      <c r="E74" s="49"/>
      <c r="F74" s="55">
        <v>0</v>
      </c>
      <c r="G74" s="13">
        <v>0</v>
      </c>
    </row>
    <row r="75" spans="1:7" ht="12.75" x14ac:dyDescent="0.2">
      <c r="A75" s="6"/>
      <c r="B75" s="7"/>
      <c r="C75" s="11"/>
      <c r="D75" s="4"/>
      <c r="E75" s="47"/>
      <c r="F75" s="53"/>
      <c r="G75" s="5"/>
    </row>
    <row r="76" spans="1:7" ht="12.75" x14ac:dyDescent="0.2">
      <c r="A76" s="1"/>
      <c r="B76" s="2"/>
      <c r="C76" s="3" t="s">
        <v>122</v>
      </c>
      <c r="D76" s="4"/>
      <c r="E76" s="47"/>
      <c r="F76" s="53"/>
      <c r="G76" s="5"/>
    </row>
    <row r="77" spans="1:7" ht="12.75" x14ac:dyDescent="0.2">
      <c r="A77" s="6"/>
      <c r="B77" s="7"/>
      <c r="C77" s="8" t="s">
        <v>123</v>
      </c>
      <c r="D77" s="9"/>
      <c r="E77" s="48"/>
      <c r="F77" s="54"/>
      <c r="G77" s="10"/>
    </row>
    <row r="78" spans="1:7" ht="12.75" x14ac:dyDescent="0.2">
      <c r="A78" s="6"/>
      <c r="B78" s="7"/>
      <c r="C78" s="8" t="s">
        <v>108</v>
      </c>
      <c r="D78" s="25"/>
      <c r="E78" s="49"/>
      <c r="F78" s="55">
        <v>0</v>
      </c>
      <c r="G78" s="13">
        <v>0</v>
      </c>
    </row>
    <row r="79" spans="1:7" ht="12.75" x14ac:dyDescent="0.2">
      <c r="A79" s="6"/>
      <c r="B79" s="7"/>
      <c r="C79" s="14"/>
      <c r="D79" s="7"/>
      <c r="E79" s="47"/>
      <c r="F79" s="53"/>
      <c r="G79" s="5"/>
    </row>
    <row r="80" spans="1:7" ht="12.75" x14ac:dyDescent="0.2">
      <c r="A80" s="6"/>
      <c r="B80" s="7"/>
      <c r="C80" s="8" t="s">
        <v>124</v>
      </c>
      <c r="D80" s="9"/>
      <c r="E80" s="48"/>
      <c r="F80" s="54"/>
      <c r="G80" s="10"/>
    </row>
    <row r="81" spans="1:7" ht="12.75" x14ac:dyDescent="0.2">
      <c r="A81" s="6"/>
      <c r="B81" s="7"/>
      <c r="C81" s="8" t="s">
        <v>108</v>
      </c>
      <c r="D81" s="25"/>
      <c r="E81" s="49"/>
      <c r="F81" s="55">
        <v>0</v>
      </c>
      <c r="G81" s="13">
        <v>0</v>
      </c>
    </row>
    <row r="82" spans="1:7" ht="12.75" x14ac:dyDescent="0.2">
      <c r="A82" s="6"/>
      <c r="B82" s="7"/>
      <c r="C82" s="14"/>
      <c r="D82" s="7"/>
      <c r="E82" s="47"/>
      <c r="F82" s="53"/>
      <c r="G82" s="5"/>
    </row>
    <row r="83" spans="1:7" ht="12.75" x14ac:dyDescent="0.2">
      <c r="A83" s="6"/>
      <c r="B83" s="7"/>
      <c r="C83" s="8" t="s">
        <v>125</v>
      </c>
      <c r="D83" s="9"/>
      <c r="E83" s="48"/>
      <c r="F83" s="54"/>
      <c r="G83" s="10"/>
    </row>
    <row r="84" spans="1:7" ht="12.75" x14ac:dyDescent="0.2">
      <c r="A84" s="6"/>
      <c r="B84" s="7"/>
      <c r="C84" s="8" t="s">
        <v>108</v>
      </c>
      <c r="D84" s="25"/>
      <c r="E84" s="49"/>
      <c r="F84" s="55">
        <v>0</v>
      </c>
      <c r="G84" s="13">
        <v>0</v>
      </c>
    </row>
    <row r="85" spans="1:7" ht="12.75" x14ac:dyDescent="0.2">
      <c r="A85" s="6"/>
      <c r="B85" s="7"/>
      <c r="C85" s="14"/>
      <c r="D85" s="7"/>
      <c r="E85" s="47"/>
      <c r="F85" s="53"/>
      <c r="G85" s="5"/>
    </row>
    <row r="86" spans="1:7" ht="12.75" x14ac:dyDescent="0.2">
      <c r="A86" s="6"/>
      <c r="B86" s="7"/>
      <c r="C86" s="8" t="s">
        <v>126</v>
      </c>
      <c r="D86" s="9"/>
      <c r="E86" s="48"/>
      <c r="F86" s="54"/>
      <c r="G86" s="10"/>
    </row>
    <row r="87" spans="1:7" ht="12.75" x14ac:dyDescent="0.2">
      <c r="A87" s="6">
        <v>1</v>
      </c>
      <c r="B87" s="7"/>
      <c r="C87" s="11" t="s">
        <v>812</v>
      </c>
      <c r="D87" s="15"/>
      <c r="E87" s="47"/>
      <c r="F87" s="53">
        <v>418.94490569999999</v>
      </c>
      <c r="G87" s="5">
        <v>5.2446000999999999E-2</v>
      </c>
    </row>
    <row r="88" spans="1:7" ht="12.75" x14ac:dyDescent="0.2">
      <c r="A88" s="6"/>
      <c r="B88" s="7"/>
      <c r="C88" s="8" t="s">
        <v>108</v>
      </c>
      <c r="D88" s="25"/>
      <c r="E88" s="49"/>
      <c r="F88" s="55">
        <v>418.94490569999999</v>
      </c>
      <c r="G88" s="13">
        <v>5.2446000999999999E-2</v>
      </c>
    </row>
    <row r="89" spans="1:7" ht="12.75" x14ac:dyDescent="0.2">
      <c r="A89" s="6"/>
      <c r="B89" s="7"/>
      <c r="C89" s="14"/>
      <c r="D89" s="7"/>
      <c r="E89" s="47"/>
      <c r="F89" s="53"/>
      <c r="G89" s="5"/>
    </row>
    <row r="90" spans="1:7" ht="25.5" x14ac:dyDescent="0.2">
      <c r="A90" s="6"/>
      <c r="B90" s="7"/>
      <c r="C90" s="24" t="s">
        <v>127</v>
      </c>
      <c r="D90" s="25"/>
      <c r="E90" s="49"/>
      <c r="F90" s="55">
        <v>418.94490569999999</v>
      </c>
      <c r="G90" s="13">
        <v>5.2446000999999999E-2</v>
      </c>
    </row>
    <row r="91" spans="1:7" ht="12.75" x14ac:dyDescent="0.2">
      <c r="A91" s="6"/>
      <c r="B91" s="7"/>
      <c r="C91" s="30"/>
      <c r="D91" s="7"/>
      <c r="E91" s="47"/>
      <c r="F91" s="53"/>
      <c r="G91" s="5"/>
    </row>
    <row r="92" spans="1:7" ht="12.75" x14ac:dyDescent="0.2">
      <c r="A92" s="1"/>
      <c r="B92" s="2"/>
      <c r="C92" s="3" t="s">
        <v>128</v>
      </c>
      <c r="D92" s="4"/>
      <c r="E92" s="47"/>
      <c r="F92" s="53"/>
      <c r="G92" s="5"/>
    </row>
    <row r="93" spans="1:7" ht="25.5" x14ac:dyDescent="0.2">
      <c r="A93" s="6"/>
      <c r="B93" s="7"/>
      <c r="C93" s="8" t="s">
        <v>129</v>
      </c>
      <c r="D93" s="9"/>
      <c r="E93" s="48"/>
      <c r="F93" s="54"/>
      <c r="G93" s="10"/>
    </row>
    <row r="94" spans="1:7" ht="25.5" x14ac:dyDescent="0.2">
      <c r="A94" s="6">
        <v>1</v>
      </c>
      <c r="B94" s="7" t="s">
        <v>130</v>
      </c>
      <c r="C94" s="11" t="s">
        <v>839</v>
      </c>
      <c r="D94" s="15"/>
      <c r="E94" s="47">
        <v>38400.116999999998</v>
      </c>
      <c r="F94" s="53">
        <v>400.052495706</v>
      </c>
      <c r="G94" s="5">
        <v>5.0080936999999999E-2</v>
      </c>
    </row>
    <row r="95" spans="1:7" ht="12.75" x14ac:dyDescent="0.2">
      <c r="A95" s="6"/>
      <c r="B95" s="7"/>
      <c r="C95" s="8" t="s">
        <v>108</v>
      </c>
      <c r="D95" s="25"/>
      <c r="E95" s="49"/>
      <c r="F95" s="55">
        <v>400.052495706</v>
      </c>
      <c r="G95" s="13">
        <v>5.0080936999999999E-2</v>
      </c>
    </row>
    <row r="96" spans="1:7" ht="12.75" x14ac:dyDescent="0.2">
      <c r="A96" s="6"/>
      <c r="B96" s="7"/>
      <c r="C96" s="14"/>
      <c r="D96" s="7"/>
      <c r="E96" s="47"/>
      <c r="F96" s="53"/>
      <c r="G96" s="5"/>
    </row>
    <row r="97" spans="1:7" ht="12.75" x14ac:dyDescent="0.2">
      <c r="A97" s="1"/>
      <c r="B97" s="2"/>
      <c r="C97" s="3" t="s">
        <v>131</v>
      </c>
      <c r="D97" s="4"/>
      <c r="E97" s="47"/>
      <c r="F97" s="53"/>
      <c r="G97" s="5"/>
    </row>
    <row r="98" spans="1:7" ht="25.5" x14ac:dyDescent="0.2">
      <c r="A98" s="6"/>
      <c r="B98" s="7"/>
      <c r="C98" s="8" t="s">
        <v>132</v>
      </c>
      <c r="D98" s="9"/>
      <c r="E98" s="48"/>
      <c r="F98" s="54"/>
      <c r="G98" s="10"/>
    </row>
    <row r="99" spans="1:7" ht="12.75" x14ac:dyDescent="0.2">
      <c r="A99" s="6"/>
      <c r="B99" s="7"/>
      <c r="C99" s="8" t="s">
        <v>108</v>
      </c>
      <c r="D99" s="25"/>
      <c r="E99" s="49"/>
      <c r="F99" s="55">
        <v>0</v>
      </c>
      <c r="G99" s="13">
        <v>0</v>
      </c>
    </row>
    <row r="100" spans="1:7" ht="12.75" x14ac:dyDescent="0.2">
      <c r="A100" s="6"/>
      <c r="B100" s="7"/>
      <c r="C100" s="14"/>
      <c r="D100" s="7"/>
      <c r="E100" s="47"/>
      <c r="F100" s="53"/>
      <c r="G100" s="5"/>
    </row>
    <row r="101" spans="1:7" ht="25.5" x14ac:dyDescent="0.2">
      <c r="A101" s="6"/>
      <c r="B101" s="7"/>
      <c r="C101" s="8" t="s">
        <v>133</v>
      </c>
      <c r="D101" s="9"/>
      <c r="E101" s="48"/>
      <c r="F101" s="54"/>
      <c r="G101" s="10"/>
    </row>
    <row r="102" spans="1:7" ht="12.75" x14ac:dyDescent="0.2">
      <c r="A102" s="6"/>
      <c r="B102" s="7"/>
      <c r="C102" s="8" t="s">
        <v>108</v>
      </c>
      <c r="D102" s="25"/>
      <c r="E102" s="49"/>
      <c r="F102" s="55">
        <v>0</v>
      </c>
      <c r="G102" s="13">
        <v>0</v>
      </c>
    </row>
    <row r="103" spans="1:7" ht="12.75" x14ac:dyDescent="0.2">
      <c r="A103" s="6"/>
      <c r="B103" s="7"/>
      <c r="C103" s="14"/>
      <c r="D103" s="7"/>
      <c r="E103" s="47"/>
      <c r="F103" s="59"/>
      <c r="G103" s="28"/>
    </row>
    <row r="104" spans="1:7" ht="25.5" x14ac:dyDescent="0.2">
      <c r="A104" s="6"/>
      <c r="B104" s="7"/>
      <c r="C104" s="30" t="s">
        <v>134</v>
      </c>
      <c r="D104" s="7"/>
      <c r="E104" s="47"/>
      <c r="F104" s="128">
        <v>-4.7318819999999997</v>
      </c>
      <c r="G104" s="137">
        <v>-5.9236497493351506E-4</v>
      </c>
    </row>
    <row r="105" spans="1:7" ht="12.75" x14ac:dyDescent="0.2">
      <c r="A105" s="6"/>
      <c r="B105" s="7"/>
      <c r="C105" s="31" t="s">
        <v>135</v>
      </c>
      <c r="D105" s="12"/>
      <c r="E105" s="49"/>
      <c r="F105" s="55">
        <v>7988.1191499060005</v>
      </c>
      <c r="G105" s="13">
        <v>1.0000000009999999</v>
      </c>
    </row>
    <row r="107" spans="1:7" ht="12.75" x14ac:dyDescent="0.2">
      <c r="B107" s="179"/>
      <c r="C107" s="179"/>
      <c r="D107" s="179"/>
      <c r="E107" s="179"/>
      <c r="F107" s="179"/>
    </row>
    <row r="108" spans="1:7" ht="12.75" x14ac:dyDescent="0.2">
      <c r="B108" s="179"/>
      <c r="C108" s="179"/>
      <c r="D108" s="179"/>
      <c r="E108" s="179"/>
      <c r="F108" s="179"/>
    </row>
    <row r="110" spans="1:7" ht="12.75" x14ac:dyDescent="0.2">
      <c r="B110" s="37" t="s">
        <v>137</v>
      </c>
      <c r="C110" s="38"/>
      <c r="D110" s="39"/>
    </row>
    <row r="111" spans="1:7" ht="12.75" x14ac:dyDescent="0.2">
      <c r="B111" s="40" t="s">
        <v>808</v>
      </c>
      <c r="C111" s="41"/>
      <c r="D111" s="65" t="s">
        <v>138</v>
      </c>
    </row>
    <row r="112" spans="1:7" ht="12.75" x14ac:dyDescent="0.2">
      <c r="B112" s="40" t="s">
        <v>139</v>
      </c>
      <c r="C112" s="41"/>
      <c r="D112" s="65" t="s">
        <v>138</v>
      </c>
    </row>
    <row r="113" spans="2:4" ht="12.75" x14ac:dyDescent="0.2">
      <c r="B113" s="42" t="s">
        <v>140</v>
      </c>
      <c r="C113" s="41"/>
      <c r="D113" s="43"/>
    </row>
    <row r="114" spans="2:4" ht="25.5" customHeight="1" x14ac:dyDescent="0.2">
      <c r="B114" s="43"/>
      <c r="C114" s="33" t="s">
        <v>141</v>
      </c>
      <c r="D114" s="34" t="s">
        <v>142</v>
      </c>
    </row>
    <row r="115" spans="2:4" ht="12.75" customHeight="1" x14ac:dyDescent="0.2">
      <c r="B115" s="60" t="s">
        <v>143</v>
      </c>
      <c r="C115" s="61" t="s">
        <v>144</v>
      </c>
      <c r="D115" s="61" t="s">
        <v>145</v>
      </c>
    </row>
    <row r="116" spans="2:4" ht="12.75" x14ac:dyDescent="0.2">
      <c r="B116" s="43" t="s">
        <v>146</v>
      </c>
      <c r="C116" s="44">
        <v>10.548999999999999</v>
      </c>
      <c r="D116" s="44">
        <v>10.9428</v>
      </c>
    </row>
    <row r="117" spans="2:4" ht="12.75" x14ac:dyDescent="0.2">
      <c r="B117" s="43" t="s">
        <v>147</v>
      </c>
      <c r="C117" s="44">
        <v>10.548999999999999</v>
      </c>
      <c r="D117" s="44">
        <v>10.9428</v>
      </c>
    </row>
    <row r="118" spans="2:4" ht="12.75" x14ac:dyDescent="0.2">
      <c r="B118" s="43" t="s">
        <v>148</v>
      </c>
      <c r="C118" s="44">
        <v>10.2637</v>
      </c>
      <c r="D118" s="44">
        <v>10.6439</v>
      </c>
    </row>
    <row r="119" spans="2:4" ht="12.75" x14ac:dyDescent="0.2">
      <c r="B119" s="43" t="s">
        <v>149</v>
      </c>
      <c r="C119" s="44">
        <v>10.2637</v>
      </c>
      <c r="D119" s="44">
        <v>10.6439</v>
      </c>
    </row>
    <row r="121" spans="2:4" ht="12.75" x14ac:dyDescent="0.2">
      <c r="B121" s="62" t="s">
        <v>150</v>
      </c>
      <c r="C121" s="45"/>
      <c r="D121" s="63" t="s">
        <v>138</v>
      </c>
    </row>
    <row r="122" spans="2:4" ht="24.75" customHeight="1" x14ac:dyDescent="0.2">
      <c r="B122" s="64"/>
      <c r="C122" s="64"/>
    </row>
    <row r="123" spans="2:4" ht="15" x14ac:dyDescent="0.25">
      <c r="B123" s="66"/>
      <c r="C123" s="68"/>
      <c r="D123"/>
    </row>
    <row r="125" spans="2:4" ht="12.75" x14ac:dyDescent="0.2">
      <c r="B125" s="42" t="s">
        <v>151</v>
      </c>
      <c r="C125" s="41"/>
      <c r="D125" s="67" t="s">
        <v>138</v>
      </c>
    </row>
    <row r="126" spans="2:4" ht="12.75" x14ac:dyDescent="0.2">
      <c r="B126" s="42" t="s">
        <v>152</v>
      </c>
      <c r="C126" s="41"/>
      <c r="D126" s="67" t="s">
        <v>138</v>
      </c>
    </row>
    <row r="127" spans="2:4" ht="12.75" x14ac:dyDescent="0.2">
      <c r="B127" s="42" t="s">
        <v>153</v>
      </c>
      <c r="C127" s="41"/>
      <c r="D127" s="46">
        <v>0.40635782154659655</v>
      </c>
    </row>
    <row r="128" spans="2:4" ht="12.75" x14ac:dyDescent="0.2">
      <c r="B128" s="42" t="s">
        <v>154</v>
      </c>
      <c r="C128" s="41"/>
      <c r="D128" s="46" t="s">
        <v>138</v>
      </c>
    </row>
  </sheetData>
  <mergeCells count="5">
    <mergeCell ref="A1:G1"/>
    <mergeCell ref="A2:G2"/>
    <mergeCell ref="A3:G3"/>
    <mergeCell ref="B107:F107"/>
    <mergeCell ref="B108:F108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34"/>
  <sheetViews>
    <sheetView workbookViewId="0">
      <selection sqref="A1:G1"/>
    </sheetView>
  </sheetViews>
  <sheetFormatPr defaultRowHeight="15.95" customHeight="1" x14ac:dyDescent="0.2"/>
  <cols>
    <col min="1" max="1" width="5.7109375" style="32" customWidth="1"/>
    <col min="2" max="2" width="22.7109375" style="32" customWidth="1"/>
    <col min="3" max="3" width="32.7109375" style="32" bestFit="1" customWidth="1"/>
    <col min="4" max="4" width="16" style="32" bestFit="1" customWidth="1"/>
    <col min="5" max="10" width="13.7109375" style="32" customWidth="1"/>
    <col min="11" max="16384" width="9.140625" style="32"/>
  </cols>
  <sheetData>
    <row r="1" spans="1:7" ht="15" x14ac:dyDescent="0.2">
      <c r="A1" s="176" t="s">
        <v>0</v>
      </c>
      <c r="B1" s="177"/>
      <c r="C1" s="177"/>
      <c r="D1" s="177"/>
      <c r="E1" s="177"/>
      <c r="F1" s="177"/>
      <c r="G1" s="178"/>
    </row>
    <row r="2" spans="1:7" ht="15" x14ac:dyDescent="0.2">
      <c r="A2" s="176" t="s">
        <v>738</v>
      </c>
      <c r="B2" s="177"/>
      <c r="C2" s="177"/>
      <c r="D2" s="177"/>
      <c r="E2" s="177"/>
      <c r="F2" s="177"/>
      <c r="G2" s="178"/>
    </row>
    <row r="3" spans="1:7" ht="15" x14ac:dyDescent="0.2">
      <c r="A3" s="176" t="s">
        <v>807</v>
      </c>
      <c r="B3" s="177"/>
      <c r="C3" s="177"/>
      <c r="D3" s="177"/>
      <c r="E3" s="177"/>
      <c r="F3" s="177"/>
      <c r="G3" s="178"/>
    </row>
    <row r="4" spans="1:7" ht="30" x14ac:dyDescent="0.2">
      <c r="A4" s="35" t="s">
        <v>2</v>
      </c>
      <c r="B4" s="35" t="s">
        <v>3</v>
      </c>
      <c r="C4" s="69" t="s">
        <v>4</v>
      </c>
      <c r="D4" s="36" t="s">
        <v>5</v>
      </c>
      <c r="E4" s="35" t="s">
        <v>6</v>
      </c>
      <c r="F4" s="35" t="s">
        <v>7</v>
      </c>
      <c r="G4" s="35" t="s">
        <v>8</v>
      </c>
    </row>
    <row r="5" spans="1:7" ht="12.75" x14ac:dyDescent="0.2">
      <c r="A5" s="1"/>
      <c r="B5" s="2"/>
      <c r="C5" s="3" t="s">
        <v>9</v>
      </c>
      <c r="D5" s="4"/>
      <c r="E5" s="47"/>
      <c r="F5" s="53"/>
      <c r="G5" s="5"/>
    </row>
    <row r="6" spans="1:7" ht="28.5" customHeight="1" x14ac:dyDescent="0.2">
      <c r="A6" s="6"/>
      <c r="B6" s="7"/>
      <c r="C6" s="8" t="s">
        <v>10</v>
      </c>
      <c r="D6" s="9"/>
      <c r="E6" s="48"/>
      <c r="F6" s="54"/>
      <c r="G6" s="10"/>
    </row>
    <row r="7" spans="1:7" ht="12.75" x14ac:dyDescent="0.2">
      <c r="A7" s="6">
        <v>1</v>
      </c>
      <c r="B7" s="7" t="s">
        <v>14</v>
      </c>
      <c r="C7" s="11" t="s">
        <v>15</v>
      </c>
      <c r="D7" s="2" t="s">
        <v>16</v>
      </c>
      <c r="E7" s="47">
        <v>154657</v>
      </c>
      <c r="F7" s="53">
        <v>716.13923850000003</v>
      </c>
      <c r="G7" s="5">
        <v>7.6649801000000004E-2</v>
      </c>
    </row>
    <row r="8" spans="1:7" ht="25.5" x14ac:dyDescent="0.2">
      <c r="A8" s="6">
        <v>2</v>
      </c>
      <c r="B8" s="7" t="s">
        <v>11</v>
      </c>
      <c r="C8" s="11" t="s">
        <v>12</v>
      </c>
      <c r="D8" s="2" t="s">
        <v>13</v>
      </c>
      <c r="E8" s="47">
        <v>37737</v>
      </c>
      <c r="F8" s="53">
        <v>555.88487850000001</v>
      </c>
      <c r="G8" s="5">
        <v>5.9497459000000003E-2</v>
      </c>
    </row>
    <row r="9" spans="1:7" ht="12.75" x14ac:dyDescent="0.2">
      <c r="A9" s="6">
        <v>3</v>
      </c>
      <c r="B9" s="7" t="s">
        <v>502</v>
      </c>
      <c r="C9" s="11" t="s">
        <v>503</v>
      </c>
      <c r="D9" s="2" t="s">
        <v>16</v>
      </c>
      <c r="E9" s="47">
        <v>173115</v>
      </c>
      <c r="F9" s="53">
        <v>540.81125999999995</v>
      </c>
      <c r="G9" s="5">
        <v>5.7884100000000001E-2</v>
      </c>
    </row>
    <row r="10" spans="1:7" ht="12.75" x14ac:dyDescent="0.2">
      <c r="A10" s="6">
        <v>4</v>
      </c>
      <c r="B10" s="7" t="s">
        <v>527</v>
      </c>
      <c r="C10" s="11" t="s">
        <v>528</v>
      </c>
      <c r="D10" s="2" t="s">
        <v>16</v>
      </c>
      <c r="E10" s="47">
        <v>405632</v>
      </c>
      <c r="F10" s="53">
        <v>394.27430399999997</v>
      </c>
      <c r="G10" s="5">
        <v>4.2199960000000002E-2</v>
      </c>
    </row>
    <row r="11" spans="1:7" ht="12.75" x14ac:dyDescent="0.2">
      <c r="A11" s="6">
        <v>5</v>
      </c>
      <c r="B11" s="7" t="s">
        <v>63</v>
      </c>
      <c r="C11" s="11" t="s">
        <v>64</v>
      </c>
      <c r="D11" s="2" t="s">
        <v>65</v>
      </c>
      <c r="E11" s="47">
        <v>98649</v>
      </c>
      <c r="F11" s="53">
        <v>369.19388249999997</v>
      </c>
      <c r="G11" s="5">
        <v>3.9515552000000002E-2</v>
      </c>
    </row>
    <row r="12" spans="1:7" ht="12.75" x14ac:dyDescent="0.2">
      <c r="A12" s="6">
        <v>6</v>
      </c>
      <c r="B12" s="7" t="s">
        <v>667</v>
      </c>
      <c r="C12" s="11" t="s">
        <v>668</v>
      </c>
      <c r="D12" s="2" t="s">
        <v>226</v>
      </c>
      <c r="E12" s="47">
        <v>11238</v>
      </c>
      <c r="F12" s="53">
        <v>312.77601600000003</v>
      </c>
      <c r="G12" s="5">
        <v>3.3477036000000002E-2</v>
      </c>
    </row>
    <row r="13" spans="1:7" ht="12.75" x14ac:dyDescent="0.2">
      <c r="A13" s="6">
        <v>7</v>
      </c>
      <c r="B13" s="7" t="s">
        <v>408</v>
      </c>
      <c r="C13" s="11" t="s">
        <v>409</v>
      </c>
      <c r="D13" s="2" t="s">
        <v>16</v>
      </c>
      <c r="E13" s="47">
        <v>39784</v>
      </c>
      <c r="F13" s="53">
        <v>292.94948399999998</v>
      </c>
      <c r="G13" s="5">
        <v>3.1354963E-2</v>
      </c>
    </row>
    <row r="14" spans="1:7" ht="12.75" x14ac:dyDescent="0.2">
      <c r="A14" s="6">
        <v>8</v>
      </c>
      <c r="B14" s="7" t="s">
        <v>634</v>
      </c>
      <c r="C14" s="11" t="s">
        <v>635</v>
      </c>
      <c r="D14" s="2" t="s">
        <v>307</v>
      </c>
      <c r="E14" s="47">
        <v>98677</v>
      </c>
      <c r="F14" s="53">
        <v>282.610928</v>
      </c>
      <c r="G14" s="5">
        <v>3.0248407000000001E-2</v>
      </c>
    </row>
    <row r="15" spans="1:7" ht="12.75" x14ac:dyDescent="0.2">
      <c r="A15" s="6">
        <v>9</v>
      </c>
      <c r="B15" s="7" t="s">
        <v>500</v>
      </c>
      <c r="C15" s="11" t="s">
        <v>501</v>
      </c>
      <c r="D15" s="2" t="s">
        <v>40</v>
      </c>
      <c r="E15" s="47">
        <v>230459</v>
      </c>
      <c r="F15" s="53">
        <v>282.081816</v>
      </c>
      <c r="G15" s="5">
        <v>3.0191775000000001E-2</v>
      </c>
    </row>
    <row r="16" spans="1:7" ht="12.75" x14ac:dyDescent="0.2">
      <c r="A16" s="6">
        <v>10</v>
      </c>
      <c r="B16" s="7" t="s">
        <v>316</v>
      </c>
      <c r="C16" s="11" t="s">
        <v>317</v>
      </c>
      <c r="D16" s="2" t="s">
        <v>16</v>
      </c>
      <c r="E16" s="47">
        <v>304082</v>
      </c>
      <c r="F16" s="53">
        <v>254.820716</v>
      </c>
      <c r="G16" s="5">
        <v>2.7273966E-2</v>
      </c>
    </row>
    <row r="17" spans="1:7" ht="25.5" x14ac:dyDescent="0.2">
      <c r="A17" s="6">
        <v>11</v>
      </c>
      <c r="B17" s="7" t="s">
        <v>41</v>
      </c>
      <c r="C17" s="11" t="s">
        <v>42</v>
      </c>
      <c r="D17" s="2" t="s">
        <v>27</v>
      </c>
      <c r="E17" s="47">
        <v>220994</v>
      </c>
      <c r="F17" s="53">
        <v>253.811609</v>
      </c>
      <c r="G17" s="5">
        <v>2.7165959E-2</v>
      </c>
    </row>
    <row r="18" spans="1:7" ht="12.75" x14ac:dyDescent="0.2">
      <c r="A18" s="6">
        <v>12</v>
      </c>
      <c r="B18" s="7" t="s">
        <v>387</v>
      </c>
      <c r="C18" s="11" t="s">
        <v>388</v>
      </c>
      <c r="D18" s="2" t="s">
        <v>226</v>
      </c>
      <c r="E18" s="47">
        <v>24676</v>
      </c>
      <c r="F18" s="53">
        <v>242.00987000000001</v>
      </c>
      <c r="G18" s="5">
        <v>2.5902795999999999E-2</v>
      </c>
    </row>
    <row r="19" spans="1:7" ht="25.5" x14ac:dyDescent="0.2">
      <c r="A19" s="6">
        <v>13</v>
      </c>
      <c r="B19" s="7" t="s">
        <v>43</v>
      </c>
      <c r="C19" s="11" t="s">
        <v>44</v>
      </c>
      <c r="D19" s="2" t="s">
        <v>22</v>
      </c>
      <c r="E19" s="47">
        <v>32643</v>
      </c>
      <c r="F19" s="53">
        <v>227.26056600000001</v>
      </c>
      <c r="G19" s="5">
        <v>2.4324148E-2</v>
      </c>
    </row>
    <row r="20" spans="1:7" ht="12.75" x14ac:dyDescent="0.2">
      <c r="A20" s="6">
        <v>14</v>
      </c>
      <c r="B20" s="7" t="s">
        <v>688</v>
      </c>
      <c r="C20" s="11" t="s">
        <v>689</v>
      </c>
      <c r="D20" s="2" t="s">
        <v>226</v>
      </c>
      <c r="E20" s="47">
        <v>46296</v>
      </c>
      <c r="F20" s="53">
        <v>217.52175600000001</v>
      </c>
      <c r="G20" s="5">
        <v>2.3281784E-2</v>
      </c>
    </row>
    <row r="21" spans="1:7" ht="25.5" x14ac:dyDescent="0.2">
      <c r="A21" s="6">
        <v>15</v>
      </c>
      <c r="B21" s="7" t="s">
        <v>57</v>
      </c>
      <c r="C21" s="11" t="s">
        <v>58</v>
      </c>
      <c r="D21" s="2" t="s">
        <v>27</v>
      </c>
      <c r="E21" s="47">
        <v>56690</v>
      </c>
      <c r="F21" s="53">
        <v>211.36866499999999</v>
      </c>
      <c r="G21" s="5">
        <v>2.2623206999999999E-2</v>
      </c>
    </row>
    <row r="22" spans="1:7" ht="12.75" x14ac:dyDescent="0.2">
      <c r="A22" s="6">
        <v>16</v>
      </c>
      <c r="B22" s="7" t="s">
        <v>661</v>
      </c>
      <c r="C22" s="11" t="s">
        <v>662</v>
      </c>
      <c r="D22" s="2" t="s">
        <v>226</v>
      </c>
      <c r="E22" s="47">
        <v>44373</v>
      </c>
      <c r="F22" s="53">
        <v>207.1553505</v>
      </c>
      <c r="G22" s="5">
        <v>2.2172246999999999E-2</v>
      </c>
    </row>
    <row r="23" spans="1:7" ht="25.5" x14ac:dyDescent="0.2">
      <c r="A23" s="6">
        <v>17</v>
      </c>
      <c r="B23" s="7" t="s">
        <v>521</v>
      </c>
      <c r="C23" s="11" t="s">
        <v>522</v>
      </c>
      <c r="D23" s="2" t="s">
        <v>30</v>
      </c>
      <c r="E23" s="47">
        <v>122442</v>
      </c>
      <c r="F23" s="53">
        <v>199.519239</v>
      </c>
      <c r="G23" s="5">
        <v>2.1354939E-2</v>
      </c>
    </row>
    <row r="24" spans="1:7" ht="25.5" x14ac:dyDescent="0.2">
      <c r="A24" s="6">
        <v>18</v>
      </c>
      <c r="B24" s="7" t="s">
        <v>525</v>
      </c>
      <c r="C24" s="11" t="s">
        <v>526</v>
      </c>
      <c r="D24" s="2" t="s">
        <v>33</v>
      </c>
      <c r="E24" s="47">
        <v>132096</v>
      </c>
      <c r="F24" s="53">
        <v>193.91692800000001</v>
      </c>
      <c r="G24" s="5">
        <v>2.0755313000000001E-2</v>
      </c>
    </row>
    <row r="25" spans="1:7" ht="25.5" x14ac:dyDescent="0.2">
      <c r="A25" s="6">
        <v>19</v>
      </c>
      <c r="B25" s="7" t="s">
        <v>104</v>
      </c>
      <c r="C25" s="11" t="s">
        <v>105</v>
      </c>
      <c r="D25" s="2" t="s">
        <v>33</v>
      </c>
      <c r="E25" s="47">
        <v>35600</v>
      </c>
      <c r="F25" s="53">
        <v>187.46960000000001</v>
      </c>
      <c r="G25" s="5">
        <v>2.0065243E-2</v>
      </c>
    </row>
    <row r="26" spans="1:7" ht="25.5" x14ac:dyDescent="0.2">
      <c r="A26" s="6">
        <v>20</v>
      </c>
      <c r="B26" s="7" t="s">
        <v>537</v>
      </c>
      <c r="C26" s="11" t="s">
        <v>538</v>
      </c>
      <c r="D26" s="2" t="s">
        <v>13</v>
      </c>
      <c r="E26" s="47">
        <v>889633</v>
      </c>
      <c r="F26" s="53">
        <v>184.59884750000001</v>
      </c>
      <c r="G26" s="5">
        <v>1.9757980000000001E-2</v>
      </c>
    </row>
    <row r="27" spans="1:7" ht="25.5" x14ac:dyDescent="0.2">
      <c r="A27" s="6">
        <v>21</v>
      </c>
      <c r="B27" s="7" t="s">
        <v>444</v>
      </c>
      <c r="C27" s="11" t="s">
        <v>445</v>
      </c>
      <c r="D27" s="2" t="s">
        <v>27</v>
      </c>
      <c r="E27" s="47">
        <v>10940</v>
      </c>
      <c r="F27" s="53">
        <v>181.17733999999999</v>
      </c>
      <c r="G27" s="5">
        <v>1.9391769999999999E-2</v>
      </c>
    </row>
    <row r="28" spans="1:7" ht="12.75" x14ac:dyDescent="0.2">
      <c r="A28" s="6">
        <v>22</v>
      </c>
      <c r="B28" s="7" t="s">
        <v>653</v>
      </c>
      <c r="C28" s="11" t="s">
        <v>654</v>
      </c>
      <c r="D28" s="2" t="s">
        <v>226</v>
      </c>
      <c r="E28" s="47">
        <v>71640</v>
      </c>
      <c r="F28" s="53">
        <v>180.3537</v>
      </c>
      <c r="G28" s="5">
        <v>1.9303614E-2</v>
      </c>
    </row>
    <row r="29" spans="1:7" ht="25.5" x14ac:dyDescent="0.2">
      <c r="A29" s="6">
        <v>23</v>
      </c>
      <c r="B29" s="7" t="s">
        <v>89</v>
      </c>
      <c r="C29" s="11" t="s">
        <v>90</v>
      </c>
      <c r="D29" s="2" t="s">
        <v>27</v>
      </c>
      <c r="E29" s="47">
        <v>292072</v>
      </c>
      <c r="F29" s="53">
        <v>165.16671600000001</v>
      </c>
      <c r="G29" s="5">
        <v>1.7678121000000002E-2</v>
      </c>
    </row>
    <row r="30" spans="1:7" ht="12.75" x14ac:dyDescent="0.2">
      <c r="A30" s="6">
        <v>24</v>
      </c>
      <c r="B30" s="7" t="s">
        <v>175</v>
      </c>
      <c r="C30" s="11" t="s">
        <v>176</v>
      </c>
      <c r="D30" s="2" t="s">
        <v>19</v>
      </c>
      <c r="E30" s="47">
        <v>190655</v>
      </c>
      <c r="F30" s="53">
        <v>159.8642175</v>
      </c>
      <c r="G30" s="5">
        <v>1.7110584000000002E-2</v>
      </c>
    </row>
    <row r="31" spans="1:7" ht="25.5" x14ac:dyDescent="0.2">
      <c r="A31" s="6">
        <v>25</v>
      </c>
      <c r="B31" s="7" t="s">
        <v>202</v>
      </c>
      <c r="C31" s="11" t="s">
        <v>203</v>
      </c>
      <c r="D31" s="2" t="s">
        <v>22</v>
      </c>
      <c r="E31" s="47">
        <v>23600</v>
      </c>
      <c r="F31" s="53">
        <v>156.5624</v>
      </c>
      <c r="G31" s="5">
        <v>1.6757184000000001E-2</v>
      </c>
    </row>
    <row r="32" spans="1:7" ht="12.75" x14ac:dyDescent="0.2">
      <c r="A32" s="6">
        <v>26</v>
      </c>
      <c r="B32" s="7" t="s">
        <v>523</v>
      </c>
      <c r="C32" s="11" t="s">
        <v>524</v>
      </c>
      <c r="D32" s="2" t="s">
        <v>242</v>
      </c>
      <c r="E32" s="47">
        <v>13461</v>
      </c>
      <c r="F32" s="53">
        <v>156.51777749999999</v>
      </c>
      <c r="G32" s="5">
        <v>1.6752408E-2</v>
      </c>
    </row>
    <row r="33" spans="1:7" ht="12.75" x14ac:dyDescent="0.2">
      <c r="A33" s="6">
        <v>27</v>
      </c>
      <c r="B33" s="7" t="s">
        <v>519</v>
      </c>
      <c r="C33" s="11" t="s">
        <v>520</v>
      </c>
      <c r="D33" s="2" t="s">
        <v>281</v>
      </c>
      <c r="E33" s="47">
        <v>16170</v>
      </c>
      <c r="F33" s="53">
        <v>146.13637499999999</v>
      </c>
      <c r="G33" s="5">
        <v>1.5641266000000001E-2</v>
      </c>
    </row>
    <row r="34" spans="1:7" ht="25.5" x14ac:dyDescent="0.2">
      <c r="A34" s="6">
        <v>28</v>
      </c>
      <c r="B34" s="7" t="s">
        <v>34</v>
      </c>
      <c r="C34" s="11" t="s">
        <v>35</v>
      </c>
      <c r="D34" s="2" t="s">
        <v>27</v>
      </c>
      <c r="E34" s="47">
        <v>12503</v>
      </c>
      <c r="F34" s="53">
        <v>141.14011550000001</v>
      </c>
      <c r="G34" s="5">
        <v>1.5106506E-2</v>
      </c>
    </row>
    <row r="35" spans="1:7" ht="51" x14ac:dyDescent="0.2">
      <c r="A35" s="6">
        <v>29</v>
      </c>
      <c r="B35" s="7" t="s">
        <v>294</v>
      </c>
      <c r="C35" s="11" t="s">
        <v>295</v>
      </c>
      <c r="D35" s="2" t="s">
        <v>208</v>
      </c>
      <c r="E35" s="47">
        <v>405195</v>
      </c>
      <c r="F35" s="53">
        <v>140.40006750000001</v>
      </c>
      <c r="G35" s="5">
        <v>1.5027297E-2</v>
      </c>
    </row>
    <row r="36" spans="1:7" ht="12.75" x14ac:dyDescent="0.2">
      <c r="A36" s="6">
        <v>30</v>
      </c>
      <c r="B36" s="7" t="s">
        <v>240</v>
      </c>
      <c r="C36" s="11" t="s">
        <v>241</v>
      </c>
      <c r="D36" s="2" t="s">
        <v>242</v>
      </c>
      <c r="E36" s="47">
        <v>34105</v>
      </c>
      <c r="F36" s="53">
        <v>138.72208749999999</v>
      </c>
      <c r="G36" s="5">
        <v>1.48477E-2</v>
      </c>
    </row>
    <row r="37" spans="1:7" ht="12.75" x14ac:dyDescent="0.2">
      <c r="A37" s="6">
        <v>31</v>
      </c>
      <c r="B37" s="7" t="s">
        <v>708</v>
      </c>
      <c r="C37" s="11" t="s">
        <v>709</v>
      </c>
      <c r="D37" s="2" t="s">
        <v>290</v>
      </c>
      <c r="E37" s="47">
        <v>118760</v>
      </c>
      <c r="F37" s="53">
        <v>138.05850000000001</v>
      </c>
      <c r="G37" s="5">
        <v>1.4776675E-2</v>
      </c>
    </row>
    <row r="38" spans="1:7" ht="25.5" x14ac:dyDescent="0.2">
      <c r="A38" s="6">
        <v>32</v>
      </c>
      <c r="B38" s="7" t="s">
        <v>485</v>
      </c>
      <c r="C38" s="11" t="s">
        <v>486</v>
      </c>
      <c r="D38" s="2" t="s">
        <v>33</v>
      </c>
      <c r="E38" s="47">
        <v>89433</v>
      </c>
      <c r="F38" s="53">
        <v>136.07230949999999</v>
      </c>
      <c r="G38" s="5">
        <v>1.4564089000000001E-2</v>
      </c>
    </row>
    <row r="39" spans="1:7" ht="12.75" x14ac:dyDescent="0.2">
      <c r="A39" s="6">
        <v>33</v>
      </c>
      <c r="B39" s="7" t="s">
        <v>377</v>
      </c>
      <c r="C39" s="11" t="s">
        <v>378</v>
      </c>
      <c r="D39" s="2" t="s">
        <v>40</v>
      </c>
      <c r="E39" s="47">
        <v>224170</v>
      </c>
      <c r="F39" s="53">
        <v>132.93280999999999</v>
      </c>
      <c r="G39" s="5">
        <v>1.4228062E-2</v>
      </c>
    </row>
    <row r="40" spans="1:7" ht="12.75" x14ac:dyDescent="0.2">
      <c r="A40" s="6">
        <v>34</v>
      </c>
      <c r="B40" s="7" t="s">
        <v>352</v>
      </c>
      <c r="C40" s="11" t="s">
        <v>353</v>
      </c>
      <c r="D40" s="2" t="s">
        <v>226</v>
      </c>
      <c r="E40" s="47">
        <v>21805</v>
      </c>
      <c r="F40" s="53">
        <v>128.47506000000001</v>
      </c>
      <c r="G40" s="5">
        <v>1.375094E-2</v>
      </c>
    </row>
    <row r="41" spans="1:7" ht="25.5" x14ac:dyDescent="0.2">
      <c r="A41" s="6">
        <v>35</v>
      </c>
      <c r="B41" s="7" t="s">
        <v>215</v>
      </c>
      <c r="C41" s="11" t="s">
        <v>216</v>
      </c>
      <c r="D41" s="2" t="s">
        <v>13</v>
      </c>
      <c r="E41" s="47">
        <v>221124</v>
      </c>
      <c r="F41" s="53">
        <v>127.80967200000001</v>
      </c>
      <c r="G41" s="5">
        <v>1.3679722E-2</v>
      </c>
    </row>
    <row r="42" spans="1:7" ht="12.75" x14ac:dyDescent="0.2">
      <c r="A42" s="6">
        <v>36</v>
      </c>
      <c r="B42" s="7" t="s">
        <v>282</v>
      </c>
      <c r="C42" s="11" t="s">
        <v>283</v>
      </c>
      <c r="D42" s="2" t="s">
        <v>19</v>
      </c>
      <c r="E42" s="47">
        <v>63000</v>
      </c>
      <c r="F42" s="53">
        <v>115.35299999999999</v>
      </c>
      <c r="G42" s="5">
        <v>1.234646E-2</v>
      </c>
    </row>
    <row r="43" spans="1:7" ht="25.5" x14ac:dyDescent="0.2">
      <c r="A43" s="6">
        <v>37</v>
      </c>
      <c r="B43" s="7" t="s">
        <v>680</v>
      </c>
      <c r="C43" s="11" t="s">
        <v>681</v>
      </c>
      <c r="D43" s="2" t="s">
        <v>671</v>
      </c>
      <c r="E43" s="47">
        <v>55805</v>
      </c>
      <c r="F43" s="53">
        <v>104.857595</v>
      </c>
      <c r="G43" s="5">
        <v>1.1223116E-2</v>
      </c>
    </row>
    <row r="44" spans="1:7" ht="12.75" x14ac:dyDescent="0.2">
      <c r="A44" s="6">
        <v>38</v>
      </c>
      <c r="B44" s="7" t="s">
        <v>515</v>
      </c>
      <c r="C44" s="11" t="s">
        <v>516</v>
      </c>
      <c r="D44" s="2" t="s">
        <v>242</v>
      </c>
      <c r="E44" s="47">
        <v>13182</v>
      </c>
      <c r="F44" s="53">
        <v>97.41498</v>
      </c>
      <c r="G44" s="5">
        <v>1.0426517999999999E-2</v>
      </c>
    </row>
    <row r="45" spans="1:7" ht="12.75" x14ac:dyDescent="0.2">
      <c r="A45" s="6">
        <v>39</v>
      </c>
      <c r="B45" s="7" t="s">
        <v>663</v>
      </c>
      <c r="C45" s="11" t="s">
        <v>664</v>
      </c>
      <c r="D45" s="2" t="s">
        <v>226</v>
      </c>
      <c r="E45" s="47">
        <v>11634</v>
      </c>
      <c r="F45" s="53">
        <v>86.684933999999998</v>
      </c>
      <c r="G45" s="5">
        <v>9.2780599999999994E-3</v>
      </c>
    </row>
    <row r="46" spans="1:7" ht="25.5" x14ac:dyDescent="0.2">
      <c r="A46" s="6">
        <v>40</v>
      </c>
      <c r="B46" s="7" t="s">
        <v>245</v>
      </c>
      <c r="C46" s="11" t="s">
        <v>246</v>
      </c>
      <c r="D46" s="2" t="s">
        <v>30</v>
      </c>
      <c r="E46" s="47">
        <v>123842</v>
      </c>
      <c r="F46" s="53">
        <v>8.6689399999999992</v>
      </c>
      <c r="G46" s="5">
        <v>9.2785399999999998E-4</v>
      </c>
    </row>
    <row r="47" spans="1:7" ht="12.75" x14ac:dyDescent="0.2">
      <c r="A47" s="1"/>
      <c r="B47" s="2"/>
      <c r="C47" s="8" t="s">
        <v>108</v>
      </c>
      <c r="D47" s="12"/>
      <c r="E47" s="49"/>
      <c r="F47" s="55">
        <v>8768.543551499999</v>
      </c>
      <c r="G47" s="13">
        <v>0.93851458099999996</v>
      </c>
    </row>
    <row r="48" spans="1:7" ht="12.75" x14ac:dyDescent="0.2">
      <c r="A48" s="6"/>
      <c r="B48" s="7"/>
      <c r="C48" s="14"/>
      <c r="D48" s="15"/>
      <c r="E48" s="47"/>
      <c r="F48" s="53"/>
      <c r="G48" s="5"/>
    </row>
    <row r="49" spans="1:7" ht="12.75" x14ac:dyDescent="0.2">
      <c r="A49" s="1"/>
      <c r="B49" s="2"/>
      <c r="C49" s="8" t="s">
        <v>109</v>
      </c>
      <c r="D49" s="9"/>
      <c r="E49" s="48"/>
      <c r="F49" s="54"/>
      <c r="G49" s="10"/>
    </row>
    <row r="50" spans="1:7" ht="12.75" x14ac:dyDescent="0.2">
      <c r="A50" s="1"/>
      <c r="B50" s="2"/>
      <c r="C50" s="8" t="s">
        <v>108</v>
      </c>
      <c r="D50" s="12"/>
      <c r="E50" s="49"/>
      <c r="F50" s="55">
        <v>0</v>
      </c>
      <c r="G50" s="13">
        <v>0</v>
      </c>
    </row>
    <row r="51" spans="1:7" ht="12.75" x14ac:dyDescent="0.2">
      <c r="A51" s="6"/>
      <c r="B51" s="7"/>
      <c r="C51" s="14"/>
      <c r="D51" s="15"/>
      <c r="E51" s="47"/>
      <c r="F51" s="53"/>
      <c r="G51" s="5"/>
    </row>
    <row r="52" spans="1:7" ht="12.75" x14ac:dyDescent="0.2">
      <c r="A52" s="16"/>
      <c r="B52" s="17"/>
      <c r="C52" s="8" t="s">
        <v>110</v>
      </c>
      <c r="D52" s="9"/>
      <c r="E52" s="48"/>
      <c r="F52" s="54"/>
      <c r="G52" s="10"/>
    </row>
    <row r="53" spans="1:7" ht="12.75" x14ac:dyDescent="0.2">
      <c r="A53" s="18"/>
      <c r="B53" s="19"/>
      <c r="C53" s="8" t="s">
        <v>108</v>
      </c>
      <c r="D53" s="20"/>
      <c r="E53" s="50"/>
      <c r="F53" s="56">
        <v>0</v>
      </c>
      <c r="G53" s="21">
        <v>0</v>
      </c>
    </row>
    <row r="54" spans="1:7" ht="12.75" x14ac:dyDescent="0.2">
      <c r="A54" s="18"/>
      <c r="B54" s="19"/>
      <c r="C54" s="14"/>
      <c r="D54" s="22"/>
      <c r="E54" s="51"/>
      <c r="F54" s="57"/>
      <c r="G54" s="23"/>
    </row>
    <row r="55" spans="1:7" ht="12.75" x14ac:dyDescent="0.2">
      <c r="A55" s="1"/>
      <c r="B55" s="2"/>
      <c r="C55" s="8" t="s">
        <v>113</v>
      </c>
      <c r="D55" s="9"/>
      <c r="E55" s="48"/>
      <c r="F55" s="54"/>
      <c r="G55" s="10"/>
    </row>
    <row r="56" spans="1:7" ht="12.75" x14ac:dyDescent="0.2">
      <c r="A56" s="1"/>
      <c r="B56" s="2"/>
      <c r="C56" s="8" t="s">
        <v>108</v>
      </c>
      <c r="D56" s="12"/>
      <c r="E56" s="49"/>
      <c r="F56" s="55">
        <v>0</v>
      </c>
      <c r="G56" s="13">
        <v>0</v>
      </c>
    </row>
    <row r="57" spans="1:7" ht="12.75" x14ac:dyDescent="0.2">
      <c r="A57" s="1"/>
      <c r="B57" s="2"/>
      <c r="C57" s="14"/>
      <c r="D57" s="4"/>
      <c r="E57" s="47"/>
      <c r="F57" s="53"/>
      <c r="G57" s="5"/>
    </row>
    <row r="58" spans="1:7" ht="12.75" x14ac:dyDescent="0.2">
      <c r="A58" s="1"/>
      <c r="B58" s="2"/>
      <c r="C58" s="8" t="s">
        <v>114</v>
      </c>
      <c r="D58" s="9"/>
      <c r="E58" s="48"/>
      <c r="F58" s="54"/>
      <c r="G58" s="10"/>
    </row>
    <row r="59" spans="1:7" ht="12.75" x14ac:dyDescent="0.2">
      <c r="A59" s="1"/>
      <c r="B59" s="2"/>
      <c r="C59" s="8" t="s">
        <v>108</v>
      </c>
      <c r="D59" s="12"/>
      <c r="E59" s="49"/>
      <c r="F59" s="55">
        <v>0</v>
      </c>
      <c r="G59" s="13">
        <v>0</v>
      </c>
    </row>
    <row r="60" spans="1:7" ht="12.75" x14ac:dyDescent="0.2">
      <c r="A60" s="1"/>
      <c r="B60" s="2"/>
      <c r="C60" s="14"/>
      <c r="D60" s="4"/>
      <c r="E60" s="47"/>
      <c r="F60" s="53"/>
      <c r="G60" s="5"/>
    </row>
    <row r="61" spans="1:7" ht="12.75" x14ac:dyDescent="0.2">
      <c r="A61" s="1"/>
      <c r="B61" s="2"/>
      <c r="C61" s="8" t="s">
        <v>115</v>
      </c>
      <c r="D61" s="9"/>
      <c r="E61" s="48"/>
      <c r="F61" s="54"/>
      <c r="G61" s="10"/>
    </row>
    <row r="62" spans="1:7" ht="12.75" x14ac:dyDescent="0.2">
      <c r="A62" s="6">
        <v>1</v>
      </c>
      <c r="B62" s="7"/>
      <c r="C62" s="11" t="s">
        <v>837</v>
      </c>
      <c r="D62" s="15" t="s">
        <v>729</v>
      </c>
      <c r="E62" s="47">
        <v>69375</v>
      </c>
      <c r="F62" s="53">
        <v>141.72937875</v>
      </c>
      <c r="G62" s="5">
        <v>1.5169576000000001E-2</v>
      </c>
    </row>
    <row r="63" spans="1:7" ht="12.75" x14ac:dyDescent="0.2">
      <c r="A63" s="6">
        <v>2</v>
      </c>
      <c r="B63" s="7"/>
      <c r="C63" s="11" t="s">
        <v>838</v>
      </c>
      <c r="D63" s="15" t="s">
        <v>729</v>
      </c>
      <c r="E63" s="47">
        <v>18750</v>
      </c>
      <c r="F63" s="53">
        <v>59.8125</v>
      </c>
      <c r="G63" s="5">
        <v>6.4018499999999997E-3</v>
      </c>
    </row>
    <row r="64" spans="1:7" ht="12.75" x14ac:dyDescent="0.2">
      <c r="A64" s="1"/>
      <c r="B64" s="2"/>
      <c r="C64" s="8" t="s">
        <v>108</v>
      </c>
      <c r="D64" s="12"/>
      <c r="E64" s="49"/>
      <c r="F64" s="55">
        <v>201.54187875</v>
      </c>
      <c r="G64" s="13">
        <v>2.1571426000000001E-2</v>
      </c>
    </row>
    <row r="65" spans="1:7" ht="12.75" x14ac:dyDescent="0.2">
      <c r="A65" s="1"/>
      <c r="B65" s="2"/>
      <c r="C65" s="14"/>
      <c r="D65" s="4"/>
      <c r="E65" s="47"/>
      <c r="F65" s="53"/>
      <c r="G65" s="5"/>
    </row>
    <row r="66" spans="1:7" ht="12.75" x14ac:dyDescent="0.2">
      <c r="A66" s="6"/>
      <c r="B66" s="7"/>
      <c r="C66" s="24" t="s">
        <v>116</v>
      </c>
      <c r="D66" s="25"/>
      <c r="E66" s="49"/>
      <c r="F66" s="55">
        <v>8970.0854302499993</v>
      </c>
      <c r="G66" s="13">
        <v>0.96008600700000002</v>
      </c>
    </row>
    <row r="67" spans="1:7" ht="12.75" x14ac:dyDescent="0.2">
      <c r="A67" s="1"/>
      <c r="B67" s="2"/>
      <c r="C67" s="11"/>
      <c r="D67" s="4"/>
      <c r="E67" s="47"/>
      <c r="F67" s="53"/>
      <c r="G67" s="5"/>
    </row>
    <row r="68" spans="1:7" ht="12.75" x14ac:dyDescent="0.2">
      <c r="A68" s="1"/>
      <c r="B68" s="2"/>
      <c r="C68" s="3" t="s">
        <v>117</v>
      </c>
      <c r="D68" s="4"/>
      <c r="E68" s="47"/>
      <c r="F68" s="53"/>
      <c r="G68" s="5"/>
    </row>
    <row r="69" spans="1:7" ht="25.5" x14ac:dyDescent="0.2">
      <c r="A69" s="1"/>
      <c r="B69" s="2"/>
      <c r="C69" s="8" t="s">
        <v>10</v>
      </c>
      <c r="D69" s="9"/>
      <c r="E69" s="48"/>
      <c r="F69" s="54"/>
      <c r="G69" s="10"/>
    </row>
    <row r="70" spans="1:7" ht="12.75" x14ac:dyDescent="0.2">
      <c r="A70" s="6"/>
      <c r="B70" s="7"/>
      <c r="C70" s="8" t="s">
        <v>108</v>
      </c>
      <c r="D70" s="12"/>
      <c r="E70" s="49"/>
      <c r="F70" s="55">
        <v>0</v>
      </c>
      <c r="G70" s="13">
        <v>0</v>
      </c>
    </row>
    <row r="71" spans="1:7" ht="12.75" x14ac:dyDescent="0.2">
      <c r="A71" s="6"/>
      <c r="B71" s="7"/>
      <c r="C71" s="14"/>
      <c r="D71" s="4"/>
      <c r="E71" s="47"/>
      <c r="F71" s="53"/>
      <c r="G71" s="5"/>
    </row>
    <row r="72" spans="1:7" ht="12.75" x14ac:dyDescent="0.2">
      <c r="A72" s="1"/>
      <c r="B72" s="26"/>
      <c r="C72" s="8" t="s">
        <v>118</v>
      </c>
      <c r="D72" s="9"/>
      <c r="E72" s="48"/>
      <c r="F72" s="54"/>
      <c r="G72" s="10"/>
    </row>
    <row r="73" spans="1:7" ht="12.75" x14ac:dyDescent="0.2">
      <c r="A73" s="6"/>
      <c r="B73" s="7"/>
      <c r="C73" s="8" t="s">
        <v>108</v>
      </c>
      <c r="D73" s="12"/>
      <c r="E73" s="49"/>
      <c r="F73" s="55">
        <v>0</v>
      </c>
      <c r="G73" s="13">
        <v>0</v>
      </c>
    </row>
    <row r="74" spans="1:7" ht="12.75" x14ac:dyDescent="0.2">
      <c r="A74" s="6"/>
      <c r="B74" s="7"/>
      <c r="C74" s="14"/>
      <c r="D74" s="4"/>
      <c r="E74" s="47"/>
      <c r="F74" s="59"/>
      <c r="G74" s="28"/>
    </row>
    <row r="75" spans="1:7" ht="12.75" x14ac:dyDescent="0.2">
      <c r="A75" s="1"/>
      <c r="B75" s="2"/>
      <c r="C75" s="8" t="s">
        <v>119</v>
      </c>
      <c r="D75" s="9"/>
      <c r="E75" s="48"/>
      <c r="F75" s="54"/>
      <c r="G75" s="10"/>
    </row>
    <row r="76" spans="1:7" ht="12.75" x14ac:dyDescent="0.2">
      <c r="A76" s="6"/>
      <c r="B76" s="7"/>
      <c r="C76" s="8" t="s">
        <v>108</v>
      </c>
      <c r="D76" s="12"/>
      <c r="E76" s="49"/>
      <c r="F76" s="55">
        <v>0</v>
      </c>
      <c r="G76" s="13">
        <v>0</v>
      </c>
    </row>
    <row r="77" spans="1:7" ht="12.75" x14ac:dyDescent="0.2">
      <c r="A77" s="1"/>
      <c r="B77" s="2"/>
      <c r="C77" s="14"/>
      <c r="D77" s="4"/>
      <c r="E77" s="47"/>
      <c r="F77" s="53"/>
      <c r="G77" s="5"/>
    </row>
    <row r="78" spans="1:7" ht="12.75" x14ac:dyDescent="0.2">
      <c r="A78" s="1"/>
      <c r="B78" s="26"/>
      <c r="C78" s="8" t="s">
        <v>120</v>
      </c>
      <c r="D78" s="9"/>
      <c r="E78" s="48"/>
      <c r="F78" s="54"/>
      <c r="G78" s="10"/>
    </row>
    <row r="79" spans="1:7" ht="12.75" x14ac:dyDescent="0.2">
      <c r="A79" s="6"/>
      <c r="B79" s="7"/>
      <c r="C79" s="8" t="s">
        <v>108</v>
      </c>
      <c r="D79" s="12"/>
      <c r="E79" s="49"/>
      <c r="F79" s="55">
        <v>0</v>
      </c>
      <c r="G79" s="13">
        <v>0</v>
      </c>
    </row>
    <row r="80" spans="1:7" ht="12.75" x14ac:dyDescent="0.2">
      <c r="A80" s="6"/>
      <c r="B80" s="7"/>
      <c r="C80" s="14"/>
      <c r="D80" s="4"/>
      <c r="E80" s="47"/>
      <c r="F80" s="53"/>
      <c r="G80" s="5"/>
    </row>
    <row r="81" spans="1:7" ht="12.75" x14ac:dyDescent="0.2">
      <c r="A81" s="6"/>
      <c r="B81" s="7"/>
      <c r="C81" s="29" t="s">
        <v>121</v>
      </c>
      <c r="D81" s="25"/>
      <c r="E81" s="49"/>
      <c r="F81" s="55">
        <v>0</v>
      </c>
      <c r="G81" s="13">
        <v>0</v>
      </c>
    </row>
    <row r="82" spans="1:7" ht="12.75" x14ac:dyDescent="0.2">
      <c r="A82" s="6"/>
      <c r="B82" s="7"/>
      <c r="C82" s="11"/>
      <c r="D82" s="4"/>
      <c r="E82" s="47"/>
      <c r="F82" s="53"/>
      <c r="G82" s="5"/>
    </row>
    <row r="83" spans="1:7" ht="12.75" x14ac:dyDescent="0.2">
      <c r="A83" s="1"/>
      <c r="B83" s="2"/>
      <c r="C83" s="3" t="s">
        <v>122</v>
      </c>
      <c r="D83" s="4"/>
      <c r="E83" s="47"/>
      <c r="F83" s="53"/>
      <c r="G83" s="5"/>
    </row>
    <row r="84" spans="1:7" ht="12.75" x14ac:dyDescent="0.2">
      <c r="A84" s="6"/>
      <c r="B84" s="7"/>
      <c r="C84" s="8" t="s">
        <v>123</v>
      </c>
      <c r="D84" s="9"/>
      <c r="E84" s="48"/>
      <c r="F84" s="54"/>
      <c r="G84" s="10"/>
    </row>
    <row r="85" spans="1:7" ht="12.75" x14ac:dyDescent="0.2">
      <c r="A85" s="6"/>
      <c r="B85" s="7"/>
      <c r="C85" s="8" t="s">
        <v>108</v>
      </c>
      <c r="D85" s="25"/>
      <c r="E85" s="49"/>
      <c r="F85" s="55">
        <v>0</v>
      </c>
      <c r="G85" s="13">
        <v>0</v>
      </c>
    </row>
    <row r="86" spans="1:7" ht="12.75" x14ac:dyDescent="0.2">
      <c r="A86" s="6"/>
      <c r="B86" s="7"/>
      <c r="C86" s="14"/>
      <c r="D86" s="7"/>
      <c r="E86" s="47"/>
      <c r="F86" s="53"/>
      <c r="G86" s="5"/>
    </row>
    <row r="87" spans="1:7" ht="12.75" x14ac:dyDescent="0.2">
      <c r="A87" s="6"/>
      <c r="B87" s="7"/>
      <c r="C87" s="8" t="s">
        <v>124</v>
      </c>
      <c r="D87" s="9"/>
      <c r="E87" s="48"/>
      <c r="F87" s="54"/>
      <c r="G87" s="10"/>
    </row>
    <row r="88" spans="1:7" ht="12.75" x14ac:dyDescent="0.2">
      <c r="A88" s="6"/>
      <c r="B88" s="7"/>
      <c r="C88" s="8" t="s">
        <v>108</v>
      </c>
      <c r="D88" s="25"/>
      <c r="E88" s="49"/>
      <c r="F88" s="55">
        <v>0</v>
      </c>
      <c r="G88" s="13">
        <v>0</v>
      </c>
    </row>
    <row r="89" spans="1:7" ht="12.75" x14ac:dyDescent="0.2">
      <c r="A89" s="6"/>
      <c r="B89" s="7"/>
      <c r="C89" s="14"/>
      <c r="D89" s="7"/>
      <c r="E89" s="47"/>
      <c r="F89" s="53"/>
      <c r="G89" s="5"/>
    </row>
    <row r="90" spans="1:7" ht="12.75" x14ac:dyDescent="0.2">
      <c r="A90" s="6"/>
      <c r="B90" s="7"/>
      <c r="C90" s="8" t="s">
        <v>125</v>
      </c>
      <c r="D90" s="9"/>
      <c r="E90" s="48"/>
      <c r="F90" s="54"/>
      <c r="G90" s="10"/>
    </row>
    <row r="91" spans="1:7" ht="12.75" x14ac:dyDescent="0.2">
      <c r="A91" s="6"/>
      <c r="B91" s="7"/>
      <c r="C91" s="8" t="s">
        <v>108</v>
      </c>
      <c r="D91" s="25"/>
      <c r="E91" s="49"/>
      <c r="F91" s="55">
        <v>0</v>
      </c>
      <c r="G91" s="13">
        <v>0</v>
      </c>
    </row>
    <row r="92" spans="1:7" ht="12.75" x14ac:dyDescent="0.2">
      <c r="A92" s="6"/>
      <c r="B92" s="7"/>
      <c r="C92" s="14"/>
      <c r="D92" s="7"/>
      <c r="E92" s="47"/>
      <c r="F92" s="53"/>
      <c r="G92" s="5"/>
    </row>
    <row r="93" spans="1:7" ht="12.75" x14ac:dyDescent="0.2">
      <c r="A93" s="6"/>
      <c r="B93" s="7"/>
      <c r="C93" s="8" t="s">
        <v>126</v>
      </c>
      <c r="D93" s="9"/>
      <c r="E93" s="48"/>
      <c r="F93" s="54"/>
      <c r="G93" s="10"/>
    </row>
    <row r="94" spans="1:7" ht="12.75" x14ac:dyDescent="0.2">
      <c r="A94" s="6">
        <v>1</v>
      </c>
      <c r="B94" s="7"/>
      <c r="C94" s="11" t="s">
        <v>812</v>
      </c>
      <c r="D94" s="15"/>
      <c r="E94" s="47"/>
      <c r="F94" s="53">
        <v>381.94977080000001</v>
      </c>
      <c r="G94" s="5">
        <v>4.0880840000000002E-2</v>
      </c>
    </row>
    <row r="95" spans="1:7" ht="12.75" x14ac:dyDescent="0.2">
      <c r="A95" s="6"/>
      <c r="B95" s="7"/>
      <c r="C95" s="8" t="s">
        <v>108</v>
      </c>
      <c r="D95" s="25"/>
      <c r="E95" s="49"/>
      <c r="F95" s="55">
        <v>381.94977080000001</v>
      </c>
      <c r="G95" s="13">
        <v>4.0880840000000002E-2</v>
      </c>
    </row>
    <row r="96" spans="1:7" ht="12.75" x14ac:dyDescent="0.2">
      <c r="A96" s="6"/>
      <c r="B96" s="7"/>
      <c r="C96" s="14"/>
      <c r="D96" s="7"/>
      <c r="E96" s="47"/>
      <c r="F96" s="53"/>
      <c r="G96" s="5"/>
    </row>
    <row r="97" spans="1:7" ht="12.75" x14ac:dyDescent="0.2">
      <c r="A97" s="6"/>
      <c r="B97" s="7"/>
      <c r="C97" s="24" t="s">
        <v>127</v>
      </c>
      <c r="D97" s="25"/>
      <c r="E97" s="49"/>
      <c r="F97" s="55">
        <v>381.94977080000001</v>
      </c>
      <c r="G97" s="13">
        <v>4.0880840000000002E-2</v>
      </c>
    </row>
    <row r="98" spans="1:7" ht="12.75" x14ac:dyDescent="0.2">
      <c r="A98" s="6"/>
      <c r="B98" s="7"/>
      <c r="C98" s="30"/>
      <c r="D98" s="7"/>
      <c r="E98" s="47"/>
      <c r="F98" s="53"/>
      <c r="G98" s="5"/>
    </row>
    <row r="99" spans="1:7" ht="12.75" x14ac:dyDescent="0.2">
      <c r="A99" s="1"/>
      <c r="B99" s="2"/>
      <c r="C99" s="3" t="s">
        <v>128</v>
      </c>
      <c r="D99" s="4"/>
      <c r="E99" s="47"/>
      <c r="F99" s="53"/>
      <c r="G99" s="5"/>
    </row>
    <row r="100" spans="1:7" ht="12.75" x14ac:dyDescent="0.2">
      <c r="A100" s="6"/>
      <c r="B100" s="7"/>
      <c r="C100" s="8" t="s">
        <v>129</v>
      </c>
      <c r="D100" s="9"/>
      <c r="E100" s="48"/>
      <c r="F100" s="54"/>
      <c r="G100" s="10"/>
    </row>
    <row r="101" spans="1:7" ht="12.75" x14ac:dyDescent="0.2">
      <c r="A101" s="6"/>
      <c r="B101" s="7"/>
      <c r="C101" s="8" t="s">
        <v>108</v>
      </c>
      <c r="D101" s="25"/>
      <c r="E101" s="49"/>
      <c r="F101" s="55">
        <v>0</v>
      </c>
      <c r="G101" s="13">
        <v>0</v>
      </c>
    </row>
    <row r="102" spans="1:7" ht="12.75" x14ac:dyDescent="0.2">
      <c r="A102" s="6"/>
      <c r="B102" s="7"/>
      <c r="C102" s="14"/>
      <c r="D102" s="7"/>
      <c r="E102" s="47"/>
      <c r="F102" s="53"/>
      <c r="G102" s="5"/>
    </row>
    <row r="103" spans="1:7" ht="12.75" x14ac:dyDescent="0.2">
      <c r="A103" s="1"/>
      <c r="B103" s="2"/>
      <c r="C103" s="3" t="s">
        <v>131</v>
      </c>
      <c r="D103" s="4"/>
      <c r="E103" s="47"/>
      <c r="F103" s="53"/>
      <c r="G103" s="5"/>
    </row>
    <row r="104" spans="1:7" ht="12.75" x14ac:dyDescent="0.2">
      <c r="A104" s="6"/>
      <c r="B104" s="7"/>
      <c r="C104" s="8" t="s">
        <v>132</v>
      </c>
      <c r="D104" s="9"/>
      <c r="E104" s="48"/>
      <c r="F104" s="54"/>
      <c r="G104" s="10"/>
    </row>
    <row r="105" spans="1:7" ht="12.75" x14ac:dyDescent="0.2">
      <c r="A105" s="6"/>
      <c r="B105" s="7"/>
      <c r="C105" s="8" t="s">
        <v>108</v>
      </c>
      <c r="D105" s="25"/>
      <c r="E105" s="49"/>
      <c r="F105" s="55">
        <v>0</v>
      </c>
      <c r="G105" s="13">
        <v>0</v>
      </c>
    </row>
    <row r="106" spans="1:7" ht="12.75" x14ac:dyDescent="0.2">
      <c r="A106" s="6"/>
      <c r="B106" s="7"/>
      <c r="C106" s="14"/>
      <c r="D106" s="7"/>
      <c r="E106" s="47"/>
      <c r="F106" s="53"/>
      <c r="G106" s="5"/>
    </row>
    <row r="107" spans="1:7" ht="25.5" x14ac:dyDescent="0.2">
      <c r="A107" s="6"/>
      <c r="B107" s="7"/>
      <c r="C107" s="8" t="s">
        <v>133</v>
      </c>
      <c r="D107" s="9"/>
      <c r="E107" s="48"/>
      <c r="F107" s="54"/>
      <c r="G107" s="10"/>
    </row>
    <row r="108" spans="1:7" ht="12.75" x14ac:dyDescent="0.2">
      <c r="A108" s="6"/>
      <c r="B108" s="7"/>
      <c r="C108" s="8" t="s">
        <v>108</v>
      </c>
      <c r="D108" s="25"/>
      <c r="E108" s="49"/>
      <c r="F108" s="55">
        <v>0</v>
      </c>
      <c r="G108" s="13">
        <v>0</v>
      </c>
    </row>
    <row r="109" spans="1:7" ht="12.75" x14ac:dyDescent="0.2">
      <c r="A109" s="6"/>
      <c r="B109" s="7"/>
      <c r="C109" s="14"/>
      <c r="D109" s="7"/>
      <c r="E109" s="47"/>
      <c r="F109" s="59"/>
      <c r="G109" s="28"/>
    </row>
    <row r="110" spans="1:7" ht="12.75" x14ac:dyDescent="0.2">
      <c r="A110" s="6"/>
      <c r="B110" s="7"/>
      <c r="C110" s="30" t="s">
        <v>134</v>
      </c>
      <c r="D110" s="7"/>
      <c r="E110" s="47"/>
      <c r="F110" s="128">
        <v>-9.03327101</v>
      </c>
      <c r="G110" s="137">
        <v>-9.4643297688893789E-4</v>
      </c>
    </row>
    <row r="111" spans="1:7" ht="12.75" x14ac:dyDescent="0.2">
      <c r="A111" s="6"/>
      <c r="B111" s="7"/>
      <c r="C111" s="31" t="s">
        <v>135</v>
      </c>
      <c r="D111" s="12"/>
      <c r="E111" s="49"/>
      <c r="F111" s="55">
        <v>9343.0019300999993</v>
      </c>
      <c r="G111" s="13">
        <v>0.99999999800000006</v>
      </c>
    </row>
    <row r="112" spans="1:7" ht="15.95" customHeight="1" x14ac:dyDescent="0.2">
      <c r="F112" s="139"/>
    </row>
    <row r="113" spans="2:6" ht="12.75" x14ac:dyDescent="0.2">
      <c r="B113" s="179"/>
      <c r="C113" s="179"/>
      <c r="D113" s="179"/>
      <c r="E113" s="179"/>
      <c r="F113" s="179"/>
    </row>
    <row r="114" spans="2:6" ht="12.75" x14ac:dyDescent="0.2">
      <c r="B114" s="179"/>
      <c r="C114" s="179"/>
      <c r="D114" s="179"/>
      <c r="E114" s="179"/>
      <c r="F114" s="179"/>
    </row>
    <row r="116" spans="2:6" ht="12.75" x14ac:dyDescent="0.2">
      <c r="B116" s="37" t="s">
        <v>137</v>
      </c>
      <c r="C116" s="38"/>
      <c r="D116" s="39"/>
    </row>
    <row r="117" spans="2:6" ht="12.75" x14ac:dyDescent="0.2">
      <c r="B117" s="40" t="s">
        <v>808</v>
      </c>
      <c r="C117" s="41"/>
      <c r="D117" s="65" t="s">
        <v>138</v>
      </c>
    </row>
    <row r="118" spans="2:6" ht="12.75" x14ac:dyDescent="0.2">
      <c r="B118" s="40" t="s">
        <v>139</v>
      </c>
      <c r="C118" s="41"/>
      <c r="D118" s="65" t="s">
        <v>138</v>
      </c>
    </row>
    <row r="119" spans="2:6" ht="12.75" x14ac:dyDescent="0.2">
      <c r="B119" s="42" t="s">
        <v>140</v>
      </c>
      <c r="C119" s="41"/>
      <c r="D119" s="43"/>
    </row>
    <row r="120" spans="2:6" ht="25.5" customHeight="1" x14ac:dyDescent="0.2">
      <c r="B120" s="43"/>
      <c r="C120" s="33" t="s">
        <v>141</v>
      </c>
      <c r="D120" s="34" t="s">
        <v>142</v>
      </c>
    </row>
    <row r="121" spans="2:6" ht="12.75" customHeight="1" x14ac:dyDescent="0.2">
      <c r="B121" s="60" t="s">
        <v>143</v>
      </c>
      <c r="C121" s="61" t="s">
        <v>144</v>
      </c>
      <c r="D121" s="61" t="s">
        <v>145</v>
      </c>
    </row>
    <row r="122" spans="2:6" ht="12.75" x14ac:dyDescent="0.2">
      <c r="B122" s="43" t="s">
        <v>146</v>
      </c>
      <c r="C122" s="44">
        <v>9.0469000000000008</v>
      </c>
      <c r="D122" s="44">
        <v>8.9655000000000005</v>
      </c>
    </row>
    <row r="123" spans="2:6" ht="12.75" x14ac:dyDescent="0.2">
      <c r="B123" s="43" t="s">
        <v>147</v>
      </c>
      <c r="C123" s="44">
        <v>9.0469000000000008</v>
      </c>
      <c r="D123" s="44">
        <v>8.9655000000000005</v>
      </c>
    </row>
    <row r="124" spans="2:6" ht="12.75" x14ac:dyDescent="0.2">
      <c r="B124" s="43" t="s">
        <v>148</v>
      </c>
      <c r="C124" s="44">
        <v>8.7957000000000001</v>
      </c>
      <c r="D124" s="44">
        <v>8.7119</v>
      </c>
    </row>
    <row r="125" spans="2:6" ht="12.75" x14ac:dyDescent="0.2">
      <c r="B125" s="43" t="s">
        <v>149</v>
      </c>
      <c r="C125" s="44">
        <v>8.7957000000000001</v>
      </c>
      <c r="D125" s="44">
        <v>8.7119</v>
      </c>
    </row>
    <row r="127" spans="2:6" ht="12.75" x14ac:dyDescent="0.2">
      <c r="B127" s="62" t="s">
        <v>150</v>
      </c>
      <c r="C127" s="45"/>
      <c r="D127" s="63" t="s">
        <v>138</v>
      </c>
    </row>
    <row r="128" spans="2:6" ht="24.75" customHeight="1" x14ac:dyDescent="0.2">
      <c r="B128" s="64"/>
      <c r="C128" s="64"/>
    </row>
    <row r="129" spans="2:4" ht="15" x14ac:dyDescent="0.25">
      <c r="B129" s="66"/>
      <c r="C129" s="68"/>
      <c r="D129"/>
    </row>
    <row r="131" spans="2:4" ht="12.75" x14ac:dyDescent="0.2">
      <c r="B131" s="42" t="s">
        <v>151</v>
      </c>
      <c r="C131" s="41"/>
      <c r="D131" s="67" t="s">
        <v>400</v>
      </c>
    </row>
    <row r="132" spans="2:4" ht="12.75" x14ac:dyDescent="0.2">
      <c r="B132" s="42" t="s">
        <v>152</v>
      </c>
      <c r="C132" s="41"/>
      <c r="D132" s="67" t="s">
        <v>138</v>
      </c>
    </row>
    <row r="133" spans="2:4" ht="12.75" x14ac:dyDescent="0.2">
      <c r="B133" s="42" t="s">
        <v>153</v>
      </c>
      <c r="C133" s="41"/>
      <c r="D133" s="46">
        <v>0.36643579261258047</v>
      </c>
    </row>
    <row r="134" spans="2:4" ht="12.75" x14ac:dyDescent="0.2">
      <c r="B134" s="42" t="s">
        <v>154</v>
      </c>
      <c r="C134" s="41"/>
      <c r="D134" s="46" t="s">
        <v>138</v>
      </c>
    </row>
  </sheetData>
  <mergeCells count="5">
    <mergeCell ref="A1:G1"/>
    <mergeCell ref="A2:G2"/>
    <mergeCell ref="A3:G3"/>
    <mergeCell ref="B113:F113"/>
    <mergeCell ref="B114:F114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B2E2-0EFB-4789-BB8A-2331767450F5}">
  <dimension ref="A1:N72"/>
  <sheetViews>
    <sheetView workbookViewId="0">
      <selection sqref="A1:G1"/>
    </sheetView>
  </sheetViews>
  <sheetFormatPr defaultRowHeight="12.75" x14ac:dyDescent="0.2"/>
  <cols>
    <col min="1" max="1" width="5.85546875" style="181" bestFit="1" customWidth="1"/>
    <col min="2" max="2" width="14.140625" style="181" bestFit="1" customWidth="1"/>
    <col min="3" max="3" width="37.7109375" style="181" bestFit="1" customWidth="1"/>
    <col min="4" max="4" width="26.85546875" style="181" bestFit="1" customWidth="1"/>
    <col min="5" max="5" width="13.85546875" style="181" bestFit="1" customWidth="1"/>
    <col min="6" max="6" width="17.42578125" style="210" bestFit="1" customWidth="1"/>
    <col min="7" max="7" width="8.5703125" style="208" bestFit="1" customWidth="1"/>
    <col min="8" max="8" width="9.140625" style="181"/>
    <col min="9" max="9" width="12.28515625" style="181" bestFit="1" customWidth="1"/>
    <col min="10" max="10" width="19.85546875" style="181" bestFit="1" customWidth="1"/>
    <col min="11" max="16384" width="9.140625" style="181"/>
  </cols>
  <sheetData>
    <row r="1" spans="1:8" ht="15" customHeight="1" x14ac:dyDescent="0.2">
      <c r="A1" s="176" t="s">
        <v>0</v>
      </c>
      <c r="B1" s="177"/>
      <c r="C1" s="177"/>
      <c r="D1" s="177"/>
      <c r="E1" s="177"/>
      <c r="F1" s="177"/>
      <c r="G1" s="178"/>
    </row>
    <row r="2" spans="1:8" ht="15" customHeight="1" x14ac:dyDescent="0.2">
      <c r="A2" s="182" t="s">
        <v>841</v>
      </c>
      <c r="B2" s="182"/>
      <c r="C2" s="182"/>
      <c r="D2" s="182"/>
      <c r="E2" s="182"/>
      <c r="F2" s="182"/>
      <c r="G2" s="182"/>
    </row>
    <row r="3" spans="1:8" ht="15" customHeight="1" x14ac:dyDescent="0.2">
      <c r="A3" s="176" t="s">
        <v>807</v>
      </c>
      <c r="B3" s="177"/>
      <c r="C3" s="177"/>
      <c r="D3" s="177"/>
      <c r="E3" s="177"/>
      <c r="F3" s="177"/>
      <c r="G3" s="178"/>
    </row>
    <row r="4" spans="1:8" ht="30" x14ac:dyDescent="0.2">
      <c r="A4" s="183" t="s">
        <v>2</v>
      </c>
      <c r="B4" s="184" t="s">
        <v>842</v>
      </c>
      <c r="C4" s="185" t="s">
        <v>843</v>
      </c>
      <c r="D4" s="186" t="s">
        <v>5</v>
      </c>
      <c r="E4" s="187" t="s">
        <v>6</v>
      </c>
      <c r="F4" s="188" t="s">
        <v>844</v>
      </c>
      <c r="G4" s="189" t="s">
        <v>845</v>
      </c>
    </row>
    <row r="5" spans="1:8" x14ac:dyDescent="0.2">
      <c r="A5" s="190"/>
      <c r="B5" s="191"/>
      <c r="C5" s="192" t="s">
        <v>846</v>
      </c>
      <c r="D5" s="193"/>
      <c r="E5" s="193"/>
      <c r="F5" s="194"/>
      <c r="G5" s="195"/>
    </row>
    <row r="6" spans="1:8" x14ac:dyDescent="0.2">
      <c r="A6" s="190"/>
      <c r="B6" s="191"/>
      <c r="C6" s="192" t="s">
        <v>847</v>
      </c>
      <c r="D6" s="193"/>
      <c r="E6" s="193"/>
      <c r="F6" s="194"/>
      <c r="G6" s="195"/>
    </row>
    <row r="7" spans="1:8" x14ac:dyDescent="0.2">
      <c r="A7" s="190"/>
      <c r="B7" s="191"/>
      <c r="C7" s="192" t="s">
        <v>848</v>
      </c>
      <c r="D7" s="193"/>
      <c r="E7" s="196" t="s">
        <v>849</v>
      </c>
      <c r="F7" s="196" t="s">
        <v>849</v>
      </c>
      <c r="G7" s="197" t="s">
        <v>849</v>
      </c>
    </row>
    <row r="8" spans="1:8" x14ac:dyDescent="0.2">
      <c r="A8" s="190"/>
      <c r="B8" s="191"/>
      <c r="C8" s="198" t="s">
        <v>108</v>
      </c>
      <c r="D8" s="199" t="s">
        <v>850</v>
      </c>
      <c r="E8" s="199" t="s">
        <v>850</v>
      </c>
      <c r="F8" s="196" t="s">
        <v>849</v>
      </c>
      <c r="G8" s="197" t="s">
        <v>849</v>
      </c>
    </row>
    <row r="9" spans="1:8" x14ac:dyDescent="0.2">
      <c r="A9" s="190"/>
      <c r="B9" s="191"/>
      <c r="C9" s="198" t="s">
        <v>851</v>
      </c>
      <c r="D9" s="199" t="s">
        <v>850</v>
      </c>
      <c r="E9" s="200"/>
      <c r="F9" s="196" t="s">
        <v>849</v>
      </c>
      <c r="G9" s="197" t="s">
        <v>849</v>
      </c>
    </row>
    <row r="10" spans="1:8" x14ac:dyDescent="0.2">
      <c r="A10" s="190"/>
      <c r="B10" s="191"/>
      <c r="C10" s="199"/>
      <c r="D10" s="199"/>
      <c r="E10" s="200"/>
      <c r="F10" s="196"/>
      <c r="G10" s="197"/>
    </row>
    <row r="11" spans="1:8" x14ac:dyDescent="0.2">
      <c r="A11" s="190"/>
      <c r="B11" s="191"/>
      <c r="C11" s="201" t="s">
        <v>852</v>
      </c>
      <c r="D11" s="199"/>
      <c r="E11" s="200"/>
      <c r="F11" s="202"/>
      <c r="G11" s="203"/>
    </row>
    <row r="12" spans="1:8" x14ac:dyDescent="0.2">
      <c r="A12" s="190"/>
      <c r="B12" s="191"/>
      <c r="C12" s="201" t="s">
        <v>853</v>
      </c>
      <c r="D12" s="199"/>
      <c r="E12" s="204" t="s">
        <v>849</v>
      </c>
      <c r="F12" s="205" t="s">
        <v>849</v>
      </c>
      <c r="G12" s="206" t="s">
        <v>849</v>
      </c>
    </row>
    <row r="13" spans="1:8" x14ac:dyDescent="0.2">
      <c r="A13" s="190"/>
      <c r="B13" s="191"/>
      <c r="C13" s="199"/>
      <c r="D13" s="199"/>
      <c r="E13" s="200"/>
      <c r="F13" s="202"/>
      <c r="G13" s="207"/>
      <c r="H13" s="208"/>
    </row>
    <row r="14" spans="1:8" x14ac:dyDescent="0.2">
      <c r="A14" s="190"/>
      <c r="B14" s="191"/>
      <c r="C14" s="201" t="s">
        <v>108</v>
      </c>
      <c r="D14" s="199"/>
      <c r="E14" s="200"/>
      <c r="F14" s="205" t="s">
        <v>849</v>
      </c>
      <c r="G14" s="209" t="s">
        <v>849</v>
      </c>
      <c r="H14" s="208"/>
    </row>
    <row r="15" spans="1:8" x14ac:dyDescent="0.2">
      <c r="A15" s="190"/>
      <c r="B15" s="191"/>
      <c r="C15" s="199"/>
      <c r="D15" s="199"/>
      <c r="E15" s="200"/>
      <c r="F15" s="205"/>
      <c r="G15" s="206"/>
    </row>
    <row r="16" spans="1:8" x14ac:dyDescent="0.2">
      <c r="A16" s="190"/>
      <c r="B16" s="191"/>
      <c r="C16" s="201" t="s">
        <v>854</v>
      </c>
      <c r="D16" s="199"/>
      <c r="E16" s="200"/>
      <c r="F16" s="205" t="s">
        <v>849</v>
      </c>
      <c r="G16" s="206" t="s">
        <v>849</v>
      </c>
    </row>
    <row r="17" spans="1:14" x14ac:dyDescent="0.2">
      <c r="A17" s="190"/>
      <c r="B17" s="191"/>
      <c r="C17" s="199"/>
      <c r="D17" s="199"/>
      <c r="E17" s="200"/>
      <c r="F17" s="202"/>
      <c r="G17" s="207"/>
      <c r="H17" s="208"/>
      <c r="J17" s="210"/>
      <c r="N17" s="211"/>
    </row>
    <row r="18" spans="1:14" x14ac:dyDescent="0.2">
      <c r="A18" s="190"/>
      <c r="B18" s="191"/>
      <c r="C18" s="198" t="s">
        <v>108</v>
      </c>
      <c r="D18" s="199"/>
      <c r="E18" s="199"/>
      <c r="F18" s="196" t="s">
        <v>849</v>
      </c>
      <c r="G18" s="209" t="s">
        <v>849</v>
      </c>
      <c r="H18" s="208"/>
      <c r="N18" s="211"/>
    </row>
    <row r="19" spans="1:14" x14ac:dyDescent="0.2">
      <c r="A19" s="190"/>
      <c r="B19" s="191"/>
      <c r="C19" s="198"/>
      <c r="D19" s="199"/>
      <c r="E19" s="199"/>
      <c r="F19" s="196"/>
      <c r="G19" s="197"/>
      <c r="N19" s="211"/>
    </row>
    <row r="20" spans="1:14" x14ac:dyDescent="0.2">
      <c r="A20" s="190"/>
      <c r="B20" s="191"/>
      <c r="C20" s="198" t="s">
        <v>855</v>
      </c>
      <c r="D20" s="199" t="s">
        <v>850</v>
      </c>
      <c r="E20" s="196" t="s">
        <v>849</v>
      </c>
      <c r="F20" s="196" t="s">
        <v>849</v>
      </c>
      <c r="G20" s="197" t="s">
        <v>849</v>
      </c>
      <c r="N20" s="211"/>
    </row>
    <row r="21" spans="1:14" x14ac:dyDescent="0.2">
      <c r="A21" s="190"/>
      <c r="B21" s="191"/>
      <c r="C21" s="198" t="s">
        <v>108</v>
      </c>
      <c r="D21" s="199" t="s">
        <v>850</v>
      </c>
      <c r="E21" s="196" t="s">
        <v>849</v>
      </c>
      <c r="F21" s="196" t="s">
        <v>849</v>
      </c>
      <c r="G21" s="197" t="s">
        <v>849</v>
      </c>
      <c r="N21" s="211"/>
    </row>
    <row r="22" spans="1:14" x14ac:dyDescent="0.2">
      <c r="A22" s="190"/>
      <c r="B22" s="191"/>
      <c r="C22" s="198" t="s">
        <v>851</v>
      </c>
      <c r="D22" s="199" t="s">
        <v>850</v>
      </c>
      <c r="E22" s="199" t="s">
        <v>850</v>
      </c>
      <c r="F22" s="196" t="s">
        <v>849</v>
      </c>
      <c r="G22" s="212" t="s">
        <v>849</v>
      </c>
      <c r="N22" s="211"/>
    </row>
    <row r="23" spans="1:14" x14ac:dyDescent="0.2">
      <c r="A23" s="190"/>
      <c r="B23" s="191"/>
      <c r="C23" s="213"/>
      <c r="D23" s="199"/>
      <c r="E23" s="199"/>
      <c r="F23" s="214"/>
      <c r="G23" s="197"/>
      <c r="N23" s="211"/>
    </row>
    <row r="24" spans="1:14" x14ac:dyDescent="0.2">
      <c r="A24" s="190"/>
      <c r="B24" s="191"/>
      <c r="C24" s="213" t="s">
        <v>856</v>
      </c>
      <c r="D24" s="199"/>
      <c r="E24" s="199"/>
      <c r="F24" s="214"/>
      <c r="G24" s="197"/>
    </row>
    <row r="25" spans="1:14" x14ac:dyDescent="0.2">
      <c r="A25" s="190"/>
      <c r="B25" s="191"/>
      <c r="C25" s="190" t="s">
        <v>857</v>
      </c>
      <c r="D25" s="199"/>
      <c r="E25" s="196" t="s">
        <v>849</v>
      </c>
      <c r="F25" s="196" t="s">
        <v>849</v>
      </c>
      <c r="G25" s="196" t="s">
        <v>849</v>
      </c>
    </row>
    <row r="26" spans="1:14" x14ac:dyDescent="0.2">
      <c r="A26" s="190"/>
      <c r="B26" s="191"/>
      <c r="C26" s="190" t="s">
        <v>858</v>
      </c>
      <c r="D26" s="199"/>
      <c r="E26" s="196" t="s">
        <v>849</v>
      </c>
      <c r="F26" s="196" t="s">
        <v>849</v>
      </c>
      <c r="G26" s="196" t="s">
        <v>849</v>
      </c>
    </row>
    <row r="27" spans="1:14" x14ac:dyDescent="0.2">
      <c r="A27" s="190"/>
      <c r="B27" s="191"/>
      <c r="C27" s="190" t="s">
        <v>859</v>
      </c>
      <c r="D27" s="199"/>
      <c r="E27" s="196" t="s">
        <v>849</v>
      </c>
      <c r="F27" s="196" t="s">
        <v>849</v>
      </c>
      <c r="G27" s="196" t="s">
        <v>849</v>
      </c>
    </row>
    <row r="28" spans="1:14" x14ac:dyDescent="0.2">
      <c r="A28" s="190"/>
      <c r="B28" s="191"/>
      <c r="C28" s="190"/>
      <c r="D28" s="199"/>
      <c r="E28" s="199"/>
      <c r="F28" s="215"/>
      <c r="G28" s="216"/>
    </row>
    <row r="29" spans="1:14" x14ac:dyDescent="0.2">
      <c r="A29" s="190"/>
      <c r="B29" s="191"/>
      <c r="C29" s="217" t="s">
        <v>860</v>
      </c>
      <c r="D29" s="199"/>
      <c r="E29" s="199"/>
      <c r="F29" s="215"/>
      <c r="G29" s="216"/>
    </row>
    <row r="30" spans="1:14" x14ac:dyDescent="0.2">
      <c r="A30" s="190"/>
      <c r="B30" s="191"/>
      <c r="C30" s="198" t="s">
        <v>108</v>
      </c>
      <c r="D30" s="199" t="s">
        <v>850</v>
      </c>
      <c r="E30" s="196" t="s">
        <v>849</v>
      </c>
      <c r="F30" s="196" t="s">
        <v>849</v>
      </c>
      <c r="G30" s="197" t="s">
        <v>849</v>
      </c>
    </row>
    <row r="31" spans="1:14" x14ac:dyDescent="0.2">
      <c r="A31" s="190"/>
      <c r="B31" s="191"/>
      <c r="C31" s="198" t="s">
        <v>851</v>
      </c>
      <c r="D31" s="199" t="s">
        <v>850</v>
      </c>
      <c r="E31" s="199" t="s">
        <v>850</v>
      </c>
      <c r="F31" s="196" t="s">
        <v>849</v>
      </c>
      <c r="G31" s="197" t="s">
        <v>849</v>
      </c>
    </row>
    <row r="32" spans="1:14" x14ac:dyDescent="0.2">
      <c r="A32" s="190"/>
      <c r="B32" s="191"/>
      <c r="C32" s="198"/>
      <c r="D32" s="199"/>
      <c r="E32" s="199"/>
      <c r="F32" s="196"/>
      <c r="G32" s="197"/>
    </row>
    <row r="33" spans="1:9" x14ac:dyDescent="0.2">
      <c r="A33" s="190"/>
      <c r="B33" s="191"/>
      <c r="C33" s="198" t="s">
        <v>861</v>
      </c>
      <c r="D33" s="199"/>
      <c r="E33" s="199"/>
      <c r="F33" s="196"/>
      <c r="G33" s="197"/>
    </row>
    <row r="34" spans="1:9" x14ac:dyDescent="0.2">
      <c r="A34" s="190"/>
      <c r="B34" s="191"/>
      <c r="C34" s="198" t="s">
        <v>862</v>
      </c>
      <c r="D34" s="199"/>
      <c r="E34" s="196" t="s">
        <v>849</v>
      </c>
      <c r="F34" s="196" t="s">
        <v>849</v>
      </c>
      <c r="G34" s="197" t="s">
        <v>849</v>
      </c>
    </row>
    <row r="35" spans="1:9" hidden="1" x14ac:dyDescent="0.2">
      <c r="A35" s="190"/>
      <c r="B35" s="191"/>
      <c r="C35" s="191"/>
      <c r="D35" s="199"/>
      <c r="E35" s="199" t="s">
        <v>850</v>
      </c>
      <c r="F35" s="196" t="s">
        <v>849</v>
      </c>
      <c r="G35" s="197" t="s">
        <v>849</v>
      </c>
    </row>
    <row r="36" spans="1:9" x14ac:dyDescent="0.2">
      <c r="A36" s="190"/>
      <c r="B36" s="191"/>
      <c r="C36" s="198" t="s">
        <v>108</v>
      </c>
      <c r="D36" s="199"/>
      <c r="E36" s="199"/>
      <c r="F36" s="196" t="s">
        <v>849</v>
      </c>
      <c r="G36" s="197" t="s">
        <v>849</v>
      </c>
    </row>
    <row r="37" spans="1:9" x14ac:dyDescent="0.2">
      <c r="A37" s="190"/>
      <c r="B37" s="191"/>
      <c r="C37" s="198"/>
      <c r="D37" s="199"/>
      <c r="E37" s="199"/>
      <c r="F37" s="196"/>
      <c r="G37" s="197"/>
    </row>
    <row r="38" spans="1:9" x14ac:dyDescent="0.2">
      <c r="A38" s="190"/>
      <c r="B38" s="191"/>
      <c r="C38" s="198" t="s">
        <v>863</v>
      </c>
      <c r="D38" s="199" t="s">
        <v>850</v>
      </c>
      <c r="E38" s="199" t="s">
        <v>850</v>
      </c>
      <c r="F38" s="218" t="s">
        <v>850</v>
      </c>
      <c r="G38" s="219" t="s">
        <v>850</v>
      </c>
    </row>
    <row r="39" spans="1:9" x14ac:dyDescent="0.2">
      <c r="A39" s="190"/>
      <c r="B39" s="191"/>
      <c r="C39" s="160" t="s">
        <v>812</v>
      </c>
      <c r="D39" s="199" t="s">
        <v>864</v>
      </c>
      <c r="E39" s="200"/>
      <c r="F39" s="202">
        <v>2148.7174279999999</v>
      </c>
      <c r="G39" s="207">
        <f>F39/$F$46</f>
        <v>0.3314921328961497</v>
      </c>
      <c r="H39" s="210"/>
    </row>
    <row r="40" spans="1:9" x14ac:dyDescent="0.2">
      <c r="A40" s="190"/>
      <c r="B40" s="191"/>
      <c r="C40" s="198" t="s">
        <v>108</v>
      </c>
      <c r="D40" s="199" t="s">
        <v>850</v>
      </c>
      <c r="E40" s="199" t="s">
        <v>850</v>
      </c>
      <c r="F40" s="196">
        <f>F39</f>
        <v>2148.7174279999999</v>
      </c>
      <c r="G40" s="212">
        <f>G39</f>
        <v>0.3314921328961497</v>
      </c>
    </row>
    <row r="41" spans="1:9" x14ac:dyDescent="0.2">
      <c r="A41" s="190"/>
      <c r="B41" s="191"/>
      <c r="C41" s="198"/>
      <c r="D41" s="199"/>
      <c r="E41" s="199"/>
      <c r="F41" s="196"/>
      <c r="G41" s="197"/>
    </row>
    <row r="42" spans="1:9" x14ac:dyDescent="0.2">
      <c r="A42" s="190"/>
      <c r="B42" s="191"/>
      <c r="C42" s="198" t="s">
        <v>134</v>
      </c>
      <c r="D42" s="199" t="s">
        <v>850</v>
      </c>
      <c r="E42" s="199" t="s">
        <v>850</v>
      </c>
      <c r="F42" s="202">
        <v>4333.2385967999999</v>
      </c>
      <c r="G42" s="207">
        <f>F42/$F$46</f>
        <v>0.66850786710385024</v>
      </c>
      <c r="H42" s="210"/>
    </row>
    <row r="43" spans="1:9" x14ac:dyDescent="0.2">
      <c r="A43" s="190"/>
      <c r="B43" s="191"/>
      <c r="C43" s="198" t="s">
        <v>108</v>
      </c>
      <c r="D43" s="199"/>
      <c r="E43" s="199"/>
      <c r="F43" s="196">
        <f>F42</f>
        <v>4333.2385967999999</v>
      </c>
      <c r="G43" s="212">
        <f>G42</f>
        <v>0.66850786710385024</v>
      </c>
      <c r="I43" s="210"/>
    </row>
    <row r="44" spans="1:9" x14ac:dyDescent="0.2">
      <c r="A44" s="190"/>
      <c r="B44" s="191"/>
      <c r="C44" s="198" t="s">
        <v>851</v>
      </c>
      <c r="D44" s="199"/>
      <c r="E44" s="199"/>
      <c r="F44" s="196">
        <f>F40+F43</f>
        <v>6481.9560247999998</v>
      </c>
      <c r="G44" s="212">
        <f>F44/$F$46</f>
        <v>1</v>
      </c>
      <c r="H44" s="210"/>
    </row>
    <row r="45" spans="1:9" x14ac:dyDescent="0.2">
      <c r="A45" s="190"/>
      <c r="B45" s="191"/>
      <c r="C45" s="198"/>
      <c r="D45" s="199"/>
      <c r="E45" s="199"/>
      <c r="F45" s="196"/>
      <c r="G45" s="197"/>
    </row>
    <row r="46" spans="1:9" x14ac:dyDescent="0.2">
      <c r="A46" s="190"/>
      <c r="B46" s="191"/>
      <c r="C46" s="198" t="s">
        <v>865</v>
      </c>
      <c r="D46" s="199" t="s">
        <v>850</v>
      </c>
      <c r="E46" s="199" t="s">
        <v>850</v>
      </c>
      <c r="F46" s="196">
        <v>6481.9560247999998</v>
      </c>
      <c r="G46" s="212">
        <f>G44</f>
        <v>1</v>
      </c>
      <c r="H46" s="210"/>
    </row>
    <row r="47" spans="1:9" x14ac:dyDescent="0.2">
      <c r="A47" s="220"/>
      <c r="B47" s="221"/>
      <c r="C47" s="222"/>
      <c r="D47" s="221"/>
      <c r="E47" s="221"/>
      <c r="F47" s="223"/>
      <c r="G47" s="224"/>
      <c r="H47" s="210"/>
    </row>
    <row r="48" spans="1:9" x14ac:dyDescent="0.2">
      <c r="A48" s="220"/>
      <c r="B48" s="225" t="s">
        <v>137</v>
      </c>
      <c r="C48" s="225"/>
      <c r="D48" s="226"/>
      <c r="E48" s="226"/>
      <c r="F48" s="227"/>
      <c r="G48" s="224"/>
    </row>
    <row r="49" spans="1:7" x14ac:dyDescent="0.2">
      <c r="A49" s="220"/>
      <c r="B49" s="228" t="s">
        <v>866</v>
      </c>
      <c r="C49" s="228"/>
      <c r="D49" s="228"/>
      <c r="E49" s="226"/>
      <c r="F49" s="227"/>
      <c r="G49" s="224"/>
    </row>
    <row r="50" spans="1:7" x14ac:dyDescent="0.2">
      <c r="A50" s="220"/>
      <c r="B50" s="228" t="s">
        <v>867</v>
      </c>
      <c r="C50" s="228"/>
      <c r="D50" s="228"/>
      <c r="E50" s="226"/>
      <c r="F50" s="226"/>
      <c r="G50" s="224"/>
    </row>
    <row r="51" spans="1:7" x14ac:dyDescent="0.2">
      <c r="A51" s="220"/>
      <c r="B51" s="229" t="s">
        <v>868</v>
      </c>
      <c r="C51" s="229"/>
      <c r="D51" s="229"/>
      <c r="E51" s="226"/>
      <c r="F51" s="226"/>
      <c r="G51" s="230"/>
    </row>
    <row r="52" spans="1:7" ht="15.75" customHeight="1" x14ac:dyDescent="0.2">
      <c r="A52" s="220"/>
      <c r="B52" s="231"/>
      <c r="C52" s="232" t="s">
        <v>869</v>
      </c>
      <c r="D52" s="232"/>
      <c r="E52" s="232" t="s">
        <v>870</v>
      </c>
      <c r="F52" s="232"/>
    </row>
    <row r="53" spans="1:7" x14ac:dyDescent="0.2">
      <c r="A53" s="220"/>
      <c r="B53" s="233"/>
      <c r="C53" s="234" t="s">
        <v>871</v>
      </c>
      <c r="D53" s="235" t="s">
        <v>872</v>
      </c>
      <c r="E53" s="234" t="s">
        <v>871</v>
      </c>
      <c r="F53" s="235" t="s">
        <v>872</v>
      </c>
    </row>
    <row r="54" spans="1:7" x14ac:dyDescent="0.2">
      <c r="A54" s="220"/>
      <c r="B54" s="213" t="s">
        <v>873</v>
      </c>
      <c r="C54" s="236">
        <v>43738</v>
      </c>
      <c r="D54" s="236">
        <v>43769</v>
      </c>
      <c r="E54" s="236">
        <v>43738</v>
      </c>
      <c r="F54" s="236">
        <v>43769</v>
      </c>
      <c r="G54" s="181"/>
    </row>
    <row r="55" spans="1:7" x14ac:dyDescent="0.2">
      <c r="A55" s="220"/>
      <c r="B55" s="237" t="s">
        <v>874</v>
      </c>
      <c r="C55" s="238">
        <v>16.234300000000001</v>
      </c>
      <c r="D55" s="238">
        <v>16.436299999999999</v>
      </c>
      <c r="E55" s="238">
        <v>15.8323</v>
      </c>
      <c r="F55" s="238">
        <v>16.020299999999999</v>
      </c>
      <c r="G55" s="181"/>
    </row>
    <row r="56" spans="1:7" x14ac:dyDescent="0.2">
      <c r="A56" s="220"/>
      <c r="B56" s="237" t="s">
        <v>875</v>
      </c>
      <c r="C56" s="238">
        <v>16.234300000000001</v>
      </c>
      <c r="D56" s="238">
        <v>16.436299999999999</v>
      </c>
      <c r="E56" s="238">
        <v>15.8323</v>
      </c>
      <c r="F56" s="238">
        <v>16.020299999999999</v>
      </c>
      <c r="G56" s="181"/>
    </row>
    <row r="57" spans="1:7" x14ac:dyDescent="0.2">
      <c r="A57" s="220"/>
      <c r="B57" s="220"/>
      <c r="C57" s="226"/>
      <c r="D57" s="226"/>
      <c r="E57" s="239"/>
      <c r="F57" s="239"/>
      <c r="G57" s="230"/>
    </row>
    <row r="58" spans="1:7" x14ac:dyDescent="0.2">
      <c r="A58" s="220"/>
      <c r="B58" s="228" t="s">
        <v>876</v>
      </c>
      <c r="C58" s="228"/>
      <c r="D58" s="228"/>
      <c r="E58" s="226"/>
      <c r="F58" s="226"/>
      <c r="G58" s="230"/>
    </row>
    <row r="59" spans="1:7" x14ac:dyDescent="0.2">
      <c r="A59" s="220"/>
      <c r="B59" s="228" t="s">
        <v>877</v>
      </c>
      <c r="C59" s="228"/>
      <c r="D59" s="228"/>
      <c r="E59" s="226"/>
      <c r="F59" s="226"/>
      <c r="G59" s="240"/>
    </row>
    <row r="60" spans="1:7" x14ac:dyDescent="0.2">
      <c r="A60" s="220"/>
      <c r="B60" s="228" t="s">
        <v>878</v>
      </c>
      <c r="C60" s="228"/>
      <c r="D60" s="228"/>
      <c r="E60" s="227"/>
      <c r="F60" s="226"/>
      <c r="G60" s="230"/>
    </row>
    <row r="61" spans="1:7" x14ac:dyDescent="0.2">
      <c r="A61" s="220"/>
      <c r="B61" s="241" t="s">
        <v>879</v>
      </c>
      <c r="C61" s="241"/>
      <c r="D61" s="241"/>
      <c r="E61" s="226"/>
      <c r="F61" s="226"/>
      <c r="G61" s="230"/>
    </row>
    <row r="62" spans="1:7" x14ac:dyDescent="0.2">
      <c r="A62" s="220"/>
      <c r="B62" s="228" t="s">
        <v>880</v>
      </c>
      <c r="C62" s="228"/>
      <c r="D62" s="228"/>
      <c r="E62" s="226"/>
      <c r="F62" s="226"/>
      <c r="G62" s="230"/>
    </row>
    <row r="63" spans="1:7" x14ac:dyDescent="0.2">
      <c r="A63" s="220"/>
      <c r="B63" s="220"/>
      <c r="C63" s="242"/>
      <c r="D63" s="220"/>
      <c r="E63" s="220"/>
      <c r="F63" s="240"/>
      <c r="G63" s="230"/>
    </row>
    <row r="64" spans="1:7" x14ac:dyDescent="0.2">
      <c r="A64" s="220"/>
      <c r="B64" s="220"/>
      <c r="C64" s="220"/>
      <c r="D64" s="220"/>
      <c r="E64" s="220"/>
      <c r="F64" s="240"/>
      <c r="G64" s="230"/>
    </row>
    <row r="65" spans="1:7" x14ac:dyDescent="0.2">
      <c r="A65" s="220"/>
      <c r="B65" s="220"/>
      <c r="C65" s="220"/>
      <c r="D65" s="220"/>
      <c r="E65" s="220"/>
      <c r="F65" s="240"/>
      <c r="G65" s="230"/>
    </row>
    <row r="66" spans="1:7" x14ac:dyDescent="0.2">
      <c r="A66" s="220"/>
      <c r="B66" s="220"/>
      <c r="C66" s="220"/>
      <c r="D66" s="220"/>
      <c r="E66" s="220"/>
      <c r="F66" s="240"/>
      <c r="G66" s="230"/>
    </row>
    <row r="67" spans="1:7" x14ac:dyDescent="0.2">
      <c r="A67" s="220"/>
      <c r="B67" s="220"/>
      <c r="C67" s="220"/>
      <c r="D67" s="220"/>
      <c r="E67" s="220"/>
      <c r="F67" s="240"/>
      <c r="G67" s="230"/>
    </row>
    <row r="68" spans="1:7" x14ac:dyDescent="0.2">
      <c r="A68" s="220"/>
      <c r="B68" s="220"/>
      <c r="C68" s="220"/>
      <c r="D68" s="220"/>
      <c r="E68" s="220"/>
      <c r="F68" s="240"/>
      <c r="G68" s="230"/>
    </row>
    <row r="69" spans="1:7" x14ac:dyDescent="0.2">
      <c r="A69" s="220"/>
      <c r="B69" s="220"/>
      <c r="C69" s="220"/>
      <c r="D69" s="220"/>
      <c r="E69" s="220"/>
      <c r="F69" s="240"/>
      <c r="G69" s="230"/>
    </row>
    <row r="70" spans="1:7" x14ac:dyDescent="0.2">
      <c r="A70" s="220"/>
      <c r="B70" s="220"/>
      <c r="C70" s="220"/>
      <c r="D70" s="220"/>
      <c r="E70" s="220"/>
      <c r="F70" s="240"/>
      <c r="G70" s="230"/>
    </row>
    <row r="71" spans="1:7" x14ac:dyDescent="0.2">
      <c r="A71" s="220"/>
      <c r="B71" s="220"/>
      <c r="C71" s="220"/>
      <c r="D71" s="220"/>
      <c r="E71" s="220"/>
      <c r="F71" s="240"/>
      <c r="G71" s="230"/>
    </row>
    <row r="72" spans="1:7" x14ac:dyDescent="0.2">
      <c r="A72" s="220"/>
      <c r="B72" s="220"/>
      <c r="C72" s="220"/>
      <c r="D72" s="220"/>
      <c r="E72" s="220"/>
      <c r="F72" s="240"/>
      <c r="G72" s="230"/>
    </row>
  </sheetData>
  <mergeCells count="13">
    <mergeCell ref="B62:D62"/>
    <mergeCell ref="C52:D52"/>
    <mergeCell ref="E52:F52"/>
    <mergeCell ref="B58:D58"/>
    <mergeCell ref="B59:D59"/>
    <mergeCell ref="B60:D60"/>
    <mergeCell ref="B61:D61"/>
    <mergeCell ref="A1:G1"/>
    <mergeCell ref="A2:G2"/>
    <mergeCell ref="A3:G3"/>
    <mergeCell ref="B49:D49"/>
    <mergeCell ref="B50:D50"/>
    <mergeCell ref="B51:D5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5426-DD9F-41DA-A194-BE668DA56BD6}">
  <dimension ref="A1:J105"/>
  <sheetViews>
    <sheetView workbookViewId="0">
      <selection activeCell="A4" sqref="A4"/>
    </sheetView>
  </sheetViews>
  <sheetFormatPr defaultRowHeight="12.75" x14ac:dyDescent="0.2"/>
  <cols>
    <col min="1" max="1" width="5.85546875" style="181" bestFit="1" customWidth="1"/>
    <col min="2" max="2" width="14.140625" style="181" bestFit="1" customWidth="1"/>
    <col min="3" max="3" width="37.7109375" style="181" bestFit="1" customWidth="1"/>
    <col min="4" max="4" width="26.85546875" style="181" bestFit="1" customWidth="1"/>
    <col min="5" max="5" width="13.85546875" style="181" bestFit="1" customWidth="1"/>
    <col min="6" max="6" width="10.7109375" style="210" bestFit="1" customWidth="1"/>
    <col min="7" max="7" width="9.7109375" style="208" bestFit="1" customWidth="1"/>
    <col min="8" max="16384" width="9.140625" style="181"/>
  </cols>
  <sheetData>
    <row r="1" spans="1:10" ht="18.75" customHeight="1" x14ac:dyDescent="0.2">
      <c r="A1" s="243" t="s">
        <v>0</v>
      </c>
      <c r="B1" s="243"/>
      <c r="C1" s="243"/>
      <c r="D1" s="243"/>
      <c r="E1" s="243"/>
      <c r="F1" s="243"/>
      <c r="G1" s="243"/>
    </row>
    <row r="2" spans="1:10" ht="15" customHeight="1" x14ac:dyDescent="0.2">
      <c r="A2" s="182" t="s">
        <v>881</v>
      </c>
      <c r="B2" s="182"/>
      <c r="C2" s="182"/>
      <c r="D2" s="182"/>
      <c r="E2" s="182"/>
      <c r="F2" s="182"/>
      <c r="G2" s="182"/>
    </row>
    <row r="3" spans="1:10" ht="15" customHeight="1" x14ac:dyDescent="0.2">
      <c r="A3" s="176" t="s">
        <v>807</v>
      </c>
      <c r="B3" s="177"/>
      <c r="C3" s="177"/>
      <c r="D3" s="177"/>
      <c r="E3" s="177"/>
      <c r="F3" s="177"/>
      <c r="G3" s="178"/>
    </row>
    <row r="4" spans="1:10" ht="30" x14ac:dyDescent="0.2">
      <c r="A4" s="183" t="s">
        <v>2</v>
      </c>
      <c r="B4" s="184" t="s">
        <v>842</v>
      </c>
      <c r="C4" s="244" t="s">
        <v>843</v>
      </c>
      <c r="D4" s="187" t="s">
        <v>5</v>
      </c>
      <c r="E4" s="245" t="s">
        <v>6</v>
      </c>
      <c r="F4" s="246" t="s">
        <v>844</v>
      </c>
      <c r="G4" s="247" t="s">
        <v>845</v>
      </c>
    </row>
    <row r="5" spans="1:10" x14ac:dyDescent="0.2">
      <c r="A5" s="190"/>
      <c r="B5" s="191"/>
      <c r="C5" s="192" t="s">
        <v>846</v>
      </c>
      <c r="D5" s="193"/>
      <c r="E5" s="193"/>
      <c r="F5" s="194"/>
      <c r="G5" s="195"/>
    </row>
    <row r="6" spans="1:10" x14ac:dyDescent="0.2">
      <c r="A6" s="190"/>
      <c r="B6" s="191"/>
      <c r="C6" s="192" t="s">
        <v>847</v>
      </c>
      <c r="D6" s="193"/>
      <c r="E6" s="193"/>
      <c r="F6" s="194"/>
      <c r="G6" s="195"/>
    </row>
    <row r="7" spans="1:10" x14ac:dyDescent="0.2">
      <c r="A7" s="190"/>
      <c r="B7" s="191"/>
      <c r="C7" s="192" t="s">
        <v>848</v>
      </c>
      <c r="D7" s="193"/>
      <c r="E7" s="196" t="s">
        <v>849</v>
      </c>
      <c r="F7" s="196" t="s">
        <v>849</v>
      </c>
      <c r="G7" s="197" t="s">
        <v>849</v>
      </c>
    </row>
    <row r="8" spans="1:10" x14ac:dyDescent="0.2">
      <c r="A8" s="190"/>
      <c r="B8" s="248"/>
      <c r="C8" s="198" t="s">
        <v>108</v>
      </c>
      <c r="D8" s="199" t="s">
        <v>850</v>
      </c>
      <c r="E8" s="199" t="s">
        <v>850</v>
      </c>
      <c r="F8" s="196" t="s">
        <v>849</v>
      </c>
      <c r="G8" s="197" t="s">
        <v>849</v>
      </c>
    </row>
    <row r="9" spans="1:10" x14ac:dyDescent="0.2">
      <c r="A9" s="190"/>
      <c r="B9" s="248"/>
      <c r="C9" s="198" t="s">
        <v>851</v>
      </c>
      <c r="D9" s="199" t="s">
        <v>850</v>
      </c>
      <c r="E9" s="200"/>
      <c r="F9" s="196" t="s">
        <v>849</v>
      </c>
      <c r="G9" s="197" t="s">
        <v>849</v>
      </c>
    </row>
    <row r="10" spans="1:10" x14ac:dyDescent="0.2">
      <c r="A10" s="190"/>
      <c r="B10" s="248"/>
      <c r="C10" s="199"/>
      <c r="D10" s="199"/>
      <c r="E10" s="200"/>
      <c r="F10" s="196"/>
      <c r="G10" s="197"/>
    </row>
    <row r="11" spans="1:10" x14ac:dyDescent="0.2">
      <c r="A11" s="190"/>
      <c r="B11" s="248"/>
      <c r="C11" s="201" t="s">
        <v>852</v>
      </c>
      <c r="D11" s="199"/>
      <c r="E11" s="200"/>
      <c r="F11" s="202"/>
      <c r="G11" s="203"/>
    </row>
    <row r="12" spans="1:10" x14ac:dyDescent="0.2">
      <c r="A12" s="190"/>
      <c r="B12" s="248"/>
      <c r="C12" s="201" t="s">
        <v>853</v>
      </c>
      <c r="D12" s="199"/>
      <c r="E12" s="200"/>
      <c r="F12" s="202"/>
      <c r="G12" s="203"/>
    </row>
    <row r="13" spans="1:10" x14ac:dyDescent="0.2">
      <c r="A13" s="249">
        <v>1</v>
      </c>
      <c r="B13" s="191" t="s">
        <v>882</v>
      </c>
      <c r="C13" s="191" t="s">
        <v>883</v>
      </c>
      <c r="D13" s="199" t="s">
        <v>884</v>
      </c>
      <c r="E13" s="200">
        <v>1099</v>
      </c>
      <c r="F13" s="202">
        <v>107.81911190000001</v>
      </c>
      <c r="G13" s="207">
        <f>F13/$F$78</f>
        <v>2.3013665059276042E-2</v>
      </c>
      <c r="H13" s="210"/>
      <c r="I13" s="210"/>
      <c r="J13" s="250"/>
    </row>
    <row r="14" spans="1:10" x14ac:dyDescent="0.2">
      <c r="A14" s="249">
        <v>2</v>
      </c>
      <c r="B14" s="191" t="s">
        <v>885</v>
      </c>
      <c r="C14" s="191" t="s">
        <v>886</v>
      </c>
      <c r="D14" s="199" t="s">
        <v>887</v>
      </c>
      <c r="E14" s="200">
        <v>1885</v>
      </c>
      <c r="F14" s="202">
        <v>107.8084905</v>
      </c>
      <c r="G14" s="207">
        <f t="shared" ref="G14:G20" si="0">F14/$F$78</f>
        <v>2.3011397953400715E-2</v>
      </c>
      <c r="H14" s="210"/>
      <c r="I14" s="210"/>
      <c r="J14" s="250"/>
    </row>
    <row r="15" spans="1:10" x14ac:dyDescent="0.2">
      <c r="A15" s="249">
        <v>3</v>
      </c>
      <c r="B15" s="191" t="s">
        <v>888</v>
      </c>
      <c r="C15" s="191" t="s">
        <v>889</v>
      </c>
      <c r="D15" s="199" t="s">
        <v>884</v>
      </c>
      <c r="E15" s="200">
        <v>2868</v>
      </c>
      <c r="F15" s="202">
        <v>54.771119900000002</v>
      </c>
      <c r="G15" s="207">
        <f t="shared" si="0"/>
        <v>1.1690730762734547E-2</v>
      </c>
      <c r="H15" s="210"/>
      <c r="I15" s="210"/>
      <c r="J15" s="250"/>
    </row>
    <row r="16" spans="1:10" x14ac:dyDescent="0.2">
      <c r="A16" s="249">
        <v>4</v>
      </c>
      <c r="B16" s="191" t="s">
        <v>890</v>
      </c>
      <c r="C16" s="191" t="s">
        <v>891</v>
      </c>
      <c r="D16" s="199" t="s">
        <v>892</v>
      </c>
      <c r="E16" s="200">
        <v>3321</v>
      </c>
      <c r="F16" s="202">
        <v>36.755249999999997</v>
      </c>
      <c r="G16" s="207">
        <f t="shared" si="0"/>
        <v>7.8452975336551212E-3</v>
      </c>
      <c r="H16" s="210"/>
      <c r="I16" s="210"/>
      <c r="J16" s="250"/>
    </row>
    <row r="17" spans="1:10" x14ac:dyDescent="0.2">
      <c r="A17" s="249">
        <v>5</v>
      </c>
      <c r="B17" s="191" t="s">
        <v>893</v>
      </c>
      <c r="C17" s="191" t="s">
        <v>894</v>
      </c>
      <c r="D17" s="199" t="s">
        <v>892</v>
      </c>
      <c r="E17" s="200">
        <v>12565</v>
      </c>
      <c r="F17" s="202">
        <v>36.612037799999996</v>
      </c>
      <c r="G17" s="207">
        <f t="shared" si="0"/>
        <v>7.8147293204216556E-3</v>
      </c>
      <c r="H17" s="210"/>
      <c r="I17" s="210"/>
      <c r="J17" s="250"/>
    </row>
    <row r="18" spans="1:10" x14ac:dyDescent="0.2">
      <c r="A18" s="249">
        <v>6</v>
      </c>
      <c r="B18" s="191" t="s">
        <v>895</v>
      </c>
      <c r="C18" s="191" t="s">
        <v>896</v>
      </c>
      <c r="D18" s="199" t="s">
        <v>892</v>
      </c>
      <c r="E18" s="200">
        <v>197</v>
      </c>
      <c r="F18" s="202">
        <v>11.9058739</v>
      </c>
      <c r="G18" s="207">
        <f t="shared" si="0"/>
        <v>2.5412729649146415E-3</v>
      </c>
      <c r="H18" s="210"/>
      <c r="I18" s="210"/>
      <c r="J18" s="250"/>
    </row>
    <row r="19" spans="1:10" x14ac:dyDescent="0.2">
      <c r="A19" s="190"/>
      <c r="B19" s="191"/>
      <c r="C19" s="191"/>
      <c r="D19" s="199"/>
      <c r="E19" s="200"/>
      <c r="F19" s="202"/>
      <c r="G19" s="207"/>
    </row>
    <row r="20" spans="1:10" x14ac:dyDescent="0.2">
      <c r="A20" s="190"/>
      <c r="B20" s="191"/>
      <c r="C20" s="251" t="s">
        <v>108</v>
      </c>
      <c r="D20" s="199"/>
      <c r="E20" s="200"/>
      <c r="F20" s="205">
        <f>SUM(F13:F18)</f>
        <v>355.67188400000003</v>
      </c>
      <c r="G20" s="209">
        <f t="shared" si="0"/>
        <v>7.5917093594402726E-2</v>
      </c>
    </row>
    <row r="21" spans="1:10" x14ac:dyDescent="0.2">
      <c r="A21" s="190"/>
      <c r="B21" s="191"/>
      <c r="C21" s="199"/>
      <c r="D21" s="199"/>
      <c r="E21" s="200"/>
      <c r="F21" s="205"/>
      <c r="G21" s="206"/>
    </row>
    <row r="22" spans="1:10" x14ac:dyDescent="0.2">
      <c r="A22" s="190"/>
      <c r="B22" s="191"/>
      <c r="C22" s="201" t="s">
        <v>854</v>
      </c>
      <c r="D22" s="199"/>
      <c r="E22" s="200"/>
      <c r="F22" s="202"/>
      <c r="G22" s="203"/>
    </row>
    <row r="23" spans="1:10" x14ac:dyDescent="0.2">
      <c r="A23" s="252">
        <v>1</v>
      </c>
      <c r="B23" s="191" t="s">
        <v>897</v>
      </c>
      <c r="C23" s="191" t="s">
        <v>898</v>
      </c>
      <c r="D23" s="199" t="s">
        <v>899</v>
      </c>
      <c r="E23" s="200">
        <v>1152</v>
      </c>
      <c r="F23" s="253">
        <v>202.9198605</v>
      </c>
      <c r="G23" s="207">
        <f t="shared" ref="G23:G48" si="1">F23/$F$78</f>
        <v>4.3312633735596719E-2</v>
      </c>
      <c r="H23" s="210"/>
      <c r="I23" s="210"/>
      <c r="J23" s="210"/>
    </row>
    <row r="24" spans="1:10" x14ac:dyDescent="0.2">
      <c r="A24" s="252">
        <v>2</v>
      </c>
      <c r="B24" s="191" t="s">
        <v>900</v>
      </c>
      <c r="C24" s="191" t="s">
        <v>901</v>
      </c>
      <c r="D24" s="199" t="s">
        <v>902</v>
      </c>
      <c r="E24" s="200">
        <v>1988</v>
      </c>
      <c r="F24" s="253">
        <v>201.8209253</v>
      </c>
      <c r="G24" s="207">
        <f t="shared" si="1"/>
        <v>4.3078069323323462E-2</v>
      </c>
      <c r="H24" s="210"/>
      <c r="I24" s="210"/>
      <c r="J24" s="210"/>
    </row>
    <row r="25" spans="1:10" x14ac:dyDescent="0.2">
      <c r="A25" s="252">
        <v>3</v>
      </c>
      <c r="B25" s="191" t="s">
        <v>903</v>
      </c>
      <c r="C25" s="191" t="s">
        <v>904</v>
      </c>
      <c r="D25" s="199" t="s">
        <v>905</v>
      </c>
      <c r="E25" s="200">
        <v>159</v>
      </c>
      <c r="F25" s="253">
        <v>200.02900600000001</v>
      </c>
      <c r="G25" s="207">
        <f t="shared" si="1"/>
        <v>4.2695589539760596E-2</v>
      </c>
      <c r="H25" s="210"/>
      <c r="I25" s="210"/>
      <c r="J25" s="210"/>
    </row>
    <row r="26" spans="1:10" x14ac:dyDescent="0.2">
      <c r="A26" s="252">
        <v>4</v>
      </c>
      <c r="B26" s="191" t="s">
        <v>906</v>
      </c>
      <c r="C26" s="191" t="s">
        <v>907</v>
      </c>
      <c r="D26" s="199" t="s">
        <v>908</v>
      </c>
      <c r="E26" s="200">
        <v>216</v>
      </c>
      <c r="F26" s="253">
        <v>192.531597</v>
      </c>
      <c r="G26" s="207">
        <f t="shared" si="1"/>
        <v>4.1095290144803308E-2</v>
      </c>
      <c r="H26" s="210"/>
      <c r="I26" s="210"/>
      <c r="J26" s="210"/>
    </row>
    <row r="27" spans="1:10" x14ac:dyDescent="0.2">
      <c r="A27" s="252">
        <v>5</v>
      </c>
      <c r="B27" s="191" t="s">
        <v>909</v>
      </c>
      <c r="C27" s="191" t="s">
        <v>910</v>
      </c>
      <c r="D27" s="199" t="s">
        <v>911</v>
      </c>
      <c r="E27" s="200">
        <v>1768</v>
      </c>
      <c r="F27" s="253">
        <v>155.87555809999998</v>
      </c>
      <c r="G27" s="207">
        <f t="shared" si="1"/>
        <v>3.3271168921964765E-2</v>
      </c>
      <c r="H27" s="210"/>
      <c r="I27" s="210"/>
      <c r="J27" s="210"/>
    </row>
    <row r="28" spans="1:10" x14ac:dyDescent="0.2">
      <c r="A28" s="252">
        <v>6</v>
      </c>
      <c r="B28" s="191" t="s">
        <v>912</v>
      </c>
      <c r="C28" s="191" t="s">
        <v>913</v>
      </c>
      <c r="D28" s="199" t="s">
        <v>892</v>
      </c>
      <c r="E28" s="200">
        <v>493</v>
      </c>
      <c r="F28" s="253">
        <v>149.03608789999998</v>
      </c>
      <c r="G28" s="207">
        <f t="shared" si="1"/>
        <v>3.1811304584446518E-2</v>
      </c>
      <c r="H28" s="210"/>
      <c r="I28" s="210"/>
      <c r="J28" s="210"/>
    </row>
    <row r="29" spans="1:10" x14ac:dyDescent="0.2">
      <c r="A29" s="252">
        <v>7</v>
      </c>
      <c r="B29" s="191" t="s">
        <v>914</v>
      </c>
      <c r="C29" s="191" t="s">
        <v>915</v>
      </c>
      <c r="D29" s="199" t="s">
        <v>916</v>
      </c>
      <c r="E29" s="200">
        <v>992</v>
      </c>
      <c r="F29" s="253">
        <v>138.16802820000001</v>
      </c>
      <c r="G29" s="207">
        <f t="shared" si="1"/>
        <v>2.9491549938238791E-2</v>
      </c>
      <c r="H29" s="210"/>
      <c r="I29" s="210"/>
      <c r="J29" s="210"/>
    </row>
    <row r="30" spans="1:10" x14ac:dyDescent="0.2">
      <c r="A30" s="252">
        <v>8</v>
      </c>
      <c r="B30" s="191" t="s">
        <v>917</v>
      </c>
      <c r="C30" s="191" t="s">
        <v>918</v>
      </c>
      <c r="D30" s="199" t="s">
        <v>919</v>
      </c>
      <c r="E30" s="200">
        <v>3464</v>
      </c>
      <c r="F30" s="253">
        <v>133.50814</v>
      </c>
      <c r="G30" s="207">
        <f t="shared" si="1"/>
        <v>2.849691082130805E-2</v>
      </c>
      <c r="H30" s="210"/>
      <c r="I30" s="210"/>
      <c r="J30" s="210"/>
    </row>
    <row r="31" spans="1:10" x14ac:dyDescent="0.2">
      <c r="A31" s="252">
        <v>9</v>
      </c>
      <c r="B31" s="191" t="s">
        <v>920</v>
      </c>
      <c r="C31" s="191" t="s">
        <v>921</v>
      </c>
      <c r="D31" s="199" t="s">
        <v>908</v>
      </c>
      <c r="E31" s="200">
        <v>922</v>
      </c>
      <c r="F31" s="253">
        <v>125.12130699999999</v>
      </c>
      <c r="G31" s="207">
        <f t="shared" si="1"/>
        <v>2.6706766549399207E-2</v>
      </c>
      <c r="H31" s="210"/>
      <c r="I31" s="210"/>
      <c r="J31" s="210"/>
    </row>
    <row r="32" spans="1:10" x14ac:dyDescent="0.2">
      <c r="A32" s="252">
        <v>10</v>
      </c>
      <c r="B32" s="191" t="s">
        <v>922</v>
      </c>
      <c r="C32" s="191" t="s">
        <v>923</v>
      </c>
      <c r="D32" s="199" t="s">
        <v>924</v>
      </c>
      <c r="E32" s="200">
        <v>1290</v>
      </c>
      <c r="F32" s="253">
        <v>118.6744561</v>
      </c>
      <c r="G32" s="207">
        <f t="shared" si="1"/>
        <v>2.5330705620263582E-2</v>
      </c>
      <c r="H32" s="210"/>
      <c r="I32" s="210"/>
      <c r="J32" s="210"/>
    </row>
    <row r="33" spans="1:10" x14ac:dyDescent="0.2">
      <c r="A33" s="252">
        <v>11</v>
      </c>
      <c r="B33" s="191" t="s">
        <v>925</v>
      </c>
      <c r="C33" s="191" t="s">
        <v>926</v>
      </c>
      <c r="D33" s="199" t="s">
        <v>927</v>
      </c>
      <c r="E33" s="200">
        <v>1306</v>
      </c>
      <c r="F33" s="253">
        <v>115.522527</v>
      </c>
      <c r="G33" s="207">
        <f t="shared" si="1"/>
        <v>2.4657935836505183E-2</v>
      </c>
      <c r="H33" s="210"/>
      <c r="I33" s="210"/>
      <c r="J33" s="210"/>
    </row>
    <row r="34" spans="1:10" x14ac:dyDescent="0.2">
      <c r="A34" s="252">
        <v>12</v>
      </c>
      <c r="B34" s="191" t="s">
        <v>928</v>
      </c>
      <c r="C34" s="191" t="s">
        <v>929</v>
      </c>
      <c r="D34" s="199" t="s">
        <v>930</v>
      </c>
      <c r="E34" s="200">
        <v>2884</v>
      </c>
      <c r="F34" s="253">
        <v>115.44251220000001</v>
      </c>
      <c r="G34" s="207">
        <f t="shared" si="1"/>
        <v>2.4640856918171184E-2</v>
      </c>
      <c r="H34" s="210"/>
      <c r="I34" s="210"/>
      <c r="J34" s="210"/>
    </row>
    <row r="35" spans="1:10" x14ac:dyDescent="0.2">
      <c r="A35" s="252">
        <v>13</v>
      </c>
      <c r="B35" s="191" t="s">
        <v>931</v>
      </c>
      <c r="C35" s="191" t="s">
        <v>932</v>
      </c>
      <c r="D35" s="199" t="s">
        <v>933</v>
      </c>
      <c r="E35" s="200">
        <v>1188</v>
      </c>
      <c r="F35" s="253">
        <v>112.4959307</v>
      </c>
      <c r="G35" s="207">
        <f t="shared" si="1"/>
        <v>2.4011917961840757E-2</v>
      </c>
      <c r="H35" s="210"/>
      <c r="I35" s="210"/>
      <c r="J35" s="210"/>
    </row>
    <row r="36" spans="1:10" x14ac:dyDescent="0.2">
      <c r="A36" s="252">
        <v>14</v>
      </c>
      <c r="B36" s="191" t="s">
        <v>934</v>
      </c>
      <c r="C36" s="191" t="s">
        <v>935</v>
      </c>
      <c r="D36" s="199" t="s">
        <v>936</v>
      </c>
      <c r="E36" s="200">
        <v>2497</v>
      </c>
      <c r="F36" s="253">
        <v>96.344489100000004</v>
      </c>
      <c r="G36" s="207">
        <f t="shared" si="1"/>
        <v>2.056444134422954E-2</v>
      </c>
      <c r="H36" s="210"/>
      <c r="I36" s="210"/>
      <c r="J36" s="210"/>
    </row>
    <row r="37" spans="1:10" x14ac:dyDescent="0.2">
      <c r="A37" s="252">
        <v>15</v>
      </c>
      <c r="B37" s="191" t="s">
        <v>937</v>
      </c>
      <c r="C37" s="191" t="s">
        <v>938</v>
      </c>
      <c r="D37" s="199" t="s">
        <v>939</v>
      </c>
      <c r="E37" s="200">
        <v>2833</v>
      </c>
      <c r="F37" s="253">
        <v>95.306634200000005</v>
      </c>
      <c r="G37" s="207">
        <f t="shared" si="1"/>
        <v>2.0342914338230073E-2</v>
      </c>
      <c r="H37" s="210"/>
      <c r="I37" s="210"/>
      <c r="J37" s="210"/>
    </row>
    <row r="38" spans="1:10" x14ac:dyDescent="0.2">
      <c r="A38" s="252">
        <v>16</v>
      </c>
      <c r="B38" s="191" t="s">
        <v>940</v>
      </c>
      <c r="C38" s="191" t="s">
        <v>941</v>
      </c>
      <c r="D38" s="199" t="s">
        <v>942</v>
      </c>
      <c r="E38" s="200">
        <v>1309</v>
      </c>
      <c r="F38" s="253">
        <v>83.003568600000008</v>
      </c>
      <c r="G38" s="207">
        <f t="shared" si="1"/>
        <v>1.7716861999908958E-2</v>
      </c>
      <c r="H38" s="210"/>
      <c r="I38" s="210"/>
      <c r="J38" s="210"/>
    </row>
    <row r="39" spans="1:10" x14ac:dyDescent="0.2">
      <c r="A39" s="252">
        <v>17</v>
      </c>
      <c r="B39" s="191" t="s">
        <v>943</v>
      </c>
      <c r="C39" s="191" t="s">
        <v>944</v>
      </c>
      <c r="D39" s="199" t="s">
        <v>945</v>
      </c>
      <c r="E39" s="200">
        <v>979</v>
      </c>
      <c r="F39" s="253">
        <v>79.838723799999997</v>
      </c>
      <c r="G39" s="207">
        <f t="shared" si="1"/>
        <v>1.7041335398842682E-2</v>
      </c>
      <c r="H39" s="210"/>
      <c r="I39" s="210"/>
      <c r="J39" s="210"/>
    </row>
    <row r="40" spans="1:10" x14ac:dyDescent="0.2">
      <c r="A40" s="252">
        <v>18</v>
      </c>
      <c r="B40" s="191" t="s">
        <v>946</v>
      </c>
      <c r="C40" s="191" t="s">
        <v>947</v>
      </c>
      <c r="D40" s="199" t="s">
        <v>948</v>
      </c>
      <c r="E40" s="200">
        <v>1417</v>
      </c>
      <c r="F40" s="253">
        <v>76.948982600000008</v>
      </c>
      <c r="G40" s="207">
        <f t="shared" si="1"/>
        <v>1.6424528833542174E-2</v>
      </c>
      <c r="H40" s="210"/>
      <c r="I40" s="210"/>
      <c r="J40" s="210"/>
    </row>
    <row r="41" spans="1:10" x14ac:dyDescent="0.2">
      <c r="A41" s="252">
        <v>19</v>
      </c>
      <c r="B41" s="191" t="s">
        <v>949</v>
      </c>
      <c r="C41" s="191" t="s">
        <v>950</v>
      </c>
      <c r="D41" s="199" t="s">
        <v>919</v>
      </c>
      <c r="E41" s="200">
        <v>781</v>
      </c>
      <c r="F41" s="253">
        <v>75.858054500000009</v>
      </c>
      <c r="G41" s="207">
        <f t="shared" si="1"/>
        <v>1.6191673512674403E-2</v>
      </c>
      <c r="H41" s="210"/>
      <c r="I41" s="210"/>
      <c r="J41" s="210"/>
    </row>
    <row r="42" spans="1:10" x14ac:dyDescent="0.2">
      <c r="A42" s="252">
        <v>20</v>
      </c>
      <c r="B42" s="191" t="s">
        <v>951</v>
      </c>
      <c r="C42" s="191" t="s">
        <v>952</v>
      </c>
      <c r="D42" s="199" t="s">
        <v>927</v>
      </c>
      <c r="E42" s="200">
        <v>833</v>
      </c>
      <c r="F42" s="253">
        <v>69.176802899999998</v>
      </c>
      <c r="G42" s="207">
        <f t="shared" si="1"/>
        <v>1.4765580459322586E-2</v>
      </c>
      <c r="H42" s="210"/>
      <c r="I42" s="210"/>
      <c r="J42" s="210"/>
    </row>
    <row r="43" spans="1:10" x14ac:dyDescent="0.2">
      <c r="A43" s="252">
        <v>21</v>
      </c>
      <c r="B43" s="191" t="s">
        <v>953</v>
      </c>
      <c r="C43" s="191" t="s">
        <v>954</v>
      </c>
      <c r="D43" s="199" t="s">
        <v>955</v>
      </c>
      <c r="E43" s="200">
        <v>734</v>
      </c>
      <c r="F43" s="253">
        <v>68.916876200000004</v>
      </c>
      <c r="G43" s="207">
        <f t="shared" si="1"/>
        <v>1.4710099887201839E-2</v>
      </c>
      <c r="H43" s="210"/>
      <c r="I43" s="210"/>
      <c r="J43" s="210"/>
    </row>
    <row r="44" spans="1:10" x14ac:dyDescent="0.2">
      <c r="A44" s="252">
        <v>22</v>
      </c>
      <c r="B44" s="191" t="s">
        <v>956</v>
      </c>
      <c r="C44" s="191" t="s">
        <v>957</v>
      </c>
      <c r="D44" s="199" t="s">
        <v>936</v>
      </c>
      <c r="E44" s="200">
        <v>496</v>
      </c>
      <c r="F44" s="253">
        <v>65.122307599999999</v>
      </c>
      <c r="G44" s="207">
        <f t="shared" si="1"/>
        <v>1.3900160635561183E-2</v>
      </c>
      <c r="H44" s="210"/>
      <c r="I44" s="210"/>
      <c r="J44" s="210"/>
    </row>
    <row r="45" spans="1:10" x14ac:dyDescent="0.2">
      <c r="A45" s="252">
        <v>23</v>
      </c>
      <c r="B45" s="191" t="s">
        <v>958</v>
      </c>
      <c r="C45" s="191" t="s">
        <v>959</v>
      </c>
      <c r="D45" s="199" t="s">
        <v>960</v>
      </c>
      <c r="E45" s="200">
        <v>8961</v>
      </c>
      <c r="F45" s="253">
        <v>63.325488200000002</v>
      </c>
      <c r="G45" s="207">
        <f t="shared" si="1"/>
        <v>1.351663494039536E-2</v>
      </c>
      <c r="H45" s="210"/>
      <c r="I45" s="210"/>
      <c r="J45" s="210"/>
    </row>
    <row r="46" spans="1:10" x14ac:dyDescent="0.2">
      <c r="A46" s="252">
        <v>24</v>
      </c>
      <c r="B46" s="191" t="s">
        <v>961</v>
      </c>
      <c r="C46" s="191" t="s">
        <v>962</v>
      </c>
      <c r="D46" s="199" t="s">
        <v>892</v>
      </c>
      <c r="E46" s="200">
        <v>1524</v>
      </c>
      <c r="F46" s="253">
        <v>63.126572599999996</v>
      </c>
      <c r="G46" s="207">
        <f t="shared" si="1"/>
        <v>1.3474177004016595E-2</v>
      </c>
      <c r="H46" s="210"/>
      <c r="I46" s="210"/>
      <c r="J46" s="210"/>
    </row>
    <row r="47" spans="1:10" x14ac:dyDescent="0.2">
      <c r="A47" s="252">
        <v>25</v>
      </c>
      <c r="B47" s="191" t="s">
        <v>963</v>
      </c>
      <c r="C47" s="191" t="s">
        <v>964</v>
      </c>
      <c r="D47" s="199" t="s">
        <v>892</v>
      </c>
      <c r="E47" s="200">
        <v>67</v>
      </c>
      <c r="F47" s="253">
        <v>34.154474</v>
      </c>
      <c r="G47" s="207">
        <f t="shared" si="1"/>
        <v>7.2901697209374981E-3</v>
      </c>
      <c r="H47" s="210"/>
      <c r="I47" s="210"/>
      <c r="J47" s="210"/>
    </row>
    <row r="48" spans="1:10" x14ac:dyDescent="0.2">
      <c r="A48" s="252">
        <v>26</v>
      </c>
      <c r="B48" s="191" t="s">
        <v>965</v>
      </c>
      <c r="C48" s="191" t="s">
        <v>966</v>
      </c>
      <c r="D48" s="199" t="s">
        <v>960</v>
      </c>
      <c r="E48" s="200">
        <v>49</v>
      </c>
      <c r="F48" s="253">
        <v>2.4069069999999999</v>
      </c>
      <c r="G48" s="207">
        <f t="shared" si="1"/>
        <v>5.1374705792607176E-4</v>
      </c>
      <c r="H48" s="210"/>
      <c r="I48" s="210"/>
      <c r="J48" s="210"/>
    </row>
    <row r="49" spans="1:8" x14ac:dyDescent="0.2">
      <c r="A49" s="190"/>
      <c r="B49" s="191"/>
      <c r="C49" s="191"/>
      <c r="D49" s="199"/>
      <c r="E49" s="202" t="s">
        <v>850</v>
      </c>
      <c r="F49" s="202"/>
      <c r="G49" s="207"/>
    </row>
    <row r="50" spans="1:8" x14ac:dyDescent="0.2">
      <c r="A50" s="190"/>
      <c r="B50" s="191"/>
      <c r="C50" s="198" t="s">
        <v>108</v>
      </c>
      <c r="D50" s="199"/>
      <c r="E50" s="199" t="s">
        <v>850</v>
      </c>
      <c r="F50" s="196">
        <f>SUM(F23:F48)</f>
        <v>2834.6758173000003</v>
      </c>
      <c r="G50" s="209">
        <f>F50/$F$78</f>
        <v>0.60505302502841118</v>
      </c>
      <c r="H50" s="208"/>
    </row>
    <row r="51" spans="1:8" x14ac:dyDescent="0.2">
      <c r="A51" s="190"/>
      <c r="B51" s="191"/>
      <c r="C51" s="198"/>
      <c r="D51" s="199"/>
      <c r="E51" s="199"/>
      <c r="F51" s="196"/>
      <c r="G51" s="197"/>
    </row>
    <row r="52" spans="1:8" x14ac:dyDescent="0.2">
      <c r="A52" s="190"/>
      <c r="B52" s="191"/>
      <c r="C52" s="198" t="s">
        <v>855</v>
      </c>
      <c r="D52" s="199" t="s">
        <v>850</v>
      </c>
      <c r="E52" s="196" t="s">
        <v>849</v>
      </c>
      <c r="F52" s="196" t="s">
        <v>849</v>
      </c>
      <c r="G52" s="197" t="s">
        <v>849</v>
      </c>
    </row>
    <row r="53" spans="1:8" x14ac:dyDescent="0.2">
      <c r="A53" s="190"/>
      <c r="B53" s="191"/>
      <c r="C53" s="198" t="s">
        <v>108</v>
      </c>
      <c r="D53" s="199" t="s">
        <v>850</v>
      </c>
      <c r="E53" s="196" t="s">
        <v>849</v>
      </c>
      <c r="F53" s="196" t="s">
        <v>849</v>
      </c>
      <c r="G53" s="197" t="s">
        <v>849</v>
      </c>
    </row>
    <row r="54" spans="1:8" x14ac:dyDescent="0.2">
      <c r="A54" s="190"/>
      <c r="B54" s="191"/>
      <c r="C54" s="198" t="s">
        <v>851</v>
      </c>
      <c r="D54" s="199" t="s">
        <v>850</v>
      </c>
      <c r="E54" s="199" t="s">
        <v>850</v>
      </c>
      <c r="F54" s="196">
        <f>F50+F20</f>
        <v>3190.3477013000002</v>
      </c>
      <c r="G54" s="209">
        <f>F54/$F$78</f>
        <v>0.68097011862281387</v>
      </c>
    </row>
    <row r="55" spans="1:8" x14ac:dyDescent="0.2">
      <c r="A55" s="190"/>
      <c r="B55" s="191"/>
      <c r="C55" s="213"/>
      <c r="D55" s="199"/>
      <c r="E55" s="199"/>
      <c r="F55" s="214"/>
      <c r="G55" s="197"/>
    </row>
    <row r="56" spans="1:8" x14ac:dyDescent="0.2">
      <c r="A56" s="190"/>
      <c r="B56" s="191"/>
      <c r="C56" s="213" t="s">
        <v>856</v>
      </c>
      <c r="D56" s="199"/>
      <c r="E56" s="199"/>
      <c r="F56" s="214"/>
      <c r="G56" s="197"/>
    </row>
    <row r="57" spans="1:8" x14ac:dyDescent="0.2">
      <c r="A57" s="190"/>
      <c r="B57" s="191"/>
      <c r="C57" s="190" t="s">
        <v>857</v>
      </c>
      <c r="D57" s="199"/>
      <c r="E57" s="196" t="s">
        <v>849</v>
      </c>
      <c r="F57" s="196" t="s">
        <v>849</v>
      </c>
      <c r="G57" s="196" t="s">
        <v>849</v>
      </c>
    </row>
    <row r="58" spans="1:8" x14ac:dyDescent="0.2">
      <c r="A58" s="190"/>
      <c r="B58" s="191"/>
      <c r="C58" s="190" t="s">
        <v>858</v>
      </c>
      <c r="D58" s="199"/>
      <c r="E58" s="196" t="s">
        <v>849</v>
      </c>
      <c r="F58" s="196" t="s">
        <v>849</v>
      </c>
      <c r="G58" s="196" t="s">
        <v>849</v>
      </c>
    </row>
    <row r="59" spans="1:8" x14ac:dyDescent="0.2">
      <c r="A59" s="190"/>
      <c r="B59" s="191"/>
      <c r="C59" s="190" t="s">
        <v>859</v>
      </c>
      <c r="D59" s="199"/>
      <c r="E59" s="196" t="s">
        <v>849</v>
      </c>
      <c r="F59" s="196" t="s">
        <v>849</v>
      </c>
      <c r="G59" s="196" t="s">
        <v>849</v>
      </c>
    </row>
    <row r="60" spans="1:8" x14ac:dyDescent="0.2">
      <c r="A60" s="190"/>
      <c r="B60" s="191"/>
      <c r="C60" s="190"/>
      <c r="D60" s="199"/>
      <c r="E60" s="199"/>
      <c r="F60" s="215"/>
      <c r="G60" s="216"/>
    </row>
    <row r="61" spans="1:8" x14ac:dyDescent="0.2">
      <c r="A61" s="190"/>
      <c r="B61" s="191"/>
      <c r="C61" s="254" t="s">
        <v>860</v>
      </c>
      <c r="D61" s="199"/>
      <c r="E61" s="199"/>
      <c r="F61" s="215"/>
      <c r="G61" s="216"/>
    </row>
    <row r="62" spans="1:8" x14ac:dyDescent="0.2">
      <c r="A62" s="190"/>
      <c r="B62" s="191"/>
      <c r="C62" s="198" t="s">
        <v>108</v>
      </c>
      <c r="D62" s="199" t="s">
        <v>850</v>
      </c>
      <c r="E62" s="196" t="s">
        <v>849</v>
      </c>
      <c r="F62" s="196" t="s">
        <v>849</v>
      </c>
      <c r="G62" s="197" t="s">
        <v>849</v>
      </c>
    </row>
    <row r="63" spans="1:8" x14ac:dyDescent="0.2">
      <c r="A63" s="190"/>
      <c r="B63" s="191"/>
      <c r="C63" s="198" t="s">
        <v>851</v>
      </c>
      <c r="D63" s="199" t="s">
        <v>850</v>
      </c>
      <c r="E63" s="199" t="s">
        <v>850</v>
      </c>
      <c r="F63" s="196" t="s">
        <v>849</v>
      </c>
      <c r="G63" s="197" t="s">
        <v>849</v>
      </c>
    </row>
    <row r="64" spans="1:8" x14ac:dyDescent="0.2">
      <c r="A64" s="190"/>
      <c r="B64" s="191"/>
      <c r="C64" s="198"/>
      <c r="D64" s="199"/>
      <c r="E64" s="199"/>
      <c r="F64" s="196"/>
      <c r="G64" s="197"/>
    </row>
    <row r="65" spans="1:9" x14ac:dyDescent="0.2">
      <c r="A65" s="190"/>
      <c r="B65" s="191"/>
      <c r="C65" s="198" t="s">
        <v>861</v>
      </c>
      <c r="D65" s="199"/>
      <c r="E65" s="199"/>
      <c r="F65" s="196"/>
      <c r="G65" s="197"/>
    </row>
    <row r="66" spans="1:9" x14ac:dyDescent="0.2">
      <c r="A66" s="190"/>
      <c r="B66" s="191"/>
      <c r="C66" s="198" t="s">
        <v>862</v>
      </c>
      <c r="D66" s="199"/>
      <c r="E66" s="196" t="s">
        <v>849</v>
      </c>
      <c r="F66" s="196" t="s">
        <v>849</v>
      </c>
      <c r="G66" s="197" t="s">
        <v>849</v>
      </c>
    </row>
    <row r="67" spans="1:9" hidden="1" x14ac:dyDescent="0.2">
      <c r="A67" s="190"/>
      <c r="B67" s="191"/>
      <c r="C67" s="191"/>
      <c r="D67" s="199"/>
      <c r="E67" s="200"/>
      <c r="F67" s="255"/>
      <c r="G67" s="207"/>
    </row>
    <row r="68" spans="1:9" x14ac:dyDescent="0.2">
      <c r="A68" s="190"/>
      <c r="B68" s="191"/>
      <c r="C68" s="198" t="s">
        <v>108</v>
      </c>
      <c r="D68" s="199"/>
      <c r="E68" s="199"/>
      <c r="F68" s="196" t="s">
        <v>849</v>
      </c>
      <c r="G68" s="197" t="s">
        <v>849</v>
      </c>
    </row>
    <row r="69" spans="1:9" x14ac:dyDescent="0.2">
      <c r="A69" s="190"/>
      <c r="B69" s="191"/>
      <c r="C69" s="198"/>
      <c r="D69" s="199"/>
      <c r="E69" s="199"/>
      <c r="F69" s="196"/>
      <c r="G69" s="197"/>
    </row>
    <row r="70" spans="1:9" x14ac:dyDescent="0.2">
      <c r="A70" s="190"/>
      <c r="B70" s="191"/>
      <c r="C70" s="198" t="s">
        <v>863</v>
      </c>
      <c r="D70" s="199" t="s">
        <v>850</v>
      </c>
      <c r="E70" s="199" t="s">
        <v>850</v>
      </c>
      <c r="F70" s="218" t="s">
        <v>850</v>
      </c>
      <c r="G70" s="219" t="s">
        <v>850</v>
      </c>
    </row>
    <row r="71" spans="1:9" x14ac:dyDescent="0.2">
      <c r="A71" s="190"/>
      <c r="B71" s="191"/>
      <c r="C71" s="160" t="s">
        <v>812</v>
      </c>
      <c r="D71" s="199" t="s">
        <v>864</v>
      </c>
      <c r="E71" s="200"/>
      <c r="F71" s="202">
        <v>1502.8023705000001</v>
      </c>
      <c r="G71" s="207">
        <f>F71/$F$78</f>
        <v>0.32076864477468447</v>
      </c>
      <c r="H71" s="250"/>
    </row>
    <row r="72" spans="1:9" x14ac:dyDescent="0.2">
      <c r="A72" s="190"/>
      <c r="B72" s="191"/>
      <c r="C72" s="198" t="s">
        <v>108</v>
      </c>
      <c r="D72" s="199" t="s">
        <v>850</v>
      </c>
      <c r="E72" s="199" t="s">
        <v>850</v>
      </c>
      <c r="F72" s="196">
        <f>F71</f>
        <v>1502.8023705000001</v>
      </c>
      <c r="G72" s="209">
        <f>F72/$F$78</f>
        <v>0.32076864477468447</v>
      </c>
    </row>
    <row r="73" spans="1:9" x14ac:dyDescent="0.2">
      <c r="A73" s="190"/>
      <c r="B73" s="191"/>
      <c r="C73" s="198"/>
      <c r="D73" s="199"/>
      <c r="E73" s="199"/>
      <c r="F73" s="196"/>
      <c r="G73" s="197"/>
    </row>
    <row r="74" spans="1:9" x14ac:dyDescent="0.2">
      <c r="A74" s="190"/>
      <c r="B74" s="191"/>
      <c r="C74" s="198" t="s">
        <v>134</v>
      </c>
      <c r="D74" s="199" t="s">
        <v>850</v>
      </c>
      <c r="E74" s="199" t="s">
        <v>850</v>
      </c>
      <c r="F74" s="202">
        <v>-8.1461134000005586</v>
      </c>
      <c r="G74" s="207">
        <f>F74/$F$78</f>
        <v>-1.7387633974982981E-3</v>
      </c>
      <c r="H74" s="210"/>
    </row>
    <row r="75" spans="1:9" x14ac:dyDescent="0.2">
      <c r="A75" s="190"/>
      <c r="B75" s="191"/>
      <c r="C75" s="198" t="s">
        <v>108</v>
      </c>
      <c r="D75" s="199"/>
      <c r="E75" s="199"/>
      <c r="F75" s="196">
        <f>+F74</f>
        <v>-8.1461134000005586</v>
      </c>
      <c r="G75" s="212">
        <f>F75/$F$78</f>
        <v>-1.7387633974982981E-3</v>
      </c>
      <c r="H75" s="210"/>
      <c r="I75" s="210"/>
    </row>
    <row r="76" spans="1:9" x14ac:dyDescent="0.2">
      <c r="A76" s="190"/>
      <c r="B76" s="191"/>
      <c r="C76" s="198" t="s">
        <v>851</v>
      </c>
      <c r="D76" s="199"/>
      <c r="E76" s="199"/>
      <c r="F76" s="196">
        <f>F72+F75</f>
        <v>1494.6562570999995</v>
      </c>
      <c r="G76" s="212">
        <f>F76/$F$78</f>
        <v>0.31902988137718619</v>
      </c>
      <c r="H76" s="210"/>
    </row>
    <row r="77" spans="1:9" x14ac:dyDescent="0.2">
      <c r="A77" s="190"/>
      <c r="B77" s="191"/>
      <c r="C77" s="198"/>
      <c r="D77" s="199"/>
      <c r="E77" s="199"/>
      <c r="F77" s="196"/>
      <c r="G77" s="197"/>
    </row>
    <row r="78" spans="1:9" x14ac:dyDescent="0.2">
      <c r="A78" s="190"/>
      <c r="B78" s="191"/>
      <c r="C78" s="198" t="s">
        <v>865</v>
      </c>
      <c r="D78" s="199" t="s">
        <v>850</v>
      </c>
      <c r="E78" s="199" t="s">
        <v>850</v>
      </c>
      <c r="F78" s="196">
        <v>4685.0039583999996</v>
      </c>
      <c r="G78" s="212">
        <f>G76+G54</f>
        <v>1</v>
      </c>
      <c r="H78" s="210"/>
    </row>
    <row r="79" spans="1:9" x14ac:dyDescent="0.2">
      <c r="A79" s="220"/>
      <c r="B79" s="221"/>
      <c r="C79" s="222"/>
      <c r="D79" s="221"/>
      <c r="E79" s="221"/>
      <c r="F79" s="256"/>
      <c r="G79" s="224"/>
      <c r="H79" s="257"/>
    </row>
    <row r="80" spans="1:9" x14ac:dyDescent="0.2">
      <c r="A80" s="220"/>
      <c r="B80" s="225" t="s">
        <v>137</v>
      </c>
      <c r="C80" s="220"/>
      <c r="D80" s="226"/>
      <c r="E80" s="226"/>
      <c r="F80" s="227"/>
      <c r="G80" s="224"/>
    </row>
    <row r="81" spans="1:7" x14ac:dyDescent="0.2">
      <c r="A81" s="220"/>
      <c r="B81" s="228" t="s">
        <v>866</v>
      </c>
      <c r="C81" s="228"/>
      <c r="D81" s="228"/>
      <c r="E81" s="226"/>
      <c r="F81" s="227"/>
      <c r="G81" s="224"/>
    </row>
    <row r="82" spans="1:7" x14ac:dyDescent="0.2">
      <c r="A82" s="220"/>
      <c r="B82" s="228" t="s">
        <v>867</v>
      </c>
      <c r="C82" s="228"/>
      <c r="D82" s="228"/>
      <c r="E82" s="226"/>
      <c r="F82" s="226"/>
      <c r="G82" s="224"/>
    </row>
    <row r="83" spans="1:7" x14ac:dyDescent="0.2">
      <c r="A83" s="220"/>
      <c r="B83" s="229" t="s">
        <v>868</v>
      </c>
      <c r="C83" s="229"/>
      <c r="D83" s="229"/>
      <c r="E83" s="226"/>
      <c r="F83" s="226"/>
      <c r="G83" s="230"/>
    </row>
    <row r="84" spans="1:7" x14ac:dyDescent="0.2">
      <c r="A84" s="220"/>
      <c r="B84" s="231"/>
      <c r="C84" s="232" t="s">
        <v>869</v>
      </c>
      <c r="D84" s="232"/>
      <c r="E84" s="232" t="s">
        <v>870</v>
      </c>
      <c r="F84" s="232"/>
      <c r="G84" s="220"/>
    </row>
    <row r="85" spans="1:7" x14ac:dyDescent="0.2">
      <c r="A85" s="220"/>
      <c r="B85" s="233"/>
      <c r="C85" s="234" t="s">
        <v>871</v>
      </c>
      <c r="D85" s="235" t="s">
        <v>872</v>
      </c>
      <c r="E85" s="234" t="s">
        <v>871</v>
      </c>
      <c r="F85" s="235" t="s">
        <v>872</v>
      </c>
      <c r="G85" s="220"/>
    </row>
    <row r="86" spans="1:7" x14ac:dyDescent="0.2">
      <c r="A86" s="220"/>
      <c r="B86" s="213" t="s">
        <v>873</v>
      </c>
      <c r="C86" s="236">
        <v>43738</v>
      </c>
      <c r="D86" s="236">
        <v>43769</v>
      </c>
      <c r="E86" s="236">
        <v>43738</v>
      </c>
      <c r="F86" s="236">
        <v>43769</v>
      </c>
      <c r="G86" s="220"/>
    </row>
    <row r="87" spans="1:7" x14ac:dyDescent="0.2">
      <c r="A87" s="220"/>
      <c r="B87" s="237" t="s">
        <v>874</v>
      </c>
      <c r="C87" s="238">
        <v>16.406099999999999</v>
      </c>
      <c r="D87" s="238">
        <v>16.6402</v>
      </c>
      <c r="E87" s="238">
        <v>16.0153</v>
      </c>
      <c r="F87" s="238">
        <v>16.235600000000002</v>
      </c>
      <c r="G87" s="220"/>
    </row>
    <row r="88" spans="1:7" x14ac:dyDescent="0.2">
      <c r="A88" s="220"/>
      <c r="B88" s="237" t="s">
        <v>875</v>
      </c>
      <c r="C88" s="238">
        <v>16.406099999999999</v>
      </c>
      <c r="D88" s="238">
        <v>16.6402</v>
      </c>
      <c r="E88" s="238">
        <v>16.0153</v>
      </c>
      <c r="F88" s="238">
        <v>16.235600000000002</v>
      </c>
      <c r="G88" s="220"/>
    </row>
    <row r="89" spans="1:7" x14ac:dyDescent="0.2">
      <c r="A89" s="220"/>
      <c r="B89" s="220"/>
      <c r="C89" s="226"/>
      <c r="D89" s="226"/>
      <c r="E89" s="239"/>
      <c r="F89" s="239"/>
      <c r="G89" s="230"/>
    </row>
    <row r="90" spans="1:7" x14ac:dyDescent="0.2">
      <c r="A90" s="220"/>
      <c r="B90" s="228" t="s">
        <v>876</v>
      </c>
      <c r="C90" s="228"/>
      <c r="D90" s="228"/>
      <c r="E90" s="226"/>
      <c r="F90" s="226"/>
      <c r="G90" s="230"/>
    </row>
    <row r="91" spans="1:7" x14ac:dyDescent="0.2">
      <c r="A91" s="220"/>
      <c r="B91" s="228" t="s">
        <v>877</v>
      </c>
      <c r="C91" s="228"/>
      <c r="D91" s="228"/>
      <c r="E91" s="226"/>
      <c r="F91" s="226"/>
      <c r="G91" s="230"/>
    </row>
    <row r="92" spans="1:7" x14ac:dyDescent="0.2">
      <c r="A92" s="220"/>
      <c r="B92" s="228" t="s">
        <v>967</v>
      </c>
      <c r="C92" s="228"/>
      <c r="D92" s="228"/>
      <c r="E92" s="227"/>
      <c r="F92" s="226"/>
      <c r="G92" s="230"/>
    </row>
    <row r="93" spans="1:7" x14ac:dyDescent="0.2">
      <c r="A93" s="220"/>
      <c r="B93" s="241" t="s">
        <v>968</v>
      </c>
      <c r="C93" s="241"/>
      <c r="D93" s="241"/>
      <c r="E93" s="226"/>
      <c r="F93" s="226"/>
      <c r="G93" s="230"/>
    </row>
    <row r="94" spans="1:7" x14ac:dyDescent="0.2">
      <c r="A94" s="220"/>
      <c r="B94" s="228" t="s">
        <v>880</v>
      </c>
      <c r="C94" s="228"/>
      <c r="D94" s="228"/>
      <c r="E94" s="226"/>
      <c r="F94" s="226"/>
      <c r="G94" s="230"/>
    </row>
    <row r="95" spans="1:7" x14ac:dyDescent="0.2">
      <c r="A95" s="220"/>
      <c r="B95" s="220"/>
      <c r="C95" s="242"/>
      <c r="D95" s="220"/>
      <c r="E95" s="220"/>
      <c r="F95" s="240"/>
      <c r="G95" s="230"/>
    </row>
    <row r="96" spans="1:7" x14ac:dyDescent="0.2">
      <c r="A96" s="220"/>
      <c r="B96" s="220"/>
      <c r="C96" s="220"/>
      <c r="D96" s="220"/>
      <c r="E96" s="220"/>
      <c r="F96" s="240"/>
      <c r="G96" s="230"/>
    </row>
    <row r="97" spans="1:7" x14ac:dyDescent="0.2">
      <c r="A97" s="220"/>
      <c r="B97" s="220"/>
      <c r="C97" s="220"/>
      <c r="D97" s="258"/>
      <c r="E97" s="220"/>
      <c r="F97" s="240"/>
      <c r="G97" s="230"/>
    </row>
    <row r="98" spans="1:7" x14ac:dyDescent="0.2">
      <c r="A98" s="220"/>
      <c r="B98" s="220"/>
      <c r="C98" s="220"/>
      <c r="D98" s="220"/>
      <c r="E98" s="220"/>
      <c r="F98" s="240"/>
      <c r="G98" s="230"/>
    </row>
    <row r="99" spans="1:7" x14ac:dyDescent="0.2">
      <c r="A99" s="220"/>
      <c r="B99" s="220"/>
      <c r="C99" s="220"/>
      <c r="D99" s="220"/>
      <c r="E99" s="220"/>
      <c r="F99" s="240"/>
      <c r="G99" s="230"/>
    </row>
    <row r="100" spans="1:7" x14ac:dyDescent="0.2">
      <c r="A100" s="220"/>
      <c r="B100" s="220"/>
      <c r="C100" s="220"/>
      <c r="D100" s="220"/>
      <c r="E100" s="220"/>
      <c r="F100" s="240"/>
      <c r="G100" s="230"/>
    </row>
    <row r="101" spans="1:7" x14ac:dyDescent="0.2">
      <c r="A101" s="220"/>
      <c r="B101" s="220"/>
      <c r="C101" s="220"/>
      <c r="D101" s="220"/>
      <c r="E101" s="220"/>
      <c r="F101" s="240"/>
      <c r="G101" s="230"/>
    </row>
    <row r="102" spans="1:7" x14ac:dyDescent="0.2">
      <c r="A102" s="220"/>
      <c r="B102" s="220"/>
      <c r="C102" s="220"/>
      <c r="D102" s="220"/>
      <c r="E102" s="220"/>
      <c r="F102" s="240"/>
      <c r="G102" s="230"/>
    </row>
    <row r="103" spans="1:7" x14ac:dyDescent="0.2">
      <c r="A103" s="220"/>
      <c r="B103" s="220"/>
      <c r="C103" s="220"/>
      <c r="D103" s="220"/>
      <c r="E103" s="220"/>
      <c r="F103" s="240"/>
      <c r="G103" s="230"/>
    </row>
    <row r="104" spans="1:7" x14ac:dyDescent="0.2">
      <c r="A104" s="220"/>
      <c r="B104" s="220"/>
      <c r="C104" s="220"/>
      <c r="D104" s="220"/>
      <c r="E104" s="220"/>
      <c r="F104" s="240"/>
      <c r="G104" s="230"/>
    </row>
    <row r="105" spans="1:7" x14ac:dyDescent="0.2">
      <c r="A105" s="220"/>
      <c r="B105" s="220"/>
      <c r="C105" s="220"/>
      <c r="D105" s="220"/>
      <c r="E105" s="220"/>
      <c r="F105" s="240"/>
      <c r="G105" s="230"/>
    </row>
  </sheetData>
  <mergeCells count="13">
    <mergeCell ref="B94:D94"/>
    <mergeCell ref="C84:D84"/>
    <mergeCell ref="E84:F84"/>
    <mergeCell ref="B90:D90"/>
    <mergeCell ref="B91:D91"/>
    <mergeCell ref="B92:D92"/>
    <mergeCell ref="B93:D93"/>
    <mergeCell ref="A1:G1"/>
    <mergeCell ref="A2:G2"/>
    <mergeCell ref="A3:G3"/>
    <mergeCell ref="B81:D81"/>
    <mergeCell ref="B82:D82"/>
    <mergeCell ref="B83:D8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A0E3-5B5B-4366-B089-9BFF4BFE18D9}">
  <dimension ref="A1:O38"/>
  <sheetViews>
    <sheetView workbookViewId="0">
      <selection sqref="A1:G1"/>
    </sheetView>
  </sheetViews>
  <sheetFormatPr defaultRowHeight="15" x14ac:dyDescent="0.25"/>
  <cols>
    <col min="1" max="1" width="5.42578125" style="261" bestFit="1" customWidth="1"/>
    <col min="2" max="2" width="19.7109375" style="261" bestFit="1" customWidth="1"/>
    <col min="3" max="3" width="40.28515625" style="261" bestFit="1" customWidth="1"/>
    <col min="4" max="4" width="15.28515625" style="261" bestFit="1" customWidth="1"/>
    <col min="5" max="5" width="12" style="261" bestFit="1" customWidth="1"/>
    <col min="6" max="6" width="10.140625" style="261" bestFit="1" customWidth="1"/>
    <col min="7" max="7" width="14" style="261" bestFit="1" customWidth="1"/>
    <col min="8" max="8" width="11.85546875" style="261" bestFit="1" customWidth="1"/>
    <col min="9" max="9" width="15.28515625" style="261" bestFit="1" customWidth="1"/>
    <col min="10" max="10" width="14.85546875" style="261" customWidth="1"/>
    <col min="11" max="11" width="9.7109375" style="261" customWidth="1"/>
    <col min="12" max="12" width="6.140625" style="261" customWidth="1"/>
    <col min="13" max="257" width="9.140625" style="261"/>
    <col min="258" max="258" width="5.42578125" style="261" bestFit="1" customWidth="1"/>
    <col min="259" max="259" width="20.42578125" style="261" bestFit="1" customWidth="1"/>
    <col min="260" max="260" width="41.42578125" style="261" customWidth="1"/>
    <col min="261" max="261" width="15.28515625" style="261" bestFit="1" customWidth="1"/>
    <col min="262" max="262" width="16.7109375" style="261" bestFit="1" customWidth="1"/>
    <col min="263" max="263" width="11.28515625" style="261" bestFit="1" customWidth="1"/>
    <col min="264" max="264" width="14" style="261" bestFit="1" customWidth="1"/>
    <col min="265" max="265" width="11.85546875" style="261" bestFit="1" customWidth="1"/>
    <col min="266" max="266" width="14.85546875" style="261" bestFit="1" customWidth="1"/>
    <col min="267" max="267" width="9.7109375" style="261" customWidth="1"/>
    <col min="268" max="268" width="4.85546875" style="261" customWidth="1"/>
    <col min="269" max="513" width="9.140625" style="261"/>
    <col min="514" max="514" width="5.42578125" style="261" bestFit="1" customWidth="1"/>
    <col min="515" max="515" width="20.42578125" style="261" bestFit="1" customWidth="1"/>
    <col min="516" max="516" width="41.42578125" style="261" customWidth="1"/>
    <col min="517" max="517" width="15.28515625" style="261" bestFit="1" customWidth="1"/>
    <col min="518" max="518" width="16.7109375" style="261" bestFit="1" customWidth="1"/>
    <col min="519" max="519" width="11.28515625" style="261" bestFit="1" customWidth="1"/>
    <col min="520" max="520" width="14" style="261" bestFit="1" customWidth="1"/>
    <col min="521" max="521" width="11.85546875" style="261" bestFit="1" customWidth="1"/>
    <col min="522" max="522" width="14.85546875" style="261" bestFit="1" customWidth="1"/>
    <col min="523" max="523" width="9.7109375" style="261" customWidth="1"/>
    <col min="524" max="524" width="4.85546875" style="261" customWidth="1"/>
    <col min="525" max="769" width="9.140625" style="261"/>
    <col min="770" max="770" width="5.42578125" style="261" bestFit="1" customWidth="1"/>
    <col min="771" max="771" width="20.42578125" style="261" bestFit="1" customWidth="1"/>
    <col min="772" max="772" width="41.42578125" style="261" customWidth="1"/>
    <col min="773" max="773" width="15.28515625" style="261" bestFit="1" customWidth="1"/>
    <col min="774" max="774" width="16.7109375" style="261" bestFit="1" customWidth="1"/>
    <col min="775" max="775" width="11.28515625" style="261" bestFit="1" customWidth="1"/>
    <col min="776" max="776" width="14" style="261" bestFit="1" customWidth="1"/>
    <col min="777" max="777" width="11.85546875" style="261" bestFit="1" customWidth="1"/>
    <col min="778" max="778" width="14.85546875" style="261" bestFit="1" customWidth="1"/>
    <col min="779" max="779" width="9.7109375" style="261" customWidth="1"/>
    <col min="780" max="780" width="4.85546875" style="261" customWidth="1"/>
    <col min="781" max="1025" width="9.140625" style="261"/>
    <col min="1026" max="1026" width="5.42578125" style="261" bestFit="1" customWidth="1"/>
    <col min="1027" max="1027" width="20.42578125" style="261" bestFit="1" customWidth="1"/>
    <col min="1028" max="1028" width="41.42578125" style="261" customWidth="1"/>
    <col min="1029" max="1029" width="15.28515625" style="261" bestFit="1" customWidth="1"/>
    <col min="1030" max="1030" width="16.7109375" style="261" bestFit="1" customWidth="1"/>
    <col min="1031" max="1031" width="11.28515625" style="261" bestFit="1" customWidth="1"/>
    <col min="1032" max="1032" width="14" style="261" bestFit="1" customWidth="1"/>
    <col min="1033" max="1033" width="11.85546875" style="261" bestFit="1" customWidth="1"/>
    <col min="1034" max="1034" width="14.85546875" style="261" bestFit="1" customWidth="1"/>
    <col min="1035" max="1035" width="9.7109375" style="261" customWidth="1"/>
    <col min="1036" max="1036" width="4.85546875" style="261" customWidth="1"/>
    <col min="1037" max="1281" width="9.140625" style="261"/>
    <col min="1282" max="1282" width="5.42578125" style="261" bestFit="1" customWidth="1"/>
    <col min="1283" max="1283" width="20.42578125" style="261" bestFit="1" customWidth="1"/>
    <col min="1284" max="1284" width="41.42578125" style="261" customWidth="1"/>
    <col min="1285" max="1285" width="15.28515625" style="261" bestFit="1" customWidth="1"/>
    <col min="1286" max="1286" width="16.7109375" style="261" bestFit="1" customWidth="1"/>
    <col min="1287" max="1287" width="11.28515625" style="261" bestFit="1" customWidth="1"/>
    <col min="1288" max="1288" width="14" style="261" bestFit="1" customWidth="1"/>
    <col min="1289" max="1289" width="11.85546875" style="261" bestFit="1" customWidth="1"/>
    <col min="1290" max="1290" width="14.85546875" style="261" bestFit="1" customWidth="1"/>
    <col min="1291" max="1291" width="9.7109375" style="261" customWidth="1"/>
    <col min="1292" max="1292" width="4.85546875" style="261" customWidth="1"/>
    <col min="1293" max="1537" width="9.140625" style="261"/>
    <col min="1538" max="1538" width="5.42578125" style="261" bestFit="1" customWidth="1"/>
    <col min="1539" max="1539" width="20.42578125" style="261" bestFit="1" customWidth="1"/>
    <col min="1540" max="1540" width="41.42578125" style="261" customWidth="1"/>
    <col min="1541" max="1541" width="15.28515625" style="261" bestFit="1" customWidth="1"/>
    <col min="1542" max="1542" width="16.7109375" style="261" bestFit="1" customWidth="1"/>
    <col min="1543" max="1543" width="11.28515625" style="261" bestFit="1" customWidth="1"/>
    <col min="1544" max="1544" width="14" style="261" bestFit="1" customWidth="1"/>
    <col min="1545" max="1545" width="11.85546875" style="261" bestFit="1" customWidth="1"/>
    <col min="1546" max="1546" width="14.85546875" style="261" bestFit="1" customWidth="1"/>
    <col min="1547" max="1547" width="9.7109375" style="261" customWidth="1"/>
    <col min="1548" max="1548" width="4.85546875" style="261" customWidth="1"/>
    <col min="1549" max="1793" width="9.140625" style="261"/>
    <col min="1794" max="1794" width="5.42578125" style="261" bestFit="1" customWidth="1"/>
    <col min="1795" max="1795" width="20.42578125" style="261" bestFit="1" customWidth="1"/>
    <col min="1796" max="1796" width="41.42578125" style="261" customWidth="1"/>
    <col min="1797" max="1797" width="15.28515625" style="261" bestFit="1" customWidth="1"/>
    <col min="1798" max="1798" width="16.7109375" style="261" bestFit="1" customWidth="1"/>
    <col min="1799" max="1799" width="11.28515625" style="261" bestFit="1" customWidth="1"/>
    <col min="1800" max="1800" width="14" style="261" bestFit="1" customWidth="1"/>
    <col min="1801" max="1801" width="11.85546875" style="261" bestFit="1" customWidth="1"/>
    <col min="1802" max="1802" width="14.85546875" style="261" bestFit="1" customWidth="1"/>
    <col min="1803" max="1803" width="9.7109375" style="261" customWidth="1"/>
    <col min="1804" max="1804" width="4.85546875" style="261" customWidth="1"/>
    <col min="1805" max="2049" width="9.140625" style="261"/>
    <col min="2050" max="2050" width="5.42578125" style="261" bestFit="1" customWidth="1"/>
    <col min="2051" max="2051" width="20.42578125" style="261" bestFit="1" customWidth="1"/>
    <col min="2052" max="2052" width="41.42578125" style="261" customWidth="1"/>
    <col min="2053" max="2053" width="15.28515625" style="261" bestFit="1" customWidth="1"/>
    <col min="2054" max="2054" width="16.7109375" style="261" bestFit="1" customWidth="1"/>
    <col min="2055" max="2055" width="11.28515625" style="261" bestFit="1" customWidth="1"/>
    <col min="2056" max="2056" width="14" style="261" bestFit="1" customWidth="1"/>
    <col min="2057" max="2057" width="11.85546875" style="261" bestFit="1" customWidth="1"/>
    <col min="2058" max="2058" width="14.85546875" style="261" bestFit="1" customWidth="1"/>
    <col min="2059" max="2059" width="9.7109375" style="261" customWidth="1"/>
    <col min="2060" max="2060" width="4.85546875" style="261" customWidth="1"/>
    <col min="2061" max="2305" width="9.140625" style="261"/>
    <col min="2306" max="2306" width="5.42578125" style="261" bestFit="1" customWidth="1"/>
    <col min="2307" max="2307" width="20.42578125" style="261" bestFit="1" customWidth="1"/>
    <col min="2308" max="2308" width="41.42578125" style="261" customWidth="1"/>
    <col min="2309" max="2309" width="15.28515625" style="261" bestFit="1" customWidth="1"/>
    <col min="2310" max="2310" width="16.7109375" style="261" bestFit="1" customWidth="1"/>
    <col min="2311" max="2311" width="11.28515625" style="261" bestFit="1" customWidth="1"/>
    <col min="2312" max="2312" width="14" style="261" bestFit="1" customWidth="1"/>
    <col min="2313" max="2313" width="11.85546875" style="261" bestFit="1" customWidth="1"/>
    <col min="2314" max="2314" width="14.85546875" style="261" bestFit="1" customWidth="1"/>
    <col min="2315" max="2315" width="9.7109375" style="261" customWidth="1"/>
    <col min="2316" max="2316" width="4.85546875" style="261" customWidth="1"/>
    <col min="2317" max="2561" width="9.140625" style="261"/>
    <col min="2562" max="2562" width="5.42578125" style="261" bestFit="1" customWidth="1"/>
    <col min="2563" max="2563" width="20.42578125" style="261" bestFit="1" customWidth="1"/>
    <col min="2564" max="2564" width="41.42578125" style="261" customWidth="1"/>
    <col min="2565" max="2565" width="15.28515625" style="261" bestFit="1" customWidth="1"/>
    <col min="2566" max="2566" width="16.7109375" style="261" bestFit="1" customWidth="1"/>
    <col min="2567" max="2567" width="11.28515625" style="261" bestFit="1" customWidth="1"/>
    <col min="2568" max="2568" width="14" style="261" bestFit="1" customWidth="1"/>
    <col min="2569" max="2569" width="11.85546875" style="261" bestFit="1" customWidth="1"/>
    <col min="2570" max="2570" width="14.85546875" style="261" bestFit="1" customWidth="1"/>
    <col min="2571" max="2571" width="9.7109375" style="261" customWidth="1"/>
    <col min="2572" max="2572" width="4.85546875" style="261" customWidth="1"/>
    <col min="2573" max="2817" width="9.140625" style="261"/>
    <col min="2818" max="2818" width="5.42578125" style="261" bestFit="1" customWidth="1"/>
    <col min="2819" max="2819" width="20.42578125" style="261" bestFit="1" customWidth="1"/>
    <col min="2820" max="2820" width="41.42578125" style="261" customWidth="1"/>
    <col min="2821" max="2821" width="15.28515625" style="261" bestFit="1" customWidth="1"/>
    <col min="2822" max="2822" width="16.7109375" style="261" bestFit="1" customWidth="1"/>
    <col min="2823" max="2823" width="11.28515625" style="261" bestFit="1" customWidth="1"/>
    <col min="2824" max="2824" width="14" style="261" bestFit="1" customWidth="1"/>
    <col min="2825" max="2825" width="11.85546875" style="261" bestFit="1" customWidth="1"/>
    <col min="2826" max="2826" width="14.85546875" style="261" bestFit="1" customWidth="1"/>
    <col min="2827" max="2827" width="9.7109375" style="261" customWidth="1"/>
    <col min="2828" max="2828" width="4.85546875" style="261" customWidth="1"/>
    <col min="2829" max="3073" width="9.140625" style="261"/>
    <col min="3074" max="3074" width="5.42578125" style="261" bestFit="1" customWidth="1"/>
    <col min="3075" max="3075" width="20.42578125" style="261" bestFit="1" customWidth="1"/>
    <col min="3076" max="3076" width="41.42578125" style="261" customWidth="1"/>
    <col min="3077" max="3077" width="15.28515625" style="261" bestFit="1" customWidth="1"/>
    <col min="3078" max="3078" width="16.7109375" style="261" bestFit="1" customWidth="1"/>
    <col min="3079" max="3079" width="11.28515625" style="261" bestFit="1" customWidth="1"/>
    <col min="3080" max="3080" width="14" style="261" bestFit="1" customWidth="1"/>
    <col min="3081" max="3081" width="11.85546875" style="261" bestFit="1" customWidth="1"/>
    <col min="3082" max="3082" width="14.85546875" style="261" bestFit="1" customWidth="1"/>
    <col min="3083" max="3083" width="9.7109375" style="261" customWidth="1"/>
    <col min="3084" max="3084" width="4.85546875" style="261" customWidth="1"/>
    <col min="3085" max="3329" width="9.140625" style="261"/>
    <col min="3330" max="3330" width="5.42578125" style="261" bestFit="1" customWidth="1"/>
    <col min="3331" max="3331" width="20.42578125" style="261" bestFit="1" customWidth="1"/>
    <col min="3332" max="3332" width="41.42578125" style="261" customWidth="1"/>
    <col min="3333" max="3333" width="15.28515625" style="261" bestFit="1" customWidth="1"/>
    <col min="3334" max="3334" width="16.7109375" style="261" bestFit="1" customWidth="1"/>
    <col min="3335" max="3335" width="11.28515625" style="261" bestFit="1" customWidth="1"/>
    <col min="3336" max="3336" width="14" style="261" bestFit="1" customWidth="1"/>
    <col min="3337" max="3337" width="11.85546875" style="261" bestFit="1" customWidth="1"/>
    <col min="3338" max="3338" width="14.85546875" style="261" bestFit="1" customWidth="1"/>
    <col min="3339" max="3339" width="9.7109375" style="261" customWidth="1"/>
    <col min="3340" max="3340" width="4.85546875" style="261" customWidth="1"/>
    <col min="3341" max="3585" width="9.140625" style="261"/>
    <col min="3586" max="3586" width="5.42578125" style="261" bestFit="1" customWidth="1"/>
    <col min="3587" max="3587" width="20.42578125" style="261" bestFit="1" customWidth="1"/>
    <col min="3588" max="3588" width="41.42578125" style="261" customWidth="1"/>
    <col min="3589" max="3589" width="15.28515625" style="261" bestFit="1" customWidth="1"/>
    <col min="3590" max="3590" width="16.7109375" style="261" bestFit="1" customWidth="1"/>
    <col min="3591" max="3591" width="11.28515625" style="261" bestFit="1" customWidth="1"/>
    <col min="3592" max="3592" width="14" style="261" bestFit="1" customWidth="1"/>
    <col min="3593" max="3593" width="11.85546875" style="261" bestFit="1" customWidth="1"/>
    <col min="3594" max="3594" width="14.85546875" style="261" bestFit="1" customWidth="1"/>
    <col min="3595" max="3595" width="9.7109375" style="261" customWidth="1"/>
    <col min="3596" max="3596" width="4.85546875" style="261" customWidth="1"/>
    <col min="3597" max="3841" width="9.140625" style="261"/>
    <col min="3842" max="3842" width="5.42578125" style="261" bestFit="1" customWidth="1"/>
    <col min="3843" max="3843" width="20.42578125" style="261" bestFit="1" customWidth="1"/>
    <col min="3844" max="3844" width="41.42578125" style="261" customWidth="1"/>
    <col min="3845" max="3845" width="15.28515625" style="261" bestFit="1" customWidth="1"/>
    <col min="3846" max="3846" width="16.7109375" style="261" bestFit="1" customWidth="1"/>
    <col min="3847" max="3847" width="11.28515625" style="261" bestFit="1" customWidth="1"/>
    <col min="3848" max="3848" width="14" style="261" bestFit="1" customWidth="1"/>
    <col min="3849" max="3849" width="11.85546875" style="261" bestFit="1" customWidth="1"/>
    <col min="3850" max="3850" width="14.85546875" style="261" bestFit="1" customWidth="1"/>
    <col min="3851" max="3851" width="9.7109375" style="261" customWidth="1"/>
    <col min="3852" max="3852" width="4.85546875" style="261" customWidth="1"/>
    <col min="3853" max="4097" width="9.140625" style="261"/>
    <col min="4098" max="4098" width="5.42578125" style="261" bestFit="1" customWidth="1"/>
    <col min="4099" max="4099" width="20.42578125" style="261" bestFit="1" customWidth="1"/>
    <col min="4100" max="4100" width="41.42578125" style="261" customWidth="1"/>
    <col min="4101" max="4101" width="15.28515625" style="261" bestFit="1" customWidth="1"/>
    <col min="4102" max="4102" width="16.7109375" style="261" bestFit="1" customWidth="1"/>
    <col min="4103" max="4103" width="11.28515625" style="261" bestFit="1" customWidth="1"/>
    <col min="4104" max="4104" width="14" style="261" bestFit="1" customWidth="1"/>
    <col min="4105" max="4105" width="11.85546875" style="261" bestFit="1" customWidth="1"/>
    <col min="4106" max="4106" width="14.85546875" style="261" bestFit="1" customWidth="1"/>
    <col min="4107" max="4107" width="9.7109375" style="261" customWidth="1"/>
    <col min="4108" max="4108" width="4.85546875" style="261" customWidth="1"/>
    <col min="4109" max="4353" width="9.140625" style="261"/>
    <col min="4354" max="4354" width="5.42578125" style="261" bestFit="1" customWidth="1"/>
    <col min="4355" max="4355" width="20.42578125" style="261" bestFit="1" customWidth="1"/>
    <col min="4356" max="4356" width="41.42578125" style="261" customWidth="1"/>
    <col min="4357" max="4357" width="15.28515625" style="261" bestFit="1" customWidth="1"/>
    <col min="4358" max="4358" width="16.7109375" style="261" bestFit="1" customWidth="1"/>
    <col min="4359" max="4359" width="11.28515625" style="261" bestFit="1" customWidth="1"/>
    <col min="4360" max="4360" width="14" style="261" bestFit="1" customWidth="1"/>
    <col min="4361" max="4361" width="11.85546875" style="261" bestFit="1" customWidth="1"/>
    <col min="4362" max="4362" width="14.85546875" style="261" bestFit="1" customWidth="1"/>
    <col min="4363" max="4363" width="9.7109375" style="261" customWidth="1"/>
    <col min="4364" max="4364" width="4.85546875" style="261" customWidth="1"/>
    <col min="4365" max="4609" width="9.140625" style="261"/>
    <col min="4610" max="4610" width="5.42578125" style="261" bestFit="1" customWidth="1"/>
    <col min="4611" max="4611" width="20.42578125" style="261" bestFit="1" customWidth="1"/>
    <col min="4612" max="4612" width="41.42578125" style="261" customWidth="1"/>
    <col min="4613" max="4613" width="15.28515625" style="261" bestFit="1" customWidth="1"/>
    <col min="4614" max="4614" width="16.7109375" style="261" bestFit="1" customWidth="1"/>
    <col min="4615" max="4615" width="11.28515625" style="261" bestFit="1" customWidth="1"/>
    <col min="4616" max="4616" width="14" style="261" bestFit="1" customWidth="1"/>
    <col min="4617" max="4617" width="11.85546875" style="261" bestFit="1" customWidth="1"/>
    <col min="4618" max="4618" width="14.85546875" style="261" bestFit="1" customWidth="1"/>
    <col min="4619" max="4619" width="9.7109375" style="261" customWidth="1"/>
    <col min="4620" max="4620" width="4.85546875" style="261" customWidth="1"/>
    <col min="4621" max="4865" width="9.140625" style="261"/>
    <col min="4866" max="4866" width="5.42578125" style="261" bestFit="1" customWidth="1"/>
    <col min="4867" max="4867" width="20.42578125" style="261" bestFit="1" customWidth="1"/>
    <col min="4868" max="4868" width="41.42578125" style="261" customWidth="1"/>
    <col min="4869" max="4869" width="15.28515625" style="261" bestFit="1" customWidth="1"/>
    <col min="4870" max="4870" width="16.7109375" style="261" bestFit="1" customWidth="1"/>
    <col min="4871" max="4871" width="11.28515625" style="261" bestFit="1" customWidth="1"/>
    <col min="4872" max="4872" width="14" style="261" bestFit="1" customWidth="1"/>
    <col min="4873" max="4873" width="11.85546875" style="261" bestFit="1" customWidth="1"/>
    <col min="4874" max="4874" width="14.85546875" style="261" bestFit="1" customWidth="1"/>
    <col min="4875" max="4875" width="9.7109375" style="261" customWidth="1"/>
    <col min="4876" max="4876" width="4.85546875" style="261" customWidth="1"/>
    <col min="4877" max="5121" width="9.140625" style="261"/>
    <col min="5122" max="5122" width="5.42578125" style="261" bestFit="1" customWidth="1"/>
    <col min="5123" max="5123" width="20.42578125" style="261" bestFit="1" customWidth="1"/>
    <col min="5124" max="5124" width="41.42578125" style="261" customWidth="1"/>
    <col min="5125" max="5125" width="15.28515625" style="261" bestFit="1" customWidth="1"/>
    <col min="5126" max="5126" width="16.7109375" style="261" bestFit="1" customWidth="1"/>
    <col min="5127" max="5127" width="11.28515625" style="261" bestFit="1" customWidth="1"/>
    <col min="5128" max="5128" width="14" style="261" bestFit="1" customWidth="1"/>
    <col min="5129" max="5129" width="11.85546875" style="261" bestFit="1" customWidth="1"/>
    <col min="5130" max="5130" width="14.85546875" style="261" bestFit="1" customWidth="1"/>
    <col min="5131" max="5131" width="9.7109375" style="261" customWidth="1"/>
    <col min="5132" max="5132" width="4.85546875" style="261" customWidth="1"/>
    <col min="5133" max="5377" width="9.140625" style="261"/>
    <col min="5378" max="5378" width="5.42578125" style="261" bestFit="1" customWidth="1"/>
    <col min="5379" max="5379" width="20.42578125" style="261" bestFit="1" customWidth="1"/>
    <col min="5380" max="5380" width="41.42578125" style="261" customWidth="1"/>
    <col min="5381" max="5381" width="15.28515625" style="261" bestFit="1" customWidth="1"/>
    <col min="5382" max="5382" width="16.7109375" style="261" bestFit="1" customWidth="1"/>
    <col min="5383" max="5383" width="11.28515625" style="261" bestFit="1" customWidth="1"/>
    <col min="5384" max="5384" width="14" style="261" bestFit="1" customWidth="1"/>
    <col min="5385" max="5385" width="11.85546875" style="261" bestFit="1" customWidth="1"/>
    <col min="5386" max="5386" width="14.85546875" style="261" bestFit="1" customWidth="1"/>
    <col min="5387" max="5387" width="9.7109375" style="261" customWidth="1"/>
    <col min="5388" max="5388" width="4.85546875" style="261" customWidth="1"/>
    <col min="5389" max="5633" width="9.140625" style="261"/>
    <col min="5634" max="5634" width="5.42578125" style="261" bestFit="1" customWidth="1"/>
    <col min="5635" max="5635" width="20.42578125" style="261" bestFit="1" customWidth="1"/>
    <col min="5636" max="5636" width="41.42578125" style="261" customWidth="1"/>
    <col min="5637" max="5637" width="15.28515625" style="261" bestFit="1" customWidth="1"/>
    <col min="5638" max="5638" width="16.7109375" style="261" bestFit="1" customWidth="1"/>
    <col min="5639" max="5639" width="11.28515625" style="261" bestFit="1" customWidth="1"/>
    <col min="5640" max="5640" width="14" style="261" bestFit="1" customWidth="1"/>
    <col min="5641" max="5641" width="11.85546875" style="261" bestFit="1" customWidth="1"/>
    <col min="5642" max="5642" width="14.85546875" style="261" bestFit="1" customWidth="1"/>
    <col min="5643" max="5643" width="9.7109375" style="261" customWidth="1"/>
    <col min="5644" max="5644" width="4.85546875" style="261" customWidth="1"/>
    <col min="5645" max="5889" width="9.140625" style="261"/>
    <col min="5890" max="5890" width="5.42578125" style="261" bestFit="1" customWidth="1"/>
    <col min="5891" max="5891" width="20.42578125" style="261" bestFit="1" customWidth="1"/>
    <col min="5892" max="5892" width="41.42578125" style="261" customWidth="1"/>
    <col min="5893" max="5893" width="15.28515625" style="261" bestFit="1" customWidth="1"/>
    <col min="5894" max="5894" width="16.7109375" style="261" bestFit="1" customWidth="1"/>
    <col min="5895" max="5895" width="11.28515625" style="261" bestFit="1" customWidth="1"/>
    <col min="5896" max="5896" width="14" style="261" bestFit="1" customWidth="1"/>
    <col min="5897" max="5897" width="11.85546875" style="261" bestFit="1" customWidth="1"/>
    <col min="5898" max="5898" width="14.85546875" style="261" bestFit="1" customWidth="1"/>
    <col min="5899" max="5899" width="9.7109375" style="261" customWidth="1"/>
    <col min="5900" max="5900" width="4.85546875" style="261" customWidth="1"/>
    <col min="5901" max="6145" width="9.140625" style="261"/>
    <col min="6146" max="6146" width="5.42578125" style="261" bestFit="1" customWidth="1"/>
    <col min="6147" max="6147" width="20.42578125" style="261" bestFit="1" customWidth="1"/>
    <col min="6148" max="6148" width="41.42578125" style="261" customWidth="1"/>
    <col min="6149" max="6149" width="15.28515625" style="261" bestFit="1" customWidth="1"/>
    <col min="6150" max="6150" width="16.7109375" style="261" bestFit="1" customWidth="1"/>
    <col min="6151" max="6151" width="11.28515625" style="261" bestFit="1" customWidth="1"/>
    <col min="6152" max="6152" width="14" style="261" bestFit="1" customWidth="1"/>
    <col min="6153" max="6153" width="11.85546875" style="261" bestFit="1" customWidth="1"/>
    <col min="6154" max="6154" width="14.85546875" style="261" bestFit="1" customWidth="1"/>
    <col min="6155" max="6155" width="9.7109375" style="261" customWidth="1"/>
    <col min="6156" max="6156" width="4.85546875" style="261" customWidth="1"/>
    <col min="6157" max="6401" width="9.140625" style="261"/>
    <col min="6402" max="6402" width="5.42578125" style="261" bestFit="1" customWidth="1"/>
    <col min="6403" max="6403" width="20.42578125" style="261" bestFit="1" customWidth="1"/>
    <col min="6404" max="6404" width="41.42578125" style="261" customWidth="1"/>
    <col min="6405" max="6405" width="15.28515625" style="261" bestFit="1" customWidth="1"/>
    <col min="6406" max="6406" width="16.7109375" style="261" bestFit="1" customWidth="1"/>
    <col min="6407" max="6407" width="11.28515625" style="261" bestFit="1" customWidth="1"/>
    <col min="6408" max="6408" width="14" style="261" bestFit="1" customWidth="1"/>
    <col min="6409" max="6409" width="11.85546875" style="261" bestFit="1" customWidth="1"/>
    <col min="6410" max="6410" width="14.85546875" style="261" bestFit="1" customWidth="1"/>
    <col min="6411" max="6411" width="9.7109375" style="261" customWidth="1"/>
    <col min="6412" max="6412" width="4.85546875" style="261" customWidth="1"/>
    <col min="6413" max="6657" width="9.140625" style="261"/>
    <col min="6658" max="6658" width="5.42578125" style="261" bestFit="1" customWidth="1"/>
    <col min="6659" max="6659" width="20.42578125" style="261" bestFit="1" customWidth="1"/>
    <col min="6660" max="6660" width="41.42578125" style="261" customWidth="1"/>
    <col min="6661" max="6661" width="15.28515625" style="261" bestFit="1" customWidth="1"/>
    <col min="6662" max="6662" width="16.7109375" style="261" bestFit="1" customWidth="1"/>
    <col min="6663" max="6663" width="11.28515625" style="261" bestFit="1" customWidth="1"/>
    <col min="6664" max="6664" width="14" style="261" bestFit="1" customWidth="1"/>
    <col min="6665" max="6665" width="11.85546875" style="261" bestFit="1" customWidth="1"/>
    <col min="6666" max="6666" width="14.85546875" style="261" bestFit="1" customWidth="1"/>
    <col min="6667" max="6667" width="9.7109375" style="261" customWidth="1"/>
    <col min="6668" max="6668" width="4.85546875" style="261" customWidth="1"/>
    <col min="6669" max="6913" width="9.140625" style="261"/>
    <col min="6914" max="6914" width="5.42578125" style="261" bestFit="1" customWidth="1"/>
    <col min="6915" max="6915" width="20.42578125" style="261" bestFit="1" customWidth="1"/>
    <col min="6916" max="6916" width="41.42578125" style="261" customWidth="1"/>
    <col min="6917" max="6917" width="15.28515625" style="261" bestFit="1" customWidth="1"/>
    <col min="6918" max="6918" width="16.7109375" style="261" bestFit="1" customWidth="1"/>
    <col min="6919" max="6919" width="11.28515625" style="261" bestFit="1" customWidth="1"/>
    <col min="6920" max="6920" width="14" style="261" bestFit="1" customWidth="1"/>
    <col min="6921" max="6921" width="11.85546875" style="261" bestFit="1" customWidth="1"/>
    <col min="6922" max="6922" width="14.85546875" style="261" bestFit="1" customWidth="1"/>
    <col min="6923" max="6923" width="9.7109375" style="261" customWidth="1"/>
    <col min="6924" max="6924" width="4.85546875" style="261" customWidth="1"/>
    <col min="6925" max="7169" width="9.140625" style="261"/>
    <col min="7170" max="7170" width="5.42578125" style="261" bestFit="1" customWidth="1"/>
    <col min="7171" max="7171" width="20.42578125" style="261" bestFit="1" customWidth="1"/>
    <col min="7172" max="7172" width="41.42578125" style="261" customWidth="1"/>
    <col min="7173" max="7173" width="15.28515625" style="261" bestFit="1" customWidth="1"/>
    <col min="7174" max="7174" width="16.7109375" style="261" bestFit="1" customWidth="1"/>
    <col min="7175" max="7175" width="11.28515625" style="261" bestFit="1" customWidth="1"/>
    <col min="7176" max="7176" width="14" style="261" bestFit="1" customWidth="1"/>
    <col min="7177" max="7177" width="11.85546875" style="261" bestFit="1" customWidth="1"/>
    <col min="7178" max="7178" width="14.85546875" style="261" bestFit="1" customWidth="1"/>
    <col min="7179" max="7179" width="9.7109375" style="261" customWidth="1"/>
    <col min="7180" max="7180" width="4.85546875" style="261" customWidth="1"/>
    <col min="7181" max="7425" width="9.140625" style="261"/>
    <col min="7426" max="7426" width="5.42578125" style="261" bestFit="1" customWidth="1"/>
    <col min="7427" max="7427" width="20.42578125" style="261" bestFit="1" customWidth="1"/>
    <col min="7428" max="7428" width="41.42578125" style="261" customWidth="1"/>
    <col min="7429" max="7429" width="15.28515625" style="261" bestFit="1" customWidth="1"/>
    <col min="7430" max="7430" width="16.7109375" style="261" bestFit="1" customWidth="1"/>
    <col min="7431" max="7431" width="11.28515625" style="261" bestFit="1" customWidth="1"/>
    <col min="7432" max="7432" width="14" style="261" bestFit="1" customWidth="1"/>
    <col min="7433" max="7433" width="11.85546875" style="261" bestFit="1" customWidth="1"/>
    <col min="7434" max="7434" width="14.85546875" style="261" bestFit="1" customWidth="1"/>
    <col min="7435" max="7435" width="9.7109375" style="261" customWidth="1"/>
    <col min="7436" max="7436" width="4.85546875" style="261" customWidth="1"/>
    <col min="7437" max="7681" width="9.140625" style="261"/>
    <col min="7682" max="7682" width="5.42578125" style="261" bestFit="1" customWidth="1"/>
    <col min="7683" max="7683" width="20.42578125" style="261" bestFit="1" customWidth="1"/>
    <col min="7684" max="7684" width="41.42578125" style="261" customWidth="1"/>
    <col min="7685" max="7685" width="15.28515625" style="261" bestFit="1" customWidth="1"/>
    <col min="7686" max="7686" width="16.7109375" style="261" bestFit="1" customWidth="1"/>
    <col min="7687" max="7687" width="11.28515625" style="261" bestFit="1" customWidth="1"/>
    <col min="7688" max="7688" width="14" style="261" bestFit="1" customWidth="1"/>
    <col min="7689" max="7689" width="11.85546875" style="261" bestFit="1" customWidth="1"/>
    <col min="7690" max="7690" width="14.85546875" style="261" bestFit="1" customWidth="1"/>
    <col min="7691" max="7691" width="9.7109375" style="261" customWidth="1"/>
    <col min="7692" max="7692" width="4.85546875" style="261" customWidth="1"/>
    <col min="7693" max="7937" width="9.140625" style="261"/>
    <col min="7938" max="7938" width="5.42578125" style="261" bestFit="1" customWidth="1"/>
    <col min="7939" max="7939" width="20.42578125" style="261" bestFit="1" customWidth="1"/>
    <col min="7940" max="7940" width="41.42578125" style="261" customWidth="1"/>
    <col min="7941" max="7941" width="15.28515625" style="261" bestFit="1" customWidth="1"/>
    <col min="7942" max="7942" width="16.7109375" style="261" bestFit="1" customWidth="1"/>
    <col min="7943" max="7943" width="11.28515625" style="261" bestFit="1" customWidth="1"/>
    <col min="7944" max="7944" width="14" style="261" bestFit="1" customWidth="1"/>
    <col min="7945" max="7945" width="11.85546875" style="261" bestFit="1" customWidth="1"/>
    <col min="7946" max="7946" width="14.85546875" style="261" bestFit="1" customWidth="1"/>
    <col min="7947" max="7947" width="9.7109375" style="261" customWidth="1"/>
    <col min="7948" max="7948" width="4.85546875" style="261" customWidth="1"/>
    <col min="7949" max="8193" width="9.140625" style="261"/>
    <col min="8194" max="8194" width="5.42578125" style="261" bestFit="1" customWidth="1"/>
    <col min="8195" max="8195" width="20.42578125" style="261" bestFit="1" customWidth="1"/>
    <col min="8196" max="8196" width="41.42578125" style="261" customWidth="1"/>
    <col min="8197" max="8197" width="15.28515625" style="261" bestFit="1" customWidth="1"/>
    <col min="8198" max="8198" width="16.7109375" style="261" bestFit="1" customWidth="1"/>
    <col min="8199" max="8199" width="11.28515625" style="261" bestFit="1" customWidth="1"/>
    <col min="8200" max="8200" width="14" style="261" bestFit="1" customWidth="1"/>
    <col min="8201" max="8201" width="11.85546875" style="261" bestFit="1" customWidth="1"/>
    <col min="8202" max="8202" width="14.85546875" style="261" bestFit="1" customWidth="1"/>
    <col min="8203" max="8203" width="9.7109375" style="261" customWidth="1"/>
    <col min="8204" max="8204" width="4.85546875" style="261" customWidth="1"/>
    <col min="8205" max="8449" width="9.140625" style="261"/>
    <col min="8450" max="8450" width="5.42578125" style="261" bestFit="1" customWidth="1"/>
    <col min="8451" max="8451" width="20.42578125" style="261" bestFit="1" customWidth="1"/>
    <col min="8452" max="8452" width="41.42578125" style="261" customWidth="1"/>
    <col min="8453" max="8453" width="15.28515625" style="261" bestFit="1" customWidth="1"/>
    <col min="8454" max="8454" width="16.7109375" style="261" bestFit="1" customWidth="1"/>
    <col min="8455" max="8455" width="11.28515625" style="261" bestFit="1" customWidth="1"/>
    <col min="8456" max="8456" width="14" style="261" bestFit="1" customWidth="1"/>
    <col min="8457" max="8457" width="11.85546875" style="261" bestFit="1" customWidth="1"/>
    <col min="8458" max="8458" width="14.85546875" style="261" bestFit="1" customWidth="1"/>
    <col min="8459" max="8459" width="9.7109375" style="261" customWidth="1"/>
    <col min="8460" max="8460" width="4.85546875" style="261" customWidth="1"/>
    <col min="8461" max="8705" width="9.140625" style="261"/>
    <col min="8706" max="8706" width="5.42578125" style="261" bestFit="1" customWidth="1"/>
    <col min="8707" max="8707" width="20.42578125" style="261" bestFit="1" customWidth="1"/>
    <col min="8708" max="8708" width="41.42578125" style="261" customWidth="1"/>
    <col min="8709" max="8709" width="15.28515625" style="261" bestFit="1" customWidth="1"/>
    <col min="8710" max="8710" width="16.7109375" style="261" bestFit="1" customWidth="1"/>
    <col min="8711" max="8711" width="11.28515625" style="261" bestFit="1" customWidth="1"/>
    <col min="8712" max="8712" width="14" style="261" bestFit="1" customWidth="1"/>
    <col min="8713" max="8713" width="11.85546875" style="261" bestFit="1" customWidth="1"/>
    <col min="8714" max="8714" width="14.85546875" style="261" bestFit="1" customWidth="1"/>
    <col min="8715" max="8715" width="9.7109375" style="261" customWidth="1"/>
    <col min="8716" max="8716" width="4.85546875" style="261" customWidth="1"/>
    <col min="8717" max="8961" width="9.140625" style="261"/>
    <col min="8962" max="8962" width="5.42578125" style="261" bestFit="1" customWidth="1"/>
    <col min="8963" max="8963" width="20.42578125" style="261" bestFit="1" customWidth="1"/>
    <col min="8964" max="8964" width="41.42578125" style="261" customWidth="1"/>
    <col min="8965" max="8965" width="15.28515625" style="261" bestFit="1" customWidth="1"/>
    <col min="8966" max="8966" width="16.7109375" style="261" bestFit="1" customWidth="1"/>
    <col min="8967" max="8967" width="11.28515625" style="261" bestFit="1" customWidth="1"/>
    <col min="8968" max="8968" width="14" style="261" bestFit="1" customWidth="1"/>
    <col min="8969" max="8969" width="11.85546875" style="261" bestFit="1" customWidth="1"/>
    <col min="8970" max="8970" width="14.85546875" style="261" bestFit="1" customWidth="1"/>
    <col min="8971" max="8971" width="9.7109375" style="261" customWidth="1"/>
    <col min="8972" max="8972" width="4.85546875" style="261" customWidth="1"/>
    <col min="8973" max="9217" width="9.140625" style="261"/>
    <col min="9218" max="9218" width="5.42578125" style="261" bestFit="1" customWidth="1"/>
    <col min="9219" max="9219" width="20.42578125" style="261" bestFit="1" customWidth="1"/>
    <col min="9220" max="9220" width="41.42578125" style="261" customWidth="1"/>
    <col min="9221" max="9221" width="15.28515625" style="261" bestFit="1" customWidth="1"/>
    <col min="9222" max="9222" width="16.7109375" style="261" bestFit="1" customWidth="1"/>
    <col min="9223" max="9223" width="11.28515625" style="261" bestFit="1" customWidth="1"/>
    <col min="9224" max="9224" width="14" style="261" bestFit="1" customWidth="1"/>
    <col min="9225" max="9225" width="11.85546875" style="261" bestFit="1" customWidth="1"/>
    <col min="9226" max="9226" width="14.85546875" style="261" bestFit="1" customWidth="1"/>
    <col min="9227" max="9227" width="9.7109375" style="261" customWidth="1"/>
    <col min="9228" max="9228" width="4.85546875" style="261" customWidth="1"/>
    <col min="9229" max="9473" width="9.140625" style="261"/>
    <col min="9474" max="9474" width="5.42578125" style="261" bestFit="1" customWidth="1"/>
    <col min="9475" max="9475" width="20.42578125" style="261" bestFit="1" customWidth="1"/>
    <col min="9476" max="9476" width="41.42578125" style="261" customWidth="1"/>
    <col min="9477" max="9477" width="15.28515625" style="261" bestFit="1" customWidth="1"/>
    <col min="9478" max="9478" width="16.7109375" style="261" bestFit="1" customWidth="1"/>
    <col min="9479" max="9479" width="11.28515625" style="261" bestFit="1" customWidth="1"/>
    <col min="9480" max="9480" width="14" style="261" bestFit="1" customWidth="1"/>
    <col min="9481" max="9481" width="11.85546875" style="261" bestFit="1" customWidth="1"/>
    <col min="9482" max="9482" width="14.85546875" style="261" bestFit="1" customWidth="1"/>
    <col min="9483" max="9483" width="9.7109375" style="261" customWidth="1"/>
    <col min="9484" max="9484" width="4.85546875" style="261" customWidth="1"/>
    <col min="9485" max="9729" width="9.140625" style="261"/>
    <col min="9730" max="9730" width="5.42578125" style="261" bestFit="1" customWidth="1"/>
    <col min="9731" max="9731" width="20.42578125" style="261" bestFit="1" customWidth="1"/>
    <col min="9732" max="9732" width="41.42578125" style="261" customWidth="1"/>
    <col min="9733" max="9733" width="15.28515625" style="261" bestFit="1" customWidth="1"/>
    <col min="9734" max="9734" width="16.7109375" style="261" bestFit="1" customWidth="1"/>
    <col min="9735" max="9735" width="11.28515625" style="261" bestFit="1" customWidth="1"/>
    <col min="9736" max="9736" width="14" style="261" bestFit="1" customWidth="1"/>
    <col min="9737" max="9737" width="11.85546875" style="261" bestFit="1" customWidth="1"/>
    <col min="9738" max="9738" width="14.85546875" style="261" bestFit="1" customWidth="1"/>
    <col min="9739" max="9739" width="9.7109375" style="261" customWidth="1"/>
    <col min="9740" max="9740" width="4.85546875" style="261" customWidth="1"/>
    <col min="9741" max="9985" width="9.140625" style="261"/>
    <col min="9986" max="9986" width="5.42578125" style="261" bestFit="1" customWidth="1"/>
    <col min="9987" max="9987" width="20.42578125" style="261" bestFit="1" customWidth="1"/>
    <col min="9988" max="9988" width="41.42578125" style="261" customWidth="1"/>
    <col min="9989" max="9989" width="15.28515625" style="261" bestFit="1" customWidth="1"/>
    <col min="9990" max="9990" width="16.7109375" style="261" bestFit="1" customWidth="1"/>
    <col min="9991" max="9991" width="11.28515625" style="261" bestFit="1" customWidth="1"/>
    <col min="9992" max="9992" width="14" style="261" bestFit="1" customWidth="1"/>
    <col min="9993" max="9993" width="11.85546875" style="261" bestFit="1" customWidth="1"/>
    <col min="9994" max="9994" width="14.85546875" style="261" bestFit="1" customWidth="1"/>
    <col min="9995" max="9995" width="9.7109375" style="261" customWidth="1"/>
    <col min="9996" max="9996" width="4.85546875" style="261" customWidth="1"/>
    <col min="9997" max="10241" width="9.140625" style="261"/>
    <col min="10242" max="10242" width="5.42578125" style="261" bestFit="1" customWidth="1"/>
    <col min="10243" max="10243" width="20.42578125" style="261" bestFit="1" customWidth="1"/>
    <col min="10244" max="10244" width="41.42578125" style="261" customWidth="1"/>
    <col min="10245" max="10245" width="15.28515625" style="261" bestFit="1" customWidth="1"/>
    <col min="10246" max="10246" width="16.7109375" style="261" bestFit="1" customWidth="1"/>
    <col min="10247" max="10247" width="11.28515625" style="261" bestFit="1" customWidth="1"/>
    <col min="10248" max="10248" width="14" style="261" bestFit="1" customWidth="1"/>
    <col min="10249" max="10249" width="11.85546875" style="261" bestFit="1" customWidth="1"/>
    <col min="10250" max="10250" width="14.85546875" style="261" bestFit="1" customWidth="1"/>
    <col min="10251" max="10251" width="9.7109375" style="261" customWidth="1"/>
    <col min="10252" max="10252" width="4.85546875" style="261" customWidth="1"/>
    <col min="10253" max="10497" width="9.140625" style="261"/>
    <col min="10498" max="10498" width="5.42578125" style="261" bestFit="1" customWidth="1"/>
    <col min="10499" max="10499" width="20.42578125" style="261" bestFit="1" customWidth="1"/>
    <col min="10500" max="10500" width="41.42578125" style="261" customWidth="1"/>
    <col min="10501" max="10501" width="15.28515625" style="261" bestFit="1" customWidth="1"/>
    <col min="10502" max="10502" width="16.7109375" style="261" bestFit="1" customWidth="1"/>
    <col min="10503" max="10503" width="11.28515625" style="261" bestFit="1" customWidth="1"/>
    <col min="10504" max="10504" width="14" style="261" bestFit="1" customWidth="1"/>
    <col min="10505" max="10505" width="11.85546875" style="261" bestFit="1" customWidth="1"/>
    <col min="10506" max="10506" width="14.85546875" style="261" bestFit="1" customWidth="1"/>
    <col min="10507" max="10507" width="9.7109375" style="261" customWidth="1"/>
    <col min="10508" max="10508" width="4.85546875" style="261" customWidth="1"/>
    <col min="10509" max="10753" width="9.140625" style="261"/>
    <col min="10754" max="10754" width="5.42578125" style="261" bestFit="1" customWidth="1"/>
    <col min="10755" max="10755" width="20.42578125" style="261" bestFit="1" customWidth="1"/>
    <col min="10756" max="10756" width="41.42578125" style="261" customWidth="1"/>
    <col min="10757" max="10757" width="15.28515625" style="261" bestFit="1" customWidth="1"/>
    <col min="10758" max="10758" width="16.7109375" style="261" bestFit="1" customWidth="1"/>
    <col min="10759" max="10759" width="11.28515625" style="261" bestFit="1" customWidth="1"/>
    <col min="10760" max="10760" width="14" style="261" bestFit="1" customWidth="1"/>
    <col min="10761" max="10761" width="11.85546875" style="261" bestFit="1" customWidth="1"/>
    <col min="10762" max="10762" width="14.85546875" style="261" bestFit="1" customWidth="1"/>
    <col min="10763" max="10763" width="9.7109375" style="261" customWidth="1"/>
    <col min="10764" max="10764" width="4.85546875" style="261" customWidth="1"/>
    <col min="10765" max="11009" width="9.140625" style="261"/>
    <col min="11010" max="11010" width="5.42578125" style="261" bestFit="1" customWidth="1"/>
    <col min="11011" max="11011" width="20.42578125" style="261" bestFit="1" customWidth="1"/>
    <col min="11012" max="11012" width="41.42578125" style="261" customWidth="1"/>
    <col min="11013" max="11013" width="15.28515625" style="261" bestFit="1" customWidth="1"/>
    <col min="11014" max="11014" width="16.7109375" style="261" bestFit="1" customWidth="1"/>
    <col min="11015" max="11015" width="11.28515625" style="261" bestFit="1" customWidth="1"/>
    <col min="11016" max="11016" width="14" style="261" bestFit="1" customWidth="1"/>
    <col min="11017" max="11017" width="11.85546875" style="261" bestFit="1" customWidth="1"/>
    <col min="11018" max="11018" width="14.85546875" style="261" bestFit="1" customWidth="1"/>
    <col min="11019" max="11019" width="9.7109375" style="261" customWidth="1"/>
    <col min="11020" max="11020" width="4.85546875" style="261" customWidth="1"/>
    <col min="11021" max="11265" width="9.140625" style="261"/>
    <col min="11266" max="11266" width="5.42578125" style="261" bestFit="1" customWidth="1"/>
    <col min="11267" max="11267" width="20.42578125" style="261" bestFit="1" customWidth="1"/>
    <col min="11268" max="11268" width="41.42578125" style="261" customWidth="1"/>
    <col min="11269" max="11269" width="15.28515625" style="261" bestFit="1" customWidth="1"/>
    <col min="11270" max="11270" width="16.7109375" style="261" bestFit="1" customWidth="1"/>
    <col min="11271" max="11271" width="11.28515625" style="261" bestFit="1" customWidth="1"/>
    <col min="11272" max="11272" width="14" style="261" bestFit="1" customWidth="1"/>
    <col min="11273" max="11273" width="11.85546875" style="261" bestFit="1" customWidth="1"/>
    <col min="11274" max="11274" width="14.85546875" style="261" bestFit="1" customWidth="1"/>
    <col min="11275" max="11275" width="9.7109375" style="261" customWidth="1"/>
    <col min="11276" max="11276" width="4.85546875" style="261" customWidth="1"/>
    <col min="11277" max="11521" width="9.140625" style="261"/>
    <col min="11522" max="11522" width="5.42578125" style="261" bestFit="1" customWidth="1"/>
    <col min="11523" max="11523" width="20.42578125" style="261" bestFit="1" customWidth="1"/>
    <col min="11524" max="11524" width="41.42578125" style="261" customWidth="1"/>
    <col min="11525" max="11525" width="15.28515625" style="261" bestFit="1" customWidth="1"/>
    <col min="11526" max="11526" width="16.7109375" style="261" bestFit="1" customWidth="1"/>
    <col min="11527" max="11527" width="11.28515625" style="261" bestFit="1" customWidth="1"/>
    <col min="11528" max="11528" width="14" style="261" bestFit="1" customWidth="1"/>
    <col min="11529" max="11529" width="11.85546875" style="261" bestFit="1" customWidth="1"/>
    <col min="11530" max="11530" width="14.85546875" style="261" bestFit="1" customWidth="1"/>
    <col min="11531" max="11531" width="9.7109375" style="261" customWidth="1"/>
    <col min="11532" max="11532" width="4.85546875" style="261" customWidth="1"/>
    <col min="11533" max="11777" width="9.140625" style="261"/>
    <col min="11778" max="11778" width="5.42578125" style="261" bestFit="1" customWidth="1"/>
    <col min="11779" max="11779" width="20.42578125" style="261" bestFit="1" customWidth="1"/>
    <col min="11780" max="11780" width="41.42578125" style="261" customWidth="1"/>
    <col min="11781" max="11781" width="15.28515625" style="261" bestFit="1" customWidth="1"/>
    <col min="11782" max="11782" width="16.7109375" style="261" bestFit="1" customWidth="1"/>
    <col min="11783" max="11783" width="11.28515625" style="261" bestFit="1" customWidth="1"/>
    <col min="11784" max="11784" width="14" style="261" bestFit="1" customWidth="1"/>
    <col min="11785" max="11785" width="11.85546875" style="261" bestFit="1" customWidth="1"/>
    <col min="11786" max="11786" width="14.85546875" style="261" bestFit="1" customWidth="1"/>
    <col min="11787" max="11787" width="9.7109375" style="261" customWidth="1"/>
    <col min="11788" max="11788" width="4.85546875" style="261" customWidth="1"/>
    <col min="11789" max="12033" width="9.140625" style="261"/>
    <col min="12034" max="12034" width="5.42578125" style="261" bestFit="1" customWidth="1"/>
    <col min="12035" max="12035" width="20.42578125" style="261" bestFit="1" customWidth="1"/>
    <col min="12036" max="12036" width="41.42578125" style="261" customWidth="1"/>
    <col min="12037" max="12037" width="15.28515625" style="261" bestFit="1" customWidth="1"/>
    <col min="12038" max="12038" width="16.7109375" style="261" bestFit="1" customWidth="1"/>
    <col min="12039" max="12039" width="11.28515625" style="261" bestFit="1" customWidth="1"/>
    <col min="12040" max="12040" width="14" style="261" bestFit="1" customWidth="1"/>
    <col min="12041" max="12041" width="11.85546875" style="261" bestFit="1" customWidth="1"/>
    <col min="12042" max="12042" width="14.85546875" style="261" bestFit="1" customWidth="1"/>
    <col min="12043" max="12043" width="9.7109375" style="261" customWidth="1"/>
    <col min="12044" max="12044" width="4.85546875" style="261" customWidth="1"/>
    <col min="12045" max="12289" width="9.140625" style="261"/>
    <col min="12290" max="12290" width="5.42578125" style="261" bestFit="1" customWidth="1"/>
    <col min="12291" max="12291" width="20.42578125" style="261" bestFit="1" customWidth="1"/>
    <col min="12292" max="12292" width="41.42578125" style="261" customWidth="1"/>
    <col min="12293" max="12293" width="15.28515625" style="261" bestFit="1" customWidth="1"/>
    <col min="12294" max="12294" width="16.7109375" style="261" bestFit="1" customWidth="1"/>
    <col min="12295" max="12295" width="11.28515625" style="261" bestFit="1" customWidth="1"/>
    <col min="12296" max="12296" width="14" style="261" bestFit="1" customWidth="1"/>
    <col min="12297" max="12297" width="11.85546875" style="261" bestFit="1" customWidth="1"/>
    <col min="12298" max="12298" width="14.85546875" style="261" bestFit="1" customWidth="1"/>
    <col min="12299" max="12299" width="9.7109375" style="261" customWidth="1"/>
    <col min="12300" max="12300" width="4.85546875" style="261" customWidth="1"/>
    <col min="12301" max="12545" width="9.140625" style="261"/>
    <col min="12546" max="12546" width="5.42578125" style="261" bestFit="1" customWidth="1"/>
    <col min="12547" max="12547" width="20.42578125" style="261" bestFit="1" customWidth="1"/>
    <col min="12548" max="12548" width="41.42578125" style="261" customWidth="1"/>
    <col min="12549" max="12549" width="15.28515625" style="261" bestFit="1" customWidth="1"/>
    <col min="12550" max="12550" width="16.7109375" style="261" bestFit="1" customWidth="1"/>
    <col min="12551" max="12551" width="11.28515625" style="261" bestFit="1" customWidth="1"/>
    <col min="12552" max="12552" width="14" style="261" bestFit="1" customWidth="1"/>
    <col min="12553" max="12553" width="11.85546875" style="261" bestFit="1" customWidth="1"/>
    <col min="12554" max="12554" width="14.85546875" style="261" bestFit="1" customWidth="1"/>
    <col min="12555" max="12555" width="9.7109375" style="261" customWidth="1"/>
    <col min="12556" max="12556" width="4.85546875" style="261" customWidth="1"/>
    <col min="12557" max="12801" width="9.140625" style="261"/>
    <col min="12802" max="12802" width="5.42578125" style="261" bestFit="1" customWidth="1"/>
    <col min="12803" max="12803" width="20.42578125" style="261" bestFit="1" customWidth="1"/>
    <col min="12804" max="12804" width="41.42578125" style="261" customWidth="1"/>
    <col min="12805" max="12805" width="15.28515625" style="261" bestFit="1" customWidth="1"/>
    <col min="12806" max="12806" width="16.7109375" style="261" bestFit="1" customWidth="1"/>
    <col min="12807" max="12807" width="11.28515625" style="261" bestFit="1" customWidth="1"/>
    <col min="12808" max="12808" width="14" style="261" bestFit="1" customWidth="1"/>
    <col min="12809" max="12809" width="11.85546875" style="261" bestFit="1" customWidth="1"/>
    <col min="12810" max="12810" width="14.85546875" style="261" bestFit="1" customWidth="1"/>
    <col min="12811" max="12811" width="9.7109375" style="261" customWidth="1"/>
    <col min="12812" max="12812" width="4.85546875" style="261" customWidth="1"/>
    <col min="12813" max="13057" width="9.140625" style="261"/>
    <col min="13058" max="13058" width="5.42578125" style="261" bestFit="1" customWidth="1"/>
    <col min="13059" max="13059" width="20.42578125" style="261" bestFit="1" customWidth="1"/>
    <col min="13060" max="13060" width="41.42578125" style="261" customWidth="1"/>
    <col min="13061" max="13061" width="15.28515625" style="261" bestFit="1" customWidth="1"/>
    <col min="13062" max="13062" width="16.7109375" style="261" bestFit="1" customWidth="1"/>
    <col min="13063" max="13063" width="11.28515625" style="261" bestFit="1" customWidth="1"/>
    <col min="13064" max="13064" width="14" style="261" bestFit="1" customWidth="1"/>
    <col min="13065" max="13065" width="11.85546875" style="261" bestFit="1" customWidth="1"/>
    <col min="13066" max="13066" width="14.85546875" style="261" bestFit="1" customWidth="1"/>
    <col min="13067" max="13067" width="9.7109375" style="261" customWidth="1"/>
    <col min="13068" max="13068" width="4.85546875" style="261" customWidth="1"/>
    <col min="13069" max="13313" width="9.140625" style="261"/>
    <col min="13314" max="13314" width="5.42578125" style="261" bestFit="1" customWidth="1"/>
    <col min="13315" max="13315" width="20.42578125" style="261" bestFit="1" customWidth="1"/>
    <col min="13316" max="13316" width="41.42578125" style="261" customWidth="1"/>
    <col min="13317" max="13317" width="15.28515625" style="261" bestFit="1" customWidth="1"/>
    <col min="13318" max="13318" width="16.7109375" style="261" bestFit="1" customWidth="1"/>
    <col min="13319" max="13319" width="11.28515625" style="261" bestFit="1" customWidth="1"/>
    <col min="13320" max="13320" width="14" style="261" bestFit="1" customWidth="1"/>
    <col min="13321" max="13321" width="11.85546875" style="261" bestFit="1" customWidth="1"/>
    <col min="13322" max="13322" width="14.85546875" style="261" bestFit="1" customWidth="1"/>
    <col min="13323" max="13323" width="9.7109375" style="261" customWidth="1"/>
    <col min="13324" max="13324" width="4.85546875" style="261" customWidth="1"/>
    <col min="13325" max="13569" width="9.140625" style="261"/>
    <col min="13570" max="13570" width="5.42578125" style="261" bestFit="1" customWidth="1"/>
    <col min="13571" max="13571" width="20.42578125" style="261" bestFit="1" customWidth="1"/>
    <col min="13572" max="13572" width="41.42578125" style="261" customWidth="1"/>
    <col min="13573" max="13573" width="15.28515625" style="261" bestFit="1" customWidth="1"/>
    <col min="13574" max="13574" width="16.7109375" style="261" bestFit="1" customWidth="1"/>
    <col min="13575" max="13575" width="11.28515625" style="261" bestFit="1" customWidth="1"/>
    <col min="13576" max="13576" width="14" style="261" bestFit="1" customWidth="1"/>
    <col min="13577" max="13577" width="11.85546875" style="261" bestFit="1" customWidth="1"/>
    <col min="13578" max="13578" width="14.85546875" style="261" bestFit="1" customWidth="1"/>
    <col min="13579" max="13579" width="9.7109375" style="261" customWidth="1"/>
    <col min="13580" max="13580" width="4.85546875" style="261" customWidth="1"/>
    <col min="13581" max="13825" width="9.140625" style="261"/>
    <col min="13826" max="13826" width="5.42578125" style="261" bestFit="1" customWidth="1"/>
    <col min="13827" max="13827" width="20.42578125" style="261" bestFit="1" customWidth="1"/>
    <col min="13828" max="13828" width="41.42578125" style="261" customWidth="1"/>
    <col min="13829" max="13829" width="15.28515625" style="261" bestFit="1" customWidth="1"/>
    <col min="13830" max="13830" width="16.7109375" style="261" bestFit="1" customWidth="1"/>
    <col min="13831" max="13831" width="11.28515625" style="261" bestFit="1" customWidth="1"/>
    <col min="13832" max="13832" width="14" style="261" bestFit="1" customWidth="1"/>
    <col min="13833" max="13833" width="11.85546875" style="261" bestFit="1" customWidth="1"/>
    <col min="13834" max="13834" width="14.85546875" style="261" bestFit="1" customWidth="1"/>
    <col min="13835" max="13835" width="9.7109375" style="261" customWidth="1"/>
    <col min="13836" max="13836" width="4.85546875" style="261" customWidth="1"/>
    <col min="13837" max="14081" width="9.140625" style="261"/>
    <col min="14082" max="14082" width="5.42578125" style="261" bestFit="1" customWidth="1"/>
    <col min="14083" max="14083" width="20.42578125" style="261" bestFit="1" customWidth="1"/>
    <col min="14084" max="14084" width="41.42578125" style="261" customWidth="1"/>
    <col min="14085" max="14085" width="15.28515625" style="261" bestFit="1" customWidth="1"/>
    <col min="14086" max="14086" width="16.7109375" style="261" bestFit="1" customWidth="1"/>
    <col min="14087" max="14087" width="11.28515625" style="261" bestFit="1" customWidth="1"/>
    <col min="14088" max="14088" width="14" style="261" bestFit="1" customWidth="1"/>
    <col min="14089" max="14089" width="11.85546875" style="261" bestFit="1" customWidth="1"/>
    <col min="14090" max="14090" width="14.85546875" style="261" bestFit="1" customWidth="1"/>
    <col min="14091" max="14091" width="9.7109375" style="261" customWidth="1"/>
    <col min="14092" max="14092" width="4.85546875" style="261" customWidth="1"/>
    <col min="14093" max="14337" width="9.140625" style="261"/>
    <col min="14338" max="14338" width="5.42578125" style="261" bestFit="1" customWidth="1"/>
    <col min="14339" max="14339" width="20.42578125" style="261" bestFit="1" customWidth="1"/>
    <col min="14340" max="14340" width="41.42578125" style="261" customWidth="1"/>
    <col min="14341" max="14341" width="15.28515625" style="261" bestFit="1" customWidth="1"/>
    <col min="14342" max="14342" width="16.7109375" style="261" bestFit="1" customWidth="1"/>
    <col min="14343" max="14343" width="11.28515625" style="261" bestFit="1" customWidth="1"/>
    <col min="14344" max="14344" width="14" style="261" bestFit="1" customWidth="1"/>
    <col min="14345" max="14345" width="11.85546875" style="261" bestFit="1" customWidth="1"/>
    <col min="14346" max="14346" width="14.85546875" style="261" bestFit="1" customWidth="1"/>
    <col min="14347" max="14347" width="9.7109375" style="261" customWidth="1"/>
    <col min="14348" max="14348" width="4.85546875" style="261" customWidth="1"/>
    <col min="14349" max="14593" width="9.140625" style="261"/>
    <col min="14594" max="14594" width="5.42578125" style="261" bestFit="1" customWidth="1"/>
    <col min="14595" max="14595" width="20.42578125" style="261" bestFit="1" customWidth="1"/>
    <col min="14596" max="14596" width="41.42578125" style="261" customWidth="1"/>
    <col min="14597" max="14597" width="15.28515625" style="261" bestFit="1" customWidth="1"/>
    <col min="14598" max="14598" width="16.7109375" style="261" bestFit="1" customWidth="1"/>
    <col min="14599" max="14599" width="11.28515625" style="261" bestFit="1" customWidth="1"/>
    <col min="14600" max="14600" width="14" style="261" bestFit="1" customWidth="1"/>
    <col min="14601" max="14601" width="11.85546875" style="261" bestFit="1" customWidth="1"/>
    <col min="14602" max="14602" width="14.85546875" style="261" bestFit="1" customWidth="1"/>
    <col min="14603" max="14603" width="9.7109375" style="261" customWidth="1"/>
    <col min="14604" max="14604" width="4.85546875" style="261" customWidth="1"/>
    <col min="14605" max="14849" width="9.140625" style="261"/>
    <col min="14850" max="14850" width="5.42578125" style="261" bestFit="1" customWidth="1"/>
    <col min="14851" max="14851" width="20.42578125" style="261" bestFit="1" customWidth="1"/>
    <col min="14852" max="14852" width="41.42578125" style="261" customWidth="1"/>
    <col min="14853" max="14853" width="15.28515625" style="261" bestFit="1" customWidth="1"/>
    <col min="14854" max="14854" width="16.7109375" style="261" bestFit="1" customWidth="1"/>
    <col min="14855" max="14855" width="11.28515625" style="261" bestFit="1" customWidth="1"/>
    <col min="14856" max="14856" width="14" style="261" bestFit="1" customWidth="1"/>
    <col min="14857" max="14857" width="11.85546875" style="261" bestFit="1" customWidth="1"/>
    <col min="14858" max="14858" width="14.85546875" style="261" bestFit="1" customWidth="1"/>
    <col min="14859" max="14859" width="9.7109375" style="261" customWidth="1"/>
    <col min="14860" max="14860" width="4.85546875" style="261" customWidth="1"/>
    <col min="14861" max="15105" width="9.140625" style="261"/>
    <col min="15106" max="15106" width="5.42578125" style="261" bestFit="1" customWidth="1"/>
    <col min="15107" max="15107" width="20.42578125" style="261" bestFit="1" customWidth="1"/>
    <col min="15108" max="15108" width="41.42578125" style="261" customWidth="1"/>
    <col min="15109" max="15109" width="15.28515625" style="261" bestFit="1" customWidth="1"/>
    <col min="15110" max="15110" width="16.7109375" style="261" bestFit="1" customWidth="1"/>
    <col min="15111" max="15111" width="11.28515625" style="261" bestFit="1" customWidth="1"/>
    <col min="15112" max="15112" width="14" style="261" bestFit="1" customWidth="1"/>
    <col min="15113" max="15113" width="11.85546875" style="261" bestFit="1" customWidth="1"/>
    <col min="15114" max="15114" width="14.85546875" style="261" bestFit="1" customWidth="1"/>
    <col min="15115" max="15115" width="9.7109375" style="261" customWidth="1"/>
    <col min="15116" max="15116" width="4.85546875" style="261" customWidth="1"/>
    <col min="15117" max="15361" width="9.140625" style="261"/>
    <col min="15362" max="15362" width="5.42578125" style="261" bestFit="1" customWidth="1"/>
    <col min="15363" max="15363" width="20.42578125" style="261" bestFit="1" customWidth="1"/>
    <col min="15364" max="15364" width="41.42578125" style="261" customWidth="1"/>
    <col min="15365" max="15365" width="15.28515625" style="261" bestFit="1" customWidth="1"/>
    <col min="15366" max="15366" width="16.7109375" style="261" bestFit="1" customWidth="1"/>
    <col min="15367" max="15367" width="11.28515625" style="261" bestFit="1" customWidth="1"/>
    <col min="15368" max="15368" width="14" style="261" bestFit="1" customWidth="1"/>
    <col min="15369" max="15369" width="11.85546875" style="261" bestFit="1" customWidth="1"/>
    <col min="15370" max="15370" width="14.85546875" style="261" bestFit="1" customWidth="1"/>
    <col min="15371" max="15371" width="9.7109375" style="261" customWidth="1"/>
    <col min="15372" max="15372" width="4.85546875" style="261" customWidth="1"/>
    <col min="15373" max="15617" width="9.140625" style="261"/>
    <col min="15618" max="15618" width="5.42578125" style="261" bestFit="1" customWidth="1"/>
    <col min="15619" max="15619" width="20.42578125" style="261" bestFit="1" customWidth="1"/>
    <col min="15620" max="15620" width="41.42578125" style="261" customWidth="1"/>
    <col min="15621" max="15621" width="15.28515625" style="261" bestFit="1" customWidth="1"/>
    <col min="15622" max="15622" width="16.7109375" style="261" bestFit="1" customWidth="1"/>
    <col min="15623" max="15623" width="11.28515625" style="261" bestFit="1" customWidth="1"/>
    <col min="15624" max="15624" width="14" style="261" bestFit="1" customWidth="1"/>
    <col min="15625" max="15625" width="11.85546875" style="261" bestFit="1" customWidth="1"/>
    <col min="15626" max="15626" width="14.85546875" style="261" bestFit="1" customWidth="1"/>
    <col min="15627" max="15627" width="9.7109375" style="261" customWidth="1"/>
    <col min="15628" max="15628" width="4.85546875" style="261" customWidth="1"/>
    <col min="15629" max="15873" width="9.140625" style="261"/>
    <col min="15874" max="15874" width="5.42578125" style="261" bestFit="1" customWidth="1"/>
    <col min="15875" max="15875" width="20.42578125" style="261" bestFit="1" customWidth="1"/>
    <col min="15876" max="15876" width="41.42578125" style="261" customWidth="1"/>
    <col min="15877" max="15877" width="15.28515625" style="261" bestFit="1" customWidth="1"/>
    <col min="15878" max="15878" width="16.7109375" style="261" bestFit="1" customWidth="1"/>
    <col min="15879" max="15879" width="11.28515625" style="261" bestFit="1" customWidth="1"/>
    <col min="15880" max="15880" width="14" style="261" bestFit="1" customWidth="1"/>
    <col min="15881" max="15881" width="11.85546875" style="261" bestFit="1" customWidth="1"/>
    <col min="15882" max="15882" width="14.85546875" style="261" bestFit="1" customWidth="1"/>
    <col min="15883" max="15883" width="9.7109375" style="261" customWidth="1"/>
    <col min="15884" max="15884" width="4.85546875" style="261" customWidth="1"/>
    <col min="15885" max="16129" width="9.140625" style="261"/>
    <col min="16130" max="16130" width="5.42578125" style="261" bestFit="1" customWidth="1"/>
    <col min="16131" max="16131" width="20.42578125" style="261" bestFit="1" customWidth="1"/>
    <col min="16132" max="16132" width="41.42578125" style="261" customWidth="1"/>
    <col min="16133" max="16133" width="15.28515625" style="261" bestFit="1" customWidth="1"/>
    <col min="16134" max="16134" width="16.7109375" style="261" bestFit="1" customWidth="1"/>
    <col min="16135" max="16135" width="11.28515625" style="261" bestFit="1" customWidth="1"/>
    <col min="16136" max="16136" width="14" style="261" bestFit="1" customWidth="1"/>
    <col min="16137" max="16137" width="11.85546875" style="261" bestFit="1" customWidth="1"/>
    <col min="16138" max="16138" width="14.85546875" style="261" bestFit="1" customWidth="1"/>
    <col min="16139" max="16139" width="9.7109375" style="261" customWidth="1"/>
    <col min="16140" max="16140" width="4.85546875" style="261" customWidth="1"/>
    <col min="16141" max="16384" width="9.140625" style="261"/>
  </cols>
  <sheetData>
    <row r="1" spans="1:13" x14ac:dyDescent="0.25">
      <c r="A1" s="259" t="s">
        <v>0</v>
      </c>
      <c r="B1" s="260"/>
      <c r="C1" s="260"/>
      <c r="D1" s="260"/>
      <c r="E1" s="260"/>
      <c r="F1" s="260"/>
      <c r="G1" s="260"/>
    </row>
    <row r="2" spans="1:13" x14ac:dyDescent="0.25">
      <c r="A2" s="262" t="s">
        <v>969</v>
      </c>
      <c r="B2" s="262"/>
      <c r="C2" s="262"/>
      <c r="D2" s="262"/>
      <c r="E2" s="262"/>
      <c r="F2" s="262"/>
      <c r="G2" s="262"/>
    </row>
    <row r="3" spans="1:13" x14ac:dyDescent="0.25">
      <c r="A3" s="263" t="s">
        <v>970</v>
      </c>
      <c r="B3" s="263"/>
      <c r="C3" s="263"/>
      <c r="D3" s="263"/>
      <c r="E3" s="263"/>
      <c r="F3" s="263"/>
      <c r="G3" s="263"/>
    </row>
    <row r="4" spans="1:13" ht="30" x14ac:dyDescent="0.25">
      <c r="A4" s="264" t="s">
        <v>971</v>
      </c>
      <c r="B4" s="264" t="s">
        <v>972</v>
      </c>
      <c r="C4" s="264" t="s">
        <v>843</v>
      </c>
      <c r="D4" s="264" t="s">
        <v>973</v>
      </c>
      <c r="E4" s="264" t="s">
        <v>6</v>
      </c>
      <c r="F4" s="264" t="s">
        <v>7</v>
      </c>
      <c r="G4" s="264" t="s">
        <v>8</v>
      </c>
    </row>
    <row r="5" spans="1:13" ht="26.25" x14ac:dyDescent="0.25">
      <c r="A5" s="265"/>
      <c r="B5" s="265"/>
      <c r="C5" s="266" t="s">
        <v>974</v>
      </c>
      <c r="D5" s="265"/>
      <c r="E5" s="265"/>
      <c r="F5" s="267"/>
      <c r="G5" s="268"/>
    </row>
    <row r="6" spans="1:13" ht="26.25" x14ac:dyDescent="0.25">
      <c r="A6" s="269">
        <v>1</v>
      </c>
      <c r="B6" s="270" t="s">
        <v>975</v>
      </c>
      <c r="C6" s="271" t="s">
        <v>976</v>
      </c>
      <c r="D6" s="272" t="s">
        <v>977</v>
      </c>
      <c r="E6" s="273">
        <v>94334.65</v>
      </c>
      <c r="F6" s="274">
        <v>637.58589510000002</v>
      </c>
      <c r="G6" s="275">
        <f>ROUND(F6/$F$20*100,2)</f>
        <v>29.54</v>
      </c>
      <c r="H6" s="276"/>
      <c r="I6" s="277"/>
      <c r="J6" s="277"/>
      <c r="K6" s="276"/>
      <c r="L6" s="276"/>
      <c r="M6" s="276"/>
    </row>
    <row r="7" spans="1:13" x14ac:dyDescent="0.25">
      <c r="A7" s="269">
        <v>2</v>
      </c>
      <c r="B7" s="270" t="s">
        <v>978</v>
      </c>
      <c r="C7" s="270" t="s">
        <v>979</v>
      </c>
      <c r="D7" s="272" t="s">
        <v>977</v>
      </c>
      <c r="E7" s="273">
        <v>15880</v>
      </c>
      <c r="F7" s="274">
        <v>557.7296106</v>
      </c>
      <c r="G7" s="275">
        <f>ROUND(F7/$F$20*100,2)</f>
        <v>25.84</v>
      </c>
      <c r="H7" s="276"/>
      <c r="I7" s="277"/>
      <c r="J7" s="277"/>
      <c r="K7" s="276"/>
      <c r="L7" s="276"/>
      <c r="M7" s="276"/>
    </row>
    <row r="8" spans="1:13" x14ac:dyDescent="0.25">
      <c r="A8" s="269">
        <v>3</v>
      </c>
      <c r="B8" s="270" t="s">
        <v>980</v>
      </c>
      <c r="C8" s="270" t="s">
        <v>981</v>
      </c>
      <c r="D8" s="272" t="s">
        <v>977</v>
      </c>
      <c r="E8" s="273">
        <v>14618.698</v>
      </c>
      <c r="F8" s="274">
        <v>333.83351909999999</v>
      </c>
      <c r="G8" s="275">
        <f>ROUND(F8/$F$20*100,2)</f>
        <v>15.47</v>
      </c>
      <c r="H8" s="276"/>
      <c r="I8" s="277"/>
      <c r="J8" s="277"/>
      <c r="K8" s="276"/>
      <c r="L8" s="276"/>
      <c r="M8" s="276"/>
    </row>
    <row r="9" spans="1:13" x14ac:dyDescent="0.25">
      <c r="A9" s="269">
        <v>5</v>
      </c>
      <c r="B9" s="270" t="s">
        <v>982</v>
      </c>
      <c r="C9" s="271" t="s">
        <v>983</v>
      </c>
      <c r="D9" s="272" t="s">
        <v>977</v>
      </c>
      <c r="E9" s="273">
        <v>5884</v>
      </c>
      <c r="F9" s="274">
        <v>198.0721288</v>
      </c>
      <c r="G9" s="275">
        <f>ROUND(F9/$F$20*100,2)</f>
        <v>9.18</v>
      </c>
      <c r="H9" s="276"/>
      <c r="I9" s="277"/>
      <c r="J9" s="277"/>
      <c r="K9" s="276"/>
      <c r="L9" s="276"/>
      <c r="M9" s="276"/>
    </row>
    <row r="10" spans="1:13" x14ac:dyDescent="0.25">
      <c r="A10" s="269">
        <v>6</v>
      </c>
      <c r="B10" s="270" t="s">
        <v>984</v>
      </c>
      <c r="C10" s="271" t="s">
        <v>985</v>
      </c>
      <c r="D10" s="272" t="s">
        <v>977</v>
      </c>
      <c r="E10" s="273">
        <v>4.0000000000000001E-3</v>
      </c>
      <c r="F10" s="274">
        <v>0</v>
      </c>
      <c r="G10" s="275" t="s">
        <v>810</v>
      </c>
      <c r="H10" s="276"/>
      <c r="I10" s="277"/>
      <c r="J10" s="277"/>
      <c r="K10" s="276"/>
      <c r="L10" s="276"/>
      <c r="M10" s="276"/>
    </row>
    <row r="11" spans="1:13" x14ac:dyDescent="0.25">
      <c r="A11" s="269"/>
      <c r="B11" s="278"/>
      <c r="C11" s="278"/>
      <c r="D11" s="278"/>
      <c r="E11" s="278"/>
      <c r="F11" s="278"/>
      <c r="G11" s="278"/>
      <c r="H11" s="276"/>
      <c r="I11" s="277"/>
      <c r="J11" s="277"/>
      <c r="K11" s="276"/>
      <c r="L11" s="276"/>
      <c r="M11" s="276"/>
    </row>
    <row r="12" spans="1:13" ht="25.5" x14ac:dyDescent="0.25">
      <c r="A12" s="268"/>
      <c r="B12" s="268"/>
      <c r="C12" s="279" t="s">
        <v>986</v>
      </c>
      <c r="D12" s="279"/>
      <c r="E12" s="279"/>
      <c r="F12" s="280">
        <f>SUM(F6:F10)</f>
        <v>1727.2211536</v>
      </c>
      <c r="G12" s="281">
        <f>ROUND(F12/$F$20*100,2)</f>
        <v>80.040000000000006</v>
      </c>
      <c r="H12" s="282"/>
      <c r="K12" s="283"/>
    </row>
    <row r="13" spans="1:13" x14ac:dyDescent="0.25">
      <c r="A13" s="268"/>
      <c r="B13" s="268"/>
      <c r="C13" s="268"/>
      <c r="D13" s="268"/>
      <c r="E13" s="268"/>
      <c r="F13" s="284"/>
      <c r="G13" s="268"/>
    </row>
    <row r="14" spans="1:13" x14ac:dyDescent="0.25">
      <c r="A14" s="265"/>
      <c r="B14" s="265"/>
      <c r="C14" s="285" t="s">
        <v>987</v>
      </c>
      <c r="D14" s="285"/>
      <c r="E14" s="285"/>
      <c r="F14" s="286"/>
      <c r="G14" s="268"/>
    </row>
    <row r="15" spans="1:13" x14ac:dyDescent="0.25">
      <c r="A15" s="268"/>
      <c r="B15" s="268"/>
      <c r="C15" s="287" t="s">
        <v>812</v>
      </c>
      <c r="D15" s="285"/>
      <c r="E15" s="285"/>
      <c r="F15" s="288">
        <v>427.94371999999998</v>
      </c>
      <c r="G15" s="275">
        <f>F15/$F$20*100</f>
        <v>19.829906532788545</v>
      </c>
    </row>
    <row r="16" spans="1:13" x14ac:dyDescent="0.25">
      <c r="A16" s="268"/>
      <c r="B16" s="268"/>
      <c r="C16" s="289" t="s">
        <v>127</v>
      </c>
      <c r="D16" s="268"/>
      <c r="E16" s="268"/>
      <c r="F16" s="290">
        <f>F15</f>
        <v>427.94371999999998</v>
      </c>
      <c r="G16" s="291">
        <f>F16/$F$20*100</f>
        <v>19.829906532788545</v>
      </c>
    </row>
    <row r="17" spans="1:15" x14ac:dyDescent="0.25">
      <c r="A17" s="268"/>
      <c r="B17" s="268"/>
      <c r="C17" s="268"/>
      <c r="D17" s="268"/>
      <c r="E17" s="268"/>
      <c r="F17" s="284"/>
      <c r="G17" s="268"/>
    </row>
    <row r="18" spans="1:15" x14ac:dyDescent="0.25">
      <c r="A18" s="268"/>
      <c r="B18" s="268"/>
      <c r="C18" s="287" t="s">
        <v>988</v>
      </c>
      <c r="D18" s="285"/>
      <c r="E18" s="285"/>
      <c r="F18" s="292">
        <v>2.9074263999998493</v>
      </c>
      <c r="G18" s="288">
        <f>F18/$F$20*100</f>
        <v>0.13472330838961463</v>
      </c>
      <c r="H18" s="293"/>
      <c r="I18" s="293"/>
      <c r="J18" s="293"/>
      <c r="M18" s="294"/>
      <c r="N18" s="294"/>
      <c r="O18" s="294"/>
    </row>
    <row r="19" spans="1:15" x14ac:dyDescent="0.25">
      <c r="A19" s="268"/>
      <c r="B19" s="268"/>
      <c r="C19" s="268"/>
      <c r="D19" s="268"/>
      <c r="E19" s="268"/>
      <c r="F19" s="284"/>
      <c r="G19" s="268"/>
      <c r="O19" s="294"/>
    </row>
    <row r="20" spans="1:15" x14ac:dyDescent="0.25">
      <c r="A20" s="268"/>
      <c r="B20" s="268"/>
      <c r="C20" s="289" t="s">
        <v>135</v>
      </c>
      <c r="D20" s="268"/>
      <c r="E20" s="268"/>
      <c r="F20" s="290">
        <v>2158.0722999999998</v>
      </c>
      <c r="G20" s="295">
        <f>G18+G16+G12</f>
        <v>100.00462984117817</v>
      </c>
      <c r="H20" s="282"/>
      <c r="I20" s="296"/>
      <c r="J20" s="296"/>
    </row>
    <row r="21" spans="1:15" x14ac:dyDescent="0.25">
      <c r="F21" s="276"/>
      <c r="I21" s="293"/>
      <c r="J21" s="293"/>
    </row>
    <row r="22" spans="1:15" x14ac:dyDescent="0.25">
      <c r="B22" s="297" t="s">
        <v>989</v>
      </c>
      <c r="C22" s="297"/>
      <c r="D22" s="298"/>
      <c r="E22" s="298"/>
      <c r="F22" s="299"/>
      <c r="G22" s="299"/>
      <c r="I22" s="300"/>
      <c r="J22" s="300"/>
    </row>
    <row r="23" spans="1:15" x14ac:dyDescent="0.25">
      <c r="B23" s="301" t="s">
        <v>137</v>
      </c>
      <c r="C23" s="302"/>
      <c r="D23" s="302"/>
      <c r="E23" s="302"/>
      <c r="F23" s="302"/>
      <c r="G23" s="302"/>
    </row>
    <row r="24" spans="1:15" x14ac:dyDescent="0.25">
      <c r="B24" s="302" t="s">
        <v>866</v>
      </c>
      <c r="C24" s="302"/>
      <c r="D24" s="302"/>
      <c r="E24" s="302"/>
      <c r="F24" s="303"/>
      <c r="G24" s="303"/>
    </row>
    <row r="25" spans="1:15" x14ac:dyDescent="0.25">
      <c r="B25" s="304" t="s">
        <v>990</v>
      </c>
      <c r="C25" s="304"/>
      <c r="D25" s="302"/>
      <c r="E25" s="302"/>
      <c r="F25" s="305"/>
      <c r="G25" s="305"/>
    </row>
    <row r="26" spans="1:15" x14ac:dyDescent="0.25">
      <c r="B26" s="304" t="s">
        <v>140</v>
      </c>
      <c r="C26" s="304"/>
      <c r="D26" s="306"/>
      <c r="E26" s="306"/>
      <c r="F26" s="302" t="s">
        <v>864</v>
      </c>
      <c r="G26" s="302"/>
    </row>
    <row r="27" spans="1:15" x14ac:dyDescent="0.25">
      <c r="B27" s="307"/>
      <c r="C27" s="307"/>
      <c r="D27" s="306"/>
      <c r="E27" s="306"/>
      <c r="F27" s="302"/>
      <c r="G27" s="302"/>
    </row>
    <row r="28" spans="1:15" x14ac:dyDescent="0.25">
      <c r="B28" s="308"/>
      <c r="C28" s="309" t="s">
        <v>141</v>
      </c>
      <c r="D28" s="309" t="s">
        <v>142</v>
      </c>
      <c r="E28" s="310"/>
      <c r="F28" s="310"/>
      <c r="G28" s="302"/>
    </row>
    <row r="29" spans="1:15" x14ac:dyDescent="0.25">
      <c r="B29" s="311" t="s">
        <v>873</v>
      </c>
      <c r="C29" s="312">
        <v>43738</v>
      </c>
      <c r="D29" s="312">
        <v>43769</v>
      </c>
      <c r="E29" s="313"/>
      <c r="F29" s="313"/>
      <c r="G29" s="298"/>
    </row>
    <row r="30" spans="1:15" x14ac:dyDescent="0.25">
      <c r="B30" s="314" t="s">
        <v>146</v>
      </c>
      <c r="C30" s="315">
        <v>17.282800000000002</v>
      </c>
      <c r="D30" s="315">
        <v>17.7943</v>
      </c>
      <c r="E30" s="316"/>
      <c r="F30" s="298"/>
      <c r="G30" s="298"/>
    </row>
    <row r="31" spans="1:15" x14ac:dyDescent="0.25">
      <c r="B31" s="314" t="s">
        <v>147</v>
      </c>
      <c r="C31" s="315">
        <v>15.389200000000001</v>
      </c>
      <c r="D31" s="315">
        <v>15.8405</v>
      </c>
      <c r="E31" s="316"/>
      <c r="F31" s="298"/>
      <c r="G31" s="298"/>
    </row>
    <row r="32" spans="1:15" x14ac:dyDescent="0.25">
      <c r="B32" s="314" t="s">
        <v>148</v>
      </c>
      <c r="C32" s="315">
        <v>16.6418</v>
      </c>
      <c r="D32" s="315">
        <v>17.128799999999998</v>
      </c>
      <c r="E32" s="316"/>
      <c r="F32" s="298"/>
      <c r="G32" s="298"/>
    </row>
    <row r="33" spans="2:7" x14ac:dyDescent="0.25">
      <c r="B33" s="314" t="s">
        <v>149</v>
      </c>
      <c r="C33" s="315">
        <v>14.2692</v>
      </c>
      <c r="D33" s="315">
        <v>14.6868</v>
      </c>
      <c r="E33" s="316"/>
      <c r="F33" s="298"/>
      <c r="G33" s="298"/>
    </row>
    <row r="34" spans="2:7" x14ac:dyDescent="0.25">
      <c r="B34" s="306"/>
      <c r="C34" s="302"/>
      <c r="D34" s="302"/>
      <c r="E34" s="302"/>
      <c r="F34" s="302"/>
      <c r="G34" s="302"/>
    </row>
    <row r="35" spans="2:7" x14ac:dyDescent="0.25">
      <c r="B35" s="317" t="s">
        <v>876</v>
      </c>
      <c r="C35" s="317"/>
      <c r="D35" s="317"/>
      <c r="E35" s="318"/>
      <c r="F35" s="318"/>
      <c r="G35" s="298"/>
    </row>
    <row r="36" spans="2:7" x14ac:dyDescent="0.25">
      <c r="B36" s="304" t="s">
        <v>991</v>
      </c>
      <c r="C36" s="304"/>
      <c r="D36" s="304"/>
      <c r="E36" s="302"/>
      <c r="F36" s="302"/>
      <c r="G36" s="302"/>
    </row>
    <row r="37" spans="2:7" ht="15" customHeight="1" x14ac:dyDescent="0.25">
      <c r="B37" s="319" t="s">
        <v>992</v>
      </c>
      <c r="C37" s="319"/>
      <c r="D37" s="319"/>
      <c r="E37" s="320"/>
      <c r="F37" s="320"/>
      <c r="G37" s="302"/>
    </row>
    <row r="38" spans="2:7" x14ac:dyDescent="0.25">
      <c r="B38" s="297" t="s">
        <v>993</v>
      </c>
      <c r="C38" s="297"/>
      <c r="D38" s="297"/>
      <c r="E38" s="298"/>
      <c r="F38" s="298"/>
      <c r="G38" s="298"/>
    </row>
  </sheetData>
  <mergeCells count="9">
    <mergeCell ref="B35:D35"/>
    <mergeCell ref="B36:D36"/>
    <mergeCell ref="B38:D38"/>
    <mergeCell ref="A1:G1"/>
    <mergeCell ref="A2:G2"/>
    <mergeCell ref="A3:G3"/>
    <mergeCell ref="B22:C22"/>
    <mergeCell ref="B25:C25"/>
    <mergeCell ref="B26:C2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A894-926A-4053-9B30-C2231118CAF0}">
  <dimension ref="A1:L137"/>
  <sheetViews>
    <sheetView workbookViewId="0"/>
  </sheetViews>
  <sheetFormatPr defaultRowHeight="12.75" x14ac:dyDescent="0.2"/>
  <cols>
    <col min="1" max="1" width="9.140625" style="226"/>
    <col min="2" max="2" width="40.85546875" style="226" customWidth="1"/>
    <col min="3" max="3" width="45.42578125" style="226" bestFit="1" customWidth="1"/>
    <col min="4" max="4" width="18.7109375" style="226" customWidth="1"/>
    <col min="5" max="5" width="21.28515625" style="226" customWidth="1"/>
    <col min="6" max="6" width="16.5703125" style="226" customWidth="1"/>
    <col min="7" max="7" width="19" style="226" customWidth="1"/>
    <col min="8" max="8" width="17.5703125" style="226" customWidth="1"/>
    <col min="9" max="9" width="13.28515625" style="322" customWidth="1"/>
    <col min="10" max="10" width="13.5703125" style="226" customWidth="1"/>
    <col min="11" max="11" width="20.5703125" style="226" customWidth="1"/>
    <col min="12" max="12" width="12.42578125" style="226" bestFit="1" customWidth="1"/>
    <col min="13" max="257" width="9.140625" style="226"/>
    <col min="258" max="258" width="40.85546875" style="226" customWidth="1"/>
    <col min="259" max="259" width="45.42578125" style="226" bestFit="1" customWidth="1"/>
    <col min="260" max="260" width="18.7109375" style="226" customWidth="1"/>
    <col min="261" max="261" width="21.28515625" style="226" customWidth="1"/>
    <col min="262" max="262" width="16.5703125" style="226" customWidth="1"/>
    <col min="263" max="263" width="19" style="226" customWidth="1"/>
    <col min="264" max="264" width="17.5703125" style="226" customWidth="1"/>
    <col min="265" max="265" width="13.28515625" style="226" customWidth="1"/>
    <col min="266" max="266" width="13.5703125" style="226" customWidth="1"/>
    <col min="267" max="267" width="20.5703125" style="226" customWidth="1"/>
    <col min="268" max="268" width="12.42578125" style="226" bestFit="1" customWidth="1"/>
    <col min="269" max="513" width="9.140625" style="226"/>
    <col min="514" max="514" width="40.85546875" style="226" customWidth="1"/>
    <col min="515" max="515" width="45.42578125" style="226" bestFit="1" customWidth="1"/>
    <col min="516" max="516" width="18.7109375" style="226" customWidth="1"/>
    <col min="517" max="517" width="21.28515625" style="226" customWidth="1"/>
    <col min="518" max="518" width="16.5703125" style="226" customWidth="1"/>
    <col min="519" max="519" width="19" style="226" customWidth="1"/>
    <col min="520" max="520" width="17.5703125" style="226" customWidth="1"/>
    <col min="521" max="521" width="13.28515625" style="226" customWidth="1"/>
    <col min="522" max="522" width="13.5703125" style="226" customWidth="1"/>
    <col min="523" max="523" width="20.5703125" style="226" customWidth="1"/>
    <col min="524" max="524" width="12.42578125" style="226" bestFit="1" customWidth="1"/>
    <col min="525" max="769" width="9.140625" style="226"/>
    <col min="770" max="770" width="40.85546875" style="226" customWidth="1"/>
    <col min="771" max="771" width="45.42578125" style="226" bestFit="1" customWidth="1"/>
    <col min="772" max="772" width="18.7109375" style="226" customWidth="1"/>
    <col min="773" max="773" width="21.28515625" style="226" customWidth="1"/>
    <col min="774" max="774" width="16.5703125" style="226" customWidth="1"/>
    <col min="775" max="775" width="19" style="226" customWidth="1"/>
    <col min="776" max="776" width="17.5703125" style="226" customWidth="1"/>
    <col min="777" max="777" width="13.28515625" style="226" customWidth="1"/>
    <col min="778" max="778" width="13.5703125" style="226" customWidth="1"/>
    <col min="779" max="779" width="20.5703125" style="226" customWidth="1"/>
    <col min="780" max="780" width="12.42578125" style="226" bestFit="1" customWidth="1"/>
    <col min="781" max="1025" width="9.140625" style="226"/>
    <col min="1026" max="1026" width="40.85546875" style="226" customWidth="1"/>
    <col min="1027" max="1027" width="45.42578125" style="226" bestFit="1" customWidth="1"/>
    <col min="1028" max="1028" width="18.7109375" style="226" customWidth="1"/>
    <col min="1029" max="1029" width="21.28515625" style="226" customWidth="1"/>
    <col min="1030" max="1030" width="16.5703125" style="226" customWidth="1"/>
    <col min="1031" max="1031" width="19" style="226" customWidth="1"/>
    <col min="1032" max="1032" width="17.5703125" style="226" customWidth="1"/>
    <col min="1033" max="1033" width="13.28515625" style="226" customWidth="1"/>
    <col min="1034" max="1034" width="13.5703125" style="226" customWidth="1"/>
    <col min="1035" max="1035" width="20.5703125" style="226" customWidth="1"/>
    <col min="1036" max="1036" width="12.42578125" style="226" bestFit="1" customWidth="1"/>
    <col min="1037" max="1281" width="9.140625" style="226"/>
    <col min="1282" max="1282" width="40.85546875" style="226" customWidth="1"/>
    <col min="1283" max="1283" width="45.42578125" style="226" bestFit="1" customWidth="1"/>
    <col min="1284" max="1284" width="18.7109375" style="226" customWidth="1"/>
    <col min="1285" max="1285" width="21.28515625" style="226" customWidth="1"/>
    <col min="1286" max="1286" width="16.5703125" style="226" customWidth="1"/>
    <col min="1287" max="1287" width="19" style="226" customWidth="1"/>
    <col min="1288" max="1288" width="17.5703125" style="226" customWidth="1"/>
    <col min="1289" max="1289" width="13.28515625" style="226" customWidth="1"/>
    <col min="1290" max="1290" width="13.5703125" style="226" customWidth="1"/>
    <col min="1291" max="1291" width="20.5703125" style="226" customWidth="1"/>
    <col min="1292" max="1292" width="12.42578125" style="226" bestFit="1" customWidth="1"/>
    <col min="1293" max="1537" width="9.140625" style="226"/>
    <col min="1538" max="1538" width="40.85546875" style="226" customWidth="1"/>
    <col min="1539" max="1539" width="45.42578125" style="226" bestFit="1" customWidth="1"/>
    <col min="1540" max="1540" width="18.7109375" style="226" customWidth="1"/>
    <col min="1541" max="1541" width="21.28515625" style="226" customWidth="1"/>
    <col min="1542" max="1542" width="16.5703125" style="226" customWidth="1"/>
    <col min="1543" max="1543" width="19" style="226" customWidth="1"/>
    <col min="1544" max="1544" width="17.5703125" style="226" customWidth="1"/>
    <col min="1545" max="1545" width="13.28515625" style="226" customWidth="1"/>
    <col min="1546" max="1546" width="13.5703125" style="226" customWidth="1"/>
    <col min="1547" max="1547" width="20.5703125" style="226" customWidth="1"/>
    <col min="1548" max="1548" width="12.42578125" style="226" bestFit="1" customWidth="1"/>
    <col min="1549" max="1793" width="9.140625" style="226"/>
    <col min="1794" max="1794" width="40.85546875" style="226" customWidth="1"/>
    <col min="1795" max="1795" width="45.42578125" style="226" bestFit="1" customWidth="1"/>
    <col min="1796" max="1796" width="18.7109375" style="226" customWidth="1"/>
    <col min="1797" max="1797" width="21.28515625" style="226" customWidth="1"/>
    <col min="1798" max="1798" width="16.5703125" style="226" customWidth="1"/>
    <col min="1799" max="1799" width="19" style="226" customWidth="1"/>
    <col min="1800" max="1800" width="17.5703125" style="226" customWidth="1"/>
    <col min="1801" max="1801" width="13.28515625" style="226" customWidth="1"/>
    <col min="1802" max="1802" width="13.5703125" style="226" customWidth="1"/>
    <col min="1803" max="1803" width="20.5703125" style="226" customWidth="1"/>
    <col min="1804" max="1804" width="12.42578125" style="226" bestFit="1" customWidth="1"/>
    <col min="1805" max="2049" width="9.140625" style="226"/>
    <col min="2050" max="2050" width="40.85546875" style="226" customWidth="1"/>
    <col min="2051" max="2051" width="45.42578125" style="226" bestFit="1" customWidth="1"/>
    <col min="2052" max="2052" width="18.7109375" style="226" customWidth="1"/>
    <col min="2053" max="2053" width="21.28515625" style="226" customWidth="1"/>
    <col min="2054" max="2054" width="16.5703125" style="226" customWidth="1"/>
    <col min="2055" max="2055" width="19" style="226" customWidth="1"/>
    <col min="2056" max="2056" width="17.5703125" style="226" customWidth="1"/>
    <col min="2057" max="2057" width="13.28515625" style="226" customWidth="1"/>
    <col min="2058" max="2058" width="13.5703125" style="226" customWidth="1"/>
    <col min="2059" max="2059" width="20.5703125" style="226" customWidth="1"/>
    <col min="2060" max="2060" width="12.42578125" style="226" bestFit="1" customWidth="1"/>
    <col min="2061" max="2305" width="9.140625" style="226"/>
    <col min="2306" max="2306" width="40.85546875" style="226" customWidth="1"/>
    <col min="2307" max="2307" width="45.42578125" style="226" bestFit="1" customWidth="1"/>
    <col min="2308" max="2308" width="18.7109375" style="226" customWidth="1"/>
    <col min="2309" max="2309" width="21.28515625" style="226" customWidth="1"/>
    <col min="2310" max="2310" width="16.5703125" style="226" customWidth="1"/>
    <col min="2311" max="2311" width="19" style="226" customWidth="1"/>
    <col min="2312" max="2312" width="17.5703125" style="226" customWidth="1"/>
    <col min="2313" max="2313" width="13.28515625" style="226" customWidth="1"/>
    <col min="2314" max="2314" width="13.5703125" style="226" customWidth="1"/>
    <col min="2315" max="2315" width="20.5703125" style="226" customWidth="1"/>
    <col min="2316" max="2316" width="12.42578125" style="226" bestFit="1" customWidth="1"/>
    <col min="2317" max="2561" width="9.140625" style="226"/>
    <col min="2562" max="2562" width="40.85546875" style="226" customWidth="1"/>
    <col min="2563" max="2563" width="45.42578125" style="226" bestFit="1" customWidth="1"/>
    <col min="2564" max="2564" width="18.7109375" style="226" customWidth="1"/>
    <col min="2565" max="2565" width="21.28515625" style="226" customWidth="1"/>
    <col min="2566" max="2566" width="16.5703125" style="226" customWidth="1"/>
    <col min="2567" max="2567" width="19" style="226" customWidth="1"/>
    <col min="2568" max="2568" width="17.5703125" style="226" customWidth="1"/>
    <col min="2569" max="2569" width="13.28515625" style="226" customWidth="1"/>
    <col min="2570" max="2570" width="13.5703125" style="226" customWidth="1"/>
    <col min="2571" max="2571" width="20.5703125" style="226" customWidth="1"/>
    <col min="2572" max="2572" width="12.42578125" style="226" bestFit="1" customWidth="1"/>
    <col min="2573" max="2817" width="9.140625" style="226"/>
    <col min="2818" max="2818" width="40.85546875" style="226" customWidth="1"/>
    <col min="2819" max="2819" width="45.42578125" style="226" bestFit="1" customWidth="1"/>
    <col min="2820" max="2820" width="18.7109375" style="226" customWidth="1"/>
    <col min="2821" max="2821" width="21.28515625" style="226" customWidth="1"/>
    <col min="2822" max="2822" width="16.5703125" style="226" customWidth="1"/>
    <col min="2823" max="2823" width="19" style="226" customWidth="1"/>
    <col min="2824" max="2824" width="17.5703125" style="226" customWidth="1"/>
    <col min="2825" max="2825" width="13.28515625" style="226" customWidth="1"/>
    <col min="2826" max="2826" width="13.5703125" style="226" customWidth="1"/>
    <col min="2827" max="2827" width="20.5703125" style="226" customWidth="1"/>
    <col min="2828" max="2828" width="12.42578125" style="226" bestFit="1" customWidth="1"/>
    <col min="2829" max="3073" width="9.140625" style="226"/>
    <col min="3074" max="3074" width="40.85546875" style="226" customWidth="1"/>
    <col min="3075" max="3075" width="45.42578125" style="226" bestFit="1" customWidth="1"/>
    <col min="3076" max="3076" width="18.7109375" style="226" customWidth="1"/>
    <col min="3077" max="3077" width="21.28515625" style="226" customWidth="1"/>
    <col min="3078" max="3078" width="16.5703125" style="226" customWidth="1"/>
    <col min="3079" max="3079" width="19" style="226" customWidth="1"/>
    <col min="3080" max="3080" width="17.5703125" style="226" customWidth="1"/>
    <col min="3081" max="3081" width="13.28515625" style="226" customWidth="1"/>
    <col min="3082" max="3082" width="13.5703125" style="226" customWidth="1"/>
    <col min="3083" max="3083" width="20.5703125" style="226" customWidth="1"/>
    <col min="3084" max="3084" width="12.42578125" style="226" bestFit="1" customWidth="1"/>
    <col min="3085" max="3329" width="9.140625" style="226"/>
    <col min="3330" max="3330" width="40.85546875" style="226" customWidth="1"/>
    <col min="3331" max="3331" width="45.42578125" style="226" bestFit="1" customWidth="1"/>
    <col min="3332" max="3332" width="18.7109375" style="226" customWidth="1"/>
    <col min="3333" max="3333" width="21.28515625" style="226" customWidth="1"/>
    <col min="3334" max="3334" width="16.5703125" style="226" customWidth="1"/>
    <col min="3335" max="3335" width="19" style="226" customWidth="1"/>
    <col min="3336" max="3336" width="17.5703125" style="226" customWidth="1"/>
    <col min="3337" max="3337" width="13.28515625" style="226" customWidth="1"/>
    <col min="3338" max="3338" width="13.5703125" style="226" customWidth="1"/>
    <col min="3339" max="3339" width="20.5703125" style="226" customWidth="1"/>
    <col min="3340" max="3340" width="12.42578125" style="226" bestFit="1" customWidth="1"/>
    <col min="3341" max="3585" width="9.140625" style="226"/>
    <col min="3586" max="3586" width="40.85546875" style="226" customWidth="1"/>
    <col min="3587" max="3587" width="45.42578125" style="226" bestFit="1" customWidth="1"/>
    <col min="3588" max="3588" width="18.7109375" style="226" customWidth="1"/>
    <col min="3589" max="3589" width="21.28515625" style="226" customWidth="1"/>
    <col min="3590" max="3590" width="16.5703125" style="226" customWidth="1"/>
    <col min="3591" max="3591" width="19" style="226" customWidth="1"/>
    <col min="3592" max="3592" width="17.5703125" style="226" customWidth="1"/>
    <col min="3593" max="3593" width="13.28515625" style="226" customWidth="1"/>
    <col min="3594" max="3594" width="13.5703125" style="226" customWidth="1"/>
    <col min="3595" max="3595" width="20.5703125" style="226" customWidth="1"/>
    <col min="3596" max="3596" width="12.42578125" style="226" bestFit="1" customWidth="1"/>
    <col min="3597" max="3841" width="9.140625" style="226"/>
    <col min="3842" max="3842" width="40.85546875" style="226" customWidth="1"/>
    <col min="3843" max="3843" width="45.42578125" style="226" bestFit="1" customWidth="1"/>
    <col min="3844" max="3844" width="18.7109375" style="226" customWidth="1"/>
    <col min="3845" max="3845" width="21.28515625" style="226" customWidth="1"/>
    <col min="3846" max="3846" width="16.5703125" style="226" customWidth="1"/>
    <col min="3847" max="3847" width="19" style="226" customWidth="1"/>
    <col min="3848" max="3848" width="17.5703125" style="226" customWidth="1"/>
    <col min="3849" max="3849" width="13.28515625" style="226" customWidth="1"/>
    <col min="3850" max="3850" width="13.5703125" style="226" customWidth="1"/>
    <col min="3851" max="3851" width="20.5703125" style="226" customWidth="1"/>
    <col min="3852" max="3852" width="12.42578125" style="226" bestFit="1" customWidth="1"/>
    <col min="3853" max="4097" width="9.140625" style="226"/>
    <col min="4098" max="4098" width="40.85546875" style="226" customWidth="1"/>
    <col min="4099" max="4099" width="45.42578125" style="226" bestFit="1" customWidth="1"/>
    <col min="4100" max="4100" width="18.7109375" style="226" customWidth="1"/>
    <col min="4101" max="4101" width="21.28515625" style="226" customWidth="1"/>
    <col min="4102" max="4102" width="16.5703125" style="226" customWidth="1"/>
    <col min="4103" max="4103" width="19" style="226" customWidth="1"/>
    <col min="4104" max="4104" width="17.5703125" style="226" customWidth="1"/>
    <col min="4105" max="4105" width="13.28515625" style="226" customWidth="1"/>
    <col min="4106" max="4106" width="13.5703125" style="226" customWidth="1"/>
    <col min="4107" max="4107" width="20.5703125" style="226" customWidth="1"/>
    <col min="4108" max="4108" width="12.42578125" style="226" bestFit="1" customWidth="1"/>
    <col min="4109" max="4353" width="9.140625" style="226"/>
    <col min="4354" max="4354" width="40.85546875" style="226" customWidth="1"/>
    <col min="4355" max="4355" width="45.42578125" style="226" bestFit="1" customWidth="1"/>
    <col min="4356" max="4356" width="18.7109375" style="226" customWidth="1"/>
    <col min="4357" max="4357" width="21.28515625" style="226" customWidth="1"/>
    <col min="4358" max="4358" width="16.5703125" style="226" customWidth="1"/>
    <col min="4359" max="4359" width="19" style="226" customWidth="1"/>
    <col min="4360" max="4360" width="17.5703125" style="226" customWidth="1"/>
    <col min="4361" max="4361" width="13.28515625" style="226" customWidth="1"/>
    <col min="4362" max="4362" width="13.5703125" style="226" customWidth="1"/>
    <col min="4363" max="4363" width="20.5703125" style="226" customWidth="1"/>
    <col min="4364" max="4364" width="12.42578125" style="226" bestFit="1" customWidth="1"/>
    <col min="4365" max="4609" width="9.140625" style="226"/>
    <col min="4610" max="4610" width="40.85546875" style="226" customWidth="1"/>
    <col min="4611" max="4611" width="45.42578125" style="226" bestFit="1" customWidth="1"/>
    <col min="4612" max="4612" width="18.7109375" style="226" customWidth="1"/>
    <col min="4613" max="4613" width="21.28515625" style="226" customWidth="1"/>
    <col min="4614" max="4614" width="16.5703125" style="226" customWidth="1"/>
    <col min="4615" max="4615" width="19" style="226" customWidth="1"/>
    <col min="4616" max="4616" width="17.5703125" style="226" customWidth="1"/>
    <col min="4617" max="4617" width="13.28515625" style="226" customWidth="1"/>
    <col min="4618" max="4618" width="13.5703125" style="226" customWidth="1"/>
    <col min="4619" max="4619" width="20.5703125" style="226" customWidth="1"/>
    <col min="4620" max="4620" width="12.42578125" style="226" bestFit="1" customWidth="1"/>
    <col min="4621" max="4865" width="9.140625" style="226"/>
    <col min="4866" max="4866" width="40.85546875" style="226" customWidth="1"/>
    <col min="4867" max="4867" width="45.42578125" style="226" bestFit="1" customWidth="1"/>
    <col min="4868" max="4868" width="18.7109375" style="226" customWidth="1"/>
    <col min="4869" max="4869" width="21.28515625" style="226" customWidth="1"/>
    <col min="4870" max="4870" width="16.5703125" style="226" customWidth="1"/>
    <col min="4871" max="4871" width="19" style="226" customWidth="1"/>
    <col min="4872" max="4872" width="17.5703125" style="226" customWidth="1"/>
    <col min="4873" max="4873" width="13.28515625" style="226" customWidth="1"/>
    <col min="4874" max="4874" width="13.5703125" style="226" customWidth="1"/>
    <col min="4875" max="4875" width="20.5703125" style="226" customWidth="1"/>
    <col min="4876" max="4876" width="12.42578125" style="226" bestFit="1" customWidth="1"/>
    <col min="4877" max="5121" width="9.140625" style="226"/>
    <col min="5122" max="5122" width="40.85546875" style="226" customWidth="1"/>
    <col min="5123" max="5123" width="45.42578125" style="226" bestFit="1" customWidth="1"/>
    <col min="5124" max="5124" width="18.7109375" style="226" customWidth="1"/>
    <col min="5125" max="5125" width="21.28515625" style="226" customWidth="1"/>
    <col min="5126" max="5126" width="16.5703125" style="226" customWidth="1"/>
    <col min="5127" max="5127" width="19" style="226" customWidth="1"/>
    <col min="5128" max="5128" width="17.5703125" style="226" customWidth="1"/>
    <col min="5129" max="5129" width="13.28515625" style="226" customWidth="1"/>
    <col min="5130" max="5130" width="13.5703125" style="226" customWidth="1"/>
    <col min="5131" max="5131" width="20.5703125" style="226" customWidth="1"/>
    <col min="5132" max="5132" width="12.42578125" style="226" bestFit="1" customWidth="1"/>
    <col min="5133" max="5377" width="9.140625" style="226"/>
    <col min="5378" max="5378" width="40.85546875" style="226" customWidth="1"/>
    <col min="5379" max="5379" width="45.42578125" style="226" bestFit="1" customWidth="1"/>
    <col min="5380" max="5380" width="18.7109375" style="226" customWidth="1"/>
    <col min="5381" max="5381" width="21.28515625" style="226" customWidth="1"/>
    <col min="5382" max="5382" width="16.5703125" style="226" customWidth="1"/>
    <col min="5383" max="5383" width="19" style="226" customWidth="1"/>
    <col min="5384" max="5384" width="17.5703125" style="226" customWidth="1"/>
    <col min="5385" max="5385" width="13.28515625" style="226" customWidth="1"/>
    <col min="5386" max="5386" width="13.5703125" style="226" customWidth="1"/>
    <col min="5387" max="5387" width="20.5703125" style="226" customWidth="1"/>
    <col min="5388" max="5388" width="12.42578125" style="226" bestFit="1" customWidth="1"/>
    <col min="5389" max="5633" width="9.140625" style="226"/>
    <col min="5634" max="5634" width="40.85546875" style="226" customWidth="1"/>
    <col min="5635" max="5635" width="45.42578125" style="226" bestFit="1" customWidth="1"/>
    <col min="5636" max="5636" width="18.7109375" style="226" customWidth="1"/>
    <col min="5637" max="5637" width="21.28515625" style="226" customWidth="1"/>
    <col min="5638" max="5638" width="16.5703125" style="226" customWidth="1"/>
    <col min="5639" max="5639" width="19" style="226" customWidth="1"/>
    <col min="5640" max="5640" width="17.5703125" style="226" customWidth="1"/>
    <col min="5641" max="5641" width="13.28515625" style="226" customWidth="1"/>
    <col min="5642" max="5642" width="13.5703125" style="226" customWidth="1"/>
    <col min="5643" max="5643" width="20.5703125" style="226" customWidth="1"/>
    <col min="5644" max="5644" width="12.42578125" style="226" bestFit="1" customWidth="1"/>
    <col min="5645" max="5889" width="9.140625" style="226"/>
    <col min="5890" max="5890" width="40.85546875" style="226" customWidth="1"/>
    <col min="5891" max="5891" width="45.42578125" style="226" bestFit="1" customWidth="1"/>
    <col min="5892" max="5892" width="18.7109375" style="226" customWidth="1"/>
    <col min="5893" max="5893" width="21.28515625" style="226" customWidth="1"/>
    <col min="5894" max="5894" width="16.5703125" style="226" customWidth="1"/>
    <col min="5895" max="5895" width="19" style="226" customWidth="1"/>
    <col min="5896" max="5896" width="17.5703125" style="226" customWidth="1"/>
    <col min="5897" max="5897" width="13.28515625" style="226" customWidth="1"/>
    <col min="5898" max="5898" width="13.5703125" style="226" customWidth="1"/>
    <col min="5899" max="5899" width="20.5703125" style="226" customWidth="1"/>
    <col min="5900" max="5900" width="12.42578125" style="226" bestFit="1" customWidth="1"/>
    <col min="5901" max="6145" width="9.140625" style="226"/>
    <col min="6146" max="6146" width="40.85546875" style="226" customWidth="1"/>
    <col min="6147" max="6147" width="45.42578125" style="226" bestFit="1" customWidth="1"/>
    <col min="6148" max="6148" width="18.7109375" style="226" customWidth="1"/>
    <col min="6149" max="6149" width="21.28515625" style="226" customWidth="1"/>
    <col min="6150" max="6150" width="16.5703125" style="226" customWidth="1"/>
    <col min="6151" max="6151" width="19" style="226" customWidth="1"/>
    <col min="6152" max="6152" width="17.5703125" style="226" customWidth="1"/>
    <col min="6153" max="6153" width="13.28515625" style="226" customWidth="1"/>
    <col min="6154" max="6154" width="13.5703125" style="226" customWidth="1"/>
    <col min="6155" max="6155" width="20.5703125" style="226" customWidth="1"/>
    <col min="6156" max="6156" width="12.42578125" style="226" bestFit="1" customWidth="1"/>
    <col min="6157" max="6401" width="9.140625" style="226"/>
    <col min="6402" max="6402" width="40.85546875" style="226" customWidth="1"/>
    <col min="6403" max="6403" width="45.42578125" style="226" bestFit="1" customWidth="1"/>
    <col min="6404" max="6404" width="18.7109375" style="226" customWidth="1"/>
    <col min="6405" max="6405" width="21.28515625" style="226" customWidth="1"/>
    <col min="6406" max="6406" width="16.5703125" style="226" customWidth="1"/>
    <col min="6407" max="6407" width="19" style="226" customWidth="1"/>
    <col min="6408" max="6408" width="17.5703125" style="226" customWidth="1"/>
    <col min="6409" max="6409" width="13.28515625" style="226" customWidth="1"/>
    <col min="6410" max="6410" width="13.5703125" style="226" customWidth="1"/>
    <col min="6411" max="6411" width="20.5703125" style="226" customWidth="1"/>
    <col min="6412" max="6412" width="12.42578125" style="226" bestFit="1" customWidth="1"/>
    <col min="6413" max="6657" width="9.140625" style="226"/>
    <col min="6658" max="6658" width="40.85546875" style="226" customWidth="1"/>
    <col min="6659" max="6659" width="45.42578125" style="226" bestFit="1" customWidth="1"/>
    <col min="6660" max="6660" width="18.7109375" style="226" customWidth="1"/>
    <col min="6661" max="6661" width="21.28515625" style="226" customWidth="1"/>
    <col min="6662" max="6662" width="16.5703125" style="226" customWidth="1"/>
    <col min="6663" max="6663" width="19" style="226" customWidth="1"/>
    <col min="6664" max="6664" width="17.5703125" style="226" customWidth="1"/>
    <col min="6665" max="6665" width="13.28515625" style="226" customWidth="1"/>
    <col min="6666" max="6666" width="13.5703125" style="226" customWidth="1"/>
    <col min="6667" max="6667" width="20.5703125" style="226" customWidth="1"/>
    <col min="6668" max="6668" width="12.42578125" style="226" bestFit="1" customWidth="1"/>
    <col min="6669" max="6913" width="9.140625" style="226"/>
    <col min="6914" max="6914" width="40.85546875" style="226" customWidth="1"/>
    <col min="6915" max="6915" width="45.42578125" style="226" bestFit="1" customWidth="1"/>
    <col min="6916" max="6916" width="18.7109375" style="226" customWidth="1"/>
    <col min="6917" max="6917" width="21.28515625" style="226" customWidth="1"/>
    <col min="6918" max="6918" width="16.5703125" style="226" customWidth="1"/>
    <col min="6919" max="6919" width="19" style="226" customWidth="1"/>
    <col min="6920" max="6920" width="17.5703125" style="226" customWidth="1"/>
    <col min="6921" max="6921" width="13.28515625" style="226" customWidth="1"/>
    <col min="6922" max="6922" width="13.5703125" style="226" customWidth="1"/>
    <col min="6923" max="6923" width="20.5703125" style="226" customWidth="1"/>
    <col min="6924" max="6924" width="12.42578125" style="226" bestFit="1" customWidth="1"/>
    <col min="6925" max="7169" width="9.140625" style="226"/>
    <col min="7170" max="7170" width="40.85546875" style="226" customWidth="1"/>
    <col min="7171" max="7171" width="45.42578125" style="226" bestFit="1" customWidth="1"/>
    <col min="7172" max="7172" width="18.7109375" style="226" customWidth="1"/>
    <col min="7173" max="7173" width="21.28515625" style="226" customWidth="1"/>
    <col min="7174" max="7174" width="16.5703125" style="226" customWidth="1"/>
    <col min="7175" max="7175" width="19" style="226" customWidth="1"/>
    <col min="7176" max="7176" width="17.5703125" style="226" customWidth="1"/>
    <col min="7177" max="7177" width="13.28515625" style="226" customWidth="1"/>
    <col min="7178" max="7178" width="13.5703125" style="226" customWidth="1"/>
    <col min="7179" max="7179" width="20.5703125" style="226" customWidth="1"/>
    <col min="7180" max="7180" width="12.42578125" style="226" bestFit="1" customWidth="1"/>
    <col min="7181" max="7425" width="9.140625" style="226"/>
    <col min="7426" max="7426" width="40.85546875" style="226" customWidth="1"/>
    <col min="7427" max="7427" width="45.42578125" style="226" bestFit="1" customWidth="1"/>
    <col min="7428" max="7428" width="18.7109375" style="226" customWidth="1"/>
    <col min="7429" max="7429" width="21.28515625" style="226" customWidth="1"/>
    <col min="7430" max="7430" width="16.5703125" style="226" customWidth="1"/>
    <col min="7431" max="7431" width="19" style="226" customWidth="1"/>
    <col min="7432" max="7432" width="17.5703125" style="226" customWidth="1"/>
    <col min="7433" max="7433" width="13.28515625" style="226" customWidth="1"/>
    <col min="7434" max="7434" width="13.5703125" style="226" customWidth="1"/>
    <col min="7435" max="7435" width="20.5703125" style="226" customWidth="1"/>
    <col min="7436" max="7436" width="12.42578125" style="226" bestFit="1" customWidth="1"/>
    <col min="7437" max="7681" width="9.140625" style="226"/>
    <col min="7682" max="7682" width="40.85546875" style="226" customWidth="1"/>
    <col min="7683" max="7683" width="45.42578125" style="226" bestFit="1" customWidth="1"/>
    <col min="7684" max="7684" width="18.7109375" style="226" customWidth="1"/>
    <col min="7685" max="7685" width="21.28515625" style="226" customWidth="1"/>
    <col min="7686" max="7686" width="16.5703125" style="226" customWidth="1"/>
    <col min="7687" max="7687" width="19" style="226" customWidth="1"/>
    <col min="7688" max="7688" width="17.5703125" style="226" customWidth="1"/>
    <col min="7689" max="7689" width="13.28515625" style="226" customWidth="1"/>
    <col min="7690" max="7690" width="13.5703125" style="226" customWidth="1"/>
    <col min="7691" max="7691" width="20.5703125" style="226" customWidth="1"/>
    <col min="7692" max="7692" width="12.42578125" style="226" bestFit="1" customWidth="1"/>
    <col min="7693" max="7937" width="9.140625" style="226"/>
    <col min="7938" max="7938" width="40.85546875" style="226" customWidth="1"/>
    <col min="7939" max="7939" width="45.42578125" style="226" bestFit="1" customWidth="1"/>
    <col min="7940" max="7940" width="18.7109375" style="226" customWidth="1"/>
    <col min="7941" max="7941" width="21.28515625" style="226" customWidth="1"/>
    <col min="7942" max="7942" width="16.5703125" style="226" customWidth="1"/>
    <col min="7943" max="7943" width="19" style="226" customWidth="1"/>
    <col min="7944" max="7944" width="17.5703125" style="226" customWidth="1"/>
    <col min="7945" max="7945" width="13.28515625" style="226" customWidth="1"/>
    <col min="7946" max="7946" width="13.5703125" style="226" customWidth="1"/>
    <col min="7947" max="7947" width="20.5703125" style="226" customWidth="1"/>
    <col min="7948" max="7948" width="12.42578125" style="226" bestFit="1" customWidth="1"/>
    <col min="7949" max="8193" width="9.140625" style="226"/>
    <col min="8194" max="8194" width="40.85546875" style="226" customWidth="1"/>
    <col min="8195" max="8195" width="45.42578125" style="226" bestFit="1" customWidth="1"/>
    <col min="8196" max="8196" width="18.7109375" style="226" customWidth="1"/>
    <col min="8197" max="8197" width="21.28515625" style="226" customWidth="1"/>
    <col min="8198" max="8198" width="16.5703125" style="226" customWidth="1"/>
    <col min="8199" max="8199" width="19" style="226" customWidth="1"/>
    <col min="8200" max="8200" width="17.5703125" style="226" customWidth="1"/>
    <col min="8201" max="8201" width="13.28515625" style="226" customWidth="1"/>
    <col min="8202" max="8202" width="13.5703125" style="226" customWidth="1"/>
    <col min="8203" max="8203" width="20.5703125" style="226" customWidth="1"/>
    <col min="8204" max="8204" width="12.42578125" style="226" bestFit="1" customWidth="1"/>
    <col min="8205" max="8449" width="9.140625" style="226"/>
    <col min="8450" max="8450" width="40.85546875" style="226" customWidth="1"/>
    <col min="8451" max="8451" width="45.42578125" style="226" bestFit="1" customWidth="1"/>
    <col min="8452" max="8452" width="18.7109375" style="226" customWidth="1"/>
    <col min="8453" max="8453" width="21.28515625" style="226" customWidth="1"/>
    <col min="8454" max="8454" width="16.5703125" style="226" customWidth="1"/>
    <col min="8455" max="8455" width="19" style="226" customWidth="1"/>
    <col min="8456" max="8456" width="17.5703125" style="226" customWidth="1"/>
    <col min="8457" max="8457" width="13.28515625" style="226" customWidth="1"/>
    <col min="8458" max="8458" width="13.5703125" style="226" customWidth="1"/>
    <col min="8459" max="8459" width="20.5703125" style="226" customWidth="1"/>
    <col min="8460" max="8460" width="12.42578125" style="226" bestFit="1" customWidth="1"/>
    <col min="8461" max="8705" width="9.140625" style="226"/>
    <col min="8706" max="8706" width="40.85546875" style="226" customWidth="1"/>
    <col min="8707" max="8707" width="45.42578125" style="226" bestFit="1" customWidth="1"/>
    <col min="8708" max="8708" width="18.7109375" style="226" customWidth="1"/>
    <col min="8709" max="8709" width="21.28515625" style="226" customWidth="1"/>
    <col min="8710" max="8710" width="16.5703125" style="226" customWidth="1"/>
    <col min="8711" max="8711" width="19" style="226" customWidth="1"/>
    <col min="8712" max="8712" width="17.5703125" style="226" customWidth="1"/>
    <col min="8713" max="8713" width="13.28515625" style="226" customWidth="1"/>
    <col min="8714" max="8714" width="13.5703125" style="226" customWidth="1"/>
    <col min="8715" max="8715" width="20.5703125" style="226" customWidth="1"/>
    <col min="8716" max="8716" width="12.42578125" style="226" bestFit="1" customWidth="1"/>
    <col min="8717" max="8961" width="9.140625" style="226"/>
    <col min="8962" max="8962" width="40.85546875" style="226" customWidth="1"/>
    <col min="8963" max="8963" width="45.42578125" style="226" bestFit="1" customWidth="1"/>
    <col min="8964" max="8964" width="18.7109375" style="226" customWidth="1"/>
    <col min="8965" max="8965" width="21.28515625" style="226" customWidth="1"/>
    <col min="8966" max="8966" width="16.5703125" style="226" customWidth="1"/>
    <col min="8967" max="8967" width="19" style="226" customWidth="1"/>
    <col min="8968" max="8968" width="17.5703125" style="226" customWidth="1"/>
    <col min="8969" max="8969" width="13.28515625" style="226" customWidth="1"/>
    <col min="8970" max="8970" width="13.5703125" style="226" customWidth="1"/>
    <col min="8971" max="8971" width="20.5703125" style="226" customWidth="1"/>
    <col min="8972" max="8972" width="12.42578125" style="226" bestFit="1" customWidth="1"/>
    <col min="8973" max="9217" width="9.140625" style="226"/>
    <col min="9218" max="9218" width="40.85546875" style="226" customWidth="1"/>
    <col min="9219" max="9219" width="45.42578125" style="226" bestFit="1" customWidth="1"/>
    <col min="9220" max="9220" width="18.7109375" style="226" customWidth="1"/>
    <col min="9221" max="9221" width="21.28515625" style="226" customWidth="1"/>
    <col min="9222" max="9222" width="16.5703125" style="226" customWidth="1"/>
    <col min="9223" max="9223" width="19" style="226" customWidth="1"/>
    <col min="9224" max="9224" width="17.5703125" style="226" customWidth="1"/>
    <col min="9225" max="9225" width="13.28515625" style="226" customWidth="1"/>
    <col min="9226" max="9226" width="13.5703125" style="226" customWidth="1"/>
    <col min="9227" max="9227" width="20.5703125" style="226" customWidth="1"/>
    <col min="9228" max="9228" width="12.42578125" style="226" bestFit="1" customWidth="1"/>
    <col min="9229" max="9473" width="9.140625" style="226"/>
    <col min="9474" max="9474" width="40.85546875" style="226" customWidth="1"/>
    <col min="9475" max="9475" width="45.42578125" style="226" bestFit="1" customWidth="1"/>
    <col min="9476" max="9476" width="18.7109375" style="226" customWidth="1"/>
    <col min="9477" max="9477" width="21.28515625" style="226" customWidth="1"/>
    <col min="9478" max="9478" width="16.5703125" style="226" customWidth="1"/>
    <col min="9479" max="9479" width="19" style="226" customWidth="1"/>
    <col min="9480" max="9480" width="17.5703125" style="226" customWidth="1"/>
    <col min="9481" max="9481" width="13.28515625" style="226" customWidth="1"/>
    <col min="9482" max="9482" width="13.5703125" style="226" customWidth="1"/>
    <col min="9483" max="9483" width="20.5703125" style="226" customWidth="1"/>
    <col min="9484" max="9484" width="12.42578125" style="226" bestFit="1" customWidth="1"/>
    <col min="9485" max="9729" width="9.140625" style="226"/>
    <col min="9730" max="9730" width="40.85546875" style="226" customWidth="1"/>
    <col min="9731" max="9731" width="45.42578125" style="226" bestFit="1" customWidth="1"/>
    <col min="9732" max="9732" width="18.7109375" style="226" customWidth="1"/>
    <col min="9733" max="9733" width="21.28515625" style="226" customWidth="1"/>
    <col min="9734" max="9734" width="16.5703125" style="226" customWidth="1"/>
    <col min="9735" max="9735" width="19" style="226" customWidth="1"/>
    <col min="9736" max="9736" width="17.5703125" style="226" customWidth="1"/>
    <col min="9737" max="9737" width="13.28515625" style="226" customWidth="1"/>
    <col min="9738" max="9738" width="13.5703125" style="226" customWidth="1"/>
    <col min="9739" max="9739" width="20.5703125" style="226" customWidth="1"/>
    <col min="9740" max="9740" width="12.42578125" style="226" bestFit="1" customWidth="1"/>
    <col min="9741" max="9985" width="9.140625" style="226"/>
    <col min="9986" max="9986" width="40.85546875" style="226" customWidth="1"/>
    <col min="9987" max="9987" width="45.42578125" style="226" bestFit="1" customWidth="1"/>
    <col min="9988" max="9988" width="18.7109375" style="226" customWidth="1"/>
    <col min="9989" max="9989" width="21.28515625" style="226" customWidth="1"/>
    <col min="9990" max="9990" width="16.5703125" style="226" customWidth="1"/>
    <col min="9991" max="9991" width="19" style="226" customWidth="1"/>
    <col min="9992" max="9992" width="17.5703125" style="226" customWidth="1"/>
    <col min="9993" max="9993" width="13.28515625" style="226" customWidth="1"/>
    <col min="9994" max="9994" width="13.5703125" style="226" customWidth="1"/>
    <col min="9995" max="9995" width="20.5703125" style="226" customWidth="1"/>
    <col min="9996" max="9996" width="12.42578125" style="226" bestFit="1" customWidth="1"/>
    <col min="9997" max="10241" width="9.140625" style="226"/>
    <col min="10242" max="10242" width="40.85546875" style="226" customWidth="1"/>
    <col min="10243" max="10243" width="45.42578125" style="226" bestFit="1" customWidth="1"/>
    <col min="10244" max="10244" width="18.7109375" style="226" customWidth="1"/>
    <col min="10245" max="10245" width="21.28515625" style="226" customWidth="1"/>
    <col min="10246" max="10246" width="16.5703125" style="226" customWidth="1"/>
    <col min="10247" max="10247" width="19" style="226" customWidth="1"/>
    <col min="10248" max="10248" width="17.5703125" style="226" customWidth="1"/>
    <col min="10249" max="10249" width="13.28515625" style="226" customWidth="1"/>
    <col min="10250" max="10250" width="13.5703125" style="226" customWidth="1"/>
    <col min="10251" max="10251" width="20.5703125" style="226" customWidth="1"/>
    <col min="10252" max="10252" width="12.42578125" style="226" bestFit="1" customWidth="1"/>
    <col min="10253" max="10497" width="9.140625" style="226"/>
    <col min="10498" max="10498" width="40.85546875" style="226" customWidth="1"/>
    <col min="10499" max="10499" width="45.42578125" style="226" bestFit="1" customWidth="1"/>
    <col min="10500" max="10500" width="18.7109375" style="226" customWidth="1"/>
    <col min="10501" max="10501" width="21.28515625" style="226" customWidth="1"/>
    <col min="10502" max="10502" width="16.5703125" style="226" customWidth="1"/>
    <col min="10503" max="10503" width="19" style="226" customWidth="1"/>
    <col min="10504" max="10504" width="17.5703125" style="226" customWidth="1"/>
    <col min="10505" max="10505" width="13.28515625" style="226" customWidth="1"/>
    <col min="10506" max="10506" width="13.5703125" style="226" customWidth="1"/>
    <col min="10507" max="10507" width="20.5703125" style="226" customWidth="1"/>
    <col min="10508" max="10508" width="12.42578125" style="226" bestFit="1" customWidth="1"/>
    <col min="10509" max="10753" width="9.140625" style="226"/>
    <col min="10754" max="10754" width="40.85546875" style="226" customWidth="1"/>
    <col min="10755" max="10755" width="45.42578125" style="226" bestFit="1" customWidth="1"/>
    <col min="10756" max="10756" width="18.7109375" style="226" customWidth="1"/>
    <col min="10757" max="10757" width="21.28515625" style="226" customWidth="1"/>
    <col min="10758" max="10758" width="16.5703125" style="226" customWidth="1"/>
    <col min="10759" max="10759" width="19" style="226" customWidth="1"/>
    <col min="10760" max="10760" width="17.5703125" style="226" customWidth="1"/>
    <col min="10761" max="10761" width="13.28515625" style="226" customWidth="1"/>
    <col min="10762" max="10762" width="13.5703125" style="226" customWidth="1"/>
    <col min="10763" max="10763" width="20.5703125" style="226" customWidth="1"/>
    <col min="10764" max="10764" width="12.42578125" style="226" bestFit="1" customWidth="1"/>
    <col min="10765" max="11009" width="9.140625" style="226"/>
    <col min="11010" max="11010" width="40.85546875" style="226" customWidth="1"/>
    <col min="11011" max="11011" width="45.42578125" style="226" bestFit="1" customWidth="1"/>
    <col min="11012" max="11012" width="18.7109375" style="226" customWidth="1"/>
    <col min="11013" max="11013" width="21.28515625" style="226" customWidth="1"/>
    <col min="11014" max="11014" width="16.5703125" style="226" customWidth="1"/>
    <col min="11015" max="11015" width="19" style="226" customWidth="1"/>
    <col min="11016" max="11016" width="17.5703125" style="226" customWidth="1"/>
    <col min="11017" max="11017" width="13.28515625" style="226" customWidth="1"/>
    <col min="11018" max="11018" width="13.5703125" style="226" customWidth="1"/>
    <col min="11019" max="11019" width="20.5703125" style="226" customWidth="1"/>
    <col min="11020" max="11020" width="12.42578125" style="226" bestFit="1" customWidth="1"/>
    <col min="11021" max="11265" width="9.140625" style="226"/>
    <col min="11266" max="11266" width="40.85546875" style="226" customWidth="1"/>
    <col min="11267" max="11267" width="45.42578125" style="226" bestFit="1" customWidth="1"/>
    <col min="11268" max="11268" width="18.7109375" style="226" customWidth="1"/>
    <col min="11269" max="11269" width="21.28515625" style="226" customWidth="1"/>
    <col min="11270" max="11270" width="16.5703125" style="226" customWidth="1"/>
    <col min="11271" max="11271" width="19" style="226" customWidth="1"/>
    <col min="11272" max="11272" width="17.5703125" style="226" customWidth="1"/>
    <col min="11273" max="11273" width="13.28515625" style="226" customWidth="1"/>
    <col min="11274" max="11274" width="13.5703125" style="226" customWidth="1"/>
    <col min="11275" max="11275" width="20.5703125" style="226" customWidth="1"/>
    <col min="11276" max="11276" width="12.42578125" style="226" bestFit="1" customWidth="1"/>
    <col min="11277" max="11521" width="9.140625" style="226"/>
    <col min="11522" max="11522" width="40.85546875" style="226" customWidth="1"/>
    <col min="11523" max="11523" width="45.42578125" style="226" bestFit="1" customWidth="1"/>
    <col min="11524" max="11524" width="18.7109375" style="226" customWidth="1"/>
    <col min="11525" max="11525" width="21.28515625" style="226" customWidth="1"/>
    <col min="11526" max="11526" width="16.5703125" style="226" customWidth="1"/>
    <col min="11527" max="11527" width="19" style="226" customWidth="1"/>
    <col min="11528" max="11528" width="17.5703125" style="226" customWidth="1"/>
    <col min="11529" max="11529" width="13.28515625" style="226" customWidth="1"/>
    <col min="11530" max="11530" width="13.5703125" style="226" customWidth="1"/>
    <col min="11531" max="11531" width="20.5703125" style="226" customWidth="1"/>
    <col min="11532" max="11532" width="12.42578125" style="226" bestFit="1" customWidth="1"/>
    <col min="11533" max="11777" width="9.140625" style="226"/>
    <col min="11778" max="11778" width="40.85546875" style="226" customWidth="1"/>
    <col min="11779" max="11779" width="45.42578125" style="226" bestFit="1" customWidth="1"/>
    <col min="11780" max="11780" width="18.7109375" style="226" customWidth="1"/>
    <col min="11781" max="11781" width="21.28515625" style="226" customWidth="1"/>
    <col min="11782" max="11782" width="16.5703125" style="226" customWidth="1"/>
    <col min="11783" max="11783" width="19" style="226" customWidth="1"/>
    <col min="11784" max="11784" width="17.5703125" style="226" customWidth="1"/>
    <col min="11785" max="11785" width="13.28515625" style="226" customWidth="1"/>
    <col min="11786" max="11786" width="13.5703125" style="226" customWidth="1"/>
    <col min="11787" max="11787" width="20.5703125" style="226" customWidth="1"/>
    <col min="11788" max="11788" width="12.42578125" style="226" bestFit="1" customWidth="1"/>
    <col min="11789" max="12033" width="9.140625" style="226"/>
    <col min="12034" max="12034" width="40.85546875" style="226" customWidth="1"/>
    <col min="12035" max="12035" width="45.42578125" style="226" bestFit="1" customWidth="1"/>
    <col min="12036" max="12036" width="18.7109375" style="226" customWidth="1"/>
    <col min="12037" max="12037" width="21.28515625" style="226" customWidth="1"/>
    <col min="12038" max="12038" width="16.5703125" style="226" customWidth="1"/>
    <col min="12039" max="12039" width="19" style="226" customWidth="1"/>
    <col min="12040" max="12040" width="17.5703125" style="226" customWidth="1"/>
    <col min="12041" max="12041" width="13.28515625" style="226" customWidth="1"/>
    <col min="12042" max="12042" width="13.5703125" style="226" customWidth="1"/>
    <col min="12043" max="12043" width="20.5703125" style="226" customWidth="1"/>
    <col min="12044" max="12044" width="12.42578125" style="226" bestFit="1" customWidth="1"/>
    <col min="12045" max="12289" width="9.140625" style="226"/>
    <col min="12290" max="12290" width="40.85546875" style="226" customWidth="1"/>
    <col min="12291" max="12291" width="45.42578125" style="226" bestFit="1" customWidth="1"/>
    <col min="12292" max="12292" width="18.7109375" style="226" customWidth="1"/>
    <col min="12293" max="12293" width="21.28515625" style="226" customWidth="1"/>
    <col min="12294" max="12294" width="16.5703125" style="226" customWidth="1"/>
    <col min="12295" max="12295" width="19" style="226" customWidth="1"/>
    <col min="12296" max="12296" width="17.5703125" style="226" customWidth="1"/>
    <col min="12297" max="12297" width="13.28515625" style="226" customWidth="1"/>
    <col min="12298" max="12298" width="13.5703125" style="226" customWidth="1"/>
    <col min="12299" max="12299" width="20.5703125" style="226" customWidth="1"/>
    <col min="12300" max="12300" width="12.42578125" style="226" bestFit="1" customWidth="1"/>
    <col min="12301" max="12545" width="9.140625" style="226"/>
    <col min="12546" max="12546" width="40.85546875" style="226" customWidth="1"/>
    <col min="12547" max="12547" width="45.42578125" style="226" bestFit="1" customWidth="1"/>
    <col min="12548" max="12548" width="18.7109375" style="226" customWidth="1"/>
    <col min="12549" max="12549" width="21.28515625" style="226" customWidth="1"/>
    <col min="12550" max="12550" width="16.5703125" style="226" customWidth="1"/>
    <col min="12551" max="12551" width="19" style="226" customWidth="1"/>
    <col min="12552" max="12552" width="17.5703125" style="226" customWidth="1"/>
    <col min="12553" max="12553" width="13.28515625" style="226" customWidth="1"/>
    <col min="12554" max="12554" width="13.5703125" style="226" customWidth="1"/>
    <col min="12555" max="12555" width="20.5703125" style="226" customWidth="1"/>
    <col min="12556" max="12556" width="12.42578125" style="226" bestFit="1" customWidth="1"/>
    <col min="12557" max="12801" width="9.140625" style="226"/>
    <col min="12802" max="12802" width="40.85546875" style="226" customWidth="1"/>
    <col min="12803" max="12803" width="45.42578125" style="226" bestFit="1" customWidth="1"/>
    <col min="12804" max="12804" width="18.7109375" style="226" customWidth="1"/>
    <col min="12805" max="12805" width="21.28515625" style="226" customWidth="1"/>
    <col min="12806" max="12806" width="16.5703125" style="226" customWidth="1"/>
    <col min="12807" max="12807" width="19" style="226" customWidth="1"/>
    <col min="12808" max="12808" width="17.5703125" style="226" customWidth="1"/>
    <col min="12809" max="12809" width="13.28515625" style="226" customWidth="1"/>
    <col min="12810" max="12810" width="13.5703125" style="226" customWidth="1"/>
    <col min="12811" max="12811" width="20.5703125" style="226" customWidth="1"/>
    <col min="12812" max="12812" width="12.42578125" style="226" bestFit="1" customWidth="1"/>
    <col min="12813" max="13057" width="9.140625" style="226"/>
    <col min="13058" max="13058" width="40.85546875" style="226" customWidth="1"/>
    <col min="13059" max="13059" width="45.42578125" style="226" bestFit="1" customWidth="1"/>
    <col min="13060" max="13060" width="18.7109375" style="226" customWidth="1"/>
    <col min="13061" max="13061" width="21.28515625" style="226" customWidth="1"/>
    <col min="13062" max="13062" width="16.5703125" style="226" customWidth="1"/>
    <col min="13063" max="13063" width="19" style="226" customWidth="1"/>
    <col min="13064" max="13064" width="17.5703125" style="226" customWidth="1"/>
    <col min="13065" max="13065" width="13.28515625" style="226" customWidth="1"/>
    <col min="13066" max="13066" width="13.5703125" style="226" customWidth="1"/>
    <col min="13067" max="13067" width="20.5703125" style="226" customWidth="1"/>
    <col min="13068" max="13068" width="12.42578125" style="226" bestFit="1" customWidth="1"/>
    <col min="13069" max="13313" width="9.140625" style="226"/>
    <col min="13314" max="13314" width="40.85546875" style="226" customWidth="1"/>
    <col min="13315" max="13315" width="45.42578125" style="226" bestFit="1" customWidth="1"/>
    <col min="13316" max="13316" width="18.7109375" style="226" customWidth="1"/>
    <col min="13317" max="13317" width="21.28515625" style="226" customWidth="1"/>
    <col min="13318" max="13318" width="16.5703125" style="226" customWidth="1"/>
    <col min="13319" max="13319" width="19" style="226" customWidth="1"/>
    <col min="13320" max="13320" width="17.5703125" style="226" customWidth="1"/>
    <col min="13321" max="13321" width="13.28515625" style="226" customWidth="1"/>
    <col min="13322" max="13322" width="13.5703125" style="226" customWidth="1"/>
    <col min="13323" max="13323" width="20.5703125" style="226" customWidth="1"/>
    <col min="13324" max="13324" width="12.42578125" style="226" bestFit="1" customWidth="1"/>
    <col min="13325" max="13569" width="9.140625" style="226"/>
    <col min="13570" max="13570" width="40.85546875" style="226" customWidth="1"/>
    <col min="13571" max="13571" width="45.42578125" style="226" bestFit="1" customWidth="1"/>
    <col min="13572" max="13572" width="18.7109375" style="226" customWidth="1"/>
    <col min="13573" max="13573" width="21.28515625" style="226" customWidth="1"/>
    <col min="13574" max="13574" width="16.5703125" style="226" customWidth="1"/>
    <col min="13575" max="13575" width="19" style="226" customWidth="1"/>
    <col min="13576" max="13576" width="17.5703125" style="226" customWidth="1"/>
    <col min="13577" max="13577" width="13.28515625" style="226" customWidth="1"/>
    <col min="13578" max="13578" width="13.5703125" style="226" customWidth="1"/>
    <col min="13579" max="13579" width="20.5703125" style="226" customWidth="1"/>
    <col min="13580" max="13580" width="12.42578125" style="226" bestFit="1" customWidth="1"/>
    <col min="13581" max="13825" width="9.140625" style="226"/>
    <col min="13826" max="13826" width="40.85546875" style="226" customWidth="1"/>
    <col min="13827" max="13827" width="45.42578125" style="226" bestFit="1" customWidth="1"/>
    <col min="13828" max="13828" width="18.7109375" style="226" customWidth="1"/>
    <col min="13829" max="13829" width="21.28515625" style="226" customWidth="1"/>
    <col min="13830" max="13830" width="16.5703125" style="226" customWidth="1"/>
    <col min="13831" max="13831" width="19" style="226" customWidth="1"/>
    <col min="13832" max="13832" width="17.5703125" style="226" customWidth="1"/>
    <col min="13833" max="13833" width="13.28515625" style="226" customWidth="1"/>
    <col min="13834" max="13834" width="13.5703125" style="226" customWidth="1"/>
    <col min="13835" max="13835" width="20.5703125" style="226" customWidth="1"/>
    <col min="13836" max="13836" width="12.42578125" style="226" bestFit="1" customWidth="1"/>
    <col min="13837" max="14081" width="9.140625" style="226"/>
    <col min="14082" max="14082" width="40.85546875" style="226" customWidth="1"/>
    <col min="14083" max="14083" width="45.42578125" style="226" bestFit="1" customWidth="1"/>
    <col min="14084" max="14084" width="18.7109375" style="226" customWidth="1"/>
    <col min="14085" max="14085" width="21.28515625" style="226" customWidth="1"/>
    <col min="14086" max="14086" width="16.5703125" style="226" customWidth="1"/>
    <col min="14087" max="14087" width="19" style="226" customWidth="1"/>
    <col min="14088" max="14088" width="17.5703125" style="226" customWidth="1"/>
    <col min="14089" max="14089" width="13.28515625" style="226" customWidth="1"/>
    <col min="14090" max="14090" width="13.5703125" style="226" customWidth="1"/>
    <col min="14091" max="14091" width="20.5703125" style="226" customWidth="1"/>
    <col min="14092" max="14092" width="12.42578125" style="226" bestFit="1" customWidth="1"/>
    <col min="14093" max="14337" width="9.140625" style="226"/>
    <col min="14338" max="14338" width="40.85546875" style="226" customWidth="1"/>
    <col min="14339" max="14339" width="45.42578125" style="226" bestFit="1" customWidth="1"/>
    <col min="14340" max="14340" width="18.7109375" style="226" customWidth="1"/>
    <col min="14341" max="14341" width="21.28515625" style="226" customWidth="1"/>
    <col min="14342" max="14342" width="16.5703125" style="226" customWidth="1"/>
    <col min="14343" max="14343" width="19" style="226" customWidth="1"/>
    <col min="14344" max="14344" width="17.5703125" style="226" customWidth="1"/>
    <col min="14345" max="14345" width="13.28515625" style="226" customWidth="1"/>
    <col min="14346" max="14346" width="13.5703125" style="226" customWidth="1"/>
    <col min="14347" max="14347" width="20.5703125" style="226" customWidth="1"/>
    <col min="14348" max="14348" width="12.42578125" style="226" bestFit="1" customWidth="1"/>
    <col min="14349" max="14593" width="9.140625" style="226"/>
    <col min="14594" max="14594" width="40.85546875" style="226" customWidth="1"/>
    <col min="14595" max="14595" width="45.42578125" style="226" bestFit="1" customWidth="1"/>
    <col min="14596" max="14596" width="18.7109375" style="226" customWidth="1"/>
    <col min="14597" max="14597" width="21.28515625" style="226" customWidth="1"/>
    <col min="14598" max="14598" width="16.5703125" style="226" customWidth="1"/>
    <col min="14599" max="14599" width="19" style="226" customWidth="1"/>
    <col min="14600" max="14600" width="17.5703125" style="226" customWidth="1"/>
    <col min="14601" max="14601" width="13.28515625" style="226" customWidth="1"/>
    <col min="14602" max="14602" width="13.5703125" style="226" customWidth="1"/>
    <col min="14603" max="14603" width="20.5703125" style="226" customWidth="1"/>
    <col min="14604" max="14604" width="12.42578125" style="226" bestFit="1" customWidth="1"/>
    <col min="14605" max="14849" width="9.140625" style="226"/>
    <col min="14850" max="14850" width="40.85546875" style="226" customWidth="1"/>
    <col min="14851" max="14851" width="45.42578125" style="226" bestFit="1" customWidth="1"/>
    <col min="14852" max="14852" width="18.7109375" style="226" customWidth="1"/>
    <col min="14853" max="14853" width="21.28515625" style="226" customWidth="1"/>
    <col min="14854" max="14854" width="16.5703125" style="226" customWidth="1"/>
    <col min="14855" max="14855" width="19" style="226" customWidth="1"/>
    <col min="14856" max="14856" width="17.5703125" style="226" customWidth="1"/>
    <col min="14857" max="14857" width="13.28515625" style="226" customWidth="1"/>
    <col min="14858" max="14858" width="13.5703125" style="226" customWidth="1"/>
    <col min="14859" max="14859" width="20.5703125" style="226" customWidth="1"/>
    <col min="14860" max="14860" width="12.42578125" style="226" bestFit="1" customWidth="1"/>
    <col min="14861" max="15105" width="9.140625" style="226"/>
    <col min="15106" max="15106" width="40.85546875" style="226" customWidth="1"/>
    <col min="15107" max="15107" width="45.42578125" style="226" bestFit="1" customWidth="1"/>
    <col min="15108" max="15108" width="18.7109375" style="226" customWidth="1"/>
    <col min="15109" max="15109" width="21.28515625" style="226" customWidth="1"/>
    <col min="15110" max="15110" width="16.5703125" style="226" customWidth="1"/>
    <col min="15111" max="15111" width="19" style="226" customWidth="1"/>
    <col min="15112" max="15112" width="17.5703125" style="226" customWidth="1"/>
    <col min="15113" max="15113" width="13.28515625" style="226" customWidth="1"/>
    <col min="15114" max="15114" width="13.5703125" style="226" customWidth="1"/>
    <col min="15115" max="15115" width="20.5703125" style="226" customWidth="1"/>
    <col min="15116" max="15116" width="12.42578125" style="226" bestFit="1" customWidth="1"/>
    <col min="15117" max="15361" width="9.140625" style="226"/>
    <col min="15362" max="15362" width="40.85546875" style="226" customWidth="1"/>
    <col min="15363" max="15363" width="45.42578125" style="226" bestFit="1" customWidth="1"/>
    <col min="15364" max="15364" width="18.7109375" style="226" customWidth="1"/>
    <col min="15365" max="15365" width="21.28515625" style="226" customWidth="1"/>
    <col min="15366" max="15366" width="16.5703125" style="226" customWidth="1"/>
    <col min="15367" max="15367" width="19" style="226" customWidth="1"/>
    <col min="15368" max="15368" width="17.5703125" style="226" customWidth="1"/>
    <col min="15369" max="15369" width="13.28515625" style="226" customWidth="1"/>
    <col min="15370" max="15370" width="13.5703125" style="226" customWidth="1"/>
    <col min="15371" max="15371" width="20.5703125" style="226" customWidth="1"/>
    <col min="15372" max="15372" width="12.42578125" style="226" bestFit="1" customWidth="1"/>
    <col min="15373" max="15617" width="9.140625" style="226"/>
    <col min="15618" max="15618" width="40.85546875" style="226" customWidth="1"/>
    <col min="15619" max="15619" width="45.42578125" style="226" bestFit="1" customWidth="1"/>
    <col min="15620" max="15620" width="18.7109375" style="226" customWidth="1"/>
    <col min="15621" max="15621" width="21.28515625" style="226" customWidth="1"/>
    <col min="15622" max="15622" width="16.5703125" style="226" customWidth="1"/>
    <col min="15623" max="15623" width="19" style="226" customWidth="1"/>
    <col min="15624" max="15624" width="17.5703125" style="226" customWidth="1"/>
    <col min="15625" max="15625" width="13.28515625" style="226" customWidth="1"/>
    <col min="15626" max="15626" width="13.5703125" style="226" customWidth="1"/>
    <col min="15627" max="15627" width="20.5703125" style="226" customWidth="1"/>
    <col min="15628" max="15628" width="12.42578125" style="226" bestFit="1" customWidth="1"/>
    <col min="15629" max="15873" width="9.140625" style="226"/>
    <col min="15874" max="15874" width="40.85546875" style="226" customWidth="1"/>
    <col min="15875" max="15875" width="45.42578125" style="226" bestFit="1" customWidth="1"/>
    <col min="15876" max="15876" width="18.7109375" style="226" customWidth="1"/>
    <col min="15877" max="15877" width="21.28515625" style="226" customWidth="1"/>
    <col min="15878" max="15878" width="16.5703125" style="226" customWidth="1"/>
    <col min="15879" max="15879" width="19" style="226" customWidth="1"/>
    <col min="15880" max="15880" width="17.5703125" style="226" customWidth="1"/>
    <col min="15881" max="15881" width="13.28515625" style="226" customWidth="1"/>
    <col min="15882" max="15882" width="13.5703125" style="226" customWidth="1"/>
    <col min="15883" max="15883" width="20.5703125" style="226" customWidth="1"/>
    <col min="15884" max="15884" width="12.42578125" style="226" bestFit="1" customWidth="1"/>
    <col min="15885" max="16129" width="9.140625" style="226"/>
    <col min="16130" max="16130" width="40.85546875" style="226" customWidth="1"/>
    <col min="16131" max="16131" width="45.42578125" style="226" bestFit="1" customWidth="1"/>
    <col min="16132" max="16132" width="18.7109375" style="226" customWidth="1"/>
    <col min="16133" max="16133" width="21.28515625" style="226" customWidth="1"/>
    <col min="16134" max="16134" width="16.5703125" style="226" customWidth="1"/>
    <col min="16135" max="16135" width="19" style="226" customWidth="1"/>
    <col min="16136" max="16136" width="17.5703125" style="226" customWidth="1"/>
    <col min="16137" max="16137" width="13.28515625" style="226" customWidth="1"/>
    <col min="16138" max="16138" width="13.5703125" style="226" customWidth="1"/>
    <col min="16139" max="16139" width="20.5703125" style="226" customWidth="1"/>
    <col min="16140" max="16140" width="12.42578125" style="226" bestFit="1" customWidth="1"/>
    <col min="16141" max="16384" width="9.140625" style="226"/>
  </cols>
  <sheetData>
    <row r="1" spans="2:9" x14ac:dyDescent="0.2">
      <c r="G1" s="321" t="s">
        <v>994</v>
      </c>
    </row>
    <row r="2" spans="2:9" x14ac:dyDescent="0.2">
      <c r="B2" s="323" t="s">
        <v>995</v>
      </c>
      <c r="C2" s="323"/>
      <c r="D2" s="323"/>
      <c r="E2" s="323"/>
      <c r="F2" s="323"/>
      <c r="G2" s="323"/>
    </row>
    <row r="3" spans="2:9" x14ac:dyDescent="0.2">
      <c r="B3" s="323" t="s">
        <v>996</v>
      </c>
      <c r="C3" s="323"/>
      <c r="D3" s="323"/>
      <c r="E3" s="323"/>
      <c r="F3" s="323"/>
      <c r="G3" s="323"/>
    </row>
    <row r="4" spans="2:9" x14ac:dyDescent="0.2">
      <c r="B4" s="324"/>
      <c r="C4" s="324"/>
      <c r="D4" s="324"/>
      <c r="E4" s="324"/>
      <c r="F4" s="324"/>
      <c r="G4" s="324"/>
    </row>
    <row r="5" spans="2:9" x14ac:dyDescent="0.2">
      <c r="B5" s="323" t="s">
        <v>997</v>
      </c>
      <c r="C5" s="323"/>
      <c r="D5" s="323"/>
      <c r="E5" s="323"/>
      <c r="F5" s="323"/>
      <c r="G5" s="323"/>
    </row>
    <row r="6" spans="2:9" x14ac:dyDescent="0.2">
      <c r="B6" s="324" t="s">
        <v>998</v>
      </c>
    </row>
    <row r="8" spans="2:9" ht="25.5" x14ac:dyDescent="0.2">
      <c r="B8" s="325" t="s">
        <v>999</v>
      </c>
      <c r="C8" s="325" t="s">
        <v>1000</v>
      </c>
      <c r="D8" s="325" t="s">
        <v>1001</v>
      </c>
      <c r="E8" s="326" t="s">
        <v>1002</v>
      </c>
      <c r="F8" s="326" t="s">
        <v>1003</v>
      </c>
      <c r="G8" s="326" t="s">
        <v>1004</v>
      </c>
    </row>
    <row r="9" spans="2:9" ht="15" x14ac:dyDescent="0.2">
      <c r="B9" s="327" t="s">
        <v>707</v>
      </c>
      <c r="C9" s="160" t="s">
        <v>816</v>
      </c>
      <c r="D9" s="328" t="s">
        <v>1005</v>
      </c>
      <c r="E9" s="329">
        <v>82.95</v>
      </c>
      <c r="F9" s="330">
        <v>84.15</v>
      </c>
      <c r="G9" s="330">
        <v>6.62</v>
      </c>
    </row>
    <row r="10" spans="2:9" x14ac:dyDescent="0.2">
      <c r="B10" s="327" t="s">
        <v>707</v>
      </c>
      <c r="C10" s="160" t="s">
        <v>840</v>
      </c>
      <c r="D10" s="328" t="s">
        <v>1005</v>
      </c>
      <c r="E10" s="330">
        <v>4170.92</v>
      </c>
      <c r="F10" s="330">
        <v>4162.05</v>
      </c>
      <c r="G10" s="330">
        <v>14.68</v>
      </c>
    </row>
    <row r="11" spans="2:9" ht="15" x14ac:dyDescent="0.25">
      <c r="B11" s="327" t="s">
        <v>707</v>
      </c>
      <c r="C11" s="160" t="s">
        <v>818</v>
      </c>
      <c r="D11" s="328" t="s">
        <v>1005</v>
      </c>
      <c r="E11" s="330">
        <v>425.32</v>
      </c>
      <c r="F11" s="330">
        <v>433.8</v>
      </c>
      <c r="G11" s="330">
        <v>17.72</v>
      </c>
      <c r="I11" s="331"/>
    </row>
    <row r="12" spans="2:9" ht="15" x14ac:dyDescent="0.25">
      <c r="B12" s="327" t="s">
        <v>707</v>
      </c>
      <c r="C12" s="160" t="s">
        <v>817</v>
      </c>
      <c r="D12" s="328" t="s">
        <v>1005</v>
      </c>
      <c r="E12" s="330">
        <v>1140.68</v>
      </c>
      <c r="F12" s="330">
        <v>1139.3</v>
      </c>
      <c r="G12" s="330">
        <v>22.556999999999999</v>
      </c>
      <c r="I12" s="331"/>
    </row>
    <row r="13" spans="2:9" ht="15" x14ac:dyDescent="0.25">
      <c r="B13" s="327" t="s">
        <v>707</v>
      </c>
      <c r="C13" s="160" t="s">
        <v>819</v>
      </c>
      <c r="D13" s="328" t="s">
        <v>1005</v>
      </c>
      <c r="E13" s="330">
        <v>260.05</v>
      </c>
      <c r="F13" s="330">
        <v>258.60000000000002</v>
      </c>
      <c r="G13" s="330">
        <v>25.19</v>
      </c>
      <c r="I13" s="331"/>
    </row>
    <row r="14" spans="2:9" ht="15" x14ac:dyDescent="0.25">
      <c r="B14" s="327" t="s">
        <v>707</v>
      </c>
      <c r="C14" s="160" t="s">
        <v>820</v>
      </c>
      <c r="D14" s="328" t="s">
        <v>1005</v>
      </c>
      <c r="E14" s="330">
        <v>467.86</v>
      </c>
      <c r="F14" s="330">
        <v>469.7</v>
      </c>
      <c r="G14" s="330">
        <v>25.66</v>
      </c>
      <c r="I14" s="331"/>
    </row>
    <row r="15" spans="2:9" ht="15" x14ac:dyDescent="0.25">
      <c r="B15" s="327" t="s">
        <v>707</v>
      </c>
      <c r="C15" s="160" t="s">
        <v>822</v>
      </c>
      <c r="D15" s="328" t="s">
        <v>1005</v>
      </c>
      <c r="E15" s="330">
        <v>740.8</v>
      </c>
      <c r="F15" s="330">
        <v>772.1</v>
      </c>
      <c r="G15" s="330">
        <v>34.4</v>
      </c>
      <c r="I15" s="331"/>
    </row>
    <row r="16" spans="2:9" ht="15" x14ac:dyDescent="0.25">
      <c r="B16" s="327" t="s">
        <v>707</v>
      </c>
      <c r="C16" s="160" t="s">
        <v>821</v>
      </c>
      <c r="D16" s="328" t="s">
        <v>1005</v>
      </c>
      <c r="E16" s="330">
        <v>112.95</v>
      </c>
      <c r="F16" s="330">
        <v>116.65</v>
      </c>
      <c r="G16" s="330">
        <v>63</v>
      </c>
      <c r="I16" s="331"/>
    </row>
    <row r="17" spans="2:9" ht="15" x14ac:dyDescent="0.25">
      <c r="B17" s="327" t="s">
        <v>707</v>
      </c>
      <c r="C17" s="160" t="s">
        <v>516</v>
      </c>
      <c r="D17" s="328" t="s">
        <v>1005</v>
      </c>
      <c r="E17" s="330">
        <v>759.24</v>
      </c>
      <c r="F17" s="330">
        <v>742.25</v>
      </c>
      <c r="G17" s="330">
        <v>47.14</v>
      </c>
      <c r="I17" s="331"/>
    </row>
    <row r="18" spans="2:9" ht="15" x14ac:dyDescent="0.25">
      <c r="B18" s="327" t="s">
        <v>707</v>
      </c>
      <c r="C18" s="160" t="s">
        <v>823</v>
      </c>
      <c r="D18" s="328" t="s">
        <v>1005</v>
      </c>
      <c r="E18" s="330">
        <v>673.78</v>
      </c>
      <c r="F18" s="330">
        <v>688.05</v>
      </c>
      <c r="G18" s="330">
        <v>75.069999999999993</v>
      </c>
      <c r="I18" s="331"/>
    </row>
    <row r="19" spans="2:9" ht="15" x14ac:dyDescent="0.25">
      <c r="B19" s="327" t="s">
        <v>707</v>
      </c>
      <c r="C19" s="160" t="s">
        <v>824</v>
      </c>
      <c r="D19" s="328" t="s">
        <v>1005</v>
      </c>
      <c r="E19" s="330">
        <v>460.05</v>
      </c>
      <c r="F19" s="330">
        <v>462.5</v>
      </c>
      <c r="G19" s="330">
        <v>56.2</v>
      </c>
      <c r="I19" s="331"/>
    </row>
    <row r="20" spans="2:9" ht="15" x14ac:dyDescent="0.25">
      <c r="B20" s="327" t="s">
        <v>707</v>
      </c>
      <c r="C20" s="160" t="s">
        <v>826</v>
      </c>
      <c r="D20" s="328" t="s">
        <v>1005</v>
      </c>
      <c r="E20" s="330">
        <v>1264</v>
      </c>
      <c r="F20" s="330">
        <v>1232.1500000000001</v>
      </c>
      <c r="G20" s="330">
        <v>59.88</v>
      </c>
      <c r="I20" s="331"/>
    </row>
    <row r="21" spans="2:9" ht="15" x14ac:dyDescent="0.25">
      <c r="B21" s="327" t="s">
        <v>707</v>
      </c>
      <c r="C21" s="160" t="s">
        <v>825</v>
      </c>
      <c r="D21" s="328" t="s">
        <v>1005</v>
      </c>
      <c r="E21" s="330">
        <v>613.23</v>
      </c>
      <c r="F21" s="330">
        <v>609.25</v>
      </c>
      <c r="G21" s="330">
        <v>67.87</v>
      </c>
      <c r="I21" s="331"/>
    </row>
    <row r="22" spans="2:9" ht="15" x14ac:dyDescent="0.25">
      <c r="B22" s="327" t="s">
        <v>707</v>
      </c>
      <c r="C22" s="160" t="s">
        <v>827</v>
      </c>
      <c r="D22" s="328" t="s">
        <v>1005</v>
      </c>
      <c r="E22" s="330">
        <v>2174.1799999999998</v>
      </c>
      <c r="F22" s="330">
        <v>2183.1</v>
      </c>
      <c r="G22" s="330">
        <v>85.55</v>
      </c>
      <c r="I22" s="331"/>
    </row>
    <row r="23" spans="2:9" x14ac:dyDescent="0.2">
      <c r="B23" s="327" t="s">
        <v>707</v>
      </c>
      <c r="C23" s="160" t="s">
        <v>828</v>
      </c>
      <c r="D23" s="328" t="s">
        <v>1005</v>
      </c>
      <c r="E23" s="330">
        <v>2117.89</v>
      </c>
      <c r="F23" s="330">
        <v>2138</v>
      </c>
      <c r="G23" s="330">
        <v>132.13999999999999</v>
      </c>
    </row>
    <row r="24" spans="2:9" x14ac:dyDescent="0.2">
      <c r="B24" s="327" t="s">
        <v>707</v>
      </c>
      <c r="C24" s="160" t="s">
        <v>829</v>
      </c>
      <c r="D24" s="328" t="s">
        <v>1005</v>
      </c>
      <c r="E24" s="330">
        <v>1475.45</v>
      </c>
      <c r="F24" s="330">
        <v>1470.65</v>
      </c>
      <c r="G24" s="330">
        <v>136.22</v>
      </c>
    </row>
    <row r="25" spans="2:9" x14ac:dyDescent="0.2">
      <c r="B25" s="332"/>
      <c r="C25" s="333"/>
      <c r="E25" s="334"/>
      <c r="F25" s="334"/>
      <c r="G25" s="334"/>
    </row>
    <row r="27" spans="2:9" x14ac:dyDescent="0.2">
      <c r="B27" s="324" t="s">
        <v>1006</v>
      </c>
    </row>
    <row r="29" spans="2:9" x14ac:dyDescent="0.2">
      <c r="B29" s="335" t="s">
        <v>999</v>
      </c>
      <c r="C29" s="335" t="s">
        <v>1007</v>
      </c>
    </row>
    <row r="30" spans="2:9" x14ac:dyDescent="0.2">
      <c r="B30" s="336" t="s">
        <v>707</v>
      </c>
      <c r="C30" s="337">
        <v>0.31690000000000002</v>
      </c>
    </row>
    <row r="32" spans="2:9" x14ac:dyDescent="0.2">
      <c r="D32" s="338"/>
    </row>
    <row r="34" spans="2:12" x14ac:dyDescent="0.2">
      <c r="B34" s="324" t="s">
        <v>1008</v>
      </c>
    </row>
    <row r="35" spans="2:12" x14ac:dyDescent="0.2">
      <c r="B35" s="324"/>
    </row>
    <row r="36" spans="2:12" ht="63.75" x14ac:dyDescent="0.2">
      <c r="B36" s="325" t="s">
        <v>999</v>
      </c>
      <c r="C36" s="326" t="s">
        <v>1009</v>
      </c>
      <c r="D36" s="326" t="s">
        <v>1010</v>
      </c>
      <c r="E36" s="326" t="s">
        <v>1011</v>
      </c>
      <c r="F36" s="326" t="s">
        <v>1012</v>
      </c>
      <c r="G36" s="326" t="s">
        <v>1013</v>
      </c>
    </row>
    <row r="37" spans="2:12" ht="15" customHeight="1" x14ac:dyDescent="0.2">
      <c r="B37" s="190" t="s">
        <v>1</v>
      </c>
      <c r="C37" s="339">
        <v>107</v>
      </c>
      <c r="D37" s="339">
        <v>107</v>
      </c>
      <c r="E37" s="340">
        <v>537.53</v>
      </c>
      <c r="F37" s="341">
        <v>530.42250999999999</v>
      </c>
      <c r="G37" s="342">
        <v>-7.1074899999999843</v>
      </c>
      <c r="H37" s="343"/>
    </row>
    <row r="38" spans="2:12" ht="15" customHeight="1" x14ac:dyDescent="0.2">
      <c r="B38" s="344" t="s">
        <v>495</v>
      </c>
      <c r="C38" s="231">
        <v>650</v>
      </c>
      <c r="D38" s="231">
        <v>650</v>
      </c>
      <c r="E38" s="345">
        <v>4557.5448271999994</v>
      </c>
      <c r="F38" s="346">
        <v>4443.3177329999999</v>
      </c>
      <c r="G38" s="342">
        <v>-114.2070942</v>
      </c>
      <c r="H38" s="343"/>
      <c r="I38" s="347"/>
      <c r="J38" s="227"/>
    </row>
    <row r="39" spans="2:12" ht="15" customHeight="1" x14ac:dyDescent="0.2">
      <c r="B39" s="344" t="s">
        <v>557</v>
      </c>
      <c r="C39" s="348">
        <v>3222</v>
      </c>
      <c r="D39" s="348">
        <v>3222</v>
      </c>
      <c r="E39" s="349">
        <v>18958.5690975</v>
      </c>
      <c r="F39" s="349">
        <v>18882.715059000002</v>
      </c>
      <c r="G39" s="342">
        <v>-75.86866969999997</v>
      </c>
      <c r="H39" s="343"/>
      <c r="I39" s="347"/>
      <c r="J39" s="227"/>
    </row>
    <row r="40" spans="2:12" ht="15" customHeight="1" x14ac:dyDescent="0.2">
      <c r="B40" s="350" t="s">
        <v>298</v>
      </c>
      <c r="C40" s="348">
        <v>4805</v>
      </c>
      <c r="D40" s="348">
        <v>4805</v>
      </c>
      <c r="E40" s="349">
        <v>24288.370749999998</v>
      </c>
      <c r="F40" s="349">
        <v>24655.495999999999</v>
      </c>
      <c r="G40" s="342">
        <v>367.11721999999997</v>
      </c>
      <c r="H40" s="343"/>
      <c r="I40" s="347"/>
      <c r="J40" s="227"/>
    </row>
    <row r="41" spans="2:12" ht="15" customHeight="1" x14ac:dyDescent="0.2">
      <c r="B41" s="350" t="s">
        <v>1014</v>
      </c>
      <c r="C41" s="348">
        <v>652</v>
      </c>
      <c r="D41" s="348">
        <v>652</v>
      </c>
      <c r="E41" s="349">
        <v>3275.122425</v>
      </c>
      <c r="F41" s="349">
        <v>3271.4027311999998</v>
      </c>
      <c r="G41" s="342">
        <v>-3.7216000000000022</v>
      </c>
      <c r="H41" s="343"/>
      <c r="I41" s="347"/>
      <c r="J41" s="227"/>
    </row>
    <row r="42" spans="2:12" ht="15" customHeight="1" x14ac:dyDescent="0.2">
      <c r="B42" s="350" t="s">
        <v>739</v>
      </c>
      <c r="C42" s="348">
        <v>365</v>
      </c>
      <c r="D42" s="348">
        <v>365</v>
      </c>
      <c r="E42" s="349">
        <v>2373.0860000000002</v>
      </c>
      <c r="F42" s="349">
        <v>2327.7269999999999</v>
      </c>
      <c r="G42" s="342">
        <v>-45.35</v>
      </c>
      <c r="H42" s="343"/>
      <c r="I42" s="347"/>
      <c r="J42" s="227"/>
    </row>
    <row r="43" spans="2:12" ht="15" customHeight="1" x14ac:dyDescent="0.2">
      <c r="B43" s="351" t="s">
        <v>585</v>
      </c>
      <c r="C43" s="348">
        <v>75</v>
      </c>
      <c r="D43" s="348">
        <v>75</v>
      </c>
      <c r="E43" s="349">
        <v>441.47</v>
      </c>
      <c r="F43" s="349">
        <v>459.38</v>
      </c>
      <c r="G43" s="342">
        <v>17.91</v>
      </c>
      <c r="H43" s="343"/>
      <c r="I43" s="347"/>
      <c r="J43" s="227"/>
    </row>
    <row r="44" spans="2:12" ht="15" customHeight="1" x14ac:dyDescent="0.2">
      <c r="B44" s="351" t="s">
        <v>1015</v>
      </c>
      <c r="C44" s="348">
        <v>3</v>
      </c>
      <c r="D44" s="348">
        <v>3</v>
      </c>
      <c r="E44" s="349">
        <v>25.5</v>
      </c>
      <c r="F44" s="349">
        <v>25.27</v>
      </c>
      <c r="G44" s="342">
        <v>-0.23000000000000043</v>
      </c>
      <c r="H44" s="343"/>
      <c r="I44" s="347"/>
      <c r="J44" s="227"/>
    </row>
    <row r="45" spans="2:12" ht="15" customHeight="1" x14ac:dyDescent="0.2">
      <c r="B45" s="351" t="s">
        <v>1016</v>
      </c>
      <c r="C45" s="348">
        <v>5</v>
      </c>
      <c r="D45" s="348">
        <v>5</v>
      </c>
      <c r="E45" s="349">
        <v>42.479399999999998</v>
      </c>
      <c r="F45" s="349">
        <v>42.227499999999999</v>
      </c>
      <c r="G45" s="342">
        <v>-0.28000000000000003</v>
      </c>
      <c r="H45" s="343"/>
      <c r="I45" s="347"/>
      <c r="J45" s="227"/>
    </row>
    <row r="46" spans="2:12" ht="15" customHeight="1" x14ac:dyDescent="0.2">
      <c r="B46" s="327" t="s">
        <v>704</v>
      </c>
      <c r="C46" s="348">
        <v>1605</v>
      </c>
      <c r="D46" s="348">
        <v>1605</v>
      </c>
      <c r="E46" s="349">
        <v>10739.75</v>
      </c>
      <c r="F46" s="349">
        <v>10723.42</v>
      </c>
      <c r="G46" s="342">
        <v>-16.329999999999927</v>
      </c>
      <c r="H46" s="343"/>
      <c r="I46" s="347"/>
      <c r="J46" s="227"/>
    </row>
    <row r="47" spans="2:12" ht="15" customHeight="1" x14ac:dyDescent="0.2">
      <c r="B47" s="327" t="s">
        <v>707</v>
      </c>
      <c r="C47" s="348">
        <v>5026</v>
      </c>
      <c r="D47" s="348">
        <v>4454</v>
      </c>
      <c r="E47" s="349">
        <v>29577.192765500004</v>
      </c>
      <c r="F47" s="349">
        <v>29776.238759799999</v>
      </c>
      <c r="G47" s="342">
        <v>199.06599430000009</v>
      </c>
      <c r="H47" s="343"/>
      <c r="I47" s="347"/>
      <c r="J47" s="227"/>
    </row>
    <row r="48" spans="2:12" x14ac:dyDescent="0.2">
      <c r="B48" s="352"/>
      <c r="C48" s="353"/>
      <c r="D48" s="353"/>
      <c r="F48" s="227"/>
      <c r="G48" s="227"/>
      <c r="H48" s="354"/>
      <c r="I48" s="347"/>
      <c r="L48" s="354"/>
    </row>
    <row r="49" spans="2:12" x14ac:dyDescent="0.2">
      <c r="E49" s="227"/>
      <c r="H49" s="355"/>
      <c r="L49" s="356"/>
    </row>
    <row r="50" spans="2:12" x14ac:dyDescent="0.2">
      <c r="B50" s="324" t="s">
        <v>1017</v>
      </c>
      <c r="F50" s="227"/>
      <c r="G50" s="356"/>
    </row>
    <row r="52" spans="2:12" ht="25.5" x14ac:dyDescent="0.2">
      <c r="B52" s="325" t="s">
        <v>999</v>
      </c>
      <c r="C52" s="325" t="s">
        <v>1000</v>
      </c>
      <c r="D52" s="325" t="s">
        <v>1001</v>
      </c>
      <c r="E52" s="326" t="s">
        <v>1002</v>
      </c>
      <c r="F52" s="326" t="s">
        <v>1003</v>
      </c>
      <c r="G52" s="326" t="s">
        <v>1018</v>
      </c>
      <c r="I52" s="357"/>
    </row>
    <row r="53" spans="2:12" x14ac:dyDescent="0.2">
      <c r="B53" s="327" t="s">
        <v>1019</v>
      </c>
      <c r="C53" s="160" t="s">
        <v>811</v>
      </c>
      <c r="D53" s="328" t="s">
        <v>1020</v>
      </c>
      <c r="E53" s="330">
        <v>246.99</v>
      </c>
      <c r="F53" s="330">
        <v>247.1</v>
      </c>
      <c r="G53" s="330">
        <v>436.35</v>
      </c>
      <c r="I53" s="357"/>
    </row>
    <row r="54" spans="2:12" x14ac:dyDescent="0.2">
      <c r="B54" s="327" t="s">
        <v>1021</v>
      </c>
      <c r="C54" s="160" t="s">
        <v>1022</v>
      </c>
      <c r="D54" s="328" t="s">
        <v>1020</v>
      </c>
      <c r="E54" s="330">
        <v>441.2</v>
      </c>
      <c r="F54" s="330">
        <v>502.35</v>
      </c>
      <c r="G54" s="330">
        <v>16.05</v>
      </c>
      <c r="I54" s="357"/>
    </row>
    <row r="55" spans="2:12" x14ac:dyDescent="0.2">
      <c r="B55" s="220"/>
      <c r="C55" s="358"/>
      <c r="D55" s="359"/>
      <c r="E55" s="360"/>
      <c r="F55" s="360"/>
      <c r="G55" s="360"/>
      <c r="I55" s="357"/>
    </row>
    <row r="56" spans="2:12" x14ac:dyDescent="0.2">
      <c r="B56" s="220"/>
      <c r="C56" s="358"/>
      <c r="D56" s="359"/>
      <c r="E56" s="360"/>
      <c r="F56" s="360"/>
      <c r="G56" s="360"/>
      <c r="I56" s="357"/>
    </row>
    <row r="57" spans="2:12" x14ac:dyDescent="0.2">
      <c r="B57" s="361"/>
      <c r="C57" s="362"/>
      <c r="D57" s="363"/>
      <c r="E57" s="364"/>
      <c r="F57" s="365"/>
      <c r="G57" s="365"/>
      <c r="I57" s="357"/>
      <c r="L57" s="227"/>
    </row>
    <row r="58" spans="2:12" x14ac:dyDescent="0.2">
      <c r="B58" s="324" t="s">
        <v>1023</v>
      </c>
    </row>
    <row r="60" spans="2:12" x14ac:dyDescent="0.2">
      <c r="B60" s="335" t="s">
        <v>999</v>
      </c>
      <c r="C60" s="335" t="s">
        <v>1007</v>
      </c>
    </row>
    <row r="61" spans="2:12" x14ac:dyDescent="0.2">
      <c r="B61" s="327" t="s">
        <v>1019</v>
      </c>
      <c r="C61" s="337">
        <v>4.1999999999999997E-3</v>
      </c>
    </row>
    <row r="62" spans="2:12" x14ac:dyDescent="0.2">
      <c r="B62" s="327" t="s">
        <v>1021</v>
      </c>
      <c r="C62" s="337">
        <v>2.2800000000000001E-2</v>
      </c>
    </row>
    <row r="63" spans="2:12" x14ac:dyDescent="0.2">
      <c r="B63" s="352"/>
      <c r="C63" s="366"/>
    </row>
    <row r="64" spans="2:12" x14ac:dyDescent="0.2">
      <c r="B64" s="324" t="s">
        <v>1024</v>
      </c>
    </row>
    <row r="65" spans="2:11" x14ac:dyDescent="0.2">
      <c r="B65" s="324"/>
    </row>
    <row r="66" spans="2:11" ht="63.75" x14ac:dyDescent="0.2">
      <c r="B66" s="325" t="s">
        <v>999</v>
      </c>
      <c r="C66" s="326" t="s">
        <v>1009</v>
      </c>
      <c r="D66" s="326" t="s">
        <v>1010</v>
      </c>
      <c r="E66" s="326" t="s">
        <v>1011</v>
      </c>
      <c r="F66" s="326" t="s">
        <v>1025</v>
      </c>
      <c r="G66" s="326" t="s">
        <v>1026</v>
      </c>
    </row>
    <row r="67" spans="2:11" ht="15" customHeight="1" x14ac:dyDescent="0.2">
      <c r="B67" s="190" t="s">
        <v>1</v>
      </c>
      <c r="C67" s="231">
        <v>100</v>
      </c>
      <c r="D67" s="231">
        <v>100</v>
      </c>
      <c r="E67" s="367">
        <v>577.79999999999995</v>
      </c>
      <c r="F67" s="368">
        <v>541.875</v>
      </c>
      <c r="G67" s="367">
        <v>-35.925713199999997</v>
      </c>
      <c r="H67" s="354"/>
      <c r="I67" s="347"/>
      <c r="J67" s="227"/>
      <c r="K67" s="227"/>
    </row>
    <row r="68" spans="2:11" ht="15" customHeight="1" x14ac:dyDescent="0.2">
      <c r="B68" s="350" t="s">
        <v>739</v>
      </c>
      <c r="C68" s="231">
        <v>1020</v>
      </c>
      <c r="D68" s="231">
        <v>1020</v>
      </c>
      <c r="E68" s="369">
        <v>7067.3981749999994</v>
      </c>
      <c r="F68" s="369">
        <v>6986.8570960999996</v>
      </c>
      <c r="G68" s="367">
        <v>-80.550078900000003</v>
      </c>
      <c r="H68" s="354"/>
    </row>
    <row r="69" spans="2:11" ht="15" customHeight="1" x14ac:dyDescent="0.2">
      <c r="B69" s="351" t="s">
        <v>585</v>
      </c>
      <c r="C69" s="231">
        <v>420</v>
      </c>
      <c r="D69" s="231">
        <v>420</v>
      </c>
      <c r="E69" s="369">
        <v>3169.3</v>
      </c>
      <c r="F69" s="369">
        <v>3431.8900000000003</v>
      </c>
      <c r="G69" s="367">
        <v>262.58000000000004</v>
      </c>
      <c r="H69" s="354"/>
    </row>
    <row r="70" spans="2:11" ht="15" customHeight="1" x14ac:dyDescent="0.2">
      <c r="B70" s="327" t="s">
        <v>1027</v>
      </c>
      <c r="C70" s="231">
        <v>4370</v>
      </c>
      <c r="D70" s="231">
        <v>4370</v>
      </c>
      <c r="E70" s="369">
        <v>26139.8079</v>
      </c>
      <c r="F70" s="369">
        <v>24959.978700000003</v>
      </c>
      <c r="G70" s="367">
        <v>-1179.829</v>
      </c>
      <c r="H70" s="354"/>
      <c r="I70" s="357"/>
    </row>
    <row r="71" spans="2:11" ht="15" customHeight="1" x14ac:dyDescent="0.2">
      <c r="B71" s="344" t="s">
        <v>557</v>
      </c>
      <c r="C71" s="370">
        <v>421</v>
      </c>
      <c r="D71" s="370">
        <v>421</v>
      </c>
      <c r="E71" s="369">
        <v>2417.36</v>
      </c>
      <c r="F71" s="369">
        <v>2391.64</v>
      </c>
      <c r="G71" s="367">
        <v>-25.719999999999992</v>
      </c>
      <c r="H71" s="354"/>
      <c r="I71" s="357"/>
    </row>
    <row r="72" spans="2:11" ht="15" customHeight="1" x14ac:dyDescent="0.2">
      <c r="B72" s="350" t="s">
        <v>1014</v>
      </c>
      <c r="C72" s="370">
        <v>1693</v>
      </c>
      <c r="D72" s="370">
        <v>1693</v>
      </c>
      <c r="E72" s="369">
        <v>11286.470000000001</v>
      </c>
      <c r="F72" s="369">
        <v>11534.84</v>
      </c>
      <c r="G72" s="367">
        <v>248.37</v>
      </c>
      <c r="H72" s="354"/>
      <c r="I72" s="357"/>
    </row>
    <row r="73" spans="2:11" ht="15" customHeight="1" x14ac:dyDescent="0.2">
      <c r="B73" s="327" t="s">
        <v>707</v>
      </c>
      <c r="C73" s="370">
        <v>60</v>
      </c>
      <c r="D73" s="370">
        <v>60</v>
      </c>
      <c r="E73" s="369">
        <v>511.41999999999996</v>
      </c>
      <c r="F73" s="369">
        <v>498.62</v>
      </c>
      <c r="G73" s="367">
        <v>-12.82</v>
      </c>
      <c r="H73" s="354"/>
      <c r="I73" s="357"/>
    </row>
    <row r="74" spans="2:11" ht="15" customHeight="1" x14ac:dyDescent="0.2">
      <c r="B74" s="327" t="s">
        <v>704</v>
      </c>
      <c r="C74" s="370">
        <v>1810</v>
      </c>
      <c r="D74" s="370">
        <v>1810</v>
      </c>
      <c r="E74" s="369">
        <v>12803.919</v>
      </c>
      <c r="F74" s="369">
        <v>13376.099999999999</v>
      </c>
      <c r="G74" s="367">
        <v>572.17999999999995</v>
      </c>
      <c r="H74" s="354"/>
      <c r="I74" s="357"/>
    </row>
    <row r="75" spans="2:11" ht="15" customHeight="1" x14ac:dyDescent="0.2">
      <c r="B75" s="327" t="s">
        <v>1028</v>
      </c>
      <c r="C75" s="370">
        <v>200</v>
      </c>
      <c r="D75" s="370">
        <v>200</v>
      </c>
      <c r="E75" s="369">
        <v>1201.7</v>
      </c>
      <c r="F75" s="369">
        <v>1184.6300000000001</v>
      </c>
      <c r="G75" s="367">
        <v>-17.069999999999936</v>
      </c>
      <c r="H75" s="354"/>
      <c r="I75" s="357"/>
    </row>
    <row r="76" spans="2:11" ht="15" customHeight="1" x14ac:dyDescent="0.2">
      <c r="B76" s="327" t="s">
        <v>730</v>
      </c>
      <c r="C76" s="370">
        <v>6</v>
      </c>
      <c r="D76" s="370">
        <v>6</v>
      </c>
      <c r="E76" s="369">
        <v>59.21</v>
      </c>
      <c r="F76" s="369">
        <v>69.557400000000001</v>
      </c>
      <c r="G76" s="367">
        <v>10.35</v>
      </c>
      <c r="H76" s="354"/>
      <c r="I76" s="357"/>
    </row>
    <row r="77" spans="2:11" ht="15" customHeight="1" x14ac:dyDescent="0.2">
      <c r="B77" s="327" t="s">
        <v>731</v>
      </c>
      <c r="C77" s="370">
        <v>14</v>
      </c>
      <c r="D77" s="370">
        <v>14</v>
      </c>
      <c r="E77" s="369">
        <v>137.70519999999999</v>
      </c>
      <c r="F77" s="369">
        <v>162.3006</v>
      </c>
      <c r="G77" s="367">
        <v>24.59</v>
      </c>
      <c r="H77" s="354"/>
      <c r="I77" s="357"/>
    </row>
    <row r="78" spans="2:11" ht="15" customHeight="1" x14ac:dyDescent="0.2">
      <c r="B78" s="351" t="s">
        <v>1015</v>
      </c>
      <c r="C78" s="370">
        <v>36</v>
      </c>
      <c r="D78" s="370">
        <v>36</v>
      </c>
      <c r="E78" s="369">
        <v>141.5368</v>
      </c>
      <c r="F78" s="369">
        <v>161.03120000000001</v>
      </c>
      <c r="G78" s="367">
        <v>19.494399999999999</v>
      </c>
      <c r="H78" s="354"/>
      <c r="I78" s="357"/>
    </row>
    <row r="79" spans="2:11" ht="15" customHeight="1" x14ac:dyDescent="0.2">
      <c r="B79" s="351" t="s">
        <v>1016</v>
      </c>
      <c r="C79" s="370">
        <v>36</v>
      </c>
      <c r="D79" s="370">
        <v>36</v>
      </c>
      <c r="E79" s="369">
        <v>263.45</v>
      </c>
      <c r="F79" s="369">
        <v>298.88</v>
      </c>
      <c r="G79" s="367">
        <v>35.42</v>
      </c>
      <c r="H79" s="354"/>
      <c r="I79" s="357"/>
    </row>
    <row r="80" spans="2:11" ht="15" customHeight="1" x14ac:dyDescent="0.2">
      <c r="B80" s="344" t="s">
        <v>495</v>
      </c>
      <c r="C80" s="231">
        <v>2590</v>
      </c>
      <c r="D80" s="231">
        <v>2590</v>
      </c>
      <c r="E80" s="369">
        <v>16598.352202999999</v>
      </c>
      <c r="F80" s="369">
        <v>16811.581137174999</v>
      </c>
      <c r="G80" s="367">
        <v>213.24193417500004</v>
      </c>
      <c r="H80" s="354"/>
    </row>
    <row r="81" spans="1:9" x14ac:dyDescent="0.2">
      <c r="B81" s="371"/>
      <c r="C81" s="372"/>
      <c r="D81" s="372"/>
      <c r="E81" s="373"/>
      <c r="F81" s="373"/>
      <c r="G81" s="373"/>
      <c r="H81" s="356"/>
    </row>
    <row r="82" spans="1:9" x14ac:dyDescent="0.2">
      <c r="B82" s="324" t="s">
        <v>1029</v>
      </c>
      <c r="D82" s="374"/>
    </row>
    <row r="83" spans="1:9" x14ac:dyDescent="0.2">
      <c r="A83" s="361"/>
      <c r="B83" s="361"/>
    </row>
    <row r="84" spans="1:9" ht="25.5" x14ac:dyDescent="0.2">
      <c r="A84" s="361"/>
      <c r="B84" s="326" t="s">
        <v>999</v>
      </c>
      <c r="C84" s="326" t="s">
        <v>1000</v>
      </c>
      <c r="D84" s="375" t="s">
        <v>1030</v>
      </c>
      <c r="E84" s="326" t="s">
        <v>1031</v>
      </c>
      <c r="F84" s="326" t="s">
        <v>1032</v>
      </c>
      <c r="G84" s="326" t="s">
        <v>1033</v>
      </c>
    </row>
    <row r="85" spans="1:9" x14ac:dyDescent="0.2">
      <c r="A85" s="361"/>
      <c r="B85" s="351" t="s">
        <v>738</v>
      </c>
      <c r="C85" s="376" t="s">
        <v>837</v>
      </c>
      <c r="D85" s="377" t="s">
        <v>1034</v>
      </c>
      <c r="E85" s="378">
        <v>925</v>
      </c>
      <c r="F85" s="379">
        <v>577.97360000000003</v>
      </c>
      <c r="G85" s="399">
        <v>204.29</v>
      </c>
      <c r="I85" s="380"/>
    </row>
    <row r="86" spans="1:9" x14ac:dyDescent="0.2">
      <c r="A86" s="361"/>
      <c r="B86" s="351" t="s">
        <v>738</v>
      </c>
      <c r="C86" s="376" t="s">
        <v>838</v>
      </c>
      <c r="D86" s="377" t="s">
        <v>1034</v>
      </c>
      <c r="E86" s="378">
        <v>250</v>
      </c>
      <c r="F86" s="381">
        <v>575.23749999999995</v>
      </c>
      <c r="G86" s="399">
        <v>319</v>
      </c>
      <c r="I86" s="380"/>
    </row>
    <row r="87" spans="1:9" x14ac:dyDescent="0.2">
      <c r="A87" s="361"/>
      <c r="B87" s="351" t="s">
        <v>728</v>
      </c>
      <c r="C87" s="376" t="s">
        <v>837</v>
      </c>
      <c r="D87" s="377" t="s">
        <v>1034</v>
      </c>
      <c r="E87" s="378">
        <v>515</v>
      </c>
      <c r="F87" s="379">
        <v>581.33429999999998</v>
      </c>
      <c r="G87" s="399">
        <v>204.29</v>
      </c>
    </row>
    <row r="88" spans="1:9" x14ac:dyDescent="0.2">
      <c r="A88" s="361"/>
      <c r="B88" s="351" t="s">
        <v>728</v>
      </c>
      <c r="C88" s="376" t="s">
        <v>838</v>
      </c>
      <c r="D88" s="377" t="s">
        <v>1034</v>
      </c>
      <c r="E88" s="378">
        <v>140</v>
      </c>
      <c r="F88" s="381">
        <v>575.14239999999995</v>
      </c>
      <c r="G88" s="399">
        <v>319</v>
      </c>
    </row>
    <row r="89" spans="1:9" x14ac:dyDescent="0.2">
      <c r="A89" s="361"/>
      <c r="D89" s="374"/>
      <c r="E89" s="374"/>
      <c r="F89" s="382"/>
      <c r="G89" s="382"/>
    </row>
    <row r="90" spans="1:9" x14ac:dyDescent="0.2">
      <c r="A90" s="361"/>
      <c r="B90" s="324" t="s">
        <v>1035</v>
      </c>
      <c r="G90" s="226" t="s">
        <v>864</v>
      </c>
    </row>
    <row r="91" spans="1:9" x14ac:dyDescent="0.2">
      <c r="A91" s="361"/>
      <c r="B91" s="324"/>
    </row>
    <row r="92" spans="1:9" x14ac:dyDescent="0.2">
      <c r="A92" s="361"/>
      <c r="B92" s="335" t="s">
        <v>999</v>
      </c>
      <c r="C92" s="335" t="s">
        <v>1007</v>
      </c>
    </row>
    <row r="93" spans="1:9" x14ac:dyDescent="0.2">
      <c r="A93" s="361"/>
      <c r="B93" s="351" t="s">
        <v>738</v>
      </c>
      <c r="C93" s="383">
        <v>2.1600000000000001E-2</v>
      </c>
    </row>
    <row r="94" spans="1:9" x14ac:dyDescent="0.2">
      <c r="A94" s="361"/>
      <c r="B94" s="351" t="s">
        <v>728</v>
      </c>
      <c r="C94" s="383">
        <v>2.12E-2</v>
      </c>
    </row>
    <row r="95" spans="1:9" x14ac:dyDescent="0.2">
      <c r="A95" s="361"/>
      <c r="B95" s="361"/>
    </row>
    <row r="96" spans="1:9" x14ac:dyDescent="0.2">
      <c r="A96" s="361"/>
      <c r="B96" s="324" t="s">
        <v>1036</v>
      </c>
    </row>
    <row r="97" spans="1:7" x14ac:dyDescent="0.2">
      <c r="A97" s="361"/>
      <c r="B97" s="361"/>
    </row>
    <row r="98" spans="1:7" ht="51" x14ac:dyDescent="0.2">
      <c r="A98" s="361"/>
      <c r="B98" s="325" t="s">
        <v>999</v>
      </c>
      <c r="C98" s="326" t="s">
        <v>1037</v>
      </c>
      <c r="D98" s="326" t="s">
        <v>1011</v>
      </c>
      <c r="E98" s="326" t="s">
        <v>1012</v>
      </c>
      <c r="F98" s="326" t="s">
        <v>1038</v>
      </c>
    </row>
    <row r="99" spans="1:7" x14ac:dyDescent="0.2">
      <c r="A99" s="361"/>
      <c r="B99" s="351" t="s">
        <v>1039</v>
      </c>
      <c r="C99" s="384">
        <v>5500</v>
      </c>
      <c r="D99" s="385">
        <v>152.87629999999999</v>
      </c>
      <c r="E99" s="385">
        <v>0</v>
      </c>
      <c r="F99" s="386">
        <v>-152.88</v>
      </c>
    </row>
    <row r="100" spans="1:7" x14ac:dyDescent="0.2">
      <c r="A100" s="361"/>
    </row>
    <row r="101" spans="1:7" x14ac:dyDescent="0.2">
      <c r="B101" s="324" t="s">
        <v>1040</v>
      </c>
    </row>
    <row r="103" spans="1:7" ht="25.5" x14ac:dyDescent="0.2">
      <c r="B103" s="326" t="s">
        <v>999</v>
      </c>
      <c r="C103" s="326" t="s">
        <v>1000</v>
      </c>
      <c r="D103" s="375" t="s">
        <v>1030</v>
      </c>
      <c r="E103" s="326" t="s">
        <v>1031</v>
      </c>
      <c r="F103" s="326" t="s">
        <v>1032</v>
      </c>
      <c r="G103" s="326" t="s">
        <v>1033</v>
      </c>
    </row>
    <row r="104" spans="1:7" x14ac:dyDescent="0.2">
      <c r="A104" s="361"/>
      <c r="B104" s="327" t="s">
        <v>1041</v>
      </c>
      <c r="C104" s="327" t="s">
        <v>1041</v>
      </c>
      <c r="D104" s="327" t="s">
        <v>1041</v>
      </c>
      <c r="E104" s="327" t="s">
        <v>1041</v>
      </c>
      <c r="F104" s="327" t="s">
        <v>1041</v>
      </c>
      <c r="G104" s="327" t="s">
        <v>1041</v>
      </c>
    </row>
    <row r="105" spans="1:7" x14ac:dyDescent="0.2">
      <c r="A105" s="361"/>
      <c r="B105" s="220"/>
      <c r="C105" s="362"/>
      <c r="D105" s="387"/>
      <c r="E105" s="388"/>
      <c r="F105" s="382"/>
      <c r="G105" s="382"/>
    </row>
    <row r="106" spans="1:7" x14ac:dyDescent="0.2">
      <c r="B106" s="324" t="s">
        <v>1042</v>
      </c>
    </row>
    <row r="107" spans="1:7" x14ac:dyDescent="0.2">
      <c r="B107" s="324"/>
    </row>
    <row r="108" spans="1:7" x14ac:dyDescent="0.2">
      <c r="B108" s="335" t="s">
        <v>999</v>
      </c>
      <c r="C108" s="335" t="s">
        <v>1007</v>
      </c>
    </row>
    <row r="109" spans="1:7" x14ac:dyDescent="0.2">
      <c r="B109" s="327" t="s">
        <v>1041</v>
      </c>
      <c r="C109" s="327" t="s">
        <v>1041</v>
      </c>
    </row>
    <row r="110" spans="1:7" x14ac:dyDescent="0.2">
      <c r="B110" s="352"/>
      <c r="C110" s="366"/>
    </row>
    <row r="111" spans="1:7" x14ac:dyDescent="0.2">
      <c r="B111" s="324" t="s">
        <v>1043</v>
      </c>
    </row>
    <row r="112" spans="1:7" x14ac:dyDescent="0.2">
      <c r="B112" s="361"/>
    </row>
    <row r="113" spans="2:7" ht="51" x14ac:dyDescent="0.2">
      <c r="B113" s="325" t="s">
        <v>999</v>
      </c>
      <c r="C113" s="326" t="s">
        <v>1037</v>
      </c>
      <c r="D113" s="326" t="s">
        <v>1044</v>
      </c>
      <c r="E113" s="326" t="s">
        <v>1045</v>
      </c>
      <c r="F113" s="326" t="s">
        <v>1038</v>
      </c>
    </row>
    <row r="114" spans="2:7" x14ac:dyDescent="0.2">
      <c r="B114" s="351" t="s">
        <v>585</v>
      </c>
      <c r="C114" s="339">
        <v>8000</v>
      </c>
      <c r="D114" s="330">
        <v>182.58079480000001</v>
      </c>
      <c r="E114" s="389">
        <v>6.0000000000000001E-3</v>
      </c>
      <c r="F114" s="389">
        <v>-182.58</v>
      </c>
    </row>
    <row r="115" spans="2:7" x14ac:dyDescent="0.2">
      <c r="B115" s="351" t="s">
        <v>1046</v>
      </c>
      <c r="C115" s="339">
        <v>2100</v>
      </c>
      <c r="D115" s="330">
        <v>396.99</v>
      </c>
      <c r="E115" s="389">
        <v>496.7</v>
      </c>
      <c r="F115" s="389">
        <v>99.71</v>
      </c>
    </row>
    <row r="116" spans="2:7" x14ac:dyDescent="0.2">
      <c r="B116" s="190" t="s">
        <v>1014</v>
      </c>
      <c r="C116" s="339">
        <v>220</v>
      </c>
      <c r="D116" s="330">
        <v>40.119999999999997</v>
      </c>
      <c r="E116" s="389">
        <v>50.54</v>
      </c>
      <c r="F116" s="389">
        <f>+E116-D116</f>
        <v>10.420000000000002</v>
      </c>
    </row>
    <row r="117" spans="2:7" x14ac:dyDescent="0.2">
      <c r="B117" s="190" t="s">
        <v>557</v>
      </c>
      <c r="C117" s="339">
        <v>759</v>
      </c>
      <c r="D117" s="330">
        <v>199.98</v>
      </c>
      <c r="E117" s="390">
        <v>154.30000000000001</v>
      </c>
      <c r="F117" s="390">
        <v>-45.68</v>
      </c>
    </row>
    <row r="118" spans="2:7" x14ac:dyDescent="0.2">
      <c r="F118" s="391"/>
      <c r="G118" s="227"/>
    </row>
    <row r="119" spans="2:7" x14ac:dyDescent="0.2">
      <c r="B119" s="324" t="s">
        <v>1047</v>
      </c>
    </row>
    <row r="120" spans="2:7" x14ac:dyDescent="0.2">
      <c r="B120" s="324"/>
    </row>
    <row r="121" spans="2:7" x14ac:dyDescent="0.2">
      <c r="E121" s="227"/>
    </row>
    <row r="122" spans="2:7" x14ac:dyDescent="0.2">
      <c r="B122" s="324" t="s">
        <v>1048</v>
      </c>
      <c r="E122" s="227"/>
    </row>
    <row r="123" spans="2:7" x14ac:dyDescent="0.2">
      <c r="E123" s="227"/>
    </row>
    <row r="124" spans="2:7" ht="25.5" x14ac:dyDescent="0.2">
      <c r="B124" s="325" t="s">
        <v>999</v>
      </c>
      <c r="C124" s="326" t="s">
        <v>1000</v>
      </c>
      <c r="D124" s="326" t="s">
        <v>1001</v>
      </c>
      <c r="E124" s="326" t="s">
        <v>1049</v>
      </c>
      <c r="F124" s="326" t="s">
        <v>1050</v>
      </c>
      <c r="G124" s="326" t="s">
        <v>1051</v>
      </c>
    </row>
    <row r="125" spans="2:7" x14ac:dyDescent="0.2">
      <c r="B125" s="190" t="s">
        <v>1041</v>
      </c>
      <c r="C125" s="392" t="s">
        <v>1041</v>
      </c>
      <c r="D125" s="393" t="s">
        <v>1041</v>
      </c>
      <c r="E125" s="394" t="s">
        <v>1041</v>
      </c>
      <c r="F125" s="394" t="s">
        <v>1041</v>
      </c>
      <c r="G125" s="394" t="s">
        <v>1041</v>
      </c>
    </row>
    <row r="126" spans="2:7" x14ac:dyDescent="0.2">
      <c r="E126" s="227"/>
    </row>
    <row r="127" spans="2:7" x14ac:dyDescent="0.2">
      <c r="B127" s="321" t="s">
        <v>1052</v>
      </c>
      <c r="E127" s="227"/>
    </row>
    <row r="128" spans="2:7" x14ac:dyDescent="0.2">
      <c r="B128" s="321"/>
      <c r="E128" s="227"/>
    </row>
    <row r="129" spans="2:10" x14ac:dyDescent="0.2">
      <c r="B129" s="335" t="s">
        <v>999</v>
      </c>
      <c r="C129" s="335" t="s">
        <v>1007</v>
      </c>
      <c r="E129" s="227"/>
    </row>
    <row r="130" spans="2:10" x14ac:dyDescent="0.2">
      <c r="B130" s="395" t="s">
        <v>1041</v>
      </c>
      <c r="C130" s="396" t="s">
        <v>1041</v>
      </c>
      <c r="E130" s="227"/>
    </row>
    <row r="131" spans="2:10" x14ac:dyDescent="0.2">
      <c r="E131" s="227"/>
    </row>
    <row r="132" spans="2:10" x14ac:dyDescent="0.2">
      <c r="B132" s="321" t="s">
        <v>1053</v>
      </c>
      <c r="E132" s="227"/>
    </row>
    <row r="133" spans="2:10" x14ac:dyDescent="0.2">
      <c r="E133" s="227"/>
    </row>
    <row r="134" spans="2:10" ht="63.75" x14ac:dyDescent="0.2">
      <c r="B134" s="325" t="s">
        <v>999</v>
      </c>
      <c r="C134" s="326" t="s">
        <v>1009</v>
      </c>
      <c r="D134" s="326" t="s">
        <v>1010</v>
      </c>
      <c r="E134" s="326" t="s">
        <v>1011</v>
      </c>
      <c r="F134" s="326" t="s">
        <v>1012</v>
      </c>
      <c r="G134" s="326" t="s">
        <v>1013</v>
      </c>
    </row>
    <row r="135" spans="2:10" x14ac:dyDescent="0.2">
      <c r="B135" s="396" t="s">
        <v>1041</v>
      </c>
      <c r="C135" s="396" t="s">
        <v>1041</v>
      </c>
      <c r="D135" s="397" t="s">
        <v>1041</v>
      </c>
      <c r="E135" s="396" t="s">
        <v>1041</v>
      </c>
      <c r="F135" s="398" t="s">
        <v>1041</v>
      </c>
      <c r="G135" s="398" t="s">
        <v>1041</v>
      </c>
      <c r="I135" s="347"/>
      <c r="J135" s="227"/>
    </row>
    <row r="136" spans="2:10" x14ac:dyDescent="0.2">
      <c r="E136" s="227"/>
    </row>
    <row r="137" spans="2:10" x14ac:dyDescent="0.2">
      <c r="B137" s="226" t="s">
        <v>1054</v>
      </c>
    </row>
  </sheetData>
  <mergeCells count="3">
    <mergeCell ref="B2:G2"/>
    <mergeCell ref="B3:G3"/>
    <mergeCell ref="B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CAPEXG</vt:lpstr>
      <vt:lpstr>MICAP10</vt:lpstr>
      <vt:lpstr>MICAP11</vt:lpstr>
      <vt:lpstr>MICAP12</vt:lpstr>
      <vt:lpstr>MICAP14</vt:lpstr>
      <vt:lpstr>MICAP15</vt:lpstr>
      <vt:lpstr>MICAP16</vt:lpstr>
      <vt:lpstr>MICAP17</vt:lpstr>
      <vt:lpstr>MICAP8</vt:lpstr>
      <vt:lpstr>MICAP9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SFOCUS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SMALL3</vt:lpstr>
      <vt:lpstr>SMALL4</vt:lpstr>
      <vt:lpstr>SMALL5</vt:lpstr>
      <vt:lpstr>SMALL6</vt:lpstr>
      <vt:lpstr>SMILE</vt:lpstr>
      <vt:lpstr>SRURAL</vt:lpstr>
      <vt:lpstr>SSFUND</vt:lpstr>
      <vt:lpstr>SSN100</vt:lpstr>
      <vt:lpstr>STAX</vt:lpstr>
      <vt:lpstr>STOP6</vt:lpstr>
      <vt:lpstr>STOP7</vt:lpstr>
      <vt:lpstr>SUNBAL</vt:lpstr>
      <vt:lpstr>SUNEQF</vt:lpstr>
      <vt:lpstr>SUNESF</vt:lpstr>
      <vt:lpstr>SUNFOP</vt:lpstr>
      <vt:lpstr>SUNVALF10</vt:lpstr>
      <vt:lpstr>SUNVALF2</vt:lpstr>
      <vt:lpstr>SUNVALF3</vt:lpstr>
      <vt:lpstr>SUNVALF7</vt:lpstr>
      <vt:lpstr>SUNVALF8</vt:lpstr>
      <vt:lpstr>SUNVALF9</vt:lpstr>
      <vt:lpstr>SWBFSR2</vt:lpstr>
      <vt:lpstr>SWBFSR3</vt:lpstr>
      <vt:lpstr>GLOB</vt:lpstr>
      <vt:lpstr>DERIVATIVE DISCLOSURE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</dc:creator>
  <cp:lastModifiedBy>Venkat Raman R - Sundaram Mutual</cp:lastModifiedBy>
  <dcterms:created xsi:type="dcterms:W3CDTF">2016-06-17T04:30:17Z</dcterms:created>
  <dcterms:modified xsi:type="dcterms:W3CDTF">2019-11-08T12:32:58Z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